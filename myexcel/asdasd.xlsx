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0" documentId="8_{EBFBC81B-6FB9-4BDB-9444-4FE4D9EA7145}" xr6:coauthVersionLast="47" xr6:coauthVersionMax="47" xr10:uidLastSave="{00000000-0000-0000-0000-000000000000}"/>
  <bookViews>
    <workbookView xWindow="-120" yWindow="-120" windowWidth="24240" windowHeight="13140" firstSheet="1" activeTab="2" xr2:uid="{00000000-000D-0000-FFFF-FFFF00000000}"/>
  </bookViews>
  <sheets>
    <sheet name="mon exp" sheetId="1" r:id="rId1"/>
    <sheet name="rates" sheetId="2" r:id="rId2"/>
    <sheet name="PAN DETAIL" sheetId="3" r:id="rId3"/>
    <sheet name="Voter" sheetId="4" r:id="rId4"/>
    <sheet name="Electric" sheetId="5" r:id="rId5"/>
    <sheet name="Insurance" sheetId="6" r:id="rId6"/>
    <sheet name="Passport" sheetId="7" r:id="rId7"/>
    <sheet name="PSYM" sheetId="9" r:id="rId8"/>
    <sheet name="ITR" sheetId="10" r:id="rId9"/>
    <sheet name="DL" sheetId="11" r:id="rId10"/>
    <sheet name="misc" sheetId="13" r:id="rId11"/>
    <sheet name="Dis card" sheetId="14" r:id="rId12"/>
    <sheet name="Sheet1" sheetId="8" r:id="rId13"/>
    <sheet name="Sheet3" sheetId="15" r:id="rId14"/>
  </sheets>
  <definedNames>
    <definedName name="_xlnm._FilterDatabase" localSheetId="0" hidden="1">'mon exp'!$A$6:$F$154</definedName>
    <definedName name="_xlnm._FilterDatabase" localSheetId="2" hidden="1">'PAN DETAIL'!$A$1:$L$2447</definedName>
    <definedName name="_xlnm._FilterDatabase" localSheetId="3" hidden="1">Voter!$A$1:$R$890</definedName>
    <definedName name="Z_040E2B87_7533_4707_9322_D403F4F7577B_.wvu.FilterData" localSheetId="0" hidden="1">'mon exp'!$A$6:$F$154</definedName>
    <definedName name="Z_040E2B87_7533_4707_9322_D403F4F7577B_.wvu.FilterData" localSheetId="2" hidden="1">'PAN DETAIL'!$A$4:$R$805</definedName>
    <definedName name="Z_17BB0635_933F_4031_AA1B_02B47946C686_.wvu.Cols" localSheetId="1">rates!$N:$N</definedName>
    <definedName name="Z_17BB0635_933F_4031_AA1B_02B47946C686_.wvu.Rows" localSheetId="1">rates!$10:$10</definedName>
    <definedName name="Z_1DB3B8BB_FF13_43E4_91E2_4D5FE1537F47_.wvu.Cols" localSheetId="1">rates!$N:$N</definedName>
    <definedName name="Z_1DB3B8BB_FF13_43E4_91E2_4D5FE1537F47_.wvu.Rows" localSheetId="1">rates!$10:$10</definedName>
    <definedName name="Z_2725018A_75FC_4F1C_84B0_F6408FBACE16_.wvu.FilterData" localSheetId="0" hidden="1">'mon exp'!$A$6:$F$154</definedName>
    <definedName name="Z_2725018A_75FC_4F1C_84B0_F6408FBACE16_.wvu.FilterData" localSheetId="2" hidden="1">'PAN DETAIL'!$A$4:$R$806</definedName>
    <definedName name="Z_3AED7B35_86CA_4B6C_A2EC_CD4DE422B896_.wvu.Cols" localSheetId="2">'PAN DETAIL'!$J:$J</definedName>
    <definedName name="Z_3AED7B35_86CA_4B6C_A2EC_CD4DE422B896_.wvu.Cols" localSheetId="3">Voter!$I:$I</definedName>
    <definedName name="Z_3AED7B35_86CA_4B6C_A2EC_CD4DE422B896_.wvu.Rows" localSheetId="1">rates!$10:$10</definedName>
    <definedName name="Z_5436A929_FCD6_4CC8_AC5F_737E2C2C3552_.wvu.Cols" localSheetId="3">Voter!$I:$I</definedName>
    <definedName name="Z_5436A929_FCD6_4CC8_AC5F_737E2C2C3552_.wvu.Rows" localSheetId="1">rates!$10:$10</definedName>
    <definedName name="Z_5B977F16_71B0_46A5_85B0_37803B6F8619_.wvu.FilterData" localSheetId="0" hidden="1">'mon exp'!$A$6:$F$154</definedName>
    <definedName name="Z_5B977F16_71B0_46A5_85B0_37803B6F8619_.wvu.FilterData" localSheetId="2" hidden="1">'PAN DETAIL'!$A$4:$R$868</definedName>
    <definedName name="Z_62279284_2A04_4898_9B19_D0B29F26DFD3_.wvu.FilterData" localSheetId="0" hidden="1">'mon exp'!$A$6:$F$154</definedName>
    <definedName name="Z_62279284_2A04_4898_9B19_D0B29F26DFD3_.wvu.FilterData" localSheetId="2" hidden="1">'PAN DETAIL'!$A$1:$L$2447</definedName>
    <definedName name="Z_62279284_2A04_4898_9B19_D0B29F26DFD3_.wvu.FilterData" localSheetId="3" hidden="1">Voter!$A$1:$R$890</definedName>
    <definedName name="Z_6DBA1DF2_B961_4824_A638_68D2235E258C_.wvu.FilterData" localSheetId="0" hidden="1">'mon exp'!$A$6:$F$154</definedName>
    <definedName name="Z_6DBA1DF2_B961_4824_A638_68D2235E258C_.wvu.FilterData" localSheetId="2" hidden="1">'PAN DETAIL'!$A$1:$L$2447</definedName>
    <definedName name="Z_6DBA1DF2_B961_4824_A638_68D2235E258C_.wvu.FilterData" localSheetId="3" hidden="1">Voter!$A$1:$R$890</definedName>
    <definedName name="Z_76DB48ED_F9D5_46EE_8B68_22302006932B_.wvu.Cols" localSheetId="1">rates!$N:$N</definedName>
    <definedName name="Z_76DB48ED_F9D5_46EE_8B68_22302006932B_.wvu.Rows" localSheetId="1">rates!$10:$10</definedName>
    <definedName name="Z_7D776790_6EE6_4890_AEAD_CC685CF5AC69_.wvu.FilterData" localSheetId="0" hidden="1">'mon exp'!$A$6:$F$154</definedName>
    <definedName name="Z_7D776790_6EE6_4890_AEAD_CC685CF5AC69_.wvu.FilterData" localSheetId="2" hidden="1">'PAN DETAIL'!$A$1:$L$1958</definedName>
    <definedName name="Z_7D776790_6EE6_4890_AEAD_CC685CF5AC69_.wvu.FilterData" localSheetId="3" hidden="1">Voter!$A$1:$R$890</definedName>
    <definedName name="Z_9FBD6FCD_ABF0_44CA_B044_9B9EEA555F2A_.wvu.Cols" localSheetId="1">rates!$N:$N</definedName>
    <definedName name="Z_9FBD6FCD_ABF0_44CA_B044_9B9EEA555F2A_.wvu.Rows" localSheetId="1">rates!$10:$10</definedName>
    <definedName name="Z_A2126CFA_336F_4251_8FBA_F8792C4B397B_.wvu.FilterData" localSheetId="0" hidden="1">'mon exp'!$A$6:$F$154</definedName>
    <definedName name="Z_A2126CFA_336F_4251_8FBA_F8792C4B397B_.wvu.FilterData" localSheetId="2" hidden="1">'PAN DETAIL'!$A$4:$R$805</definedName>
    <definedName name="Z_B48AB9B1_ABCB_4969_9A44_080A32004BB6_.wvu.FilterData" localSheetId="0" hidden="1">'mon exp'!$A$6:$F$154</definedName>
    <definedName name="Z_B48AB9B1_ABCB_4969_9A44_080A32004BB6_.wvu.FilterData" localSheetId="2" hidden="1">'PAN DETAIL'!$A$1:$L$2447</definedName>
    <definedName name="Z_B48AB9B1_ABCB_4969_9A44_080A32004BB6_.wvu.FilterData" localSheetId="3" hidden="1">Voter!$A$1:$R$890</definedName>
    <definedName name="Z_CFF18104_9957_4B22_A0BF_E0E9089CC41B_.wvu.Cols" localSheetId="3">Voter!$I:$I</definedName>
    <definedName name="Z_CFF18104_9957_4B22_A0BF_E0E9089CC41B_.wvu.Rows" localSheetId="1">rates!$10:$10</definedName>
    <definedName name="Z_E64C861B_828F_4357_A2C1_687220A83D03_.wvu.Cols" localSheetId="3">Voter!$I:$I</definedName>
    <definedName name="Z_E64C861B_828F_4357_A2C1_687220A83D03_.wvu.Rows" localSheetId="1">rates!$10:$10</definedName>
  </definedNames>
  <calcPr calcId="181029"/>
  <customWorkbookViews>
    <customWorkbookView name="comport - Personal View" guid="{5B977F16-71B0-46A5-85B0-37803B6F8619}" maximized="1" windowWidth="0" windowHeight="0" activeSheetId="0"/>
    <customWorkbookView name="Sanjay Kumar - Personal View" guid="{62279284-2A04-4898-9B19-D0B29F26DFD3}" maximized="1" windowWidth="0" windowHeight="0" activeSheetId="0"/>
    <customWorkbookView name="user2 - Personal View" guid="{040E2B87-7533-4707-9322-D403F4F7577B}" maximized="1" windowWidth="0" windowHeight="0" activeSheetId="0"/>
    <customWorkbookView name="CSC-KGN - Personal View" guid="{7D776790-6EE6-4890-AEAD-CC685CF5AC69}" maximized="1" windowWidth="0" windowHeight="0" activeSheetId="0"/>
    <customWorkbookView name="CSCVLE - Personal View" guid="{2725018A-75FC-4F1C-84B0-F6408FBACE16}" maximized="1" windowWidth="0" windowHeight="0" activeSheetId="0"/>
    <customWorkbookView name="NISE-DESKTOP - Personal View" guid="{6DBA1DF2-B961-4824-A638-68D2235E258C}" maximized="1" windowWidth="0" windowHeight="0" activeSheetId="0"/>
    <customWorkbookView name="NISE-COMPUTER - Personal View" guid="{B48AB9B1-ABCB-4969-9A44-080A32004BB6}" maximized="1" windowWidth="0" windowHeight="0" activeSheetId="0"/>
    <customWorkbookView name="NWEB - Personal View" guid="{A2126CFA-336F-4251-8FBA-F8792C4B397B}" maximized="1" windowWidth="0" windowHeight="0" activeSheetId="0"/>
  </customWorkbookViews>
  <extLst>
    <ext uri="GoogleSheetsCustomDataVersion1">
      <go:sheetsCustomData xmlns:go="http://customooxmlschemas.google.com/" r:id="rId19" roundtripDataSignature="AMtx7mgjEuAM7tU6HuOhANTabFZssGQyCg=="/>
    </ext>
  </extLst>
</workbook>
</file>

<file path=xl/calcChain.xml><?xml version="1.0" encoding="utf-8"?>
<calcChain xmlns="http://schemas.openxmlformats.org/spreadsheetml/2006/main">
  <c r="N231" i="11" l="1"/>
  <c r="N224" i="11"/>
  <c r="O3177" i="3" l="1"/>
  <c r="N221" i="11" l="1"/>
  <c r="K221" i="11"/>
  <c r="J255" i="11" l="1"/>
  <c r="K231" i="11"/>
  <c r="O244" i="11"/>
  <c r="L244" i="11"/>
  <c r="O243" i="11" l="1"/>
  <c r="B3168" i="3"/>
  <c r="B3169" i="3"/>
  <c r="B3170" i="3"/>
  <c r="B3171" i="3"/>
  <c r="B3172" i="3"/>
  <c r="B3173" i="3"/>
  <c r="B3174" i="3"/>
  <c r="B3175" i="3"/>
  <c r="B3176" i="3"/>
  <c r="B3177" i="3"/>
  <c r="B3178" i="3"/>
  <c r="B3156" i="3"/>
  <c r="L243" i="11"/>
  <c r="K225" i="11"/>
  <c r="N216" i="11"/>
  <c r="K201" i="11"/>
  <c r="K216" i="11"/>
  <c r="M1" i="3"/>
  <c r="O242" i="11" l="1"/>
  <c r="L242" i="11" l="1"/>
  <c r="O241" i="11"/>
  <c r="L241" i="11"/>
  <c r="J241" i="11"/>
  <c r="O240" i="11"/>
  <c r="L240" i="11"/>
  <c r="N199" i="11"/>
  <c r="O239" i="11" l="1"/>
  <c r="L239" i="11"/>
  <c r="N232" i="11"/>
  <c r="N228" i="11"/>
  <c r="K228" i="11"/>
  <c r="K232" i="11" l="1"/>
  <c r="K199" i="11"/>
  <c r="N107" i="11"/>
  <c r="N109" i="11"/>
  <c r="K109" i="11"/>
  <c r="K158" i="11"/>
  <c r="K223" i="11"/>
  <c r="N225" i="11"/>
  <c r="O238" i="11"/>
  <c r="O237" i="11"/>
  <c r="L238" i="11"/>
  <c r="L237" i="11"/>
  <c r="J175" i="10"/>
  <c r="J174" i="10"/>
  <c r="N190" i="11"/>
  <c r="N207" i="11"/>
  <c r="K190" i="11"/>
  <c r="K207" i="11"/>
  <c r="N227" i="11"/>
  <c r="K227" i="11"/>
  <c r="N223" i="11"/>
  <c r="N222" i="11"/>
  <c r="J190" i="11"/>
  <c r="K222" i="11"/>
  <c r="O236" i="11"/>
  <c r="L236" i="11"/>
  <c r="O235" i="11"/>
  <c r="O234" i="11"/>
  <c r="L235" i="11"/>
  <c r="L234" i="11"/>
  <c r="N209" i="11"/>
  <c r="N219" i="11"/>
  <c r="J176" i="10" l="1"/>
  <c r="B3083" i="3"/>
  <c r="B3081" i="3"/>
  <c r="B3082" i="3"/>
  <c r="B3084" i="3"/>
  <c r="B3085" i="3"/>
  <c r="B3086" i="3"/>
  <c r="K219" i="11" l="1"/>
  <c r="K209" i="11"/>
  <c r="N212" i="11" l="1"/>
  <c r="K212" i="11"/>
  <c r="K211" i="11"/>
  <c r="K210" i="11"/>
  <c r="O233" i="11"/>
  <c r="L233" i="11"/>
  <c r="R232" i="11"/>
  <c r="O232" i="11"/>
  <c r="N211" i="11"/>
  <c r="N210" i="11"/>
  <c r="L232" i="11"/>
  <c r="J161" i="11" l="1"/>
  <c r="N161" i="11"/>
  <c r="M161" i="11"/>
  <c r="K161" i="11" l="1"/>
  <c r="O231" i="11"/>
  <c r="L231" i="11"/>
  <c r="O230" i="11" l="1"/>
  <c r="O229" i="11"/>
  <c r="L230" i="11"/>
  <c r="L229" i="11"/>
  <c r="O228" i="11"/>
  <c r="L228" i="11"/>
  <c r="N202" i="11" l="1"/>
  <c r="N196" i="11"/>
  <c r="K202" i="11" l="1"/>
  <c r="N194" i="11" l="1"/>
  <c r="B3054" i="3" l="1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7" i="3"/>
  <c r="B3158" i="3"/>
  <c r="B3159" i="3"/>
  <c r="B3160" i="3"/>
  <c r="B3161" i="3"/>
  <c r="B3162" i="3"/>
  <c r="B3163" i="3"/>
  <c r="B3164" i="3"/>
  <c r="B3165" i="3"/>
  <c r="B3166" i="3"/>
  <c r="B3167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053" i="3"/>
  <c r="B3052" i="3"/>
  <c r="B3051" i="3"/>
  <c r="B3050" i="3"/>
  <c r="B3049" i="3"/>
  <c r="B3048" i="3"/>
  <c r="B3047" i="3"/>
  <c r="B3046" i="3"/>
  <c r="K220" i="11"/>
  <c r="B3045" i="3"/>
  <c r="B3044" i="3"/>
  <c r="B3043" i="3" l="1"/>
  <c r="B3042" i="3"/>
  <c r="B3041" i="3" l="1"/>
  <c r="B3040" i="3"/>
  <c r="B3039" i="3"/>
  <c r="B3038" i="3"/>
  <c r="K194" i="11"/>
  <c r="B3033" i="3"/>
  <c r="B3034" i="3"/>
  <c r="B3035" i="3"/>
  <c r="B3036" i="3"/>
  <c r="B3037" i="3"/>
  <c r="B3032" i="3"/>
  <c r="B3031" i="3"/>
  <c r="B3030" i="3" l="1"/>
  <c r="B3029" i="3"/>
  <c r="B3028" i="3"/>
  <c r="B3027" i="3"/>
  <c r="B3026" i="3"/>
  <c r="O225" i="11"/>
  <c r="O227" i="11"/>
  <c r="L227" i="11"/>
  <c r="L225" i="11"/>
  <c r="B3025" i="3"/>
  <c r="B3024" i="3"/>
  <c r="B3023" i="3"/>
  <c r="B3022" i="3"/>
  <c r="B3021" i="3"/>
  <c r="B3019" i="3"/>
  <c r="B3020" i="3"/>
  <c r="B3013" i="3"/>
  <c r="B3014" i="3"/>
  <c r="B3015" i="3"/>
  <c r="B3016" i="3"/>
  <c r="B3017" i="3"/>
  <c r="B3018" i="3"/>
  <c r="N197" i="11" l="1"/>
  <c r="K197" i="11"/>
  <c r="O224" i="11"/>
  <c r="O223" i="11"/>
  <c r="L224" i="11"/>
  <c r="L223" i="11"/>
  <c r="B3005" i="3"/>
  <c r="B3006" i="3"/>
  <c r="B3007" i="3"/>
  <c r="B3008" i="3"/>
  <c r="B3009" i="3"/>
  <c r="B3010" i="3"/>
  <c r="B3011" i="3"/>
  <c r="B3012" i="3"/>
  <c r="K196" i="11"/>
  <c r="O222" i="11" l="1"/>
  <c r="L222" i="11"/>
  <c r="B3003" i="3"/>
  <c r="O221" i="11"/>
  <c r="L221" i="11"/>
  <c r="O220" i="11"/>
  <c r="B2978" i="3" l="1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4" i="3"/>
  <c r="L220" i="11"/>
  <c r="L226" i="11"/>
  <c r="O226" i="11"/>
  <c r="B2977" i="3" l="1"/>
  <c r="O219" i="11"/>
  <c r="L219" i="11"/>
  <c r="B2972" i="3"/>
  <c r="B2973" i="3"/>
  <c r="B2974" i="3"/>
  <c r="B2975" i="3"/>
  <c r="B2976" i="3"/>
  <c r="B2971" i="3" l="1"/>
  <c r="B2970" i="3"/>
  <c r="I28" i="10"/>
  <c r="B2967" i="3" l="1"/>
  <c r="B2968" i="3"/>
  <c r="B2969" i="3"/>
  <c r="B2964" i="3" l="1"/>
  <c r="B2965" i="3"/>
  <c r="B2966" i="3"/>
  <c r="B2963" i="3"/>
  <c r="B2962" i="3"/>
  <c r="L218" i="11"/>
  <c r="O218" i="11"/>
  <c r="O217" i="11"/>
  <c r="O216" i="11"/>
  <c r="L217" i="11"/>
  <c r="L216" i="11"/>
  <c r="L215" i="11"/>
  <c r="L214" i="11"/>
  <c r="B2961" i="3"/>
  <c r="B2960" i="3"/>
  <c r="B2959" i="3"/>
  <c r="B2958" i="3"/>
  <c r="O215" i="11"/>
  <c r="O214" i="11"/>
  <c r="B2957" i="3"/>
  <c r="B2956" i="3"/>
  <c r="B2955" i="3"/>
  <c r="B2954" i="3"/>
  <c r="B2953" i="3"/>
  <c r="B2952" i="3"/>
  <c r="B2951" i="3"/>
  <c r="B2950" i="3"/>
  <c r="B2949" i="3"/>
  <c r="B2948" i="3"/>
  <c r="B2947" i="3" l="1"/>
  <c r="B2946" i="3"/>
  <c r="B2945" i="3"/>
  <c r="B2944" i="3"/>
  <c r="B2943" i="3"/>
  <c r="B2942" i="3"/>
  <c r="B2941" i="3"/>
  <c r="B2940" i="3"/>
  <c r="B2939" i="3"/>
  <c r="B2938" i="3"/>
  <c r="B2937" i="3"/>
  <c r="B2936" i="3" l="1"/>
  <c r="B2935" i="3"/>
  <c r="O213" i="11"/>
  <c r="L213" i="11"/>
  <c r="O212" i="11"/>
  <c r="L212" i="11"/>
  <c r="B2934" i="3" l="1"/>
  <c r="B2933" i="3"/>
  <c r="O210" i="11" l="1"/>
  <c r="O211" i="11"/>
  <c r="L210" i="11"/>
  <c r="L211" i="11"/>
  <c r="O209" i="11"/>
  <c r="L209" i="11"/>
  <c r="B2932" i="3"/>
  <c r="B2924" i="3"/>
  <c r="B2925" i="3"/>
  <c r="B2926" i="3"/>
  <c r="B2927" i="3"/>
  <c r="B2928" i="3"/>
  <c r="B2929" i="3"/>
  <c r="B2930" i="3"/>
  <c r="B2931" i="3"/>
  <c r="B2920" i="3" l="1"/>
  <c r="B2921" i="3"/>
  <c r="B2922" i="3"/>
  <c r="B2923" i="3"/>
  <c r="O208" i="11" l="1"/>
  <c r="L208" i="11"/>
  <c r="O207" i="11" l="1"/>
  <c r="L207" i="11"/>
  <c r="O206" i="11"/>
  <c r="O205" i="11"/>
  <c r="L206" i="11"/>
  <c r="B2886" i="3"/>
  <c r="L205" i="11" l="1"/>
  <c r="O204" i="11"/>
  <c r="L204" i="11"/>
  <c r="O203" i="11" l="1"/>
  <c r="L203" i="11"/>
  <c r="O202" i="11" l="1"/>
  <c r="L202" i="11"/>
  <c r="N52" i="5" l="1"/>
  <c r="K150" i="11" l="1"/>
  <c r="K156" i="11"/>
  <c r="K157" i="11"/>
  <c r="K166" i="11"/>
  <c r="K176" i="11"/>
  <c r="N193" i="11"/>
  <c r="N189" i="11"/>
  <c r="N157" i="11"/>
  <c r="O200" i="11"/>
  <c r="O201" i="11"/>
  <c r="L201" i="11"/>
  <c r="K189" i="11" l="1"/>
  <c r="B2883" i="3" l="1"/>
  <c r="O199" i="11"/>
  <c r="L199" i="11"/>
  <c r="K193" i="11"/>
  <c r="B2824" i="3"/>
  <c r="B2818" i="3" l="1"/>
  <c r="B2819" i="3"/>
  <c r="B2810" i="3" l="1"/>
  <c r="B2811" i="3"/>
  <c r="B2812" i="3"/>
  <c r="B2813" i="3"/>
  <c r="B2814" i="3"/>
  <c r="B2807" i="3"/>
  <c r="B2808" i="3"/>
  <c r="B2809" i="3"/>
  <c r="B2815" i="3"/>
  <c r="B2816" i="3"/>
  <c r="B2817" i="3"/>
  <c r="O198" i="11" l="1"/>
  <c r="L198" i="11"/>
  <c r="N188" i="11" l="1"/>
  <c r="O197" i="11" l="1"/>
  <c r="L197" i="11"/>
  <c r="K188" i="11"/>
  <c r="O196" i="11" l="1"/>
  <c r="L196" i="11"/>
  <c r="O195" i="11" l="1"/>
  <c r="L195" i="11"/>
  <c r="M193" i="11" l="1"/>
  <c r="O193" i="11" s="1"/>
  <c r="J193" i="11"/>
  <c r="K178" i="11"/>
  <c r="L193" i="11" l="1"/>
  <c r="O192" i="11"/>
  <c r="L192" i="11"/>
  <c r="O191" i="11"/>
  <c r="L191" i="11"/>
  <c r="O190" i="11"/>
  <c r="N168" i="11"/>
  <c r="L190" i="11"/>
  <c r="K168" i="11"/>
  <c r="O189" i="11"/>
  <c r="L189" i="11"/>
  <c r="N176" i="11"/>
  <c r="N183" i="11"/>
  <c r="K183" i="11"/>
  <c r="N172" i="11"/>
  <c r="N180" i="11" l="1"/>
  <c r="N182" i="11"/>
  <c r="N177" i="11" l="1"/>
  <c r="K177" i="11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20" i="3"/>
  <c r="B2821" i="3"/>
  <c r="B2822" i="3"/>
  <c r="B2823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4" i="3"/>
  <c r="B2885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672" i="3"/>
  <c r="B2671" i="3"/>
  <c r="B2670" i="3"/>
  <c r="B2669" i="3"/>
  <c r="B2668" i="3"/>
  <c r="B2667" i="3"/>
  <c r="B2666" i="3"/>
  <c r="B2665" i="3" l="1"/>
  <c r="B2664" i="3"/>
  <c r="K172" i="11" l="1"/>
  <c r="K180" i="11"/>
  <c r="N179" i="11"/>
  <c r="B2663" i="3"/>
  <c r="K179" i="11" l="1"/>
  <c r="B2662" i="3"/>
  <c r="O188" i="11"/>
  <c r="L188" i="11"/>
  <c r="O187" i="11"/>
  <c r="L187" i="11"/>
  <c r="O186" i="11"/>
  <c r="L186" i="11"/>
  <c r="B2661" i="3"/>
  <c r="B2660" i="3"/>
  <c r="B2659" i="3"/>
  <c r="B2657" i="3" l="1"/>
  <c r="B2656" i="3"/>
  <c r="B2655" i="3" l="1"/>
  <c r="B2654" i="3"/>
  <c r="B2653" i="3" l="1"/>
  <c r="N178" i="11" l="1"/>
  <c r="B2652" i="3"/>
  <c r="B2651" i="3" l="1"/>
  <c r="B2650" i="3"/>
  <c r="M185" i="11"/>
  <c r="O185" i="11" s="1"/>
  <c r="L185" i="11"/>
  <c r="N173" i="11"/>
  <c r="K173" i="11"/>
  <c r="B2658" i="3"/>
  <c r="B2649" i="3" l="1"/>
  <c r="B2648" i="3"/>
  <c r="B2647" i="3"/>
  <c r="O184" i="11"/>
  <c r="L184" i="11"/>
  <c r="B2646" i="3"/>
  <c r="B2645" i="3"/>
  <c r="O183" i="11"/>
  <c r="L183" i="11"/>
  <c r="K174" i="11"/>
  <c r="B2628" i="3"/>
  <c r="N175" i="11"/>
  <c r="K175" i="11" l="1"/>
  <c r="B2625" i="3"/>
  <c r="N149" i="11"/>
  <c r="M149" i="11"/>
  <c r="J149" i="11"/>
  <c r="N163" i="11"/>
  <c r="N167" i="11"/>
  <c r="O182" i="11"/>
  <c r="M167" i="11"/>
  <c r="K163" i="11" l="1"/>
  <c r="L182" i="11"/>
  <c r="N171" i="11" l="1"/>
  <c r="N162" i="11"/>
  <c r="M162" i="11"/>
  <c r="K171" i="11"/>
  <c r="K162" i="11"/>
  <c r="J162" i="11"/>
  <c r="N154" i="11" l="1"/>
  <c r="O181" i="11"/>
  <c r="O180" i="11"/>
  <c r="L181" i="11"/>
  <c r="L180" i="11"/>
  <c r="O179" i="11" l="1"/>
  <c r="L179" i="11"/>
  <c r="K154" i="11" l="1"/>
  <c r="N170" i="11"/>
  <c r="K170" i="11"/>
  <c r="N158" i="11"/>
  <c r="M158" i="11"/>
  <c r="N166" i="11"/>
  <c r="O178" i="11"/>
  <c r="O177" i="11"/>
  <c r="L178" i="11"/>
  <c r="L177" i="11"/>
  <c r="N169" i="11"/>
  <c r="K169" i="11"/>
  <c r="O176" i="11"/>
  <c r="L176" i="11"/>
  <c r="O175" i="11"/>
  <c r="L175" i="11"/>
  <c r="O174" i="11" l="1"/>
  <c r="L174" i="11"/>
  <c r="M170" i="11"/>
  <c r="O170" i="11" s="1"/>
  <c r="N118" i="11"/>
  <c r="O173" i="11"/>
  <c r="L173" i="11"/>
  <c r="K118" i="11"/>
  <c r="L172" i="11"/>
  <c r="O172" i="11"/>
  <c r="O171" i="11"/>
  <c r="L171" i="11"/>
  <c r="L170" i="11"/>
  <c r="M169" i="11"/>
  <c r="J169" i="11"/>
  <c r="N156" i="11" l="1"/>
  <c r="O168" i="11"/>
  <c r="L168" i="11"/>
  <c r="O167" i="11"/>
  <c r="L167" i="11"/>
  <c r="N160" i="11"/>
  <c r="M160" i="11"/>
  <c r="B2506" i="3" l="1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6" i="3"/>
  <c r="B2627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505" i="3"/>
  <c r="B2502" i="3"/>
  <c r="B2503" i="3"/>
  <c r="B2504" i="3"/>
  <c r="M166" i="11" l="1"/>
  <c r="O166" i="11" s="1"/>
  <c r="L166" i="11"/>
  <c r="O169" i="11" l="1"/>
  <c r="L169" i="11"/>
  <c r="B2501" i="3"/>
  <c r="B2500" i="3" l="1"/>
  <c r="B2499" i="3"/>
  <c r="B2498" i="3"/>
  <c r="B2497" i="3"/>
  <c r="B2496" i="3" l="1"/>
  <c r="B2490" i="3"/>
  <c r="B2495" i="3"/>
  <c r="B2494" i="3"/>
  <c r="B2493" i="3"/>
  <c r="B2492" i="3"/>
  <c r="B2491" i="3"/>
  <c r="B2489" i="3"/>
  <c r="B2488" i="3"/>
  <c r="B2487" i="3"/>
  <c r="B2486" i="3"/>
  <c r="B2485" i="3"/>
  <c r="B2484" i="3"/>
  <c r="B2480" i="3"/>
  <c r="B2481" i="3"/>
  <c r="B2482" i="3"/>
  <c r="B2483" i="3"/>
  <c r="N155" i="11" l="1"/>
  <c r="O164" i="11"/>
  <c r="L164" i="11"/>
  <c r="K155" i="11"/>
  <c r="J158" i="11" l="1"/>
  <c r="B2479" i="3"/>
  <c r="B2478" i="3"/>
  <c r="B2477" i="3"/>
  <c r="B2476" i="3"/>
  <c r="B2475" i="3"/>
  <c r="B2474" i="3"/>
  <c r="B2473" i="3"/>
  <c r="K8" i="10"/>
  <c r="B2472" i="3"/>
  <c r="B2471" i="3"/>
  <c r="B2470" i="3"/>
  <c r="B2469" i="3" l="1"/>
  <c r="B2468" i="3"/>
  <c r="B2467" i="3"/>
  <c r="B2466" i="3" l="1"/>
  <c r="B2465" i="3"/>
  <c r="B2464" i="3"/>
  <c r="B2463" i="3"/>
  <c r="B2462" i="3"/>
  <c r="B2461" i="3" l="1"/>
  <c r="B2460" i="3"/>
  <c r="B2459" i="3"/>
  <c r="B2458" i="3" l="1"/>
  <c r="B2457" i="3"/>
  <c r="B2456" i="3"/>
  <c r="O1974" i="3"/>
  <c r="B2454" i="3"/>
  <c r="B2455" i="3"/>
  <c r="B2453" i="3"/>
  <c r="B2449" i="3" l="1"/>
  <c r="B2450" i="3"/>
  <c r="B2451" i="3"/>
  <c r="B2452" i="3"/>
  <c r="B2448" i="3"/>
  <c r="N152" i="11" l="1"/>
  <c r="N151" i="11"/>
  <c r="K151" i="11" l="1"/>
  <c r="O163" i="11"/>
  <c r="L163" i="11"/>
  <c r="N145" i="11"/>
  <c r="O162" i="11"/>
  <c r="L162" i="11"/>
  <c r="O161" i="11"/>
  <c r="O160" i="11"/>
  <c r="L160" i="11"/>
  <c r="L161" i="11"/>
  <c r="K152" i="11" l="1"/>
  <c r="O159" i="11"/>
  <c r="L159" i="11"/>
  <c r="L158" i="11"/>
  <c r="L157" i="11"/>
  <c r="L156" i="11"/>
  <c r="L155" i="11"/>
  <c r="O158" i="11"/>
  <c r="O157" i="11"/>
  <c r="N146" i="11"/>
  <c r="K146" i="11"/>
  <c r="N150" i="11"/>
  <c r="O156" i="11" l="1"/>
  <c r="O155" i="11"/>
  <c r="N139" i="11"/>
  <c r="O139" i="11" s="1"/>
  <c r="O194" i="11"/>
  <c r="L194" i="11"/>
  <c r="B2358" i="3"/>
  <c r="O154" i="11"/>
  <c r="L154" i="11"/>
  <c r="O153" i="11"/>
  <c r="L153" i="11"/>
  <c r="K92" i="11"/>
  <c r="L92" i="11" s="1"/>
  <c r="K98" i="11"/>
  <c r="K129" i="11"/>
  <c r="L129" i="11" s="1"/>
  <c r="N121" i="11"/>
  <c r="O121" i="11" s="1"/>
  <c r="N127" i="11"/>
  <c r="O127" i="11" s="1"/>
  <c r="O152" i="11"/>
  <c r="L152" i="11"/>
  <c r="K121" i="11"/>
  <c r="L121" i="11" s="1"/>
  <c r="N144" i="11"/>
  <c r="O144" i="11" s="1"/>
  <c r="L144" i="11"/>
  <c r="O151" i="11"/>
  <c r="L151" i="11"/>
  <c r="L164" i="7"/>
  <c r="L166" i="7" s="1"/>
  <c r="O150" i="11"/>
  <c r="L150" i="11"/>
  <c r="F12" i="15"/>
  <c r="E12" i="15"/>
  <c r="F17" i="13"/>
  <c r="O149" i="11"/>
  <c r="L149" i="11"/>
  <c r="O148" i="11"/>
  <c r="L148" i="11"/>
  <c r="O147" i="11"/>
  <c r="L147" i="11"/>
  <c r="O146" i="11"/>
  <c r="L146" i="11"/>
  <c r="O145" i="11"/>
  <c r="L145" i="11"/>
  <c r="M143" i="11"/>
  <c r="O143" i="11" s="1"/>
  <c r="J143" i="11"/>
  <c r="L143" i="11" s="1"/>
  <c r="O142" i="11"/>
  <c r="L142" i="11"/>
  <c r="O141" i="11"/>
  <c r="L141" i="11"/>
  <c r="O140" i="11"/>
  <c r="L140" i="11"/>
  <c r="K139" i="11"/>
  <c r="L139" i="11" s="1"/>
  <c r="O138" i="11"/>
  <c r="L138" i="11"/>
  <c r="N137" i="11"/>
  <c r="O137" i="11" s="1"/>
  <c r="K137" i="11"/>
  <c r="L137" i="11" s="1"/>
  <c r="N136" i="11"/>
  <c r="O136" i="11" s="1"/>
  <c r="K136" i="11"/>
  <c r="L136" i="11" s="1"/>
  <c r="O135" i="11"/>
  <c r="L135" i="11"/>
  <c r="O134" i="11"/>
  <c r="L134" i="11"/>
  <c r="N133" i="11"/>
  <c r="M133" i="11"/>
  <c r="K133" i="11"/>
  <c r="J133" i="11"/>
  <c r="N132" i="11"/>
  <c r="M132" i="11"/>
  <c r="O132" i="11" s="1"/>
  <c r="K132" i="11"/>
  <c r="J132" i="11"/>
  <c r="N131" i="11"/>
  <c r="O131" i="11" s="1"/>
  <c r="K131" i="11"/>
  <c r="L131" i="11" s="1"/>
  <c r="N130" i="11"/>
  <c r="O130" i="11" s="1"/>
  <c r="K130" i="11"/>
  <c r="L130" i="11" s="1"/>
  <c r="N129" i="11"/>
  <c r="O129" i="11" s="1"/>
  <c r="N128" i="11"/>
  <c r="O128" i="11" s="1"/>
  <c r="K128" i="11"/>
  <c r="L128" i="11" s="1"/>
  <c r="K127" i="11"/>
  <c r="L127" i="11" s="1"/>
  <c r="O126" i="11"/>
  <c r="L126" i="11"/>
  <c r="N125" i="11"/>
  <c r="O125" i="11" s="1"/>
  <c r="K125" i="11"/>
  <c r="J125" i="11"/>
  <c r="N124" i="11"/>
  <c r="O124" i="11" s="1"/>
  <c r="K124" i="11"/>
  <c r="L124" i="11" s="1"/>
  <c r="O123" i="11"/>
  <c r="K123" i="11"/>
  <c r="L123" i="11" s="1"/>
  <c r="N122" i="11"/>
  <c r="O122" i="11" s="1"/>
  <c r="K122" i="11"/>
  <c r="L122" i="11" s="1"/>
  <c r="O120" i="11"/>
  <c r="L120" i="11"/>
  <c r="N119" i="11"/>
  <c r="O119" i="11" s="1"/>
  <c r="K119" i="11"/>
  <c r="L119" i="11" s="1"/>
  <c r="O118" i="11"/>
  <c r="L118" i="11"/>
  <c r="N117" i="11"/>
  <c r="O117" i="11" s="1"/>
  <c r="K117" i="11"/>
  <c r="L117" i="11" s="1"/>
  <c r="N116" i="11"/>
  <c r="O116" i="11" s="1"/>
  <c r="K116" i="11"/>
  <c r="L116" i="11" s="1"/>
  <c r="O115" i="11"/>
  <c r="L115" i="11"/>
  <c r="N114" i="11"/>
  <c r="O114" i="11" s="1"/>
  <c r="K114" i="11"/>
  <c r="L114" i="11" s="1"/>
  <c r="M113" i="11"/>
  <c r="O113" i="11" s="1"/>
  <c r="L113" i="11"/>
  <c r="O112" i="11"/>
  <c r="L112" i="11"/>
  <c r="O111" i="11"/>
  <c r="L111" i="11"/>
  <c r="O110" i="11"/>
  <c r="L110" i="11"/>
  <c r="O109" i="11"/>
  <c r="L109" i="11"/>
  <c r="O108" i="11"/>
  <c r="L108" i="11"/>
  <c r="O107" i="11"/>
  <c r="K107" i="11"/>
  <c r="J107" i="11"/>
  <c r="N106" i="11"/>
  <c r="M106" i="11"/>
  <c r="K106" i="11"/>
  <c r="J106" i="11"/>
  <c r="O105" i="11"/>
  <c r="L105" i="11"/>
  <c r="O104" i="11"/>
  <c r="L104" i="11"/>
  <c r="O103" i="11"/>
  <c r="L103" i="11"/>
  <c r="N102" i="11"/>
  <c r="M102" i="11"/>
  <c r="J102" i="11"/>
  <c r="L102" i="11" s="1"/>
  <c r="M101" i="11"/>
  <c r="O101" i="11" s="1"/>
  <c r="J101" i="11"/>
  <c r="L101" i="11" s="1"/>
  <c r="N100" i="11"/>
  <c r="M100" i="11"/>
  <c r="K100" i="11"/>
  <c r="J100" i="11"/>
  <c r="N99" i="11"/>
  <c r="M99" i="11"/>
  <c r="K99" i="11"/>
  <c r="J99" i="11"/>
  <c r="N98" i="11"/>
  <c r="M98" i="11"/>
  <c r="J98" i="11"/>
  <c r="O97" i="11"/>
  <c r="L97" i="11"/>
  <c r="O96" i="11"/>
  <c r="L96" i="11"/>
  <c r="O95" i="11"/>
  <c r="L95" i="11"/>
  <c r="N94" i="11"/>
  <c r="M94" i="11"/>
  <c r="K94" i="11"/>
  <c r="J94" i="11"/>
  <c r="M93" i="11"/>
  <c r="O93" i="11" s="1"/>
  <c r="J93" i="11"/>
  <c r="L93" i="11" s="1"/>
  <c r="N92" i="11"/>
  <c r="M92" i="11"/>
  <c r="N91" i="11"/>
  <c r="M91" i="11"/>
  <c r="K91" i="11"/>
  <c r="J91" i="11"/>
  <c r="O90" i="11"/>
  <c r="L90" i="11"/>
  <c r="N89" i="11"/>
  <c r="O89" i="11" s="1"/>
  <c r="K89" i="11"/>
  <c r="L89" i="11" s="1"/>
  <c r="N88" i="11"/>
  <c r="M88" i="11"/>
  <c r="K88" i="11"/>
  <c r="J88" i="11"/>
  <c r="N87" i="11"/>
  <c r="O87" i="11" s="1"/>
  <c r="K87" i="11"/>
  <c r="L87" i="11" s="1"/>
  <c r="S86" i="11"/>
  <c r="O86" i="11"/>
  <c r="L86" i="11"/>
  <c r="N85" i="11"/>
  <c r="O85" i="11" s="1"/>
  <c r="K85" i="11"/>
  <c r="L85" i="11" s="1"/>
  <c r="O84" i="11"/>
  <c r="L84" i="11"/>
  <c r="N83" i="11"/>
  <c r="O83" i="11" s="1"/>
  <c r="K83" i="11"/>
  <c r="L83" i="11" s="1"/>
  <c r="O82" i="11"/>
  <c r="L82" i="11"/>
  <c r="N81" i="11"/>
  <c r="O81" i="11" s="1"/>
  <c r="K81" i="11"/>
  <c r="L81" i="11" s="1"/>
  <c r="N80" i="11"/>
  <c r="M80" i="11"/>
  <c r="K80" i="11"/>
  <c r="L80" i="11" s="1"/>
  <c r="N79" i="11"/>
  <c r="O79" i="11" s="1"/>
  <c r="K79" i="11"/>
  <c r="L79" i="11" s="1"/>
  <c r="N78" i="11"/>
  <c r="M78" i="11"/>
  <c r="K78" i="11"/>
  <c r="L78" i="11" s="1"/>
  <c r="O77" i="11"/>
  <c r="J77" i="11"/>
  <c r="L77" i="11" s="1"/>
  <c r="N76" i="11"/>
  <c r="O76" i="11" s="1"/>
  <c r="L76" i="11"/>
  <c r="O75" i="11"/>
  <c r="L75" i="11"/>
  <c r="O74" i="11"/>
  <c r="L74" i="11"/>
  <c r="N73" i="11"/>
  <c r="O73" i="11" s="1"/>
  <c r="K73" i="11"/>
  <c r="L73" i="11" s="1"/>
  <c r="N72" i="11"/>
  <c r="O72" i="11" s="1"/>
  <c r="K72" i="11"/>
  <c r="J72" i="11"/>
  <c r="M71" i="11"/>
  <c r="O71" i="11" s="1"/>
  <c r="L71" i="11"/>
  <c r="N70" i="11"/>
  <c r="O70" i="11" s="1"/>
  <c r="L70" i="11"/>
  <c r="O69" i="11"/>
  <c r="L69" i="11"/>
  <c r="O68" i="11"/>
  <c r="L68" i="11"/>
  <c r="N67" i="11"/>
  <c r="O67" i="11" s="1"/>
  <c r="L67" i="11"/>
  <c r="O66" i="11"/>
  <c r="L66" i="11"/>
  <c r="N65" i="11"/>
  <c r="O65" i="11" s="1"/>
  <c r="K65" i="11"/>
  <c r="L65" i="11" s="1"/>
  <c r="N64" i="11"/>
  <c r="O64" i="11" s="1"/>
  <c r="K64" i="11"/>
  <c r="L64" i="11" s="1"/>
  <c r="M63" i="11"/>
  <c r="O63" i="11" s="1"/>
  <c r="K63" i="11"/>
  <c r="J63" i="11"/>
  <c r="M62" i="11"/>
  <c r="O62" i="11" s="1"/>
  <c r="K62" i="11"/>
  <c r="J62" i="11"/>
  <c r="O61" i="11"/>
  <c r="K61" i="11"/>
  <c r="L61" i="11" s="1"/>
  <c r="N60" i="11"/>
  <c r="O60" i="11" s="1"/>
  <c r="L60" i="11"/>
  <c r="O59" i="11"/>
  <c r="L59" i="11"/>
  <c r="O58" i="11"/>
  <c r="L58" i="11"/>
  <c r="N57" i="11"/>
  <c r="M57" i="11"/>
  <c r="K57" i="11"/>
  <c r="L57" i="11" s="1"/>
  <c r="O56" i="11"/>
  <c r="L56" i="11"/>
  <c r="O55" i="11"/>
  <c r="L55" i="11"/>
  <c r="O54" i="11"/>
  <c r="L54" i="11"/>
  <c r="O53" i="11"/>
  <c r="L53" i="11"/>
  <c r="O52" i="11"/>
  <c r="J52" i="11"/>
  <c r="L52" i="11" s="1"/>
  <c r="O51" i="11"/>
  <c r="J51" i="11"/>
  <c r="L51" i="11" s="1"/>
  <c r="O50" i="11"/>
  <c r="L50" i="11"/>
  <c r="O49" i="11"/>
  <c r="L49" i="11"/>
  <c r="O48" i="11"/>
  <c r="K48" i="11"/>
  <c r="L48" i="11" s="1"/>
  <c r="O47" i="11"/>
  <c r="L47" i="11"/>
  <c r="O46" i="11"/>
  <c r="L46" i="11"/>
  <c r="N45" i="11"/>
  <c r="O45" i="11" s="1"/>
  <c r="L45" i="11"/>
  <c r="O44" i="11"/>
  <c r="L44" i="11"/>
  <c r="O43" i="11"/>
  <c r="L43" i="11"/>
  <c r="N42" i="11"/>
  <c r="O42" i="11" s="1"/>
  <c r="L42" i="11"/>
  <c r="L41" i="11"/>
  <c r="N40" i="11"/>
  <c r="O40" i="11" s="1"/>
  <c r="L40" i="11"/>
  <c r="N38" i="11"/>
  <c r="O38" i="11" s="1"/>
  <c r="L38" i="11"/>
  <c r="O37" i="11"/>
  <c r="K37" i="11"/>
  <c r="L37" i="11" s="1"/>
  <c r="O36" i="11"/>
  <c r="L36" i="11"/>
  <c r="N35" i="11"/>
  <c r="O35" i="11" s="1"/>
  <c r="K35" i="11"/>
  <c r="L35" i="11" s="1"/>
  <c r="N34" i="11"/>
  <c r="O34" i="11" s="1"/>
  <c r="K34" i="11"/>
  <c r="L34" i="11" s="1"/>
  <c r="M33" i="11"/>
  <c r="O33" i="11" s="1"/>
  <c r="K33" i="11"/>
  <c r="J33" i="11"/>
  <c r="O32" i="11"/>
  <c r="L32" i="11"/>
  <c r="N31" i="11"/>
  <c r="O31" i="11" s="1"/>
  <c r="K31" i="11"/>
  <c r="L31" i="11" s="1"/>
  <c r="N30" i="11"/>
  <c r="O30" i="11" s="1"/>
  <c r="L30" i="11"/>
  <c r="N29" i="11"/>
  <c r="O29" i="11" s="1"/>
  <c r="K29" i="11"/>
  <c r="L29" i="11" s="1"/>
  <c r="N28" i="11"/>
  <c r="O28" i="11" s="1"/>
  <c r="K28" i="11"/>
  <c r="L28" i="11" s="1"/>
  <c r="N27" i="11"/>
  <c r="O27" i="11" s="1"/>
  <c r="L27" i="11"/>
  <c r="N26" i="11"/>
  <c r="O26" i="11" s="1"/>
  <c r="L26" i="11"/>
  <c r="N25" i="11"/>
  <c r="O25" i="11" s="1"/>
  <c r="K25" i="11"/>
  <c r="J25" i="11"/>
  <c r="N24" i="11"/>
  <c r="O24" i="11" s="1"/>
  <c r="K24" i="11"/>
  <c r="L24" i="11" s="1"/>
  <c r="O23" i="11"/>
  <c r="K23" i="11"/>
  <c r="L23" i="11" s="1"/>
  <c r="N22" i="11"/>
  <c r="O22" i="11" s="1"/>
  <c r="K22" i="11"/>
  <c r="L22" i="11" s="1"/>
  <c r="M21" i="11"/>
  <c r="O21" i="11" s="1"/>
  <c r="J21" i="11"/>
  <c r="L21" i="11" s="1"/>
  <c r="N20" i="11"/>
  <c r="O20" i="11" s="1"/>
  <c r="L20" i="11"/>
  <c r="O19" i="11"/>
  <c r="L19" i="11"/>
  <c r="N18" i="11"/>
  <c r="O18" i="11" s="1"/>
  <c r="K18" i="11"/>
  <c r="L18" i="11" s="1"/>
  <c r="N16" i="11"/>
  <c r="O16" i="11" s="1"/>
  <c r="L16" i="11"/>
  <c r="M15" i="11"/>
  <c r="O15" i="11" s="1"/>
  <c r="J15" i="11"/>
  <c r="L15" i="11" s="1"/>
  <c r="M14" i="11"/>
  <c r="O14" i="11" s="1"/>
  <c r="J14" i="11"/>
  <c r="L14" i="11" s="1"/>
  <c r="O13" i="11"/>
  <c r="L13" i="11"/>
  <c r="O10" i="11"/>
  <c r="L10" i="11"/>
  <c r="N9" i="11"/>
  <c r="O9" i="11" s="1"/>
  <c r="K9" i="11"/>
  <c r="L9" i="11" s="1"/>
  <c r="O8" i="11"/>
  <c r="L8" i="11"/>
  <c r="O7" i="11"/>
  <c r="L7" i="11"/>
  <c r="O6" i="11"/>
  <c r="L6" i="11"/>
  <c r="O5" i="11"/>
  <c r="K5" i="11"/>
  <c r="L5" i="11" s="1"/>
  <c r="O4" i="11"/>
  <c r="L4" i="11"/>
  <c r="L494" i="6"/>
  <c r="H494" i="6"/>
  <c r="F494" i="6"/>
  <c r="B494" i="6"/>
  <c r="A494" i="6"/>
  <c r="I489" i="6"/>
  <c r="I488" i="6"/>
  <c r="I487" i="6"/>
  <c r="I486" i="6"/>
  <c r="I485" i="6"/>
  <c r="I484" i="6"/>
  <c r="I483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L460" i="6"/>
  <c r="H460" i="6"/>
  <c r="G460" i="6"/>
  <c r="F460" i="6"/>
  <c r="B460" i="6"/>
  <c r="A460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L438" i="6"/>
  <c r="H438" i="6"/>
  <c r="G438" i="6"/>
  <c r="I438" i="6" s="1"/>
  <c r="F438" i="6"/>
  <c r="B438" i="6"/>
  <c r="A438" i="6"/>
  <c r="M437" i="6"/>
  <c r="I437" i="6"/>
  <c r="M436" i="6"/>
  <c r="I436" i="6"/>
  <c r="M435" i="6"/>
  <c r="I435" i="6"/>
  <c r="M434" i="6"/>
  <c r="I434" i="6"/>
  <c r="M433" i="6"/>
  <c r="I433" i="6"/>
  <c r="M432" i="6"/>
  <c r="I432" i="6"/>
  <c r="M431" i="6"/>
  <c r="I431" i="6"/>
  <c r="M430" i="6"/>
  <c r="I430" i="6"/>
  <c r="M429" i="6"/>
  <c r="I429" i="6"/>
  <c r="M428" i="6"/>
  <c r="I428" i="6"/>
  <c r="M427" i="6"/>
  <c r="I427" i="6"/>
  <c r="H423" i="6"/>
  <c r="G423" i="6"/>
  <c r="F423" i="6"/>
  <c r="B423" i="6"/>
  <c r="A423" i="6"/>
  <c r="L421" i="6"/>
  <c r="I421" i="6"/>
  <c r="I420" i="6"/>
  <c r="I419" i="6"/>
  <c r="I418" i="6"/>
  <c r="I417" i="6"/>
  <c r="I416" i="6"/>
  <c r="I415" i="6"/>
  <c r="I414" i="6"/>
  <c r="I413" i="6"/>
  <c r="I412" i="6"/>
  <c r="I411" i="6"/>
  <c r="L410" i="6"/>
  <c r="I410" i="6"/>
  <c r="L409" i="6"/>
  <c r="I409" i="6"/>
  <c r="I408" i="6"/>
  <c r="I407" i="6"/>
  <c r="I406" i="6"/>
  <c r="I405" i="6"/>
  <c r="L404" i="6"/>
  <c r="I404" i="6"/>
  <c r="L403" i="6"/>
  <c r="I403" i="6"/>
  <c r="L402" i="6"/>
  <c r="I402" i="6"/>
  <c r="L401" i="6"/>
  <c r="I401" i="6"/>
  <c r="L400" i="6"/>
  <c r="I400" i="6"/>
  <c r="G396" i="6"/>
  <c r="L395" i="6"/>
  <c r="H395" i="6"/>
  <c r="G395" i="6"/>
  <c r="I395" i="6" s="1"/>
  <c r="F395" i="6"/>
  <c r="B395" i="6"/>
  <c r="A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L356" i="6"/>
  <c r="H356" i="6"/>
  <c r="G356" i="6"/>
  <c r="F356" i="6"/>
  <c r="B356" i="6"/>
  <c r="A356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H324" i="6"/>
  <c r="G324" i="6"/>
  <c r="F324" i="6"/>
  <c r="B324" i="6"/>
  <c r="A324" i="6"/>
  <c r="I321" i="6"/>
  <c r="I320" i="6"/>
  <c r="I319" i="6"/>
  <c r="L318" i="6"/>
  <c r="I318" i="6"/>
  <c r="I317" i="6"/>
  <c r="I316" i="6"/>
  <c r="I315" i="6"/>
  <c r="L314" i="6"/>
  <c r="I314" i="6"/>
  <c r="L313" i="6"/>
  <c r="I313" i="6"/>
  <c r="L312" i="6"/>
  <c r="I312" i="6"/>
  <c r="L311" i="6"/>
  <c r="I311" i="6"/>
  <c r="L310" i="6"/>
  <c r="I310" i="6"/>
  <c r="L309" i="6"/>
  <c r="I309" i="6"/>
  <c r="L308" i="6"/>
  <c r="I308" i="6"/>
  <c r="L307" i="6"/>
  <c r="I307" i="6"/>
  <c r="L306" i="6"/>
  <c r="I306" i="6"/>
  <c r="H303" i="6"/>
  <c r="G303" i="6"/>
  <c r="F303" i="6"/>
  <c r="B303" i="6"/>
  <c r="A303" i="6"/>
  <c r="L302" i="6"/>
  <c r="I302" i="6"/>
  <c r="L301" i="6"/>
  <c r="I301" i="6"/>
  <c r="L300" i="6"/>
  <c r="I300" i="6"/>
  <c r="L299" i="6"/>
  <c r="I299" i="6"/>
  <c r="L298" i="6"/>
  <c r="I298" i="6"/>
  <c r="L297" i="6"/>
  <c r="I297" i="6"/>
  <c r="L296" i="6"/>
  <c r="I296" i="6"/>
  <c r="L295" i="6"/>
  <c r="I295" i="6"/>
  <c r="L294" i="6"/>
  <c r="I294" i="6"/>
  <c r="L293" i="6"/>
  <c r="I293" i="6"/>
  <c r="L292" i="6"/>
  <c r="I292" i="6"/>
  <c r="L291" i="6"/>
  <c r="I291" i="6"/>
  <c r="L290" i="6"/>
  <c r="I290" i="6"/>
  <c r="L289" i="6"/>
  <c r="I289" i="6"/>
  <c r="L288" i="6"/>
  <c r="I288" i="6"/>
  <c r="L287" i="6"/>
  <c r="I287" i="6"/>
  <c r="L286" i="6"/>
  <c r="I286" i="6"/>
  <c r="L285" i="6"/>
  <c r="I285" i="6"/>
  <c r="L284" i="6"/>
  <c r="I284" i="6"/>
  <c r="L283" i="6"/>
  <c r="I283" i="6"/>
  <c r="L282" i="6"/>
  <c r="I282" i="6"/>
  <c r="L281" i="6"/>
  <c r="I281" i="6"/>
  <c r="L280" i="6"/>
  <c r="I280" i="6"/>
  <c r="L279" i="6"/>
  <c r="I279" i="6"/>
  <c r="L278" i="6"/>
  <c r="I278" i="6"/>
  <c r="L277" i="6"/>
  <c r="I277" i="6"/>
  <c r="M274" i="6"/>
  <c r="K274" i="6"/>
  <c r="H274" i="6"/>
  <c r="G274" i="6"/>
  <c r="F274" i="6"/>
  <c r="B274" i="6"/>
  <c r="A274" i="6"/>
  <c r="L271" i="6"/>
  <c r="I271" i="6"/>
  <c r="L270" i="6"/>
  <c r="I270" i="6"/>
  <c r="L269" i="6"/>
  <c r="I269" i="6"/>
  <c r="L268" i="6"/>
  <c r="I268" i="6"/>
  <c r="L267" i="6"/>
  <c r="I267" i="6"/>
  <c r="L266" i="6"/>
  <c r="I266" i="6"/>
  <c r="L265" i="6"/>
  <c r="I265" i="6"/>
  <c r="L264" i="6"/>
  <c r="I264" i="6"/>
  <c r="L263" i="6"/>
  <c r="I263" i="6"/>
  <c r="L262" i="6"/>
  <c r="I262" i="6"/>
  <c r="L261" i="6"/>
  <c r="I261" i="6"/>
  <c r="L260" i="6"/>
  <c r="I260" i="6"/>
  <c r="L259" i="6"/>
  <c r="I259" i="6"/>
  <c r="L258" i="6"/>
  <c r="I258" i="6"/>
  <c r="L257" i="6"/>
  <c r="I257" i="6"/>
  <c r="L256" i="6"/>
  <c r="I256" i="6"/>
  <c r="L255" i="6"/>
  <c r="I255" i="6"/>
  <c r="L254" i="6"/>
  <c r="I254" i="6"/>
  <c r="L253" i="6"/>
  <c r="I253" i="6"/>
  <c r="L252" i="6"/>
  <c r="I252" i="6"/>
  <c r="K250" i="6"/>
  <c r="H250" i="6"/>
  <c r="G250" i="6"/>
  <c r="A250" i="6"/>
  <c r="L248" i="6"/>
  <c r="I248" i="6"/>
  <c r="L247" i="6"/>
  <c r="I247" i="6"/>
  <c r="L246" i="6"/>
  <c r="I246" i="6"/>
  <c r="L245" i="6"/>
  <c r="I245" i="6"/>
  <c r="L244" i="6"/>
  <c r="I244" i="6"/>
  <c r="L243" i="6"/>
  <c r="I243" i="6"/>
  <c r="L242" i="6"/>
  <c r="I242" i="6"/>
  <c r="L241" i="6"/>
  <c r="I241" i="6"/>
  <c r="L240" i="6"/>
  <c r="I240" i="6"/>
  <c r="L239" i="6"/>
  <c r="I239" i="6"/>
  <c r="L238" i="6"/>
  <c r="I238" i="6"/>
  <c r="I237" i="6"/>
  <c r="I236" i="6"/>
  <c r="L235" i="6"/>
  <c r="I235" i="6"/>
  <c r="L234" i="6"/>
  <c r="I234" i="6"/>
  <c r="L233" i="6"/>
  <c r="I233" i="6"/>
  <c r="L232" i="6"/>
  <c r="I232" i="6"/>
  <c r="L231" i="6"/>
  <c r="I231" i="6"/>
  <c r="M228" i="6"/>
  <c r="K228" i="6"/>
  <c r="H228" i="6"/>
  <c r="G228" i="6"/>
  <c r="A228" i="6"/>
  <c r="L226" i="6"/>
  <c r="I226" i="6"/>
  <c r="L225" i="6"/>
  <c r="I225" i="6"/>
  <c r="L224" i="6"/>
  <c r="I224" i="6"/>
  <c r="I223" i="6"/>
  <c r="L222" i="6"/>
  <c r="I222" i="6"/>
  <c r="L221" i="6"/>
  <c r="I221" i="6"/>
  <c r="L220" i="6"/>
  <c r="I220" i="6"/>
  <c r="L219" i="6"/>
  <c r="I219" i="6"/>
  <c r="L218" i="6"/>
  <c r="I218" i="6"/>
  <c r="L217" i="6"/>
  <c r="I217" i="6"/>
  <c r="K214" i="6"/>
  <c r="L214" i="6" s="1"/>
  <c r="H214" i="6"/>
  <c r="G214" i="6"/>
  <c r="A214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78" i="6"/>
  <c r="I177" i="6"/>
  <c r="K175" i="6"/>
  <c r="J175" i="6"/>
  <c r="L175" i="6" s="1"/>
  <c r="H175" i="6"/>
  <c r="G175" i="6"/>
  <c r="I172" i="6"/>
  <c r="I171" i="6"/>
  <c r="I170" i="6"/>
  <c r="I169" i="6"/>
  <c r="I168" i="6"/>
  <c r="I167" i="6"/>
  <c r="M166" i="6"/>
  <c r="I166" i="6"/>
  <c r="I165" i="6"/>
  <c r="I164" i="6"/>
  <c r="I163" i="6"/>
  <c r="I162" i="6"/>
  <c r="K159" i="6"/>
  <c r="G159" i="6"/>
  <c r="I158" i="6"/>
  <c r="H158" i="6"/>
  <c r="J159" i="6" s="1"/>
  <c r="I157" i="6"/>
  <c r="I156" i="6"/>
  <c r="I155" i="6"/>
  <c r="I154" i="6"/>
  <c r="I153" i="6"/>
  <c r="H149" i="6"/>
  <c r="I148" i="6"/>
  <c r="I143" i="6"/>
  <c r="I142" i="6"/>
  <c r="I141" i="6"/>
  <c r="I140" i="6"/>
  <c r="I139" i="6"/>
  <c r="I138" i="6"/>
  <c r="I137" i="6"/>
  <c r="I136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H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M16" i="6"/>
  <c r="H1" i="6"/>
  <c r="K40" i="5"/>
  <c r="K39" i="5"/>
  <c r="I38" i="5"/>
  <c r="I37" i="5"/>
  <c r="I36" i="5"/>
  <c r="N25" i="5"/>
  <c r="K14" i="5"/>
  <c r="K12" i="5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E16" i="2"/>
  <c r="D16" i="2"/>
  <c r="C16" i="2"/>
  <c r="B16" i="2"/>
  <c r="W8" i="2"/>
  <c r="M8" i="2"/>
  <c r="P8" i="2" s="1"/>
  <c r="Q8" i="2" s="1"/>
  <c r="M7" i="2"/>
  <c r="P7" i="2" s="1"/>
  <c r="Q7" i="2" s="1"/>
  <c r="M6" i="2"/>
  <c r="P6" i="2" s="1"/>
  <c r="Q6" i="2" s="1"/>
  <c r="M5" i="2"/>
  <c r="P5" i="2" s="1"/>
  <c r="Q5" i="2" s="1"/>
  <c r="A394" i="1"/>
  <c r="A393" i="1"/>
  <c r="A392" i="1"/>
  <c r="A391" i="1"/>
  <c r="A390" i="1"/>
  <c r="A389" i="1"/>
  <c r="A388" i="1"/>
  <c r="A387" i="1"/>
  <c r="A386" i="1"/>
  <c r="A385" i="1"/>
  <c r="A384" i="1"/>
  <c r="E377" i="1"/>
  <c r="E376" i="1"/>
  <c r="E365" i="1"/>
  <c r="D364" i="1"/>
  <c r="D2" i="1" s="1"/>
  <c r="F352" i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A349" i="1"/>
  <c r="A348" i="1"/>
  <c r="G323" i="1"/>
  <c r="G321" i="1"/>
  <c r="G306" i="1"/>
  <c r="E301" i="1"/>
  <c r="F276" i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D237" i="1"/>
  <c r="G224" i="1"/>
  <c r="G195" i="1"/>
  <c r="G193" i="1"/>
  <c r="G187" i="1"/>
  <c r="G177" i="1"/>
  <c r="H160" i="1"/>
  <c r="F156" i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H154" i="1"/>
  <c r="D132" i="1"/>
  <c r="G105" i="1"/>
  <c r="G42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G4" i="1"/>
  <c r="E3" i="1"/>
  <c r="D3" i="1"/>
  <c r="C3" i="1"/>
  <c r="E2" i="1"/>
  <c r="C2" i="1"/>
  <c r="O80" i="11" l="1"/>
  <c r="L228" i="6"/>
  <c r="M438" i="6"/>
  <c r="E4" i="1"/>
  <c r="E5" i="1"/>
  <c r="C4" i="1"/>
  <c r="L303" i="6"/>
  <c r="N303" i="6" s="1"/>
  <c r="I356" i="6"/>
  <c r="J356" i="6" s="1"/>
  <c r="K356" i="6" s="1"/>
  <c r="I423" i="6"/>
  <c r="J423" i="6" s="1"/>
  <c r="K423" i="6" s="1"/>
  <c r="J494" i="6"/>
  <c r="K494" i="6" s="1"/>
  <c r="M494" i="6" s="1"/>
  <c r="I175" i="6"/>
  <c r="J214" i="6"/>
  <c r="L250" i="6"/>
  <c r="I303" i="6"/>
  <c r="F325" i="6"/>
  <c r="H159" i="6"/>
  <c r="I159" i="6" s="1"/>
  <c r="I274" i="6"/>
  <c r="J274" i="6"/>
  <c r="I460" i="6"/>
  <c r="D4" i="1"/>
  <c r="F4" i="1" s="1"/>
  <c r="H4" i="1" s="1"/>
  <c r="L324" i="6"/>
  <c r="J324" i="6"/>
  <c r="J395" i="6"/>
  <c r="K395" i="6" s="1"/>
  <c r="F424" i="6"/>
  <c r="J460" i="6"/>
  <c r="K460" i="6" s="1"/>
  <c r="M460" i="6" s="1"/>
  <c r="L423" i="6"/>
  <c r="M401" i="6"/>
  <c r="M423" i="6" s="1"/>
  <c r="I214" i="6"/>
  <c r="I250" i="6"/>
  <c r="L274" i="6"/>
  <c r="F396" i="6"/>
  <c r="F364" i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O133" i="11"/>
  <c r="L25" i="11"/>
  <c r="L33" i="11"/>
  <c r="O88" i="11"/>
  <c r="L100" i="11"/>
  <c r="L62" i="11"/>
  <c r="O78" i="11"/>
  <c r="L133" i="11"/>
  <c r="O92" i="11"/>
  <c r="L94" i="11"/>
  <c r="O100" i="11"/>
  <c r="L125" i="11"/>
  <c r="O91" i="11"/>
  <c r="L99" i="11"/>
  <c r="O102" i="11"/>
  <c r="L106" i="11"/>
  <c r="L107" i="11"/>
  <c r="L63" i="11"/>
  <c r="L72" i="11"/>
  <c r="L88" i="11"/>
  <c r="L91" i="11"/>
  <c r="O98" i="11"/>
  <c r="O57" i="11"/>
  <c r="O99" i="11"/>
  <c r="O94" i="11"/>
  <c r="O106" i="11"/>
  <c r="L132" i="11"/>
  <c r="L98" i="11"/>
  <c r="F307" i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H306" i="1"/>
  <c r="F178" i="1"/>
  <c r="F179" i="1" s="1"/>
  <c r="F180" i="1" s="1"/>
  <c r="F181" i="1" s="1"/>
  <c r="F182" i="1" s="1"/>
  <c r="F183" i="1" s="1"/>
  <c r="F184" i="1" s="1"/>
  <c r="F185" i="1" s="1"/>
  <c r="F186" i="1" s="1"/>
  <c r="F187" i="1" s="1"/>
  <c r="H177" i="1"/>
  <c r="F106" i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H105" i="1"/>
  <c r="D5" i="1"/>
  <c r="J250" i="6"/>
  <c r="I228" i="6"/>
  <c r="J228" i="6" s="1"/>
  <c r="J303" i="6"/>
  <c r="I324" i="6"/>
  <c r="J438" i="6"/>
  <c r="K438" i="6" s="1"/>
  <c r="G494" i="6"/>
  <c r="I494" i="6" s="1"/>
  <c r="O2" i="11" l="1"/>
  <c r="L2" i="11"/>
  <c r="K324" i="6"/>
  <c r="F188" i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H187" i="1"/>
  <c r="H321" i="1"/>
  <c r="F322" i="1"/>
  <c r="F323" i="1" s="1"/>
  <c r="P2" i="11" l="1"/>
  <c r="H323" i="1"/>
  <c r="F324" i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N1" i="3" l="1"/>
  <c r="H6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ID#AAAAW_Mcqvk
shubham    (2022-03-18 06:08:10)
mismatch data</t>
        </r>
      </text>
    </comment>
    <comment ref="L17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ID#AAAAW_Mcqvg
comport    (2022-03-18 06:08:10)
call to Lakhinder
7070896026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+eBo0d5kdDm2l+3tl4OEOb6Vkg=="/>
    </ext>
  </extLst>
</comments>
</file>

<file path=xl/sharedStrings.xml><?xml version="1.0" encoding="utf-8"?>
<sst xmlns="http://schemas.openxmlformats.org/spreadsheetml/2006/main" count="25678" uniqueCount="14937">
  <si>
    <t>P</t>
  </si>
  <si>
    <t>N</t>
  </si>
  <si>
    <t>C</t>
  </si>
  <si>
    <t>B</t>
  </si>
  <si>
    <t>IN</t>
  </si>
  <si>
    <t>OUT</t>
  </si>
  <si>
    <t>Cash</t>
  </si>
  <si>
    <t>bank</t>
  </si>
  <si>
    <t>bal</t>
  </si>
  <si>
    <t>BAL</t>
  </si>
  <si>
    <t>Date</t>
  </si>
  <si>
    <t>Head</t>
  </si>
  <si>
    <t>Particulars</t>
  </si>
  <si>
    <t>in</t>
  </si>
  <si>
    <t>out</t>
  </si>
  <si>
    <t>total</t>
  </si>
  <si>
    <t>Opening</t>
  </si>
  <si>
    <t>Kaspersky</t>
  </si>
  <si>
    <t>160 pata Hdd, smps &amp; iball modem</t>
  </si>
  <si>
    <t xml:space="preserve">Headphone Iball </t>
  </si>
  <si>
    <t>laptop Service</t>
  </si>
  <si>
    <t>usb extension</t>
  </si>
  <si>
    <t>recharge</t>
  </si>
  <si>
    <t>recpt</t>
  </si>
  <si>
    <t>Internet renewal quick heal</t>
  </si>
  <si>
    <t>Mouse usb iball</t>
  </si>
  <si>
    <t>petrol</t>
  </si>
  <si>
    <t>medicine</t>
  </si>
  <si>
    <t>Ration</t>
  </si>
  <si>
    <t>gungun</t>
  </si>
  <si>
    <t>chd</t>
  </si>
  <si>
    <t>hdfc</t>
  </si>
  <si>
    <t>Iball Modem Adsl2</t>
  </si>
  <si>
    <t>Ink Refil Black injet</t>
  </si>
  <si>
    <t>Toner 88a Rathi</t>
  </si>
  <si>
    <t>Milk</t>
  </si>
  <si>
    <t>Mummy</t>
  </si>
  <si>
    <t>Eating</t>
  </si>
  <si>
    <t>Smps Zeb</t>
  </si>
  <si>
    <t>Game Pad Zeb</t>
  </si>
  <si>
    <t>Iball Mouse</t>
  </si>
  <si>
    <t xml:space="preserve">Roner Refil </t>
  </si>
  <si>
    <t>Shubham Bank</t>
  </si>
  <si>
    <t>Service windows 10</t>
  </si>
  <si>
    <t>Pur: adapter</t>
  </si>
  <si>
    <t>Sale: adapter</t>
  </si>
  <si>
    <t>RECPT</t>
  </si>
  <si>
    <t>Kb 400 usb iball</t>
  </si>
  <si>
    <t>Mouse w/l Iball</t>
  </si>
  <si>
    <t>Iball Speaker 2.1 Mini Tower</t>
  </si>
  <si>
    <t>Card Reader + 2:2 Cable</t>
  </si>
  <si>
    <t>Petrol</t>
  </si>
  <si>
    <t>Sale:1259</t>
  </si>
  <si>
    <t>pay: pushpa</t>
  </si>
  <si>
    <t>sale: hp678+card reader</t>
  </si>
  <si>
    <t>market</t>
  </si>
  <si>
    <t>Service Printer</t>
  </si>
  <si>
    <t>Iball kb iball usb</t>
  </si>
  <si>
    <t>Service Pc xp</t>
  </si>
  <si>
    <t>Service ups</t>
  </si>
  <si>
    <t>paper</t>
  </si>
  <si>
    <t>digital paper</t>
  </si>
  <si>
    <t>tour to bhilai</t>
  </si>
  <si>
    <t>Sale: IT</t>
  </si>
  <si>
    <t>Sale: qui pro</t>
  </si>
  <si>
    <t>Sale return</t>
  </si>
  <si>
    <t>Sale:12v1A</t>
  </si>
  <si>
    <t>service</t>
  </si>
  <si>
    <t>rent</t>
  </si>
  <si>
    <t>id pouch</t>
  </si>
  <si>
    <t>photo paper</t>
  </si>
  <si>
    <t>Sale: Lap power cable</t>
  </si>
  <si>
    <t>loan paid to rina</t>
  </si>
  <si>
    <t>School fee</t>
  </si>
  <si>
    <t>Sale: usb extention</t>
  </si>
  <si>
    <t>photo lamination</t>
  </si>
  <si>
    <t>Sale: hdmi cable</t>
  </si>
  <si>
    <t>Sale: type 2 modem</t>
  </si>
  <si>
    <t>Sale: santosh jha</t>
  </si>
  <si>
    <t>Sale: power cable</t>
  </si>
  <si>
    <t>Sale: style 06</t>
  </si>
  <si>
    <t>cc a/c</t>
  </si>
  <si>
    <t>Sale: card reader c24</t>
  </si>
  <si>
    <t>Advance: HDMI cable 10</t>
  </si>
  <si>
    <t>Sale: sandisk mem + adapter</t>
  </si>
  <si>
    <t>Pur: adapter 12v5a,5V2a</t>
  </si>
  <si>
    <t>Sale: wifi dongle</t>
  </si>
  <si>
    <t>personal</t>
  </si>
  <si>
    <t>Sale: speaker+4gb memory</t>
  </si>
  <si>
    <t>Sale: 16 gb memory</t>
  </si>
  <si>
    <t>Sale: hdmi cable 10mtr</t>
  </si>
  <si>
    <t>electric bill collection</t>
  </si>
  <si>
    <t>Bank self</t>
  </si>
  <si>
    <t>Sale:winner ps2</t>
  </si>
  <si>
    <t>Pur: adapter 5*90</t>
  </si>
  <si>
    <t>Sale:hdmi 3 mtr</t>
  </si>
  <si>
    <t>Sale: adapters(dlink+5V2A)</t>
  </si>
  <si>
    <t>Sale: type 2 modem single</t>
  </si>
  <si>
    <t>bank payment</t>
  </si>
  <si>
    <t>sale: sandisk 8gb</t>
  </si>
  <si>
    <t>machine loan</t>
  </si>
  <si>
    <t>Sale: colt3+ usb</t>
  </si>
  <si>
    <t>Sale: lil bomb</t>
  </si>
  <si>
    <t>Sale: npav</t>
  </si>
  <si>
    <t>formate</t>
  </si>
  <si>
    <t>sale: guardian</t>
  </si>
  <si>
    <t>Sale: card reader 34R</t>
  </si>
  <si>
    <t>Paper</t>
  </si>
  <si>
    <t>stpler pin</t>
  </si>
  <si>
    <t>Cello tape</t>
  </si>
  <si>
    <t>toner</t>
  </si>
  <si>
    <t>advance: cart</t>
  </si>
  <si>
    <t>Cash IN hand</t>
  </si>
  <si>
    <t>Purchase: 745 &amp; 746</t>
  </si>
  <si>
    <t>Sn Payment</t>
  </si>
  <si>
    <t>shukla jee</t>
  </si>
  <si>
    <t>Sale: usb hub iball</t>
  </si>
  <si>
    <t>C`</t>
  </si>
  <si>
    <t>Sale:npav</t>
  </si>
  <si>
    <t>shubham</t>
  </si>
  <si>
    <t>ishtvriti deposite</t>
  </si>
  <si>
    <t>SALE: USB TO AUDIO</t>
  </si>
  <si>
    <t>Sale: IT 2570(2102313425150700290)</t>
  </si>
  <si>
    <t>Serviec=mouse</t>
  </si>
  <si>
    <t>Sale: qh pro</t>
  </si>
  <si>
    <t>Sale:745/746 cart due</t>
  </si>
  <si>
    <t>sale:usb extention</t>
  </si>
  <si>
    <t>Sale: ddr2-1gb</t>
  </si>
  <si>
    <t>Hdfc</t>
  </si>
  <si>
    <t>Sale: 16 memory</t>
  </si>
  <si>
    <t>n</t>
  </si>
  <si>
    <t>Npav</t>
  </si>
  <si>
    <t>HDFC</t>
  </si>
  <si>
    <t>Sale: old monitor</t>
  </si>
  <si>
    <t>Sale:Prodot 88 cart</t>
  </si>
  <si>
    <t>Pur: old PC</t>
  </si>
  <si>
    <t>sohan</t>
  </si>
  <si>
    <t>puspa</t>
  </si>
  <si>
    <t>Sale:sandisk 8gb</t>
  </si>
  <si>
    <t>p</t>
  </si>
  <si>
    <t>MARKETING</t>
  </si>
  <si>
    <t>Pebdrive 8 gb sandisk</t>
  </si>
  <si>
    <t>Iball tv Tuner</t>
  </si>
  <si>
    <t>628 Color hp</t>
  </si>
  <si>
    <t>Mouse Zeb usb</t>
  </si>
  <si>
    <t>Quick heal Anti</t>
  </si>
  <si>
    <t>Servicing Xp + Windows 7</t>
  </si>
  <si>
    <t>File</t>
  </si>
  <si>
    <t>Photo paper</t>
  </si>
  <si>
    <t>Toner refill</t>
  </si>
  <si>
    <t>sale:prodot mouse+usb ext</t>
  </si>
  <si>
    <t>vestige</t>
  </si>
  <si>
    <t>Sale: speaker 2650</t>
  </si>
  <si>
    <t>smps:zeb</t>
  </si>
  <si>
    <t>DC connector Camera</t>
  </si>
  <si>
    <t>spkr: terabyte usb</t>
  </si>
  <si>
    <t>RENT</t>
  </si>
  <si>
    <t>Sale: adapter 12V1A</t>
  </si>
  <si>
    <t>mani ranjan</t>
  </si>
  <si>
    <t>cfund</t>
  </si>
  <si>
    <t>Sale:terabyte mouse</t>
  </si>
  <si>
    <t>12 toner</t>
  </si>
  <si>
    <t>Sale</t>
  </si>
  <si>
    <t>Sale:smps (vinit</t>
  </si>
  <si>
    <t>Sale: prodot moue</t>
  </si>
  <si>
    <t>Sale: mouse+kb prodot</t>
  </si>
  <si>
    <t>legal paper</t>
  </si>
  <si>
    <t>file</t>
  </si>
  <si>
    <t>opc drum+blade</t>
  </si>
  <si>
    <t>Sale: smps+dvdwriter</t>
  </si>
  <si>
    <t>ration</t>
  </si>
  <si>
    <t>Sale: zeb headphone`</t>
  </si>
  <si>
    <t>Sale: w/l mouse zeb+wifi dong150</t>
  </si>
  <si>
    <t>dvd</t>
  </si>
  <si>
    <t>cd</t>
  </si>
  <si>
    <t>Pancard pay</t>
  </si>
  <si>
    <t>Sale: qh total</t>
  </si>
  <si>
    <t>Machine loan</t>
  </si>
  <si>
    <t>Kb iball usb</t>
  </si>
  <si>
    <t>c</t>
  </si>
  <si>
    <t xml:space="preserve">PENDRIVE MOSERBEAR 8GB </t>
  </si>
  <si>
    <t>Sale: lap adapter</t>
  </si>
  <si>
    <t>Sale: moues</t>
  </si>
  <si>
    <t>OPENING</t>
  </si>
  <si>
    <t>lam 9"</t>
  </si>
  <si>
    <t>envelop</t>
  </si>
  <si>
    <t>spiral sheet</t>
  </si>
  <si>
    <t>Sale: q heal pro</t>
  </si>
  <si>
    <t>flojet ink</t>
  </si>
  <si>
    <t>Kaspersk Internet Security</t>
  </si>
  <si>
    <t>prodot keyboard</t>
  </si>
  <si>
    <t>Sale: LPA-64A</t>
  </si>
  <si>
    <t>SERVICE</t>
  </si>
  <si>
    <t>power cable</t>
  </si>
  <si>
    <t>2:1 cable</t>
  </si>
  <si>
    <t>Battery</t>
  </si>
  <si>
    <t>Service</t>
  </si>
  <si>
    <t>Toshiba 1tb HDD laptop</t>
  </si>
  <si>
    <t>Keyboard usb prodot</t>
  </si>
  <si>
    <t>Serive &amp; 2:1 cable</t>
  </si>
  <si>
    <t>Sale: winner kb</t>
  </si>
  <si>
    <t>ishtvrity</t>
  </si>
  <si>
    <t>SAVING A/C (SHUBHAM FEE)</t>
  </si>
  <si>
    <t>Sale: guardian net</t>
  </si>
  <si>
    <t>battery purchase</t>
  </si>
  <si>
    <t>Guardian</t>
  </si>
  <si>
    <t>Iball modem 7.2</t>
  </si>
  <si>
    <t>Mouse prodot usb</t>
  </si>
  <si>
    <t>Iball USB W/l Mouse</t>
  </si>
  <si>
    <t>Zebronic USB to audio</t>
  </si>
  <si>
    <t>marketing</t>
  </si>
  <si>
    <t>iball usb KB Winner</t>
  </si>
  <si>
    <t xml:space="preserve">818b card Hp </t>
  </si>
  <si>
    <t>vga cable</t>
  </si>
  <si>
    <t>Personal</t>
  </si>
  <si>
    <t>battery</t>
  </si>
  <si>
    <t>shubham medicine</t>
  </si>
  <si>
    <t>Shubham recharge</t>
  </si>
  <si>
    <t>Sale:NPAV</t>
  </si>
  <si>
    <t>Sale:mboard</t>
  </si>
  <si>
    <t>sale: mosebear 32 pd</t>
  </si>
  <si>
    <t>sale: msd 16 gb trans</t>
  </si>
  <si>
    <t>ren t</t>
  </si>
  <si>
    <t>Sale: hdmi 1.5</t>
  </si>
  <si>
    <t>Sale: mouse zeb</t>
  </si>
  <si>
    <t>Sale: 12V1A</t>
  </si>
  <si>
    <t>opening</t>
  </si>
  <si>
    <t>collection</t>
  </si>
  <si>
    <t>mouse</t>
  </si>
  <si>
    <t>photo print</t>
  </si>
  <si>
    <t>mouse+sandisk32</t>
  </si>
  <si>
    <t>due paid to Hot Spot</t>
  </si>
  <si>
    <t>sale: samsung mem 16gb</t>
  </si>
  <si>
    <t>keyguard</t>
  </si>
  <si>
    <t>personale</t>
  </si>
  <si>
    <t>banking</t>
  </si>
  <si>
    <t>SALE: LILBOM</t>
  </si>
  <si>
    <t>salary:pampa</t>
  </si>
  <si>
    <t>PAPER</t>
  </si>
  <si>
    <t>STATIONARY</t>
  </si>
  <si>
    <t>Tab installment</t>
  </si>
  <si>
    <t>SATSANG</t>
  </si>
  <si>
    <t>salary:gorai</t>
  </si>
  <si>
    <t>Sale:self(rationing)</t>
  </si>
  <si>
    <t>cup</t>
  </si>
  <si>
    <t>photo</t>
  </si>
  <si>
    <t>pcable</t>
  </si>
  <si>
    <t>DC</t>
  </si>
  <si>
    <t>I3</t>
  </si>
  <si>
    <t>PHOTOS</t>
  </si>
  <si>
    <t>pdate</t>
  </si>
  <si>
    <t>model</t>
  </si>
  <si>
    <t>cdate</t>
  </si>
  <si>
    <t>cost</t>
  </si>
  <si>
    <t>mod</t>
  </si>
  <si>
    <t>cab</t>
  </si>
  <si>
    <t>SW 3490</t>
  </si>
  <si>
    <t>cpu</t>
  </si>
  <si>
    <t>dc 4th</t>
  </si>
  <si>
    <t>IT KILLER</t>
  </si>
  <si>
    <t>mbod</t>
  </si>
  <si>
    <t>gigabyte</t>
  </si>
  <si>
    <t>IT 2580</t>
  </si>
  <si>
    <t>ram</t>
  </si>
  <si>
    <t>BT 3430</t>
  </si>
  <si>
    <t>hdd</t>
  </si>
  <si>
    <t>500 gb</t>
  </si>
  <si>
    <t>sam</t>
  </si>
  <si>
    <t>kb</t>
  </si>
  <si>
    <t>mou</t>
  </si>
  <si>
    <t>monitor</t>
  </si>
  <si>
    <t>ups</t>
  </si>
  <si>
    <t>coupon</t>
  </si>
  <si>
    <t>name</t>
  </si>
  <si>
    <t>dob</t>
  </si>
  <si>
    <t>applied</t>
  </si>
  <si>
    <t>upload</t>
  </si>
  <si>
    <t>PAN NO</t>
  </si>
  <si>
    <t>Dispatch</t>
  </si>
  <si>
    <t>Email</t>
  </si>
  <si>
    <t>mob</t>
  </si>
  <si>
    <t>Y</t>
  </si>
  <si>
    <t>029229700118920</t>
  </si>
  <si>
    <t>BISHWANATH GORAI</t>
  </si>
  <si>
    <t>SATISH GORAI</t>
  </si>
  <si>
    <t>BTYPG3460J</t>
  </si>
  <si>
    <t xml:space="preserve">First Flight Couriers </t>
  </si>
  <si>
    <t>B99122262300</t>
  </si>
  <si>
    <t>029229700118953</t>
  </si>
  <si>
    <t>PRIYANKA PANDEY</t>
  </si>
  <si>
    <t>DAAPP7029D</t>
  </si>
  <si>
    <t>B991Z2262302</t>
  </si>
  <si>
    <t>029229700118942</t>
  </si>
  <si>
    <t>PANKAJ GORAI</t>
  </si>
  <si>
    <t>BTYPG3451M</t>
  </si>
  <si>
    <t>B991Z2262301</t>
  </si>
  <si>
    <t>029229700132802</t>
  </si>
  <si>
    <t>Sarita Pandey</t>
  </si>
  <si>
    <t>DDYPP3192N</t>
  </si>
  <si>
    <t>FIRST FLIGHT</t>
  </si>
  <si>
    <t>B90304429400</t>
  </si>
  <si>
    <t>rcpt given</t>
  </si>
  <si>
    <t>029229700132780</t>
  </si>
  <si>
    <t>Salma Khatoon</t>
  </si>
  <si>
    <t>ELXPK7471M</t>
  </si>
  <si>
    <t>B90304429398</t>
  </si>
  <si>
    <t>Imran Akhtar</t>
  </si>
  <si>
    <t>029229700133141</t>
  </si>
  <si>
    <t>Mohammad DILSAD ALAM</t>
  </si>
  <si>
    <t>withheld</t>
  </si>
  <si>
    <t>029229700133642</t>
  </si>
  <si>
    <t>JASPAL SINGH</t>
  </si>
  <si>
    <t>GXYPS9701M</t>
  </si>
  <si>
    <t>B90304843675</t>
  </si>
  <si>
    <t>FIRST FLIGH</t>
  </si>
  <si>
    <t>A001148505</t>
  </si>
  <si>
    <t>SHAHNAZ BEGUM</t>
  </si>
  <si>
    <t>CMVPB9372H</t>
  </si>
  <si>
    <t>Q000107137</t>
  </si>
  <si>
    <t>NAND KISHORE BHAGAT</t>
  </si>
  <si>
    <t>ABCPB1685P</t>
  </si>
  <si>
    <t>COURIER</t>
  </si>
  <si>
    <t>A001199495</t>
  </si>
  <si>
    <t>ABDHESH KUMAR SINGH</t>
  </si>
  <si>
    <t>JAY PRAKASH SINGH</t>
  </si>
  <si>
    <t>HBNPS7491L</t>
  </si>
  <si>
    <t>A001199281</t>
  </si>
  <si>
    <t>ASMANJ MAHATO</t>
  </si>
  <si>
    <t>DHIRENDRA NATH MAHATO</t>
  </si>
  <si>
    <t>DFGPM4264C</t>
  </si>
  <si>
    <t>A001199375</t>
  </si>
  <si>
    <t>RAJ KUMAR GOSWAMI</t>
  </si>
  <si>
    <t>JITENDRA NATH GOSWAMI</t>
  </si>
  <si>
    <t>BXHPG5367F</t>
  </si>
  <si>
    <t>A001210886</t>
  </si>
  <si>
    <t>NUTAN DEVI</t>
  </si>
  <si>
    <t>KAUSHAL DUBEY</t>
  </si>
  <si>
    <t>CQGPD2670H</t>
  </si>
  <si>
    <t>15/10/2016</t>
  </si>
  <si>
    <t>Q000132284</t>
  </si>
  <si>
    <t>KUMARI SONY</t>
  </si>
  <si>
    <t>GIRIDHAR PRASAD</t>
  </si>
  <si>
    <t>Dispatched</t>
  </si>
  <si>
    <t>21/10/2016</t>
  </si>
  <si>
    <t>029229700138026</t>
  </si>
  <si>
    <t>Aman kumar</t>
  </si>
  <si>
    <t>EPKPK7901D</t>
  </si>
  <si>
    <t>10-Oct-2016.</t>
  </si>
  <si>
    <t>029229700138085</t>
  </si>
  <si>
    <t>Kartik Kumar</t>
  </si>
  <si>
    <t>EPKPK7899A</t>
  </si>
  <si>
    <t>EA427675339IN</t>
  </si>
  <si>
    <t>881060182146384</t>
  </si>
  <si>
    <t>Neha Kumari</t>
  </si>
  <si>
    <t>GJFPK8645K</t>
  </si>
  <si>
    <t>B903Z2978582,</t>
  </si>
  <si>
    <t>881060182151870</t>
  </si>
  <si>
    <t>Moni Kumari Verma</t>
  </si>
  <si>
    <t>BJDPV0846C</t>
  </si>
  <si>
    <t>B903Z2978596</t>
  </si>
  <si>
    <t>881060182272793</t>
  </si>
  <si>
    <t>Sampuniman</t>
  </si>
  <si>
    <t>JGIPS5936Q</t>
  </si>
  <si>
    <t xml:space="preserve">B903Z2978708, </t>
  </si>
  <si>
    <t>881060226167962</t>
  </si>
  <si>
    <t>Akash Badhuk</t>
  </si>
  <si>
    <t>OBJECTION</t>
  </si>
  <si>
    <t>881060182399095</t>
  </si>
  <si>
    <t>Ita Samajder</t>
  </si>
  <si>
    <t>JGHPS4185Q</t>
  </si>
  <si>
    <t>27-Nov-2017.</t>
  </si>
  <si>
    <t>EA896810826IN,</t>
  </si>
  <si>
    <t>881060226185731</t>
  </si>
  <si>
    <t>MOHAMMED MOAZZAM ALAM</t>
  </si>
  <si>
    <t>881060226195273</t>
  </si>
  <si>
    <t>Tuhina Sarkar</t>
  </si>
  <si>
    <t>881060182879612</t>
  </si>
  <si>
    <t>Nuna Devi</t>
  </si>
  <si>
    <t>DZGPD0206K</t>
  </si>
  <si>
    <t>B903Z3013275</t>
  </si>
  <si>
    <t>881060226219224</t>
  </si>
  <si>
    <t>Bimla Dwivedy</t>
  </si>
  <si>
    <t>BOGPD5774M</t>
  </si>
  <si>
    <t>05-Dec-2017.</t>
  </si>
  <si>
    <t>EA329662105IN</t>
  </si>
  <si>
    <t>881060183127353</t>
  </si>
  <si>
    <t>Nazibul Haque</t>
  </si>
  <si>
    <t>20/10/1980</t>
  </si>
  <si>
    <t>AVHPH0620B</t>
  </si>
  <si>
    <t>B903Z3022860,</t>
  </si>
  <si>
    <t>881060183127994</t>
  </si>
  <si>
    <t>Alima Khatun</t>
  </si>
  <si>
    <t>GKCPK6766F</t>
  </si>
  <si>
    <t>B903Z1988378</t>
  </si>
  <si>
    <t>881060183184156</t>
  </si>
  <si>
    <t>Muslima Khatun</t>
  </si>
  <si>
    <t>GJWPK9852D</t>
  </si>
  <si>
    <t>03-Dec-2017.</t>
  </si>
  <si>
    <t>B903Z1964104</t>
  </si>
  <si>
    <t>881060183648680</t>
  </si>
  <si>
    <t>Vidyawati Chandra</t>
  </si>
  <si>
    <t>BRMPC9547E</t>
  </si>
  <si>
    <t>B903Z1965262,</t>
  </si>
  <si>
    <t>881060183648153</t>
  </si>
  <si>
    <t>Pramita Devi</t>
  </si>
  <si>
    <t>DZMPD9064F</t>
  </si>
  <si>
    <t>EA328323335IN</t>
  </si>
  <si>
    <t>881060226261165</t>
  </si>
  <si>
    <t>Anil Kumar Pandey</t>
  </si>
  <si>
    <t>UNDER PROCESS</t>
  </si>
  <si>
    <t>881060184317670</t>
  </si>
  <si>
    <t>Shatrughan Mahato</t>
  </si>
  <si>
    <t>EGMPM9333L</t>
  </si>
  <si>
    <t>B903Z2060886</t>
  </si>
  <si>
    <t>881060184493775</t>
  </si>
  <si>
    <t>PRAMILA SINGH</t>
  </si>
  <si>
    <t>JIFPS5249F</t>
  </si>
  <si>
    <t>B903Z2060932</t>
  </si>
  <si>
    <t>881060226304731</t>
  </si>
  <si>
    <t>Somra Oraon</t>
  </si>
  <si>
    <t>ACBPO5007A</t>
  </si>
  <si>
    <t>EA593866615IN</t>
  </si>
  <si>
    <t>881060184514403</t>
  </si>
  <si>
    <t>Kanchan Mahata</t>
  </si>
  <si>
    <t>EGTPM2285L</t>
  </si>
  <si>
    <t>881060226340980</t>
  </si>
  <si>
    <t>Om Prakash Prasad</t>
  </si>
  <si>
    <t>BGZPP0119D</t>
  </si>
  <si>
    <t>B903Z2142003</t>
  </si>
  <si>
    <t>881060184911616</t>
  </si>
  <si>
    <t>Gagan Mandal</t>
  </si>
  <si>
    <t>EHAPM1067G</t>
  </si>
  <si>
    <t>B903Z2150029</t>
  </si>
  <si>
    <t>881060184987216</t>
  </si>
  <si>
    <t>Arun Gorai</t>
  </si>
  <si>
    <t>CLIPG5059E</t>
  </si>
  <si>
    <t>B903Z2267539</t>
  </si>
  <si>
    <t>881060184995966</t>
  </si>
  <si>
    <t>Vijay Barla</t>
  </si>
  <si>
    <t>DLRPB6064C</t>
  </si>
  <si>
    <t>881060184984862</t>
  </si>
  <si>
    <t>Hamid Ali</t>
  </si>
  <si>
    <t>COSPA0100F</t>
  </si>
  <si>
    <t>B903Z2150114</t>
  </si>
  <si>
    <t>881060226347442</t>
  </si>
  <si>
    <t>Renu Sharma</t>
  </si>
  <si>
    <t>EPVPS1252C</t>
  </si>
  <si>
    <t>EA555365503IN</t>
  </si>
  <si>
    <t>881060184757502</t>
  </si>
  <si>
    <t>Dilip Mahato</t>
  </si>
  <si>
    <t>EHAPM0975B</t>
  </si>
  <si>
    <t>B903Z2149910</t>
  </si>
  <si>
    <t>881060185253301</t>
  </si>
  <si>
    <t>Inderjeet Kaur</t>
  </si>
  <si>
    <t>881060185499314</t>
  </si>
  <si>
    <t>Satrughan Kumar</t>
  </si>
  <si>
    <t>GLJPK2339N</t>
  </si>
  <si>
    <t>17-Dec-2017.</t>
  </si>
  <si>
    <t>B903Z2114328</t>
  </si>
  <si>
    <t>881060226398553</t>
  </si>
  <si>
    <t>Sunil Sowar</t>
  </si>
  <si>
    <t>HOAPS6442P</t>
  </si>
  <si>
    <t xml:space="preserve"> 01-Jan-2018 </t>
  </si>
  <si>
    <t> EA599970262IN</t>
  </si>
  <si>
    <t>881060226399275</t>
  </si>
  <si>
    <t>SITANATH DUTTA</t>
  </si>
  <si>
    <t>881060185766412</t>
  </si>
  <si>
    <t>Mohammad Sahil</t>
  </si>
  <si>
    <t>881060185770542</t>
  </si>
  <si>
    <t>Kulwanti Devi</t>
  </si>
  <si>
    <t>881060185906213</t>
  </si>
  <si>
    <t>GOPAL JEE SHARMA</t>
  </si>
  <si>
    <t>881060185907495</t>
  </si>
  <si>
    <t>Momin Nisha</t>
  </si>
  <si>
    <t>881060186049654</t>
  </si>
  <si>
    <t>Kusum</t>
  </si>
  <si>
    <t>881060226429412</t>
  </si>
  <si>
    <t>Prabha Sarker</t>
  </si>
  <si>
    <t>delivered</t>
  </si>
  <si>
    <t>881060186189120</t>
  </si>
  <si>
    <t>Sonia Dey</t>
  </si>
  <si>
    <t>ECWPD8290P</t>
  </si>
  <si>
    <t>B903Z2280298</t>
  </si>
  <si>
    <t>881060186400262</t>
  </si>
  <si>
    <t>Ayan Samanata</t>
  </si>
  <si>
    <t>JJUPS5452J</t>
  </si>
  <si>
    <t>B903Z3229488</t>
  </si>
  <si>
    <t>881060186396320</t>
  </si>
  <si>
    <t>Dinesh Singh</t>
  </si>
  <si>
    <t>JJUPS5451M</t>
  </si>
  <si>
    <t>B903Z3229487</t>
  </si>
  <si>
    <t>881060186860652</t>
  </si>
  <si>
    <t>Sultana Abida</t>
  </si>
  <si>
    <t>JKNPS1215R</t>
  </si>
  <si>
    <t>881060187004152</t>
  </si>
  <si>
    <t xml:space="preserve"> Saswati Basu</t>
  </si>
  <si>
    <t>31-12-1952</t>
  </si>
  <si>
    <t>DMJPB3396E</t>
  </si>
  <si>
    <t>B903Z3259613</t>
  </si>
  <si>
    <t>881060187199861</t>
  </si>
  <si>
    <t>Anwari Khatoon</t>
  </si>
  <si>
    <t>GNPPK9794B</t>
  </si>
  <si>
    <t>EA602324527IN</t>
  </si>
  <si>
    <t>881060226512373</t>
  </si>
  <si>
    <t>Arun Gupta</t>
  </si>
  <si>
    <t>APUPG9064P</t>
  </si>
  <si>
    <t>10-Jan-2018.</t>
  </si>
  <si>
    <t>EA607361230IN,</t>
  </si>
  <si>
    <t>881060187365536</t>
  </si>
  <si>
    <t>Aruna Gupta</t>
  </si>
  <si>
    <t xml:space="preserve">  CLFPG3541L </t>
  </si>
  <si>
    <t>07-Jan-2018.</t>
  </si>
  <si>
    <t>EA605044340IN,</t>
  </si>
  <si>
    <t>881060187442201</t>
  </si>
  <si>
    <t>Majid</t>
  </si>
  <si>
    <t>EHZPM4132H</t>
  </si>
  <si>
    <t>04-Jan-2018.</t>
  </si>
  <si>
    <t>. EA602158246IN,</t>
  </si>
  <si>
    <t>881060187443612</t>
  </si>
  <si>
    <t>Elama</t>
  </si>
  <si>
    <t xml:space="preserve">ADHPE6357J </t>
  </si>
  <si>
    <t>EA602158250IN</t>
  </si>
  <si>
    <t>881060226521440</t>
  </si>
  <si>
    <t>Anjali Mishra</t>
  </si>
  <si>
    <t xml:space="preserve">BQJPM7354M </t>
  </si>
  <si>
    <t>EA607361243IN,</t>
  </si>
  <si>
    <t>881060187501255</t>
  </si>
  <si>
    <t>Nazua Gul Afshan</t>
  </si>
  <si>
    <t xml:space="preserve">  CPHPA3893M </t>
  </si>
  <si>
    <t>03-Jan-2018.</t>
  </si>
  <si>
    <t>EA601317666IN,</t>
  </si>
  <si>
    <t>881060187581604</t>
  </si>
  <si>
    <t>ABDUL HAMID</t>
  </si>
  <si>
    <t>AVUPH5200J</t>
  </si>
  <si>
    <t>EA602169133IN</t>
  </si>
  <si>
    <t>881060187674100</t>
  </si>
  <si>
    <t>NAUSABA KHATOON</t>
  </si>
  <si>
    <t>GNPPK9996F</t>
  </si>
  <si>
    <t>EA602365019IN</t>
  </si>
  <si>
    <t>881060187677412</t>
  </si>
  <si>
    <t>SIMA KUMARI</t>
  </si>
  <si>
    <t xml:space="preserve">  GNSPK5502E </t>
  </si>
  <si>
    <t>06-Jan-2018.</t>
  </si>
  <si>
    <t>EA604531955IN,</t>
  </si>
  <si>
    <t>881060187680676</t>
  </si>
  <si>
    <t>KANHYA KUMAR</t>
  </si>
  <si>
    <t xml:space="preserve">GNSPK5528L </t>
  </si>
  <si>
    <t>EA604021798IN,</t>
  </si>
  <si>
    <t>881060187769624</t>
  </si>
  <si>
    <t>Habiba Khatoon</t>
  </si>
  <si>
    <t xml:space="preserve">GNPPK9987L </t>
  </si>
  <si>
    <t>EA602384565IN,</t>
  </si>
  <si>
    <t>881060188021510</t>
  </si>
  <si>
    <t>Shakuntala Singh</t>
  </si>
  <si>
    <t>JLXPS0308L</t>
  </si>
  <si>
    <t>B903Z3271316,</t>
  </si>
  <si>
    <t>881060188047970</t>
  </si>
  <si>
    <t>Wakil Ahmad Quraishi</t>
  </si>
  <si>
    <t xml:space="preserve">ABAPQ8849G </t>
  </si>
  <si>
    <t>09-Jan-2018.</t>
  </si>
  <si>
    <t>EA606568935IN</t>
  </si>
  <si>
    <t>881060188113604</t>
  </si>
  <si>
    <t>Maleshwari Gounder</t>
  </si>
  <si>
    <t>CLGPG0595P</t>
  </si>
  <si>
    <t>EA606578898IN</t>
  </si>
  <si>
    <t>881060188314596</t>
  </si>
  <si>
    <t>Gokarla Hymavathi</t>
  </si>
  <si>
    <t xml:space="preserve">AVWPH6805P </t>
  </si>
  <si>
    <t>12-Jan-2018.</t>
  </si>
  <si>
    <t>EA706782004IN,</t>
  </si>
  <si>
    <t>881060188398515</t>
  </si>
  <si>
    <t>Shivanand Singh</t>
  </si>
  <si>
    <t>JLXPS0294B</t>
  </si>
  <si>
    <t xml:space="preserve"> 08-Jan-2018</t>
  </si>
  <si>
    <t>B903Z2268033</t>
  </si>
  <si>
    <t>881060226582480</t>
  </si>
  <si>
    <t>Faisal Bakhsh</t>
  </si>
  <si>
    <t xml:space="preserve">  CVCPB2743Q </t>
  </si>
  <si>
    <t>881060226594881</t>
  </si>
  <si>
    <t>Himanshu Ranjan</t>
  </si>
  <si>
    <t xml:space="preserve">BZCPR8865A </t>
  </si>
  <si>
    <t>18-Jan-2018.</t>
  </si>
  <si>
    <t xml:space="preserve">EA712566843IN, </t>
  </si>
  <si>
    <t>881060188588834</t>
  </si>
  <si>
    <t>Syeda Nazneen Saba</t>
  </si>
  <si>
    <t>881060188769832</t>
  </si>
  <si>
    <t>Ravi Kumar Rahule</t>
  </si>
  <si>
    <t>DGRPR0239G</t>
  </si>
  <si>
    <t>B903Z2291236</t>
  </si>
  <si>
    <t>881060188782620</t>
  </si>
  <si>
    <t>Babar Khan</t>
  </si>
  <si>
    <t>GOSPK8383C</t>
  </si>
  <si>
    <t>B903Z3332695,</t>
  </si>
  <si>
    <t>881060226618552</t>
  </si>
  <si>
    <t>Prity Tiwary</t>
  </si>
  <si>
    <t>APNPT0817Q</t>
  </si>
  <si>
    <t>23-01-18</t>
  </si>
  <si>
    <t>POST</t>
  </si>
  <si>
    <t>881060189039634</t>
  </si>
  <si>
    <t>Chittaranjan Badhuk</t>
  </si>
  <si>
    <t>881060189314126</t>
  </si>
  <si>
    <t>Anita Das</t>
  </si>
  <si>
    <t>EDDPD3885G</t>
  </si>
  <si>
    <t>B903Z4500733</t>
  </si>
  <si>
    <t>881060189321115</t>
  </si>
  <si>
    <t>Bipin Bihari Prasad</t>
  </si>
  <si>
    <t>EHKPP9506H</t>
  </si>
  <si>
    <t>881060189581073</t>
  </si>
  <si>
    <t>Pinki Prajapati</t>
  </si>
  <si>
    <t>EGNPP7205P</t>
  </si>
  <si>
    <t>881060226661823</t>
  </si>
  <si>
    <t>Dipesh Dubey</t>
  </si>
  <si>
    <t>AMPPD0063M</t>
  </si>
  <si>
    <t>03-Feb-2018 </t>
  </si>
  <si>
    <t>881060189702501</t>
  </si>
  <si>
    <t>Sheikh Junaid</t>
  </si>
  <si>
    <t>BLJPJ3698C</t>
  </si>
  <si>
    <t>23301797876,</t>
  </si>
  <si>
    <t>881060189701694</t>
  </si>
  <si>
    <t>FIRDUS NIGAR</t>
  </si>
  <si>
    <t xml:space="preserve">  BNXPN9619R </t>
  </si>
  <si>
    <t>881060189869823</t>
  </si>
  <si>
    <t>Anant Kumar Sharma</t>
  </si>
  <si>
    <t>JMYPS0383D</t>
  </si>
  <si>
    <t>B903Z4510895,</t>
  </si>
  <si>
    <t>881060189944583</t>
  </si>
  <si>
    <t>Sonu Kumar Singh</t>
  </si>
  <si>
    <t>JNSPS1929A</t>
  </si>
  <si>
    <t>23301491222,</t>
  </si>
  <si>
    <t>881060190145925</t>
  </si>
  <si>
    <t>Mohammad Bakhsh</t>
  </si>
  <si>
    <t>DNTPB4111G</t>
  </si>
  <si>
    <t>20-Jan-2018.</t>
  </si>
  <si>
    <t>EA714885986IN,</t>
  </si>
  <si>
    <t>881060190144374</t>
  </si>
  <si>
    <t>Musa Kalim</t>
  </si>
  <si>
    <t xml:space="preserve">  GPQPK9775D </t>
  </si>
  <si>
    <t>881060190202592</t>
  </si>
  <si>
    <t>Mir Sahud Ali</t>
  </si>
  <si>
    <t>CQEPA6962M</t>
  </si>
  <si>
    <t>23301503442,</t>
  </si>
  <si>
    <t>VELEX LOGISTICS PVT LTD</t>
  </si>
  <si>
    <t>881060190210992</t>
  </si>
  <si>
    <t>Madhuri Gorai</t>
  </si>
  <si>
    <t>CLSPG2676R</t>
  </si>
  <si>
    <t xml:space="preserve"> 23-Jan-2018.</t>
  </si>
  <si>
    <t>881060190985645</t>
  </si>
  <si>
    <t>Shankar Gundar</t>
  </si>
  <si>
    <t>CLSPG2686P</t>
  </si>
  <si>
    <t>23-Jan-2018.</t>
  </si>
  <si>
    <t>EA719118632IN</t>
  </si>
  <si>
    <t>881060190983442</t>
  </si>
  <si>
    <t>Mohammad Soheb</t>
  </si>
  <si>
    <t>JPKPS2547A</t>
  </si>
  <si>
    <t>881060190976604</t>
  </si>
  <si>
    <t>Sikha Singh</t>
  </si>
  <si>
    <t xml:space="preserve">  JNXPS3712L</t>
  </si>
  <si>
    <t>881060190970540</t>
  </si>
  <si>
    <t>Prachi Roshan</t>
  </si>
  <si>
    <t>DHFPR1513G</t>
  </si>
  <si>
    <t>B903Z4581966,</t>
  </si>
  <si>
    <t>881060190987255</t>
  </si>
  <si>
    <t>Savir Ali</t>
  </si>
  <si>
    <t>CQQPA2449P</t>
  </si>
  <si>
    <t>29-Jan-2018 </t>
  </si>
  <si>
    <t>881060226752790</t>
  </si>
  <si>
    <t>Abhimanyu Kumar Singh</t>
  </si>
  <si>
    <t>AZJPS1809B</t>
  </si>
  <si>
    <t>881060191055796</t>
  </si>
  <si>
    <t>Ghazala Nausheen</t>
  </si>
  <si>
    <t xml:space="preserve">  BNZPN0815P </t>
  </si>
  <si>
    <t>881060191210183</t>
  </si>
  <si>
    <t>Sunil Kumar Sao</t>
  </si>
  <si>
    <t>JOVPS4525G</t>
  </si>
  <si>
    <t>881060191513622</t>
  </si>
  <si>
    <t>Rizwana Tabassum</t>
  </si>
  <si>
    <t>BJXPT5198K</t>
  </si>
  <si>
    <t>881060226785631</t>
  </si>
  <si>
    <t>Chittranjan Prasad Singh</t>
  </si>
  <si>
    <t>FHCPS0451M</t>
  </si>
  <si>
    <t>08-Feb-2018 </t>
  </si>
  <si>
    <t>881060191514462</t>
  </si>
  <si>
    <t>Rajiya Fatma</t>
  </si>
  <si>
    <t>U/PAEJPF8727N</t>
  </si>
  <si>
    <t> 27-Jan-2018</t>
  </si>
  <si>
    <t>23301555523,</t>
  </si>
  <si>
    <t>881060191370763</t>
  </si>
  <si>
    <t>Nilu Singh</t>
  </si>
  <si>
    <t>JPGPS4668N</t>
  </si>
  <si>
    <t>23301589938,</t>
  </si>
  <si>
    <t>881060191736480</t>
  </si>
  <si>
    <t>Shiv Nandan Pandey</t>
  </si>
  <si>
    <t>EHGPP5532K</t>
  </si>
  <si>
    <t>23301602366,</t>
  </si>
  <si>
    <t>881060191735581</t>
  </si>
  <si>
    <t>Laxmi Devi</t>
  </si>
  <si>
    <t>EFDPD8738A</t>
  </si>
  <si>
    <t>23301602365,</t>
  </si>
  <si>
    <t>881060191834690</t>
  </si>
  <si>
    <t>Rubi Mahato</t>
  </si>
  <si>
    <t>EJYPM5649Q</t>
  </si>
  <si>
    <t>881060191952404</t>
  </si>
  <si>
    <t>Priya Pathak</t>
  </si>
  <si>
    <t>EHDPP5996Q</t>
  </si>
  <si>
    <t>23301640610,</t>
  </si>
  <si>
    <t>881060226828353</t>
  </si>
  <si>
    <t>ANJLESH KUMAR PANDEY</t>
  </si>
  <si>
    <t xml:space="preserve">BVAPP1953R
</t>
  </si>
  <si>
    <t>881060226828143</t>
  </si>
  <si>
    <t>MIR SAHUD ALI</t>
  </si>
  <si>
    <t>U/P</t>
  </si>
  <si>
    <t>881060192164810</t>
  </si>
  <si>
    <t>Sangita Devi</t>
  </si>
  <si>
    <t>DOC UNSGND</t>
  </si>
  <si>
    <t>We have not yet received the supporting documents with respect to your PAN application.</t>
  </si>
  <si>
    <t>881060192037406</t>
  </si>
  <si>
    <t>Anand Kumar Yadav</t>
  </si>
  <si>
    <t>AVAPY5001C</t>
  </si>
  <si>
    <t>30-Jan-2018.</t>
  </si>
  <si>
    <t>23301637502,</t>
  </si>
  <si>
    <t>881060192195573</t>
  </si>
  <si>
    <t>Suresh Kumar</t>
  </si>
  <si>
    <t>GQZPK8859J</t>
  </si>
  <si>
    <t>23301589954,</t>
  </si>
  <si>
    <t>881060192197500</t>
  </si>
  <si>
    <t>Sita Pareya</t>
  </si>
  <si>
    <t>EHKPP9596R</t>
  </si>
  <si>
    <t>23301619966,</t>
  </si>
  <si>
    <t>881060226842806</t>
  </si>
  <si>
    <t>RAJKUMAR SAH</t>
  </si>
  <si>
    <t>FNXPS9291E</t>
  </si>
  <si>
    <t>19-Feb-2018.</t>
  </si>
  <si>
    <t>EA548998187IN,</t>
  </si>
  <si>
    <t>881060192364015</t>
  </si>
  <si>
    <t>Tapeshwar Singh</t>
  </si>
  <si>
    <t>JPGPS3785J</t>
  </si>
  <si>
    <t>02-Feb-2018.</t>
  </si>
  <si>
    <t>EA535998223IN,</t>
  </si>
  <si>
    <t>881060192778732</t>
  </si>
  <si>
    <t>Ravi Munda</t>
  </si>
  <si>
    <t>EKLPM6388G</t>
  </si>
  <si>
    <t>23301742744,</t>
  </si>
  <si>
    <t>881060226906020</t>
  </si>
  <si>
    <t>Smita Lata Shikhar</t>
  </si>
  <si>
    <t>AJIPA8258L</t>
  </si>
  <si>
    <t>881060226921556</t>
  </si>
  <si>
    <t>Birendra Mahto</t>
  </si>
  <si>
    <t>BDIPM7227H</t>
  </si>
  <si>
    <t>881060193547741</t>
  </si>
  <si>
    <t>Binita Devi</t>
  </si>
  <si>
    <t>EFYPD8795E</t>
  </si>
  <si>
    <t>06-Feb-2018 </t>
  </si>
  <si>
    <t>881060193684576</t>
  </si>
  <si>
    <t>Afsar Alam Khan</t>
  </si>
  <si>
    <t>EGBPD8233HEGBPD8233H</t>
  </si>
  <si>
    <t> 15-Feb-2018.</t>
  </si>
  <si>
    <t>23302256722,</t>
  </si>
  <si>
    <t>881060193737802</t>
  </si>
  <si>
    <t>Uma Dasgupta</t>
  </si>
  <si>
    <t>EGBPD8233H</t>
  </si>
  <si>
    <t>15-Feb-2018.</t>
  </si>
  <si>
    <t>881060193710745</t>
  </si>
  <si>
    <t>RAJESH KUMAR</t>
  </si>
  <si>
    <t>GSGPK4123N</t>
  </si>
  <si>
    <t> 23302256719</t>
  </si>
  <si>
    <t>881060194090856</t>
  </si>
  <si>
    <t>Sushma Kumari</t>
  </si>
  <si>
    <t>GRZPK4392D</t>
  </si>
  <si>
    <t>881060194092702</t>
  </si>
  <si>
    <t>Vinod Kumar Kamat</t>
  </si>
  <si>
    <t>GSCPK4084G</t>
  </si>
  <si>
    <t>12-Feb-2018.</t>
  </si>
  <si>
    <t>881060193966746</t>
  </si>
  <si>
    <t>Rani Kumari</t>
  </si>
  <si>
    <t>GRZPK4359A</t>
  </si>
  <si>
    <t>881060194183330</t>
  </si>
  <si>
    <t>Shalini Mishra</t>
  </si>
  <si>
    <t>EKPPM9237J</t>
  </si>
  <si>
    <t> 11-Feb-2018.</t>
  </si>
  <si>
    <t>34938143656,</t>
  </si>
  <si>
    <t>881060194177671</t>
  </si>
  <si>
    <t>Smriti Das</t>
  </si>
  <si>
    <t>EFYPD8808E</t>
  </si>
  <si>
    <t>881060194747246</t>
  </si>
  <si>
    <t>Salim Siddique</t>
  </si>
  <si>
    <t>JRZPS9667A</t>
  </si>
  <si>
    <t>17-Feb-2018 </t>
  </si>
  <si>
    <t>23301849586,</t>
  </si>
  <si>
    <t>881060227030535</t>
  </si>
  <si>
    <t>Ranjit Kumar Das</t>
  </si>
  <si>
    <t>ABFD9089A</t>
  </si>
  <si>
    <t>881060227030163</t>
  </si>
  <si>
    <t>Jitendra Kumar Singh</t>
  </si>
  <si>
    <t>AEIPS7033P</t>
  </si>
  <si>
    <t>15-Mar-2018.</t>
  </si>
  <si>
    <t>881060227030690</t>
  </si>
  <si>
    <t>Parvachiti Ramkrishna Rao</t>
  </si>
  <si>
    <t>AEYPR8047</t>
  </si>
  <si>
    <t>06-Mar-2018 </t>
  </si>
  <si>
    <t>881060195437240</t>
  </si>
  <si>
    <t>Mohammad Zeeshan Ahmad</t>
  </si>
  <si>
    <t>881060195455451</t>
  </si>
  <si>
    <t>Nurun Nisha</t>
  </si>
  <si>
    <t>BOSPN9724F</t>
  </si>
  <si>
    <t>881060195468541</t>
  </si>
  <si>
    <t>Malina Banerjee</t>
  </si>
  <si>
    <t xml:space="preserve">  DPWPB0728E </t>
  </si>
  <si>
    <t>881060227074521</t>
  </si>
  <si>
    <t>Rana Mahendra Pratap Singh</t>
  </si>
  <si>
    <t>ELMPS3865Q</t>
  </si>
  <si>
    <t>881060196245666</t>
  </si>
  <si>
    <t>Binod Patel</t>
  </si>
  <si>
    <t>EJHPP1542J</t>
  </si>
  <si>
    <t>881060196715565</t>
  </si>
  <si>
    <t>Mohammad Shakib</t>
  </si>
  <si>
    <t>JTUPS8236N</t>
  </si>
  <si>
    <t> 24-Feb-2018 </t>
  </si>
  <si>
    <t> 23301973492,</t>
  </si>
  <si>
    <t>881060197097500</t>
  </si>
  <si>
    <t>Pintu Gorai</t>
  </si>
  <si>
    <t>CNBPG3635D</t>
  </si>
  <si>
    <t>05-Mar-2018.</t>
  </si>
  <si>
    <t>881060197110004</t>
  </si>
  <si>
    <t>Neera Kumari</t>
  </si>
  <si>
    <t>GTVPK3092L</t>
  </si>
  <si>
    <t> 20-Feb-2018</t>
  </si>
  <si>
    <t>881060197412102</t>
  </si>
  <si>
    <t>Tusta Ghosh</t>
  </si>
  <si>
    <t>CNGPG0063G</t>
  </si>
  <si>
    <t>A009485106</t>
  </si>
  <si>
    <t>GUBPK9736C</t>
  </si>
  <si>
    <t>881060197466094</t>
  </si>
  <si>
    <t>Khadak Singh</t>
  </si>
  <si>
    <t xml:space="preserve">Submit proof of office address </t>
  </si>
  <si>
    <t>881060227201932</t>
  </si>
  <si>
    <t>Binod Kumar Soni</t>
  </si>
  <si>
    <t>BUZPS1133C</t>
  </si>
  <si>
    <t> 23302050306</t>
  </si>
  <si>
    <t>881060227195190</t>
  </si>
  <si>
    <t>Baishakhi Sahu</t>
  </si>
  <si>
    <t>DZQPS4294J</t>
  </si>
  <si>
    <t>21-Mar-2018.</t>
  </si>
  <si>
    <t>23302551654,</t>
  </si>
  <si>
    <t>881060197660974</t>
  </si>
  <si>
    <t>Nazia Perveen</t>
  </si>
  <si>
    <t>EJNPP3648R</t>
  </si>
  <si>
    <t>13-Mar-2018.</t>
  </si>
  <si>
    <t>881060197715832</t>
  </si>
  <si>
    <t>Nilu Perween</t>
  </si>
  <si>
    <t>EJJPP6637N</t>
  </si>
  <si>
    <t>881060227214786</t>
  </si>
  <si>
    <t>Jharna  Pal</t>
  </si>
  <si>
    <t>BHAPP7805C</t>
  </si>
  <si>
    <t>14-Mar-2018 </t>
  </si>
  <si>
    <t>881060227214963</t>
  </si>
  <si>
    <t>Deepak Pal</t>
  </si>
  <si>
    <t>ARXPP1209L</t>
  </si>
  <si>
    <t>. 23302050313</t>
  </si>
  <si>
    <t>881060198184740</t>
  </si>
  <si>
    <t>Ranjeet Tiwari</t>
  </si>
  <si>
    <t>UP</t>
  </si>
  <si>
    <t>881060198226600</t>
  </si>
  <si>
    <t>Ekta Rani Mishra</t>
  </si>
  <si>
    <t>ENEPM5842M</t>
  </si>
  <si>
    <t>20-Mar-2018.</t>
  </si>
  <si>
    <t> 23302549207, </t>
  </si>
  <si>
    <t>881060227231704</t>
  </si>
  <si>
    <t>Dharamdeo Giri</t>
  </si>
  <si>
    <t>ARZPG2063P</t>
  </si>
  <si>
    <t> 14-Mar-2018 </t>
  </si>
  <si>
    <t>881060198330130</t>
  </si>
  <si>
    <t>Tousif Adnan</t>
  </si>
  <si>
    <t>CSCPA7549E</t>
  </si>
  <si>
    <t> 06-Mar-2018 </t>
  </si>
  <si>
    <t>23302013453,</t>
  </si>
  <si>
    <t>881060227239124</t>
  </si>
  <si>
    <t>Prasenjit Saren</t>
  </si>
  <si>
    <t>CLWPS0594Q</t>
  </si>
  <si>
    <t> 15-Mar-2018.</t>
  </si>
  <si>
    <t> EA162474264IN, </t>
  </si>
  <si>
    <t>881060227239625</t>
  </si>
  <si>
    <t>Mahadev Behera</t>
  </si>
  <si>
    <t>ALGPB3057M</t>
  </si>
  <si>
    <t>24-Mar-2018.</t>
  </si>
  <si>
    <t> 23302571506,</t>
  </si>
  <si>
    <t>881060227255924</t>
  </si>
  <si>
    <t>shankar Gorai</t>
  </si>
  <si>
    <t>BWQPG2833Q</t>
  </si>
  <si>
    <t>881060198883340</t>
  </si>
  <si>
    <t>Dhananjay Shaw</t>
  </si>
  <si>
    <t>JWIPS5088B</t>
  </si>
  <si>
    <t>881060198928906</t>
  </si>
  <si>
    <t>Rafat Rosy</t>
  </si>
  <si>
    <t>DJXPR2402C</t>
  </si>
  <si>
    <t>09-Mar-2018.</t>
  </si>
  <si>
    <t>23301999208,</t>
  </si>
  <si>
    <t>881060198774232</t>
  </si>
  <si>
    <t>Birendra Kumar</t>
  </si>
  <si>
    <t>GWEPK4384K</t>
  </si>
  <si>
    <t>881060227266321</t>
  </si>
  <si>
    <t>Saroj Srivastava</t>
  </si>
  <si>
    <t>DTXXXXXX2P</t>
  </si>
  <si>
    <t>881060198744014</t>
  </si>
  <si>
    <t>Dheeraj  Mandal</t>
  </si>
  <si>
    <t>EMNPM5504E</t>
  </si>
  <si>
    <t>23302014193,</t>
  </si>
  <si>
    <t>881060227269961</t>
  </si>
  <si>
    <t>Kailu Kamat</t>
  </si>
  <si>
    <t>ELBPK7594H</t>
  </si>
  <si>
    <t>23302050333,</t>
  </si>
  <si>
    <t>881060199244002</t>
  </si>
  <si>
    <t>Monu Gorai</t>
  </si>
  <si>
    <t>CNHPG0693P</t>
  </si>
  <si>
    <t>881060227292534</t>
  </si>
  <si>
    <t>Satyendra Tiwary</t>
  </si>
  <si>
    <t>AFEPT4988B</t>
  </si>
  <si>
    <t>881060227303981</t>
  </si>
  <si>
    <t>Usha Tiwary</t>
  </si>
  <si>
    <t>AUWPT6658F</t>
  </si>
  <si>
    <t> 24-Mar-2018</t>
  </si>
  <si>
    <t>881060199405514</t>
  </si>
  <si>
    <t>Nikhil Mehta</t>
  </si>
  <si>
    <t>EMNPM3808M</t>
  </si>
  <si>
    <t>EA158409114IN,</t>
  </si>
  <si>
    <t>881060199412724</t>
  </si>
  <si>
    <t>Jamaluddin Khan</t>
  </si>
  <si>
    <t>GWKPK3038N</t>
  </si>
  <si>
    <t> 21-Mar-2018</t>
  </si>
  <si>
    <t>EA166776588IN,</t>
  </si>
  <si>
    <t>881060199511251</t>
  </si>
  <si>
    <t>Shikha Kumari</t>
  </si>
  <si>
    <t>GVYPK5006H</t>
  </si>
  <si>
    <t>17-Mar-2018.</t>
  </si>
  <si>
    <t> 23302072267,</t>
  </si>
  <si>
    <t>s</t>
  </si>
  <si>
    <t>Noor Jhan</t>
  </si>
  <si>
    <t>BQPPJ6826F</t>
  </si>
  <si>
    <t>881060199725565</t>
  </si>
  <si>
    <t>Sarda Mani</t>
  </si>
  <si>
    <t>ENOPM9188Q</t>
  </si>
  <si>
    <t>19-Mar-2018 </t>
  </si>
  <si>
    <t>881060227362593</t>
  </si>
  <si>
    <t>BBVPD8217M</t>
  </si>
  <si>
    <t>05-Apr-2018.</t>
  </si>
  <si>
    <t>23302591040,</t>
  </si>
  <si>
    <t>881069100477801</t>
  </si>
  <si>
    <t>Montu Mahato</t>
  </si>
  <si>
    <t>ENMPM9185B</t>
  </si>
  <si>
    <t>25-Mar-2018.</t>
  </si>
  <si>
    <t> 23302100698</t>
  </si>
  <si>
    <t>881069100639545</t>
  </si>
  <si>
    <t>Saida Parween</t>
  </si>
  <si>
    <t>EKEPP8149D</t>
  </si>
  <si>
    <t> 25-Mar-2018.</t>
  </si>
  <si>
    <t>23302100708,</t>
  </si>
  <si>
    <t>881069100922861</t>
  </si>
  <si>
    <t>Pratima Khan</t>
  </si>
  <si>
    <t>GWVPK2150N</t>
  </si>
  <si>
    <t>881060227426304</t>
  </si>
  <si>
    <t>Indira Kour</t>
  </si>
  <si>
    <t>BBGPK0428N</t>
  </si>
  <si>
    <t>23302591058, </t>
  </si>
  <si>
    <t>881060227464480</t>
  </si>
  <si>
    <t>Chandrika Dubey</t>
  </si>
  <si>
    <t>ABXXXXXX4G</t>
  </si>
  <si>
    <t>881069101446936</t>
  </si>
  <si>
    <t>Chanchala Manjhi</t>
  </si>
  <si>
    <t>ENWPM7384E</t>
  </si>
  <si>
    <t>30-Mar-2018.</t>
  </si>
  <si>
    <t>EA099641991IN</t>
  </si>
  <si>
    <t>881069101453995</t>
  </si>
  <si>
    <t>Tufail Ahmad</t>
  </si>
  <si>
    <t>CSXPA6678M</t>
  </si>
  <si>
    <t> 23302169091</t>
  </si>
  <si>
    <t>881060227465250</t>
  </si>
  <si>
    <t>Bandana Kumari</t>
  </si>
  <si>
    <t>GDEPK8778L</t>
  </si>
  <si>
    <t>23302142598, </t>
  </si>
  <si>
    <t>881069101464613</t>
  </si>
  <si>
    <t>Punam Kumari</t>
  </si>
  <si>
    <t>GXMPK2883J</t>
  </si>
  <si>
    <t>23302169092,</t>
  </si>
  <si>
    <t>881069101597344</t>
  </si>
  <si>
    <t>Chandni</t>
  </si>
  <si>
    <t>BUCPC9213N</t>
  </si>
  <si>
    <t> 23302168983</t>
  </si>
  <si>
    <t>881069101630060</t>
  </si>
  <si>
    <t>Anchal Sharma</t>
  </si>
  <si>
    <t>JWIPS5073J</t>
  </si>
  <si>
    <t>881060227477441</t>
  </si>
  <si>
    <t>Jainul Ali</t>
  </si>
  <si>
    <t>BLOPA1336B</t>
  </si>
  <si>
    <t>881069101607306</t>
  </si>
  <si>
    <t>Maimun Nisha</t>
  </si>
  <si>
    <t>BPRPN1961C</t>
  </si>
  <si>
    <t>23302169095, </t>
  </si>
  <si>
    <t>881069101876622</t>
  </si>
  <si>
    <t>Ranjeet Kumar Shukla</t>
  </si>
  <si>
    <t>NOT SAMIT DOC.</t>
  </si>
  <si>
    <t>881060227497354</t>
  </si>
  <si>
    <t>Anand Kishore Srivastava</t>
  </si>
  <si>
    <t>AEXXXXXX1J</t>
  </si>
  <si>
    <t>881069102210566</t>
  </si>
  <si>
    <t>Ranjana Devi</t>
  </si>
  <si>
    <t>JWZPS5728B</t>
  </si>
  <si>
    <t>31-Mar-2018.</t>
  </si>
  <si>
    <t> 23302174412,</t>
  </si>
  <si>
    <t>881069102207324</t>
  </si>
  <si>
    <t>Prakash Kumar Soni</t>
  </si>
  <si>
    <t> 31-Mar-2018.</t>
  </si>
  <si>
    <t> 23302174412</t>
  </si>
  <si>
    <t>881069102587284</t>
  </si>
  <si>
    <t>Shagufta Jamal</t>
  </si>
  <si>
    <t>BQXXXXXX3G</t>
  </si>
  <si>
    <t> 09-Apr-2018.</t>
  </si>
  <si>
    <t> 23302769696</t>
  </si>
  <si>
    <t>881060227566676</t>
  </si>
  <si>
    <t>Ashoka Rani Prasad</t>
  </si>
  <si>
    <t>CBXXXXXX1B</t>
  </si>
  <si>
    <t>05-Apr-2018 </t>
  </si>
  <si>
    <t>881069102950175</t>
  </si>
  <si>
    <t>Anita Sharma</t>
  </si>
  <si>
    <t>JYXXXXXX1B</t>
  </si>
  <si>
    <t>10-Apr-2018.</t>
  </si>
  <si>
    <t>23302782000,</t>
  </si>
  <si>
    <t>881069102994356</t>
  </si>
  <si>
    <t>Tulsi Lohar</t>
  </si>
  <si>
    <t>AXXXXXXX2B</t>
  </si>
  <si>
    <t>23-Apr-2018.</t>
  </si>
  <si>
    <t>23302885890,</t>
  </si>
  <si>
    <t>881069102947235</t>
  </si>
  <si>
    <t>Laxmi Mahato</t>
  </si>
  <si>
    <t>EOXXXXXX8L</t>
  </si>
  <si>
    <t> 05-Apr-2018.</t>
  </si>
  <si>
    <t>23302727868, </t>
  </si>
  <si>
    <t>881069102934436</t>
  </si>
  <si>
    <t>Saba Nasreen</t>
  </si>
  <si>
    <t>BPXXXXXX4B</t>
  </si>
  <si>
    <t>. 23302727866, </t>
  </si>
  <si>
    <t>881069103100911</t>
  </si>
  <si>
    <t>Sourav Prasad</t>
  </si>
  <si>
    <t>EKXXXXXX1K</t>
  </si>
  <si>
    <t>23302727881,</t>
  </si>
  <si>
    <t>881069103198384</t>
  </si>
  <si>
    <t>SEEMA DEVI</t>
  </si>
  <si>
    <t>ELXXXXXX6P</t>
  </si>
  <si>
    <t>31-Mar-2018 </t>
  </si>
  <si>
    <t>881060227604911</t>
  </si>
  <si>
    <t>Gopi Mukhi</t>
  </si>
  <si>
    <t>881069103330640</t>
  </si>
  <si>
    <t>Shushila Devi</t>
  </si>
  <si>
    <t>ELXXXXXX0C</t>
  </si>
  <si>
    <t>06-Apr-2018.</t>
  </si>
  <si>
    <t>B903Z5389710, </t>
  </si>
  <si>
    <t>881060227613790</t>
  </si>
  <si>
    <t>Jai Narayan Singh</t>
  </si>
  <si>
    <t>AXXXXXXX1D</t>
  </si>
  <si>
    <t> 03-Apr-2018</t>
  </si>
  <si>
    <t>881069103482654</t>
  </si>
  <si>
    <t>Rekha Sharma</t>
  </si>
  <si>
    <t>JXXXXXXX7M</t>
  </si>
  <si>
    <t>881069103719840</t>
  </si>
  <si>
    <t>Nahied Begum</t>
  </si>
  <si>
    <t>DSXXXXXX5A</t>
  </si>
  <si>
    <t>23302769722,</t>
  </si>
  <si>
    <t>881069103929383</t>
  </si>
  <si>
    <t>Savinder Kaur</t>
  </si>
  <si>
    <t>881069103806161</t>
  </si>
  <si>
    <t>Shabia Sharique</t>
  </si>
  <si>
    <t>JYXXXXXX4N</t>
  </si>
  <si>
    <t>15-Apr-2018.</t>
  </si>
  <si>
    <t>881069103896726</t>
  </si>
  <si>
    <t>Abhishek Jojo</t>
  </si>
  <si>
    <t>BRXXXXXX5Q</t>
  </si>
  <si>
    <t>23302909554,</t>
  </si>
  <si>
    <t>881060227672240</t>
  </si>
  <si>
    <t>Usha Maithy</t>
  </si>
  <si>
    <t>881060227672030</t>
  </si>
  <si>
    <t>Amrit Kaur</t>
  </si>
  <si>
    <t>881069104027416</t>
  </si>
  <si>
    <t>Sadhana Sinha</t>
  </si>
  <si>
    <t>JZXXXXXX8D</t>
  </si>
  <si>
    <t>23302873091,</t>
  </si>
  <si>
    <t>881069104044990</t>
  </si>
  <si>
    <t>Lalita Devi</t>
  </si>
  <si>
    <t>ELXXXXXX7J</t>
  </si>
  <si>
    <t> 23302827424</t>
  </si>
  <si>
    <t>881069104077186</t>
  </si>
  <si>
    <t>Krishna Singh</t>
  </si>
  <si>
    <t>JYXXXXXX3F</t>
  </si>
  <si>
    <t>. 23302771223</t>
  </si>
  <si>
    <t>881060227689751</t>
  </si>
  <si>
    <t>Purnima Verma</t>
  </si>
  <si>
    <t>AIXXXXXX8D</t>
  </si>
  <si>
    <t> 17-Apr-2018.</t>
  </si>
  <si>
    <t>881069104359533</t>
  </si>
  <si>
    <t>Farhat Jahan</t>
  </si>
  <si>
    <t>BRXXXXXX8N</t>
  </si>
  <si>
    <t> 23-Apr-2018.</t>
  </si>
  <si>
    <t>881060227720612</t>
  </si>
  <si>
    <t>Shiv Kumar Ram</t>
  </si>
  <si>
    <t>881069104432823</t>
  </si>
  <si>
    <t>Jaswant Kaur</t>
  </si>
  <si>
    <t>GZXXXXXX8M</t>
  </si>
  <si>
    <t>23302873114,</t>
  </si>
  <si>
    <t>881060227705140</t>
  </si>
  <si>
    <t>Santosh Singh</t>
  </si>
  <si>
    <t>CZXXXXXX0B</t>
  </si>
  <si>
    <t> 17-Apr-2018 </t>
  </si>
  <si>
    <t>881069104413514</t>
  </si>
  <si>
    <t>Chhanda Ghosh</t>
  </si>
  <si>
    <t>received</t>
  </si>
  <si>
    <t>881069104503350</t>
  </si>
  <si>
    <t>Ram Chander Chorasiya</t>
  </si>
  <si>
    <t>BUXXXXXX9E</t>
  </si>
  <si>
    <t>23302830178,</t>
  </si>
  <si>
    <t>881069104530366</t>
  </si>
  <si>
    <t>Harshit Anand</t>
  </si>
  <si>
    <t>CTXXXXXX3N</t>
  </si>
  <si>
    <t>881060227713131</t>
  </si>
  <si>
    <t>Anand</t>
  </si>
  <si>
    <t>881069104741556</t>
  </si>
  <si>
    <t>Madhusudan Behara</t>
  </si>
  <si>
    <t>DSXXXXXX0E</t>
  </si>
  <si>
    <t> EA292172115IN</t>
  </si>
  <si>
    <t>881069104867162</t>
  </si>
  <si>
    <t>Ananda Gorai</t>
  </si>
  <si>
    <t>881069105015061</t>
  </si>
  <si>
    <t>Rubi Jha</t>
  </si>
  <si>
    <t>881060227753506</t>
  </si>
  <si>
    <t>Samir Day</t>
  </si>
  <si>
    <t>ARXXXXXX9F</t>
  </si>
  <si>
    <t>881069105138110</t>
  </si>
  <si>
    <t>Zainab Khatoon</t>
  </si>
  <si>
    <t>HAXXXXXX6A</t>
  </si>
  <si>
    <t>20-Apr-2018 </t>
  </si>
  <si>
    <t>881069105151012</t>
  </si>
  <si>
    <t>Bina Maity</t>
  </si>
  <si>
    <t>EPXXXXXX0G</t>
  </si>
  <si>
    <t>060227757345</t>
  </si>
  <si>
    <t>Naba Kuamr Ghosh</t>
  </si>
  <si>
    <t>A010476079</t>
  </si>
  <si>
    <t>Anchal Dev</t>
  </si>
  <si>
    <t>ENIPD0714D</t>
  </si>
  <si>
    <t>RM194752790IN ON 25/04/2018 </t>
  </si>
  <si>
    <t>A010467174</t>
  </si>
  <si>
    <t>Renu Bhattacharjee</t>
  </si>
  <si>
    <t>881069105406501</t>
  </si>
  <si>
    <t>Seema Dungdung</t>
  </si>
  <si>
    <t>EMXXXXXX4L</t>
  </si>
  <si>
    <t>B903Z5918782,</t>
  </si>
  <si>
    <t>881069105554654</t>
  </si>
  <si>
    <t>Sweta Kullu</t>
  </si>
  <si>
    <t>GZXXXXXX2C</t>
  </si>
  <si>
    <t> 24-Apr-2018.</t>
  </si>
  <si>
    <t>881069105709575</t>
  </si>
  <si>
    <t>Abhishek Kumar Sharma</t>
  </si>
  <si>
    <t>JZXXXXXX7N</t>
  </si>
  <si>
    <t>881069105692985</t>
  </si>
  <si>
    <t>Shivnath behra</t>
  </si>
  <si>
    <t>DTXXXXXX7Q</t>
  </si>
  <si>
    <t> B903Z5821773</t>
  </si>
  <si>
    <t>881069105710500</t>
  </si>
  <si>
    <t>Asha Kumari</t>
  </si>
  <si>
    <t>HAXXXXXX3P</t>
  </si>
  <si>
    <t> 19-Apr-2018 </t>
  </si>
  <si>
    <t>881069105779822</t>
  </si>
  <si>
    <t>Shabana Parween</t>
  </si>
  <si>
    <t>ELXXXXXX3K</t>
  </si>
  <si>
    <t>881069106006132</t>
  </si>
  <si>
    <t>Kakuli Adak</t>
  </si>
  <si>
    <t>CTXXXXXX0N</t>
  </si>
  <si>
    <t>26-Apr-2018.</t>
  </si>
  <si>
    <t> B903Z5867507,</t>
  </si>
  <si>
    <t>A010536968</t>
  </si>
  <si>
    <t>Bijay Singh</t>
  </si>
  <si>
    <t>881069106160924</t>
  </si>
  <si>
    <t>Vinit Kumar Singh</t>
  </si>
  <si>
    <t>KAXXXXXX0K</t>
  </si>
  <si>
    <t> 25-Apr-2018.</t>
  </si>
  <si>
    <t>EA860466542IN,</t>
  </si>
  <si>
    <t>A010568808</t>
  </si>
  <si>
    <t>Parwinder Singh</t>
  </si>
  <si>
    <t>Q000700788</t>
  </si>
  <si>
    <t>Ranjit Kumar Chakraborty</t>
  </si>
  <si>
    <t>ANRPC7574K</t>
  </si>
  <si>
    <t>RM600598863IN</t>
  </si>
  <si>
    <t>A010574070</t>
  </si>
  <si>
    <t>Shreya Srivastava</t>
  </si>
  <si>
    <t>881069106215502</t>
  </si>
  <si>
    <t>Vishal Ravi Das</t>
  </si>
  <si>
    <t>ENXXXXXX2A</t>
  </si>
  <si>
    <t>05-May-2018.</t>
  </si>
  <si>
    <t> 23302647172, </t>
  </si>
  <si>
    <t>881060227872204</t>
  </si>
  <si>
    <t>Sumona Kundu</t>
  </si>
  <si>
    <t>COXXXXXX2D</t>
  </si>
  <si>
    <t>881069106450945</t>
  </si>
  <si>
    <t>Akash Sharma</t>
  </si>
  <si>
    <t>KAXXXXXX0M</t>
  </si>
  <si>
    <t>881069106425476</t>
  </si>
  <si>
    <t>Shahida Begum</t>
  </si>
  <si>
    <t>DTXXXXXX8F</t>
  </si>
  <si>
    <t>23302645589,</t>
  </si>
  <si>
    <t>881069106764044</t>
  </si>
  <si>
    <t>Sanjay Sahu</t>
  </si>
  <si>
    <t> 05-May-2018.</t>
  </si>
  <si>
    <t> 23302645674,</t>
  </si>
  <si>
    <t>881060227918231</t>
  </si>
  <si>
    <t>Majin Karmkar</t>
  </si>
  <si>
    <t>EOXXXXXX8K</t>
  </si>
  <si>
    <t> 02-May-2018 </t>
  </si>
  <si>
    <t>881060227912060</t>
  </si>
  <si>
    <t>Sanjay Kumar Singh</t>
  </si>
  <si>
    <t>BDXXXXXX0J</t>
  </si>
  <si>
    <t>Q000706928</t>
  </si>
  <si>
    <t>881069107099090</t>
  </si>
  <si>
    <t>Sandhya Devi</t>
  </si>
  <si>
    <t>ENXXXXXX1K</t>
  </si>
  <si>
    <t> 23302647342,</t>
  </si>
  <si>
    <t>881069107159220</t>
  </si>
  <si>
    <t>Nitish Kumar Thakur</t>
  </si>
  <si>
    <t>BLXXXXXX7E</t>
  </si>
  <si>
    <t>30-Apr-2018 </t>
  </si>
  <si>
    <t>881069107208194</t>
  </si>
  <si>
    <t>Harendra Sah</t>
  </si>
  <si>
    <t>KBXXXXXX5K</t>
  </si>
  <si>
    <t>Q000708705</t>
  </si>
  <si>
    <t>Mohammad Abid</t>
  </si>
  <si>
    <t>881060227941412</t>
  </si>
  <si>
    <t>Mamta kar</t>
  </si>
  <si>
    <t>BZXXXXXX3G</t>
  </si>
  <si>
    <t>10-May-2018.</t>
  </si>
  <si>
    <t> 23301153059,</t>
  </si>
  <si>
    <t>881069107276514</t>
  </si>
  <si>
    <t>Saraswati Ganguly</t>
  </si>
  <si>
    <t>COXXXXXX4C</t>
  </si>
  <si>
    <t>23302688948,</t>
  </si>
  <si>
    <t>881069107332610</t>
  </si>
  <si>
    <t>Shaikh riyaz</t>
  </si>
  <si>
    <t>DMXXXXXX0H</t>
  </si>
  <si>
    <t> 30-Apr-2018</t>
  </si>
  <si>
    <t>881069107337753</t>
  </si>
  <si>
    <t>Isha Singh</t>
  </si>
  <si>
    <t>KAXXXXXX2R</t>
  </si>
  <si>
    <t>04-May-2018.</t>
  </si>
  <si>
    <t>23302961614, </t>
  </si>
  <si>
    <t>881069107347273</t>
  </si>
  <si>
    <t>Aman Raj</t>
  </si>
  <si>
    <t>DMXXXXXX2Q</t>
  </si>
  <si>
    <t> 04-May-2018</t>
  </si>
  <si>
    <t> 23302961618,</t>
  </si>
  <si>
    <t>881069107299371</t>
  </si>
  <si>
    <t>Khushbu Kumari</t>
  </si>
  <si>
    <t>ABXXXXXX0R</t>
  </si>
  <si>
    <t> 10-May-2018</t>
  </si>
  <si>
    <t> 23301153060,</t>
  </si>
  <si>
    <t>881060227954340</t>
  </si>
  <si>
    <t>Prem Singh Mandley</t>
  </si>
  <si>
    <t> 23301153060, </t>
  </si>
  <si>
    <t>881069107370314</t>
  </si>
  <si>
    <t>Rohit Gorai</t>
  </si>
  <si>
    <t>COXXXXXX8N</t>
  </si>
  <si>
    <t> 07-May-2018.</t>
  </si>
  <si>
    <t> 23302664660</t>
  </si>
  <si>
    <t>881069107613936</t>
  </si>
  <si>
    <t>Anjali Kumari</t>
  </si>
  <si>
    <t>23302650855,</t>
  </si>
  <si>
    <t>881069107612875</t>
  </si>
  <si>
    <t>881069107736576</t>
  </si>
  <si>
    <t>Georgedeep Senapati</t>
  </si>
  <si>
    <t>881069107738455</t>
  </si>
  <si>
    <t>Mala Gorai</t>
  </si>
  <si>
    <t>881069107864842</t>
  </si>
  <si>
    <t>Rohan Verma</t>
  </si>
  <si>
    <t>BMXXXXXX7G</t>
  </si>
  <si>
    <t>09-May-2018.</t>
  </si>
  <si>
    <t>. 23302681450, </t>
  </si>
  <si>
    <t>881060227988824</t>
  </si>
  <si>
    <t>Bechan Devi</t>
  </si>
  <si>
    <t>CPXPD3999B</t>
  </si>
  <si>
    <t>881060227987564</t>
  </si>
  <si>
    <t xml:space="preserve">Dulal Chandra Tantubay </t>
  </si>
  <si>
    <t>AFXXXXXX2B</t>
  </si>
  <si>
    <t> 23301153086, </t>
  </si>
  <si>
    <t>881069107907682</t>
  </si>
  <si>
    <t>Sunil Mukherjee</t>
  </si>
  <si>
    <t>EQXXXXXX3H</t>
  </si>
  <si>
    <t> 11-May-2018.</t>
  </si>
  <si>
    <t> 23302695004, </t>
  </si>
  <si>
    <t>881069107974425</t>
  </si>
  <si>
    <t>Meera Kumari</t>
  </si>
  <si>
    <t>HBXXXXXX6M</t>
  </si>
  <si>
    <t>23302681453, </t>
  </si>
  <si>
    <t>A010766661</t>
  </si>
  <si>
    <t>Urmila Devi</t>
  </si>
  <si>
    <t>resend on 25-10-2018</t>
  </si>
  <si>
    <t>881069107980331</t>
  </si>
  <si>
    <t>Sahana Parveen</t>
  </si>
  <si>
    <t>EMXXXXXX1L</t>
  </si>
  <si>
    <t> 23302681454</t>
  </si>
  <si>
    <t>881060228019042</t>
  </si>
  <si>
    <t>Bijay Shit</t>
  </si>
  <si>
    <t>CZXXXXXX4M</t>
  </si>
  <si>
    <t>23301153088, </t>
  </si>
  <si>
    <t>881069107607894</t>
  </si>
  <si>
    <t>Ram Vivek Kumar</t>
  </si>
  <si>
    <t>882060227974041</t>
  </si>
  <si>
    <t>Vikas Samities Telco</t>
  </si>
  <si>
    <t>AAXXXXXX8B</t>
  </si>
  <si>
    <t>881060228001741</t>
  </si>
  <si>
    <t>AJXXXXXX7D</t>
  </si>
  <si>
    <t>881060228019790</t>
  </si>
  <si>
    <t>Ram Kumar Singh</t>
  </si>
  <si>
    <t>FWXXXXXX2P</t>
  </si>
  <si>
    <t>881069108304346</t>
  </si>
  <si>
    <t>Bharti Kumari</t>
  </si>
  <si>
    <t>HCXXXXXX1K</t>
  </si>
  <si>
    <t xml:space="preserve">23303732430, </t>
  </si>
  <si>
    <t>881060228050660</t>
  </si>
  <si>
    <t>Sudeshna Dutta</t>
  </si>
  <si>
    <t>BQXXXXXX6B</t>
  </si>
  <si>
    <t>881069109022001</t>
  </si>
  <si>
    <t>Dharmendra Kumar Verma</t>
  </si>
  <si>
    <t>881069109221221</t>
  </si>
  <si>
    <t>Ashok Kumar Dubey</t>
  </si>
  <si>
    <t>881069109303563</t>
  </si>
  <si>
    <t>Nishita Sareen</t>
  </si>
  <si>
    <t>881069109307262</t>
  </si>
  <si>
    <t>Madhuri Mahato</t>
  </si>
  <si>
    <t>881060228118652</t>
  </si>
  <si>
    <t>Heena Mukhi</t>
  </si>
  <si>
    <t>881069109337115</t>
  </si>
  <si>
    <t>Kush Kumar</t>
  </si>
  <si>
    <t>881060228093323</t>
  </si>
  <si>
    <t>Jatindar Sukhdeo Thorat</t>
  </si>
  <si>
    <t>881069109593702</t>
  </si>
  <si>
    <t>Syed Faiz</t>
  </si>
  <si>
    <t>881069109444020</t>
  </si>
  <si>
    <t>Pinki Kumari</t>
  </si>
  <si>
    <t>881069109714216</t>
  </si>
  <si>
    <t>Mary Hembrom</t>
  </si>
  <si>
    <t>881069109941705</t>
  </si>
  <si>
    <t>Majoj Das</t>
  </si>
  <si>
    <t>881069109825564</t>
  </si>
  <si>
    <t>Ramesh Sardar</t>
  </si>
  <si>
    <t>881060228175374</t>
  </si>
  <si>
    <t>Madhuri Kalpana Kujur</t>
  </si>
  <si>
    <t>881069110391724</t>
  </si>
  <si>
    <t>Sukanti Devi</t>
  </si>
  <si>
    <t>881069110575415</t>
  </si>
  <si>
    <t>Sadaf Tahseen Khan</t>
  </si>
  <si>
    <t>881069110573606</t>
  </si>
  <si>
    <t>Vishal Singh</t>
  </si>
  <si>
    <t>881069110715791</t>
  </si>
  <si>
    <t>Simmi Kumari Rahelu</t>
  </si>
  <si>
    <t>881060228247544</t>
  </si>
  <si>
    <t>Swagata Bhattacharjee</t>
  </si>
  <si>
    <t>881069111072216</t>
  </si>
  <si>
    <t>Ajay Rantay</t>
  </si>
  <si>
    <t>881069111174140</t>
  </si>
  <si>
    <t>Prabila Devi</t>
  </si>
  <si>
    <t>881069111234244</t>
  </si>
  <si>
    <t>Rashmi Kumari</t>
  </si>
  <si>
    <t>A011241123</t>
  </si>
  <si>
    <t>SUMITRA BESRA</t>
  </si>
  <si>
    <t>Q000747800</t>
  </si>
  <si>
    <t>A011242989</t>
  </si>
  <si>
    <t>Barun Gorai</t>
  </si>
  <si>
    <t>A011242617</t>
  </si>
  <si>
    <t>Manorama Devi</t>
  </si>
  <si>
    <t>A011236792</t>
  </si>
  <si>
    <t>Poonam Munda</t>
  </si>
  <si>
    <t>Q000747759</t>
  </si>
  <si>
    <t>Srabani Giri Dey</t>
  </si>
  <si>
    <t>A011257193</t>
  </si>
  <si>
    <t>Durga Gorai</t>
  </si>
  <si>
    <t>25/05/18</t>
  </si>
  <si>
    <t>A000747759</t>
  </si>
  <si>
    <t>Srabani  Giri Dey</t>
  </si>
  <si>
    <t>Sumitra Besra</t>
  </si>
  <si>
    <t>A011279881</t>
  </si>
  <si>
    <t>Shek Reyaz</t>
  </si>
  <si>
    <t>A011278620</t>
  </si>
  <si>
    <t>Shaikh Shanawaz</t>
  </si>
  <si>
    <t>26/05/2016</t>
  </si>
  <si>
    <t>Q000749899</t>
  </si>
  <si>
    <t>Amit Paul</t>
  </si>
  <si>
    <t>28/05/2018</t>
  </si>
  <si>
    <t>Q000751097</t>
  </si>
  <si>
    <t>Ramadhar Singh</t>
  </si>
  <si>
    <t>29/05/2018</t>
  </si>
  <si>
    <t>A011295894</t>
  </si>
  <si>
    <t>Indro Besra</t>
  </si>
  <si>
    <t>DWCPB1581A</t>
  </si>
  <si>
    <t>Q000751444</t>
  </si>
  <si>
    <t>Kanchan Thomasina Ekka</t>
  </si>
  <si>
    <t>A011348564</t>
  </si>
  <si>
    <t>Pooja Kumar Singh</t>
  </si>
  <si>
    <t>31/05/2018</t>
  </si>
  <si>
    <t>Ack  Print</t>
  </si>
  <si>
    <t>A011355793</t>
  </si>
  <si>
    <t>Pallavi Singh</t>
  </si>
  <si>
    <t>A011356045</t>
  </si>
  <si>
    <t>Rajesh Sen</t>
  </si>
  <si>
    <t>A011316263</t>
  </si>
  <si>
    <t>Akhilesh Kumar rai</t>
  </si>
  <si>
    <t>Q000759776</t>
  </si>
  <si>
    <t>Pritam Das</t>
  </si>
  <si>
    <t>Q000761037</t>
  </si>
  <si>
    <t>Nawab Ali Akhaar</t>
  </si>
  <si>
    <t>Q000762116</t>
  </si>
  <si>
    <t>CHANDAN KUMAR PATHAK</t>
  </si>
  <si>
    <t>Q000761319</t>
  </si>
  <si>
    <t>A011440186</t>
  </si>
  <si>
    <t>RAJA PAUL</t>
  </si>
  <si>
    <t>A011469757</t>
  </si>
  <si>
    <t>MOHAMMAD AFRIDI</t>
  </si>
  <si>
    <t>Q000762982</t>
  </si>
  <si>
    <t>Utkalika Patra</t>
  </si>
  <si>
    <t>A011473681</t>
  </si>
  <si>
    <t>Bal Mukund Pandey</t>
  </si>
  <si>
    <t>A011465399</t>
  </si>
  <si>
    <t>Kritibash Mahato</t>
  </si>
  <si>
    <t>EPCPP0929G</t>
  </si>
  <si>
    <t>29/06/2018</t>
  </si>
  <si>
    <t>A011467232</t>
  </si>
  <si>
    <t>ANIL TIRKEY</t>
  </si>
  <si>
    <t>Q000762423</t>
  </si>
  <si>
    <t>Narayan Mahal</t>
  </si>
  <si>
    <t>Q000763752</t>
  </si>
  <si>
    <t>Amit Kumar patel</t>
  </si>
  <si>
    <t>A011503505</t>
  </si>
  <si>
    <t>Trisha Ganguly</t>
  </si>
  <si>
    <t>Alok</t>
  </si>
  <si>
    <t>A011508984</t>
  </si>
  <si>
    <t>Jiten Mahato</t>
  </si>
  <si>
    <t xml:space="preserve">Q000765385 </t>
  </si>
  <si>
    <t>ANIRUDDHA SHIVAJI TIRUKHE</t>
  </si>
  <si>
    <t>A011513180</t>
  </si>
  <si>
    <t>Amrendra Kumar Singh</t>
  </si>
  <si>
    <t>Objection Name</t>
  </si>
  <si>
    <t>A011513371</t>
  </si>
  <si>
    <t>Dilip HO</t>
  </si>
  <si>
    <t>Q000765691</t>
  </si>
  <si>
    <t>Piyas Mujherjee</t>
  </si>
  <si>
    <t>RM812293192IN ON 14/09/2018</t>
  </si>
  <si>
    <t>Q000765722</t>
  </si>
  <si>
    <t>Rohidas Nag</t>
  </si>
  <si>
    <t>A011522894</t>
  </si>
  <si>
    <t>Ravi Karmakar</t>
  </si>
  <si>
    <t>A011524285</t>
  </si>
  <si>
    <t>Sneha</t>
  </si>
  <si>
    <t>A011526643</t>
  </si>
  <si>
    <t>Apratim Ranjan Chakrabarty</t>
  </si>
  <si>
    <t>A011525510</t>
  </si>
  <si>
    <t>Vivek Kumar Srivastava</t>
  </si>
  <si>
    <t>Objection</t>
  </si>
  <si>
    <t>AADHAR NOT MATCHED</t>
  </si>
  <si>
    <t>Q000768089</t>
  </si>
  <si>
    <t>Deepak Kumar</t>
  </si>
  <si>
    <t>mailed</t>
  </si>
  <si>
    <t>Q000768097</t>
  </si>
  <si>
    <t>Niranjan Behera</t>
  </si>
  <si>
    <t>Q000768100</t>
  </si>
  <si>
    <t>Sakal Dev</t>
  </si>
  <si>
    <t>A011550282</t>
  </si>
  <si>
    <t>Anand Kumar Thakur</t>
  </si>
  <si>
    <t>A011550333</t>
  </si>
  <si>
    <t>Pragya Raj</t>
  </si>
  <si>
    <t>A011550382</t>
  </si>
  <si>
    <t>Shivani Shrivastva</t>
  </si>
  <si>
    <t>A011543770</t>
  </si>
  <si>
    <t>Ravi Gorai</t>
  </si>
  <si>
    <t>Q000771295</t>
  </si>
  <si>
    <t>Gereya Chattar</t>
  </si>
  <si>
    <t>given</t>
  </si>
  <si>
    <t>A011620246</t>
  </si>
  <si>
    <t>Sulekha Sarkar</t>
  </si>
  <si>
    <t>A011600157</t>
  </si>
  <si>
    <t>Rajeev Mukherjee</t>
  </si>
  <si>
    <t>A011620120</t>
  </si>
  <si>
    <t>Sankhadeep Sur</t>
  </si>
  <si>
    <t>A011619726</t>
  </si>
  <si>
    <t>Avinash Kumar SIngh</t>
  </si>
  <si>
    <t>A011605940</t>
  </si>
  <si>
    <t>Titali Ravidas</t>
  </si>
  <si>
    <t>A011599632</t>
  </si>
  <si>
    <t>A011625684</t>
  </si>
  <si>
    <t>Khadak SIngh</t>
  </si>
  <si>
    <t>KIOPS8671D</t>
  </si>
  <si>
    <t>Reapplied</t>
  </si>
  <si>
    <t>A011636325</t>
  </si>
  <si>
    <t>Rina Maithy</t>
  </si>
  <si>
    <t>Q000774119</t>
  </si>
  <si>
    <t>Binit Jaiswal</t>
  </si>
  <si>
    <t>A011661291</t>
  </si>
  <si>
    <t>Bhawna Talari</t>
  </si>
  <si>
    <t>A011667469</t>
  </si>
  <si>
    <t>Laxmi Murmu</t>
  </si>
  <si>
    <t>A011667371</t>
  </si>
  <si>
    <t>Chandana Patna</t>
  </si>
  <si>
    <t>A011667236</t>
  </si>
  <si>
    <t>Dinesh Mahato</t>
  </si>
  <si>
    <t>A011666958</t>
  </si>
  <si>
    <t>Sonka Gorai</t>
  </si>
  <si>
    <t>CQTPG9659N</t>
  </si>
  <si>
    <t>Q000776349</t>
  </si>
  <si>
    <t>Tejo Kumar Measala</t>
  </si>
  <si>
    <t>A011753034</t>
  </si>
  <si>
    <t>Mangal Singh</t>
  </si>
  <si>
    <t>A011763158</t>
  </si>
  <si>
    <t>Jayprakash Swansi</t>
  </si>
  <si>
    <t>Q000783225</t>
  </si>
  <si>
    <t>Shreya Chatterjee</t>
  </si>
  <si>
    <t>BEMPC1480B</t>
  </si>
  <si>
    <t>RETURNED</t>
  </si>
  <si>
    <t>Srikrishna Sahu</t>
  </si>
  <si>
    <t>A011791354</t>
  </si>
  <si>
    <t>Tapan Gorai</t>
  </si>
  <si>
    <t>Q000785106</t>
  </si>
  <si>
    <t>Sobha Mondal</t>
  </si>
  <si>
    <t>A011844694</t>
  </si>
  <si>
    <t>Bali Mardi</t>
  </si>
  <si>
    <t>krishna</t>
  </si>
  <si>
    <t>A011863433</t>
  </si>
  <si>
    <t>Mukesh Kumar</t>
  </si>
  <si>
    <t>alok</t>
  </si>
  <si>
    <t>A011863599</t>
  </si>
  <si>
    <t>Devraj Godsora</t>
  </si>
  <si>
    <t>A011863717</t>
  </si>
  <si>
    <t>Raj Lohar</t>
  </si>
  <si>
    <t>Lokesh Gounder</t>
  </si>
  <si>
    <t>A011864890</t>
  </si>
  <si>
    <t>Shama Khatoon</t>
  </si>
  <si>
    <t>Q000789388</t>
  </si>
  <si>
    <t>Jageshwar Mahto</t>
  </si>
  <si>
    <t>A011869412</t>
  </si>
  <si>
    <t>Madan Mahato</t>
  </si>
  <si>
    <t>A011886556</t>
  </si>
  <si>
    <t>Sawmik Guha</t>
  </si>
  <si>
    <t>aLOK</t>
  </si>
  <si>
    <t>Q000790015</t>
  </si>
  <si>
    <t>Neha Pandey</t>
  </si>
  <si>
    <t>DEL</t>
  </si>
  <si>
    <t>Q000795820</t>
  </si>
  <si>
    <t>Tilak Sarkar</t>
  </si>
  <si>
    <t>A011947037</t>
  </si>
  <si>
    <t>Sourav Anand</t>
  </si>
  <si>
    <t>Q000798423</t>
  </si>
  <si>
    <t>Soma Singh</t>
  </si>
  <si>
    <t>send</t>
  </si>
  <si>
    <t>A011959881</t>
  </si>
  <si>
    <t>Beauty Kumari</t>
  </si>
  <si>
    <t>i</t>
  </si>
  <si>
    <t>A011977964</t>
  </si>
  <si>
    <t>Ankit Kumar Sinha</t>
  </si>
  <si>
    <t>A011978427</t>
  </si>
  <si>
    <t>Fulmuni Hansada</t>
  </si>
  <si>
    <t>A011980350</t>
  </si>
  <si>
    <t>Akash Kumar Sony</t>
  </si>
  <si>
    <t>A012001642</t>
  </si>
  <si>
    <t>Rashmi Singh</t>
  </si>
  <si>
    <t>A011967496</t>
  </si>
  <si>
    <t>Amisha Verma</t>
  </si>
  <si>
    <t>Q000800257</t>
  </si>
  <si>
    <t>Manjula Mahato</t>
  </si>
  <si>
    <t>A012001949</t>
  </si>
  <si>
    <t>Satwik Kumar</t>
  </si>
  <si>
    <t>A012047174</t>
  </si>
  <si>
    <t>Sonali Adhikary</t>
  </si>
  <si>
    <t>9/7/2018</t>
  </si>
  <si>
    <t>A012046432</t>
  </si>
  <si>
    <t>Sudipta Pramanik</t>
  </si>
  <si>
    <t xml:space="preserve">Failed </t>
  </si>
  <si>
    <t>Q000806095</t>
  </si>
  <si>
    <t>Santanu Majumder</t>
  </si>
  <si>
    <t>10/7/2018</t>
  </si>
  <si>
    <t>A012064088</t>
  </si>
  <si>
    <t>Sushila Devi</t>
  </si>
  <si>
    <t>11/7/2018</t>
  </si>
  <si>
    <t>A012070891</t>
  </si>
  <si>
    <t>Prabha Rai</t>
  </si>
  <si>
    <t>Q000805949</t>
  </si>
  <si>
    <t>Rahul Kumar Gupta</t>
  </si>
  <si>
    <t>Q000807901</t>
  </si>
  <si>
    <t>Samsun Bibi</t>
  </si>
  <si>
    <t>Q000808365</t>
  </si>
  <si>
    <t>Harendra Narayan Singh</t>
  </si>
  <si>
    <t>Send</t>
  </si>
  <si>
    <t>Q000808393</t>
  </si>
  <si>
    <t>Shudu Devi</t>
  </si>
  <si>
    <t>Q000808381</t>
  </si>
  <si>
    <t>Menjo Bari</t>
  </si>
  <si>
    <t>A012107939</t>
  </si>
  <si>
    <t>Laxman Ruhidas</t>
  </si>
  <si>
    <t>A012119247</t>
  </si>
  <si>
    <t>Shankar Mahato</t>
  </si>
  <si>
    <t>12/7/2018</t>
  </si>
  <si>
    <t>Q000809623</t>
  </si>
  <si>
    <t>Moly Chaki</t>
  </si>
  <si>
    <t>13/7/2018</t>
  </si>
  <si>
    <t>Q000809635</t>
  </si>
  <si>
    <t>Amitava Chaki</t>
  </si>
  <si>
    <t>A012141062</t>
  </si>
  <si>
    <t>Ananda Bisui</t>
  </si>
  <si>
    <t>A012141275</t>
  </si>
  <si>
    <t>Milan Bisui</t>
  </si>
  <si>
    <t>14/7/2018</t>
  </si>
  <si>
    <t>Q000810882</t>
  </si>
  <si>
    <t>A012142562</t>
  </si>
  <si>
    <t>Abeda Zeya</t>
  </si>
  <si>
    <t>A012153156</t>
  </si>
  <si>
    <t>Renu Devi</t>
  </si>
  <si>
    <t>A012153322</t>
  </si>
  <si>
    <t>manoj Kumar</t>
  </si>
  <si>
    <t>Insuff</t>
  </si>
  <si>
    <t>Q000811693</t>
  </si>
  <si>
    <t>A012145763</t>
  </si>
  <si>
    <t>Pratima Kundu</t>
  </si>
  <si>
    <t>Q000811178</t>
  </si>
  <si>
    <t>Kamal Sahu</t>
  </si>
  <si>
    <t>A012147154</t>
  </si>
  <si>
    <t>Raj Kaur</t>
  </si>
  <si>
    <t>A012147911</t>
  </si>
  <si>
    <t xml:space="preserve">Abhishek Kumar </t>
  </si>
  <si>
    <t>A012148566</t>
  </si>
  <si>
    <t>Nigar Bano</t>
  </si>
  <si>
    <t>A012151708</t>
  </si>
  <si>
    <t>Shailini Prasad</t>
  </si>
  <si>
    <t xml:space="preserve">Not Filled </t>
  </si>
  <si>
    <t>DOB Not given</t>
  </si>
  <si>
    <t>A012150795</t>
  </si>
  <si>
    <t>Anandini Topno</t>
  </si>
  <si>
    <t>Q000812546</t>
  </si>
  <si>
    <t>Sunita Sha</t>
  </si>
  <si>
    <t>Q000813627</t>
  </si>
  <si>
    <t>Sushovan Dey</t>
  </si>
  <si>
    <t>Q000813617</t>
  </si>
  <si>
    <t>Dilip Kumar Verma</t>
  </si>
  <si>
    <t>A012162136</t>
  </si>
  <si>
    <t>Shivam Kumar</t>
  </si>
  <si>
    <t>Q000815167</t>
  </si>
  <si>
    <t>Radhe Shyam Pandey</t>
  </si>
  <si>
    <t>Q000815158</t>
  </si>
  <si>
    <t>Sikha Rani Mahato</t>
  </si>
  <si>
    <t>A012213843</t>
  </si>
  <si>
    <t>Varsha Srivastava</t>
  </si>
  <si>
    <t>15/7/2018</t>
  </si>
  <si>
    <t xml:space="preserve">A012151708 </t>
  </si>
  <si>
    <t>Rupa Devi</t>
  </si>
  <si>
    <t>A012260741</t>
  </si>
  <si>
    <t>Hareram Yadav</t>
  </si>
  <si>
    <t>18/7/2018</t>
  </si>
  <si>
    <t xml:space="preserve">A012260706 </t>
  </si>
  <si>
    <t>Sonu Das</t>
  </si>
  <si>
    <t>Q000819884</t>
  </si>
  <si>
    <t>Rabi Mahato</t>
  </si>
  <si>
    <t>Q000819956</t>
  </si>
  <si>
    <t>Ram Kumar Saw</t>
  </si>
  <si>
    <t>Q000821317</t>
  </si>
  <si>
    <t>Baban Kumar Sah</t>
  </si>
  <si>
    <t>19/7/2018</t>
  </si>
  <si>
    <t>Q000821333</t>
  </si>
  <si>
    <t>Vikash Kumar Agarwal</t>
  </si>
  <si>
    <t>7/27/2018</t>
  </si>
  <si>
    <t>Krishna</t>
  </si>
  <si>
    <t>Q000824505</t>
  </si>
  <si>
    <t>Manik Poira</t>
  </si>
  <si>
    <t>A012328684</t>
  </si>
  <si>
    <t>Supriya Chakraborty</t>
  </si>
  <si>
    <t>21/7/2018</t>
  </si>
  <si>
    <t>A012344653</t>
  </si>
  <si>
    <t>Akash Bhardwaj</t>
  </si>
  <si>
    <t>A012345724</t>
  </si>
  <si>
    <t>Sana Aaliya</t>
  </si>
  <si>
    <t>Q000833815</t>
  </si>
  <si>
    <t>Laxmi hembrom</t>
  </si>
  <si>
    <t>A012441753</t>
  </si>
  <si>
    <t>Sikandar Singh</t>
  </si>
  <si>
    <t>biometric</t>
  </si>
  <si>
    <t>A012441453</t>
  </si>
  <si>
    <t>Vijay Kumar Singh</t>
  </si>
  <si>
    <t>A012441313</t>
  </si>
  <si>
    <t>Amit Kumar</t>
  </si>
  <si>
    <t>A012441003</t>
  </si>
  <si>
    <t>Simran Kumar</t>
  </si>
  <si>
    <t>A012441190</t>
  </si>
  <si>
    <t>Subhashish Ravidas</t>
  </si>
  <si>
    <t>DRPPR4366P</t>
  </si>
  <si>
    <t>A012432148</t>
  </si>
  <si>
    <t>Hopna Soren</t>
  </si>
  <si>
    <t>A012445965</t>
  </si>
  <si>
    <t>Sonamani Hembram</t>
  </si>
  <si>
    <t>Q000834730</t>
  </si>
  <si>
    <t>Madan Kumar Rajak</t>
  </si>
  <si>
    <t>Q000836168</t>
  </si>
  <si>
    <t>Chetram</t>
  </si>
  <si>
    <t>A012457800</t>
  </si>
  <si>
    <t>Shalini Prasad</t>
  </si>
  <si>
    <t>Q000836157</t>
  </si>
  <si>
    <t>Abhijit Dutta</t>
  </si>
  <si>
    <t>Q000836152</t>
  </si>
  <si>
    <t>Rintu Bhattacharjee</t>
  </si>
  <si>
    <t>Q000836174</t>
  </si>
  <si>
    <t>Prerna Singhania</t>
  </si>
  <si>
    <t>A012458001</t>
  </si>
  <si>
    <t>Mihir Das</t>
  </si>
  <si>
    <t>Sikander Singh</t>
  </si>
  <si>
    <t>Q000835217</t>
  </si>
  <si>
    <t>Monojit Chakraborty</t>
  </si>
  <si>
    <t>A012476719</t>
  </si>
  <si>
    <t>Usha Devi</t>
  </si>
  <si>
    <t>returned</t>
  </si>
  <si>
    <t>A012477289</t>
  </si>
  <si>
    <t>Raymoni Gope</t>
  </si>
  <si>
    <t>A012477146</t>
  </si>
  <si>
    <t>Rajender Kaur</t>
  </si>
  <si>
    <t>A012477060</t>
  </si>
  <si>
    <t>Baby Devi</t>
  </si>
  <si>
    <t>Q000836833</t>
  </si>
  <si>
    <t>Sukhminder Kaur</t>
  </si>
  <si>
    <t>Q000833968</t>
  </si>
  <si>
    <t>Antara Mitra</t>
  </si>
  <si>
    <t>A012506240</t>
  </si>
  <si>
    <t>A012526098</t>
  </si>
  <si>
    <t>Shweta Singh</t>
  </si>
  <si>
    <t>A012602043</t>
  </si>
  <si>
    <t>Suresh Hembrom</t>
  </si>
  <si>
    <t>A012602342</t>
  </si>
  <si>
    <t>NITAI CHANDRA PRAMANIK</t>
  </si>
  <si>
    <t>A012606505</t>
  </si>
  <si>
    <t>Swapan Ruhidas</t>
  </si>
  <si>
    <t>A012611278</t>
  </si>
  <si>
    <t>Ganganalu Rupa</t>
  </si>
  <si>
    <t>Q000852553</t>
  </si>
  <si>
    <t>Jitendra Prasad</t>
  </si>
  <si>
    <t>A012693144</t>
  </si>
  <si>
    <t>Deepu Gorai</t>
  </si>
  <si>
    <t>A012702819</t>
  </si>
  <si>
    <t>Irfan Alam</t>
  </si>
  <si>
    <t>A012715060</t>
  </si>
  <si>
    <t>Bimla Mukhi</t>
  </si>
  <si>
    <t>A012745647</t>
  </si>
  <si>
    <t>Nitu Singh Malla</t>
  </si>
  <si>
    <t>sent</t>
  </si>
  <si>
    <t>Q000857597</t>
  </si>
  <si>
    <t>Suresh Chandra Patnaik</t>
  </si>
  <si>
    <t>Q000858071</t>
  </si>
  <si>
    <t>Arvind Prasad</t>
  </si>
  <si>
    <t>A012753599</t>
  </si>
  <si>
    <t>Kalpana Gorai</t>
  </si>
  <si>
    <t>A012788017</t>
  </si>
  <si>
    <t>Subasini Patnaik</t>
  </si>
  <si>
    <t>A012767521</t>
  </si>
  <si>
    <t>Nazia Tabassum</t>
  </si>
  <si>
    <t>A012789219</t>
  </si>
  <si>
    <t>Piyusha Mazumdar</t>
  </si>
  <si>
    <t>A012789284</t>
  </si>
  <si>
    <t>Nimai Gorai</t>
  </si>
  <si>
    <t>Q0008584168</t>
  </si>
  <si>
    <t>A012934381</t>
  </si>
  <si>
    <t>Q000860810</t>
  </si>
  <si>
    <t>Shama Sanowar</t>
  </si>
  <si>
    <t>Q000861931</t>
  </si>
  <si>
    <t>Bikash Chandra Mahato</t>
  </si>
  <si>
    <t>A012835174</t>
  </si>
  <si>
    <t>Mahfooz Alam</t>
  </si>
  <si>
    <t>Q000871880</t>
  </si>
  <si>
    <t>Rajesh Kumar Singh</t>
  </si>
  <si>
    <t>A012901710</t>
  </si>
  <si>
    <t>Indu Subedi</t>
  </si>
  <si>
    <t>A012901851</t>
  </si>
  <si>
    <t>Rani Madhuni</t>
  </si>
  <si>
    <t>Sanju Birua</t>
  </si>
  <si>
    <t>Q000871867</t>
  </si>
  <si>
    <t>Jayeeta Roy</t>
  </si>
  <si>
    <t>A012934268</t>
  </si>
  <si>
    <t>Neha kumari</t>
  </si>
  <si>
    <t>A012933247</t>
  </si>
  <si>
    <t>Suraj Priyadarshi</t>
  </si>
  <si>
    <t>A013021058</t>
  </si>
  <si>
    <t>Ganesh Munda</t>
  </si>
  <si>
    <t>A013021228</t>
  </si>
  <si>
    <t>Mohammad Matlub Khan</t>
  </si>
  <si>
    <t>A013033168</t>
  </si>
  <si>
    <t>Suresh Sha</t>
  </si>
  <si>
    <t>A013032597</t>
  </si>
  <si>
    <t>Sanju Devi</t>
  </si>
  <si>
    <t>A013021386</t>
  </si>
  <si>
    <t>Afridi Mazhar</t>
  </si>
  <si>
    <t>A013102323</t>
  </si>
  <si>
    <t>BISHOKA DEVI</t>
  </si>
  <si>
    <t>A013102135</t>
  </si>
  <si>
    <t>JITENDRA NATH ROHIDAS</t>
  </si>
  <si>
    <t>A013147222</t>
  </si>
  <si>
    <t>Hirdaya nath Tiwary</t>
  </si>
  <si>
    <t>A013175392</t>
  </si>
  <si>
    <t>Arti Kumari</t>
  </si>
  <si>
    <t>363829700258776</t>
  </si>
  <si>
    <t>Krishna Prasad</t>
  </si>
  <si>
    <t>ESTPP5724B</t>
  </si>
  <si>
    <t>VELEX</t>
  </si>
  <si>
    <t>363829700261720</t>
  </si>
  <si>
    <t>Ankita Upadhyay</t>
  </si>
  <si>
    <t>A013276181</t>
  </si>
  <si>
    <t>Amrit Gorai</t>
  </si>
  <si>
    <t>A013276797</t>
  </si>
  <si>
    <t>Bablu Khan</t>
  </si>
  <si>
    <t>A013276977</t>
  </si>
  <si>
    <t>Anurag Kumar Ram</t>
  </si>
  <si>
    <t>Q000899807</t>
  </si>
  <si>
    <t>Kunta Sharma</t>
  </si>
  <si>
    <t>363829700276571</t>
  </si>
  <si>
    <t>Mallika Mallik</t>
  </si>
  <si>
    <t>1-jan-72</t>
  </si>
  <si>
    <t>Q000903506</t>
  </si>
  <si>
    <t>Man Bahadur Adhikari</t>
  </si>
  <si>
    <t>A013381187</t>
  </si>
  <si>
    <t>Diwakar Ravidas</t>
  </si>
  <si>
    <t>A013381096</t>
  </si>
  <si>
    <t>Govinda Ravidas</t>
  </si>
  <si>
    <t>363829700286824</t>
  </si>
  <si>
    <t>Savitri Devi</t>
  </si>
  <si>
    <t>363829700286754</t>
  </si>
  <si>
    <t>Swarnalata Goarai</t>
  </si>
  <si>
    <t>363829700286695</t>
  </si>
  <si>
    <t>Deepak Thapa</t>
  </si>
  <si>
    <t>363829700286581</t>
  </si>
  <si>
    <t>363829700286570</t>
  </si>
  <si>
    <t>Jayanti Lohar</t>
  </si>
  <si>
    <t>Anjna Xaxa</t>
  </si>
  <si>
    <t>pending</t>
  </si>
  <si>
    <t>363829700286360</t>
  </si>
  <si>
    <t>Tapojyoti Bhattacharjee</t>
  </si>
  <si>
    <t>ISSUED</t>
  </si>
  <si>
    <t>A013841683</t>
  </si>
  <si>
    <t>Nutan Jyoti Hassa Purti</t>
  </si>
  <si>
    <t>A013841553</t>
  </si>
  <si>
    <t>Christina Xalxo</t>
  </si>
  <si>
    <t>D</t>
  </si>
  <si>
    <t>A013543482</t>
  </si>
  <si>
    <t>Aparna Bhattacharya</t>
  </si>
  <si>
    <t>Q000915361</t>
  </si>
  <si>
    <t>Harichandan Bhattacharge</t>
  </si>
  <si>
    <t>done</t>
  </si>
  <si>
    <t>363829700294443</t>
  </si>
  <si>
    <t>Johan Topno</t>
  </si>
  <si>
    <t>SUCCESS</t>
  </si>
  <si>
    <t>363829700294410</t>
  </si>
  <si>
    <t>Jagjit Kaur</t>
  </si>
  <si>
    <t>AT TIN CENTER</t>
  </si>
  <si>
    <t>363829700293883</t>
  </si>
  <si>
    <t>Abdul Aziz</t>
  </si>
  <si>
    <t>A013481768</t>
  </si>
  <si>
    <t>Rahil Tuti</t>
  </si>
  <si>
    <t>uid authentication</t>
  </si>
  <si>
    <t>A013553414</t>
  </si>
  <si>
    <t>Veena Devi</t>
  </si>
  <si>
    <t>A013682068</t>
  </si>
  <si>
    <t>Subhash Banerjee</t>
  </si>
  <si>
    <t>A013679120</t>
  </si>
  <si>
    <t>Mohammad Nayeem</t>
  </si>
  <si>
    <t>Q000928277</t>
  </si>
  <si>
    <t>Narayan Modi</t>
  </si>
  <si>
    <t>A013639521</t>
  </si>
  <si>
    <t>Dinesh Tiwary</t>
  </si>
  <si>
    <t>A013627428</t>
  </si>
  <si>
    <t>Puspa Devi</t>
  </si>
  <si>
    <t>A013678456</t>
  </si>
  <si>
    <t>Ajay Mahato</t>
  </si>
  <si>
    <t>A013678709</t>
  </si>
  <si>
    <t>Suraj Kumar Dhibar</t>
  </si>
  <si>
    <t>363829700310904</t>
  </si>
  <si>
    <t>Dipak banerjee</t>
  </si>
  <si>
    <t>EBXXXXXX8B</t>
  </si>
  <si>
    <t>386389700000043</t>
  </si>
  <si>
    <t>Pratima Devi</t>
  </si>
  <si>
    <t>csc</t>
  </si>
  <si>
    <t>363829700320100</t>
  </si>
  <si>
    <t>Sunil Gorai</t>
  </si>
  <si>
    <t>A013689038</t>
  </si>
  <si>
    <t>Sintu Kumar</t>
  </si>
  <si>
    <t>A013688952</t>
  </si>
  <si>
    <t>Sagar Mukhi</t>
  </si>
  <si>
    <t>363829700</t>
  </si>
  <si>
    <t>Sharmili Roy</t>
  </si>
  <si>
    <t>363829700335496</t>
  </si>
  <si>
    <t>Savitri Soren</t>
  </si>
  <si>
    <t>KTFPS4787E</t>
  </si>
  <si>
    <t>17-10-18</t>
  </si>
  <si>
    <t>363829700335533</t>
  </si>
  <si>
    <t>Shilpa Kerketta</t>
  </si>
  <si>
    <t>HQXXXXXX8M</t>
  </si>
  <si>
    <t>363829700338053</t>
  </si>
  <si>
    <t>Arshi Perween</t>
  </si>
  <si>
    <t>EUXXXXXX2</t>
  </si>
  <si>
    <t>A013968443</t>
  </si>
  <si>
    <t>Rita Sherpa</t>
  </si>
  <si>
    <t>KUEPS3050J</t>
  </si>
  <si>
    <t>Q000943530</t>
  </si>
  <si>
    <t>7301497220</t>
  </si>
  <si>
    <t>Q000945104</t>
  </si>
  <si>
    <t>Nepal Parmanik</t>
  </si>
  <si>
    <t>BCSPP8609P</t>
  </si>
  <si>
    <t>20-10-18</t>
  </si>
  <si>
    <t>Q000953455</t>
  </si>
  <si>
    <t>Kanchan Singh Solanki</t>
  </si>
  <si>
    <t>FNWPS8058E</t>
  </si>
  <si>
    <t>A014097324</t>
  </si>
  <si>
    <t>Aparna Das</t>
  </si>
  <si>
    <t>A014205754</t>
  </si>
  <si>
    <t>Sanchita Kumari</t>
  </si>
  <si>
    <t>A014165666</t>
  </si>
  <si>
    <t>Sushila Sharma</t>
  </si>
  <si>
    <t>A014169035</t>
  </si>
  <si>
    <t>Meharun Nisha</t>
  </si>
  <si>
    <t>A014186136</t>
  </si>
  <si>
    <t>Ranjeeta Kumari</t>
  </si>
  <si>
    <t>Q000969707</t>
  </si>
  <si>
    <t>Jakso james</t>
  </si>
  <si>
    <t>A014240533</t>
  </si>
  <si>
    <t>Abira Sarkar</t>
  </si>
  <si>
    <t>A014244090</t>
  </si>
  <si>
    <t>Abhishek Kumar Singh</t>
  </si>
  <si>
    <t>a014251158</t>
  </si>
  <si>
    <t>Asif Ansari</t>
  </si>
  <si>
    <t>A014255964</t>
  </si>
  <si>
    <t>Ranjeet Mahato</t>
  </si>
  <si>
    <t>A014257172</t>
  </si>
  <si>
    <t>Kanan biswas</t>
  </si>
  <si>
    <t xml:space="preserve">EDGPB0711J </t>
  </si>
  <si>
    <t>A014275730</t>
  </si>
  <si>
    <t>Asha Rani Mohanty</t>
  </si>
  <si>
    <t>A014338701</t>
  </si>
  <si>
    <t>Deepak Sah</t>
  </si>
  <si>
    <t>KWJPS8749R</t>
  </si>
  <si>
    <t>A014400610</t>
  </si>
  <si>
    <t>Nikia Singh</t>
  </si>
  <si>
    <t>A014403679</t>
  </si>
  <si>
    <t>Mohit Kumar Singh</t>
  </si>
  <si>
    <t>A014439011</t>
  </si>
  <si>
    <t>Anita Munda</t>
  </si>
  <si>
    <t>A014438580</t>
  </si>
  <si>
    <t>Kinkar Mandal</t>
  </si>
  <si>
    <t>Q000989536</t>
  </si>
  <si>
    <t>Abhijit Sarkar</t>
  </si>
  <si>
    <t>A014439120</t>
  </si>
  <si>
    <t>Shivani Munda</t>
  </si>
  <si>
    <t>Q000989186</t>
  </si>
  <si>
    <t>Pradip Kumar Mazumdar</t>
  </si>
  <si>
    <t>Q000991664</t>
  </si>
  <si>
    <t>Tarique Anwar</t>
  </si>
  <si>
    <t>A014479804</t>
  </si>
  <si>
    <t>Sadhu Singh</t>
  </si>
  <si>
    <t>A014466043</t>
  </si>
  <si>
    <t>Payal Mitra Neogi</t>
  </si>
  <si>
    <t>A014479871</t>
  </si>
  <si>
    <t>Nabanita Bose</t>
  </si>
  <si>
    <t>A014479311</t>
  </si>
  <si>
    <t>Prasenjit Mandal</t>
  </si>
  <si>
    <t>A014479669</t>
  </si>
  <si>
    <t>Bablu Gorai</t>
  </si>
  <si>
    <t>A014487031</t>
  </si>
  <si>
    <t>Sahani Khatoon</t>
  </si>
  <si>
    <t>A014495220</t>
  </si>
  <si>
    <t>Ratna Pandey</t>
  </si>
  <si>
    <t>A014496149</t>
  </si>
  <si>
    <t>swayam sahayata samuh</t>
  </si>
  <si>
    <t>A014496783</t>
  </si>
  <si>
    <t>Gul Jabeen</t>
  </si>
  <si>
    <t>BUSPJ2775C</t>
  </si>
  <si>
    <t>RM164111727IN ON 22/11/2018</t>
  </si>
  <si>
    <t>Anisha Chaki</t>
  </si>
  <si>
    <t>minor</t>
  </si>
  <si>
    <t>A014498639</t>
  </si>
  <si>
    <t>Shriyadita Chaki</t>
  </si>
  <si>
    <t>Q000997020</t>
  </si>
  <si>
    <t>Padma Adhikari</t>
  </si>
  <si>
    <t>A014595882</t>
  </si>
  <si>
    <t>Jaba Gorai</t>
  </si>
  <si>
    <t>A014614718</t>
  </si>
  <si>
    <t>Ally Base</t>
  </si>
  <si>
    <t>firm</t>
  </si>
  <si>
    <t> ABNFA5549G</t>
  </si>
  <si>
    <t>13/12/2018</t>
  </si>
  <si>
    <t>A014724920</t>
  </si>
  <si>
    <t>Bhagyadhar Sahis</t>
  </si>
  <si>
    <t>Q001013862</t>
  </si>
  <si>
    <t>Gurdeep Singh</t>
  </si>
  <si>
    <t>Q001015654</t>
  </si>
  <si>
    <t>Sunita Devi</t>
  </si>
  <si>
    <t>manoj</t>
  </si>
  <si>
    <t>Q001017316</t>
  </si>
  <si>
    <t>Lakshmi</t>
  </si>
  <si>
    <t>A014779558</t>
  </si>
  <si>
    <t>Jasabanta Mohanta</t>
  </si>
  <si>
    <t>A014772147</t>
  </si>
  <si>
    <t>Manoj Kumar Bediya</t>
  </si>
  <si>
    <t>Q001019436</t>
  </si>
  <si>
    <t>Ashok Kumar Singh</t>
  </si>
  <si>
    <t>A014803012</t>
  </si>
  <si>
    <t>Kalipado Goswami</t>
  </si>
  <si>
    <t>ALOK</t>
  </si>
  <si>
    <t>A014802947</t>
  </si>
  <si>
    <t>Bhagirath Mardi</t>
  </si>
  <si>
    <t>A014801023</t>
  </si>
  <si>
    <t>Vimla Thapa</t>
  </si>
  <si>
    <t>BPCPT5413A</t>
  </si>
  <si>
    <t>RM173479109IN ON 10/12/2018</t>
  </si>
  <si>
    <t>Q001024420</t>
  </si>
  <si>
    <t>Vivek Prasad</t>
  </si>
  <si>
    <t>A014762435</t>
  </si>
  <si>
    <t>Jhuma Goswami</t>
  </si>
  <si>
    <t>A014800978</t>
  </si>
  <si>
    <t>Ankita</t>
  </si>
  <si>
    <t>DBLPA3106A</t>
  </si>
  <si>
    <t>A014884101</t>
  </si>
  <si>
    <t>Dhrub Oraon</t>
  </si>
  <si>
    <t>A014862707</t>
  </si>
  <si>
    <t>Gurubari Pramanik</t>
  </si>
  <si>
    <t>A014863455</t>
  </si>
  <si>
    <t>Shabnam Sultana</t>
  </si>
  <si>
    <t> KYXPS7857G</t>
  </si>
  <si>
    <t>A014867600</t>
  </si>
  <si>
    <t>Preeti Narayan</t>
  </si>
  <si>
    <t>Q001027964</t>
  </si>
  <si>
    <t>Amrit Kumar Upadhyay</t>
  </si>
  <si>
    <t>386389700006903</t>
  </si>
  <si>
    <t>Subrato Roy Choudhury</t>
  </si>
  <si>
    <t>386389700006881</t>
  </si>
  <si>
    <t>Deeparnita Biswas</t>
  </si>
  <si>
    <t>Q001029604</t>
  </si>
  <si>
    <t>Zohara begum</t>
  </si>
  <si>
    <t>A014966510</t>
  </si>
  <si>
    <t>Ajay Karmakar</t>
  </si>
  <si>
    <t>386389700007780</t>
  </si>
  <si>
    <t>Rinku Mukherjee</t>
  </si>
  <si>
    <t>386389700007791</t>
  </si>
  <si>
    <t>Somnath Lohar</t>
  </si>
  <si>
    <t>386389700007835</t>
  </si>
  <si>
    <t>Shweta Guha</t>
  </si>
  <si>
    <t>386389700007802</t>
  </si>
  <si>
    <t>Minu Devi</t>
  </si>
  <si>
    <t>A014968290</t>
  </si>
  <si>
    <t>Priyanka Chaudhary</t>
  </si>
  <si>
    <t>A014989327</t>
  </si>
  <si>
    <t>Binoti Hembram</t>
  </si>
  <si>
    <t>Q001035694</t>
  </si>
  <si>
    <t>Upadhyay</t>
  </si>
  <si>
    <t>A015054004</t>
  </si>
  <si>
    <t>Mamoni Haldhar</t>
  </si>
  <si>
    <t>lakshmi</t>
  </si>
  <si>
    <t> BADPH8703F</t>
  </si>
  <si>
    <t>RM177464232IN ON 19/12/2018</t>
  </si>
  <si>
    <t>A015009628</t>
  </si>
  <si>
    <t>Kalpana Bhawal</t>
  </si>
  <si>
    <t> EFFPB3445J</t>
  </si>
  <si>
    <t>386389700008502</t>
  </si>
  <si>
    <t>Moni Bala Shome</t>
  </si>
  <si>
    <t>386389700008513</t>
  </si>
  <si>
    <t>Sudhir Chandra Mahato</t>
  </si>
  <si>
    <t>dob pending</t>
  </si>
  <si>
    <t>Ravindra mardi</t>
  </si>
  <si>
    <t>386389700008443</t>
  </si>
  <si>
    <t>Ashwin Anand</t>
  </si>
  <si>
    <t>386389700008476</t>
  </si>
  <si>
    <t>Ishpal Singh Singh</t>
  </si>
  <si>
    <t>386389700008480</t>
  </si>
  <si>
    <t>Raju Lohar</t>
  </si>
  <si>
    <t>386389700008491</t>
  </si>
  <si>
    <t>386389700008734</t>
  </si>
  <si>
    <t>Mehrun Nisha</t>
  </si>
  <si>
    <t>386389700008454</t>
  </si>
  <si>
    <t>Poonam Devi</t>
  </si>
  <si>
    <t>386389700008804</t>
  </si>
  <si>
    <t>Madan Pal</t>
  </si>
  <si>
    <t>386389700009821</t>
  </si>
  <si>
    <t>Manorma Devi</t>
  </si>
  <si>
    <t>386389700009843</t>
  </si>
  <si>
    <t>Ranjit Kumar</t>
  </si>
  <si>
    <t>386389700009832</t>
  </si>
  <si>
    <t>Mehul Srivastava</t>
  </si>
  <si>
    <t>386389700010101</t>
  </si>
  <si>
    <t>Priyanka Kumari</t>
  </si>
  <si>
    <t xml:space="preserve">386389700010694 </t>
  </si>
  <si>
    <t>Dumaki Mahali</t>
  </si>
  <si>
    <t>386389700010112</t>
  </si>
  <si>
    <t>Sangeeta Singh</t>
  </si>
  <si>
    <t>386389700010134</t>
  </si>
  <si>
    <t>Babu Mukherjee</t>
  </si>
  <si>
    <t>386389700010123</t>
  </si>
  <si>
    <t>Tabassum Parveen</t>
  </si>
  <si>
    <t>386389700011604</t>
  </si>
  <si>
    <t>chandu Kui</t>
  </si>
  <si>
    <t>A015236484</t>
  </si>
  <si>
    <t>Mangari</t>
  </si>
  <si>
    <t>A014833117</t>
  </si>
  <si>
    <t>Riya Verma</t>
  </si>
  <si>
    <t>A015270944</t>
  </si>
  <si>
    <t>Dharmendra Saw</t>
  </si>
  <si>
    <t>A015270913</t>
  </si>
  <si>
    <t>Asha Devi</t>
  </si>
  <si>
    <t>A015271010</t>
  </si>
  <si>
    <t>Kanchan Devi</t>
  </si>
  <si>
    <t>A015270974</t>
  </si>
  <si>
    <t>Vinita Kumari</t>
  </si>
  <si>
    <t>A015252450</t>
  </si>
  <si>
    <t>Nikita Narayan</t>
  </si>
  <si>
    <t>Q001059740</t>
  </si>
  <si>
    <t>Susen Lohara</t>
  </si>
  <si>
    <t>A015338818</t>
  </si>
  <si>
    <t>Goutam Chandra</t>
  </si>
  <si>
    <t>A015312974</t>
  </si>
  <si>
    <t>Monika Purty</t>
  </si>
  <si>
    <t>A015346845</t>
  </si>
  <si>
    <t>Smita Dey</t>
  </si>
  <si>
    <t>A015316312</t>
  </si>
  <si>
    <t>Rupa Chakraborty</t>
  </si>
  <si>
    <t>A015325258</t>
  </si>
  <si>
    <t>Amresh Kumar Singh</t>
  </si>
  <si>
    <t>Q001064777</t>
  </si>
  <si>
    <t>Gourang Dey</t>
  </si>
  <si>
    <t>Q001065351</t>
  </si>
  <si>
    <t>Dhananjay Gorai</t>
  </si>
  <si>
    <t>Q001065302</t>
  </si>
  <si>
    <t>Binod Giri</t>
  </si>
  <si>
    <t>A015368358</t>
  </si>
  <si>
    <t>Mohammad Israrul Haque</t>
  </si>
  <si>
    <t>Q001068740</t>
  </si>
  <si>
    <t>Ambuj Gorain</t>
  </si>
  <si>
    <t>386389700012492</t>
  </si>
  <si>
    <t>Chanchala Devi</t>
  </si>
  <si>
    <t> Q001070616 </t>
  </si>
  <si>
    <t>Brijit John Kalapura</t>
  </si>
  <si>
    <t>Q001070585</t>
  </si>
  <si>
    <t>Satyajit Mukherjee</t>
  </si>
  <si>
    <t>A015559278</t>
  </si>
  <si>
    <t>Vaishvi Krishnan</t>
  </si>
  <si>
    <t>Q001072174</t>
  </si>
  <si>
    <t>A015479068</t>
  </si>
  <si>
    <t>Shubha</t>
  </si>
  <si>
    <t>A015496090</t>
  </si>
  <si>
    <t>Q001080034</t>
  </si>
  <si>
    <t>Q001080043</t>
  </si>
  <si>
    <t>Amita Singh</t>
  </si>
  <si>
    <t>Q001080648</t>
  </si>
  <si>
    <t>A015628308</t>
  </si>
  <si>
    <t>Soni Singh</t>
  </si>
  <si>
    <t>A015621891</t>
  </si>
  <si>
    <t>Archana Sanyal</t>
  </si>
  <si>
    <t>A015621974</t>
  </si>
  <si>
    <t>Rahul Gorai</t>
  </si>
  <si>
    <t>Q001085615</t>
  </si>
  <si>
    <t>Bikash Kumar</t>
  </si>
  <si>
    <t>A015628324</t>
  </si>
  <si>
    <t>Karmu Gorai</t>
  </si>
  <si>
    <t>Q001080628</t>
  </si>
  <si>
    <t>Birendra Kumar Singh</t>
  </si>
  <si>
    <t>Q001087456</t>
  </si>
  <si>
    <t>Harcharan Singh</t>
  </si>
  <si>
    <t>A015645995</t>
  </si>
  <si>
    <t>Kalwant Kaur</t>
  </si>
  <si>
    <t>A015644272</t>
  </si>
  <si>
    <t>Kumar Shivam</t>
  </si>
  <si>
    <t>A015643955</t>
  </si>
  <si>
    <t>Priti Kumari</t>
  </si>
  <si>
    <t>Q001090602</t>
  </si>
  <si>
    <t>Hema Devi</t>
  </si>
  <si>
    <t>A015726940</t>
  </si>
  <si>
    <t>Aman Kumar Singh</t>
  </si>
  <si>
    <t>A015687598</t>
  </si>
  <si>
    <t>Archana Dixit</t>
  </si>
  <si>
    <t>Shankar Prasad</t>
  </si>
  <si>
    <t>A015740131</t>
  </si>
  <si>
    <t>Iftekharul Hasan</t>
  </si>
  <si>
    <t>A015712193</t>
  </si>
  <si>
    <t>Sangeeta Devi</t>
  </si>
  <si>
    <t>A015762307</t>
  </si>
  <si>
    <t>Kausar Fatima</t>
  </si>
  <si>
    <t>A015765965</t>
  </si>
  <si>
    <t>Laxmi Hansda</t>
  </si>
  <si>
    <t>A015766457</t>
  </si>
  <si>
    <t>Ashok Kumar Upadhyay</t>
  </si>
  <si>
    <t>Q001097671</t>
  </si>
  <si>
    <t>A015774359</t>
  </si>
  <si>
    <t>Beas Nandi</t>
  </si>
  <si>
    <t>A015792275</t>
  </si>
  <si>
    <t>Jhuni Kumari</t>
  </si>
  <si>
    <t>A015839601</t>
  </si>
  <si>
    <t>Aditya Kumar</t>
  </si>
  <si>
    <t>A015839219</t>
  </si>
  <si>
    <t>Pratyush Priye</t>
  </si>
  <si>
    <t>A015839339</t>
  </si>
  <si>
    <t>A015839750</t>
  </si>
  <si>
    <t>Akshay Vohra</t>
  </si>
  <si>
    <t>A015878841</t>
  </si>
  <si>
    <t>Umesh Choudhary</t>
  </si>
  <si>
    <t>Q001106131</t>
  </si>
  <si>
    <t>Jogendra Ram Varma</t>
  </si>
  <si>
    <t>Q001105853</t>
  </si>
  <si>
    <t>Prabhat Kumar Srivastava</t>
  </si>
  <si>
    <t>A015925482</t>
  </si>
  <si>
    <t>Madhuri Kumari</t>
  </si>
  <si>
    <t>A015940519</t>
  </si>
  <si>
    <t>Akash Kumar Sah</t>
  </si>
  <si>
    <t>A015981410</t>
  </si>
  <si>
    <t>Prabjot Singh</t>
  </si>
  <si>
    <t>A015979469</t>
  </si>
  <si>
    <t>Khurshid Mansuree</t>
  </si>
  <si>
    <t>A016034236</t>
  </si>
  <si>
    <t>Alok Mahato</t>
  </si>
  <si>
    <t>A016034541</t>
  </si>
  <si>
    <t>Amla Hembram</t>
  </si>
  <si>
    <t>A016036727</t>
  </si>
  <si>
    <t>Sakuntala Gorai</t>
  </si>
  <si>
    <t>A016037037</t>
  </si>
  <si>
    <t>Tapashri Mahato</t>
  </si>
  <si>
    <t>Q001118513</t>
  </si>
  <si>
    <t>Reyaz Ahmad Siddique</t>
  </si>
  <si>
    <t>A016056769</t>
  </si>
  <si>
    <t>Umesh Kumar Singh</t>
  </si>
  <si>
    <t>Q001123011</t>
  </si>
  <si>
    <t>Kuldeep Pandey</t>
  </si>
  <si>
    <t>Q001120397</t>
  </si>
  <si>
    <t>A016123538</t>
  </si>
  <si>
    <t>Asha Gorai</t>
  </si>
  <si>
    <t>dispatched on 7-2</t>
  </si>
  <si>
    <t>A016107101</t>
  </si>
  <si>
    <t>A016123362</t>
  </si>
  <si>
    <t>Simanta Gorai</t>
  </si>
  <si>
    <t>A016108565</t>
  </si>
  <si>
    <t>Madhvi Kumaravel</t>
  </si>
  <si>
    <t>A016108046</t>
  </si>
  <si>
    <t>Mohit Mishra</t>
  </si>
  <si>
    <t>A016106812</t>
  </si>
  <si>
    <t>Mohammad Shafiullah</t>
  </si>
  <si>
    <t>A016107531</t>
  </si>
  <si>
    <t>Chutu Karmakar</t>
  </si>
  <si>
    <t>Q001122872</t>
  </si>
  <si>
    <t>Indrajit Singh</t>
  </si>
  <si>
    <t>21-01-1970</t>
  </si>
  <si>
    <t>A016207912</t>
  </si>
  <si>
    <t>Ratan Chandra Mahato</t>
  </si>
  <si>
    <t>A016166060</t>
  </si>
  <si>
    <t>Kabita Mukherjee</t>
  </si>
  <si>
    <t>A016206421</t>
  </si>
  <si>
    <t>Shiriti Kumari</t>
  </si>
  <si>
    <t>A016182536</t>
  </si>
  <si>
    <t>Guruwa Rohidas</t>
  </si>
  <si>
    <t>Q001131830</t>
  </si>
  <si>
    <t>Q001131854</t>
  </si>
  <si>
    <t>Q001142088</t>
  </si>
  <si>
    <t>Jaspal Singh</t>
  </si>
  <si>
    <t>A016445759</t>
  </si>
  <si>
    <t>Sanju Ho</t>
  </si>
  <si>
    <t>Q001145953</t>
  </si>
  <si>
    <t>Rabish Kumar</t>
  </si>
  <si>
    <t>A016263520</t>
  </si>
  <si>
    <t>Surbhi Suman</t>
  </si>
  <si>
    <t>A016442822</t>
  </si>
  <si>
    <t>Gulnaz Khatoon</t>
  </si>
  <si>
    <t>Q001150454</t>
  </si>
  <si>
    <t>Gayatri Tripathy</t>
  </si>
  <si>
    <t>A016445535</t>
  </si>
  <si>
    <t>Nilu Kaur</t>
  </si>
  <si>
    <t>Q001148662</t>
  </si>
  <si>
    <t>Shahina Perween</t>
  </si>
  <si>
    <t>29/06/2019</t>
  </si>
  <si>
    <t>A016443441</t>
  </si>
  <si>
    <t>Kamal Singh</t>
  </si>
  <si>
    <t>A016450707</t>
  </si>
  <si>
    <t>Arjun Mahali</t>
  </si>
  <si>
    <t>A016476264</t>
  </si>
  <si>
    <t>Pinky Rai</t>
  </si>
  <si>
    <t>A016474590</t>
  </si>
  <si>
    <t>Shaktipad Gorai</t>
  </si>
  <si>
    <t>A016475613</t>
  </si>
  <si>
    <t>Shaista Naaz</t>
  </si>
  <si>
    <t>A016328801</t>
  </si>
  <si>
    <t>Lakkhimani Biruli</t>
  </si>
  <si>
    <t>A016421484</t>
  </si>
  <si>
    <t>Najma Begum</t>
  </si>
  <si>
    <t>A016417024</t>
  </si>
  <si>
    <t>Rasida Khatoon</t>
  </si>
  <si>
    <t>A016476842</t>
  </si>
  <si>
    <t>Hassan Rizvi</t>
  </si>
  <si>
    <t>A016476918</t>
  </si>
  <si>
    <t>Shahrukh Akmal</t>
  </si>
  <si>
    <t>A016477056</t>
  </si>
  <si>
    <t>Tehrun Nisha</t>
  </si>
  <si>
    <t>A016486468</t>
  </si>
  <si>
    <t>Sila Sahu</t>
  </si>
  <si>
    <t>A016475924</t>
  </si>
  <si>
    <t>Sunita Prajapati</t>
  </si>
  <si>
    <t>A016474808</t>
  </si>
  <si>
    <t>Aloka Gorai</t>
  </si>
  <si>
    <t>A016485108</t>
  </si>
  <si>
    <t>Najbun Nisha</t>
  </si>
  <si>
    <t>Q001155015</t>
  </si>
  <si>
    <t>Mohammad Hamjala</t>
  </si>
  <si>
    <t>A01651118</t>
  </si>
  <si>
    <t>Ravi Kumar Prasad</t>
  </si>
  <si>
    <t>a016510581</t>
  </si>
  <si>
    <t>Jasbir Kaur Suri</t>
  </si>
  <si>
    <t>A016529149</t>
  </si>
  <si>
    <t>Aniket Panda</t>
  </si>
  <si>
    <t>A016541733</t>
  </si>
  <si>
    <t>Shubham Kumra</t>
  </si>
  <si>
    <t>A016416796</t>
  </si>
  <si>
    <t>Sanjay Prasd</t>
  </si>
  <si>
    <t>A016576874</t>
  </si>
  <si>
    <t>Guina Karmakar</t>
  </si>
  <si>
    <t>A016581996</t>
  </si>
  <si>
    <t>Singh</t>
  </si>
  <si>
    <t>A016581660</t>
  </si>
  <si>
    <t>Indrakshi Dey</t>
  </si>
  <si>
    <t>Q001159074</t>
  </si>
  <si>
    <t>The Harijan</t>
  </si>
  <si>
    <t>A016590355</t>
  </si>
  <si>
    <t>Ujjwal Sahu</t>
  </si>
  <si>
    <t>A016624507</t>
  </si>
  <si>
    <t>Samima Khatun</t>
  </si>
  <si>
    <t>A016637404</t>
  </si>
  <si>
    <t>Raju Mikhi</t>
  </si>
  <si>
    <t>A016637984</t>
  </si>
  <si>
    <t>Kalawati Singh</t>
  </si>
  <si>
    <t>A016655869</t>
  </si>
  <si>
    <t>Puja Karmakar</t>
  </si>
  <si>
    <t>A016656822</t>
  </si>
  <si>
    <t>Kanika Pal</t>
  </si>
  <si>
    <t>Q001166598</t>
  </si>
  <si>
    <t>Jalaluddin Ahmed</t>
  </si>
  <si>
    <t>A016704463</t>
  </si>
  <si>
    <t>Heena Singh</t>
  </si>
  <si>
    <t>A016712411</t>
  </si>
  <si>
    <t>Saiyad Sakib</t>
  </si>
  <si>
    <t>A016713288</t>
  </si>
  <si>
    <t>Ramesh Kumar</t>
  </si>
  <si>
    <t>A016717904</t>
  </si>
  <si>
    <t>Varadi Ravanamma</t>
  </si>
  <si>
    <t>A016809232</t>
  </si>
  <si>
    <t>Dilip Rai</t>
  </si>
  <si>
    <t>A016840167</t>
  </si>
  <si>
    <t>Sarfaraz Sabbir</t>
  </si>
  <si>
    <t>A016840836</t>
  </si>
  <si>
    <t>Ranjit Singh</t>
  </si>
  <si>
    <t>A016840634</t>
  </si>
  <si>
    <t>Pintu Dutta</t>
  </si>
  <si>
    <t>A016840456</t>
  </si>
  <si>
    <t>Krishna Karmakar</t>
  </si>
  <si>
    <t>Q001175181</t>
  </si>
  <si>
    <t>Jasbir Singh</t>
  </si>
  <si>
    <t>A016870395</t>
  </si>
  <si>
    <t>Shail Verma</t>
  </si>
  <si>
    <t>Q001176753</t>
  </si>
  <si>
    <t>Vijaya Laxmi</t>
  </si>
  <si>
    <t>A017034358</t>
  </si>
  <si>
    <t>Sarwari Bibi</t>
  </si>
  <si>
    <t>A017076382`</t>
  </si>
  <si>
    <t>Anamika Kumri</t>
  </si>
  <si>
    <t>A017076334</t>
  </si>
  <si>
    <t>Avinash Kumar</t>
  </si>
  <si>
    <t>Q001185290</t>
  </si>
  <si>
    <t>Ram Prasad Mahato</t>
  </si>
  <si>
    <t>A017097452</t>
  </si>
  <si>
    <t>Bimla Kaur</t>
  </si>
  <si>
    <t>A017076414</t>
  </si>
  <si>
    <t>Nirmal Kumar</t>
  </si>
  <si>
    <t>A017123682</t>
  </si>
  <si>
    <t>Karuna Kumar</t>
  </si>
  <si>
    <t>A016947365</t>
  </si>
  <si>
    <t>Arjun Mardi</t>
  </si>
  <si>
    <t>11-11-1988</t>
  </si>
  <si>
    <t>A017007927</t>
  </si>
  <si>
    <t>Manju Parida</t>
  </si>
  <si>
    <t>A017099730</t>
  </si>
  <si>
    <t>Manik Banerjee</t>
  </si>
  <si>
    <t>A017101973</t>
  </si>
  <si>
    <t>Gurucharan Sardar</t>
  </si>
  <si>
    <t>A017127133</t>
  </si>
  <si>
    <t>Rehana Begum</t>
  </si>
  <si>
    <t>07-09-1994</t>
  </si>
  <si>
    <t>A017137223</t>
  </si>
  <si>
    <t>Gourav Anand</t>
  </si>
  <si>
    <t>A017149708</t>
  </si>
  <si>
    <t>Mohammad Ali Sher</t>
  </si>
  <si>
    <t>Q001188733</t>
  </si>
  <si>
    <t>Raj Kumari</t>
  </si>
  <si>
    <t>A017195568</t>
  </si>
  <si>
    <t>Govind Swami</t>
  </si>
  <si>
    <t>A017273870</t>
  </si>
  <si>
    <t>Shashi Kumar</t>
  </si>
  <si>
    <t>A017301611</t>
  </si>
  <si>
    <t>Nikhat Perween</t>
  </si>
  <si>
    <t>A017297767</t>
  </si>
  <si>
    <t>Sweety Kumari</t>
  </si>
  <si>
    <t>A017297326</t>
  </si>
  <si>
    <t>Athar Khan</t>
  </si>
  <si>
    <t>A017296850</t>
  </si>
  <si>
    <t>Som Gorai</t>
  </si>
  <si>
    <t>A017383512</t>
  </si>
  <si>
    <t>Nimai Mahato</t>
  </si>
  <si>
    <t>A017430966</t>
  </si>
  <si>
    <t>Sajda Tabassum</t>
  </si>
  <si>
    <t>A017598870</t>
  </si>
  <si>
    <t>Jaychand Mahato</t>
  </si>
  <si>
    <t>A017545200</t>
  </si>
  <si>
    <t>RiZwana Khatoon</t>
  </si>
  <si>
    <t>A017686814</t>
  </si>
  <si>
    <t>Anil Kumar Parsad</t>
  </si>
  <si>
    <t>Sambhu Das</t>
  </si>
  <si>
    <t>sinha</t>
  </si>
  <si>
    <t>Q001214476</t>
  </si>
  <si>
    <t>Mohammad Nasimuddin</t>
  </si>
  <si>
    <t>A017931636</t>
  </si>
  <si>
    <t>Mohan Gorai</t>
  </si>
  <si>
    <t>24-05-1997</t>
  </si>
  <si>
    <t>A017931897</t>
  </si>
  <si>
    <t>Bablu Singh</t>
  </si>
  <si>
    <t>01-01-1986</t>
  </si>
  <si>
    <t>A017932063</t>
  </si>
  <si>
    <t>Raghunath Singh</t>
  </si>
  <si>
    <t>01-01-1970</t>
  </si>
  <si>
    <t>Shambhu Singh</t>
  </si>
  <si>
    <t>01-01-1987</t>
  </si>
  <si>
    <t>A017932416</t>
  </si>
  <si>
    <t>Pintu Singh</t>
  </si>
  <si>
    <t>01-01-1989</t>
  </si>
  <si>
    <t>A017932588</t>
  </si>
  <si>
    <t>Karan Singh</t>
  </si>
  <si>
    <t>Q001222564</t>
  </si>
  <si>
    <t>Domyanti Mukhi</t>
  </si>
  <si>
    <t>due-200</t>
  </si>
  <si>
    <t>A017979303</t>
  </si>
  <si>
    <t>Kshetramohan Mahato</t>
  </si>
  <si>
    <t>01-01-1953</t>
  </si>
  <si>
    <t>A017979523 </t>
  </si>
  <si>
    <t>Rabindra Sunani</t>
  </si>
  <si>
    <t>06-01-1974</t>
  </si>
  <si>
    <t>A017979685</t>
  </si>
  <si>
    <t>Seikh Imtiyaz Ali</t>
  </si>
  <si>
    <t>25-06-1999</t>
  </si>
  <si>
    <t>A018003397</t>
  </si>
  <si>
    <t>Rina Dutta</t>
  </si>
  <si>
    <t>12-12-1979</t>
  </si>
  <si>
    <t>Q001224049 </t>
  </si>
  <si>
    <t>Niranjan Kumar Srivastava</t>
  </si>
  <si>
    <t>A018019826</t>
  </si>
  <si>
    <t>Golak Dhibar</t>
  </si>
  <si>
    <t>01-01-1996</t>
  </si>
  <si>
    <t>A018078644</t>
  </si>
  <si>
    <t>Shubham Pathak</t>
  </si>
  <si>
    <t>31-12-2000</t>
  </si>
  <si>
    <t>Q001184390</t>
  </si>
  <si>
    <t>Kamal Narayan Singh</t>
  </si>
  <si>
    <t>20-04-1954</t>
  </si>
  <si>
    <t>due</t>
  </si>
  <si>
    <t>A018181466</t>
  </si>
  <si>
    <t>Tuli Singh</t>
  </si>
  <si>
    <t>01-01-1954</t>
  </si>
  <si>
    <t>15-03-2019</t>
  </si>
  <si>
    <t>A018181543</t>
  </si>
  <si>
    <t>Sarswati Sardar</t>
  </si>
  <si>
    <t>01-01-1960</t>
  </si>
  <si>
    <t>A018181587</t>
  </si>
  <si>
    <t>Soniya Prasad</t>
  </si>
  <si>
    <t>A018181622</t>
  </si>
  <si>
    <t>Dilip Sardar</t>
  </si>
  <si>
    <t>01-01-1983</t>
  </si>
  <si>
    <t>A018181650</t>
  </si>
  <si>
    <t>Aparti Sardar</t>
  </si>
  <si>
    <t>01-01-1980</t>
  </si>
  <si>
    <t>A018181685</t>
  </si>
  <si>
    <t>Anita Sardar</t>
  </si>
  <si>
    <t>A018227447</t>
  </si>
  <si>
    <t>Sirola Karmakar</t>
  </si>
  <si>
    <t>01-01-1965</t>
  </si>
  <si>
    <t>16-03-2019</t>
  </si>
  <si>
    <t>A018226948</t>
  </si>
  <si>
    <t>Ganesh Mahakur</t>
  </si>
  <si>
    <t>10-03-1997</t>
  </si>
  <si>
    <t>Q001235632</t>
  </si>
  <si>
    <t>Sumer Kumar Thakur</t>
  </si>
  <si>
    <t>03-03-1961</t>
  </si>
  <si>
    <t>Q001240270</t>
  </si>
  <si>
    <t>Vicki Singh</t>
  </si>
  <si>
    <t>10-02-1983</t>
  </si>
  <si>
    <t>Q001240523</t>
  </si>
  <si>
    <t>Ajit Kumar</t>
  </si>
  <si>
    <t>13-01-1993</t>
  </si>
  <si>
    <t>A018340140</t>
  </si>
  <si>
    <t>Ursulina Tudu</t>
  </si>
  <si>
    <t>08-02-1992</t>
  </si>
  <si>
    <t>19-03-2019</t>
  </si>
  <si>
    <t>A018363691</t>
  </si>
  <si>
    <t>Gurucharan singh</t>
  </si>
  <si>
    <t>01-01-1979</t>
  </si>
  <si>
    <t>A018363979</t>
  </si>
  <si>
    <t>Basumati Singh</t>
  </si>
  <si>
    <t>01-01-1985</t>
  </si>
  <si>
    <t>A018364325</t>
  </si>
  <si>
    <t>Atif Afsar Khan</t>
  </si>
  <si>
    <t>15-10-1999</t>
  </si>
  <si>
    <t>A018364627</t>
  </si>
  <si>
    <t>Asif Afsar Khan</t>
  </si>
  <si>
    <t>22-12-2000</t>
  </si>
  <si>
    <t>A018378722</t>
  </si>
  <si>
    <t>Neha KUmari</t>
  </si>
  <si>
    <t>29-10-2000</t>
  </si>
  <si>
    <t>A018381151</t>
  </si>
  <si>
    <t>Tarannum Nisha</t>
  </si>
  <si>
    <t>22-05-2000</t>
  </si>
  <si>
    <t>A018486317</t>
  </si>
  <si>
    <t>Md Faiyaz Khan</t>
  </si>
  <si>
    <t>01-01-1975</t>
  </si>
  <si>
    <t>23-03-2019</t>
  </si>
  <si>
    <t>A018484138</t>
  </si>
  <si>
    <t>Shubham Dev Nath</t>
  </si>
  <si>
    <t>23-04-2000</t>
  </si>
  <si>
    <t>A018485322</t>
  </si>
  <si>
    <t>Deepak Kumar Mahato</t>
  </si>
  <si>
    <t>05-021998</t>
  </si>
  <si>
    <t>A018536076</t>
  </si>
  <si>
    <t>Malti Soren</t>
  </si>
  <si>
    <t>01-01-1974</t>
  </si>
  <si>
    <t>Rahin Lohra</t>
  </si>
  <si>
    <t>Q001253466</t>
  </si>
  <si>
    <t>Trilok Singh</t>
  </si>
  <si>
    <t>08-07-1964</t>
  </si>
  <si>
    <t>Q001253407</t>
  </si>
  <si>
    <t>Rajinder Kaur</t>
  </si>
  <si>
    <t>12-09-1976</t>
  </si>
  <si>
    <t>Q001253762</t>
  </si>
  <si>
    <t>Syed Mahfoozur Rahman</t>
  </si>
  <si>
    <t>03-10-1948</t>
  </si>
  <si>
    <t>A018582265</t>
  </si>
  <si>
    <t>27-10-1980</t>
  </si>
  <si>
    <t>A018574496</t>
  </si>
  <si>
    <t>Prem Sagar</t>
  </si>
  <si>
    <t>07-08-1994</t>
  </si>
  <si>
    <t>Q001255862 </t>
  </si>
  <si>
    <t>Hardeep Singh</t>
  </si>
  <si>
    <t>16-06-1973</t>
  </si>
  <si>
    <t>A018652703</t>
  </si>
  <si>
    <t>Abhinav Mukherjee</t>
  </si>
  <si>
    <t>08-11-2000</t>
  </si>
  <si>
    <t>Q001256686 </t>
  </si>
  <si>
    <t>Krishna Nand Prasad Singh</t>
  </si>
  <si>
    <t>Q001258406</t>
  </si>
  <si>
    <t>Bijay Kumar Mishra</t>
  </si>
  <si>
    <t>04-07-1962</t>
  </si>
  <si>
    <t>A018699345</t>
  </si>
  <si>
    <t>Supriya Patra</t>
  </si>
  <si>
    <t>A018702941</t>
  </si>
  <si>
    <t>Ramjhari Devi</t>
  </si>
  <si>
    <t>A018703406</t>
  </si>
  <si>
    <t>Prabhat Ranjan Mahato</t>
  </si>
  <si>
    <t>A018704610</t>
  </si>
  <si>
    <t>Gobinda Das</t>
  </si>
  <si>
    <t>21-04-1993</t>
  </si>
  <si>
    <t>A018719456</t>
  </si>
  <si>
    <t>Mayank Kumar</t>
  </si>
  <si>
    <t>24/12/2000</t>
  </si>
  <si>
    <t>A018745790</t>
  </si>
  <si>
    <t>Priyanka Nandkuliyar</t>
  </si>
  <si>
    <t>Q001265218</t>
  </si>
  <si>
    <t>Bhawani Khan</t>
  </si>
  <si>
    <t>21-12-1951</t>
  </si>
  <si>
    <t>01-04-2019</t>
  </si>
  <si>
    <t>A018837075</t>
  </si>
  <si>
    <t>Vasmoni Sardar</t>
  </si>
  <si>
    <t>A018911211</t>
  </si>
  <si>
    <t>Sujaat Ali</t>
  </si>
  <si>
    <t>14-01-1983</t>
  </si>
  <si>
    <t>Q001269799</t>
  </si>
  <si>
    <t>Pradeep Yadav</t>
  </si>
  <si>
    <t>18-06-1988</t>
  </si>
  <si>
    <t>A018926928</t>
  </si>
  <si>
    <t>Priya Kumari</t>
  </si>
  <si>
    <t>18-10-1998</t>
  </si>
  <si>
    <t>A018903868</t>
  </si>
  <si>
    <t>Manju Kundu</t>
  </si>
  <si>
    <t>01-01-1964</t>
  </si>
  <si>
    <t>A018992702</t>
  </si>
  <si>
    <t>Avishake Chatterjee</t>
  </si>
  <si>
    <t>17-10-2000</t>
  </si>
  <si>
    <t>A019049644</t>
  </si>
  <si>
    <t>Soumya Verma</t>
  </si>
  <si>
    <t>05-03-1990</t>
  </si>
  <si>
    <t>A019056503</t>
  </si>
  <si>
    <t>Laxmi Sandil</t>
  </si>
  <si>
    <t>A019117955</t>
  </si>
  <si>
    <t>Sanju Mukhi</t>
  </si>
  <si>
    <t>A019112054</t>
  </si>
  <si>
    <t>Sibani Rani Jana</t>
  </si>
  <si>
    <t>31-12-1949</t>
  </si>
  <si>
    <t>A019119961</t>
  </si>
  <si>
    <t>Rasmita Jana</t>
  </si>
  <si>
    <t>08-06-1988</t>
  </si>
  <si>
    <t>A019171931 </t>
  </si>
  <si>
    <t>Mobassrin Khan</t>
  </si>
  <si>
    <t>26-01-2000</t>
  </si>
  <si>
    <t>A019190447 </t>
  </si>
  <si>
    <t>23-06-1968</t>
  </si>
  <si>
    <t>A019234647</t>
  </si>
  <si>
    <t>Tuklu Karmakar</t>
  </si>
  <si>
    <t>13-08-1998</t>
  </si>
  <si>
    <t>Q001288081</t>
  </si>
  <si>
    <t>Anupriya Agnihotry</t>
  </si>
  <si>
    <t>31-12-1990</t>
  </si>
  <si>
    <t>A019292198</t>
  </si>
  <si>
    <t>Sunita Kumari</t>
  </si>
  <si>
    <t>09-04-1992</t>
  </si>
  <si>
    <t>A019263047</t>
  </si>
  <si>
    <t>Beena Devi</t>
  </si>
  <si>
    <t>09-04-1989</t>
  </si>
  <si>
    <t>A019339243</t>
  </si>
  <si>
    <t>Dilkash Khan</t>
  </si>
  <si>
    <t>31-01-2001</t>
  </si>
  <si>
    <t>A019340217</t>
  </si>
  <si>
    <t>Akhatri Khatoon</t>
  </si>
  <si>
    <t>A019361665</t>
  </si>
  <si>
    <t>Singre bari</t>
  </si>
  <si>
    <t>01-01-1995</t>
  </si>
  <si>
    <t>A018424522</t>
  </si>
  <si>
    <t>Syed Osama Hussain</t>
  </si>
  <si>
    <t>21-06-1999</t>
  </si>
  <si>
    <t>A019552230</t>
  </si>
  <si>
    <t>Shek Seraj</t>
  </si>
  <si>
    <t>28-06-1994</t>
  </si>
  <si>
    <t>No Response</t>
  </si>
  <si>
    <t>Q001306524</t>
  </si>
  <si>
    <t>Bharati Devi</t>
  </si>
  <si>
    <t>01-01-1971</t>
  </si>
  <si>
    <t>A019614599</t>
  </si>
  <si>
    <t>Mamta Devi</t>
  </si>
  <si>
    <t>04-12-1991</t>
  </si>
  <si>
    <t>Q001312189</t>
  </si>
  <si>
    <t>Ritu Kumari</t>
  </si>
  <si>
    <t>01-02-1983</t>
  </si>
  <si>
    <t>A019640732</t>
  </si>
  <si>
    <t>Sanjeet Gorai</t>
  </si>
  <si>
    <t>11-02-1998</t>
  </si>
  <si>
    <t>A019672763</t>
  </si>
  <si>
    <t>Usha Karmakar</t>
  </si>
  <si>
    <t>Q001325045</t>
  </si>
  <si>
    <t>Nandu Karwa</t>
  </si>
  <si>
    <t>02-08-1976</t>
  </si>
  <si>
    <t>Q001325233</t>
  </si>
  <si>
    <t>11-05-1969</t>
  </si>
  <si>
    <t>Q001326034</t>
  </si>
  <si>
    <t>Gouri Kumari</t>
  </si>
  <si>
    <t>Q001329859</t>
  </si>
  <si>
    <t>Ajay Kumar Yadav</t>
  </si>
  <si>
    <t>06-05-2015</t>
  </si>
  <si>
    <t>Q001331740</t>
  </si>
  <si>
    <t>Dinesh Kumar pandey</t>
  </si>
  <si>
    <t>31/01/1972</t>
  </si>
  <si>
    <t>08/05/2019</t>
  </si>
  <si>
    <t>Q001335452</t>
  </si>
  <si>
    <t>10-05-2019</t>
  </si>
  <si>
    <t>Q001337665 </t>
  </si>
  <si>
    <t>Nuzha Maaz</t>
  </si>
  <si>
    <t>10-07-1988</t>
  </si>
  <si>
    <t>A0199843174</t>
  </si>
  <si>
    <t>ppppppp</t>
  </si>
  <si>
    <t>02-02-1995</t>
  </si>
  <si>
    <t>A020009919</t>
  </si>
  <si>
    <t>25-01-1987</t>
  </si>
  <si>
    <t>A020071181</t>
  </si>
  <si>
    <t>Pinky Verma</t>
  </si>
  <si>
    <t>24-03-1988</t>
  </si>
  <si>
    <t>Q001345122</t>
  </si>
  <si>
    <t>Malkit Singh Suri</t>
  </si>
  <si>
    <t>26-08-1959</t>
  </si>
  <si>
    <t>15-05-2019</t>
  </si>
  <si>
    <t>Q001350318</t>
  </si>
  <si>
    <t>Neelam Singh</t>
  </si>
  <si>
    <t>23-02-1997</t>
  </si>
  <si>
    <t>A020169264</t>
  </si>
  <si>
    <t>Dolly Gorai</t>
  </si>
  <si>
    <t>05-03-1987</t>
  </si>
  <si>
    <t xml:space="preserve">Q001351783 </t>
  </si>
  <si>
    <t>Shruti</t>
  </si>
  <si>
    <t>20-02-2019</t>
  </si>
  <si>
    <t>A020218119</t>
  </si>
  <si>
    <t>Shalu Singh</t>
  </si>
  <si>
    <t>01-01-1997</t>
  </si>
  <si>
    <t>Q001360761</t>
  </si>
  <si>
    <t>Reyaz Ahmad Khan</t>
  </si>
  <si>
    <t>05-07-1957</t>
  </si>
  <si>
    <t xml:space="preserve"> </t>
  </si>
  <si>
    <t>A020380189</t>
  </si>
  <si>
    <t>Nilmani Besra</t>
  </si>
  <si>
    <t>01-01-1984</t>
  </si>
  <si>
    <t>A020409035</t>
  </si>
  <si>
    <t>Mala Devi</t>
  </si>
  <si>
    <t>10-12-1987</t>
  </si>
  <si>
    <t>A020405697</t>
  </si>
  <si>
    <t>Paramjeet Kour</t>
  </si>
  <si>
    <t>03-09-1994</t>
  </si>
  <si>
    <t>Q001369561</t>
  </si>
  <si>
    <t>Lipika Gorai</t>
  </si>
  <si>
    <t>13-08-1955</t>
  </si>
  <si>
    <t>A020436715</t>
  </si>
  <si>
    <t>Jagannath Gorai</t>
  </si>
  <si>
    <t>07-04-1991</t>
  </si>
  <si>
    <t>Q001385632</t>
  </si>
  <si>
    <t>Anup Kumar Agarwal</t>
  </si>
  <si>
    <t>21-12-1980</t>
  </si>
  <si>
    <t>08-06-2019</t>
  </si>
  <si>
    <t>A020652775</t>
  </si>
  <si>
    <t>Rajo bala Gorai</t>
  </si>
  <si>
    <t>01-05-1978</t>
  </si>
  <si>
    <t>A020652553</t>
  </si>
  <si>
    <t>Deepika Gorai</t>
  </si>
  <si>
    <t>11-11-1990</t>
  </si>
  <si>
    <t>A020693009</t>
  </si>
  <si>
    <t>Razia Begam</t>
  </si>
  <si>
    <t>07-05-1956</t>
  </si>
  <si>
    <t>09-06-2019</t>
  </si>
  <si>
    <t>A020693711 </t>
  </si>
  <si>
    <t>Shiksha Shivangi</t>
  </si>
  <si>
    <t>01-01-2000</t>
  </si>
  <si>
    <t>10-06-2019</t>
  </si>
  <si>
    <t>A020739451</t>
  </si>
  <si>
    <t>Anurag Kumar Pandey</t>
  </si>
  <si>
    <t>11-06-2019</t>
  </si>
  <si>
    <t>A020743432</t>
  </si>
  <si>
    <t>Subal Gorai</t>
  </si>
  <si>
    <t>01-01-1957</t>
  </si>
  <si>
    <t>12-06-2019</t>
  </si>
  <si>
    <t>A020773301</t>
  </si>
  <si>
    <t>Sahnaz Perween</t>
  </si>
  <si>
    <t>01-01-1992</t>
  </si>
  <si>
    <t>13-06-2019</t>
  </si>
  <si>
    <t>A020773942 </t>
  </si>
  <si>
    <t>Mohammad Miraj</t>
  </si>
  <si>
    <t>18-05-1979</t>
  </si>
  <si>
    <t>A020833146</t>
  </si>
  <si>
    <t>Nandu Saw</t>
  </si>
  <si>
    <t>03-02-1970</t>
  </si>
  <si>
    <t>15-06-2019</t>
  </si>
  <si>
    <t>Q001398559</t>
  </si>
  <si>
    <t>Manju Devi</t>
  </si>
  <si>
    <t>01-01-1981</t>
  </si>
  <si>
    <t>Q001400077</t>
  </si>
  <si>
    <t>Dhnanjay Kumar</t>
  </si>
  <si>
    <t>21-01-1984</t>
  </si>
  <si>
    <t>Q001403762</t>
  </si>
  <si>
    <t>Premshila Devi</t>
  </si>
  <si>
    <t>20-09-1957</t>
  </si>
  <si>
    <t>18-06-2019</t>
  </si>
  <si>
    <t>Q001403962</t>
  </si>
  <si>
    <t>Ram Bilash Singh</t>
  </si>
  <si>
    <t>03-02-1957</t>
  </si>
  <si>
    <t>A020969202</t>
  </si>
  <si>
    <t>Nalini Sinha</t>
  </si>
  <si>
    <t>22-07-1993</t>
  </si>
  <si>
    <t>19-06-2019</t>
  </si>
  <si>
    <t>A020982327</t>
  </si>
  <si>
    <t>Kamal Kumar Singh</t>
  </si>
  <si>
    <t>02-10-1979</t>
  </si>
  <si>
    <t>20-06-2019</t>
  </si>
  <si>
    <t>A021141964</t>
  </si>
  <si>
    <t>Dimpal Kumari</t>
  </si>
  <si>
    <t>05-06-1995</t>
  </si>
  <si>
    <t>25-06-2019</t>
  </si>
  <si>
    <t>A021141291</t>
  </si>
  <si>
    <t>Usha Vishwakarma</t>
  </si>
  <si>
    <t>07-09-1969</t>
  </si>
  <si>
    <t>Q001423233</t>
  </si>
  <si>
    <t>Sanju Yadav</t>
  </si>
  <si>
    <t>02-01-1985</t>
  </si>
  <si>
    <t>26-06-2019</t>
  </si>
  <si>
    <t>a021182811</t>
  </si>
  <si>
    <t>Hirawati Pandey</t>
  </si>
  <si>
    <t>01-01-1969</t>
  </si>
  <si>
    <t>A021190382</t>
  </si>
  <si>
    <t>Alomati Mahato</t>
  </si>
  <si>
    <t>02-06-1999</t>
  </si>
  <si>
    <t>A021192900</t>
  </si>
  <si>
    <t>Jay Prakash Gupta</t>
  </si>
  <si>
    <t>A021264943</t>
  </si>
  <si>
    <t>Anam Khurshid</t>
  </si>
  <si>
    <t>12-11-1997</t>
  </si>
  <si>
    <t>29-06-2019</t>
  </si>
  <si>
    <t>A021312367</t>
  </si>
  <si>
    <t>Kumkum Devi</t>
  </si>
  <si>
    <t>15-02-1989</t>
  </si>
  <si>
    <t>01-07-2019</t>
  </si>
  <si>
    <t>Q001433511</t>
  </si>
  <si>
    <t>A021394559</t>
  </si>
  <si>
    <t>Shabina Perveen</t>
  </si>
  <si>
    <t>21-01-1995</t>
  </si>
  <si>
    <t>04-17-2019</t>
  </si>
  <si>
    <t>Q001439235</t>
  </si>
  <si>
    <t>Mohammad Ekhlak</t>
  </si>
  <si>
    <t>09-12-1976</t>
  </si>
  <si>
    <t>A021452150</t>
  </si>
  <si>
    <t>Rizwana Perween</t>
  </si>
  <si>
    <t>12-01-1988</t>
  </si>
  <si>
    <t>A021492257</t>
  </si>
  <si>
    <t>Nishi Kumari Soni</t>
  </si>
  <si>
    <t>04-05-2001</t>
  </si>
  <si>
    <t>07-07-2019</t>
  </si>
  <si>
    <t>A021492114</t>
  </si>
  <si>
    <t>Neha Kumari Soni</t>
  </si>
  <si>
    <t>12-02-1998</t>
  </si>
  <si>
    <t>A021500467</t>
  </si>
  <si>
    <t>Maya Devi Pandey</t>
  </si>
  <si>
    <t>11-12-1981</t>
  </si>
  <si>
    <t>Returned</t>
  </si>
  <si>
    <t>Q001447883</t>
  </si>
  <si>
    <t>Sandip Das</t>
  </si>
  <si>
    <t>02-06-1976</t>
  </si>
  <si>
    <t>Objection Address</t>
  </si>
  <si>
    <t>Re-uploaded</t>
  </si>
  <si>
    <t>A021513271</t>
  </si>
  <si>
    <t>Rounak Chakraborty</t>
  </si>
  <si>
    <t>28-01-2001</t>
  </si>
  <si>
    <t>Q001449414 </t>
  </si>
  <si>
    <t>Dadi Vara Noka Lakshmi</t>
  </si>
  <si>
    <t>21-03-1963</t>
  </si>
  <si>
    <t>08-07-2019</t>
  </si>
  <si>
    <t>A021596930</t>
  </si>
  <si>
    <t>Reena Karmakar</t>
  </si>
  <si>
    <t>07-11-2000</t>
  </si>
  <si>
    <t>11-07-2019</t>
  </si>
  <si>
    <t>A021588233</t>
  </si>
  <si>
    <t>Rajvansh Sah</t>
  </si>
  <si>
    <t>13-11-2000</t>
  </si>
  <si>
    <t>Q001455713</t>
  </si>
  <si>
    <t>Raghunath Prasad Kuri</t>
  </si>
  <si>
    <t>01-01-1978</t>
  </si>
  <si>
    <t>Q001457289</t>
  </si>
  <si>
    <t>Haider Ali</t>
  </si>
  <si>
    <t>31-03-1998</t>
  </si>
  <si>
    <t>Q001457326</t>
  </si>
  <si>
    <t>A021634675</t>
  </si>
  <si>
    <t>Asha Bhuiya</t>
  </si>
  <si>
    <t>12-09-1997</t>
  </si>
  <si>
    <t>Q001458590</t>
  </si>
  <si>
    <t>Neha Tiwari</t>
  </si>
  <si>
    <t>26-08-1993</t>
  </si>
  <si>
    <t>Q001462906</t>
  </si>
  <si>
    <t>Sunil Kumar Sha</t>
  </si>
  <si>
    <t>12-06-1972</t>
  </si>
  <si>
    <t>14-07-19</t>
  </si>
  <si>
    <t>A021705114</t>
  </si>
  <si>
    <t>Faizyab Hussain</t>
  </si>
  <si>
    <t>08-02-2000</t>
  </si>
  <si>
    <t>Q001473628</t>
  </si>
  <si>
    <t>Dukhan Prasad</t>
  </si>
  <si>
    <t>16-06-1968</t>
  </si>
  <si>
    <t>Q001473425</t>
  </si>
  <si>
    <t>Putul Devi</t>
  </si>
  <si>
    <t>Q001479359</t>
  </si>
  <si>
    <t>Shiv Shankar Pradhan</t>
  </si>
  <si>
    <t>08-05-2000</t>
  </si>
  <si>
    <t>A021896268</t>
  </si>
  <si>
    <t>Santosh Kumar Verma</t>
  </si>
  <si>
    <t>A021898665</t>
  </si>
  <si>
    <t>Saima Shaheen</t>
  </si>
  <si>
    <t>03-12-1993</t>
  </si>
  <si>
    <t>A022019511 </t>
  </si>
  <si>
    <t>Nishu Upadhyay</t>
  </si>
  <si>
    <t>11-12-2000</t>
  </si>
  <si>
    <t>A022019676</t>
  </si>
  <si>
    <t>Halima Begum</t>
  </si>
  <si>
    <t>A022023483</t>
  </si>
  <si>
    <t>Yash Baanwal</t>
  </si>
  <si>
    <t>11-01-2001</t>
  </si>
  <si>
    <t>A021596781</t>
  </si>
  <si>
    <t>Gurupodo Gorai</t>
  </si>
  <si>
    <t>A022068982</t>
  </si>
  <si>
    <t>Damini Devi</t>
  </si>
  <si>
    <t>24-12-1991</t>
  </si>
  <si>
    <t>A022075626</t>
  </si>
  <si>
    <t>01-03-1977</t>
  </si>
  <si>
    <t>A022127030</t>
  </si>
  <si>
    <t>Parmeshwar Sharma</t>
  </si>
  <si>
    <t>18-05-1977</t>
  </si>
  <si>
    <t>Q001501754</t>
  </si>
  <si>
    <t>11-01-1960</t>
  </si>
  <si>
    <t>A022098415</t>
  </si>
  <si>
    <t>Rajni Sharma</t>
  </si>
  <si>
    <t>27-04-1984</t>
  </si>
  <si>
    <t>A022273424</t>
  </si>
  <si>
    <t>Shivani</t>
  </si>
  <si>
    <t>27/12/1997</t>
  </si>
  <si>
    <t>Q001509301</t>
  </si>
  <si>
    <t>15/01/1964</t>
  </si>
  <si>
    <t>A022274750</t>
  </si>
  <si>
    <t>Khushnuma Bano</t>
  </si>
  <si>
    <t>15-03-1998</t>
  </si>
  <si>
    <t>Q001508550</t>
  </si>
  <si>
    <t>Anand Kumar</t>
  </si>
  <si>
    <t>14-08-1981</t>
  </si>
  <si>
    <t>A022311393</t>
  </si>
  <si>
    <t>Harsh Kumar Mishra</t>
  </si>
  <si>
    <t>10-03-2001</t>
  </si>
  <si>
    <t>A022322458</t>
  </si>
  <si>
    <t>Sujata devi</t>
  </si>
  <si>
    <t>Q001536594</t>
  </si>
  <si>
    <t>Jhadaija Khatoon</t>
  </si>
  <si>
    <t>07-04-1965</t>
  </si>
  <si>
    <t>Q001531676</t>
  </si>
  <si>
    <t>Birender Gorai</t>
  </si>
  <si>
    <t>09-09-1974</t>
  </si>
  <si>
    <t>09-08-2019</t>
  </si>
  <si>
    <t>Rec Delivered</t>
  </si>
  <si>
    <t>A022521780</t>
  </si>
  <si>
    <t>Sudha Dwivedy</t>
  </si>
  <si>
    <t>09-10-1979</t>
  </si>
  <si>
    <t>Q001533492</t>
  </si>
  <si>
    <t>Hari Prasad</t>
  </si>
  <si>
    <t>02-05-1977</t>
  </si>
  <si>
    <t>A022565833 </t>
  </si>
  <si>
    <t>Suman Kumari</t>
  </si>
  <si>
    <t>20-06-1999</t>
  </si>
  <si>
    <t>A022550879</t>
  </si>
  <si>
    <t>Rashmi Dubey</t>
  </si>
  <si>
    <t>22-10-1999</t>
  </si>
  <si>
    <t>Khodaija Khatoon</t>
  </si>
  <si>
    <t>A022567551</t>
  </si>
  <si>
    <t>Rajiv Pradhan</t>
  </si>
  <si>
    <t>01/07/2000</t>
  </si>
  <si>
    <t>A022568385</t>
  </si>
  <si>
    <t>Ajay Das</t>
  </si>
  <si>
    <t>A022593335</t>
  </si>
  <si>
    <t>Shyam Kumar</t>
  </si>
  <si>
    <t>25/02/2002</t>
  </si>
  <si>
    <t>Aahar Mismatch</t>
  </si>
  <si>
    <t>A022619797</t>
  </si>
  <si>
    <t>Aitoon Khatoon</t>
  </si>
  <si>
    <t>A022656714</t>
  </si>
  <si>
    <t>Lakshmi Devi</t>
  </si>
  <si>
    <t>Q001549884</t>
  </si>
  <si>
    <t>Badal Chandra Paine</t>
  </si>
  <si>
    <t>31-12-1981</t>
  </si>
  <si>
    <t>Q001551206</t>
  </si>
  <si>
    <t>Pinki Jaiswal</t>
  </si>
  <si>
    <t>31/07/1986</t>
  </si>
  <si>
    <t>A022712524</t>
  </si>
  <si>
    <t>Seema Kumari</t>
  </si>
  <si>
    <t>11/10/1983</t>
  </si>
  <si>
    <t>19-08-2019</t>
  </si>
  <si>
    <t>Rec Printed</t>
  </si>
  <si>
    <t>A022711264</t>
  </si>
  <si>
    <t>Tuna Pandey</t>
  </si>
  <si>
    <t>14/04/1992</t>
  </si>
  <si>
    <t>Q001554232</t>
  </si>
  <si>
    <t>Kavita Singh</t>
  </si>
  <si>
    <t>12/11/1980</t>
  </si>
  <si>
    <t>A022717978</t>
  </si>
  <si>
    <t>Navneet Kaur</t>
  </si>
  <si>
    <t>15/06/1974</t>
  </si>
  <si>
    <t>Q001556962</t>
  </si>
  <si>
    <t>Triloki Nath Singh</t>
  </si>
  <si>
    <t>01/01/1980</t>
  </si>
  <si>
    <t>20-08-2019</t>
  </si>
  <si>
    <t>A022748936</t>
  </si>
  <si>
    <t>Gauav Pandey</t>
  </si>
  <si>
    <t>16/08/2001</t>
  </si>
  <si>
    <t>A022904500</t>
  </si>
  <si>
    <t>Tinku Kumar Singh</t>
  </si>
  <si>
    <t>21/08/1991</t>
  </si>
  <si>
    <t>25-08-2019</t>
  </si>
  <si>
    <t>A022911340</t>
  </si>
  <si>
    <t>Tripti Kumari</t>
  </si>
  <si>
    <t>10-10-1998</t>
  </si>
  <si>
    <t>darbhanga</t>
  </si>
  <si>
    <t>A022955229 </t>
  </si>
  <si>
    <t>PANKAJ MAHATO</t>
  </si>
  <si>
    <t>24/03/1997</t>
  </si>
  <si>
    <t>27/08/2019</t>
  </si>
  <si>
    <t>A022998554</t>
  </si>
  <si>
    <t>Prabin Bano</t>
  </si>
  <si>
    <t>11/05/1994</t>
  </si>
  <si>
    <t>28-08-2019</t>
  </si>
  <si>
    <t>A022994966</t>
  </si>
  <si>
    <t>Kaushar Perween</t>
  </si>
  <si>
    <t>15/09/1984</t>
  </si>
  <si>
    <t>A022995264</t>
  </si>
  <si>
    <t>Antu Kumar</t>
  </si>
  <si>
    <t>07/08/2001</t>
  </si>
  <si>
    <t>Q001581142 </t>
  </si>
  <si>
    <t>Suman Kumari Verma</t>
  </si>
  <si>
    <t>10/01/1967</t>
  </si>
  <si>
    <t>Aadhar Mismatch</t>
  </si>
  <si>
    <t>A023052145</t>
  </si>
  <si>
    <t>Vikky Karmakar</t>
  </si>
  <si>
    <t>17-05-1998</t>
  </si>
  <si>
    <t>30-08-2019</t>
  </si>
  <si>
    <t>A023065032</t>
  </si>
  <si>
    <t>Anup Singh</t>
  </si>
  <si>
    <t>01/01/1984</t>
  </si>
  <si>
    <t>A023084890</t>
  </si>
  <si>
    <t>Megha Rajak</t>
  </si>
  <si>
    <t>12/02/1996</t>
  </si>
  <si>
    <t>Q001598838</t>
  </si>
  <si>
    <t>Jiban Kumar Giri</t>
  </si>
  <si>
    <t>19-08-1982</t>
  </si>
  <si>
    <t>04-09-2019</t>
  </si>
  <si>
    <t>Q001600714 </t>
  </si>
  <si>
    <t>Dinesh Prasad Singh</t>
  </si>
  <si>
    <t>09/10/1972</t>
  </si>
  <si>
    <t>04/09/2019</t>
  </si>
  <si>
    <t>A023206520</t>
  </si>
  <si>
    <t>Kanhaiya Ray</t>
  </si>
  <si>
    <t>09/01/1989</t>
  </si>
  <si>
    <t>Payment Pending</t>
  </si>
  <si>
    <t>Q0016002648</t>
  </si>
  <si>
    <t>SYED MOHAMMAD SHARIQUE ANWER</t>
  </si>
  <si>
    <t>06/05/1973</t>
  </si>
  <si>
    <t>05/09/2019</t>
  </si>
  <si>
    <t>140 Due</t>
  </si>
  <si>
    <t>A023337550</t>
  </si>
  <si>
    <t>Kiran Kumari Singh</t>
  </si>
  <si>
    <t>11/10/1984</t>
  </si>
  <si>
    <t>08/09/2019</t>
  </si>
  <si>
    <t>Q001613142</t>
  </si>
  <si>
    <t>Suman Kerketta</t>
  </si>
  <si>
    <t>21/10/1984</t>
  </si>
  <si>
    <t>09/09/2019</t>
  </si>
  <si>
    <t>Q001619335</t>
  </si>
  <si>
    <t>Mohamad Salim</t>
  </si>
  <si>
    <t>01/01/1966</t>
  </si>
  <si>
    <t>12/09/2019</t>
  </si>
  <si>
    <t>A023472497</t>
  </si>
  <si>
    <t>Puja Pal</t>
  </si>
  <si>
    <t>12/04/1993</t>
  </si>
  <si>
    <t>13/09/2019</t>
  </si>
  <si>
    <t>A023504855</t>
  </si>
  <si>
    <t>Urmila Rai</t>
  </si>
  <si>
    <t>01/01/1971</t>
  </si>
  <si>
    <t>A023536628</t>
  </si>
  <si>
    <t>Pinki Das</t>
  </si>
  <si>
    <t>01/01/1979</t>
  </si>
  <si>
    <t>190 Due</t>
  </si>
  <si>
    <t>A023541208</t>
  </si>
  <si>
    <t>Sharique Jamil</t>
  </si>
  <si>
    <t>02/01/1979</t>
  </si>
  <si>
    <t>15/09/2019</t>
  </si>
  <si>
    <t>A023547633</t>
  </si>
  <si>
    <t>Chandrakala Devi</t>
  </si>
  <si>
    <t>16-09-2019</t>
  </si>
  <si>
    <t>A023547937</t>
  </si>
  <si>
    <t>Kajatwa Rajwar</t>
  </si>
  <si>
    <t>01/01/1970</t>
  </si>
  <si>
    <t>A023562542</t>
  </si>
  <si>
    <t>Indu Jha</t>
  </si>
  <si>
    <t>01/01/1975</t>
  </si>
  <si>
    <t>A023563221</t>
  </si>
  <si>
    <t>Akash Jha</t>
  </si>
  <si>
    <t>10/07/2000</t>
  </si>
  <si>
    <t>Q001632187</t>
  </si>
  <si>
    <t>Debasish Mahato</t>
  </si>
  <si>
    <t>07/09/1975</t>
  </si>
  <si>
    <t>A023590483</t>
  </si>
  <si>
    <t>Akash Kumar Singh</t>
  </si>
  <si>
    <t>15/08/2003</t>
  </si>
  <si>
    <t>A023591100</t>
  </si>
  <si>
    <t>Neelam Sinha</t>
  </si>
  <si>
    <t>08/12/1968</t>
  </si>
  <si>
    <t>Q001636346</t>
  </si>
  <si>
    <t>Dhabal Kanti Sinha</t>
  </si>
  <si>
    <t>09/01/1937</t>
  </si>
  <si>
    <t>18-09-2019</t>
  </si>
  <si>
    <t>20-09-2019</t>
  </si>
  <si>
    <t>Q001640094</t>
  </si>
  <si>
    <t>Gajendra Kumar</t>
  </si>
  <si>
    <t>01/12/1981</t>
  </si>
  <si>
    <t>19-09-2019</t>
  </si>
  <si>
    <t>Q001642463</t>
  </si>
  <si>
    <t>Afroz Jahan</t>
  </si>
  <si>
    <t>01/01/1965</t>
  </si>
  <si>
    <t>A023711597</t>
  </si>
  <si>
    <t>Sourav Sau</t>
  </si>
  <si>
    <t>18/12/1998</t>
  </si>
  <si>
    <t>A023709484</t>
  </si>
  <si>
    <t>Rashmi Rekha Jena</t>
  </si>
  <si>
    <t>09/07/1982</t>
  </si>
  <si>
    <t>A023708078</t>
  </si>
  <si>
    <t>VIMLA LOHAR</t>
  </si>
  <si>
    <t>Q001646315</t>
  </si>
  <si>
    <t>Jainulah Ansari</t>
  </si>
  <si>
    <t>05/05/1984</t>
  </si>
  <si>
    <t>21-09-2019</t>
  </si>
  <si>
    <t>A023772034</t>
  </si>
  <si>
    <t>Rekha Tudu</t>
  </si>
  <si>
    <t>01/11/1987</t>
  </si>
  <si>
    <t>A023769211</t>
  </si>
  <si>
    <t>Dodhika Lohar</t>
  </si>
  <si>
    <t>07/01/1975</t>
  </si>
  <si>
    <t>A023769934</t>
  </si>
  <si>
    <t>Chura Mani Soren</t>
  </si>
  <si>
    <t>01/01/1985</t>
  </si>
  <si>
    <t>A023770312</t>
  </si>
  <si>
    <t>Rupa Kisku</t>
  </si>
  <si>
    <t>28/03/2001</t>
  </si>
  <si>
    <t>A023770175</t>
  </si>
  <si>
    <t>20/05/1979</t>
  </si>
  <si>
    <t>Q001649298</t>
  </si>
  <si>
    <t>Vijay Kumar Sahi</t>
  </si>
  <si>
    <t>21/04/1957</t>
  </si>
  <si>
    <t>Q001649792</t>
  </si>
  <si>
    <t>Sukhbinder Singh</t>
  </si>
  <si>
    <t>09/09/1988</t>
  </si>
  <si>
    <t>22-09-2019</t>
  </si>
  <si>
    <t>Q001659800</t>
  </si>
  <si>
    <t>Chandra Shekhar Singh</t>
  </si>
  <si>
    <t>22/10/1956</t>
  </si>
  <si>
    <t>25-09-19</t>
  </si>
  <si>
    <t>25-09-2019</t>
  </si>
  <si>
    <t>A023904801</t>
  </si>
  <si>
    <t>27/05/2002</t>
  </si>
  <si>
    <t>27-09-2019</t>
  </si>
  <si>
    <t>A023905823</t>
  </si>
  <si>
    <t>Harpal Singh Mathur</t>
  </si>
  <si>
    <t>06/07/2001</t>
  </si>
  <si>
    <t>A023845256</t>
  </si>
  <si>
    <t>Sabiha Parween</t>
  </si>
  <si>
    <t>04/12/1991</t>
  </si>
  <si>
    <t>Q001668976</t>
  </si>
  <si>
    <t>Niranjan Prajapati</t>
  </si>
  <si>
    <t>04/05/1997</t>
  </si>
  <si>
    <t>Q001669292</t>
  </si>
  <si>
    <t>Sarathi Munda</t>
  </si>
  <si>
    <t>01/01/1978</t>
  </si>
  <si>
    <t>A023980746</t>
  </si>
  <si>
    <t>Archana Kumari</t>
  </si>
  <si>
    <t>31/12/1996</t>
  </si>
  <si>
    <t>28-09-2019</t>
  </si>
  <si>
    <t>01-10-2019</t>
  </si>
  <si>
    <t>A023980254</t>
  </si>
  <si>
    <t>Tania Aram</t>
  </si>
  <si>
    <t>05/06/1995</t>
  </si>
  <si>
    <t>A023982727</t>
  </si>
  <si>
    <t>Roshan Jahan</t>
  </si>
  <si>
    <t>01/01/1981</t>
  </si>
  <si>
    <t>A023985285</t>
  </si>
  <si>
    <t>Sadhu Saran Yadav</t>
  </si>
  <si>
    <t>A023986120</t>
  </si>
  <si>
    <t>A024049209</t>
  </si>
  <si>
    <t>Deepak Das Tantubai</t>
  </si>
  <si>
    <t>12/09/1979</t>
  </si>
  <si>
    <t>Q001680410</t>
  </si>
  <si>
    <t>Maqsuda Begum</t>
  </si>
  <si>
    <t>14/09/1954</t>
  </si>
  <si>
    <t>Q001680009</t>
  </si>
  <si>
    <t>Rakesh Kumar-due 50</t>
  </si>
  <si>
    <t>25/12/1984</t>
  </si>
  <si>
    <t>A024078581</t>
  </si>
  <si>
    <t>Antora Chakraborty</t>
  </si>
  <si>
    <t>27/02/1998</t>
  </si>
  <si>
    <t>A024081011</t>
  </si>
  <si>
    <t>Munna Munda</t>
  </si>
  <si>
    <t>03/09/2001</t>
  </si>
  <si>
    <t>A024081071</t>
  </si>
  <si>
    <t>Anthony Munda</t>
  </si>
  <si>
    <t>05/03/2000</t>
  </si>
  <si>
    <t>A001684443</t>
  </si>
  <si>
    <t>Surendra Kumar Dwivedy</t>
  </si>
  <si>
    <t>08/06/1948</t>
  </si>
  <si>
    <t>02-10-2019</t>
  </si>
  <si>
    <t>ABEPD5476G</t>
  </si>
  <si>
    <t>Q001684495</t>
  </si>
  <si>
    <t>09/06/1953</t>
  </si>
  <si>
    <t>A024125423</t>
  </si>
  <si>
    <t>Sultana Parween</t>
  </si>
  <si>
    <t>26/12/1997</t>
  </si>
  <si>
    <t>03-10-2019</t>
  </si>
  <si>
    <t>Q001689241</t>
  </si>
  <si>
    <t>Bhriguram Mahato</t>
  </si>
  <si>
    <t>10/08/1973</t>
  </si>
  <si>
    <t>05-10-2019</t>
  </si>
  <si>
    <t>Q001694013</t>
  </si>
  <si>
    <t>Salya Khatoon</t>
  </si>
  <si>
    <t>17/05/1946</t>
  </si>
  <si>
    <t>BYYPK1070P</t>
  </si>
  <si>
    <t>A024168371</t>
  </si>
  <si>
    <t>Rina Das</t>
  </si>
  <si>
    <t>04/07/1985</t>
  </si>
  <si>
    <t>A024184659</t>
  </si>
  <si>
    <t>Saraswati Karmakar</t>
  </si>
  <si>
    <t>16/07/1985</t>
  </si>
  <si>
    <t>Q001694947</t>
  </si>
  <si>
    <t>Netrapal</t>
  </si>
  <si>
    <t>10/12/1994</t>
  </si>
  <si>
    <t>A024258525</t>
  </si>
  <si>
    <t>Khatiza Khatoon</t>
  </si>
  <si>
    <t>01/01/1960</t>
  </si>
  <si>
    <t>09-10-2019</t>
  </si>
  <si>
    <t>Q001705920</t>
  </si>
  <si>
    <t>Madhurima Saha</t>
  </si>
  <si>
    <t>29/09/1995</t>
  </si>
  <si>
    <t>A024288858</t>
  </si>
  <si>
    <t>Alka Devi</t>
  </si>
  <si>
    <t>02/01/1972</t>
  </si>
  <si>
    <t>10-10-2019</t>
  </si>
  <si>
    <t>A024293099</t>
  </si>
  <si>
    <t>Mahwish Anjum</t>
  </si>
  <si>
    <t>10/04/1999</t>
  </si>
  <si>
    <t>A024317398</t>
  </si>
  <si>
    <t>Aaliya Zainab</t>
  </si>
  <si>
    <t>26/10/1999</t>
  </si>
  <si>
    <t>A024345407</t>
  </si>
  <si>
    <t>Jitendra Mahato</t>
  </si>
  <si>
    <t>21/01/1996</t>
  </si>
  <si>
    <t>11-10-2019</t>
  </si>
  <si>
    <t>12-10-2019</t>
  </si>
  <si>
    <t>Q001714757</t>
  </si>
  <si>
    <t>Nazrin Khatoon</t>
  </si>
  <si>
    <t>01/01/1988</t>
  </si>
  <si>
    <t>Q001713218</t>
  </si>
  <si>
    <t>Kumar Shitanshu</t>
  </si>
  <si>
    <t>24/03/1991</t>
  </si>
  <si>
    <t>A024361822</t>
  </si>
  <si>
    <t>Dasrath Soren</t>
  </si>
  <si>
    <t>02/05/1986</t>
  </si>
  <si>
    <t>A024362057</t>
  </si>
  <si>
    <t>Neha Priyambada</t>
  </si>
  <si>
    <t>22/11/1987</t>
  </si>
  <si>
    <t>A024383976</t>
  </si>
  <si>
    <t>Nidhi Singh</t>
  </si>
  <si>
    <t>10/07/1999</t>
  </si>
  <si>
    <t>13-10-2019</t>
  </si>
  <si>
    <t>A024394689</t>
  </si>
  <si>
    <t>Naushina Anwar</t>
  </si>
  <si>
    <t>12/07/1977</t>
  </si>
  <si>
    <t>14-10-2019</t>
  </si>
  <si>
    <t>Q001721162</t>
  </si>
  <si>
    <t>Avijeet Ranjan</t>
  </si>
  <si>
    <t>04/10/1990</t>
  </si>
  <si>
    <t>A024401128</t>
  </si>
  <si>
    <t>Shahnawaz Haque</t>
  </si>
  <si>
    <t>30/11/1998</t>
  </si>
  <si>
    <t>Q001723192</t>
  </si>
  <si>
    <t>Bhoto Krishna Tudu</t>
  </si>
  <si>
    <t>15/12/1969</t>
  </si>
  <si>
    <t>A024430575</t>
  </si>
  <si>
    <t>Champawati Gorai</t>
  </si>
  <si>
    <t>01/01/1991</t>
  </si>
  <si>
    <t>A024427205</t>
  </si>
  <si>
    <t>Sandhya Dubey</t>
  </si>
  <si>
    <t>Q001650373</t>
  </si>
  <si>
    <t>Sudhir Kumar Sinha</t>
  </si>
  <si>
    <t>A024504808</t>
  </si>
  <si>
    <t>Minati Bhattacharjee</t>
  </si>
  <si>
    <t>23/10/1950</t>
  </si>
  <si>
    <t>17-10-2019</t>
  </si>
  <si>
    <t>Q00173624</t>
  </si>
  <si>
    <t>Shivani Singh</t>
  </si>
  <si>
    <t>19-10-2019</t>
  </si>
  <si>
    <t>Q001736272</t>
  </si>
  <si>
    <t>Samina Naznee</t>
  </si>
  <si>
    <t>23/03/1980</t>
  </si>
  <si>
    <t>A024540783</t>
  </si>
  <si>
    <t>Nidhi</t>
  </si>
  <si>
    <t>01/02/2000</t>
  </si>
  <si>
    <t>A024615297</t>
  </si>
  <si>
    <t>Satyendra Kumar Singh</t>
  </si>
  <si>
    <t>01/07/1972</t>
  </si>
  <si>
    <t>20-10-2019</t>
  </si>
  <si>
    <t>Q001744414</t>
  </si>
  <si>
    <t>Aashma Khatoon</t>
  </si>
  <si>
    <t>Q001745747</t>
  </si>
  <si>
    <t>Prafullo Mahato</t>
  </si>
  <si>
    <t>15/09/1968</t>
  </si>
  <si>
    <t>21-10-2019</t>
  </si>
  <si>
    <t>A024627253</t>
  </si>
  <si>
    <t>Laxmi Gon</t>
  </si>
  <si>
    <t>03/11/1967</t>
  </si>
  <si>
    <t>A024643971</t>
  </si>
  <si>
    <t>Jagat Mahato</t>
  </si>
  <si>
    <t>17/10/1989</t>
  </si>
  <si>
    <t>Q001749031</t>
  </si>
  <si>
    <t>Asrak Ahamd</t>
  </si>
  <si>
    <t>10/02/1992</t>
  </si>
  <si>
    <t>22-10-2019</t>
  </si>
  <si>
    <t>A024671432</t>
  </si>
  <si>
    <t>Sephali Nayak</t>
  </si>
  <si>
    <t>Q001751071</t>
  </si>
  <si>
    <t>05/06/1997</t>
  </si>
  <si>
    <t>A024710856</t>
  </si>
  <si>
    <t>Shaista Parween</t>
  </si>
  <si>
    <t>20/06/1988</t>
  </si>
  <si>
    <t>24-10-2019</t>
  </si>
  <si>
    <t>A024745592</t>
  </si>
  <si>
    <t>Manish Kumar Ray</t>
  </si>
  <si>
    <t>01/01/1995</t>
  </si>
  <si>
    <t>25-10-2019</t>
  </si>
  <si>
    <t>A024799768</t>
  </si>
  <si>
    <t>Zeeshan Ahmad</t>
  </si>
  <si>
    <t>14/11/2000</t>
  </si>
  <si>
    <t>29-10-2019</t>
  </si>
  <si>
    <t>A024824736</t>
  </si>
  <si>
    <t>Bijay Baskey</t>
  </si>
  <si>
    <t>30-10-2019</t>
  </si>
  <si>
    <t>Q001771648</t>
  </si>
  <si>
    <t>Prakash Mahato</t>
  </si>
  <si>
    <t>04/04/1981</t>
  </si>
  <si>
    <t>31-10-2019</t>
  </si>
  <si>
    <t>Q001774182</t>
  </si>
  <si>
    <t>25/12/1998</t>
  </si>
  <si>
    <t>Q001774861</t>
  </si>
  <si>
    <t>Mohammad Arshad Alam</t>
  </si>
  <si>
    <t>15/08/1992</t>
  </si>
  <si>
    <t>01-11-2019</t>
  </si>
  <si>
    <t>A024881286</t>
  </si>
  <si>
    <t>Zeenat Perween</t>
  </si>
  <si>
    <t>25/07/1998</t>
  </si>
  <si>
    <t>Q001783014</t>
  </si>
  <si>
    <t>Debasish Paul</t>
  </si>
  <si>
    <t>28/10/1961</t>
  </si>
  <si>
    <t>03-11-2019</t>
  </si>
  <si>
    <t>A024945100</t>
  </si>
  <si>
    <t>Mahboob Ahmad</t>
  </si>
  <si>
    <t>05-01-2000</t>
  </si>
  <si>
    <t>04-11-2019</t>
  </si>
  <si>
    <t>Q001860609</t>
  </si>
  <si>
    <t>Anamika Dwivedi</t>
  </si>
  <si>
    <t>14-01-1989</t>
  </si>
  <si>
    <t>A025001535</t>
  </si>
  <si>
    <t>Raju Sarkar</t>
  </si>
  <si>
    <t>04-05-2000</t>
  </si>
  <si>
    <t>05-11-2019</t>
  </si>
  <si>
    <t>Shailendra Kumar Mishra</t>
  </si>
  <si>
    <t>03/04/1970</t>
  </si>
  <si>
    <t>06-11-2019</t>
  </si>
  <si>
    <t>A025038194</t>
  </si>
  <si>
    <t>Nisha Singh</t>
  </si>
  <si>
    <t>03/07/1986</t>
  </si>
  <si>
    <t>07-11-2019</t>
  </si>
  <si>
    <t>Q001794809</t>
  </si>
  <si>
    <t>Namita Das</t>
  </si>
  <si>
    <t>29-08-1966</t>
  </si>
  <si>
    <t>A025044947</t>
  </si>
  <si>
    <t>Taharun Perween</t>
  </si>
  <si>
    <t>Q001803258</t>
  </si>
  <si>
    <t>Giridhari Bishayi</t>
  </si>
  <si>
    <t>01-01-1968</t>
  </si>
  <si>
    <t>09-11-2019</t>
  </si>
  <si>
    <t>16-11-2019</t>
  </si>
  <si>
    <t>A025213622</t>
  </si>
  <si>
    <t>Sumit Roy</t>
  </si>
  <si>
    <t>11-09-1996</t>
  </si>
  <si>
    <t>14-11-2019</t>
  </si>
  <si>
    <t>A025122061</t>
  </si>
  <si>
    <t>Amrita Kumari</t>
  </si>
  <si>
    <t>14-03-1996</t>
  </si>
  <si>
    <t>A025242047</t>
  </si>
  <si>
    <t>A025270763</t>
  </si>
  <si>
    <t>Ankit Dubey</t>
  </si>
  <si>
    <t>30-06-1991</t>
  </si>
  <si>
    <t>15-11-2019</t>
  </si>
  <si>
    <t>A025280981</t>
  </si>
  <si>
    <t>Surai Tudu</t>
  </si>
  <si>
    <t>08-04-1977</t>
  </si>
  <si>
    <t>A025306300</t>
  </si>
  <si>
    <t>Shama Parween</t>
  </si>
  <si>
    <t>09-11-2001</t>
  </si>
  <si>
    <t>17-11-2019</t>
  </si>
  <si>
    <t>Q001828027</t>
  </si>
  <si>
    <t>Shabbir Alam</t>
  </si>
  <si>
    <t>07-08-1981</t>
  </si>
  <si>
    <t>18-11-2019</t>
  </si>
  <si>
    <t>Adhar Not Matvh</t>
  </si>
  <si>
    <t>A025329073</t>
  </si>
  <si>
    <t>Purnima Kumari</t>
  </si>
  <si>
    <t>04-02-1996</t>
  </si>
  <si>
    <t>Q001828483</t>
  </si>
  <si>
    <t>Mohammad Jalil</t>
  </si>
  <si>
    <t>09-03-1951</t>
  </si>
  <si>
    <t>A025378678</t>
  </si>
  <si>
    <t>Sankari Choudhary</t>
  </si>
  <si>
    <t>20-11-1980</t>
  </si>
  <si>
    <t>20-11-2019</t>
  </si>
  <si>
    <t>A025417602</t>
  </si>
  <si>
    <t>Sayada Khatoon</t>
  </si>
  <si>
    <t>01-01-1976</t>
  </si>
  <si>
    <t>21-11-2019</t>
  </si>
  <si>
    <t>A025490864</t>
  </si>
  <si>
    <t>Soni Devi</t>
  </si>
  <si>
    <t>01/12/1986</t>
  </si>
  <si>
    <t>24-11-2019</t>
  </si>
  <si>
    <t>Q001850605</t>
  </si>
  <si>
    <t>Ashim Chakraborty</t>
  </si>
  <si>
    <t>15/11/1960</t>
  </si>
  <si>
    <t>25-11-2019</t>
  </si>
  <si>
    <t>Q001852546</t>
  </si>
  <si>
    <t>Ruby Barua</t>
  </si>
  <si>
    <t>24-06-1993</t>
  </si>
  <si>
    <t>A025534548</t>
  </si>
  <si>
    <t>Tupma Dutta</t>
  </si>
  <si>
    <t>A025594523</t>
  </si>
  <si>
    <t>31-12-1967</t>
  </si>
  <si>
    <t>27-11-19</t>
  </si>
  <si>
    <t>Q001258182</t>
  </si>
  <si>
    <t>Tarannum  Praveen</t>
  </si>
  <si>
    <t>05/03/1979</t>
  </si>
  <si>
    <t>28-03-19</t>
  </si>
  <si>
    <t>A025575144</t>
  </si>
  <si>
    <t>Jamuna Ho</t>
  </si>
  <si>
    <t>A025650126</t>
  </si>
  <si>
    <t>Vipin Prasad</t>
  </si>
  <si>
    <t>10-07-1997</t>
  </si>
  <si>
    <t>29-11-19</t>
  </si>
  <si>
    <t>A025622912</t>
  </si>
  <si>
    <t>Guru Prasad Karuwa</t>
  </si>
  <si>
    <t>02/02/1982</t>
  </si>
  <si>
    <t>28-11-19</t>
  </si>
  <si>
    <t>A025604221</t>
  </si>
  <si>
    <t>Saba Shakrin</t>
  </si>
  <si>
    <t>20/07/1986</t>
  </si>
  <si>
    <t>30-11-19</t>
  </si>
  <si>
    <t>A025605239</t>
  </si>
  <si>
    <t>Sunny Kumar Rahelu</t>
  </si>
  <si>
    <t>28/08/2002</t>
  </si>
  <si>
    <t>Q001860935</t>
  </si>
  <si>
    <t>Sonu Giri</t>
  </si>
  <si>
    <t>01/01/1986</t>
  </si>
  <si>
    <t>Q001872798</t>
  </si>
  <si>
    <t>Soma Bhabani Nag</t>
  </si>
  <si>
    <t>02-12-19</t>
  </si>
  <si>
    <t>A025767378</t>
  </si>
  <si>
    <t>Nisha Devi</t>
  </si>
  <si>
    <t>04-12-19</t>
  </si>
  <si>
    <t>A025764302</t>
  </si>
  <si>
    <t>Pooja Jena</t>
  </si>
  <si>
    <t>16/10/1995</t>
  </si>
  <si>
    <t>A025781920</t>
  </si>
  <si>
    <t>Taiyeb Faraz</t>
  </si>
  <si>
    <t>25/10/1997</t>
  </si>
  <si>
    <t>A025812720</t>
  </si>
  <si>
    <t>Mafruza Khatoon</t>
  </si>
  <si>
    <t>25/03/1967</t>
  </si>
  <si>
    <t>05-12-19</t>
  </si>
  <si>
    <t>Q001885624</t>
  </si>
  <si>
    <t>Daljeet Kaur</t>
  </si>
  <si>
    <t>31/12/1997</t>
  </si>
  <si>
    <t>A025838710</t>
  </si>
  <si>
    <t>Ravindra Kumar</t>
  </si>
  <si>
    <t>01/01/1977</t>
  </si>
  <si>
    <t>06-12-19</t>
  </si>
  <si>
    <t>A025829916</t>
  </si>
  <si>
    <t>Sonu Bhumij</t>
  </si>
  <si>
    <t>A025886073</t>
  </si>
  <si>
    <t>Akash Kumar Prasad</t>
  </si>
  <si>
    <t>27/10/1998</t>
  </si>
  <si>
    <t>08-12-19</t>
  </si>
  <si>
    <t>Q001895670</t>
  </si>
  <si>
    <t>Pampa Chel</t>
  </si>
  <si>
    <t>27/03/1986</t>
  </si>
  <si>
    <t>09-12-19</t>
  </si>
  <si>
    <t>A025969429</t>
  </si>
  <si>
    <t>Binay Hajari</t>
  </si>
  <si>
    <t>20/05/1980</t>
  </si>
  <si>
    <t>11-12-19</t>
  </si>
  <si>
    <t>A025969047</t>
  </si>
  <si>
    <t>Md Shahbaz</t>
  </si>
  <si>
    <t>18/05/2000</t>
  </si>
  <si>
    <t>Q001900081</t>
  </si>
  <si>
    <t>Satyendra Kumar Rajak</t>
  </si>
  <si>
    <t>05-04-1984</t>
  </si>
  <si>
    <t>10-12-19</t>
  </si>
  <si>
    <t>Q001903940</t>
  </si>
  <si>
    <t>Alexander Hirvthaya</t>
  </si>
  <si>
    <t>28-06-1969</t>
  </si>
  <si>
    <t>14-12-19</t>
  </si>
  <si>
    <t>A025972531</t>
  </si>
  <si>
    <t>Dvinder Pal Singh</t>
  </si>
  <si>
    <t>10-11-1997</t>
  </si>
  <si>
    <t>A025983854</t>
  </si>
  <si>
    <t>Urmila Devi Shaharia</t>
  </si>
  <si>
    <t>24/04/1955</t>
  </si>
  <si>
    <t>12-12-19</t>
  </si>
  <si>
    <t>A025985077</t>
  </si>
  <si>
    <t>Ishrat Parween</t>
  </si>
  <si>
    <t>15/07/2000</t>
  </si>
  <si>
    <t>Q001914267</t>
  </si>
  <si>
    <t>Anushka Amey Maindarge</t>
  </si>
  <si>
    <t>25/01/1985</t>
  </si>
  <si>
    <t>Q001915279</t>
  </si>
  <si>
    <t>Azmat Rahmani</t>
  </si>
  <si>
    <t>10/05/1988</t>
  </si>
  <si>
    <t>15-12-19</t>
  </si>
  <si>
    <t>Q001917361</t>
  </si>
  <si>
    <t>Mahboob Hussain</t>
  </si>
  <si>
    <t>16-12-19</t>
  </si>
  <si>
    <t>G028764104</t>
  </si>
  <si>
    <t>MD Badruzzama</t>
  </si>
  <si>
    <t>16/09/1943</t>
  </si>
  <si>
    <t>G028764105</t>
  </si>
  <si>
    <t>Hazra Khatoon</t>
  </si>
  <si>
    <t>14/07/1951</t>
  </si>
  <si>
    <t>G028764106</t>
  </si>
  <si>
    <t>Kausar Ara</t>
  </si>
  <si>
    <t>15/06/1984</t>
  </si>
  <si>
    <t>G028764107</t>
  </si>
  <si>
    <t>Khalida Zeya</t>
  </si>
  <si>
    <t>30/10/1993</t>
  </si>
  <si>
    <t>G028764108</t>
  </si>
  <si>
    <t>Shakra Zeya</t>
  </si>
  <si>
    <t>20/01/2001</t>
  </si>
  <si>
    <t>G028764109</t>
  </si>
  <si>
    <t>Shagufta Shaheen</t>
  </si>
  <si>
    <t>12/10/1989</t>
  </si>
  <si>
    <t>G028764110</t>
  </si>
  <si>
    <t>Prankrishna Chatterjee</t>
  </si>
  <si>
    <t>01/01/1973</t>
  </si>
  <si>
    <t>G028764111</t>
  </si>
  <si>
    <t>Pratima Pathak</t>
  </si>
  <si>
    <t>22/02/1985</t>
  </si>
  <si>
    <t>18-12-19</t>
  </si>
  <si>
    <t>Q001924747</t>
  </si>
  <si>
    <t>Babalu Kumar</t>
  </si>
  <si>
    <t>05/11/1987</t>
  </si>
  <si>
    <t>Q001924842</t>
  </si>
  <si>
    <t>Faruque Ahmad</t>
  </si>
  <si>
    <t>10/04/1974</t>
  </si>
  <si>
    <t>Q001928427</t>
  </si>
  <si>
    <t>Rajesh Kumar Sahu Gond</t>
  </si>
  <si>
    <t>21-12-1974</t>
  </si>
  <si>
    <t>19-12-19</t>
  </si>
  <si>
    <t>Q001928172</t>
  </si>
  <si>
    <t>A026173100</t>
  </si>
  <si>
    <t>Shahjahan</t>
  </si>
  <si>
    <t>04-09-1979</t>
  </si>
  <si>
    <t>Q001934677</t>
  </si>
  <si>
    <t>Shadab Alam</t>
  </si>
  <si>
    <t>18-08-1985</t>
  </si>
  <si>
    <t>20-12-19</t>
  </si>
  <si>
    <t>A026253411</t>
  </si>
  <si>
    <t>Ayush Kumar</t>
  </si>
  <si>
    <t>24-10-2001</t>
  </si>
  <si>
    <t>21-12-19</t>
  </si>
  <si>
    <t>A026280836</t>
  </si>
  <si>
    <t>Abhishek Kumar Pandey</t>
  </si>
  <si>
    <t>06/03/1996</t>
  </si>
  <si>
    <t>23-12-19</t>
  </si>
  <si>
    <t xml:space="preserve">   </t>
  </si>
  <si>
    <t>Q001959460</t>
  </si>
  <si>
    <t>27-12-19</t>
  </si>
  <si>
    <t>Q001965762</t>
  </si>
  <si>
    <t>Rama Devi</t>
  </si>
  <si>
    <t>12/02/1970</t>
  </si>
  <si>
    <t>29/12/19</t>
  </si>
  <si>
    <t>Q001965826</t>
  </si>
  <si>
    <t>Manik Chakraborty</t>
  </si>
  <si>
    <t>25/12/1975</t>
  </si>
  <si>
    <t>29-12-19</t>
  </si>
  <si>
    <t>Q001966159</t>
  </si>
  <si>
    <t>Jagadish Mahata</t>
  </si>
  <si>
    <t>01/11/1971</t>
  </si>
  <si>
    <t>30-12-19</t>
  </si>
  <si>
    <t>A026494128</t>
  </si>
  <si>
    <t>Prashant Mahato</t>
  </si>
  <si>
    <t>31-12-19</t>
  </si>
  <si>
    <t>A026503013</t>
  </si>
  <si>
    <t>Asima Mumtaz</t>
  </si>
  <si>
    <t>16-02-1960</t>
  </si>
  <si>
    <t>Sabina Kujur</t>
  </si>
  <si>
    <t>15-09-1998</t>
  </si>
  <si>
    <t>02-01-2020</t>
  </si>
  <si>
    <t>A026567763</t>
  </si>
  <si>
    <t>Smriti Julie Topno</t>
  </si>
  <si>
    <t>17-07-1999</t>
  </si>
  <si>
    <t>Q001992102</t>
  </si>
  <si>
    <t>Madhuri Das</t>
  </si>
  <si>
    <t>07/02/1986</t>
  </si>
  <si>
    <t>04-01-2020</t>
  </si>
  <si>
    <t>Q001994127</t>
  </si>
  <si>
    <t>Mamta Dung Dung</t>
  </si>
  <si>
    <t>11/07/1980</t>
  </si>
  <si>
    <t>Q002002418</t>
  </si>
  <si>
    <t>Toishiya Parween</t>
  </si>
  <si>
    <t>04/08/1985</t>
  </si>
  <si>
    <t>07-01-2020</t>
  </si>
  <si>
    <t>A026737628</t>
  </si>
  <si>
    <t>Shanaj Perween</t>
  </si>
  <si>
    <t>01/01/1996</t>
  </si>
  <si>
    <t>A026778043</t>
  </si>
  <si>
    <t>Abhishek Kumar</t>
  </si>
  <si>
    <t>01-03-1967</t>
  </si>
  <si>
    <t>08-01-2020</t>
  </si>
  <si>
    <t>Q002005360</t>
  </si>
  <si>
    <t>Dwarika Saw</t>
  </si>
  <si>
    <t>01/01/1959</t>
  </si>
  <si>
    <t>A026778974</t>
  </si>
  <si>
    <t>Mohammad Azim</t>
  </si>
  <si>
    <t>05/07/1977</t>
  </si>
  <si>
    <t>Q002008510</t>
  </si>
  <si>
    <t>Manasi Barik</t>
  </si>
  <si>
    <t>15/09/1989</t>
  </si>
  <si>
    <t>Q002015952</t>
  </si>
  <si>
    <t>Usha Gupta</t>
  </si>
  <si>
    <t>12/02/1960</t>
  </si>
  <si>
    <t>10-01-20</t>
  </si>
  <si>
    <t>Not Paid</t>
  </si>
  <si>
    <t>A026850091</t>
  </si>
  <si>
    <t>Sahima Khatoon</t>
  </si>
  <si>
    <t>01//03/1986</t>
  </si>
  <si>
    <t>Q002015980</t>
  </si>
  <si>
    <t>Chandu Tiue</t>
  </si>
  <si>
    <t>01/01/1931</t>
  </si>
  <si>
    <t>HXWPK0782D</t>
  </si>
  <si>
    <t>A026827364</t>
  </si>
  <si>
    <t>Namita Paramanik</t>
  </si>
  <si>
    <t>Q002019915</t>
  </si>
  <si>
    <t>Abdul Bari</t>
  </si>
  <si>
    <t>15/08/1972</t>
  </si>
  <si>
    <t>ABKPB4289M</t>
  </si>
  <si>
    <t>A026967721</t>
  </si>
  <si>
    <t>Lalu Singh Sardar</t>
  </si>
  <si>
    <t>14-01-20</t>
  </si>
  <si>
    <t>G028764113</t>
  </si>
  <si>
    <t>Farida Khatoon</t>
  </si>
  <si>
    <t>15/10/1996</t>
  </si>
  <si>
    <t>13-01-20</t>
  </si>
  <si>
    <t>A026940838</t>
  </si>
  <si>
    <t>Sujata Gounder</t>
  </si>
  <si>
    <t>18/07/1995</t>
  </si>
  <si>
    <t>A026941220</t>
  </si>
  <si>
    <t>Ravi Gounder</t>
  </si>
  <si>
    <t>10/04/1985</t>
  </si>
  <si>
    <t>A026984485</t>
  </si>
  <si>
    <t>Sandiya Devi</t>
  </si>
  <si>
    <t>15/01/20</t>
  </si>
  <si>
    <t>A027204739</t>
  </si>
  <si>
    <t>Nikhat Parween</t>
  </si>
  <si>
    <t>25/12/1987</t>
  </si>
  <si>
    <t>22-01-2020</t>
  </si>
  <si>
    <t>A027249099</t>
  </si>
  <si>
    <t>Laxmi Kumari</t>
  </si>
  <si>
    <t>24/01/1996</t>
  </si>
  <si>
    <t>23-01-2020</t>
  </si>
  <si>
    <t>a027247193</t>
  </si>
  <si>
    <t>Tara Moni Mahato</t>
  </si>
  <si>
    <t>06-04-1990</t>
  </si>
  <si>
    <t>A027284573</t>
  </si>
  <si>
    <t>Maninder Singh  Rayat</t>
  </si>
  <si>
    <t>08/11/2000</t>
  </si>
  <si>
    <t>24-01-2020</t>
  </si>
  <si>
    <t>A027132075</t>
  </si>
  <si>
    <t>Binda Devi</t>
  </si>
  <si>
    <t>10/05/1970</t>
  </si>
  <si>
    <t>20-01-2020</t>
  </si>
  <si>
    <t>A027131858</t>
  </si>
  <si>
    <t>Gurvindar Kaur</t>
  </si>
  <si>
    <t>01/01/1976</t>
  </si>
  <si>
    <t>A027333983</t>
  </si>
  <si>
    <t>01/01/1998</t>
  </si>
  <si>
    <t>25-01-2020</t>
  </si>
  <si>
    <t>A027340804</t>
  </si>
  <si>
    <t>Mandeep Kaur</t>
  </si>
  <si>
    <t>27/10/1995</t>
  </si>
  <si>
    <t>Q002078140</t>
  </si>
  <si>
    <t>Najneen Parveen</t>
  </si>
  <si>
    <t>02/08/1993</t>
  </si>
  <si>
    <t>27-01-2020</t>
  </si>
  <si>
    <t>A027376598</t>
  </si>
  <si>
    <t>Paritosh Hansda</t>
  </si>
  <si>
    <t>05/08/2001</t>
  </si>
  <si>
    <t>A027398326</t>
  </si>
  <si>
    <t>Kapra Hansada</t>
  </si>
  <si>
    <t>20-02-1970</t>
  </si>
  <si>
    <t>29-01-2020</t>
  </si>
  <si>
    <t>A027435571</t>
  </si>
  <si>
    <t>Nazia Perween</t>
  </si>
  <si>
    <t>10/01/1998</t>
  </si>
  <si>
    <t>29-01-20</t>
  </si>
  <si>
    <t>Q002081901</t>
  </si>
  <si>
    <t>Chandra Mukhi</t>
  </si>
  <si>
    <t>01/04/1959</t>
  </si>
  <si>
    <t>28-01-2020</t>
  </si>
  <si>
    <t>Q002085419</t>
  </si>
  <si>
    <t>Ejaz Ahmad Khan</t>
  </si>
  <si>
    <t>22/12/1967</t>
  </si>
  <si>
    <t>A027432325</t>
  </si>
  <si>
    <t>Riya Maity</t>
  </si>
  <si>
    <t>29/11/1997</t>
  </si>
  <si>
    <t>a027479628</t>
  </si>
  <si>
    <t>Sagar Kumar</t>
  </si>
  <si>
    <t>25/11/2000</t>
  </si>
  <si>
    <t>30-01-2020</t>
  </si>
  <si>
    <t>Q002096269</t>
  </si>
  <si>
    <t>Vikash Kumar</t>
  </si>
  <si>
    <t>01-02-2020</t>
  </si>
  <si>
    <t>Q002095652</t>
  </si>
  <si>
    <t>Dhar Banshi Karmakar</t>
  </si>
  <si>
    <t>BYVPK1838G</t>
  </si>
  <si>
    <t>bansinweb20</t>
  </si>
  <si>
    <t>Mypass@2020</t>
  </si>
  <si>
    <t>A027520396</t>
  </si>
  <si>
    <t>Nioty Rana</t>
  </si>
  <si>
    <t>09/10/1970</t>
  </si>
  <si>
    <t>niotynweb20</t>
  </si>
  <si>
    <t>A027530941</t>
  </si>
  <si>
    <t>Suparna Singh</t>
  </si>
  <si>
    <t>18/11/1990</t>
  </si>
  <si>
    <t>suparnanweb20</t>
  </si>
  <si>
    <t>A027572009</t>
  </si>
  <si>
    <t>Binay Shrivastav</t>
  </si>
  <si>
    <t>31/01/1968</t>
  </si>
  <si>
    <t>03-02-2020</t>
  </si>
  <si>
    <t>Q002103819</t>
  </si>
  <si>
    <t>Anita Garai</t>
  </si>
  <si>
    <t>01/09/1983</t>
  </si>
  <si>
    <t>garai.bishal44@gmail.com</t>
  </si>
  <si>
    <t>A027630246</t>
  </si>
  <si>
    <t>Ayasa Khatoon</t>
  </si>
  <si>
    <t>25/06/1972</t>
  </si>
  <si>
    <t>05-02-2020</t>
  </si>
  <si>
    <t>Q002109652</t>
  </si>
  <si>
    <t>Mohammad Quamaruddin</t>
  </si>
  <si>
    <t>02/08/1942</t>
  </si>
  <si>
    <t>04-02-2020</t>
  </si>
  <si>
    <t>A027622250</t>
  </si>
  <si>
    <t>Alok Nath Das</t>
  </si>
  <si>
    <t>28/11/2001</t>
  </si>
  <si>
    <t>Q002110002</t>
  </si>
  <si>
    <t>Ratan Kumar Sharma</t>
  </si>
  <si>
    <t>23/11/1979</t>
  </si>
  <si>
    <t>A027594547</t>
  </si>
  <si>
    <t>25/12/1989</t>
  </si>
  <si>
    <t>Q002120612</t>
  </si>
  <si>
    <t>Shahjahan Quraishi</t>
  </si>
  <si>
    <t>07-02-2020</t>
  </si>
  <si>
    <t>Q002125752</t>
  </si>
  <si>
    <t>Md Ishrarul Haque</t>
  </si>
  <si>
    <t>26/02/1972</t>
  </si>
  <si>
    <t>09-02-2020</t>
  </si>
  <si>
    <t>BAIPH0173G</t>
  </si>
  <si>
    <t>Q002132482</t>
  </si>
  <si>
    <t>Shankar Roy</t>
  </si>
  <si>
    <t>19/11/1972</t>
  </si>
  <si>
    <t>11-02-2020</t>
  </si>
  <si>
    <t>AXQPR1031D</t>
  </si>
  <si>
    <t>shankarnweb20</t>
  </si>
  <si>
    <t>A027835529</t>
  </si>
  <si>
    <t>Ruksana Pravin</t>
  </si>
  <si>
    <t>06/07/1988</t>
  </si>
  <si>
    <t>12-02-2020</t>
  </si>
  <si>
    <t>Q002134561</t>
  </si>
  <si>
    <t>01/03/1986</t>
  </si>
  <si>
    <t>JHIPK3906D</t>
  </si>
  <si>
    <t>Q002134590</t>
  </si>
  <si>
    <t>Rishabh Kumar</t>
  </si>
  <si>
    <t>08/04/1999</t>
  </si>
  <si>
    <t>GECPK0974R</t>
  </si>
  <si>
    <t>sashikalaskumar123@gmail.com</t>
  </si>
  <si>
    <t>A027894922</t>
  </si>
  <si>
    <t>Kishan Kumar Singh</t>
  </si>
  <si>
    <t>29/04/2001</t>
  </si>
  <si>
    <t>13-02-20</t>
  </si>
  <si>
    <t>A027926963</t>
  </si>
  <si>
    <t>Sanjay Gorai</t>
  </si>
  <si>
    <t>02/02/2002</t>
  </si>
  <si>
    <t>14-02-20</t>
  </si>
  <si>
    <t>A027927206</t>
  </si>
  <si>
    <t>Abhishek Banerjee</t>
  </si>
  <si>
    <t>12/02/2002</t>
  </si>
  <si>
    <t>A027912761</t>
  </si>
  <si>
    <t>05/04/2002</t>
  </si>
  <si>
    <t>Q002140901</t>
  </si>
  <si>
    <t>Ranjit Kumar Singh</t>
  </si>
  <si>
    <t>25/06/1982</t>
  </si>
  <si>
    <t>HDHPS3298K</t>
  </si>
  <si>
    <t>A027994114</t>
  </si>
  <si>
    <t>16-02-20</t>
  </si>
  <si>
    <t>A028105807</t>
  </si>
  <si>
    <t>Amina Khatoon</t>
  </si>
  <si>
    <t>01/01/1949</t>
  </si>
  <si>
    <t>20-02-2020</t>
  </si>
  <si>
    <t>A028102307</t>
  </si>
  <si>
    <t>Hira Lal Sada</t>
  </si>
  <si>
    <t>A028107862</t>
  </si>
  <si>
    <t>Nazneen Perween</t>
  </si>
  <si>
    <t>31/03/1992</t>
  </si>
  <si>
    <t>A028124735</t>
  </si>
  <si>
    <t>Rekha Devi</t>
  </si>
  <si>
    <t>29/07/1982</t>
  </si>
  <si>
    <t>21-02-2020</t>
  </si>
  <si>
    <t>A028115678</t>
  </si>
  <si>
    <t>Punit Dung Dung</t>
  </si>
  <si>
    <t>26/12/2000</t>
  </si>
  <si>
    <t>A028124985</t>
  </si>
  <si>
    <t>Binay Kumar Srivastav</t>
  </si>
  <si>
    <t>01/01/1968</t>
  </si>
  <si>
    <t>A028125438</t>
  </si>
  <si>
    <t>Prakash Kumar</t>
  </si>
  <si>
    <t>05/03/1991</t>
  </si>
  <si>
    <t>Q002172323</t>
  </si>
  <si>
    <t>HARDEEP SINGH</t>
  </si>
  <si>
    <t>A028197906</t>
  </si>
  <si>
    <t>Pranati Mahato</t>
  </si>
  <si>
    <t>25-02-2020</t>
  </si>
  <si>
    <t>A028211271</t>
  </si>
  <si>
    <t>Md Rizwan</t>
  </si>
  <si>
    <t>25-12-2001</t>
  </si>
  <si>
    <t>26-02-2020</t>
  </si>
  <si>
    <t>A028202684</t>
  </si>
  <si>
    <t>Nutan Devi</t>
  </si>
  <si>
    <t>01-10-1982</t>
  </si>
  <si>
    <t>Q001912822</t>
  </si>
  <si>
    <t>Rajesh Kumar Sahu</t>
  </si>
  <si>
    <t>02-10-1984</t>
  </si>
  <si>
    <t>nweb.hub</t>
  </si>
  <si>
    <t>A028215313</t>
  </si>
  <si>
    <t>Susourav Bose</t>
  </si>
  <si>
    <t>26/11/1997</t>
  </si>
  <si>
    <t>A028247480</t>
  </si>
  <si>
    <t>Shrinivas Mahato</t>
  </si>
  <si>
    <t>27-02-2020</t>
  </si>
  <si>
    <t>Q002187023</t>
  </si>
  <si>
    <t>Shahin Perween</t>
  </si>
  <si>
    <t>16/04/1987</t>
  </si>
  <si>
    <t>Q002192197</t>
  </si>
  <si>
    <t>Nemat Raza</t>
  </si>
  <si>
    <t>03/05/1996</t>
  </si>
  <si>
    <t>28-02-2020</t>
  </si>
  <si>
    <t>A028262806</t>
  </si>
  <si>
    <t>Leela Devi</t>
  </si>
  <si>
    <t>27/02/2020</t>
  </si>
  <si>
    <t>Q002196868</t>
  </si>
  <si>
    <t>Punit Kindo</t>
  </si>
  <si>
    <t>12/05/1984</t>
  </si>
  <si>
    <t>01-03-2020</t>
  </si>
  <si>
    <t>A028381492</t>
  </si>
  <si>
    <t>Raju Karmakar</t>
  </si>
  <si>
    <t>05/03/1996</t>
  </si>
  <si>
    <t>03-03-2020</t>
  </si>
  <si>
    <t>sanjaygorai124</t>
  </si>
  <si>
    <t>A028381054</t>
  </si>
  <si>
    <t>Srishti Kumari</t>
  </si>
  <si>
    <t>31/07/2000</t>
  </si>
  <si>
    <t>Q002204991</t>
  </si>
  <si>
    <t>Akash Kumar</t>
  </si>
  <si>
    <t>06/05/1991</t>
  </si>
  <si>
    <t>04-03-2020</t>
  </si>
  <si>
    <t>Q002204960</t>
  </si>
  <si>
    <t>Nyamdat Devi</t>
  </si>
  <si>
    <t>13/07/1989</t>
  </si>
  <si>
    <t>Q002207842</t>
  </si>
  <si>
    <t>Rashida Khatoon</t>
  </si>
  <si>
    <t>Q002207891</t>
  </si>
  <si>
    <t>Syed Iftakhar Hussain</t>
  </si>
  <si>
    <t>03/11/1958</t>
  </si>
  <si>
    <t>05-03-2020</t>
  </si>
  <si>
    <t>A028487151</t>
  </si>
  <si>
    <t>Chanda Devi</t>
  </si>
  <si>
    <t>07-03-2020</t>
  </si>
  <si>
    <t>09-03-2020</t>
  </si>
  <si>
    <t>Q002218513</t>
  </si>
  <si>
    <t>Amit Gupta</t>
  </si>
  <si>
    <t>29/11/1994</t>
  </si>
  <si>
    <t>A028485069</t>
  </si>
  <si>
    <t>Ritika Singh</t>
  </si>
  <si>
    <t>11/02/2001</t>
  </si>
  <si>
    <t>Q002225706</t>
  </si>
  <si>
    <t>Mohammad Kamaluddin</t>
  </si>
  <si>
    <t>26/01/1978</t>
  </si>
  <si>
    <t>Q002226900</t>
  </si>
  <si>
    <t>Engula Hari Hara Moorty Nath</t>
  </si>
  <si>
    <t>14/06/1955</t>
  </si>
  <si>
    <t>Q002235928</t>
  </si>
  <si>
    <t>Krishna Kumar Sanigrahi</t>
  </si>
  <si>
    <t>01/01/1994</t>
  </si>
  <si>
    <t>12-03-20</t>
  </si>
  <si>
    <t>12-03-2020</t>
  </si>
  <si>
    <t>Q002235362</t>
  </si>
  <si>
    <t>Uday Nath Sahu</t>
  </si>
  <si>
    <t>02/02/1971</t>
  </si>
  <si>
    <t>12/03/2020</t>
  </si>
  <si>
    <t>A028585863</t>
  </si>
  <si>
    <t>Hasina Khatoon</t>
  </si>
  <si>
    <t>03-03-1986</t>
  </si>
  <si>
    <t>Q002240958</t>
  </si>
  <si>
    <t>Budheshwar Swansi</t>
  </si>
  <si>
    <t>08/10/1989</t>
  </si>
  <si>
    <t>13-03-2020</t>
  </si>
  <si>
    <t>A028611956</t>
  </si>
  <si>
    <t>Tamanna Khatoon</t>
  </si>
  <si>
    <t>01/02/1984</t>
  </si>
  <si>
    <t>A028611220</t>
  </si>
  <si>
    <t>Tabassum Sanya</t>
  </si>
  <si>
    <t>10/07/2006</t>
  </si>
  <si>
    <t>Q002244622</t>
  </si>
  <si>
    <t>Anita Prasad</t>
  </si>
  <si>
    <t>28/07/1966</t>
  </si>
  <si>
    <t>14-03-2020</t>
  </si>
  <si>
    <t>Find Pan</t>
  </si>
  <si>
    <t>A028656433</t>
  </si>
  <si>
    <t>Ginkala Sunita</t>
  </si>
  <si>
    <t>12/01/1975</t>
  </si>
  <si>
    <t>15-03-2020</t>
  </si>
  <si>
    <t>A028655486</t>
  </si>
  <si>
    <t>Khusboo Kumari</t>
  </si>
  <si>
    <t>20/02/1996</t>
  </si>
  <si>
    <t>A028656630</t>
  </si>
  <si>
    <t>Nishant Giri</t>
  </si>
  <si>
    <t>28/03/2000</t>
  </si>
  <si>
    <t>A028719795</t>
  </si>
  <si>
    <t>Ashutosh Narayan</t>
  </si>
  <si>
    <t>29/09/2001</t>
  </si>
  <si>
    <t>17-03-2020</t>
  </si>
  <si>
    <t>Q002258343</t>
  </si>
  <si>
    <t>Bhim Prasad</t>
  </si>
  <si>
    <t>20/05/1967</t>
  </si>
  <si>
    <t>16-03-2020</t>
  </si>
  <si>
    <t>A028811846</t>
  </si>
  <si>
    <t>Ganesh</t>
  </si>
  <si>
    <t>21-03-2020</t>
  </si>
  <si>
    <t>A028812636</t>
  </si>
  <si>
    <t>Jannat Khan</t>
  </si>
  <si>
    <t>28/03/1996</t>
  </si>
  <si>
    <t>20-03-2020</t>
  </si>
  <si>
    <t>A028816224</t>
  </si>
  <si>
    <t>Parmeshwar Munda</t>
  </si>
  <si>
    <t>A028817708</t>
  </si>
  <si>
    <t>Dipa munda</t>
  </si>
  <si>
    <t>A028812679</t>
  </si>
  <si>
    <t>DUTTA ALAKA</t>
  </si>
  <si>
    <t>01/01/1932</t>
  </si>
  <si>
    <t>A028858653</t>
  </si>
  <si>
    <t>Shekher Goundor</t>
  </si>
  <si>
    <t>02/2/1974</t>
  </si>
  <si>
    <t>04-04-2020</t>
  </si>
  <si>
    <t>sanjay@minusoft.co.in</t>
  </si>
  <si>
    <t>A028979045</t>
  </si>
  <si>
    <t>Tulsi Tudu</t>
  </si>
  <si>
    <t>01/05/2020</t>
  </si>
  <si>
    <t>Q002287483</t>
  </si>
  <si>
    <t>17/01/1987</t>
  </si>
  <si>
    <t>24/04/2020</t>
  </si>
  <si>
    <t>A028899903</t>
  </si>
  <si>
    <t>Punam Sharma</t>
  </si>
  <si>
    <t>25/03/1977</t>
  </si>
  <si>
    <t>18/04/2020</t>
  </si>
  <si>
    <t>Sukher Gounder</t>
  </si>
  <si>
    <t>02/02/1974</t>
  </si>
  <si>
    <t>04/04/2020</t>
  </si>
  <si>
    <t>Q002278132</t>
  </si>
  <si>
    <t>Sangita Singh</t>
  </si>
  <si>
    <t>02/03/1974</t>
  </si>
  <si>
    <t>24/03/2020</t>
  </si>
  <si>
    <t>Q002307131</t>
  </si>
  <si>
    <t>Yashoda Devi</t>
  </si>
  <si>
    <t>01/01/1940</t>
  </si>
  <si>
    <t>19/05-2020</t>
  </si>
  <si>
    <t>A029380664</t>
  </si>
  <si>
    <t>Kalipada Sai</t>
  </si>
  <si>
    <t>30/05/2020</t>
  </si>
  <si>
    <t>A029611818</t>
  </si>
  <si>
    <t>Babuni Devi</t>
  </si>
  <si>
    <t>05/07/1932</t>
  </si>
  <si>
    <t>09/05/2020</t>
  </si>
  <si>
    <t>seemababy4@gmail.com</t>
  </si>
  <si>
    <t>A029625761</t>
  </si>
  <si>
    <t>Sohail khan</t>
  </si>
  <si>
    <t>21/11/2001</t>
  </si>
  <si>
    <t>22/05/2020</t>
  </si>
  <si>
    <t>Alka Dutta</t>
  </si>
  <si>
    <t>20/03/2020</t>
  </si>
  <si>
    <t>debdasduttatm@gmail.com</t>
  </si>
  <si>
    <t>A029707959</t>
  </si>
  <si>
    <t>ANJALI MAHATO</t>
  </si>
  <si>
    <t>25/03/1996</t>
  </si>
  <si>
    <t>12/06/2020</t>
  </si>
  <si>
    <t>mahatohirawati@gmail.com</t>
  </si>
  <si>
    <t>A029706372</t>
  </si>
  <si>
    <t>Hirabati Mahato</t>
  </si>
  <si>
    <t>20/06/1980</t>
  </si>
  <si>
    <t>A029718496</t>
  </si>
  <si>
    <t>Pabjot Kaur</t>
  </si>
  <si>
    <t>16/06/1993</t>
  </si>
  <si>
    <t>madymaninder007@gmail.com</t>
  </si>
  <si>
    <t>A029700551</t>
  </si>
  <si>
    <t>03/02/2002</t>
  </si>
  <si>
    <t>akumari2002.in@gmail.com</t>
  </si>
  <si>
    <t>A029578536</t>
  </si>
  <si>
    <t>Madhumita Ghosh</t>
  </si>
  <si>
    <t>17/11/1976</t>
  </si>
  <si>
    <t>08/06/2020</t>
  </si>
  <si>
    <t>ghoshsayan608@gmail.com</t>
  </si>
  <si>
    <t>A029505651</t>
  </si>
  <si>
    <t>Sitabia Devi</t>
  </si>
  <si>
    <t>12/08/1954</t>
  </si>
  <si>
    <t>05/06/2020</t>
  </si>
  <si>
    <t>sanjaygorai124@gmail.com</t>
  </si>
  <si>
    <t>Q002352346</t>
  </si>
  <si>
    <t>Pushpa Singh</t>
  </si>
  <si>
    <t>25/12/1976</t>
  </si>
  <si>
    <t>13/06/2020</t>
  </si>
  <si>
    <t>sunil.kum@gmail.com</t>
  </si>
  <si>
    <t>A029664266</t>
  </si>
  <si>
    <t>Musarrat Naaz</t>
  </si>
  <si>
    <t>11/06/2020</t>
  </si>
  <si>
    <t>karimkhan9955@gmail.com</t>
  </si>
  <si>
    <t>Q002356808</t>
  </si>
  <si>
    <t>Bikash Sarkar</t>
  </si>
  <si>
    <t>18/06/1964</t>
  </si>
  <si>
    <t>15/06/2020</t>
  </si>
  <si>
    <t>AUFPS9047N</t>
  </si>
  <si>
    <t>A029791283</t>
  </si>
  <si>
    <t>Rani Gorai</t>
  </si>
  <si>
    <t>01/01/1992</t>
  </si>
  <si>
    <t>A029791620</t>
  </si>
  <si>
    <t>Pooja Kumari</t>
  </si>
  <si>
    <t>13/10/1998</t>
  </si>
  <si>
    <t>Q002362635</t>
  </si>
  <si>
    <t>Nitai Chandra Gon</t>
  </si>
  <si>
    <t>24/11/1948</t>
  </si>
  <si>
    <t>17/06/2020</t>
  </si>
  <si>
    <t>Q002364132</t>
  </si>
  <si>
    <t>Dilip Kumar</t>
  </si>
  <si>
    <t>24/12/1964</t>
  </si>
  <si>
    <t>18/06/2020</t>
  </si>
  <si>
    <t>dk988504@gmail.com</t>
  </si>
  <si>
    <t>Q002363484</t>
  </si>
  <si>
    <t>Shiv Kishore Singh</t>
  </si>
  <si>
    <t>13/10/1957</t>
  </si>
  <si>
    <t>rupeshsingh317@gmail.com</t>
  </si>
  <si>
    <t>A029905173</t>
  </si>
  <si>
    <t>Sanyukta Singh</t>
  </si>
  <si>
    <t>15/11/1999</t>
  </si>
  <si>
    <t>19-06-2020</t>
  </si>
  <si>
    <t>A029921970</t>
  </si>
  <si>
    <t>Sanjida Khatoon</t>
  </si>
  <si>
    <t>Q002378386</t>
  </si>
  <si>
    <t>Yashoda devi</t>
  </si>
  <si>
    <t>23-06-2020</t>
  </si>
  <si>
    <t>Q002378645</t>
  </si>
  <si>
    <t>A030032020</t>
  </si>
  <si>
    <t>04/10/1991</t>
  </si>
  <si>
    <t>sonisingh53107@gmail.com</t>
  </si>
  <si>
    <t>A030032300</t>
  </si>
  <si>
    <t>Shilpi Devi</t>
  </si>
  <si>
    <t>25/06/1992</t>
  </si>
  <si>
    <t>mar15aug@gmail.com</t>
  </si>
  <si>
    <t>Q002383013</t>
  </si>
  <si>
    <t>16/03/1961</t>
  </si>
  <si>
    <t>25/06/2020</t>
  </si>
  <si>
    <t>ranjit.singh9611@gmail</t>
  </si>
  <si>
    <t>Q002386022</t>
  </si>
  <si>
    <t>02/05/1965</t>
  </si>
  <si>
    <t>vijaykrsingh02051965@gmail</t>
  </si>
  <si>
    <t>A030075551</t>
  </si>
  <si>
    <t>Binod Murmu</t>
  </si>
  <si>
    <t>09/01/1995</t>
  </si>
  <si>
    <t>A030115963</t>
  </si>
  <si>
    <t>Srivalli Susarla</t>
  </si>
  <si>
    <t>03/09/2000</t>
  </si>
  <si>
    <t>26/06/2020</t>
  </si>
  <si>
    <t>srivallisusarla09@gmail</t>
  </si>
  <si>
    <t>A030150300</t>
  </si>
  <si>
    <t>Faiz Ali</t>
  </si>
  <si>
    <t>20/03/2001</t>
  </si>
  <si>
    <t>27-06-2020</t>
  </si>
  <si>
    <t>faizalizaid01@gmail</t>
  </si>
  <si>
    <t>A030178670</t>
  </si>
  <si>
    <t>Ratani Mahato</t>
  </si>
  <si>
    <t>05/12/1976</t>
  </si>
  <si>
    <t>29-06-2020</t>
  </si>
  <si>
    <t>A030176954</t>
  </si>
  <si>
    <t>Kalpana Kumari</t>
  </si>
  <si>
    <t>01/01/1990</t>
  </si>
  <si>
    <t>A030182722</t>
  </si>
  <si>
    <t>Manju Munda</t>
  </si>
  <si>
    <t>18/02/2002</t>
  </si>
  <si>
    <t>Q002403014</t>
  </si>
  <si>
    <t>Sandhya Kumari</t>
  </si>
  <si>
    <t>26/12/1985</t>
  </si>
  <si>
    <t>30-06-2020</t>
  </si>
  <si>
    <t>Q002406400</t>
  </si>
  <si>
    <t>Tamojit Dutta</t>
  </si>
  <si>
    <t>16/02/2000</t>
  </si>
  <si>
    <t>01-07-20</t>
  </si>
  <si>
    <t>A030271013</t>
  </si>
  <si>
    <t>Nitu Mishra</t>
  </si>
  <si>
    <t>07/07/1994</t>
  </si>
  <si>
    <t>A030255201</t>
  </si>
  <si>
    <t>babita Devi</t>
  </si>
  <si>
    <t>08/08/1991</t>
  </si>
  <si>
    <t>01/07/20</t>
  </si>
  <si>
    <t>A030300759</t>
  </si>
  <si>
    <t>Senu Lal</t>
  </si>
  <si>
    <t>13/01/1972</t>
  </si>
  <si>
    <t>03-07-2020</t>
  </si>
  <si>
    <t>A030298911</t>
  </si>
  <si>
    <t>Akansha Tripathy</t>
  </si>
  <si>
    <t>24/01/1998</t>
  </si>
  <si>
    <t>akanshatripathy4@gmail.com</t>
  </si>
  <si>
    <t>Q002414656</t>
  </si>
  <si>
    <t>Nitu singh</t>
  </si>
  <si>
    <t>04-07-2020</t>
  </si>
  <si>
    <t>a7295056859@gmail.com</t>
  </si>
  <si>
    <t>A030396727</t>
  </si>
  <si>
    <t>Meeru Sharma</t>
  </si>
  <si>
    <t>04/11/1984</t>
  </si>
  <si>
    <t>06-07-2020</t>
  </si>
  <si>
    <t>Q002427846</t>
  </si>
  <si>
    <t>Seema Singh</t>
  </si>
  <si>
    <t>02/12/1964</t>
  </si>
  <si>
    <t>08-07-2020</t>
  </si>
  <si>
    <t>seemababy4@gmail</t>
  </si>
  <si>
    <t>A030440840</t>
  </si>
  <si>
    <t>01/01/1969</t>
  </si>
  <si>
    <t>shinekarmakar1979@gmail</t>
  </si>
  <si>
    <t>A030456961</t>
  </si>
  <si>
    <t>Rubi DeVI</t>
  </si>
  <si>
    <t>A030503164</t>
  </si>
  <si>
    <t>Lakhi Charan Dhibar</t>
  </si>
  <si>
    <t>09-09-1997</t>
  </si>
  <si>
    <t>10-07-2020</t>
  </si>
  <si>
    <t>charanlakhi2580@gmail.com</t>
  </si>
  <si>
    <t>A030504886</t>
  </si>
  <si>
    <t>Ajay Singh</t>
  </si>
  <si>
    <t>19/04/2000</t>
  </si>
  <si>
    <t>A030531765</t>
  </si>
  <si>
    <t>Ekta Jha</t>
  </si>
  <si>
    <t>29/12/2000</t>
  </si>
  <si>
    <t>11-07-2020</t>
  </si>
  <si>
    <t>ekta.jha29@gmail.com</t>
  </si>
  <si>
    <t>A030531937</t>
  </si>
  <si>
    <t>Reboti Nayak</t>
  </si>
  <si>
    <t>20/06/1954</t>
  </si>
  <si>
    <t>Q002434857</t>
  </si>
  <si>
    <t>Vicky Soni</t>
  </si>
  <si>
    <t>28/08/1988</t>
  </si>
  <si>
    <t>12-07-2020</t>
  </si>
  <si>
    <t>A030592652</t>
  </si>
  <si>
    <t>Farhat Saba</t>
  </si>
  <si>
    <t>07-01-1974</t>
  </si>
  <si>
    <t>14-07-2020</t>
  </si>
  <si>
    <t>nadimakhter1976@gmail.com</t>
  </si>
  <si>
    <t>A030626303</t>
  </si>
  <si>
    <t>Rakhi Munda</t>
  </si>
  <si>
    <t>06-06-1990</t>
  </si>
  <si>
    <t>15-07-2020</t>
  </si>
  <si>
    <t>A030653059</t>
  </si>
  <si>
    <t>Indrani Mukhuty</t>
  </si>
  <si>
    <t>23-03-1950</t>
  </si>
  <si>
    <t>16-07-2020</t>
  </si>
  <si>
    <t>jasbirsingh_2007@rediff</t>
  </si>
  <si>
    <t>A030658647</t>
  </si>
  <si>
    <t>Sumut Kujur</t>
  </si>
  <si>
    <t>04/12/1997</t>
  </si>
  <si>
    <t>kujursumit420@gmail.</t>
  </si>
  <si>
    <t>A030797066</t>
  </si>
  <si>
    <t>Mayna Gorai</t>
  </si>
  <si>
    <t>31-05-1988</t>
  </si>
  <si>
    <t>21-07-2020</t>
  </si>
  <si>
    <t>q002465129</t>
  </si>
  <si>
    <t>Harpreet singh</t>
  </si>
  <si>
    <t>17/02/2002</t>
  </si>
  <si>
    <t>singhharpreet9384@gmail</t>
  </si>
  <si>
    <t>A030853302</t>
  </si>
  <si>
    <t>Ashish Mukhi</t>
  </si>
  <si>
    <t>17/04/2002</t>
  </si>
  <si>
    <t>23-07-2020</t>
  </si>
  <si>
    <t>Q002485059</t>
  </si>
  <si>
    <t>Sangeeta Pandey</t>
  </si>
  <si>
    <t>15/12/1984</t>
  </si>
  <si>
    <t>28-07-2020</t>
  </si>
  <si>
    <t>shailendrakumarpandey65@g</t>
  </si>
  <si>
    <t>Q002491658</t>
  </si>
  <si>
    <t>Nasim Ahmad</t>
  </si>
  <si>
    <t>30/12/1973</t>
  </si>
  <si>
    <t>31-07-2020</t>
  </si>
  <si>
    <t>Q002496257</t>
  </si>
  <si>
    <t>02-08-2020</t>
  </si>
  <si>
    <t>A031049102</t>
  </si>
  <si>
    <t>Sulekha Pal</t>
  </si>
  <si>
    <t>A031045366</t>
  </si>
  <si>
    <t>Pankaj Kumar Upadhyay</t>
  </si>
  <si>
    <t>24/03/2001</t>
  </si>
  <si>
    <t>pankajsanju2403@gmail.com</t>
  </si>
  <si>
    <t>A031275494</t>
  </si>
  <si>
    <t>Shanti Devi</t>
  </si>
  <si>
    <t>01-01-1958</t>
  </si>
  <si>
    <t>13-08-2020</t>
  </si>
  <si>
    <t>A031352081</t>
  </si>
  <si>
    <t>Kriti Pandey</t>
  </si>
  <si>
    <t>24-07-2002</t>
  </si>
  <si>
    <t>15-08-2020</t>
  </si>
  <si>
    <t>kritipandey1412@gmail</t>
  </si>
  <si>
    <t>Q002511229</t>
  </si>
  <si>
    <t>Q002514352</t>
  </si>
  <si>
    <t>Amjad Khan</t>
  </si>
  <si>
    <t>Q002538908</t>
  </si>
  <si>
    <t>Rajni kant Sinha</t>
  </si>
  <si>
    <t>06-01-1968</t>
  </si>
  <si>
    <t>17-08-2020</t>
  </si>
  <si>
    <t>arajnikant@gmail</t>
  </si>
  <si>
    <t>A031430476</t>
  </si>
  <si>
    <t>Reeta Devi</t>
  </si>
  <si>
    <t>31-12-1976</t>
  </si>
  <si>
    <t>18-08-2020</t>
  </si>
  <si>
    <t>surajrathorebr@gmail.com</t>
  </si>
  <si>
    <t>Q002540472</t>
  </si>
  <si>
    <t>Sangeet Singh</t>
  </si>
  <si>
    <t>12-05-1982</t>
  </si>
  <si>
    <t>sangeetasinghdixit@gmail.com</t>
  </si>
  <si>
    <t>A031443299</t>
  </si>
  <si>
    <t>Surbhi Kumari</t>
  </si>
  <si>
    <t>03-07-2001</t>
  </si>
  <si>
    <t>surbhisinghjsr03@gmail.com</t>
  </si>
  <si>
    <t>Q002543507</t>
  </si>
  <si>
    <t>13-03-1973</t>
  </si>
  <si>
    <t>19-8-2020</t>
  </si>
  <si>
    <t>sanjay@minusoft</t>
  </si>
  <si>
    <t>A031513771</t>
  </si>
  <si>
    <t>Rahul Modak</t>
  </si>
  <si>
    <t>16-07-2002</t>
  </si>
  <si>
    <t>20-08-2020</t>
  </si>
  <si>
    <t>A031530487</t>
  </si>
  <si>
    <t>Sita Thakur</t>
  </si>
  <si>
    <t>10-05-1988</t>
  </si>
  <si>
    <t>snehabag56@gmail.co</t>
  </si>
  <si>
    <t>A031403704</t>
  </si>
  <si>
    <t>Ruma Sahu</t>
  </si>
  <si>
    <t>13-11-1989</t>
  </si>
  <si>
    <t>22-08-2020</t>
  </si>
  <si>
    <t>rajusahu4085@gmail.</t>
  </si>
  <si>
    <t>Q002551595</t>
  </si>
  <si>
    <t>Arbaz Ahmad</t>
  </si>
  <si>
    <t>20-05-2002</t>
  </si>
  <si>
    <t>21-08-2020</t>
  </si>
  <si>
    <t>arbazahmad273@gmail</t>
  </si>
  <si>
    <t>A031540785</t>
  </si>
  <si>
    <t>Jamila Bibi Khatoon</t>
  </si>
  <si>
    <t>31-12-1946</t>
  </si>
  <si>
    <t>mdmusaabamirhamza662@g</t>
  </si>
  <si>
    <t>A031607379</t>
  </si>
  <si>
    <t>Sanjeev Honhaga</t>
  </si>
  <si>
    <t>14-12-1994</t>
  </si>
  <si>
    <t>24-08-2020</t>
  </si>
  <si>
    <t>krishnastore001@gmail.com</t>
  </si>
  <si>
    <t>A031644367</t>
  </si>
  <si>
    <t>Priya Mukhi</t>
  </si>
  <si>
    <t>25-08-2020</t>
  </si>
  <si>
    <t>amarmukhi2627@gmail.com</t>
  </si>
  <si>
    <t>Q002563605</t>
  </si>
  <si>
    <t>Radhe Ravidas</t>
  </si>
  <si>
    <t>04-06-1972</t>
  </si>
  <si>
    <t>Q002563895</t>
  </si>
  <si>
    <t>Chandrama Devi</t>
  </si>
  <si>
    <t>01-01-1939</t>
  </si>
  <si>
    <t>vermark1503@gmail.com</t>
  </si>
  <si>
    <t>A031701659</t>
  </si>
  <si>
    <t>Rashmi Kumari Pandey</t>
  </si>
  <si>
    <t>11/07/1991</t>
  </si>
  <si>
    <t>A031701293</t>
  </si>
  <si>
    <t>Dilip Das</t>
  </si>
  <si>
    <t>A031742775</t>
  </si>
  <si>
    <t>Rita Shukla</t>
  </si>
  <si>
    <t>27-08-2020</t>
  </si>
  <si>
    <t>A031715597</t>
  </si>
  <si>
    <t>Kavita</t>
  </si>
  <si>
    <t>01/01/1983</t>
  </si>
  <si>
    <t>30-08-2020</t>
  </si>
  <si>
    <t>A031786304</t>
  </si>
  <si>
    <t>Sujata Kumari</t>
  </si>
  <si>
    <t>16/03/1996</t>
  </si>
  <si>
    <t>29-08-2020</t>
  </si>
  <si>
    <t>A031786532</t>
  </si>
  <si>
    <t>Payal Kumari</t>
  </si>
  <si>
    <t>17/03/1999</t>
  </si>
  <si>
    <t>A031794882</t>
  </si>
  <si>
    <t>Shanta paper Mill</t>
  </si>
  <si>
    <t>23/08/2020</t>
  </si>
  <si>
    <t>31-08-2020</t>
  </si>
  <si>
    <t>A031857318</t>
  </si>
  <si>
    <t>Tanweer Ejaz Khan</t>
  </si>
  <si>
    <t>02/08/1999</t>
  </si>
  <si>
    <t>ec.99.2019@gmail.com</t>
  </si>
  <si>
    <t>A031877344</t>
  </si>
  <si>
    <t>Shazia Khanam</t>
  </si>
  <si>
    <t>14/05/1987</t>
  </si>
  <si>
    <t>01-09-2020</t>
  </si>
  <si>
    <t>kalimrahi01@gmail.com</t>
  </si>
  <si>
    <t>A031892754</t>
  </si>
  <si>
    <t>Mahesh Saw</t>
  </si>
  <si>
    <t>10/03/1965</t>
  </si>
  <si>
    <t>A031892132</t>
  </si>
  <si>
    <t>15/01/1967</t>
  </si>
  <si>
    <t>A032049025</t>
  </si>
  <si>
    <t>Anusuya Mahato</t>
  </si>
  <si>
    <t>10/05/1997</t>
  </si>
  <si>
    <t>06-09-2020</t>
  </si>
  <si>
    <t>07-09-2020</t>
  </si>
  <si>
    <t>anusuya.cbs.201@gmail.com</t>
  </si>
  <si>
    <t>A032050037</t>
  </si>
  <si>
    <t>Chhaya Rani Mahato</t>
  </si>
  <si>
    <t>12/03/2001</t>
  </si>
  <si>
    <t>chhayarani.cbs201@gmail.com</t>
  </si>
  <si>
    <t>Q002604269</t>
  </si>
  <si>
    <t>Paranjit Singh</t>
  </si>
  <si>
    <t>31/10/1974</t>
  </si>
  <si>
    <t>jasbir.singh62044@gmail.om</t>
  </si>
  <si>
    <t>A032008829</t>
  </si>
  <si>
    <t>25/08/2002</t>
  </si>
  <si>
    <t>Q002604868</t>
  </si>
  <si>
    <t xml:space="preserve">Poornima </t>
  </si>
  <si>
    <t>10/09/1976</t>
  </si>
  <si>
    <t>jaipaljsr225@gmail.com</t>
  </si>
  <si>
    <t>A032042943</t>
  </si>
  <si>
    <t>Gandheswari Gorai</t>
  </si>
  <si>
    <t>Q002614664</t>
  </si>
  <si>
    <t>Ashim Kumar Mitra</t>
  </si>
  <si>
    <t>02/01/1968</t>
  </si>
  <si>
    <t>A032114436</t>
  </si>
  <si>
    <t>Raju Gorai</t>
  </si>
  <si>
    <t>17/07/1999</t>
  </si>
  <si>
    <t>08-09-2020</t>
  </si>
  <si>
    <t>q002614434</t>
  </si>
  <si>
    <t>Sanjeev Kumar Mishra</t>
  </si>
  <si>
    <t>05/11/1968</t>
  </si>
  <si>
    <t>Q002619231</t>
  </si>
  <si>
    <t>Lankalpalli Ravi Kumar</t>
  </si>
  <si>
    <t>23/02/1973</t>
  </si>
  <si>
    <t>Q002620433</t>
  </si>
  <si>
    <t>Md Irsad</t>
  </si>
  <si>
    <t>25/10/1972</t>
  </si>
  <si>
    <t>09-09-2020</t>
  </si>
  <si>
    <t>A032225533</t>
  </si>
  <si>
    <t>Sonam Kumari</t>
  </si>
  <si>
    <t>21-08-2001</t>
  </si>
  <si>
    <t>11-09-2020</t>
  </si>
  <si>
    <t>skofficial2307@g</t>
  </si>
  <si>
    <t>a032261444</t>
  </si>
  <si>
    <t>Apurva Kumari</t>
  </si>
  <si>
    <t>20/03/2000</t>
  </si>
  <si>
    <t>12-09-2020</t>
  </si>
  <si>
    <t>15-09-2020</t>
  </si>
  <si>
    <t>A032283354</t>
  </si>
  <si>
    <t>Mohammad Riyazuddin</t>
  </si>
  <si>
    <t>02/01/1981</t>
  </si>
  <si>
    <t>A032261886</t>
  </si>
  <si>
    <t>Aman Shukla</t>
  </si>
  <si>
    <t>21-02-1999</t>
  </si>
  <si>
    <t>A032350030</t>
  </si>
  <si>
    <t>Sunita Rajak</t>
  </si>
  <si>
    <t>01/01/1989</t>
  </si>
  <si>
    <t>A032382932</t>
  </si>
  <si>
    <t>Priya Mahato</t>
  </si>
  <si>
    <t>21/09/2001</t>
  </si>
  <si>
    <t>16-09-2020</t>
  </si>
  <si>
    <t>A032413582</t>
  </si>
  <si>
    <t>Suman Dutta</t>
  </si>
  <si>
    <t>26/01/1969</t>
  </si>
  <si>
    <t>sumandutta26jan@gmail.com</t>
  </si>
  <si>
    <t>A032397380</t>
  </si>
  <si>
    <t>JOGENDRA</t>
  </si>
  <si>
    <t>14/11/1955</t>
  </si>
  <si>
    <t>sonukumarasa787@g</t>
  </si>
  <si>
    <t>A032372609</t>
  </si>
  <si>
    <t>Atma Devi</t>
  </si>
  <si>
    <t>31-12-1954</t>
  </si>
  <si>
    <t>bbpdamit@gmail.com</t>
  </si>
  <si>
    <t>A032433251</t>
  </si>
  <si>
    <t>Mina Kumar Singh</t>
  </si>
  <si>
    <t>31-01-1965</t>
  </si>
  <si>
    <t>17-09-2020</t>
  </si>
  <si>
    <t>A032425825</t>
  </si>
  <si>
    <t>jagjeet singh Gill</t>
  </si>
  <si>
    <t>19-03-2002</t>
  </si>
  <si>
    <t>jagjeetsinghgill42600@gmail</t>
  </si>
  <si>
    <t>Q002656080</t>
  </si>
  <si>
    <t>Q002656219</t>
  </si>
  <si>
    <t>28/05/205</t>
  </si>
  <si>
    <t>18-09-2020</t>
  </si>
  <si>
    <t>Q002658280</t>
  </si>
  <si>
    <t>Aaquil Hasan</t>
  </si>
  <si>
    <t>02/06/1973</t>
  </si>
  <si>
    <t>zhasan987@gmail.com</t>
  </si>
  <si>
    <t>Q002658622</t>
  </si>
  <si>
    <t>Gargi Chowdhury</t>
  </si>
  <si>
    <t>02/11/1976</t>
  </si>
  <si>
    <t>A032531520</t>
  </si>
  <si>
    <t>Rahmatun Nisha</t>
  </si>
  <si>
    <t>01/01/1987</t>
  </si>
  <si>
    <t>20-09-2020</t>
  </si>
  <si>
    <t>Q002665098</t>
  </si>
  <si>
    <t>Sarbani Gupta</t>
  </si>
  <si>
    <t>18/12/1967</t>
  </si>
  <si>
    <t>19-09-2020</t>
  </si>
  <si>
    <t>sdd392487@gmail.com</t>
  </si>
  <si>
    <t>Q002557272</t>
  </si>
  <si>
    <t>Mandavi Pandey</t>
  </si>
  <si>
    <t>23/01/1976</t>
  </si>
  <si>
    <t>23-08-2020</t>
  </si>
  <si>
    <t>Q002683590</t>
  </si>
  <si>
    <t>Nasrul Hassan</t>
  </si>
  <si>
    <t>25/09/1979</t>
  </si>
  <si>
    <t>24-09-2020</t>
  </si>
  <si>
    <t>A032673524</t>
  </si>
  <si>
    <t>Rita Gorai</t>
  </si>
  <si>
    <t>01/01/1993</t>
  </si>
  <si>
    <t>DJAPG3830A</t>
  </si>
  <si>
    <t>sanjay1@minusoft.co.in</t>
  </si>
  <si>
    <t>Aatma Devi</t>
  </si>
  <si>
    <t>31/12/1954</t>
  </si>
  <si>
    <t>A033058505</t>
  </si>
  <si>
    <t>Ruchit Sharma</t>
  </si>
  <si>
    <t>17/11/2001</t>
  </si>
  <si>
    <t>06-10-2020</t>
  </si>
  <si>
    <t>A033229596</t>
  </si>
  <si>
    <t>Kanchan Pal</t>
  </si>
  <si>
    <t>12-12-1990</t>
  </si>
  <si>
    <t>12-10-2020</t>
  </si>
  <si>
    <t>sanjaygorai000@gmail.com</t>
  </si>
  <si>
    <t>A033391336</t>
  </si>
  <si>
    <t>Arti Samad</t>
  </si>
  <si>
    <t>29-11-2006</t>
  </si>
  <si>
    <t>17-10-2020</t>
  </si>
  <si>
    <t>A033256911</t>
  </si>
  <si>
    <t>Shek Kabir</t>
  </si>
  <si>
    <t>09-08-2000</t>
  </si>
  <si>
    <t>A033256569</t>
  </si>
  <si>
    <t>Farhat Imam</t>
  </si>
  <si>
    <t>03-03-1970</t>
  </si>
  <si>
    <t>Q002687236</t>
  </si>
  <si>
    <t>Renu Singh</t>
  </si>
  <si>
    <t>05-04-1988</t>
  </si>
  <si>
    <t>25-09-2020</t>
  </si>
  <si>
    <t>A032704322</t>
  </si>
  <si>
    <t>Areetra Sur</t>
  </si>
  <si>
    <t>01-01-2001</t>
  </si>
  <si>
    <t>A032758838</t>
  </si>
  <si>
    <t>Anuradha Pandey</t>
  </si>
  <si>
    <t>04-04-2002</t>
  </si>
  <si>
    <t>26-09-2020</t>
  </si>
  <si>
    <t>A032960561</t>
  </si>
  <si>
    <t>Savita Tiwaty</t>
  </si>
  <si>
    <t>22-10-1985</t>
  </si>
  <si>
    <t>03-10-2020</t>
  </si>
  <si>
    <t>A032987475</t>
  </si>
  <si>
    <t>Seema bhumij</t>
  </si>
  <si>
    <t>02-04-1995</t>
  </si>
  <si>
    <t>A032986268</t>
  </si>
  <si>
    <t>Rahul Prasad</t>
  </si>
  <si>
    <t>26-05-2000</t>
  </si>
  <si>
    <t>Q002723340</t>
  </si>
  <si>
    <t>09/07/1987</t>
  </si>
  <si>
    <t>A031794862</t>
  </si>
  <si>
    <t>Shanta Papers Mill</t>
  </si>
  <si>
    <t>Q002773510</t>
  </si>
  <si>
    <t>Sourav Agarwal</t>
  </si>
  <si>
    <t>03-08-2000</t>
  </si>
  <si>
    <t>16-102020</t>
  </si>
  <si>
    <t>A033417046</t>
  </si>
  <si>
    <t>Kartik Mahato</t>
  </si>
  <si>
    <t>22-07-1997</t>
  </si>
  <si>
    <t>kartikmahato5896@gmail.com</t>
  </si>
  <si>
    <t>A003430912</t>
  </si>
  <si>
    <t>Namita Mahato</t>
  </si>
  <si>
    <t>01-04-1999</t>
  </si>
  <si>
    <t>18-10-2020</t>
  </si>
  <si>
    <t>q002781982</t>
  </si>
  <si>
    <t>Aakriti Srivastava</t>
  </si>
  <si>
    <t>09-07-1999</t>
  </si>
  <si>
    <t>19-10-2020</t>
  </si>
  <si>
    <t>aakritifocus@gmail.com</t>
  </si>
  <si>
    <t>A033436315</t>
  </si>
  <si>
    <t>Manish Kumar Srivastava</t>
  </si>
  <si>
    <t>10-12-1986</t>
  </si>
  <si>
    <t>manishkumarcomsonu53811@gmail.com</t>
  </si>
  <si>
    <t>A033470736</t>
  </si>
  <si>
    <t>Punam Singh</t>
  </si>
  <si>
    <t>24-06-1986</t>
  </si>
  <si>
    <t>20-10-2020</t>
  </si>
  <si>
    <t>A033471960</t>
  </si>
  <si>
    <t>Sourav Tripathy</t>
  </si>
  <si>
    <t>15-08-1999</t>
  </si>
  <si>
    <t>souravtripathy67@gmail.com</t>
  </si>
  <si>
    <t>A033577251</t>
  </si>
  <si>
    <t>Yashpal Kaur</t>
  </si>
  <si>
    <t>07-06-1974</t>
  </si>
  <si>
    <t>23-10-2020</t>
  </si>
  <si>
    <t>simrankaur100200@g</t>
  </si>
  <si>
    <t>A033590340</t>
  </si>
  <si>
    <t>Md Adeen Khan</t>
  </si>
  <si>
    <t>25-08-2000</t>
  </si>
  <si>
    <t>24-10-2020</t>
  </si>
  <si>
    <t>adeenkhan25@gm</t>
  </si>
  <si>
    <t>A033713062</t>
  </si>
  <si>
    <t>Birbala Sinha</t>
  </si>
  <si>
    <t>01-10-1999</t>
  </si>
  <si>
    <t>29-10-2020</t>
  </si>
  <si>
    <t>shashi.shiv87@g</t>
  </si>
  <si>
    <t>A033662387</t>
  </si>
  <si>
    <t>Abhishek Kumar Vaibhav</t>
  </si>
  <si>
    <t>27-10-2002</t>
  </si>
  <si>
    <t>28-10-2020</t>
  </si>
  <si>
    <t>abhishek27kv@g</t>
  </si>
  <si>
    <t>A033736738</t>
  </si>
  <si>
    <t>Rumi Khatoon</t>
  </si>
  <si>
    <t>01-02-1988</t>
  </si>
  <si>
    <t>30-10-2020</t>
  </si>
  <si>
    <t>rumikhan5304@g</t>
  </si>
  <si>
    <t>A033736955</t>
  </si>
  <si>
    <t>Nisha Kumari</t>
  </si>
  <si>
    <t>05-12-1989</t>
  </si>
  <si>
    <t>sanjay1@mi</t>
  </si>
  <si>
    <t>Q002822653</t>
  </si>
  <si>
    <t>21-04-1964</t>
  </si>
  <si>
    <t>31-10-2020</t>
  </si>
  <si>
    <t>Q002823218</t>
  </si>
  <si>
    <t>16-02-2000</t>
  </si>
  <si>
    <t>tamojitdutta2000@gmai</t>
  </si>
  <si>
    <t>Q002823255</t>
  </si>
  <si>
    <t>Tamojoy Dutta</t>
  </si>
  <si>
    <t>tamojoyduta2000@g</t>
  </si>
  <si>
    <t>A033805176</t>
  </si>
  <si>
    <t>Meena Devi</t>
  </si>
  <si>
    <t>30-08-1967</t>
  </si>
  <si>
    <t>03-11-2020</t>
  </si>
  <si>
    <t>sanja1@minusoft.co.in</t>
  </si>
  <si>
    <t>Q002830487</t>
  </si>
  <si>
    <t>Dayananad Prasad</t>
  </si>
  <si>
    <t>04-06-1966</t>
  </si>
  <si>
    <t>02-11-2020</t>
  </si>
  <si>
    <t>Q002837452</t>
  </si>
  <si>
    <t>20-10-2002</t>
  </si>
  <si>
    <t>04-11-2020</t>
  </si>
  <si>
    <t>A033831104</t>
  </si>
  <si>
    <t>Bhawna</t>
  </si>
  <si>
    <t>30-10-2000</t>
  </si>
  <si>
    <t>A033854012</t>
  </si>
  <si>
    <t>Surjeet Kumar Panday</t>
  </si>
  <si>
    <t>20-04-1999</t>
  </si>
  <si>
    <t>A033868560</t>
  </si>
  <si>
    <t>Neha Singh</t>
  </si>
  <si>
    <t>26-12-2000</t>
  </si>
  <si>
    <t>05-11-2020</t>
  </si>
  <si>
    <t>ns966310@gmail.com</t>
  </si>
  <si>
    <t>A033938318</t>
  </si>
  <si>
    <t>Ahmad Shahbaz</t>
  </si>
  <si>
    <t>15-11-1994</t>
  </si>
  <si>
    <t>08-11-2020</t>
  </si>
  <si>
    <t>A033943925</t>
  </si>
  <si>
    <t>Suraj Kumar Chhatar</t>
  </si>
  <si>
    <t>11-09-1999</t>
  </si>
  <si>
    <t>A034090613</t>
  </si>
  <si>
    <t>Sarfaraz Akhtar</t>
  </si>
  <si>
    <t>27-12-2000</t>
  </si>
  <si>
    <t>15-11-2020</t>
  </si>
  <si>
    <t>A034050150</t>
  </si>
  <si>
    <t>Suku Tudu</t>
  </si>
  <si>
    <t>01-01-1973</t>
  </si>
  <si>
    <t>12-11-2020</t>
  </si>
  <si>
    <t>A034102950</t>
  </si>
  <si>
    <t>Gunjan Kumari</t>
  </si>
  <si>
    <t>05-03-1998</t>
  </si>
  <si>
    <t>16-11-2020</t>
  </si>
  <si>
    <t>gunjankumarijsr@gma</t>
  </si>
  <si>
    <t>A034114147</t>
  </si>
  <si>
    <t>Sharya Naaz</t>
  </si>
  <si>
    <t>31-03-2002</t>
  </si>
  <si>
    <t>Q002889015</t>
  </si>
  <si>
    <t>Manju Verma</t>
  </si>
  <si>
    <t>26-05-1963</t>
  </si>
  <si>
    <t>19-11-2020</t>
  </si>
  <si>
    <t>sanjay1@gma</t>
  </si>
  <si>
    <t>Q002894311</t>
  </si>
  <si>
    <t>07-03-1971</t>
  </si>
  <si>
    <t>21-11-2020</t>
  </si>
  <si>
    <t>23-11-2020</t>
  </si>
  <si>
    <t>desiringdilipkumar@gmail.com</t>
  </si>
  <si>
    <t>A034279055</t>
  </si>
  <si>
    <t>Ravinder Kaur</t>
  </si>
  <si>
    <t>15/05/2002</t>
  </si>
  <si>
    <t>Q002884852</t>
  </si>
  <si>
    <t>Moti Devi</t>
  </si>
  <si>
    <t>31/12/1956</t>
  </si>
  <si>
    <t>24-11-2020</t>
  </si>
  <si>
    <t>A034381164</t>
  </si>
  <si>
    <t>13-11-2002</t>
  </si>
  <si>
    <t>27-11-2020</t>
  </si>
  <si>
    <t>anshuk497@gmail.com</t>
  </si>
  <si>
    <t>A034414332</t>
  </si>
  <si>
    <t>Shital Mukhi</t>
  </si>
  <si>
    <t>29/11/1993</t>
  </si>
  <si>
    <t>29-11-2020</t>
  </si>
  <si>
    <t>A034420642</t>
  </si>
  <si>
    <t>A034430742</t>
  </si>
  <si>
    <t>Jaishankar Pandey</t>
  </si>
  <si>
    <t>27-12-1974</t>
  </si>
  <si>
    <t>30-11-2020</t>
  </si>
  <si>
    <t>034466141</t>
  </si>
  <si>
    <t>Jyoti Prakash</t>
  </si>
  <si>
    <t>07/06/2002</t>
  </si>
  <si>
    <t>01-12-2020</t>
  </si>
  <si>
    <t>A034502001</t>
  </si>
  <si>
    <t>Vilasi Mahato</t>
  </si>
  <si>
    <t>13/09/1978</t>
  </si>
  <si>
    <t>03-12-2020</t>
  </si>
  <si>
    <t>04-12-2020</t>
  </si>
  <si>
    <t>A034549664</t>
  </si>
  <si>
    <t>Rimi Bristi</t>
  </si>
  <si>
    <t>12/09/2001</t>
  </si>
  <si>
    <t>A034550771</t>
  </si>
  <si>
    <t>Shobharani Mahato</t>
  </si>
  <si>
    <t>A034577510</t>
  </si>
  <si>
    <t>Ayush Kumar Mishra</t>
  </si>
  <si>
    <t>27/09/2002</t>
  </si>
  <si>
    <t>05-12-2020</t>
  </si>
  <si>
    <t>binay.mishra@cummins.com</t>
  </si>
  <si>
    <t>A034566884</t>
  </si>
  <si>
    <t>Mohammad Nadim</t>
  </si>
  <si>
    <t>25/11/2002</t>
  </si>
  <si>
    <t>A034602674</t>
  </si>
  <si>
    <t>Jagdish Mahato</t>
  </si>
  <si>
    <t>19/12/2001</t>
  </si>
  <si>
    <t>06-12-2020</t>
  </si>
  <si>
    <t>Jagdishmahato316@gmail.com</t>
  </si>
  <si>
    <t>Q002960682</t>
  </si>
  <si>
    <t>Shesasis Mohanty</t>
  </si>
  <si>
    <t>04-04-1987</t>
  </si>
  <si>
    <t>08-12-2020</t>
  </si>
  <si>
    <t>shesasismohanty@g</t>
  </si>
  <si>
    <t>Q002962902</t>
  </si>
  <si>
    <t>Sumit Kumar</t>
  </si>
  <si>
    <t>26/10/2000</t>
  </si>
  <si>
    <t>09-12-2020</t>
  </si>
  <si>
    <t>sumitkingg786@gmail.com</t>
  </si>
  <si>
    <t>A034657859</t>
  </si>
  <si>
    <t>Manoj Sahu</t>
  </si>
  <si>
    <t>25/11/1978</t>
  </si>
  <si>
    <t>A034670693</t>
  </si>
  <si>
    <t>Navin Kumar Sharma</t>
  </si>
  <si>
    <t>05/12/2002</t>
  </si>
  <si>
    <t>nandasharma77500@gmail.com</t>
  </si>
  <si>
    <t>Q002976100</t>
  </si>
  <si>
    <t>Katadi Rajesh</t>
  </si>
  <si>
    <t>24/08/1988</t>
  </si>
  <si>
    <t>13-12-2020</t>
  </si>
  <si>
    <t>Q002976030</t>
  </si>
  <si>
    <t>Katadi Suresh</t>
  </si>
  <si>
    <t>15/06/1990</t>
  </si>
  <si>
    <t>A034739581</t>
  </si>
  <si>
    <t>Bangi Murmu</t>
  </si>
  <si>
    <t>Q002985287</t>
  </si>
  <si>
    <t>Beena Mahato</t>
  </si>
  <si>
    <t>02/03/1999</t>
  </si>
  <si>
    <t>14-12-2020</t>
  </si>
  <si>
    <t>16-12-2020</t>
  </si>
  <si>
    <t>beenamahato1@gmail.com</t>
  </si>
  <si>
    <t>Q002989305</t>
  </si>
  <si>
    <t>Sanjay Sharma</t>
  </si>
  <si>
    <t>10/05/1993</t>
  </si>
  <si>
    <t>15-12-2020</t>
  </si>
  <si>
    <t>A034834090</t>
  </si>
  <si>
    <t>Mamta Kumari</t>
  </si>
  <si>
    <t>17/01/1985</t>
  </si>
  <si>
    <t>A034865816</t>
  </si>
  <si>
    <t>Bipin Kumar Sah</t>
  </si>
  <si>
    <t>18/09/2003</t>
  </si>
  <si>
    <t>bipinkumarbipin676@gmail.com</t>
  </si>
  <si>
    <t>Q002994196</t>
  </si>
  <si>
    <t>Kunal Mehta</t>
  </si>
  <si>
    <t>25/12/1978</t>
  </si>
  <si>
    <t>A034882032</t>
  </si>
  <si>
    <t>Abhishek Mishra</t>
  </si>
  <si>
    <t>06-03-1999</t>
  </si>
  <si>
    <t>17-12-2020</t>
  </si>
  <si>
    <t>ahishekntp418773@g</t>
  </si>
  <si>
    <t>A035034153</t>
  </si>
  <si>
    <t>Priya Priyansha</t>
  </si>
  <si>
    <t>06/09/1997</t>
  </si>
  <si>
    <t>22/12/2020</t>
  </si>
  <si>
    <t>representative</t>
  </si>
  <si>
    <t>A035033622</t>
  </si>
  <si>
    <t>Mamta Sinha</t>
  </si>
  <si>
    <t>25/02/1973</t>
  </si>
  <si>
    <t>A035055883</t>
  </si>
  <si>
    <t>Tithi Nandi</t>
  </si>
  <si>
    <t>02/12/2002</t>
  </si>
  <si>
    <t>A035133532</t>
  </si>
  <si>
    <t>Somesh Patnaik</t>
  </si>
  <si>
    <t>02/03/1998</t>
  </si>
  <si>
    <t>24/12/2020</t>
  </si>
  <si>
    <t>25-12-2020</t>
  </si>
  <si>
    <t>A035171956</t>
  </si>
  <si>
    <t>Ratna Patra</t>
  </si>
  <si>
    <t>23/05/1996</t>
  </si>
  <si>
    <t>25/12/2020</t>
  </si>
  <si>
    <t>ratnapatra235@gmail.com</t>
  </si>
  <si>
    <t>A035192359</t>
  </si>
  <si>
    <t>Ravi Mahanandi</t>
  </si>
  <si>
    <t>01-08-1993</t>
  </si>
  <si>
    <t>26-12-2020</t>
  </si>
  <si>
    <t>sanjay1</t>
  </si>
  <si>
    <t>A035193519</t>
  </si>
  <si>
    <t>Kumari Pratyusha</t>
  </si>
  <si>
    <t>25-09-2000</t>
  </si>
  <si>
    <t>kumaripratyusha20@g</t>
  </si>
  <si>
    <t>A035198889</t>
  </si>
  <si>
    <t>Vishwanath Anand Sahu</t>
  </si>
  <si>
    <t>22-12-2002</t>
  </si>
  <si>
    <t>27-12-2020</t>
  </si>
  <si>
    <t>vishwanathsahu580@g</t>
  </si>
  <si>
    <t>Q003049535</t>
  </si>
  <si>
    <t>Pravin kumar sinha</t>
  </si>
  <si>
    <t>12-03-1982</t>
  </si>
  <si>
    <t>28-12-2020</t>
  </si>
  <si>
    <t>pravs.sinha@gmail.com</t>
  </si>
  <si>
    <t>A035241725</t>
  </si>
  <si>
    <t>kriti sinha</t>
  </si>
  <si>
    <t>24-12-1985</t>
  </si>
  <si>
    <t>A035261591</t>
  </si>
  <si>
    <t>Ranjita Patnaik</t>
  </si>
  <si>
    <t>09-11-1967</t>
  </si>
  <si>
    <t>29-12-2020</t>
  </si>
  <si>
    <t>A035262153</t>
  </si>
  <si>
    <t>Mustari Amir</t>
  </si>
  <si>
    <t>08-04-1981</t>
  </si>
  <si>
    <t>A035297504</t>
  </si>
  <si>
    <t>Shoaib Akhtar</t>
  </si>
  <si>
    <t>15-03-2000</t>
  </si>
  <si>
    <t>Q003070693</t>
  </si>
  <si>
    <t>Mohammed Imran Akhter</t>
  </si>
  <si>
    <t>07/06/1986</t>
  </si>
  <si>
    <t>02-01-2021</t>
  </si>
  <si>
    <t>Q003074960</t>
  </si>
  <si>
    <t>Aditi Lal</t>
  </si>
  <si>
    <t>11-07-2000</t>
  </si>
  <si>
    <t>03-01-2021</t>
  </si>
  <si>
    <t>aditi.athemolinete@gmai</t>
  </si>
  <si>
    <t>A035418092</t>
  </si>
  <si>
    <t>Umesh Devi</t>
  </si>
  <si>
    <t>01-01-1945</t>
  </si>
  <si>
    <t>A035464692</t>
  </si>
  <si>
    <t>Pratibha Prasad</t>
  </si>
  <si>
    <t>06-07-1965</t>
  </si>
  <si>
    <t>04-01-2021</t>
  </si>
  <si>
    <t>himanshukumar15926@g</t>
  </si>
  <si>
    <t>Q003080995</t>
  </si>
  <si>
    <t>Himani Tripathi</t>
  </si>
  <si>
    <t>23-02-1999</t>
  </si>
  <si>
    <t>himanitripathi23@g</t>
  </si>
  <si>
    <t>A035556071</t>
  </si>
  <si>
    <t>Sunita Tripathi</t>
  </si>
  <si>
    <t>15-09-1974</t>
  </si>
  <si>
    <t>07-01-2021</t>
  </si>
  <si>
    <t>adikumar8976@gmail</t>
  </si>
  <si>
    <t>A035555792</t>
  </si>
  <si>
    <t>Sulekha Kumari</t>
  </si>
  <si>
    <t>23-08-1999</t>
  </si>
  <si>
    <t>vishwajee.kumar1506@g</t>
  </si>
  <si>
    <t>A035567292</t>
  </si>
  <si>
    <t>Swadesh Sahoo</t>
  </si>
  <si>
    <t>22-04-1984</t>
  </si>
  <si>
    <t>08-01-2021</t>
  </si>
  <si>
    <t>Q003104107</t>
  </si>
  <si>
    <t>Rimjhim Kumari</t>
  </si>
  <si>
    <t>03-12-2002</t>
  </si>
  <si>
    <t>09-01-2021</t>
  </si>
  <si>
    <t>A035624155</t>
  </si>
  <si>
    <t>Krittibas Mahata</t>
  </si>
  <si>
    <t>04-12-1989</t>
  </si>
  <si>
    <t>krittibasvp@g</t>
  </si>
  <si>
    <t>A035692738</t>
  </si>
  <si>
    <t>Pinky Devi</t>
  </si>
  <si>
    <t>13-01-2021</t>
  </si>
  <si>
    <t>Q003123001</t>
  </si>
  <si>
    <t>Chandan Kumar</t>
  </si>
  <si>
    <t>21/06/1987</t>
  </si>
  <si>
    <t>14-01-2021</t>
  </si>
  <si>
    <t>A035806175</t>
  </si>
  <si>
    <t>Batash Pal</t>
  </si>
  <si>
    <t>01/01/2002</t>
  </si>
  <si>
    <t>15-01-2021</t>
  </si>
  <si>
    <t>A035818879</t>
  </si>
  <si>
    <t>Rina Singh</t>
  </si>
  <si>
    <t>06-09-1981</t>
  </si>
  <si>
    <t>A035823790</t>
  </si>
  <si>
    <t>Jahangir Alam</t>
  </si>
  <si>
    <t>01/12/1980</t>
  </si>
  <si>
    <t>A035856242</t>
  </si>
  <si>
    <t>Niraj Kumar</t>
  </si>
  <si>
    <t>10/10/2002</t>
  </si>
  <si>
    <t>16-01-2021</t>
  </si>
  <si>
    <t>A035915641</t>
  </si>
  <si>
    <t>18-01-2021</t>
  </si>
  <si>
    <t>A035911476</t>
  </si>
  <si>
    <t>Jaya Kumari</t>
  </si>
  <si>
    <t>25/12/1993</t>
  </si>
  <si>
    <t>A035915480</t>
  </si>
  <si>
    <t>Awanti Devi</t>
  </si>
  <si>
    <t>03/03/1964</t>
  </si>
  <si>
    <t>Q003140963</t>
  </si>
  <si>
    <t>Sarjit Singh</t>
  </si>
  <si>
    <t>23/05/1947</t>
  </si>
  <si>
    <t>A035915799</t>
  </si>
  <si>
    <t>Suraj Kumar</t>
  </si>
  <si>
    <t>16-11-2002</t>
  </si>
  <si>
    <t>19-01-2021</t>
  </si>
  <si>
    <t>sk.sidharth29@g</t>
  </si>
  <si>
    <t>Q003154813</t>
  </si>
  <si>
    <t>Binod Bhumij</t>
  </si>
  <si>
    <t>A036019548</t>
  </si>
  <si>
    <t>23/01/2002</t>
  </si>
  <si>
    <t>A035870709</t>
  </si>
  <si>
    <t>Wajid Ali</t>
  </si>
  <si>
    <t>11/03/2001</t>
  </si>
  <si>
    <t>Q003173631</t>
  </si>
  <si>
    <t>Seema Roy</t>
  </si>
  <si>
    <t>29/08/1966</t>
  </si>
  <si>
    <t>24-01-2021</t>
  </si>
  <si>
    <t>A036166172</t>
  </si>
  <si>
    <t>Mangal Lohar</t>
  </si>
  <si>
    <t>01/01/2001</t>
  </si>
  <si>
    <t>25-01-2021</t>
  </si>
  <si>
    <t>A036231980</t>
  </si>
  <si>
    <t>Devarpalli Dev</t>
  </si>
  <si>
    <t>27-01-2021</t>
  </si>
  <si>
    <t>A036368387</t>
  </si>
  <si>
    <t>Kamaljeet Manni Singh</t>
  </si>
  <si>
    <t>16/10/2002</t>
  </si>
  <si>
    <t>31-01-2021</t>
  </si>
  <si>
    <t>A036368528</t>
  </si>
  <si>
    <t>Hritik Kumar Shrivastava</t>
  </si>
  <si>
    <t>27-06-2001</t>
  </si>
  <si>
    <t>A0362380139</t>
  </si>
  <si>
    <t>Kanhaiya Singh</t>
  </si>
  <si>
    <t>01-02-1996</t>
  </si>
  <si>
    <t>01-01-2021</t>
  </si>
  <si>
    <t>A036380880</t>
  </si>
  <si>
    <t>Aman Maharana</t>
  </si>
  <si>
    <t>01-02-2021</t>
  </si>
  <si>
    <t>Q003212679</t>
  </si>
  <si>
    <t>Mala Saha</t>
  </si>
  <si>
    <t>01/06/1991</t>
  </si>
  <si>
    <t>Q003221994</t>
  </si>
  <si>
    <t>Dipika Bhattacherjee</t>
  </si>
  <si>
    <t>05/01/1958</t>
  </si>
  <si>
    <t>03-02-2021</t>
  </si>
  <si>
    <t>A036472149</t>
  </si>
  <si>
    <t>06/03-1983</t>
  </si>
  <si>
    <t>A036518383</t>
  </si>
  <si>
    <t>Aman Jha</t>
  </si>
  <si>
    <t>17-03-2002</t>
  </si>
  <si>
    <t>04-02-2021</t>
  </si>
  <si>
    <t>amanjha172002</t>
  </si>
  <si>
    <t>A036518847</t>
  </si>
  <si>
    <t>Soni Jha</t>
  </si>
  <si>
    <t>Q003237242</t>
  </si>
  <si>
    <t>Harbhajan Singh</t>
  </si>
  <si>
    <t>10-08-1945</t>
  </si>
  <si>
    <t>06-02-2020</t>
  </si>
  <si>
    <t>A036539218</t>
  </si>
  <si>
    <t>Q003247998</t>
  </si>
  <si>
    <t>Deepak Jana</t>
  </si>
  <si>
    <t>23/04/1971</t>
  </si>
  <si>
    <t>08/02/2021</t>
  </si>
  <si>
    <t>janadeepak79@gmail.com</t>
  </si>
  <si>
    <t>A036752409</t>
  </si>
  <si>
    <t>Manmoni Tantubay</t>
  </si>
  <si>
    <t>02/09/1981</t>
  </si>
  <si>
    <t>10-02-2021</t>
  </si>
  <si>
    <t>A036752750</t>
  </si>
  <si>
    <t>Subhadra</t>
  </si>
  <si>
    <t>A036814217</t>
  </si>
  <si>
    <t>Mohammad Alam</t>
  </si>
  <si>
    <t>13/09/1986</t>
  </si>
  <si>
    <t>12/02/2021</t>
  </si>
  <si>
    <t>Q003270001</t>
  </si>
  <si>
    <t>Kamlesh Sah</t>
  </si>
  <si>
    <t>A036829239</t>
  </si>
  <si>
    <t>Deepa Munda</t>
  </si>
  <si>
    <t>07/05/1998</t>
  </si>
  <si>
    <t>A036785553</t>
  </si>
  <si>
    <t>Gulapi Mahato</t>
  </si>
  <si>
    <t>10/10/1995</t>
  </si>
  <si>
    <t>11/02/2021</t>
  </si>
  <si>
    <t>Q003270100</t>
  </si>
  <si>
    <t>Ravindra Mahato</t>
  </si>
  <si>
    <t>05/09/1976</t>
  </si>
  <si>
    <t>A036835143</t>
  </si>
  <si>
    <t>Raviranjan Kumar</t>
  </si>
  <si>
    <t>01/05/2001</t>
  </si>
  <si>
    <t>A036881853</t>
  </si>
  <si>
    <t>01/03/1981</t>
  </si>
  <si>
    <t>14/02/2021</t>
  </si>
  <si>
    <t>A036882300</t>
  </si>
  <si>
    <t>Chandan Chakraborty</t>
  </si>
  <si>
    <t>14/04/1977</t>
  </si>
  <si>
    <t>A036881525</t>
  </si>
  <si>
    <t>16/08/1998</t>
  </si>
  <si>
    <t>A036881096</t>
  </si>
  <si>
    <t>Kalpana Routray</t>
  </si>
  <si>
    <t>18/02/1970</t>
  </si>
  <si>
    <t>Q003276854</t>
  </si>
  <si>
    <t>30/10/1970</t>
  </si>
  <si>
    <t>A036885296</t>
  </si>
  <si>
    <t>Anjali Priti</t>
  </si>
  <si>
    <t>23/02/2002</t>
  </si>
  <si>
    <t>Q003293804</t>
  </si>
  <si>
    <t>Mohammad Yahiya</t>
  </si>
  <si>
    <t>12/01/1960</t>
  </si>
  <si>
    <t>17/02/2021</t>
  </si>
  <si>
    <t>18/02/2021</t>
  </si>
  <si>
    <t>Q003293827</t>
  </si>
  <si>
    <t>Hena Chakraborty</t>
  </si>
  <si>
    <t>02/01/1955</t>
  </si>
  <si>
    <t>Q003293817</t>
  </si>
  <si>
    <t>Kamal Kumar Chakraborty</t>
  </si>
  <si>
    <t>05/07/1952</t>
  </si>
  <si>
    <t>A037036550</t>
  </si>
  <si>
    <t>Shahnaz Ali</t>
  </si>
  <si>
    <t>07/10/1991</t>
  </si>
  <si>
    <t>A037055097</t>
  </si>
  <si>
    <t>Aisha Mishra</t>
  </si>
  <si>
    <t>24/08/2002</t>
  </si>
  <si>
    <t>19/02/2021</t>
  </si>
  <si>
    <t>A037056571</t>
  </si>
  <si>
    <t>Meghangee Chowdhury</t>
  </si>
  <si>
    <t>25/08/2001</t>
  </si>
  <si>
    <t>Q003306734</t>
  </si>
  <si>
    <t>11/07/2000</t>
  </si>
  <si>
    <t>20/02/2021</t>
  </si>
  <si>
    <t>Q003306592</t>
  </si>
  <si>
    <t>Chhutu Karmakar</t>
  </si>
  <si>
    <t>16/12/1979</t>
  </si>
  <si>
    <t>A037112293</t>
  </si>
  <si>
    <t>Renuka Munda</t>
  </si>
  <si>
    <t>16/08/1990</t>
  </si>
  <si>
    <t>Q003313813</t>
  </si>
  <si>
    <t>Bhuwan Maitra</t>
  </si>
  <si>
    <t>10/08/1990</t>
  </si>
  <si>
    <t>23/02/2021</t>
  </si>
  <si>
    <t>A037181405</t>
  </si>
  <si>
    <t>Shabana Khatoon</t>
  </si>
  <si>
    <t>27/03/1984</t>
  </si>
  <si>
    <t>Q003322459</t>
  </si>
  <si>
    <t>Sanjiv Kumar Bera</t>
  </si>
  <si>
    <t>04/01/1994</t>
  </si>
  <si>
    <t>Q003322541</t>
  </si>
  <si>
    <t>Shambhavi Jaiswal</t>
  </si>
  <si>
    <t>11/06/1996</t>
  </si>
  <si>
    <t>A037181835</t>
  </si>
  <si>
    <t>Ganga Gorai</t>
  </si>
  <si>
    <t>23/08/1998</t>
  </si>
  <si>
    <t>A037290286</t>
  </si>
  <si>
    <t>Birendar Kumar Yadav</t>
  </si>
  <si>
    <t>03/04/1985</t>
  </si>
  <si>
    <t>26/02/2021</t>
  </si>
  <si>
    <t>A037331107</t>
  </si>
  <si>
    <t>Rahnuma Khanum</t>
  </si>
  <si>
    <t>13/04/1994</t>
  </si>
  <si>
    <t>27/02/2021</t>
  </si>
  <si>
    <t>A037366303</t>
  </si>
  <si>
    <t>Ratnesh Kumar Jha</t>
  </si>
  <si>
    <t>19-11-1974</t>
  </si>
  <si>
    <t>28-02-2021</t>
  </si>
  <si>
    <t>ratnesh74jha@gmail.com</t>
  </si>
  <si>
    <t>A037366037</t>
  </si>
  <si>
    <t>Jyoti Jha</t>
  </si>
  <si>
    <t>02-10-1981</t>
  </si>
  <si>
    <t>jyoti.hr.jha@gmail.com</t>
  </si>
  <si>
    <t>A037410485</t>
  </si>
  <si>
    <t>Santu Singh</t>
  </si>
  <si>
    <t>20-04-1998</t>
  </si>
  <si>
    <t>01-03-2021</t>
  </si>
  <si>
    <t>santusingh192020@gmail.com</t>
  </si>
  <si>
    <t>Q003346938</t>
  </si>
  <si>
    <t>05-04-2020</t>
  </si>
  <si>
    <t>sonipriyanshi339@gmail.com</t>
  </si>
  <si>
    <t>A037416947</t>
  </si>
  <si>
    <t>Durga Kumari</t>
  </si>
  <si>
    <t>06-11-1996</t>
  </si>
  <si>
    <t>02-03-2021</t>
  </si>
  <si>
    <t>Q003353811</t>
  </si>
  <si>
    <t>Braj Mohan Prasad Gupta</t>
  </si>
  <si>
    <t>03/05/1949</t>
  </si>
  <si>
    <t>Q003351076</t>
  </si>
  <si>
    <t>Rakesh Kumar Baranwal</t>
  </si>
  <si>
    <t>05-11-1975</t>
  </si>
  <si>
    <t>Q003357028</t>
  </si>
  <si>
    <t>Lakhhi Devi Sarkar</t>
  </si>
  <si>
    <t>02-03-1978</t>
  </si>
  <si>
    <t>A037485136</t>
  </si>
  <si>
    <t>Sneha Patro</t>
  </si>
  <si>
    <t>19-02-1998</t>
  </si>
  <si>
    <t>03-03-2021</t>
  </si>
  <si>
    <t>Q003364695</t>
  </si>
  <si>
    <t>09/10/1994</t>
  </si>
  <si>
    <t>04-03-2021</t>
  </si>
  <si>
    <t>A037598889</t>
  </si>
  <si>
    <t>Guriya Kumari</t>
  </si>
  <si>
    <t>24/06/2002</t>
  </si>
  <si>
    <t>06-03-2021</t>
  </si>
  <si>
    <t>A037541855</t>
  </si>
  <si>
    <t>Nanda Tiwary</t>
  </si>
  <si>
    <t>01/01/1963</t>
  </si>
  <si>
    <t>A037613244</t>
  </si>
  <si>
    <t>Ritik Maity</t>
  </si>
  <si>
    <t>01/03/2004</t>
  </si>
  <si>
    <t>A037606520</t>
  </si>
  <si>
    <t>23/11/1998</t>
  </si>
  <si>
    <t>A037606692</t>
  </si>
  <si>
    <t>Pintu Gupta</t>
  </si>
  <si>
    <t>A037542185</t>
  </si>
  <si>
    <t>Brij Bihari Tiwary</t>
  </si>
  <si>
    <t>a037689133</t>
  </si>
  <si>
    <t>Urmila Mahato</t>
  </si>
  <si>
    <t>09-03-2021</t>
  </si>
  <si>
    <t>A037688631</t>
  </si>
  <si>
    <t>Kahkansha Praween</t>
  </si>
  <si>
    <t>16-03-1972</t>
  </si>
  <si>
    <t>A037687122</t>
  </si>
  <si>
    <t>Ran Vijay</t>
  </si>
  <si>
    <t>18-08-2002</t>
  </si>
  <si>
    <t>pk7547839186</t>
  </si>
  <si>
    <t>A037693655</t>
  </si>
  <si>
    <t>Rohit kumar</t>
  </si>
  <si>
    <t>07-09-2001</t>
  </si>
  <si>
    <t>prasantogorai5845</t>
  </si>
  <si>
    <t>A037671845</t>
  </si>
  <si>
    <t>Saraswati Bera</t>
  </si>
  <si>
    <t>14-09-1971</t>
  </si>
  <si>
    <t>rajivbera91@gmail.com</t>
  </si>
  <si>
    <t>A037633542</t>
  </si>
  <si>
    <t>Neha Bharti</t>
  </si>
  <si>
    <t>04-06-2002</t>
  </si>
  <si>
    <t>07-03-2021</t>
  </si>
  <si>
    <t>A037735103</t>
  </si>
  <si>
    <t>Mukesh Kumar Singh</t>
  </si>
  <si>
    <t>30-09-1981</t>
  </si>
  <si>
    <t>10-03-2021</t>
  </si>
  <si>
    <t>A037738341</t>
  </si>
  <si>
    <t>Md Jaweid Akhtar</t>
  </si>
  <si>
    <t>08-04-2001</t>
  </si>
  <si>
    <t>A037725455</t>
  </si>
  <si>
    <t>Kaushalya Devi</t>
  </si>
  <si>
    <t>01-01-1963</t>
  </si>
  <si>
    <t>10-09-2021</t>
  </si>
  <si>
    <t>Q003403834</t>
  </si>
  <si>
    <t>05-01-1996</t>
  </si>
  <si>
    <t>11-03-2021</t>
  </si>
  <si>
    <t>Q003411926</t>
  </si>
  <si>
    <t>Minakshi Singh</t>
  </si>
  <si>
    <t>25/12/2021</t>
  </si>
  <si>
    <t>A037907960</t>
  </si>
  <si>
    <t>Haripada Sardar</t>
  </si>
  <si>
    <t>01/01/1951</t>
  </si>
  <si>
    <t>15-03-2021</t>
  </si>
  <si>
    <t>A037894625</t>
  </si>
  <si>
    <t>Maheswar Lohar</t>
  </si>
  <si>
    <t>A037893352</t>
  </si>
  <si>
    <t>Chitto Jana</t>
  </si>
  <si>
    <t>A037909478</t>
  </si>
  <si>
    <t xml:space="preserve">Prashant Panday  </t>
  </si>
  <si>
    <t>07/10/2001</t>
  </si>
  <si>
    <t>16-03-2021</t>
  </si>
  <si>
    <t>A037946940</t>
  </si>
  <si>
    <t>Hassina Bano</t>
  </si>
  <si>
    <t>13/06/1994</t>
  </si>
  <si>
    <t>17-03-2021</t>
  </si>
  <si>
    <t>A037971012</t>
  </si>
  <si>
    <t>Kasif Ali</t>
  </si>
  <si>
    <t>03/11/2002</t>
  </si>
  <si>
    <t>A038013794</t>
  </si>
  <si>
    <t>Kanchan Chakraborty</t>
  </si>
  <si>
    <t>25/08/1968</t>
  </si>
  <si>
    <t>19-03-2021</t>
  </si>
  <si>
    <t>A038024897</t>
  </si>
  <si>
    <t>Kalawati Devi</t>
  </si>
  <si>
    <t>A038026081</t>
  </si>
  <si>
    <t>Purnima Devi</t>
  </si>
  <si>
    <t>1/01/1970</t>
  </si>
  <si>
    <t>Q003450011</t>
  </si>
  <si>
    <t>Shahid Parwez</t>
  </si>
  <si>
    <t>22-04-1964</t>
  </si>
  <si>
    <t>21-03-2021</t>
  </si>
  <si>
    <t>A038180868</t>
  </si>
  <si>
    <t>Sima Chakraborty</t>
  </si>
  <si>
    <t>10-11-1984</t>
  </si>
  <si>
    <t>23-03-2021</t>
  </si>
  <si>
    <t>Q003461122</t>
  </si>
  <si>
    <t>Moin Ashraf</t>
  </si>
  <si>
    <t>22-09-1976</t>
  </si>
  <si>
    <t>A038189721</t>
  </si>
  <si>
    <t>Md Tanweer Ansari</t>
  </si>
  <si>
    <t>31-05-2002</t>
  </si>
  <si>
    <t>A038225469</t>
  </si>
  <si>
    <t>Mohammad Waris Manzar</t>
  </si>
  <si>
    <t>01/01/2005</t>
  </si>
  <si>
    <t>24-03-2021</t>
  </si>
  <si>
    <t>25-03-2021</t>
  </si>
  <si>
    <t>A038224728</t>
  </si>
  <si>
    <t>Vijay Anita</t>
  </si>
  <si>
    <t>10-07-1987</t>
  </si>
  <si>
    <t>Q003475486</t>
  </si>
  <si>
    <t>Santosh Gope</t>
  </si>
  <si>
    <t>11/06/1974</t>
  </si>
  <si>
    <t>26-03-2021</t>
  </si>
  <si>
    <t>A038318567</t>
  </si>
  <si>
    <t>Zaki hussain</t>
  </si>
  <si>
    <t>14-11-2002</t>
  </si>
  <si>
    <t>27-03-2021</t>
  </si>
  <si>
    <t>A038243708</t>
  </si>
  <si>
    <t>Samridh Kumar</t>
  </si>
  <si>
    <t>24-03-2002</t>
  </si>
  <si>
    <t>A038320110</t>
  </si>
  <si>
    <t>Reet Singh</t>
  </si>
  <si>
    <t>22-04-2003</t>
  </si>
  <si>
    <t>A038329706</t>
  </si>
  <si>
    <t>Kumari Pallavi Singh</t>
  </si>
  <si>
    <t>11/01/1992</t>
  </si>
  <si>
    <t>Q003483793</t>
  </si>
  <si>
    <t>12/12/1974</t>
  </si>
  <si>
    <t>Q003475342</t>
  </si>
  <si>
    <t>Nikhat Bano</t>
  </si>
  <si>
    <t>05/03/1976</t>
  </si>
  <si>
    <t>A038353327</t>
  </si>
  <si>
    <t>Durga Sardar</t>
  </si>
  <si>
    <t>01/02/1991</t>
  </si>
  <si>
    <t>28-03-2021</t>
  </si>
  <si>
    <t>A038380509</t>
  </si>
  <si>
    <t>Ajaz Ahmad</t>
  </si>
  <si>
    <t>14-08-1995</t>
  </si>
  <si>
    <t>30-03-2021</t>
  </si>
  <si>
    <t>ahmadajaz641@gmail.com</t>
  </si>
  <si>
    <t>A038397938</t>
  </si>
  <si>
    <t>Purnima Devi Gope</t>
  </si>
  <si>
    <t>01-01-1990</t>
  </si>
  <si>
    <t>A038397861</t>
  </si>
  <si>
    <t>Rafiya Akhter</t>
  </si>
  <si>
    <t>12-03-1994</t>
  </si>
  <si>
    <t>Q003503225</t>
  </si>
  <si>
    <t>Ashok Puran</t>
  </si>
  <si>
    <t>25-12-1995</t>
  </si>
  <si>
    <t>31-03-2021</t>
  </si>
  <si>
    <t>A038435505</t>
  </si>
  <si>
    <t>Renu Sinha</t>
  </si>
  <si>
    <t>01-04-2021</t>
  </si>
  <si>
    <t>A038436576</t>
  </si>
  <si>
    <t>Gaman Karmakar</t>
  </si>
  <si>
    <t>25/01/1992</t>
  </si>
  <si>
    <t>A038435745</t>
  </si>
  <si>
    <t>Vijeta Kumari</t>
  </si>
  <si>
    <t>16/08/1997</t>
  </si>
  <si>
    <t>A038436067</t>
  </si>
  <si>
    <t>Laxmi Rajak</t>
  </si>
  <si>
    <t>12/11/1995</t>
  </si>
  <si>
    <t>Q003501958</t>
  </si>
  <si>
    <t>Dinesh Kumar jha</t>
  </si>
  <si>
    <t>12/01/1973</t>
  </si>
  <si>
    <t>A038457464</t>
  </si>
  <si>
    <t>Roshan Kumar</t>
  </si>
  <si>
    <t>28-03-2003</t>
  </si>
  <si>
    <t>A038473945</t>
  </si>
  <si>
    <t>Koushalya Devi</t>
  </si>
  <si>
    <t>05-04-1947</t>
  </si>
  <si>
    <t>02-04-2021</t>
  </si>
  <si>
    <t>Q003510011</t>
  </si>
  <si>
    <t>Pankaj Gorai</t>
  </si>
  <si>
    <t>23-12-1997</t>
  </si>
  <si>
    <t>A038518215</t>
  </si>
  <si>
    <t>Snehal Sahu</t>
  </si>
  <si>
    <t>27/06/2007</t>
  </si>
  <si>
    <t>03-04-2021</t>
  </si>
  <si>
    <t>A038530257</t>
  </si>
  <si>
    <t>Shreya Sahu</t>
  </si>
  <si>
    <t>17/12/2011</t>
  </si>
  <si>
    <t>A038517649</t>
  </si>
  <si>
    <t>Joginder Singh</t>
  </si>
  <si>
    <t>13/10/1981</t>
  </si>
  <si>
    <t>A038522339</t>
  </si>
  <si>
    <t>Anand Shukla</t>
  </si>
  <si>
    <t>22/12/2002</t>
  </si>
  <si>
    <t>Q003526000</t>
  </si>
  <si>
    <t>Piyali Das</t>
  </si>
  <si>
    <t>15-01-1964</t>
  </si>
  <si>
    <t>05-04-2021</t>
  </si>
  <si>
    <t>Q003526515</t>
  </si>
  <si>
    <t>Mritunjay</t>
  </si>
  <si>
    <t>05-10-1985</t>
  </si>
  <si>
    <t>jaychousa@gmai</t>
  </si>
  <si>
    <t>A038602839</t>
  </si>
  <si>
    <t>Manish Kumar</t>
  </si>
  <si>
    <t>05/03/2003</t>
  </si>
  <si>
    <t>06-04-2021</t>
  </si>
  <si>
    <t>A038602677</t>
  </si>
  <si>
    <t>Harsh Mishra</t>
  </si>
  <si>
    <t>16/04/2003</t>
  </si>
  <si>
    <t>A038578252</t>
  </si>
  <si>
    <t>Mithali Devi</t>
  </si>
  <si>
    <t>01/01/1956</t>
  </si>
  <si>
    <t>A038621858</t>
  </si>
  <si>
    <t>Saurav Kumar</t>
  </si>
  <si>
    <t>03-03-2003</t>
  </si>
  <si>
    <t>sauravaasr316</t>
  </si>
  <si>
    <t>Q003542368</t>
  </si>
  <si>
    <t>Mohammad Firoz Khan</t>
  </si>
  <si>
    <t>14/02/1981</t>
  </si>
  <si>
    <t>08-04-2021</t>
  </si>
  <si>
    <t>A038658617</t>
  </si>
  <si>
    <t>Mohammad Saquib Khan</t>
  </si>
  <si>
    <t>16/03/2003</t>
  </si>
  <si>
    <t>Q003540214</t>
  </si>
  <si>
    <t>Meena Singh</t>
  </si>
  <si>
    <t>01/07/1975</t>
  </si>
  <si>
    <t>A038649924</t>
  </si>
  <si>
    <t>Somwari Hansda</t>
  </si>
  <si>
    <t>A038653572</t>
  </si>
  <si>
    <t>Anchal Karmakar</t>
  </si>
  <si>
    <t>12/09/2002</t>
  </si>
  <si>
    <t>Q003545823</t>
  </si>
  <si>
    <t>Dhiren Singh</t>
  </si>
  <si>
    <t>10/03/1998</t>
  </si>
  <si>
    <t>09-04-2021</t>
  </si>
  <si>
    <t>Q003548228</t>
  </si>
  <si>
    <t>Parmanand Singh</t>
  </si>
  <si>
    <t>15/05/1945</t>
  </si>
  <si>
    <t>A038702814</t>
  </si>
  <si>
    <t>Jasraj Singh</t>
  </si>
  <si>
    <t>28/09/2002</t>
  </si>
  <si>
    <t>A038692184</t>
  </si>
  <si>
    <t>Pani Pinguva</t>
  </si>
  <si>
    <t>A038730721</t>
  </si>
  <si>
    <t>13/02/1990</t>
  </si>
  <si>
    <t>10-04-2021</t>
  </si>
  <si>
    <t>A038731008</t>
  </si>
  <si>
    <t>Komal</t>
  </si>
  <si>
    <t>10/06/1998</t>
  </si>
  <si>
    <t>Q003551758</t>
  </si>
  <si>
    <t>Md Firoz</t>
  </si>
  <si>
    <t>01/01/1997</t>
  </si>
  <si>
    <t>Q003560446</t>
  </si>
  <si>
    <t>Uday Kumar Singh</t>
  </si>
  <si>
    <t>28-12-1985</t>
  </si>
  <si>
    <t>12-04-2021</t>
  </si>
  <si>
    <t>A038762856</t>
  </si>
  <si>
    <t>Rasi Biswas</t>
  </si>
  <si>
    <t>14-06-2000</t>
  </si>
  <si>
    <t>rasibiswas1406@g</t>
  </si>
  <si>
    <t>A038744366</t>
  </si>
  <si>
    <t>Sudha Kumari</t>
  </si>
  <si>
    <t>23-12-1981</t>
  </si>
  <si>
    <t>A038745128</t>
  </si>
  <si>
    <t>Mohammad Fiazan</t>
  </si>
  <si>
    <t>01-01-1994</t>
  </si>
  <si>
    <t>mdziaurjsr@g</t>
  </si>
  <si>
    <t>A038762445</t>
  </si>
  <si>
    <t>Tarsem Singh</t>
  </si>
  <si>
    <t>10-11-1956</t>
  </si>
  <si>
    <t>A038780801</t>
  </si>
  <si>
    <t>Nilofer</t>
  </si>
  <si>
    <t>08/12/1994</t>
  </si>
  <si>
    <t>13-04-2021</t>
  </si>
  <si>
    <t>10/11/1956</t>
  </si>
  <si>
    <t>A038799119</t>
  </si>
  <si>
    <t>Mantasha Perween</t>
  </si>
  <si>
    <t>02/06/2001</t>
  </si>
  <si>
    <t>14-04-2021</t>
  </si>
  <si>
    <t>A038745880</t>
  </si>
  <si>
    <t>Sekh Jiyaruddin</t>
  </si>
  <si>
    <t>27-01-1996</t>
  </si>
  <si>
    <t>Q003571827</t>
  </si>
  <si>
    <t>Vasantha Gopalakrishan</t>
  </si>
  <si>
    <t>24/10/1944</t>
  </si>
  <si>
    <t>15-04-2021</t>
  </si>
  <si>
    <t>A038828611</t>
  </si>
  <si>
    <t>Veronica Francis</t>
  </si>
  <si>
    <t>07/10/1979</t>
  </si>
  <si>
    <t>Q003574496</t>
  </si>
  <si>
    <t>Anup Gorai</t>
  </si>
  <si>
    <t>25/01/1983</t>
  </si>
  <si>
    <t>A038843458</t>
  </si>
  <si>
    <t>Anjali Mukhi</t>
  </si>
  <si>
    <t>A038847977</t>
  </si>
  <si>
    <t>Rakesh Kumar Sah</t>
  </si>
  <si>
    <t>09/03/1998</t>
  </si>
  <si>
    <t>16-04-2021</t>
  </si>
  <si>
    <t>Q003579844</t>
  </si>
  <si>
    <t>Nillam Mallick</t>
  </si>
  <si>
    <t>17-04-2021</t>
  </si>
  <si>
    <t>Q003578913</t>
  </si>
  <si>
    <t>SK Hasim</t>
  </si>
  <si>
    <t>05/02/1987</t>
  </si>
  <si>
    <t>A038869050</t>
  </si>
  <si>
    <t>Sunil Singh</t>
  </si>
  <si>
    <t>A038899186</t>
  </si>
  <si>
    <t>ROSHAN</t>
  </si>
  <si>
    <t>18/05/1978</t>
  </si>
  <si>
    <t>19-04-2021</t>
  </si>
  <si>
    <t>A0038891965</t>
  </si>
  <si>
    <t>Kahkasha Perween</t>
  </si>
  <si>
    <t>A038900282</t>
  </si>
  <si>
    <t>Priyanka Singh</t>
  </si>
  <si>
    <t>10/12/1988</t>
  </si>
  <si>
    <t>Q003591529</t>
  </si>
  <si>
    <t>Ania Gorai</t>
  </si>
  <si>
    <t>03-02-1998</t>
  </si>
  <si>
    <t>21-04-2021</t>
  </si>
  <si>
    <t>anitagorai122@g</t>
  </si>
  <si>
    <t>Q003597118</t>
  </si>
  <si>
    <t>Suresh Kumar Sonthalia</t>
  </si>
  <si>
    <t>22-04-2021</t>
  </si>
  <si>
    <t>sksonthalia196011@g</t>
  </si>
  <si>
    <t>A038965729</t>
  </si>
  <si>
    <t>Ayush Sinha</t>
  </si>
  <si>
    <t>23-03-2002</t>
  </si>
  <si>
    <t>23-04-2021</t>
  </si>
  <si>
    <t>ayushag955@gmail.</t>
  </si>
  <si>
    <t>A039015961</t>
  </si>
  <si>
    <t>Suresh Roy</t>
  </si>
  <si>
    <t>18-05-1970</t>
  </si>
  <si>
    <t>26-04-2021</t>
  </si>
  <si>
    <t>umeshroy2806@g</t>
  </si>
  <si>
    <t>A039020433</t>
  </si>
  <si>
    <t>Sanjay Lohar</t>
  </si>
  <si>
    <t>28-04-2021</t>
  </si>
  <si>
    <t>s17110191@gmail.com</t>
  </si>
  <si>
    <t>Q003616559</t>
  </si>
  <si>
    <t>07-10-1979</t>
  </si>
  <si>
    <t>30-04-2021</t>
  </si>
  <si>
    <t>veronica59598@g</t>
  </si>
  <si>
    <t>Q003619831</t>
  </si>
  <si>
    <t>31-08-1998</t>
  </si>
  <si>
    <t>02-05-2021</t>
  </si>
  <si>
    <t>A039094405</t>
  </si>
  <si>
    <t>Krishna Vijay</t>
  </si>
  <si>
    <t>17-08-2002</t>
  </si>
  <si>
    <t>A039096673</t>
  </si>
  <si>
    <t>25-05-1991</t>
  </si>
  <si>
    <t>03-05-2021</t>
  </si>
  <si>
    <t>A039117555</t>
  </si>
  <si>
    <t>Adrika Kumari</t>
  </si>
  <si>
    <t>20-07-2004</t>
  </si>
  <si>
    <t>05-05-2021</t>
  </si>
  <si>
    <t>A039117386</t>
  </si>
  <si>
    <t>Shouvik De</t>
  </si>
  <si>
    <t>03-05-2003</t>
  </si>
  <si>
    <t>A039133638</t>
  </si>
  <si>
    <t>Birju Baske</t>
  </si>
  <si>
    <t>01-08-2003</t>
  </si>
  <si>
    <t>06-05-2021</t>
  </si>
  <si>
    <t>birjubaske1@g</t>
  </si>
  <si>
    <t>Q003631690</t>
  </si>
  <si>
    <t>03/02/1963</t>
  </si>
  <si>
    <t>08-05-2021</t>
  </si>
  <si>
    <t>A039171177</t>
  </si>
  <si>
    <t>Reet Kumari</t>
  </si>
  <si>
    <t>19-07-2002</t>
  </si>
  <si>
    <t>10-05-2021</t>
  </si>
  <si>
    <t>triss1907@gmail.com</t>
  </si>
  <si>
    <t>Q003639423</t>
  </si>
  <si>
    <t>Manoj Kumar Mishra</t>
  </si>
  <si>
    <t>28-07-1970</t>
  </si>
  <si>
    <t>12-05-2021</t>
  </si>
  <si>
    <t>A039193331</t>
  </si>
  <si>
    <t>Sonal Kumari</t>
  </si>
  <si>
    <t>03-04-2003</t>
  </si>
  <si>
    <t>Q003639419</t>
  </si>
  <si>
    <t>Ranjeet Shukla</t>
  </si>
  <si>
    <t>Q003639409</t>
  </si>
  <si>
    <t>A039202883</t>
  </si>
  <si>
    <t>Rounit Tiwary</t>
  </si>
  <si>
    <t>06-01-2002</t>
  </si>
  <si>
    <t>13-5-2021</t>
  </si>
  <si>
    <t>rounit0601@gma</t>
  </si>
  <si>
    <t>A039212555</t>
  </si>
  <si>
    <t>Sahil Kumar Singh</t>
  </si>
  <si>
    <t>12/04/2003</t>
  </si>
  <si>
    <t>14-05-2021</t>
  </si>
  <si>
    <t>A039226615</t>
  </si>
  <si>
    <t>Abhishek Pandey</t>
  </si>
  <si>
    <t>10/12/2002</t>
  </si>
  <si>
    <t>16-05-2021</t>
  </si>
  <si>
    <t>abhiwhen9110066052@g</t>
  </si>
  <si>
    <t>Q003643925</t>
  </si>
  <si>
    <t>Santosh Kumar</t>
  </si>
  <si>
    <t>26/09/1977</t>
  </si>
  <si>
    <t>15/05/2021</t>
  </si>
  <si>
    <t>Q003651334</t>
  </si>
  <si>
    <t>Ram Lagan Thakur</t>
  </si>
  <si>
    <t>17/02/1945</t>
  </si>
  <si>
    <t>19-05-2021</t>
  </si>
  <si>
    <t>Q003655267</t>
  </si>
  <si>
    <t>Budheshwar Mahato</t>
  </si>
  <si>
    <t>21-05-2021</t>
  </si>
  <si>
    <t>Q003656058</t>
  </si>
  <si>
    <t>Totan Banerjee</t>
  </si>
  <si>
    <t>18/07/1985</t>
  </si>
  <si>
    <t>alokkumar1606</t>
  </si>
  <si>
    <t>Q003655935</t>
  </si>
  <si>
    <t>Gita Singh</t>
  </si>
  <si>
    <t>16/08/1972</t>
  </si>
  <si>
    <t>Q003655300</t>
  </si>
  <si>
    <t>Awadhesh Sharma</t>
  </si>
  <si>
    <t>04-05-1969</t>
  </si>
  <si>
    <t>Q003656024</t>
  </si>
  <si>
    <t>Avinash Kaur</t>
  </si>
  <si>
    <t>07-01-1986</t>
  </si>
  <si>
    <t>Q003655952</t>
  </si>
  <si>
    <t>Uma Bhowmick</t>
  </si>
  <si>
    <t>10-02-1980</t>
  </si>
  <si>
    <t>Q03653038</t>
  </si>
  <si>
    <t>Chintapalli Srinavas Rao</t>
  </si>
  <si>
    <t>06-11-1973</t>
  </si>
  <si>
    <t>Q003656048</t>
  </si>
  <si>
    <t>Ashrumochan Nayak</t>
  </si>
  <si>
    <t>15-03-1995</t>
  </si>
  <si>
    <t>A039281578</t>
  </si>
  <si>
    <t>Tushar Sharma</t>
  </si>
  <si>
    <t>08-10-1996</t>
  </si>
  <si>
    <t>A039285487</t>
  </si>
  <si>
    <t>Amir Hamza</t>
  </si>
  <si>
    <t>01/04/2003</t>
  </si>
  <si>
    <t>22-05-2021</t>
  </si>
  <si>
    <t>A039288269</t>
  </si>
  <si>
    <t>Sayandseep Ghosh</t>
  </si>
  <si>
    <t>02/07/2003</t>
  </si>
  <si>
    <t>23-05-2021</t>
  </si>
  <si>
    <t>A039438436</t>
  </si>
  <si>
    <t>10/08/1992</t>
  </si>
  <si>
    <t>01-06-2021</t>
  </si>
  <si>
    <t>Q003681622</t>
  </si>
  <si>
    <t>Dharam Machhwa</t>
  </si>
  <si>
    <t>04/10/2002</t>
  </si>
  <si>
    <t>03-06-2021</t>
  </si>
  <si>
    <t>Q003679714</t>
  </si>
  <si>
    <t>Jatinder Singh</t>
  </si>
  <si>
    <t>26-01-1991</t>
  </si>
  <si>
    <t>A039463337</t>
  </si>
  <si>
    <t>Suleskha Singh</t>
  </si>
  <si>
    <t>01-01-1993</t>
  </si>
  <si>
    <t>self add</t>
  </si>
  <si>
    <t>A039509617</t>
  </si>
  <si>
    <t>Deepak Gorai</t>
  </si>
  <si>
    <t>26/10/1998</t>
  </si>
  <si>
    <t>04-06-2021</t>
  </si>
  <si>
    <t>q003689943</t>
  </si>
  <si>
    <t>Rahul Kumar Singh</t>
  </si>
  <si>
    <t>A039600105</t>
  </si>
  <si>
    <t>Manisha mishra Shambhunath</t>
  </si>
  <si>
    <t>07/12/1996</t>
  </si>
  <si>
    <t>09-06-2021</t>
  </si>
  <si>
    <t>A039636159</t>
  </si>
  <si>
    <t>SARVESH NATH YADAV</t>
  </si>
  <si>
    <t>20-03-2002</t>
  </si>
  <si>
    <t>A039635001</t>
  </si>
  <si>
    <t>TUSHAR SHOURIE</t>
  </si>
  <si>
    <t>30/07/2002</t>
  </si>
  <si>
    <t>Q003710627</t>
  </si>
  <si>
    <t>Pandurang Ramaji Kandarkar</t>
  </si>
  <si>
    <t>11/02/1974</t>
  </si>
  <si>
    <t>10-06-2021</t>
  </si>
  <si>
    <t>Q003718193</t>
  </si>
  <si>
    <t>Uttkarsh</t>
  </si>
  <si>
    <t>04/02/1997</t>
  </si>
  <si>
    <t>12-06-2021</t>
  </si>
  <si>
    <t>A039728464</t>
  </si>
  <si>
    <t>Radhe Shyam Bandiya</t>
  </si>
  <si>
    <t>25/09/2006</t>
  </si>
  <si>
    <t>A039728583</t>
  </si>
  <si>
    <t>Prity Kumari</t>
  </si>
  <si>
    <t>31/12/1995</t>
  </si>
  <si>
    <t>Q003719998</t>
  </si>
  <si>
    <t>Budhni Birua</t>
  </si>
  <si>
    <t>28-01-2021</t>
  </si>
  <si>
    <t>MOBILE NUMBER PROBLEM</t>
  </si>
  <si>
    <t>Q003726251</t>
  </si>
  <si>
    <t>21/04/1980</t>
  </si>
  <si>
    <t>14-06-2021</t>
  </si>
  <si>
    <t>A039774789</t>
  </si>
  <si>
    <t>Durga Charan Singh Munda</t>
  </si>
  <si>
    <t>0/01/1980</t>
  </si>
  <si>
    <t>Q003729867</t>
  </si>
  <si>
    <t>Manka Tudu</t>
  </si>
  <si>
    <t>18-03-1981</t>
  </si>
  <si>
    <t>15-06-2021</t>
  </si>
  <si>
    <t>21-04-1980</t>
  </si>
  <si>
    <t>A039803596</t>
  </si>
  <si>
    <t>Rajendra Kumar</t>
  </si>
  <si>
    <t>10-02-1989</t>
  </si>
  <si>
    <t>Q003739794</t>
  </si>
  <si>
    <t>Aanchal Kumari</t>
  </si>
  <si>
    <t>05-04-1999</t>
  </si>
  <si>
    <t>17-06-2021</t>
  </si>
  <si>
    <t>Q0037340135</t>
  </si>
  <si>
    <t>Shila Singh</t>
  </si>
  <si>
    <t>A039889265</t>
  </si>
  <si>
    <t>Prinka Devi</t>
  </si>
  <si>
    <t>18-06-2021</t>
  </si>
  <si>
    <t>A039891086</t>
  </si>
  <si>
    <t>Akash Ghosh</t>
  </si>
  <si>
    <t>02/05/2003</t>
  </si>
  <si>
    <t>Q003750578</t>
  </si>
  <si>
    <t>Andula Devi</t>
  </si>
  <si>
    <t>01/02/1952</t>
  </si>
  <si>
    <t>19-06-2021</t>
  </si>
  <si>
    <t>Q003765275</t>
  </si>
  <si>
    <t>Simran Kumari</t>
  </si>
  <si>
    <t>16/02/2004</t>
  </si>
  <si>
    <t>22-06-2021</t>
  </si>
  <si>
    <t>Q003765223</t>
  </si>
  <si>
    <t>Saroj Kumar Akela</t>
  </si>
  <si>
    <t>26/01/1977</t>
  </si>
  <si>
    <t>Q003764700</t>
  </si>
  <si>
    <t>Bhuwaneshwar Mahato</t>
  </si>
  <si>
    <t>A039974186</t>
  </si>
  <si>
    <t>AnkitVerma</t>
  </si>
  <si>
    <t>01/08/2002</t>
  </si>
  <si>
    <t>A040016148</t>
  </si>
  <si>
    <t>Shagufta Naaz</t>
  </si>
  <si>
    <t>13/01/1994</t>
  </si>
  <si>
    <t>A040047561</t>
  </si>
  <si>
    <t>Sima Karmakar</t>
  </si>
  <si>
    <t>Q003771695</t>
  </si>
  <si>
    <t>Pushpa Maharana</t>
  </si>
  <si>
    <t>15/04/1986</t>
  </si>
  <si>
    <t>A040045312</t>
  </si>
  <si>
    <t>Shiv Ram Gope</t>
  </si>
  <si>
    <t>12/02/1997</t>
  </si>
  <si>
    <t>A040051373</t>
  </si>
  <si>
    <t>Rajat Tirkey</t>
  </si>
  <si>
    <t>23/08/2000</t>
  </si>
  <si>
    <t>A040087191</t>
  </si>
  <si>
    <t>Arti Patro</t>
  </si>
  <si>
    <t>25/04/1983</t>
  </si>
  <si>
    <t>24-06-2021</t>
  </si>
  <si>
    <t>Q003778106</t>
  </si>
  <si>
    <t>Anandi Prasad Singh</t>
  </si>
  <si>
    <t>01/01/1937</t>
  </si>
  <si>
    <t>A040109659</t>
  </si>
  <si>
    <t>Kabutari Devi</t>
  </si>
  <si>
    <t>31-12-1955</t>
  </si>
  <si>
    <t>25-06-2021</t>
  </si>
  <si>
    <t>r.n.pandit1949@g</t>
  </si>
  <si>
    <t>Q003790801</t>
  </si>
  <si>
    <t>Anjana Goswami</t>
  </si>
  <si>
    <t>23-10-1996</t>
  </si>
  <si>
    <t>26-06-2021</t>
  </si>
  <si>
    <t>Q003790539</t>
  </si>
  <si>
    <t>Ramharakh Prasad</t>
  </si>
  <si>
    <t>29-06-2021</t>
  </si>
  <si>
    <t>Q003746797</t>
  </si>
  <si>
    <t>Karuna Lohar</t>
  </si>
  <si>
    <t>A040247595</t>
  </si>
  <si>
    <t>Sarita Karmakar</t>
  </si>
  <si>
    <t>13-04-2005</t>
  </si>
  <si>
    <t>Q003804816</t>
  </si>
  <si>
    <t>Salman Khan</t>
  </si>
  <si>
    <t>31/07/1998</t>
  </si>
  <si>
    <t>A040293505</t>
  </si>
  <si>
    <t>GagndeepSingh</t>
  </si>
  <si>
    <t>02-01-2002</t>
  </si>
  <si>
    <t>30-06-2021</t>
  </si>
  <si>
    <t>Q003809648</t>
  </si>
  <si>
    <t>Sarita Srivastva</t>
  </si>
  <si>
    <t>31-12-1966</t>
  </si>
  <si>
    <t>Q003809983</t>
  </si>
  <si>
    <t>Mahendra Prasad Mandal</t>
  </si>
  <si>
    <t>02-07-1948</t>
  </si>
  <si>
    <t>02-07-2021</t>
  </si>
  <si>
    <t>Q003823702</t>
  </si>
  <si>
    <t>Rajmani Prasad</t>
  </si>
  <si>
    <t>13/01/1965</t>
  </si>
  <si>
    <t>Q003828566</t>
  </si>
  <si>
    <t>Md Shahanshah</t>
  </si>
  <si>
    <t>09/12/1989</t>
  </si>
  <si>
    <t>03-07-2021</t>
  </si>
  <si>
    <t>A040410461</t>
  </si>
  <si>
    <t>Anushka Chatterjee</t>
  </si>
  <si>
    <t>16/09/2000</t>
  </si>
  <si>
    <t>Q003831804</t>
  </si>
  <si>
    <t>Saswati Mitra</t>
  </si>
  <si>
    <t>12/03/1982</t>
  </si>
  <si>
    <t>Jaymala Kumari</t>
  </si>
  <si>
    <t>A040491203</t>
  </si>
  <si>
    <t>Sombari Soren</t>
  </si>
  <si>
    <t>15/03/1998</t>
  </si>
  <si>
    <t>05-07-2021</t>
  </si>
  <si>
    <t>Q003840523</t>
  </si>
  <si>
    <t>Mohammad Karim</t>
  </si>
  <si>
    <t>27/03/1954</t>
  </si>
  <si>
    <t>A040491627</t>
  </si>
  <si>
    <t>Q003840476</t>
  </si>
  <si>
    <t>Upload 0908/2021</t>
  </si>
  <si>
    <t>A040490625</t>
  </si>
  <si>
    <t>Harishvardhan Singh</t>
  </si>
  <si>
    <t>25/05/2003</t>
  </si>
  <si>
    <t>Q003845714</t>
  </si>
  <si>
    <t>Mohammad Israr Ahmed Khan</t>
  </si>
  <si>
    <t>01/09/1966</t>
  </si>
  <si>
    <t>06-07-2021</t>
  </si>
  <si>
    <t>A040507409</t>
  </si>
  <si>
    <t>Kaushik Paul</t>
  </si>
  <si>
    <t>18/05/2004</t>
  </si>
  <si>
    <t>Q003845789</t>
  </si>
  <si>
    <t>Q003855258</t>
  </si>
  <si>
    <t>Irshad Ali</t>
  </si>
  <si>
    <t>03/01/1968</t>
  </si>
  <si>
    <t>07-07-2021</t>
  </si>
  <si>
    <t>Q003855198</t>
  </si>
  <si>
    <t>Jungla Majhi</t>
  </si>
  <si>
    <t>20/03/1971</t>
  </si>
  <si>
    <t>A040594428</t>
  </si>
  <si>
    <t>Nikita Singh</t>
  </si>
  <si>
    <t>18/04/2003</t>
  </si>
  <si>
    <t>A040626462</t>
  </si>
  <si>
    <t>08-07-2021</t>
  </si>
  <si>
    <t>Q003860140</t>
  </si>
  <si>
    <t>Chhutu Gope</t>
  </si>
  <si>
    <t>18/10/1950</t>
  </si>
  <si>
    <t>A040642435</t>
  </si>
  <si>
    <t>Taskin Khatoon</t>
  </si>
  <si>
    <t>01/03/2003</t>
  </si>
  <si>
    <t>09-07-2021</t>
  </si>
  <si>
    <t>Q003883395</t>
  </si>
  <si>
    <t>Md Nayeem</t>
  </si>
  <si>
    <t>02-08-1984</t>
  </si>
  <si>
    <t>13-07-2021</t>
  </si>
  <si>
    <t>nayeemjsr1@gmail.com</t>
  </si>
  <si>
    <t>Q003887301</t>
  </si>
  <si>
    <t>Q003887269</t>
  </si>
  <si>
    <t>Urmila Maharana</t>
  </si>
  <si>
    <t>Q003887144</t>
  </si>
  <si>
    <t>Sarajit Chaki</t>
  </si>
  <si>
    <t>31/12/1976</t>
  </si>
  <si>
    <t>Q003887115</t>
  </si>
  <si>
    <t>Ramesh Gope</t>
  </si>
  <si>
    <t>15/11/1985</t>
  </si>
  <si>
    <t>Babita Kumari</t>
  </si>
  <si>
    <t>Q003887075</t>
  </si>
  <si>
    <t>Ranjeet Kumar Moharana</t>
  </si>
  <si>
    <t>28/04/1968</t>
  </si>
  <si>
    <t>Smiriti Julie Topno</t>
  </si>
  <si>
    <t>19/07/1999</t>
  </si>
  <si>
    <t>14-07-2021</t>
  </si>
  <si>
    <t>A040935482</t>
  </si>
  <si>
    <t>Jagdish Kaur</t>
  </si>
  <si>
    <t>14/02/1976</t>
  </si>
  <si>
    <t>16-07-2021</t>
  </si>
  <si>
    <t>A040863198</t>
  </si>
  <si>
    <t>Saba Yasmeen</t>
  </si>
  <si>
    <t>10-07-1991</t>
  </si>
  <si>
    <t>A040924776</t>
  </si>
  <si>
    <t>Prabhat Pandey</t>
  </si>
  <si>
    <t>Q003905778</t>
  </si>
  <si>
    <t>Iqbal Nadeem</t>
  </si>
  <si>
    <t>05/01/1980</t>
  </si>
  <si>
    <t>Q003908456</t>
  </si>
  <si>
    <t>Neha Sharma</t>
  </si>
  <si>
    <t>08/03/1998</t>
  </si>
  <si>
    <t>A040988692</t>
  </si>
  <si>
    <t>Nasihat Khatoon</t>
  </si>
  <si>
    <t>03/11/2001</t>
  </si>
  <si>
    <t>17-07-2021</t>
  </si>
  <si>
    <t>Q003913871</t>
  </si>
  <si>
    <t>Mani Kant</t>
  </si>
  <si>
    <t>25-02-1971</t>
  </si>
  <si>
    <t>aks9727kumari@gmail.com</t>
  </si>
  <si>
    <t>Q003926744</t>
  </si>
  <si>
    <t>Amik Singh Bajwa</t>
  </si>
  <si>
    <t>03-06-1970</t>
  </si>
  <si>
    <t>24-07-2021</t>
  </si>
  <si>
    <t>A041122618</t>
  </si>
  <si>
    <t>Rishu Tirkey</t>
  </si>
  <si>
    <t>31/03/2002</t>
  </si>
  <si>
    <t>21-07-2021</t>
  </si>
  <si>
    <t>Q003933004</t>
  </si>
  <si>
    <t>Bashist Kumar Mishra</t>
  </si>
  <si>
    <t>15/10/2001</t>
  </si>
  <si>
    <t>Q003927724</t>
  </si>
  <si>
    <t>Shakuntala Devi</t>
  </si>
  <si>
    <t>14/10/1967</t>
  </si>
  <si>
    <t>27-07-2021</t>
  </si>
  <si>
    <t>A041180936</t>
  </si>
  <si>
    <t>Priyanka Devi</t>
  </si>
  <si>
    <t>22-07-2021</t>
  </si>
  <si>
    <t>A041220426</t>
  </si>
  <si>
    <t>Hameed Khan</t>
  </si>
  <si>
    <t>05/09/2001</t>
  </si>
  <si>
    <t>23-07-2021</t>
  </si>
  <si>
    <t>A041221890</t>
  </si>
  <si>
    <t xml:space="preserve">Abid Khan </t>
  </si>
  <si>
    <t>22/01/2003</t>
  </si>
  <si>
    <t>A041243475</t>
  </si>
  <si>
    <t>Sarika Singh</t>
  </si>
  <si>
    <t>19/09/1988</t>
  </si>
  <si>
    <t>Q003961138</t>
  </si>
  <si>
    <t>Prabhkirath Singh</t>
  </si>
  <si>
    <t>10/01/2005</t>
  </si>
  <si>
    <t>26-07-2021</t>
  </si>
  <si>
    <t>A041305152</t>
  </si>
  <si>
    <t>Sufyan Taha</t>
  </si>
  <si>
    <t>06-12-2000</t>
  </si>
  <si>
    <t>Q003959502</t>
  </si>
  <si>
    <t>Kalyani Devi</t>
  </si>
  <si>
    <t>01/01/1946</t>
  </si>
  <si>
    <t>A041350085</t>
  </si>
  <si>
    <t>Ritu Rani Rahelu</t>
  </si>
  <si>
    <t>25/01/1998</t>
  </si>
  <si>
    <t>A041349824</t>
  </si>
  <si>
    <t>Prasanjit Sen</t>
  </si>
  <si>
    <t>A041349439</t>
  </si>
  <si>
    <t>Parvati Singh</t>
  </si>
  <si>
    <t>A041364397</t>
  </si>
  <si>
    <t>Rizwana Khatoon</t>
  </si>
  <si>
    <t>24/03/1987</t>
  </si>
  <si>
    <t>A041388450</t>
  </si>
  <si>
    <t>Harshit Kumar</t>
  </si>
  <si>
    <t>26/05/2002</t>
  </si>
  <si>
    <t>27/07/2021</t>
  </si>
  <si>
    <t>A041389304</t>
  </si>
  <si>
    <t>Vikash Kumar Singh</t>
  </si>
  <si>
    <t>06/04/2003</t>
  </si>
  <si>
    <t>28/07/2021</t>
  </si>
  <si>
    <t>Q003970669</t>
  </si>
  <si>
    <t>29-07-2021</t>
  </si>
  <si>
    <t>A041428421</t>
  </si>
  <si>
    <t>Anuradha Kumari</t>
  </si>
  <si>
    <t>29/09/1994</t>
  </si>
  <si>
    <t>A041429235</t>
  </si>
  <si>
    <t xml:space="preserve">Manisha </t>
  </si>
  <si>
    <t>Q003974776</t>
  </si>
  <si>
    <t>Q003982386</t>
  </si>
  <si>
    <t>Naresh Kumar Rajak</t>
  </si>
  <si>
    <t>26/03/1992</t>
  </si>
  <si>
    <t>30-07-2021</t>
  </si>
  <si>
    <t>A041492696</t>
  </si>
  <si>
    <t>Prisita Ghoshal</t>
  </si>
  <si>
    <t>13/12/2001</t>
  </si>
  <si>
    <t>31-07-2021</t>
  </si>
  <si>
    <t>8210211671</t>
  </si>
  <si>
    <t>A041629264</t>
  </si>
  <si>
    <t>Ganganalu Hemavati</t>
  </si>
  <si>
    <t>15/03/1949</t>
  </si>
  <si>
    <t>A041526245</t>
  </si>
  <si>
    <t>Gourav Kumar</t>
  </si>
  <si>
    <t>01/08/2003</t>
  </si>
  <si>
    <t>Q003989496</t>
  </si>
  <si>
    <t>Sachin Kumar Singh</t>
  </si>
  <si>
    <t>10/09/1998</t>
  </si>
  <si>
    <t>03-08-2021</t>
  </si>
  <si>
    <t>Q003989175</t>
  </si>
  <si>
    <t>Mahabhashyam Narsingh Rao</t>
  </si>
  <si>
    <t>16/05/1965</t>
  </si>
  <si>
    <t>02/08/2021</t>
  </si>
  <si>
    <t>Q003989310</t>
  </si>
  <si>
    <t>Mahabhashyam Shailaja</t>
  </si>
  <si>
    <t>19/07/1974</t>
  </si>
  <si>
    <t>Q003989417</t>
  </si>
  <si>
    <t>Gayatri Mahabhashyam</t>
  </si>
  <si>
    <t>30/06/2001</t>
  </si>
  <si>
    <t>A041630757</t>
  </si>
  <si>
    <t>Harkirat Singh</t>
  </si>
  <si>
    <t>17/01/2003</t>
  </si>
  <si>
    <t>A041692251</t>
  </si>
  <si>
    <t>Rinky Ghosh</t>
  </si>
  <si>
    <t>30-07-2003</t>
  </si>
  <si>
    <t>A041692122</t>
  </si>
  <si>
    <t>Ruma Acherya</t>
  </si>
  <si>
    <t>12-04-1997</t>
  </si>
  <si>
    <t>A041740264</t>
  </si>
  <si>
    <t>10-09-1998</t>
  </si>
  <si>
    <t>05-08-2021</t>
  </si>
  <si>
    <t>A041741009</t>
  </si>
  <si>
    <t>Aman Prasad</t>
  </si>
  <si>
    <t>17-07-1998</t>
  </si>
  <si>
    <t>A041813397</t>
  </si>
  <si>
    <t>Manisha Gowra</t>
  </si>
  <si>
    <t>24/07/2003</t>
  </si>
  <si>
    <t>07-08-2021</t>
  </si>
  <si>
    <t>A041814093</t>
  </si>
  <si>
    <t>Kriti Ambasta</t>
  </si>
  <si>
    <t>10-05-2003</t>
  </si>
  <si>
    <t>A041812950</t>
  </si>
  <si>
    <t>GayatriKumari</t>
  </si>
  <si>
    <t>26-10-1989</t>
  </si>
  <si>
    <t>A041814458</t>
  </si>
  <si>
    <t>Naushaba Khatoon</t>
  </si>
  <si>
    <t>31-12-1960</t>
  </si>
  <si>
    <t>Q004034185</t>
  </si>
  <si>
    <t>Prakash Das</t>
  </si>
  <si>
    <t>22/04/1997</t>
  </si>
  <si>
    <t xml:space="preserve">  </t>
  </si>
  <si>
    <t>A041840396</t>
  </si>
  <si>
    <t>Rohit Kumar Tiwary</t>
  </si>
  <si>
    <t>31/03/2001</t>
  </si>
  <si>
    <t>08-08-2021</t>
  </si>
  <si>
    <t>A041839065</t>
  </si>
  <si>
    <t>Saurav Sahu</t>
  </si>
  <si>
    <t>02-07-2003</t>
  </si>
  <si>
    <t>Q004035926</t>
  </si>
  <si>
    <t>Rekha Sethi</t>
  </si>
  <si>
    <t>25/06/1969</t>
  </si>
  <si>
    <t>Prakash Kumar Das</t>
  </si>
  <si>
    <t>A041841381</t>
  </si>
  <si>
    <t>Mohit Kumar Tiwary</t>
  </si>
  <si>
    <t>26/10/2002</t>
  </si>
  <si>
    <t>A041839503</t>
  </si>
  <si>
    <t>Rita Bhakat</t>
  </si>
  <si>
    <t>18-02-1968</t>
  </si>
  <si>
    <t>Q004046787</t>
  </si>
  <si>
    <t>Kriplani Roy</t>
  </si>
  <si>
    <t>09/02/1946</t>
  </si>
  <si>
    <t>10-08-2021</t>
  </si>
  <si>
    <t>A041974324</t>
  </si>
  <si>
    <t>11-08-2021</t>
  </si>
  <si>
    <t>Q004060732</t>
  </si>
  <si>
    <t>Digamber Singh</t>
  </si>
  <si>
    <t>15/02/1984</t>
  </si>
  <si>
    <t>12-08-2021</t>
  </si>
  <si>
    <t>digambersinghjsr77@g</t>
  </si>
  <si>
    <t>A042040416</t>
  </si>
  <si>
    <t>Saraswati Mundi</t>
  </si>
  <si>
    <t>01/05/1995</t>
  </si>
  <si>
    <t>A042039630</t>
  </si>
  <si>
    <t>Renu Hembram</t>
  </si>
  <si>
    <t>16/11/1999</t>
  </si>
  <si>
    <t>renuhembram59@g</t>
  </si>
  <si>
    <t>Q004063628</t>
  </si>
  <si>
    <t>Vibha Ranjan</t>
  </si>
  <si>
    <t>25/01/1984</t>
  </si>
  <si>
    <t>A042120448</t>
  </si>
  <si>
    <t>Abhishek Das</t>
  </si>
  <si>
    <t>03/10/2002</t>
  </si>
  <si>
    <t>14-08-2021</t>
  </si>
  <si>
    <t>abhidas977@g</t>
  </si>
  <si>
    <t>Aniket Kumar</t>
  </si>
  <si>
    <t>25-04-2003</t>
  </si>
  <si>
    <t>aniketani@g</t>
  </si>
  <si>
    <t>A042156117</t>
  </si>
  <si>
    <t>Pawandeep Singh</t>
  </si>
  <si>
    <t>rkaur1591@g</t>
  </si>
  <si>
    <t>A0421462244</t>
  </si>
  <si>
    <t>Shama Anjum</t>
  </si>
  <si>
    <t>17-04-1994</t>
  </si>
  <si>
    <t>fa0071@g</t>
  </si>
  <si>
    <t>A042172099</t>
  </si>
  <si>
    <t>Dipti Thakur</t>
  </si>
  <si>
    <t>05-04-2003</t>
  </si>
  <si>
    <t>15-08-2021</t>
  </si>
  <si>
    <t>A042269709</t>
  </si>
  <si>
    <t>Partha Sarathi Bera</t>
  </si>
  <si>
    <t>07-02-2003</t>
  </si>
  <si>
    <t>17-08-2021</t>
  </si>
  <si>
    <t>A042270419</t>
  </si>
  <si>
    <t>Antima Sahu</t>
  </si>
  <si>
    <t>27-10-1983</t>
  </si>
  <si>
    <t>A042285479</t>
  </si>
  <si>
    <t>Smriti Saxena</t>
  </si>
  <si>
    <t>24-01-2003</t>
  </si>
  <si>
    <t>A042250839</t>
  </si>
  <si>
    <t>Lochan Mahato</t>
  </si>
  <si>
    <t>02-04-2002</t>
  </si>
  <si>
    <t>A042330041</t>
  </si>
  <si>
    <t>Bibek Naik</t>
  </si>
  <si>
    <t>01/06/2004</t>
  </si>
  <si>
    <t>18-08-2021</t>
  </si>
  <si>
    <t>bibeknaik567</t>
  </si>
  <si>
    <t>Q004102195</t>
  </si>
  <si>
    <t>Shiv Rani Mishra</t>
  </si>
  <si>
    <t>11/03/1975</t>
  </si>
  <si>
    <t>21-08-2021</t>
  </si>
  <si>
    <t>A042436206</t>
  </si>
  <si>
    <t>Radha Patra</t>
  </si>
  <si>
    <t>12/01/1965</t>
  </si>
  <si>
    <t>A042436522</t>
  </si>
  <si>
    <t>Kamaljeet Kaur</t>
  </si>
  <si>
    <t>05/05/1959</t>
  </si>
  <si>
    <t>A042436851</t>
  </si>
  <si>
    <t>Sunil Lugun</t>
  </si>
  <si>
    <t>12/09/1997</t>
  </si>
  <si>
    <t>A042437054</t>
  </si>
  <si>
    <t>Deepak Singh Kumar</t>
  </si>
  <si>
    <t>25/03/203</t>
  </si>
  <si>
    <t>A042437380</t>
  </si>
  <si>
    <t>Rajmani Devi</t>
  </si>
  <si>
    <t>23/10/1963</t>
  </si>
  <si>
    <t>A042517534</t>
  </si>
  <si>
    <t>Anisha Kumari</t>
  </si>
  <si>
    <t>13/09/1997</t>
  </si>
  <si>
    <t>23-08-2021</t>
  </si>
  <si>
    <t>A042509723</t>
  </si>
  <si>
    <t>GULNAR PARWEZ</t>
  </si>
  <si>
    <t>02/02/2001</t>
  </si>
  <si>
    <t>Q004135576</t>
  </si>
  <si>
    <t>24/04/1986</t>
  </si>
  <si>
    <t>24-08-2021</t>
  </si>
  <si>
    <t>A042578530</t>
  </si>
  <si>
    <t>Suraj Kumar Dubey</t>
  </si>
  <si>
    <t>01/09/2003</t>
  </si>
  <si>
    <t>A042120559</t>
  </si>
  <si>
    <t>03/11/1942</t>
  </si>
  <si>
    <t>Q004131882</t>
  </si>
  <si>
    <t>Dharmenda Kumar Singh</t>
  </si>
  <si>
    <t>10/05/1972</t>
  </si>
  <si>
    <t>A042560349</t>
  </si>
  <si>
    <t>Sejal Singh</t>
  </si>
  <si>
    <t>A042564863</t>
  </si>
  <si>
    <t>Shakti Dhibar</t>
  </si>
  <si>
    <t>02/07/2004</t>
  </si>
  <si>
    <t>A042671255</t>
  </si>
  <si>
    <t>Masiur Rahman</t>
  </si>
  <si>
    <t>29/10/1999</t>
  </si>
  <si>
    <t>26-08-2021</t>
  </si>
  <si>
    <t>Q004148451</t>
  </si>
  <si>
    <t>Diya Ray</t>
  </si>
  <si>
    <t>01/08/2001</t>
  </si>
  <si>
    <t>A042670907</t>
  </si>
  <si>
    <t>Shaheen Perween</t>
  </si>
  <si>
    <t>10/10/2001</t>
  </si>
  <si>
    <t>A042675080</t>
  </si>
  <si>
    <t>Durga Das</t>
  </si>
  <si>
    <t>05/04/1995</t>
  </si>
  <si>
    <t>A042786825</t>
  </si>
  <si>
    <t>Rishika Sahay</t>
  </si>
  <si>
    <t>08/08/2000</t>
  </si>
  <si>
    <t>29-08-2021</t>
  </si>
  <si>
    <t>A042754510</t>
  </si>
  <si>
    <t>14/05/1997</t>
  </si>
  <si>
    <t>at local</t>
  </si>
  <si>
    <t>Delivered to party</t>
  </si>
  <si>
    <t>A042753783</t>
  </si>
  <si>
    <t>Santoshi Devi</t>
  </si>
  <si>
    <t>21/11/1991</t>
  </si>
  <si>
    <t>30-08-2021</t>
  </si>
  <si>
    <t>A042834543</t>
  </si>
  <si>
    <t>Ritik Kumar Srivastava</t>
  </si>
  <si>
    <t>13/07/2003</t>
  </si>
  <si>
    <t>A042836013</t>
  </si>
  <si>
    <t>Sabitri Sharma</t>
  </si>
  <si>
    <t>Harsh Vardhan Singh</t>
  </si>
  <si>
    <t>Q004159466</t>
  </si>
  <si>
    <t>Mohammad Irshad Ansari</t>
  </si>
  <si>
    <t>03/03/1991</t>
  </si>
  <si>
    <t>Q004176340</t>
  </si>
  <si>
    <t>07/07/1975</t>
  </si>
  <si>
    <t>02-08-2021</t>
  </si>
  <si>
    <t>A042975255</t>
  </si>
  <si>
    <t>Shikha Sharma</t>
  </si>
  <si>
    <t>02-09-2021</t>
  </si>
  <si>
    <t>A042975757</t>
  </si>
  <si>
    <t>Bharat Forai</t>
  </si>
  <si>
    <t>Q004186219</t>
  </si>
  <si>
    <t>Saiyed Tajuddin</t>
  </si>
  <si>
    <t>17/05/1966</t>
  </si>
  <si>
    <t>Q004176293</t>
  </si>
  <si>
    <t>MAHABHASHYAM NARSINGH RAO</t>
  </si>
  <si>
    <t>Q004189303</t>
  </si>
  <si>
    <t>Amzad Khan</t>
  </si>
  <si>
    <t>15/12/1980</t>
  </si>
  <si>
    <t>03-09-2021</t>
  </si>
  <si>
    <t>A042991803</t>
  </si>
  <si>
    <t>Priyanshu Mishra</t>
  </si>
  <si>
    <t>15/06/2003</t>
  </si>
  <si>
    <t>Nharat Gorai</t>
  </si>
  <si>
    <t>1/01/1973</t>
  </si>
  <si>
    <t>Q004191021</t>
  </si>
  <si>
    <t>Khursheed Mansuree</t>
  </si>
  <si>
    <t>30/07/1999</t>
  </si>
  <si>
    <t>Q004194905</t>
  </si>
  <si>
    <t>Sonali Deb</t>
  </si>
  <si>
    <t>15/01/1969</t>
  </si>
  <si>
    <t>Q004194677</t>
  </si>
  <si>
    <t>Bidhan Chandra Deb</t>
  </si>
  <si>
    <t>29/10/1958</t>
  </si>
  <si>
    <t>Q004196114</t>
  </si>
  <si>
    <t>Binod Kumar Mahanty</t>
  </si>
  <si>
    <t>10/01/1969</t>
  </si>
  <si>
    <t>04-09-2021</t>
  </si>
  <si>
    <t>Rangit Mukhi</t>
  </si>
  <si>
    <t>10/05/1995</t>
  </si>
  <si>
    <t>06-09-2021</t>
  </si>
  <si>
    <t>A043157609</t>
  </si>
  <si>
    <t>Bipu Rani Singh Sardar</t>
  </si>
  <si>
    <t>03/06/1988</t>
  </si>
  <si>
    <t>A043064161</t>
  </si>
  <si>
    <t>Neesha</t>
  </si>
  <si>
    <t>Q004215967</t>
  </si>
  <si>
    <t>10/05/1992</t>
  </si>
  <si>
    <t>A043182057</t>
  </si>
  <si>
    <t>Himanshu Kumar Gupta</t>
  </si>
  <si>
    <t>14/07/2003</t>
  </si>
  <si>
    <t>A042992004</t>
  </si>
  <si>
    <t>Abhishek Paul</t>
  </si>
  <si>
    <t>20/08/2000</t>
  </si>
  <si>
    <t>A043181124</t>
  </si>
  <si>
    <t>Sarthak Pandey</t>
  </si>
  <si>
    <t>19/12/2002</t>
  </si>
  <si>
    <t>P Padma Nair</t>
  </si>
  <si>
    <t>10/01/1988</t>
  </si>
  <si>
    <t>08-09-2021</t>
  </si>
  <si>
    <t>A043236424</t>
  </si>
  <si>
    <t>Shankar Panchabhaya</t>
  </si>
  <si>
    <t>29/08/1988</t>
  </si>
  <si>
    <t>Q004225928</t>
  </si>
  <si>
    <t>Vikram Tiwari</t>
  </si>
  <si>
    <t>17/09/1993</t>
  </si>
  <si>
    <t>A043263290</t>
  </si>
  <si>
    <t>Hema Rani Sharma</t>
  </si>
  <si>
    <t>18/11/1982</t>
  </si>
  <si>
    <t>A043263540</t>
  </si>
  <si>
    <t>Rishav Raj</t>
  </si>
  <si>
    <t>A043263820</t>
  </si>
  <si>
    <t>Ravi Abhay Kumar</t>
  </si>
  <si>
    <t>01/01/2003</t>
  </si>
  <si>
    <t>Q004225843</t>
  </si>
  <si>
    <t>Umrawati Devi</t>
  </si>
  <si>
    <t>26/06/1957</t>
  </si>
  <si>
    <t>Q004225900</t>
  </si>
  <si>
    <t>Dewanti Devi</t>
  </si>
  <si>
    <t>12/05/1963</t>
  </si>
  <si>
    <t>Q004232002</t>
  </si>
  <si>
    <t>Nand Gopal Singh</t>
  </si>
  <si>
    <t>15/12/1981</t>
  </si>
  <si>
    <t>09-09-2021</t>
  </si>
  <si>
    <t>A043235756</t>
  </si>
  <si>
    <t>Chhabi Rani mahato</t>
  </si>
  <si>
    <t>12/08/1990</t>
  </si>
  <si>
    <t>Q004232358</t>
  </si>
  <si>
    <t>Q004232586</t>
  </si>
  <si>
    <t>A043280441</t>
  </si>
  <si>
    <t>Ruby Devi</t>
  </si>
  <si>
    <t>26/01/1988</t>
  </si>
  <si>
    <t>A043263988</t>
  </si>
  <si>
    <t>Gulabi Devi</t>
  </si>
  <si>
    <t>31/12/1944</t>
  </si>
  <si>
    <t>Q004235081</t>
  </si>
  <si>
    <t>Mona Karwa</t>
  </si>
  <si>
    <t>28/03/1989</t>
  </si>
  <si>
    <t>A043338351</t>
  </si>
  <si>
    <t>Zeba Perween</t>
  </si>
  <si>
    <t>26-03-1994</t>
  </si>
  <si>
    <t>11-09-2021</t>
  </si>
  <si>
    <t>Q004244530</t>
  </si>
  <si>
    <t>Ranjit Kumar Nandi</t>
  </si>
  <si>
    <t>15/01/1968</t>
  </si>
  <si>
    <t>A043315306</t>
  </si>
  <si>
    <t>Harshit Karn</t>
  </si>
  <si>
    <t>10/08/2003</t>
  </si>
  <si>
    <t>A043317635</t>
  </si>
  <si>
    <t>Radhika Devi</t>
  </si>
  <si>
    <t>04/05/1948</t>
  </si>
  <si>
    <t>A043339098</t>
  </si>
  <si>
    <t>Ashutosh Singh</t>
  </si>
  <si>
    <t>19/11/2002</t>
  </si>
  <si>
    <t>A043339378</t>
  </si>
  <si>
    <t>Q004246447</t>
  </si>
  <si>
    <t>Ajit Kumar Singh</t>
  </si>
  <si>
    <t>07/08/1992</t>
  </si>
  <si>
    <t>A043354833</t>
  </si>
  <si>
    <t>Pinki Binet</t>
  </si>
  <si>
    <t>15/12/1983</t>
  </si>
  <si>
    <t>A043420198</t>
  </si>
  <si>
    <t>10-12-1969</t>
  </si>
  <si>
    <t>13-09-2021</t>
  </si>
  <si>
    <t>A043422213</t>
  </si>
  <si>
    <t>Md Aftab</t>
  </si>
  <si>
    <t>A043421515</t>
  </si>
  <si>
    <t>Lawrence Gabrel</t>
  </si>
  <si>
    <t>10-08-1982</t>
  </si>
  <si>
    <t>A043486181</t>
  </si>
  <si>
    <t>Aaliya Perween</t>
  </si>
  <si>
    <t>14-01-2003</t>
  </si>
  <si>
    <t>14-09-2021</t>
  </si>
  <si>
    <t>A043475522</t>
  </si>
  <si>
    <t>17-10-1987</t>
  </si>
  <si>
    <t>a043534571</t>
  </si>
  <si>
    <t>Sandhya Dutta</t>
  </si>
  <si>
    <t>17-08-1951</t>
  </si>
  <si>
    <t>15-09-2021</t>
  </si>
  <si>
    <t>A043534894</t>
  </si>
  <si>
    <t>Rani Karmakar</t>
  </si>
  <si>
    <t>15-12-1995</t>
  </si>
  <si>
    <t>16-09-2021</t>
  </si>
  <si>
    <t>Q004271746</t>
  </si>
  <si>
    <t>Jagan Kumar Das</t>
  </si>
  <si>
    <t>09-04-2001</t>
  </si>
  <si>
    <t>A043531486</t>
  </si>
  <si>
    <t>Shobha Singh</t>
  </si>
  <si>
    <t>23-06-2001</t>
  </si>
  <si>
    <t>A043535236</t>
  </si>
  <si>
    <t>Kalpana Devi</t>
  </si>
  <si>
    <t>A043531927</t>
  </si>
  <si>
    <t>Rajia Khatoon</t>
  </si>
  <si>
    <t>02/08/1982</t>
  </si>
  <si>
    <t>A043532445</t>
  </si>
  <si>
    <t>Saleha Khatoon</t>
  </si>
  <si>
    <t>A043569443</t>
  </si>
  <si>
    <t>12/12/1983</t>
  </si>
  <si>
    <t>A043569696</t>
  </si>
  <si>
    <t>Dolly Gope</t>
  </si>
  <si>
    <t>19/03/2003</t>
  </si>
  <si>
    <t>dhirendranathgope54</t>
  </si>
  <si>
    <t>A043569907</t>
  </si>
  <si>
    <t>19/05/2003</t>
  </si>
  <si>
    <t>ayushsingh8235</t>
  </si>
  <si>
    <t>Q004277857</t>
  </si>
  <si>
    <t>Raj Kumar</t>
  </si>
  <si>
    <t>31/03/1976</t>
  </si>
  <si>
    <t>Q004277591</t>
  </si>
  <si>
    <t>Ankita Bharti</t>
  </si>
  <si>
    <t>16/06/1996</t>
  </si>
  <si>
    <t>Q004276920</t>
  </si>
  <si>
    <t>Kusum Kunwar</t>
  </si>
  <si>
    <t>25/01/1978</t>
  </si>
  <si>
    <t>Q004281037</t>
  </si>
  <si>
    <t>Sandeep Jhangol</t>
  </si>
  <si>
    <t>10/02/1986</t>
  </si>
  <si>
    <t>18-09-2021</t>
  </si>
  <si>
    <t>A043648902</t>
  </si>
  <si>
    <t>Ashish Raj Singh</t>
  </si>
  <si>
    <t>22/07/2003</t>
  </si>
  <si>
    <t>a043768238</t>
  </si>
  <si>
    <t>Rishav Kumar</t>
  </si>
  <si>
    <t>05/07/1998</t>
  </si>
  <si>
    <t>21-09-2021</t>
  </si>
  <si>
    <t>A043767694</t>
  </si>
  <si>
    <t>Aman Singh</t>
  </si>
  <si>
    <t>18/09/1997</t>
  </si>
  <si>
    <t>Q004302044</t>
  </si>
  <si>
    <t>Kanaklata Devi</t>
  </si>
  <si>
    <t>18/05/1981</t>
  </si>
  <si>
    <t>A043837785</t>
  </si>
  <si>
    <t>Sanchuri Munda</t>
  </si>
  <si>
    <t>19/08/1986</t>
  </si>
  <si>
    <t>23-09-2021</t>
  </si>
  <si>
    <t>A043891659</t>
  </si>
  <si>
    <t>Naila Rahman</t>
  </si>
  <si>
    <t>01-03-1984</t>
  </si>
  <si>
    <t>Q004326111</t>
  </si>
  <si>
    <t>SUNIL KUMAR SHARMA</t>
  </si>
  <si>
    <t>20/04/1976</t>
  </si>
  <si>
    <t>24-09-2021</t>
  </si>
  <si>
    <t>A043930902</t>
  </si>
  <si>
    <t>Nabirun Nisa</t>
  </si>
  <si>
    <t>25-09-2021</t>
  </si>
  <si>
    <t>Sunil Sharma</t>
  </si>
  <si>
    <t>Q004333019</t>
  </si>
  <si>
    <t>NASRIN KHATOON</t>
  </si>
  <si>
    <t>17/08/1977</t>
  </si>
  <si>
    <t>EGFPK3527M</t>
  </si>
  <si>
    <t>Zulekha Parween</t>
  </si>
  <si>
    <t>Fathername Missing</t>
  </si>
  <si>
    <t>Q004335536</t>
  </si>
  <si>
    <t>Mohammad Adnan Akhtar</t>
  </si>
  <si>
    <t>04/03/1983</t>
  </si>
  <si>
    <t>Nasrin Khatoon</t>
  </si>
  <si>
    <t>25/09/1977</t>
  </si>
  <si>
    <t>Q004342955</t>
  </si>
  <si>
    <t>Pabir Devi</t>
  </si>
  <si>
    <t>20/06/1952</t>
  </si>
  <si>
    <t>27-09-2021</t>
  </si>
  <si>
    <t>A044041122</t>
  </si>
  <si>
    <t>Ishrat Khatoon</t>
  </si>
  <si>
    <t>14/04/1967</t>
  </si>
  <si>
    <t>A044046132</t>
  </si>
  <si>
    <t>Q004350734</t>
  </si>
  <si>
    <t>01/03/1983</t>
  </si>
  <si>
    <t>28-09-2021</t>
  </si>
  <si>
    <t>annex-?</t>
  </si>
  <si>
    <t>A044111857</t>
  </si>
  <si>
    <t>Sanju Sardar</t>
  </si>
  <si>
    <t>Q004350497</t>
  </si>
  <si>
    <t>Hassan Ahmad</t>
  </si>
  <si>
    <t>18-08-1957</t>
  </si>
  <si>
    <t>A044162789</t>
  </si>
  <si>
    <t>30-09-2021</t>
  </si>
  <si>
    <t>A044162006</t>
  </si>
  <si>
    <t>Rani Sardar</t>
  </si>
  <si>
    <t>Q044116971</t>
  </si>
  <si>
    <t>A044242587</t>
  </si>
  <si>
    <t>Shilpa Ganguly</t>
  </si>
  <si>
    <t>08/02/2002</t>
  </si>
  <si>
    <t>01-10-2021</t>
  </si>
  <si>
    <t>A044207562</t>
  </si>
  <si>
    <t>Afsana Perween</t>
  </si>
  <si>
    <t>05/10/1999</t>
  </si>
  <si>
    <t>A044206994</t>
  </si>
  <si>
    <t>Rukhsena Perween</t>
  </si>
  <si>
    <t>30/06/1998</t>
  </si>
  <si>
    <t>A044280594</t>
  </si>
  <si>
    <t>Mina Devi</t>
  </si>
  <si>
    <t>02-10-2021</t>
  </si>
  <si>
    <t>A044305540</t>
  </si>
  <si>
    <t>Keya Banerjee</t>
  </si>
  <si>
    <t>25-11-1960</t>
  </si>
  <si>
    <t>03-10-2021</t>
  </si>
  <si>
    <t>Q004387802</t>
  </si>
  <si>
    <t>Mamata Mitra</t>
  </si>
  <si>
    <t>03-01-1977</t>
  </si>
  <si>
    <t>04-10-2021</t>
  </si>
  <si>
    <t>Q004221743</t>
  </si>
  <si>
    <t>Ekram Ulla</t>
  </si>
  <si>
    <t>05-08-1975</t>
  </si>
  <si>
    <t>Q004387472</t>
  </si>
  <si>
    <t>28-04-1968</t>
  </si>
  <si>
    <t>A044438603</t>
  </si>
  <si>
    <t>Akasnsha Sinha</t>
  </si>
  <si>
    <t>03-07-2003</t>
  </si>
  <si>
    <t>akansha250311</t>
  </si>
  <si>
    <t>A044439423</t>
  </si>
  <si>
    <t>Tilottama Gorai</t>
  </si>
  <si>
    <t>01/01/1955</t>
  </si>
  <si>
    <t>Kalpana</t>
  </si>
  <si>
    <t>A044441908</t>
  </si>
  <si>
    <t>10/02/2001</t>
  </si>
  <si>
    <t>A044442667</t>
  </si>
  <si>
    <t>Priyanshu Kumar Anand</t>
  </si>
  <si>
    <t>29-10-2002</t>
  </si>
  <si>
    <t>Q004393581</t>
  </si>
  <si>
    <t>Ashish Pandey</t>
  </si>
  <si>
    <t>26-03-1985</t>
  </si>
  <si>
    <t>A044443299</t>
  </si>
  <si>
    <t>Suman Lohar</t>
  </si>
  <si>
    <t>16-05-1992</t>
  </si>
  <si>
    <t>A044513860</t>
  </si>
  <si>
    <t>Amrit Singh</t>
  </si>
  <si>
    <t>02-03-2002</t>
  </si>
  <si>
    <t>08-10-2021</t>
  </si>
  <si>
    <t>A044443772</t>
  </si>
  <si>
    <t>01-11-1977</t>
  </si>
  <si>
    <t>07-10-2021</t>
  </si>
  <si>
    <t>A044498116</t>
  </si>
  <si>
    <t>05-08-1979</t>
  </si>
  <si>
    <t>A044482139</t>
  </si>
  <si>
    <t>Shila Devi</t>
  </si>
  <si>
    <t>A044560601</t>
  </si>
  <si>
    <t>Simran Kaur Chaddha</t>
  </si>
  <si>
    <t>21-06-2001</t>
  </si>
  <si>
    <t>09-10-2021</t>
  </si>
  <si>
    <t>A044586017</t>
  </si>
  <si>
    <t>Baha Mardi</t>
  </si>
  <si>
    <t>10-10-2021</t>
  </si>
  <si>
    <t>Q004417353</t>
  </si>
  <si>
    <t>Bijay Kalundia</t>
  </si>
  <si>
    <t>05/09/1994</t>
  </si>
  <si>
    <t>Q004429138</t>
  </si>
  <si>
    <t>Sukhdev Singh</t>
  </si>
  <si>
    <t>10-01-1981</t>
  </si>
  <si>
    <t>12-10-2021</t>
  </si>
  <si>
    <t>A044713571</t>
  </si>
  <si>
    <t>Habibur Rahman</t>
  </si>
  <si>
    <t>15-03-2001</t>
  </si>
  <si>
    <t>13-10-2021</t>
  </si>
  <si>
    <t>A044714781</t>
  </si>
  <si>
    <t>01-01-1961</t>
  </si>
  <si>
    <t>A044548929</t>
  </si>
  <si>
    <t>Arshad Khan</t>
  </si>
  <si>
    <t>22-10-2001</t>
  </si>
  <si>
    <t>Q004438122</t>
  </si>
  <si>
    <t>Dharmendra Pandit</t>
  </si>
  <si>
    <t>15/07/1988</t>
  </si>
  <si>
    <t>Q004442114</t>
  </si>
  <si>
    <t>Chandra shekhar prasad srivastava</t>
  </si>
  <si>
    <t>12-03-1945</t>
  </si>
  <si>
    <t>14-10-2021</t>
  </si>
  <si>
    <t>A044829109</t>
  </si>
  <si>
    <t>shankar mukhi</t>
  </si>
  <si>
    <t>16-10-2021</t>
  </si>
  <si>
    <t>A044829459</t>
  </si>
  <si>
    <t>Laxmi Ravidas</t>
  </si>
  <si>
    <t>03-11-199</t>
  </si>
  <si>
    <t>A044838210</t>
  </si>
  <si>
    <t>Yashoda Mahato</t>
  </si>
  <si>
    <t>17-10-2021</t>
  </si>
  <si>
    <t>A044858419</t>
  </si>
  <si>
    <t>Prabhjot Kaur</t>
  </si>
  <si>
    <t>10-09-1977</t>
  </si>
  <si>
    <t>18-10-2021</t>
  </si>
  <si>
    <t>jagjeetcady2000@g</t>
  </si>
  <si>
    <t>Q004451946</t>
  </si>
  <si>
    <t>Gaytri Devi</t>
  </si>
  <si>
    <t>Q004102032</t>
  </si>
  <si>
    <t>Kalicharan Singh</t>
  </si>
  <si>
    <t>Q004460008</t>
  </si>
  <si>
    <t>Moni Bose</t>
  </si>
  <si>
    <t>06/1/1970</t>
  </si>
  <si>
    <t>A044888414</t>
  </si>
  <si>
    <t>Avinash Sharma</t>
  </si>
  <si>
    <t>30-03-2003</t>
  </si>
  <si>
    <t>A044931165</t>
  </si>
  <si>
    <t>Reshmi Parween</t>
  </si>
  <si>
    <t>19-10-2021</t>
  </si>
  <si>
    <t>adeenkhan25@g</t>
  </si>
  <si>
    <t>Q004467230</t>
  </si>
  <si>
    <t>Ipshita Gupta Bakshi</t>
  </si>
  <si>
    <t>29/02/1988</t>
  </si>
  <si>
    <t>Q004467155</t>
  </si>
  <si>
    <t>Amirn Khan</t>
  </si>
  <si>
    <t>02/02/1972</t>
  </si>
  <si>
    <t>adeenkhan2t@</t>
  </si>
  <si>
    <t>A044931094</t>
  </si>
  <si>
    <t>Devansh Tiwary</t>
  </si>
  <si>
    <t>24/09/2003</t>
  </si>
  <si>
    <t>devanshtiwary2492g</t>
  </si>
  <si>
    <t>A044931251</t>
  </si>
  <si>
    <t>Homa Naznin</t>
  </si>
  <si>
    <t>12-02-1996</t>
  </si>
  <si>
    <t>homanaznin@</t>
  </si>
  <si>
    <t>Q004467187</t>
  </si>
  <si>
    <t>Rani Devi</t>
  </si>
  <si>
    <t>santosh.hiteshrani92@</t>
  </si>
  <si>
    <t>A045002142</t>
  </si>
  <si>
    <t>Sangita Kumari</t>
  </si>
  <si>
    <t>27-12-2021</t>
  </si>
  <si>
    <t>21-10-2021</t>
  </si>
  <si>
    <t>sangitak636@g</t>
  </si>
  <si>
    <t>Q004479765</t>
  </si>
  <si>
    <t>Jerome Stephen</t>
  </si>
  <si>
    <t>30-09-1954</t>
  </si>
  <si>
    <t>22-10-201</t>
  </si>
  <si>
    <t>Q004479834</t>
  </si>
  <si>
    <t>09-09-1976</t>
  </si>
  <si>
    <t>Q004481207</t>
  </si>
  <si>
    <t>01-03-1983</t>
  </si>
  <si>
    <t>A045029776</t>
  </si>
  <si>
    <t>Paltan Soren</t>
  </si>
  <si>
    <t>07-12-1995</t>
  </si>
  <si>
    <t>A045030177</t>
  </si>
  <si>
    <t>Selina Kujur</t>
  </si>
  <si>
    <t>02-10-1993</t>
  </si>
  <si>
    <t>A045014403</t>
  </si>
  <si>
    <t>Mukush Tudu</t>
  </si>
  <si>
    <t>15-11-1996</t>
  </si>
  <si>
    <t>A045029440</t>
  </si>
  <si>
    <t>Anju Devi</t>
  </si>
  <si>
    <t>A044966062</t>
  </si>
  <si>
    <t>Anita Devi</t>
  </si>
  <si>
    <t>05-01-1971</t>
  </si>
  <si>
    <t>A044951806</t>
  </si>
  <si>
    <t>Tushar Indra</t>
  </si>
  <si>
    <t>11-09-2003</t>
  </si>
  <si>
    <t>A044930043</t>
  </si>
  <si>
    <t>Gopal Akhila</t>
  </si>
  <si>
    <t>29-09-1999</t>
  </si>
  <si>
    <t>A045122055</t>
  </si>
  <si>
    <t>Sonamoni Giri</t>
  </si>
  <si>
    <t>03-07-1998</t>
  </si>
  <si>
    <t>25-10-2021</t>
  </si>
  <si>
    <t>a045122630</t>
  </si>
  <si>
    <t>Purnima Saha</t>
  </si>
  <si>
    <t>01-01-1977</t>
  </si>
  <si>
    <t>A045122343</t>
  </si>
  <si>
    <t>Dharm Shila Devi</t>
  </si>
  <si>
    <t>06-08-1952</t>
  </si>
  <si>
    <t>A045210607</t>
  </si>
  <si>
    <t>Juhi Khanam</t>
  </si>
  <si>
    <t>15-02-1996</t>
  </si>
  <si>
    <t>27-10-2021</t>
  </si>
  <si>
    <t>Amin Khan</t>
  </si>
  <si>
    <t>02-02-1972</t>
  </si>
  <si>
    <t>Q004495901</t>
  </si>
  <si>
    <t>Deepak Sahu</t>
  </si>
  <si>
    <t>29-10-2021</t>
  </si>
  <si>
    <t>Q004517231</t>
  </si>
  <si>
    <t>Nitinkumar Prakash Patil</t>
  </si>
  <si>
    <t>12/12/1979</t>
  </si>
  <si>
    <t>Q004517221</t>
  </si>
  <si>
    <t>Sanjay Kumar Sharma</t>
  </si>
  <si>
    <t>30/05/1972</t>
  </si>
  <si>
    <t>A045258896</t>
  </si>
  <si>
    <t>03-05-1999</t>
  </si>
  <si>
    <t>Q004517224</t>
  </si>
  <si>
    <t>Shaukat Ali</t>
  </si>
  <si>
    <t>27-12-1990</t>
  </si>
  <si>
    <t>Ispshita Gupta Bakshi</t>
  </si>
  <si>
    <t>29-02-1988</t>
  </si>
  <si>
    <t>A045258934</t>
  </si>
  <si>
    <t>Divya Kumari</t>
  </si>
  <si>
    <t>30-07-2004</t>
  </si>
  <si>
    <t>A045258886</t>
  </si>
  <si>
    <t>Surbhi Singh</t>
  </si>
  <si>
    <t>A045258892</t>
  </si>
  <si>
    <t>Mahak Singh</t>
  </si>
  <si>
    <t>10-06-2003</t>
  </si>
  <si>
    <t>A045320834</t>
  </si>
  <si>
    <t>Sameer Ahmed</t>
  </si>
  <si>
    <t>07-01-2001</t>
  </si>
  <si>
    <t>30-10-2021</t>
  </si>
  <si>
    <t>A045319701</t>
  </si>
  <si>
    <t>Jyoti Raj Sinha</t>
  </si>
  <si>
    <t>17-11-2001</t>
  </si>
  <si>
    <t>A045320113</t>
  </si>
  <si>
    <t>Akriti Prasad</t>
  </si>
  <si>
    <t>15-10-2003</t>
  </si>
  <si>
    <t>Q004524650</t>
  </si>
  <si>
    <t>Sarbjeet Kour</t>
  </si>
  <si>
    <t>05-12-1974</t>
  </si>
  <si>
    <t>Q004525652</t>
  </si>
  <si>
    <t>Tapas Das</t>
  </si>
  <si>
    <t>17-03-1999</t>
  </si>
  <si>
    <t>Q004517227</t>
  </si>
  <si>
    <t>Mukesh Tudu</t>
  </si>
  <si>
    <t>A045321535</t>
  </si>
  <si>
    <t>Irfan Shadan</t>
  </si>
  <si>
    <t>08-10-2000</t>
  </si>
  <si>
    <t>A045340629</t>
  </si>
  <si>
    <t>Suman Mishra</t>
  </si>
  <si>
    <t>01/07/1985</t>
  </si>
  <si>
    <t>ajaym031974@g</t>
  </si>
  <si>
    <t>A045339908</t>
  </si>
  <si>
    <t>Sushila Lohar</t>
  </si>
  <si>
    <t>19/01/1985</t>
  </si>
  <si>
    <t>A045338648</t>
  </si>
  <si>
    <t>Reshm Ara</t>
  </si>
  <si>
    <t>29/03/2003</t>
  </si>
  <si>
    <t>araanam3@g</t>
  </si>
  <si>
    <t>A045353785</t>
  </si>
  <si>
    <t>Khiro Munda</t>
  </si>
  <si>
    <t>31-10-2021</t>
  </si>
  <si>
    <t>Q004537330</t>
  </si>
  <si>
    <t>01-11-2021</t>
  </si>
  <si>
    <t>Q004537272</t>
  </si>
  <si>
    <t>Madhabananda Mohanty</t>
  </si>
  <si>
    <t>26/01/1950</t>
  </si>
  <si>
    <t>Q004532880</t>
  </si>
  <si>
    <t>14/11/1999</t>
  </si>
  <si>
    <t>A045474096</t>
  </si>
  <si>
    <t>Puja Pramanik</t>
  </si>
  <si>
    <t>09/01/1999</t>
  </si>
  <si>
    <t>03-11-2021</t>
  </si>
  <si>
    <t>A045473675</t>
  </si>
  <si>
    <t>Gita Bivar</t>
  </si>
  <si>
    <t>13-10-1990</t>
  </si>
  <si>
    <t>A045483108</t>
  </si>
  <si>
    <t>Monika Mahato</t>
  </si>
  <si>
    <t>04-03-1990</t>
  </si>
  <si>
    <t>04-11-2021</t>
  </si>
  <si>
    <t>mahatoshailendra45@</t>
  </si>
  <si>
    <t>A045541020</t>
  </si>
  <si>
    <t>14/02/2000</t>
  </si>
  <si>
    <t>06-11-2021</t>
  </si>
  <si>
    <t>Q004559146</t>
  </si>
  <si>
    <t>Anshu Shrma</t>
  </si>
  <si>
    <t>20-09-1986</t>
  </si>
  <si>
    <t>Q004559181</t>
  </si>
  <si>
    <t>Tarak Nath Sharma</t>
  </si>
  <si>
    <t>02-01-1982</t>
  </si>
  <si>
    <t>Q004559279</t>
  </si>
  <si>
    <t>Saloni Devi</t>
  </si>
  <si>
    <t>15-01-1969</t>
  </si>
  <si>
    <t>A045548526</t>
  </si>
  <si>
    <t>Meera Devi</t>
  </si>
  <si>
    <t>01-12-1980</t>
  </si>
  <si>
    <t>Q004573472</t>
  </si>
  <si>
    <t>Laljee Prasad Sharma</t>
  </si>
  <si>
    <t>12-10-1963</t>
  </si>
  <si>
    <t>09-11-2021</t>
  </si>
  <si>
    <t>laljeeprasad59@gma</t>
  </si>
  <si>
    <t>A045626857</t>
  </si>
  <si>
    <t>Durga Roy</t>
  </si>
  <si>
    <t>11-04-1956</t>
  </si>
  <si>
    <t>A045627671</t>
  </si>
  <si>
    <t>Hewanti Singh</t>
  </si>
  <si>
    <t>hewantisingh1957</t>
  </si>
  <si>
    <t>A045637976</t>
  </si>
  <si>
    <t>Shankar Majhi</t>
  </si>
  <si>
    <t>A045648311</t>
  </si>
  <si>
    <t>Veer Sandil</t>
  </si>
  <si>
    <t>27-03-2003</t>
  </si>
  <si>
    <t>Q004575182</t>
  </si>
  <si>
    <t>Basmato Devi</t>
  </si>
  <si>
    <t>25-04-1940</t>
  </si>
  <si>
    <t>A045737972</t>
  </si>
  <si>
    <t>Pooja Mahato</t>
  </si>
  <si>
    <t>03-02-2003</t>
  </si>
  <si>
    <t>12-11-2021</t>
  </si>
  <si>
    <t>A04566258</t>
  </si>
  <si>
    <t>Nidhi Gandhi</t>
  </si>
  <si>
    <t>17-02-1985</t>
  </si>
  <si>
    <t>10-11-2021</t>
  </si>
  <si>
    <t>gandhitml332@g</t>
  </si>
  <si>
    <t>A045654974</t>
  </si>
  <si>
    <t>Rajan Samad</t>
  </si>
  <si>
    <t>18-11-1997</t>
  </si>
  <si>
    <t>A045818911</t>
  </si>
  <si>
    <t>Nishant Kumar</t>
  </si>
  <si>
    <t>09-09-1999</t>
  </si>
  <si>
    <t>14-11-2021</t>
  </si>
  <si>
    <t>A045821645</t>
  </si>
  <si>
    <t>Pitambar Mahato</t>
  </si>
  <si>
    <t>A045821992</t>
  </si>
  <si>
    <t>Tarani Mahato</t>
  </si>
  <si>
    <t>12/09/1995</t>
  </si>
  <si>
    <t>A045905906</t>
  </si>
  <si>
    <t>Sohana Begum</t>
  </si>
  <si>
    <t>11-07-1994</t>
  </si>
  <si>
    <t>16-11-2021</t>
  </si>
  <si>
    <t>emailed</t>
  </si>
  <si>
    <t>sohanabegum96@gma</t>
  </si>
  <si>
    <t>Q004614059</t>
  </si>
  <si>
    <t>Akhilesh Kumar</t>
  </si>
  <si>
    <t>07-07-1986</t>
  </si>
  <si>
    <t>17-11-2021</t>
  </si>
  <si>
    <t>bemneinfinity@re</t>
  </si>
  <si>
    <t>Q004614751</t>
  </si>
  <si>
    <t>Mirza Siddique Ali beg</t>
  </si>
  <si>
    <t>25-03-1978</t>
  </si>
  <si>
    <t>mirzaalibeg758@g</t>
  </si>
  <si>
    <t>Q004619268</t>
  </si>
  <si>
    <t>mohammad Shahab Khalid Quasmi</t>
  </si>
  <si>
    <t>25-01-1961</t>
  </si>
  <si>
    <t>s.khalid268973@g</t>
  </si>
  <si>
    <t>A045892903</t>
  </si>
  <si>
    <t>Ranjeet Kaur</t>
  </si>
  <si>
    <t>05-08-1976</t>
  </si>
  <si>
    <t>rkaur1591@gma</t>
  </si>
  <si>
    <t>Q004612682</t>
  </si>
  <si>
    <t>sanjoymitra1977@g</t>
  </si>
  <si>
    <t>A045987071</t>
  </si>
  <si>
    <t>Deep Das</t>
  </si>
  <si>
    <t>26-10-2003</t>
  </si>
  <si>
    <t>18-11-2021</t>
  </si>
  <si>
    <t>deep26102003@</t>
  </si>
  <si>
    <t>Q004619521</t>
  </si>
  <si>
    <t>Bijan Kumar Dutta</t>
  </si>
  <si>
    <t>18-05-1954</t>
  </si>
  <si>
    <t>bkduttatelco@g</t>
  </si>
  <si>
    <t>A045886957</t>
  </si>
  <si>
    <t>Manish Kumar Sharma</t>
  </si>
  <si>
    <t>15-02-2000</t>
  </si>
  <si>
    <t>15-11-2021</t>
  </si>
  <si>
    <t>manishsharma22456</t>
  </si>
  <si>
    <t>Q004619483</t>
  </si>
  <si>
    <t>Subasish Ghosh</t>
  </si>
  <si>
    <t>28-01-1982</t>
  </si>
  <si>
    <t>Q004619590</t>
  </si>
  <si>
    <t>Sabitry Munda</t>
  </si>
  <si>
    <t>A045995186</t>
  </si>
  <si>
    <t>Sampato Devi</t>
  </si>
  <si>
    <t>01-01-1949</t>
  </si>
  <si>
    <t>jitendray978@g</t>
  </si>
  <si>
    <t>Q004620961</t>
  </si>
  <si>
    <t>Arindam mitra</t>
  </si>
  <si>
    <t>29-10-1964</t>
  </si>
  <si>
    <t>arindammitra497@g</t>
  </si>
  <si>
    <t>A045996949</t>
  </si>
  <si>
    <t>Sneha Kumari</t>
  </si>
  <si>
    <t>13-02-2003</t>
  </si>
  <si>
    <t>A046029369</t>
  </si>
  <si>
    <t>Arup Pramanik</t>
  </si>
  <si>
    <t>24-05-1992</t>
  </si>
  <si>
    <t>19-11-2021</t>
  </si>
  <si>
    <t>sanjay1@g</t>
  </si>
  <si>
    <t>Q004630968</t>
  </si>
  <si>
    <t>Q004653224</t>
  </si>
  <si>
    <t>Harihar Sharma</t>
  </si>
  <si>
    <t>20-04-1945</t>
  </si>
  <si>
    <t>23-11-2021</t>
  </si>
  <si>
    <t>A046173530</t>
  </si>
  <si>
    <t>Chabi Rani Ghosh</t>
  </si>
  <si>
    <t>A046174647</t>
  </si>
  <si>
    <t>Zoya Khan</t>
  </si>
  <si>
    <t>12-12-1996</t>
  </si>
  <si>
    <t>fatehalamkhan2@g</t>
  </si>
  <si>
    <t>A046176654</t>
  </si>
  <si>
    <t>Kuili Mardi</t>
  </si>
  <si>
    <t>Q004646892</t>
  </si>
  <si>
    <t>Rajendra kumar mishra</t>
  </si>
  <si>
    <t>24-03-1973</t>
  </si>
  <si>
    <t>rajendrakm41@f</t>
  </si>
  <si>
    <t>A046182868</t>
  </si>
  <si>
    <t>01-09-1985</t>
  </si>
  <si>
    <t>pintupremshrama@g</t>
  </si>
  <si>
    <t>881035295173891</t>
  </si>
  <si>
    <t>Dimple Mishra</t>
  </si>
  <si>
    <t>A046249502</t>
  </si>
  <si>
    <t>Shamima  Khatoon</t>
  </si>
  <si>
    <t>29/12/1987</t>
  </si>
  <si>
    <t>24-11-2021</t>
  </si>
  <si>
    <t>Q004662666</t>
  </si>
  <si>
    <t>Kamal Sardar</t>
  </si>
  <si>
    <t>12/06/1987</t>
  </si>
  <si>
    <t>A046338035</t>
  </si>
  <si>
    <t>Renuka Mahato</t>
  </si>
  <si>
    <t>27-11-2021</t>
  </si>
  <si>
    <t>A046338421</t>
  </si>
  <si>
    <t>Rima Devi</t>
  </si>
  <si>
    <t>07/12/1976</t>
  </si>
  <si>
    <t>Q004674900</t>
  </si>
  <si>
    <t>Kundan Kumar</t>
  </si>
  <si>
    <t>A046339384</t>
  </si>
  <si>
    <t>Shamsha Khatoon</t>
  </si>
  <si>
    <t>A046368599</t>
  </si>
  <si>
    <t>Ankit Kumar</t>
  </si>
  <si>
    <t>03-07-1993</t>
  </si>
  <si>
    <t>28-11-2021</t>
  </si>
  <si>
    <t>ankitkumar3071994@g</t>
  </si>
  <si>
    <t>A044116971</t>
  </si>
  <si>
    <t>SHIV NATH SAH</t>
  </si>
  <si>
    <t>01-08-1941</t>
  </si>
  <si>
    <t>A046463364</t>
  </si>
  <si>
    <t>Soni Sahu</t>
  </si>
  <si>
    <t>10/03/2001</t>
  </si>
  <si>
    <t>30/11/2021</t>
  </si>
  <si>
    <t>A046464038</t>
  </si>
  <si>
    <t>Sunita Mahato</t>
  </si>
  <si>
    <t>01/08/1988</t>
  </si>
  <si>
    <t>A046473787</t>
  </si>
  <si>
    <t>Priti Sinha</t>
  </si>
  <si>
    <t>11/01/1988</t>
  </si>
  <si>
    <t>A046472322</t>
  </si>
  <si>
    <t>Lalu Sandil</t>
  </si>
  <si>
    <t>Ganesh Lohra</t>
  </si>
  <si>
    <t>Q004724117</t>
  </si>
  <si>
    <t>Aman Kumar</t>
  </si>
  <si>
    <t>23/10/1996</t>
  </si>
  <si>
    <t>08-12-2021</t>
  </si>
  <si>
    <t>hardweepkaur@</t>
  </si>
  <si>
    <t>Q004713399</t>
  </si>
  <si>
    <t xml:space="preserve">Bikash Kumar Yadav </t>
  </si>
  <si>
    <t>04/12/2021</t>
  </si>
  <si>
    <t>A046612833</t>
  </si>
  <si>
    <t>Nilam Kumari</t>
  </si>
  <si>
    <t>05/03/1988</t>
  </si>
  <si>
    <t>A046679639</t>
  </si>
  <si>
    <t>Shva Gounder</t>
  </si>
  <si>
    <t>19-04-2003</t>
  </si>
  <si>
    <t>shivagounder6@g</t>
  </si>
  <si>
    <t>A046696439</t>
  </si>
  <si>
    <t>Rohit Pal</t>
  </si>
  <si>
    <t>24-09-2003</t>
  </si>
  <si>
    <t>rjpaljsr123@g</t>
  </si>
  <si>
    <t>A046696446</t>
  </si>
  <si>
    <t>Prahiad Kundu</t>
  </si>
  <si>
    <t>Deepak Kumar Singh</t>
  </si>
  <si>
    <t>A046696428</t>
  </si>
  <si>
    <t>07-02-1985</t>
  </si>
  <si>
    <t>sanjay1@</t>
  </si>
  <si>
    <t>Q004727931</t>
  </si>
  <si>
    <t>Sushil Verma</t>
  </si>
  <si>
    <t>01-08-1979</t>
  </si>
  <si>
    <t>sv3017371@</t>
  </si>
  <si>
    <t>A046730867</t>
  </si>
  <si>
    <t>Mansidh Barla</t>
  </si>
  <si>
    <t>07-10-1967</t>
  </si>
  <si>
    <t>10-12-2021</t>
  </si>
  <si>
    <t>asimbarla221@g</t>
  </si>
  <si>
    <t>A046730833</t>
  </si>
  <si>
    <t>Snigdha Singh</t>
  </si>
  <si>
    <t>19-10-2003</t>
  </si>
  <si>
    <t>A046730845</t>
  </si>
  <si>
    <t xml:space="preserve">Shriti Kumari </t>
  </si>
  <si>
    <t>08-11-2002</t>
  </si>
  <si>
    <t>shriti0802@g</t>
  </si>
  <si>
    <t>Q004749330</t>
  </si>
  <si>
    <t>Suresh Sharma</t>
  </si>
  <si>
    <t>10-07-1979</t>
  </si>
  <si>
    <t>Q004749322</t>
  </si>
  <si>
    <t>Sadique Siddique</t>
  </si>
  <si>
    <t>18-12-2021</t>
  </si>
  <si>
    <t>A047053418</t>
  </si>
  <si>
    <t>Loso Hansda</t>
  </si>
  <si>
    <t>17/03/1985</t>
  </si>
  <si>
    <t>Q004749327</t>
  </si>
  <si>
    <t>Prabir Kumar Das</t>
  </si>
  <si>
    <t>15-03-1956</t>
  </si>
  <si>
    <t>not applied because of DOB</t>
  </si>
  <si>
    <t>A046826462</t>
  </si>
  <si>
    <t>Muskan Kumari</t>
  </si>
  <si>
    <t>25-03-2003</t>
  </si>
  <si>
    <t>14-12-2021</t>
  </si>
  <si>
    <t>15-12-2021</t>
  </si>
  <si>
    <t>A046826453</t>
  </si>
  <si>
    <t>Rahul Deep</t>
  </si>
  <si>
    <t>03-06-202</t>
  </si>
  <si>
    <t>05-07-1998</t>
  </si>
  <si>
    <t>A046826440</t>
  </si>
  <si>
    <t xml:space="preserve">Shailendra Kumar Sharma </t>
  </si>
  <si>
    <t>05-07-2003</t>
  </si>
  <si>
    <t xml:space="preserve"> A046826416</t>
  </si>
  <si>
    <t xml:space="preserve">Sahil Kumar </t>
  </si>
  <si>
    <t>09-12-2003</t>
  </si>
  <si>
    <t>Q004749332</t>
  </si>
  <si>
    <t xml:space="preserve">Moni Kumari </t>
  </si>
  <si>
    <t>A046826428</t>
  </si>
  <si>
    <t>Kamaldeep</t>
  </si>
  <si>
    <t>21-11-2003</t>
  </si>
  <si>
    <t>A0468264487</t>
  </si>
  <si>
    <t>Mamata Mandal</t>
  </si>
  <si>
    <t>13-10-1995</t>
  </si>
  <si>
    <t>A046826465</t>
  </si>
  <si>
    <t xml:space="preserve">Pallavi Joshi </t>
  </si>
  <si>
    <t>20-07-2001</t>
  </si>
  <si>
    <t>Prabhas Kumar Das</t>
  </si>
  <si>
    <t>15/03/1956</t>
  </si>
  <si>
    <t>A046762255</t>
  </si>
  <si>
    <t>Jhalki Devi</t>
  </si>
  <si>
    <t>01/01/1967</t>
  </si>
  <si>
    <t>A046826500</t>
  </si>
  <si>
    <t>Girish Sharma</t>
  </si>
  <si>
    <t>12/03/1986</t>
  </si>
  <si>
    <t>A046826476</t>
  </si>
  <si>
    <t>Mangal Machhuwa</t>
  </si>
  <si>
    <t>01/01/1961</t>
  </si>
  <si>
    <t>A049944671</t>
  </si>
  <si>
    <t>Ritu Giri</t>
  </si>
  <si>
    <t>02-10-2001</t>
  </si>
  <si>
    <t>A046944034</t>
  </si>
  <si>
    <t>Farahana</t>
  </si>
  <si>
    <t>01-01-1988</t>
  </si>
  <si>
    <t>A046943703</t>
  </si>
  <si>
    <t>Laltika Bhakat</t>
  </si>
  <si>
    <t>16-12-2021</t>
  </si>
  <si>
    <t>A046943473</t>
  </si>
  <si>
    <t>Jyotsna Bhagat</t>
  </si>
  <si>
    <t>31/12/1959</t>
  </si>
  <si>
    <t>A046943091</t>
  </si>
  <si>
    <t>Binita Gorai</t>
  </si>
  <si>
    <t>Q004772595</t>
  </si>
  <si>
    <t>Ajay  Kumar</t>
  </si>
  <si>
    <t>31-10-1968</t>
  </si>
  <si>
    <t>A046991598</t>
  </si>
  <si>
    <t xml:space="preserve">Punam Devi </t>
  </si>
  <si>
    <t>05-09-1985</t>
  </si>
  <si>
    <t>17-12-2021</t>
  </si>
  <si>
    <t>A047001547</t>
  </si>
  <si>
    <t>Bikash  Sahu</t>
  </si>
  <si>
    <t>11-11-2003</t>
  </si>
  <si>
    <t>A047002319</t>
  </si>
  <si>
    <t>Anurag  Mishra</t>
  </si>
  <si>
    <t>03-09-2003</t>
  </si>
  <si>
    <t>paid</t>
  </si>
  <si>
    <t>Goutam Prasad Banerjee</t>
  </si>
  <si>
    <t>Voter</t>
  </si>
  <si>
    <t>A047049851</t>
  </si>
  <si>
    <t>Shilpa Laha</t>
  </si>
  <si>
    <t>04-08-1999</t>
  </si>
  <si>
    <t>19-12-2021</t>
  </si>
  <si>
    <t>Ajay kumar Giri</t>
  </si>
  <si>
    <t>04-04-1974</t>
  </si>
  <si>
    <t>Loso  Hansda</t>
  </si>
  <si>
    <t>20-12-2021</t>
  </si>
  <si>
    <t>A047049633</t>
  </si>
  <si>
    <t>Sarita Kumari</t>
  </si>
  <si>
    <t>05-07-1997</t>
  </si>
  <si>
    <t>A047048679</t>
  </si>
  <si>
    <t>sourav kumar das</t>
  </si>
  <si>
    <t>28-11-2000</t>
  </si>
  <si>
    <t>A047050001</t>
  </si>
  <si>
    <t>Prabhat Barik</t>
  </si>
  <si>
    <t>03-03-1999</t>
  </si>
  <si>
    <t>Q004792279</t>
  </si>
  <si>
    <t>Satendra Kumar Choudhary</t>
  </si>
  <si>
    <t>05-01-1976</t>
  </si>
  <si>
    <t>22-10-2021</t>
  </si>
  <si>
    <t>A047140292</t>
  </si>
  <si>
    <t>Anurag Kumar</t>
  </si>
  <si>
    <t>10-08-2006</t>
  </si>
  <si>
    <t>A047135053</t>
  </si>
  <si>
    <t>Sayan Bhadra</t>
  </si>
  <si>
    <t>14-05-2000</t>
  </si>
  <si>
    <t>A047135859</t>
  </si>
  <si>
    <t>Zulekha Khatoon</t>
  </si>
  <si>
    <t>04-01-1992</t>
  </si>
  <si>
    <t>Q004792633</t>
  </si>
  <si>
    <t>Mantu Mahato</t>
  </si>
  <si>
    <t>10-04-1989</t>
  </si>
  <si>
    <t>A047141352</t>
  </si>
  <si>
    <t>15-11-1986</t>
  </si>
  <si>
    <t>A047140924</t>
  </si>
  <si>
    <t>Munmun Sahu</t>
  </si>
  <si>
    <t>15-05-1993</t>
  </si>
  <si>
    <t>Q004814696</t>
  </si>
  <si>
    <t>Binay Kumra Singh</t>
  </si>
  <si>
    <t>25-10-1983</t>
  </si>
  <si>
    <t>24-12-2021</t>
  </si>
  <si>
    <t>Q004824327</t>
  </si>
  <si>
    <t>Anuradha Singh</t>
  </si>
  <si>
    <t>18-10-1996</t>
  </si>
  <si>
    <t>26-12-2021</t>
  </si>
  <si>
    <t>jsranu0000@g</t>
  </si>
  <si>
    <t>A047386596</t>
  </si>
  <si>
    <t>Bharti Mahato</t>
  </si>
  <si>
    <t>10-08-1991</t>
  </si>
  <si>
    <t>A047385367</t>
  </si>
  <si>
    <t>Binita Singh</t>
  </si>
  <si>
    <t>16-07-1984</t>
  </si>
  <si>
    <t>A047380990</t>
  </si>
  <si>
    <t>Rochita Sharma</t>
  </si>
  <si>
    <t>rochitasharma1@g</t>
  </si>
  <si>
    <t>A047387116</t>
  </si>
  <si>
    <t>Naghma Perween</t>
  </si>
  <si>
    <t>01-01-1998</t>
  </si>
  <si>
    <t>atharkhan10009@gmail.com</t>
  </si>
  <si>
    <t>A047311933</t>
  </si>
  <si>
    <t>Mohammad Tabish Hayat</t>
  </si>
  <si>
    <t>20-05-2005</t>
  </si>
  <si>
    <t>mohammadhayat35352@g</t>
  </si>
  <si>
    <t>A047476285</t>
  </si>
  <si>
    <t>Aliza Neha Tirkey</t>
  </si>
  <si>
    <t>10/10/1999</t>
  </si>
  <si>
    <t>28-12-2021</t>
  </si>
  <si>
    <t>A047474918</t>
  </si>
  <si>
    <t>Singomani Saren</t>
  </si>
  <si>
    <t>01/01/1962</t>
  </si>
  <si>
    <t>A047474035</t>
  </si>
  <si>
    <t>Priyanaka Kumari</t>
  </si>
  <si>
    <t>23/12/2000</t>
  </si>
  <si>
    <t>A047500586</t>
  </si>
  <si>
    <t xml:space="preserve">Natwar  Munda </t>
  </si>
  <si>
    <t>20/03/1976</t>
  </si>
  <si>
    <t>A047501815</t>
  </si>
  <si>
    <t xml:space="preserve">Satish  Sardar </t>
  </si>
  <si>
    <t>10/02/1985</t>
  </si>
  <si>
    <t>A047501043</t>
  </si>
  <si>
    <t>Sarita  Mahato</t>
  </si>
  <si>
    <t>15/12/2002</t>
  </si>
  <si>
    <t>self adress</t>
  </si>
  <si>
    <t>A047524498</t>
  </si>
  <si>
    <t>Jaleshwari Nayak</t>
  </si>
  <si>
    <t>29-12-2021</t>
  </si>
  <si>
    <t>Q004845118</t>
  </si>
  <si>
    <t>Prashant Kumar barik</t>
  </si>
  <si>
    <t>28-12-1964</t>
  </si>
  <si>
    <t>A047555803</t>
  </si>
  <si>
    <t>Prya Kumari</t>
  </si>
  <si>
    <t>23/04/2002</t>
  </si>
  <si>
    <t>31-12-2021</t>
  </si>
  <si>
    <t>A047618039</t>
  </si>
  <si>
    <t>Krishna Kant Singh</t>
  </si>
  <si>
    <t>11/07/1942</t>
  </si>
  <si>
    <t>Q004858716</t>
  </si>
  <si>
    <t>PROBIR BAGCHI</t>
  </si>
  <si>
    <t>11/07/1998</t>
  </si>
  <si>
    <t>A047617495</t>
  </si>
  <si>
    <t>Sourav Kumar</t>
  </si>
  <si>
    <t>Q004848992</t>
  </si>
  <si>
    <t>Amarnath Tiwary</t>
  </si>
  <si>
    <t>15/01/1991</t>
  </si>
  <si>
    <t>A047548777</t>
  </si>
  <si>
    <t>03-03-2001</t>
  </si>
  <si>
    <t>monugorai2001@gmail.com</t>
  </si>
  <si>
    <t>A047692180</t>
  </si>
  <si>
    <t>Akshat Raj Singh</t>
  </si>
  <si>
    <t>25-12-2003</t>
  </si>
  <si>
    <t>Q004865794</t>
  </si>
  <si>
    <t>FIROZ ALAM</t>
  </si>
  <si>
    <t>Q004870573</t>
  </si>
  <si>
    <t>Vandana Verma</t>
  </si>
  <si>
    <t>03-03-1990</t>
  </si>
  <si>
    <t>03-01-2022</t>
  </si>
  <si>
    <t>Q004872403</t>
  </si>
  <si>
    <t>Manok Kumar</t>
  </si>
  <si>
    <t>10-08-1975</t>
  </si>
  <si>
    <t>A047742768</t>
  </si>
  <si>
    <t>06-12-2003</t>
  </si>
  <si>
    <t>A047741755</t>
  </si>
  <si>
    <t>Apurva Das</t>
  </si>
  <si>
    <t>A047740218</t>
  </si>
  <si>
    <t>Narendra Pandey</t>
  </si>
  <si>
    <t>A047865166</t>
  </si>
  <si>
    <t>Naina Devi</t>
  </si>
  <si>
    <t>06/10/1984</t>
  </si>
  <si>
    <t>04-01-2022</t>
  </si>
  <si>
    <t>05-01-2022</t>
  </si>
  <si>
    <t>A047741117</t>
  </si>
  <si>
    <t>AAFIA PERWEEN</t>
  </si>
  <si>
    <t>25-02-2002</t>
  </si>
  <si>
    <t>A047827365</t>
  </si>
  <si>
    <t>Sabita Devi</t>
  </si>
  <si>
    <t>A047823551</t>
  </si>
  <si>
    <t>Anju Singh Modak</t>
  </si>
  <si>
    <t>15-05-1994</t>
  </si>
  <si>
    <t>A047860427</t>
  </si>
  <si>
    <t>Nehal Kumar Pandey</t>
  </si>
  <si>
    <t>19/06/2003</t>
  </si>
  <si>
    <t>Q004897027</t>
  </si>
  <si>
    <t>Mamta Tiwari</t>
  </si>
  <si>
    <t>11-06-1979</t>
  </si>
  <si>
    <t>07-01-2022</t>
  </si>
  <si>
    <t>Q004896918</t>
  </si>
  <si>
    <t>Abhishek Tiwary</t>
  </si>
  <si>
    <t>16-08-2000</t>
  </si>
  <si>
    <t>Q004885781</t>
  </si>
  <si>
    <t>Kiran Kour</t>
  </si>
  <si>
    <t>24-01-1994</t>
  </si>
  <si>
    <t>A048050540</t>
  </si>
  <si>
    <t>Anamika Kumari</t>
  </si>
  <si>
    <t>18-11-2002</t>
  </si>
  <si>
    <t>A048052787</t>
  </si>
  <si>
    <t>Bandana Devi</t>
  </si>
  <si>
    <t>03-01-1986</t>
  </si>
  <si>
    <t>A048074585</t>
  </si>
  <si>
    <t>Gourav Kumar Das</t>
  </si>
  <si>
    <t>29-01-2003</t>
  </si>
  <si>
    <t>08-01-2022</t>
  </si>
  <si>
    <t>A048069456</t>
  </si>
  <si>
    <t>Jyoti Pathak</t>
  </si>
  <si>
    <t>10-08-2000</t>
  </si>
  <si>
    <t>A048075946</t>
  </si>
  <si>
    <t>Shoaib Alam</t>
  </si>
  <si>
    <t>20-12-2002</t>
  </si>
  <si>
    <t>a048089981</t>
  </si>
  <si>
    <t>Humaira Shoaib</t>
  </si>
  <si>
    <t>10-12-1982</t>
  </si>
  <si>
    <t>humairashoaib@g</t>
  </si>
  <si>
    <t>Q004912161</t>
  </si>
  <si>
    <t>Supriya</t>
  </si>
  <si>
    <t>12-01-1963</t>
  </si>
  <si>
    <t>Q004908578</t>
  </si>
  <si>
    <t>Ankita Prasad</t>
  </si>
  <si>
    <t>10-11-1991</t>
  </si>
  <si>
    <t>09-01-2022</t>
  </si>
  <si>
    <t>A048387006</t>
  </si>
  <si>
    <t>12-12-1994</t>
  </si>
  <si>
    <t>12-01-2022</t>
  </si>
  <si>
    <t>A048386641</t>
  </si>
  <si>
    <t>01-01-192</t>
  </si>
  <si>
    <t>A048408671</t>
  </si>
  <si>
    <t>Mono Sandil</t>
  </si>
  <si>
    <t>05-05-2002</t>
  </si>
  <si>
    <t>13-01-2022</t>
  </si>
  <si>
    <t>sonysandil993@g</t>
  </si>
  <si>
    <t>A048463903</t>
  </si>
  <si>
    <t>Zainab Imtyaz</t>
  </si>
  <si>
    <t>29-04-1997</t>
  </si>
  <si>
    <t>14-01-2022</t>
  </si>
  <si>
    <t>zainab.imtyaz@g</t>
  </si>
  <si>
    <t>Q004953486</t>
  </si>
  <si>
    <t>Mamta Singh</t>
  </si>
  <si>
    <t>06-05-1977</t>
  </si>
  <si>
    <t>A048503193</t>
  </si>
  <si>
    <t>Mita Guru</t>
  </si>
  <si>
    <t>A048518452</t>
  </si>
  <si>
    <t>Meenu Kumari</t>
  </si>
  <si>
    <t>07-10-1994</t>
  </si>
  <si>
    <t>15-01-2022</t>
  </si>
  <si>
    <t>sandeepgaur68@g</t>
  </si>
  <si>
    <t>Q004953904</t>
  </si>
  <si>
    <t>Pieu Mallick</t>
  </si>
  <si>
    <t>15-01-1987</t>
  </si>
  <si>
    <t>kunduravi42@g</t>
  </si>
  <si>
    <t>Q004965612</t>
  </si>
  <si>
    <t>Gouri Devi</t>
  </si>
  <si>
    <t>06-05-1975</t>
  </si>
  <si>
    <t>16-01-2022</t>
  </si>
  <si>
    <t>narayan.kumar@g</t>
  </si>
  <si>
    <t>A048575751</t>
  </si>
  <si>
    <t>Prashant Gupta</t>
  </si>
  <si>
    <t>A048637193</t>
  </si>
  <si>
    <t>Kumar Satyam</t>
  </si>
  <si>
    <t>11-10-2007</t>
  </si>
  <si>
    <t>17-01-2022</t>
  </si>
  <si>
    <t>A048638877</t>
  </si>
  <si>
    <t>Abhinav Kumar</t>
  </si>
  <si>
    <t>17-12-2001</t>
  </si>
  <si>
    <t>abkr1712@g</t>
  </si>
  <si>
    <t>A048640429</t>
  </si>
  <si>
    <t>Sudhir Kumar</t>
  </si>
  <si>
    <t>01-01-2002</t>
  </si>
  <si>
    <t>sudhirkumar787027@g</t>
  </si>
  <si>
    <t>Q004975838</t>
  </si>
  <si>
    <t>23-12-2000</t>
  </si>
  <si>
    <t>archanakumari0657@g</t>
  </si>
  <si>
    <t>A048631033</t>
  </si>
  <si>
    <t>Dulali Manjhi</t>
  </si>
  <si>
    <t>A048686494</t>
  </si>
  <si>
    <t>Ravi Kumar</t>
  </si>
  <si>
    <t>27-02-2002</t>
  </si>
  <si>
    <t>18-01-2022</t>
  </si>
  <si>
    <t>A048735751</t>
  </si>
  <si>
    <t>Kishlay Verma</t>
  </si>
  <si>
    <t>15-06-1999</t>
  </si>
  <si>
    <t>19-01-2022</t>
  </si>
  <si>
    <t>kishlayverma1234@g</t>
  </si>
  <si>
    <t>A048750367</t>
  </si>
  <si>
    <t>Kanti Devi</t>
  </si>
  <si>
    <t>30-05-1966</t>
  </si>
  <si>
    <t>A048808026</t>
  </si>
  <si>
    <t>Reshma bano</t>
  </si>
  <si>
    <t>16-07-1987</t>
  </si>
  <si>
    <t>20-01-2022</t>
  </si>
  <si>
    <t>A048858359</t>
  </si>
  <si>
    <t>Pankaj Kumar Mahato</t>
  </si>
  <si>
    <t>04-08-1993</t>
  </si>
  <si>
    <t>21-01-2022</t>
  </si>
  <si>
    <t>A048852586</t>
  </si>
  <si>
    <t>Sourav Mazumdar</t>
  </si>
  <si>
    <t>20-04-2000</t>
  </si>
  <si>
    <t>Q005001862</t>
  </si>
  <si>
    <t>Rinky Kumari</t>
  </si>
  <si>
    <t>09-07-1987</t>
  </si>
  <si>
    <t>Q005002301</t>
  </si>
  <si>
    <t>Firdousi Begum</t>
  </si>
  <si>
    <t>15-10-1978</t>
  </si>
  <si>
    <t>A048920718</t>
  </si>
  <si>
    <t>Rohit Kumar</t>
  </si>
  <si>
    <t>30-12-2003</t>
  </si>
  <si>
    <t>22-01-2022</t>
  </si>
  <si>
    <t>rohit.choudhary.jsr15@g</t>
  </si>
  <si>
    <t>Q004917088</t>
  </si>
  <si>
    <t>06-04-2003</t>
  </si>
  <si>
    <t>Q004953846</t>
  </si>
  <si>
    <t>A049007581</t>
  </si>
  <si>
    <t>Rahul Barua</t>
  </si>
  <si>
    <t>15-05-2002</t>
  </si>
  <si>
    <t>24-01-2022</t>
  </si>
  <si>
    <t>due 20</t>
  </si>
  <si>
    <t>A049008721</t>
  </si>
  <si>
    <t>Ajay Sabar</t>
  </si>
  <si>
    <t>01-01-1999</t>
  </si>
  <si>
    <t>A049009426</t>
  </si>
  <si>
    <t>Anju Pandey</t>
  </si>
  <si>
    <t>22-11-1999</t>
  </si>
  <si>
    <t>A49076394</t>
  </si>
  <si>
    <t>Jaibun Nisha</t>
  </si>
  <si>
    <t>01-07-1964</t>
  </si>
  <si>
    <t>26-01-2022</t>
  </si>
  <si>
    <t>Q005034439</t>
  </si>
  <si>
    <t>Shrabani Gorai</t>
  </si>
  <si>
    <t>09-08-1994</t>
  </si>
  <si>
    <t>Q005052550</t>
  </si>
  <si>
    <t>Sanjay Kumar</t>
  </si>
  <si>
    <t>25-10-1979</t>
  </si>
  <si>
    <t>28-01-2022</t>
  </si>
  <si>
    <t>A049205555</t>
  </si>
  <si>
    <t>Joy Shalu</t>
  </si>
  <si>
    <t>16-09-2002</t>
  </si>
  <si>
    <t>A049206366</t>
  </si>
  <si>
    <t>13-05-1981</t>
  </si>
  <si>
    <t>A049228115</t>
  </si>
  <si>
    <t>31-12-2003</t>
  </si>
  <si>
    <t>A049283600</t>
  </si>
  <si>
    <t>Yash Kamal</t>
  </si>
  <si>
    <t>21-11-2002</t>
  </si>
  <si>
    <t>29-01-2022</t>
  </si>
  <si>
    <t>Q004737788</t>
  </si>
  <si>
    <t>ANDRIAS AIND</t>
  </si>
  <si>
    <t>11-12-2021</t>
  </si>
  <si>
    <t>A049345055</t>
  </si>
  <si>
    <t>Joba Purti</t>
  </si>
  <si>
    <t>31-01-20222</t>
  </si>
  <si>
    <t>A049398479</t>
  </si>
  <si>
    <t>Nitu Mukhi</t>
  </si>
  <si>
    <t>15-10-1992</t>
  </si>
  <si>
    <t>01-02-2022</t>
  </si>
  <si>
    <t>A049488627</t>
  </si>
  <si>
    <t>Mangura Gorai</t>
  </si>
  <si>
    <t>01-01-1991</t>
  </si>
  <si>
    <t>02-02-2022</t>
  </si>
  <si>
    <t>DUBPG5419K</t>
  </si>
  <si>
    <t>A049494239</t>
  </si>
  <si>
    <t>Manprit Kour</t>
  </si>
  <si>
    <t>26-10-1993</t>
  </si>
  <si>
    <t>A049588833</t>
  </si>
  <si>
    <t>Basanati Lakra</t>
  </si>
  <si>
    <t>20-12-1991</t>
  </si>
  <si>
    <t>04-02-2022</t>
  </si>
  <si>
    <t>A049650589</t>
  </si>
  <si>
    <t>Soni Gupta</t>
  </si>
  <si>
    <t>18-07-2003</t>
  </si>
  <si>
    <t>06-02-2022</t>
  </si>
  <si>
    <t>AT comport</t>
  </si>
  <si>
    <t>A049692818</t>
  </si>
  <si>
    <t>19-06-1998</t>
  </si>
  <si>
    <t>07-02-2022</t>
  </si>
  <si>
    <t>A049822361</t>
  </si>
  <si>
    <t>Richa Kumari</t>
  </si>
  <si>
    <t>19-04-2001</t>
  </si>
  <si>
    <t>09-02-2022</t>
  </si>
  <si>
    <t>Q005148859</t>
  </si>
  <si>
    <t>Rama Kanta Sahoo</t>
  </si>
  <si>
    <t>22-11-1963</t>
  </si>
  <si>
    <t>10-02-2022</t>
  </si>
  <si>
    <t>10-00-2022</t>
  </si>
  <si>
    <t>A049840131</t>
  </si>
  <si>
    <t>Biraj Purti</t>
  </si>
  <si>
    <t>10-12-2000</t>
  </si>
  <si>
    <t>A049834320</t>
  </si>
  <si>
    <t>jayanti sahoo</t>
  </si>
  <si>
    <t>05-07-1974</t>
  </si>
  <si>
    <t>A049831847</t>
  </si>
  <si>
    <t>Bijeta Kumari</t>
  </si>
  <si>
    <t>02-01-1997</t>
  </si>
  <si>
    <t>A049871081</t>
  </si>
  <si>
    <t>Rohit kumar Singh</t>
  </si>
  <si>
    <t>03-05-2002</t>
  </si>
  <si>
    <t>A049897540</t>
  </si>
  <si>
    <t>Puja Kumari</t>
  </si>
  <si>
    <t>11-02-2022</t>
  </si>
  <si>
    <t>Q005161006</t>
  </si>
  <si>
    <t>Raju Kumar Singh</t>
  </si>
  <si>
    <t>06-02-1986</t>
  </si>
  <si>
    <t>Q005161350</t>
  </si>
  <si>
    <t>anil Murmu</t>
  </si>
  <si>
    <t>21-01-1991</t>
  </si>
  <si>
    <t>A049981771</t>
  </si>
  <si>
    <t>Manas Kumar Singh</t>
  </si>
  <si>
    <t>23-09-2002</t>
  </si>
  <si>
    <t>12-02-2022</t>
  </si>
  <si>
    <t>A050032341</t>
  </si>
  <si>
    <t>Basanti Suren</t>
  </si>
  <si>
    <t>05-08-1995</t>
  </si>
  <si>
    <t>14-02-2022</t>
  </si>
  <si>
    <t>A050044278</t>
  </si>
  <si>
    <t>Urmila Solanki</t>
  </si>
  <si>
    <t>01-09-1990</t>
  </si>
  <si>
    <t>Q005179722</t>
  </si>
  <si>
    <t>Anjali Singh</t>
  </si>
  <si>
    <t>07-02-2002</t>
  </si>
  <si>
    <t>Q005183778</t>
  </si>
  <si>
    <t>Sukhbir Singh Mandal</t>
  </si>
  <si>
    <t>15-02-2022</t>
  </si>
  <si>
    <t>A050091776</t>
  </si>
  <si>
    <t>Rohit Kumar Singh</t>
  </si>
  <si>
    <t>05-06-2003</t>
  </si>
  <si>
    <t>Q005185264</t>
  </si>
  <si>
    <t>Rajesh Kumar Updhyay</t>
  </si>
  <si>
    <t>12-11-1987</t>
  </si>
  <si>
    <t>A050113264</t>
  </si>
  <si>
    <t>Shruti Kumari</t>
  </si>
  <si>
    <t>Q005190735</t>
  </si>
  <si>
    <t>Tileshwari Devi</t>
  </si>
  <si>
    <t>04-03-1951</t>
  </si>
  <si>
    <t>16-02-2022</t>
  </si>
  <si>
    <t>A050182571</t>
  </si>
  <si>
    <t>Edupilli Soumya</t>
  </si>
  <si>
    <t>09-07-2002</t>
  </si>
  <si>
    <t>17-02-2022</t>
  </si>
  <si>
    <t>A050192686</t>
  </si>
  <si>
    <t>Sunil Kumar</t>
  </si>
  <si>
    <t>15-06-1987</t>
  </si>
  <si>
    <t>A050200908</t>
  </si>
  <si>
    <t>Hena Naaz</t>
  </si>
  <si>
    <t>A050222636</t>
  </si>
  <si>
    <t>Ashman Karmakar</t>
  </si>
  <si>
    <t>03-04-1998</t>
  </si>
  <si>
    <t>Q050220842</t>
  </si>
  <si>
    <t>Sundara Mahato</t>
  </si>
  <si>
    <t>28-06-1974</t>
  </si>
  <si>
    <t>18-02-2022</t>
  </si>
  <si>
    <t>sanjay2</t>
  </si>
  <si>
    <t>A050245034</t>
  </si>
  <si>
    <t>12-04-2003</t>
  </si>
  <si>
    <t>Q005208835</t>
  </si>
  <si>
    <t>Manoj Sahoo</t>
  </si>
  <si>
    <t>23-03-1997</t>
  </si>
  <si>
    <t>A050262570</t>
  </si>
  <si>
    <t>Rachit Sharma</t>
  </si>
  <si>
    <t>18-11-2003</t>
  </si>
  <si>
    <t>A050269618</t>
  </si>
  <si>
    <t>Ramesh Vishwakarma</t>
  </si>
  <si>
    <t>03-03-1976</t>
  </si>
  <si>
    <t>A050268957</t>
  </si>
  <si>
    <t>Pammi Devi</t>
  </si>
  <si>
    <t>A050307163</t>
  </si>
  <si>
    <t>Babita Devi</t>
  </si>
  <si>
    <t>19-02-2022</t>
  </si>
  <si>
    <t>Q005193361</t>
  </si>
  <si>
    <t>19-01-1968</t>
  </si>
  <si>
    <t>20-02-2022</t>
  </si>
  <si>
    <t>Q005225831</t>
  </si>
  <si>
    <t>Babita Kumari Singh</t>
  </si>
  <si>
    <t>05-01-1978</t>
  </si>
  <si>
    <t>A050427835</t>
  </si>
  <si>
    <t>31-01-2004</t>
  </si>
  <si>
    <t>22-02-2022</t>
  </si>
  <si>
    <t>A050452570</t>
  </si>
  <si>
    <t>Momina Parveen</t>
  </si>
  <si>
    <t>23-11-1962</t>
  </si>
  <si>
    <t>23-02-2022</t>
  </si>
  <si>
    <t>A050479460</t>
  </si>
  <si>
    <t>08-03-2001</t>
  </si>
  <si>
    <t>A050494262</t>
  </si>
  <si>
    <t>Ajoy Kumar Giri</t>
  </si>
  <si>
    <t>24-02-2022</t>
  </si>
  <si>
    <t>A050524825</t>
  </si>
  <si>
    <t>Nitu Devi</t>
  </si>
  <si>
    <t>A050526557</t>
  </si>
  <si>
    <t>Bharti Munda</t>
  </si>
  <si>
    <t>A050529491</t>
  </si>
  <si>
    <t>Vidyawati Devi</t>
  </si>
  <si>
    <t>01-01-1966</t>
  </si>
  <si>
    <t>Q005253334</t>
  </si>
  <si>
    <t>Rina Dey</t>
  </si>
  <si>
    <t>25-02-2022</t>
  </si>
  <si>
    <t>Q005261618</t>
  </si>
  <si>
    <t>Balahari Das</t>
  </si>
  <si>
    <t>01-01-1951</t>
  </si>
  <si>
    <t>26-02-2022</t>
  </si>
  <si>
    <t>A050633294</t>
  </si>
  <si>
    <t>Bhimsen Karmakar</t>
  </si>
  <si>
    <t>18-07-1966</t>
  </si>
  <si>
    <t>Q005264959</t>
  </si>
  <si>
    <t>09-02-1992</t>
  </si>
  <si>
    <t>Q005267453</t>
  </si>
  <si>
    <t>Majid Equbal Akhtar</t>
  </si>
  <si>
    <t>26-07-1995</t>
  </si>
  <si>
    <t>27-02-2022</t>
  </si>
  <si>
    <t>Q005268153</t>
  </si>
  <si>
    <t>Musarrat Bano</t>
  </si>
  <si>
    <t>22-03-1976</t>
  </si>
  <si>
    <t>A050654542</t>
  </si>
  <si>
    <t>Abdul Quadir</t>
  </si>
  <si>
    <t>13-05-2001</t>
  </si>
  <si>
    <t>A050668687</t>
  </si>
  <si>
    <t>Nikhil Kumar Soni</t>
  </si>
  <si>
    <t>17-12-2003</t>
  </si>
  <si>
    <t>A050850927</t>
  </si>
  <si>
    <t>Meena Gorai</t>
  </si>
  <si>
    <t>13-03-1990</t>
  </si>
  <si>
    <t>03-04-2022</t>
  </si>
  <si>
    <t>A050895488</t>
  </si>
  <si>
    <t>Ashfiya Zubair</t>
  </si>
  <si>
    <t>08-05-2003</t>
  </si>
  <si>
    <t>04-03-2022</t>
  </si>
  <si>
    <t>Q005303183</t>
  </si>
  <si>
    <t>Zuber Alam</t>
  </si>
  <si>
    <t>13-12-1969</t>
  </si>
  <si>
    <t>Q005307299</t>
  </si>
  <si>
    <t>Roselin Toppo</t>
  </si>
  <si>
    <t>01-04-1972</t>
  </si>
  <si>
    <t>05-03-2022</t>
  </si>
  <si>
    <t>A051008487</t>
  </si>
  <si>
    <t>Kamla Devi</t>
  </si>
  <si>
    <t>01-01-1972</t>
  </si>
  <si>
    <t>07-03-2022</t>
  </si>
  <si>
    <t>A051026768</t>
  </si>
  <si>
    <t>Jyoti Verma</t>
  </si>
  <si>
    <t>25-07-2000</t>
  </si>
  <si>
    <t>Q005308390</t>
  </si>
  <si>
    <t>Dennis Sharang Willam</t>
  </si>
  <si>
    <t>27-02-1995</t>
  </si>
  <si>
    <t>08-03-2022</t>
  </si>
  <si>
    <t>A051076838</t>
  </si>
  <si>
    <t>Priyam Mani</t>
  </si>
  <si>
    <t>03-10-2003</t>
  </si>
  <si>
    <t>A051051891</t>
  </si>
  <si>
    <t>Kakuli Bhakat</t>
  </si>
  <si>
    <t>17-08-2000</t>
  </si>
  <si>
    <t>Q005334303</t>
  </si>
  <si>
    <t>Awdhesh kumar Bharti</t>
  </si>
  <si>
    <t>05-05-1979</t>
  </si>
  <si>
    <t>09-03-2022</t>
  </si>
  <si>
    <t>A051128162</t>
  </si>
  <si>
    <t>Kalyani Mishra</t>
  </si>
  <si>
    <t>Q005349841</t>
  </si>
  <si>
    <t>Pradeep Kumar Sharma</t>
  </si>
  <si>
    <t>16-04-1981</t>
  </si>
  <si>
    <t>11-03-2022</t>
  </si>
  <si>
    <t>A051206873</t>
  </si>
  <si>
    <t>Rashmi</t>
  </si>
  <si>
    <t>22-02-1980</t>
  </si>
  <si>
    <t>A051185801</t>
  </si>
  <si>
    <t>Saida Khatun</t>
  </si>
  <si>
    <t>15-06-1972</t>
  </si>
  <si>
    <t>10-03-2022</t>
  </si>
  <si>
    <t>Q005339588</t>
  </si>
  <si>
    <t>Maloy Kumar Dey</t>
  </si>
  <si>
    <t>17-11-1973</t>
  </si>
  <si>
    <t>A051341391</t>
  </si>
  <si>
    <t>Shvam Kumar</t>
  </si>
  <si>
    <t>14-05-2004</t>
  </si>
  <si>
    <t>14-03-2022</t>
  </si>
  <si>
    <t>A051323110</t>
  </si>
  <si>
    <t>Aman Verma</t>
  </si>
  <si>
    <t>16-09-2003</t>
  </si>
  <si>
    <t>A051290298</t>
  </si>
  <si>
    <t>Abhinav Nishith</t>
  </si>
  <si>
    <t>06-07-2003</t>
  </si>
  <si>
    <t>A051342787</t>
  </si>
  <si>
    <t>Nazneen Khanam</t>
  </si>
  <si>
    <t>10-09-2002</t>
  </si>
  <si>
    <t>A051359165</t>
  </si>
  <si>
    <t>Krishna Bahadur</t>
  </si>
  <si>
    <t>30-06-1992</t>
  </si>
  <si>
    <t>A051362718</t>
  </si>
  <si>
    <t>Suchitra Mahato</t>
  </si>
  <si>
    <t>20-12-1989</t>
  </si>
  <si>
    <t>A051515236</t>
  </si>
  <si>
    <t>Ashish Singh</t>
  </si>
  <si>
    <t>11-11-2002</t>
  </si>
  <si>
    <t>18-03-2022</t>
  </si>
  <si>
    <t>A051611525</t>
  </si>
  <si>
    <t>Nitu Kumari Singh</t>
  </si>
  <si>
    <t>05-12-2001</t>
  </si>
  <si>
    <t>21-03-2022</t>
  </si>
  <si>
    <t>A051614030</t>
  </si>
  <si>
    <t>Manpreet Behal</t>
  </si>
  <si>
    <t>21-112002</t>
  </si>
  <si>
    <t>22-03-2022</t>
  </si>
  <si>
    <t>Q005399629</t>
  </si>
  <si>
    <t>Sucharita Sarangi</t>
  </si>
  <si>
    <t>21-06-1960</t>
  </si>
  <si>
    <t>Q005399683</t>
  </si>
  <si>
    <t>Kumar Sagar</t>
  </si>
  <si>
    <t>06-05-1998</t>
  </si>
  <si>
    <t>AC</t>
  </si>
  <si>
    <t>PURPOSE</t>
  </si>
  <si>
    <t>STATUS</t>
  </si>
  <si>
    <t>New Data to update</t>
  </si>
  <si>
    <t>ID</t>
  </si>
  <si>
    <t>Part/slr</t>
  </si>
  <si>
    <t>faisal Bakhsh</t>
  </si>
  <si>
    <t>Password</t>
  </si>
  <si>
    <t>OMW617666574</t>
  </si>
  <si>
    <t>Manoj Gupta</t>
  </si>
  <si>
    <t>name(abhishekh Kumar Jha)</t>
  </si>
  <si>
    <t>OXD320S03678</t>
  </si>
  <si>
    <t>LRV1311463</t>
  </si>
  <si>
    <t>148/394</t>
  </si>
  <si>
    <t>Amrita Kumari Nandi</t>
  </si>
  <si>
    <t xml:space="preserve">rejected </t>
  </si>
  <si>
    <t>OVR921697581</t>
  </si>
  <si>
    <t>LRV1674514</t>
  </si>
  <si>
    <t>Usha Rani nandi</t>
  </si>
  <si>
    <t>OQA722612811</t>
  </si>
  <si>
    <t>New</t>
  </si>
  <si>
    <t>BR/50/291/351090</t>
  </si>
  <si>
    <t>A K Pandey</t>
  </si>
  <si>
    <t>OQN517586876</t>
  </si>
  <si>
    <t>NAMe+DOB</t>
  </si>
  <si>
    <t>Radha Pada Pramanik</t>
  </si>
  <si>
    <t>ODI571248822</t>
  </si>
  <si>
    <t>pic=dob</t>
  </si>
  <si>
    <t>BR/50/290/723075</t>
  </si>
  <si>
    <t>323/674</t>
  </si>
  <si>
    <t>sanjay kumar</t>
  </si>
  <si>
    <t>OBK199219371</t>
  </si>
  <si>
    <t>Address</t>
  </si>
  <si>
    <t>LRV1463176</t>
  </si>
  <si>
    <t>M. Dutta</t>
  </si>
  <si>
    <t>OGQ402575405</t>
  </si>
  <si>
    <t>LRV1463200</t>
  </si>
  <si>
    <t>REJECT</t>
  </si>
  <si>
    <t>OBI053789054</t>
  </si>
  <si>
    <t>pic</t>
  </si>
  <si>
    <t>LRV6423974</t>
  </si>
  <si>
    <t>Saikat Chakraborty</t>
  </si>
  <si>
    <t>OOH392006124</t>
  </si>
  <si>
    <t>KQR7561970</t>
  </si>
  <si>
    <t>336/857</t>
  </si>
  <si>
    <t>OEF047931272</t>
  </si>
  <si>
    <t>ph+ad+dob</t>
  </si>
  <si>
    <t>br/50/290/726463</t>
  </si>
  <si>
    <t>325/244</t>
  </si>
  <si>
    <t>Sanjay Ku Singh</t>
  </si>
  <si>
    <t>OTX467243917</t>
  </si>
  <si>
    <t>LRV6813851</t>
  </si>
  <si>
    <t>157/1078</t>
  </si>
  <si>
    <t>Adarsh Visesh</t>
  </si>
  <si>
    <t>myself</t>
  </si>
  <si>
    <t>OCD231971621</t>
  </si>
  <si>
    <t>KQR7516636</t>
  </si>
  <si>
    <t>318/947</t>
  </si>
  <si>
    <t>Akram Khan</t>
  </si>
  <si>
    <t>accepted</t>
  </si>
  <si>
    <t>OAU505497091</t>
  </si>
  <si>
    <t>PIC</t>
  </si>
  <si>
    <t>KQR7427495</t>
  </si>
  <si>
    <t>346/364</t>
  </si>
  <si>
    <t>Aditya Raj</t>
  </si>
  <si>
    <t>OOX032284335</t>
  </si>
  <si>
    <t>LRV5728803</t>
  </si>
  <si>
    <t>141/322</t>
  </si>
  <si>
    <t>Mandira Kumar</t>
  </si>
  <si>
    <t>new add-N-135/6(31-01-1958)</t>
  </si>
  <si>
    <t>OCO645191801</t>
  </si>
  <si>
    <t>LRV5728811</t>
  </si>
  <si>
    <t>141/323</t>
  </si>
  <si>
    <t>Pratap Kumar</t>
  </si>
  <si>
    <t>OEB614019992</t>
  </si>
  <si>
    <t>KQR7427503</t>
  </si>
  <si>
    <t>346/361</t>
  </si>
  <si>
    <t>Sunil kumar</t>
  </si>
  <si>
    <t>OOF148999777</t>
  </si>
  <si>
    <t>pic+dob</t>
  </si>
  <si>
    <t>KQR6500870</t>
  </si>
  <si>
    <t>325/246</t>
  </si>
  <si>
    <t>New-Zeenat Aman</t>
  </si>
  <si>
    <t>OYF036639238</t>
  </si>
  <si>
    <t>KQR6453344</t>
  </si>
  <si>
    <t>332/2</t>
  </si>
  <si>
    <t>Rajarshi Dutta</t>
  </si>
  <si>
    <t>OTT863425614</t>
  </si>
  <si>
    <t>name=dob</t>
  </si>
  <si>
    <t>KQR6453336</t>
  </si>
  <si>
    <t>332/788</t>
  </si>
  <si>
    <t>Ruby Duta</t>
  </si>
  <si>
    <t>OLF314649064</t>
  </si>
  <si>
    <t>LRV6809396</t>
  </si>
  <si>
    <t>Akshayt Vohra</t>
  </si>
  <si>
    <t>OKG160821997</t>
  </si>
  <si>
    <t>OY379579537</t>
  </si>
  <si>
    <t>ODH976297322</t>
  </si>
  <si>
    <t>pic+add+dob</t>
  </si>
  <si>
    <t>BR/50/290/723154</t>
  </si>
  <si>
    <t>323/672</t>
  </si>
  <si>
    <t>CHANDRAKALA</t>
  </si>
  <si>
    <t>OYY991700393</t>
  </si>
  <si>
    <t>BR/50/290/723156</t>
  </si>
  <si>
    <t>323/671</t>
  </si>
  <si>
    <t>Maa</t>
  </si>
  <si>
    <t>SUCCESS PRINT GIVEN</t>
  </si>
  <si>
    <t>OFB117569082</t>
  </si>
  <si>
    <t>BR/50/290/723317</t>
  </si>
  <si>
    <t>323/677</t>
  </si>
  <si>
    <t>papa</t>
  </si>
  <si>
    <t>OJS911640331</t>
  </si>
  <si>
    <t>DOB</t>
  </si>
  <si>
    <t>KQR2302313</t>
  </si>
  <si>
    <t>319/207</t>
  </si>
  <si>
    <t>Nepal Paramanik</t>
  </si>
  <si>
    <t>OMA106886374</t>
  </si>
  <si>
    <t>new</t>
  </si>
  <si>
    <t>KQR7561947</t>
  </si>
  <si>
    <t>Amarnath Pandey</t>
  </si>
  <si>
    <t>OIY734383953</t>
  </si>
  <si>
    <t>LRV6679690</t>
  </si>
  <si>
    <t>124/1181</t>
  </si>
  <si>
    <t>Anindita Ghosal</t>
  </si>
  <si>
    <t>dloaded</t>
  </si>
  <si>
    <t>OGH086453433</t>
  </si>
  <si>
    <t>OIC032328536</t>
  </si>
  <si>
    <t>KQR7556806</t>
  </si>
  <si>
    <t>OMO962081425</t>
  </si>
  <si>
    <t>NEW</t>
  </si>
  <si>
    <t>Anupriya Soumita</t>
  </si>
  <si>
    <t>OSK348929646</t>
  </si>
  <si>
    <t>LRV6679500</t>
  </si>
  <si>
    <t>123/1207</t>
  </si>
  <si>
    <t>Ashim Kumar Ghoshal</t>
  </si>
  <si>
    <t>OLO179184984</t>
  </si>
  <si>
    <t>OAE706813191</t>
  </si>
  <si>
    <t>Name/Fname</t>
  </si>
  <si>
    <t>KQR3218369</t>
  </si>
  <si>
    <t>322/627</t>
  </si>
  <si>
    <t>Jyoti Sarkar</t>
  </si>
  <si>
    <t>ONM340093093</t>
  </si>
  <si>
    <t>KQR3218385</t>
  </si>
  <si>
    <t>322/625</t>
  </si>
  <si>
    <t>Rahul Sarkar</t>
  </si>
  <si>
    <t>Aniket Narayan &amp;Birendra Upadhyay</t>
  </si>
  <si>
    <t>OFP752274256</t>
  </si>
  <si>
    <t>KQR7556780</t>
  </si>
  <si>
    <t>Atul Kumar</t>
  </si>
  <si>
    <t>OGY367022663</t>
  </si>
  <si>
    <t>name+dob</t>
  </si>
  <si>
    <t>LRV6418040</t>
  </si>
  <si>
    <t>128/35</t>
  </si>
  <si>
    <t>Rounak Biswas</t>
  </si>
  <si>
    <t>OAN703529951</t>
  </si>
  <si>
    <t>Ayush Prajapati</t>
  </si>
  <si>
    <t>OHM594560418</t>
  </si>
  <si>
    <t>B Vasundhara</t>
  </si>
  <si>
    <t>OHH94101648</t>
  </si>
  <si>
    <t>LRV6265003</t>
  </si>
  <si>
    <t>157/905</t>
  </si>
  <si>
    <t>Abhishekh Kumar</t>
  </si>
  <si>
    <t>OYN451233988</t>
  </si>
  <si>
    <t>BR/50/291/342079</t>
  </si>
  <si>
    <t>157/945</t>
  </si>
  <si>
    <t>SUDHIRA JHA</t>
  </si>
  <si>
    <t>OFY041271372</t>
  </si>
  <si>
    <t>BR/50/291/342080</t>
  </si>
  <si>
    <t>157/944</t>
  </si>
  <si>
    <t>Vinay KM. Jha</t>
  </si>
  <si>
    <t>OWG453986068</t>
  </si>
  <si>
    <t>KQR7551757</t>
  </si>
  <si>
    <t>218/962</t>
  </si>
  <si>
    <t>KQR7002884</t>
  </si>
  <si>
    <t>ORF724543686</t>
  </si>
  <si>
    <t>booth change to telco</t>
  </si>
  <si>
    <t>LRV1440587</t>
  </si>
  <si>
    <t>58/391</t>
  </si>
  <si>
    <t>Ajay Kumar Tripathy</t>
  </si>
  <si>
    <t>OGY746701015</t>
  </si>
  <si>
    <t>LRV1436366</t>
  </si>
  <si>
    <t>58/659</t>
  </si>
  <si>
    <t>Annapurna Tripathy</t>
  </si>
  <si>
    <t>OBB582096704</t>
  </si>
  <si>
    <t>LRV1436374</t>
  </si>
  <si>
    <t>152/556</t>
  </si>
  <si>
    <t>Ashish Tripathi</t>
  </si>
  <si>
    <t>OEQ774164812</t>
  </si>
  <si>
    <t>Bheema Sankara Rao Dharba</t>
  </si>
  <si>
    <t>ODE775370262</t>
  </si>
  <si>
    <t>LRV6756233</t>
  </si>
  <si>
    <t>101/48</t>
  </si>
  <si>
    <t>ORB344214986</t>
  </si>
  <si>
    <t>name change</t>
  </si>
  <si>
    <t>KQR2252641</t>
  </si>
  <si>
    <t>Zeenat Begum</t>
  </si>
  <si>
    <t>OVK977914217</t>
  </si>
  <si>
    <t>ADDRESS</t>
  </si>
  <si>
    <t>KQR7045958</t>
  </si>
  <si>
    <t>344/330</t>
  </si>
  <si>
    <t>Gayatri Vishvakarma</t>
  </si>
  <si>
    <t>OFV584000111</t>
  </si>
  <si>
    <t>address</t>
  </si>
  <si>
    <t>KQR7045966</t>
  </si>
  <si>
    <t>344/670</t>
  </si>
  <si>
    <t>Mahendra Pd Vishwakarma</t>
  </si>
  <si>
    <t>OCP915121551</t>
  </si>
  <si>
    <t>KQR7448301</t>
  </si>
  <si>
    <t>344/642</t>
  </si>
  <si>
    <t>OIW340159753</t>
  </si>
  <si>
    <t>KQR7448483</t>
  </si>
  <si>
    <t>344/640</t>
  </si>
  <si>
    <t>Babita Gupta</t>
  </si>
  <si>
    <t>printed</t>
  </si>
  <si>
    <t>OET275156132</t>
  </si>
  <si>
    <t>KQR7448467</t>
  </si>
  <si>
    <t>344/641</t>
  </si>
  <si>
    <t>Prabhat Kumar</t>
  </si>
  <si>
    <t>OMW022711274</t>
  </si>
  <si>
    <t>KQR7561954</t>
  </si>
  <si>
    <t>Bina Pandey</t>
  </si>
  <si>
    <t>OGF992070802</t>
  </si>
  <si>
    <t>Chandana Dey</t>
  </si>
  <si>
    <t>ORR206546866</t>
  </si>
  <si>
    <t>name,dob(banerjee)</t>
  </si>
  <si>
    <t>LRV0339344</t>
  </si>
  <si>
    <t>Jagadish Banarji</t>
  </si>
  <si>
    <t>OWR571536068</t>
  </si>
  <si>
    <t>LRV0339351</t>
  </si>
  <si>
    <t>Prem Lata Kumari</t>
  </si>
  <si>
    <t>OUA687925327</t>
  </si>
  <si>
    <t>Address+booth48to47</t>
  </si>
  <si>
    <t>LRV1320296</t>
  </si>
  <si>
    <t>Bipul Dikshit</t>
  </si>
  <si>
    <t>OUS012765636</t>
  </si>
  <si>
    <t>LRV1320270</t>
  </si>
  <si>
    <t>Damyanti Dikshit</t>
  </si>
  <si>
    <t>OII675315693</t>
  </si>
  <si>
    <t>LRV1320262</t>
  </si>
  <si>
    <t>Shambhu nath Dikshit</t>
  </si>
  <si>
    <t>OBS589972074</t>
  </si>
  <si>
    <t>name/fname/dob</t>
  </si>
  <si>
    <t>MGK1924368</t>
  </si>
  <si>
    <t>327/511</t>
  </si>
  <si>
    <t>Bachan Prajapati</t>
  </si>
  <si>
    <t>OPL968422955</t>
  </si>
  <si>
    <t>LRV6753719</t>
  </si>
  <si>
    <t>159/855</t>
  </si>
  <si>
    <t>Doli Rani</t>
  </si>
  <si>
    <t>OTM807624367</t>
  </si>
  <si>
    <t>KQR7570203</t>
  </si>
  <si>
    <t>329/899</t>
  </si>
  <si>
    <t>E Pramila</t>
  </si>
  <si>
    <t>Shift 49 to 48</t>
  </si>
  <si>
    <t>JVN4113023</t>
  </si>
  <si>
    <t>Bivas Roy Karmakar</t>
  </si>
  <si>
    <t>OHU652503633</t>
  </si>
  <si>
    <t>OST022896456</t>
  </si>
  <si>
    <t>pic+dob+name</t>
  </si>
  <si>
    <t>Lakshmi devi(laxmi Prasad)</t>
  </si>
  <si>
    <t>OHV788233963</t>
  </si>
  <si>
    <t>KQR7570237</t>
  </si>
  <si>
    <t>329/898</t>
  </si>
  <si>
    <t>E. H. H. NATH</t>
  </si>
  <si>
    <t>OTE371935948</t>
  </si>
  <si>
    <t>NAME</t>
  </si>
  <si>
    <t>KQR3585056</t>
  </si>
  <si>
    <t>318/717</t>
  </si>
  <si>
    <t>Mani to mani kumari</t>
  </si>
  <si>
    <t>new add-N-135/6(06-01-1964)</t>
  </si>
  <si>
    <t>OML524334606</t>
  </si>
  <si>
    <t>BR/50/290/735516</t>
  </si>
  <si>
    <t>Md Yakub-Mohammad Yakub</t>
  </si>
  <si>
    <t>from Bhalubasa</t>
  </si>
  <si>
    <t>OEX139883492</t>
  </si>
  <si>
    <t>Photo</t>
  </si>
  <si>
    <t>LRV2458701</t>
  </si>
  <si>
    <t>155/33</t>
  </si>
  <si>
    <t>Chandan Barik</t>
  </si>
  <si>
    <t>OQM216322746</t>
  </si>
  <si>
    <t>KQR2153864</t>
  </si>
  <si>
    <t xml:space="preserve">Guina Karmakar </t>
  </si>
  <si>
    <t>verified</t>
  </si>
  <si>
    <t>OGR919926703</t>
  </si>
  <si>
    <t>Ellife Kumbhar</t>
  </si>
  <si>
    <t>OUO609196443</t>
  </si>
  <si>
    <t>husy name change</t>
  </si>
  <si>
    <t>KQR2093166</t>
  </si>
  <si>
    <t>323/811</t>
  </si>
  <si>
    <t>Bindu Devi</t>
  </si>
  <si>
    <t>manojgupta</t>
  </si>
  <si>
    <t>OGM734743458</t>
  </si>
  <si>
    <t>KQR6458681</t>
  </si>
  <si>
    <t>349/367</t>
  </si>
  <si>
    <t>OEV518494442</t>
  </si>
  <si>
    <t>OMD651139974</t>
  </si>
  <si>
    <t>LRV6805311</t>
  </si>
  <si>
    <t>122/644</t>
  </si>
  <si>
    <t>OJM324272814</t>
  </si>
  <si>
    <t>KQR3044708</t>
  </si>
  <si>
    <t>159/857</t>
  </si>
  <si>
    <t>Maya Devi</t>
  </si>
  <si>
    <t>OQQ389279264</t>
  </si>
  <si>
    <t>KQR7494339</t>
  </si>
  <si>
    <t>319/952</t>
  </si>
  <si>
    <t>Gulshan Khatoon</t>
  </si>
  <si>
    <t>ONT399871465</t>
  </si>
  <si>
    <t>KQR7561665</t>
  </si>
  <si>
    <t>Jagjeet Kaur</t>
  </si>
  <si>
    <t>self</t>
  </si>
  <si>
    <t>OKO845585914</t>
  </si>
  <si>
    <t>KQR7574221</t>
  </si>
  <si>
    <t>Janki Devi</t>
  </si>
  <si>
    <t>OOY721501025</t>
  </si>
  <si>
    <t>KQR3044690</t>
  </si>
  <si>
    <t>159/854</t>
  </si>
  <si>
    <t>Sushant Kumar</t>
  </si>
  <si>
    <t>OUP297545274</t>
  </si>
  <si>
    <t>pic+relation</t>
  </si>
  <si>
    <t>KQR7182348</t>
  </si>
  <si>
    <t>331/719</t>
  </si>
  <si>
    <t>NAME+PIC</t>
  </si>
  <si>
    <t>KQR1307479</t>
  </si>
  <si>
    <t>328/89</t>
  </si>
  <si>
    <t>OWH819044248</t>
  </si>
  <si>
    <t>BR/50/290/735555</t>
  </si>
  <si>
    <t>326/186</t>
  </si>
  <si>
    <t>Md yahiha</t>
  </si>
  <si>
    <t>OFV892667305</t>
  </si>
  <si>
    <t>KQR7571847</t>
  </si>
  <si>
    <t>334/869</t>
  </si>
  <si>
    <t>OIQ097152703</t>
  </si>
  <si>
    <t>Kartik Kamat</t>
  </si>
  <si>
    <t>OYJ648159468</t>
  </si>
  <si>
    <t>KQR7476872</t>
  </si>
  <si>
    <t>325/707</t>
  </si>
  <si>
    <t>Khushboo Kumari</t>
  </si>
  <si>
    <t>blo</t>
  </si>
  <si>
    <t>OOC750531255</t>
  </si>
  <si>
    <t>LRV6805758</t>
  </si>
  <si>
    <t>Kriti Kumari</t>
  </si>
  <si>
    <t>LRV0712216(FAMILIY)</t>
  </si>
  <si>
    <t>OYV998233968</t>
  </si>
  <si>
    <t>BOOTH CHANGE48-47</t>
  </si>
  <si>
    <t>LRV5941067</t>
  </si>
  <si>
    <t>Sushila Naidu</t>
  </si>
  <si>
    <t>OQB819894776</t>
  </si>
  <si>
    <t>LRV5941059</t>
  </si>
  <si>
    <t>B Venkat Rao Naidu</t>
  </si>
  <si>
    <t>ONF492672855</t>
  </si>
  <si>
    <t>Kunti Devi</t>
  </si>
  <si>
    <t>LRV6816565</t>
  </si>
  <si>
    <t>Meha Verma</t>
  </si>
  <si>
    <t>OMU128746615</t>
  </si>
  <si>
    <t>pic+fname</t>
  </si>
  <si>
    <t>LRV6201123</t>
  </si>
  <si>
    <t>ORI780508636</t>
  </si>
  <si>
    <t>LRV6818876</t>
  </si>
  <si>
    <t>Mintu Dey</t>
  </si>
  <si>
    <t>OVK796282237</t>
  </si>
  <si>
    <t>Name</t>
  </si>
  <si>
    <t>BR/48/267/654349</t>
  </si>
  <si>
    <t>327/330</t>
  </si>
  <si>
    <t>Amrit Upadhyay</t>
  </si>
  <si>
    <t>OEB020368202</t>
  </si>
  <si>
    <t>Relation name</t>
  </si>
  <si>
    <t>KQR7032873</t>
  </si>
  <si>
    <t>326/936</t>
  </si>
  <si>
    <t>OYS428908318</t>
  </si>
  <si>
    <t>KQR7002314</t>
  </si>
  <si>
    <t>318/879</t>
  </si>
  <si>
    <t>B N Rao</t>
  </si>
  <si>
    <t>ODP433724072</t>
  </si>
  <si>
    <t>Address as per aadhar</t>
  </si>
  <si>
    <t>KQR7040025</t>
  </si>
  <si>
    <t>318/201</t>
  </si>
  <si>
    <t>Barun Kumar Singh</t>
  </si>
  <si>
    <t>ODH942102452</t>
  </si>
  <si>
    <t>address+dob</t>
  </si>
  <si>
    <t>KQR7001837</t>
  </si>
  <si>
    <t>318/37</t>
  </si>
  <si>
    <t>Rinki Singh</t>
  </si>
  <si>
    <t>OAT248249781</t>
  </si>
  <si>
    <t>Mohammad Shadab</t>
  </si>
  <si>
    <t>PAID</t>
  </si>
  <si>
    <t>OSB751827886</t>
  </si>
  <si>
    <t>dob/address</t>
  </si>
  <si>
    <t>KQR2266708</t>
  </si>
  <si>
    <t>317/946</t>
  </si>
  <si>
    <t>ORC016312626</t>
  </si>
  <si>
    <t>LRV6760342</t>
  </si>
  <si>
    <t>146/988</t>
  </si>
  <si>
    <t>Mohammad Shanawaz</t>
  </si>
  <si>
    <t>OHO887254758</t>
  </si>
  <si>
    <t>KQR7569908</t>
  </si>
  <si>
    <t>325/717</t>
  </si>
  <si>
    <t>OSY877532968</t>
  </si>
  <si>
    <t>nEW</t>
  </si>
  <si>
    <t>Fin. Accepted</t>
  </si>
  <si>
    <t>Nikita Anand</t>
  </si>
  <si>
    <t>OAC510584971</t>
  </si>
  <si>
    <t>LRV6816581</t>
  </si>
  <si>
    <t>OGS144994983</t>
  </si>
  <si>
    <t>KQR7546575</t>
  </si>
  <si>
    <t>OJO987380263</t>
  </si>
  <si>
    <t>KQR7561707</t>
  </si>
  <si>
    <t>332/820</t>
  </si>
  <si>
    <t>Nishi Srivastava</t>
  </si>
  <si>
    <t>OAR641298321</t>
  </si>
  <si>
    <t>name khan to kha</t>
  </si>
  <si>
    <t>KQR7043623</t>
  </si>
  <si>
    <t>331/433</t>
  </si>
  <si>
    <t>suman kumar khan</t>
  </si>
  <si>
    <t>OAA763800626</t>
  </si>
  <si>
    <t>LRV6734875</t>
  </si>
  <si>
    <t>154/638</t>
  </si>
  <si>
    <t>Palash Chatterjee</t>
  </si>
  <si>
    <t>OIE591168153</t>
  </si>
  <si>
    <t>Pic</t>
  </si>
  <si>
    <t>KQR7182736</t>
  </si>
  <si>
    <t>332/552</t>
  </si>
  <si>
    <t>Purnima Mukhi</t>
  </si>
  <si>
    <t>ORX507475676</t>
  </si>
  <si>
    <t>KQR7182728</t>
  </si>
  <si>
    <t>332/551</t>
  </si>
  <si>
    <t>Raj Kishor Mukhi</t>
  </si>
  <si>
    <t>OCY714444571</t>
  </si>
  <si>
    <t>Phool Mohammad Ansari</t>
  </si>
  <si>
    <t>ONA709009515</t>
  </si>
  <si>
    <t>Pintu Dey</t>
  </si>
  <si>
    <t>Reject</t>
  </si>
  <si>
    <t>OKP693083554</t>
  </si>
  <si>
    <t>OPR767686595</t>
  </si>
  <si>
    <t>48-47</t>
  </si>
  <si>
    <t>LRV1448843</t>
  </si>
  <si>
    <t>Ram Chandra Mishra</t>
  </si>
  <si>
    <t>OLF137388754</t>
  </si>
  <si>
    <t>Priya Das</t>
  </si>
  <si>
    <t>LRV6266498</t>
  </si>
  <si>
    <t>OYG836454117</t>
  </si>
  <si>
    <t>KQR7561921</t>
  </si>
  <si>
    <t>OYL033147308</t>
  </si>
  <si>
    <t>LRV6806129</t>
  </si>
  <si>
    <t>238/1097</t>
  </si>
  <si>
    <t>Puja Pradhan</t>
  </si>
  <si>
    <t>OQC418083704</t>
  </si>
  <si>
    <t>KQR7489164</t>
  </si>
  <si>
    <t>344/718</t>
  </si>
  <si>
    <t>Puja Vishal</t>
  </si>
  <si>
    <t>OAQ505270281</t>
  </si>
  <si>
    <t>LRV1519930</t>
  </si>
  <si>
    <t>Madhvi Devi</t>
  </si>
  <si>
    <t>OFL684295615</t>
  </si>
  <si>
    <t>KQR7494297</t>
  </si>
  <si>
    <t>319/953</t>
  </si>
  <si>
    <t>Quadir Ali</t>
  </si>
  <si>
    <t>OAA791783021</t>
  </si>
  <si>
    <t>KQR7548704</t>
  </si>
  <si>
    <t>Rajendra Pathak</t>
  </si>
  <si>
    <t>OBY336606651</t>
  </si>
  <si>
    <t>LRV6807275</t>
  </si>
  <si>
    <t>146/997</t>
  </si>
  <si>
    <t>Rakesh Chourasia</t>
  </si>
  <si>
    <t>OKE924410624</t>
  </si>
  <si>
    <t>KQR7547995</t>
  </si>
  <si>
    <t>Ram Kishun Yadav</t>
  </si>
  <si>
    <t>OEJ576109642</t>
  </si>
  <si>
    <t>Ravi Kant Ranjan</t>
  </si>
  <si>
    <t>ONM111716495</t>
  </si>
  <si>
    <t>OEG189599482</t>
  </si>
  <si>
    <t>LRV6812101</t>
  </si>
  <si>
    <t>OWH315736948</t>
  </si>
  <si>
    <t>LRV6679708</t>
  </si>
  <si>
    <t>125/829</t>
  </si>
  <si>
    <t>Ruma Ghosal</t>
  </si>
  <si>
    <t>OKO465708294</t>
  </si>
  <si>
    <t>KQR7548142</t>
  </si>
  <si>
    <t>Sabita Rani Bhagat</t>
  </si>
  <si>
    <t>ODM277156222</t>
  </si>
  <si>
    <t>Sabya Goutam</t>
  </si>
  <si>
    <t>OUL980116087</t>
  </si>
  <si>
    <t>Ramendra Kumar Das</t>
  </si>
  <si>
    <t>OXN592306638</t>
  </si>
  <si>
    <t>LRV6786677</t>
  </si>
  <si>
    <t>146/990</t>
  </si>
  <si>
    <t>Sahnaz Sultana</t>
  </si>
  <si>
    <t>OIP368824993</t>
  </si>
  <si>
    <t>Sai Sunny Prasad</t>
  </si>
  <si>
    <t>OQX739304906</t>
  </si>
  <si>
    <t>KQR7548852</t>
  </si>
  <si>
    <t>OBN213667511</t>
  </si>
  <si>
    <t>KQR7570047</t>
  </si>
  <si>
    <t>318/952</t>
  </si>
  <si>
    <t>Jai Prakash Choudhary</t>
  </si>
  <si>
    <t>OFN306428902</t>
  </si>
  <si>
    <t>Sarita Sinha</t>
  </si>
  <si>
    <t>OHT713085803</t>
  </si>
  <si>
    <t>KQR7561673</t>
  </si>
  <si>
    <t>Shomik Chakraborty</t>
  </si>
  <si>
    <t>OAM176899481</t>
  </si>
  <si>
    <t>Name+pic</t>
  </si>
  <si>
    <t>BR/50/291/432460</t>
  </si>
  <si>
    <t>158/604</t>
  </si>
  <si>
    <t>Bhubneshwar Prasad Yadav</t>
  </si>
  <si>
    <t>OAQ030639971</t>
  </si>
  <si>
    <t>pic,husname</t>
  </si>
  <si>
    <t>BR/50/291/432502</t>
  </si>
  <si>
    <t>158/605</t>
  </si>
  <si>
    <t>Kusum Yadav</t>
  </si>
  <si>
    <t>OXA228321168</t>
  </si>
  <si>
    <t>KQR7569973</t>
  </si>
  <si>
    <t>343/709</t>
  </si>
  <si>
    <t>Madhu Choudhary</t>
  </si>
  <si>
    <t>OCK307118071</t>
  </si>
  <si>
    <t>LRV0376301</t>
  </si>
  <si>
    <t>157/477</t>
  </si>
  <si>
    <t>Shyam Lal Yadav</t>
  </si>
  <si>
    <t>OGQ468901022</t>
  </si>
  <si>
    <t>OPD355163485</t>
  </si>
  <si>
    <t>KQR7561939</t>
  </si>
  <si>
    <t>Subham Shekhar Pandey</t>
  </si>
  <si>
    <t>OXO988322218</t>
  </si>
  <si>
    <t>Pic,fname</t>
  </si>
  <si>
    <t>KQR2347656</t>
  </si>
  <si>
    <t>327/290</t>
  </si>
  <si>
    <t>Jivrail Khan</t>
  </si>
  <si>
    <t>OSH878283946</t>
  </si>
  <si>
    <t>LRV6698187</t>
  </si>
  <si>
    <t>155/574</t>
  </si>
  <si>
    <t>Suchita Ghosal</t>
  </si>
  <si>
    <t>OKG184208144</t>
  </si>
  <si>
    <t>LRV1489600</t>
  </si>
  <si>
    <t>87/462</t>
  </si>
  <si>
    <t>Harendra Kr. Singh</t>
  </si>
  <si>
    <t>OIS881863443</t>
  </si>
  <si>
    <t>JVN7028707</t>
  </si>
  <si>
    <t>Sujit Mukherjee</t>
  </si>
  <si>
    <t>OLA203204914</t>
  </si>
  <si>
    <t>Sumita Khan</t>
  </si>
  <si>
    <t>OYJ850148468</t>
  </si>
  <si>
    <t>JVN7030380</t>
  </si>
  <si>
    <t>Sumona Mukherjee</t>
  </si>
  <si>
    <t>OHE642233393</t>
  </si>
  <si>
    <t>NAME+DOB</t>
  </si>
  <si>
    <t>LRV6631857</t>
  </si>
  <si>
    <t>135/149</t>
  </si>
  <si>
    <t>paid for card</t>
  </si>
  <si>
    <t>OXQ083911608</t>
  </si>
  <si>
    <t>KRQ7493620</t>
  </si>
  <si>
    <t>322/828</t>
  </si>
  <si>
    <t>Surajit Gorai</t>
  </si>
  <si>
    <t>OXH717765865</t>
  </si>
  <si>
    <t>Surya Deo Singh</t>
  </si>
  <si>
    <t>OMI524519725</t>
  </si>
  <si>
    <t>shift AC</t>
  </si>
  <si>
    <t>LTY6868453</t>
  </si>
  <si>
    <t>Gajendra Prasad</t>
  </si>
  <si>
    <t>OEX822573672</t>
  </si>
  <si>
    <t>ONX589081355</t>
  </si>
  <si>
    <t>LRV6734883</t>
  </si>
  <si>
    <t>154/639</t>
  </si>
  <si>
    <t>Swapna Chatterjee</t>
  </si>
  <si>
    <t>OEY546820582</t>
  </si>
  <si>
    <t>LRV6817167</t>
  </si>
  <si>
    <t>135/940</t>
  </si>
  <si>
    <t>Swaraj  Bhattacharjee</t>
  </si>
  <si>
    <t>OYO209800117</t>
  </si>
  <si>
    <t>LRV6811632</t>
  </si>
  <si>
    <t>Swarnalata Dharaba</t>
  </si>
  <si>
    <t>OSS241324076</t>
  </si>
  <si>
    <t>LRV6818942</t>
  </si>
  <si>
    <t>119/1233</t>
  </si>
  <si>
    <t>Tandra Sen</t>
  </si>
  <si>
    <t>JUST FOR PRINT</t>
  </si>
  <si>
    <t>LRV6264998</t>
  </si>
  <si>
    <t>157/904</t>
  </si>
  <si>
    <t>ABHILASHA JHA</t>
  </si>
  <si>
    <t>Name=fnam</t>
  </si>
  <si>
    <t>KQR7089105</t>
  </si>
  <si>
    <t>318/</t>
  </si>
  <si>
    <t>Aniket Narain</t>
  </si>
  <si>
    <t>ORP929089635</t>
  </si>
  <si>
    <t>KQR7516396</t>
  </si>
  <si>
    <t>327/797</t>
  </si>
  <si>
    <t>Name Corre</t>
  </si>
  <si>
    <t>LRV5778030</t>
  </si>
  <si>
    <t>155/289</t>
  </si>
  <si>
    <t>Neetu Gupta</t>
  </si>
  <si>
    <t>OEW756544532</t>
  </si>
  <si>
    <t>LRV6813919</t>
  </si>
  <si>
    <t>Vishal Das</t>
  </si>
  <si>
    <t>OCE517627941</t>
  </si>
  <si>
    <t>LRV6808976</t>
  </si>
  <si>
    <t>238/1085</t>
  </si>
  <si>
    <t>Vishal Kr Pradhan</t>
  </si>
  <si>
    <t>OGJ284224943</t>
  </si>
  <si>
    <t>KQR7556277</t>
  </si>
  <si>
    <t>Sita Devi</t>
  </si>
  <si>
    <t>full name+pic</t>
  </si>
  <si>
    <t>LRV3367331</t>
  </si>
  <si>
    <t>S C Bhagat</t>
  </si>
  <si>
    <t>OBU606237554</t>
  </si>
  <si>
    <t>KQR7516818</t>
  </si>
  <si>
    <t>Zakir Ali</t>
  </si>
  <si>
    <t>OMR970462024</t>
  </si>
  <si>
    <t>pic+dob+add</t>
  </si>
  <si>
    <t>LRV1394431</t>
  </si>
  <si>
    <t>141/359</t>
  </si>
  <si>
    <t>Tushar Dey</t>
  </si>
  <si>
    <t>Gita Devi</t>
  </si>
  <si>
    <t>OSX582498496</t>
  </si>
  <si>
    <t>assam to birnagar</t>
  </si>
  <si>
    <t>LSY1915362</t>
  </si>
  <si>
    <t>Krishna Saha</t>
  </si>
  <si>
    <t>OGL265302883</t>
  </si>
  <si>
    <t>LRV0336917</t>
  </si>
  <si>
    <t>Jay Prakash Singh</t>
  </si>
  <si>
    <t>OYN144299938</t>
  </si>
  <si>
    <t>LRV0337048</t>
  </si>
  <si>
    <t>Asem Devi</t>
  </si>
  <si>
    <t>ONG318254705</t>
  </si>
  <si>
    <t>LRV0337055</t>
  </si>
  <si>
    <t>Dhananjay Singh</t>
  </si>
  <si>
    <t>OEA893172642</t>
  </si>
  <si>
    <t>KQR7575483</t>
  </si>
  <si>
    <t>Momina Khatoon</t>
  </si>
  <si>
    <t>OVD788604407</t>
  </si>
  <si>
    <t>LRV6821201</t>
  </si>
  <si>
    <t>OCA190117101</t>
  </si>
  <si>
    <t>LRV6821227</t>
  </si>
  <si>
    <t>Shahnaz Begum</t>
  </si>
  <si>
    <t>OEV154732322</t>
  </si>
  <si>
    <t>No Record</t>
  </si>
  <si>
    <t>Sheikh Iqbal Ali</t>
  </si>
  <si>
    <t>ONY443583385</t>
  </si>
  <si>
    <t>KQR7581424</t>
  </si>
  <si>
    <t>OVR768105497</t>
  </si>
  <si>
    <t>LRV6821532</t>
  </si>
  <si>
    <t>Chand Bahadur</t>
  </si>
  <si>
    <t>OFC257334272</t>
  </si>
  <si>
    <t>LRV6820476</t>
  </si>
  <si>
    <t>M. Akash Rao</t>
  </si>
  <si>
    <t>h</t>
  </si>
  <si>
    <t>Kameshwari Sharma</t>
  </si>
  <si>
    <t>OFX450603762</t>
  </si>
  <si>
    <t>KQR7596232</t>
  </si>
  <si>
    <t>320/478</t>
  </si>
  <si>
    <t>Riddhi Sharma</t>
  </si>
  <si>
    <t>OIV095651863</t>
  </si>
  <si>
    <t>LRV0337097</t>
  </si>
  <si>
    <t>Wrong Address</t>
  </si>
  <si>
    <t>Tushar Mitra</t>
  </si>
  <si>
    <t>OBL071899156</t>
  </si>
  <si>
    <t>CZV7446941</t>
  </si>
  <si>
    <t>ONP504397045</t>
  </si>
  <si>
    <t>LRV6830608</t>
  </si>
  <si>
    <t>OEY161828312</t>
  </si>
  <si>
    <t>KQR7597032</t>
  </si>
  <si>
    <t>OGE855254753</t>
  </si>
  <si>
    <t>Guardian name m to f</t>
  </si>
  <si>
    <t>KQR7492044</t>
  </si>
  <si>
    <t>328/1011</t>
  </si>
  <si>
    <t>OAT502860864</t>
  </si>
  <si>
    <t>Seema Devi</t>
  </si>
  <si>
    <t>OGU500113713</t>
  </si>
  <si>
    <t>Rambabu Singh</t>
  </si>
  <si>
    <t>Devi to Bhattacharjee</t>
  </si>
  <si>
    <t>OXY539258358</t>
  </si>
  <si>
    <t>KQR7595770</t>
  </si>
  <si>
    <t>Anupriya Saumitra</t>
  </si>
  <si>
    <t>OWV409803708</t>
  </si>
  <si>
    <t>KQR7595564</t>
  </si>
  <si>
    <t>Diksha Kumari</t>
  </si>
  <si>
    <t>ODS058966822</t>
  </si>
  <si>
    <t>KQR7595515</t>
  </si>
  <si>
    <t>Jayati Bhattacharjee</t>
  </si>
  <si>
    <t>ORL689375766</t>
  </si>
  <si>
    <t>KQR7595523</t>
  </si>
  <si>
    <t>Tapan Bhattacharjee</t>
  </si>
  <si>
    <t>OBD337879881</t>
  </si>
  <si>
    <t>KQR7595481</t>
  </si>
  <si>
    <t>OBO589950541</t>
  </si>
  <si>
    <t>KQR7595341</t>
  </si>
  <si>
    <t>Rajta Singh Gill</t>
  </si>
  <si>
    <t xml:space="preserve">          </t>
  </si>
  <si>
    <t>OLI538307874</t>
  </si>
  <si>
    <t>KQR7595234</t>
  </si>
  <si>
    <t>Shubham Kumar Verma</t>
  </si>
  <si>
    <t>OUH721646467</t>
  </si>
  <si>
    <t>KQR7595291</t>
  </si>
  <si>
    <t>ORE014503646</t>
  </si>
  <si>
    <t>Dhrub Lal Puri</t>
  </si>
  <si>
    <t>rejected</t>
  </si>
  <si>
    <t>OJX656585694</t>
  </si>
  <si>
    <t>LRV6838551</t>
  </si>
  <si>
    <t>Sunita Prasad</t>
  </si>
  <si>
    <t>OWP030638848</t>
  </si>
  <si>
    <t>pic change</t>
  </si>
  <si>
    <t>Dipti Sahu</t>
  </si>
  <si>
    <t>Mismatch</t>
  </si>
  <si>
    <t>OCO399844421</t>
  </si>
  <si>
    <t>pic+fname to hus name</t>
  </si>
  <si>
    <t>KQR7001845</t>
  </si>
  <si>
    <t>V Rukmani</t>
  </si>
  <si>
    <t>OXS318496648</t>
  </si>
  <si>
    <t>DEVI TO PANDEY</t>
  </si>
  <si>
    <t>Kusum Devi</t>
  </si>
  <si>
    <t>OBV662265416</t>
  </si>
  <si>
    <t>Kumari to sharma</t>
  </si>
  <si>
    <t>KQR6586598</t>
  </si>
  <si>
    <t>325/445</t>
  </si>
  <si>
    <t>Amita Kumari</t>
  </si>
  <si>
    <t>OYJ964553588</t>
  </si>
  <si>
    <t>KQR7582984</t>
  </si>
  <si>
    <t>oai621987007</t>
  </si>
  <si>
    <t>LRV6839682</t>
  </si>
  <si>
    <t>OQD565613186</t>
  </si>
  <si>
    <t>LRV6840219</t>
  </si>
  <si>
    <t>Rahul Kumar</t>
  </si>
  <si>
    <t>OLW507046784</t>
  </si>
  <si>
    <t>KQR7603012</t>
  </si>
  <si>
    <t>Aditya Mishra</t>
  </si>
  <si>
    <t>OXG809328288</t>
  </si>
  <si>
    <t>KQR7601776</t>
  </si>
  <si>
    <t>Neha Perwin</t>
  </si>
  <si>
    <t>ODM264002591</t>
  </si>
  <si>
    <t>LRV6841514</t>
  </si>
  <si>
    <t>Gracy John Dcruze</t>
  </si>
  <si>
    <t>OIA612598923</t>
  </si>
  <si>
    <t>LRV6840672</t>
  </si>
  <si>
    <t>Accpeted</t>
  </si>
  <si>
    <t>OGR487349803</t>
  </si>
  <si>
    <t>Kamla Rajhans</t>
  </si>
  <si>
    <t>OAW622937701</t>
  </si>
  <si>
    <t>Name correction</t>
  </si>
  <si>
    <t>KQR1182245</t>
  </si>
  <si>
    <t>Prity Mishra</t>
  </si>
  <si>
    <t>bihar-240</t>
  </si>
  <si>
    <t>OKC760513234</t>
  </si>
  <si>
    <t>Nand Lal Singh</t>
  </si>
  <si>
    <t>OMC059278362</t>
  </si>
  <si>
    <t>OOW483384672</t>
  </si>
  <si>
    <t>LRV6844286</t>
  </si>
  <si>
    <t>Sabitri Devi</t>
  </si>
  <si>
    <t>OJL951962014</t>
  </si>
  <si>
    <t>Address Reject</t>
  </si>
  <si>
    <t>Pinki Karmakar</t>
  </si>
  <si>
    <t>ODY722265632</t>
  </si>
  <si>
    <t>KQR7605033</t>
  </si>
  <si>
    <t>SHIFT 54-47</t>
  </si>
  <si>
    <t>MXS0513659</t>
  </si>
  <si>
    <t>52/425</t>
  </si>
  <si>
    <t>Swarna Lata</t>
  </si>
  <si>
    <t>MXS0513642</t>
  </si>
  <si>
    <t>52/427</t>
  </si>
  <si>
    <t>Ravindrea Prasad</t>
  </si>
  <si>
    <t>OPA037018775</t>
  </si>
  <si>
    <t>KQR7605470</t>
  </si>
  <si>
    <t>Kabita Munda</t>
  </si>
  <si>
    <t>Receiving Printed</t>
  </si>
  <si>
    <t>OIA613355693</t>
  </si>
  <si>
    <t>KQR7605488</t>
  </si>
  <si>
    <t>Puja Rani Mahato</t>
  </si>
  <si>
    <t>Nayani Gorai</t>
  </si>
  <si>
    <t>OEE330971352</t>
  </si>
  <si>
    <t>Chandrawati Devi</t>
  </si>
  <si>
    <t>OLM735994754</t>
  </si>
  <si>
    <t>Kalika Singh</t>
  </si>
  <si>
    <t>OWS881376788</t>
  </si>
  <si>
    <t>LRV6849970</t>
  </si>
  <si>
    <t>Noorjahan Perween</t>
  </si>
  <si>
    <t>OHE771363134</t>
  </si>
  <si>
    <t>LRV6850010</t>
  </si>
  <si>
    <t>Kiran Tiwari</t>
  </si>
  <si>
    <t>OUM919281207</t>
  </si>
  <si>
    <t>REJECTED</t>
  </si>
  <si>
    <t>OKD055427494</t>
  </si>
  <si>
    <t>LRV6849996</t>
  </si>
  <si>
    <t>Kuldeep Kaur</t>
  </si>
  <si>
    <t>OBA688317512</t>
  </si>
  <si>
    <t>KQR7605785</t>
  </si>
  <si>
    <t>Jyoti Gorai</t>
  </si>
  <si>
    <t>OSX796652246</t>
  </si>
  <si>
    <t>JVN7097306/314</t>
  </si>
  <si>
    <t>Jitu Gorai</t>
  </si>
  <si>
    <t>OMF265330064</t>
  </si>
  <si>
    <t>KQR7605793</t>
  </si>
  <si>
    <t>OJW191130703</t>
  </si>
  <si>
    <t>KQR7605306</t>
  </si>
  <si>
    <t>Nanda Gorai</t>
  </si>
  <si>
    <t>OTY013280437</t>
  </si>
  <si>
    <t>KQR7605314</t>
  </si>
  <si>
    <t>Laxmi Gorai</t>
  </si>
  <si>
    <t>OFK610118994</t>
  </si>
  <si>
    <t>ORJ197316957</t>
  </si>
  <si>
    <t>under gen</t>
  </si>
  <si>
    <t>LRV6850184</t>
  </si>
  <si>
    <t>Robani Gorai</t>
  </si>
  <si>
    <t>OHO000032653</t>
  </si>
  <si>
    <t>LRV6850440</t>
  </si>
  <si>
    <t>OVK264056407</t>
  </si>
  <si>
    <t>REJCTED</t>
  </si>
  <si>
    <t>Basir Ameeque Quadri</t>
  </si>
  <si>
    <t>ONL317661755</t>
  </si>
  <si>
    <t>KQR7613912</t>
  </si>
  <si>
    <t>Shilpa Mahato</t>
  </si>
  <si>
    <t>OOH079664525</t>
  </si>
  <si>
    <t>Fname correction</t>
  </si>
  <si>
    <t>Mohammad Yakub</t>
  </si>
  <si>
    <t>OYL330826418</t>
  </si>
  <si>
    <t>KQR7003858</t>
  </si>
  <si>
    <t>Mohammad Firoz</t>
  </si>
  <si>
    <t>OXS149774308</t>
  </si>
  <si>
    <t>dob+hname</t>
  </si>
  <si>
    <t>BR/50/290/735478</t>
  </si>
  <si>
    <t>Razina Khatoon</t>
  </si>
  <si>
    <t>ONG161720465</t>
  </si>
  <si>
    <t>DOB+FNAME</t>
  </si>
  <si>
    <t>KQR1305978</t>
  </si>
  <si>
    <t>Aftab Alam Khan</t>
  </si>
  <si>
    <t>OLX333601674</t>
  </si>
  <si>
    <t>Seema Gorai</t>
  </si>
  <si>
    <t>Mypass@2019</t>
  </si>
  <si>
    <t>OPT732695076</t>
  </si>
  <si>
    <t>Faislus Saud Quadri</t>
  </si>
  <si>
    <t>OJU412509464</t>
  </si>
  <si>
    <t>KQR7613953</t>
  </si>
  <si>
    <t>Kalyani Mahato</t>
  </si>
  <si>
    <t>OBG152953961</t>
  </si>
  <si>
    <t>ALREADY EXIST</t>
  </si>
  <si>
    <t>Ramla Rajhans</t>
  </si>
  <si>
    <t>Soni Rajhans</t>
  </si>
  <si>
    <t>OCN093823091</t>
  </si>
  <si>
    <t>Photo Change</t>
  </si>
  <si>
    <t>BR/50/290/732314</t>
  </si>
  <si>
    <t>Ekramul Haque</t>
  </si>
  <si>
    <t>7260988623</t>
  </si>
  <si>
    <t xml:space="preserve">OGI304105083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</si>
  <si>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KQR7613987</t>
  </si>
  <si>
    <t>Anita Karmakar</t>
  </si>
  <si>
    <t>OTD970976257</t>
  </si>
  <si>
    <t>Panatala Kiran</t>
  </si>
  <si>
    <t>OOQ024963285</t>
  </si>
  <si>
    <t>Rupa Gorai</t>
  </si>
  <si>
    <t>Applied</t>
  </si>
  <si>
    <t>ONR540658285</t>
  </si>
  <si>
    <t>name+dob+fname</t>
  </si>
  <si>
    <t>Afroaz Alam Khan</t>
  </si>
  <si>
    <t>OGA356904392</t>
  </si>
  <si>
    <t>Nasima Khan</t>
  </si>
  <si>
    <t>OUB033966907</t>
  </si>
  <si>
    <t>Name+ Add + Pic</t>
  </si>
  <si>
    <t>KQR0490491</t>
  </si>
  <si>
    <t>Sheo Narayan  Singh</t>
  </si>
  <si>
    <t>OED667691102</t>
  </si>
  <si>
    <t>Add</t>
  </si>
  <si>
    <t>KQR1341817</t>
  </si>
  <si>
    <t>Geeta Devi</t>
  </si>
  <si>
    <t>OAK105760091</t>
  </si>
  <si>
    <t>ADD</t>
  </si>
  <si>
    <t>LRV5733316</t>
  </si>
  <si>
    <t>SMARIKA SARKAR</t>
  </si>
  <si>
    <t>OVC623655952</t>
  </si>
  <si>
    <t>LRV5831359</t>
  </si>
  <si>
    <t>SANGAM SARKAR</t>
  </si>
  <si>
    <t>OND912906805</t>
  </si>
  <si>
    <t>LRV3388766</t>
  </si>
  <si>
    <t>USHA SARKAR</t>
  </si>
  <si>
    <t>OBC844169331</t>
  </si>
  <si>
    <t>Afreen Fedoash</t>
  </si>
  <si>
    <t>OJM332438993</t>
  </si>
  <si>
    <t>Correction</t>
  </si>
  <si>
    <t>BR/50/290</t>
  </si>
  <si>
    <t>Amna Khatoon</t>
  </si>
  <si>
    <t>OIS689863333</t>
  </si>
  <si>
    <t>KQR6877278</t>
  </si>
  <si>
    <t>Lakhi Kant Munda</t>
  </si>
  <si>
    <t>OPI036170146</t>
  </si>
  <si>
    <t>LRV6851232</t>
  </si>
  <si>
    <t>Seikh Iqbal Ali</t>
  </si>
  <si>
    <t>ORM877394276</t>
  </si>
  <si>
    <t>LRV6845143</t>
  </si>
  <si>
    <t>Birendra Kumar Yadav</t>
  </si>
  <si>
    <t>ONB514530365</t>
  </si>
  <si>
    <t>LRV6851489</t>
  </si>
  <si>
    <t>Sanam Fatma</t>
  </si>
  <si>
    <t>OJR778086273</t>
  </si>
  <si>
    <t>LRV6808208</t>
  </si>
  <si>
    <t>Debleena Sakar</t>
  </si>
  <si>
    <t>BR/50/290/708324</t>
  </si>
  <si>
    <t>Karuna Mahato</t>
  </si>
  <si>
    <t>ORH258151946</t>
  </si>
  <si>
    <t>Husband Name Correction</t>
  </si>
  <si>
    <t>BR/50/290/732398</t>
  </si>
  <si>
    <t>Noor Jahan Begum</t>
  </si>
  <si>
    <t>OHT974619003</t>
  </si>
  <si>
    <t>Father Name Correction</t>
  </si>
  <si>
    <t>Paid</t>
  </si>
  <si>
    <t>OMI124196985</t>
  </si>
  <si>
    <t>BR/50/290/708280</t>
  </si>
  <si>
    <t>OYY399049958</t>
  </si>
  <si>
    <t>Basamati Bera</t>
  </si>
  <si>
    <t>OBM924520691</t>
  </si>
  <si>
    <t>LRV6851638</t>
  </si>
  <si>
    <t>Arun Roy</t>
  </si>
  <si>
    <t>OVE056180332</t>
  </si>
  <si>
    <t>Reena Singh Bhumij</t>
  </si>
  <si>
    <t>OXC772031203</t>
  </si>
  <si>
    <t>Bhuvneshwari Bhumij</t>
  </si>
  <si>
    <t>OEM612461792</t>
  </si>
  <si>
    <t>Manoj Kumar Singh</t>
  </si>
  <si>
    <t>OBK988996921</t>
  </si>
  <si>
    <t>Pappu Tiwari</t>
  </si>
  <si>
    <t>JAMUI</t>
  </si>
  <si>
    <t>OPJ592836605</t>
  </si>
  <si>
    <t>PIC+DOB</t>
  </si>
  <si>
    <t>TBA0976217</t>
  </si>
  <si>
    <t>223/320</t>
  </si>
  <si>
    <t>OYU2412432393</t>
  </si>
  <si>
    <t>pic+dob++name</t>
  </si>
  <si>
    <t>OIL004043073</t>
  </si>
  <si>
    <t>Sashi Updhyay</t>
  </si>
  <si>
    <t>OIK314736233</t>
  </si>
  <si>
    <t>Pic+name+dob</t>
  </si>
  <si>
    <t>KQR2353761</t>
  </si>
  <si>
    <t>Nasreen Begam</t>
  </si>
  <si>
    <t>OXR483857308</t>
  </si>
  <si>
    <t>Pic+dob</t>
  </si>
  <si>
    <t>OBF602565654</t>
  </si>
  <si>
    <t>name+fname+dob</t>
  </si>
  <si>
    <t>BR/50/290/732336</t>
  </si>
  <si>
    <t>OWR236531198</t>
  </si>
  <si>
    <t>BR/50/290/738314</t>
  </si>
  <si>
    <t>Zubeda Khatoon</t>
  </si>
  <si>
    <t>OBS829634521</t>
  </si>
  <si>
    <t>LRV5621362</t>
  </si>
  <si>
    <t>Nittu Dutta</t>
  </si>
  <si>
    <t>OTT117806317</t>
  </si>
  <si>
    <t>Gulshan Ara</t>
  </si>
  <si>
    <t>OMN234081595</t>
  </si>
  <si>
    <t>KQR2308534</t>
  </si>
  <si>
    <t>Sushila Gupta</t>
  </si>
  <si>
    <t>OUY788571857</t>
  </si>
  <si>
    <t>KQR2308526</t>
  </si>
  <si>
    <t>Prakash Narayan Gupta</t>
  </si>
  <si>
    <t>OWW826944738</t>
  </si>
  <si>
    <t>Address, DOB</t>
  </si>
  <si>
    <t>TAK2480127</t>
  </si>
  <si>
    <t>Nishat Fatma</t>
  </si>
  <si>
    <t>OBI577654431</t>
  </si>
  <si>
    <t>TAK2480069</t>
  </si>
  <si>
    <t>Takbirul Hasan</t>
  </si>
  <si>
    <t>OKT698906967</t>
  </si>
  <si>
    <t>LRV6862130</t>
  </si>
  <si>
    <t>Nidhi Kumari</t>
  </si>
  <si>
    <t>OWO830433878</t>
  </si>
  <si>
    <t>LRV6862148</t>
  </si>
  <si>
    <t>119/446</t>
  </si>
  <si>
    <t>OQB076459046</t>
  </si>
  <si>
    <t>KQR7662828</t>
  </si>
  <si>
    <t>Sukurmani Mahato</t>
  </si>
  <si>
    <t>OSW737075987</t>
  </si>
  <si>
    <t>LRV6862189</t>
  </si>
  <si>
    <t>Mohammad Anisur Rahman</t>
  </si>
  <si>
    <t>Mohammad Farhan</t>
  </si>
  <si>
    <t>OXJ821624807</t>
  </si>
  <si>
    <t>Joyprakash Viswakarma</t>
  </si>
  <si>
    <t>OHC040289906</t>
  </si>
  <si>
    <t>Pankaj Vishwakarma</t>
  </si>
  <si>
    <t>OKA384346664</t>
  </si>
  <si>
    <t>Chandrakanta Vishwakarma</t>
  </si>
  <si>
    <t>OCF81289544</t>
  </si>
  <si>
    <t>NFD</t>
  </si>
  <si>
    <t>OBW391417311</t>
  </si>
  <si>
    <t>FDP</t>
  </si>
  <si>
    <t>MGK6983290</t>
  </si>
  <si>
    <t>Kartik Prajapati</t>
  </si>
  <si>
    <t>OOX265747735</t>
  </si>
  <si>
    <t>OBV756732571</t>
  </si>
  <si>
    <t>KQR2354371</t>
  </si>
  <si>
    <t>Shyamal Kumar Biswas</t>
  </si>
  <si>
    <t>OBF141291721</t>
  </si>
  <si>
    <t>KQR2354389</t>
  </si>
  <si>
    <t>Pronati Rani Biswas</t>
  </si>
  <si>
    <t>OTG094288577</t>
  </si>
  <si>
    <t>LRV3722501</t>
  </si>
  <si>
    <t>Shailesh Kumar Pandey</t>
  </si>
  <si>
    <t>OVB140988067</t>
  </si>
  <si>
    <t>LRV2085793</t>
  </si>
  <si>
    <t>Surendra Pandey</t>
  </si>
  <si>
    <t>OXK620686923</t>
  </si>
  <si>
    <t>LRV2085918</t>
  </si>
  <si>
    <t>Sharada Pandey</t>
  </si>
  <si>
    <t>OQT392777346</t>
  </si>
  <si>
    <t>OMY069457375</t>
  </si>
  <si>
    <t>BR/50/290/735</t>
  </si>
  <si>
    <t>Mypass@19</t>
  </si>
  <si>
    <t>OGF980754283</t>
  </si>
  <si>
    <t>Himanshu Kumar Singh</t>
  </si>
  <si>
    <t>OMB841220224</t>
  </si>
  <si>
    <t>ND</t>
  </si>
  <si>
    <t>LRV0339377</t>
  </si>
  <si>
    <t>rishikesh banarji</t>
  </si>
  <si>
    <t>ODX455647191</t>
  </si>
  <si>
    <t>NFDP</t>
  </si>
  <si>
    <t>BR/50/290/735675</t>
  </si>
  <si>
    <t>Masuda Begum</t>
  </si>
  <si>
    <t>OCS086204996</t>
  </si>
  <si>
    <t>KQR2283513</t>
  </si>
  <si>
    <t>Syed Mahafijur Rahman</t>
  </si>
  <si>
    <t>OAX362402501</t>
  </si>
  <si>
    <t>FDA</t>
  </si>
  <si>
    <t>KQR2266138</t>
  </si>
  <si>
    <t>Kashfur Rahman</t>
  </si>
  <si>
    <t>OUL898191027</t>
  </si>
  <si>
    <t>NHDP</t>
  </si>
  <si>
    <t>Tabassum Hoor</t>
  </si>
  <si>
    <t>KQR2283596</t>
  </si>
  <si>
    <t>Tabashum Ara</t>
  </si>
  <si>
    <t>OVL543836141</t>
  </si>
  <si>
    <t>DA</t>
  </si>
  <si>
    <t>LRV1633999</t>
  </si>
  <si>
    <t>Mithu Banerjee</t>
  </si>
  <si>
    <t>OPH120739477</t>
  </si>
  <si>
    <t>PNAD</t>
  </si>
  <si>
    <t>KQR2320174</t>
  </si>
  <si>
    <t>Smriti  Nandi</t>
  </si>
  <si>
    <t>OMW783539085</t>
  </si>
  <si>
    <t>kQR2320182</t>
  </si>
  <si>
    <t>Ashit Baran Nandi</t>
  </si>
  <si>
    <t>ODE186459482</t>
  </si>
  <si>
    <t>OYS597130868</t>
  </si>
  <si>
    <t>NADP</t>
  </si>
  <si>
    <t>BR/50/290/729209</t>
  </si>
  <si>
    <t>Bimla Dwiwedy</t>
  </si>
  <si>
    <t>OXH165513658</t>
  </si>
  <si>
    <t>PADH49-47</t>
  </si>
  <si>
    <t>JVN4144218</t>
  </si>
  <si>
    <t>Nigar Tabassum</t>
  </si>
  <si>
    <t>ORB465052086</t>
  </si>
  <si>
    <t>DNA</t>
  </si>
  <si>
    <t>KQR6905327</t>
  </si>
  <si>
    <t>Shaleha Khatoon</t>
  </si>
  <si>
    <t>OPX350430543</t>
  </si>
  <si>
    <t>AF</t>
  </si>
  <si>
    <t>KQR0772748</t>
  </si>
  <si>
    <t>Md Rafiuddin</t>
  </si>
  <si>
    <t>ORL254632896</t>
  </si>
  <si>
    <t>AN</t>
  </si>
  <si>
    <t>KQR0772664</t>
  </si>
  <si>
    <t>Imatiyaj Ali</t>
  </si>
  <si>
    <t>ONP015738205</t>
  </si>
  <si>
    <t>Mohammad minif shah</t>
  </si>
  <si>
    <t>BR/50/290/735544</t>
  </si>
  <si>
    <t>Md. Munif</t>
  </si>
  <si>
    <t>OBM810527781</t>
  </si>
  <si>
    <t>NHD</t>
  </si>
  <si>
    <t>Banerjee</t>
  </si>
  <si>
    <t>LRV0339369</t>
  </si>
  <si>
    <t>Krishna Banarji</t>
  </si>
  <si>
    <t>LRV0339369@</t>
  </si>
  <si>
    <t>OLG157261962</t>
  </si>
  <si>
    <t>SHIFT 49-47</t>
  </si>
  <si>
    <t>JVN3203007</t>
  </si>
  <si>
    <t>Firoz Ahmad</t>
  </si>
  <si>
    <t>OXK406445225</t>
  </si>
  <si>
    <t>HNMAE</t>
  </si>
  <si>
    <t>KQR7517568</t>
  </si>
  <si>
    <t>Naznin Bano</t>
  </si>
  <si>
    <t>OJD031056884</t>
  </si>
  <si>
    <t>Junaid Alam</t>
  </si>
  <si>
    <t>OVU927297607</t>
  </si>
  <si>
    <t>KQR2291383</t>
  </si>
  <si>
    <t>Mohammad Noushad Ali</t>
  </si>
  <si>
    <t>ONF569548545</t>
  </si>
  <si>
    <t>KQR0152835</t>
  </si>
  <si>
    <t>Shagufta Yasmeen</t>
  </si>
  <si>
    <t>FAMILY LISTING</t>
  </si>
  <si>
    <t>BR/50/290/735078</t>
  </si>
  <si>
    <t>Md Irshad Ali</t>
  </si>
  <si>
    <t>OCL742814351</t>
  </si>
  <si>
    <t>KQR2119532</t>
  </si>
  <si>
    <t>Md Samshad Ali</t>
  </si>
  <si>
    <t>BR/50/290/735222</t>
  </si>
  <si>
    <t>Md Salim</t>
  </si>
  <si>
    <t>S@lim2019</t>
  </si>
  <si>
    <t>OWV954286468</t>
  </si>
  <si>
    <t>mohammad manan Iqubal
Mohammad Munif
01-01-1983</t>
  </si>
  <si>
    <t>KQR212008</t>
  </si>
  <si>
    <t>Md Manan iqbal</t>
  </si>
  <si>
    <t>OLH887355264</t>
  </si>
  <si>
    <t>HAD</t>
  </si>
  <si>
    <t>BR/50/290/735385</t>
  </si>
  <si>
    <t>Khatija Khatoon</t>
  </si>
  <si>
    <t>OYJ096306328</t>
  </si>
  <si>
    <t>NA</t>
  </si>
  <si>
    <t>Shabnam bano</t>
  </si>
  <si>
    <t>KQR2367258</t>
  </si>
  <si>
    <t>Sabnam Bano</t>
  </si>
  <si>
    <t>OKA398448524</t>
  </si>
  <si>
    <t>KQR0772656</t>
  </si>
  <si>
    <t>Md. Mumtaz Ali</t>
  </si>
  <si>
    <t>ONG303025992</t>
  </si>
  <si>
    <t>KQR7002934</t>
  </si>
  <si>
    <t>OWP107083268</t>
  </si>
  <si>
    <t>Md Ejaj</t>
  </si>
  <si>
    <t>OYI545501618</t>
  </si>
  <si>
    <t>Mohammad Raji</t>
  </si>
  <si>
    <t>OEI461575702</t>
  </si>
  <si>
    <t>MD Sajjad</t>
  </si>
  <si>
    <t>OAJ918878011</t>
  </si>
  <si>
    <t>Shayra Bano</t>
  </si>
  <si>
    <t>OQV410339206</t>
  </si>
  <si>
    <t>DP</t>
  </si>
  <si>
    <t>Mohammad Sarfaraz Ali</t>
  </si>
  <si>
    <t>OIL327919298</t>
  </si>
  <si>
    <t>OVU453369635</t>
  </si>
  <si>
    <t>PFD</t>
  </si>
  <si>
    <t>KQR2114284</t>
  </si>
  <si>
    <t>Md Tabrez Ahmad</t>
  </si>
  <si>
    <t>ODB168966698</t>
  </si>
  <si>
    <t>NFDA</t>
  </si>
  <si>
    <t>Md Ajmad</t>
  </si>
  <si>
    <t>KQR2295343</t>
  </si>
  <si>
    <t>Md Ajamad</t>
  </si>
  <si>
    <t>KQR2295343@</t>
  </si>
  <si>
    <t>OYT948577225</t>
  </si>
  <si>
    <t>AHD</t>
  </si>
  <si>
    <t>KQR2295350</t>
  </si>
  <si>
    <t>Shakila Bano</t>
  </si>
  <si>
    <t>OHI500751774</t>
  </si>
  <si>
    <t>NFDAP</t>
  </si>
  <si>
    <t>Subhojit Banerjee</t>
  </si>
  <si>
    <t>LRV3661972</t>
  </si>
  <si>
    <t>Subhajit</t>
  </si>
  <si>
    <t>ORW090314156</t>
  </si>
  <si>
    <t>NFADP</t>
  </si>
  <si>
    <t>Chandan Banerjee</t>
  </si>
  <si>
    <t>LRV1588763</t>
  </si>
  <si>
    <t>155/301</t>
  </si>
  <si>
    <t>Chandan Banarji</t>
  </si>
  <si>
    <t>ORL946688566</t>
  </si>
  <si>
    <t>Baishakhi Banerjee</t>
  </si>
  <si>
    <t>LRV6526677</t>
  </si>
  <si>
    <t>155/302</t>
  </si>
  <si>
    <t>Baishakhi Banerji</t>
  </si>
  <si>
    <t>OKX395046144</t>
  </si>
  <si>
    <t>F</t>
  </si>
  <si>
    <t>Hassan</t>
  </si>
  <si>
    <t>LRV1317786</t>
  </si>
  <si>
    <t>160/70</t>
  </si>
  <si>
    <t>Tauheed Ahmad</t>
  </si>
  <si>
    <t>ODV904983087</t>
  </si>
  <si>
    <t>LRV1317794</t>
  </si>
  <si>
    <t>160/73</t>
  </si>
  <si>
    <t>Tauseeful Hassan</t>
  </si>
  <si>
    <t>OPF797058135</t>
  </si>
  <si>
    <t>LRV1317802</t>
  </si>
  <si>
    <t>160/72</t>
  </si>
  <si>
    <t>Farooque Ahmad</t>
  </si>
  <si>
    <t>OWA339091378</t>
  </si>
  <si>
    <t>H</t>
  </si>
  <si>
    <t>BR/50/291/681330</t>
  </si>
  <si>
    <t>Rasda Khatoon</t>
  </si>
  <si>
    <t>ONF509504106</t>
  </si>
  <si>
    <t>MD Sarfraz</t>
  </si>
  <si>
    <t>BR/50/290/738003</t>
  </si>
  <si>
    <t>318/275</t>
  </si>
  <si>
    <t>Md Srfraz Ahmad</t>
  </si>
  <si>
    <t>OQM480635336</t>
  </si>
  <si>
    <t>NHADP</t>
  </si>
  <si>
    <t>Naushaba</t>
  </si>
  <si>
    <t>KQR2297687</t>
  </si>
  <si>
    <t>318/277</t>
  </si>
  <si>
    <t>Noushaba khatoon</t>
  </si>
  <si>
    <t>OAC507480296</t>
  </si>
  <si>
    <t>ADP</t>
  </si>
  <si>
    <t>KQR6447908</t>
  </si>
  <si>
    <t>318/279</t>
  </si>
  <si>
    <t>Majid Sarfraz</t>
  </si>
  <si>
    <t>ORX660916216</t>
  </si>
  <si>
    <t>md imran</t>
  </si>
  <si>
    <t>LRV1966654</t>
  </si>
  <si>
    <t>162/156</t>
  </si>
  <si>
    <t>MD Imaran</t>
  </si>
  <si>
    <t>LRV1966654@</t>
  </si>
  <si>
    <t>OML182817215</t>
  </si>
  <si>
    <t>HD</t>
  </si>
  <si>
    <t>LRV3398096</t>
  </si>
  <si>
    <t>162/152</t>
  </si>
  <si>
    <t>Anabari Khatoon</t>
  </si>
  <si>
    <t>OHU177973903</t>
  </si>
  <si>
    <t>safir ahmad</t>
  </si>
  <si>
    <t>KQR2109121</t>
  </si>
  <si>
    <t>SYED SAFIR AHMAD</t>
  </si>
  <si>
    <t>Linking</t>
  </si>
  <si>
    <t>KQR3506649</t>
  </si>
  <si>
    <t>Md Sarwar Hassan</t>
  </si>
  <si>
    <t>OGL762532194</t>
  </si>
  <si>
    <t>Sohan Singh</t>
  </si>
  <si>
    <t>OTC962671257</t>
  </si>
  <si>
    <t>Jayanti Singh</t>
  </si>
  <si>
    <t>ONI267492222</t>
  </si>
  <si>
    <t>BLO</t>
  </si>
  <si>
    <t>OYM396219848</t>
  </si>
  <si>
    <t>KQR7645161</t>
  </si>
  <si>
    <t>Ghausia Farhana</t>
  </si>
  <si>
    <t>Delivered</t>
  </si>
  <si>
    <t>OTR384808784</t>
  </si>
  <si>
    <t>Shama Najnin</t>
  </si>
  <si>
    <t>OQE072386633</t>
  </si>
  <si>
    <t>Tanistha Roy Chowdhury</t>
  </si>
  <si>
    <t>OTM783484304</t>
  </si>
  <si>
    <t>Ritwika Acharjee</t>
  </si>
  <si>
    <t>OXA803875255</t>
  </si>
  <si>
    <t>FVD</t>
  </si>
  <si>
    <t>Sanket Suman</t>
  </si>
  <si>
    <t>OPO931336905</t>
  </si>
  <si>
    <t>ad</t>
  </si>
  <si>
    <t>KQR3585072</t>
  </si>
  <si>
    <t>318/278</t>
  </si>
  <si>
    <t>Farzana Khatoon</t>
  </si>
  <si>
    <t>OBD673578601</t>
  </si>
  <si>
    <t>KQR3490125</t>
  </si>
  <si>
    <t>318/203</t>
  </si>
  <si>
    <t>Khadija Bano</t>
  </si>
  <si>
    <t>ORF406070598</t>
  </si>
  <si>
    <t>NDPA</t>
  </si>
  <si>
    <t>BR/50/290/738541</t>
  </si>
  <si>
    <t>Resalat Ali Khan</t>
  </si>
  <si>
    <t>OIE046053773</t>
  </si>
  <si>
    <t>Umar Tasneem</t>
  </si>
  <si>
    <t>OUQ669854692</t>
  </si>
  <si>
    <t>Hasibur Rahaman</t>
  </si>
  <si>
    <t>OLO552122574</t>
  </si>
  <si>
    <t>KQR7644990</t>
  </si>
  <si>
    <t>321/800</t>
  </si>
  <si>
    <t>Raquib Adnan Akhtar</t>
  </si>
  <si>
    <t>OVS110046257</t>
  </si>
  <si>
    <t>NAD</t>
  </si>
  <si>
    <t>KQR3490109</t>
  </si>
  <si>
    <t>Sajid Sarfaraz Shamsi</t>
  </si>
  <si>
    <t>OHS945859555</t>
  </si>
  <si>
    <t>Shafqat Jabeen</t>
  </si>
  <si>
    <t>OTV581777666</t>
  </si>
  <si>
    <t>No Record Found</t>
  </si>
  <si>
    <t>LRV1317778</t>
  </si>
  <si>
    <t>Tanwir Ahmad</t>
  </si>
  <si>
    <t>KQR2117805</t>
  </si>
  <si>
    <t>KQR2117813</t>
  </si>
  <si>
    <t>OTY943149514</t>
  </si>
  <si>
    <t>Pushpanjali Mahato</t>
  </si>
  <si>
    <t>OCQ876516791</t>
  </si>
  <si>
    <t>NFA</t>
  </si>
  <si>
    <t>Amit kumar chaki</t>
  </si>
  <si>
    <t>BR/50/290/687140</t>
  </si>
  <si>
    <t>Amit Chaki</t>
  </si>
  <si>
    <t>OPU759665076</t>
  </si>
  <si>
    <t>Anit Mahato</t>
  </si>
  <si>
    <t>DUE</t>
  </si>
  <si>
    <t>OQT661794376</t>
  </si>
  <si>
    <t>Firoz Anwar</t>
  </si>
  <si>
    <t>Firoj Anwar</t>
  </si>
  <si>
    <t>OAJ136483626</t>
  </si>
  <si>
    <t>ONR546299206</t>
  </si>
  <si>
    <t>NDH</t>
  </si>
  <si>
    <t>KQR0781190</t>
  </si>
  <si>
    <t>Asama Begum</t>
  </si>
  <si>
    <t>OIC635512856</t>
  </si>
  <si>
    <t>Md Sohail Akhter</t>
  </si>
  <si>
    <t>OWN776308148</t>
  </si>
  <si>
    <t>OUT962815306</t>
  </si>
  <si>
    <t>Shagufta Parween</t>
  </si>
  <si>
    <t>OAB579669251</t>
  </si>
  <si>
    <t>Ghazala Jabeen</t>
  </si>
  <si>
    <t>OEO137370202</t>
  </si>
  <si>
    <t>Sabita Kotal</t>
  </si>
  <si>
    <t>OWC941285768</t>
  </si>
  <si>
    <t>Lalu Kotal</t>
  </si>
  <si>
    <t>OBA765965852</t>
  </si>
  <si>
    <t>gosto bihari mahato</t>
  </si>
  <si>
    <t>BR/50/290/705284</t>
  </si>
  <si>
    <t>Goshtho Mahato</t>
  </si>
  <si>
    <t>OML535773145</t>
  </si>
  <si>
    <t>OYD547256798</t>
  </si>
  <si>
    <t>BR/50/290/735633</t>
  </si>
  <si>
    <t>OIA251876023</t>
  </si>
  <si>
    <t>NF</t>
  </si>
  <si>
    <t>shekhar to sarkar</t>
  </si>
  <si>
    <t>KQR7043342</t>
  </si>
  <si>
    <t>subhas chandra sarkar</t>
  </si>
  <si>
    <t>ODR130486107</t>
  </si>
  <si>
    <t>SIFT</t>
  </si>
  <si>
    <t>rail carriage to ghorabandha</t>
  </si>
  <si>
    <t>OUM987930907</t>
  </si>
  <si>
    <t>Rashida hassan</t>
  </si>
  <si>
    <t>KQR2119524</t>
  </si>
  <si>
    <t>Rashida Hasan</t>
  </si>
  <si>
    <t>OCR172090777</t>
  </si>
  <si>
    <t>KQR2348373</t>
  </si>
  <si>
    <t>SHAFIUZZMAN</t>
  </si>
  <si>
    <t>OJX823521613</t>
  </si>
  <si>
    <t>nur nesha khatun</t>
  </si>
  <si>
    <t>KQR7004187</t>
  </si>
  <si>
    <t>Noor nisha khatoon</t>
  </si>
  <si>
    <t>OHT736416233</t>
  </si>
  <si>
    <t>Md Samim</t>
  </si>
  <si>
    <t>OVP841192357</t>
  </si>
  <si>
    <t>BR/50/290/732512</t>
  </si>
  <si>
    <t>Anwarul Haque</t>
  </si>
  <si>
    <t>OOK570152795</t>
  </si>
  <si>
    <t>Constitution Change</t>
  </si>
  <si>
    <t>RCL2034379</t>
  </si>
  <si>
    <t>OQG496477426</t>
  </si>
  <si>
    <t>KQR2115342</t>
  </si>
  <si>
    <t>Md Sultan Ansari</t>
  </si>
  <si>
    <t>Printed</t>
  </si>
  <si>
    <t>OGA921110953</t>
  </si>
  <si>
    <t>KQR2269892</t>
  </si>
  <si>
    <t>Sadrun Nisha</t>
  </si>
  <si>
    <t>OUM710246927</t>
  </si>
  <si>
    <t>KQR7000987</t>
  </si>
  <si>
    <t>Chandani Devi</t>
  </si>
  <si>
    <t>Bihar</t>
  </si>
  <si>
    <t>OHC490942683</t>
  </si>
  <si>
    <t>G</t>
  </si>
  <si>
    <t>XCW0810184</t>
  </si>
  <si>
    <t>Asrak Ahmad</t>
  </si>
  <si>
    <t>ORA574981063</t>
  </si>
  <si>
    <t>NDF</t>
  </si>
  <si>
    <t>AIG0599944</t>
  </si>
  <si>
    <t>Abdul Sattar</t>
  </si>
  <si>
    <t>OAG200770801</t>
  </si>
  <si>
    <t>KQR2347029</t>
  </si>
  <si>
    <t>Mehatav Ansari</t>
  </si>
  <si>
    <t>ONJ060850752</t>
  </si>
  <si>
    <t>BR/50/290/735323</t>
  </si>
  <si>
    <t>Mohammad Anwarul Haque</t>
  </si>
  <si>
    <t>OTG927148922</t>
  </si>
  <si>
    <t>LRV5731682</t>
  </si>
  <si>
    <t>Kunal Kumar Chaki</t>
  </si>
  <si>
    <t>Mypass@2016</t>
  </si>
  <si>
    <t>OQH901842656</t>
  </si>
  <si>
    <t>LRV1461473</t>
  </si>
  <si>
    <t>Mousumi Chaki</t>
  </si>
  <si>
    <t>OXH181013585</t>
  </si>
  <si>
    <t>LRV5731807</t>
  </si>
  <si>
    <t>Sitam Chaki</t>
  </si>
  <si>
    <t>OUA512471042</t>
  </si>
  <si>
    <t>OJT338772844</t>
  </si>
  <si>
    <t>KQR7646490</t>
  </si>
  <si>
    <t>OGP829229413</t>
  </si>
  <si>
    <t>KQR6698716</t>
  </si>
  <si>
    <t>Gourav Ranjan</t>
  </si>
  <si>
    <t>OGR234455142</t>
  </si>
  <si>
    <t>Rubina Tarannum</t>
  </si>
  <si>
    <t>KQR2244580</t>
  </si>
  <si>
    <t>Roobina Tarnnum</t>
  </si>
  <si>
    <t>OLI857566114</t>
  </si>
  <si>
    <t>KQR6909550</t>
  </si>
  <si>
    <t>Abdul Hanan</t>
  </si>
  <si>
    <t>OMU063631935</t>
  </si>
  <si>
    <t>Shadan Rahman</t>
  </si>
  <si>
    <t>OEN361200075</t>
  </si>
  <si>
    <t>Mohammad Afzal Nadeem</t>
  </si>
  <si>
    <t>KQR2117966</t>
  </si>
  <si>
    <t>Mo Afazal Nadim</t>
  </si>
  <si>
    <t>OQK230728681</t>
  </si>
  <si>
    <t>Md Luqman</t>
  </si>
  <si>
    <t>BR/50/290/735518</t>
  </si>
  <si>
    <t>Md Lokman</t>
  </si>
  <si>
    <t>OTK672994378</t>
  </si>
  <si>
    <t>Md Aamir Ahmad</t>
  </si>
  <si>
    <t>KQR7492739</t>
  </si>
  <si>
    <t>Md Aamir Ali</t>
  </si>
  <si>
    <t>OFR560406007</t>
  </si>
  <si>
    <t>KQR2269736</t>
  </si>
  <si>
    <t>Tahir Hussain</t>
  </si>
  <si>
    <t>OFW063543522</t>
  </si>
  <si>
    <t>KQR2269744</t>
  </si>
  <si>
    <t>Nurjahan Begum</t>
  </si>
  <si>
    <t>OFW940879532</t>
  </si>
  <si>
    <t>JVN2421764</t>
  </si>
  <si>
    <t>Rafat Shahin</t>
  </si>
  <si>
    <t>OPL329935405</t>
  </si>
  <si>
    <t>Sarwar Alam</t>
  </si>
  <si>
    <t>OCE654539167</t>
  </si>
  <si>
    <t>BR./50/290/732279</t>
  </si>
  <si>
    <t>Akhtarujama</t>
  </si>
  <si>
    <t>OUH743522308</t>
  </si>
  <si>
    <t>KQR1294040</t>
  </si>
  <si>
    <t>Mahjabee</t>
  </si>
  <si>
    <t>OOM171735452</t>
  </si>
  <si>
    <t>KQR0152249</t>
  </si>
  <si>
    <t>Fahimuzaman</t>
  </si>
  <si>
    <t>OXQ999318798</t>
  </si>
  <si>
    <t>KQR2348381</t>
  </si>
  <si>
    <t>Khali Quzzaman</t>
  </si>
  <si>
    <t>OON683435665</t>
  </si>
  <si>
    <t>KQR7339450</t>
  </si>
  <si>
    <t>Mehbooba Khatoon</t>
  </si>
  <si>
    <t>OPP001966765</t>
  </si>
  <si>
    <t>KQR1294032</t>
  </si>
  <si>
    <t>Nooruzzaman</t>
  </si>
  <si>
    <t>OPG351063046</t>
  </si>
  <si>
    <t>ONU056044065</t>
  </si>
  <si>
    <t>Manoj Kumar Banerjee</t>
  </si>
  <si>
    <t>OBF170627851</t>
  </si>
  <si>
    <t>Dina Nath Tiwary</t>
  </si>
  <si>
    <t>ORS647156066</t>
  </si>
  <si>
    <t>NAF</t>
  </si>
  <si>
    <t>LRV6166136</t>
  </si>
  <si>
    <t>Bhaskar Mazumdar</t>
  </si>
  <si>
    <t>ONE015852465</t>
  </si>
  <si>
    <t>Rakhi Banerjee</t>
  </si>
  <si>
    <t>OJR099140143</t>
  </si>
  <si>
    <t>Rita Banerjee</t>
  </si>
  <si>
    <t>OTO120890844</t>
  </si>
  <si>
    <t>LRV6166144</t>
  </si>
  <si>
    <t>Motilal Mazumdar</t>
  </si>
  <si>
    <t>OYN747583578</t>
  </si>
  <si>
    <t>LRV6166169</t>
  </si>
  <si>
    <t>Rina Mazumdar</t>
  </si>
  <si>
    <t>OQM750804226</t>
  </si>
  <si>
    <t>Mohammad Afridi</t>
  </si>
  <si>
    <t>OMI413183264</t>
  </si>
  <si>
    <t>Subir Nandi</t>
  </si>
  <si>
    <t>OFY016461102</t>
  </si>
  <si>
    <t>KQR7041882</t>
  </si>
  <si>
    <t>Asma Perween</t>
  </si>
  <si>
    <t>OSK38324016</t>
  </si>
  <si>
    <t>LRV3917952</t>
  </si>
  <si>
    <t>Shanti Kumari</t>
  </si>
  <si>
    <t>OPC748265496</t>
  </si>
  <si>
    <t>KQR2252732</t>
  </si>
  <si>
    <t>OUX997044487</t>
  </si>
  <si>
    <t>BR/50/290/735165</t>
  </si>
  <si>
    <t>Ashfia Haidry</t>
  </si>
  <si>
    <t>OLG7931588214</t>
  </si>
  <si>
    <t>Mohammad Moazzam Shamsi</t>
  </si>
  <si>
    <t>OTI825423467</t>
  </si>
  <si>
    <t>Shireen Anjum</t>
  </si>
  <si>
    <t>OJO717416573</t>
  </si>
  <si>
    <t>Arti Devi</t>
  </si>
  <si>
    <t>OAQ926105001</t>
  </si>
  <si>
    <t>Kartik Gorai</t>
  </si>
  <si>
    <t>OCU287496314</t>
  </si>
  <si>
    <t>OIR126332703</t>
  </si>
  <si>
    <t>FND</t>
  </si>
  <si>
    <t>AIG0599951</t>
  </si>
  <si>
    <t>Jubaida Begum</t>
  </si>
  <si>
    <t>ODN445098651</t>
  </si>
  <si>
    <t>Booth Change</t>
  </si>
  <si>
    <t>kgn to manpita</t>
  </si>
  <si>
    <t>OPS498657316</t>
  </si>
  <si>
    <t>KQR6708978</t>
  </si>
  <si>
    <t>Md Nasim</t>
  </si>
  <si>
    <t>ORQ702468126</t>
  </si>
  <si>
    <t>Saiqua bano</t>
  </si>
  <si>
    <t>OSF724270886</t>
  </si>
  <si>
    <t>Pronati Kabiraj</t>
  </si>
  <si>
    <t>OST789596857</t>
  </si>
  <si>
    <t>Marukh  Tauheed</t>
  </si>
  <si>
    <t>OBX066463641</t>
  </si>
  <si>
    <t>A</t>
  </si>
  <si>
    <t>LRV6833644</t>
  </si>
  <si>
    <t>Shashi Updhyay</t>
  </si>
  <si>
    <t>OGW198943633</t>
  </si>
  <si>
    <t>Sanjib Sanyal</t>
  </si>
  <si>
    <t>OBO724844282</t>
  </si>
  <si>
    <t>Ilias Akhtar</t>
  </si>
  <si>
    <t>OQU141001646</t>
  </si>
  <si>
    <t>Jahanara Akhtar</t>
  </si>
  <si>
    <t>OIV279329753</t>
  </si>
  <si>
    <t>Aklima Khatoon</t>
  </si>
  <si>
    <t>OTT249010307</t>
  </si>
  <si>
    <t>Awadhesh Kumar pandey</t>
  </si>
  <si>
    <t>OVY686752962</t>
  </si>
  <si>
    <t>Raju Banerjee</t>
  </si>
  <si>
    <t>OWT888419366</t>
  </si>
  <si>
    <t>Anamika Banerjee</t>
  </si>
  <si>
    <t>OHH057495413</t>
  </si>
  <si>
    <t>LRV6902340</t>
  </si>
  <si>
    <t>155/1205</t>
  </si>
  <si>
    <t>Urvita Sharma</t>
  </si>
  <si>
    <t>OBQ728506921</t>
  </si>
  <si>
    <t>Harsh Prateek</t>
  </si>
  <si>
    <t>OHO755246823</t>
  </si>
  <si>
    <t>S M Sarfarazut Tauheed</t>
  </si>
  <si>
    <t>OVJ226619627</t>
  </si>
  <si>
    <t>Ram Kishore Kumar Singh</t>
  </si>
  <si>
    <t>OTI876948277</t>
  </si>
  <si>
    <t>Krishna Devi</t>
  </si>
  <si>
    <t>OCF980601801</t>
  </si>
  <si>
    <t>Abdul kayum</t>
  </si>
  <si>
    <t>OFH792400305</t>
  </si>
  <si>
    <t>Abdul Fahim</t>
  </si>
  <si>
    <t>linking</t>
  </si>
  <si>
    <t>Manoj Kumar singh</t>
  </si>
  <si>
    <t>OBY688992764</t>
  </si>
  <si>
    <t>Shankar Swansi</t>
  </si>
  <si>
    <t>OGR917852693</t>
  </si>
  <si>
    <t>Lalan Lal</t>
  </si>
  <si>
    <t>ONT899233078</t>
  </si>
  <si>
    <t>Priti Devi</t>
  </si>
  <si>
    <t>OGI137600631</t>
  </si>
  <si>
    <t>49-48</t>
  </si>
  <si>
    <t>Bimlesh Kumar singh</t>
  </si>
  <si>
    <t>OSB271009531</t>
  </si>
  <si>
    <t>Sunita Kumari Singh</t>
  </si>
  <si>
    <t>ORE800067271</t>
  </si>
  <si>
    <t>Masoom Ali</t>
  </si>
  <si>
    <t>OIF912005365</t>
  </si>
  <si>
    <t>Amrit Narayan Singh</t>
  </si>
  <si>
    <t>OPY322085785</t>
  </si>
  <si>
    <t>Shabana Begum</t>
  </si>
  <si>
    <t>OST933795276</t>
  </si>
  <si>
    <t>Keya Sinha</t>
  </si>
  <si>
    <t>OCP632422151</t>
  </si>
  <si>
    <t>Syed Mohammad Tarique Anwer</t>
  </si>
  <si>
    <t>OWN426867138</t>
  </si>
  <si>
    <t>LRAV6586945</t>
  </si>
  <si>
    <t>Sunita Purty</t>
  </si>
  <si>
    <t>OVF902102047</t>
  </si>
  <si>
    <t>Meera Singh</t>
  </si>
  <si>
    <t>OCH423698901</t>
  </si>
  <si>
    <t>Brijesh Singh</t>
  </si>
  <si>
    <t>OKA081142594</t>
  </si>
  <si>
    <t>Manisha Khatoon</t>
  </si>
  <si>
    <t>OTF718491777</t>
  </si>
  <si>
    <t>Okeel Ahmad</t>
  </si>
  <si>
    <t>OUG191764027</t>
  </si>
  <si>
    <t>OCI320874021</t>
  </si>
  <si>
    <t>Md Zafar</t>
  </si>
  <si>
    <t>OMG945061304</t>
  </si>
  <si>
    <t>Kundan Karwa</t>
  </si>
  <si>
    <t>OWT108406816</t>
  </si>
  <si>
    <t>Karan Mukhi</t>
  </si>
  <si>
    <t>OMK906499154</t>
  </si>
  <si>
    <t>OUJ044063137</t>
  </si>
  <si>
    <t>OKS071359974</t>
  </si>
  <si>
    <t>Renu Bhattarchrjee</t>
  </si>
  <si>
    <t>OBB506829281</t>
  </si>
  <si>
    <t>Babu Ram Thapa</t>
  </si>
  <si>
    <t>OHU140109333</t>
  </si>
  <si>
    <t>OLX147962464</t>
  </si>
  <si>
    <t>KQR1982503</t>
  </si>
  <si>
    <t>Jayanti Das</t>
  </si>
  <si>
    <t>OLW267947434</t>
  </si>
  <si>
    <t>R</t>
  </si>
  <si>
    <t>MLL4952735</t>
  </si>
  <si>
    <t>ODM253762142</t>
  </si>
  <si>
    <t>MLL4952727</t>
  </si>
  <si>
    <t>ORO791494946</t>
  </si>
  <si>
    <t>S K Zahid</t>
  </si>
  <si>
    <t>OOL495912335</t>
  </si>
  <si>
    <t>ORK406933056</t>
  </si>
  <si>
    <t>Safiqul Alam</t>
  </si>
  <si>
    <t>OBE274440571</t>
  </si>
  <si>
    <t>OEO010764582</t>
  </si>
  <si>
    <t>Prerna Bardani Topno</t>
  </si>
  <si>
    <t>OBW685084851</t>
  </si>
  <si>
    <t>KQR2093086</t>
  </si>
  <si>
    <t>Prity Sinha</t>
  </si>
  <si>
    <t>Kiranajay@123</t>
  </si>
  <si>
    <t>OQJ008341496</t>
  </si>
  <si>
    <t>KQR7473754</t>
  </si>
  <si>
    <t>Ricky Mahato</t>
  </si>
  <si>
    <t>OCU000438651</t>
  </si>
  <si>
    <t>DHRUB ORAON</t>
  </si>
  <si>
    <t>OMV041940332</t>
  </si>
  <si>
    <t>KUNJESHWARI DEVI</t>
  </si>
  <si>
    <t>OUI999685947</t>
  </si>
  <si>
    <t>kqr7540701</t>
  </si>
  <si>
    <t>Aesha Parween</t>
  </si>
  <si>
    <t>OVP535453176</t>
  </si>
  <si>
    <t>MOHAMAD RAFIQUE HUSSAIN</t>
  </si>
  <si>
    <t>KQR3491065</t>
  </si>
  <si>
    <t>MO.RAFIK HUSSAIN</t>
  </si>
  <si>
    <t>OKS255257571</t>
  </si>
  <si>
    <t>Abdul Shariq</t>
  </si>
  <si>
    <t>ONK444886785</t>
  </si>
  <si>
    <t>Nitish Kumar</t>
  </si>
  <si>
    <t>OEG261816062</t>
  </si>
  <si>
    <t>Rina Kumari</t>
  </si>
  <si>
    <t>OEG277954372</t>
  </si>
  <si>
    <t>NH</t>
  </si>
  <si>
    <t>GBG0760162</t>
  </si>
  <si>
    <t>Mamata Kar</t>
  </si>
  <si>
    <t>OSL476624615</t>
  </si>
  <si>
    <t>KQR7580020</t>
  </si>
  <si>
    <t>Nikita Das</t>
  </si>
  <si>
    <t>OKH666229444</t>
  </si>
  <si>
    <t>47-48</t>
  </si>
  <si>
    <t>Ruby Jha</t>
  </si>
  <si>
    <t>OIA314597383</t>
  </si>
  <si>
    <t>Rajeshwar Jha</t>
  </si>
  <si>
    <t>OTA220565417</t>
  </si>
  <si>
    <t>NDFPA</t>
  </si>
  <si>
    <t>KQR2115052</t>
  </si>
  <si>
    <t>Md Irshad Alam</t>
  </si>
  <si>
    <t>OME294315562</t>
  </si>
  <si>
    <t>NDFA</t>
  </si>
  <si>
    <t>KQR2115037</t>
  </si>
  <si>
    <t>Mostari Begum</t>
  </si>
  <si>
    <t>OBJ308095942</t>
  </si>
  <si>
    <t>NDFP</t>
  </si>
  <si>
    <t>KQR2115045</t>
  </si>
  <si>
    <t>Md Shamim Ansari</t>
  </si>
  <si>
    <t>Ashutosh Prasad</t>
  </si>
  <si>
    <t>OHU714992783</t>
  </si>
  <si>
    <t>NEw</t>
  </si>
  <si>
    <t>Sagrika Mukherjee</t>
  </si>
  <si>
    <t>OAK423122751</t>
  </si>
  <si>
    <t>KQR3586435</t>
  </si>
  <si>
    <t>Ranabir Bose(right one)</t>
  </si>
  <si>
    <t>Mypass@20</t>
  </si>
  <si>
    <t>OGF788852253</t>
  </si>
  <si>
    <t>add</t>
  </si>
  <si>
    <t>LRV5778535</t>
  </si>
  <si>
    <t>Jagat Bandhu Rajak</t>
  </si>
  <si>
    <t>OLO243035654</t>
  </si>
  <si>
    <t>KQR7551179</t>
  </si>
  <si>
    <t>Tanushree to Tanusree</t>
  </si>
  <si>
    <t>OAS359992061</t>
  </si>
  <si>
    <t>name+fname</t>
  </si>
  <si>
    <t>LRV6746705</t>
  </si>
  <si>
    <t>Sourav Dutta</t>
  </si>
  <si>
    <t>OPI281504335</t>
  </si>
  <si>
    <t>KQR2120026</t>
  </si>
  <si>
    <t>MD RIZWAN IQBAL TO IQUBAL</t>
  </si>
  <si>
    <t>OXE260781598</t>
  </si>
  <si>
    <t>F+P+</t>
  </si>
  <si>
    <t>BR/50/290/735606</t>
  </si>
  <si>
    <t>OCV696790561</t>
  </si>
  <si>
    <t>OTW021702597</t>
  </si>
  <si>
    <t>KQR7002876</t>
  </si>
  <si>
    <t>Banani Nandi</t>
  </si>
  <si>
    <t>OFD923466042</t>
  </si>
  <si>
    <t>Sefali Gorai</t>
  </si>
  <si>
    <t>OOT219472715</t>
  </si>
  <si>
    <t>LRV3317435</t>
  </si>
  <si>
    <t>Rajarani/to rajrani</t>
  </si>
  <si>
    <t>OGL932019498</t>
  </si>
  <si>
    <t>KQR0774979</t>
  </si>
  <si>
    <t>Ishteyaque Ahmad Quadri</t>
  </si>
  <si>
    <t>OLW074392675</t>
  </si>
  <si>
    <t>KQR2108659</t>
  </si>
  <si>
    <t>Ishrat Jahan</t>
  </si>
  <si>
    <t>OAA127162061</t>
  </si>
  <si>
    <t>KQR0153262</t>
  </si>
  <si>
    <t>Afeeque Ahmad Quadri</t>
  </si>
  <si>
    <t>OQX135320296</t>
  </si>
  <si>
    <t>KQR2276053</t>
  </si>
  <si>
    <t>Shohuque Ahmad Quadri</t>
  </si>
  <si>
    <t>OYL852392232</t>
  </si>
  <si>
    <t>N+F+D</t>
  </si>
  <si>
    <t>KQR2366995</t>
  </si>
  <si>
    <t>Shamekha</t>
  </si>
  <si>
    <t>OES538308542</t>
  </si>
  <si>
    <t>N+h+D</t>
  </si>
  <si>
    <t>Shahama</t>
  </si>
  <si>
    <t>Printing</t>
  </si>
  <si>
    <t>BR/50/290/357167</t>
  </si>
  <si>
    <t>Sunil Das Gupta</t>
  </si>
  <si>
    <t>OAV425504621</t>
  </si>
  <si>
    <t>Madhumita Das</t>
  </si>
  <si>
    <t>OLS568449724</t>
  </si>
  <si>
    <t>Mrinal Kanti Das</t>
  </si>
  <si>
    <t>OUH283066807</t>
  </si>
  <si>
    <t>OYL849561838</t>
  </si>
  <si>
    <t>OMF880184045</t>
  </si>
  <si>
    <t>BR/50/290/732180</t>
  </si>
  <si>
    <t>OJV673578774</t>
  </si>
  <si>
    <t>N+D</t>
  </si>
  <si>
    <t>BR/50/290/732434</t>
  </si>
  <si>
    <t>Mohammad Jamal Mustafa</t>
  </si>
  <si>
    <t>OTM753632087</t>
  </si>
  <si>
    <t>KQR6703813</t>
  </si>
  <si>
    <t>Farhan Naaz</t>
  </si>
  <si>
    <t>OUT329584622</t>
  </si>
  <si>
    <t>ONE749824795</t>
  </si>
  <si>
    <t>br/50/290/738074</t>
  </si>
  <si>
    <t>Md Tanbir Alam</t>
  </si>
  <si>
    <t>ogw597407863</t>
  </si>
  <si>
    <t>Lalu Singh</t>
  </si>
  <si>
    <t>OVK313057317</t>
  </si>
  <si>
    <t>OYE867512758</t>
  </si>
  <si>
    <t>LRV6920177</t>
  </si>
  <si>
    <t>Rai Satyavathi</t>
  </si>
  <si>
    <t>OOR200123375</t>
  </si>
  <si>
    <t>LRV6920169</t>
  </si>
  <si>
    <t>Rai Venkata Laxmi</t>
  </si>
  <si>
    <t>OXP993436978</t>
  </si>
  <si>
    <t>ORU663683396</t>
  </si>
  <si>
    <t>Sajda Qamar</t>
  </si>
  <si>
    <t>OBV947110081</t>
  </si>
  <si>
    <t>ORO823579206</t>
  </si>
  <si>
    <t>NFAP</t>
  </si>
  <si>
    <t>KQR3577350</t>
  </si>
  <si>
    <t>Raju Keshri</t>
  </si>
  <si>
    <t>OOW231589525</t>
  </si>
  <si>
    <t>A, D</t>
  </si>
  <si>
    <t>TAK240127</t>
  </si>
  <si>
    <t>ONO034954825</t>
  </si>
  <si>
    <t>ODI261288782</t>
  </si>
  <si>
    <t>Baban Devi</t>
  </si>
  <si>
    <t>OYS085367438</t>
  </si>
  <si>
    <t>Ashis Choudhury</t>
  </si>
  <si>
    <t>OAA865026031</t>
  </si>
  <si>
    <t>Banani Choudhury</t>
  </si>
  <si>
    <t>Rahida Khatoon</t>
  </si>
  <si>
    <t>OET449764272</t>
  </si>
  <si>
    <t>KQR2399913</t>
  </si>
  <si>
    <t>ONY090191265</t>
  </si>
  <si>
    <t>N+H</t>
  </si>
  <si>
    <t>Qamre Jahan</t>
  </si>
  <si>
    <t>KQR7091515</t>
  </si>
  <si>
    <t>KAMRE JAHAN</t>
  </si>
  <si>
    <t>OIE015190143</t>
  </si>
  <si>
    <t>N+F</t>
  </si>
  <si>
    <t>ZAFAR ALAM</t>
  </si>
  <si>
    <t>KQR2115557</t>
  </si>
  <si>
    <t>JAFAR ALAM</t>
  </si>
  <si>
    <t>OSS296574576</t>
  </si>
  <si>
    <t>Puthul Goonder</t>
  </si>
  <si>
    <t>KRQ6585210</t>
  </si>
  <si>
    <t>POONGAVANAM</t>
  </si>
  <si>
    <t>LRV0848945</t>
  </si>
  <si>
    <t>Mamadi Venkat Ravi Rava</t>
  </si>
  <si>
    <t>OAT519799361</t>
  </si>
  <si>
    <t>Naznin Babo</t>
  </si>
  <si>
    <t>OAL584951241</t>
  </si>
  <si>
    <t>KQR7645575</t>
  </si>
  <si>
    <t>Mohmmad Firoz Ahmad</t>
  </si>
  <si>
    <t>ORR781516396</t>
  </si>
  <si>
    <t>KQR7003320</t>
  </si>
  <si>
    <t>OMB754607124</t>
  </si>
  <si>
    <t>KQR6703979</t>
  </si>
  <si>
    <t>Mohammad Samim Khan</t>
  </si>
  <si>
    <t>OAS364641011</t>
  </si>
  <si>
    <t>KQR2373819</t>
  </si>
  <si>
    <t>OTB994885142</t>
  </si>
  <si>
    <t>LRV1291445</t>
  </si>
  <si>
    <t>Arun Kumar Vidyarthi</t>
  </si>
  <si>
    <t>OKA718280554</t>
  </si>
  <si>
    <t>RD</t>
  </si>
  <si>
    <t>LRV1291452</t>
  </si>
  <si>
    <t>OBF622805041</t>
  </si>
  <si>
    <t>LRV7017551</t>
  </si>
  <si>
    <t>OLG792952234</t>
  </si>
  <si>
    <t>Pratibha Shah</t>
  </si>
  <si>
    <t>OEG722445762</t>
  </si>
  <si>
    <t>BR/50/290/729633</t>
  </si>
  <si>
    <t>Ranjeet Singh Chahal</t>
  </si>
  <si>
    <t>OKM784649964</t>
  </si>
  <si>
    <t>JVN3009966</t>
  </si>
  <si>
    <t>Bhawana Devi</t>
  </si>
  <si>
    <t>FULLPAID</t>
  </si>
  <si>
    <t>DJK937948634</t>
  </si>
  <si>
    <t>REPRINT</t>
  </si>
  <si>
    <t>KQR1989367</t>
  </si>
  <si>
    <t>Downloaded</t>
  </si>
  <si>
    <t>Bibi Jamila KHATOON</t>
  </si>
  <si>
    <t>OFC339558582</t>
  </si>
  <si>
    <t>OEE343574872</t>
  </si>
  <si>
    <t>OJB134982314</t>
  </si>
  <si>
    <t>Ful Paid</t>
  </si>
  <si>
    <t>DBB058034431</t>
  </si>
  <si>
    <t>Tatkal</t>
  </si>
  <si>
    <t>Md Shamshad Ali</t>
  </si>
  <si>
    <t>Shop</t>
  </si>
  <si>
    <t>Full due</t>
  </si>
  <si>
    <t>DQK838872096</t>
  </si>
  <si>
    <t>KQR6453054</t>
  </si>
  <si>
    <t>Rita Sah</t>
  </si>
  <si>
    <t>DTO066976697</t>
  </si>
  <si>
    <t>ABDUL HANNAN KHAN</t>
  </si>
  <si>
    <t>Full Paid</t>
  </si>
  <si>
    <t>DLF584477594</t>
  </si>
  <si>
    <t>KQR2110029</t>
  </si>
  <si>
    <t>Mohammad Farid</t>
  </si>
  <si>
    <t>OAS943074781</t>
  </si>
  <si>
    <t>NAH</t>
  </si>
  <si>
    <t>LRV5952981</t>
  </si>
  <si>
    <t>Sarita Sharan</t>
  </si>
  <si>
    <t>OIG971870238</t>
  </si>
  <si>
    <t>Mohammad nadim</t>
  </si>
  <si>
    <t>DJD005752904</t>
  </si>
  <si>
    <t xml:space="preserve">Avishake Chatterjee </t>
  </si>
  <si>
    <t>Jitendra Saw</t>
  </si>
  <si>
    <t>DEQ943915492</t>
  </si>
  <si>
    <t>Reprint</t>
  </si>
  <si>
    <t>BR/50/290/726521</t>
  </si>
  <si>
    <t>Parimal CHOUDHARY</t>
  </si>
  <si>
    <t>OAF501269731</t>
  </si>
  <si>
    <t>Sangeeta Srivastava</t>
  </si>
  <si>
    <t>OAV206547551</t>
  </si>
  <si>
    <t>Ritika Srivastav</t>
  </si>
  <si>
    <t>OKF966797704</t>
  </si>
  <si>
    <t>KQR2367084</t>
  </si>
  <si>
    <t>Minhaj Ahmad</t>
  </si>
  <si>
    <t>OBS386878001</t>
  </si>
  <si>
    <t>OIO156781903</t>
  </si>
  <si>
    <t>OSI632113867</t>
  </si>
  <si>
    <t>Varsha Tripathy</t>
  </si>
  <si>
    <t>OPU431968278</t>
  </si>
  <si>
    <t>Ashok Kumar Tripathy</t>
  </si>
  <si>
    <t>OYO899399328</t>
  </si>
  <si>
    <t>Katadi Bhagya Laxmi</t>
  </si>
  <si>
    <t>ODI926173582</t>
  </si>
  <si>
    <t>Katadi Gopi Krishna Rao</t>
  </si>
  <si>
    <t>ODR112790782</t>
  </si>
  <si>
    <t>ONV397987505</t>
  </si>
  <si>
    <t>Transfer</t>
  </si>
  <si>
    <t>LPV8689135</t>
  </si>
  <si>
    <t>OYI960882068</t>
  </si>
  <si>
    <t>KQR2107931</t>
  </si>
  <si>
    <t>Jalauddin Ahamad</t>
  </si>
  <si>
    <t>DQW377852716</t>
  </si>
  <si>
    <t>LRV6909295</t>
  </si>
  <si>
    <t>T Deep</t>
  </si>
  <si>
    <t>DTV750171787</t>
  </si>
  <si>
    <t>Maylyon</t>
  </si>
  <si>
    <t>LRV0367565</t>
  </si>
  <si>
    <t>Rajiv Ranjan Verma</t>
  </si>
  <si>
    <t>DXN407730008</t>
  </si>
  <si>
    <t>Arvind Mallik</t>
  </si>
  <si>
    <t>JVN5976329</t>
  </si>
  <si>
    <t>SMRITI KUMARI JHA</t>
  </si>
  <si>
    <t>OKY613045914</t>
  </si>
  <si>
    <t>Manas Pal</t>
  </si>
  <si>
    <t>Mousumi Das</t>
  </si>
  <si>
    <t>DLW407283344</t>
  </si>
  <si>
    <t>LRV0111336</t>
  </si>
  <si>
    <t>Santosh Thakur</t>
  </si>
  <si>
    <t>OD</t>
  </si>
  <si>
    <t>KQR7639750</t>
  </si>
  <si>
    <t>Riddi Prasad Mahato</t>
  </si>
  <si>
    <t>KQR7658297</t>
  </si>
  <si>
    <t>Anita Mandal</t>
  </si>
  <si>
    <t>KQR5444491</t>
  </si>
  <si>
    <t>Suresh Lohar</t>
  </si>
  <si>
    <t>KQR0150797</t>
  </si>
  <si>
    <t>Rajib Bandyopadhyay</t>
  </si>
  <si>
    <t>DTP908883487</t>
  </si>
  <si>
    <t>Somitro Sarkar</t>
  </si>
  <si>
    <t>JVN7250921</t>
  </si>
  <si>
    <t>Mohammad Yusuf</t>
  </si>
  <si>
    <t>KQR7177603</t>
  </si>
  <si>
    <t>Jobani Mahato</t>
  </si>
  <si>
    <t>KQR7658289</t>
  </si>
  <si>
    <t>Binita Mahato</t>
  </si>
  <si>
    <t>ODJ711571588</t>
  </si>
  <si>
    <t>LRV6419246</t>
  </si>
  <si>
    <t>OBV555600621</t>
  </si>
  <si>
    <t>NDA</t>
  </si>
  <si>
    <t>KQR0153254</t>
  </si>
  <si>
    <t>Tanweer Hussain</t>
  </si>
  <si>
    <t>6202 907 866</t>
  </si>
  <si>
    <t>KQR6586002</t>
  </si>
  <si>
    <t>Kriti Sinha</t>
  </si>
  <si>
    <t>KQR3585700</t>
  </si>
  <si>
    <t>Pravin Kumar Sinha</t>
  </si>
  <si>
    <t>KULDEEP KAUR</t>
  </si>
  <si>
    <t>OEE245100572</t>
  </si>
  <si>
    <t>KQR1961019</t>
  </si>
  <si>
    <t>Sujit Kumar</t>
  </si>
  <si>
    <t>reprint</t>
  </si>
  <si>
    <t>KQR6469019</t>
  </si>
  <si>
    <t>Biswajit Roy</t>
  </si>
  <si>
    <t>DCE125039311</t>
  </si>
  <si>
    <t>OHJ904315243</t>
  </si>
  <si>
    <t>LRV6881221</t>
  </si>
  <si>
    <t>JVN4155529</t>
  </si>
  <si>
    <t>Jaya Nand</t>
  </si>
  <si>
    <t>nirdesh</t>
  </si>
  <si>
    <t>DQF102647166</t>
  </si>
  <si>
    <t>K38/3, Rivew view Colony</t>
  </si>
  <si>
    <t>DKA696045954</t>
  </si>
  <si>
    <t>KQR6451272</t>
  </si>
  <si>
    <t>MOBINA KHATUN</t>
  </si>
  <si>
    <t>DAF545782931</t>
  </si>
  <si>
    <t>JVN1262311</t>
  </si>
  <si>
    <t>Jaya Sona</t>
  </si>
  <si>
    <t>DNX994822995</t>
  </si>
  <si>
    <t>saved</t>
  </si>
  <si>
    <t>LRV0110163</t>
  </si>
  <si>
    <t>sarafaraz Nava</t>
  </si>
  <si>
    <t>DDD274259812</t>
  </si>
  <si>
    <t>KQR7425614</t>
  </si>
  <si>
    <t>NIKEE TIWARY</t>
  </si>
  <si>
    <t>DCD831121831</t>
  </si>
  <si>
    <t>KQR1988682</t>
  </si>
  <si>
    <t>Neyazuddin Khan</t>
  </si>
  <si>
    <t>20p</t>
  </si>
  <si>
    <t>DUC737443697</t>
  </si>
  <si>
    <t>Bhawani Devi</t>
  </si>
  <si>
    <t>DTA306032917</t>
  </si>
  <si>
    <t>LRV6841837</t>
  </si>
  <si>
    <t>Ajay Kumar Shukla</t>
  </si>
  <si>
    <t>DNQ664209745</t>
  </si>
  <si>
    <t>JVN2163087</t>
  </si>
  <si>
    <t>Balama Gupt Jamuda</t>
  </si>
  <si>
    <t>20p100D</t>
  </si>
  <si>
    <t>DUK594556367</t>
  </si>
  <si>
    <t>DQH491571156</t>
  </si>
  <si>
    <t>KQR0778458</t>
  </si>
  <si>
    <t>Md. Rizwan</t>
  </si>
  <si>
    <t>OYH011643978</t>
  </si>
  <si>
    <t>JVN6909741</t>
  </si>
  <si>
    <t>Farhana Anjum</t>
  </si>
  <si>
    <t>DIM532611033</t>
  </si>
  <si>
    <t>Dilip Nag</t>
  </si>
  <si>
    <t>Milyon</t>
  </si>
  <si>
    <t>DGA605689373</t>
  </si>
  <si>
    <t>Balvindar Kaur</t>
  </si>
  <si>
    <t>20p100d</t>
  </si>
  <si>
    <t>print</t>
  </si>
  <si>
    <t>LRV0697292</t>
  </si>
  <si>
    <t>Gagan Chandra Bera</t>
  </si>
  <si>
    <t>lrv2434157</t>
  </si>
  <si>
    <t>Archana Bera</t>
  </si>
  <si>
    <t>LRV6347744</t>
  </si>
  <si>
    <t>Nikhil Kumar</t>
  </si>
  <si>
    <t>LRV35551553</t>
  </si>
  <si>
    <t>birendra singh</t>
  </si>
  <si>
    <t>thakur</t>
  </si>
  <si>
    <t>LRV9206791</t>
  </si>
  <si>
    <t>Anita Singh</t>
  </si>
  <si>
    <t>KQR6432942</t>
  </si>
  <si>
    <t>Samir nand Thakur</t>
  </si>
  <si>
    <t>refunded</t>
  </si>
  <si>
    <t>OKD590040081</t>
  </si>
  <si>
    <t>Prem Lata</t>
  </si>
  <si>
    <t>Mypass@2021</t>
  </si>
  <si>
    <t>OWM915209118</t>
  </si>
  <si>
    <t>Ch M Manmad Rao</t>
  </si>
  <si>
    <t>ORA023355643</t>
  </si>
  <si>
    <t>LRV5831557</t>
  </si>
  <si>
    <t>Kiran Bendria</t>
  </si>
  <si>
    <t>pASSWORD@123</t>
  </si>
  <si>
    <t>OVP801745827</t>
  </si>
  <si>
    <t>DEG728640072</t>
  </si>
  <si>
    <t>DTG110249227</t>
  </si>
  <si>
    <t>JVN1401504</t>
  </si>
  <si>
    <t>Rebati Singh</t>
  </si>
  <si>
    <t>DEM453614542</t>
  </si>
  <si>
    <t>BR/50/291/339073</t>
  </si>
  <si>
    <t>Shashi Kant Herenz</t>
  </si>
  <si>
    <t>DLJ468049904</t>
  </si>
  <si>
    <t>BR/50/291/339124</t>
  </si>
  <si>
    <t>Sangeeta Harenj</t>
  </si>
  <si>
    <t>DVU654932467</t>
  </si>
  <si>
    <t>LRV6343545</t>
  </si>
  <si>
    <t>Annie Sneha Herez</t>
  </si>
  <si>
    <t>DRY148503876</t>
  </si>
  <si>
    <t>downloaded</t>
  </si>
  <si>
    <t>DNN752700205</t>
  </si>
  <si>
    <t>GBG3007101</t>
  </si>
  <si>
    <t>Bhola Mahto</t>
  </si>
  <si>
    <t>DRW616624157</t>
  </si>
  <si>
    <t>KQR2352573</t>
  </si>
  <si>
    <t>Anil Shrivasta</t>
  </si>
  <si>
    <t>KQR8004616</t>
  </si>
  <si>
    <t xml:space="preserve">Muskan Kumari </t>
  </si>
  <si>
    <t>KQR7470107</t>
  </si>
  <si>
    <t xml:space="preserve">Nisha Saandil </t>
  </si>
  <si>
    <t>KQR1849489</t>
  </si>
  <si>
    <t>Nirmala Samant</t>
  </si>
  <si>
    <t>DHI797106133</t>
  </si>
  <si>
    <t>approved</t>
  </si>
  <si>
    <t>Mousmi Pal</t>
  </si>
  <si>
    <t>OBO709555581</t>
  </si>
  <si>
    <t>Manoj Kumar</t>
  </si>
  <si>
    <t>OJP935224954</t>
  </si>
  <si>
    <t>Priyanka</t>
  </si>
  <si>
    <t>2p8d</t>
  </si>
  <si>
    <t>DSV329843296</t>
  </si>
  <si>
    <t>LRV6912059</t>
  </si>
  <si>
    <t>Ankita Chaterjee</t>
  </si>
  <si>
    <t>DOF212386077</t>
  </si>
  <si>
    <t>LRV6992655</t>
  </si>
  <si>
    <t xml:space="preserve">Prakash Kumar Prajapati </t>
  </si>
  <si>
    <t>DIG943625343</t>
  </si>
  <si>
    <t>MPF1280588</t>
  </si>
  <si>
    <t>Anita Mundu</t>
  </si>
  <si>
    <t>DHT895371996</t>
  </si>
  <si>
    <t>KQR7418411</t>
  </si>
  <si>
    <t>Poonam Mardi</t>
  </si>
  <si>
    <t>DHY742813213</t>
  </si>
  <si>
    <t>KQR7418403</t>
  </si>
  <si>
    <t>Reema Mardi</t>
  </si>
  <si>
    <t>DXN644601308</t>
  </si>
  <si>
    <t>LRV5819784</t>
  </si>
  <si>
    <t>Jagjot Singh</t>
  </si>
  <si>
    <t>Vikash</t>
  </si>
  <si>
    <t>DJA749604734</t>
  </si>
  <si>
    <t>LRV0013557</t>
  </si>
  <si>
    <t>Ram Ekbql Mishra</t>
  </si>
  <si>
    <t>DON938549615</t>
  </si>
  <si>
    <t>LRV0013482</t>
  </si>
  <si>
    <t>Madhu Devi</t>
  </si>
  <si>
    <t>OLY000019553</t>
  </si>
  <si>
    <t>NP</t>
  </si>
  <si>
    <t>KQR2306660</t>
  </si>
  <si>
    <t>Elvathingal Joseph Raphael</t>
  </si>
  <si>
    <t>KQR2306520</t>
  </si>
  <si>
    <t>DRK940702326</t>
  </si>
  <si>
    <t>KQR1938414</t>
  </si>
  <si>
    <t>Khogen Kisku</t>
  </si>
  <si>
    <t>DKI833962894</t>
  </si>
  <si>
    <t>KQR1849356</t>
  </si>
  <si>
    <t>Shusharma Devi</t>
  </si>
  <si>
    <t>DOU838827848</t>
  </si>
  <si>
    <t>KQR0638438</t>
  </si>
  <si>
    <t>OUH141400717</t>
  </si>
  <si>
    <t>OTK614381447</t>
  </si>
  <si>
    <t>Lankalpalli Anita</t>
  </si>
  <si>
    <t>KQR7089519</t>
  </si>
  <si>
    <t>Harshita Shama</t>
  </si>
  <si>
    <t>OBW207517311</t>
  </si>
  <si>
    <t xml:space="preserve">Bidiha </t>
  </si>
  <si>
    <t>LRV5678776</t>
  </si>
  <si>
    <t>Poonam Adharjee</t>
  </si>
  <si>
    <t>OAC608565781</t>
  </si>
  <si>
    <t>KQR7646508</t>
  </si>
  <si>
    <t>Md Nasim Uddin Khan</t>
  </si>
  <si>
    <t>Avina Mukhi</t>
  </si>
  <si>
    <t>Shobha Sharma</t>
  </si>
  <si>
    <t>Rajesh Kumar Sharma</t>
  </si>
  <si>
    <t>Bharati Pathak</t>
  </si>
  <si>
    <t>JVN6038887</t>
  </si>
  <si>
    <t>Chandan kumar</t>
  </si>
  <si>
    <t>Yasmeen Bano</t>
  </si>
  <si>
    <t>Ashish Kumar</t>
  </si>
  <si>
    <t>Self</t>
  </si>
  <si>
    <t>Mahendra Tiwari</t>
  </si>
  <si>
    <t>Nirdesh</t>
  </si>
  <si>
    <t>Shilpa Aich</t>
  </si>
  <si>
    <t>DIM446154993</t>
  </si>
  <si>
    <t>LRV1238898</t>
  </si>
  <si>
    <t>Punam Devi</t>
  </si>
  <si>
    <t>OIS401453153</t>
  </si>
  <si>
    <t>Divya Agarwal</t>
  </si>
  <si>
    <t>OSH892692216</t>
  </si>
  <si>
    <t>Ranjeeta Kaur</t>
  </si>
  <si>
    <t>DBA706861291</t>
  </si>
  <si>
    <t>LRV3246709</t>
  </si>
  <si>
    <t>V Venkat</t>
  </si>
  <si>
    <t>DAT137726271</t>
  </si>
  <si>
    <t>LRV6932776</t>
  </si>
  <si>
    <t>Kripashankar Tiwary</t>
  </si>
  <si>
    <t>DBH204278761</t>
  </si>
  <si>
    <t>LRV6929988</t>
  </si>
  <si>
    <t>Alok Kumar Das</t>
  </si>
  <si>
    <t>DIY441874173</t>
  </si>
  <si>
    <t>Archana Srivastav</t>
  </si>
  <si>
    <t>DPV595142775</t>
  </si>
  <si>
    <t>KQR0980466</t>
  </si>
  <si>
    <t>Chandmani Saman</t>
  </si>
  <si>
    <t>BPO</t>
  </si>
  <si>
    <t>DYJ175649188</t>
  </si>
  <si>
    <t>KQR1925858</t>
  </si>
  <si>
    <t>Jagdih Prasad Srivastava</t>
  </si>
  <si>
    <t>DMJ024838967</t>
  </si>
  <si>
    <t>Khunti</t>
  </si>
  <si>
    <t>MPF1280570</t>
  </si>
  <si>
    <t>Ajay Oreo</t>
  </si>
  <si>
    <t>DST176849647</t>
  </si>
  <si>
    <t>BR/50/290/414284</t>
  </si>
  <si>
    <t>Md Kaushar Khan</t>
  </si>
  <si>
    <t>Aquib</t>
  </si>
  <si>
    <t>DKT441514564</t>
  </si>
  <si>
    <t>KQR7660871</t>
  </si>
  <si>
    <t>Manjit Singh</t>
  </si>
  <si>
    <t>DJB722381343</t>
  </si>
  <si>
    <t>KQR1480022</t>
  </si>
  <si>
    <t>Pinky Kaur</t>
  </si>
  <si>
    <t>DBQ847058121</t>
  </si>
  <si>
    <t>LRV6461859</t>
  </si>
  <si>
    <t>Pronay Das</t>
  </si>
  <si>
    <t>DWK074481798</t>
  </si>
  <si>
    <t>LRV6461842</t>
  </si>
  <si>
    <t>Uma Das</t>
  </si>
  <si>
    <t>DAN072399311</t>
  </si>
  <si>
    <t>JVN7332042</t>
  </si>
  <si>
    <t>DUJ851651267</t>
  </si>
  <si>
    <t>LRV6841803</t>
  </si>
  <si>
    <t>Rajkishor Saw</t>
  </si>
  <si>
    <t>DPY984885165</t>
  </si>
  <si>
    <t>KQR7996598</t>
  </si>
  <si>
    <t>Sarita Srivasatva</t>
  </si>
  <si>
    <t>DMC557127644</t>
  </si>
  <si>
    <t>GBG4466371</t>
  </si>
  <si>
    <t>Surai Mardi</t>
  </si>
  <si>
    <t>DVF850322997</t>
  </si>
  <si>
    <t>GBG0904896</t>
  </si>
  <si>
    <t>Champa Mardi</t>
  </si>
  <si>
    <t>DVA712505668</t>
  </si>
  <si>
    <t>LRV2287686</t>
  </si>
  <si>
    <t>Gajendra KUMAR</t>
  </si>
  <si>
    <t>DLH286394104</t>
  </si>
  <si>
    <t>GBG1793964</t>
  </si>
  <si>
    <t>Abhiram Chakraborty</t>
  </si>
  <si>
    <t>OUT527725647</t>
  </si>
  <si>
    <t>LRV1164867</t>
  </si>
  <si>
    <t>MANOJ Kumra</t>
  </si>
  <si>
    <t>eci poratl</t>
  </si>
  <si>
    <t>OEU997606832</t>
  </si>
  <si>
    <t>LRV1164826</t>
  </si>
  <si>
    <t>Vinita Devi To Binita Devi</t>
  </si>
  <si>
    <t>ns</t>
  </si>
  <si>
    <t>OKT025857524</t>
  </si>
  <si>
    <t>d</t>
  </si>
  <si>
    <t>KQR6891907</t>
  </si>
  <si>
    <t>DNU997445315</t>
  </si>
  <si>
    <t>LRV6856132</t>
  </si>
  <si>
    <t>Sanat Kumar Ganguly</t>
  </si>
  <si>
    <t>Malyon</t>
  </si>
  <si>
    <t>DQD895747908</t>
  </si>
  <si>
    <t>LRV1309839</t>
  </si>
  <si>
    <t>Chavi Ganguly</t>
  </si>
  <si>
    <t>DTS559028977</t>
  </si>
  <si>
    <t>JVN4177218</t>
  </si>
  <si>
    <t>Rama Shankar Tiwari</t>
  </si>
  <si>
    <t>DIA964421513</t>
  </si>
  <si>
    <t>LRV5913165</t>
  </si>
  <si>
    <t>Pankaj Kumar</t>
  </si>
  <si>
    <t>DAI317278431</t>
  </si>
  <si>
    <t>leave this</t>
  </si>
  <si>
    <t>KQR7600018</t>
  </si>
  <si>
    <t>Rajesh Kumar Mittal</t>
  </si>
  <si>
    <t>DGL240226162</t>
  </si>
  <si>
    <t>18-02-221</t>
  </si>
  <si>
    <t>OGR528196726</t>
  </si>
  <si>
    <t>NPF</t>
  </si>
  <si>
    <t>Thresiamma Raphael</t>
  </si>
  <si>
    <t>DHO787663602</t>
  </si>
  <si>
    <t>KQR1952756</t>
  </si>
  <si>
    <t>DGQ577814973</t>
  </si>
  <si>
    <t>KQR6433221</t>
  </si>
  <si>
    <t>DKU431774404</t>
  </si>
  <si>
    <t>JVN7379506</t>
  </si>
  <si>
    <t>Ranjan Saw</t>
  </si>
  <si>
    <t>DEN434827502</t>
  </si>
  <si>
    <t>LRV7030984</t>
  </si>
  <si>
    <t>Kartik Hariharan</t>
  </si>
  <si>
    <t>DED530977752</t>
  </si>
  <si>
    <t>LRV6852008</t>
  </si>
  <si>
    <t>Debabrata Giri</t>
  </si>
  <si>
    <t>OQW546451626</t>
  </si>
  <si>
    <t>Rel. change</t>
  </si>
  <si>
    <t>KQR2253664</t>
  </si>
  <si>
    <t>DFK420237182</t>
  </si>
  <si>
    <t>MLL0245076</t>
  </si>
  <si>
    <t>Laxshmipad Giri</t>
  </si>
  <si>
    <t>H No 58</t>
  </si>
  <si>
    <t>OUS757196327</t>
  </si>
  <si>
    <t>NFP</t>
  </si>
  <si>
    <t>KQR2164416</t>
  </si>
  <si>
    <t>Shah Jamal</t>
  </si>
  <si>
    <t>DXJ495302838</t>
  </si>
  <si>
    <t>KQR1941731</t>
  </si>
  <si>
    <t>Krishna Kumar Choudhary</t>
  </si>
  <si>
    <t>DIW608011793</t>
  </si>
  <si>
    <t>JVN7033640</t>
  </si>
  <si>
    <t>DR VINOY KUMAR SINHA</t>
  </si>
  <si>
    <t>DUM891035907</t>
  </si>
  <si>
    <t>LRV6075493</t>
  </si>
  <si>
    <t>NIDHI SHARMA SINGH</t>
  </si>
  <si>
    <t>47 Surjit</t>
  </si>
  <si>
    <t>DGC419333433</t>
  </si>
  <si>
    <t>LRV6844963</t>
  </si>
  <si>
    <t>Ankita kumari</t>
  </si>
  <si>
    <t>DMB470378245</t>
  </si>
  <si>
    <t>LRV2420826</t>
  </si>
  <si>
    <t>Patiram Singh</t>
  </si>
  <si>
    <t>DTR014623577</t>
  </si>
  <si>
    <t>LRV2420834</t>
  </si>
  <si>
    <t>Nilam Devi</t>
  </si>
  <si>
    <t>DFR822493292</t>
  </si>
  <si>
    <t>LRV7054042</t>
  </si>
  <si>
    <t>Urmila Kumari Singh</t>
  </si>
  <si>
    <t>DTW085453717</t>
  </si>
  <si>
    <t>LRV2420768</t>
  </si>
  <si>
    <t>Sandip Kumar</t>
  </si>
  <si>
    <t>KQR6473664</t>
  </si>
  <si>
    <t>Nayab Ali</t>
  </si>
  <si>
    <t>GBG5572383</t>
  </si>
  <si>
    <t>Jullia Sahu</t>
  </si>
  <si>
    <t>GBG5395652</t>
  </si>
  <si>
    <t>Pavitra Kumar Sahu</t>
  </si>
  <si>
    <t>GBG5572375</t>
  </si>
  <si>
    <t>Pankaj Sahu</t>
  </si>
  <si>
    <t>OTJ599549907</t>
  </si>
  <si>
    <t>LRV2263465</t>
  </si>
  <si>
    <t>Ashok Kumar Trivedk</t>
  </si>
  <si>
    <t>OQQ323662436</t>
  </si>
  <si>
    <t>LRV2263450</t>
  </si>
  <si>
    <t>Asha Trivedi</t>
  </si>
  <si>
    <t>KQR1990241</t>
  </si>
  <si>
    <t>Mohammad Hamid Uddin</t>
  </si>
  <si>
    <t>DBR659487451</t>
  </si>
  <si>
    <t>LRV6753602</t>
  </si>
  <si>
    <t>Saket Surbhi</t>
  </si>
  <si>
    <t>OLL044433664</t>
  </si>
  <si>
    <t>Ajay Kumar Sarkar</t>
  </si>
  <si>
    <t>OAU597076821</t>
  </si>
  <si>
    <t>Mira Sarkar</t>
  </si>
  <si>
    <t>OSE166946826</t>
  </si>
  <si>
    <t>Aditi Sarkar</t>
  </si>
  <si>
    <t xml:space="preserve">     </t>
  </si>
  <si>
    <t>OJK425337854</t>
  </si>
  <si>
    <t>Arooshe Sarkar</t>
  </si>
  <si>
    <t>DMI774230395</t>
  </si>
  <si>
    <t>JVN0378366</t>
  </si>
  <si>
    <t>Shankar Singh</t>
  </si>
  <si>
    <t>OAB100728771</t>
  </si>
  <si>
    <t>KQR7923972</t>
  </si>
  <si>
    <t>Chandramohan Bhumij</t>
  </si>
  <si>
    <t>ofm207507217</t>
  </si>
  <si>
    <t>ndf</t>
  </si>
  <si>
    <t>gbg1311430</t>
  </si>
  <si>
    <t>Ampa Hembrom</t>
  </si>
  <si>
    <t>oed033966172</t>
  </si>
  <si>
    <t>gbg1311448</t>
  </si>
  <si>
    <t>Sumitra Hembrom</t>
  </si>
  <si>
    <t>DPP250573696</t>
  </si>
  <si>
    <t>LRV6649164</t>
  </si>
  <si>
    <t>Partima Kumari</t>
  </si>
  <si>
    <t>DOX884043806</t>
  </si>
  <si>
    <t>KQR1842380</t>
  </si>
  <si>
    <t>Ajay Kumar Sinha</t>
  </si>
  <si>
    <t>DFM657659544</t>
  </si>
  <si>
    <t>KQR1760701</t>
  </si>
  <si>
    <t>Somwari Devi</t>
  </si>
  <si>
    <t>DGE395550233</t>
  </si>
  <si>
    <t>LRV6933824</t>
  </si>
  <si>
    <t>Swapnil Saurabh</t>
  </si>
  <si>
    <t>ole842589404</t>
  </si>
  <si>
    <t>Mritunjay kumar</t>
  </si>
  <si>
    <t>OXQ350952978</t>
  </si>
  <si>
    <t>Alka Kumari</t>
  </si>
  <si>
    <t>DNY339910345</t>
  </si>
  <si>
    <t>DCE426584888</t>
  </si>
  <si>
    <t>DFX396484432</t>
  </si>
  <si>
    <t>KQR1603725</t>
  </si>
  <si>
    <t>PARWEZ ALAM</t>
  </si>
  <si>
    <t>OBV375411891</t>
  </si>
  <si>
    <t>Ayan Kumar Sinha</t>
  </si>
  <si>
    <t>LRV0106575</t>
  </si>
  <si>
    <t>S Kumar Gaundra</t>
  </si>
  <si>
    <t>DYS633921998</t>
  </si>
  <si>
    <t>LRV1946594</t>
  </si>
  <si>
    <t>Ramita SINGH</t>
  </si>
  <si>
    <t>OXO112953678</t>
  </si>
  <si>
    <t>fv</t>
  </si>
  <si>
    <t>KQR8212680</t>
  </si>
  <si>
    <t>Liyaqat Ali</t>
  </si>
  <si>
    <t>OFF840820942</t>
  </si>
  <si>
    <t>S Kumar Goundar</t>
  </si>
  <si>
    <t>OQK226537921</t>
  </si>
  <si>
    <t>LRV1523325</t>
  </si>
  <si>
    <t>Awdhesh Kumar Srivastav</t>
  </si>
  <si>
    <t>ORF793842186</t>
  </si>
  <si>
    <t>LRV1523333</t>
  </si>
  <si>
    <t>Ranjana Srivastava</t>
  </si>
  <si>
    <t>OJQ445717154</t>
  </si>
  <si>
    <t>Shubham Singh Sardar</t>
  </si>
  <si>
    <t>ODR703251392</t>
  </si>
  <si>
    <t>Barnali Singh</t>
  </si>
  <si>
    <t>DEU325698972</t>
  </si>
  <si>
    <t>KQR1629062</t>
  </si>
  <si>
    <t>Sukurmuni Jamuda</t>
  </si>
  <si>
    <t>DOV093465035</t>
  </si>
  <si>
    <t>KQR7568603</t>
  </si>
  <si>
    <t>Annapurna Kumari</t>
  </si>
  <si>
    <t>DJP380136553</t>
  </si>
  <si>
    <t>LRV5621347</t>
  </si>
  <si>
    <t>Shantilata Senapati</t>
  </si>
  <si>
    <t>DBP768336271</t>
  </si>
  <si>
    <t>DGL098261215</t>
  </si>
  <si>
    <t>LRV7020415</t>
  </si>
  <si>
    <t>Susmita Sahu</t>
  </si>
  <si>
    <t>LRV6905657</t>
  </si>
  <si>
    <t>Sujata Kaur</t>
  </si>
  <si>
    <t>OEW149232182</t>
  </si>
  <si>
    <t>exist</t>
  </si>
  <si>
    <t>DCO138420211</t>
  </si>
  <si>
    <t>LRV6472187</t>
  </si>
  <si>
    <t>Bhola Pal</t>
  </si>
  <si>
    <t>KQR68785789</t>
  </si>
  <si>
    <t>OSS080321977</t>
  </si>
  <si>
    <t>KQR7493042</t>
  </si>
  <si>
    <t>Mahwihs Anjum</t>
  </si>
  <si>
    <t>DGD225865722</t>
  </si>
  <si>
    <t>OQO599914926</t>
  </si>
  <si>
    <t>OFX021866692</t>
  </si>
  <si>
    <t>LRV7295538</t>
  </si>
  <si>
    <t>Yasmin Kausar</t>
  </si>
  <si>
    <t>new epic no</t>
  </si>
  <si>
    <t>?</t>
  </si>
  <si>
    <t>manoj kr sahu</t>
  </si>
  <si>
    <t>segate wd</t>
  </si>
  <si>
    <t>All Due</t>
  </si>
  <si>
    <t>DHU026848013</t>
  </si>
  <si>
    <t>DLB579961624</t>
  </si>
  <si>
    <t>KQR7646482</t>
  </si>
  <si>
    <t>DIO011013963</t>
  </si>
  <si>
    <t>DPD889481825</t>
  </si>
  <si>
    <t>LRV5598701</t>
  </si>
  <si>
    <t>Ghanshyam Mukhi</t>
  </si>
  <si>
    <t>DYJ787601198</t>
  </si>
  <si>
    <t>JVN4111134</t>
  </si>
  <si>
    <t>Ravi Anand</t>
  </si>
  <si>
    <t>orv925514386</t>
  </si>
  <si>
    <t>Sariya Kumari Simgh</t>
  </si>
  <si>
    <t>DQM933706992</t>
  </si>
  <si>
    <t>KQR8238578</t>
  </si>
  <si>
    <t>Priya Hansda</t>
  </si>
  <si>
    <t>DHG220731153</t>
  </si>
  <si>
    <t>KQR7537640</t>
  </si>
  <si>
    <t>Kahkashan Jabeen</t>
  </si>
  <si>
    <t>DXG658540478</t>
  </si>
  <si>
    <t>KQR7040009</t>
  </si>
  <si>
    <t>Rahmatun Nisa</t>
  </si>
  <si>
    <t>DAG171525221</t>
  </si>
  <si>
    <t>KQR3569340</t>
  </si>
  <si>
    <t>Ratna MUNDA</t>
  </si>
  <si>
    <t>DLH708911484</t>
  </si>
  <si>
    <t>KQR0411843</t>
  </si>
  <si>
    <t>Khurshid Ahamad Sidiki</t>
  </si>
  <si>
    <t>DYS044089268</t>
  </si>
  <si>
    <t>LRV6414460</t>
  </si>
  <si>
    <t>SHIB SHANKAR CHAKRABORTY</t>
  </si>
  <si>
    <t>DJX433766654</t>
  </si>
  <si>
    <t>LRV6414478</t>
  </si>
  <si>
    <t>BAKUL CHAKRABORTY</t>
  </si>
  <si>
    <t>DWW455878428</t>
  </si>
  <si>
    <t>LRV6414486</t>
  </si>
  <si>
    <t>TANAYA CHAKRABORTY</t>
  </si>
  <si>
    <t>OGL645484903</t>
  </si>
  <si>
    <t>OCD471703734</t>
  </si>
  <si>
    <t>LRV1180314</t>
  </si>
  <si>
    <t>Akhilesh Tiwari</t>
  </si>
  <si>
    <t>DYP548941648</t>
  </si>
  <si>
    <t>KQR7156193</t>
  </si>
  <si>
    <t xml:space="preserve">INDRAJEET GOPE </t>
  </si>
  <si>
    <t>DDT386401538</t>
  </si>
  <si>
    <t>RAJAN SAW</t>
  </si>
  <si>
    <t>DES790460952</t>
  </si>
  <si>
    <t>LRV3964715</t>
  </si>
  <si>
    <t>Ajay Rajak</t>
  </si>
  <si>
    <t>DFG176077702</t>
  </si>
  <si>
    <t>DRI855438416</t>
  </si>
  <si>
    <t>JPR8053001</t>
  </si>
  <si>
    <t>Sabnam Khatoon</t>
  </si>
  <si>
    <t>DDU499120142</t>
  </si>
  <si>
    <t>KQR1558028</t>
  </si>
  <si>
    <t>Rajeev Ranjan</t>
  </si>
  <si>
    <t>??? Payment</t>
  </si>
  <si>
    <t>DMR693870984</t>
  </si>
  <si>
    <t>KQR7661812</t>
  </si>
  <si>
    <t>OCE779474041</t>
  </si>
  <si>
    <t>BLO APP</t>
  </si>
  <si>
    <t>DXW425737328</t>
  </si>
  <si>
    <t>JVN5647664</t>
  </si>
  <si>
    <t>DII383981833</t>
  </si>
  <si>
    <t>JVN7180201</t>
  </si>
  <si>
    <t>Masooma Parween</t>
  </si>
  <si>
    <t>DVX380178697</t>
  </si>
  <si>
    <t>JVN2663961</t>
  </si>
  <si>
    <t>Mohammad Wahid</t>
  </si>
  <si>
    <t>DGL598706962</t>
  </si>
  <si>
    <t>DRD341434376</t>
  </si>
  <si>
    <t>DBK679382201</t>
  </si>
  <si>
    <t>Rajan Saw</t>
  </si>
  <si>
    <t>DST926393866</t>
  </si>
  <si>
    <t>KQR8238685</t>
  </si>
  <si>
    <t>OGO682337833</t>
  </si>
  <si>
    <t>Mukesh KumAR</t>
  </si>
  <si>
    <t>DVW893516518</t>
  </si>
  <si>
    <t>KQR7039993</t>
  </si>
  <si>
    <t>Md Anwar Ahmad</t>
  </si>
  <si>
    <t>OIS315499703</t>
  </si>
  <si>
    <t>KQR8106742</t>
  </si>
  <si>
    <t>Anjani Devi</t>
  </si>
  <si>
    <t>DDX091732517</t>
  </si>
  <si>
    <t>LRV0083519</t>
  </si>
  <si>
    <t>Priya KUMARI</t>
  </si>
  <si>
    <t>DBE168353541</t>
  </si>
  <si>
    <t>KQR7433980</t>
  </si>
  <si>
    <t>RAHUL MAHATO</t>
  </si>
  <si>
    <t>OUW953949327</t>
  </si>
  <si>
    <t>Sumitra Gorai</t>
  </si>
  <si>
    <t>OKT910319204</t>
  </si>
  <si>
    <t>Rani Sah</t>
  </si>
  <si>
    <t>OQP213510736</t>
  </si>
  <si>
    <t>Kali Prasad Shah</t>
  </si>
  <si>
    <t>DAQ583758931</t>
  </si>
  <si>
    <t>LRV6774232</t>
  </si>
  <si>
    <t>OPT088719243</t>
  </si>
  <si>
    <t>Shefali Rana</t>
  </si>
  <si>
    <t>full pd</t>
  </si>
  <si>
    <t>DYG283268178</t>
  </si>
  <si>
    <t>KQR6878573</t>
  </si>
  <si>
    <t>Kavita Mukherjee</t>
  </si>
  <si>
    <t>ODP512632342</t>
  </si>
  <si>
    <t>pic+add</t>
  </si>
  <si>
    <t>DQI556662866</t>
  </si>
  <si>
    <t>KQR1908984</t>
  </si>
  <si>
    <t>Jyotsna Soy</t>
  </si>
  <si>
    <t>DXR257499481</t>
  </si>
  <si>
    <t>ORA683495886</t>
  </si>
  <si>
    <t>Suruchi Kumari</t>
  </si>
  <si>
    <t>DQS514056376</t>
  </si>
  <si>
    <t>KQR6446140</t>
  </si>
  <si>
    <t>Sunil Mahato</t>
  </si>
  <si>
    <t>DEE515277772</t>
  </si>
  <si>
    <t>KQR0134833</t>
  </si>
  <si>
    <t>MIRA DEVI</t>
  </si>
  <si>
    <t>DWD041340818</t>
  </si>
  <si>
    <t>JVN2440725</t>
  </si>
  <si>
    <t>Rakhi Poddar</t>
  </si>
  <si>
    <t>09, Ripit Colony, MGM HOSPITAL</t>
  </si>
  <si>
    <t>DJN258972193</t>
  </si>
  <si>
    <t>Kartik Nagar</t>
  </si>
  <si>
    <t>KQR7335003</t>
  </si>
  <si>
    <t xml:space="preserve"> Omprkash MISHRA</t>
  </si>
  <si>
    <t>DEL090379417</t>
  </si>
  <si>
    <t>ghorabandha</t>
  </si>
  <si>
    <t>KQR7340771</t>
  </si>
  <si>
    <t>Rakesh Kumar Sharma</t>
  </si>
  <si>
    <t>DIG769829698</t>
  </si>
  <si>
    <t>SEREIKELA</t>
  </si>
  <si>
    <t>JPR3126737</t>
  </si>
  <si>
    <t>Rajbinder Kaur</t>
  </si>
  <si>
    <t>DWD299044768</t>
  </si>
  <si>
    <t>KQR6582118</t>
  </si>
  <si>
    <t>Rahul Satpati</t>
  </si>
  <si>
    <t>Sunil Govinpur</t>
  </si>
  <si>
    <t>OGH157328748</t>
  </si>
  <si>
    <t>LRV6747901</t>
  </si>
  <si>
    <t>OGI341299113</t>
  </si>
  <si>
    <t>Ompraksh Mishra</t>
  </si>
  <si>
    <t>DCR179402346</t>
  </si>
  <si>
    <t>KQR6984199</t>
  </si>
  <si>
    <t>RANI KUMARI</t>
  </si>
  <si>
    <t>DFU117258542</t>
  </si>
  <si>
    <t>GBG2070030</t>
  </si>
  <si>
    <t>MD HAFIZ</t>
  </si>
  <si>
    <t>DHE815862493</t>
  </si>
  <si>
    <t>LRV6735534</t>
  </si>
  <si>
    <t>MOHAMMAD SHAMS ALAM</t>
  </si>
  <si>
    <t>DYK188538328</t>
  </si>
  <si>
    <t>KQR8238719</t>
  </si>
  <si>
    <t>DLW154454004</t>
  </si>
  <si>
    <t>LRV6877211</t>
  </si>
  <si>
    <t>Mohammad Mobassir Alam</t>
  </si>
  <si>
    <t>DBR852868541</t>
  </si>
  <si>
    <t>Don’t Download</t>
  </si>
  <si>
    <t>JVN6711121</t>
  </si>
  <si>
    <t>Vishnupada Satathy</t>
  </si>
  <si>
    <t>DLY810151004</t>
  </si>
  <si>
    <t>DNV238712685</t>
  </si>
  <si>
    <t>WP</t>
  </si>
  <si>
    <t>LRV1233832</t>
  </si>
  <si>
    <t>Santoshi Roy</t>
  </si>
  <si>
    <t>DNF436522465</t>
  </si>
  <si>
    <t>LRV1112051</t>
  </si>
  <si>
    <t>MADHURI DEVI</t>
  </si>
  <si>
    <t>DXY494604618</t>
  </si>
  <si>
    <t>JVN6898688</t>
  </si>
  <si>
    <t>Amit Kumar Singh</t>
  </si>
  <si>
    <t>OCC036016971</t>
  </si>
  <si>
    <t>Maya Gounder</t>
  </si>
  <si>
    <t>DTC363045867</t>
  </si>
  <si>
    <t>BZP5831045</t>
  </si>
  <si>
    <t>Karan Dangil</t>
  </si>
  <si>
    <t>OUK201172867</t>
  </si>
  <si>
    <t>Kahkasa Perveen</t>
  </si>
  <si>
    <t>DME577034425</t>
  </si>
  <si>
    <t>DLE685752234</t>
  </si>
  <si>
    <t>OKB103050904</t>
  </si>
  <si>
    <t>KQR6583124</t>
  </si>
  <si>
    <t>Anupama Mahato</t>
  </si>
  <si>
    <t>DIX688689018</t>
  </si>
  <si>
    <t>KQR6831697</t>
  </si>
  <si>
    <t>Arti Agarwal</t>
  </si>
  <si>
    <t>OXB525128788</t>
  </si>
  <si>
    <t>Dhananjay Sawashi</t>
  </si>
  <si>
    <t>PDF PRINT</t>
  </si>
  <si>
    <t>KQR8268484</t>
  </si>
  <si>
    <t>KQR7513179</t>
  </si>
  <si>
    <t>Arzoo Parvveen</t>
  </si>
  <si>
    <t>KQR8064644</t>
  </si>
  <si>
    <t>Asan Gaddi</t>
  </si>
  <si>
    <t>KQR8063636</t>
  </si>
  <si>
    <t>KQR8268526</t>
  </si>
  <si>
    <t>saba ali</t>
  </si>
  <si>
    <t>SURJIT</t>
  </si>
  <si>
    <t>KQR1002435</t>
  </si>
  <si>
    <t>Sukumar dey</t>
  </si>
  <si>
    <t>100P</t>
  </si>
  <si>
    <t>DDF814055572</t>
  </si>
  <si>
    <t>LRV6906317</t>
  </si>
  <si>
    <t>Satender Rai</t>
  </si>
  <si>
    <t>DIH627929493</t>
  </si>
  <si>
    <t>LRV6906283</t>
  </si>
  <si>
    <t>DNF326456655</t>
  </si>
  <si>
    <t>JVN7072432</t>
  </si>
  <si>
    <t>ANISHA MAHAO</t>
  </si>
  <si>
    <t>100p</t>
  </si>
  <si>
    <t>DKT242827724</t>
  </si>
  <si>
    <t>LRV6424808</t>
  </si>
  <si>
    <t>ASHWIN CHATTERJEE</t>
  </si>
  <si>
    <t>ODT374708402</t>
  </si>
  <si>
    <t>KJB6541205</t>
  </si>
  <si>
    <t>Anant Kumar</t>
  </si>
  <si>
    <t>DTF064868557</t>
  </si>
  <si>
    <t>LRV6860290</t>
  </si>
  <si>
    <t>Sarat Chandra Das</t>
  </si>
  <si>
    <t>OCY441180841</t>
  </si>
  <si>
    <t>DON240317365</t>
  </si>
  <si>
    <t>KQR7001993</t>
  </si>
  <si>
    <t>Lalan Sah</t>
  </si>
  <si>
    <t>DYM564983088</t>
  </si>
  <si>
    <t>DRL678847446</t>
  </si>
  <si>
    <t>KQR0717531</t>
  </si>
  <si>
    <t>SANOJ KUMAR PANDEY</t>
  </si>
  <si>
    <t>DUE540081677</t>
  </si>
  <si>
    <t>KQR2038058</t>
  </si>
  <si>
    <t>RITA PANDEY</t>
  </si>
  <si>
    <t>OJD385599353</t>
  </si>
  <si>
    <t>OJH593746054</t>
  </si>
  <si>
    <t>nhr</t>
  </si>
  <si>
    <t>LRV6096887</t>
  </si>
  <si>
    <t>Puja Paul</t>
  </si>
  <si>
    <t>DMU647496335</t>
  </si>
  <si>
    <t>LRV6949879</t>
  </si>
  <si>
    <t>Chandrawati Pandey</t>
  </si>
  <si>
    <t>DXX244238128</t>
  </si>
  <si>
    <t>LRV6945232</t>
  </si>
  <si>
    <t>Ram Pal Pandey</t>
  </si>
  <si>
    <t>DFV110404562</t>
  </si>
  <si>
    <t>JVN1001148</t>
  </si>
  <si>
    <t>Ishwar Lal</t>
  </si>
  <si>
    <t>DKF524909064</t>
  </si>
  <si>
    <t>KQR7972219</t>
  </si>
  <si>
    <t>Madhusudan Tiwary</t>
  </si>
  <si>
    <t>DRK038785836</t>
  </si>
  <si>
    <t>LRV1794089</t>
  </si>
  <si>
    <t>Ram Prakash Poddar</t>
  </si>
  <si>
    <t>DHH817730353</t>
  </si>
  <si>
    <t>KQR7639644</t>
  </si>
  <si>
    <t>Rinki perveen</t>
  </si>
  <si>
    <t>fp</t>
  </si>
  <si>
    <t>DNO404329595</t>
  </si>
  <si>
    <t>GBG4645875</t>
  </si>
  <si>
    <t>OIV906031818</t>
  </si>
  <si>
    <t>DR</t>
  </si>
  <si>
    <t>KQR2154474</t>
  </si>
  <si>
    <t>Mukti Das</t>
  </si>
  <si>
    <t>OJJ524780263</t>
  </si>
  <si>
    <t>Arjun Ugrusandi</t>
  </si>
  <si>
    <t>DKQ239535224</t>
  </si>
  <si>
    <t>JVN5733480</t>
  </si>
  <si>
    <t>DWA863484268</t>
  </si>
  <si>
    <t>LRV7134521</t>
  </si>
  <si>
    <t>Minu Bhaina</t>
  </si>
  <si>
    <t>DCN978425851</t>
  </si>
  <si>
    <t>LRV5763396</t>
  </si>
  <si>
    <t>KUSHAL JAISWAL</t>
  </si>
  <si>
    <t>OEB330069032</t>
  </si>
  <si>
    <t>ASTIK MAHATO</t>
  </si>
  <si>
    <t>Document Not Updated</t>
  </si>
  <si>
    <t>119, Telco, Barinagar</t>
  </si>
  <si>
    <t>Wrong Data</t>
  </si>
  <si>
    <t>KQR6913651</t>
  </si>
  <si>
    <t>Dheeraj Kumar Singh</t>
  </si>
  <si>
    <t>customer</t>
  </si>
  <si>
    <t>DAR652133261</t>
  </si>
  <si>
    <t>LRV1666767</t>
  </si>
  <si>
    <t>Ranjan Pal</t>
  </si>
  <si>
    <t>DXO148810688</t>
  </si>
  <si>
    <t>KQR7302151</t>
  </si>
  <si>
    <t>DGT307637633</t>
  </si>
  <si>
    <t>LRV5681952</t>
  </si>
  <si>
    <t>Guriya Jha</t>
  </si>
  <si>
    <t>OEN553918453</t>
  </si>
  <si>
    <t>OJV110891053</t>
  </si>
  <si>
    <t>Shagufta</t>
  </si>
  <si>
    <t>No Details Available</t>
  </si>
  <si>
    <t>DTE281557637</t>
  </si>
  <si>
    <t>JVN2444248</t>
  </si>
  <si>
    <t>Shahbaz Khan</t>
  </si>
  <si>
    <t>DCR489003041</t>
  </si>
  <si>
    <t>KQR7561764</t>
  </si>
  <si>
    <t>Abhishek Karmakar</t>
  </si>
  <si>
    <t>OET163820372</t>
  </si>
  <si>
    <t>LRV0758359</t>
  </si>
  <si>
    <t>SHANKUTALA DEVI</t>
  </si>
  <si>
    <t>OGG459885933</t>
  </si>
  <si>
    <t>Sandhya Mandal</t>
  </si>
  <si>
    <t>OCG778835421</t>
  </si>
  <si>
    <t>DFE837340342</t>
  </si>
  <si>
    <t>JVN6956254</t>
  </si>
  <si>
    <t>Bindiya Goswami</t>
  </si>
  <si>
    <t>sarkar</t>
  </si>
  <si>
    <t>DRK457228191</t>
  </si>
  <si>
    <t>LRV0191486</t>
  </si>
  <si>
    <t>SITA DEVI</t>
  </si>
  <si>
    <t>VIKAS</t>
  </si>
  <si>
    <t>DTI885986057</t>
  </si>
  <si>
    <t>LRV0191510</t>
  </si>
  <si>
    <t>DCM498958311</t>
  </si>
  <si>
    <t>Ram Piyari</t>
  </si>
  <si>
    <t>DUK643893336</t>
  </si>
  <si>
    <t>KQR7573694</t>
  </si>
  <si>
    <t>Abhinav Kumar sah</t>
  </si>
  <si>
    <t>OGV928662863</t>
  </si>
  <si>
    <t>Rupa Ghosh</t>
  </si>
  <si>
    <t>DQX980213507</t>
  </si>
  <si>
    <t>KQR6998389</t>
  </si>
  <si>
    <t>NISHI KUMARI</t>
  </si>
  <si>
    <t>DTQ188212265</t>
  </si>
  <si>
    <t>LRV6340921</t>
  </si>
  <si>
    <t>MONA SHARMA</t>
  </si>
  <si>
    <t>DII236533593</t>
  </si>
  <si>
    <t>KQR7217110</t>
  </si>
  <si>
    <t>B Shyam Kumar Kumar</t>
  </si>
  <si>
    <t>DOE957403615</t>
  </si>
  <si>
    <t>KQR7217128</t>
  </si>
  <si>
    <t>Girija Kumar</t>
  </si>
  <si>
    <t>DSQ159430121</t>
  </si>
  <si>
    <t>KQR7217136</t>
  </si>
  <si>
    <t>S Sidharth Kumar</t>
  </si>
  <si>
    <t>DRE340696086</t>
  </si>
  <si>
    <t>KQR7599897</t>
  </si>
  <si>
    <t>Ravi Kant Beria</t>
  </si>
  <si>
    <t>DBL831776451</t>
  </si>
  <si>
    <t>KQR7258007</t>
  </si>
  <si>
    <t>Moize Hussain</t>
  </si>
  <si>
    <t>DAF026880231</t>
  </si>
  <si>
    <t>LRV6695472</t>
  </si>
  <si>
    <t>Shubham Kumar Bera</t>
  </si>
  <si>
    <t>vikas</t>
  </si>
  <si>
    <t>OJM423718873</t>
  </si>
  <si>
    <t>Sonu Kumar Prajapati</t>
  </si>
  <si>
    <t>DKP916638014</t>
  </si>
  <si>
    <t>LRV0072769</t>
  </si>
  <si>
    <t>Soma Ghosh</t>
  </si>
  <si>
    <t>DWW604971818</t>
  </si>
  <si>
    <t>LRV6588321</t>
  </si>
  <si>
    <t>Pramila Rath</t>
  </si>
  <si>
    <t>DGH349534683</t>
  </si>
  <si>
    <t>KQR2101378</t>
  </si>
  <si>
    <t>oda876300282</t>
  </si>
  <si>
    <t>KQR2058655</t>
  </si>
  <si>
    <t>Pinki devi</t>
  </si>
  <si>
    <t>OMK145547724</t>
  </si>
  <si>
    <t>KQR8124182</t>
  </si>
  <si>
    <t>DTW847757557</t>
  </si>
  <si>
    <t>DCG151864721</t>
  </si>
  <si>
    <t>KQR7482680</t>
  </si>
  <si>
    <t>Jaydeep Kumar Majhi</t>
  </si>
  <si>
    <t>pd</t>
  </si>
  <si>
    <t>DPJ639863505</t>
  </si>
  <si>
    <t>LRV6847065</t>
  </si>
  <si>
    <t>Babli Devi</t>
  </si>
  <si>
    <t>DHK400114468</t>
  </si>
  <si>
    <t>LRV2511632</t>
  </si>
  <si>
    <t>Rita Munda</t>
  </si>
  <si>
    <t>DWF841227858</t>
  </si>
  <si>
    <t>KQR8268112</t>
  </si>
  <si>
    <t>Shruti kumari</t>
  </si>
  <si>
    <t>DKD282381404</t>
  </si>
  <si>
    <t>KQR8267965</t>
  </si>
  <si>
    <t>Ramjee Kumar sahu</t>
  </si>
  <si>
    <t>DUY536212397</t>
  </si>
  <si>
    <t>JVN7597560</t>
  </si>
  <si>
    <t>OWY083837198</t>
  </si>
  <si>
    <t>LRV1517559</t>
  </si>
  <si>
    <t>Kingsuk Sarkar</t>
  </si>
  <si>
    <t>OMD617239844</t>
  </si>
  <si>
    <t>NR</t>
  </si>
  <si>
    <t>LRV7219777</t>
  </si>
  <si>
    <t>Rani Shah</t>
  </si>
  <si>
    <t>OHD581726733</t>
  </si>
  <si>
    <t>LRV7219769</t>
  </si>
  <si>
    <t>DJL599957553</t>
  </si>
  <si>
    <t>GBG1311430</t>
  </si>
  <si>
    <t>Apma Hembrom</t>
  </si>
  <si>
    <t>DVB010005247</t>
  </si>
  <si>
    <t>GBG1311448</t>
  </si>
  <si>
    <t>just print</t>
  </si>
  <si>
    <t>KQR7672207</t>
  </si>
  <si>
    <t>DTV150070707</t>
  </si>
  <si>
    <t>LRV7302482</t>
  </si>
  <si>
    <t>Babita Tiwari</t>
  </si>
  <si>
    <t>DGY975068913</t>
  </si>
  <si>
    <t>LRV6159693</t>
  </si>
  <si>
    <t>Jyotshna Tantubai</t>
  </si>
  <si>
    <t>KQR7306418</t>
  </si>
  <si>
    <t>Bhim Bumij</t>
  </si>
  <si>
    <t>KQR1929306</t>
  </si>
  <si>
    <t>DQR330786066</t>
  </si>
  <si>
    <t>LRV6528061</t>
  </si>
  <si>
    <t>Surendra Sahu</t>
  </si>
  <si>
    <t>OBQ713462921</t>
  </si>
  <si>
    <t>LRV7309503</t>
  </si>
  <si>
    <t>Prisita Ghosal</t>
  </si>
  <si>
    <t>OXI284925268</t>
  </si>
  <si>
    <t>FV</t>
  </si>
  <si>
    <t>OHU253422923</t>
  </si>
  <si>
    <t>Mahabhashyam Narsingh Satish</t>
  </si>
  <si>
    <t>ORJ399883646</t>
  </si>
  <si>
    <t xml:space="preserve">Gayatri Mahabhashyam </t>
  </si>
  <si>
    <t>OIY339404828</t>
  </si>
  <si>
    <t>ACCEPTED</t>
  </si>
  <si>
    <t>OAH707035181</t>
  </si>
  <si>
    <t>Sambo Prasad</t>
  </si>
  <si>
    <t>otq282711507</t>
  </si>
  <si>
    <t>correction</t>
  </si>
  <si>
    <t>LRV1086362</t>
  </si>
  <si>
    <t>Rita Tiwary</t>
  </si>
  <si>
    <t>OOO995077865</t>
  </si>
  <si>
    <t>LRV0175364</t>
  </si>
  <si>
    <t>T Mohini Priya</t>
  </si>
  <si>
    <t>NOT FOUND</t>
  </si>
  <si>
    <t>LRV7285281</t>
  </si>
  <si>
    <t>KAJAL LOHA</t>
  </si>
  <si>
    <t>MLL4364220</t>
  </si>
  <si>
    <t>ABHILASHINI DEVI</t>
  </si>
  <si>
    <t>LRV6700462</t>
  </si>
  <si>
    <t>Simran Bansal</t>
  </si>
  <si>
    <t>LRV7295041</t>
  </si>
  <si>
    <t>Gurusharan Singh Bansal</t>
  </si>
  <si>
    <t>LRV7295058</t>
  </si>
  <si>
    <t>Narendra Singh</t>
  </si>
  <si>
    <t>OJF015469773</t>
  </si>
  <si>
    <t>n+d</t>
  </si>
  <si>
    <t>KQR7003460</t>
  </si>
  <si>
    <t>rukhshana pravin</t>
  </si>
  <si>
    <t>OYJ194943548</t>
  </si>
  <si>
    <t>N+PC</t>
  </si>
  <si>
    <t>LRV0354230</t>
  </si>
  <si>
    <t>shantbhanu singh mandal</t>
  </si>
  <si>
    <t>OSL892023571</t>
  </si>
  <si>
    <t>LRV7312697</t>
  </si>
  <si>
    <t>Saurav</t>
  </si>
  <si>
    <t>OLD030713494</t>
  </si>
  <si>
    <t>Hajra Begum</t>
  </si>
  <si>
    <t>OGF412695142</t>
  </si>
  <si>
    <t>LRV7322167</t>
  </si>
  <si>
    <t>OFC131094502</t>
  </si>
  <si>
    <t>KQR7418643</t>
  </si>
  <si>
    <t>Kalyani Devi to karmakar</t>
  </si>
  <si>
    <t>OYP905157578</t>
  </si>
  <si>
    <t>49-47</t>
  </si>
  <si>
    <t>sanjay kumar singh</t>
  </si>
  <si>
    <t>OGG934999132</t>
  </si>
  <si>
    <t>Rukmani Krishan</t>
  </si>
  <si>
    <t>OMR236740434</t>
  </si>
  <si>
    <t>LRV7313638</t>
  </si>
  <si>
    <t>Amaredra Kumar Sribastva</t>
  </si>
  <si>
    <t>OWS272511618</t>
  </si>
  <si>
    <t>Bhavataran Khan</t>
  </si>
  <si>
    <t>owl150626598</t>
  </si>
  <si>
    <t>LRV6270714</t>
  </si>
  <si>
    <t>Bakshinder singh</t>
  </si>
  <si>
    <t>OOO323218865</t>
  </si>
  <si>
    <t>OVX686712167</t>
  </si>
  <si>
    <t>OOV703193445</t>
  </si>
  <si>
    <t>KQR2248457</t>
  </si>
  <si>
    <t>Mohammad Shahanavaz Khan</t>
  </si>
  <si>
    <t>ORC774214886</t>
  </si>
  <si>
    <t>Durgawati Devi</t>
  </si>
  <si>
    <t>OXH276893613</t>
  </si>
  <si>
    <t>pa</t>
  </si>
  <si>
    <t>KQR1921012</t>
  </si>
  <si>
    <t>OIA745941202</t>
  </si>
  <si>
    <t>Rajesh Mani Tripathy</t>
  </si>
  <si>
    <t>OGM846753363</t>
  </si>
  <si>
    <t>MEGHA</t>
  </si>
  <si>
    <t>OJL96614764</t>
  </si>
  <si>
    <t>PRATIMA TRIPATHY</t>
  </si>
  <si>
    <t>OXP271111378</t>
  </si>
  <si>
    <t>Mohammad Waquar Ahmad</t>
  </si>
  <si>
    <t>ORQ736356526</t>
  </si>
  <si>
    <t>Noor Nahar</t>
  </si>
  <si>
    <t>OQC035958776</t>
  </si>
  <si>
    <t>KQR2326411</t>
  </si>
  <si>
    <t>E SHASHI KUMAR</t>
  </si>
  <si>
    <t>OHS900262456</t>
  </si>
  <si>
    <t>Rahul Karmakar</t>
  </si>
  <si>
    <t>ONV389507655</t>
  </si>
  <si>
    <t>Samapti Karmakar</t>
  </si>
  <si>
    <t>OEQ890557621</t>
  </si>
  <si>
    <t>UMA KARMAKAR</t>
  </si>
  <si>
    <t>OUT878131681</t>
  </si>
  <si>
    <t>RAM SANKAR</t>
  </si>
  <si>
    <t>OPS395990034</t>
  </si>
  <si>
    <t>TAYYABA KHATOON</t>
  </si>
  <si>
    <t>KQR2367316</t>
  </si>
  <si>
    <t>OTD959187267</t>
  </si>
  <si>
    <t>Joydeep Nandi</t>
  </si>
  <si>
    <t>OSH349977546</t>
  </si>
  <si>
    <t>Dharitri Nandi</t>
  </si>
  <si>
    <t>OSG997631226</t>
  </si>
  <si>
    <t>Sandeep Singh Jhangol</t>
  </si>
  <si>
    <t>OVS648277357</t>
  </si>
  <si>
    <t>Gurpreet Kaur</t>
  </si>
  <si>
    <t>OQJ489971046</t>
  </si>
  <si>
    <t>OPI810902575</t>
  </si>
  <si>
    <t>Shabana Bano</t>
  </si>
  <si>
    <t>OVN739561737</t>
  </si>
  <si>
    <t>KQR2107550</t>
  </si>
  <si>
    <t>Samsoon Nisha</t>
  </si>
  <si>
    <t>opc706139826</t>
  </si>
  <si>
    <t>Dipu Nayar</t>
  </si>
  <si>
    <t>ONI513865335</t>
  </si>
  <si>
    <t>KQR7555766</t>
  </si>
  <si>
    <t>Santosh Kr Puri</t>
  </si>
  <si>
    <t>OVU685781017</t>
  </si>
  <si>
    <t>Mohammad Rizwan Ansari</t>
  </si>
  <si>
    <t>ONC787610105</t>
  </si>
  <si>
    <t>HA</t>
  </si>
  <si>
    <t>KQR6448120</t>
  </si>
  <si>
    <t>NAILA RAHMAN</t>
  </si>
  <si>
    <t>OWB775884315</t>
  </si>
  <si>
    <t>NPA</t>
  </si>
  <si>
    <t>KQR2369809</t>
  </si>
  <si>
    <t>syed Mohammad Sarique Ahmad</t>
  </si>
  <si>
    <t>LRV6198378</t>
  </si>
  <si>
    <t>Dipti</t>
  </si>
  <si>
    <t>OUM367602147</t>
  </si>
  <si>
    <t>KQR2232732</t>
  </si>
  <si>
    <t>Yadu nanda Prasad</t>
  </si>
  <si>
    <t>ODI730242142</t>
  </si>
  <si>
    <t>KQR7425440</t>
  </si>
  <si>
    <t>OMT512580254</t>
  </si>
  <si>
    <t>KQR2325223</t>
  </si>
  <si>
    <t>Geta Devi</t>
  </si>
  <si>
    <t>ORH887035726</t>
  </si>
  <si>
    <t>KQR1270776</t>
  </si>
  <si>
    <t>Rukmini Devi</t>
  </si>
  <si>
    <t>OMD576361434</t>
  </si>
  <si>
    <t>KQR7179633</t>
  </si>
  <si>
    <t>ABHISHEK KUMAR</t>
  </si>
  <si>
    <t>OWA418170118</t>
  </si>
  <si>
    <t>Sushmita Jha</t>
  </si>
  <si>
    <t>OLB158634564</t>
  </si>
  <si>
    <t>Shatrughan Jha</t>
  </si>
  <si>
    <t>KQR2307247</t>
  </si>
  <si>
    <t>Reshami Devi</t>
  </si>
  <si>
    <t>Reshmi Devi</t>
  </si>
  <si>
    <t>ONK986764385</t>
  </si>
  <si>
    <t>Deepti</t>
  </si>
  <si>
    <t>NO IDEA</t>
  </si>
  <si>
    <t>PRINT</t>
  </si>
  <si>
    <t>KQR7010275</t>
  </si>
  <si>
    <t>Sanjay Gagrai</t>
  </si>
  <si>
    <t>KQR7654262</t>
  </si>
  <si>
    <t>OLX195554514</t>
  </si>
  <si>
    <t>P+A</t>
  </si>
  <si>
    <t>LRV1300862</t>
  </si>
  <si>
    <t>OXX04736133</t>
  </si>
  <si>
    <t>P+A+D</t>
  </si>
  <si>
    <t>LRV1300870</t>
  </si>
  <si>
    <t>OWE402689238</t>
  </si>
  <si>
    <t>NB</t>
  </si>
  <si>
    <t>Chitta Ranjan Banerjee</t>
  </si>
  <si>
    <t>OJM412770924</t>
  </si>
  <si>
    <t>Lakshmi Banerjee</t>
  </si>
  <si>
    <t>OQO625957636</t>
  </si>
  <si>
    <t>Afrina Parween</t>
  </si>
  <si>
    <t>OOX065781125</t>
  </si>
  <si>
    <t>OYT551544883</t>
  </si>
  <si>
    <t>sex</t>
  </si>
  <si>
    <t>OAL413822121</t>
  </si>
  <si>
    <t>Const</t>
  </si>
  <si>
    <t>Yasmin Khatun</t>
  </si>
  <si>
    <t>ONE489302245</t>
  </si>
  <si>
    <t>Surjit 47</t>
  </si>
  <si>
    <t>KQR0786075</t>
  </si>
  <si>
    <t>Mohammad Sadique</t>
  </si>
  <si>
    <t>KQR2061298</t>
  </si>
  <si>
    <t>Buji Lohar</t>
  </si>
  <si>
    <t xml:space="preserve">KQR1283613 </t>
  </si>
  <si>
    <t>Mohammad Tanweer</t>
  </si>
  <si>
    <t>KQR8275927</t>
  </si>
  <si>
    <t>Wahida Anjum</t>
  </si>
  <si>
    <t>KQR28270142</t>
  </si>
  <si>
    <t>Chandani Bano</t>
  </si>
  <si>
    <t>Subham Kumar Bera</t>
  </si>
  <si>
    <t>50p</t>
  </si>
  <si>
    <t>KQR7489388</t>
  </si>
  <si>
    <t>Sourav Mahato</t>
  </si>
  <si>
    <t>OBA904982301</t>
  </si>
  <si>
    <t>PB</t>
  </si>
  <si>
    <t>KQR2305886</t>
  </si>
  <si>
    <t>Ajay Ku singh</t>
  </si>
  <si>
    <t>ODQ873249802</t>
  </si>
  <si>
    <t>KQR2124166</t>
  </si>
  <si>
    <t>Saroj Singh</t>
  </si>
  <si>
    <t>OYX670822128</t>
  </si>
  <si>
    <t>LRV7151087</t>
  </si>
  <si>
    <t>OTL772891457</t>
  </si>
  <si>
    <t>PNUMBER</t>
  </si>
  <si>
    <t>LRV6267892</t>
  </si>
  <si>
    <t>Mamta Mitra</t>
  </si>
  <si>
    <t xml:space="preserve">Under Age </t>
  </si>
  <si>
    <t>Dhirendra Nath Gope</t>
  </si>
  <si>
    <t>Sumitra Devi</t>
  </si>
  <si>
    <t>OKU385927834</t>
  </si>
  <si>
    <t>N D</t>
  </si>
  <si>
    <t>LRV7150949</t>
  </si>
  <si>
    <t>D N Singh</t>
  </si>
  <si>
    <t>oct371462951</t>
  </si>
  <si>
    <t>Rinku Devi</t>
  </si>
  <si>
    <t>OHF399161503</t>
  </si>
  <si>
    <t>DAP</t>
  </si>
  <si>
    <t>OPB971524645</t>
  </si>
  <si>
    <t>Rajiv Ranjan</t>
  </si>
  <si>
    <t>Ranch</t>
  </si>
  <si>
    <t>ORF145616216</t>
  </si>
  <si>
    <t>MYG6240865</t>
  </si>
  <si>
    <t>Dipesh Rai</t>
  </si>
  <si>
    <t>Card Print</t>
  </si>
  <si>
    <t>ONX449342305</t>
  </si>
  <si>
    <t>Supriya Saxena</t>
  </si>
  <si>
    <t>OHQ823001393</t>
  </si>
  <si>
    <t>Uma mishra</t>
  </si>
  <si>
    <t>wb</t>
  </si>
  <si>
    <t>n p</t>
  </si>
  <si>
    <t>YTZ1706084</t>
  </si>
  <si>
    <t>Sk Zidan Hassain</t>
  </si>
  <si>
    <t>Have to try on new Portal</t>
  </si>
  <si>
    <t>OIE952804473</t>
  </si>
  <si>
    <t>OMJ997928154</t>
  </si>
  <si>
    <t>N R D</t>
  </si>
  <si>
    <t>OQO297488411</t>
  </si>
  <si>
    <t>Yadu Nandan Prasad Sharma</t>
  </si>
  <si>
    <t>OVF745392627</t>
  </si>
  <si>
    <t>Chanda Kumari</t>
  </si>
  <si>
    <t>OQX909939726</t>
  </si>
  <si>
    <t>KQR827217</t>
  </si>
  <si>
    <t>BIRJU BASKE</t>
  </si>
  <si>
    <t>OLF226375944</t>
  </si>
  <si>
    <t>D P</t>
  </si>
  <si>
    <t>KQR7091226</t>
  </si>
  <si>
    <t>Shyam Ghosh</t>
  </si>
  <si>
    <t>OPB368954585</t>
  </si>
  <si>
    <t>KQR7358567</t>
  </si>
  <si>
    <t xml:space="preserve">Ekta Kumari </t>
  </si>
  <si>
    <t>Print</t>
  </si>
  <si>
    <t>KQR8291015</t>
  </si>
  <si>
    <t>Pratima</t>
  </si>
  <si>
    <t>KQR8291007</t>
  </si>
  <si>
    <t>Megha</t>
  </si>
  <si>
    <t>KQR8290991</t>
  </si>
  <si>
    <t>Rajesh Kumar Tripathy</t>
  </si>
  <si>
    <t>OSF383711526</t>
  </si>
  <si>
    <t>Rina Sahis</t>
  </si>
  <si>
    <t>PTA187942077</t>
  </si>
  <si>
    <t>Rajan Sahis</t>
  </si>
  <si>
    <t>OKR706470474</t>
  </si>
  <si>
    <t>Akash Nanda</t>
  </si>
  <si>
    <t>OWY064362618</t>
  </si>
  <si>
    <t>Amita Jha</t>
  </si>
  <si>
    <t>ODJ188775872</t>
  </si>
  <si>
    <t>Nazneed Parween</t>
  </si>
  <si>
    <t>ODA054169022</t>
  </si>
  <si>
    <t>Due</t>
  </si>
  <si>
    <t>KQR8291684</t>
  </si>
  <si>
    <t>OET974681582</t>
  </si>
  <si>
    <t>Nilima Mahato</t>
  </si>
  <si>
    <t>OEF931396802</t>
  </si>
  <si>
    <t>Pratima Mahato</t>
  </si>
  <si>
    <t>ODA388161253</t>
  </si>
  <si>
    <t>KQR6448161</t>
  </si>
  <si>
    <t>Shabina Khanam</t>
  </si>
  <si>
    <t>KQR8293094</t>
  </si>
  <si>
    <t>OOH560396695</t>
  </si>
  <si>
    <t>KQR0284059</t>
  </si>
  <si>
    <t>Gorai</t>
  </si>
  <si>
    <t>KQR0284034</t>
  </si>
  <si>
    <t>ORF639785216</t>
  </si>
  <si>
    <t>LRV1221462</t>
  </si>
  <si>
    <t>Sripati Devi</t>
  </si>
  <si>
    <t>Kyamat</t>
  </si>
  <si>
    <t xml:space="preserve">OYV717984928 </t>
  </si>
  <si>
    <t>KQR6592018</t>
  </si>
  <si>
    <t>K Srinivas Rao</t>
  </si>
  <si>
    <t>OEJ661047602</t>
  </si>
  <si>
    <t>Goutam Mahato</t>
  </si>
  <si>
    <t>OGW676934012</t>
  </si>
  <si>
    <t>A D</t>
  </si>
  <si>
    <t>LRV0382655</t>
  </si>
  <si>
    <t>Bidhan Chanra Deb</t>
  </si>
  <si>
    <t>OPO391750395</t>
  </si>
  <si>
    <t>Reshma Bano</t>
  </si>
  <si>
    <t>ODR986453312</t>
  </si>
  <si>
    <t>shifting</t>
  </si>
  <si>
    <t>LRV</t>
  </si>
  <si>
    <t>OOI990977755</t>
  </si>
  <si>
    <t>OWK051639888</t>
  </si>
  <si>
    <t>KQR2118623</t>
  </si>
  <si>
    <t>SHAZIA PARWEEN</t>
  </si>
  <si>
    <t>OHU014142253</t>
  </si>
  <si>
    <t>Biplab Dasgupta</t>
  </si>
  <si>
    <t>Asma Khatoon</t>
  </si>
  <si>
    <t>Shailender  Sinha</t>
  </si>
  <si>
    <t>OSY890904716</t>
  </si>
  <si>
    <t>Keshav Kumar</t>
  </si>
  <si>
    <t>NOT APPLIED</t>
  </si>
  <si>
    <t>KQR7494859</t>
  </si>
  <si>
    <t>OYU834649038</t>
  </si>
  <si>
    <t>Lalita Kujur</t>
  </si>
  <si>
    <t>DBW549888261</t>
  </si>
  <si>
    <t>OKL774010187</t>
  </si>
  <si>
    <t>PN</t>
  </si>
  <si>
    <t>KQR3496585</t>
  </si>
  <si>
    <t>SURAIYA BEGUM</t>
  </si>
  <si>
    <t>OKV288940304</t>
  </si>
  <si>
    <t>BABY KUMARI</t>
  </si>
  <si>
    <t>OSL468925607</t>
  </si>
  <si>
    <t>FP</t>
  </si>
  <si>
    <t>KQR6450761</t>
  </si>
  <si>
    <t>OBC058833051</t>
  </si>
  <si>
    <t>KQR6450589</t>
  </si>
  <si>
    <t>OIC821464643</t>
  </si>
  <si>
    <t>Vinita Mishra</t>
  </si>
  <si>
    <t>OJH355730654</t>
  </si>
  <si>
    <t>Kanhaiya Mishra</t>
  </si>
  <si>
    <t>OAV834946021</t>
  </si>
  <si>
    <t>KQR7924574</t>
  </si>
  <si>
    <t>Shalendra Mahato</t>
  </si>
  <si>
    <t>OYU834640038</t>
  </si>
  <si>
    <t>Lalita Kijur</t>
  </si>
  <si>
    <t>OUO720594667</t>
  </si>
  <si>
    <t>NPD</t>
  </si>
  <si>
    <t>JVN1468358</t>
  </si>
  <si>
    <t>Shamsh Tabrez Alam</t>
  </si>
  <si>
    <t>OEE751653241</t>
  </si>
  <si>
    <t>OJF744620863</t>
  </si>
  <si>
    <t xml:space="preserve">Ranjeet  Tiwari </t>
  </si>
  <si>
    <t>Oks159591124</t>
  </si>
  <si>
    <t xml:space="preserve">Lakhi  Devi </t>
  </si>
  <si>
    <t>OBP824192821</t>
  </si>
  <si>
    <t>HTR8002552</t>
  </si>
  <si>
    <t>RAHUL KUMAR PATHAK</t>
  </si>
  <si>
    <t>HRT8944878</t>
  </si>
  <si>
    <t>PD</t>
  </si>
  <si>
    <t>HTR8944878</t>
  </si>
  <si>
    <t>OYE189200788</t>
  </si>
  <si>
    <t>Meeru Shrama</t>
  </si>
  <si>
    <t>OCA919385441</t>
  </si>
  <si>
    <t>AP</t>
  </si>
  <si>
    <t>KQR6900096</t>
  </si>
  <si>
    <t>Charajeet Singh</t>
  </si>
  <si>
    <t>OAG196167871</t>
  </si>
  <si>
    <t>oav815605811</t>
  </si>
  <si>
    <t>lrv6747877</t>
  </si>
  <si>
    <t>arti devi</t>
  </si>
  <si>
    <t>nvsp</t>
  </si>
  <si>
    <t>OLM201806814</t>
  </si>
  <si>
    <t>Shanshah Khan</t>
  </si>
  <si>
    <t>`</t>
  </si>
  <si>
    <t>1kw</t>
  </si>
  <si>
    <t>3kw</t>
  </si>
  <si>
    <t>DS-II</t>
  </si>
  <si>
    <t>NDS-II</t>
  </si>
  <si>
    <t>NC no</t>
  </si>
  <si>
    <t>id (RC)</t>
  </si>
  <si>
    <t>pass</t>
  </si>
  <si>
    <t>TYPE</t>
  </si>
  <si>
    <t>LOAD</t>
  </si>
  <si>
    <t>DS-II/1</t>
  </si>
  <si>
    <t>Md Iqbal Ahmed</t>
  </si>
  <si>
    <t>DS-II/3</t>
  </si>
  <si>
    <t>Sumeshwari kumari</t>
  </si>
  <si>
    <t>NDS-II/1K</t>
  </si>
  <si>
    <t>Amisha Mahato</t>
  </si>
  <si>
    <t>Shubham Kumar Bhagat</t>
  </si>
  <si>
    <t>DS-ii/3K</t>
  </si>
  <si>
    <t>Sitangshu Shekhar Sen</t>
  </si>
  <si>
    <t>DS-II/1K</t>
  </si>
  <si>
    <t>Ram Sagar Mahato</t>
  </si>
  <si>
    <t>NC084047512</t>
  </si>
  <si>
    <t>Mohammad Usman Ali</t>
  </si>
  <si>
    <t>NC919236236</t>
  </si>
  <si>
    <t>DS-III/7K</t>
  </si>
  <si>
    <t>Imteyaz Ahmad</t>
  </si>
  <si>
    <t>NC816300512</t>
  </si>
  <si>
    <t>DS-II/4k</t>
  </si>
  <si>
    <t>Wajid Khan</t>
  </si>
  <si>
    <t>NC755333640</t>
  </si>
  <si>
    <t>DK-iI/1K</t>
  </si>
  <si>
    <t>Md Owais Khan</t>
  </si>
  <si>
    <t>NC898891536</t>
  </si>
  <si>
    <t>DK-II/1K</t>
  </si>
  <si>
    <t>DS-II/2k</t>
  </si>
  <si>
    <t>Agni Lohra</t>
  </si>
  <si>
    <t>ajay</t>
  </si>
  <si>
    <t>NC413375168</t>
  </si>
  <si>
    <t>00554</t>
  </si>
  <si>
    <t>Ravindra prasad</t>
  </si>
  <si>
    <t>Saroj Devi</t>
  </si>
  <si>
    <t>NC528123299</t>
  </si>
  <si>
    <t>48089</t>
  </si>
  <si>
    <t>Tarun Patro</t>
  </si>
  <si>
    <t>babu</t>
  </si>
  <si>
    <t>22-12-202</t>
  </si>
  <si>
    <t>NC196689403</t>
  </si>
  <si>
    <t>RC050669</t>
  </si>
  <si>
    <t>94235</t>
  </si>
  <si>
    <t>NC398691483</t>
  </si>
  <si>
    <t>RC777362</t>
  </si>
  <si>
    <t>03553</t>
  </si>
  <si>
    <t>Sarita Devi</t>
  </si>
  <si>
    <t>NC842194238</t>
  </si>
  <si>
    <t>RC402076</t>
  </si>
  <si>
    <t>94659</t>
  </si>
  <si>
    <t>Joba Sarkar</t>
  </si>
  <si>
    <t>NC404660345</t>
  </si>
  <si>
    <t>Nita Dutta</t>
  </si>
  <si>
    <t>NS700610567</t>
  </si>
  <si>
    <t>RC469856</t>
  </si>
  <si>
    <t>64429</t>
  </si>
  <si>
    <t>DS-II/2K</t>
  </si>
  <si>
    <t>Honey</t>
  </si>
  <si>
    <t>NC695798158</t>
  </si>
  <si>
    <t>RC507940</t>
  </si>
  <si>
    <t>06634</t>
  </si>
  <si>
    <t>Piyush Kumar basri</t>
  </si>
  <si>
    <t>97655</t>
  </si>
  <si>
    <t>M Shankar</t>
  </si>
  <si>
    <t>Badal Gorai</t>
  </si>
  <si>
    <t>NC000945109</t>
  </si>
  <si>
    <t>NC289701022</t>
  </si>
  <si>
    <t>Ambuj Karmakar</t>
  </si>
  <si>
    <t>NC835391150</t>
  </si>
  <si>
    <t>RC019712</t>
  </si>
  <si>
    <t>DS-III/15K</t>
  </si>
  <si>
    <t>Sabina Khatoon</t>
  </si>
  <si>
    <t>NC358756155</t>
  </si>
  <si>
    <t>Md Shahid</t>
  </si>
  <si>
    <t>NC962203007</t>
  </si>
  <si>
    <t>RC718129</t>
  </si>
  <si>
    <t>01905</t>
  </si>
  <si>
    <t>Rubi Singh</t>
  </si>
  <si>
    <t>NC100571369</t>
  </si>
  <si>
    <t>RAJAK MIYA</t>
  </si>
  <si>
    <t>NC971677829</t>
  </si>
  <si>
    <t>RC644709</t>
  </si>
  <si>
    <t>32381</t>
  </si>
  <si>
    <t>Pran Gopal Mahato</t>
  </si>
  <si>
    <t> NC281789114</t>
  </si>
  <si>
    <t>shailendra mahato</t>
  </si>
  <si>
    <t>NC225063869</t>
  </si>
  <si>
    <t>RC121670</t>
  </si>
  <si>
    <t>92673</t>
  </si>
  <si>
    <t>E. Shashi Kumar</t>
  </si>
  <si>
    <t>NC840859899</t>
  </si>
  <si>
    <t>Annu Pandey</t>
  </si>
  <si>
    <t>NC203678751</t>
  </si>
  <si>
    <t>RC231099</t>
  </si>
  <si>
    <t>21106</t>
  </si>
  <si>
    <t>Meghnath karmakar lohar</t>
  </si>
  <si>
    <t>NC188736028</t>
  </si>
  <si>
    <t>Sunita Singh</t>
  </si>
  <si>
    <t>NC053647811</t>
  </si>
  <si>
    <t>RC219026</t>
  </si>
  <si>
    <t>59707</t>
  </si>
  <si>
    <t>15KW</t>
  </si>
  <si>
    <t>Anjan Kumar Mahato</t>
  </si>
  <si>
    <t>NC414530382</t>
  </si>
  <si>
    <t>RC576684</t>
  </si>
  <si>
    <t>50402</t>
  </si>
  <si>
    <t>2kv</t>
  </si>
  <si>
    <t>Jayeeta Santra</t>
  </si>
  <si>
    <t>RC870027</t>
  </si>
  <si>
    <t>06901</t>
  </si>
  <si>
    <t>Suman Jha</t>
  </si>
  <si>
    <t>NC048272836</t>
  </si>
  <si>
    <t>RC403510</t>
  </si>
  <si>
    <t>19598</t>
  </si>
  <si>
    <t xml:space="preserve">Md Aleem Akhtar </t>
  </si>
  <si>
    <t>NC032749572</t>
  </si>
  <si>
    <t>RC256243</t>
  </si>
  <si>
    <t>34395</t>
  </si>
  <si>
    <t>NC996096466</t>
  </si>
  <si>
    <t>1kv</t>
  </si>
  <si>
    <t>Reeta Singh</t>
  </si>
  <si>
    <t>NC809893070</t>
  </si>
  <si>
    <t>RC590568</t>
  </si>
  <si>
    <t>43008</t>
  </si>
  <si>
    <t>2KV</t>
  </si>
  <si>
    <t>Satish Prasad</t>
  </si>
  <si>
    <t>NC590100254</t>
  </si>
  <si>
    <t>Prakash Gorai</t>
  </si>
  <si>
    <t>aplfee</t>
  </si>
  <si>
    <t>mtr test</t>
  </si>
  <si>
    <t>security</t>
  </si>
  <si>
    <t>ser charge</t>
  </si>
  <si>
    <t>100</t>
  </si>
  <si>
    <t>7400</t>
  </si>
  <si>
    <t>4020</t>
  </si>
  <si>
    <t>comp</t>
  </si>
  <si>
    <t>type</t>
  </si>
  <si>
    <t>policy number</t>
  </si>
  <si>
    <t>date</t>
  </si>
  <si>
    <t>vehicle</t>
  </si>
  <si>
    <t>regn no</t>
  </si>
  <si>
    <t>rcvd=-B</t>
  </si>
  <si>
    <t>to rcvd</t>
  </si>
  <si>
    <t>TP</t>
  </si>
  <si>
    <t>2320100266086200000</t>
  </si>
  <si>
    <t>2320100266097200000</t>
  </si>
  <si>
    <t>Goutam Swarnkar</t>
  </si>
  <si>
    <t>Ashok Goenka</t>
  </si>
  <si>
    <t>Suvendu Mahato</t>
  </si>
  <si>
    <t>SITESH CHANDRA ROY</t>
  </si>
  <si>
    <t>Har Mohan Mahato</t>
  </si>
  <si>
    <t>Abdul Bari Khan</t>
  </si>
  <si>
    <t>Vikram Singh</t>
  </si>
  <si>
    <t>Jesika Tiru</t>
  </si>
  <si>
    <t>GOPI NATH</t>
  </si>
  <si>
    <t>Bullet</t>
  </si>
  <si>
    <t xml:space="preserve">Shyam sunder </t>
  </si>
  <si>
    <t>tvs</t>
  </si>
  <si>
    <t>JALDHAR MAHATO</t>
  </si>
  <si>
    <t>Activa</t>
  </si>
  <si>
    <t>CMP</t>
  </si>
  <si>
    <t>2312100310567000000</t>
  </si>
  <si>
    <t>Basudev Banerjee</t>
  </si>
  <si>
    <t>JH-05-BM-5241</t>
  </si>
  <si>
    <t>2312100310773900000</t>
  </si>
  <si>
    <t>Aditya Goenka</t>
  </si>
  <si>
    <t>KA-53-EA-5782</t>
  </si>
  <si>
    <t>2320100310906400000</t>
  </si>
  <si>
    <t>pulser</t>
  </si>
  <si>
    <t>JH-05-E-4550</t>
  </si>
  <si>
    <t>2312100315017200000</t>
  </si>
  <si>
    <t>AFTAB KHAN</t>
  </si>
  <si>
    <t>JH-05-BB-5893</t>
  </si>
  <si>
    <t>2312100332729500000</t>
  </si>
  <si>
    <t>Saurabh Chandra</t>
  </si>
  <si>
    <t>Activa-5G</t>
  </si>
  <si>
    <t>Honda Amaz</t>
  </si>
  <si>
    <t>JH05</t>
  </si>
  <si>
    <t>Madhuri kalpana Kujur</t>
  </si>
  <si>
    <t>AltoLXIBWS4</t>
  </si>
  <si>
    <t>JH05AZ1953</t>
  </si>
  <si>
    <t>S Balaji</t>
  </si>
  <si>
    <t>Palai Hembram</t>
  </si>
  <si>
    <t>Activa 4G</t>
  </si>
  <si>
    <t>JH05BX9181</t>
  </si>
  <si>
    <t>2320 1003 9843 2900 000</t>
  </si>
  <si>
    <t>Gopi Vijay</t>
  </si>
  <si>
    <t>JH-05-BY-5190</t>
  </si>
  <si>
    <t>2320 1003 9843 6000 000</t>
  </si>
  <si>
    <t>BAJAJ CT-100</t>
  </si>
  <si>
    <t>JH-05-J-6766</t>
  </si>
  <si>
    <t>TAPESHWAR PRASAD GUPTA</t>
  </si>
  <si>
    <t>MARUTI-800</t>
  </si>
  <si>
    <t>BR-16-J-7457</t>
  </si>
  <si>
    <t>SHASHI BHUSHAN SINGH</t>
  </si>
  <si>
    <t>JH05BZ9296</t>
  </si>
  <si>
    <t>Rajdeo Patro</t>
  </si>
  <si>
    <t>JH05BZ2081</t>
  </si>
  <si>
    <t>Mohammad Shahid</t>
  </si>
  <si>
    <t>Nano</t>
  </si>
  <si>
    <t>JH-05-AR-3070</t>
  </si>
  <si>
    <t>Hem Soren</t>
  </si>
  <si>
    <t>achiever</t>
  </si>
  <si>
    <t>JH-05-BN-7125</t>
  </si>
  <si>
    <t>2320 1004 1142 4200 000</t>
  </si>
  <si>
    <t>SOMEN PRADHAN</t>
  </si>
  <si>
    <t>splender</t>
  </si>
  <si>
    <t>JH-05-AN-6030</t>
  </si>
  <si>
    <t>jai Prakash swarnakar</t>
  </si>
  <si>
    <t>activa</t>
  </si>
  <si>
    <t>Jh-05-BG-1654</t>
  </si>
  <si>
    <t>cmp</t>
  </si>
  <si>
    <t>Manish Kumar Saw</t>
  </si>
  <si>
    <t>tvs xl</t>
  </si>
  <si>
    <t>JH-05-BZ-2126</t>
  </si>
  <si>
    <t>Honda Shine</t>
  </si>
  <si>
    <t>Jh-05-BK-0757</t>
  </si>
  <si>
    <t>AMARJEET PRASAD</t>
  </si>
  <si>
    <t>JH-05-BZ-1052</t>
  </si>
  <si>
    <t>HARISHANKAR GORAI</t>
  </si>
  <si>
    <t>Swift</t>
  </si>
  <si>
    <t>JH-05-AA-3852</t>
  </si>
  <si>
    <t>Harmohan mahato</t>
  </si>
  <si>
    <t>Splender super</t>
  </si>
  <si>
    <t>JH-05-BD-5390</t>
  </si>
  <si>
    <t>KAMAL NARAYAN RAY</t>
  </si>
  <si>
    <t>PLEASURE-STANDARD</t>
  </si>
  <si>
    <t>JH-05-Z-7828</t>
  </si>
  <si>
    <t>JESIKA TIRU</t>
  </si>
  <si>
    <t>ACTIVA DELUX</t>
  </si>
  <si>
    <t>JH-05-BC-0459</t>
  </si>
  <si>
    <t>ABDUL BARI KHAN</t>
  </si>
  <si>
    <t>ACTIVA</t>
  </si>
  <si>
    <t>JH-05-AX-4183</t>
  </si>
  <si>
    <t>MD FIROZ</t>
  </si>
  <si>
    <t>PASSION PLUS</t>
  </si>
  <si>
    <t>JH-05-K-1937</t>
  </si>
  <si>
    <t>YOGENDRA KUMAR SINGH</t>
  </si>
  <si>
    <t>MARUTI 800</t>
  </si>
  <si>
    <t>BR-16-J-7405</t>
  </si>
  <si>
    <t>UMESH KUMAR PRASAD</t>
  </si>
  <si>
    <t>TVS STAR CITY</t>
  </si>
  <si>
    <t>JH-05-AF-9977</t>
  </si>
  <si>
    <t>Ifco</t>
  </si>
  <si>
    <t>M7128334</t>
  </si>
  <si>
    <t>Manish Kumar saw</t>
  </si>
  <si>
    <t>INDICA VISTA TERRA</t>
  </si>
  <si>
    <t>JH05AB8109</t>
  </si>
  <si>
    <t>K MADHAV RAO</t>
  </si>
  <si>
    <t>super splendedr</t>
  </si>
  <si>
    <t>JH-05-X-3587</t>
  </si>
  <si>
    <t>RAM JIBAN PATHAK</t>
  </si>
  <si>
    <t>Wagon R VXI</t>
  </si>
  <si>
    <t>Passion Pro</t>
  </si>
  <si>
    <t>JH-05-AY-7751</t>
  </si>
  <si>
    <t>JOY PRAKASH GIRI</t>
  </si>
  <si>
    <t>JH-05-AB-3834</t>
  </si>
  <si>
    <t>Aloke Kumar Chatterjee</t>
  </si>
  <si>
    <t>Honda DIO</t>
  </si>
  <si>
    <t>JH-05-BR-6390</t>
  </si>
  <si>
    <t>SUREN PRASAD SAW</t>
  </si>
  <si>
    <t>ACTIVA-DELUXE</t>
  </si>
  <si>
    <t>JH-05-AR-2583</t>
  </si>
  <si>
    <t>SANJEEV KUMAR SINGH</t>
  </si>
  <si>
    <t>PULSAR-150 DTSI</t>
  </si>
  <si>
    <t>JH-05-CA-2712</t>
  </si>
  <si>
    <t>SEEMA DEY</t>
  </si>
  <si>
    <t>TVS Pep+</t>
  </si>
  <si>
    <t>JH-05-V-9086</t>
  </si>
  <si>
    <t>MEER NASIM UDDIN</t>
  </si>
  <si>
    <t>V15-STD (150 CC)</t>
  </si>
  <si>
    <t>JH-05-BU-8819</t>
  </si>
  <si>
    <t>TAPAN KUMAR MAITY</t>
  </si>
  <si>
    <t>ACTIVA 5G</t>
  </si>
  <si>
    <t>JH-05-CB-8850</t>
  </si>
  <si>
    <t>SHWETA SINGH</t>
  </si>
  <si>
    <t>PLEASURE STD</t>
  </si>
  <si>
    <t>JH-05-AS-5885</t>
  </si>
  <si>
    <t>PASSION PLUS-DRUM</t>
  </si>
  <si>
    <t>JH-05-AG-5567</t>
  </si>
  <si>
    <t>Shankar Gorai</t>
  </si>
  <si>
    <t>SAGAR GOPE</t>
  </si>
  <si>
    <t>SPLENDER</t>
  </si>
  <si>
    <t>JH05BX8819</t>
  </si>
  <si>
    <t>Raj Banshi Singh</t>
  </si>
  <si>
    <t>JH05CC</t>
  </si>
  <si>
    <t>Jayanta Das</t>
  </si>
  <si>
    <t>JH05AY9399</t>
  </si>
  <si>
    <t>AJAR ANAND TOPPO</t>
  </si>
  <si>
    <t>Alto</t>
  </si>
  <si>
    <t>JH-05-AJ-6440</t>
  </si>
  <si>
    <t>Pashupati Gorai</t>
  </si>
  <si>
    <t>JH-05-BK-4821</t>
  </si>
  <si>
    <t>Neeraj Kumar</t>
  </si>
  <si>
    <t>JH-05-Y-9067</t>
  </si>
  <si>
    <t>Pradhan Murmu</t>
  </si>
  <si>
    <t>JH-05-BC-0752</t>
  </si>
  <si>
    <t>Barnali Dutta</t>
  </si>
  <si>
    <t>SPLENDOR PLUS-DRUM SPOKE</t>
  </si>
  <si>
    <t>JH-05-F-9378</t>
  </si>
  <si>
    <t>Arvind Kr sahay</t>
  </si>
  <si>
    <t>SPLENDOR-STANDARD (97 CC)</t>
  </si>
  <si>
    <t>JH-02-C-2517</t>
  </si>
  <si>
    <t>Ravi</t>
  </si>
  <si>
    <t>Splender Lx</t>
  </si>
  <si>
    <t>JH-05-U-2262</t>
  </si>
  <si>
    <t>Krishna Gorai</t>
  </si>
  <si>
    <t>ALTO 800 - DX</t>
  </si>
  <si>
    <t>JH-05-K-1443</t>
  </si>
  <si>
    <t>Udaykant Prasad</t>
  </si>
  <si>
    <t>Activa 3G</t>
  </si>
  <si>
    <t>JH-05-BN-4058</t>
  </si>
  <si>
    <t>Bikash Kumar Kundu</t>
  </si>
  <si>
    <t>Jupiter</t>
  </si>
  <si>
    <t>JH-05-BZ-1767</t>
  </si>
  <si>
    <t>BHABESH CHANDA MAHTO</t>
  </si>
  <si>
    <t>TVS Star city</t>
  </si>
  <si>
    <t>JH-05-T-1102</t>
  </si>
  <si>
    <t>DULAL GHOSH</t>
  </si>
  <si>
    <t>WB-34-H-4220</t>
  </si>
  <si>
    <t>SANJAY KUMAR</t>
  </si>
  <si>
    <t>Glamour</t>
  </si>
  <si>
    <t>JH05AM7080</t>
  </si>
  <si>
    <t>MADHURI KALPANA MINZ</t>
  </si>
  <si>
    <t>JH-05-AZ-1953</t>
  </si>
  <si>
    <t>OM PRAKASH YADAV</t>
  </si>
  <si>
    <t>BR-16-M-3639</t>
  </si>
  <si>
    <t>BAJAJ</t>
  </si>
  <si>
    <t>OG-20-2406-1806-00001578</t>
  </si>
  <si>
    <t>PRAVEEN KUJUR</t>
  </si>
  <si>
    <t>JH05BU3816</t>
  </si>
  <si>
    <t>BIRENDRA KUMAR</t>
  </si>
  <si>
    <t>Splender Plus</t>
  </si>
  <si>
    <t>JH-05-M-6794</t>
  </si>
  <si>
    <t>MD KASIM</t>
  </si>
  <si>
    <t>JH05BP7593</t>
  </si>
  <si>
    <t>maruti 800</t>
  </si>
  <si>
    <t>JH-05-AN-4202</t>
  </si>
  <si>
    <t>tvs pep</t>
  </si>
  <si>
    <t>JAI NATH SINGH</t>
  </si>
  <si>
    <t>LML VESPA</t>
  </si>
  <si>
    <t>BR-16-D-1762</t>
  </si>
  <si>
    <t>Sonia Baisya</t>
  </si>
  <si>
    <t>CG-07-LH-1552</t>
  </si>
  <si>
    <t>MANOJ KUMAR SINGH</t>
  </si>
  <si>
    <t>JH-05-R-8185</t>
  </si>
  <si>
    <t>N MARY SINGH</t>
  </si>
  <si>
    <t>Alto LXI</t>
  </si>
  <si>
    <t>JH-05-AJ-3207</t>
  </si>
  <si>
    <t>VIKASH RANJAN</t>
  </si>
  <si>
    <t>TVS WEGO</t>
  </si>
  <si>
    <t>JH-05-AW-6711</t>
  </si>
  <si>
    <t>Comp</t>
  </si>
  <si>
    <t>VIJAY GORAI</t>
  </si>
  <si>
    <t>Activa 5G</t>
  </si>
  <si>
    <t>JH-05-CC-9973</t>
  </si>
  <si>
    <t>Bhaskar Chaturvedi</t>
  </si>
  <si>
    <t>Super Splender</t>
  </si>
  <si>
    <t>JH-05-AT-6691</t>
  </si>
  <si>
    <t>Pramod Kumar Mishra</t>
  </si>
  <si>
    <t>Splendor</t>
  </si>
  <si>
    <t>JH-05-P-3400</t>
  </si>
  <si>
    <t>Papu Murmu</t>
  </si>
  <si>
    <t>Maestro</t>
  </si>
  <si>
    <t>OD-13-B-5534</t>
  </si>
  <si>
    <t>Sanjay Paul</t>
  </si>
  <si>
    <t>HF Delux</t>
  </si>
  <si>
    <t>Jh-05-BD-1075</t>
  </si>
  <si>
    <t>TVS Scooty Streak</t>
  </si>
  <si>
    <t>JH-05-AZ-6223</t>
  </si>
  <si>
    <t>Relian</t>
  </si>
  <si>
    <t>Ajay Kumar Jha</t>
  </si>
  <si>
    <t>JH05S4701</t>
  </si>
  <si>
    <t>CHHUTU BINDHANI</t>
  </si>
  <si>
    <t>CD 100</t>
  </si>
  <si>
    <t>BR16F7779</t>
  </si>
  <si>
    <t>Sanjay Patra</t>
  </si>
  <si>
    <t>Splender</t>
  </si>
  <si>
    <t>JH05AW2446</t>
  </si>
  <si>
    <t>Mohan Murari Sahay</t>
  </si>
  <si>
    <t>Maruti 800</t>
  </si>
  <si>
    <t>RJ271C1195</t>
  </si>
  <si>
    <t>Rajesh Gorai</t>
  </si>
  <si>
    <t>Honda LIVO</t>
  </si>
  <si>
    <t>JH-05-BH-3302</t>
  </si>
  <si>
    <t>Brajesh Pratap Singh</t>
  </si>
  <si>
    <t>JH-05-N-3665</t>
  </si>
  <si>
    <t>Honda Unicorn</t>
  </si>
  <si>
    <t>JH05BG7674</t>
  </si>
  <si>
    <t>Rahul Kumar Verma</t>
  </si>
  <si>
    <t>JH-05--8186</t>
  </si>
  <si>
    <t>Sanjay Kumar Verma</t>
  </si>
  <si>
    <t>Yamha FZ 16</t>
  </si>
  <si>
    <t>JH-05-BB-8440</t>
  </si>
  <si>
    <t>Sanjay Mahato</t>
  </si>
  <si>
    <t>Tata Safari</t>
  </si>
  <si>
    <t>JH05U1322</t>
  </si>
  <si>
    <t>SHIV SHANKAR SINGH</t>
  </si>
  <si>
    <t>JH05BP5566</t>
  </si>
  <si>
    <t>Guru Charan Singh</t>
  </si>
  <si>
    <t>JH05BK2542</t>
  </si>
  <si>
    <t>Ashok Kumar Choudhary</t>
  </si>
  <si>
    <t>PULSAR-135 LS (135 CC)</t>
  </si>
  <si>
    <t>JH-05-AD-3769</t>
  </si>
  <si>
    <t>K RAVI RAJU</t>
  </si>
  <si>
    <t>JH-05-BD-3450</t>
  </si>
  <si>
    <t>Reliance</t>
  </si>
  <si>
    <t>indigo</t>
  </si>
  <si>
    <t>Bajaj D</t>
  </si>
  <si>
    <t>OG-20-2408-1806-00004048</t>
  </si>
  <si>
    <t>Laxmi Singh</t>
  </si>
  <si>
    <t>Plesure</t>
  </si>
  <si>
    <t>JH05AZ3748</t>
  </si>
  <si>
    <t>OG-20-2408-1806-00004058</t>
  </si>
  <si>
    <t>Mir Mursid Ali</t>
  </si>
  <si>
    <t>JH05AY4636</t>
  </si>
  <si>
    <t>COMP</t>
  </si>
  <si>
    <t>OG-20-2408-1802-00001362</t>
  </si>
  <si>
    <t>Bharat Kumar</t>
  </si>
  <si>
    <t>JH05BL7916</t>
  </si>
  <si>
    <t>OG-20-2408-1806-00004223</t>
  </si>
  <si>
    <t>Robin Bhumij</t>
  </si>
  <si>
    <t>Yahma Ray Z</t>
  </si>
  <si>
    <t>JH05BQ6584</t>
  </si>
  <si>
    <t>OG-20-2408-1806-00004228</t>
  </si>
  <si>
    <t>cd Delux</t>
  </si>
  <si>
    <t>JH05AJ2579</t>
  </si>
  <si>
    <t>OG-20-2408-1806-00004261</t>
  </si>
  <si>
    <t>MANJUR KHAN</t>
  </si>
  <si>
    <t>JH05Y7336</t>
  </si>
  <si>
    <t>OG-20-2408-1806-00004281</t>
  </si>
  <si>
    <t>BHAGIRATH SINGH</t>
  </si>
  <si>
    <t>JH05CB5960</t>
  </si>
  <si>
    <t>OG-20-2408-1806-00004318</t>
  </si>
  <si>
    <t>Meena Sinha</t>
  </si>
  <si>
    <t>Pleasure</t>
  </si>
  <si>
    <t>JH05AC3042</t>
  </si>
  <si>
    <t>OG-20-2408-1806-00004352</t>
  </si>
  <si>
    <t>OG-20-2408-1806-00004388</t>
  </si>
  <si>
    <t>OG-20-2408-1806-00004488</t>
  </si>
  <si>
    <t>OG-20-2408-1806-00004507</t>
  </si>
  <si>
    <t>Tankeshwar Mahato</t>
  </si>
  <si>
    <t>Passion plus</t>
  </si>
  <si>
    <t>JH05U9177</t>
  </si>
  <si>
    <t>OG-20-2408-1806-00004534</t>
  </si>
  <si>
    <t>New 5</t>
  </si>
  <si>
    <t>OG-20-2408-1826-00002390</t>
  </si>
  <si>
    <t>BALARAM GORAI</t>
  </si>
  <si>
    <t>CBZ Shine</t>
  </si>
  <si>
    <t>OG-20-2408-1806-00004753</t>
  </si>
  <si>
    <t>OG-20-2408-1806-00004790</t>
  </si>
  <si>
    <t>ABID HUSSAIN</t>
  </si>
  <si>
    <t>CBZ X TREME</t>
  </si>
  <si>
    <t>JH05Z9992</t>
  </si>
  <si>
    <t>Indigo</t>
  </si>
  <si>
    <t>S BALAJI</t>
  </si>
  <si>
    <t>Ape</t>
  </si>
  <si>
    <t>JH-05-AM-4882</t>
  </si>
  <si>
    <t>Bajaj</t>
  </si>
  <si>
    <t>OG-20-2408-1806-00004878</t>
  </si>
  <si>
    <t>Dipankar Rana</t>
  </si>
  <si>
    <t>Cd Delux</t>
  </si>
  <si>
    <t>JH05AJ6691</t>
  </si>
  <si>
    <t>OG-20-2408-1802-00001555</t>
  </si>
  <si>
    <t>OG-20-2408-1806-00004951</t>
  </si>
  <si>
    <t>Krishna Tiwary</t>
  </si>
  <si>
    <t>bajaj discover</t>
  </si>
  <si>
    <t>JH05M5264</t>
  </si>
  <si>
    <t>OG-20-2408-1802-00001571</t>
  </si>
  <si>
    <t>Maheshwar Das</t>
  </si>
  <si>
    <t>OG-20-2408-1806-00004963</t>
  </si>
  <si>
    <t>OG-20-2408-1802-00001574</t>
  </si>
  <si>
    <t>OG-20-2408-1806-00004972</t>
  </si>
  <si>
    <t>OG-20-2408-1806-00004991</t>
  </si>
  <si>
    <t>SUDAMA SAH</t>
  </si>
  <si>
    <t>OG-20-2408-1806-00005009</t>
  </si>
  <si>
    <t>DESA SINGH</t>
  </si>
  <si>
    <t>JH05BD9529</t>
  </si>
  <si>
    <t>OG-20-2408-1802-00001583</t>
  </si>
  <si>
    <t>PRAKASH CHANDA MAHATO</t>
  </si>
  <si>
    <t>OG-20-2408-1806-00005028</t>
  </si>
  <si>
    <t>Dhanurdhar Tripathy</t>
  </si>
  <si>
    <t>OG-20-2408-1806-00005072</t>
  </si>
  <si>
    <t>OG-20-2408-1802-00001593</t>
  </si>
  <si>
    <t>OG-20-2408-1806-00005108</t>
  </si>
  <si>
    <t>Manas Sau</t>
  </si>
  <si>
    <t>JH05CC4019</t>
  </si>
  <si>
    <t>OG-20-2408-1806-00005132</t>
  </si>
  <si>
    <t>Rajesh Kumar</t>
  </si>
  <si>
    <t>Yamaha Fascino</t>
  </si>
  <si>
    <t>JH05BQ0563</t>
  </si>
  <si>
    <t>OG-20-2408-1806-00005156</t>
  </si>
  <si>
    <t>Anil Kumar Behura</t>
  </si>
  <si>
    <t>JH05BF9001</t>
  </si>
  <si>
    <t>OG-20-2408-1806-00005157</t>
  </si>
  <si>
    <t>Ramesh Mahato</t>
  </si>
  <si>
    <t>JH05BX0984</t>
  </si>
  <si>
    <t>OG-20-2408-1806-00005213</t>
  </si>
  <si>
    <t>Anup Kumar Maity</t>
  </si>
  <si>
    <t>JH05BH1671</t>
  </si>
  <si>
    <t>Surender Singh Yadav</t>
  </si>
  <si>
    <t>JH05AA9914</t>
  </si>
  <si>
    <t>OG-20-2408-1806-00005247</t>
  </si>
  <si>
    <t>Nasruddin Ansari</t>
  </si>
  <si>
    <t>Dream Yuga</t>
  </si>
  <si>
    <t>JH05AT2763</t>
  </si>
  <si>
    <t>OG-20-2408-1802-00001645</t>
  </si>
  <si>
    <t>Md Aftab Ansari</t>
  </si>
  <si>
    <t>JH05CC1849</t>
  </si>
  <si>
    <t>OG-20-2408-1806-00005298</t>
  </si>
  <si>
    <t>Durga Pada Maity</t>
  </si>
  <si>
    <t>Passion Plus</t>
  </si>
  <si>
    <t>JH05J5798</t>
  </si>
  <si>
    <t>OG-20-2408-1802-00001659</t>
  </si>
  <si>
    <t>OG-20-2408-1806-00005345</t>
  </si>
  <si>
    <t>OG-20-2408-1806-00005347</t>
  </si>
  <si>
    <t>Rajesh Kumar Roy</t>
  </si>
  <si>
    <t>JH05AY4766</t>
  </si>
  <si>
    <t>OG-20-2408-1806-00005403</t>
  </si>
  <si>
    <t>Jagabandhu Mahato</t>
  </si>
  <si>
    <t>OG-20-2408-1806-00005405</t>
  </si>
  <si>
    <t>OG-20-2408-1806-00005408</t>
  </si>
  <si>
    <t>OG-20-2408-1806-00005433</t>
  </si>
  <si>
    <t>Naresh Gorai</t>
  </si>
  <si>
    <t>JH05BD7618</t>
  </si>
  <si>
    <t>OG-20-2408-1802-00001689</t>
  </si>
  <si>
    <t>Aviator</t>
  </si>
  <si>
    <t>JH05BD4971</t>
  </si>
  <si>
    <t>OG-20-2408-1806-00005578</t>
  </si>
  <si>
    <t>OG-20-2408-1806-00005580</t>
  </si>
  <si>
    <t>OG-20-2408-1806-00005575</t>
  </si>
  <si>
    <t>OG-20-2408-1802-00001718</t>
  </si>
  <si>
    <t>OG-20-2408-1806-00005741</t>
  </si>
  <si>
    <t>SK Habib</t>
  </si>
  <si>
    <t>JH05BR6404</t>
  </si>
  <si>
    <t>OG-20-2408-1806-00006069</t>
  </si>
  <si>
    <t>2319 1007 3973 4100 001</t>
  </si>
  <si>
    <t>Manoj Mondal</t>
  </si>
  <si>
    <t>Alto 800</t>
  </si>
  <si>
    <t>JH05D1235</t>
  </si>
  <si>
    <t>OG-20-2408-1806-00006263</t>
  </si>
  <si>
    <t>Meghnath Singh Dhabal</t>
  </si>
  <si>
    <t>JH05BX1357</t>
  </si>
  <si>
    <t>OG-20-2408-1806-00006262</t>
  </si>
  <si>
    <t>Rama rao</t>
  </si>
  <si>
    <t>JH05BH5185</t>
  </si>
  <si>
    <t>OG-20-2408-1802-00001846</t>
  </si>
  <si>
    <t>OG-20-2408-1806-00006314</t>
  </si>
  <si>
    <t>VISHNU PADO RUHIDAS</t>
  </si>
  <si>
    <t>CB Shine</t>
  </si>
  <si>
    <t>JH05CC6301</t>
  </si>
  <si>
    <t>OG-20-2408-1802-00001854</t>
  </si>
  <si>
    <t>PRAFULLA KUMAR</t>
  </si>
  <si>
    <t>JH05AF9258</t>
  </si>
  <si>
    <t>OG-20-2408-1806-00006344</t>
  </si>
  <si>
    <t>Ashok Kumar Sahu</t>
  </si>
  <si>
    <t>SUPER SPLENDOR</t>
  </si>
  <si>
    <t>JH05BQ9408</t>
  </si>
  <si>
    <t>OG-20-2408-1802-00001863</t>
  </si>
  <si>
    <t>BIKASH CHANDRA</t>
  </si>
  <si>
    <t>PASSION PRO</t>
  </si>
  <si>
    <t>JH05CA2984</t>
  </si>
  <si>
    <t>OG-20-2408-1806-00006395</t>
  </si>
  <si>
    <t>JAYDEEP BISWAS</t>
  </si>
  <si>
    <t>JH01AW5901</t>
  </si>
  <si>
    <t>reliance</t>
  </si>
  <si>
    <t>tp</t>
  </si>
  <si>
    <t>ABDUL RAZZAQUE KHAN</t>
  </si>
  <si>
    <t>atul auto</t>
  </si>
  <si>
    <t>JH05BZ5524</t>
  </si>
  <si>
    <t>JITENDRA PRASAD SINGH</t>
  </si>
  <si>
    <t>JH05P6256</t>
  </si>
  <si>
    <t>OG-20-2408-1806-00006410</t>
  </si>
  <si>
    <t>JUGESHWAR SAW</t>
  </si>
  <si>
    <t>JH05AK2163</t>
  </si>
  <si>
    <t>OG-20-2408-1802-00001883</t>
  </si>
  <si>
    <t>OG-20-2408-1806-00006431</t>
  </si>
  <si>
    <t>sadhan Kar</t>
  </si>
  <si>
    <t>Hero Delux</t>
  </si>
  <si>
    <t>JH05BP0361</t>
  </si>
  <si>
    <t>OG-20-2408-1806-00006451</t>
  </si>
  <si>
    <t>Shyam Babu</t>
  </si>
  <si>
    <t>JH05U6437</t>
  </si>
  <si>
    <t>OG-20-2408-1806-00006494</t>
  </si>
  <si>
    <t>OG-20-2408-1806-00006505</t>
  </si>
  <si>
    <t>Jugal Kishore Verma</t>
  </si>
  <si>
    <t>JH05BB5024</t>
  </si>
  <si>
    <t>OG-20-2408-1806-00006563</t>
  </si>
  <si>
    <t>Binay Mandal</t>
  </si>
  <si>
    <t>Hero HF Delux</t>
  </si>
  <si>
    <t>JH05BW7268</t>
  </si>
  <si>
    <t>BajaJ</t>
  </si>
  <si>
    <t>OG-20-2408-1806-00006603</t>
  </si>
  <si>
    <t>SITESH CHANDRA Roy</t>
  </si>
  <si>
    <t>Hero Morocrop</t>
  </si>
  <si>
    <t>JH05AQ0541</t>
  </si>
  <si>
    <t>OG-20-2408-1806-00006655</t>
  </si>
  <si>
    <t>OG-20-2408-1806-00006663</t>
  </si>
  <si>
    <t>Honda Activa Std</t>
  </si>
  <si>
    <t>JH05AX4183</t>
  </si>
  <si>
    <t>OG-20-2408-1806-00006664</t>
  </si>
  <si>
    <t>Bajaj2</t>
  </si>
  <si>
    <t>OG-21-2408-1806-00000336</t>
  </si>
  <si>
    <t>Sirajul Hassan</t>
  </si>
  <si>
    <t>Splender +</t>
  </si>
  <si>
    <t>JH05Z6622</t>
  </si>
  <si>
    <t>OG-21-2408-1806-00000337</t>
  </si>
  <si>
    <t>Santosh Garang</t>
  </si>
  <si>
    <t>Splender Pro</t>
  </si>
  <si>
    <t>JH05AU1916</t>
  </si>
  <si>
    <t>OG-21-2408-1806-00000370</t>
  </si>
  <si>
    <t>Mohan Lal Sharma</t>
  </si>
  <si>
    <t>JH05BE4229</t>
  </si>
  <si>
    <t>OG-21-2408-1806-00000375</t>
  </si>
  <si>
    <t>OG-21-2408-1806-00000386</t>
  </si>
  <si>
    <t>Jesika Teru</t>
  </si>
  <si>
    <t>JH05BC0459</t>
  </si>
  <si>
    <t>OG-21-2408-1806-00000445</t>
  </si>
  <si>
    <t>SANJAY SEN</t>
  </si>
  <si>
    <t>JH05AK6850</t>
  </si>
  <si>
    <t>OG-21-2408-1806-00000450</t>
  </si>
  <si>
    <t>Jerom Stephen</t>
  </si>
  <si>
    <t>JH05AB5028</t>
  </si>
  <si>
    <t>OG-21-2408-1806-00000468</t>
  </si>
  <si>
    <t>Jaldhar Mahato</t>
  </si>
  <si>
    <t>JH05AG5567</t>
  </si>
  <si>
    <t>OG-21-2408-1806-00000524</t>
  </si>
  <si>
    <t>Shambhu Karmakar</t>
  </si>
  <si>
    <t>OG-21-2408-1806-00000545</t>
  </si>
  <si>
    <t>Suren Prasad Saw</t>
  </si>
  <si>
    <t>JH05AR2583</t>
  </si>
  <si>
    <t>OG-21-2408-1806-00000617</t>
  </si>
  <si>
    <t>S L Jha</t>
  </si>
  <si>
    <t>JH05Q3932</t>
  </si>
  <si>
    <t>OG-21-2408-1806-00000720</t>
  </si>
  <si>
    <t>Nebandu Chakraborty</t>
  </si>
  <si>
    <t>JH05BE2577</t>
  </si>
  <si>
    <t>OG-21-2408-1806-00000763</t>
  </si>
  <si>
    <t>Somen Pradhan</t>
  </si>
  <si>
    <t>JH05AN6030</t>
  </si>
  <si>
    <t>OG-21-2408-1806-00000764</t>
  </si>
  <si>
    <t>Dipali Mahato</t>
  </si>
  <si>
    <t>JH05AW2471</t>
  </si>
  <si>
    <t>OG-21-2408-1806-00000796</t>
  </si>
  <si>
    <t>MADHUSUDHAN KUMAR</t>
  </si>
  <si>
    <t>super splender</t>
  </si>
  <si>
    <t>JH05M7425</t>
  </si>
  <si>
    <t>OG-21-2408-1802-00000349</t>
  </si>
  <si>
    <t>Appache</t>
  </si>
  <si>
    <t>JH05BL4428</t>
  </si>
  <si>
    <t>Bajaj4</t>
  </si>
  <si>
    <t>OG-21-2408-1805-00000137</t>
  </si>
  <si>
    <t>Dinesh Gorai</t>
  </si>
  <si>
    <t>chevrolet</t>
  </si>
  <si>
    <t>OG-21-2408-1806-00000883</t>
  </si>
  <si>
    <t>JH05BE2509</t>
  </si>
  <si>
    <t>OG-21-2408-1806-00001023</t>
  </si>
  <si>
    <t>Pulser</t>
  </si>
  <si>
    <t>JH05AF7594</t>
  </si>
  <si>
    <t>Md Moin</t>
  </si>
  <si>
    <t>JH05AB9322</t>
  </si>
  <si>
    <t>OG-21-2408-1806-00001066</t>
  </si>
  <si>
    <t>SADHAN PATRA</t>
  </si>
  <si>
    <t>Passion  Pro</t>
  </si>
  <si>
    <t>JH05BU1311</t>
  </si>
  <si>
    <t>OG-21-2408-1871-00000024</t>
  </si>
  <si>
    <t>HARSHIT TIRKEY</t>
  </si>
  <si>
    <t>yamha fascino</t>
  </si>
  <si>
    <t>OG-21-2408-1806-00001145</t>
  </si>
  <si>
    <t>AKASH DUBEY</t>
  </si>
  <si>
    <t>PULSAR</t>
  </si>
  <si>
    <t>JH05G1231</t>
  </si>
  <si>
    <t>OG-21-2408-1806-00001149</t>
  </si>
  <si>
    <t>Santosh Karmakar</t>
  </si>
  <si>
    <t>CD Delux</t>
  </si>
  <si>
    <t>JH05AN1878</t>
  </si>
  <si>
    <t>OG-21-2408-1806-00001151</t>
  </si>
  <si>
    <t>Gourang Kundu</t>
  </si>
  <si>
    <t>JH05BK8076</t>
  </si>
  <si>
    <t>OG-21-2408-1806-00001163</t>
  </si>
  <si>
    <t>Yashwant Singh</t>
  </si>
  <si>
    <t>JH05AJ2109</t>
  </si>
  <si>
    <t>OG-21-2408-1806-00001205</t>
  </si>
  <si>
    <t>md shoib akhar</t>
  </si>
  <si>
    <t>JH05BX1956</t>
  </si>
  <si>
    <t>OG-21-2408-1806-00001207</t>
  </si>
  <si>
    <t>suru singh sardar</t>
  </si>
  <si>
    <t>activa 5G</t>
  </si>
  <si>
    <t>OG-21-2408-1806-00001213</t>
  </si>
  <si>
    <t>Subhajit Sinha</t>
  </si>
  <si>
    <t>jupiter</t>
  </si>
  <si>
    <t>JH05AW5735</t>
  </si>
  <si>
    <t>OG-21-2408-1806-00001254</t>
  </si>
  <si>
    <t>Pradip Kumar Jaiswal</t>
  </si>
  <si>
    <t>chetak</t>
  </si>
  <si>
    <t>BR16L7029</t>
  </si>
  <si>
    <t>bajaj2</t>
  </si>
  <si>
    <t>OG-21-2408-1806-00001328</t>
  </si>
  <si>
    <t>Subramani</t>
  </si>
  <si>
    <t>JH05BD1887</t>
  </si>
  <si>
    <t>Sudama Sah</t>
  </si>
  <si>
    <t>JH05AR5813</t>
  </si>
  <si>
    <t>450returned on 03-09-2020</t>
  </si>
  <si>
    <t>OG-21-2408-1806-00001352</t>
  </si>
  <si>
    <t>Nageshwar</t>
  </si>
  <si>
    <t>JH05BA9742</t>
  </si>
  <si>
    <t>Tp</t>
  </si>
  <si>
    <t>OG-21-2408-1806-00001351</t>
  </si>
  <si>
    <t>Mahadev Mahato</t>
  </si>
  <si>
    <t>JH05S3029</t>
  </si>
  <si>
    <t>OG-21-2408-1802-00000472</t>
  </si>
  <si>
    <t>Sujay Sahu</t>
  </si>
  <si>
    <t>JH05CA3667</t>
  </si>
  <si>
    <t>OG-21-2408-1806-00001517</t>
  </si>
  <si>
    <t>ZULFAQUAR ALI AZHAR</t>
  </si>
  <si>
    <t>JH05CA5250</t>
  </si>
  <si>
    <t>OG-21-2408-1806-00001522</t>
  </si>
  <si>
    <t>Ashim kr khan</t>
  </si>
  <si>
    <t>JH05Q4421</t>
  </si>
  <si>
    <t>icici</t>
  </si>
  <si>
    <t>kumar suchashiish</t>
  </si>
  <si>
    <t>renault kewit</t>
  </si>
  <si>
    <t>cusoter to chase</t>
  </si>
  <si>
    <t>OG-21-2408-1806-00001665</t>
  </si>
  <si>
    <t>Budheshwar Singh</t>
  </si>
  <si>
    <t>JH05T5460</t>
  </si>
  <si>
    <t>OG-21-2408-1806-00001709</t>
  </si>
  <si>
    <t>Akhilesh Karua</t>
  </si>
  <si>
    <t>JH05BL7494</t>
  </si>
  <si>
    <t>OG-21-2408-1805-00000226</t>
  </si>
  <si>
    <t>Auto 800</t>
  </si>
  <si>
    <t>OG-21-2408-1806-00001822</t>
  </si>
  <si>
    <t>Ranju Devi</t>
  </si>
  <si>
    <t>JH05S8164</t>
  </si>
  <si>
    <t>OG-21-2408-1806-00001834</t>
  </si>
  <si>
    <t>Livo honda</t>
  </si>
  <si>
    <t>JH05BK0198</t>
  </si>
  <si>
    <t>OG-21-2408-1806-00001859</t>
  </si>
  <si>
    <t>BR1660483</t>
  </si>
  <si>
    <t>OG-21-2408-1806-00001932</t>
  </si>
  <si>
    <t>Chittranjan Das</t>
  </si>
  <si>
    <t>JH05AZ6247</t>
  </si>
  <si>
    <t>OG-21-2408-1806-00001991</t>
  </si>
  <si>
    <t>Bhola Saw</t>
  </si>
  <si>
    <t>Activa3G</t>
  </si>
  <si>
    <t>JH05BM5390</t>
  </si>
  <si>
    <t>bajaj4</t>
  </si>
  <si>
    <t>OG-21-2408-1805-00000281</t>
  </si>
  <si>
    <t>ILIAS AKHTAR</t>
  </si>
  <si>
    <t>Santro Xing</t>
  </si>
  <si>
    <t>JH05M0528</t>
  </si>
  <si>
    <t>OG-21-2408-1806-00002078</t>
  </si>
  <si>
    <t>Santosh Baskey</t>
  </si>
  <si>
    <t>JH05ax4486</t>
  </si>
  <si>
    <t>OG-21-2408-1806-00002098</t>
  </si>
  <si>
    <t>Rajrnai Mukhi</t>
  </si>
  <si>
    <t>JH05AJ4191 PA</t>
  </si>
  <si>
    <t>OG-21-2408-1806-00002096</t>
  </si>
  <si>
    <t>SUKANTO DAS</t>
  </si>
  <si>
    <t>JH05AN4202</t>
  </si>
  <si>
    <t>OG-21-2408-1806-00002127</t>
  </si>
  <si>
    <t>RANJIT SINGH</t>
  </si>
  <si>
    <t>JH05F1773</t>
  </si>
  <si>
    <t>OG-21-2408-1802-00000690</t>
  </si>
  <si>
    <t>Ajoy Ray</t>
  </si>
  <si>
    <t>JH05BC0257</t>
  </si>
  <si>
    <t>OG-21-2408-1802-00000694</t>
  </si>
  <si>
    <t>OG-21-2408-1806-00002198</t>
  </si>
  <si>
    <t>UDAYKANT PRASAD</t>
  </si>
  <si>
    <t>JH05BN4058</t>
  </si>
  <si>
    <t>OG-21-2408-1802-00000701</t>
  </si>
  <si>
    <t>JITENDRA KUMAR SINGH</t>
  </si>
  <si>
    <t>platina</t>
  </si>
  <si>
    <t>HR26AW2306</t>
  </si>
  <si>
    <t>OG-21-2408-1806-00002228</t>
  </si>
  <si>
    <t>ORUGANTI VENKATA</t>
  </si>
  <si>
    <t>JH05W2765</t>
  </si>
  <si>
    <t>OG-21-2408-1806-00002400</t>
  </si>
  <si>
    <t>Nur Hasan</t>
  </si>
  <si>
    <t>JH05U0986</t>
  </si>
  <si>
    <t>OG-21-2408-1806-00002498</t>
  </si>
  <si>
    <t>JH05X6904</t>
  </si>
  <si>
    <t>OG-21-2408-1806-00002573</t>
  </si>
  <si>
    <t>JH05BD5390</t>
  </si>
  <si>
    <t>OG-21-2408-1806-00002588</t>
  </si>
  <si>
    <t>Pranab Kumar Mazumdar</t>
  </si>
  <si>
    <t>Passion Pto</t>
  </si>
  <si>
    <t>JH05BQ3720</t>
  </si>
  <si>
    <t>OG-21-2408-1806-00002606</t>
  </si>
  <si>
    <t>Shyam sunder mazumdar</t>
  </si>
  <si>
    <t>TVS XL</t>
  </si>
  <si>
    <t>JH05BK3374</t>
  </si>
  <si>
    <t>OG-21-2408-1806-00002623</t>
  </si>
  <si>
    <t>SYED AZHAR HUSSAIN</t>
  </si>
  <si>
    <t>JH05R1903</t>
  </si>
  <si>
    <t>OG-21-2408-1802-00000808</t>
  </si>
  <si>
    <t>JH05BV1865</t>
  </si>
  <si>
    <t>OG-21-2408-1806-00002642</t>
  </si>
  <si>
    <t>OG-21-2408-1806-00002656</t>
  </si>
  <si>
    <t>Mamta Gorai</t>
  </si>
  <si>
    <t>JH05BW1349</t>
  </si>
  <si>
    <t>OG-21-2408-1806-00002678</t>
  </si>
  <si>
    <t>OG-21-2408-1806-00002744</t>
  </si>
  <si>
    <t>SHYAMAL CHAKRABORY</t>
  </si>
  <si>
    <t>Tvs-Jupiter</t>
  </si>
  <si>
    <t>JH05BU5900</t>
  </si>
  <si>
    <t>Kashinath Bhumij</t>
  </si>
  <si>
    <t>JH05W7552</t>
  </si>
  <si>
    <t>OG-21-2408-1806-00002920</t>
  </si>
  <si>
    <t>Sk Shoib Akhtar</t>
  </si>
  <si>
    <t>````</t>
  </si>
  <si>
    <t>JH05u0953</t>
  </si>
  <si>
    <t>OG-21-2408-1806-00002924</t>
  </si>
  <si>
    <t>chandan paul</t>
  </si>
  <si>
    <t>DUET</t>
  </si>
  <si>
    <t>JH05BS6367</t>
  </si>
  <si>
    <t>OG-21-2408-1806-00003012</t>
  </si>
  <si>
    <t>RAJESH SHUKLA</t>
  </si>
  <si>
    <t xml:space="preserve">Hero </t>
  </si>
  <si>
    <t>JH-05-BG-0634</t>
  </si>
  <si>
    <t>OG-21-2408-1806-00003008</t>
  </si>
  <si>
    <t>Jitendra Prasasd</t>
  </si>
  <si>
    <t>JH05N6102</t>
  </si>
  <si>
    <t>OG-21-2408-1805-00000426</t>
  </si>
  <si>
    <t>Prakash Kumar Sinha</t>
  </si>
  <si>
    <t>JH05AE0212</t>
  </si>
  <si>
    <t>OG-21-2408-1806-00003119</t>
  </si>
  <si>
    <t>Awdhesh kr bhagat</t>
  </si>
  <si>
    <t>SPLENDOR PLUS</t>
  </si>
  <si>
    <t>JH05X2353</t>
  </si>
  <si>
    <t>OG-21-2408-1805-00000433</t>
  </si>
  <si>
    <t>RAJESHWAR KUMAR TIWARY</t>
  </si>
  <si>
    <t>wagon R</t>
  </si>
  <si>
    <t>JH05AY7661</t>
  </si>
  <si>
    <t>OG-21-2408-1806-00003122</t>
  </si>
  <si>
    <t>Piyush Kumari</t>
  </si>
  <si>
    <t>JH05L8597</t>
  </si>
  <si>
    <t>OG-21-2408-1806-00003124</t>
  </si>
  <si>
    <t>JH05CA6586</t>
  </si>
  <si>
    <t>OG-21-2408-1805-00000435</t>
  </si>
  <si>
    <t>alto</t>
  </si>
  <si>
    <t>JH05K1443</t>
  </si>
  <si>
    <t>OG-21-2408-1806-00003147</t>
  </si>
  <si>
    <t>Shiv Shankar Singh</t>
  </si>
  <si>
    <t>JH05BP6274</t>
  </si>
  <si>
    <t>OG-21-2408-1806-00003561</t>
  </si>
  <si>
    <t>Pankaj Kr verma</t>
  </si>
  <si>
    <t>JH05BA9346</t>
  </si>
  <si>
    <t>OG-21-2408-1806-00003563</t>
  </si>
  <si>
    <t>Chhotu Sardar</t>
  </si>
  <si>
    <t>Passion pro</t>
  </si>
  <si>
    <t>JH05AH9949</t>
  </si>
  <si>
    <t>OG-21-2408-1806-00003570</t>
  </si>
  <si>
    <t>Rajesh Giri</t>
  </si>
  <si>
    <t>JH05AZ4345</t>
  </si>
  <si>
    <t>od</t>
  </si>
  <si>
    <t>OG-21-2408-1870-00000044</t>
  </si>
  <si>
    <t>Kanchan kr adak</t>
  </si>
  <si>
    <t>Tiago</t>
  </si>
  <si>
    <t>JH05CN7400</t>
  </si>
  <si>
    <t>OG-21-2408-1805-00000535</t>
  </si>
  <si>
    <t>Subhadra Singh</t>
  </si>
  <si>
    <t>Santro</t>
  </si>
  <si>
    <t>JH05AH8086</t>
  </si>
  <si>
    <t>OG-21-2408-1806-00003742</t>
  </si>
  <si>
    <t>Tej Narayan Jha</t>
  </si>
  <si>
    <t>JH05BP6297</t>
  </si>
  <si>
    <t>OG-21-2408-1806-00003912</t>
  </si>
  <si>
    <t>Chandana Pathak</t>
  </si>
  <si>
    <t>JH05BW6156</t>
  </si>
  <si>
    <t>OG-21-2408-1806-00003977</t>
  </si>
  <si>
    <t>Vishal Sharma</t>
  </si>
  <si>
    <t>JH05BY2326</t>
  </si>
  <si>
    <t>OG-21-2408-1806-00003992</t>
  </si>
  <si>
    <t>Akash Dubey</t>
  </si>
  <si>
    <t>OG-21-2408-1806-00004059</t>
  </si>
  <si>
    <t>Rohini Mahato</t>
  </si>
  <si>
    <t>JH05AL9703</t>
  </si>
  <si>
    <t>OG-21-2408-1806-00004165</t>
  </si>
  <si>
    <t>Ali Imam</t>
  </si>
  <si>
    <t>tvs sport</t>
  </si>
  <si>
    <t>JH05T6495</t>
  </si>
  <si>
    <t>OG-21-2408-1806-00004182</t>
  </si>
  <si>
    <t>SUBHASH KUMAR YADAV</t>
  </si>
  <si>
    <t>ACTIVA 4G</t>
  </si>
  <si>
    <t>JH05BZ0625</t>
  </si>
  <si>
    <t>OG-21-2408-1806-00004185</t>
  </si>
  <si>
    <t>PRADEEP KUMAR MAHARANA</t>
  </si>
  <si>
    <t>Apache</t>
  </si>
  <si>
    <t>JH05U9773</t>
  </si>
  <si>
    <t>OG-21-2408-1806-00004201</t>
  </si>
  <si>
    <t>Sukhbinder singh</t>
  </si>
  <si>
    <t>cbz</t>
  </si>
  <si>
    <t>JH05AL5771</t>
  </si>
  <si>
    <t>OG-21-2408-1806-00004199</t>
  </si>
  <si>
    <t>Jayanto Das</t>
  </si>
  <si>
    <t>JH05Y4122</t>
  </si>
  <si>
    <t>OG-21-2408-1805-00000588</t>
  </si>
  <si>
    <t>Baljeet Singh</t>
  </si>
  <si>
    <t>i10</t>
  </si>
  <si>
    <t>JH05AM5691</t>
  </si>
  <si>
    <t>OG-21-2408-1806-00004229</t>
  </si>
  <si>
    <t>AKANSHA CHOURASIA</t>
  </si>
  <si>
    <t>Navi</t>
  </si>
  <si>
    <t>JH06J4774</t>
  </si>
  <si>
    <t>OG-21-2408-1806-00004354</t>
  </si>
  <si>
    <t>Rakesh Kuma</t>
  </si>
  <si>
    <t>JH05AY8465</t>
  </si>
  <si>
    <t>OG-21-2408-1806-00004366</t>
  </si>
  <si>
    <t>Star city</t>
  </si>
  <si>
    <t>JH05AF9977</t>
  </si>
  <si>
    <t>OG-21-2408-1806-00004379</t>
  </si>
  <si>
    <t>SANJAY KUMAR SAHU</t>
  </si>
  <si>
    <t>JH05AP1718</t>
  </si>
  <si>
    <t>OG-21-2408-1806-00004428</t>
  </si>
  <si>
    <t>JH05AB3834</t>
  </si>
  <si>
    <t>OG-21-2408-1806-00004444</t>
  </si>
  <si>
    <t>NITAI CHANDRA GORAI</t>
  </si>
  <si>
    <t>platina bajaj</t>
  </si>
  <si>
    <t>JH05Q0662</t>
  </si>
  <si>
    <t>OG-21-2408-1806-00004468</t>
  </si>
  <si>
    <t>CBX</t>
  </si>
  <si>
    <t>JH05AJ6746</t>
  </si>
  <si>
    <t>Manish saw</t>
  </si>
  <si>
    <t>indica</t>
  </si>
  <si>
    <t>OG-21-2408-1802-00001121</t>
  </si>
  <si>
    <t>Buddheshwarr Rajak</t>
  </si>
  <si>
    <t>JH05BA5959</t>
  </si>
  <si>
    <t>OG-21-2408-1806-00004494</t>
  </si>
  <si>
    <t>Ranjan Paul</t>
  </si>
  <si>
    <t>discover</t>
  </si>
  <si>
    <t>JH05U4033</t>
  </si>
  <si>
    <t>OG-21-2408-1806-00004521</t>
  </si>
  <si>
    <t>VINAY KUMAR</t>
  </si>
  <si>
    <t>JH05BX7441</t>
  </si>
  <si>
    <t>OG-21-2408-1806-00004525</t>
  </si>
  <si>
    <t>Baby Pandey</t>
  </si>
  <si>
    <t>activa 3g</t>
  </si>
  <si>
    <t>WB96B7291</t>
  </si>
  <si>
    <t>OG-21-2408-1806-00004526</t>
  </si>
  <si>
    <t>WB56A5347</t>
  </si>
  <si>
    <t>OG-21-2408-1806-00004536</t>
  </si>
  <si>
    <t>SURENDER SINGH YADAV</t>
  </si>
  <si>
    <t>JH05AL2028</t>
  </si>
  <si>
    <t>OG-21-2408-1806-00004559</t>
  </si>
  <si>
    <t>Anindit Roy Choudhury</t>
  </si>
  <si>
    <t>Activa 4g</t>
  </si>
  <si>
    <t>JH05BY8424</t>
  </si>
  <si>
    <t>OG-21-2408-1806-00004575</t>
  </si>
  <si>
    <t>SUBLAKSH KUMAR SAREEN</t>
  </si>
  <si>
    <t>JH05AE9230</t>
  </si>
  <si>
    <t>OG-21-2408-1806-00004589</t>
  </si>
  <si>
    <t>VED RATAN SINHA</t>
  </si>
  <si>
    <t>yamha rx</t>
  </si>
  <si>
    <t>DL1SH7869</t>
  </si>
  <si>
    <t>OG-21-2408-1806-00004590</t>
  </si>
  <si>
    <t>KUMUD KUMAR SINHA</t>
  </si>
  <si>
    <t>BR16B3066</t>
  </si>
  <si>
    <t>OG-21-2408-1806-00004593</t>
  </si>
  <si>
    <t>ASHIM KUMAR DHAR</t>
  </si>
  <si>
    <t>JH05BM186</t>
  </si>
  <si>
    <t>OG-21-2408-1805-00000641</t>
  </si>
  <si>
    <t>Dev Ratna Sinha</t>
  </si>
  <si>
    <t>DL3CAP0452</t>
  </si>
  <si>
    <t>OG-21-2408-1806-00004597</t>
  </si>
  <si>
    <t>RITORSHI GANGULY</t>
  </si>
  <si>
    <t>Splender pro</t>
  </si>
  <si>
    <t>JH05BE8015</t>
  </si>
  <si>
    <t>OG-21-2408-1806-00004620</t>
  </si>
  <si>
    <t>SHARMISTHA RANA</t>
  </si>
  <si>
    <t>pep+</t>
  </si>
  <si>
    <t>JH05BB9551</t>
  </si>
  <si>
    <t>OG-21-2408-1802-00001149</t>
  </si>
  <si>
    <t>Jawaid Alam</t>
  </si>
  <si>
    <t>suzuki-access</t>
  </si>
  <si>
    <t>JH05BX2517</t>
  </si>
  <si>
    <t>OG-21-2408-1806-00004640</t>
  </si>
  <si>
    <t>Sk Aslam</t>
  </si>
  <si>
    <t>JH05AK8704</t>
  </si>
  <si>
    <t>OG-21-2408-1806-00004648</t>
  </si>
  <si>
    <t>Niranjan Ruhidas</t>
  </si>
  <si>
    <t>JH05BN3213</t>
  </si>
  <si>
    <t>OG-21-2408-1802-00001163</t>
  </si>
  <si>
    <t>RIZWANA TABASSUM</t>
  </si>
  <si>
    <t>Duet</t>
  </si>
  <si>
    <t>JH05BW041</t>
  </si>
  <si>
    <t>OG-21-2408-1806-00004773</t>
  </si>
  <si>
    <t>SUBAL CHANDRA PAUL</t>
  </si>
  <si>
    <t>JH05AQ9373</t>
  </si>
  <si>
    <t>OG-21-2408-1806-00004795</t>
  </si>
  <si>
    <t>DIPANKAR RANA</t>
  </si>
  <si>
    <t>JH05AX3212</t>
  </si>
  <si>
    <t>OG-21-2408-1806-00004807</t>
  </si>
  <si>
    <t>Bipin Kumar Mishra</t>
  </si>
  <si>
    <t>JH05Y9871</t>
  </si>
  <si>
    <t>OG-21-2408-1806-00004864</t>
  </si>
  <si>
    <t>AVINASH KUMAR SINGH</t>
  </si>
  <si>
    <t>JH05BX3259</t>
  </si>
  <si>
    <t>OG-21-2408-1802-00001194</t>
  </si>
  <si>
    <t>Md Saiyad</t>
  </si>
  <si>
    <t>JH05BH8333</t>
  </si>
  <si>
    <t>OG-21-2408-1802-00001197</t>
  </si>
  <si>
    <t>Amarjeet Prasad</t>
  </si>
  <si>
    <t>JH05BZ1052</t>
  </si>
  <si>
    <t>OG-21-2408-1806-00004989</t>
  </si>
  <si>
    <t>UTPAL BHATTACHARJEE</t>
  </si>
  <si>
    <t>lml nv spl</t>
  </si>
  <si>
    <t>JH05B3898</t>
  </si>
  <si>
    <t>OG-21-2408-1806-00005018</t>
  </si>
  <si>
    <t>N Lakshman</t>
  </si>
  <si>
    <t>tvs zest</t>
  </si>
  <si>
    <t>JH05BQ2333</t>
  </si>
  <si>
    <t>OG-21-2408-1806-00005044</t>
  </si>
  <si>
    <t>Narayan Kumar Jha</t>
  </si>
  <si>
    <t>JH05AH5349</t>
  </si>
  <si>
    <t>OG-21-2408-1806-00005060</t>
  </si>
  <si>
    <t>Shiv Shambhu Pasad</t>
  </si>
  <si>
    <t>JH05M1983</t>
  </si>
  <si>
    <t>OG-21-2408-1806-00005170</t>
  </si>
  <si>
    <t>NARAYAN KR JHA</t>
  </si>
  <si>
    <t>JH05Q5644</t>
  </si>
  <si>
    <t>OG-21-2408-1805-00000742</t>
  </si>
  <si>
    <t>JH05AA9919</t>
  </si>
  <si>
    <t>OG-21-2408-1806-00005233</t>
  </si>
  <si>
    <t>BASANT KUMAR</t>
  </si>
  <si>
    <t>JH05AV0759</t>
  </si>
  <si>
    <t>OG-21-2408-1806-00005236</t>
  </si>
  <si>
    <t>SANJAY KUMAR PRASAD</t>
  </si>
  <si>
    <t>JH05BE1180</t>
  </si>
  <si>
    <t>OG-21-2408-1802-00001267</t>
  </si>
  <si>
    <t>LEELA DEVI</t>
  </si>
  <si>
    <t>JH05CD1221</t>
  </si>
  <si>
    <t>OG-21-2408-1806-00005313</t>
  </si>
  <si>
    <t>SOMNATH BANERJEE</t>
  </si>
  <si>
    <t>Fascino</t>
  </si>
  <si>
    <t>JH05BX8682</t>
  </si>
  <si>
    <t>OG-21-2408-1805-00000759</t>
  </si>
  <si>
    <t>LAW KUMAR</t>
  </si>
  <si>
    <t>Wagnar</t>
  </si>
  <si>
    <t>JH05Z6844</t>
  </si>
  <si>
    <t>RAJESHKUMAR ROY</t>
  </si>
  <si>
    <t>Passion</t>
  </si>
  <si>
    <t>JH05W4766</t>
  </si>
  <si>
    <t>OG-21-2408-1806-00005551</t>
  </si>
  <si>
    <t>HF delux</t>
  </si>
  <si>
    <t>JH05BD1075</t>
  </si>
  <si>
    <t>OG-21-2408-1806-00005506</t>
  </si>
  <si>
    <t>MEENA SINHA</t>
  </si>
  <si>
    <t>OG-21-2408-1806-00005773</t>
  </si>
  <si>
    <t>Jayanti Rani Das</t>
  </si>
  <si>
    <t>JH05AR4206</t>
  </si>
  <si>
    <t>OG-21-2408-1806-00005800</t>
  </si>
  <si>
    <t>Dawn</t>
  </si>
  <si>
    <t>JH05T2550</t>
  </si>
  <si>
    <t>OG-21-2408-1806-00005807</t>
  </si>
  <si>
    <t>ALEEM AKHTAR</t>
  </si>
  <si>
    <t>suzuki access</t>
  </si>
  <si>
    <t>JH05X4925</t>
  </si>
  <si>
    <t>OG-21-2408-1806-00005858</t>
  </si>
  <si>
    <t>AMEY MAINDARGE</t>
  </si>
  <si>
    <t>JH05Y5796</t>
  </si>
  <si>
    <t>OG-21-2408-1805-00000888</t>
  </si>
  <si>
    <t>PRITPAL SINGH</t>
  </si>
  <si>
    <t>JH05E2862</t>
  </si>
  <si>
    <t>OG-21-2408-1806-00005920</t>
  </si>
  <si>
    <t>SAJID IRFAN</t>
  </si>
  <si>
    <t>glamour</t>
  </si>
  <si>
    <t>JH05AT0317</t>
  </si>
  <si>
    <t>OG-21-2408-1806-00005921</t>
  </si>
  <si>
    <t>FARHAT JAHAN</t>
  </si>
  <si>
    <t>JH05BC0707</t>
  </si>
  <si>
    <t>OG-21-2408-1806-00005928</t>
  </si>
  <si>
    <t>DHARMENDRA KUMAR SINGH</t>
  </si>
  <si>
    <t>JH05AU7658</t>
  </si>
  <si>
    <t>OG-21-2408-1806-00006045</t>
  </si>
  <si>
    <t>Shabana Perween</t>
  </si>
  <si>
    <t>JH05BX7908</t>
  </si>
  <si>
    <t>OG-21-2408-1806-00006128</t>
  </si>
  <si>
    <t>TIKA RAM MURMU</t>
  </si>
  <si>
    <t>JH05AU7484</t>
  </si>
  <si>
    <t>OG-21-2408-1806-00006133</t>
  </si>
  <si>
    <t>Saroj Kundu</t>
  </si>
  <si>
    <t>DIO</t>
  </si>
  <si>
    <t>JH05AW6843</t>
  </si>
  <si>
    <t>OG-21-2408-1806-00006214</t>
  </si>
  <si>
    <t>RABINDRA NATH SINGH</t>
  </si>
  <si>
    <t>JH05BD4556</t>
  </si>
  <si>
    <t>OG-21-2408-1806-00006300</t>
  </si>
  <si>
    <t>FAIZYAB HUSSAIN</t>
  </si>
  <si>
    <t>cb unicorn</t>
  </si>
  <si>
    <t>JH05AX7829</t>
  </si>
  <si>
    <t>OG-21-2408-1806-00006318</t>
  </si>
  <si>
    <t>KAKOLI SARKAR</t>
  </si>
  <si>
    <t>JH05BZ4892</t>
  </si>
  <si>
    <t>Dipika Dipika Baghel</t>
  </si>
  <si>
    <t>honda amaze</t>
  </si>
  <si>
    <t>JH05BL1558</t>
  </si>
  <si>
    <t>G N Parida</t>
  </si>
  <si>
    <t>OG-21-2408-1805-00000955</t>
  </si>
  <si>
    <t>SURENDRA SINGH YADAV</t>
  </si>
  <si>
    <t>OG-21-2408-1802-00001498</t>
  </si>
  <si>
    <t>Ashish Kanti Biswal</t>
  </si>
  <si>
    <t>dream yuga</t>
  </si>
  <si>
    <t>JH05BY3096</t>
  </si>
  <si>
    <t>OG-21-2408-1802-00001499</t>
  </si>
  <si>
    <t>Papa</t>
  </si>
  <si>
    <t>aviator</t>
  </si>
  <si>
    <t>OG-21-2408-1806-00006516</t>
  </si>
  <si>
    <t>OG-21-2408-1806-00006814</t>
  </si>
  <si>
    <t>OG-21-2408-1806-00006855</t>
  </si>
  <si>
    <t>OG-21-2408-1806-00006898</t>
  </si>
  <si>
    <t>OG-21-2408-1806-00006893</t>
  </si>
  <si>
    <t>OG-21-2408-1806-00006891</t>
  </si>
  <si>
    <t>OG-21-2408-1806-00006982</t>
  </si>
  <si>
    <t>OG-21-2408-1806-00006962</t>
  </si>
  <si>
    <t>OG-21-2408-1806-00007019</t>
  </si>
  <si>
    <t>OG-21-2408-1806-00007013</t>
  </si>
  <si>
    <t>OG-21-2408-1806-00007033</t>
  </si>
  <si>
    <t>OG-21-2408-1806-00007024</t>
  </si>
  <si>
    <t>OG-21-2408-1806-00007121</t>
  </si>
  <si>
    <t>OG-21-2408-1806-00007219</t>
  </si>
  <si>
    <t>RAVINDRA NATH MAHATO</t>
  </si>
  <si>
    <t>cd delux</t>
  </si>
  <si>
    <t>JH05AR0758</t>
  </si>
  <si>
    <t>OG-21-2408-1805-00001041</t>
  </si>
  <si>
    <t>Sadhan Patra</t>
  </si>
  <si>
    <t>echo</t>
  </si>
  <si>
    <t>JH05AF7811</t>
  </si>
  <si>
    <t>OG-21-2408-1805-00001043</t>
  </si>
  <si>
    <t>Asghar Ali</t>
  </si>
  <si>
    <t>magma</t>
  </si>
  <si>
    <t>JH05BA6540</t>
  </si>
  <si>
    <t>OG-21-2408-1806-00007230</t>
  </si>
  <si>
    <t>SATENDRA NARAYAN SINGH</t>
  </si>
  <si>
    <t>JH05Q5629</t>
  </si>
  <si>
    <t>OG-21-2408-1806-00007231</t>
  </si>
  <si>
    <t>Manik Lohar</t>
  </si>
  <si>
    <t>JH05V3024</t>
  </si>
  <si>
    <t>OG-21-2408-1806-00007267</t>
  </si>
  <si>
    <t>PERWEEN BOBBY</t>
  </si>
  <si>
    <t>JH05BT2037</t>
  </si>
  <si>
    <t>BHUMIKA MAHATO</t>
  </si>
  <si>
    <t>JH05AW441</t>
  </si>
  <si>
    <t>OG-21-2408-1806-00007293</t>
  </si>
  <si>
    <t>OG-21-2408-1806-00007342</t>
  </si>
  <si>
    <t>LAKHI CHARAN SINGH</t>
  </si>
  <si>
    <t>Star City</t>
  </si>
  <si>
    <t>JH05L0305</t>
  </si>
  <si>
    <t>OG-21-2408-1806-00007340</t>
  </si>
  <si>
    <t>OG-21-2408-1806-00007460</t>
  </si>
  <si>
    <t>OG-21-2408-1826-00003162</t>
  </si>
  <si>
    <t>OG-21-2408-1806-00007574</t>
  </si>
  <si>
    <t>OG-21-2408-1806-00007590</t>
  </si>
  <si>
    <t>Kalicharan Mandal</t>
  </si>
  <si>
    <t>JH05BY9611</t>
  </si>
  <si>
    <t>OG-21-2408-1806-00008212</t>
  </si>
  <si>
    <t>JOYANTA CHAKRABORTY</t>
  </si>
  <si>
    <t>JH05AH4269</t>
  </si>
  <si>
    <t>sl</t>
  </si>
  <si>
    <t>Mobile</t>
  </si>
  <si>
    <t>User Id</t>
  </si>
  <si>
    <t>Pass</t>
  </si>
  <si>
    <t>pmt sta</t>
  </si>
  <si>
    <t>NO OF APP</t>
  </si>
  <si>
    <t>File No</t>
  </si>
  <si>
    <t>Abhishek Verma</t>
  </si>
  <si>
    <t>Abhishek_nweb</t>
  </si>
  <si>
    <t>Mypass@18</t>
  </si>
  <si>
    <t>No</t>
  </si>
  <si>
    <t>Amit Kumar Sharma</t>
  </si>
  <si>
    <t>Nisa</t>
  </si>
  <si>
    <t>Nand Kishore Prasad</t>
  </si>
  <si>
    <t>nand_nweb</t>
  </si>
  <si>
    <t>Chintamani Prasad</t>
  </si>
  <si>
    <t>Parvez Ahmad</t>
  </si>
  <si>
    <t>Ashraf Ansari</t>
  </si>
  <si>
    <t>ansari_nweb</t>
  </si>
  <si>
    <t>Aliya Surayya</t>
  </si>
  <si>
    <t>Bharat Tiwary</t>
  </si>
  <si>
    <t>KANTI Tiwary</t>
  </si>
  <si>
    <t>Bablu Kumar</t>
  </si>
  <si>
    <t>PCC</t>
  </si>
  <si>
    <t>Firoz Khan</t>
  </si>
  <si>
    <t>pcc</t>
  </si>
  <si>
    <t>firoz_nweb</t>
  </si>
  <si>
    <t>Ajitesh Chaudhury</t>
  </si>
  <si>
    <t>canc</t>
  </si>
  <si>
    <t>R/N</t>
  </si>
  <si>
    <t>Sunny_Mazumdar</t>
  </si>
  <si>
    <t>Abhinav Mridha</t>
  </si>
  <si>
    <t>Abhinav_csc</t>
  </si>
  <si>
    <t>ALI MUSTAFA</t>
  </si>
  <si>
    <t>SHEIKH JUNAID</t>
  </si>
  <si>
    <t>JAMIRUDDIN SAHA</t>
  </si>
  <si>
    <t>SARAJUN BIBI</t>
  </si>
  <si>
    <t>Lalin Dhal</t>
  </si>
  <si>
    <t>ldhal_nweb</t>
  </si>
  <si>
    <t>MANJU KUMARI SINGH</t>
  </si>
  <si>
    <t>manju_nweb</t>
  </si>
  <si>
    <t>ROUNAK CHAKRABORTY</t>
  </si>
  <si>
    <t>SABRA KHATOON</t>
  </si>
  <si>
    <t>ALI PARVEZ AKHTAR</t>
  </si>
  <si>
    <t>Ismotara Khatun</t>
  </si>
  <si>
    <t>renew</t>
  </si>
  <si>
    <t>Radha Kant Gorai</t>
  </si>
  <si>
    <t>K Goutami</t>
  </si>
  <si>
    <t>19-0012588768</t>
  </si>
  <si>
    <t>seikh_nweb</t>
  </si>
  <si>
    <t>Gayatri Chakraborty</t>
  </si>
  <si>
    <t>Priyanka Dutta</t>
  </si>
  <si>
    <t>Anil Kumar Jha</t>
  </si>
  <si>
    <t>Fasi Ahmad</t>
  </si>
  <si>
    <t>fasi_nweb</t>
  </si>
  <si>
    <t>19-0013471740</t>
  </si>
  <si>
    <t>afridi_nweb</t>
  </si>
  <si>
    <t>19-0013902136</t>
  </si>
  <si>
    <t>Rakesh Negi</t>
  </si>
  <si>
    <t>Kausik</t>
  </si>
  <si>
    <t>Ajay Kumar Ram</t>
  </si>
  <si>
    <t>ajay_csc</t>
  </si>
  <si>
    <t>Munni Devi</t>
  </si>
  <si>
    <t>x Gupta</t>
  </si>
  <si>
    <t>nagir_csc</t>
  </si>
  <si>
    <t>Irfan Bag</t>
  </si>
  <si>
    <t>Syed meraj</t>
  </si>
  <si>
    <t>19-0015175914</t>
  </si>
  <si>
    <t>Mohammad Asif ali</t>
  </si>
  <si>
    <t>asif_nweb</t>
  </si>
  <si>
    <t xml:space="preserve">19-0015805136 </t>
  </si>
  <si>
    <t>Mahtab Hussain</t>
  </si>
  <si>
    <t>kamal_csc</t>
  </si>
  <si>
    <t>mYPASS@19</t>
  </si>
  <si>
    <t>sai_csc</t>
  </si>
  <si>
    <t>19-0016450222</t>
  </si>
  <si>
    <t>Anupriya Soumitra</t>
  </si>
  <si>
    <t>19-0017547170</t>
  </si>
  <si>
    <t>Jagadish Banerjee</t>
  </si>
  <si>
    <t>Mohammed Zara Mir</t>
  </si>
  <si>
    <t>New-M</t>
  </si>
  <si>
    <t>zara_nweb</t>
  </si>
  <si>
    <t>19-0017851164</t>
  </si>
  <si>
    <t>Shraddha Gupta</t>
  </si>
  <si>
    <t>Wrong Entry</t>
  </si>
  <si>
    <t>Patna</t>
  </si>
  <si>
    <t>Amit Kumar Mishra</t>
  </si>
  <si>
    <t>AKUMAR_nweb</t>
  </si>
  <si>
    <t>ranchi</t>
  </si>
  <si>
    <t>Prasanta Kumar Nandy</t>
  </si>
  <si>
    <t>nandy_csc</t>
  </si>
  <si>
    <t>SAMPITA NANDY</t>
  </si>
  <si>
    <t>RACHAITA BHATTACHARJEE</t>
  </si>
  <si>
    <t>AMIRA MOHAMMAD KAMAL</t>
  </si>
  <si>
    <t>AYASA KHATOON</t>
  </si>
  <si>
    <t>Md Irsad Alam</t>
  </si>
  <si>
    <t>IRSAD_nweb</t>
  </si>
  <si>
    <t>Zara_nweb</t>
  </si>
  <si>
    <t>Sourav Kumar Mahanty</t>
  </si>
  <si>
    <t>Rajesh Mishra</t>
  </si>
  <si>
    <t>20-0002286144</t>
  </si>
  <si>
    <t>deep_nweb</t>
  </si>
  <si>
    <t>20-0003518252</t>
  </si>
  <si>
    <t>Jamshedpur</t>
  </si>
  <si>
    <t>Nagma Rahman</t>
  </si>
  <si>
    <t>20-0003573774</t>
  </si>
  <si>
    <t>Ranchi</t>
  </si>
  <si>
    <t>Sohail Khan</t>
  </si>
  <si>
    <t>sk6474972@gmail.com</t>
  </si>
  <si>
    <t>tamojit_nweb</t>
  </si>
  <si>
    <t>20-0004376900</t>
  </si>
  <si>
    <t>SK Raj</t>
  </si>
  <si>
    <t>20-0005562488</t>
  </si>
  <si>
    <t>shubham55_nweb</t>
  </si>
  <si>
    <t>beena_nweb</t>
  </si>
  <si>
    <t>1700paid</t>
  </si>
  <si>
    <t>Reena Mahato</t>
  </si>
  <si>
    <t>Mohammad Saiyad</t>
  </si>
  <si>
    <t>Renewal</t>
  </si>
  <si>
    <t>saiyad_nweb</t>
  </si>
  <si>
    <t>Oshi Akhtar</t>
  </si>
  <si>
    <t>alamnweb</t>
  </si>
  <si>
    <t>Enagula hari har nath</t>
  </si>
  <si>
    <t>kakoli sarkar</t>
  </si>
  <si>
    <t>Rahul Sakar</t>
  </si>
  <si>
    <t>Dhirendra Kumar Panday</t>
  </si>
  <si>
    <t>dhirendra_nweb</t>
  </si>
  <si>
    <t>Anup Kaur</t>
  </si>
  <si>
    <t>sukh_nweb</t>
  </si>
  <si>
    <t xml:space="preserve">20-0007935892 </t>
  </si>
  <si>
    <t>20-0007936350</t>
  </si>
  <si>
    <t>Md Sayeed Khan</t>
  </si>
  <si>
    <t>20-0008130226</t>
  </si>
  <si>
    <t>som_nweb</t>
  </si>
  <si>
    <t>21-0000029638</t>
  </si>
  <si>
    <t>nothing paid</t>
  </si>
  <si>
    <t>Md Rashid Afzal</t>
  </si>
  <si>
    <t>Md Israfeel</t>
  </si>
  <si>
    <t>israfeel_nweb</t>
  </si>
  <si>
    <t>21-0001585280</t>
  </si>
  <si>
    <t>Md SERAJUDDIN</t>
  </si>
  <si>
    <t>21-0001585480</t>
  </si>
  <si>
    <t>Rahil Iqbal</t>
  </si>
  <si>
    <t xml:space="preserve">    </t>
  </si>
  <si>
    <t>21-0001704358</t>
  </si>
  <si>
    <t>Susreeta Kundu</t>
  </si>
  <si>
    <t>priyanka_nweb1</t>
  </si>
  <si>
    <t>Chaibaa</t>
  </si>
  <si>
    <t>Sourav Shukla</t>
  </si>
  <si>
    <t>sourav_nweb</t>
  </si>
  <si>
    <t>K Radhika</t>
  </si>
  <si>
    <t>21-0002950458</t>
  </si>
  <si>
    <t>Sarika</t>
  </si>
  <si>
    <t>Anabia Haque</t>
  </si>
  <si>
    <t>anabia_nweb1</t>
  </si>
  <si>
    <t>Chaibasa</t>
  </si>
  <si>
    <t>Priyanka Tiwari</t>
  </si>
  <si>
    <t>Devita Sengupta</t>
  </si>
  <si>
    <t>Telco</t>
  </si>
  <si>
    <t>Shamim Sajjad</t>
  </si>
  <si>
    <t>sajjad_nweb</t>
  </si>
  <si>
    <t>Pass@2021</t>
  </si>
  <si>
    <t>sajjadshamim786@gmail.com</t>
  </si>
  <si>
    <t>Souvik Dutta</t>
  </si>
  <si>
    <t>chaibasa</t>
  </si>
  <si>
    <t>Sumi Kar</t>
  </si>
  <si>
    <t>sumi_nweb</t>
  </si>
  <si>
    <t>Nayonika Bhattacharjee</t>
  </si>
  <si>
    <t>T DEEP</t>
  </si>
  <si>
    <t>DEEPNWEB</t>
  </si>
  <si>
    <t>Sarfaaraz Akhtar</t>
  </si>
  <si>
    <t>21-0004581616</t>
  </si>
  <si>
    <t>Ranjeet Kumar Sukhla</t>
  </si>
  <si>
    <t>iqbal_nweb</t>
  </si>
  <si>
    <t>Santosh Kumar Singh</t>
  </si>
  <si>
    <t>Isha Chanda</t>
  </si>
  <si>
    <t>isha_nweb</t>
  </si>
  <si>
    <t>tushar_nweb</t>
  </si>
  <si>
    <t>Bhim Mahato</t>
  </si>
  <si>
    <t>bhim_nweb</t>
  </si>
  <si>
    <t>Mypass@2002</t>
  </si>
  <si>
    <t>Avinash</t>
  </si>
  <si>
    <t>Avinash_nweb</t>
  </si>
  <si>
    <t>Mypass@21</t>
  </si>
  <si>
    <t>new pass set</t>
  </si>
  <si>
    <t>nisha_nweb</t>
  </si>
  <si>
    <t>JAMSHEDPUR</t>
  </si>
  <si>
    <t>Subrata Dutta</t>
  </si>
  <si>
    <t>subrata_nweb</t>
  </si>
  <si>
    <t>Manali Dey Dutta</t>
  </si>
  <si>
    <t>Smyan Dutta</t>
  </si>
  <si>
    <t>sahil_nweb</t>
  </si>
  <si>
    <t>Mypass@2022</t>
  </si>
  <si>
    <t>ankit_nweb</t>
  </si>
  <si>
    <t>ashish_nweb</t>
  </si>
  <si>
    <t>Sajan Verma</t>
  </si>
  <si>
    <t>sajan_nweb</t>
  </si>
  <si>
    <t>nweb.hub@gmail.com</t>
  </si>
  <si>
    <t>Vishal Verma</t>
  </si>
  <si>
    <t>Ishpal Singh Marwah</t>
  </si>
  <si>
    <t>ishpal_nweb</t>
  </si>
  <si>
    <t>dhirendra_nweb1</t>
  </si>
  <si>
    <t>Likhit Varma M</t>
  </si>
  <si>
    <t>nweb_likhit</t>
  </si>
  <si>
    <t>Md Akhlakh Mansuri</t>
  </si>
  <si>
    <t>Akhlakh_nweb</t>
  </si>
  <si>
    <t>Shivendu Kumar Tiwari</t>
  </si>
  <si>
    <t>shivendu_nweb</t>
  </si>
  <si>
    <t>mew</t>
  </si>
  <si>
    <t>debasish_nweb</t>
  </si>
  <si>
    <t>priyanka_nweb2</t>
  </si>
  <si>
    <t>ashish-nweb</t>
  </si>
  <si>
    <t>suruchi Kumari</t>
  </si>
  <si>
    <t>suruchi_nweb</t>
  </si>
  <si>
    <t>Aparupa Bagchi</t>
  </si>
  <si>
    <t>CHAIBASA</t>
  </si>
  <si>
    <t>aparupa_nweb</t>
  </si>
  <si>
    <t>kamal_nweb</t>
  </si>
  <si>
    <t xml:space="preserve">Bavana Pasupati </t>
  </si>
  <si>
    <t>bavana_nweb</t>
  </si>
  <si>
    <t>ANKITA BHADURI</t>
  </si>
  <si>
    <t>Ankitab_nweb</t>
  </si>
  <si>
    <t>Sharabjeet Sinah</t>
  </si>
  <si>
    <t>sarabjeet_nweb</t>
  </si>
  <si>
    <t>Rishav Mishra</t>
  </si>
  <si>
    <t>200 Paid</t>
  </si>
  <si>
    <t>antu_nweb</t>
  </si>
  <si>
    <t>Inderjit Choudhery</t>
  </si>
  <si>
    <t>Parvinder Singh Jikky</t>
  </si>
  <si>
    <t>jikky_nweb</t>
  </si>
  <si>
    <t>Pass@2022</t>
  </si>
  <si>
    <t>Kirandeep Kaur</t>
  </si>
  <si>
    <t>sagar_nweb</t>
  </si>
  <si>
    <t>Syed Tanweer Alam</t>
  </si>
  <si>
    <t>attaul_nweh</t>
  </si>
  <si>
    <t>Umair Attaul Haque</t>
  </si>
  <si>
    <t>NISE COMPORT VISITING REGISTER</t>
  </si>
  <si>
    <t>Month :</t>
  </si>
  <si>
    <t>SL. No</t>
  </si>
  <si>
    <t>Residence/ Visitor Name</t>
  </si>
  <si>
    <t>Mobile Number</t>
  </si>
  <si>
    <t>Amount</t>
  </si>
  <si>
    <t>Residence/ Visitor Signature</t>
  </si>
  <si>
    <t>Remark</t>
  </si>
  <si>
    <t>Pension No.</t>
  </si>
  <si>
    <t>share</t>
  </si>
  <si>
    <t>given to saraswati</t>
  </si>
  <si>
    <t>Parul Mahato</t>
  </si>
  <si>
    <t>Sunita Murmu</t>
  </si>
  <si>
    <t>Shitla Mahato</t>
  </si>
  <si>
    <t>uid</t>
  </si>
  <si>
    <t>GSOPS6448Q</t>
  </si>
  <si>
    <t>Arati Singh</t>
  </si>
  <si>
    <t>Ar@ti1970</t>
  </si>
  <si>
    <t>ABBPA6972F</t>
  </si>
  <si>
    <t>Aleem Akhtar</t>
  </si>
  <si>
    <t>Akht@r1953</t>
  </si>
  <si>
    <t>30-12-1953</t>
  </si>
  <si>
    <t>ABMPG9732E</t>
  </si>
  <si>
    <t>Rudra nath Ghosh</t>
  </si>
  <si>
    <t>Rudr@1957</t>
  </si>
  <si>
    <t>DMMPK1554A</t>
  </si>
  <si>
    <t>Pritpal Kaur</t>
  </si>
  <si>
    <t>Pritp@l62</t>
  </si>
  <si>
    <t>14-09-1962</t>
  </si>
  <si>
    <t>IEGPS9464J</t>
  </si>
  <si>
    <t>Sanedeep Sahu</t>
  </si>
  <si>
    <t>S@ndeep96</t>
  </si>
  <si>
    <t>FNWPS6909E</t>
  </si>
  <si>
    <t>Ranjeet Kumar Sinha</t>
  </si>
  <si>
    <t>Ranjeet@2021</t>
  </si>
  <si>
    <t>BLQPS6102R</t>
  </si>
  <si>
    <t>Mina Sinha</t>
  </si>
  <si>
    <t>Min@1964</t>
  </si>
  <si>
    <t>AYCPD8148C</t>
  </si>
  <si>
    <t>Sagar Dutta</t>
  </si>
  <si>
    <t>Mahab1r##</t>
  </si>
  <si>
    <t>AQJPK7565K</t>
  </si>
  <si>
    <t>Anup Kumar</t>
  </si>
  <si>
    <t>Bipin@78</t>
  </si>
  <si>
    <t>CLNPS6089R</t>
  </si>
  <si>
    <t>Sunita@82</t>
  </si>
  <si>
    <t>AANPV8255B</t>
  </si>
  <si>
    <t>Jugal@1951</t>
  </si>
  <si>
    <t>AEXPV8975J</t>
  </si>
  <si>
    <t>Saroj Verma</t>
  </si>
  <si>
    <t>Saroj@1960</t>
  </si>
  <si>
    <t>AGVPD4353N</t>
  </si>
  <si>
    <t>KAKOLI DUTTA</t>
  </si>
  <si>
    <t>Kakoli@60</t>
  </si>
  <si>
    <t>CWKPS9058N</t>
  </si>
  <si>
    <t>MUTHUSAMY SIVA</t>
  </si>
  <si>
    <t>Muthusamy@89</t>
  </si>
  <si>
    <t>masterjee</t>
  </si>
  <si>
    <t>AVOPA3987H</t>
  </si>
  <si>
    <t>Mohammad Zia Alam</t>
  </si>
  <si>
    <t>Zia@alam80</t>
  </si>
  <si>
    <t>ANJPP0484D</t>
  </si>
  <si>
    <t>Pranaba Nanda Paul</t>
  </si>
  <si>
    <t>AFTPD5310E</t>
  </si>
  <si>
    <t>Kalyani Das</t>
  </si>
  <si>
    <t>Kalyani@61</t>
  </si>
  <si>
    <t>BWDPK7679D</t>
  </si>
  <si>
    <t>Durga@1992</t>
  </si>
  <si>
    <t>Binod@1973</t>
  </si>
  <si>
    <t>AKJPT1860E</t>
  </si>
  <si>
    <t>UDAY KUMAR THAPA</t>
  </si>
  <si>
    <t>Uday@1971</t>
  </si>
  <si>
    <t>EIWPM0791L</t>
  </si>
  <si>
    <t>P@nkaj1978</t>
  </si>
  <si>
    <t>EIXPM7038H</t>
  </si>
  <si>
    <t>Riba Mahato</t>
  </si>
  <si>
    <t>M@hato77</t>
  </si>
  <si>
    <t>CMJPP4511N</t>
  </si>
  <si>
    <t>mYPASS@95</t>
  </si>
  <si>
    <t>AIAPV4335R</t>
  </si>
  <si>
    <t>Sushant Kumar Verma</t>
  </si>
  <si>
    <t>Sushant@20</t>
  </si>
  <si>
    <t>IMQPS6601K</t>
  </si>
  <si>
    <t>Binod Kumar Sahu</t>
  </si>
  <si>
    <t>AGCPA4264C</t>
  </si>
  <si>
    <t>Nadim Akhtar Ansari</t>
  </si>
  <si>
    <t>nadim@1976</t>
  </si>
  <si>
    <t>AACPU1462G</t>
  </si>
  <si>
    <t>Bani Mahadeo Upadhyay</t>
  </si>
  <si>
    <t>Bani@1965</t>
  </si>
  <si>
    <t>AOAPR6741R</t>
  </si>
  <si>
    <t>Munna Rai</t>
  </si>
  <si>
    <t>Munna@1963</t>
  </si>
  <si>
    <t>BPOPK6301N</t>
  </si>
  <si>
    <t>Shahabuddin Khan</t>
  </si>
  <si>
    <t>kHAN@1980</t>
  </si>
  <si>
    <t>ABBPA6871F</t>
  </si>
  <si>
    <t>Bahadur@20</t>
  </si>
  <si>
    <t>DBXPS9986N</t>
  </si>
  <si>
    <t>Rajesh Kumar Soni</t>
  </si>
  <si>
    <t>R@jesh1976</t>
  </si>
  <si>
    <t>ABKPB3991J</t>
  </si>
  <si>
    <t>MOTI LAL BHAGAT</t>
  </si>
  <si>
    <t>Bhagat@20</t>
  </si>
  <si>
    <t>ARMPJ1925G</t>
  </si>
  <si>
    <t>Punit</t>
  </si>
  <si>
    <t>Punit@1992</t>
  </si>
  <si>
    <t>AEVPH3300R</t>
  </si>
  <si>
    <t>Shahnawaz Hussain</t>
  </si>
  <si>
    <t>Hussain@20</t>
  </si>
  <si>
    <t>AENPS6818P</t>
  </si>
  <si>
    <t>Arvind Kumar Sinha</t>
  </si>
  <si>
    <t>Sinha@1953</t>
  </si>
  <si>
    <t>AEIPS6517E</t>
  </si>
  <si>
    <t>Jerome@1954</t>
  </si>
  <si>
    <t>30-0-1954</t>
  </si>
  <si>
    <t>ASWPB4065E</t>
  </si>
  <si>
    <t>bHAKAT@2021</t>
  </si>
  <si>
    <t>BKSPS0670R</t>
  </si>
  <si>
    <t>Upendra Singh</t>
  </si>
  <si>
    <t>Singh@1973</t>
  </si>
  <si>
    <t>BXQPK1484C</t>
  </si>
  <si>
    <t>Gauam Kumar</t>
  </si>
  <si>
    <t>Gautam@2021</t>
  </si>
  <si>
    <t>AKRPM0321M</t>
  </si>
  <si>
    <t>Ranjit Kumar Mahato</t>
  </si>
  <si>
    <t>Mahato@2021</t>
  </si>
  <si>
    <t>AKCPD6628F</t>
  </si>
  <si>
    <t>Amal Kumar Das</t>
  </si>
  <si>
    <t>Amal@1965</t>
  </si>
  <si>
    <t>BIWPS5227E</t>
  </si>
  <si>
    <t>Saroj Kumar Singh</t>
  </si>
  <si>
    <t>AHEPT4864C</t>
  </si>
  <si>
    <t>Bageshwar Tiwari</t>
  </si>
  <si>
    <t>Tiwari@1951</t>
  </si>
  <si>
    <t>AHYPD1473F</t>
  </si>
  <si>
    <t>Subhadeep Das</t>
  </si>
  <si>
    <t>Deep@1975</t>
  </si>
  <si>
    <t>ANQPJ9827R</t>
  </si>
  <si>
    <t>Birendra Kumar Jha</t>
  </si>
  <si>
    <t>Kumar@1970</t>
  </si>
  <si>
    <t>CCIPD1992E</t>
  </si>
  <si>
    <t>Abhijit Das</t>
  </si>
  <si>
    <t>Abhijit@1996</t>
  </si>
  <si>
    <t>ABUPM5565H</t>
  </si>
  <si>
    <t>Mani@1971</t>
  </si>
  <si>
    <t>Jitendra nath Mahato</t>
  </si>
  <si>
    <t>Nath@1973</t>
  </si>
  <si>
    <t>AEIPS3362M</t>
  </si>
  <si>
    <t>Harinder Singh</t>
  </si>
  <si>
    <t>BBTPG1518E</t>
  </si>
  <si>
    <t>Sujata Gorai</t>
  </si>
  <si>
    <t>Sujata@1988</t>
  </si>
  <si>
    <t>ABCPR7212G</t>
  </si>
  <si>
    <t>Pawitra Ram</t>
  </si>
  <si>
    <t>Pawitra@1959</t>
  </si>
  <si>
    <t>ARDPR0720L</t>
  </si>
  <si>
    <t>Naresh@1972</t>
  </si>
  <si>
    <t>AEUPG5564R</t>
  </si>
  <si>
    <t>Jogen Kumar Gorai</t>
  </si>
  <si>
    <t>Jogen@1976</t>
  </si>
  <si>
    <t>appl dt</t>
  </si>
  <si>
    <t>Appl NO.</t>
  </si>
  <si>
    <t>C Status</t>
  </si>
  <si>
    <t>DL APPL</t>
  </si>
  <si>
    <t>LL NO.</t>
  </si>
  <si>
    <t>RFCustomer</t>
  </si>
  <si>
    <t>Due frm cust</t>
  </si>
  <si>
    <t>chaged</t>
  </si>
  <si>
    <t>pd 2 tap</t>
  </si>
  <si>
    <t>Due 2 Tap</t>
  </si>
  <si>
    <t xml:space="preserve">JH05 /0009008/2018 </t>
  </si>
  <si>
    <t>CHARGE</t>
  </si>
  <si>
    <t>Sadia Aman</t>
  </si>
  <si>
    <t>DELIVERED</t>
  </si>
  <si>
    <t>JH05 /0004917/2019</t>
  </si>
  <si>
    <t> 628091719</t>
  </si>
  <si>
    <t>Harihar Choudhary</t>
  </si>
  <si>
    <t>JH05 /0013736/2019</t>
  </si>
  <si>
    <t>Anjan Kumar Sinha</t>
  </si>
  <si>
    <t>DL RENEW</t>
  </si>
  <si>
    <t>DL</t>
  </si>
  <si>
    <t>slot booked by me</t>
  </si>
  <si>
    <t>Md Mahibul</t>
  </si>
  <si>
    <t>new dl</t>
  </si>
  <si>
    <t>4107604719  2563496819</t>
  </si>
  <si>
    <t>Rakhi Kumari</t>
  </si>
  <si>
    <t>Supriya Dey</t>
  </si>
  <si>
    <t>Abdul bari Khan</t>
  </si>
  <si>
    <t>Sudip Bhadra</t>
  </si>
  <si>
    <t>Bishwajit Prusty</t>
  </si>
  <si>
    <t>601705820,  2824057319</t>
  </si>
  <si>
    <t>AB+</t>
  </si>
  <si>
    <t>Chandra Shekhar</t>
  </si>
  <si>
    <t>Md Shabbir Ahmad</t>
  </si>
  <si>
    <t>Md Wasim</t>
  </si>
  <si>
    <t>Md Rafi Anwar</t>
  </si>
  <si>
    <t>SK RAFIQUDDIN</t>
  </si>
  <si>
    <t>Sneha Banra</t>
  </si>
  <si>
    <t>Kunal Kumar Gupta</t>
  </si>
  <si>
    <t>Jay Kishan Keshori</t>
  </si>
  <si>
    <t>Nazeeb Ahmed</t>
  </si>
  <si>
    <t>SHYAMCHAND SWANSI</t>
  </si>
  <si>
    <t>swansinweb@</t>
  </si>
  <si>
    <t>fail</t>
  </si>
  <si>
    <t>re</t>
  </si>
  <si>
    <t>GOPINATH GORAI</t>
  </si>
  <si>
    <t>gopi.nweb</t>
  </si>
  <si>
    <t xml:space="preserve">new dl </t>
  </si>
  <si>
    <t>Deepak Tantubai</t>
  </si>
  <si>
    <t>deepaktantubairs</t>
  </si>
  <si>
    <t>sadhannweb@g</t>
  </si>
  <si>
    <t>Sandeep Kaur</t>
  </si>
  <si>
    <t>sandeepnweb129@gmail.com</t>
  </si>
  <si>
    <t>Gurdeet Singh</t>
  </si>
  <si>
    <t>gurdeetnweb@gmail.com</t>
  </si>
  <si>
    <t>RC renew</t>
  </si>
  <si>
    <t>Mahendra Munda</t>
  </si>
  <si>
    <t>New dl</t>
  </si>
  <si>
    <t>sumeth thakur</t>
  </si>
  <si>
    <t>Mahip Kumar Singh</t>
  </si>
  <si>
    <t>renewal</t>
  </si>
  <si>
    <t>Gurudeet Singh</t>
  </si>
  <si>
    <t>LL ISSUED</t>
  </si>
  <si>
    <t>Vishnu Pado Ruhidas</t>
  </si>
  <si>
    <t>new dl 2w</t>
  </si>
  <si>
    <t>Gunadhar Sahis</t>
  </si>
  <si>
    <t>new24</t>
  </si>
  <si>
    <t>Gurudayal Singh</t>
  </si>
  <si>
    <t>Syed  Iftakhar Hussain</t>
  </si>
  <si>
    <t>Amrik Singh</t>
  </si>
  <si>
    <t>Del 23-09-2020</t>
  </si>
  <si>
    <t>Sujat Ali</t>
  </si>
  <si>
    <t>Del 24-09-2020</t>
  </si>
  <si>
    <t>D k Choudhary</t>
  </si>
  <si>
    <t>Pravin Kumar</t>
  </si>
  <si>
    <t>Nagalu Lakshman</t>
  </si>
  <si>
    <t>Chhatu Sardar</t>
  </si>
  <si>
    <t>Suchita Ghoshal</t>
  </si>
  <si>
    <t>Dup RC</t>
  </si>
  <si>
    <t>Deven singh sardar</t>
  </si>
  <si>
    <t>trans</t>
  </si>
  <si>
    <t>Ganapati Mishra</t>
  </si>
  <si>
    <t>2to4</t>
  </si>
  <si>
    <t>Rezwana Tabassum</t>
  </si>
  <si>
    <t>doc diven for LL</t>
  </si>
  <si>
    <t>S M Altamash Madni</t>
  </si>
  <si>
    <t>DL appont 15-03-21</t>
  </si>
  <si>
    <t>Tapas Kumar Das</t>
  </si>
  <si>
    <t>Md Asif Jamal</t>
  </si>
  <si>
    <t>learning rcvd</t>
  </si>
  <si>
    <t>Katapadi Gopi Krishna Rao</t>
  </si>
  <si>
    <t>Parasnath prasad</t>
  </si>
  <si>
    <t>Pankaj Kumar Sinha</t>
  </si>
  <si>
    <t>2+4</t>
  </si>
  <si>
    <t>Nand Kumar Singh</t>
  </si>
  <si>
    <t>hp+ot</t>
  </si>
  <si>
    <t>S Vadivelu</t>
  </si>
  <si>
    <t>given for LL</t>
  </si>
  <si>
    <t>JH0520070012015</t>
  </si>
  <si>
    <t>Noushine Fatama</t>
  </si>
  <si>
    <t>twoGL</t>
  </si>
  <si>
    <t>Shahid Perwez</t>
  </si>
  <si>
    <t>renuew</t>
  </si>
  <si>
    <t>Sharique Raza Anwar</t>
  </si>
  <si>
    <t>Rina Devi</t>
  </si>
  <si>
    <t>Deven Munda</t>
  </si>
  <si>
    <t>Shwetamberr Kumar</t>
  </si>
  <si>
    <t>12-03-2021 given for LL</t>
  </si>
  <si>
    <t>Ram Prasad Sahu</t>
  </si>
  <si>
    <t>Photo done</t>
  </si>
  <si>
    <t>12-03-2021 given to tpn</t>
  </si>
  <si>
    <t>Neena Sharma</t>
  </si>
  <si>
    <t>RC Trasfer</t>
  </si>
  <si>
    <t>Bhavna</t>
  </si>
  <si>
    <t>given for LL-12-03-2021</t>
  </si>
  <si>
    <t>Ram Chandra Pandey</t>
  </si>
  <si>
    <t>CARD RECVD</t>
  </si>
  <si>
    <t>Sujay Kumar mahato</t>
  </si>
  <si>
    <t>given for main</t>
  </si>
  <si>
    <t>Anshu Kumari</t>
  </si>
  <si>
    <t>given for main06/02/22</t>
  </si>
  <si>
    <t>Laxmi Saha</t>
  </si>
  <si>
    <t>reewal</t>
  </si>
  <si>
    <t>Laxmi Hansdah</t>
  </si>
  <si>
    <t>MCWOG</t>
  </si>
  <si>
    <t>Rajesh Tantubai</t>
  </si>
  <si>
    <t>given for scrutni</t>
  </si>
  <si>
    <t>MCWG</t>
  </si>
  <si>
    <t>given for final 25-12-21</t>
  </si>
  <si>
    <t>Naresh Kumar Tanti</t>
  </si>
  <si>
    <t>Sanjay Pandey</t>
  </si>
  <si>
    <t>refunded 1400</t>
  </si>
  <si>
    <t>md tamim</t>
  </si>
  <si>
    <t>SFML-04-10-21</t>
  </si>
  <si>
    <t>Vaibhav Mishra</t>
  </si>
  <si>
    <t>Rakesh Gope</t>
  </si>
  <si>
    <t>Deepaarnita biswas</t>
  </si>
  <si>
    <t>Subal Chandra Paul</t>
  </si>
  <si>
    <t>Yadavilli Rama Murty</t>
  </si>
  <si>
    <t>Krishna Kumar</t>
  </si>
  <si>
    <t>card rcvd</t>
  </si>
  <si>
    <t>JH05 20210027880</t>
  </si>
  <si>
    <t>Joyraj Paul</t>
  </si>
  <si>
    <t>09-0-1964</t>
  </si>
  <si>
    <t>Shankhanil Basu</t>
  </si>
  <si>
    <t>Dhiraj Kr srivastava</t>
  </si>
  <si>
    <t>Shyam Kumar Singh</t>
  </si>
  <si>
    <t>Praveen Sharma</t>
  </si>
  <si>
    <t>2to 4</t>
  </si>
  <si>
    <t>Nurul Hakim</t>
  </si>
  <si>
    <t>Bhavya Tiwary</t>
  </si>
  <si>
    <t>card delivered</t>
  </si>
  <si>
    <t>Mangal Gope</t>
  </si>
  <si>
    <t>Sujoy Panda</t>
  </si>
  <si>
    <t>Delivered on 19-02-22</t>
  </si>
  <si>
    <t>Bijay Kumar Singh</t>
  </si>
  <si>
    <t>Bishwajeet Dhibar</t>
  </si>
  <si>
    <t>Lost</t>
  </si>
  <si>
    <t>Sanjeeb Kumar Mahanty</t>
  </si>
  <si>
    <t>lost</t>
  </si>
  <si>
    <t>2 to 4</t>
  </si>
  <si>
    <t>mani Kant(7909044681)</t>
  </si>
  <si>
    <t>Bhrigu Nath Sharma</t>
  </si>
  <si>
    <t>Md Sadiq Hussain</t>
  </si>
  <si>
    <t>Monisha Singh</t>
  </si>
  <si>
    <t>Kumar Shubham</t>
  </si>
  <si>
    <t>Tata Sandep</t>
  </si>
  <si>
    <t>Manoj Kumar Mahato</t>
  </si>
  <si>
    <t>Delivered on 24-02-22</t>
  </si>
  <si>
    <t>Dilbag Singh</t>
  </si>
  <si>
    <t>Shambhu nath Bhagat</t>
  </si>
  <si>
    <t>HP Rem</t>
  </si>
  <si>
    <t>10-12--2021</t>
  </si>
  <si>
    <t>Sahil Kumar</t>
  </si>
  <si>
    <t>Satyanarayan Das</t>
  </si>
  <si>
    <t>re-registration</t>
  </si>
  <si>
    <t>Mohini Mohan Gope</t>
  </si>
  <si>
    <t>given for main on 22-02-22</t>
  </si>
  <si>
    <t>Madan Mohan prasad</t>
  </si>
  <si>
    <t>Binod Kumar Sinha</t>
  </si>
  <si>
    <t>Barun Kumar Chauhan</t>
  </si>
  <si>
    <t>Re+addrs</t>
  </si>
  <si>
    <t>Rohit Pandey</t>
  </si>
  <si>
    <t>Ashutosh Gautam</t>
  </si>
  <si>
    <t>Md Seraj Hussain</t>
  </si>
  <si>
    <t>Goutam Mondal</t>
  </si>
  <si>
    <t>JH055351</t>
  </si>
  <si>
    <t>re-register</t>
  </si>
  <si>
    <t>Bhojay Soren</t>
  </si>
  <si>
    <t>UOW20112300180</t>
  </si>
  <si>
    <t>Amar kr upadhyay</t>
  </si>
  <si>
    <t>S. S. Jewellers</t>
  </si>
  <si>
    <t>mamtamannajsr0001@gmail.com</t>
  </si>
  <si>
    <t>Uttam0001</t>
  </si>
  <si>
    <t>UOW20112501215</t>
  </si>
  <si>
    <t>dpjsr0001@rediffmail.com</t>
  </si>
  <si>
    <t>Gangesh01</t>
  </si>
  <si>
    <t>UOW21030801624</t>
  </si>
  <si>
    <t>Rajiv halder</t>
  </si>
  <si>
    <t>sunitakumarijsr11@gmail.com</t>
  </si>
  <si>
    <t>Sunita01</t>
  </si>
  <si>
    <t>kavitadas001@gmail.com</t>
  </si>
  <si>
    <t>Kavita01</t>
  </si>
  <si>
    <t>sadiquehussainjsr@gmail.com</t>
  </si>
  <si>
    <t>svermajsr5@gmail.com</t>
  </si>
  <si>
    <t>Verma@2020</t>
  </si>
  <si>
    <t>madankumar1973.2015@rediffmail.com</t>
  </si>
  <si>
    <t>M@dan12345</t>
  </si>
  <si>
    <t>weinsindiautilities@gmail.com</t>
  </si>
  <si>
    <t>S@njay2020</t>
  </si>
  <si>
    <t>nareshgounder03@gmail.com</t>
  </si>
  <si>
    <t>Gounder@86</t>
  </si>
  <si>
    <t>Prasad@2020</t>
  </si>
  <si>
    <t>sujitkumarchel2233@gmail.com</t>
  </si>
  <si>
    <t>Chel@2021</t>
  </si>
  <si>
    <t>ushaelectricals21@gmail.com</t>
  </si>
  <si>
    <t>Usha@2021</t>
  </si>
  <si>
    <t>prakashfootwaretelco@gmail.com</t>
  </si>
  <si>
    <t>rknewhairdresses@gmail.com</t>
  </si>
  <si>
    <t>M K Traders</t>
  </si>
  <si>
    <t>kumarr06622@gmail.com</t>
  </si>
  <si>
    <t>deliverd</t>
  </si>
  <si>
    <t>Pandey Traders</t>
  </si>
  <si>
    <t>sksk969@gmail.com</t>
  </si>
  <si>
    <t>Sunil@1976</t>
  </si>
  <si>
    <t>2012/00000/1901/0196477</t>
  </si>
  <si>
    <t>Pintu Pal</t>
  </si>
  <si>
    <t>2012/00000/1810/0300040</t>
  </si>
  <si>
    <t>Subhash Machchhuwa</t>
  </si>
  <si>
    <t>2012/00000/1810/0301588</t>
  </si>
  <si>
    <t>Punam Mahato</t>
  </si>
  <si>
    <t>2012/00000/1810/0358086</t>
  </si>
  <si>
    <t>Dhiraj Kumar Kamet</t>
  </si>
  <si>
    <t>2012/00000/1811/1017529</t>
  </si>
  <si>
    <t>Nirmalendu Mridha</t>
  </si>
  <si>
    <t>2012/00000/1812/1417152</t>
  </si>
  <si>
    <t>submitted</t>
  </si>
  <si>
    <t>Jacob Murmu</t>
  </si>
  <si>
    <t>2012/00000/1901/0176137</t>
  </si>
  <si>
    <t>Asha Karmakar</t>
  </si>
  <si>
    <t>nayabasti</t>
  </si>
  <si>
    <t>2012/00000/1901/0195226</t>
  </si>
  <si>
    <t>Preeti Kumari Ram</t>
  </si>
  <si>
    <t>2012/00000/1901/0447082</t>
  </si>
  <si>
    <t>2012/00000/1902/1136542</t>
  </si>
  <si>
    <t>Samir Kumar</t>
  </si>
  <si>
    <t>2012/00000/1902/1638820</t>
  </si>
  <si>
    <t>Rahul Munda</t>
  </si>
  <si>
    <t>2012/00000/1902/1640581</t>
  </si>
  <si>
    <t>Rabindra Nath Singh</t>
  </si>
  <si>
    <t>2012/00000/1903/1106950</t>
  </si>
  <si>
    <t>Kiran Devi</t>
  </si>
  <si>
    <t>2012/00000/1903/1244805</t>
  </si>
  <si>
    <t>Saraswati Kumari</t>
  </si>
  <si>
    <t>2012/22222/1906/0591338</t>
  </si>
  <si>
    <t>2012/00000/1906/1908957</t>
  </si>
  <si>
    <t>Pramod Tiwary</t>
  </si>
  <si>
    <t>2012/00000/1907/0217607</t>
  </si>
  <si>
    <t>Krishna Mahato</t>
  </si>
  <si>
    <t>2012/00000/1910/1235230</t>
  </si>
  <si>
    <t>2012/00000/1912/0724836</t>
  </si>
  <si>
    <t>2012/00000/2001/0785948</t>
  </si>
  <si>
    <t>2012/00000/2001/0784062</t>
  </si>
  <si>
    <t>K Silpa</t>
  </si>
  <si>
    <t>2012/00000/2006/0350223</t>
  </si>
  <si>
    <t>Rani Kaur</t>
  </si>
  <si>
    <t>2012/00000/1904/0678356</t>
  </si>
  <si>
    <t>cabine</t>
  </si>
  <si>
    <t>moth</t>
  </si>
  <si>
    <t>CPU</t>
  </si>
  <si>
    <t>A051691136</t>
  </si>
  <si>
    <t>Abdul Wahab</t>
  </si>
  <si>
    <t>11-09-2002</t>
  </si>
  <si>
    <t>A051723259</t>
  </si>
  <si>
    <t>Neelam Devi</t>
  </si>
  <si>
    <t>23-03-2022</t>
  </si>
  <si>
    <t>09-03-2000</t>
  </si>
  <si>
    <t>Sapna Kumari</t>
  </si>
  <si>
    <t>A051724597</t>
  </si>
  <si>
    <t>A051749949</t>
  </si>
  <si>
    <t>Payal Das</t>
  </si>
  <si>
    <t>10-05-2002</t>
  </si>
  <si>
    <t>Jitendra Srivastava</t>
  </si>
  <si>
    <t>23-10-1984</t>
  </si>
  <si>
    <t>sanjay2(self add)</t>
  </si>
  <si>
    <t>Devanti Devi</t>
  </si>
  <si>
    <t>24-03-2022</t>
  </si>
  <si>
    <t>A051766558</t>
  </si>
  <si>
    <t>A051757475</t>
  </si>
  <si>
    <t>Q005443332</t>
  </si>
  <si>
    <t>14-01-1981</t>
  </si>
  <si>
    <t>A051848231</t>
  </si>
  <si>
    <t>jasvinder Kour</t>
  </si>
  <si>
    <t>26-12-1997</t>
  </si>
  <si>
    <t>25-03-2022</t>
  </si>
  <si>
    <t>Ashok Kumar Upadhayay</t>
  </si>
  <si>
    <t>Q005453247</t>
  </si>
  <si>
    <t>Anjali Sarkar</t>
  </si>
  <si>
    <t>26-03-2022</t>
  </si>
  <si>
    <t>15-06-1948</t>
  </si>
  <si>
    <t> 22-0004343506</t>
  </si>
  <si>
    <t>rani_nweb</t>
  </si>
  <si>
    <t>Rani Dey</t>
  </si>
  <si>
    <t>A051875141</t>
  </si>
  <si>
    <t>Nazreen Tabassom</t>
  </si>
  <si>
    <t>15-09-1994</t>
  </si>
  <si>
    <t>A051898926</t>
  </si>
  <si>
    <t>Hemangini Bhakat</t>
  </si>
  <si>
    <t>15-04-1975</t>
  </si>
  <si>
    <t>Q005464674</t>
  </si>
  <si>
    <t>Bhuvan Bhaskar</t>
  </si>
  <si>
    <t>31-01-1981</t>
  </si>
  <si>
    <t>27-03-2022</t>
  </si>
  <si>
    <t>Akhilesh Kr singh</t>
  </si>
  <si>
    <t>200paid</t>
  </si>
  <si>
    <t>Uzma Afreen</t>
  </si>
  <si>
    <t>13-01-2001</t>
  </si>
  <si>
    <t>28-03-2022</t>
  </si>
  <si>
    <t>Q005477083</t>
  </si>
  <si>
    <t>A051944880</t>
  </si>
  <si>
    <t>29-03-2022</t>
  </si>
  <si>
    <t>Q005474224</t>
  </si>
  <si>
    <t>Nikhil majumdar</t>
  </si>
  <si>
    <t>31-12-1953</t>
  </si>
  <si>
    <t>Q005477221</t>
  </si>
  <si>
    <t>12-12-1969</t>
  </si>
  <si>
    <t>A052001317</t>
  </si>
  <si>
    <t>Sankar Kumar</t>
  </si>
  <si>
    <t>28-01-2006</t>
  </si>
  <si>
    <t>A051999680</t>
  </si>
  <si>
    <t>Aarti Devi</t>
  </si>
  <si>
    <t>A052000996</t>
  </si>
  <si>
    <t>Saloni Kumari</t>
  </si>
  <si>
    <t>15/11/2008</t>
  </si>
  <si>
    <t>Q005498394</t>
  </si>
  <si>
    <t>Ram Naresh Tiwari</t>
  </si>
  <si>
    <t>01/09/1975</t>
  </si>
  <si>
    <t>31-03-2022</t>
  </si>
  <si>
    <t>ashish_nweb22</t>
  </si>
  <si>
    <t>A052194434</t>
  </si>
  <si>
    <t>Surbhi Kumari Pandey</t>
  </si>
  <si>
    <t>25-07-2001</t>
  </si>
  <si>
    <t>A052190383</t>
  </si>
  <si>
    <t>Aaditya Shome</t>
  </si>
  <si>
    <t>25-05-2006</t>
  </si>
  <si>
    <t>A052210053</t>
  </si>
  <si>
    <t>A052259138</t>
  </si>
  <si>
    <t>Sabi Devi</t>
  </si>
  <si>
    <t>04-04-2022</t>
  </si>
  <si>
    <t>1-01-1977</t>
  </si>
  <si>
    <t>01-01-1982</t>
  </si>
  <si>
    <t>Gurdeet</t>
  </si>
  <si>
    <t>A052263373</t>
  </si>
  <si>
    <t>14-02-1995</t>
  </si>
  <si>
    <t>25-03-2004</t>
  </si>
  <si>
    <t>Spandan Dutaa</t>
  </si>
  <si>
    <t>A052263941</t>
  </si>
  <si>
    <t>A052305856</t>
  </si>
  <si>
    <t>Anita Tanti</t>
  </si>
  <si>
    <t>10-02-2000</t>
  </si>
  <si>
    <t>05-04-2022</t>
  </si>
  <si>
    <t>A052353975</t>
  </si>
  <si>
    <t>Hritika</t>
  </si>
  <si>
    <t>12-09-2002</t>
  </si>
  <si>
    <t>06-04-2022</t>
  </si>
  <si>
    <t>at comport</t>
  </si>
  <si>
    <t>Sarabjeet Singh</t>
  </si>
  <si>
    <t>A052386464</t>
  </si>
  <si>
    <t>Keshab Kumar</t>
  </si>
  <si>
    <t>15-07-1998</t>
  </si>
  <si>
    <t>08-04-2022</t>
  </si>
  <si>
    <t>A052426614</t>
  </si>
  <si>
    <t>24/08/2000</t>
  </si>
  <si>
    <t>???????</t>
  </si>
  <si>
    <t>HTRPD3464C</t>
  </si>
  <si>
    <t>A052488263</t>
  </si>
  <si>
    <t>Bholenath Das</t>
  </si>
  <si>
    <t>13-03-1998</t>
  </si>
  <si>
    <t>10-04-2022</t>
  </si>
  <si>
    <t>13-04-2022</t>
  </si>
  <si>
    <t>Q005515495</t>
  </si>
  <si>
    <t>01-03-2004</t>
  </si>
  <si>
    <t>A052713742</t>
  </si>
  <si>
    <t>Akbar Ali</t>
  </si>
  <si>
    <t>30-11-1980</t>
  </si>
  <si>
    <t>16-04-2022</t>
  </si>
  <si>
    <t>Rohit Shukla</t>
  </si>
  <si>
    <t>A052721286</t>
  </si>
  <si>
    <t>16-05-2002</t>
  </si>
  <si>
    <t>Rajib Chakraborty</t>
  </si>
  <si>
    <t>A052795387</t>
  </si>
  <si>
    <t>Soumendu Bhattcharjee</t>
  </si>
  <si>
    <t>16-07-1979</t>
  </si>
  <si>
    <t>18-04-2022</t>
  </si>
  <si>
    <t>A052884298</t>
  </si>
  <si>
    <t>26-02-1995</t>
  </si>
  <si>
    <t>V Usha</t>
  </si>
  <si>
    <t>A053019441</t>
  </si>
  <si>
    <t>indu Ray</t>
  </si>
  <si>
    <t>09-02-1963</t>
  </si>
  <si>
    <t>23-04-2022</t>
  </si>
  <si>
    <t>26-04-2022</t>
  </si>
  <si>
    <t>Ritu Choudhary</t>
  </si>
  <si>
    <t>A053127790</t>
  </si>
  <si>
    <t>28-02-1991</t>
  </si>
  <si>
    <t>Anupama Pathak</t>
  </si>
  <si>
    <t>A053177258</t>
  </si>
  <si>
    <t>11-01-2003</t>
  </si>
  <si>
    <t>28-04-2022</t>
  </si>
  <si>
    <t>Asha Pandey</t>
  </si>
  <si>
    <t>07-10-1957</t>
  </si>
  <si>
    <t>29-04-2022</t>
  </si>
  <si>
    <t>A053258189</t>
  </si>
  <si>
    <t>A053272311</t>
  </si>
  <si>
    <t>Subham Karmakar</t>
  </si>
  <si>
    <t>11/04/2004</t>
  </si>
  <si>
    <t>30-04-2022</t>
  </si>
  <si>
    <t>Renew</t>
  </si>
  <si>
    <t>918092231804</t>
  </si>
  <si>
    <t>919110186831</t>
  </si>
  <si>
    <t>918873555140</t>
  </si>
  <si>
    <t>917004404619</t>
  </si>
  <si>
    <t>917488275033</t>
  </si>
  <si>
    <t>919708669563</t>
  </si>
  <si>
    <t>919234131348</t>
  </si>
  <si>
    <t>919204221901</t>
  </si>
  <si>
    <t>919204311494</t>
  </si>
  <si>
    <t>916200266828</t>
  </si>
  <si>
    <t>919835189579</t>
  </si>
  <si>
    <t>919709210887</t>
  </si>
  <si>
    <t>919431569365</t>
  </si>
  <si>
    <t>917209413452</t>
  </si>
  <si>
    <t>917903948659</t>
  </si>
  <si>
    <t>918092161676</t>
  </si>
  <si>
    <t>919279148348</t>
  </si>
  <si>
    <t>918797826254</t>
  </si>
  <si>
    <t>918092496665</t>
  </si>
  <si>
    <t>919835477685</t>
  </si>
  <si>
    <t>917209950221</t>
  </si>
  <si>
    <t>919716966254</t>
  </si>
  <si>
    <t>917258879451</t>
  </si>
  <si>
    <t>916203668967</t>
  </si>
  <si>
    <t>917070095589</t>
  </si>
  <si>
    <t>918709533979</t>
  </si>
  <si>
    <t>918092206717</t>
  </si>
  <si>
    <t>918210564677</t>
  </si>
  <si>
    <t>917366919425</t>
  </si>
  <si>
    <t>918603251790</t>
  </si>
  <si>
    <t>916201941775</t>
  </si>
  <si>
    <t>918709705340</t>
  </si>
  <si>
    <t>917488948181</t>
  </si>
  <si>
    <t>919162141596</t>
  </si>
  <si>
    <t>919608931932</t>
  </si>
  <si>
    <t>918660255932</t>
  </si>
  <si>
    <t>919781759278</t>
  </si>
  <si>
    <t>917370891032</t>
  </si>
  <si>
    <t>919801375687</t>
  </si>
  <si>
    <t>918002484625</t>
  </si>
  <si>
    <t>91</t>
  </si>
  <si>
    <t>919661125755</t>
  </si>
  <si>
    <t>918825340143</t>
  </si>
  <si>
    <t>916206382425</t>
  </si>
  <si>
    <t>918340619383</t>
  </si>
  <si>
    <t>918797675277</t>
  </si>
  <si>
    <t>917209152003</t>
  </si>
  <si>
    <t>919304534774</t>
  </si>
  <si>
    <t>919031989594</t>
  </si>
  <si>
    <t>919931321832</t>
  </si>
  <si>
    <t>919113112064</t>
  </si>
  <si>
    <t>919835760251</t>
  </si>
  <si>
    <t>918709357819</t>
  </si>
  <si>
    <t>919031038399</t>
  </si>
  <si>
    <t>919771078319</t>
  </si>
  <si>
    <t>916200609264</t>
  </si>
  <si>
    <t>919955844105</t>
  </si>
  <si>
    <t>918271312110</t>
  </si>
  <si>
    <t>919572923483</t>
  </si>
  <si>
    <t>916205266370</t>
  </si>
  <si>
    <t>919031708341</t>
  </si>
  <si>
    <t>916205191685</t>
  </si>
  <si>
    <t>918603873458</t>
  </si>
  <si>
    <t>919204976811</t>
  </si>
  <si>
    <t>919573395115</t>
  </si>
  <si>
    <t>919800461568</t>
  </si>
  <si>
    <t>918083631050</t>
  </si>
  <si>
    <t>917739044155</t>
  </si>
  <si>
    <t>918092577946</t>
  </si>
  <si>
    <t>919308457927</t>
  </si>
  <si>
    <t>917543917665</t>
  </si>
  <si>
    <t>918797574708</t>
  </si>
  <si>
    <t>919031907108</t>
  </si>
  <si>
    <t>917209799520</t>
  </si>
  <si>
    <t>919431167008</t>
  </si>
  <si>
    <t>917319732731</t>
  </si>
  <si>
    <t>917619362586</t>
  </si>
  <si>
    <t>919534014105</t>
  </si>
  <si>
    <t>918210640569</t>
  </si>
  <si>
    <t>917033627737</t>
  </si>
  <si>
    <t>917004864934</t>
  </si>
  <si>
    <t>919546001099</t>
  </si>
  <si>
    <t>918210237201</t>
  </si>
  <si>
    <t>919031271967</t>
  </si>
  <si>
    <t>918210523941</t>
  </si>
  <si>
    <t>917992344716</t>
  </si>
  <si>
    <t>918534700235</t>
  </si>
  <si>
    <t>918987864098</t>
  </si>
  <si>
    <t>919304750779</t>
  </si>
  <si>
    <t>919472315294</t>
  </si>
  <si>
    <t>919102370595</t>
  </si>
  <si>
    <t>918709102483</t>
  </si>
  <si>
    <t>917011152603</t>
  </si>
  <si>
    <t>917004036221</t>
  </si>
  <si>
    <t>918969153202</t>
  </si>
  <si>
    <t>917091556451</t>
  </si>
  <si>
    <t>919931145822</t>
  </si>
  <si>
    <t>919835537202</t>
  </si>
  <si>
    <t>917209946815</t>
  </si>
  <si>
    <t>919711146659</t>
  </si>
  <si>
    <t>918272990701</t>
  </si>
  <si>
    <t>919431345961</t>
  </si>
  <si>
    <t>919065733224</t>
  </si>
  <si>
    <t>917004939998</t>
  </si>
  <si>
    <t>918076886229</t>
  </si>
  <si>
    <t>918603319592</t>
  </si>
  <si>
    <t>916202909827</t>
  </si>
  <si>
    <t>919065339731</t>
  </si>
  <si>
    <t>916203157028</t>
  </si>
  <si>
    <t>917903010419</t>
  </si>
  <si>
    <t>916202186630</t>
  </si>
  <si>
    <t>919304033860</t>
  </si>
  <si>
    <t>918409949983</t>
  </si>
  <si>
    <t>918653845274</t>
  </si>
  <si>
    <t>919835356289</t>
  </si>
  <si>
    <t>916201105757</t>
  </si>
  <si>
    <t>917209198771</t>
  </si>
  <si>
    <t>919899267972</t>
  </si>
  <si>
    <t>918789868750</t>
  </si>
  <si>
    <t>917209994300</t>
  </si>
  <si>
    <t>919798159111</t>
  </si>
  <si>
    <t>919386818489</t>
  </si>
  <si>
    <t>919199299448</t>
  </si>
  <si>
    <t>918235010195</t>
  </si>
  <si>
    <t>918603190548</t>
  </si>
  <si>
    <t>917209000816</t>
  </si>
  <si>
    <t>919386297857</t>
  </si>
  <si>
    <t>919631049704</t>
  </si>
  <si>
    <t>918084871616</t>
  </si>
  <si>
    <t>919835313039</t>
  </si>
  <si>
    <t>919835566462</t>
  </si>
  <si>
    <t>918873382821</t>
  </si>
  <si>
    <t>919975578467</t>
  </si>
  <si>
    <t>916202827901</t>
  </si>
  <si>
    <t>919108589779</t>
  </si>
  <si>
    <t>917258957104</t>
  </si>
  <si>
    <t>917209943400</t>
  </si>
  <si>
    <t>916201325313</t>
  </si>
  <si>
    <t>919576211749</t>
  </si>
  <si>
    <t>918092116186</t>
  </si>
  <si>
    <t>918789799863</t>
  </si>
  <si>
    <t>917209491924</t>
  </si>
  <si>
    <t>919934587315</t>
  </si>
  <si>
    <t>pstd on 01-05-2022</t>
  </si>
  <si>
    <t>Shreya Majumdar</t>
  </si>
  <si>
    <t>A053344361</t>
  </si>
  <si>
    <t>Arindam Chandra</t>
  </si>
  <si>
    <t>02/05/2004</t>
  </si>
  <si>
    <t>02-05-2022</t>
  </si>
  <si>
    <t>A053348927</t>
  </si>
  <si>
    <t>Majindar Lohar</t>
  </si>
  <si>
    <t>A053374512</t>
  </si>
  <si>
    <t>Rajni Das</t>
  </si>
  <si>
    <t>shreya_nweb</t>
  </si>
  <si>
    <t>Binder_nweb</t>
  </si>
  <si>
    <t>mishraravindra452@gmail.com</t>
  </si>
  <si>
    <t>Mishra@1978</t>
  </si>
  <si>
    <t>A053424075</t>
  </si>
  <si>
    <t>Priyanka Ranjan</t>
  </si>
  <si>
    <t>01-12-1999</t>
  </si>
  <si>
    <t>04-05-2022</t>
  </si>
  <si>
    <t>A053512672</t>
  </si>
  <si>
    <t>Sumanti Devi</t>
  </si>
  <si>
    <t>06-05-2022</t>
  </si>
  <si>
    <t>Q005546913</t>
  </si>
  <si>
    <t>Jhuma Ghosh</t>
  </si>
  <si>
    <t>25-08-1977</t>
  </si>
  <si>
    <t>17-04-2022</t>
  </si>
  <si>
    <t>Q005665835</t>
  </si>
  <si>
    <t>Kiran Sinha</t>
  </si>
  <si>
    <t>11-08-1974</t>
  </si>
  <si>
    <t>09-05-2022</t>
  </si>
  <si>
    <t>A053661266</t>
  </si>
  <si>
    <t>Khushi Singh</t>
  </si>
  <si>
    <t>20-03-2004</t>
  </si>
  <si>
    <t>10-05-2022</t>
  </si>
  <si>
    <t>Biswajit Dutta</t>
  </si>
  <si>
    <t>13-05-2022</t>
  </si>
  <si>
    <t>16-01-1946</t>
  </si>
  <si>
    <t>Q005686865</t>
  </si>
  <si>
    <t>Sachida Nanda Tewary</t>
  </si>
  <si>
    <t>A053743702</t>
  </si>
  <si>
    <t>Milan Srivastava</t>
  </si>
  <si>
    <t>A053825260</t>
  </si>
  <si>
    <t>Rohit Sharma</t>
  </si>
  <si>
    <t>24-01-2004</t>
  </si>
  <si>
    <t>08-12-1976</t>
  </si>
  <si>
    <t>Awadhesh Kumar</t>
  </si>
  <si>
    <t>Mahesh Munda</t>
  </si>
  <si>
    <t>A053777003</t>
  </si>
  <si>
    <t>21-10-2003</t>
  </si>
  <si>
    <t>12-05-2022</t>
  </si>
  <si>
    <t>A053879969</t>
  </si>
  <si>
    <t>Rashi Khan</t>
  </si>
  <si>
    <t>30-07-2002</t>
  </si>
  <si>
    <t>15-05-2022</t>
  </si>
  <si>
    <t>Q005697543</t>
  </si>
  <si>
    <t>15-06-1996</t>
  </si>
  <si>
    <t>A053931660</t>
  </si>
  <si>
    <t>Rajesh Lohar</t>
  </si>
  <si>
    <t>16-05-2022</t>
  </si>
  <si>
    <t>A053998721</t>
  </si>
  <si>
    <t>29-03-1978</t>
  </si>
  <si>
    <t>18-05-2022</t>
  </si>
  <si>
    <t>A054027172</t>
  </si>
  <si>
    <t>Md Fahad Jawed</t>
  </si>
  <si>
    <t>19-01-2003</t>
  </si>
  <si>
    <t>A054112871</t>
  </si>
  <si>
    <t>Anamika Mazumdar</t>
  </si>
  <si>
    <t>09-02-1996</t>
  </si>
  <si>
    <t>20-05-2022</t>
  </si>
  <si>
    <t>A054179202</t>
  </si>
  <si>
    <t>Roshni Munda</t>
  </si>
  <si>
    <t>19-10-2001</t>
  </si>
  <si>
    <t>22-05-2022</t>
  </si>
  <si>
    <t>A054172966</t>
  </si>
  <si>
    <t>Samit Paira</t>
  </si>
  <si>
    <t>Q005741037</t>
  </si>
  <si>
    <t>30-01-1990</t>
  </si>
  <si>
    <t>23-05-2022</t>
  </si>
  <si>
    <t>A054283638</t>
  </si>
  <si>
    <t>kayari Purty</t>
  </si>
  <si>
    <t>15-081970</t>
  </si>
  <si>
    <t>24-05-2022</t>
  </si>
  <si>
    <t>A054292934</t>
  </si>
  <si>
    <t>ShayakGhosh</t>
  </si>
  <si>
    <t>22-03-2004</t>
  </si>
  <si>
    <t>Q005748904</t>
  </si>
  <si>
    <t>18-05-2004</t>
  </si>
  <si>
    <t>25-05-2022</t>
  </si>
  <si>
    <t>Q005748834</t>
  </si>
  <si>
    <t>Manisa</t>
  </si>
  <si>
    <t>16-04-1991</t>
  </si>
  <si>
    <t>A054337314</t>
  </si>
  <si>
    <t>Ishika singh</t>
  </si>
  <si>
    <t>28-12-2000</t>
  </si>
  <si>
    <t>Sonu Karmakar</t>
  </si>
  <si>
    <t>A054394529</t>
  </si>
  <si>
    <t>Kalpana Mahato</t>
  </si>
  <si>
    <t>03-07-1971</t>
  </si>
  <si>
    <t>27-05-2022</t>
  </si>
  <si>
    <t>Savita Sharma</t>
  </si>
  <si>
    <t>19-06-2003</t>
  </si>
  <si>
    <t>25-12-1969</t>
  </si>
  <si>
    <t>Gayatri Sharma</t>
  </si>
  <si>
    <t>A054436263</t>
  </si>
  <si>
    <t>A054444318</t>
  </si>
  <si>
    <t>28-05-2022</t>
  </si>
  <si>
    <t>A054460942</t>
  </si>
  <si>
    <t>23-07-2002</t>
  </si>
  <si>
    <t>A054475431</t>
  </si>
  <si>
    <t>Roshni Bodra</t>
  </si>
  <si>
    <t>29-05-2022</t>
  </si>
  <si>
    <t>A054474209</t>
  </si>
  <si>
    <t>Gayatri Devi</t>
  </si>
  <si>
    <t>30-05-2022</t>
  </si>
  <si>
    <t>A054585488</t>
  </si>
  <si>
    <t>Chaitan Singh Munda</t>
  </si>
  <si>
    <t>12-08-2000</t>
  </si>
  <si>
    <t>01-06-2022</t>
  </si>
  <si>
    <t>Q005787398</t>
  </si>
  <si>
    <t xml:space="preserve">Ranjay Rajbhar </t>
  </si>
  <si>
    <t>01-02-2002</t>
  </si>
  <si>
    <t>02-06-2022</t>
  </si>
  <si>
    <t>Bharti Deb</t>
  </si>
  <si>
    <t>OXQ828277758</t>
  </si>
  <si>
    <t>A054656163</t>
  </si>
  <si>
    <t>Rupa Das</t>
  </si>
  <si>
    <t>Q005791792</t>
  </si>
  <si>
    <t>Bibek naik</t>
  </si>
  <si>
    <t>01-06-2004</t>
  </si>
  <si>
    <t>at cmprt</t>
  </si>
  <si>
    <t>Kumari Manisha</t>
  </si>
  <si>
    <t>Anushka Mitra</t>
  </si>
  <si>
    <t>anusha_nweb</t>
  </si>
  <si>
    <t>25-09-1972</t>
  </si>
  <si>
    <t>05-06-2022</t>
  </si>
  <si>
    <t>Q005806781</t>
  </si>
  <si>
    <t>Satya Prakash</t>
  </si>
  <si>
    <t>06-06-2022</t>
  </si>
  <si>
    <t>Q005808305</t>
  </si>
  <si>
    <t>Dlvrd on 08-05-2022</t>
  </si>
  <si>
    <t>Q005826413</t>
  </si>
  <si>
    <t>Suman Sourabh Kumar</t>
  </si>
  <si>
    <t>10-01-1994</t>
  </si>
  <si>
    <t>09-06-2022</t>
  </si>
  <si>
    <t>Prem Chand Kumar Singh</t>
  </si>
  <si>
    <t>15-08-1963</t>
  </si>
  <si>
    <t>Q005826600</t>
  </si>
  <si>
    <t>12-08-1989</t>
  </si>
  <si>
    <t>CARD dlvred</t>
  </si>
  <si>
    <t>A054873588</t>
  </si>
  <si>
    <t>Saleha Perween</t>
  </si>
  <si>
    <t>07-06-2022</t>
  </si>
  <si>
    <t>10-06-2022</t>
  </si>
  <si>
    <t>A055014691</t>
  </si>
  <si>
    <t>A055014194</t>
  </si>
  <si>
    <t>Anima Srivastava</t>
  </si>
  <si>
    <t>12-02-1984</t>
  </si>
  <si>
    <t>A055084168</t>
  </si>
  <si>
    <t>16-07-1997</t>
  </si>
  <si>
    <t>11-06-2022</t>
  </si>
  <si>
    <t>Q005847425</t>
  </si>
  <si>
    <t>22-04-1990</t>
  </si>
  <si>
    <t>13-06-2022</t>
  </si>
  <si>
    <t>Sushant Ganguly</t>
  </si>
  <si>
    <t>17-08-1997</t>
  </si>
  <si>
    <t>10/11/1997</t>
  </si>
  <si>
    <t>05/11/1985</t>
  </si>
  <si>
    <t>Anuradha Jha</t>
  </si>
  <si>
    <t>Laxmi Narayan Saw</t>
  </si>
  <si>
    <t>14-06-2022</t>
  </si>
  <si>
    <t>Prathibha Singh</t>
  </si>
  <si>
    <t>OAJ133017281</t>
  </si>
  <si>
    <t>LRV6985923</t>
  </si>
  <si>
    <t>Pavita Das</t>
  </si>
  <si>
    <t>KQR7182108</t>
  </si>
  <si>
    <t>OPX906002116</t>
  </si>
  <si>
    <t>KQR7182090</t>
  </si>
  <si>
    <t>Moni Kumari</t>
  </si>
  <si>
    <t>OFM476691202</t>
  </si>
  <si>
    <t>Q005853653</t>
  </si>
  <si>
    <t>06-06-1979</t>
  </si>
  <si>
    <t>A055214140</t>
  </si>
  <si>
    <t>Kavita Biswas</t>
  </si>
  <si>
    <t>Ramlal Pandey</t>
  </si>
  <si>
    <t>11-02-1971</t>
  </si>
  <si>
    <t>Dhanjay kumar Roy</t>
  </si>
  <si>
    <t>15-06-2022</t>
  </si>
  <si>
    <t>A055271127</t>
  </si>
  <si>
    <t>SUNITA TANTI</t>
  </si>
  <si>
    <t>07/06/1998</t>
  </si>
  <si>
    <t>202200028380TRN</t>
  </si>
  <si>
    <t>gst</t>
  </si>
  <si>
    <t>881036289139926</t>
  </si>
  <si>
    <t>Ashok Kumar Gope</t>
  </si>
  <si>
    <t>18-12-1991</t>
  </si>
  <si>
    <t>16-06-2022</t>
  </si>
  <si>
    <t>ekyc</t>
  </si>
  <si>
    <t>Anil Kumar</t>
  </si>
  <si>
    <t>Kumar@1979</t>
  </si>
  <si>
    <t>CFEPK9848D</t>
  </si>
  <si>
    <t>A055398157</t>
  </si>
  <si>
    <t>Md Zulfaquar</t>
  </si>
  <si>
    <t>18-06-2022</t>
  </si>
  <si>
    <t>A055397781</t>
  </si>
  <si>
    <t>Rubina Khatoon</t>
  </si>
  <si>
    <t>04-07-1994</t>
  </si>
  <si>
    <t>881036288460016</t>
  </si>
  <si>
    <t>881036287596920</t>
  </si>
  <si>
    <t>881036288162214</t>
  </si>
  <si>
    <t>shift 48-47</t>
  </si>
  <si>
    <t>LRV6189567</t>
  </si>
  <si>
    <t>SUJAY KR CHATTERJEE</t>
  </si>
  <si>
    <t>m21</t>
  </si>
  <si>
    <t>A055429684</t>
  </si>
  <si>
    <t>Swati Priya</t>
  </si>
  <si>
    <t>22-08-1999</t>
  </si>
  <si>
    <t>19-06-2022</t>
  </si>
  <si>
    <t>18-16-2022</t>
  </si>
  <si>
    <t>Sheela Devi</t>
  </si>
  <si>
    <t>Q005878566</t>
  </si>
  <si>
    <t>01-06-1974</t>
  </si>
  <si>
    <t>Ridhi Kumari</t>
  </si>
  <si>
    <t>04-07-2003</t>
  </si>
  <si>
    <t>20-06-2022</t>
  </si>
  <si>
    <t>A055451993</t>
  </si>
  <si>
    <t>A055453238</t>
  </si>
  <si>
    <t>2-01-2004</t>
  </si>
  <si>
    <t>881036288419630</t>
  </si>
  <si>
    <t>Mohammad Saif</t>
  </si>
  <si>
    <t>Soma Dey</t>
  </si>
  <si>
    <t>Soma_nweb</t>
  </si>
  <si>
    <t>Singh@1972</t>
  </si>
  <si>
    <t>JH-05201770202919</t>
  </si>
  <si>
    <t>Q005896452</t>
  </si>
  <si>
    <t>Rasha Khan</t>
  </si>
  <si>
    <t>21-06-2022</t>
  </si>
  <si>
    <t>26-09-1997</t>
  </si>
  <si>
    <t>Aman Kumar Patel</t>
  </si>
  <si>
    <t>Q005896768</t>
  </si>
  <si>
    <t>santosh Kumar</t>
  </si>
  <si>
    <t>Manoj Kumar Tiwary</t>
  </si>
  <si>
    <t>A055579012</t>
  </si>
  <si>
    <t>Rashmi Rekha Rout</t>
  </si>
  <si>
    <t>09-07-1982</t>
  </si>
  <si>
    <t>22-06-2022</t>
  </si>
  <si>
    <t>Khalid Raza</t>
  </si>
  <si>
    <t>18/06/2004</t>
  </si>
  <si>
    <t>Prakash Kr Srivastava</t>
  </si>
  <si>
    <t>25-04-1974</t>
  </si>
  <si>
    <t>881036291822864</t>
  </si>
  <si>
    <t>voter@2022</t>
  </si>
  <si>
    <t>neha singh to neha kumari</t>
  </si>
  <si>
    <t>KQR6913834</t>
  </si>
  <si>
    <t>AAPPT8292C</t>
  </si>
  <si>
    <t>AIOPS7783A</t>
  </si>
  <si>
    <t>A055733297</t>
  </si>
  <si>
    <t>Kana Ghosh</t>
  </si>
  <si>
    <t>08-12-1954</t>
  </si>
  <si>
    <t>25-06-2022</t>
  </si>
  <si>
    <t>A055799144</t>
  </si>
  <si>
    <t>Sunny Sunani</t>
  </si>
  <si>
    <t>21-03-2002</t>
  </si>
  <si>
    <t>26-06-2022</t>
  </si>
  <si>
    <t>A055809411</t>
  </si>
  <si>
    <t>Kalyani Gope</t>
  </si>
  <si>
    <t>01-04-1978</t>
  </si>
  <si>
    <t>27-06-2022</t>
  </si>
  <si>
    <t>OMJ615271045</t>
  </si>
  <si>
    <t>OHK323626133</t>
  </si>
  <si>
    <t>KQR2253706</t>
  </si>
  <si>
    <t>OHM801418183</t>
  </si>
  <si>
    <t>booth</t>
  </si>
  <si>
    <t>Talhat perveen</t>
  </si>
  <si>
    <t>AJSPR5772P</t>
  </si>
  <si>
    <t>Raju Ratha</t>
  </si>
  <si>
    <t>Ratha@2022</t>
  </si>
  <si>
    <t>OBW055229051</t>
  </si>
  <si>
    <t>p,dob</t>
  </si>
  <si>
    <t>KQR2282192</t>
  </si>
  <si>
    <t>Last filed</t>
  </si>
  <si>
    <t>Shreyash Mishra</t>
  </si>
  <si>
    <t>A055953725</t>
  </si>
  <si>
    <t>Rimi Mishra</t>
  </si>
  <si>
    <t>02-05-2004</t>
  </si>
  <si>
    <t>29-06-2022</t>
  </si>
  <si>
    <t>A055952835</t>
  </si>
  <si>
    <t>21-9-2001</t>
  </si>
  <si>
    <t>dispatched</t>
  </si>
  <si>
    <t>A055966237</t>
  </si>
  <si>
    <t>05-01-2004</t>
  </si>
  <si>
    <t>30-06-2022</t>
  </si>
  <si>
    <t>Q005974744</t>
  </si>
  <si>
    <t>Ashvin Peter ambruce</t>
  </si>
  <si>
    <t>23-12-2003</t>
  </si>
  <si>
    <t>Aashish Kumar Shukla</t>
  </si>
  <si>
    <t>shukla_nweb</t>
  </si>
  <si>
    <t>Shukla_nweb</t>
  </si>
  <si>
    <t>Q005977021</t>
  </si>
  <si>
    <t>02-01-1976</t>
  </si>
  <si>
    <t>Sanjeev Kumar</t>
  </si>
  <si>
    <t>Ravindra Prasad</t>
  </si>
  <si>
    <t>25-07-1964</t>
  </si>
  <si>
    <t>Singh@2022</t>
  </si>
  <si>
    <t>DAQPS5076B</t>
  </si>
  <si>
    <t>Sohom Dasgupta</t>
  </si>
  <si>
    <t>sohom_nweb</t>
  </si>
  <si>
    <t>Q005978703</t>
  </si>
  <si>
    <t>A056019542</t>
  </si>
  <si>
    <t>29-08-2003</t>
  </si>
  <si>
    <t>01-07-2022</t>
  </si>
  <si>
    <t>A056013707</t>
  </si>
  <si>
    <t>Sundaram Kumar</t>
  </si>
  <si>
    <t>A056012108</t>
  </si>
  <si>
    <t>Shiwam Kumar</t>
  </si>
  <si>
    <t>14-06-1999</t>
  </si>
  <si>
    <t>Amit Kumar Ranjan</t>
  </si>
  <si>
    <t>BJCPR2351B</t>
  </si>
  <si>
    <t>Naesh@2022</t>
  </si>
  <si>
    <t>Swastika Kumari</t>
  </si>
  <si>
    <t>14-08-2003</t>
  </si>
  <si>
    <t>02-07-2022</t>
  </si>
  <si>
    <t>A056050333</t>
  </si>
  <si>
    <t>Q005986097</t>
  </si>
  <si>
    <t>PAN ALRADY EXIST</t>
  </si>
  <si>
    <t>OPJ852186706</t>
  </si>
  <si>
    <t>n,p,d</t>
  </si>
  <si>
    <t>ZXK0551705</t>
  </si>
  <si>
    <t>09-10-1963</t>
  </si>
  <si>
    <t>881036295506931</t>
  </si>
  <si>
    <t>EKYC</t>
  </si>
  <si>
    <t xml:space="preserve">At itd </t>
  </si>
  <si>
    <t>At nsdl</t>
  </si>
  <si>
    <t>A056121634</t>
  </si>
  <si>
    <t>Debanjan Sen</t>
  </si>
  <si>
    <t>13-01-2002</t>
  </si>
  <si>
    <t>03-07-2022</t>
  </si>
  <si>
    <t>Shyam babu</t>
  </si>
  <si>
    <t>lrv6189567</t>
  </si>
  <si>
    <t>Sujay Kumar Chatterjee</t>
  </si>
  <si>
    <t>APMPB4212Q</t>
  </si>
  <si>
    <t>Somnath banerjee</t>
  </si>
  <si>
    <t>n@TH1962</t>
  </si>
  <si>
    <t>AMFPB6511Q</t>
  </si>
  <si>
    <t>Q006009076</t>
  </si>
  <si>
    <t>Mohammad Abu Obaida Farooqui</t>
  </si>
  <si>
    <t>08-11-1983</t>
  </si>
  <si>
    <t>04-07-2022</t>
  </si>
  <si>
    <t>881036296949126</t>
  </si>
  <si>
    <t>MIRZA SAWKAT ALI BEG</t>
  </si>
  <si>
    <t>06-07-2022</t>
  </si>
  <si>
    <t>05-07-1942</t>
  </si>
  <si>
    <t>A056272800</t>
  </si>
  <si>
    <t>Sabita Kumari</t>
  </si>
  <si>
    <t>15-08-2004</t>
  </si>
  <si>
    <t>A056322621</t>
  </si>
  <si>
    <t>Sagar Karwa</t>
  </si>
  <si>
    <t>01-09-1995</t>
  </si>
  <si>
    <t>08-07-2022</t>
  </si>
  <si>
    <t>A056318575</t>
  </si>
  <si>
    <t>Diya Kumari</t>
  </si>
  <si>
    <t>15-06-2005</t>
  </si>
  <si>
    <t>Ashvin Peter Ambruce</t>
  </si>
  <si>
    <t>Q006042281</t>
  </si>
  <si>
    <t>Munmun Tewary</t>
  </si>
  <si>
    <t>07-05-1992</t>
  </si>
  <si>
    <t>25-01-1974</t>
  </si>
  <si>
    <t>keyc</t>
  </si>
  <si>
    <t>also pd 600 for link</t>
  </si>
  <si>
    <t>09-07-2022</t>
  </si>
  <si>
    <t>A056484968</t>
  </si>
  <si>
    <t>21-01-2004</t>
  </si>
  <si>
    <t>11-07-2022</t>
  </si>
  <si>
    <t>Suraj</t>
  </si>
  <si>
    <t>suraj_nweb</t>
  </si>
  <si>
    <t>A056577030</t>
  </si>
  <si>
    <t>Ashim Sardar</t>
  </si>
  <si>
    <t>12-07-2022</t>
  </si>
  <si>
    <t>aplied fo rmain</t>
  </si>
  <si>
    <t>OCU993717746</t>
  </si>
  <si>
    <t>LRV6349435</t>
  </si>
  <si>
    <t>DFOPS8574H</t>
  </si>
  <si>
    <t>Soni Srivastava</t>
  </si>
  <si>
    <t>Soni@1234</t>
  </si>
  <si>
    <t>ATSPK3469J</t>
  </si>
  <si>
    <t>Kum@41968</t>
  </si>
  <si>
    <t>A056612272</t>
  </si>
  <si>
    <t>Sujay Dash</t>
  </si>
  <si>
    <t>17-03-2004</t>
  </si>
  <si>
    <t>15-07-2022</t>
  </si>
  <si>
    <t>12-03-2001</t>
  </si>
  <si>
    <t>A056701143</t>
  </si>
  <si>
    <t>A056786087</t>
  </si>
  <si>
    <t>Sumitra Gounder</t>
  </si>
  <si>
    <t>07-01-1985</t>
  </si>
  <si>
    <t>16-07-2022</t>
  </si>
  <si>
    <t>Paritosh Mahato</t>
  </si>
  <si>
    <t>A056853870</t>
  </si>
  <si>
    <t>Subi Khatoon</t>
  </si>
  <si>
    <t>25-08-1999</t>
  </si>
  <si>
    <t>18-07-2022</t>
  </si>
  <si>
    <t>ANNEXTURE REQUIRED</t>
  </si>
  <si>
    <t>A056842863</t>
  </si>
  <si>
    <t>Nadia Alam</t>
  </si>
  <si>
    <t>12-04-2001</t>
  </si>
  <si>
    <t>Pan</t>
  </si>
  <si>
    <t>AATPI7607J</t>
  </si>
  <si>
    <t>Mohammad Mustafa</t>
  </si>
  <si>
    <t>Mustafa@1971</t>
  </si>
  <si>
    <t>AZTPB0148A</t>
  </si>
  <si>
    <t>Kanchan Bharti</t>
  </si>
  <si>
    <t>ishan@0404</t>
  </si>
  <si>
    <t>OPA412497063</t>
  </si>
  <si>
    <t>KQR7830243</t>
  </si>
  <si>
    <t>BKPPS4462Q</t>
  </si>
  <si>
    <t>Surendra Prasad Sinha</t>
  </si>
  <si>
    <t>Sinha@2022</t>
  </si>
  <si>
    <t>Aditi</t>
  </si>
  <si>
    <t>A056981529</t>
  </si>
  <si>
    <t>22-10-2002</t>
  </si>
  <si>
    <t>20-07-2022</t>
  </si>
  <si>
    <t>Akash</t>
  </si>
  <si>
    <t>A056982038</t>
  </si>
  <si>
    <t>A056982694</t>
  </si>
  <si>
    <t>Navaneetham</t>
  </si>
  <si>
    <t>10-03-1979</t>
  </si>
  <si>
    <t>05-11-2003</t>
  </si>
  <si>
    <t>Imam Quraishi</t>
  </si>
  <si>
    <t>A056984033</t>
  </si>
  <si>
    <t>A056983561</t>
  </si>
  <si>
    <t>Monika Sahu</t>
  </si>
  <si>
    <t>03-05-1998</t>
  </si>
  <si>
    <t>KQR8210817</t>
  </si>
  <si>
    <t>OLS361368304.</t>
  </si>
  <si>
    <t>Q006149557</t>
  </si>
  <si>
    <t>Tabassum Perveen</t>
  </si>
  <si>
    <t>01-07-1990</t>
  </si>
  <si>
    <t>21-07-2022</t>
  </si>
  <si>
    <t>A057049610</t>
  </si>
  <si>
    <t>Huma Musarrat</t>
  </si>
  <si>
    <t>19-04-1979</t>
  </si>
  <si>
    <t>03-01-1975</t>
  </si>
  <si>
    <t>A057081458</t>
  </si>
  <si>
    <t>Rajsi Mishra</t>
  </si>
  <si>
    <t>Q006155605</t>
  </si>
  <si>
    <t>Mahesh Kumar Tiwary</t>
  </si>
  <si>
    <t>16-11-1964</t>
  </si>
  <si>
    <t>A057049234</t>
  </si>
  <si>
    <t>Sameer Gorai</t>
  </si>
  <si>
    <t>26-06-2003</t>
  </si>
  <si>
    <t>Q006155696</t>
  </si>
  <si>
    <t>Bablu kar</t>
  </si>
  <si>
    <t>07-05-1971</t>
  </si>
  <si>
    <t>OTD462501897</t>
  </si>
  <si>
    <t>LRV1523190</t>
  </si>
  <si>
    <t>AYXPS6721P</t>
  </si>
  <si>
    <t>Sh@rma2022</t>
  </si>
  <si>
    <t>AVWPK1918J</t>
  </si>
  <si>
    <t>CHKPM0638K</t>
  </si>
  <si>
    <t>kumari manisha</t>
  </si>
  <si>
    <t>Manish@2022</t>
  </si>
  <si>
    <t>Q006169086</t>
  </si>
  <si>
    <t>Rani Singh</t>
  </si>
  <si>
    <t>07-08-1983</t>
  </si>
  <si>
    <t>23-07-2022</t>
  </si>
  <si>
    <t>A057157127</t>
  </si>
  <si>
    <t>balvir Kaur Mndley</t>
  </si>
  <si>
    <t>29-05-2004</t>
  </si>
  <si>
    <t>CFTPD3163B</t>
  </si>
  <si>
    <t>TAMOJIT DUTTA</t>
  </si>
  <si>
    <t>BiNOD KUMAR SINGH</t>
  </si>
  <si>
    <t>A057183225</t>
  </si>
  <si>
    <t>Ajay Sandil</t>
  </si>
  <si>
    <t>03-08-2003</t>
  </si>
  <si>
    <t>Sonali Sarkar</t>
  </si>
  <si>
    <t>28-04-1974</t>
  </si>
  <si>
    <t>Q006174286</t>
  </si>
  <si>
    <t>DUNPS4151J</t>
  </si>
  <si>
    <t>A057205317</t>
  </si>
  <si>
    <t>Omkar Mahanta</t>
  </si>
  <si>
    <t>14-10-2003</t>
  </si>
  <si>
    <t>24-07-2022</t>
  </si>
  <si>
    <t>Prashant Bhakat</t>
  </si>
  <si>
    <t>Bh@kat2022</t>
  </si>
  <si>
    <t>Kum@r2022</t>
  </si>
  <si>
    <t>abqpc6852p</t>
  </si>
  <si>
    <t>Stanley Cooke</t>
  </si>
  <si>
    <t>P@wan2022</t>
  </si>
  <si>
    <t>Singh@1956</t>
  </si>
  <si>
    <t>LRV6766968</t>
  </si>
  <si>
    <t>Nikhil Raju Satpute</t>
  </si>
  <si>
    <t>CMVPS9522A</t>
  </si>
  <si>
    <t>Nikhil@1991</t>
  </si>
  <si>
    <t>ALQPB8512K</t>
  </si>
  <si>
    <t>AHOPC8193R</t>
  </si>
  <si>
    <t>Somenath Choudhury</t>
  </si>
  <si>
    <t>AFYPH58661</t>
  </si>
  <si>
    <t>Sita Rani Hessa</t>
  </si>
  <si>
    <t>CRUPS3000H</t>
  </si>
  <si>
    <t>Rajesh Prasad Singh</t>
  </si>
  <si>
    <t>A057326171</t>
  </si>
  <si>
    <t>Prabhjeet Kour</t>
  </si>
  <si>
    <t>BEXPS2096Q</t>
  </si>
  <si>
    <t>PRAB SINGH</t>
  </si>
  <si>
    <t>ACXPS7674K</t>
  </si>
  <si>
    <t>AJAY KUMAR SINGH</t>
  </si>
  <si>
    <t>AVCPD1663K</t>
  </si>
  <si>
    <t>SUKUMAR DAS</t>
  </si>
  <si>
    <t>OXS798395283</t>
  </si>
  <si>
    <t>Pratibha Devi</t>
  </si>
  <si>
    <t>KQR6941462</t>
  </si>
  <si>
    <t>Old Date</t>
  </si>
  <si>
    <t>BDLPM4710L</t>
  </si>
  <si>
    <t>SAGAR KUMAR MAITY</t>
  </si>
  <si>
    <t>ADVPL8292R</t>
  </si>
  <si>
    <t>Rajan Lakra</t>
  </si>
  <si>
    <t>rfnd</t>
  </si>
  <si>
    <t>AADPI0686D</t>
  </si>
  <si>
    <t>Manzar Imam</t>
  </si>
  <si>
    <t>APXPM2237D</t>
  </si>
  <si>
    <t>Alexander Theresa Mery</t>
  </si>
  <si>
    <t>KQR2409845</t>
  </si>
  <si>
    <t>PAD</t>
  </si>
  <si>
    <t>OYB004923828</t>
  </si>
  <si>
    <t>A057353099</t>
  </si>
  <si>
    <t>A057394440</t>
  </si>
  <si>
    <t>Shomya Singh</t>
  </si>
  <si>
    <t>A057394282</t>
  </si>
  <si>
    <t>Shruti Singh</t>
  </si>
  <si>
    <t>A057394097</t>
  </si>
  <si>
    <t>Syed Akbar Ali</t>
  </si>
  <si>
    <t>ATHPK4133C</t>
  </si>
  <si>
    <t>Kantesh@82</t>
  </si>
  <si>
    <t>Kantesh Kumar</t>
  </si>
  <si>
    <t>CSQPS6094E</t>
  </si>
  <si>
    <t>Shankar Sharma</t>
  </si>
  <si>
    <t>linked</t>
  </si>
  <si>
    <t>BGCPM1821R</t>
  </si>
  <si>
    <t>Sanjay Kumar Mishra</t>
  </si>
  <si>
    <t>challan</t>
  </si>
  <si>
    <t>BLFPS7208P</t>
  </si>
  <si>
    <t>Avinash kumar singh</t>
  </si>
  <si>
    <t>Prasad@1963</t>
  </si>
  <si>
    <t>CRIPS5555H</t>
  </si>
  <si>
    <t>Angad Kumar Singh</t>
  </si>
  <si>
    <t>Tesh@1944</t>
  </si>
  <si>
    <t>AATPC5890K</t>
  </si>
  <si>
    <t>Tesh Lal Choudhury</t>
  </si>
  <si>
    <t>ADBPP9999F</t>
  </si>
  <si>
    <t>Parida@2022</t>
  </si>
  <si>
    <t>Arati Parida</t>
  </si>
  <si>
    <t>Arati@1968</t>
  </si>
  <si>
    <t>Q006225659</t>
  </si>
  <si>
    <t>THOMAS Sebastian</t>
  </si>
  <si>
    <t>Q006225416</t>
  </si>
  <si>
    <t>Ajay Kumar</t>
  </si>
  <si>
    <t>A057477637</t>
  </si>
  <si>
    <t>Tanya Sharma</t>
  </si>
  <si>
    <t>FXMPK1680L</t>
  </si>
  <si>
    <t>Pieu@1987</t>
  </si>
  <si>
    <t>EFRPS0481D</t>
  </si>
  <si>
    <t>Sarwan Kumar</t>
  </si>
  <si>
    <t>Sarwan#1993</t>
  </si>
  <si>
    <t>P bhagat</t>
  </si>
  <si>
    <t>Binod@1991</t>
  </si>
  <si>
    <t>Q006236189</t>
  </si>
  <si>
    <t>OCN473129448</t>
  </si>
  <si>
    <t>KQR2114805</t>
  </si>
  <si>
    <t>Samasul Arifan</t>
  </si>
  <si>
    <t>OLM350137553</t>
  </si>
  <si>
    <t>PH</t>
  </si>
  <si>
    <t>HALIMA BEGUN</t>
  </si>
  <si>
    <t>ACUPP9885C</t>
  </si>
  <si>
    <t>Awadh Bihari Pandit</t>
  </si>
  <si>
    <t>Bihari@2022</t>
  </si>
  <si>
    <t>ALJPA7196D</t>
  </si>
  <si>
    <t>Mohammad Ali</t>
  </si>
  <si>
    <t>Mohammad@2022</t>
  </si>
  <si>
    <t>AXDPM3187E</t>
  </si>
  <si>
    <t>Bharat Bhushanb Mishra</t>
  </si>
  <si>
    <t>Mishra@1973</t>
  </si>
  <si>
    <t>17000+</t>
  </si>
  <si>
    <t>15000+</t>
  </si>
  <si>
    <t>CKYPS1769N</t>
  </si>
  <si>
    <t>RASHMI RANJAN SAHOO</t>
  </si>
  <si>
    <t>LINKING</t>
  </si>
  <si>
    <t>CRPPS9588D</t>
  </si>
  <si>
    <t>Q006276543</t>
  </si>
  <si>
    <t>Linked</t>
  </si>
  <si>
    <t>Q006279399</t>
  </si>
  <si>
    <t>Sujit Kumar Bera</t>
  </si>
  <si>
    <t>A057784627</t>
  </si>
  <si>
    <t>Nanini Talari</t>
  </si>
  <si>
    <t>A057773187</t>
  </si>
  <si>
    <t>Deliverd 05-08-22</t>
  </si>
  <si>
    <t>Q006292646</t>
  </si>
  <si>
    <t>OKF803877854</t>
  </si>
  <si>
    <t>S P Chell</t>
  </si>
  <si>
    <t>A057835433</t>
  </si>
  <si>
    <t>Anu Dan</t>
  </si>
  <si>
    <t>Supriyo Barua</t>
  </si>
  <si>
    <t>Q006304782</t>
  </si>
  <si>
    <t>Shervin Anser Joseph</t>
  </si>
  <si>
    <t>shervin_nweb</t>
  </si>
  <si>
    <t>A057946753</t>
  </si>
  <si>
    <t>Kahkashan Eqbal</t>
  </si>
  <si>
    <t>Q006318004</t>
  </si>
  <si>
    <t>Ajeet Kumar</t>
  </si>
  <si>
    <t>A057996044</t>
  </si>
  <si>
    <t>Subojit Ghosh</t>
  </si>
  <si>
    <t>A058024000</t>
  </si>
  <si>
    <t>Sonika Shukla</t>
  </si>
  <si>
    <t>Q006334943</t>
  </si>
  <si>
    <t>Maheshwar Ahir</t>
  </si>
  <si>
    <t>Q006334802</t>
  </si>
  <si>
    <t>Kalawati Ahir</t>
  </si>
  <si>
    <t>A058052119</t>
  </si>
  <si>
    <t>Shiva Lohar</t>
  </si>
  <si>
    <t>A058088502</t>
  </si>
  <si>
    <t>binod Kumar Singh</t>
  </si>
  <si>
    <t>A058068739</t>
  </si>
  <si>
    <t>Mohammed Sajjad</t>
  </si>
  <si>
    <t>A058069564</t>
  </si>
  <si>
    <t>Naseera khatun</t>
  </si>
  <si>
    <t>A058153007</t>
  </si>
  <si>
    <t>Sahil Sharma</t>
  </si>
  <si>
    <t>ALGPG0003J</t>
  </si>
  <si>
    <t>Mohini@2022</t>
  </si>
  <si>
    <t>A058266000</t>
  </si>
  <si>
    <t xml:space="preserve">Mohammad Tabish </t>
  </si>
  <si>
    <t>A058295385</t>
  </si>
  <si>
    <t>Isita Gorai</t>
  </si>
  <si>
    <t>Pradip Kumar mazumdar</t>
  </si>
  <si>
    <t>rergb</t>
  </si>
  <si>
    <t>jh05u0496</t>
  </si>
  <si>
    <t>Q006393091</t>
  </si>
  <si>
    <t>Yaduvansh Pd Sinha</t>
  </si>
  <si>
    <t>Pawan Kumar Barua</t>
  </si>
  <si>
    <t>peri_nweb</t>
  </si>
  <si>
    <t>Peri Seetamma</t>
  </si>
  <si>
    <t>Peri Nagmani</t>
  </si>
  <si>
    <t>Pomangi Madhusudhan</t>
  </si>
  <si>
    <t>Peri Durga Prasad</t>
  </si>
  <si>
    <t>resheduled</t>
  </si>
  <si>
    <t>A058324068</t>
  </si>
  <si>
    <t>PUTUL GHOSH</t>
  </si>
  <si>
    <t>Keshav_nweb</t>
  </si>
  <si>
    <t>Keshav Kumar Thakur</t>
  </si>
  <si>
    <t>at Comport</t>
  </si>
  <si>
    <t>A058394943</t>
  </si>
  <si>
    <t>Q006412988</t>
  </si>
  <si>
    <t>Shweta Kumari</t>
  </si>
  <si>
    <t>A058401889</t>
  </si>
  <si>
    <t>Raisa Parween</t>
  </si>
  <si>
    <t>Q006417935</t>
  </si>
  <si>
    <t>Shivani Kumari</t>
  </si>
  <si>
    <t>A058402343</t>
  </si>
  <si>
    <t>Q006417725</t>
  </si>
  <si>
    <t>AZSPM7811Q</t>
  </si>
  <si>
    <t>Narayan Singh Munda</t>
  </si>
  <si>
    <t>Munda@1976</t>
  </si>
  <si>
    <t>A058575921</t>
  </si>
  <si>
    <t>Izarul Haque</t>
  </si>
  <si>
    <t>A058603496</t>
  </si>
  <si>
    <t>Saziya Anjum</t>
  </si>
  <si>
    <t>MAYANK PRANJAL</t>
  </si>
  <si>
    <t>A058606886</t>
  </si>
  <si>
    <t>OFT431713942</t>
  </si>
  <si>
    <t>Siya Ram Mishra</t>
  </si>
  <si>
    <t>OTR346149047</t>
  </si>
  <si>
    <t>DN</t>
  </si>
  <si>
    <t>KQR3579158</t>
  </si>
  <si>
    <t>Snigdha Princy</t>
  </si>
  <si>
    <t>Devansh Kaushik</t>
  </si>
  <si>
    <t>Minta Devi</t>
  </si>
  <si>
    <t>Santi Kaur</t>
  </si>
  <si>
    <t>Q006467233</t>
  </si>
  <si>
    <t>A058728766</t>
  </si>
  <si>
    <t>A058728229</t>
  </si>
  <si>
    <t>Ankit Srivastava</t>
  </si>
  <si>
    <t>a058727675</t>
  </si>
  <si>
    <t>A058727106</t>
  </si>
  <si>
    <t>A058726225</t>
  </si>
  <si>
    <t>Q006467294</t>
  </si>
  <si>
    <t>A058745757</t>
  </si>
  <si>
    <t>Naima Khatoon</t>
  </si>
  <si>
    <t>Q006473118</t>
  </si>
  <si>
    <t>Balwinder Kour</t>
  </si>
  <si>
    <t>Q006473312</t>
  </si>
  <si>
    <t>Binod Kumar Sharma</t>
  </si>
  <si>
    <t>Q006473225</t>
  </si>
  <si>
    <t>Arvind Kumar</t>
  </si>
  <si>
    <t>A058810095</t>
  </si>
  <si>
    <t>Sujata Roy</t>
  </si>
  <si>
    <t>sujata_nweb</t>
  </si>
  <si>
    <t>Parween shahin</t>
  </si>
  <si>
    <t>A058926532</t>
  </si>
  <si>
    <t>2whlr</t>
  </si>
  <si>
    <t>Q006507629</t>
  </si>
  <si>
    <t>Khurshida Bano</t>
  </si>
  <si>
    <t>Rakhi Pandey</t>
  </si>
  <si>
    <t>A059033139</t>
  </si>
  <si>
    <t>Tushar Kumar</t>
  </si>
  <si>
    <t>Savita Devi</t>
  </si>
  <si>
    <t>A059047920</t>
  </si>
  <si>
    <t>Q006520639</t>
  </si>
  <si>
    <t>Aftab Alam</t>
  </si>
  <si>
    <t>OBS230903581</t>
  </si>
  <si>
    <t>NDP</t>
  </si>
  <si>
    <t>LRV7180052</t>
  </si>
  <si>
    <t>Mohan Mujhi</t>
  </si>
  <si>
    <t>Vara Noka Lakshmi Dadi</t>
  </si>
  <si>
    <t>vara_nweb</t>
  </si>
  <si>
    <t>OMA989139745</t>
  </si>
  <si>
    <t>KQR1912536</t>
  </si>
  <si>
    <t>Mohan mukhi</t>
  </si>
  <si>
    <t>NDPF</t>
  </si>
  <si>
    <t>Q006537338</t>
  </si>
  <si>
    <t>A059177050</t>
  </si>
  <si>
    <t>Noor jhan Begum</t>
  </si>
  <si>
    <t>A059168920</t>
  </si>
  <si>
    <t>Hurlung Lamps Limited</t>
  </si>
  <si>
    <t>SHOP WALA PAN</t>
  </si>
  <si>
    <t>A059180085</t>
  </si>
  <si>
    <t>Mamta Tiwary</t>
  </si>
  <si>
    <t>Q006541142</t>
  </si>
  <si>
    <t>Md Alam Dilshad</t>
  </si>
  <si>
    <t>Q006544890</t>
  </si>
  <si>
    <t>OLA962453394</t>
  </si>
  <si>
    <t>KQR7095904</t>
  </si>
  <si>
    <t>Chittranjan Prasad</t>
  </si>
  <si>
    <t>OWA742482313</t>
  </si>
  <si>
    <t>KQR7095896</t>
  </si>
  <si>
    <t>sunnykumar_nweb</t>
  </si>
  <si>
    <t>Sunny Kumar Singh</t>
  </si>
  <si>
    <t>Q006558592</t>
  </si>
  <si>
    <t>Kavita sharma</t>
  </si>
  <si>
    <t>A059308833</t>
  </si>
  <si>
    <t>A059285383</t>
  </si>
  <si>
    <t>Janhavi Sharma</t>
  </si>
  <si>
    <t>A059309306</t>
  </si>
  <si>
    <t>Poonam Sharma</t>
  </si>
  <si>
    <t>Q006558833</t>
  </si>
  <si>
    <t>Ashish Kumar Mridha</t>
  </si>
  <si>
    <t>Q006558754</t>
  </si>
  <si>
    <t>Q006566445</t>
  </si>
  <si>
    <t>Abu Shoaib</t>
  </si>
  <si>
    <t>A059429436</t>
  </si>
  <si>
    <t>Raju Gounder</t>
  </si>
  <si>
    <t>A059454740</t>
  </si>
  <si>
    <t>Sharmistha Mahato</t>
  </si>
  <si>
    <t>A059445323</t>
  </si>
  <si>
    <t>Dolly Kumari</t>
  </si>
  <si>
    <t>Puja Sharma</t>
  </si>
  <si>
    <t>CAROL MARKAS TOPNO</t>
  </si>
  <si>
    <t>A059528636</t>
  </si>
  <si>
    <t>Ankur Kumarr Tiwary</t>
  </si>
  <si>
    <t>A059511515</t>
  </si>
  <si>
    <t>Shubham Giri</t>
  </si>
  <si>
    <t>Q006604222</t>
  </si>
  <si>
    <t>Babita Singh</t>
  </si>
  <si>
    <t>Pratik Ranjan</t>
  </si>
  <si>
    <t>CSC</t>
  </si>
  <si>
    <t>Rajrani Mukhi</t>
  </si>
  <si>
    <t>Q006613356</t>
  </si>
  <si>
    <t>Mayank Pranjal</t>
  </si>
  <si>
    <t>Nandlal Gorai</t>
  </si>
  <si>
    <t>A059591497</t>
  </si>
  <si>
    <t>OSH935138888</t>
  </si>
  <si>
    <t>KQR2373025</t>
  </si>
  <si>
    <t>Anil Mahato</t>
  </si>
  <si>
    <t>Q006628439</t>
  </si>
  <si>
    <t>Anupama Bagchi</t>
  </si>
  <si>
    <t>Q006628381</t>
  </si>
  <si>
    <t>Prabir Bagchi</t>
  </si>
  <si>
    <t>OYT332458448</t>
  </si>
  <si>
    <t>LRV0279244</t>
  </si>
  <si>
    <t>Pranab Bagchi</t>
  </si>
  <si>
    <t>LRV0279228</t>
  </si>
  <si>
    <t>OLK851308074</t>
  </si>
  <si>
    <t>OKM573309904</t>
  </si>
  <si>
    <t>LRV0279236</t>
  </si>
  <si>
    <t>Anupma Bagchi</t>
  </si>
  <si>
    <t>OGA138535613</t>
  </si>
  <si>
    <t>LRV6606891</t>
  </si>
  <si>
    <t>Raj@2014</t>
  </si>
  <si>
    <t>Q006632337</t>
  </si>
  <si>
    <t>Sufal Mahato</t>
  </si>
  <si>
    <t>Bharti Chakraborty</t>
  </si>
  <si>
    <t>A059808376</t>
  </si>
  <si>
    <t>GIVEN FOR MAIN</t>
  </si>
  <si>
    <t>Shahin Parween</t>
  </si>
  <si>
    <t>OPR567555106</t>
  </si>
  <si>
    <t>LRV2994457</t>
  </si>
  <si>
    <t>Md Zahir</t>
  </si>
  <si>
    <t>PHOTO</t>
  </si>
  <si>
    <t>Deepak Kumar Prasad</t>
  </si>
  <si>
    <t>activated on 17-09-22</t>
  </si>
  <si>
    <t>Arsh Shahid</t>
  </si>
  <si>
    <t>A059861334</t>
  </si>
  <si>
    <t>Q006689638</t>
  </si>
  <si>
    <t>Nusrat Ali</t>
  </si>
  <si>
    <t>Sayon Kundu</t>
  </si>
  <si>
    <t>Q006698791</t>
  </si>
  <si>
    <t>Q006698861</t>
  </si>
  <si>
    <t>Mir Sirajul Ali</t>
  </si>
  <si>
    <t>A060118407</t>
  </si>
  <si>
    <t>Nirupama Hembram</t>
  </si>
  <si>
    <t>Q006721716</t>
  </si>
  <si>
    <t>Amal Kumar Mahato</t>
  </si>
  <si>
    <t>Q006721839</t>
  </si>
  <si>
    <t>Sumit@2022</t>
  </si>
  <si>
    <t>duttasumit522@gmail.com</t>
  </si>
  <si>
    <t>Sumit Enterprises</t>
  </si>
  <si>
    <t>Sumit Dutta</t>
  </si>
  <si>
    <t>OOM150435585</t>
  </si>
  <si>
    <t>LRV6993984</t>
  </si>
  <si>
    <t>Sharada Devi</t>
  </si>
  <si>
    <t>OXL586421898</t>
  </si>
  <si>
    <t>LRV6993950</t>
  </si>
  <si>
    <t>A060336419</t>
  </si>
  <si>
    <t>Lakshmi Hansda</t>
  </si>
  <si>
    <t>A060461138</t>
  </si>
  <si>
    <t>Niyoti Mahato</t>
  </si>
  <si>
    <t>A060454712</t>
  </si>
  <si>
    <t>Mohammad Motallib</t>
  </si>
  <si>
    <t>A060473077</t>
  </si>
  <si>
    <t>A060487379</t>
  </si>
  <si>
    <t>Soina Sahu</t>
  </si>
  <si>
    <t>Nitu Kumari</t>
  </si>
  <si>
    <t>Pankaj Kumar Singh</t>
  </si>
  <si>
    <t>Q006767457</t>
  </si>
  <si>
    <t>A060511597</t>
  </si>
  <si>
    <t>A060561889</t>
  </si>
  <si>
    <t>A060597486</t>
  </si>
  <si>
    <t>Mugli Hansda</t>
  </si>
  <si>
    <t>Q006783224</t>
  </si>
  <si>
    <t>Mudrika Mani Mishra</t>
  </si>
  <si>
    <t>A060616943</t>
  </si>
  <si>
    <t>Ajit Karmakar</t>
  </si>
  <si>
    <t>Nayonica Bhattacharya</t>
  </si>
  <si>
    <t>Rajeev Singh Sardar</t>
  </si>
  <si>
    <t>Q006810064</t>
  </si>
  <si>
    <t>Jitendra Kumar</t>
  </si>
  <si>
    <t>Nadim Ansari</t>
  </si>
  <si>
    <t>A060752704</t>
  </si>
  <si>
    <t>A060836854</t>
  </si>
  <si>
    <t>Bawana Jaya</t>
  </si>
  <si>
    <t>Ananta Ghosh</t>
  </si>
  <si>
    <t>Sislta Shravani</t>
  </si>
  <si>
    <t>Ghosh_nweb</t>
  </si>
  <si>
    <t>A060912521</t>
  </si>
  <si>
    <t>A060894689</t>
  </si>
  <si>
    <t>A060965486</t>
  </si>
  <si>
    <t>Aditya Singh</t>
  </si>
  <si>
    <t>A060972262</t>
  </si>
  <si>
    <t>Rohit Singh</t>
  </si>
  <si>
    <t>A061089978</t>
  </si>
  <si>
    <t>Shakuntala Mahato</t>
  </si>
  <si>
    <t>A061051254</t>
  </si>
  <si>
    <t>Lakhicharan Mahato</t>
  </si>
  <si>
    <t>Q006885885</t>
  </si>
  <si>
    <t>Pasuplate Ravi Kumar</t>
  </si>
  <si>
    <t>Farhan Ashraf</t>
  </si>
  <si>
    <t>BNSPA0021P</t>
  </si>
  <si>
    <t>Photo in wp</t>
  </si>
  <si>
    <t>Q006888790</t>
  </si>
  <si>
    <t>A061197079</t>
  </si>
  <si>
    <t>Nagha Naaz</t>
  </si>
  <si>
    <t>Barun@1971</t>
  </si>
  <si>
    <t>AOGPS6688L</t>
  </si>
  <si>
    <t>A061369909</t>
  </si>
  <si>
    <t>Naziya Fateya</t>
  </si>
  <si>
    <t>VICTOR BHATTACHARYA</t>
  </si>
  <si>
    <t>Sujit Mahato</t>
  </si>
  <si>
    <t>A061408404</t>
  </si>
  <si>
    <t>A061409405</t>
  </si>
  <si>
    <t>A061480715</t>
  </si>
  <si>
    <t>Arman Kumar</t>
  </si>
  <si>
    <t>A061545079</t>
  </si>
  <si>
    <t>Md Shahnawaz Ansari</t>
  </si>
  <si>
    <t>A061564424</t>
  </si>
  <si>
    <t>Ayush Prabhat</t>
  </si>
  <si>
    <t>A061566269</t>
  </si>
  <si>
    <t>Shibani Karmakar</t>
  </si>
  <si>
    <t>Ved Prakash Puri</t>
  </si>
  <si>
    <t>A061585683</t>
  </si>
  <si>
    <t>Budhram Singh Munda</t>
  </si>
  <si>
    <t>Minu Bose</t>
  </si>
  <si>
    <t>rn+A</t>
  </si>
  <si>
    <t>Q006965049</t>
  </si>
  <si>
    <t>Snjay Mondal</t>
  </si>
  <si>
    <t>Naureen Fatma</t>
  </si>
  <si>
    <t>pASSs@2022</t>
  </si>
  <si>
    <t>A061726630</t>
  </si>
  <si>
    <t>akshansh</t>
  </si>
  <si>
    <t>Q006998112</t>
  </si>
  <si>
    <t>Q006998054</t>
  </si>
  <si>
    <t>Latika Mandal</t>
  </si>
  <si>
    <t>JH05 /0027779/2022</t>
  </si>
  <si>
    <t>Q007013719</t>
  </si>
  <si>
    <t>Sarita Joshi</t>
  </si>
  <si>
    <t>A061867464</t>
  </si>
  <si>
    <t>Kahish Manker</t>
  </si>
  <si>
    <t>A061904206</t>
  </si>
  <si>
    <t>Laiba Amash</t>
  </si>
  <si>
    <t>A061921208</t>
  </si>
  <si>
    <t>Karan Sharma</t>
  </si>
  <si>
    <t>A061986201</t>
  </si>
  <si>
    <t>Rounit Singh</t>
  </si>
  <si>
    <t>A061998134</t>
  </si>
  <si>
    <t>Subhankar Mahato</t>
  </si>
  <si>
    <t>at us</t>
  </si>
  <si>
    <t>A062079215</t>
  </si>
  <si>
    <t>Devanand Bandra</t>
  </si>
  <si>
    <t>Q007056913</t>
  </si>
  <si>
    <t>Baliram Singh</t>
  </si>
  <si>
    <t>Q007058570</t>
  </si>
  <si>
    <t>Ashraf Ali</t>
  </si>
  <si>
    <t>Q007063523</t>
  </si>
  <si>
    <t>A062083592</t>
  </si>
  <si>
    <t>Ganti Devi</t>
  </si>
  <si>
    <t>A062144575</t>
  </si>
  <si>
    <t>Manisha Kumari</t>
  </si>
  <si>
    <t>Q007069917</t>
  </si>
  <si>
    <t>Q007058451</t>
  </si>
  <si>
    <t>Satish Sen</t>
  </si>
  <si>
    <t>A062180029</t>
  </si>
  <si>
    <t>Parmeshwari Sardar</t>
  </si>
  <si>
    <t>Q007058154</t>
  </si>
  <si>
    <t>Meena Sen</t>
  </si>
  <si>
    <t>A062226603</t>
  </si>
  <si>
    <t>A062245856</t>
  </si>
  <si>
    <t>Jasbir Kaur Bhumra</t>
  </si>
  <si>
    <t>Q007094395</t>
  </si>
  <si>
    <t>Rinki Rani Gupta</t>
  </si>
  <si>
    <t>A062292741</t>
  </si>
  <si>
    <t>Raju Dhara</t>
  </si>
  <si>
    <t>A062457794</t>
  </si>
  <si>
    <t>Q007126933</t>
  </si>
  <si>
    <t>Ajay Kumar Verma</t>
  </si>
  <si>
    <t>Q007133528</t>
  </si>
  <si>
    <t>Joy Sen Gupta</t>
  </si>
  <si>
    <t>Q007142703</t>
  </si>
  <si>
    <t>Samarpit Roychakrabotry</t>
  </si>
  <si>
    <t>A062550466</t>
  </si>
  <si>
    <t>Pallavi Kumari</t>
  </si>
  <si>
    <t>AP NOT LINKED</t>
  </si>
  <si>
    <t>Tanti@1974$</t>
  </si>
  <si>
    <t>AKNPT9407B</t>
  </si>
  <si>
    <t>Jagdish Tanti</t>
  </si>
  <si>
    <t>Q007169786</t>
  </si>
  <si>
    <t>Brajesh Kumar Singh</t>
  </si>
  <si>
    <t>Q007171182</t>
  </si>
  <si>
    <t>Md Mushtaque Alam</t>
  </si>
  <si>
    <t>Shobha Kiran</t>
  </si>
  <si>
    <t>shobha_nweb</t>
  </si>
  <si>
    <t>A062752428</t>
  </si>
  <si>
    <t>Hritik Kumar</t>
  </si>
  <si>
    <t>Q007197815</t>
  </si>
  <si>
    <t>Amit Murmu</t>
  </si>
  <si>
    <t>Q007198822</t>
  </si>
  <si>
    <t>AIEPC6313L</t>
  </si>
  <si>
    <t>Sanjev Kumar Choudhary</t>
  </si>
  <si>
    <t>Sanjev@1975</t>
  </si>
  <si>
    <t>LL 17-12-2022</t>
  </si>
  <si>
    <t>HNRPK0325P</t>
  </si>
  <si>
    <t>Jy@ti1980</t>
  </si>
  <si>
    <t>LL 26-11-2022</t>
  </si>
  <si>
    <t>Akshay_nweb</t>
  </si>
  <si>
    <t>Akshay Tiwari</t>
  </si>
  <si>
    <t>Payment Due</t>
  </si>
  <si>
    <t>A062946227</t>
  </si>
  <si>
    <t>Ayaan Iqbal</t>
  </si>
  <si>
    <t>A062958119</t>
  </si>
  <si>
    <t>Mohammad Rayyan Shoaib</t>
  </si>
  <si>
    <t>Q007220331</t>
  </si>
  <si>
    <t>Mohinder Kaur</t>
  </si>
  <si>
    <t>A062957693</t>
  </si>
  <si>
    <t>Md Zishan Khan</t>
  </si>
  <si>
    <t>At cmprt</t>
  </si>
  <si>
    <t>A063120553</t>
  </si>
  <si>
    <t>Md Saquib hussain khan</t>
  </si>
  <si>
    <t>Karan_nweb</t>
  </si>
  <si>
    <t>Q007265243</t>
  </si>
  <si>
    <t>Gulam Haider</t>
  </si>
  <si>
    <t>Q007269954</t>
  </si>
  <si>
    <t>Shiva Kumar Pillay</t>
  </si>
  <si>
    <t>No document</t>
  </si>
  <si>
    <t>Q007283338</t>
  </si>
  <si>
    <t>Jitendra Kumar Tiwary</t>
  </si>
  <si>
    <t>Q007283416</t>
  </si>
  <si>
    <t>Shashi Bala Devi</t>
  </si>
  <si>
    <t>A063312651</t>
  </si>
  <si>
    <t>Md Sabir Khan</t>
  </si>
  <si>
    <t>A063407329</t>
  </si>
  <si>
    <t>A063415981</t>
  </si>
  <si>
    <t>Sanju Sinha</t>
  </si>
  <si>
    <t>Ambiya Khan</t>
  </si>
  <si>
    <t>ambiya_nweb</t>
  </si>
  <si>
    <t>A063502114</t>
  </si>
  <si>
    <t>Sanjana Shree</t>
  </si>
  <si>
    <t>A063618043</t>
  </si>
  <si>
    <t>Lupika Guha</t>
  </si>
  <si>
    <t>A063695897</t>
  </si>
  <si>
    <t>Jyotika Sona</t>
  </si>
  <si>
    <t>Q007356198</t>
  </si>
  <si>
    <t>Hira Lal</t>
  </si>
  <si>
    <t>Mypass@2023</t>
  </si>
  <si>
    <t>Arvind Kr Tiwary</t>
  </si>
  <si>
    <t>RNW</t>
  </si>
  <si>
    <t>A063884331</t>
  </si>
  <si>
    <t>akash23_nweb</t>
  </si>
  <si>
    <t>A063903080</t>
  </si>
  <si>
    <t>Manu Gorai</t>
  </si>
  <si>
    <t>A063907015</t>
  </si>
  <si>
    <t>Farhan Khan</t>
  </si>
  <si>
    <t>Sabiha Khatoon</t>
  </si>
  <si>
    <t>A063934130</t>
  </si>
  <si>
    <t>A063934579</t>
  </si>
  <si>
    <t>Sinu Reddy</t>
  </si>
  <si>
    <t>Md Saquib Hussain Khan</t>
  </si>
  <si>
    <t>Ritu Kumari Rahelu</t>
  </si>
  <si>
    <t>ritu_nweb</t>
  </si>
  <si>
    <t>A064053629</t>
  </si>
  <si>
    <t>Farah Naaz</t>
  </si>
  <si>
    <t>Q007425818</t>
  </si>
  <si>
    <t>Anurag Sharan</t>
  </si>
  <si>
    <t>A064168159</t>
  </si>
  <si>
    <t>Sabita Mahato</t>
  </si>
  <si>
    <t>A064289766</t>
  </si>
  <si>
    <t>Q007454027</t>
  </si>
  <si>
    <t>Sumona Bhattchrjee</t>
  </si>
  <si>
    <t>BPLPK9545P</t>
  </si>
  <si>
    <t>Babita@1974</t>
  </si>
  <si>
    <t>A064323988</t>
  </si>
  <si>
    <t>Md Sharique</t>
  </si>
  <si>
    <t>A064291491</t>
  </si>
  <si>
    <t>A064334354</t>
  </si>
  <si>
    <t>Varsha Gupta</t>
  </si>
  <si>
    <t>A064430024</t>
  </si>
  <si>
    <t>Mira Devi</t>
  </si>
  <si>
    <t>Ao64901945</t>
  </si>
  <si>
    <t>Suraj Gorai</t>
  </si>
  <si>
    <t>A064902423</t>
  </si>
  <si>
    <t>Nazia Firdos</t>
  </si>
  <si>
    <t>Surinder Kaur</t>
  </si>
  <si>
    <t>A064916379</t>
  </si>
  <si>
    <t>A064971881</t>
  </si>
  <si>
    <t>Amisha Kumari</t>
  </si>
  <si>
    <t>Q007583956</t>
  </si>
  <si>
    <t>Suresh Kumar Sharma</t>
  </si>
  <si>
    <t>A064971561</t>
  </si>
  <si>
    <t>Khushi Mahato</t>
  </si>
  <si>
    <t>kumarichaman545@gmail.com</t>
  </si>
  <si>
    <t>Shop@2023</t>
  </si>
  <si>
    <t>sri sai Traders</t>
  </si>
  <si>
    <t>A065086098</t>
  </si>
  <si>
    <t>Sharda Kumari</t>
  </si>
  <si>
    <t>Q007602368</t>
  </si>
  <si>
    <t>Manzoor Khan</t>
  </si>
  <si>
    <t>Q007604128</t>
  </si>
  <si>
    <t>Rohit Loar</t>
  </si>
  <si>
    <t>A065080738</t>
  </si>
  <si>
    <t xml:space="preserve">wrong photo Uploaded </t>
  </si>
  <si>
    <t>Sangeeta Mahanta</t>
  </si>
  <si>
    <t>A065166783</t>
  </si>
  <si>
    <t>Q007618032</t>
  </si>
  <si>
    <t>A065216620</t>
  </si>
  <si>
    <t>Pinky Singh</t>
  </si>
  <si>
    <t>Q007631210</t>
  </si>
  <si>
    <t>Neralla Krishna Murty</t>
  </si>
  <si>
    <t>Dulal Mahato</t>
  </si>
  <si>
    <t>Mani MalaTiwary</t>
  </si>
  <si>
    <t>Soma Rani Mitra</t>
  </si>
  <si>
    <t>Q007638998</t>
  </si>
  <si>
    <t>Q007638905</t>
  </si>
  <si>
    <t>Tarak Nath Mitra</t>
  </si>
  <si>
    <t>Nilima Tudu</t>
  </si>
  <si>
    <t>A065298993</t>
  </si>
  <si>
    <t>Amar Nath Chanda</t>
  </si>
  <si>
    <t>renew+r</t>
  </si>
  <si>
    <t>four</t>
  </si>
  <si>
    <t>dasv40923@gmail.com</t>
  </si>
  <si>
    <t>Sharda Vastralaya</t>
  </si>
  <si>
    <t>Mohammad Naushad</t>
  </si>
  <si>
    <t>Q007692955</t>
  </si>
  <si>
    <t>Rahul Birnat</t>
  </si>
  <si>
    <t>Q007673900</t>
  </si>
  <si>
    <t>A065652034</t>
  </si>
  <si>
    <t>photo done</t>
  </si>
  <si>
    <t>A065852347</t>
  </si>
  <si>
    <t>A065803808</t>
  </si>
  <si>
    <t>Q007724480</t>
  </si>
  <si>
    <t>Najare Imam</t>
  </si>
  <si>
    <t>Mallika Gorai</t>
  </si>
  <si>
    <t>Ravikant Singh</t>
  </si>
  <si>
    <t>A065980867</t>
  </si>
  <si>
    <t>Usha Verma</t>
  </si>
  <si>
    <t>Abhay Kumar Mishra</t>
  </si>
  <si>
    <t>Rahul</t>
  </si>
  <si>
    <t>Q007780978</t>
  </si>
  <si>
    <t>Q007795689</t>
  </si>
  <si>
    <t>A066191171</t>
  </si>
  <si>
    <t>Siddhartha Sharma</t>
  </si>
  <si>
    <t>A066349469</t>
  </si>
  <si>
    <t>Sayra Khatoon</t>
  </si>
  <si>
    <t>Q007835293</t>
  </si>
  <si>
    <t>transfer</t>
  </si>
  <si>
    <t>Sukra Mahato</t>
  </si>
  <si>
    <t>rcpt</t>
  </si>
  <si>
    <t>Mohammad Salamat Uddin</t>
  </si>
  <si>
    <t>salamat_nweb</t>
  </si>
  <si>
    <t>Priyojoy Mahato</t>
  </si>
  <si>
    <t>A066507615</t>
  </si>
  <si>
    <t>Aisha Naaz</t>
  </si>
  <si>
    <t>Q007868159</t>
  </si>
  <si>
    <t>Sunny Bharti</t>
  </si>
  <si>
    <t>Mohammad Akhtar</t>
  </si>
  <si>
    <t>akhtar_nweb</t>
  </si>
  <si>
    <t>Bharat Kumar Thakur</t>
  </si>
  <si>
    <t>A066579124</t>
  </si>
  <si>
    <t>Subhadra Mahato</t>
  </si>
  <si>
    <t>Q007887101</t>
  </si>
  <si>
    <t>Usha Rani Bhagat</t>
  </si>
  <si>
    <t>Shwet Kumar</t>
  </si>
  <si>
    <t>Q007890770</t>
  </si>
  <si>
    <t>Sanjay Kamat</t>
  </si>
  <si>
    <t>Bijay Choudhary</t>
  </si>
  <si>
    <t>A066740197</t>
  </si>
  <si>
    <t>Kanchen Bhagat Rani</t>
  </si>
  <si>
    <t>A066762458</t>
  </si>
  <si>
    <t>Sushma Devi</t>
  </si>
  <si>
    <t>NISE COMPORT Adress</t>
  </si>
  <si>
    <t>Lata Srivastav</t>
  </si>
  <si>
    <t>AloK Bhiya</t>
  </si>
  <si>
    <t>A066910027</t>
  </si>
  <si>
    <t>Ananya Sarkar</t>
  </si>
  <si>
    <t>A066909114</t>
  </si>
  <si>
    <t>Jharna Sarkar</t>
  </si>
  <si>
    <t>A066979831</t>
  </si>
  <si>
    <t>Seema Munda</t>
  </si>
  <si>
    <t>APPLIED FOR MAIN</t>
  </si>
  <si>
    <t>Q007974069</t>
  </si>
  <si>
    <t>Sudhangshu Sekhar Sen</t>
  </si>
  <si>
    <t>Sajda Quamar</t>
  </si>
  <si>
    <t>Rahila Khanam</t>
  </si>
  <si>
    <t>A067195139</t>
  </si>
  <si>
    <t>A067266393</t>
  </si>
  <si>
    <t>Sadhan Gorai</t>
  </si>
  <si>
    <t>Rabia Hassan Khan</t>
  </si>
  <si>
    <t>Sohail Ahmad Khan</t>
  </si>
  <si>
    <t>Danish Ahmad Khan</t>
  </si>
  <si>
    <t>Mubashir ahmad khan</t>
  </si>
  <si>
    <t>Furqan Ahmad Khan</t>
  </si>
  <si>
    <t>Q008028767</t>
  </si>
  <si>
    <t>Pratima Majhi</t>
  </si>
  <si>
    <t>Q008029788</t>
  </si>
  <si>
    <t>A067345647</t>
  </si>
  <si>
    <t>Saima Perween</t>
  </si>
  <si>
    <t>Q008072621</t>
  </si>
  <si>
    <t>Jasbinder Singh</t>
  </si>
  <si>
    <t>Q008074566</t>
  </si>
  <si>
    <t>Sab_nweb</t>
  </si>
  <si>
    <t>Sabreen Perveen</t>
  </si>
  <si>
    <t>Q008101866</t>
  </si>
  <si>
    <t>A067705115</t>
  </si>
  <si>
    <t>Shakuntala Garain</t>
  </si>
  <si>
    <t>A067699866</t>
  </si>
  <si>
    <t>A067728426</t>
  </si>
  <si>
    <t>Reshma Parveen</t>
  </si>
  <si>
    <t>A067830157</t>
  </si>
  <si>
    <t>Afreen Praveen</t>
  </si>
  <si>
    <t>A067910657</t>
  </si>
  <si>
    <t>Vinita Devi</t>
  </si>
  <si>
    <t>A067934669</t>
  </si>
  <si>
    <t>Lakkhi Gorai</t>
  </si>
  <si>
    <t>Q008140976</t>
  </si>
  <si>
    <t>Nasina Raju</t>
  </si>
  <si>
    <t>A067997066</t>
  </si>
  <si>
    <t>Riya Srivastava</t>
  </si>
  <si>
    <t>A067997694</t>
  </si>
  <si>
    <t>Indronil Biswas</t>
  </si>
  <si>
    <t xml:space="preserve">Arindam </t>
  </si>
  <si>
    <t>A067995831</t>
  </si>
  <si>
    <t>Q008151578</t>
  </si>
  <si>
    <t>ZAHID EQUBAL AKHTAR</t>
  </si>
  <si>
    <t>Q007996993</t>
  </si>
  <si>
    <t>A068277944</t>
  </si>
  <si>
    <t>Ritu Rani Mahato</t>
  </si>
  <si>
    <t>fiven for main</t>
  </si>
  <si>
    <t>A068299671</t>
  </si>
  <si>
    <t>Sonu Tantubai</t>
  </si>
  <si>
    <t>a068330633</t>
  </si>
  <si>
    <t>Tripti Mallick</t>
  </si>
  <si>
    <t>A068331294</t>
  </si>
  <si>
    <t>Tayyaba Khatoon</t>
  </si>
  <si>
    <t>A068360497</t>
  </si>
  <si>
    <t>Q008251361</t>
  </si>
  <si>
    <t>Md Jiyarul Ali Ansari</t>
  </si>
  <si>
    <t>Alok Nath Saha</t>
  </si>
  <si>
    <t>Q008250722</t>
  </si>
  <si>
    <t>A068422337</t>
  </si>
  <si>
    <t>Ritik Kumar</t>
  </si>
  <si>
    <t>Ojayfa Tanbir</t>
  </si>
  <si>
    <t>A068424528</t>
  </si>
  <si>
    <t>Q008258018</t>
  </si>
  <si>
    <t>Md Islam</t>
  </si>
  <si>
    <t>Q008264602</t>
  </si>
  <si>
    <t>Nirmal Dey</t>
  </si>
  <si>
    <t>Q008275788</t>
  </si>
  <si>
    <t>Q008273643</t>
  </si>
  <si>
    <t>Ramkishun Yadav</t>
  </si>
  <si>
    <t>Q008318217</t>
  </si>
  <si>
    <t>Md Azad</t>
  </si>
  <si>
    <t>A068696082</t>
  </si>
  <si>
    <t>Narun Nisha</t>
  </si>
  <si>
    <t>Q008331401</t>
  </si>
  <si>
    <t>Sumit Kumar Maity</t>
  </si>
  <si>
    <t>Q008334473</t>
  </si>
  <si>
    <t>Rizwan Ahmad Khan</t>
  </si>
  <si>
    <t>Laljee prasad sharma</t>
  </si>
  <si>
    <t>Aaradhya prasad</t>
  </si>
  <si>
    <t>prasad_nweb</t>
  </si>
  <si>
    <t>Q008343373</t>
  </si>
  <si>
    <t>Aanchal Anand</t>
  </si>
  <si>
    <t>Kabita Mahato</t>
  </si>
  <si>
    <t>A068728716</t>
  </si>
  <si>
    <t>Q008372169</t>
  </si>
  <si>
    <t>Rani Hansda</t>
  </si>
  <si>
    <t>Sarnestha Ghanty</t>
  </si>
  <si>
    <t>Q008370264</t>
  </si>
  <si>
    <t>Q008389221</t>
  </si>
  <si>
    <t>Q008391559</t>
  </si>
  <si>
    <t>Gurdev Singh</t>
  </si>
  <si>
    <t>A068872825</t>
  </si>
  <si>
    <t>Bijendra Sharma</t>
  </si>
  <si>
    <t>Q008416713</t>
  </si>
  <si>
    <t>Abu Zohra</t>
  </si>
  <si>
    <t>Q008421818</t>
  </si>
  <si>
    <t>Simrat Kaur</t>
  </si>
  <si>
    <t>Q008445098</t>
  </si>
  <si>
    <t>Raju Biswas</t>
  </si>
  <si>
    <t>Tanuja Jha</t>
  </si>
  <si>
    <t>A069078754</t>
  </si>
  <si>
    <t>Bubun Mahapatra</t>
  </si>
  <si>
    <t>Q008468136</t>
  </si>
  <si>
    <t>Shabnam Parween</t>
  </si>
  <si>
    <t>A069170480</t>
  </si>
  <si>
    <t>Jamuna Thakur</t>
  </si>
  <si>
    <t>Q008505175</t>
  </si>
  <si>
    <t>JyotiR Moy Das</t>
  </si>
  <si>
    <t>Q008531017</t>
  </si>
  <si>
    <t>Madhu Sudan Tiwary</t>
  </si>
  <si>
    <t>Q008531054</t>
  </si>
  <si>
    <t>Polamarasetti Ashwini</t>
  </si>
  <si>
    <t>Q008528628</t>
  </si>
  <si>
    <t>imtiaz Akhtar</t>
  </si>
  <si>
    <t>A069263383</t>
  </si>
  <si>
    <t>Juni Sardar</t>
  </si>
  <si>
    <t>Q008536914</t>
  </si>
  <si>
    <t>Ramesh Thakur</t>
  </si>
  <si>
    <t>Q008538523</t>
  </si>
  <si>
    <t>Q008532100</t>
  </si>
  <si>
    <t>Shankar Bhadra</t>
  </si>
  <si>
    <t>A069292017</t>
  </si>
  <si>
    <t>Sunita Sharma</t>
  </si>
  <si>
    <t>ADITYA_NWEB23</t>
  </si>
  <si>
    <t>jamshedpur</t>
  </si>
  <si>
    <t>Q008553946</t>
  </si>
  <si>
    <t>Antima Kumari</t>
  </si>
  <si>
    <t>Q008581018</t>
  </si>
  <si>
    <t>Q008573838</t>
  </si>
  <si>
    <t>Kamala Devi</t>
  </si>
  <si>
    <t>Merajuddin Khan</t>
  </si>
  <si>
    <t>Q008571639</t>
  </si>
  <si>
    <t>A069374383</t>
  </si>
  <si>
    <t>Arpita Tiwary</t>
  </si>
  <si>
    <t>A069394553</t>
  </si>
  <si>
    <t>Q008580946</t>
  </si>
  <si>
    <t>Abhilash Mahato</t>
  </si>
  <si>
    <t>Sandhya Ghoshal</t>
  </si>
  <si>
    <t>Q008580683</t>
  </si>
  <si>
    <t>Q008574555</t>
  </si>
  <si>
    <t>Suresh Ram</t>
  </si>
  <si>
    <t>A069454061</t>
  </si>
  <si>
    <t>Bisseshwer Sharma</t>
  </si>
  <si>
    <t>A069540630</t>
  </si>
  <si>
    <t>Arind Kumar Pandey</t>
  </si>
  <si>
    <t>Shashi Dhar Mouli Karan</t>
  </si>
  <si>
    <t>Q008641615</t>
  </si>
  <si>
    <t>A069523914</t>
  </si>
  <si>
    <t>Aatish Verma</t>
  </si>
  <si>
    <t>Rajendra Prasad Gupta</t>
  </si>
  <si>
    <t>Q008647142</t>
  </si>
  <si>
    <t>A069491836</t>
  </si>
  <si>
    <t>Bela Pramanik</t>
  </si>
  <si>
    <t>A069629738</t>
  </si>
  <si>
    <t>Mohammad Affan</t>
  </si>
  <si>
    <t>A069642188</t>
  </si>
  <si>
    <t>A069690820</t>
  </si>
  <si>
    <t>Simran Sahu</t>
  </si>
  <si>
    <t>Q008671477</t>
  </si>
  <si>
    <t>Rajashree Biswas</t>
  </si>
  <si>
    <t>Q008723199</t>
  </si>
  <si>
    <t>Ashok Mahato</t>
  </si>
  <si>
    <t>Q008723509</t>
  </si>
  <si>
    <t>Q008720082</t>
  </si>
  <si>
    <t>Rupesh Rout</t>
  </si>
  <si>
    <t>Q008724717</t>
  </si>
  <si>
    <t>Harish Chandra bera</t>
  </si>
  <si>
    <t>Mohammad Anishur Rahman</t>
  </si>
  <si>
    <t>Q008735276</t>
  </si>
  <si>
    <t>Md Shahnawaz Aamir</t>
  </si>
  <si>
    <t>Q008731246</t>
  </si>
  <si>
    <t>Q008764998</t>
  </si>
  <si>
    <t>A069887714</t>
  </si>
  <si>
    <t>Menka Dhibar</t>
  </si>
  <si>
    <t>Q008774266</t>
  </si>
  <si>
    <t>Q008781786</t>
  </si>
  <si>
    <t>Mohammad Ziaur Rahman</t>
  </si>
  <si>
    <t>Q008782678</t>
  </si>
  <si>
    <t>Q008791386</t>
  </si>
  <si>
    <t>Q008792540</t>
  </si>
  <si>
    <t>Sajda Khatoon</t>
  </si>
  <si>
    <t>A069711726</t>
  </si>
  <si>
    <t>Q008825346</t>
  </si>
  <si>
    <t>Arbind Kumar Bharti</t>
  </si>
  <si>
    <t>A070080745</t>
  </si>
  <si>
    <t>A070084697</t>
  </si>
  <si>
    <t>Sandhya Rani Giri</t>
  </si>
  <si>
    <t>endorse</t>
  </si>
  <si>
    <t>Pranab Nand Paul</t>
  </si>
  <si>
    <t>dup RC</t>
  </si>
  <si>
    <t>orignl pan + uid</t>
  </si>
  <si>
    <t>Q008832970</t>
  </si>
  <si>
    <t>Baljeet Kaur</t>
  </si>
  <si>
    <t>Q008846122</t>
  </si>
  <si>
    <t>Arpita Chandra</t>
  </si>
  <si>
    <t>Q008870143</t>
  </si>
  <si>
    <t>Vikash Kumar Bhagat</t>
  </si>
  <si>
    <t>A070256335</t>
  </si>
  <si>
    <t>Wajda Mehboob Ansari</t>
  </si>
  <si>
    <t>nweb_ANSARI</t>
  </si>
  <si>
    <t>Mohammad Mehboob Ansari</t>
  </si>
  <si>
    <t>Sukanta Kumar Dutta</t>
  </si>
  <si>
    <t>reneal _removal</t>
  </si>
  <si>
    <t>Ram Bhaju Sah</t>
  </si>
  <si>
    <t>Q008893225</t>
  </si>
  <si>
    <t>A070376652</t>
  </si>
  <si>
    <t>kavita thakur</t>
  </si>
  <si>
    <t>Q008905336</t>
  </si>
  <si>
    <t>Manoj Prasad</t>
  </si>
  <si>
    <t>Q008905165</t>
  </si>
  <si>
    <t>delivered 07-04-2023</t>
  </si>
  <si>
    <t>Md Mumtaz Ansari</t>
  </si>
  <si>
    <t>mumtaz_nweb</t>
  </si>
  <si>
    <t>JAMSHED ALI ANSARI</t>
  </si>
  <si>
    <t>dl recvd</t>
  </si>
  <si>
    <t>deliverd 08-04-2023</t>
  </si>
  <si>
    <t>A070519998</t>
  </si>
  <si>
    <t>Lakhi Mani Lohar</t>
  </si>
  <si>
    <t>Q008941883</t>
  </si>
  <si>
    <t>Jamuna Biswas</t>
  </si>
  <si>
    <t>Q008941369</t>
  </si>
  <si>
    <t>Randhir Singh</t>
  </si>
  <si>
    <t>A070544359</t>
  </si>
  <si>
    <t>Ayush Kumar Sharma</t>
  </si>
  <si>
    <t>Q008963241</t>
  </si>
  <si>
    <t>Sushanta Sahu</t>
  </si>
  <si>
    <t>A070682875</t>
  </si>
  <si>
    <t>Shanti Munda</t>
  </si>
  <si>
    <t>A070687004</t>
  </si>
  <si>
    <t>Q008995519</t>
  </si>
  <si>
    <t>MONDAKINI TRIPATHY</t>
  </si>
  <si>
    <t>Q009004805</t>
  </si>
  <si>
    <t>Bidhan Chandra Sarkar</t>
  </si>
  <si>
    <t>Q009013456</t>
  </si>
  <si>
    <t>Jema Melgandi</t>
  </si>
  <si>
    <t>Q009013706</t>
  </si>
  <si>
    <t>Suranjeet Kumar Singh</t>
  </si>
  <si>
    <t>A070883399</t>
  </si>
  <si>
    <t>Q009041354</t>
  </si>
  <si>
    <t>Damodar Thakur</t>
  </si>
  <si>
    <t>Q009053659</t>
  </si>
  <si>
    <t>Shaikh Wasim</t>
  </si>
  <si>
    <t>A070939115</t>
  </si>
  <si>
    <t>Subham Pal</t>
  </si>
  <si>
    <t>RN</t>
  </si>
  <si>
    <t>Q009062334</t>
  </si>
  <si>
    <t>Sachikant Sahoo</t>
  </si>
  <si>
    <t>A071001505</t>
  </si>
  <si>
    <t>Putul Adak</t>
  </si>
  <si>
    <t>Q009069226</t>
  </si>
  <si>
    <t>Lal Babu Sah</t>
  </si>
  <si>
    <t>Q009068948</t>
  </si>
  <si>
    <t>Pronob Kumar Ghanty</t>
  </si>
  <si>
    <t>A070999016</t>
  </si>
  <si>
    <t>A071021282</t>
  </si>
  <si>
    <t>Gita Patro</t>
  </si>
  <si>
    <t>A071052190</t>
  </si>
  <si>
    <t>Abhishek Ranjan</t>
  </si>
  <si>
    <t>Vishnavi Kumari</t>
  </si>
  <si>
    <t>Q009090537</t>
  </si>
  <si>
    <t>Ashish Kumar Mondal</t>
  </si>
  <si>
    <t>A071127710</t>
  </si>
  <si>
    <t>Q009101205</t>
  </si>
  <si>
    <t>Shiv Kumar</t>
  </si>
  <si>
    <t>A071093931</t>
  </si>
  <si>
    <t>Robbari Singh</t>
  </si>
  <si>
    <t>Q009120290</t>
  </si>
  <si>
    <t>Rajesh Kumar Ojha</t>
  </si>
  <si>
    <t>Q009121364</t>
  </si>
  <si>
    <t>Sanjeev Kumar Das</t>
  </si>
  <si>
    <t>Rajat Kanti Biswas</t>
  </si>
  <si>
    <t>rn</t>
  </si>
  <si>
    <t>A071417249</t>
  </si>
  <si>
    <t>Piyushi Das</t>
  </si>
  <si>
    <t>Q009172722</t>
  </si>
  <si>
    <t>A071378835</t>
  </si>
  <si>
    <t>Sohan Pan</t>
  </si>
  <si>
    <t>A071506290</t>
  </si>
  <si>
    <t>A071512282</t>
  </si>
  <si>
    <t>Saraswati Mukhi</t>
  </si>
  <si>
    <t>Q009196325</t>
  </si>
  <si>
    <t>A071610842</t>
  </si>
  <si>
    <t>Vivek Kuri</t>
  </si>
  <si>
    <t>A071607457</t>
  </si>
  <si>
    <t>Noorain Khatoon</t>
  </si>
  <si>
    <t>A071770195</t>
  </si>
  <si>
    <t>Jahan Ara</t>
  </si>
  <si>
    <t>A071755249</t>
  </si>
  <si>
    <t>Tausif Alam</t>
  </si>
  <si>
    <t>A071745671</t>
  </si>
  <si>
    <t>Q009257845</t>
  </si>
  <si>
    <t>Binod Kumra Singh</t>
  </si>
  <si>
    <t>Irteza Karim Ansari</t>
  </si>
  <si>
    <t>A071883088</t>
  </si>
  <si>
    <t>Srijan Bhattacharya</t>
  </si>
  <si>
    <t>Nupur bhandari</t>
  </si>
  <si>
    <t>A071819146</t>
  </si>
  <si>
    <t>Sakti pada Nandi</t>
  </si>
  <si>
    <t>A071904598</t>
  </si>
  <si>
    <t>Q009297447</t>
  </si>
  <si>
    <t>Q009308461</t>
  </si>
  <si>
    <t>A071988764</t>
  </si>
  <si>
    <t>ANURAG BOSE</t>
  </si>
  <si>
    <t>q009315004</t>
  </si>
  <si>
    <t>Margina Khatoon</t>
  </si>
  <si>
    <t>Q009310189</t>
  </si>
  <si>
    <t>Sandeep Singh</t>
  </si>
  <si>
    <t>Q009321110</t>
  </si>
  <si>
    <t>Shamsher Khan</t>
  </si>
  <si>
    <t>Q009321951</t>
  </si>
  <si>
    <t>Sarbani Das Gupta</t>
  </si>
  <si>
    <t>Brihaspati Gorai</t>
  </si>
  <si>
    <t>A072040813</t>
  </si>
  <si>
    <t>Aditi Sharma</t>
  </si>
  <si>
    <t>A072041906</t>
  </si>
  <si>
    <t>Shyam Pada Pani</t>
  </si>
  <si>
    <t>Q009326325</t>
  </si>
  <si>
    <t>Q009314346</t>
  </si>
  <si>
    <t>Q009335710</t>
  </si>
  <si>
    <t>Dhananjay Kumar Giri</t>
  </si>
  <si>
    <t>Q009349604</t>
  </si>
  <si>
    <t>Q009359480</t>
  </si>
  <si>
    <t>Parwez Akhtar</t>
  </si>
  <si>
    <t>Q009358497</t>
  </si>
  <si>
    <t>Arun Kumar Sharma</t>
  </si>
  <si>
    <t>Q009361151</t>
  </si>
  <si>
    <t>Q009360565</t>
  </si>
  <si>
    <t>A072205054</t>
  </si>
  <si>
    <t>Shreya Vashist</t>
  </si>
  <si>
    <t>A072227439</t>
  </si>
  <si>
    <t>Prachi Kumari</t>
  </si>
  <si>
    <t>A072256376</t>
  </si>
  <si>
    <t>Arnav Mal</t>
  </si>
  <si>
    <t>Nilam Choudhary</t>
  </si>
  <si>
    <t>Q00934496</t>
  </si>
  <si>
    <t>A072281399</t>
  </si>
  <si>
    <t>Ashit Raj</t>
  </si>
  <si>
    <t>Sanjay kumar srivastava</t>
  </si>
  <si>
    <t>Q009381143</t>
  </si>
  <si>
    <t>Q009381450</t>
  </si>
  <si>
    <t>Ruhi Kumari</t>
  </si>
  <si>
    <t>Q009385649</t>
  </si>
  <si>
    <t>Q009396765</t>
  </si>
  <si>
    <t>Sanjay Kumar Das</t>
  </si>
  <si>
    <t>A072360594</t>
  </si>
  <si>
    <t>Sayandeep Das</t>
  </si>
  <si>
    <t>Santosh Kumar Giri</t>
  </si>
  <si>
    <t>Q009405064</t>
  </si>
  <si>
    <t>Anurag Mishra</t>
  </si>
  <si>
    <t>A072432332</t>
  </si>
  <si>
    <t>Kartikey Gupta</t>
  </si>
  <si>
    <t>Q009422179</t>
  </si>
  <si>
    <t>Mukesh Kumar Gupta</t>
  </si>
  <si>
    <t>Q009180775</t>
  </si>
  <si>
    <t>Sujit kumar kar</t>
  </si>
  <si>
    <t>Q009437709</t>
  </si>
  <si>
    <t>Sarada Devi</t>
  </si>
  <si>
    <t>Q009442328</t>
  </si>
  <si>
    <t>Sahil Prasad</t>
  </si>
  <si>
    <t>A072584010</t>
  </si>
  <si>
    <t>Q009450393</t>
  </si>
  <si>
    <t>Ka,ona Kanjilal</t>
  </si>
  <si>
    <t>Q009456604</t>
  </si>
  <si>
    <t>A072601651</t>
  </si>
  <si>
    <t>Md Modassir Khan</t>
  </si>
  <si>
    <t>Q009457047</t>
  </si>
  <si>
    <t>NIMAI KANTI GHOSH</t>
  </si>
  <si>
    <t>Q009463924</t>
  </si>
  <si>
    <t>Tapeshwar Kumar Singh</t>
  </si>
  <si>
    <t>Q009464039</t>
  </si>
  <si>
    <t>Kamlesh Devi</t>
  </si>
  <si>
    <t>Q009467805</t>
  </si>
  <si>
    <t>Maya Sagar Thapa</t>
  </si>
  <si>
    <t>A072684314</t>
  </si>
  <si>
    <t>Priyanka Mahato</t>
  </si>
  <si>
    <t>Shayak Ghosh</t>
  </si>
  <si>
    <t>shayak_nweb</t>
  </si>
  <si>
    <t>Mypass@23</t>
  </si>
  <si>
    <t>Q009485018</t>
  </si>
  <si>
    <t>Md Nushad</t>
  </si>
  <si>
    <t>A072712623</t>
  </si>
  <si>
    <t>Saheb Singh Sandhu</t>
  </si>
  <si>
    <t>Q009467022</t>
  </si>
  <si>
    <t>Ram Naresh Singh</t>
  </si>
  <si>
    <t>Q009489680</t>
  </si>
  <si>
    <t>Q009490742</t>
  </si>
  <si>
    <t>Ranbir Kumar</t>
  </si>
  <si>
    <t>shantanu chowdhury</t>
  </si>
  <si>
    <t>A072794439</t>
  </si>
  <si>
    <t>Mina Ugursandi</t>
  </si>
  <si>
    <t>Q009500509</t>
  </si>
  <si>
    <t>Sudipta Karmakar</t>
  </si>
  <si>
    <t>A072821819</t>
  </si>
  <si>
    <t>Aasma Tabassum</t>
  </si>
  <si>
    <t>Prachi Singh</t>
  </si>
  <si>
    <t>Q009509511</t>
  </si>
  <si>
    <t>Rajnish Dwivedi</t>
  </si>
  <si>
    <t>Vikash Kumar Ram</t>
  </si>
  <si>
    <t>Q009522002</t>
  </si>
  <si>
    <t>Md Naseem</t>
  </si>
  <si>
    <t>A072891076</t>
  </si>
  <si>
    <t>Khusbu Mahato</t>
  </si>
  <si>
    <t>A072916173</t>
  </si>
  <si>
    <t>Q009534102</t>
  </si>
  <si>
    <t>Shree Krishna Sharma</t>
  </si>
  <si>
    <t>A072952038</t>
  </si>
  <si>
    <t>Aditya Kumar Sharma</t>
  </si>
  <si>
    <t>A072957106</t>
  </si>
  <si>
    <t>Khusboo Bindhani</t>
  </si>
  <si>
    <t>A073007105</t>
  </si>
  <si>
    <t>Owais Ahmad Sharfi</t>
  </si>
  <si>
    <t>Sanjay Raj Bhar</t>
  </si>
  <si>
    <t>Q009563714</t>
  </si>
  <si>
    <t>Q009563884</t>
  </si>
  <si>
    <t>Bennuri Suresh</t>
  </si>
  <si>
    <t>Q009564963</t>
  </si>
  <si>
    <t>Umesh Chandra Patel</t>
  </si>
  <si>
    <t>A073096218</t>
  </si>
  <si>
    <t>Subendu Gorai</t>
  </si>
  <si>
    <t>Shahnaz khatoon</t>
  </si>
  <si>
    <t>Q009578883</t>
  </si>
  <si>
    <t>Naiyar Rahman Khan</t>
  </si>
  <si>
    <t>Q009582417</t>
  </si>
  <si>
    <t>Q009582597</t>
  </si>
  <si>
    <t>Rabindra Kumar Kamat</t>
  </si>
  <si>
    <t>A073175230</t>
  </si>
  <si>
    <t>Muhammad Hamza</t>
  </si>
  <si>
    <t>Q009604245</t>
  </si>
  <si>
    <t>Sajal Sahu Kumar</t>
  </si>
  <si>
    <t>Tapas Chakraborty</t>
  </si>
  <si>
    <t>A073319750</t>
  </si>
  <si>
    <t>Apurva</t>
  </si>
  <si>
    <t>3KV</t>
  </si>
  <si>
    <t>RC618708</t>
  </si>
  <si>
    <t>05860</t>
  </si>
  <si>
    <t>NC649741941</t>
  </si>
  <si>
    <t>MD TAMJEED HUSSIN</t>
  </si>
  <si>
    <t>NC654624151</t>
  </si>
  <si>
    <t>Sameer Ahmad</t>
  </si>
  <si>
    <t>Q009629945</t>
  </si>
  <si>
    <t>Sanjeev Ojha</t>
  </si>
  <si>
    <t>Chanchal Anand</t>
  </si>
  <si>
    <t>Q009631439</t>
  </si>
  <si>
    <t>Manisha Hansda</t>
  </si>
  <si>
    <t>A073390532</t>
  </si>
  <si>
    <t>Ganesh Hembram</t>
  </si>
  <si>
    <t>Saradendu Mahata</t>
  </si>
  <si>
    <t>Given main</t>
  </si>
  <si>
    <t>Pranab kumar majumdar</t>
  </si>
  <si>
    <t>Q009643451</t>
  </si>
  <si>
    <t>Ravinder Singh</t>
  </si>
  <si>
    <t>Q009647026</t>
  </si>
  <si>
    <t>Subash Chandr Senapaty</t>
  </si>
  <si>
    <t>Q009649831</t>
  </si>
  <si>
    <t>Jyoti Ailine Hemrom</t>
  </si>
  <si>
    <t>BOMPS8083N</t>
  </si>
  <si>
    <t>MANOJ SINGH</t>
  </si>
  <si>
    <t>Man@j1983</t>
  </si>
  <si>
    <t>Q009666076</t>
  </si>
  <si>
    <t>Shailendra Kumar</t>
  </si>
  <si>
    <t>Ashok Kumar Pathak</t>
  </si>
  <si>
    <t>Q009590520</t>
  </si>
  <si>
    <t>Kiran_nweb</t>
  </si>
  <si>
    <t>Q009686769</t>
  </si>
  <si>
    <t>A073692849</t>
  </si>
  <si>
    <t>Mahrush Rezwan</t>
  </si>
  <si>
    <t>Ritu Mukhi</t>
  </si>
  <si>
    <t>Bijay Lal Sachdev</t>
  </si>
  <si>
    <t>A073742585</t>
  </si>
  <si>
    <t>Kanchan Sharma</t>
  </si>
  <si>
    <t>Q009709519</t>
  </si>
  <si>
    <t>Q009712222</t>
  </si>
  <si>
    <t>Bansal_nweb</t>
  </si>
  <si>
    <t>Gude Vani Mahalakshmi</t>
  </si>
  <si>
    <t>Arun Kumar Singh</t>
  </si>
  <si>
    <t>Q009712658</t>
  </si>
  <si>
    <t>A073801771</t>
  </si>
  <si>
    <t>Madhusudan Guru</t>
  </si>
  <si>
    <t>A073798761</t>
  </si>
  <si>
    <t>Ashwarya Gupta</t>
  </si>
  <si>
    <t>ARGPT4073K</t>
  </si>
  <si>
    <t>Mukesh Kumar Tiwary</t>
  </si>
  <si>
    <t>Tiwary@2023</t>
  </si>
  <si>
    <t>Q009733714</t>
  </si>
  <si>
    <t>Surajit Guha</t>
  </si>
  <si>
    <t>Sayon Sengupta</t>
  </si>
  <si>
    <t>Somnath Bhattacharjee</t>
  </si>
  <si>
    <t>Q009745974</t>
  </si>
  <si>
    <t>Rajkumari Devi</t>
  </si>
  <si>
    <t>A073917040</t>
  </si>
  <si>
    <t>sanjay2@</t>
  </si>
  <si>
    <t>rohan_nweb</t>
  </si>
  <si>
    <t>Naitik Verma</t>
  </si>
  <si>
    <t>Om Kiran Singh</t>
  </si>
  <si>
    <t>Prabhat Kiran Singh</t>
  </si>
  <si>
    <t>0-11-1971</t>
  </si>
  <si>
    <t>Mahesh Prasad Singh</t>
  </si>
  <si>
    <t>Sabnam_nweb</t>
  </si>
  <si>
    <t>appointment</t>
  </si>
  <si>
    <t>Shifan Alam Raza</t>
  </si>
  <si>
    <t>Aafreen Parween</t>
  </si>
  <si>
    <t>Shartaz Alam Raza</t>
  </si>
  <si>
    <t>A074019239</t>
  </si>
  <si>
    <t>Himansu Kumar</t>
  </si>
  <si>
    <t>A074023306</t>
  </si>
  <si>
    <t>Suruchi Ojha</t>
  </si>
  <si>
    <t>Q009767142</t>
  </si>
  <si>
    <t>Munmun Kumari</t>
  </si>
  <si>
    <t>A074025753</t>
  </si>
  <si>
    <t>Digvijay Singh</t>
  </si>
  <si>
    <t>Due-60</t>
  </si>
  <si>
    <t>Q009770713</t>
  </si>
  <si>
    <t>Harjeet Kaur</t>
  </si>
  <si>
    <t>ABSPM0970E</t>
  </si>
  <si>
    <t>Challapilla Srirama Chandra Murty</t>
  </si>
  <si>
    <t>abspm0970e*</t>
  </si>
  <si>
    <t>AVAPB8819K</t>
  </si>
  <si>
    <t>Asit Kumar Barua</t>
  </si>
  <si>
    <t>CYIPS7104M</t>
  </si>
  <si>
    <t>Singh@23</t>
  </si>
  <si>
    <t>Q009777764</t>
  </si>
  <si>
    <t>kUMAR@2023</t>
  </si>
  <si>
    <t>BKJPK1311G</t>
  </si>
  <si>
    <t>Mahanand Kumar</t>
  </si>
  <si>
    <t>AGFPB0167N</t>
  </si>
  <si>
    <t>Somnath@23</t>
  </si>
  <si>
    <t>sah</t>
  </si>
  <si>
    <t>given for photo to custoerm</t>
  </si>
  <si>
    <t>A074110679</t>
  </si>
  <si>
    <t>Rohit Karwa</t>
  </si>
  <si>
    <t>Q009800044</t>
  </si>
  <si>
    <t>Md Shakil</t>
  </si>
  <si>
    <t>refund</t>
  </si>
  <si>
    <t>Q009806587</t>
  </si>
  <si>
    <t>Swpna Mihir Dash</t>
  </si>
  <si>
    <t>AKPPD7933C</t>
  </si>
  <si>
    <t>Das23Das#</t>
  </si>
  <si>
    <t>purpuse</t>
  </si>
  <si>
    <t>AAVPO2292B</t>
  </si>
  <si>
    <t>Ojha@1975</t>
  </si>
  <si>
    <t>ojhar8675@gmail.com</t>
  </si>
  <si>
    <t>30034369758/sbin5301</t>
  </si>
  <si>
    <t>Tiwary@1964</t>
  </si>
  <si>
    <t>Dinesh@1974</t>
  </si>
  <si>
    <t>CFGPS6190J</t>
  </si>
  <si>
    <t>Q009865317</t>
  </si>
  <si>
    <t>Wajda Khatoon</t>
  </si>
  <si>
    <t>Q009865050</t>
  </si>
  <si>
    <t>Tosh@2023</t>
  </si>
  <si>
    <t>BCEPK8832P</t>
  </si>
  <si>
    <t>Kumar@2023</t>
  </si>
  <si>
    <t>CFBPS0534P</t>
  </si>
  <si>
    <t>Ragini#2023</t>
  </si>
  <si>
    <t>Nashina Parvin</t>
  </si>
  <si>
    <t>Lakra@1968</t>
  </si>
  <si>
    <t>Ragini Sharma</t>
  </si>
  <si>
    <t>ADSPS3975M</t>
  </si>
  <si>
    <t>Gorti Ram Krishna Sharma</t>
  </si>
  <si>
    <t>Krishna@2023</t>
  </si>
  <si>
    <t>Q009897504</t>
  </si>
  <si>
    <t>Champa Mahato</t>
  </si>
  <si>
    <t>Q009912838</t>
  </si>
  <si>
    <t>Baisakhi Dutta</t>
  </si>
  <si>
    <t>AAKPL9778Q</t>
  </si>
  <si>
    <t>Ajit Kumar Labh</t>
  </si>
  <si>
    <t>Ajit@2</t>
  </si>
  <si>
    <t>Nibha Labh</t>
  </si>
  <si>
    <t>ACVPL7603D</t>
  </si>
  <si>
    <t>AASPI7033B</t>
  </si>
  <si>
    <t>Islam@2023</t>
  </si>
  <si>
    <t>Q009933465</t>
  </si>
  <si>
    <t>Kishor Kumar Mishra</t>
  </si>
  <si>
    <t>Q009933603</t>
  </si>
  <si>
    <t>Charanjit Kaur Panesar</t>
  </si>
  <si>
    <t>Q009933231</t>
  </si>
  <si>
    <t>Bhupender pal Singh</t>
  </si>
  <si>
    <t>Q009933343</t>
  </si>
  <si>
    <t>Rajendra Rai</t>
  </si>
  <si>
    <t>Q009932932</t>
  </si>
  <si>
    <t>Manager Singh</t>
  </si>
  <si>
    <t>APEPM7519M</t>
  </si>
  <si>
    <t>LAL@2023</t>
  </si>
  <si>
    <t>Nand Lal Mahato</t>
  </si>
  <si>
    <t>Q009938120</t>
  </si>
  <si>
    <t>Swapna Kundu</t>
  </si>
  <si>
    <t>Q009957000</t>
  </si>
  <si>
    <t>A074820548</t>
  </si>
  <si>
    <t>A074795427</t>
  </si>
  <si>
    <t>Ruby kumari verma</t>
  </si>
  <si>
    <t>Q009957298</t>
  </si>
  <si>
    <t>Dheeraj Kumar</t>
  </si>
  <si>
    <t>Q009957547</t>
  </si>
  <si>
    <t>Q009960247</t>
  </si>
  <si>
    <t>Satish Kumar Sharma</t>
  </si>
  <si>
    <t>Sahil Goswami</t>
  </si>
  <si>
    <t>Q009965696</t>
  </si>
  <si>
    <t>Laxmi Priya Nayak</t>
  </si>
  <si>
    <t>Mahima Kumari</t>
  </si>
  <si>
    <t>Somnath Biswas</t>
  </si>
  <si>
    <t>Putul Poddar</t>
  </si>
  <si>
    <t>A074874675</t>
  </si>
  <si>
    <t>Mohammad Azam Khan</t>
  </si>
  <si>
    <t>A075007806</t>
  </si>
  <si>
    <t>Suraj Munda</t>
  </si>
  <si>
    <t>BZYPS0591J</t>
  </si>
  <si>
    <t>Shashi Shekhar Singh</t>
  </si>
  <si>
    <t>Singh@2023</t>
  </si>
  <si>
    <t>AAFPW5892b</t>
  </si>
  <si>
    <t>Faithful Eric William</t>
  </si>
  <si>
    <t>Eric@2023</t>
  </si>
  <si>
    <t>Aditi  Sarkar</t>
  </si>
  <si>
    <t>Q010034231</t>
  </si>
  <si>
    <t>Om Prakash Verma</t>
  </si>
  <si>
    <t>Q010034055</t>
  </si>
  <si>
    <t>Sonajhri Devi</t>
  </si>
  <si>
    <t>A075109114</t>
  </si>
  <si>
    <t>Parmjeet Kaur</t>
  </si>
  <si>
    <t>Q010051616</t>
  </si>
  <si>
    <t>Sivadas Anu Nair</t>
  </si>
  <si>
    <t>Q010065653</t>
  </si>
  <si>
    <t>Sanjay Das</t>
  </si>
  <si>
    <t>Surinder Singh</t>
  </si>
  <si>
    <t>Q010051103</t>
  </si>
  <si>
    <t>Q010085129</t>
  </si>
  <si>
    <t>Jai Prakash Gorai</t>
  </si>
  <si>
    <t>Q010082949</t>
  </si>
  <si>
    <t>A075222699</t>
  </si>
  <si>
    <t>Rasmunna Devi</t>
  </si>
  <si>
    <t>Q010110264</t>
  </si>
  <si>
    <t>Himanshu Sekhar Das</t>
  </si>
  <si>
    <t>Q010115786</t>
  </si>
  <si>
    <t>Kemidi Nag</t>
  </si>
  <si>
    <t>Q010115638</t>
  </si>
  <si>
    <t>Rajeshwari Devi</t>
  </si>
  <si>
    <t>A075311246</t>
  </si>
  <si>
    <t>Ratan Gorai</t>
  </si>
  <si>
    <t>A075317537</t>
  </si>
  <si>
    <t>Manju Singh</t>
  </si>
  <si>
    <t>Q010123504</t>
  </si>
  <si>
    <t>Q010123692</t>
  </si>
  <si>
    <t>Mohammad Alim</t>
  </si>
  <si>
    <t>Jagan Nath Oja</t>
  </si>
  <si>
    <t>Given to customrer</t>
  </si>
  <si>
    <t>Q010178359</t>
  </si>
  <si>
    <t>Binod Kumar Shrivastava</t>
  </si>
  <si>
    <t>Md Suhail</t>
  </si>
  <si>
    <t>Q010179014</t>
  </si>
  <si>
    <t>A075518241</t>
  </si>
  <si>
    <t>Manisha Tripathy</t>
  </si>
  <si>
    <t>Gazatee</t>
  </si>
  <si>
    <t>Q010197207</t>
  </si>
  <si>
    <t>Lokesh Chandra Prasad</t>
  </si>
  <si>
    <t>Q010197909</t>
  </si>
  <si>
    <t>Md Ashif Iqbal</t>
  </si>
  <si>
    <t>Kamal Kant Singh</t>
  </si>
  <si>
    <t>Q010198292</t>
  </si>
  <si>
    <t>Q010196958</t>
  </si>
  <si>
    <t>Ramesh Kumar Dubey</t>
  </si>
  <si>
    <t>Q010225450</t>
  </si>
  <si>
    <t>Munna lal Sah</t>
  </si>
  <si>
    <t>AGEPM2659P</t>
  </si>
  <si>
    <t>Q010235750</t>
  </si>
  <si>
    <t>Mohammand sahan sah</t>
  </si>
  <si>
    <t>P K Mazumdar</t>
  </si>
  <si>
    <t>A075807764</t>
  </si>
  <si>
    <t>Aasiya hejab</t>
  </si>
  <si>
    <t>Anuradha Gupta</t>
  </si>
  <si>
    <t>ASAPA8429P</t>
  </si>
  <si>
    <t>Khurshid Alam</t>
  </si>
  <si>
    <t>aLAM@2023</t>
  </si>
  <si>
    <t>Savitri Kumari Singh</t>
  </si>
  <si>
    <t>Navin Kumar</t>
  </si>
  <si>
    <t>BGAPK2834D</t>
  </si>
  <si>
    <t>Gulab Dhar Padey</t>
  </si>
  <si>
    <t>AYKPP2294F</t>
  </si>
  <si>
    <t>Dhar@1979</t>
  </si>
  <si>
    <t>FCOPK7710Q</t>
  </si>
  <si>
    <t>ANKIT KUMAR</t>
  </si>
  <si>
    <t>Ankit@02051999</t>
  </si>
  <si>
    <t>nAvin1974@</t>
  </si>
  <si>
    <t>Gh@sh12utpal</t>
  </si>
  <si>
    <t>AGKPG1271D</t>
  </si>
  <si>
    <t>Utpal Kumar Ghosh</t>
  </si>
  <si>
    <t>ASKPP3569M</t>
  </si>
  <si>
    <t>A075917398</t>
  </si>
  <si>
    <t>Q010269671</t>
  </si>
  <si>
    <t>A075875557</t>
  </si>
  <si>
    <t>Tahseen Yusuf Zai</t>
  </si>
  <si>
    <t>Q010269314</t>
  </si>
  <si>
    <t>Dabburi Rajeshwari</t>
  </si>
  <si>
    <t>A075907162</t>
  </si>
  <si>
    <t>Akansha Singh</t>
  </si>
  <si>
    <t>Divyanshi Srivastava</t>
  </si>
  <si>
    <t>A075939624</t>
  </si>
  <si>
    <t>Biky Lohar</t>
  </si>
  <si>
    <t>deli on 12-07-2023</t>
  </si>
  <si>
    <t>Manz@r1969</t>
  </si>
  <si>
    <t>A076014135</t>
  </si>
  <si>
    <t>FEE</t>
  </si>
  <si>
    <t>ACUPW1293R</t>
  </si>
  <si>
    <t>Anna Garima</t>
  </si>
  <si>
    <t>Anna@2023</t>
  </si>
  <si>
    <t>ACXPW6906G</t>
  </si>
  <si>
    <t>Dennis Sharang William</t>
  </si>
  <si>
    <t>Denn#s1995</t>
  </si>
  <si>
    <t>CHVPK5920K</t>
  </si>
  <si>
    <t>MD MATIN KHAN</t>
  </si>
  <si>
    <t>Matin@2109</t>
  </si>
  <si>
    <t>AEIPS5415F</t>
  </si>
  <si>
    <t>Vivek@1962</t>
  </si>
  <si>
    <t>Vivek Kumar Sinha</t>
  </si>
  <si>
    <t>Q010306281</t>
  </si>
  <si>
    <t>Swetalika Samantray</t>
  </si>
  <si>
    <t>Q010309262</t>
  </si>
  <si>
    <t>Sudish Prasad</t>
  </si>
  <si>
    <t>Q010309574</t>
  </si>
  <si>
    <t>Rama Shankar Pandey</t>
  </si>
  <si>
    <t>Q010319777</t>
  </si>
  <si>
    <t>Q010321849</t>
  </si>
  <si>
    <t>rpring</t>
  </si>
  <si>
    <t>Aash Mohammed</t>
  </si>
  <si>
    <t>BNVPS8162E</t>
  </si>
  <si>
    <t>LAL BABU SAH</t>
  </si>
  <si>
    <t>B@bu72sah</t>
  </si>
  <si>
    <t>HP</t>
  </si>
  <si>
    <t>CARD RCVD</t>
  </si>
  <si>
    <t>DELVERED</t>
  </si>
  <si>
    <t>mansI4455@</t>
  </si>
  <si>
    <t>S#ngh1961</t>
  </si>
  <si>
    <t>AADPY2262K</t>
  </si>
  <si>
    <t>Birendra Singh Yadav</t>
  </si>
  <si>
    <t>ASYPK7172R</t>
  </si>
  <si>
    <t>Abhay Kumar</t>
  </si>
  <si>
    <t>Abhay89066#</t>
  </si>
  <si>
    <t>Q010335702</t>
  </si>
  <si>
    <t>Girija Devi</t>
  </si>
  <si>
    <t>A076181850</t>
  </si>
  <si>
    <t>Jamuna Gope</t>
  </si>
  <si>
    <t>A076182712</t>
  </si>
  <si>
    <t>Shahnaj Perween</t>
  </si>
  <si>
    <t>Q010341816</t>
  </si>
  <si>
    <t>Ranjan Kumar Singh</t>
  </si>
  <si>
    <t>Q01034324</t>
  </si>
  <si>
    <t>f+d</t>
  </si>
  <si>
    <t>Q010344713</t>
  </si>
  <si>
    <t>fn</t>
  </si>
  <si>
    <t>Ashik Hossain</t>
  </si>
  <si>
    <t>Q010346255</t>
  </si>
  <si>
    <t>Adil Rashid</t>
  </si>
  <si>
    <t>AAZPD6805H</t>
  </si>
  <si>
    <t>Mummy@2023</t>
  </si>
  <si>
    <t>Shyam pada dutta</t>
  </si>
  <si>
    <t>Mukul Dutta</t>
  </si>
  <si>
    <t>AJVPD8911F</t>
  </si>
  <si>
    <t>ajvpd8911f@</t>
  </si>
  <si>
    <t>Md Tausim</t>
  </si>
  <si>
    <t>KABITA SEN</t>
  </si>
  <si>
    <t>CHXPS6508K</t>
  </si>
  <si>
    <t>Kab#ta1979</t>
  </si>
  <si>
    <t>Tausim_nweb</t>
  </si>
  <si>
    <t>Neelam Kumari</t>
  </si>
  <si>
    <t>A076287546</t>
  </si>
  <si>
    <t>Reena Devi</t>
  </si>
  <si>
    <t>A076290873</t>
  </si>
  <si>
    <t>Momina Begum</t>
  </si>
  <si>
    <t>Shaira Bano</t>
  </si>
  <si>
    <t>Ajmeri Khatoon</t>
  </si>
  <si>
    <t>Sania Yasmin</t>
  </si>
  <si>
    <t>Shahanaz Khatun</t>
  </si>
  <si>
    <t>Saira Khatun</t>
  </si>
  <si>
    <t>Jane Alam</t>
  </si>
  <si>
    <t>Q010376912</t>
  </si>
  <si>
    <t>Malay Goswami</t>
  </si>
  <si>
    <t>AUHPK9554C</t>
  </si>
  <si>
    <t>Kum@r1983</t>
  </si>
  <si>
    <t>BHMPS8308B</t>
  </si>
  <si>
    <t>Shambhu Nath Singh</t>
  </si>
  <si>
    <t>Nath@2023</t>
  </si>
  <si>
    <t>ABEPD4014G</t>
  </si>
  <si>
    <t>Dubey@2023</t>
  </si>
  <si>
    <t>Q010395661</t>
  </si>
  <si>
    <t>A076406450</t>
  </si>
  <si>
    <t>Sabita Biswas</t>
  </si>
  <si>
    <t>Q010395356</t>
  </si>
  <si>
    <t>A076422514</t>
  </si>
  <si>
    <t>Ali Nawaz Ansari</t>
  </si>
  <si>
    <t>S@m#2023</t>
  </si>
  <si>
    <t>A076424400</t>
  </si>
  <si>
    <t>after photo given to TP</t>
  </si>
  <si>
    <t>phto done</t>
  </si>
  <si>
    <t>ACHPH2477H</t>
  </si>
  <si>
    <t>mohammad Anwarul Haque</t>
  </si>
  <si>
    <t>Haque@0103</t>
  </si>
  <si>
    <t>BMQPK2623G</t>
  </si>
  <si>
    <t>Cummins@1234</t>
  </si>
  <si>
    <t>A076435757</t>
  </si>
  <si>
    <t>A076435762</t>
  </si>
  <si>
    <t>A076435767</t>
  </si>
  <si>
    <t>Sudha Jyoti Kumari</t>
  </si>
  <si>
    <t>Nath196@</t>
  </si>
  <si>
    <t>AHMPA9043J</t>
  </si>
  <si>
    <t>Mohammad Aslam</t>
  </si>
  <si>
    <t>Aslam@1205</t>
  </si>
  <si>
    <t>Shanti Jha</t>
  </si>
  <si>
    <t>BWNPB7362N</t>
  </si>
  <si>
    <t>Satyajit Banerjee</t>
  </si>
  <si>
    <t>Nerjee@23</t>
  </si>
  <si>
    <t>Md Aslam</t>
  </si>
  <si>
    <t>Q010414337</t>
  </si>
  <si>
    <t>Ndob</t>
  </si>
  <si>
    <t>Q01041624</t>
  </si>
  <si>
    <t>Md Mumtaz</t>
  </si>
  <si>
    <t>A076529129</t>
  </si>
  <si>
    <t>uid linked with other</t>
  </si>
  <si>
    <t>AGHPB2051M</t>
  </si>
  <si>
    <t>Shantanu Biswas</t>
  </si>
  <si>
    <t>Biswas@23</t>
  </si>
  <si>
    <t>Nitu Atey</t>
  </si>
  <si>
    <t>atey_nweb</t>
  </si>
  <si>
    <t>AQSPP3694B</t>
  </si>
  <si>
    <t>vinAy91533@</t>
  </si>
  <si>
    <t>A076720810</t>
  </si>
  <si>
    <t>Arif Afsar Khan</t>
  </si>
  <si>
    <t>Ranjit Gorai</t>
  </si>
  <si>
    <t>A076762674</t>
  </si>
  <si>
    <t>Sunny Kumar</t>
  </si>
  <si>
    <t>Tamojit@23</t>
  </si>
  <si>
    <t>Q010481232</t>
  </si>
  <si>
    <t>BQBPS1748H</t>
  </si>
  <si>
    <t>PAN@A</t>
  </si>
  <si>
    <t>ALUPP8983A</t>
  </si>
  <si>
    <t>Pitambar</t>
  </si>
  <si>
    <t>DJYPS1369L</t>
  </si>
  <si>
    <t>Manjit@1978</t>
  </si>
  <si>
    <t>Jeet@1975</t>
  </si>
  <si>
    <t>CYDPK1756J</t>
  </si>
  <si>
    <t>neha pandey</t>
  </si>
  <si>
    <t>Neha2000@</t>
  </si>
  <si>
    <t>BSGPP3058J</t>
  </si>
  <si>
    <t>A077032399</t>
  </si>
  <si>
    <t>A077040849</t>
  </si>
  <si>
    <t>Rahul Kumar Patra</t>
  </si>
  <si>
    <t>Q010518456</t>
  </si>
  <si>
    <t>Jagdish Prasad</t>
  </si>
  <si>
    <t>Q010520481</t>
  </si>
  <si>
    <t>Dhiren Pramanik</t>
  </si>
  <si>
    <t>Q010521524</t>
  </si>
  <si>
    <t>Md Aadil</t>
  </si>
  <si>
    <t>Paresh Mukhi</t>
  </si>
  <si>
    <t>AEIPS3416E</t>
  </si>
  <si>
    <t>Shiv Shambhu Singh</t>
  </si>
  <si>
    <t>Singh@1967</t>
  </si>
  <si>
    <t>A077089796</t>
  </si>
  <si>
    <t>Dipali Jana</t>
  </si>
  <si>
    <t>01-01-197</t>
  </si>
  <si>
    <t>BIHPR9069J</t>
  </si>
  <si>
    <t>Shriya@092</t>
  </si>
  <si>
    <t>Arghya Roy</t>
  </si>
  <si>
    <t>A077182259</t>
  </si>
  <si>
    <t>AWMPA1657K</t>
  </si>
  <si>
    <t>Akhtar Ali</t>
  </si>
  <si>
    <t>Tar@1657</t>
  </si>
  <si>
    <t>AENPA6276R</t>
  </si>
  <si>
    <t>Mumtaz@2023</t>
  </si>
  <si>
    <t>Mohammad mumtaz ahmad</t>
  </si>
  <si>
    <t>A077238528</t>
  </si>
  <si>
    <t>Subrojeet Sahu</t>
  </si>
  <si>
    <t>DEEPRAJ_nweb</t>
  </si>
  <si>
    <t>Deep Raj Bera</t>
  </si>
  <si>
    <t>Md Natique</t>
  </si>
  <si>
    <t>Rishu Raj</t>
  </si>
  <si>
    <t>AYCPS0841D</t>
  </si>
  <si>
    <t>Rajni Kant Sinha</t>
  </si>
  <si>
    <t>Sinha@841D</t>
  </si>
  <si>
    <t>Q010596441</t>
  </si>
  <si>
    <t>Amul Kumar</t>
  </si>
  <si>
    <t>A077359070</t>
  </si>
  <si>
    <t>Home</t>
  </si>
  <si>
    <t>ABBPA6939N</t>
  </si>
  <si>
    <t>Damian Anthony</t>
  </si>
  <si>
    <t>Q010605679</t>
  </si>
  <si>
    <t>Q010616556</t>
  </si>
  <si>
    <t>laleshwar Singh</t>
  </si>
  <si>
    <t>Mohan Singh</t>
  </si>
  <si>
    <t>fname</t>
  </si>
  <si>
    <t>Q010617273</t>
  </si>
  <si>
    <t>Imamul Haque</t>
  </si>
  <si>
    <t>Vishal Kumar Upadhyay</t>
  </si>
  <si>
    <t>A077534005</t>
  </si>
  <si>
    <t>Sharda Devi</t>
  </si>
  <si>
    <t>Sushanta Mahato</t>
  </si>
  <si>
    <t>Q010642190</t>
  </si>
  <si>
    <t>Anand Vivek</t>
  </si>
  <si>
    <t>A077557158</t>
  </si>
  <si>
    <t>Nidhi Tiwary</t>
  </si>
  <si>
    <t>A077559688</t>
  </si>
  <si>
    <t>A077618500</t>
  </si>
  <si>
    <t>Sujata Jana</t>
  </si>
  <si>
    <t>Putul Jana</t>
  </si>
  <si>
    <t>A077619519</t>
  </si>
  <si>
    <t>A077616799</t>
  </si>
  <si>
    <t>Kumari Aarti Singh</t>
  </si>
  <si>
    <t>Q010663908</t>
  </si>
  <si>
    <t>kumud singh</t>
  </si>
  <si>
    <t>A077657892</t>
  </si>
  <si>
    <t>Naureen Khan</t>
  </si>
  <si>
    <t>A076602420</t>
  </si>
  <si>
    <t>Chandra Wati Devi</t>
  </si>
  <si>
    <t>Ticket creted</t>
  </si>
  <si>
    <t>A077743008</t>
  </si>
  <si>
    <t>A077743583</t>
  </si>
  <si>
    <t>Sujal Kumar</t>
  </si>
  <si>
    <t>Q010683168</t>
  </si>
  <si>
    <t>Asaph Purty</t>
  </si>
  <si>
    <t>Q010688964</t>
  </si>
  <si>
    <t>Ramakrishna Nagamal</t>
  </si>
  <si>
    <t>Gandhi Biruli</t>
  </si>
  <si>
    <t>prabhat_nweb</t>
  </si>
  <si>
    <t>Prakash Soren</t>
  </si>
  <si>
    <t>Q010759227</t>
  </si>
  <si>
    <t>Banashree Nayak</t>
  </si>
  <si>
    <t>Q010759478</t>
  </si>
  <si>
    <t>Bhabataran Khan</t>
  </si>
  <si>
    <t>Sajal Kumar Munda</t>
  </si>
  <si>
    <t>Q010759362</t>
  </si>
  <si>
    <t>Q010774099</t>
  </si>
  <si>
    <t>Sujay Das</t>
  </si>
  <si>
    <t>Neeru Verma</t>
  </si>
  <si>
    <t>Q010777195</t>
  </si>
  <si>
    <t>BHSPS4224G</t>
  </si>
  <si>
    <t>Birendra Kumar Sah</t>
  </si>
  <si>
    <t>Sah@23Sah</t>
  </si>
  <si>
    <t>Q010813771</t>
  </si>
  <si>
    <t>A078339190</t>
  </si>
  <si>
    <t>AGXPS5916N</t>
  </si>
  <si>
    <t>Vijay@1956</t>
  </si>
  <si>
    <t>A078732930</t>
  </si>
  <si>
    <t>Sabina Bano</t>
  </si>
  <si>
    <t>Q010902798</t>
  </si>
  <si>
    <t>Sijut Patro</t>
  </si>
  <si>
    <t>Q010905902</t>
  </si>
  <si>
    <t>Ankur Kumar Tiwary</t>
  </si>
  <si>
    <t>AZQPD7762H</t>
  </si>
  <si>
    <t>Sunita@2023</t>
  </si>
  <si>
    <t>Q010969789</t>
  </si>
  <si>
    <t>Pramila Singh</t>
  </si>
  <si>
    <t>Q010917712</t>
  </si>
  <si>
    <t>Jaya Sahu Arokya</t>
  </si>
  <si>
    <t>A078797628</t>
  </si>
  <si>
    <t>Poojitha Eluru</t>
  </si>
  <si>
    <t>A079079438</t>
  </si>
  <si>
    <t>Shek Kashij</t>
  </si>
  <si>
    <t>A079112929</t>
  </si>
  <si>
    <t>Subham Kumar Singh</t>
  </si>
  <si>
    <t>A079118523</t>
  </si>
  <si>
    <t>Q010981166</t>
  </si>
  <si>
    <t>Hamida Khatoon</t>
  </si>
  <si>
    <t>A079156497</t>
  </si>
  <si>
    <t>A079163254</t>
  </si>
  <si>
    <t>Riya Chauhan</t>
  </si>
  <si>
    <t>Jogender Karmakar</t>
  </si>
  <si>
    <t>A079168126</t>
  </si>
  <si>
    <t>Q011004371</t>
  </si>
  <si>
    <t>Lalti Gorai</t>
  </si>
  <si>
    <t>Q011020010</t>
  </si>
  <si>
    <t>Sheo Shankar Lal</t>
  </si>
  <si>
    <t>Q011019879</t>
  </si>
  <si>
    <t>Q011028063</t>
  </si>
  <si>
    <t>Shaista Shamim</t>
  </si>
  <si>
    <t>Q011034086</t>
  </si>
  <si>
    <t>Sanjeev Kumar Singh</t>
  </si>
  <si>
    <t>Ranjeet Gorai</t>
  </si>
  <si>
    <t>A079426265</t>
  </si>
  <si>
    <t>A079425352</t>
  </si>
  <si>
    <t>Basanti Jana</t>
  </si>
  <si>
    <t>Q011039229</t>
  </si>
  <si>
    <t>Q011053235</t>
  </si>
  <si>
    <t>Swapan Kumar Bhattacharjee</t>
  </si>
  <si>
    <t>Q011053161</t>
  </si>
  <si>
    <t>Shamsul Arfien</t>
  </si>
  <si>
    <t>Sourav</t>
  </si>
  <si>
    <t>A079462980</t>
  </si>
  <si>
    <t>Q011060251</t>
  </si>
  <si>
    <t>Gopi Kumar Mishra</t>
  </si>
  <si>
    <t>Md Kalim Rahi</t>
  </si>
  <si>
    <t>Q011055488</t>
  </si>
  <si>
    <t>A079573727</t>
  </si>
  <si>
    <t>Adarsh Kumar</t>
  </si>
  <si>
    <t>A079932069</t>
  </si>
  <si>
    <t>Dimpal Kaur</t>
  </si>
  <si>
    <t>ARFIEN SHAMSUL</t>
  </si>
  <si>
    <t>Sanjib Kumar Ghosh</t>
  </si>
  <si>
    <t>Q011185536</t>
  </si>
  <si>
    <t>Q011185302</t>
  </si>
  <si>
    <t>Sudhakar Sahu</t>
  </si>
  <si>
    <t>Father name</t>
  </si>
  <si>
    <t>Ravindra Kumar Mandal</t>
  </si>
  <si>
    <t>Q011203093</t>
  </si>
  <si>
    <t>Reeta Yadav</t>
  </si>
  <si>
    <t>Q011286637</t>
  </si>
  <si>
    <t>Dinesh Kumar</t>
  </si>
  <si>
    <t>A080280223</t>
  </si>
  <si>
    <t>Q011292272</t>
  </si>
  <si>
    <t>Ehsan Ahmad</t>
  </si>
  <si>
    <t>Q011347699</t>
  </si>
  <si>
    <t>Bijaya Choudhury</t>
  </si>
  <si>
    <t>Darakshan Naaz</t>
  </si>
  <si>
    <t>naaz@2023</t>
  </si>
  <si>
    <t>JOSEPH George</t>
  </si>
  <si>
    <t>Arghya Ghosh</t>
  </si>
  <si>
    <t>NOC</t>
  </si>
  <si>
    <t>Jitesh Kumar Bhagat</t>
  </si>
  <si>
    <t>A080926426</t>
  </si>
  <si>
    <t>Sweta Kumari</t>
  </si>
  <si>
    <t>Q011401669</t>
  </si>
  <si>
    <t>Munazerul Islam</t>
  </si>
  <si>
    <t>Q0114403424</t>
  </si>
  <si>
    <t>reissue</t>
  </si>
  <si>
    <t>rennew</t>
  </si>
  <si>
    <t>given to tapan</t>
  </si>
  <si>
    <t>Q011427848</t>
  </si>
  <si>
    <t>Shinu Kumari</t>
  </si>
  <si>
    <t>Q011435976</t>
  </si>
  <si>
    <t>Manjeet Kaur</t>
  </si>
  <si>
    <t>Q011439385</t>
  </si>
  <si>
    <t>Purnasish Sinha</t>
  </si>
  <si>
    <t>A081224112</t>
  </si>
  <si>
    <t>Airum Nushi</t>
  </si>
  <si>
    <t>A081258011</t>
  </si>
  <si>
    <t>Ayushka</t>
  </si>
  <si>
    <t>A081257039</t>
  </si>
  <si>
    <t>Smita Pradhan</t>
  </si>
  <si>
    <t>Q011461445</t>
  </si>
  <si>
    <t>f+dob</t>
  </si>
  <si>
    <t>Subodh Kumar Mishra</t>
  </si>
  <si>
    <t>Ahmad_nweb</t>
  </si>
  <si>
    <t>Shahin Ahmad Sharfi</t>
  </si>
  <si>
    <t>LL on 26-10-23</t>
  </si>
  <si>
    <t>Kajal Singh</t>
  </si>
  <si>
    <t>A081340950</t>
  </si>
  <si>
    <t>N+dob</t>
  </si>
  <si>
    <t>Q011478000</t>
  </si>
  <si>
    <t>Pritimai</t>
  </si>
  <si>
    <t>Jayanti sengupta</t>
  </si>
  <si>
    <t>Q011485324</t>
  </si>
  <si>
    <t>Q011494647</t>
  </si>
  <si>
    <t>Tumpa Gorai</t>
  </si>
  <si>
    <t>A081563452</t>
  </si>
  <si>
    <t>A081606942</t>
  </si>
  <si>
    <t>A081603407</t>
  </si>
  <si>
    <t>Simran Deepti Kujur</t>
  </si>
  <si>
    <t>not uploaded</t>
  </si>
  <si>
    <t>Sistla nageswara sarma</t>
  </si>
  <si>
    <t>Q011555713</t>
  </si>
  <si>
    <t>Manish kumar bharti</t>
  </si>
  <si>
    <t>DL Received</t>
  </si>
  <si>
    <t>A081907271</t>
  </si>
  <si>
    <t>Savbra Khatoon</t>
  </si>
  <si>
    <t>Sisla_nweb</t>
  </si>
  <si>
    <t>Subba Laxmi Sistla</t>
  </si>
  <si>
    <t>Kabita Banarjee</t>
  </si>
  <si>
    <t>A082063936</t>
  </si>
  <si>
    <t>Q011639763</t>
  </si>
  <si>
    <t>Ankit Ranjan Mishra</t>
  </si>
  <si>
    <t>ANIRBAN GUPTA</t>
  </si>
  <si>
    <t>B K SHARMA</t>
  </si>
  <si>
    <t>RENEW</t>
  </si>
  <si>
    <t>Q011639967</t>
  </si>
  <si>
    <t>Q011644979</t>
  </si>
  <si>
    <t>Devendra Kumar</t>
  </si>
  <si>
    <t>Q011645474</t>
  </si>
  <si>
    <t>A082134565</t>
  </si>
  <si>
    <t>ASCPD9449G</t>
  </si>
  <si>
    <t>Sushila Dubey</t>
  </si>
  <si>
    <t>rergn</t>
  </si>
  <si>
    <t>Mirza siddique ali beg</t>
  </si>
  <si>
    <t>Q011677852</t>
  </si>
  <si>
    <t>Annu Pathak</t>
  </si>
  <si>
    <t>bijay_nweb</t>
  </si>
  <si>
    <t>A082391957</t>
  </si>
  <si>
    <t>Imad Majid</t>
  </si>
  <si>
    <t>app pending</t>
  </si>
  <si>
    <t>given form main</t>
  </si>
  <si>
    <t>Q011723202</t>
  </si>
  <si>
    <t>Swapna Sethi</t>
  </si>
  <si>
    <t>A082458463</t>
  </si>
  <si>
    <t>Kamrun Nisha</t>
  </si>
  <si>
    <t>JSR</t>
  </si>
  <si>
    <t>Q011736039</t>
  </si>
  <si>
    <t>Tanya</t>
  </si>
  <si>
    <t>fnm</t>
  </si>
  <si>
    <t>A082757315</t>
  </si>
  <si>
    <t>Nutan Kumar</t>
  </si>
  <si>
    <t>Q011816595</t>
  </si>
  <si>
    <t>Subrata Sahu</t>
  </si>
  <si>
    <t>Vimla Devi</t>
  </si>
  <si>
    <t>Ajit Gorai</t>
  </si>
  <si>
    <t>LL rcvd</t>
  </si>
  <si>
    <t>L L rcvd</t>
  </si>
  <si>
    <t>A082855321</t>
  </si>
  <si>
    <t>A08285441</t>
  </si>
  <si>
    <t>Singh@1975</t>
  </si>
  <si>
    <t>BWZPS1940K</t>
  </si>
  <si>
    <t>Q011820612</t>
  </si>
  <si>
    <t>Ramesh Kumar Singh</t>
  </si>
  <si>
    <t>Gour Hari Khan</t>
  </si>
  <si>
    <t>Q011821256</t>
  </si>
  <si>
    <t>A082992334</t>
  </si>
  <si>
    <t>Md Nasir Sharjeel</t>
  </si>
  <si>
    <t>Yashmin Firdos</t>
  </si>
  <si>
    <t>DIYPM8249C</t>
  </si>
  <si>
    <t>RANJIT MAHATO</t>
  </si>
  <si>
    <t>mAHATO@0303</t>
  </si>
  <si>
    <t>Firdos_nweb</t>
  </si>
  <si>
    <t>Mypass@1123</t>
  </si>
  <si>
    <t>Q011893635</t>
  </si>
  <si>
    <t>KULDEEP SINGH</t>
  </si>
  <si>
    <t>A083162209</t>
  </si>
  <si>
    <t>Nargis Bano</t>
  </si>
  <si>
    <t>Q011934295</t>
  </si>
  <si>
    <t>Ramjee Jee</t>
  </si>
  <si>
    <t>Q011936559</t>
  </si>
  <si>
    <t>Yunus Alam</t>
  </si>
  <si>
    <t>Q011951475</t>
  </si>
  <si>
    <t>Binod Kumar Srivastava</t>
  </si>
  <si>
    <t>Anmola Tiwari</t>
  </si>
  <si>
    <t>Q011963707</t>
  </si>
  <si>
    <t>A083443576</t>
  </si>
  <si>
    <t>rn+add</t>
  </si>
  <si>
    <t>A083516915</t>
  </si>
  <si>
    <t>Praveer Kumar Ravidas</t>
  </si>
  <si>
    <t>Saba Parveen</t>
  </si>
  <si>
    <t>A083665439</t>
  </si>
  <si>
    <t>q012026785</t>
  </si>
  <si>
    <t>SHAKUNTALA DEVI</t>
  </si>
  <si>
    <t>Q012040117</t>
  </si>
  <si>
    <t>Rajendra Singh Mahato</t>
  </si>
  <si>
    <t>G Vishal</t>
  </si>
  <si>
    <t>A083889016</t>
  </si>
  <si>
    <t>Saquib Ali</t>
  </si>
  <si>
    <t>Sajid Ali</t>
  </si>
  <si>
    <t>A083888563</t>
  </si>
  <si>
    <t>A083921496</t>
  </si>
  <si>
    <t>Dubraj Lahari</t>
  </si>
  <si>
    <t>Q012097861</t>
  </si>
  <si>
    <t>N B</t>
  </si>
  <si>
    <t>Binit Kumar Singh</t>
  </si>
  <si>
    <t>Sanjay Mishra</t>
  </si>
  <si>
    <t>Q012122128</t>
  </si>
  <si>
    <t>Tanuja Afrin</t>
  </si>
  <si>
    <t>tanuja_nweb</t>
  </si>
  <si>
    <t>A084146051</t>
  </si>
  <si>
    <t>A084220806</t>
  </si>
  <si>
    <t>A084219699</t>
  </si>
  <si>
    <t>Saina Begum</t>
  </si>
  <si>
    <t>Nazim Khan</t>
  </si>
  <si>
    <t>Q012140417</t>
  </si>
  <si>
    <t>A084223843</t>
  </si>
  <si>
    <t>A084253214</t>
  </si>
  <si>
    <t>A084291458</t>
  </si>
  <si>
    <t>Mohit Gorai</t>
  </si>
  <si>
    <t>Q012152007</t>
  </si>
  <si>
    <t>Ujjal Dutta</t>
  </si>
  <si>
    <t>Q012158463</t>
  </si>
  <si>
    <t>Urmila Pandey</t>
  </si>
  <si>
    <t>A084330802</t>
  </si>
  <si>
    <t>Akansha</t>
  </si>
  <si>
    <t>Q012168412</t>
  </si>
  <si>
    <t>Abhishek Kumar Verma</t>
  </si>
  <si>
    <t>A084408266</t>
  </si>
  <si>
    <t>Rinku Sahu</t>
  </si>
  <si>
    <t>Q012180643</t>
  </si>
  <si>
    <t>Ashok Kumar thapa</t>
  </si>
  <si>
    <t>A084491327</t>
  </si>
  <si>
    <t>Dipankar Mahato</t>
  </si>
  <si>
    <t>Q012192013</t>
  </si>
  <si>
    <t>Afsana Khatoon</t>
  </si>
  <si>
    <t>Q012198379</t>
  </si>
  <si>
    <t>Shatakshi Kumar</t>
  </si>
  <si>
    <t>Sname</t>
  </si>
  <si>
    <t>Q012198570</t>
  </si>
  <si>
    <t>Dipak Ojha</t>
  </si>
  <si>
    <t>Sukhu Gorai</t>
  </si>
  <si>
    <t>Firoz Alam</t>
  </si>
  <si>
    <t>A084547154</t>
  </si>
  <si>
    <t>Ankit Kumar Singh</t>
  </si>
  <si>
    <t>Shama Praween</t>
  </si>
  <si>
    <t>A084755356</t>
  </si>
  <si>
    <t>UTIITSL</t>
  </si>
  <si>
    <t>RC8068203</t>
  </si>
  <si>
    <t>00990</t>
  </si>
  <si>
    <t>Ankit Mahato</t>
  </si>
  <si>
    <t>Rimpa Pandit</t>
  </si>
  <si>
    <t>rimpa_nweb</t>
  </si>
  <si>
    <t>Kakali Pandit</t>
  </si>
  <si>
    <t>Ranjit Pandit</t>
  </si>
  <si>
    <t>Update</t>
  </si>
  <si>
    <t>Arvinder Singh Sokhi</t>
  </si>
  <si>
    <t>APPONT DUE 22LATER</t>
  </si>
  <si>
    <t>full paid</t>
  </si>
  <si>
    <t>A085000108</t>
  </si>
  <si>
    <t>Abhijeet Banerjee</t>
  </si>
  <si>
    <t>Q012318975</t>
  </si>
  <si>
    <t>RE</t>
  </si>
  <si>
    <t>Q012326694</t>
  </si>
  <si>
    <t>NC387476706</t>
  </si>
  <si>
    <t>dfdfd  alam</t>
  </si>
  <si>
    <t>Q012333866</t>
  </si>
  <si>
    <t>Mohammad Rajjak</t>
  </si>
  <si>
    <t>Q012338511</t>
  </si>
  <si>
    <t xml:space="preserve">slot booked </t>
  </si>
  <si>
    <t>Q012346063</t>
  </si>
  <si>
    <t>Rashmi Gupta</t>
  </si>
  <si>
    <t>Q012375081</t>
  </si>
  <si>
    <t>A085241109</t>
  </si>
  <si>
    <t>Ashana kaur</t>
  </si>
  <si>
    <t>naila_nweb</t>
  </si>
  <si>
    <t>Upendra singh</t>
  </si>
  <si>
    <t>R. Priya</t>
  </si>
  <si>
    <t>rpriya_nweb</t>
  </si>
  <si>
    <t>JAMSHEPDUR</t>
  </si>
  <si>
    <t>A085338543</t>
  </si>
  <si>
    <t>Hasina Perween</t>
  </si>
  <si>
    <t>Q012411716</t>
  </si>
  <si>
    <t>Q012411843</t>
  </si>
  <si>
    <t>Rajesh Kumar Gandhi</t>
  </si>
  <si>
    <t>Jyoti Gandhi</t>
  </si>
  <si>
    <t>Mypass@2024</t>
  </si>
  <si>
    <t>A085496472</t>
  </si>
  <si>
    <t>given to tapan to main</t>
  </si>
  <si>
    <t>Rajat Barori</t>
  </si>
  <si>
    <t>Q012450744</t>
  </si>
  <si>
    <t>Bahadur Mukhi</t>
  </si>
  <si>
    <t>A085534812</t>
  </si>
  <si>
    <t>Sushila Mahato</t>
  </si>
  <si>
    <t>Q012462526</t>
  </si>
  <si>
    <t>A085709202</t>
  </si>
  <si>
    <t>Noor Saba</t>
  </si>
  <si>
    <t>Ramesh Jee</t>
  </si>
  <si>
    <t>Payment Sent To Shubham-23-12-2023</t>
  </si>
  <si>
    <t>Kiran Chhada</t>
  </si>
  <si>
    <t>Q012499295</t>
  </si>
  <si>
    <t>2012/00000/2312/5661319</t>
  </si>
  <si>
    <t>Aashish Singh</t>
  </si>
  <si>
    <t>Q012509467</t>
  </si>
  <si>
    <t>AKLPT1942K</t>
  </si>
  <si>
    <t>LAXMI SUNDI</t>
  </si>
  <si>
    <t>Sundi@1234</t>
  </si>
  <si>
    <t>A085866710</t>
  </si>
  <si>
    <t>Sireen Khalid</t>
  </si>
  <si>
    <t>A085913516</t>
  </si>
  <si>
    <t>Joyotri Nandy</t>
  </si>
  <si>
    <t>Q012537257</t>
  </si>
  <si>
    <t>Basant Kumar Pal</t>
  </si>
  <si>
    <t>Q012537333</t>
  </si>
  <si>
    <t>Govind Kumar Singh</t>
  </si>
  <si>
    <t>Jay Kumar Chaudhary</t>
  </si>
  <si>
    <t>Q012537465</t>
  </si>
  <si>
    <t>Simerpreet Kaur</t>
  </si>
  <si>
    <t>simerpreet_nweb</t>
  </si>
  <si>
    <t>Q012549324</t>
  </si>
  <si>
    <t>Md Samiullah</t>
  </si>
  <si>
    <t>Shashi Kumar Jha</t>
  </si>
  <si>
    <t>A086136194</t>
  </si>
  <si>
    <t>Shyama Devi</t>
  </si>
  <si>
    <t>Q012587613</t>
  </si>
  <si>
    <t>Badrun Nisha</t>
  </si>
  <si>
    <t>A086161386</t>
  </si>
  <si>
    <t>Naaz Perween</t>
  </si>
  <si>
    <t>BBPPD6623P</t>
  </si>
  <si>
    <t>BINOD DUTTA</t>
  </si>
  <si>
    <t>Dutta@2023</t>
  </si>
  <si>
    <t>A086402034</t>
  </si>
  <si>
    <t>Harsh Kumra</t>
  </si>
  <si>
    <t>A086400524</t>
  </si>
  <si>
    <t>A086467400</t>
  </si>
  <si>
    <t>Ara Anjum</t>
  </si>
  <si>
    <t>A086466167</t>
  </si>
  <si>
    <t>Deepa Kumari</t>
  </si>
  <si>
    <t>A086501965</t>
  </si>
  <si>
    <t>Manish Pandey</t>
  </si>
  <si>
    <t>A086566185</t>
  </si>
  <si>
    <t>Q012692401</t>
  </si>
  <si>
    <t>Parbati Lohar</t>
  </si>
  <si>
    <t>noT Picking Phone 07-01-2024</t>
  </si>
  <si>
    <t>2012/00000/2401/0391037</t>
  </si>
  <si>
    <t>Sejal Kumari</t>
  </si>
  <si>
    <t>A086588533</t>
  </si>
  <si>
    <t>A086601027</t>
  </si>
  <si>
    <t>Anjalee Kumari</t>
  </si>
  <si>
    <t>Prem Sharma</t>
  </si>
  <si>
    <t>Q012699615</t>
  </si>
  <si>
    <t>Simran Solomon</t>
  </si>
  <si>
    <t>Q012713355</t>
  </si>
  <si>
    <t>A086620245</t>
  </si>
  <si>
    <t>A086633511</t>
  </si>
  <si>
    <t>Aditya Patro</t>
  </si>
  <si>
    <t>Bawana Sharda</t>
  </si>
  <si>
    <t>Bawana Venket Saibaba</t>
  </si>
  <si>
    <t>Q012713438</t>
  </si>
  <si>
    <t>A086670148</t>
  </si>
  <si>
    <t>Asmit Sharma</t>
  </si>
  <si>
    <t>Q012716222</t>
  </si>
  <si>
    <t>Shamshun Nihar Khanam</t>
  </si>
  <si>
    <t>given to tapan for main</t>
  </si>
  <si>
    <t>Q012731421</t>
  </si>
  <si>
    <t>A086772146</t>
  </si>
  <si>
    <t>Rytisha sengupta</t>
  </si>
  <si>
    <t>Shiv Shankar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</si>
</sst>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NC&quot;00"/>
    <numFmt numFmtId="166" formatCode="dd\-mm\-yy"/>
  </numFmts>
  <fonts count="6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i/>
      <sz val="12"/>
      <color rgb="FFA52A2A"/>
      <name val="Calibri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Calibri"/>
      <family val="2"/>
    </font>
    <font>
      <i/>
      <sz val="12"/>
      <color rgb="FF000000"/>
      <name val="Arial"/>
      <family val="2"/>
    </font>
    <font>
      <i/>
      <u/>
      <sz val="10"/>
      <color rgb="FF66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i/>
      <u/>
      <sz val="10"/>
      <color rgb="FF034DA3"/>
      <name val="Arial"/>
      <family val="2"/>
    </font>
    <font>
      <b/>
      <sz val="9"/>
      <color rgb="FF333333"/>
      <name val="Trebuchet MS"/>
      <family val="2"/>
    </font>
    <font>
      <sz val="10"/>
      <color rgb="FF22222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242E66"/>
      <name val="Verdana"/>
      <family val="2"/>
    </font>
    <font>
      <sz val="11"/>
      <color rgb="FFE36C09"/>
      <name val="Calibri"/>
      <family val="2"/>
    </font>
    <font>
      <b/>
      <sz val="14"/>
      <color rgb="FF000000"/>
      <name val="Times New Roman"/>
      <family val="1"/>
    </font>
    <font>
      <b/>
      <sz val="8"/>
      <color rgb="FF242E66"/>
      <name val="Verdana"/>
      <family val="2"/>
    </font>
    <font>
      <sz val="11"/>
      <color theme="1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Arial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333333"/>
      <name val="Hind"/>
    </font>
    <font>
      <sz val="12"/>
      <color rgb="FF000000"/>
      <name val="Arial"/>
      <family val="2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9"/>
      <color rgb="FFFF0000"/>
      <name val="Helvetica Neue"/>
    </font>
    <font>
      <sz val="13"/>
      <color rgb="FF333333"/>
      <name val="Hind"/>
    </font>
    <font>
      <sz val="13"/>
      <color rgb="FFFF0000"/>
      <name val="Hind"/>
    </font>
    <font>
      <sz val="11"/>
      <color rgb="FF000000"/>
      <name val="Arial"/>
      <family val="2"/>
    </font>
    <font>
      <sz val="9"/>
      <color rgb="FF2B2B2D"/>
      <name val="Arial"/>
      <family val="2"/>
    </font>
    <font>
      <sz val="12"/>
      <color theme="1"/>
      <name val="Arial"/>
      <family val="2"/>
    </font>
    <font>
      <sz val="13"/>
      <color rgb="FF00B050"/>
      <name val="Hind"/>
    </font>
    <font>
      <sz val="11"/>
      <color rgb="FF00B050"/>
      <name val="Hind"/>
    </font>
    <font>
      <sz val="12"/>
      <color rgb="FF00B050"/>
      <name val="Arial"/>
      <family val="2"/>
    </font>
    <font>
      <sz val="13"/>
      <color rgb="FF0070C0"/>
      <name val="Hind"/>
    </font>
    <font>
      <b/>
      <sz val="11"/>
      <color rgb="FF0070C0"/>
      <name val="Calibri"/>
      <family val="2"/>
    </font>
    <font>
      <sz val="11"/>
      <color rgb="FF0070C0"/>
      <name val="Hind"/>
    </font>
    <font>
      <b/>
      <sz val="13"/>
      <color rgb="FF0070C0"/>
      <name val="Hind"/>
    </font>
    <font>
      <sz val="8"/>
      <color rgb="FF374767"/>
      <name val="Lato"/>
      <family val="2"/>
    </font>
    <font>
      <sz val="14"/>
      <color rgb="FF000000"/>
      <name val="Arial"/>
      <family val="2"/>
    </font>
    <font>
      <sz val="13"/>
      <color theme="1"/>
      <name val="Hind"/>
    </font>
    <font>
      <sz val="11"/>
      <color rgb="FF374767"/>
      <name val="Arial"/>
      <family val="2"/>
    </font>
    <font>
      <sz val="8"/>
      <color theme="1"/>
      <name val="Lato"/>
      <family val="2"/>
    </font>
    <font>
      <u/>
      <sz val="11"/>
      <color rgb="FF00B050"/>
      <name val="Calibri"/>
      <family val="2"/>
    </font>
    <font>
      <sz val="11"/>
      <color rgb="FF00B05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rgb="FF00B050"/>
      <name val="Arial"/>
      <family val="2"/>
    </font>
    <font>
      <b/>
      <sz val="12"/>
      <color rgb="FF222222"/>
      <name val="Arial"/>
      <family val="2"/>
    </font>
    <font>
      <b/>
      <sz val="13"/>
      <color rgb="FF374767"/>
      <name val="Arial"/>
      <family val="2"/>
    </font>
    <font>
      <sz val="11"/>
      <color rgb="FFC00000"/>
      <name val="Calibri"/>
      <family val="2"/>
    </font>
    <font>
      <b/>
      <sz val="13"/>
      <color rgb="FFC00000"/>
      <name val="Arial"/>
      <family val="2"/>
    </font>
    <font>
      <b/>
      <sz val="11"/>
      <color rgb="FFC00000"/>
      <name val="Calibri"/>
      <family val="2"/>
    </font>
    <font>
      <sz val="11"/>
      <color rgb="FF333333"/>
      <name val="Arial"/>
      <family val="2"/>
    </font>
    <font>
      <b/>
      <sz val="12"/>
      <color rgb="FFFF0000"/>
      <name val="Calibri"/>
      <family val="2"/>
    </font>
    <font>
      <sz val="9"/>
      <color rgb="FF00B050"/>
      <name val="Arial"/>
      <family val="2"/>
    </font>
    <font>
      <b/>
      <sz val="12"/>
      <color theme="1"/>
      <name val="Calibri"/>
      <family val="2"/>
    </font>
    <font>
      <sz val="9"/>
      <color theme="1"/>
      <name val="Arial"/>
      <family val="2"/>
    </font>
    <font>
      <b/>
      <sz val="12"/>
      <color rgb="FF00B050"/>
      <name val="Calibri"/>
      <family val="2"/>
    </font>
    <font>
      <sz val="14"/>
      <color theme="1"/>
      <name val="Calibri"/>
      <family val="2"/>
    </font>
    <font>
      <sz val="9"/>
      <color rgb="FFFF0000"/>
      <name val="Arial"/>
      <family val="2"/>
    </font>
    <font>
      <sz val="14"/>
      <color rgb="FF7D7D7D"/>
      <name val="Arial"/>
      <family val="2"/>
    </font>
    <font>
      <sz val="11"/>
      <color rgb="FF7030A0"/>
      <name val="Calibri"/>
      <family val="2"/>
    </font>
    <font>
      <sz val="14"/>
      <color rgb="FF7030A0"/>
      <name val="Arial"/>
      <family val="2"/>
    </font>
    <font>
      <b/>
      <sz val="11"/>
      <color rgb="FF7030A0"/>
      <name val="Calibri"/>
      <family val="2"/>
    </font>
    <font>
      <sz val="8"/>
      <color rgb="FF404E67"/>
      <name val="Quattrocento Sans"/>
      <family val="2"/>
    </font>
    <font>
      <sz val="12"/>
      <color rgb="FF404E67"/>
      <name val="Quattrocento Sans"/>
      <family val="2"/>
    </font>
    <font>
      <b/>
      <sz val="14"/>
      <color rgb="FF00B050"/>
      <name val="Cambria"/>
      <family val="1"/>
    </font>
    <font>
      <b/>
      <sz val="14"/>
      <color rgb="FFFF0000"/>
      <name val="Cambria"/>
      <family val="1"/>
    </font>
    <font>
      <b/>
      <sz val="14"/>
      <color rgb="FFC00000"/>
      <name val="Calibri"/>
      <family val="2"/>
    </font>
    <font>
      <sz val="11"/>
      <color rgb="FF00B0F0"/>
      <name val="Calibri"/>
      <family val="2"/>
    </font>
    <font>
      <sz val="16"/>
      <color rgb="FFFF0000"/>
      <name val="Calibri"/>
      <family val="2"/>
    </font>
    <font>
      <b/>
      <sz val="18"/>
      <color rgb="FFFF0000"/>
      <name val="Calibri"/>
      <family val="2"/>
    </font>
    <font>
      <b/>
      <sz val="18"/>
      <color rgb="FF00B050"/>
      <name val="Calibri"/>
      <family val="2"/>
    </font>
    <font>
      <sz val="11"/>
      <color rgb="FF035B95"/>
      <name val="Allianzb"/>
    </font>
    <font>
      <u/>
      <sz val="11"/>
      <color theme="10"/>
      <name val="Calibri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u/>
      <sz val="9"/>
      <color rgb="FF00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b/>
      <sz val="14"/>
      <color rgb="FF00B050"/>
      <name val="Calibri"/>
      <family val="2"/>
    </font>
    <font>
      <sz val="14"/>
      <color rgb="FF0070C0"/>
      <name val="Calibri"/>
      <family val="2"/>
    </font>
    <font>
      <b/>
      <u/>
      <sz val="14"/>
      <color rgb="FF00B050"/>
      <name val="Calibri"/>
      <family val="2"/>
    </font>
    <font>
      <b/>
      <u/>
      <sz val="11"/>
      <color rgb="FF00B050"/>
      <name val="Calibri"/>
      <family val="2"/>
    </font>
    <font>
      <b/>
      <sz val="11"/>
      <color rgb="FF00B050"/>
      <name val="Arial"/>
      <family val="2"/>
    </font>
    <font>
      <b/>
      <u/>
      <sz val="14"/>
      <color rgb="FF00B050"/>
      <name val="Calibri"/>
      <family val="2"/>
    </font>
    <font>
      <u/>
      <sz val="14"/>
      <color rgb="FF0000FF"/>
      <name val="Calibri"/>
      <family val="2"/>
    </font>
    <font>
      <sz val="14"/>
      <color rgb="FF00B050"/>
      <name val="Calibri"/>
      <family val="2"/>
    </font>
    <font>
      <u/>
      <sz val="14"/>
      <color theme="10"/>
      <name val="Calibri"/>
      <family val="2"/>
    </font>
    <font>
      <b/>
      <sz val="14"/>
      <color rgb="FF00000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Calibri"/>
      <family val="2"/>
    </font>
    <font>
      <b/>
      <sz val="11"/>
      <color rgb="FF4DA9FF"/>
      <name val="Arial"/>
      <family val="2"/>
    </font>
    <font>
      <b/>
      <u/>
      <sz val="11"/>
      <color rgb="FF2A6496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C763D"/>
      <name val="Verdana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0"/>
      <name val="Calibri"/>
      <family val="2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Roboto"/>
    </font>
    <font>
      <u/>
      <sz val="11"/>
      <color rgb="FFFF0000"/>
      <name val="Calibri"/>
      <family val="2"/>
      <scheme val="minor"/>
    </font>
    <font>
      <b/>
      <sz val="11"/>
      <color rgb="FF484646"/>
      <name val="Arial"/>
      <family val="2"/>
    </font>
    <font>
      <sz val="14"/>
      <color rgb="FFFF0000"/>
      <name val="Calibri"/>
      <family val="2"/>
      <scheme val="minor"/>
    </font>
    <font>
      <sz val="12"/>
      <color rgb="FF404E67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36C09"/>
        <bgColor rgb="FFE36C09"/>
      </patternFill>
    </fill>
    <fill>
      <patternFill patternType="solid">
        <fgColor rgb="FFCCCCFF"/>
        <bgColor rgb="FFCCCCFF"/>
      </patternFill>
    </fill>
    <fill>
      <patternFill patternType="solid">
        <fgColor rgb="FFFFC000"/>
        <bgColor rgb="FFFFC000"/>
      </patternFill>
    </fill>
    <fill>
      <patternFill patternType="solid">
        <fgColor rgb="FFEEEEEE"/>
        <bgColor rgb="FFEEEEEE"/>
      </patternFill>
    </fill>
    <fill>
      <patternFill patternType="solid">
        <fgColor theme="0"/>
        <bgColor theme="0"/>
      </patternFill>
    </fill>
    <fill>
      <patternFill patternType="solid">
        <fgColor rgb="FFECF0F1"/>
        <bgColor rgb="FFECF0F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6F7F8"/>
        <bgColor rgb="FFF6F7F8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94" fillId="0" borderId="0" applyNumberFormat="0" applyFill="0" applyBorder="0" applyAlignment="0" applyProtection="0"/>
    <xf numFmtId="0" fontId="608" fillId="18" borderId="0" applyNumberFormat="0" applyBorder="0" applyAlignment="0" applyProtection="0"/>
  </cellStyleXfs>
  <cellXfs count="1016">
    <xf numFmtId="0" fontId="0" fillId="0" borderId="0" xfId="0"/>
    <xf numFmtId="14" fontId="481" fillId="0" borderId="0" xfId="0" applyNumberFormat="1" applyFont="1"/>
    <xf numFmtId="0" fontId="481" fillId="0" borderId="0" xfId="0" applyFont="1" applyAlignment="1">
      <alignment horizontal="center"/>
    </xf>
    <xf numFmtId="0" fontId="481" fillId="0" borderId="0" xfId="0" applyFont="1"/>
    <xf numFmtId="14" fontId="482" fillId="0" borderId="0" xfId="0" applyNumberFormat="1" applyFont="1"/>
    <xf numFmtId="0" fontId="482" fillId="0" borderId="0" xfId="0" applyFont="1" applyAlignment="1">
      <alignment horizontal="center"/>
    </xf>
    <xf numFmtId="0" fontId="482" fillId="0" borderId="0" xfId="0" applyFont="1"/>
    <xf numFmtId="0" fontId="482" fillId="0" borderId="0" xfId="0" applyFont="1" applyAlignment="1">
      <alignment horizontal="left"/>
    </xf>
    <xf numFmtId="0" fontId="482" fillId="2" borderId="1" xfId="0" applyFont="1" applyFill="1" applyBorder="1" applyAlignment="1">
      <alignment horizontal="left"/>
    </xf>
    <xf numFmtId="20" fontId="482" fillId="0" borderId="0" xfId="0" applyNumberFormat="1" applyFont="1" applyAlignment="1">
      <alignment horizontal="left"/>
    </xf>
    <xf numFmtId="0" fontId="482" fillId="3" borderId="1" xfId="0" applyFont="1" applyFill="1" applyBorder="1"/>
    <xf numFmtId="0" fontId="482" fillId="4" borderId="1" xfId="0" applyFont="1" applyFill="1" applyBorder="1"/>
    <xf numFmtId="2" fontId="482" fillId="0" borderId="0" xfId="0" applyNumberFormat="1" applyFont="1"/>
    <xf numFmtId="1" fontId="482" fillId="0" borderId="0" xfId="0" applyNumberFormat="1" applyFont="1"/>
    <xf numFmtId="0" fontId="483" fillId="0" borderId="0" xfId="0" applyFont="1" applyAlignment="1">
      <alignment horizontal="center"/>
    </xf>
    <xf numFmtId="0" fontId="483" fillId="0" borderId="0" xfId="0" applyFont="1"/>
    <xf numFmtId="0" fontId="482" fillId="0" borderId="0" xfId="0" applyFont="1" applyAlignment="1">
      <alignment horizontal="right"/>
    </xf>
    <xf numFmtId="14" fontId="482" fillId="0" borderId="0" xfId="0" applyNumberFormat="1" applyFont="1" applyAlignment="1">
      <alignment horizontal="right"/>
    </xf>
    <xf numFmtId="49" fontId="482" fillId="0" borderId="0" xfId="0" applyNumberFormat="1" applyFont="1"/>
    <xf numFmtId="49" fontId="482" fillId="0" borderId="0" xfId="0" applyNumberFormat="1" applyFont="1" applyAlignment="1">
      <alignment horizontal="center"/>
    </xf>
    <xf numFmtId="14" fontId="482" fillId="0" borderId="0" xfId="0" applyNumberFormat="1" applyFont="1" applyAlignment="1">
      <alignment horizontal="center"/>
    </xf>
    <xf numFmtId="15" fontId="482" fillId="0" borderId="0" xfId="0" applyNumberFormat="1" applyFont="1" applyAlignment="1">
      <alignment horizontal="right"/>
    </xf>
    <xf numFmtId="15" fontId="482" fillId="0" borderId="0" xfId="0" applyNumberFormat="1" applyFont="1" applyAlignment="1">
      <alignment horizontal="left"/>
    </xf>
    <xf numFmtId="14" fontId="482" fillId="0" borderId="0" xfId="0" applyNumberFormat="1" applyFont="1" applyAlignment="1">
      <alignment horizontal="left"/>
    </xf>
    <xf numFmtId="0" fontId="484" fillId="0" borderId="0" xfId="0" applyFont="1"/>
    <xf numFmtId="14" fontId="484" fillId="0" borderId="0" xfId="0" applyNumberFormat="1" applyFont="1" applyAlignment="1">
      <alignment horizontal="right"/>
    </xf>
    <xf numFmtId="15" fontId="485" fillId="0" borderId="0" xfId="0" applyNumberFormat="1" applyFont="1" applyAlignment="1">
      <alignment horizontal="right"/>
    </xf>
    <xf numFmtId="15" fontId="485" fillId="0" borderId="0" xfId="0" applyNumberFormat="1" applyFont="1"/>
    <xf numFmtId="0" fontId="485" fillId="0" borderId="0" xfId="0" applyFont="1"/>
    <xf numFmtId="0" fontId="485" fillId="0" borderId="0" xfId="0" applyFont="1" applyAlignment="1">
      <alignment horizontal="right"/>
    </xf>
    <xf numFmtId="0" fontId="486" fillId="0" borderId="0" xfId="0" applyFont="1"/>
    <xf numFmtId="0" fontId="487" fillId="0" borderId="0" xfId="0" applyFont="1" applyAlignment="1">
      <alignment horizontal="right" vertical="center" wrapText="1"/>
    </xf>
    <xf numFmtId="0" fontId="487" fillId="0" borderId="0" xfId="0" applyFont="1" applyAlignment="1">
      <alignment horizontal="left" vertical="center" wrapText="1"/>
    </xf>
    <xf numFmtId="0" fontId="484" fillId="0" borderId="0" xfId="0" applyFont="1" applyAlignment="1">
      <alignment vertical="center" wrapText="1"/>
    </xf>
    <xf numFmtId="0" fontId="482" fillId="0" borderId="0" xfId="0" applyFont="1" applyAlignment="1">
      <alignment horizontal="right" vertical="center" wrapText="1"/>
    </xf>
    <xf numFmtId="0" fontId="482" fillId="0" borderId="0" xfId="0" applyFont="1" applyAlignment="1">
      <alignment vertical="center" wrapText="1"/>
    </xf>
    <xf numFmtId="15" fontId="487" fillId="0" borderId="0" xfId="0" applyNumberFormat="1" applyFont="1" applyAlignment="1">
      <alignment horizontal="right" vertical="center" wrapText="1"/>
    </xf>
    <xf numFmtId="0" fontId="486" fillId="0" borderId="0" xfId="0" applyFont="1" applyAlignment="1">
      <alignment vertical="center" wrapText="1"/>
    </xf>
    <xf numFmtId="0" fontId="488" fillId="0" borderId="0" xfId="0" applyFont="1"/>
    <xf numFmtId="0" fontId="482" fillId="0" borderId="0" xfId="0" applyFont="1" applyAlignment="1">
      <alignment wrapText="1"/>
    </xf>
    <xf numFmtId="0" fontId="482" fillId="3" borderId="1" xfId="0" applyFont="1" applyFill="1" applyBorder="1" applyAlignment="1">
      <alignment horizontal="center"/>
    </xf>
    <xf numFmtId="49" fontId="482" fillId="3" borderId="1" xfId="0" applyNumberFormat="1" applyFont="1" applyFill="1" applyBorder="1"/>
    <xf numFmtId="49" fontId="482" fillId="3" borderId="1" xfId="0" applyNumberFormat="1" applyFont="1" applyFill="1" applyBorder="1" applyAlignment="1">
      <alignment horizontal="center"/>
    </xf>
    <xf numFmtId="14" fontId="482" fillId="3" borderId="1" xfId="0" applyNumberFormat="1" applyFont="1" applyFill="1" applyBorder="1" applyAlignment="1">
      <alignment horizontal="center"/>
    </xf>
    <xf numFmtId="0" fontId="489" fillId="0" borderId="0" xfId="0" applyFont="1" applyAlignment="1">
      <alignment horizontal="left" vertical="center" wrapText="1"/>
    </xf>
    <xf numFmtId="0" fontId="490" fillId="0" borderId="0" xfId="0" applyFont="1" applyAlignment="1">
      <alignment horizontal="left" vertical="center" wrapText="1"/>
    </xf>
    <xf numFmtId="15" fontId="487" fillId="0" borderId="0" xfId="0" applyNumberFormat="1" applyFont="1" applyAlignment="1">
      <alignment horizontal="left" vertical="center" wrapText="1"/>
    </xf>
    <xf numFmtId="0" fontId="491" fillId="0" borderId="0" xfId="0" applyFont="1"/>
    <xf numFmtId="0" fontId="492" fillId="0" borderId="0" xfId="0" applyFont="1"/>
    <xf numFmtId="0" fontId="493" fillId="0" borderId="0" xfId="0" applyFont="1" applyAlignment="1">
      <alignment horizontal="right" vertical="center" wrapText="1"/>
    </xf>
    <xf numFmtId="0" fontId="493" fillId="0" borderId="0" xfId="0" applyFont="1" applyAlignment="1">
      <alignment horizontal="left" vertical="center" wrapText="1"/>
    </xf>
    <xf numFmtId="0" fontId="494" fillId="0" borderId="0" xfId="0" applyFont="1" applyAlignment="1">
      <alignment horizontal="left" vertical="center" wrapText="1"/>
    </xf>
    <xf numFmtId="0" fontId="482" fillId="5" borderId="1" xfId="0" applyFont="1" applyFill="1" applyBorder="1" applyAlignment="1">
      <alignment horizontal="center"/>
    </xf>
    <xf numFmtId="49" fontId="482" fillId="5" borderId="1" xfId="0" applyNumberFormat="1" applyFont="1" applyFill="1" applyBorder="1"/>
    <xf numFmtId="0" fontId="482" fillId="5" borderId="1" xfId="0" applyFont="1" applyFill="1" applyBorder="1"/>
    <xf numFmtId="49" fontId="482" fillId="5" borderId="1" xfId="0" applyNumberFormat="1" applyFont="1" applyFill="1" applyBorder="1" applyAlignment="1">
      <alignment horizontal="center"/>
    </xf>
    <xf numFmtId="14" fontId="482" fillId="5" borderId="1" xfId="0" applyNumberFormat="1" applyFont="1" applyFill="1" applyBorder="1" applyAlignment="1">
      <alignment horizontal="center"/>
    </xf>
    <xf numFmtId="0" fontId="486" fillId="5" borderId="1" xfId="0" applyFont="1" applyFill="1" applyBorder="1"/>
    <xf numFmtId="0" fontId="482" fillId="5" borderId="1" xfId="0" applyFont="1" applyFill="1" applyBorder="1" applyAlignment="1">
      <alignment horizontal="right"/>
    </xf>
    <xf numFmtId="0" fontId="482" fillId="5" borderId="1" xfId="0" applyFont="1" applyFill="1" applyBorder="1" applyAlignment="1">
      <alignment horizontal="left"/>
    </xf>
    <xf numFmtId="0" fontId="495" fillId="0" borderId="0" xfId="0" applyFont="1"/>
    <xf numFmtId="0" fontId="496" fillId="0" borderId="0" xfId="0" applyFont="1"/>
    <xf numFmtId="49" fontId="491" fillId="0" borderId="0" xfId="0" applyNumberFormat="1" applyFont="1"/>
    <xf numFmtId="49" fontId="491" fillId="0" borderId="0" xfId="0" applyNumberFormat="1" applyFont="1" applyAlignment="1">
      <alignment horizontal="center"/>
    </xf>
    <xf numFmtId="14" fontId="491" fillId="0" borderId="0" xfId="0" applyNumberFormat="1" applyFont="1" applyAlignment="1">
      <alignment horizontal="center"/>
    </xf>
    <xf numFmtId="0" fontId="491" fillId="0" borderId="0" xfId="0" applyFont="1" applyAlignment="1">
      <alignment horizontal="center"/>
    </xf>
    <xf numFmtId="0" fontId="491" fillId="0" borderId="0" xfId="0" applyFont="1" applyAlignment="1">
      <alignment horizontal="right"/>
    </xf>
    <xf numFmtId="0" fontId="482" fillId="0" borderId="2" xfId="0" applyFont="1" applyBorder="1" applyAlignment="1">
      <alignment vertical="center" wrapText="1"/>
    </xf>
    <xf numFmtId="0" fontId="482" fillId="0" borderId="3" xfId="0" applyFont="1" applyBorder="1" applyAlignment="1">
      <alignment vertical="center" wrapText="1"/>
    </xf>
    <xf numFmtId="0" fontId="482" fillId="2" borderId="1" xfId="0" applyFont="1" applyFill="1" applyBorder="1" applyAlignment="1">
      <alignment horizontal="center"/>
    </xf>
    <xf numFmtId="0" fontId="482" fillId="2" borderId="1" xfId="0" applyFont="1" applyFill="1" applyBorder="1"/>
    <xf numFmtId="49" fontId="482" fillId="2" borderId="1" xfId="0" applyNumberFormat="1" applyFont="1" applyFill="1" applyBorder="1" applyAlignment="1">
      <alignment horizontal="center"/>
    </xf>
    <xf numFmtId="14" fontId="482" fillId="2" borderId="1" xfId="0" applyNumberFormat="1" applyFont="1" applyFill="1" applyBorder="1" applyAlignment="1">
      <alignment horizontal="center"/>
    </xf>
    <xf numFmtId="0" fontId="491" fillId="2" borderId="1" xfId="0" applyFont="1" applyFill="1" applyBorder="1" applyAlignment="1">
      <alignment horizontal="center"/>
    </xf>
    <xf numFmtId="49" fontId="491" fillId="2" borderId="1" xfId="0" applyNumberFormat="1" applyFont="1" applyFill="1" applyBorder="1"/>
    <xf numFmtId="0" fontId="491" fillId="2" borderId="1" xfId="0" applyFont="1" applyFill="1" applyBorder="1"/>
    <xf numFmtId="49" fontId="491" fillId="2" borderId="1" xfId="0" applyNumberFormat="1" applyFont="1" applyFill="1" applyBorder="1" applyAlignment="1">
      <alignment horizontal="center"/>
    </xf>
    <xf numFmtId="0" fontId="491" fillId="2" borderId="1" xfId="0" applyFont="1" applyFill="1" applyBorder="1" applyAlignment="1">
      <alignment horizontal="right"/>
    </xf>
    <xf numFmtId="0" fontId="491" fillId="2" borderId="1" xfId="0" applyFont="1" applyFill="1" applyBorder="1" applyAlignment="1">
      <alignment horizontal="left"/>
    </xf>
    <xf numFmtId="16" fontId="482" fillId="0" borderId="0" xfId="0" applyNumberFormat="1" applyFont="1" applyAlignment="1">
      <alignment horizontal="right"/>
    </xf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482" fillId="4" borderId="1" xfId="0" applyFont="1" applyFill="1" applyBorder="1" applyAlignment="1">
      <alignment horizontal="center"/>
    </xf>
    <xf numFmtId="49" fontId="482" fillId="4" borderId="1" xfId="0" applyNumberFormat="1" applyFont="1" applyFill="1" applyBorder="1"/>
    <xf numFmtId="49" fontId="482" fillId="4" borderId="1" xfId="0" applyNumberFormat="1" applyFont="1" applyFill="1" applyBorder="1" applyAlignment="1">
      <alignment horizontal="center"/>
    </xf>
    <xf numFmtId="14" fontId="482" fillId="4" borderId="1" xfId="0" applyNumberFormat="1" applyFont="1" applyFill="1" applyBorder="1" applyAlignment="1">
      <alignment horizontal="center"/>
    </xf>
    <xf numFmtId="0" fontId="482" fillId="4" borderId="1" xfId="0" applyFont="1" applyFill="1" applyBorder="1" applyAlignment="1">
      <alignment horizontal="right"/>
    </xf>
    <xf numFmtId="0" fontId="482" fillId="4" borderId="1" xfId="0" applyFont="1" applyFill="1" applyBorder="1" applyAlignment="1">
      <alignment horizontal="left"/>
    </xf>
    <xf numFmtId="14" fontId="482" fillId="4" borderId="1" xfId="0" applyNumberFormat="1" applyFont="1" applyFill="1" applyBorder="1" applyAlignment="1">
      <alignment horizontal="right"/>
    </xf>
    <xf numFmtId="0" fontId="484" fillId="4" borderId="1" xfId="0" applyFont="1" applyFill="1" applyBorder="1"/>
    <xf numFmtId="0" fontId="501" fillId="0" borderId="0" xfId="0" applyFont="1"/>
    <xf numFmtId="0" fontId="495" fillId="4" borderId="1" xfId="0" applyFont="1" applyFill="1" applyBorder="1"/>
    <xf numFmtId="0" fontId="502" fillId="0" borderId="0" xfId="0" applyFont="1"/>
    <xf numFmtId="49" fontId="482" fillId="2" borderId="1" xfId="0" applyNumberFormat="1" applyFont="1" applyFill="1" applyBorder="1"/>
    <xf numFmtId="49" fontId="482" fillId="0" borderId="0" xfId="0" applyNumberFormat="1" applyFont="1" applyAlignment="1">
      <alignment horizontal="left"/>
    </xf>
    <xf numFmtId="0" fontId="491" fillId="0" borderId="0" xfId="0" applyFont="1" applyAlignment="1">
      <alignment horizontal="left"/>
    </xf>
    <xf numFmtId="14" fontId="491" fillId="0" borderId="0" xfId="0" applyNumberFormat="1" applyFont="1" applyAlignment="1">
      <alignment horizontal="right"/>
    </xf>
    <xf numFmtId="0" fontId="503" fillId="0" borderId="0" xfId="0" applyFont="1" applyAlignment="1">
      <alignment horizontal="center"/>
    </xf>
    <xf numFmtId="49" fontId="503" fillId="0" borderId="0" xfId="0" applyNumberFormat="1" applyFont="1"/>
    <xf numFmtId="0" fontId="503" fillId="0" borderId="0" xfId="0" applyFont="1"/>
    <xf numFmtId="49" fontId="503" fillId="0" borderId="0" xfId="0" applyNumberFormat="1" applyFont="1" applyAlignment="1">
      <alignment horizontal="center"/>
    </xf>
    <xf numFmtId="0" fontId="503" fillId="0" borderId="0" xfId="0" applyFont="1" applyAlignment="1">
      <alignment horizontal="right"/>
    </xf>
    <xf numFmtId="0" fontId="503" fillId="0" borderId="0" xfId="0" applyFont="1" applyAlignment="1">
      <alignment horizontal="left"/>
    </xf>
    <xf numFmtId="14" fontId="503" fillId="0" borderId="0" xfId="0" applyNumberFormat="1" applyFont="1" applyAlignment="1">
      <alignment horizontal="right"/>
    </xf>
    <xf numFmtId="14" fontId="482" fillId="4" borderId="1" xfId="0" applyNumberFormat="1" applyFont="1" applyFill="1" applyBorder="1"/>
    <xf numFmtId="14" fontId="482" fillId="4" borderId="1" xfId="0" applyNumberFormat="1" applyFont="1" applyFill="1" applyBorder="1" applyAlignment="1">
      <alignment horizontal="center" vertical="top"/>
    </xf>
    <xf numFmtId="0" fontId="497" fillId="4" borderId="1" xfId="0" applyFont="1" applyFill="1" applyBorder="1"/>
    <xf numFmtId="14" fontId="482" fillId="0" borderId="0" xfId="0" applyNumberFormat="1" applyFont="1" applyAlignment="1">
      <alignment horizontal="center" vertical="top"/>
    </xf>
    <xf numFmtId="0" fontId="504" fillId="0" borderId="0" xfId="0" applyFont="1"/>
    <xf numFmtId="49" fontId="482" fillId="0" borderId="0" xfId="0" applyNumberFormat="1" applyFont="1" applyAlignment="1">
      <alignment horizontal="center" vertical="center"/>
    </xf>
    <xf numFmtId="14" fontId="482" fillId="0" borderId="0" xfId="0" applyNumberFormat="1" applyFont="1" applyAlignment="1">
      <alignment horizontal="center" vertical="center"/>
    </xf>
    <xf numFmtId="49" fontId="482" fillId="0" borderId="0" xfId="0" applyNumberFormat="1" applyFont="1" applyAlignment="1">
      <alignment horizontal="left" vertical="top"/>
    </xf>
    <xf numFmtId="49" fontId="482" fillId="4" borderId="1" xfId="0" applyNumberFormat="1" applyFont="1" applyFill="1" applyBorder="1" applyAlignment="1">
      <alignment horizontal="left"/>
    </xf>
    <xf numFmtId="49" fontId="482" fillId="4" borderId="1" xfId="0" applyNumberFormat="1" applyFont="1" applyFill="1" applyBorder="1" applyAlignment="1">
      <alignment horizontal="center" vertical="center"/>
    </xf>
    <xf numFmtId="0" fontId="482" fillId="6" borderId="1" xfId="0" applyFont="1" applyFill="1" applyBorder="1" applyAlignment="1">
      <alignment horizontal="center"/>
    </xf>
    <xf numFmtId="49" fontId="482" fillId="6" borderId="1" xfId="0" applyNumberFormat="1" applyFont="1" applyFill="1" applyBorder="1"/>
    <xf numFmtId="0" fontId="482" fillId="6" borderId="1" xfId="0" applyFont="1" applyFill="1" applyBorder="1"/>
    <xf numFmtId="49" fontId="482" fillId="6" borderId="1" xfId="0" applyNumberFormat="1" applyFont="1" applyFill="1" applyBorder="1" applyAlignment="1">
      <alignment horizontal="center"/>
    </xf>
    <xf numFmtId="49" fontId="482" fillId="6" borderId="1" xfId="0" applyNumberFormat="1" applyFont="1" applyFill="1" applyBorder="1" applyAlignment="1">
      <alignment horizontal="center" vertical="center"/>
    </xf>
    <xf numFmtId="0" fontId="482" fillId="6" borderId="1" xfId="0" applyFont="1" applyFill="1" applyBorder="1" applyAlignment="1">
      <alignment horizontal="right"/>
    </xf>
    <xf numFmtId="0" fontId="482" fillId="6" borderId="1" xfId="0" applyFont="1" applyFill="1" applyBorder="1" applyAlignment="1">
      <alignment horizontal="left"/>
    </xf>
    <xf numFmtId="14" fontId="482" fillId="6" borderId="1" xfId="0" applyNumberFormat="1" applyFont="1" applyFill="1" applyBorder="1" applyAlignment="1">
      <alignment horizontal="right"/>
    </xf>
    <xf numFmtId="49" fontId="482" fillId="4" borderId="1" xfId="0" applyNumberFormat="1" applyFont="1" applyFill="1" applyBorder="1" applyAlignment="1">
      <alignment horizontal="left" vertical="top"/>
    </xf>
    <xf numFmtId="0" fontId="505" fillId="0" borderId="0" xfId="0" applyFont="1"/>
    <xf numFmtId="0" fontId="482" fillId="0" borderId="0" xfId="0" applyFont="1" applyAlignment="1">
      <alignment horizontal="left" vertical="top"/>
    </xf>
    <xf numFmtId="0" fontId="506" fillId="0" borderId="0" xfId="0" applyFont="1" applyAlignment="1">
      <alignment horizontal="right"/>
    </xf>
    <xf numFmtId="0" fontId="507" fillId="0" borderId="0" xfId="0" applyFont="1"/>
    <xf numFmtId="0" fontId="491" fillId="0" borderId="0" xfId="0" applyFont="1" applyAlignment="1">
      <alignment horizontal="left" vertical="top"/>
    </xf>
    <xf numFmtId="0" fontId="482" fillId="0" borderId="0" xfId="0" applyFont="1" applyAlignment="1">
      <alignment horizontal="right" vertical="top"/>
    </xf>
    <xf numFmtId="1" fontId="482" fillId="0" borderId="0" xfId="0" applyNumberFormat="1" applyFont="1" applyAlignment="1">
      <alignment vertical="center"/>
    </xf>
    <xf numFmtId="14" fontId="482" fillId="2" borderId="1" xfId="0" applyNumberFormat="1" applyFont="1" applyFill="1" applyBorder="1"/>
    <xf numFmtId="0" fontId="482" fillId="2" borderId="1" xfId="0" applyFont="1" applyFill="1" applyBorder="1" applyAlignment="1">
      <alignment horizontal="left" vertical="top"/>
    </xf>
    <xf numFmtId="0" fontId="508" fillId="0" borderId="0" xfId="0" applyFont="1"/>
    <xf numFmtId="0" fontId="509" fillId="0" borderId="0" xfId="0" applyFont="1" applyAlignment="1">
      <alignment horizontal="left" vertical="top"/>
    </xf>
    <xf numFmtId="0" fontId="482" fillId="4" borderId="1" xfId="0" applyFont="1" applyFill="1" applyBorder="1" applyAlignment="1">
      <alignment horizontal="left" vertical="top"/>
    </xf>
    <xf numFmtId="0" fontId="506" fillId="0" borderId="0" xfId="0" applyFont="1"/>
    <xf numFmtId="49" fontId="510" fillId="0" borderId="0" xfId="0" applyNumberFormat="1" applyFont="1" applyAlignment="1">
      <alignment horizontal="center"/>
    </xf>
    <xf numFmtId="14" fontId="482" fillId="0" borderId="0" xfId="0" applyNumberFormat="1" applyFont="1" applyAlignment="1">
      <alignment horizontal="left" vertical="top"/>
    </xf>
    <xf numFmtId="0" fontId="511" fillId="4" borderId="1" xfId="0" applyFont="1" applyFill="1" applyBorder="1"/>
    <xf numFmtId="0" fontId="512" fillId="0" borderId="0" xfId="0" applyFont="1"/>
    <xf numFmtId="49" fontId="506" fillId="0" borderId="0" xfId="0" applyNumberFormat="1" applyFont="1" applyAlignment="1">
      <alignment horizontal="center"/>
    </xf>
    <xf numFmtId="49" fontId="513" fillId="0" borderId="0" xfId="0" applyNumberFormat="1" applyFont="1"/>
    <xf numFmtId="0" fontId="513" fillId="0" borderId="0" xfId="0" applyFont="1"/>
    <xf numFmtId="49" fontId="513" fillId="0" borderId="0" xfId="0" applyNumberFormat="1" applyFont="1" applyAlignment="1">
      <alignment horizontal="center"/>
    </xf>
    <xf numFmtId="0" fontId="513" fillId="0" borderId="0" xfId="0" applyFont="1" applyAlignment="1">
      <alignment horizontal="center"/>
    </xf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6" fillId="0" borderId="0" xfId="0" applyFont="1" applyAlignment="1">
      <alignment horizontal="center"/>
    </xf>
    <xf numFmtId="0" fontId="516" fillId="2" borderId="4" xfId="0" applyFont="1" applyFill="1" applyBorder="1" applyAlignment="1">
      <alignment horizontal="center"/>
    </xf>
    <xf numFmtId="164" fontId="482" fillId="0" borderId="0" xfId="0" applyNumberFormat="1" applyFont="1"/>
    <xf numFmtId="164" fontId="482" fillId="0" borderId="0" xfId="0" applyNumberFormat="1" applyFont="1" applyAlignment="1">
      <alignment horizontal="center"/>
    </xf>
    <xf numFmtId="0" fontId="482" fillId="0" borderId="0" xfId="0" applyFont="1" applyAlignment="1">
      <alignment vertical="center"/>
    </xf>
    <xf numFmtId="0" fontId="484" fillId="2" borderId="4" xfId="0" applyFont="1" applyFill="1" applyBorder="1" applyAlignment="1">
      <alignment horizontal="center"/>
    </xf>
    <xf numFmtId="164" fontId="491" fillId="0" borderId="0" xfId="0" applyNumberFormat="1" applyFont="1"/>
    <xf numFmtId="164" fontId="491" fillId="0" borderId="0" xfId="0" applyNumberFormat="1" applyFont="1" applyAlignment="1">
      <alignment horizontal="center"/>
    </xf>
    <xf numFmtId="14" fontId="491" fillId="0" borderId="0" xfId="0" applyNumberFormat="1" applyFont="1"/>
    <xf numFmtId="164" fontId="514" fillId="0" borderId="0" xfId="0" applyNumberFormat="1" applyFont="1"/>
    <xf numFmtId="164" fontId="514" fillId="0" borderId="0" xfId="0" applyNumberFormat="1" applyFont="1" applyAlignment="1">
      <alignment horizontal="center"/>
    </xf>
    <xf numFmtId="0" fontId="517" fillId="2" borderId="4" xfId="0" applyFont="1" applyFill="1" applyBorder="1" applyAlignment="1">
      <alignment horizontal="center"/>
    </xf>
    <xf numFmtId="0" fontId="514" fillId="0" borderId="0" xfId="0" applyFont="1" applyAlignment="1">
      <alignment horizontal="right"/>
    </xf>
    <xf numFmtId="0" fontId="518" fillId="0" borderId="0" xfId="0" applyFont="1"/>
    <xf numFmtId="0" fontId="519" fillId="7" borderId="1" xfId="0" applyFont="1" applyFill="1" applyBorder="1" applyAlignment="1">
      <alignment vertical="center" wrapText="1"/>
    </xf>
    <xf numFmtId="0" fontId="520" fillId="4" borderId="1" xfId="0" applyFont="1" applyFill="1" applyBorder="1"/>
    <xf numFmtId="0" fontId="521" fillId="2" borderId="4" xfId="0" applyFont="1" applyFill="1" applyBorder="1" applyAlignment="1">
      <alignment horizontal="center"/>
    </xf>
    <xf numFmtId="0" fontId="520" fillId="4" borderId="1" xfId="0" applyFont="1" applyFill="1" applyBorder="1" applyAlignment="1">
      <alignment horizontal="right"/>
    </xf>
    <xf numFmtId="1" fontId="482" fillId="0" borderId="0" xfId="0" applyNumberFormat="1" applyFont="1" applyAlignment="1">
      <alignment horizontal="right"/>
    </xf>
    <xf numFmtId="0" fontId="518" fillId="0" borderId="5" xfId="0" applyFont="1" applyBorder="1"/>
    <xf numFmtId="0" fontId="520" fillId="4" borderId="4" xfId="0" applyFont="1" applyFill="1" applyBorder="1"/>
    <xf numFmtId="164" fontId="482" fillId="8" borderId="1" xfId="0" applyNumberFormat="1" applyFont="1" applyFill="1" applyBorder="1"/>
    <xf numFmtId="164" fontId="482" fillId="8" borderId="1" xfId="0" applyNumberFormat="1" applyFont="1" applyFill="1" applyBorder="1" applyAlignment="1">
      <alignment horizontal="center"/>
    </xf>
    <xf numFmtId="0" fontId="482" fillId="8" borderId="1" xfId="0" applyFont="1" applyFill="1" applyBorder="1"/>
    <xf numFmtId="1" fontId="482" fillId="8" borderId="1" xfId="0" applyNumberFormat="1" applyFont="1" applyFill="1" applyBorder="1" applyAlignment="1">
      <alignment horizontal="right"/>
    </xf>
    <xf numFmtId="164" fontId="482" fillId="4" borderId="1" xfId="0" applyNumberFormat="1" applyFont="1" applyFill="1" applyBorder="1"/>
    <xf numFmtId="164" fontId="482" fillId="4" borderId="1" xfId="0" applyNumberFormat="1" applyFont="1" applyFill="1" applyBorder="1" applyAlignment="1">
      <alignment horizontal="center"/>
    </xf>
    <xf numFmtId="0" fontId="522" fillId="0" borderId="0" xfId="0" applyFont="1"/>
    <xf numFmtId="0" fontId="482" fillId="0" borderId="5" xfId="0" applyFont="1" applyBorder="1"/>
    <xf numFmtId="0" fontId="523" fillId="0" borderId="0" xfId="0" applyFont="1" applyAlignment="1">
      <alignment vertical="center" wrapText="1"/>
    </xf>
    <xf numFmtId="0" fontId="524" fillId="0" borderId="0" xfId="0" applyFont="1" applyAlignment="1">
      <alignment vertical="center" wrapText="1"/>
    </xf>
    <xf numFmtId="0" fontId="523" fillId="4" borderId="1" xfId="0" applyFont="1" applyFill="1" applyBorder="1" applyAlignment="1">
      <alignment vertical="center" wrapText="1"/>
    </xf>
    <xf numFmtId="0" fontId="491" fillId="8" borderId="1" xfId="0" applyFont="1" applyFill="1" applyBorder="1"/>
    <xf numFmtId="14" fontId="482" fillId="8" borderId="1" xfId="0" applyNumberFormat="1" applyFont="1" applyFill="1" applyBorder="1"/>
    <xf numFmtId="0" fontId="482" fillId="8" borderId="1" xfId="0" applyFont="1" applyFill="1" applyBorder="1" applyAlignment="1">
      <alignment horizontal="center"/>
    </xf>
    <xf numFmtId="0" fontId="482" fillId="8" borderId="1" xfId="0" applyFont="1" applyFill="1" applyBorder="1" applyAlignment="1">
      <alignment horizontal="right"/>
    </xf>
    <xf numFmtId="0" fontId="518" fillId="4" borderId="1" xfId="0" applyFont="1" applyFill="1" applyBorder="1"/>
    <xf numFmtId="0" fontId="525" fillId="9" borderId="1" xfId="0" applyFont="1" applyFill="1" applyBorder="1" applyAlignment="1">
      <alignment vertical="center" wrapText="1"/>
    </xf>
    <xf numFmtId="0" fontId="526" fillId="4" borderId="1" xfId="0" applyFont="1" applyFill="1" applyBorder="1"/>
    <xf numFmtId="0" fontId="527" fillId="4" borderId="5" xfId="0" applyFont="1" applyFill="1" applyBorder="1" applyAlignment="1">
      <alignment vertical="center" wrapText="1"/>
    </xf>
    <xf numFmtId="0" fontId="520" fillId="4" borderId="1" xfId="0" applyFont="1" applyFill="1" applyBorder="1" applyAlignment="1">
      <alignment horizontal="center"/>
    </xf>
    <xf numFmtId="14" fontId="520" fillId="4" borderId="1" xfId="0" applyNumberFormat="1" applyFont="1" applyFill="1" applyBorder="1"/>
    <xf numFmtId="14" fontId="520" fillId="4" borderId="1" xfId="0" applyNumberFormat="1" applyFont="1" applyFill="1" applyBorder="1" applyAlignment="1">
      <alignment horizontal="center"/>
    </xf>
    <xf numFmtId="0" fontId="519" fillId="0" borderId="0" xfId="0" applyFont="1"/>
    <xf numFmtId="0" fontId="518" fillId="0" borderId="0" xfId="0" applyFont="1" applyAlignment="1">
      <alignment horizontal="left" vertical="center" wrapText="1"/>
    </xf>
    <xf numFmtId="14" fontId="514" fillId="0" borderId="0" xfId="0" applyNumberFormat="1" applyFont="1"/>
    <xf numFmtId="0" fontId="514" fillId="0" borderId="0" xfId="0" applyFont="1" applyAlignment="1">
      <alignment horizontal="center"/>
    </xf>
    <xf numFmtId="0" fontId="528" fillId="0" borderId="0" xfId="0" applyFont="1" applyAlignment="1">
      <alignment vertical="center" wrapText="1"/>
    </xf>
    <xf numFmtId="0" fontId="529" fillId="0" borderId="0" xfId="0" applyFont="1"/>
    <xf numFmtId="0" fontId="529" fillId="0" borderId="0" xfId="0" applyFont="1" applyAlignment="1">
      <alignment horizontal="left" vertical="center" wrapText="1"/>
    </xf>
    <xf numFmtId="0" fontId="530" fillId="7" borderId="5" xfId="0" applyFont="1" applyFill="1" applyBorder="1" applyAlignment="1">
      <alignment vertical="center" wrapText="1"/>
    </xf>
    <xf numFmtId="14" fontId="513" fillId="4" borderId="1" xfId="0" applyNumberFormat="1" applyFont="1" applyFill="1" applyBorder="1"/>
    <xf numFmtId="0" fontId="513" fillId="4" borderId="1" xfId="0" applyFont="1" applyFill="1" applyBorder="1" applyAlignment="1">
      <alignment horizontal="center"/>
    </xf>
    <xf numFmtId="0" fontId="531" fillId="4" borderId="1" xfId="0" applyFont="1" applyFill="1" applyBorder="1" applyAlignment="1">
      <alignment vertical="center" wrapText="1"/>
    </xf>
    <xf numFmtId="0" fontId="513" fillId="4" borderId="1" xfId="0" applyFont="1" applyFill="1" applyBorder="1"/>
    <xf numFmtId="0" fontId="532" fillId="2" borderId="4" xfId="0" applyFont="1" applyFill="1" applyBorder="1" applyAlignment="1">
      <alignment horizontal="center"/>
    </xf>
    <xf numFmtId="0" fontId="533" fillId="4" borderId="1" xfId="0" applyFont="1" applyFill="1" applyBorder="1"/>
    <xf numFmtId="0" fontId="531" fillId="4" borderId="1" xfId="0" applyFont="1" applyFill="1" applyBorder="1" applyAlignment="1">
      <alignment horizontal="center" vertical="center" wrapText="1"/>
    </xf>
    <xf numFmtId="0" fontId="534" fillId="2" borderId="4" xfId="0" applyFont="1" applyFill="1" applyBorder="1" applyAlignment="1">
      <alignment horizontal="center" vertical="center" wrapText="1"/>
    </xf>
    <xf numFmtId="0" fontId="535" fillId="4" borderId="1" xfId="0" applyFont="1" applyFill="1" applyBorder="1"/>
    <xf numFmtId="0" fontId="491" fillId="10" borderId="1" xfId="0" applyFont="1" applyFill="1" applyBorder="1"/>
    <xf numFmtId="14" fontId="491" fillId="10" borderId="1" xfId="0" applyNumberFormat="1" applyFont="1" applyFill="1" applyBorder="1"/>
    <xf numFmtId="0" fontId="491" fillId="10" borderId="1" xfId="0" applyFont="1" applyFill="1" applyBorder="1" applyAlignment="1">
      <alignment horizontal="center"/>
    </xf>
    <xf numFmtId="0" fontId="524" fillId="10" borderId="1" xfId="0" applyFont="1" applyFill="1" applyBorder="1" applyAlignment="1">
      <alignment vertical="center" wrapText="1"/>
    </xf>
    <xf numFmtId="0" fontId="491" fillId="10" borderId="1" xfId="0" applyFont="1" applyFill="1" applyBorder="1" applyAlignment="1">
      <alignment horizontal="right"/>
    </xf>
    <xf numFmtId="0" fontId="491" fillId="0" borderId="0" xfId="0" applyFont="1" applyAlignment="1">
      <alignment horizontal="center" wrapText="1"/>
    </xf>
    <xf numFmtId="0" fontId="519" fillId="4" borderId="1" xfId="0" applyFont="1" applyFill="1" applyBorder="1"/>
    <xf numFmtId="0" fontId="519" fillId="4" borderId="5" xfId="0" applyFont="1" applyFill="1" applyBorder="1" applyAlignment="1">
      <alignment vertical="center" wrapText="1"/>
    </xf>
    <xf numFmtId="0" fontId="536" fillId="4" borderId="1" xfId="0" applyFont="1" applyFill="1" applyBorder="1"/>
    <xf numFmtId="0" fontId="491" fillId="4" borderId="1" xfId="0" applyFont="1" applyFill="1" applyBorder="1"/>
    <xf numFmtId="0" fontId="537" fillId="4" borderId="1" xfId="0" applyFont="1" applyFill="1" applyBorder="1" applyAlignment="1">
      <alignment vertical="center" wrapText="1"/>
    </xf>
    <xf numFmtId="0" fontId="506" fillId="4" borderId="1" xfId="0" applyFont="1" applyFill="1" applyBorder="1"/>
    <xf numFmtId="0" fontId="491" fillId="4" borderId="1" xfId="0" applyFont="1" applyFill="1" applyBorder="1" applyAlignment="1">
      <alignment horizontal="center"/>
    </xf>
    <xf numFmtId="0" fontId="524" fillId="4" borderId="1" xfId="0" applyFont="1" applyFill="1" applyBorder="1" applyAlignment="1">
      <alignment vertical="center" wrapText="1"/>
    </xf>
    <xf numFmtId="0" fontId="491" fillId="4" borderId="1" xfId="0" applyFont="1" applyFill="1" applyBorder="1" applyAlignment="1">
      <alignment horizontal="right"/>
    </xf>
    <xf numFmtId="0" fontId="523" fillId="3" borderId="1" xfId="0" applyFont="1" applyFill="1" applyBorder="1" applyAlignment="1">
      <alignment vertical="center" wrapText="1"/>
    </xf>
    <xf numFmtId="49" fontId="482" fillId="3" borderId="1" xfId="0" applyNumberFormat="1" applyFont="1" applyFill="1" applyBorder="1" applyAlignment="1">
      <alignment horizontal="right"/>
    </xf>
    <xf numFmtId="0" fontId="538" fillId="0" borderId="0" xfId="0" applyFont="1"/>
    <xf numFmtId="0" fontId="482" fillId="3" borderId="1" xfId="0" applyFont="1" applyFill="1" applyBorder="1" applyAlignment="1">
      <alignment horizontal="right"/>
    </xf>
    <xf numFmtId="14" fontId="482" fillId="3" borderId="1" xfId="0" applyNumberFormat="1" applyFont="1" applyFill="1" applyBorder="1"/>
    <xf numFmtId="0" fontId="523" fillId="2" borderId="1" xfId="0" applyFont="1" applyFill="1" applyBorder="1" applyAlignment="1">
      <alignment vertical="center" wrapText="1"/>
    </xf>
    <xf numFmtId="0" fontId="482" fillId="2" borderId="1" xfId="0" applyFont="1" applyFill="1" applyBorder="1" applyAlignment="1">
      <alignment horizontal="right"/>
    </xf>
    <xf numFmtId="0" fontId="506" fillId="3" borderId="1" xfId="0" applyFont="1" applyFill="1" applyBorder="1"/>
    <xf numFmtId="0" fontId="539" fillId="4" borderId="1" xfId="0" applyFont="1" applyFill="1" applyBorder="1"/>
    <xf numFmtId="0" fontId="540" fillId="0" borderId="0" xfId="0" applyFont="1"/>
    <xf numFmtId="14" fontId="541" fillId="0" borderId="0" xfId="0" applyNumberFormat="1" applyFont="1"/>
    <xf numFmtId="0" fontId="542" fillId="11" borderId="1" xfId="0" applyFont="1" applyFill="1" applyBorder="1" applyAlignment="1">
      <alignment vertical="top" wrapText="1"/>
    </xf>
    <xf numFmtId="0" fontId="543" fillId="4" borderId="1" xfId="0" applyFont="1" applyFill="1" applyBorder="1" applyAlignment="1">
      <alignment vertical="top" wrapText="1"/>
    </xf>
    <xf numFmtId="0" fontId="514" fillId="0" borderId="0" xfId="0" applyFont="1" applyAlignment="1">
      <alignment wrapText="1"/>
    </xf>
    <xf numFmtId="14" fontId="520" fillId="2" borderId="1" xfId="0" applyNumberFormat="1" applyFont="1" applyFill="1" applyBorder="1"/>
    <xf numFmtId="0" fontId="520" fillId="2" borderId="1" xfId="0" applyFont="1" applyFill="1" applyBorder="1" applyAlignment="1">
      <alignment horizontal="center"/>
    </xf>
    <xf numFmtId="0" fontId="520" fillId="2" borderId="1" xfId="0" applyFont="1" applyFill="1" applyBorder="1"/>
    <xf numFmtId="0" fontId="520" fillId="2" borderId="1" xfId="0" applyFont="1" applyFill="1" applyBorder="1" applyAlignment="1">
      <alignment horizontal="right"/>
    </xf>
    <xf numFmtId="0" fontId="526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 applyAlignment="1">
      <alignment vertical="center" wrapText="1"/>
    </xf>
    <xf numFmtId="0" fontId="547" fillId="0" borderId="0" xfId="0" applyFont="1"/>
    <xf numFmtId="14" fontId="547" fillId="0" borderId="0" xfId="0" applyNumberFormat="1" applyFont="1"/>
    <xf numFmtId="0" fontId="547" fillId="0" borderId="0" xfId="0" applyFont="1" applyAlignment="1">
      <alignment horizontal="center"/>
    </xf>
    <xf numFmtId="0" fontId="548" fillId="0" borderId="0" xfId="0" applyFont="1" applyAlignment="1">
      <alignment vertical="center" wrapText="1"/>
    </xf>
    <xf numFmtId="0" fontId="549" fillId="2" borderId="4" xfId="0" applyFont="1" applyFill="1" applyBorder="1" applyAlignment="1">
      <alignment horizontal="center"/>
    </xf>
    <xf numFmtId="0" fontId="547" fillId="0" borderId="0" xfId="0" applyFont="1" applyAlignment="1">
      <alignment horizontal="right"/>
    </xf>
    <xf numFmtId="0" fontId="541" fillId="0" borderId="0" xfId="0" applyFont="1"/>
    <xf numFmtId="0" fontId="526" fillId="3" borderId="1" xfId="0" applyFont="1" applyFill="1" applyBorder="1"/>
    <xf numFmtId="0" fontId="550" fillId="3" borderId="6" xfId="0" applyFont="1" applyFill="1" applyBorder="1" applyAlignment="1">
      <alignment vertical="top" wrapText="1"/>
    </xf>
    <xf numFmtId="14" fontId="484" fillId="2" borderId="4" xfId="0" applyNumberFormat="1" applyFont="1" applyFill="1" applyBorder="1" applyAlignment="1">
      <alignment horizontal="center"/>
    </xf>
    <xf numFmtId="0" fontId="551" fillId="0" borderId="0" xfId="0" applyFont="1" applyAlignment="1">
      <alignment vertical="center"/>
    </xf>
    <xf numFmtId="0" fontId="552" fillId="0" borderId="0" xfId="0" applyFont="1"/>
    <xf numFmtId="0" fontId="514" fillId="2" borderId="1" xfId="0" applyFont="1" applyFill="1" applyBorder="1"/>
    <xf numFmtId="0" fontId="553" fillId="0" borderId="0" xfId="0" applyFont="1" applyAlignment="1">
      <alignment vertical="center"/>
    </xf>
    <xf numFmtId="14" fontId="517" fillId="0" borderId="0" xfId="0" applyNumberFormat="1" applyFont="1"/>
    <xf numFmtId="0" fontId="517" fillId="0" borderId="0" xfId="0" applyFont="1" applyAlignment="1">
      <alignment horizontal="center"/>
    </xf>
    <xf numFmtId="0" fontId="517" fillId="0" borderId="0" xfId="0" applyFont="1"/>
    <xf numFmtId="0" fontId="517" fillId="0" borderId="0" xfId="0" applyFont="1" applyAlignment="1">
      <alignment horizontal="right"/>
    </xf>
    <xf numFmtId="0" fontId="550" fillId="12" borderId="6" xfId="0" applyFont="1" applyFill="1" applyBorder="1" applyAlignment="1">
      <alignment vertical="top" wrapText="1"/>
    </xf>
    <xf numFmtId="0" fontId="550" fillId="0" borderId="0" xfId="0" applyFont="1"/>
    <xf numFmtId="0" fontId="541" fillId="12" borderId="6" xfId="0" applyFont="1" applyFill="1" applyBorder="1" applyAlignment="1">
      <alignment vertical="top" wrapText="1"/>
    </xf>
    <xf numFmtId="0" fontId="554" fillId="0" borderId="0" xfId="0" applyFont="1"/>
    <xf numFmtId="0" fontId="555" fillId="2" borderId="4" xfId="0" applyFont="1" applyFill="1" applyBorder="1" applyAlignment="1">
      <alignment horizontal="center"/>
    </xf>
    <xf numFmtId="0" fontId="556" fillId="0" borderId="0" xfId="0" applyFont="1"/>
    <xf numFmtId="0" fontId="557" fillId="0" borderId="0" xfId="0" applyFont="1"/>
    <xf numFmtId="14" fontId="491" fillId="2" borderId="1" xfId="0" applyNumberFormat="1" applyFont="1" applyFill="1" applyBorder="1"/>
    <xf numFmtId="0" fontId="557" fillId="2" borderId="1" xfId="0" applyFont="1" applyFill="1" applyBorder="1"/>
    <xf numFmtId="0" fontId="558" fillId="0" borderId="0" xfId="0" applyFont="1"/>
    <xf numFmtId="0" fontId="484" fillId="4" borderId="4" xfId="0" applyFont="1" applyFill="1" applyBorder="1" applyAlignment="1">
      <alignment horizontal="center"/>
    </xf>
    <xf numFmtId="14" fontId="559" fillId="0" borderId="0" xfId="0" applyNumberFormat="1" applyFont="1"/>
    <xf numFmtId="0" fontId="559" fillId="0" borderId="0" xfId="0" applyFont="1" applyAlignment="1">
      <alignment horizontal="center"/>
    </xf>
    <xf numFmtId="0" fontId="560" fillId="0" borderId="0" xfId="0" applyFont="1"/>
    <xf numFmtId="0" fontId="559" fillId="0" borderId="0" xfId="0" applyFont="1"/>
    <xf numFmtId="0" fontId="561" fillId="2" borderId="4" xfId="0" applyFont="1" applyFill="1" applyBorder="1" applyAlignment="1">
      <alignment horizontal="center"/>
    </xf>
    <xf numFmtId="0" fontId="559" fillId="0" borderId="0" xfId="0" applyFont="1" applyAlignment="1">
      <alignment horizontal="right"/>
    </xf>
    <xf numFmtId="165" fontId="482" fillId="0" borderId="0" xfId="0" applyNumberFormat="1" applyFont="1" applyAlignment="1">
      <alignment horizontal="center"/>
    </xf>
    <xf numFmtId="0" fontId="562" fillId="0" borderId="0" xfId="0" applyFont="1"/>
    <xf numFmtId="0" fontId="563" fillId="0" borderId="0" xfId="0" applyFont="1"/>
    <xf numFmtId="166" fontId="482" fillId="0" borderId="0" xfId="0" applyNumberFormat="1" applyFont="1"/>
    <xf numFmtId="3" fontId="482" fillId="0" borderId="0" xfId="0" applyNumberFormat="1" applyFont="1"/>
    <xf numFmtId="0" fontId="564" fillId="0" borderId="7" xfId="0" applyFont="1" applyBorder="1"/>
    <xf numFmtId="1" fontId="565" fillId="0" borderId="7" xfId="0" applyNumberFormat="1" applyFont="1" applyBorder="1" applyAlignment="1">
      <alignment horizontal="right"/>
    </xf>
    <xf numFmtId="1" fontId="565" fillId="0" borderId="0" xfId="0" applyNumberFormat="1" applyFont="1" applyAlignment="1">
      <alignment horizontal="center"/>
    </xf>
    <xf numFmtId="1" fontId="564" fillId="0" borderId="0" xfId="0" applyNumberFormat="1" applyFont="1" applyAlignment="1">
      <alignment horizontal="center"/>
    </xf>
    <xf numFmtId="0" fontId="566" fillId="0" borderId="0" xfId="0" applyFont="1"/>
    <xf numFmtId="0" fontId="567" fillId="0" borderId="0" xfId="0" applyFont="1"/>
    <xf numFmtId="0" fontId="568" fillId="0" borderId="0" xfId="0" applyFont="1" applyAlignment="1">
      <alignment horizontal="left"/>
    </xf>
    <xf numFmtId="1" fontId="482" fillId="4" borderId="1" xfId="0" applyNumberFormat="1" applyFont="1" applyFill="1" applyBorder="1" applyAlignment="1">
      <alignment horizontal="right"/>
    </xf>
    <xf numFmtId="1" fontId="482" fillId="4" borderId="1" xfId="0" applyNumberFormat="1" applyFont="1" applyFill="1" applyBorder="1"/>
    <xf numFmtId="0" fontId="568" fillId="8" borderId="1" xfId="0" applyFont="1" applyFill="1" applyBorder="1" applyAlignment="1">
      <alignment horizontal="left"/>
    </xf>
    <xf numFmtId="1" fontId="565" fillId="8" borderId="1" xfId="0" applyNumberFormat="1" applyFont="1" applyFill="1" applyBorder="1" applyAlignment="1">
      <alignment horizontal="center"/>
    </xf>
    <xf numFmtId="1" fontId="482" fillId="8" borderId="1" xfId="0" applyNumberFormat="1" applyFont="1" applyFill="1" applyBorder="1"/>
    <xf numFmtId="0" fontId="516" fillId="8" borderId="1" xfId="0" applyFont="1" applyFill="1" applyBorder="1"/>
    <xf numFmtId="0" fontId="516" fillId="8" borderId="1" xfId="0" applyFont="1" applyFill="1" applyBorder="1" applyAlignment="1">
      <alignment horizontal="center"/>
    </xf>
    <xf numFmtId="1" fontId="516" fillId="8" borderId="1" xfId="0" applyNumberFormat="1" applyFont="1" applyFill="1" applyBorder="1"/>
    <xf numFmtId="1" fontId="569" fillId="8" borderId="1" xfId="0" applyNumberFormat="1" applyFont="1" applyFill="1" applyBorder="1" applyAlignment="1">
      <alignment horizontal="center"/>
    </xf>
    <xf numFmtId="1" fontId="570" fillId="8" borderId="1" xfId="0" applyNumberFormat="1" applyFont="1" applyFill="1" applyBorder="1" applyAlignment="1">
      <alignment horizontal="center"/>
    </xf>
    <xf numFmtId="1" fontId="491" fillId="0" borderId="0" xfId="0" applyNumberFormat="1" applyFont="1" applyAlignment="1">
      <alignment horizontal="right"/>
    </xf>
    <xf numFmtId="1" fontId="482" fillId="0" borderId="0" xfId="0" applyNumberFormat="1" applyFont="1" applyAlignment="1">
      <alignment horizontal="left"/>
    </xf>
    <xf numFmtId="0" fontId="571" fillId="0" borderId="0" xfId="0" applyFont="1"/>
    <xf numFmtId="0" fontId="482" fillId="0" borderId="0" xfId="0" applyFont="1" applyAlignment="1">
      <alignment horizontal="center" vertical="center"/>
    </xf>
    <xf numFmtId="0" fontId="572" fillId="0" borderId="0" xfId="0" applyFont="1" applyAlignment="1">
      <alignment horizontal="center" vertical="center"/>
    </xf>
    <xf numFmtId="2" fontId="482" fillId="0" borderId="0" xfId="0" applyNumberFormat="1" applyFont="1" applyAlignment="1">
      <alignment horizontal="center" vertical="center"/>
    </xf>
    <xf numFmtId="0" fontId="482" fillId="13" borderId="1" xfId="0" applyFont="1" applyFill="1" applyBorder="1"/>
    <xf numFmtId="0" fontId="573" fillId="0" borderId="0" xfId="0" applyFont="1"/>
    <xf numFmtId="0" fontId="573" fillId="13" borderId="1" xfId="0" applyFont="1" applyFill="1" applyBorder="1" applyAlignment="1">
      <alignment vertical="center" wrapText="1"/>
    </xf>
    <xf numFmtId="0" fontId="574" fillId="0" borderId="0" xfId="0" applyFont="1"/>
    <xf numFmtId="0" fontId="575" fillId="14" borderId="1" xfId="0" applyFont="1" applyFill="1" applyBorder="1" applyAlignment="1">
      <alignment vertical="center" wrapText="1"/>
    </xf>
    <xf numFmtId="2" fontId="491" fillId="0" borderId="0" xfId="0" applyNumberFormat="1" applyFont="1"/>
    <xf numFmtId="0" fontId="484" fillId="0" borderId="0" xfId="0" applyFont="1" applyAlignment="1">
      <alignment horizontal="center" vertical="center"/>
    </xf>
    <xf numFmtId="0" fontId="484" fillId="0" borderId="4" xfId="0" applyFont="1" applyBorder="1" applyAlignment="1">
      <alignment horizontal="center" vertical="center" wrapText="1"/>
    </xf>
    <xf numFmtId="0" fontId="482" fillId="0" borderId="4" xfId="0" applyFont="1" applyBorder="1" applyAlignment="1">
      <alignment wrapText="1"/>
    </xf>
    <xf numFmtId="14" fontId="576" fillId="0" borderId="0" xfId="0" applyNumberFormat="1" applyFont="1" applyAlignment="1">
      <alignment horizontal="right" wrapText="1"/>
    </xf>
    <xf numFmtId="0" fontId="576" fillId="0" borderId="0" xfId="0" applyFont="1" applyAlignment="1">
      <alignment horizontal="center" wrapText="1"/>
    </xf>
    <xf numFmtId="14" fontId="576" fillId="0" borderId="0" xfId="0" applyNumberFormat="1" applyFont="1" applyAlignment="1">
      <alignment wrapText="1"/>
    </xf>
    <xf numFmtId="0" fontId="576" fillId="0" borderId="0" xfId="0" applyFont="1" applyAlignment="1">
      <alignment wrapText="1"/>
    </xf>
    <xf numFmtId="14" fontId="576" fillId="0" borderId="0" xfId="0" applyNumberFormat="1" applyFont="1" applyAlignment="1">
      <alignment horizontal="center" wrapText="1"/>
    </xf>
    <xf numFmtId="14" fontId="556" fillId="0" borderId="0" xfId="0" applyNumberFormat="1" applyFont="1" applyAlignment="1">
      <alignment horizontal="right"/>
    </xf>
    <xf numFmtId="0" fontId="556" fillId="0" borderId="0" xfId="0" applyFont="1" applyAlignment="1">
      <alignment horizontal="center" wrapText="1"/>
    </xf>
    <xf numFmtId="14" fontId="556" fillId="0" borderId="0" xfId="0" applyNumberFormat="1" applyFont="1"/>
    <xf numFmtId="14" fontId="556" fillId="0" borderId="0" xfId="0" applyNumberFormat="1" applyFont="1" applyAlignment="1">
      <alignment horizontal="center" wrapText="1"/>
    </xf>
    <xf numFmtId="0" fontId="577" fillId="0" borderId="0" xfId="0" applyFont="1"/>
    <xf numFmtId="14" fontId="578" fillId="0" borderId="0" xfId="0" applyNumberFormat="1" applyFont="1" applyAlignment="1">
      <alignment horizontal="right"/>
    </xf>
    <xf numFmtId="1" fontId="578" fillId="0" borderId="0" xfId="0" applyNumberFormat="1" applyFont="1"/>
    <xf numFmtId="14" fontId="578" fillId="0" borderId="0" xfId="0" applyNumberFormat="1" applyFont="1"/>
    <xf numFmtId="0" fontId="578" fillId="0" borderId="0" xfId="0" applyFont="1"/>
    <xf numFmtId="1" fontId="578" fillId="0" borderId="0" xfId="0" applyNumberFormat="1" applyFont="1" applyAlignment="1">
      <alignment horizontal="center"/>
    </xf>
    <xf numFmtId="0" fontId="556" fillId="0" borderId="0" xfId="0" applyFont="1" applyAlignment="1">
      <alignment horizontal="center"/>
    </xf>
    <xf numFmtId="0" fontId="556" fillId="0" borderId="0" xfId="0" applyFont="1" applyAlignment="1">
      <alignment horizontal="right"/>
    </xf>
    <xf numFmtId="0" fontId="578" fillId="0" borderId="0" xfId="0" applyFont="1" applyAlignment="1">
      <alignment horizontal="center"/>
    </xf>
    <xf numFmtId="14" fontId="556" fillId="4" borderId="1" xfId="0" applyNumberFormat="1" applyFont="1" applyFill="1" applyBorder="1"/>
    <xf numFmtId="14" fontId="579" fillId="0" borderId="0" xfId="0" applyNumberFormat="1" applyFont="1"/>
    <xf numFmtId="0" fontId="580" fillId="0" borderId="0" xfId="0" applyFont="1" applyAlignment="1">
      <alignment horizontal="center"/>
    </xf>
    <xf numFmtId="14" fontId="576" fillId="0" borderId="0" xfId="0" applyNumberFormat="1" applyFont="1" applyAlignment="1">
      <alignment horizontal="right"/>
    </xf>
    <xf numFmtId="0" fontId="576" fillId="0" borderId="0" xfId="0" applyFont="1"/>
    <xf numFmtId="14" fontId="576" fillId="0" borderId="0" xfId="0" applyNumberFormat="1" applyFont="1"/>
    <xf numFmtId="0" fontId="576" fillId="0" borderId="0" xfId="0" applyFont="1" applyAlignment="1">
      <alignment horizontal="center"/>
    </xf>
    <xf numFmtId="0" fontId="581" fillId="0" borderId="0" xfId="0" applyFont="1" applyAlignment="1">
      <alignment horizontal="center"/>
    </xf>
    <xf numFmtId="0" fontId="578" fillId="0" borderId="0" xfId="0" applyFont="1" applyAlignment="1">
      <alignment horizontal="right"/>
    </xf>
    <xf numFmtId="0" fontId="582" fillId="0" borderId="0" xfId="0" applyFont="1" applyAlignment="1">
      <alignment horizontal="center"/>
    </xf>
    <xf numFmtId="0" fontId="583" fillId="0" borderId="0" xfId="0" applyFont="1"/>
    <xf numFmtId="14" fontId="577" fillId="0" borderId="0" xfId="0" applyNumberFormat="1" applyFont="1"/>
    <xf numFmtId="0" fontId="584" fillId="0" borderId="0" xfId="0" applyFont="1"/>
    <xf numFmtId="14" fontId="585" fillId="0" borderId="0" xfId="0" applyNumberFormat="1" applyFont="1" applyAlignment="1">
      <alignment horizontal="right"/>
    </xf>
    <xf numFmtId="0" fontId="585" fillId="0" borderId="0" xfId="0" applyFont="1"/>
    <xf numFmtId="14" fontId="585" fillId="0" borderId="0" xfId="0" applyNumberFormat="1" applyFont="1"/>
    <xf numFmtId="0" fontId="582" fillId="0" borderId="0" xfId="0" applyFont="1" applyAlignment="1">
      <alignment horizontal="left" vertical="center" wrapText="1"/>
    </xf>
    <xf numFmtId="0" fontId="586" fillId="0" borderId="0" xfId="0" applyFont="1"/>
    <xf numFmtId="0" fontId="587" fillId="0" borderId="0" xfId="0" applyFont="1" applyAlignment="1">
      <alignment horizontal="center"/>
    </xf>
    <xf numFmtId="0" fontId="588" fillId="0" borderId="0" xfId="0" applyFont="1" applyAlignment="1">
      <alignment horizontal="center"/>
    </xf>
    <xf numFmtId="14" fontId="577" fillId="0" borderId="0" xfId="0" applyNumberFormat="1" applyFont="1" applyAlignment="1">
      <alignment horizontal="left"/>
    </xf>
    <xf numFmtId="0" fontId="585" fillId="0" borderId="0" xfId="0" applyFont="1" applyAlignment="1">
      <alignment horizontal="center"/>
    </xf>
    <xf numFmtId="0" fontId="582" fillId="0" borderId="0" xfId="0" applyFont="1"/>
    <xf numFmtId="14" fontId="578" fillId="0" borderId="0" xfId="0" applyNumberFormat="1" applyFont="1" applyAlignment="1">
      <alignment horizontal="left"/>
    </xf>
    <xf numFmtId="0" fontId="578" fillId="0" borderId="0" xfId="0" applyFont="1" applyAlignment="1">
      <alignment horizontal="left"/>
    </xf>
    <xf numFmtId="0" fontId="582" fillId="0" borderId="0" xfId="0" applyFont="1" applyAlignment="1">
      <alignment horizontal="center" vertical="center" wrapText="1"/>
    </xf>
    <xf numFmtId="14" fontId="589" fillId="0" borderId="0" xfId="0" applyNumberFormat="1" applyFont="1" applyAlignment="1">
      <alignment horizontal="left"/>
    </xf>
    <xf numFmtId="0" fontId="582" fillId="0" borderId="0" xfId="0" applyFont="1" applyAlignment="1">
      <alignment horizontal="right" vertical="center" wrapText="1"/>
    </xf>
    <xf numFmtId="0" fontId="577" fillId="0" borderId="0" xfId="0" applyFont="1" applyAlignment="1">
      <alignment horizontal="left"/>
    </xf>
    <xf numFmtId="14" fontId="585" fillId="0" borderId="0" xfId="0" applyNumberFormat="1" applyFont="1" applyAlignment="1">
      <alignment horizontal="left"/>
    </xf>
    <xf numFmtId="14" fontId="556" fillId="4" borderId="1" xfId="0" applyNumberFormat="1" applyFont="1" applyFill="1" applyBorder="1" applyAlignment="1">
      <alignment horizontal="right"/>
    </xf>
    <xf numFmtId="0" fontId="556" fillId="4" borderId="1" xfId="0" applyFont="1" applyFill="1" applyBorder="1"/>
    <xf numFmtId="14" fontId="577" fillId="4" borderId="1" xfId="0" applyNumberFormat="1" applyFont="1" applyFill="1" applyBorder="1" applyAlignment="1">
      <alignment horizontal="left"/>
    </xf>
    <xf numFmtId="0" fontId="589" fillId="0" borderId="0" xfId="0" applyFont="1" applyAlignment="1">
      <alignment horizontal="right"/>
    </xf>
    <xf numFmtId="0" fontId="589" fillId="0" borderId="0" xfId="0" applyFont="1"/>
    <xf numFmtId="0" fontId="589" fillId="0" borderId="0" xfId="0" applyFont="1" applyAlignment="1">
      <alignment horizontal="center"/>
    </xf>
    <xf numFmtId="0" fontId="590" fillId="0" borderId="0" xfId="0" applyFont="1"/>
    <xf numFmtId="0" fontId="577" fillId="4" borderId="1" xfId="0" applyFont="1" applyFill="1" applyBorder="1"/>
    <xf numFmtId="0" fontId="591" fillId="0" borderId="0" xfId="0" applyFont="1"/>
    <xf numFmtId="0" fontId="556" fillId="4" borderId="1" xfId="0" applyFont="1" applyFill="1" applyBorder="1" applyAlignment="1">
      <alignment horizontal="center"/>
    </xf>
    <xf numFmtId="0" fontId="556" fillId="2" borderId="1" xfId="0" applyFont="1" applyFill="1" applyBorder="1"/>
    <xf numFmtId="0" fontId="556" fillId="2" borderId="1" xfId="0" applyFont="1" applyFill="1" applyBorder="1" applyAlignment="1">
      <alignment horizontal="center"/>
    </xf>
    <xf numFmtId="0" fontId="592" fillId="0" borderId="0" xfId="0" applyFont="1"/>
    <xf numFmtId="49" fontId="592" fillId="0" borderId="0" xfId="0" applyNumberFormat="1" applyFont="1" applyAlignment="1">
      <alignment horizontal="center"/>
    </xf>
    <xf numFmtId="49" fontId="592" fillId="0" borderId="0" xfId="0" applyNumberFormat="1" applyFont="1"/>
    <xf numFmtId="0" fontId="593" fillId="0" borderId="0" xfId="0" applyFont="1"/>
    <xf numFmtId="0" fontId="595" fillId="0" borderId="0" xfId="0" applyFont="1"/>
    <xf numFmtId="0" fontId="480" fillId="0" borderId="0" xfId="0" applyFont="1"/>
    <xf numFmtId="0" fontId="596" fillId="0" borderId="0" xfId="0" applyFont="1"/>
    <xf numFmtId="14" fontId="0" fillId="0" borderId="0" xfId="0" applyNumberFormat="1"/>
    <xf numFmtId="2" fontId="594" fillId="0" borderId="0" xfId="1" applyNumberFormat="1"/>
    <xf numFmtId="0" fontId="479" fillId="0" borderId="0" xfId="0" applyFont="1"/>
    <xf numFmtId="0" fontId="556" fillId="15" borderId="0" xfId="0" applyFont="1" applyFill="1"/>
    <xf numFmtId="0" fontId="478" fillId="0" borderId="0" xfId="0" applyFont="1"/>
    <xf numFmtId="0" fontId="594" fillId="0" borderId="0" xfId="1" applyAlignment="1"/>
    <xf numFmtId="0" fontId="597" fillId="0" borderId="0" xfId="0" applyFont="1"/>
    <xf numFmtId="0" fontId="477" fillId="0" borderId="0" xfId="0" applyFont="1"/>
    <xf numFmtId="1" fontId="569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76" fillId="0" borderId="0" xfId="0" applyFont="1"/>
    <xf numFmtId="0" fontId="475" fillId="0" borderId="0" xfId="0" applyFont="1"/>
    <xf numFmtId="0" fontId="474" fillId="0" borderId="0" xfId="0" applyFont="1"/>
    <xf numFmtId="0" fontId="473" fillId="0" borderId="0" xfId="0" applyFont="1"/>
    <xf numFmtId="0" fontId="472" fillId="0" borderId="0" xfId="0" applyFont="1"/>
    <xf numFmtId="0" fontId="471" fillId="0" borderId="0" xfId="0" applyFont="1"/>
    <xf numFmtId="0" fontId="470" fillId="0" borderId="0" xfId="0" applyFont="1"/>
    <xf numFmtId="0" fontId="469" fillId="0" borderId="0" xfId="0" applyFont="1"/>
    <xf numFmtId="0" fontId="468" fillId="0" borderId="0" xfId="0" applyFont="1"/>
    <xf numFmtId="0" fontId="467" fillId="0" borderId="0" xfId="0" applyFont="1"/>
    <xf numFmtId="0" fontId="466" fillId="0" borderId="0" xfId="0" applyFont="1"/>
    <xf numFmtId="0" fontId="465" fillId="0" borderId="0" xfId="0" applyFont="1"/>
    <xf numFmtId="0" fontId="464" fillId="0" borderId="0" xfId="0" applyFont="1"/>
    <xf numFmtId="0" fontId="463" fillId="0" borderId="0" xfId="0" applyFont="1"/>
    <xf numFmtId="0" fontId="462" fillId="0" borderId="0" xfId="0" applyFont="1"/>
    <xf numFmtId="0" fontId="461" fillId="0" borderId="0" xfId="0" applyFont="1"/>
    <xf numFmtId="0" fontId="460" fillId="0" borderId="0" xfId="0" applyFont="1"/>
    <xf numFmtId="0" fontId="459" fillId="0" borderId="0" xfId="0" applyFont="1"/>
    <xf numFmtId="0" fontId="458" fillId="0" borderId="0" xfId="0" applyFont="1"/>
    <xf numFmtId="0" fontId="457" fillId="0" borderId="0" xfId="0" applyFont="1"/>
    <xf numFmtId="0" fontId="456" fillId="0" borderId="0" xfId="0" applyFont="1"/>
    <xf numFmtId="0" fontId="455" fillId="0" borderId="0" xfId="0" applyFont="1"/>
    <xf numFmtId="0" fontId="454" fillId="0" borderId="0" xfId="0" applyFont="1"/>
    <xf numFmtId="0" fontId="453" fillId="0" borderId="0" xfId="0" applyFont="1"/>
    <xf numFmtId="0" fontId="452" fillId="0" borderId="0" xfId="0" applyFont="1"/>
    <xf numFmtId="0" fontId="451" fillId="0" borderId="0" xfId="0" applyFont="1"/>
    <xf numFmtId="0" fontId="450" fillId="0" borderId="0" xfId="0" applyFont="1"/>
    <xf numFmtId="0" fontId="449" fillId="0" borderId="0" xfId="0" applyFont="1"/>
    <xf numFmtId="0" fontId="448" fillId="0" borderId="0" xfId="0" applyFont="1"/>
    <xf numFmtId="0" fontId="447" fillId="0" borderId="0" xfId="0" applyFont="1"/>
    <xf numFmtId="0" fontId="446" fillId="0" borderId="0" xfId="0" applyFont="1"/>
    <xf numFmtId="0" fontId="445" fillId="0" borderId="0" xfId="0" applyFont="1"/>
    <xf numFmtId="0" fontId="556" fillId="16" borderId="0" xfId="0" applyFont="1" applyFill="1"/>
    <xf numFmtId="0" fontId="444" fillId="0" borderId="0" xfId="0" applyFont="1"/>
    <xf numFmtId="0" fontId="443" fillId="0" borderId="0" xfId="0" applyFont="1"/>
    <xf numFmtId="0" fontId="442" fillId="0" borderId="0" xfId="0" applyFont="1"/>
    <xf numFmtId="0" fontId="441" fillId="0" borderId="0" xfId="0" applyFont="1"/>
    <xf numFmtId="0" fontId="440" fillId="0" borderId="0" xfId="0" applyFont="1"/>
    <xf numFmtId="0" fontId="482" fillId="17" borderId="0" xfId="0" applyFont="1" applyFill="1" applyAlignment="1">
      <alignment horizontal="center"/>
    </xf>
    <xf numFmtId="49" fontId="482" fillId="17" borderId="0" xfId="0" applyNumberFormat="1" applyFont="1" applyFill="1" applyAlignment="1">
      <alignment horizontal="center"/>
    </xf>
    <xf numFmtId="0" fontId="0" fillId="17" borderId="0" xfId="0" applyFill="1"/>
    <xf numFmtId="0" fontId="438" fillId="0" borderId="0" xfId="0" applyFont="1"/>
    <xf numFmtId="14" fontId="556" fillId="0" borderId="0" xfId="0" applyNumberFormat="1" applyFont="1" applyAlignment="1">
      <alignment horizontal="center"/>
    </xf>
    <xf numFmtId="14" fontId="578" fillId="0" borderId="0" xfId="0" applyNumberFormat="1" applyFont="1" applyAlignment="1">
      <alignment horizontal="center"/>
    </xf>
    <xf numFmtId="14" fontId="556" fillId="4" borderId="1" xfId="0" applyNumberFormat="1" applyFont="1" applyFill="1" applyBorder="1" applyAlignment="1">
      <alignment horizontal="center"/>
    </xf>
    <xf numFmtId="14" fontId="579" fillId="0" borderId="0" xfId="0" applyNumberFormat="1" applyFont="1" applyAlignment="1">
      <alignment horizontal="center"/>
    </xf>
    <xf numFmtId="14" fontId="576" fillId="0" borderId="0" xfId="0" applyNumberFormat="1" applyFont="1" applyAlignment="1">
      <alignment horizontal="center"/>
    </xf>
    <xf numFmtId="14" fontId="577" fillId="0" borderId="0" xfId="0" applyNumberFormat="1" applyFont="1" applyAlignment="1">
      <alignment horizontal="center"/>
    </xf>
    <xf numFmtId="14" fontId="585" fillId="0" borderId="0" xfId="0" applyNumberFormat="1" applyFont="1" applyAlignment="1">
      <alignment horizontal="center"/>
    </xf>
    <xf numFmtId="0" fontId="556" fillId="16" borderId="0" xfId="0" applyFont="1" applyFill="1" applyAlignment="1">
      <alignment horizontal="center"/>
    </xf>
    <xf numFmtId="0" fontId="556" fillId="15" borderId="0" xfId="0" applyFont="1" applyFill="1" applyAlignment="1">
      <alignment horizontal="center"/>
    </xf>
    <xf numFmtId="1" fontId="55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37" fillId="0" borderId="0" xfId="0" applyFont="1"/>
    <xf numFmtId="0" fontId="436" fillId="0" borderId="0" xfId="0" applyFont="1"/>
    <xf numFmtId="14" fontId="0" fillId="0" borderId="0" xfId="0" applyNumberFormat="1" applyAlignment="1">
      <alignment horizontal="center"/>
    </xf>
    <xf numFmtId="0" fontId="435" fillId="0" borderId="0" xfId="0" applyFont="1"/>
    <xf numFmtId="0" fontId="434" fillId="0" borderId="0" xfId="0" applyFont="1"/>
    <xf numFmtId="0" fontId="433" fillId="0" borderId="0" xfId="0" applyFont="1"/>
    <xf numFmtId="49" fontId="482" fillId="17" borderId="0" xfId="0" applyNumberFormat="1" applyFont="1" applyFill="1"/>
    <xf numFmtId="0" fontId="433" fillId="17" borderId="0" xfId="0" applyFont="1" applyFill="1"/>
    <xf numFmtId="0" fontId="482" fillId="0" borderId="1" xfId="0" applyFont="1" applyBorder="1"/>
    <xf numFmtId="0" fontId="482" fillId="0" borderId="3" xfId="0" applyFont="1" applyBorder="1" applyAlignment="1">
      <alignment horizontal="center" vertical="center" wrapText="1"/>
    </xf>
    <xf numFmtId="14" fontId="484" fillId="0" borderId="0" xfId="0" applyNumberFormat="1" applyFont="1" applyAlignment="1">
      <alignment horizontal="center"/>
    </xf>
    <xf numFmtId="14" fontId="0" fillId="17" borderId="0" xfId="0" applyNumberFormat="1" applyFill="1" applyAlignment="1">
      <alignment horizontal="center"/>
    </xf>
    <xf numFmtId="0" fontId="432" fillId="0" borderId="0" xfId="0" applyFont="1"/>
    <xf numFmtId="0" fontId="439" fillId="0" borderId="0" xfId="0" applyFont="1"/>
    <xf numFmtId="0" fontId="598" fillId="0" borderId="0" xfId="0" applyFont="1"/>
    <xf numFmtId="1" fontId="0" fillId="0" borderId="0" xfId="0" applyNumberFormat="1" applyAlignment="1">
      <alignment horizontal="left"/>
    </xf>
    <xf numFmtId="0" fontId="431" fillId="0" borderId="0" xfId="0" applyFont="1"/>
    <xf numFmtId="0" fontId="599" fillId="0" borderId="0" xfId="0" applyFont="1"/>
    <xf numFmtId="0" fontId="430" fillId="0" borderId="0" xfId="0" applyFont="1"/>
    <xf numFmtId="0" fontId="429" fillId="0" borderId="0" xfId="0" applyFont="1"/>
    <xf numFmtId="0" fontId="428" fillId="0" borderId="0" xfId="0" applyFont="1"/>
    <xf numFmtId="0" fontId="427" fillId="0" borderId="0" xfId="0" applyFont="1"/>
    <xf numFmtId="0" fontId="426" fillId="0" borderId="0" xfId="0" applyFont="1"/>
    <xf numFmtId="0" fontId="425" fillId="0" borderId="0" xfId="0" applyFont="1"/>
    <xf numFmtId="14" fontId="425" fillId="0" borderId="0" xfId="0" applyNumberFormat="1" applyFont="1"/>
    <xf numFmtId="0" fontId="424" fillId="0" borderId="0" xfId="0" applyFont="1"/>
    <xf numFmtId="0" fontId="423" fillId="0" borderId="0" xfId="0" applyFont="1"/>
    <xf numFmtId="0" fontId="600" fillId="0" borderId="0" xfId="0" applyFont="1" applyAlignment="1">
      <alignment vertical="center"/>
    </xf>
    <xf numFmtId="0" fontId="554" fillId="0" borderId="0" xfId="0" applyFont="1" applyAlignment="1">
      <alignment vertical="center"/>
    </xf>
    <xf numFmtId="0" fontId="422" fillId="0" borderId="0" xfId="0" applyFont="1"/>
    <xf numFmtId="0" fontId="421" fillId="0" borderId="0" xfId="0" applyFont="1"/>
    <xf numFmtId="0" fontId="420" fillId="0" borderId="0" xfId="0" applyFont="1"/>
    <xf numFmtId="0" fontId="419" fillId="0" borderId="0" xfId="0" applyFont="1"/>
    <xf numFmtId="0" fontId="418" fillId="0" borderId="0" xfId="0" applyFont="1"/>
    <xf numFmtId="0" fontId="601" fillId="0" borderId="0" xfId="0" applyFont="1"/>
    <xf numFmtId="0" fontId="602" fillId="0" borderId="0" xfId="0" applyFont="1"/>
    <xf numFmtId="49" fontId="556" fillId="0" borderId="0" xfId="0" applyNumberFormat="1" applyFont="1"/>
    <xf numFmtId="0" fontId="603" fillId="0" borderId="0" xfId="1" applyFont="1" applyAlignment="1"/>
    <xf numFmtId="164" fontId="556" fillId="0" borderId="0" xfId="0" applyNumberFormat="1" applyFont="1" applyAlignment="1">
      <alignment horizontal="center"/>
    </xf>
    <xf numFmtId="0" fontId="601" fillId="0" borderId="0" xfId="0" applyFont="1" applyAlignment="1">
      <alignment horizontal="center"/>
    </xf>
    <xf numFmtId="14" fontId="601" fillId="0" borderId="0" xfId="0" applyNumberFormat="1" applyFont="1" applyAlignment="1">
      <alignment horizontal="center"/>
    </xf>
    <xf numFmtId="0" fontId="604" fillId="0" borderId="0" xfId="0" applyFont="1"/>
    <xf numFmtId="0" fontId="417" fillId="0" borderId="0" xfId="0" applyFont="1"/>
    <xf numFmtId="0" fontId="594" fillId="0" borderId="0" xfId="1"/>
    <xf numFmtId="0" fontId="416" fillId="0" borderId="0" xfId="0" applyFont="1"/>
    <xf numFmtId="0" fontId="491" fillId="17" borderId="0" xfId="0" applyFont="1" applyFill="1" applyAlignment="1">
      <alignment horizontal="center"/>
    </xf>
    <xf numFmtId="49" fontId="491" fillId="17" borderId="0" xfId="0" applyNumberFormat="1" applyFont="1" applyFill="1"/>
    <xf numFmtId="0" fontId="598" fillId="17" borderId="0" xfId="0" applyFont="1" applyFill="1"/>
    <xf numFmtId="49" fontId="491" fillId="17" borderId="0" xfId="0" applyNumberFormat="1" applyFont="1" applyFill="1" applyAlignment="1">
      <alignment horizontal="center"/>
    </xf>
    <xf numFmtId="0" fontId="415" fillId="0" borderId="0" xfId="0" applyFont="1"/>
    <xf numFmtId="14" fontId="598" fillId="0" borderId="0" xfId="0" applyNumberFormat="1" applyFont="1"/>
    <xf numFmtId="14" fontId="0" fillId="16" borderId="0" xfId="0" applyNumberFormat="1" applyFill="1"/>
    <xf numFmtId="0" fontId="482" fillId="16" borderId="0" xfId="0" applyFont="1" applyFill="1" applyAlignment="1">
      <alignment horizontal="center"/>
    </xf>
    <xf numFmtId="0" fontId="482" fillId="16" borderId="0" xfId="0" applyFont="1" applyFill="1"/>
    <xf numFmtId="0" fontId="482" fillId="16" borderId="1" xfId="0" applyFont="1" applyFill="1" applyBorder="1"/>
    <xf numFmtId="0" fontId="0" fillId="16" borderId="0" xfId="0" applyFill="1"/>
    <xf numFmtId="0" fontId="414" fillId="16" borderId="0" xfId="0" applyFont="1" applyFill="1"/>
    <xf numFmtId="0" fontId="413" fillId="0" borderId="0" xfId="0" applyFont="1"/>
    <xf numFmtId="0" fontId="412" fillId="0" borderId="0" xfId="0" applyFont="1"/>
    <xf numFmtId="0" fontId="603" fillId="0" borderId="0" xfId="1" applyFont="1" applyFill="1" applyBorder="1" applyAlignment="1"/>
    <xf numFmtId="0" fontId="411" fillId="0" borderId="0" xfId="0" applyFont="1"/>
    <xf numFmtId="0" fontId="410" fillId="0" borderId="0" xfId="0" applyFont="1"/>
    <xf numFmtId="0" fontId="409" fillId="0" borderId="0" xfId="0" applyFont="1"/>
    <xf numFmtId="1" fontId="556" fillId="15" borderId="0" xfId="0" applyNumberFormat="1" applyFont="1" applyFill="1" applyAlignment="1">
      <alignment horizontal="center"/>
    </xf>
    <xf numFmtId="0" fontId="408" fillId="0" borderId="0" xfId="0" applyFont="1"/>
    <xf numFmtId="0" fontId="407" fillId="0" borderId="0" xfId="0" applyFont="1"/>
    <xf numFmtId="0" fontId="406" fillId="0" borderId="0" xfId="0" applyFont="1"/>
    <xf numFmtId="0" fontId="405" fillId="0" borderId="0" xfId="0" applyFont="1"/>
    <xf numFmtId="0" fontId="404" fillId="0" borderId="0" xfId="0" applyFont="1"/>
    <xf numFmtId="0" fontId="403" fillId="0" borderId="0" xfId="0" applyFont="1"/>
    <xf numFmtId="0" fontId="402" fillId="0" borderId="0" xfId="0" applyFont="1"/>
    <xf numFmtId="0" fontId="401" fillId="0" borderId="0" xfId="0" applyFont="1"/>
    <xf numFmtId="0" fontId="605" fillId="0" borderId="0" xfId="0" applyFont="1" applyAlignment="1">
      <alignment vertical="center"/>
    </xf>
    <xf numFmtId="0" fontId="606" fillId="0" borderId="0" xfId="0" applyFont="1"/>
    <xf numFmtId="0" fontId="400" fillId="0" borderId="0" xfId="0" applyFont="1"/>
    <xf numFmtId="0" fontId="399" fillId="0" borderId="0" xfId="0" applyFont="1"/>
    <xf numFmtId="0" fontId="398" fillId="0" borderId="0" xfId="0" applyFont="1"/>
    <xf numFmtId="0" fontId="397" fillId="0" borderId="0" xfId="0" applyFont="1"/>
    <xf numFmtId="0" fontId="396" fillId="0" borderId="0" xfId="0" applyFont="1"/>
    <xf numFmtId="0" fontId="594" fillId="0" borderId="0" xfId="1" applyBorder="1"/>
    <xf numFmtId="0" fontId="395" fillId="0" borderId="0" xfId="0" applyFont="1"/>
    <xf numFmtId="0" fontId="394" fillId="0" borderId="0" xfId="0" applyFont="1"/>
    <xf numFmtId="0" fontId="393" fillId="0" borderId="0" xfId="0" applyFont="1"/>
    <xf numFmtId="0" fontId="392" fillId="0" borderId="0" xfId="0" applyFont="1"/>
    <xf numFmtId="2" fontId="576" fillId="0" borderId="0" xfId="0" applyNumberFormat="1" applyFont="1" applyAlignment="1">
      <alignment horizontal="center"/>
    </xf>
    <xf numFmtId="1" fontId="601" fillId="0" borderId="0" xfId="0" applyNumberFormat="1" applyFont="1" applyAlignment="1">
      <alignment horizontal="center"/>
    </xf>
    <xf numFmtId="2" fontId="556" fillId="0" borderId="0" xfId="0" applyNumberFormat="1" applyFont="1" applyAlignment="1">
      <alignment horizontal="center"/>
    </xf>
    <xf numFmtId="0" fontId="391" fillId="0" borderId="0" xfId="0" applyFont="1"/>
    <xf numFmtId="0" fontId="390" fillId="0" borderId="0" xfId="0" applyFont="1"/>
    <xf numFmtId="0" fontId="389" fillId="0" borderId="0" xfId="0" applyFont="1"/>
    <xf numFmtId="0" fontId="388" fillId="0" borderId="0" xfId="0" applyFont="1"/>
    <xf numFmtId="0" fontId="387" fillId="0" borderId="0" xfId="0" applyFont="1"/>
    <xf numFmtId="0" fontId="386" fillId="0" borderId="0" xfId="0" applyFont="1"/>
    <xf numFmtId="0" fontId="385" fillId="0" borderId="0" xfId="0" applyFont="1"/>
    <xf numFmtId="0" fontId="384" fillId="0" borderId="0" xfId="0" applyFont="1"/>
    <xf numFmtId="0" fontId="383" fillId="0" borderId="0" xfId="0" applyFont="1"/>
    <xf numFmtId="0" fontId="382" fillId="0" borderId="0" xfId="0" applyFont="1"/>
    <xf numFmtId="0" fontId="381" fillId="0" borderId="0" xfId="0" applyFont="1"/>
    <xf numFmtId="0" fontId="380" fillId="0" borderId="0" xfId="0" applyFont="1"/>
    <xf numFmtId="0" fontId="379" fillId="0" borderId="0" xfId="0" applyFont="1"/>
    <xf numFmtId="0" fontId="378" fillId="0" borderId="0" xfId="0" applyFont="1"/>
    <xf numFmtId="0" fontId="377" fillId="0" borderId="0" xfId="0" applyFont="1"/>
    <xf numFmtId="0" fontId="376" fillId="0" borderId="0" xfId="0" applyFont="1"/>
    <xf numFmtId="0" fontId="375" fillId="0" borderId="0" xfId="0" applyFont="1"/>
    <xf numFmtId="0" fontId="374" fillId="0" borderId="0" xfId="0" applyFont="1"/>
    <xf numFmtId="0" fontId="373" fillId="0" borderId="0" xfId="0" applyFont="1"/>
    <xf numFmtId="0" fontId="372" fillId="0" borderId="0" xfId="0" applyFont="1"/>
    <xf numFmtId="0" fontId="371" fillId="0" borderId="0" xfId="0" applyFont="1"/>
    <xf numFmtId="0" fontId="370" fillId="0" borderId="0" xfId="0" applyFont="1"/>
    <xf numFmtId="0" fontId="369" fillId="0" borderId="0" xfId="0" applyFont="1"/>
    <xf numFmtId="0" fontId="368" fillId="0" borderId="0" xfId="0" applyFont="1"/>
    <xf numFmtId="0" fontId="367" fillId="0" borderId="0" xfId="0" applyFont="1"/>
    <xf numFmtId="0" fontId="366" fillId="0" borderId="0" xfId="0" applyFont="1"/>
    <xf numFmtId="0" fontId="365" fillId="0" borderId="0" xfId="0" applyFont="1"/>
    <xf numFmtId="0" fontId="364" fillId="0" borderId="0" xfId="0" applyFont="1"/>
    <xf numFmtId="0" fontId="363" fillId="0" borderId="0" xfId="0" applyFont="1"/>
    <xf numFmtId="0" fontId="362" fillId="0" borderId="0" xfId="0" applyFont="1"/>
    <xf numFmtId="0" fontId="361" fillId="0" borderId="0" xfId="0" applyFont="1"/>
    <xf numFmtId="0" fontId="361" fillId="17" borderId="0" xfId="0" applyFont="1" applyFill="1"/>
    <xf numFmtId="14" fontId="0" fillId="17" borderId="0" xfId="0" applyNumberFormat="1" applyFill="1"/>
    <xf numFmtId="0" fontId="360" fillId="0" borderId="0" xfId="0" applyFont="1"/>
    <xf numFmtId="0" fontId="359" fillId="0" borderId="0" xfId="0" applyFont="1"/>
    <xf numFmtId="0" fontId="358" fillId="0" borderId="0" xfId="0" applyFont="1"/>
    <xf numFmtId="0" fontId="357" fillId="0" borderId="0" xfId="0" applyFont="1"/>
    <xf numFmtId="0" fontId="356" fillId="0" borderId="0" xfId="0" applyFont="1"/>
    <xf numFmtId="0" fontId="355" fillId="0" borderId="0" xfId="0" applyFont="1"/>
    <xf numFmtId="0" fontId="354" fillId="0" borderId="0" xfId="0" applyFont="1"/>
    <xf numFmtId="0" fontId="353" fillId="0" borderId="0" xfId="0" applyFont="1"/>
    <xf numFmtId="0" fontId="352" fillId="0" borderId="0" xfId="0" applyFont="1"/>
    <xf numFmtId="0" fontId="351" fillId="0" borderId="0" xfId="0" applyFont="1"/>
    <xf numFmtId="1" fontId="577" fillId="0" borderId="0" xfId="0" applyNumberFormat="1" applyFont="1" applyAlignment="1">
      <alignment horizontal="center"/>
    </xf>
    <xf numFmtId="0" fontId="350" fillId="0" borderId="0" xfId="0" applyFont="1"/>
    <xf numFmtId="0" fontId="349" fillId="0" borderId="0" xfId="0" applyFont="1"/>
    <xf numFmtId="0" fontId="348" fillId="0" borderId="0" xfId="0" applyFont="1"/>
    <xf numFmtId="0" fontId="601" fillId="17" borderId="0" xfId="0" applyFont="1" applyFill="1"/>
    <xf numFmtId="0" fontId="601" fillId="17" borderId="0" xfId="0" applyFont="1" applyFill="1" applyAlignment="1">
      <alignment horizontal="center"/>
    </xf>
    <xf numFmtId="14" fontId="601" fillId="17" borderId="0" xfId="0" applyNumberFormat="1" applyFont="1" applyFill="1" applyAlignment="1">
      <alignment horizontal="center"/>
    </xf>
    <xf numFmtId="0" fontId="347" fillId="0" borderId="0" xfId="0" applyFont="1"/>
    <xf numFmtId="0" fontId="346" fillId="0" borderId="0" xfId="0" applyFont="1"/>
    <xf numFmtId="0" fontId="345" fillId="0" borderId="0" xfId="0" applyFont="1"/>
    <xf numFmtId="0" fontId="344" fillId="0" borderId="0" xfId="0" applyFont="1"/>
    <xf numFmtId="0" fontId="343" fillId="0" borderId="0" xfId="0" applyFont="1"/>
    <xf numFmtId="0" fontId="342" fillId="0" borderId="0" xfId="0" applyFont="1"/>
    <xf numFmtId="0" fontId="341" fillId="0" borderId="0" xfId="0" applyFont="1"/>
    <xf numFmtId="0" fontId="340" fillId="0" borderId="0" xfId="0" applyFont="1"/>
    <xf numFmtId="0" fontId="339" fillId="0" borderId="0" xfId="0" applyFont="1"/>
    <xf numFmtId="0" fontId="338" fillId="0" borderId="0" xfId="0" applyFont="1"/>
    <xf numFmtId="0" fontId="337" fillId="0" borderId="0" xfId="0" applyFont="1"/>
    <xf numFmtId="0" fontId="336" fillId="0" borderId="0" xfId="0" applyFont="1"/>
    <xf numFmtId="0" fontId="335" fillId="0" borderId="0" xfId="0" applyFont="1"/>
    <xf numFmtId="0" fontId="334" fillId="0" borderId="0" xfId="0" applyFont="1"/>
    <xf numFmtId="14" fontId="482" fillId="17" borderId="0" xfId="0" applyNumberFormat="1" applyFont="1" applyFill="1" applyAlignment="1">
      <alignment horizontal="center"/>
    </xf>
    <xf numFmtId="0" fontId="333" fillId="0" borderId="0" xfId="0" applyFont="1"/>
    <xf numFmtId="0" fontId="332" fillId="0" borderId="0" xfId="0" applyFont="1"/>
    <xf numFmtId="0" fontId="331" fillId="0" borderId="0" xfId="0" applyFont="1"/>
    <xf numFmtId="0" fontId="330" fillId="0" borderId="0" xfId="0" applyFont="1"/>
    <xf numFmtId="0" fontId="329" fillId="0" borderId="0" xfId="0" applyFont="1"/>
    <xf numFmtId="0" fontId="0" fillId="0" borderId="1" xfId="0" applyBorder="1"/>
    <xf numFmtId="0" fontId="328" fillId="0" borderId="0" xfId="0" applyFont="1"/>
    <xf numFmtId="0" fontId="327" fillId="0" borderId="0" xfId="0" applyFont="1"/>
    <xf numFmtId="0" fontId="326" fillId="0" borderId="0" xfId="0" applyFont="1"/>
    <xf numFmtId="0" fontId="325" fillId="0" borderId="0" xfId="0" applyFont="1"/>
    <xf numFmtId="0" fontId="324" fillId="0" borderId="0" xfId="0" applyFont="1"/>
    <xf numFmtId="0" fontId="323" fillId="0" borderId="0" xfId="0" applyFont="1"/>
    <xf numFmtId="0" fontId="322" fillId="0" borderId="0" xfId="0" applyFont="1"/>
    <xf numFmtId="0" fontId="321" fillId="0" borderId="0" xfId="0" applyFont="1"/>
    <xf numFmtId="0" fontId="320" fillId="0" borderId="0" xfId="0" applyFont="1"/>
    <xf numFmtId="0" fontId="319" fillId="0" borderId="0" xfId="0" applyFont="1"/>
    <xf numFmtId="0" fontId="318" fillId="0" borderId="0" xfId="0" applyFont="1"/>
    <xf numFmtId="0" fontId="317" fillId="0" borderId="0" xfId="0" applyFont="1"/>
    <xf numFmtId="0" fontId="316" fillId="0" borderId="0" xfId="0" applyFont="1"/>
    <xf numFmtId="0" fontId="315" fillId="0" borderId="0" xfId="0" applyFont="1"/>
    <xf numFmtId="0" fontId="314" fillId="0" borderId="0" xfId="0" applyFont="1"/>
    <xf numFmtId="0" fontId="313" fillId="0" borderId="0" xfId="0" applyFont="1"/>
    <xf numFmtId="0" fontId="312" fillId="0" borderId="0" xfId="0" applyFont="1"/>
    <xf numFmtId="0" fontId="311" fillId="0" borderId="0" xfId="0" applyFont="1"/>
    <xf numFmtId="0" fontId="310" fillId="0" borderId="0" xfId="0" applyFont="1"/>
    <xf numFmtId="0" fontId="309" fillId="0" borderId="0" xfId="0" applyFont="1"/>
    <xf numFmtId="0" fontId="308" fillId="0" borderId="0" xfId="0" applyFont="1"/>
    <xf numFmtId="0" fontId="307" fillId="0" borderId="0" xfId="0" applyFont="1"/>
    <xf numFmtId="0" fontId="306" fillId="0" borderId="0" xfId="0" applyFont="1"/>
    <xf numFmtId="0" fontId="305" fillId="0" borderId="0" xfId="0" applyFont="1"/>
    <xf numFmtId="0" fontId="304" fillId="0" borderId="0" xfId="0" applyFont="1"/>
    <xf numFmtId="0" fontId="303" fillId="0" borderId="0" xfId="0" applyFont="1"/>
    <xf numFmtId="0" fontId="608" fillId="18" borderId="1" xfId="2" applyBorder="1"/>
    <xf numFmtId="0" fontId="302" fillId="0" borderId="0" xfId="0" applyFont="1"/>
    <xf numFmtId="0" fontId="301" fillId="0" borderId="0" xfId="0" applyFont="1"/>
    <xf numFmtId="0" fontId="300" fillId="0" borderId="0" xfId="0" applyFont="1"/>
    <xf numFmtId="0" fontId="299" fillId="0" borderId="0" xfId="0" applyFont="1"/>
    <xf numFmtId="0" fontId="298" fillId="0" borderId="0" xfId="0" applyFont="1"/>
    <xf numFmtId="0" fontId="297" fillId="0" borderId="0" xfId="0" applyFont="1"/>
    <xf numFmtId="0" fontId="296" fillId="0" borderId="0" xfId="0" applyFont="1"/>
    <xf numFmtId="0" fontId="295" fillId="0" borderId="0" xfId="0" applyFont="1"/>
    <xf numFmtId="0" fontId="294" fillId="0" borderId="0" xfId="0" applyFont="1"/>
    <xf numFmtId="0" fontId="293" fillId="0" borderId="0" xfId="0" applyFont="1"/>
    <xf numFmtId="0" fontId="292" fillId="0" borderId="0" xfId="0" applyFont="1"/>
    <xf numFmtId="0" fontId="291" fillId="0" borderId="0" xfId="0" applyFont="1"/>
    <xf numFmtId="0" fontId="594" fillId="0" borderId="1" xfId="1" applyBorder="1"/>
    <xf numFmtId="0" fontId="290" fillId="0" borderId="0" xfId="0" applyFont="1"/>
    <xf numFmtId="0" fontId="289" fillId="0" borderId="0" xfId="0" applyFont="1"/>
    <xf numFmtId="0" fontId="288" fillId="0" borderId="0" xfId="0" applyFont="1"/>
    <xf numFmtId="0" fontId="287" fillId="0" borderId="0" xfId="0" applyFont="1"/>
    <xf numFmtId="0" fontId="286" fillId="0" borderId="0" xfId="0" applyFont="1"/>
    <xf numFmtId="0" fontId="285" fillId="0" borderId="0" xfId="0" applyFont="1"/>
    <xf numFmtId="14" fontId="556" fillId="15" borderId="0" xfId="0" applyNumberFormat="1" applyFont="1" applyFill="1"/>
    <xf numFmtId="0" fontId="284" fillId="0" borderId="0" xfId="0" applyFont="1"/>
    <xf numFmtId="0" fontId="283" fillId="0" borderId="0" xfId="0" applyFont="1"/>
    <xf numFmtId="0" fontId="282" fillId="0" borderId="0" xfId="0" applyFont="1"/>
    <xf numFmtId="0" fontId="594" fillId="0" borderId="1" xfId="1" applyFill="1" applyBorder="1"/>
    <xf numFmtId="0" fontId="281" fillId="0" borderId="0" xfId="0" applyFont="1"/>
    <xf numFmtId="14" fontId="598" fillId="0" borderId="0" xfId="0" applyNumberFormat="1" applyFont="1" applyAlignment="1">
      <alignment horizontal="center"/>
    </xf>
    <xf numFmtId="0" fontId="280" fillId="0" borderId="0" xfId="0" applyFont="1"/>
    <xf numFmtId="0" fontId="279" fillId="0" borderId="0" xfId="0" applyFont="1"/>
    <xf numFmtId="0" fontId="278" fillId="0" borderId="0" xfId="0" applyFont="1"/>
    <xf numFmtId="0" fontId="277" fillId="0" borderId="0" xfId="0" applyFont="1"/>
    <xf numFmtId="0" fontId="276" fillId="0" borderId="0" xfId="0" applyFont="1"/>
    <xf numFmtId="0" fontId="275" fillId="0" borderId="0" xfId="0" applyFont="1"/>
    <xf numFmtId="0" fontId="274" fillId="0" borderId="0" xfId="0" applyFont="1"/>
    <xf numFmtId="0" fontId="273" fillId="0" borderId="0" xfId="0" applyFont="1"/>
    <xf numFmtId="0" fontId="590" fillId="15" borderId="0" xfId="0" applyFont="1" applyFill="1"/>
    <xf numFmtId="0" fontId="272" fillId="0" borderId="0" xfId="0" applyFont="1"/>
    <xf numFmtId="0" fontId="271" fillId="0" borderId="0" xfId="0" applyFont="1"/>
    <xf numFmtId="0" fontId="270" fillId="0" borderId="0" xfId="0" applyFont="1"/>
    <xf numFmtId="0" fontId="269" fillId="0" borderId="0" xfId="0" applyFont="1"/>
    <xf numFmtId="0" fontId="268" fillId="0" borderId="0" xfId="0" applyFont="1"/>
    <xf numFmtId="0" fontId="267" fillId="0" borderId="0" xfId="0" applyFont="1"/>
    <xf numFmtId="0" fontId="266" fillId="0" borderId="0" xfId="0" applyFont="1"/>
    <xf numFmtId="0" fontId="265" fillId="0" borderId="0" xfId="0" applyFont="1"/>
    <xf numFmtId="0" fontId="264" fillId="0" borderId="0" xfId="0" applyFont="1"/>
    <xf numFmtId="0" fontId="263" fillId="0" borderId="0" xfId="0" applyFont="1"/>
    <xf numFmtId="0" fontId="262" fillId="0" borderId="0" xfId="0" applyFont="1"/>
    <xf numFmtId="0" fontId="261" fillId="0" borderId="0" xfId="0" applyFont="1"/>
    <xf numFmtId="0" fontId="260" fillId="0" borderId="0" xfId="0" applyFont="1"/>
    <xf numFmtId="0" fontId="259" fillId="0" borderId="0" xfId="0" applyFont="1"/>
    <xf numFmtId="0" fontId="258" fillId="0" borderId="0" xfId="0" applyFont="1"/>
    <xf numFmtId="0" fontId="257" fillId="0" borderId="0" xfId="0" applyFont="1"/>
    <xf numFmtId="0" fontId="256" fillId="0" borderId="0" xfId="0" applyFont="1"/>
    <xf numFmtId="0" fontId="255" fillId="0" borderId="0" xfId="0" applyFont="1"/>
    <xf numFmtId="0" fontId="254" fillId="0" borderId="0" xfId="0" applyFont="1"/>
    <xf numFmtId="0" fontId="253" fillId="0" borderId="0" xfId="0" applyFont="1"/>
    <xf numFmtId="0" fontId="252" fillId="0" borderId="0" xfId="0" applyFont="1"/>
    <xf numFmtId="0" fontId="251" fillId="0" borderId="0" xfId="0" applyFont="1"/>
    <xf numFmtId="0" fontId="250" fillId="0" borderId="0" xfId="0" applyFont="1"/>
    <xf numFmtId="0" fontId="249" fillId="0" borderId="0" xfId="0" applyFont="1"/>
    <xf numFmtId="0" fontId="248" fillId="0" borderId="0" xfId="0" applyFont="1"/>
    <xf numFmtId="0" fontId="247" fillId="0" borderId="0" xfId="0" applyFont="1"/>
    <xf numFmtId="0" fontId="246" fillId="0" borderId="0" xfId="0" applyFont="1"/>
    <xf numFmtId="0" fontId="245" fillId="0" borderId="0" xfId="0" applyFont="1"/>
    <xf numFmtId="0" fontId="244" fillId="0" borderId="0" xfId="0" applyFont="1"/>
    <xf numFmtId="0" fontId="243" fillId="0" borderId="0" xfId="0" applyFont="1"/>
    <xf numFmtId="0" fontId="242" fillId="0" borderId="0" xfId="0" applyFont="1"/>
    <xf numFmtId="0" fontId="241" fillId="0" borderId="0" xfId="0" applyFont="1"/>
    <xf numFmtId="0" fontId="240" fillId="0" borderId="0" xfId="0" applyFont="1"/>
    <xf numFmtId="0" fontId="239" fillId="0" borderId="0" xfId="0" applyFont="1"/>
    <xf numFmtId="0" fontId="238" fillId="0" borderId="0" xfId="0" applyFont="1"/>
    <xf numFmtId="0" fontId="237" fillId="0" borderId="0" xfId="0" applyFont="1"/>
    <xf numFmtId="0" fontId="236" fillId="0" borderId="0" xfId="0" applyFont="1"/>
    <xf numFmtId="0" fontId="235" fillId="0" borderId="0" xfId="0" applyFont="1"/>
    <xf numFmtId="0" fontId="234" fillId="0" borderId="0" xfId="0" applyFont="1"/>
    <xf numFmtId="0" fontId="233" fillId="0" borderId="0" xfId="0" applyFont="1"/>
    <xf numFmtId="0" fontId="232" fillId="0" borderId="0" xfId="0" applyFont="1"/>
    <xf numFmtId="0" fontId="231" fillId="0" borderId="0" xfId="0" applyFont="1"/>
    <xf numFmtId="0" fontId="230" fillId="0" borderId="0" xfId="0" applyFont="1"/>
    <xf numFmtId="0" fontId="229" fillId="0" borderId="0" xfId="0" applyFont="1"/>
    <xf numFmtId="0" fontId="228" fillId="0" borderId="0" xfId="0" applyFont="1"/>
    <xf numFmtId="0" fontId="227" fillId="0" borderId="0" xfId="0" applyFont="1"/>
    <xf numFmtId="0" fontId="226" fillId="0" borderId="0" xfId="0" applyFont="1"/>
    <xf numFmtId="0" fontId="225" fillId="0" borderId="0" xfId="0" applyFont="1"/>
    <xf numFmtId="0" fontId="609" fillId="15" borderId="0" xfId="0" applyFont="1" applyFill="1"/>
    <xf numFmtId="1" fontId="609" fillId="15" borderId="0" xfId="0" applyNumberFormat="1" applyFont="1" applyFill="1" applyAlignment="1">
      <alignment horizontal="center"/>
    </xf>
    <xf numFmtId="0" fontId="609" fillId="15" borderId="0" xfId="0" applyFont="1" applyFill="1" applyAlignment="1">
      <alignment horizontal="center"/>
    </xf>
    <xf numFmtId="1" fontId="556" fillId="16" borderId="0" xfId="0" applyNumberFormat="1" applyFont="1" applyFill="1" applyAlignment="1">
      <alignment horizontal="center"/>
    </xf>
    <xf numFmtId="0" fontId="224" fillId="0" borderId="0" xfId="0" applyFont="1"/>
    <xf numFmtId="0" fontId="223" fillId="0" borderId="0" xfId="0" applyFont="1"/>
    <xf numFmtId="0" fontId="222" fillId="0" borderId="0" xfId="0" applyFont="1"/>
    <xf numFmtId="0" fontId="221" fillId="0" borderId="0" xfId="0" applyFont="1"/>
    <xf numFmtId="0" fontId="220" fillId="0" borderId="0" xfId="0" applyFont="1"/>
    <xf numFmtId="0" fontId="219" fillId="0" borderId="0" xfId="0" applyFont="1"/>
    <xf numFmtId="0" fontId="218" fillId="0" borderId="0" xfId="0" applyFont="1"/>
    <xf numFmtId="0" fontId="217" fillId="0" borderId="0" xfId="0" applyFont="1"/>
    <xf numFmtId="0" fontId="216" fillId="0" borderId="0" xfId="0" applyFont="1"/>
    <xf numFmtId="0" fontId="215" fillId="0" borderId="0" xfId="0" applyFont="1"/>
    <xf numFmtId="0" fontId="214" fillId="0" borderId="0" xfId="0" applyFont="1"/>
    <xf numFmtId="0" fontId="213" fillId="0" borderId="0" xfId="0" applyFont="1"/>
    <xf numFmtId="0" fontId="212" fillId="0" borderId="0" xfId="0" applyFont="1"/>
    <xf numFmtId="0" fontId="211" fillId="0" borderId="0" xfId="0" applyFont="1"/>
    <xf numFmtId="0" fontId="210" fillId="0" borderId="0" xfId="0" applyFont="1"/>
    <xf numFmtId="0" fontId="209" fillId="0" borderId="0" xfId="0" applyFont="1"/>
    <xf numFmtId="0" fontId="208" fillId="0" borderId="0" xfId="0" applyFont="1"/>
    <xf numFmtId="0" fontId="610" fillId="0" borderId="0" xfId="0" applyFont="1"/>
    <xf numFmtId="0" fontId="207" fillId="0" borderId="0" xfId="0" applyFont="1"/>
    <xf numFmtId="0" fontId="206" fillId="0" borderId="0" xfId="0" applyFont="1"/>
    <xf numFmtId="0" fontId="205" fillId="0" borderId="0" xfId="0" applyFont="1"/>
    <xf numFmtId="0" fontId="204" fillId="0" borderId="0" xfId="0" applyFont="1"/>
    <xf numFmtId="0" fontId="203" fillId="0" borderId="0" xfId="0" applyFont="1"/>
    <xf numFmtId="0" fontId="202" fillId="0" borderId="0" xfId="0" applyFont="1"/>
    <xf numFmtId="0" fontId="201" fillId="0" borderId="0" xfId="0" applyFont="1"/>
    <xf numFmtId="0" fontId="200" fillId="0" borderId="0" xfId="0" applyFont="1"/>
    <xf numFmtId="0" fontId="199" fillId="0" borderId="0" xfId="0" applyFont="1"/>
    <xf numFmtId="0" fontId="198" fillId="0" borderId="0" xfId="0" applyFont="1"/>
    <xf numFmtId="0" fontId="197" fillId="0" borderId="0" xfId="0" applyFont="1"/>
    <xf numFmtId="0" fontId="196" fillId="0" borderId="0" xfId="0" applyFont="1"/>
    <xf numFmtId="0" fontId="195" fillId="0" borderId="0" xfId="0" applyFont="1"/>
    <xf numFmtId="0" fontId="194" fillId="0" borderId="0" xfId="0" applyFont="1"/>
    <xf numFmtId="0" fontId="193" fillId="0" borderId="0" xfId="0" applyFont="1"/>
    <xf numFmtId="0" fontId="192" fillId="0" borderId="0" xfId="0" applyFont="1"/>
    <xf numFmtId="0" fontId="191" fillId="0" borderId="0" xfId="0" applyFont="1"/>
    <xf numFmtId="0" fontId="190" fillId="0" borderId="0" xfId="0" applyFont="1"/>
    <xf numFmtId="0" fontId="189" fillId="0" borderId="0" xfId="0" applyFont="1"/>
    <xf numFmtId="0" fontId="188" fillId="0" borderId="0" xfId="0" applyFont="1"/>
    <xf numFmtId="0" fontId="187" fillId="0" borderId="0" xfId="0" applyFont="1"/>
    <xf numFmtId="0" fontId="186" fillId="0" borderId="0" xfId="0" applyFont="1"/>
    <xf numFmtId="0" fontId="185" fillId="0" borderId="0" xfId="0" applyFont="1"/>
    <xf numFmtId="0" fontId="184" fillId="0" borderId="0" xfId="0" applyFont="1"/>
    <xf numFmtId="0" fontId="183" fillId="0" borderId="0" xfId="0" applyFont="1"/>
    <xf numFmtId="0" fontId="182" fillId="0" borderId="0" xfId="0" applyFont="1"/>
    <xf numFmtId="0" fontId="181" fillId="0" borderId="0" xfId="0" applyFont="1"/>
    <xf numFmtId="0" fontId="180" fillId="0" borderId="0" xfId="0" applyFont="1"/>
    <xf numFmtId="0" fontId="179" fillId="0" borderId="0" xfId="0" applyFont="1"/>
    <xf numFmtId="0" fontId="178" fillId="0" borderId="0" xfId="0" applyFont="1"/>
    <xf numFmtId="0" fontId="177" fillId="0" borderId="0" xfId="0" applyFont="1"/>
    <xf numFmtId="0" fontId="176" fillId="0" borderId="0" xfId="0" applyFont="1"/>
    <xf numFmtId="0" fontId="175" fillId="0" borderId="0" xfId="0" applyFont="1"/>
    <xf numFmtId="0" fontId="174" fillId="0" borderId="0" xfId="0" applyFont="1"/>
    <xf numFmtId="0" fontId="173" fillId="0" borderId="0" xfId="0" applyFont="1"/>
    <xf numFmtId="0" fontId="172" fillId="0" borderId="0" xfId="0" applyFont="1"/>
    <xf numFmtId="0" fontId="171" fillId="0" borderId="0" xfId="0" applyFont="1"/>
    <xf numFmtId="0" fontId="170" fillId="0" borderId="0" xfId="0" applyFont="1"/>
    <xf numFmtId="0" fontId="169" fillId="0" borderId="0" xfId="0" applyFont="1"/>
    <xf numFmtId="0" fontId="168" fillId="0" borderId="0" xfId="0" applyFont="1"/>
    <xf numFmtId="16" fontId="556" fillId="0" borderId="0" xfId="0" applyNumberFormat="1" applyFont="1" applyAlignment="1">
      <alignment horizontal="center"/>
    </xf>
    <xf numFmtId="0" fontId="167" fillId="0" borderId="0" xfId="0" applyFont="1"/>
    <xf numFmtId="0" fontId="166" fillId="0" borderId="0" xfId="0" applyFont="1"/>
    <xf numFmtId="0" fontId="165" fillId="0" borderId="0" xfId="0" applyFont="1"/>
    <xf numFmtId="0" fontId="164" fillId="0" borderId="0" xfId="0" applyFont="1"/>
    <xf numFmtId="0" fontId="163" fillId="0" borderId="0" xfId="0" applyFont="1"/>
    <xf numFmtId="0" fontId="162" fillId="0" borderId="0" xfId="0" applyFont="1"/>
    <xf numFmtId="0" fontId="611" fillId="0" borderId="0" xfId="0" applyFont="1"/>
    <xf numFmtId="0" fontId="612" fillId="0" borderId="0" xfId="0" applyFont="1"/>
    <xf numFmtId="0" fontId="161" fillId="0" borderId="0" xfId="0" applyFont="1"/>
    <xf numFmtId="0" fontId="160" fillId="0" borderId="0" xfId="0" applyFont="1"/>
    <xf numFmtId="0" fontId="159" fillId="0" borderId="0" xfId="0" applyFont="1"/>
    <xf numFmtId="0" fontId="158" fillId="0" borderId="0" xfId="0" applyFont="1"/>
    <xf numFmtId="0" fontId="157" fillId="0" borderId="0" xfId="0" applyFont="1"/>
    <xf numFmtId="0" fontId="156" fillId="0" borderId="0" xfId="0" applyFont="1"/>
    <xf numFmtId="0" fontId="155" fillId="0" borderId="0" xfId="0" applyFont="1"/>
    <xf numFmtId="0" fontId="154" fillId="0" borderId="0" xfId="0" applyFont="1"/>
    <xf numFmtId="0" fontId="153" fillId="0" borderId="0" xfId="0" applyFont="1"/>
    <xf numFmtId="0" fontId="152" fillId="0" borderId="0" xfId="0" applyFont="1"/>
    <xf numFmtId="0" fontId="151" fillId="0" borderId="0" xfId="0" applyFont="1"/>
    <xf numFmtId="0" fontId="150" fillId="0" borderId="0" xfId="0" applyFont="1"/>
    <xf numFmtId="0" fontId="482" fillId="0" borderId="1" xfId="0" applyFont="1" applyBorder="1" applyAlignment="1">
      <alignment vertical="center" wrapText="1"/>
    </xf>
    <xf numFmtId="0" fontId="594" fillId="0" borderId="0" xfId="1" applyFill="1" applyBorder="1" applyAlignment="1"/>
    <xf numFmtId="0" fontId="149" fillId="0" borderId="0" xfId="0" applyFont="1"/>
    <xf numFmtId="0" fontId="148" fillId="0" borderId="0" xfId="0" applyFont="1"/>
    <xf numFmtId="0" fontId="147" fillId="0" borderId="0" xfId="0" applyFont="1"/>
    <xf numFmtId="0" fontId="146" fillId="0" borderId="0" xfId="0" applyFont="1"/>
    <xf numFmtId="0" fontId="145" fillId="0" borderId="0" xfId="0" applyFont="1"/>
    <xf numFmtId="0" fontId="144" fillId="0" borderId="0" xfId="0" applyFont="1"/>
    <xf numFmtId="0" fontId="143" fillId="0" borderId="0" xfId="0" applyFont="1"/>
    <xf numFmtId="0" fontId="142" fillId="0" borderId="0" xfId="0" applyFont="1"/>
    <xf numFmtId="0" fontId="141" fillId="0" borderId="0" xfId="0" applyFont="1"/>
    <xf numFmtId="0" fontId="140" fillId="0" borderId="0" xfId="0" applyFont="1"/>
    <xf numFmtId="0" fontId="139" fillId="0" borderId="0" xfId="0" applyFont="1"/>
    <xf numFmtId="0" fontId="138" fillId="0" borderId="0" xfId="0" applyFont="1"/>
    <xf numFmtId="0" fontId="137" fillId="0" borderId="0" xfId="0" applyFont="1"/>
    <xf numFmtId="0" fontId="556" fillId="15" borderId="0" xfId="0" applyFont="1" applyFill="1" applyAlignment="1">
      <alignment horizontal="right"/>
    </xf>
    <xf numFmtId="14" fontId="589" fillId="0" borderId="0" xfId="0" applyNumberFormat="1" applyFont="1" applyAlignment="1">
      <alignment horizontal="center"/>
    </xf>
    <xf numFmtId="14" fontId="556" fillId="15" borderId="0" xfId="0" applyNumberFormat="1" applyFont="1" applyFill="1" applyAlignment="1">
      <alignment horizontal="center"/>
    </xf>
    <xf numFmtId="14" fontId="609" fillId="15" borderId="0" xfId="0" applyNumberFormat="1" applyFont="1" applyFill="1" applyAlignment="1">
      <alignment horizontal="center"/>
    </xf>
    <xf numFmtId="14" fontId="556" fillId="16" borderId="0" xfId="0" applyNumberFormat="1" applyFont="1" applyFill="1" applyAlignment="1">
      <alignment horizontal="center"/>
    </xf>
    <xf numFmtId="0" fontId="136" fillId="0" borderId="0" xfId="0" applyFont="1"/>
    <xf numFmtId="0" fontId="0" fillId="0" borderId="0" xfId="0" applyAlignment="1">
      <alignment horizontal="right"/>
    </xf>
    <xf numFmtId="0" fontId="135" fillId="0" borderId="0" xfId="0" applyFont="1"/>
    <xf numFmtId="1" fontId="576" fillId="0" borderId="0" xfId="0" applyNumberFormat="1" applyFont="1" applyAlignment="1">
      <alignment vertical="center"/>
    </xf>
    <xf numFmtId="0" fontId="601" fillId="0" borderId="0" xfId="0" applyFont="1" applyAlignment="1">
      <alignment vertical="center"/>
    </xf>
    <xf numFmtId="1" fontId="556" fillId="0" borderId="0" xfId="0" applyNumberFormat="1" applyFont="1" applyAlignment="1">
      <alignment vertical="center"/>
    </xf>
    <xf numFmtId="0" fontId="556" fillId="0" borderId="0" xfId="0" applyFont="1" applyAlignment="1">
      <alignment vertical="center"/>
    </xf>
    <xf numFmtId="14" fontId="556" fillId="15" borderId="0" xfId="0" applyNumberFormat="1" applyFont="1" applyFill="1" applyAlignment="1">
      <alignment horizontal="right"/>
    </xf>
    <xf numFmtId="0" fontId="594" fillId="0" borderId="0" xfId="1" applyBorder="1" applyAlignment="1"/>
    <xf numFmtId="0" fontId="601" fillId="0" borderId="1" xfId="0" applyFont="1" applyBorder="1"/>
    <xf numFmtId="0" fontId="134" fillId="0" borderId="0" xfId="0" applyFont="1"/>
    <xf numFmtId="0" fontId="133" fillId="0" borderId="0" xfId="0" applyFont="1"/>
    <xf numFmtId="0" fontId="594" fillId="17" borderId="0" xfId="1" applyFill="1" applyBorder="1"/>
    <xf numFmtId="0" fontId="132" fillId="0" borderId="0" xfId="0" applyFont="1"/>
    <xf numFmtId="0" fontId="613" fillId="0" borderId="0" xfId="0" applyFont="1"/>
    <xf numFmtId="0" fontId="131" fillId="0" borderId="0" xfId="0" applyFont="1"/>
    <xf numFmtId="0" fontId="130" fillId="0" borderId="0" xfId="0" applyFont="1"/>
    <xf numFmtId="0" fontId="603" fillId="0" borderId="1" xfId="1" applyFont="1" applyBorder="1" applyAlignment="1"/>
    <xf numFmtId="0" fontId="129" fillId="0" borderId="0" xfId="0" applyFont="1"/>
    <xf numFmtId="0" fontId="128" fillId="0" borderId="0" xfId="0" applyFont="1"/>
    <xf numFmtId="0" fontId="127" fillId="0" borderId="0" xfId="0" applyFont="1"/>
    <xf numFmtId="0" fontId="126" fillId="0" borderId="0" xfId="0" applyFont="1"/>
    <xf numFmtId="0" fontId="602" fillId="0" borderId="1" xfId="0" applyFont="1" applyBorder="1"/>
    <xf numFmtId="0" fontId="556" fillId="0" borderId="1" xfId="0" applyFont="1" applyBorder="1"/>
    <xf numFmtId="0" fontId="604" fillId="0" borderId="0" xfId="0" applyFont="1" applyAlignment="1">
      <alignment horizontal="right"/>
    </xf>
    <xf numFmtId="1" fontId="556" fillId="0" borderId="0" xfId="0" applyNumberFormat="1" applyFont="1" applyAlignment="1">
      <alignment horizontal="right"/>
    </xf>
    <xf numFmtId="0" fontId="601" fillId="0" borderId="0" xfId="0" applyFont="1" applyAlignment="1">
      <alignment horizontal="right"/>
    </xf>
    <xf numFmtId="0" fontId="125" fillId="0" borderId="1" xfId="0" applyFont="1" applyBorder="1"/>
    <xf numFmtId="0" fontId="124" fillId="0" borderId="0" xfId="0" applyFont="1"/>
    <xf numFmtId="0" fontId="123" fillId="0" borderId="0" xfId="0" applyFont="1"/>
    <xf numFmtId="0" fontId="123" fillId="0" borderId="0" xfId="0" applyFont="1" applyAlignment="1">
      <alignment horizontal="center"/>
    </xf>
    <xf numFmtId="0" fontId="122" fillId="0" borderId="0" xfId="0" applyFont="1"/>
    <xf numFmtId="0" fontId="121" fillId="0" borderId="0" xfId="0" applyFont="1"/>
    <xf numFmtId="0" fontId="614" fillId="0" borderId="0" xfId="1" applyFont="1"/>
    <xf numFmtId="0" fontId="120" fillId="0" borderId="0" xfId="0" applyFont="1"/>
    <xf numFmtId="0" fontId="119" fillId="0" borderId="0" xfId="0" applyFont="1"/>
    <xf numFmtId="0" fontId="118" fillId="0" borderId="0" xfId="0" applyFont="1"/>
    <xf numFmtId="0" fontId="117" fillId="0" borderId="0" xfId="0" applyFont="1"/>
    <xf numFmtId="0" fontId="116" fillId="0" borderId="0" xfId="0" applyFont="1"/>
    <xf numFmtId="0" fontId="115" fillId="0" borderId="0" xfId="0" applyFont="1"/>
    <xf numFmtId="0" fontId="114" fillId="0" borderId="0" xfId="0" applyFont="1"/>
    <xf numFmtId="0" fontId="113" fillId="0" borderId="0" xfId="0" applyFont="1"/>
    <xf numFmtId="0" fontId="115" fillId="17" borderId="0" xfId="0" applyFont="1" applyFill="1"/>
    <xf numFmtId="0" fontId="112" fillId="0" borderId="0" xfId="0" applyFont="1"/>
    <xf numFmtId="0" fontId="111" fillId="0" borderId="0" xfId="0" applyFont="1"/>
    <xf numFmtId="0" fontId="110" fillId="0" borderId="0" xfId="0" applyFont="1"/>
    <xf numFmtId="0" fontId="109" fillId="0" borderId="0" xfId="0" applyFont="1"/>
    <xf numFmtId="0" fontId="108" fillId="0" borderId="0" xfId="0" applyFont="1"/>
    <xf numFmtId="0" fontId="107" fillId="0" borderId="0" xfId="0" applyFont="1"/>
    <xf numFmtId="0" fontId="106" fillId="17" borderId="0" xfId="0" applyFont="1" applyFill="1"/>
    <xf numFmtId="0" fontId="105" fillId="0" borderId="0" xfId="0" applyFont="1"/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0" fontId="100" fillId="0" borderId="0" xfId="0" applyFont="1"/>
    <xf numFmtId="0" fontId="99" fillId="0" borderId="0" xfId="0" applyFont="1"/>
    <xf numFmtId="0" fontId="98" fillId="0" borderId="0" xfId="0" applyFont="1"/>
    <xf numFmtId="0" fontId="0" fillId="15" borderId="0" xfId="0" applyFill="1"/>
    <xf numFmtId="0" fontId="97" fillId="0" borderId="0" xfId="0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0" fontId="85" fillId="0" borderId="0" xfId="0" applyFont="1"/>
    <xf numFmtId="0" fontId="84" fillId="0" borderId="0" xfId="0" applyFont="1"/>
    <xf numFmtId="0" fontId="616" fillId="0" borderId="0" xfId="0" applyFont="1"/>
    <xf numFmtId="0" fontId="616" fillId="0" borderId="0" xfId="0" applyFont="1" applyAlignment="1">
      <alignment horizontal="center"/>
    </xf>
    <xf numFmtId="14" fontId="616" fillId="0" borderId="0" xfId="0" applyNumberFormat="1" applyFont="1" applyAlignment="1">
      <alignment horizontal="center"/>
    </xf>
    <xf numFmtId="0" fontId="616" fillId="0" borderId="0" xfId="0" applyFont="1" applyAlignment="1">
      <alignment vertical="center"/>
    </xf>
    <xf numFmtId="0" fontId="616" fillId="0" borderId="0" xfId="0" applyFont="1" applyAlignment="1">
      <alignment horizontal="right"/>
    </xf>
    <xf numFmtId="0" fontId="83" fillId="0" borderId="0" xfId="0" applyFont="1"/>
    <xf numFmtId="0" fontId="82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0" fontId="77" fillId="0" borderId="0" xfId="0" applyFont="1"/>
    <xf numFmtId="0" fontId="76" fillId="0" borderId="0" xfId="0" applyFont="1"/>
    <xf numFmtId="0" fontId="75" fillId="0" borderId="0" xfId="0" applyFont="1"/>
    <xf numFmtId="0" fontId="598" fillId="0" borderId="0" xfId="0" applyFont="1" applyAlignment="1">
      <alignment horizontal="center"/>
    </xf>
    <xf numFmtId="0" fontId="74" fillId="0" borderId="0" xfId="0" applyFont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15" fillId="15" borderId="0" xfId="0" applyFont="1" applyFill="1"/>
    <xf numFmtId="0" fontId="68" fillId="0" borderId="0" xfId="0" applyFont="1"/>
    <xf numFmtId="0" fontId="0" fillId="15" borderId="0" xfId="0" applyFill="1" applyAlignment="1">
      <alignment horizontal="center"/>
    </xf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3" fontId="601" fillId="0" borderId="0" xfId="0" applyNumberFormat="1" applyFont="1" applyAlignment="1">
      <alignment horizontal="right"/>
    </xf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14" fontId="556" fillId="19" borderId="0" xfId="0" applyNumberFormat="1" applyFont="1" applyFill="1" applyAlignment="1">
      <alignment horizontal="right"/>
    </xf>
    <xf numFmtId="0" fontId="556" fillId="19" borderId="0" xfId="0" applyFont="1" applyFill="1"/>
    <xf numFmtId="14" fontId="556" fillId="19" borderId="0" xfId="0" applyNumberFormat="1" applyFont="1" applyFill="1" applyAlignment="1">
      <alignment horizontal="center"/>
    </xf>
    <xf numFmtId="1" fontId="556" fillId="19" borderId="0" xfId="0" applyNumberFormat="1" applyFont="1" applyFill="1" applyAlignment="1">
      <alignment horizontal="center"/>
    </xf>
    <xf numFmtId="14" fontId="556" fillId="19" borderId="0" xfId="0" applyNumberFormat="1" applyFont="1" applyFill="1"/>
    <xf numFmtId="0" fontId="556" fillId="19" borderId="0" xfId="0" applyFont="1" applyFill="1" applyAlignment="1">
      <alignment horizontal="center"/>
    </xf>
    <xf numFmtId="14" fontId="577" fillId="19" borderId="0" xfId="0" applyNumberFormat="1" applyFont="1" applyFill="1"/>
    <xf numFmtId="0" fontId="0" fillId="19" borderId="0" xfId="0" applyFill="1"/>
    <xf numFmtId="14" fontId="556" fillId="20" borderId="0" xfId="0" applyNumberFormat="1" applyFont="1" applyFill="1" applyAlignment="1">
      <alignment horizontal="right"/>
    </xf>
    <xf numFmtId="0" fontId="556" fillId="20" borderId="0" xfId="0" applyFont="1" applyFill="1"/>
    <xf numFmtId="14" fontId="556" fillId="20" borderId="0" xfId="0" applyNumberFormat="1" applyFont="1" applyFill="1" applyAlignment="1">
      <alignment horizontal="center"/>
    </xf>
    <xf numFmtId="1" fontId="556" fillId="20" borderId="0" xfId="0" applyNumberFormat="1" applyFont="1" applyFill="1" applyAlignment="1">
      <alignment horizontal="center"/>
    </xf>
    <xf numFmtId="0" fontId="556" fillId="20" borderId="0" xfId="0" applyFont="1" applyFill="1" applyAlignment="1">
      <alignment horizontal="center"/>
    </xf>
    <xf numFmtId="14" fontId="609" fillId="19" borderId="0" xfId="0" applyNumberFormat="1" applyFont="1" applyFill="1" applyAlignment="1">
      <alignment horizontal="right"/>
    </xf>
    <xf numFmtId="0" fontId="609" fillId="19" borderId="0" xfId="0" applyFont="1" applyFill="1"/>
    <xf numFmtId="14" fontId="609" fillId="19" borderId="0" xfId="0" applyNumberFormat="1" applyFont="1" applyFill="1" applyAlignment="1">
      <alignment horizontal="center"/>
    </xf>
    <xf numFmtId="1" fontId="609" fillId="19" borderId="0" xfId="0" applyNumberFormat="1" applyFont="1" applyFill="1" applyAlignment="1">
      <alignment horizontal="center"/>
    </xf>
    <xf numFmtId="0" fontId="0" fillId="20" borderId="0" xfId="0" applyFill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512" fillId="20" borderId="0" xfId="0" applyFont="1" applyFill="1"/>
    <xf numFmtId="0" fontId="37" fillId="0" borderId="0" xfId="0" applyFont="1"/>
    <xf numFmtId="0" fontId="0" fillId="0" borderId="0" xfId="0" applyAlignment="1">
      <alignment horizontal="left"/>
    </xf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617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512" fillId="15" borderId="0" xfId="0" applyFont="1" applyFill="1"/>
    <xf numFmtId="0" fontId="585" fillId="20" borderId="0" xfId="0" applyFont="1" applyFill="1" applyAlignment="1">
      <alignment horizontal="center"/>
    </xf>
    <xf numFmtId="14" fontId="0" fillId="15" borderId="0" xfId="0" applyNumberFormat="1" applyFill="1"/>
    <xf numFmtId="0" fontId="22" fillId="15" borderId="0" xfId="0" applyFont="1" applyFill="1"/>
    <xf numFmtId="0" fontId="21" fillId="0" borderId="0" xfId="0" applyFont="1"/>
    <xf numFmtId="0" fontId="20" fillId="0" borderId="0" xfId="0" applyFont="1"/>
    <xf numFmtId="14" fontId="20" fillId="0" borderId="0" xfId="0" applyNumberFormat="1" applyFont="1"/>
    <xf numFmtId="0" fontId="19" fillId="0" borderId="0" xfId="0" applyFont="1"/>
    <xf numFmtId="0" fontId="512" fillId="1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14" fontId="601" fillId="0" borderId="0" xfId="0" applyNumberFormat="1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82" fillId="0" borderId="0" xfId="0" applyFont="1" applyAlignment="1">
      <alignment horizontal="center"/>
    </xf>
    <xf numFmtId="0" fontId="0" fillId="0" borderId="0" xfId="0"/>
  </cellXfs>
  <cellStyles count="3">
    <cellStyle name="Bad" xfId="2" builtinId="27"/>
    <cellStyle name="Hyperlink" xfId="1" builtinId="8"/>
    <cellStyle name="Normal" xfId="0" builtinId="0"/>
  </cellStyles>
  <dxfs count="7">
    <dxf>
      <font>
        <b/>
        <i/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none"/>
      </fill>
    </dxf>
    <dxf>
      <font>
        <color rgb="FFC0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ar15aug@gmail.com" TargetMode="External"/><Relationship Id="rId117" Type="http://schemas.openxmlformats.org/officeDocument/2006/relationships/hyperlink" Target="mailto:sanjay2@" TargetMode="External"/><Relationship Id="rId21" Type="http://schemas.openxmlformats.org/officeDocument/2006/relationships/hyperlink" Target="mailto:dk988504@gmail.com" TargetMode="External"/><Relationship Id="rId42" Type="http://schemas.openxmlformats.org/officeDocument/2006/relationships/hyperlink" Target="mailto:sanjay@minusoft.co.in" TargetMode="External"/><Relationship Id="rId47" Type="http://schemas.openxmlformats.org/officeDocument/2006/relationships/hyperlink" Target="mailto:surajrathorebr@gmail.com" TargetMode="External"/><Relationship Id="rId63" Type="http://schemas.openxmlformats.org/officeDocument/2006/relationships/hyperlink" Target="mailto:sanjay@minusoft.co.in" TargetMode="External"/><Relationship Id="rId68" Type="http://schemas.openxmlformats.org/officeDocument/2006/relationships/hyperlink" Target="mailto:bbpdamit@gmail.com" TargetMode="External"/><Relationship Id="rId84" Type="http://schemas.openxmlformats.org/officeDocument/2006/relationships/hyperlink" Target="mailto:desiringdilipkumar@gmail.com" TargetMode="External"/><Relationship Id="rId89" Type="http://schemas.openxmlformats.org/officeDocument/2006/relationships/hyperlink" Target="mailto:sanjay1@minusoft.co.in" TargetMode="External"/><Relationship Id="rId112" Type="http://schemas.openxmlformats.org/officeDocument/2006/relationships/hyperlink" Target="mailto:santusingh192020@gmail.com" TargetMode="External"/><Relationship Id="rId16" Type="http://schemas.openxmlformats.org/officeDocument/2006/relationships/hyperlink" Target="mailto:akumari2002.in@gmail.com" TargetMode="External"/><Relationship Id="rId107" Type="http://schemas.openxmlformats.org/officeDocument/2006/relationships/hyperlink" Target="mailto:pravs.sinha@gmail.com" TargetMode="External"/><Relationship Id="rId11" Type="http://schemas.openxmlformats.org/officeDocument/2006/relationships/hyperlink" Target="mailto:sanjay@minusoft.co.in" TargetMode="External"/><Relationship Id="rId32" Type="http://schemas.openxmlformats.org/officeDocument/2006/relationships/hyperlink" Target="mailto:a7295056859@gmail.com" TargetMode="External"/><Relationship Id="rId37" Type="http://schemas.openxmlformats.org/officeDocument/2006/relationships/hyperlink" Target="mailto:sanjay@minusoft.co.in" TargetMode="External"/><Relationship Id="rId53" Type="http://schemas.openxmlformats.org/officeDocument/2006/relationships/hyperlink" Target="mailto:vermark1503@gmail.com" TargetMode="External"/><Relationship Id="rId58" Type="http://schemas.openxmlformats.org/officeDocument/2006/relationships/hyperlink" Target="mailto:anusuya.cbs.201@gmail.com" TargetMode="External"/><Relationship Id="rId74" Type="http://schemas.openxmlformats.org/officeDocument/2006/relationships/hyperlink" Target="mailto:sanjay1@minusoft.co.in" TargetMode="External"/><Relationship Id="rId79" Type="http://schemas.openxmlformats.org/officeDocument/2006/relationships/hyperlink" Target="mailto:manishkumarcomsonu53811@gmail.com" TargetMode="External"/><Relationship Id="rId102" Type="http://schemas.openxmlformats.org/officeDocument/2006/relationships/hyperlink" Target="mailto:bipinkumarbipin676@gmail.com" TargetMode="External"/><Relationship Id="rId5" Type="http://schemas.openxmlformats.org/officeDocument/2006/relationships/hyperlink" Target="mailto:garai.bishal44@gmail.com" TargetMode="External"/><Relationship Id="rId61" Type="http://schemas.openxmlformats.org/officeDocument/2006/relationships/hyperlink" Target="mailto:jasbir.singh62044@gmail.om" TargetMode="External"/><Relationship Id="rId82" Type="http://schemas.openxmlformats.org/officeDocument/2006/relationships/hyperlink" Target="mailto:sanja1@minusoft.co.in" TargetMode="External"/><Relationship Id="rId90" Type="http://schemas.openxmlformats.org/officeDocument/2006/relationships/hyperlink" Target="mailto:sanjay1@minusoft.co.in" TargetMode="External"/><Relationship Id="rId95" Type="http://schemas.openxmlformats.org/officeDocument/2006/relationships/hyperlink" Target="mailto:nandasharma77500@gmail.com" TargetMode="External"/><Relationship Id="rId19" Type="http://schemas.openxmlformats.org/officeDocument/2006/relationships/hyperlink" Target="mailto:karimkhan9955@gmail.com" TargetMode="External"/><Relationship Id="rId14" Type="http://schemas.openxmlformats.org/officeDocument/2006/relationships/hyperlink" Target="mailto:mahatohirawati@gmail.com" TargetMode="External"/><Relationship Id="rId22" Type="http://schemas.openxmlformats.org/officeDocument/2006/relationships/hyperlink" Target="mailto:rupeshsingh317@gmail.com" TargetMode="External"/><Relationship Id="rId27" Type="http://schemas.openxmlformats.org/officeDocument/2006/relationships/hyperlink" Target="mailto:sanjay@minusoft.co.in" TargetMode="External"/><Relationship Id="rId30" Type="http://schemas.openxmlformats.org/officeDocument/2006/relationships/hyperlink" Target="mailto:sanjay@minusoft.co.in" TargetMode="External"/><Relationship Id="rId35" Type="http://schemas.openxmlformats.org/officeDocument/2006/relationships/hyperlink" Target="mailto:charanlakhi2580@gmail.com" TargetMode="External"/><Relationship Id="rId43" Type="http://schemas.openxmlformats.org/officeDocument/2006/relationships/hyperlink" Target="mailto:sanjay@minusoft.co.in" TargetMode="External"/><Relationship Id="rId48" Type="http://schemas.openxmlformats.org/officeDocument/2006/relationships/hyperlink" Target="mailto:sangeetasinghdixit@gmail.com" TargetMode="External"/><Relationship Id="rId56" Type="http://schemas.openxmlformats.org/officeDocument/2006/relationships/hyperlink" Target="mailto:sanjay@minusoft.co.in" TargetMode="External"/><Relationship Id="rId64" Type="http://schemas.openxmlformats.org/officeDocument/2006/relationships/hyperlink" Target="mailto:sanjay@minusoft.co.in" TargetMode="External"/><Relationship Id="rId69" Type="http://schemas.openxmlformats.org/officeDocument/2006/relationships/hyperlink" Target="mailto:sanjay@minusoft.co.in" TargetMode="External"/><Relationship Id="rId77" Type="http://schemas.openxmlformats.org/officeDocument/2006/relationships/hyperlink" Target="mailto:kartikmahato5896@gmail.com" TargetMode="External"/><Relationship Id="rId100" Type="http://schemas.openxmlformats.org/officeDocument/2006/relationships/hyperlink" Target="mailto:sanjay1@minusoft.co.in" TargetMode="External"/><Relationship Id="rId105" Type="http://schemas.openxmlformats.org/officeDocument/2006/relationships/hyperlink" Target="mailto:sanjay1@minusoft.co.in" TargetMode="External"/><Relationship Id="rId113" Type="http://schemas.openxmlformats.org/officeDocument/2006/relationships/hyperlink" Target="mailto:sonipriyanshi339@gmail.com" TargetMode="External"/><Relationship Id="rId118" Type="http://schemas.openxmlformats.org/officeDocument/2006/relationships/hyperlink" Target="mailto:sanjay2@" TargetMode="External"/><Relationship Id="rId8" Type="http://schemas.openxmlformats.org/officeDocument/2006/relationships/hyperlink" Target="mailto:sanjay@minusoft.co.in" TargetMode="External"/><Relationship Id="rId51" Type="http://schemas.openxmlformats.org/officeDocument/2006/relationships/hyperlink" Target="mailto:krishnastore001@gmail.com" TargetMode="External"/><Relationship Id="rId72" Type="http://schemas.openxmlformats.org/officeDocument/2006/relationships/hyperlink" Target="mailto:sanjay@minusoft.co.in" TargetMode="External"/><Relationship Id="rId80" Type="http://schemas.openxmlformats.org/officeDocument/2006/relationships/hyperlink" Target="mailto:sanjay1@minusoft.co.in" TargetMode="External"/><Relationship Id="rId85" Type="http://schemas.openxmlformats.org/officeDocument/2006/relationships/hyperlink" Target="mailto:anshuk497@gmail.com" TargetMode="External"/><Relationship Id="rId93" Type="http://schemas.openxmlformats.org/officeDocument/2006/relationships/hyperlink" Target="mailto:sumitkingg786@gmail.com" TargetMode="External"/><Relationship Id="rId98" Type="http://schemas.openxmlformats.org/officeDocument/2006/relationships/hyperlink" Target="mailto:sanjay1@minusoft.co.in" TargetMode="External"/><Relationship Id="rId121" Type="http://schemas.openxmlformats.org/officeDocument/2006/relationships/comments" Target="../comments1.xml"/><Relationship Id="rId3" Type="http://schemas.openxmlformats.org/officeDocument/2006/relationships/hyperlink" Target="http://www.velex.in/" TargetMode="External"/><Relationship Id="rId12" Type="http://schemas.openxmlformats.org/officeDocument/2006/relationships/hyperlink" Target="mailto:debdasduttatm@gmail.com" TargetMode="External"/><Relationship Id="rId17" Type="http://schemas.openxmlformats.org/officeDocument/2006/relationships/hyperlink" Target="mailto:sanjaygorai124@gmail.com" TargetMode="External"/><Relationship Id="rId25" Type="http://schemas.openxmlformats.org/officeDocument/2006/relationships/hyperlink" Target="mailto:sonisingh53107@gmail.com" TargetMode="External"/><Relationship Id="rId33" Type="http://schemas.openxmlformats.org/officeDocument/2006/relationships/hyperlink" Target="mailto:sanjay@minusoft.co.in" TargetMode="External"/><Relationship Id="rId38" Type="http://schemas.openxmlformats.org/officeDocument/2006/relationships/hyperlink" Target="mailto:sanjay@minusoft.co.in" TargetMode="External"/><Relationship Id="rId46" Type="http://schemas.openxmlformats.org/officeDocument/2006/relationships/hyperlink" Target="mailto:sanjay@minusoft.co.in" TargetMode="External"/><Relationship Id="rId59" Type="http://schemas.openxmlformats.org/officeDocument/2006/relationships/hyperlink" Target="mailto:chhayarani.cbs201@gmail.com" TargetMode="External"/><Relationship Id="rId67" Type="http://schemas.openxmlformats.org/officeDocument/2006/relationships/hyperlink" Target="mailto:sumandutta26jan@gmail.com" TargetMode="External"/><Relationship Id="rId103" Type="http://schemas.openxmlformats.org/officeDocument/2006/relationships/hyperlink" Target="mailto:sanjay1@minusoft.co.in" TargetMode="External"/><Relationship Id="rId108" Type="http://schemas.openxmlformats.org/officeDocument/2006/relationships/hyperlink" Target="mailto:pravs.sinha@gmail.com" TargetMode="External"/><Relationship Id="rId116" Type="http://schemas.openxmlformats.org/officeDocument/2006/relationships/hyperlink" Target="mailto:sanjay2@" TargetMode="External"/><Relationship Id="rId20" Type="http://schemas.openxmlformats.org/officeDocument/2006/relationships/hyperlink" Target="mailto:sanjay@minusoft.co.in" TargetMode="External"/><Relationship Id="rId41" Type="http://schemas.openxmlformats.org/officeDocument/2006/relationships/hyperlink" Target="mailto:sanjay@minusoft.co.in" TargetMode="External"/><Relationship Id="rId54" Type="http://schemas.openxmlformats.org/officeDocument/2006/relationships/hyperlink" Target="mailto:ec.99.2019@gmail.com" TargetMode="External"/><Relationship Id="rId62" Type="http://schemas.openxmlformats.org/officeDocument/2006/relationships/hyperlink" Target="mailto:jaipaljsr225@gmail.com" TargetMode="External"/><Relationship Id="rId70" Type="http://schemas.openxmlformats.org/officeDocument/2006/relationships/hyperlink" Target="mailto:sanjay@minusoft.co.in" TargetMode="External"/><Relationship Id="rId75" Type="http://schemas.openxmlformats.org/officeDocument/2006/relationships/hyperlink" Target="mailto:sanjaygorai000@gmail.com" TargetMode="External"/><Relationship Id="rId83" Type="http://schemas.openxmlformats.org/officeDocument/2006/relationships/hyperlink" Target="mailto:ns966310@gmail.com" TargetMode="External"/><Relationship Id="rId88" Type="http://schemas.openxmlformats.org/officeDocument/2006/relationships/hyperlink" Target="mailto:sanjay1@minusoft.co.in" TargetMode="External"/><Relationship Id="rId91" Type="http://schemas.openxmlformats.org/officeDocument/2006/relationships/hyperlink" Target="mailto:binay.mishra@cummins.com" TargetMode="External"/><Relationship Id="rId96" Type="http://schemas.openxmlformats.org/officeDocument/2006/relationships/hyperlink" Target="mailto:sanjay1@minusoft.co.in" TargetMode="External"/><Relationship Id="rId111" Type="http://schemas.openxmlformats.org/officeDocument/2006/relationships/hyperlink" Target="mailto:jyoti.hr.jha@gmail.com" TargetMode="External"/><Relationship Id="rId1" Type="http://schemas.openxmlformats.org/officeDocument/2006/relationships/hyperlink" Target="http://www.velex.in/" TargetMode="External"/><Relationship Id="rId6" Type="http://schemas.openxmlformats.org/officeDocument/2006/relationships/hyperlink" Target="mailto:nweb.hub@gmail.com" TargetMode="External"/><Relationship Id="rId15" Type="http://schemas.openxmlformats.org/officeDocument/2006/relationships/hyperlink" Target="mailto:madymaninder007@gmail.com" TargetMode="External"/><Relationship Id="rId23" Type="http://schemas.openxmlformats.org/officeDocument/2006/relationships/hyperlink" Target="mailto:sanjay@minusoft.co.in" TargetMode="External"/><Relationship Id="rId28" Type="http://schemas.openxmlformats.org/officeDocument/2006/relationships/hyperlink" Target="mailto:sanjay@minusoft.co.in" TargetMode="External"/><Relationship Id="rId36" Type="http://schemas.openxmlformats.org/officeDocument/2006/relationships/hyperlink" Target="mailto:ekta.jha29@gmail.com" TargetMode="External"/><Relationship Id="rId49" Type="http://schemas.openxmlformats.org/officeDocument/2006/relationships/hyperlink" Target="mailto:surbhisinghjsr03@gmail.com" TargetMode="External"/><Relationship Id="rId57" Type="http://schemas.openxmlformats.org/officeDocument/2006/relationships/hyperlink" Target="mailto:sanjay@minusoft.co.in" TargetMode="External"/><Relationship Id="rId106" Type="http://schemas.openxmlformats.org/officeDocument/2006/relationships/hyperlink" Target="mailto:ratnapatra235@gmail.com" TargetMode="External"/><Relationship Id="rId114" Type="http://schemas.openxmlformats.org/officeDocument/2006/relationships/hyperlink" Target="mailto:rajivbera91@gmail.com" TargetMode="External"/><Relationship Id="rId119" Type="http://schemas.openxmlformats.org/officeDocument/2006/relationships/printerSettings" Target="../printerSettings/printerSettings3.bin"/><Relationship Id="rId10" Type="http://schemas.openxmlformats.org/officeDocument/2006/relationships/hyperlink" Target="mailto:seemababy4@gmail.com" TargetMode="External"/><Relationship Id="rId31" Type="http://schemas.openxmlformats.org/officeDocument/2006/relationships/hyperlink" Target="mailto:akanshatripathy4@gmail.com" TargetMode="External"/><Relationship Id="rId44" Type="http://schemas.openxmlformats.org/officeDocument/2006/relationships/hyperlink" Target="mailto:sanjay@minusoft.co.in" TargetMode="External"/><Relationship Id="rId52" Type="http://schemas.openxmlformats.org/officeDocument/2006/relationships/hyperlink" Target="mailto:amarmukhi2627@gmail.com" TargetMode="External"/><Relationship Id="rId60" Type="http://schemas.openxmlformats.org/officeDocument/2006/relationships/hyperlink" Target="mailto:jasbir.singh62044@gmail.om" TargetMode="External"/><Relationship Id="rId65" Type="http://schemas.openxmlformats.org/officeDocument/2006/relationships/hyperlink" Target="mailto:sanjay@minusoft.co.in" TargetMode="External"/><Relationship Id="rId73" Type="http://schemas.openxmlformats.org/officeDocument/2006/relationships/hyperlink" Target="mailto:sdd392487@gmail.com" TargetMode="External"/><Relationship Id="rId78" Type="http://schemas.openxmlformats.org/officeDocument/2006/relationships/hyperlink" Target="mailto:aakritifocus@gmail.com" TargetMode="External"/><Relationship Id="rId81" Type="http://schemas.openxmlformats.org/officeDocument/2006/relationships/hyperlink" Target="mailto:souravtripathy67@gmail.com" TargetMode="External"/><Relationship Id="rId86" Type="http://schemas.openxmlformats.org/officeDocument/2006/relationships/hyperlink" Target="mailto:sanjay1@minusoft.co.in" TargetMode="External"/><Relationship Id="rId94" Type="http://schemas.openxmlformats.org/officeDocument/2006/relationships/hyperlink" Target="mailto:sanjay1@minusoft.co.in" TargetMode="External"/><Relationship Id="rId99" Type="http://schemas.openxmlformats.org/officeDocument/2006/relationships/hyperlink" Target="mailto:beenamahato1@gmail.com" TargetMode="External"/><Relationship Id="rId101" Type="http://schemas.openxmlformats.org/officeDocument/2006/relationships/hyperlink" Target="mailto:sanjay1@minusoft.co.in" TargetMode="External"/><Relationship Id="rId4" Type="http://schemas.openxmlformats.org/officeDocument/2006/relationships/hyperlink" Target="http://www.velex.in/" TargetMode="External"/><Relationship Id="rId9" Type="http://schemas.openxmlformats.org/officeDocument/2006/relationships/hyperlink" Target="mailto:sanjay@minusoft.co.in" TargetMode="External"/><Relationship Id="rId13" Type="http://schemas.openxmlformats.org/officeDocument/2006/relationships/hyperlink" Target="mailto:mahatohirawati@gmail.com" TargetMode="External"/><Relationship Id="rId18" Type="http://schemas.openxmlformats.org/officeDocument/2006/relationships/hyperlink" Target="mailto:sunil.kum@gmail.com" TargetMode="External"/><Relationship Id="rId39" Type="http://schemas.openxmlformats.org/officeDocument/2006/relationships/hyperlink" Target="mailto:nadimakhter1976@gmail.com" TargetMode="External"/><Relationship Id="rId109" Type="http://schemas.openxmlformats.org/officeDocument/2006/relationships/hyperlink" Target="mailto:janadeepak79@gmail.com" TargetMode="External"/><Relationship Id="rId34" Type="http://schemas.openxmlformats.org/officeDocument/2006/relationships/hyperlink" Target="mailto:sanjay@minusoft.co.in" TargetMode="External"/><Relationship Id="rId50" Type="http://schemas.openxmlformats.org/officeDocument/2006/relationships/hyperlink" Target="mailto:snehabag56@gmail.co" TargetMode="External"/><Relationship Id="rId55" Type="http://schemas.openxmlformats.org/officeDocument/2006/relationships/hyperlink" Target="mailto:kalimrahi01@gmail.com" TargetMode="External"/><Relationship Id="rId76" Type="http://schemas.openxmlformats.org/officeDocument/2006/relationships/hyperlink" Target="mailto:kartikmahato5896@gmail.com" TargetMode="External"/><Relationship Id="rId97" Type="http://schemas.openxmlformats.org/officeDocument/2006/relationships/hyperlink" Target="mailto:sanjay1@minusoft.co.in" TargetMode="External"/><Relationship Id="rId104" Type="http://schemas.openxmlformats.org/officeDocument/2006/relationships/hyperlink" Target="mailto:sanjay1@minusoft.co.in" TargetMode="External"/><Relationship Id="rId120" Type="http://schemas.openxmlformats.org/officeDocument/2006/relationships/vmlDrawing" Target="../drawings/vmlDrawing1.vml"/><Relationship Id="rId7" Type="http://schemas.openxmlformats.org/officeDocument/2006/relationships/hyperlink" Target="mailto:sanjay@minusoft.co.in" TargetMode="External"/><Relationship Id="rId71" Type="http://schemas.openxmlformats.org/officeDocument/2006/relationships/hyperlink" Target="mailto:zhasan987@gmail.com" TargetMode="External"/><Relationship Id="rId92" Type="http://schemas.openxmlformats.org/officeDocument/2006/relationships/hyperlink" Target="mailto:Jagdishmahato316@gmail.com" TargetMode="External"/><Relationship Id="rId2" Type="http://schemas.openxmlformats.org/officeDocument/2006/relationships/hyperlink" Target="http://www.velex.in/" TargetMode="External"/><Relationship Id="rId29" Type="http://schemas.openxmlformats.org/officeDocument/2006/relationships/hyperlink" Target="mailto:sanjay@minusoft.co.in" TargetMode="External"/><Relationship Id="rId24" Type="http://schemas.openxmlformats.org/officeDocument/2006/relationships/hyperlink" Target="mailto:rupeshsingh317@gmail.com" TargetMode="External"/><Relationship Id="rId40" Type="http://schemas.openxmlformats.org/officeDocument/2006/relationships/hyperlink" Target="mailto:sanjay@minusoft.co.in" TargetMode="External"/><Relationship Id="rId45" Type="http://schemas.openxmlformats.org/officeDocument/2006/relationships/hyperlink" Target="mailto:pankajsanju2403@gmail.com" TargetMode="External"/><Relationship Id="rId66" Type="http://schemas.openxmlformats.org/officeDocument/2006/relationships/hyperlink" Target="mailto:sanjay@minusoft.co.in" TargetMode="External"/><Relationship Id="rId87" Type="http://schemas.openxmlformats.org/officeDocument/2006/relationships/hyperlink" Target="mailto:sanjay1@minusoft.co.in" TargetMode="External"/><Relationship Id="rId110" Type="http://schemas.openxmlformats.org/officeDocument/2006/relationships/hyperlink" Target="mailto:ratnesh74jha@gmail.com" TargetMode="External"/><Relationship Id="rId115" Type="http://schemas.openxmlformats.org/officeDocument/2006/relationships/hyperlink" Target="mailto:ahmadajaz641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ypass@2022" TargetMode="External"/><Relationship Id="rId13" Type="http://schemas.openxmlformats.org/officeDocument/2006/relationships/hyperlink" Target="mailto:Mypass@2022" TargetMode="External"/><Relationship Id="rId18" Type="http://schemas.openxmlformats.org/officeDocument/2006/relationships/hyperlink" Target="mailto:Mypass@2022" TargetMode="External"/><Relationship Id="rId26" Type="http://schemas.openxmlformats.org/officeDocument/2006/relationships/hyperlink" Target="mailto:Mypass@2022" TargetMode="External"/><Relationship Id="rId3" Type="http://schemas.openxmlformats.org/officeDocument/2006/relationships/hyperlink" Target="mailto:Mypass@2022" TargetMode="External"/><Relationship Id="rId21" Type="http://schemas.openxmlformats.org/officeDocument/2006/relationships/hyperlink" Target="mailto:Mypass@2022" TargetMode="External"/><Relationship Id="rId7" Type="http://schemas.openxmlformats.org/officeDocument/2006/relationships/hyperlink" Target="mailto:Mypass@2022" TargetMode="External"/><Relationship Id="rId12" Type="http://schemas.openxmlformats.org/officeDocument/2006/relationships/hyperlink" Target="mailto:Mypass@2022" TargetMode="External"/><Relationship Id="rId17" Type="http://schemas.openxmlformats.org/officeDocument/2006/relationships/hyperlink" Target="mailto:Mypass@2022" TargetMode="External"/><Relationship Id="rId25" Type="http://schemas.openxmlformats.org/officeDocument/2006/relationships/hyperlink" Target="mailto:Mypass@2022" TargetMode="External"/><Relationship Id="rId2" Type="http://schemas.openxmlformats.org/officeDocument/2006/relationships/hyperlink" Target="mailto:voter@2022" TargetMode="External"/><Relationship Id="rId16" Type="http://schemas.openxmlformats.org/officeDocument/2006/relationships/hyperlink" Target="mailto:Mypass@2022" TargetMode="External"/><Relationship Id="rId20" Type="http://schemas.openxmlformats.org/officeDocument/2006/relationships/hyperlink" Target="mailto:Mypass@2022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https://www.nvsp.in/Verification/GetFamilyVerificationView" TargetMode="External"/><Relationship Id="rId6" Type="http://schemas.openxmlformats.org/officeDocument/2006/relationships/hyperlink" Target="mailto:Mypass@2022" TargetMode="External"/><Relationship Id="rId11" Type="http://schemas.openxmlformats.org/officeDocument/2006/relationships/hyperlink" Target="mailto:Mypass@2022" TargetMode="External"/><Relationship Id="rId24" Type="http://schemas.openxmlformats.org/officeDocument/2006/relationships/hyperlink" Target="mailto:Mypass@2022" TargetMode="External"/><Relationship Id="rId5" Type="http://schemas.openxmlformats.org/officeDocument/2006/relationships/hyperlink" Target="mailto:Mypass@2022" TargetMode="External"/><Relationship Id="rId15" Type="http://schemas.openxmlformats.org/officeDocument/2006/relationships/hyperlink" Target="mailto:Mypass@2022" TargetMode="External"/><Relationship Id="rId23" Type="http://schemas.openxmlformats.org/officeDocument/2006/relationships/hyperlink" Target="mailto:Mypass@2022" TargetMode="External"/><Relationship Id="rId28" Type="http://schemas.openxmlformats.org/officeDocument/2006/relationships/hyperlink" Target="mailto:Mypass@2022" TargetMode="External"/><Relationship Id="rId10" Type="http://schemas.openxmlformats.org/officeDocument/2006/relationships/hyperlink" Target="mailto:Mypass@2022" TargetMode="External"/><Relationship Id="rId19" Type="http://schemas.openxmlformats.org/officeDocument/2006/relationships/hyperlink" Target="mailto:Mypass@2022" TargetMode="External"/><Relationship Id="rId4" Type="http://schemas.openxmlformats.org/officeDocument/2006/relationships/hyperlink" Target="mailto:Mypass@2022" TargetMode="External"/><Relationship Id="rId9" Type="http://schemas.openxmlformats.org/officeDocument/2006/relationships/hyperlink" Target="mailto:Mypass@2022" TargetMode="External"/><Relationship Id="rId14" Type="http://schemas.openxmlformats.org/officeDocument/2006/relationships/hyperlink" Target="mailto:Mypass@2022" TargetMode="External"/><Relationship Id="rId22" Type="http://schemas.openxmlformats.org/officeDocument/2006/relationships/hyperlink" Target="mailto:Mypass@2022" TargetMode="External"/><Relationship Id="rId27" Type="http://schemas.openxmlformats.org/officeDocument/2006/relationships/hyperlink" Target="mailto:Mypass@202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Mypass@2022" TargetMode="External"/><Relationship Id="rId18" Type="http://schemas.openxmlformats.org/officeDocument/2006/relationships/hyperlink" Target="mailto:Mypass@2022" TargetMode="External"/><Relationship Id="rId26" Type="http://schemas.openxmlformats.org/officeDocument/2006/relationships/hyperlink" Target="mailto:Mypass@2022" TargetMode="External"/><Relationship Id="rId39" Type="http://schemas.openxmlformats.org/officeDocument/2006/relationships/hyperlink" Target="mailto:Mypass@2023" TargetMode="External"/><Relationship Id="rId21" Type="http://schemas.openxmlformats.org/officeDocument/2006/relationships/hyperlink" Target="mailto:Mypass@2022" TargetMode="External"/><Relationship Id="rId34" Type="http://schemas.openxmlformats.org/officeDocument/2006/relationships/hyperlink" Target="mailto:Mypass@2023" TargetMode="External"/><Relationship Id="rId42" Type="http://schemas.openxmlformats.org/officeDocument/2006/relationships/hyperlink" Target="mailto:Mypass@2023" TargetMode="External"/><Relationship Id="rId47" Type="http://schemas.openxmlformats.org/officeDocument/2006/relationships/hyperlink" Target="mailto:Mypass@2023" TargetMode="External"/><Relationship Id="rId50" Type="http://schemas.openxmlformats.org/officeDocument/2006/relationships/hyperlink" Target="mailto:Mypass@2023" TargetMode="External"/><Relationship Id="rId55" Type="http://schemas.openxmlformats.org/officeDocument/2006/relationships/hyperlink" Target="mailto:Mypass@2023" TargetMode="External"/><Relationship Id="rId63" Type="http://schemas.openxmlformats.org/officeDocument/2006/relationships/hyperlink" Target="mailto:Mypass@23" TargetMode="External"/><Relationship Id="rId68" Type="http://schemas.openxmlformats.org/officeDocument/2006/relationships/hyperlink" Target="mailto:Mypass@23" TargetMode="External"/><Relationship Id="rId76" Type="http://schemas.openxmlformats.org/officeDocument/2006/relationships/hyperlink" Target="mailto:Mypass@23" TargetMode="External"/><Relationship Id="rId84" Type="http://schemas.openxmlformats.org/officeDocument/2006/relationships/hyperlink" Target="mailto:Mypass@2023" TargetMode="External"/><Relationship Id="rId89" Type="http://schemas.openxmlformats.org/officeDocument/2006/relationships/hyperlink" Target="mailto:Mypass@2024" TargetMode="External"/><Relationship Id="rId7" Type="http://schemas.openxmlformats.org/officeDocument/2006/relationships/hyperlink" Target="mailto:Mypass@2022" TargetMode="External"/><Relationship Id="rId71" Type="http://schemas.openxmlformats.org/officeDocument/2006/relationships/hyperlink" Target="mailto:Mypass@23" TargetMode="External"/><Relationship Id="rId92" Type="http://schemas.openxmlformats.org/officeDocument/2006/relationships/hyperlink" Target="mailto:Mypass@2023" TargetMode="External"/><Relationship Id="rId2" Type="http://schemas.openxmlformats.org/officeDocument/2006/relationships/hyperlink" Target="mailto:sk6474972@gmail.com" TargetMode="External"/><Relationship Id="rId16" Type="http://schemas.openxmlformats.org/officeDocument/2006/relationships/hyperlink" Target="mailto:Pass@2022" TargetMode="External"/><Relationship Id="rId29" Type="http://schemas.openxmlformats.org/officeDocument/2006/relationships/hyperlink" Target="mailto:Mypass@2023" TargetMode="External"/><Relationship Id="rId11" Type="http://schemas.openxmlformats.org/officeDocument/2006/relationships/hyperlink" Target="mailto:Mypass@2022" TargetMode="External"/><Relationship Id="rId24" Type="http://schemas.openxmlformats.org/officeDocument/2006/relationships/hyperlink" Target="mailto:Mypass@2022" TargetMode="External"/><Relationship Id="rId32" Type="http://schemas.openxmlformats.org/officeDocument/2006/relationships/hyperlink" Target="mailto:pASSs@2022" TargetMode="External"/><Relationship Id="rId37" Type="http://schemas.openxmlformats.org/officeDocument/2006/relationships/hyperlink" Target="mailto:Mypass@2023" TargetMode="External"/><Relationship Id="rId40" Type="http://schemas.openxmlformats.org/officeDocument/2006/relationships/hyperlink" Target="mailto:Mypass@2023" TargetMode="External"/><Relationship Id="rId45" Type="http://schemas.openxmlformats.org/officeDocument/2006/relationships/hyperlink" Target="mailto:Mypass@2023" TargetMode="External"/><Relationship Id="rId53" Type="http://schemas.openxmlformats.org/officeDocument/2006/relationships/hyperlink" Target="mailto:Mypass@2023" TargetMode="External"/><Relationship Id="rId58" Type="http://schemas.openxmlformats.org/officeDocument/2006/relationships/hyperlink" Target="mailto:Mypass@2023" TargetMode="External"/><Relationship Id="rId66" Type="http://schemas.openxmlformats.org/officeDocument/2006/relationships/hyperlink" Target="mailto:Mypass@23" TargetMode="External"/><Relationship Id="rId74" Type="http://schemas.openxmlformats.org/officeDocument/2006/relationships/hyperlink" Target="mailto:Mypass@23" TargetMode="External"/><Relationship Id="rId79" Type="http://schemas.openxmlformats.org/officeDocument/2006/relationships/hyperlink" Target="mailto:Mypass@2023" TargetMode="External"/><Relationship Id="rId87" Type="http://schemas.openxmlformats.org/officeDocument/2006/relationships/hyperlink" Target="mailto:Mypass@2024" TargetMode="External"/><Relationship Id="rId5" Type="http://schemas.openxmlformats.org/officeDocument/2006/relationships/hyperlink" Target="mailto:Mypass@2022" TargetMode="External"/><Relationship Id="rId61" Type="http://schemas.openxmlformats.org/officeDocument/2006/relationships/hyperlink" Target="mailto:Mypass@2023" TargetMode="External"/><Relationship Id="rId82" Type="http://schemas.openxmlformats.org/officeDocument/2006/relationships/hyperlink" Target="mailto:Mypass@2023" TargetMode="External"/><Relationship Id="rId90" Type="http://schemas.openxmlformats.org/officeDocument/2006/relationships/hyperlink" Target="mailto:Mypass@2023" TargetMode="External"/><Relationship Id="rId19" Type="http://schemas.openxmlformats.org/officeDocument/2006/relationships/hyperlink" Target="mailto:Mypass@2022" TargetMode="External"/><Relationship Id="rId14" Type="http://schemas.openxmlformats.org/officeDocument/2006/relationships/hyperlink" Target="mailto:Mypass@2022" TargetMode="External"/><Relationship Id="rId22" Type="http://schemas.openxmlformats.org/officeDocument/2006/relationships/hyperlink" Target="mailto:Mypass@2022" TargetMode="External"/><Relationship Id="rId27" Type="http://schemas.openxmlformats.org/officeDocument/2006/relationships/hyperlink" Target="mailto:Mypass@2022" TargetMode="External"/><Relationship Id="rId30" Type="http://schemas.openxmlformats.org/officeDocument/2006/relationships/hyperlink" Target="mailto:Pass@2022" TargetMode="External"/><Relationship Id="rId35" Type="http://schemas.openxmlformats.org/officeDocument/2006/relationships/hyperlink" Target="mailto:Mypass@2023" TargetMode="External"/><Relationship Id="rId43" Type="http://schemas.openxmlformats.org/officeDocument/2006/relationships/hyperlink" Target="mailto:Mypass@2023" TargetMode="External"/><Relationship Id="rId48" Type="http://schemas.openxmlformats.org/officeDocument/2006/relationships/hyperlink" Target="mailto:Mypass@2023" TargetMode="External"/><Relationship Id="rId56" Type="http://schemas.openxmlformats.org/officeDocument/2006/relationships/hyperlink" Target="mailto:Mypass@2023" TargetMode="External"/><Relationship Id="rId64" Type="http://schemas.openxmlformats.org/officeDocument/2006/relationships/hyperlink" Target="mailto:Mypass@23" TargetMode="External"/><Relationship Id="rId69" Type="http://schemas.openxmlformats.org/officeDocument/2006/relationships/hyperlink" Target="mailto:Mypass@23" TargetMode="External"/><Relationship Id="rId77" Type="http://schemas.openxmlformats.org/officeDocument/2006/relationships/hyperlink" Target="mailto:Mypass@2023" TargetMode="External"/><Relationship Id="rId8" Type="http://schemas.openxmlformats.org/officeDocument/2006/relationships/hyperlink" Target="mailto:Mypass@2022" TargetMode="External"/><Relationship Id="rId51" Type="http://schemas.openxmlformats.org/officeDocument/2006/relationships/hyperlink" Target="mailto:Mypass@2023" TargetMode="External"/><Relationship Id="rId72" Type="http://schemas.openxmlformats.org/officeDocument/2006/relationships/hyperlink" Target="mailto:Mypass@23" TargetMode="External"/><Relationship Id="rId80" Type="http://schemas.openxmlformats.org/officeDocument/2006/relationships/hyperlink" Target="mailto:Mypass@2023" TargetMode="External"/><Relationship Id="rId85" Type="http://schemas.openxmlformats.org/officeDocument/2006/relationships/hyperlink" Target="mailto:naaz@2023" TargetMode="External"/><Relationship Id="rId93" Type="http://schemas.openxmlformats.org/officeDocument/2006/relationships/hyperlink" Target="mailto:Mypass@2023" TargetMode="External"/><Relationship Id="rId3" Type="http://schemas.openxmlformats.org/officeDocument/2006/relationships/hyperlink" Target="mailto:shubham55mm@gmail.com" TargetMode="External"/><Relationship Id="rId12" Type="http://schemas.openxmlformats.org/officeDocument/2006/relationships/hyperlink" Target="mailto:Mypass@2022" TargetMode="External"/><Relationship Id="rId17" Type="http://schemas.openxmlformats.org/officeDocument/2006/relationships/hyperlink" Target="mailto:Pass@2022" TargetMode="External"/><Relationship Id="rId25" Type="http://schemas.openxmlformats.org/officeDocument/2006/relationships/hyperlink" Target="mailto:Mypass@2022" TargetMode="External"/><Relationship Id="rId33" Type="http://schemas.openxmlformats.org/officeDocument/2006/relationships/hyperlink" Target="mailto:pASSs@2022" TargetMode="External"/><Relationship Id="rId38" Type="http://schemas.openxmlformats.org/officeDocument/2006/relationships/hyperlink" Target="mailto:Mypass@2023" TargetMode="External"/><Relationship Id="rId46" Type="http://schemas.openxmlformats.org/officeDocument/2006/relationships/hyperlink" Target="mailto:Mypass@2023" TargetMode="External"/><Relationship Id="rId59" Type="http://schemas.openxmlformats.org/officeDocument/2006/relationships/hyperlink" Target="mailto:Mypass@2023" TargetMode="External"/><Relationship Id="rId67" Type="http://schemas.openxmlformats.org/officeDocument/2006/relationships/hyperlink" Target="mailto:Mypass@23" TargetMode="External"/><Relationship Id="rId20" Type="http://schemas.openxmlformats.org/officeDocument/2006/relationships/hyperlink" Target="mailto:Mypass@2022" TargetMode="External"/><Relationship Id="rId41" Type="http://schemas.openxmlformats.org/officeDocument/2006/relationships/hyperlink" Target="mailto:Mypass@2023" TargetMode="External"/><Relationship Id="rId54" Type="http://schemas.openxmlformats.org/officeDocument/2006/relationships/hyperlink" Target="mailto:Mypass@2023" TargetMode="External"/><Relationship Id="rId62" Type="http://schemas.openxmlformats.org/officeDocument/2006/relationships/hyperlink" Target="mailto:Mypass@2023" TargetMode="External"/><Relationship Id="rId70" Type="http://schemas.openxmlformats.org/officeDocument/2006/relationships/hyperlink" Target="mailto:Mypass@23" TargetMode="External"/><Relationship Id="rId75" Type="http://schemas.openxmlformats.org/officeDocument/2006/relationships/hyperlink" Target="mailto:Mypass@23" TargetMode="External"/><Relationship Id="rId83" Type="http://schemas.openxmlformats.org/officeDocument/2006/relationships/hyperlink" Target="mailto:Mypass@2023" TargetMode="External"/><Relationship Id="rId88" Type="http://schemas.openxmlformats.org/officeDocument/2006/relationships/hyperlink" Target="mailto:Mypass@2024" TargetMode="External"/><Relationship Id="rId91" Type="http://schemas.openxmlformats.org/officeDocument/2006/relationships/hyperlink" Target="mailto:Mypass@2023" TargetMode="External"/><Relationship Id="rId1" Type="http://schemas.openxmlformats.org/officeDocument/2006/relationships/hyperlink" Target="mailto:sk6474972@gmail.com" TargetMode="External"/><Relationship Id="rId6" Type="http://schemas.openxmlformats.org/officeDocument/2006/relationships/hyperlink" Target="mailto:Mypass@2022" TargetMode="External"/><Relationship Id="rId15" Type="http://schemas.openxmlformats.org/officeDocument/2006/relationships/hyperlink" Target="mailto:Mypass@2022" TargetMode="External"/><Relationship Id="rId23" Type="http://schemas.openxmlformats.org/officeDocument/2006/relationships/hyperlink" Target="mailto:Mypass@2022" TargetMode="External"/><Relationship Id="rId28" Type="http://schemas.openxmlformats.org/officeDocument/2006/relationships/hyperlink" Target="mailto:Mypass@2022" TargetMode="External"/><Relationship Id="rId36" Type="http://schemas.openxmlformats.org/officeDocument/2006/relationships/hyperlink" Target="mailto:Mypass@2023" TargetMode="External"/><Relationship Id="rId49" Type="http://schemas.openxmlformats.org/officeDocument/2006/relationships/hyperlink" Target="mailto:Mypass@2023" TargetMode="External"/><Relationship Id="rId57" Type="http://schemas.openxmlformats.org/officeDocument/2006/relationships/hyperlink" Target="mailto:Mypass@2023" TargetMode="External"/><Relationship Id="rId10" Type="http://schemas.openxmlformats.org/officeDocument/2006/relationships/hyperlink" Target="mailto:Pass@2022" TargetMode="External"/><Relationship Id="rId31" Type="http://schemas.openxmlformats.org/officeDocument/2006/relationships/hyperlink" Target="mailto:pASSs@2022" TargetMode="External"/><Relationship Id="rId44" Type="http://schemas.openxmlformats.org/officeDocument/2006/relationships/hyperlink" Target="mailto:Mypass@2023" TargetMode="External"/><Relationship Id="rId52" Type="http://schemas.openxmlformats.org/officeDocument/2006/relationships/hyperlink" Target="mailto:Mypass@2023" TargetMode="External"/><Relationship Id="rId60" Type="http://schemas.openxmlformats.org/officeDocument/2006/relationships/hyperlink" Target="mailto:Mypass@2023" TargetMode="External"/><Relationship Id="rId65" Type="http://schemas.openxmlformats.org/officeDocument/2006/relationships/hyperlink" Target="mailto:Mypass@23" TargetMode="External"/><Relationship Id="rId73" Type="http://schemas.openxmlformats.org/officeDocument/2006/relationships/hyperlink" Target="mailto:Mypass@23" TargetMode="External"/><Relationship Id="rId78" Type="http://schemas.openxmlformats.org/officeDocument/2006/relationships/hyperlink" Target="mailto:Mypass@2023" TargetMode="External"/><Relationship Id="rId81" Type="http://schemas.openxmlformats.org/officeDocument/2006/relationships/hyperlink" Target="mailto:Mypass@2023" TargetMode="External"/><Relationship Id="rId86" Type="http://schemas.openxmlformats.org/officeDocument/2006/relationships/hyperlink" Target="mailto:Mypass@2023" TargetMode="External"/><Relationship Id="rId94" Type="http://schemas.openxmlformats.org/officeDocument/2006/relationships/printerSettings" Target="../printerSettings/printerSettings7.bin"/><Relationship Id="rId4" Type="http://schemas.openxmlformats.org/officeDocument/2006/relationships/hyperlink" Target="mailto:nweb.hub@gmail.com" TargetMode="External"/><Relationship Id="rId9" Type="http://schemas.openxmlformats.org/officeDocument/2006/relationships/hyperlink" Target="mailto:Mypass@202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Manish@2022" TargetMode="External"/><Relationship Id="rId18" Type="http://schemas.openxmlformats.org/officeDocument/2006/relationships/hyperlink" Target="mailto:P@wan2022" TargetMode="External"/><Relationship Id="rId26" Type="http://schemas.openxmlformats.org/officeDocument/2006/relationships/hyperlink" Target="mailto:Kantesh@82" TargetMode="External"/><Relationship Id="rId39" Type="http://schemas.openxmlformats.org/officeDocument/2006/relationships/hyperlink" Target="mailto:Barun@1971" TargetMode="External"/><Relationship Id="rId21" Type="http://schemas.openxmlformats.org/officeDocument/2006/relationships/hyperlink" Target="mailto:Nikhil@1991" TargetMode="External"/><Relationship Id="rId34" Type="http://schemas.openxmlformats.org/officeDocument/2006/relationships/hyperlink" Target="mailto:Mohammad@2022" TargetMode="External"/><Relationship Id="rId42" Type="http://schemas.openxmlformats.org/officeDocument/2006/relationships/hyperlink" Target="mailto:Jy@ti1980" TargetMode="External"/><Relationship Id="rId47" Type="http://schemas.openxmlformats.org/officeDocument/2006/relationships/hyperlink" Target="mailto:Ojha@1975" TargetMode="External"/><Relationship Id="rId50" Type="http://schemas.openxmlformats.org/officeDocument/2006/relationships/hyperlink" Target="mailto:Kumar@2023" TargetMode="External"/><Relationship Id="rId55" Type="http://schemas.openxmlformats.org/officeDocument/2006/relationships/hyperlink" Target="mailto:Singh@2023" TargetMode="External"/><Relationship Id="rId63" Type="http://schemas.openxmlformats.org/officeDocument/2006/relationships/hyperlink" Target="mailto:Mummy@2023" TargetMode="External"/><Relationship Id="rId68" Type="http://schemas.openxmlformats.org/officeDocument/2006/relationships/hyperlink" Target="mailto:Haque@0103" TargetMode="External"/><Relationship Id="rId76" Type="http://schemas.openxmlformats.org/officeDocument/2006/relationships/hyperlink" Target="mailto:Jeet@1975" TargetMode="External"/><Relationship Id="rId84" Type="http://schemas.openxmlformats.org/officeDocument/2006/relationships/hyperlink" Target="mailto:Vijay@1956" TargetMode="External"/><Relationship Id="rId89" Type="http://schemas.openxmlformats.org/officeDocument/2006/relationships/hyperlink" Target="mailto:Sundi@1234" TargetMode="External"/><Relationship Id="rId7" Type="http://schemas.openxmlformats.org/officeDocument/2006/relationships/hyperlink" Target="mailto:n@TH1962" TargetMode="External"/><Relationship Id="rId71" Type="http://schemas.openxmlformats.org/officeDocument/2006/relationships/hyperlink" Target="mailto:Nerjee@23" TargetMode="External"/><Relationship Id="rId2" Type="http://schemas.openxmlformats.org/officeDocument/2006/relationships/hyperlink" Target="mailto:Singh@1972" TargetMode="External"/><Relationship Id="rId16" Type="http://schemas.openxmlformats.org/officeDocument/2006/relationships/hyperlink" Target="mailto:Bh@kat2022" TargetMode="External"/><Relationship Id="rId29" Type="http://schemas.openxmlformats.org/officeDocument/2006/relationships/hyperlink" Target="mailto:Parida@2022" TargetMode="External"/><Relationship Id="rId11" Type="http://schemas.openxmlformats.org/officeDocument/2006/relationships/hyperlink" Target="mailto:Sinha@2022" TargetMode="External"/><Relationship Id="rId24" Type="http://schemas.openxmlformats.org/officeDocument/2006/relationships/hyperlink" Target="mailto:Lakra@1968" TargetMode="External"/><Relationship Id="rId32" Type="http://schemas.openxmlformats.org/officeDocument/2006/relationships/hyperlink" Target="mailto:Binod@1991" TargetMode="External"/><Relationship Id="rId37" Type="http://schemas.openxmlformats.org/officeDocument/2006/relationships/hyperlink" Target="mailto:Munda@1976" TargetMode="External"/><Relationship Id="rId40" Type="http://schemas.openxmlformats.org/officeDocument/2006/relationships/hyperlink" Target="mailto:Tanti@1974$" TargetMode="External"/><Relationship Id="rId45" Type="http://schemas.openxmlformats.org/officeDocument/2006/relationships/hyperlink" Target="mailto:Singh@23" TargetMode="External"/><Relationship Id="rId53" Type="http://schemas.openxmlformats.org/officeDocument/2006/relationships/hyperlink" Target="mailto:Islam@2023" TargetMode="External"/><Relationship Id="rId58" Type="http://schemas.openxmlformats.org/officeDocument/2006/relationships/hyperlink" Target="mailto:Dhar@1979" TargetMode="External"/><Relationship Id="rId66" Type="http://schemas.openxmlformats.org/officeDocument/2006/relationships/hyperlink" Target="mailto:Nath@2023" TargetMode="External"/><Relationship Id="rId74" Type="http://schemas.openxmlformats.org/officeDocument/2006/relationships/hyperlink" Target="mailto:PAN@A" TargetMode="External"/><Relationship Id="rId79" Type="http://schemas.openxmlformats.org/officeDocument/2006/relationships/hyperlink" Target="mailto:Shriya@092" TargetMode="External"/><Relationship Id="rId87" Type="http://schemas.openxmlformats.org/officeDocument/2006/relationships/hyperlink" Target="mailto:Singh@1975" TargetMode="External"/><Relationship Id="rId5" Type="http://schemas.openxmlformats.org/officeDocument/2006/relationships/hyperlink" Target="mailto:Singh@2022" TargetMode="External"/><Relationship Id="rId61" Type="http://schemas.openxmlformats.org/officeDocument/2006/relationships/hyperlink" Target="mailto:Singh@1956" TargetMode="External"/><Relationship Id="rId82" Type="http://schemas.openxmlformats.org/officeDocument/2006/relationships/hyperlink" Target="mailto:Sinha@841D" TargetMode="External"/><Relationship Id="rId90" Type="http://schemas.openxmlformats.org/officeDocument/2006/relationships/hyperlink" Target="mailto:Dutta@2023" TargetMode="External"/><Relationship Id="rId19" Type="http://schemas.openxmlformats.org/officeDocument/2006/relationships/hyperlink" Target="mailto:Singh@1956" TargetMode="External"/><Relationship Id="rId14" Type="http://schemas.openxmlformats.org/officeDocument/2006/relationships/hyperlink" Target="mailto:Tamojit@23" TargetMode="External"/><Relationship Id="rId22" Type="http://schemas.openxmlformats.org/officeDocument/2006/relationships/hyperlink" Target="mailto:S@m#2023" TargetMode="External"/><Relationship Id="rId27" Type="http://schemas.openxmlformats.org/officeDocument/2006/relationships/hyperlink" Target="mailto:Prasad@1963" TargetMode="External"/><Relationship Id="rId30" Type="http://schemas.openxmlformats.org/officeDocument/2006/relationships/hyperlink" Target="mailto:Arati@1968" TargetMode="External"/><Relationship Id="rId35" Type="http://schemas.openxmlformats.org/officeDocument/2006/relationships/hyperlink" Target="mailto:Mishra@1973" TargetMode="External"/><Relationship Id="rId43" Type="http://schemas.openxmlformats.org/officeDocument/2006/relationships/hyperlink" Target="mailto:Man@j1983" TargetMode="External"/><Relationship Id="rId48" Type="http://schemas.openxmlformats.org/officeDocument/2006/relationships/hyperlink" Target="mailto:ojhar8675@gmail.com" TargetMode="External"/><Relationship Id="rId56" Type="http://schemas.openxmlformats.org/officeDocument/2006/relationships/hyperlink" Target="mailto:Eric@2023" TargetMode="External"/><Relationship Id="rId64" Type="http://schemas.openxmlformats.org/officeDocument/2006/relationships/hyperlink" Target="mailto:ajvpd8911f@" TargetMode="External"/><Relationship Id="rId69" Type="http://schemas.openxmlformats.org/officeDocument/2006/relationships/hyperlink" Target="mailto:Cummins@1234" TargetMode="External"/><Relationship Id="rId77" Type="http://schemas.openxmlformats.org/officeDocument/2006/relationships/hyperlink" Target="mailto:Neha2000@" TargetMode="External"/><Relationship Id="rId8" Type="http://schemas.openxmlformats.org/officeDocument/2006/relationships/hyperlink" Target="mailto:Soni@1234" TargetMode="External"/><Relationship Id="rId51" Type="http://schemas.openxmlformats.org/officeDocument/2006/relationships/hyperlink" Target="mailto:Ajit@2" TargetMode="External"/><Relationship Id="rId72" Type="http://schemas.openxmlformats.org/officeDocument/2006/relationships/hyperlink" Target="mailto:Biswas@23" TargetMode="External"/><Relationship Id="rId80" Type="http://schemas.openxmlformats.org/officeDocument/2006/relationships/hyperlink" Target="mailto:Tar@1657" TargetMode="External"/><Relationship Id="rId85" Type="http://schemas.openxmlformats.org/officeDocument/2006/relationships/hyperlink" Target="mailto:Sunita@2023" TargetMode="External"/><Relationship Id="rId3" Type="http://schemas.openxmlformats.org/officeDocument/2006/relationships/hyperlink" Target="mailto:Tiwary@1964" TargetMode="External"/><Relationship Id="rId12" Type="http://schemas.openxmlformats.org/officeDocument/2006/relationships/hyperlink" Target="mailto:Sh@rma2022" TargetMode="External"/><Relationship Id="rId17" Type="http://schemas.openxmlformats.org/officeDocument/2006/relationships/hyperlink" Target="mailto:Kum@r2022" TargetMode="External"/><Relationship Id="rId25" Type="http://schemas.openxmlformats.org/officeDocument/2006/relationships/hyperlink" Target="mailto:Manz@r1969" TargetMode="External"/><Relationship Id="rId33" Type="http://schemas.openxmlformats.org/officeDocument/2006/relationships/hyperlink" Target="mailto:Bihari@2022" TargetMode="External"/><Relationship Id="rId38" Type="http://schemas.openxmlformats.org/officeDocument/2006/relationships/hyperlink" Target="mailto:Raj@2014" TargetMode="External"/><Relationship Id="rId46" Type="http://schemas.openxmlformats.org/officeDocument/2006/relationships/hyperlink" Target="mailto:Somnath@23" TargetMode="External"/><Relationship Id="rId59" Type="http://schemas.openxmlformats.org/officeDocument/2006/relationships/hyperlink" Target="mailto:Ankit@02051999" TargetMode="External"/><Relationship Id="rId67" Type="http://schemas.openxmlformats.org/officeDocument/2006/relationships/hyperlink" Target="mailto:Dubey@2023" TargetMode="External"/><Relationship Id="rId20" Type="http://schemas.openxmlformats.org/officeDocument/2006/relationships/hyperlink" Target="mailto:Mypass@2022" TargetMode="External"/><Relationship Id="rId41" Type="http://schemas.openxmlformats.org/officeDocument/2006/relationships/hyperlink" Target="mailto:Sanjev@1975" TargetMode="External"/><Relationship Id="rId54" Type="http://schemas.openxmlformats.org/officeDocument/2006/relationships/hyperlink" Target="mailto:LAL@2023" TargetMode="External"/><Relationship Id="rId62" Type="http://schemas.openxmlformats.org/officeDocument/2006/relationships/hyperlink" Target="mailto:mansI4455@" TargetMode="External"/><Relationship Id="rId70" Type="http://schemas.openxmlformats.org/officeDocument/2006/relationships/hyperlink" Target="mailto:Aslam@1205" TargetMode="External"/><Relationship Id="rId75" Type="http://schemas.openxmlformats.org/officeDocument/2006/relationships/hyperlink" Target="mailto:Manjit@1978" TargetMode="External"/><Relationship Id="rId83" Type="http://schemas.openxmlformats.org/officeDocument/2006/relationships/hyperlink" Target="mailto:Sah@23Sah" TargetMode="External"/><Relationship Id="rId88" Type="http://schemas.openxmlformats.org/officeDocument/2006/relationships/hyperlink" Target="mailto:mAHATO@0303" TargetMode="External"/><Relationship Id="rId91" Type="http://schemas.openxmlformats.org/officeDocument/2006/relationships/printerSettings" Target="../printerSettings/printerSettings9.bin"/><Relationship Id="rId1" Type="http://schemas.openxmlformats.org/officeDocument/2006/relationships/hyperlink" Target="mailto:Kumar@1979" TargetMode="External"/><Relationship Id="rId6" Type="http://schemas.openxmlformats.org/officeDocument/2006/relationships/hyperlink" Target="mailto:Naesh@2022" TargetMode="External"/><Relationship Id="rId15" Type="http://schemas.openxmlformats.org/officeDocument/2006/relationships/hyperlink" Target="mailto:Mypass@2022" TargetMode="External"/><Relationship Id="rId23" Type="http://schemas.openxmlformats.org/officeDocument/2006/relationships/hyperlink" Target="mailto:Singh@2022" TargetMode="External"/><Relationship Id="rId28" Type="http://schemas.openxmlformats.org/officeDocument/2006/relationships/hyperlink" Target="mailto:Tesh@1944" TargetMode="External"/><Relationship Id="rId36" Type="http://schemas.openxmlformats.org/officeDocument/2006/relationships/hyperlink" Target="mailto:Mohini@2022" TargetMode="External"/><Relationship Id="rId49" Type="http://schemas.openxmlformats.org/officeDocument/2006/relationships/hyperlink" Target="mailto:Dinesh@1974" TargetMode="External"/><Relationship Id="rId57" Type="http://schemas.openxmlformats.org/officeDocument/2006/relationships/hyperlink" Target="mailto:aLAM@2023" TargetMode="External"/><Relationship Id="rId10" Type="http://schemas.openxmlformats.org/officeDocument/2006/relationships/hyperlink" Target="mailto:Mustafa@1971" TargetMode="External"/><Relationship Id="rId31" Type="http://schemas.openxmlformats.org/officeDocument/2006/relationships/hyperlink" Target="mailto:Pieu@1987" TargetMode="External"/><Relationship Id="rId44" Type="http://schemas.openxmlformats.org/officeDocument/2006/relationships/hyperlink" Target="mailto:Tiwary@2023" TargetMode="External"/><Relationship Id="rId52" Type="http://schemas.openxmlformats.org/officeDocument/2006/relationships/hyperlink" Target="mailto:Ajit@2" TargetMode="External"/><Relationship Id="rId60" Type="http://schemas.openxmlformats.org/officeDocument/2006/relationships/hyperlink" Target="mailto:nAvin1974@" TargetMode="External"/><Relationship Id="rId65" Type="http://schemas.openxmlformats.org/officeDocument/2006/relationships/hyperlink" Target="mailto:Kum@r1983" TargetMode="External"/><Relationship Id="rId73" Type="http://schemas.openxmlformats.org/officeDocument/2006/relationships/hyperlink" Target="mailto:vinAy91533@" TargetMode="External"/><Relationship Id="rId78" Type="http://schemas.openxmlformats.org/officeDocument/2006/relationships/hyperlink" Target="mailto:Singh@1967" TargetMode="External"/><Relationship Id="rId81" Type="http://schemas.openxmlformats.org/officeDocument/2006/relationships/hyperlink" Target="mailto:Mumtaz@2023" TargetMode="External"/><Relationship Id="rId86" Type="http://schemas.openxmlformats.org/officeDocument/2006/relationships/hyperlink" Target="mailto:Dubey@2023" TargetMode="External"/><Relationship Id="rId4" Type="http://schemas.openxmlformats.org/officeDocument/2006/relationships/hyperlink" Target="mailto:Ratha@2022" TargetMode="External"/><Relationship Id="rId9" Type="http://schemas.openxmlformats.org/officeDocument/2006/relationships/hyperlink" Target="mailto:Kum@4196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thi.parivahan.gov.in/sarathiservice/applViewStages.do" TargetMode="External"/><Relationship Id="rId3" Type="http://schemas.openxmlformats.org/officeDocument/2006/relationships/hyperlink" Target="mailto:sandeepnweb129@gmail.com" TargetMode="External"/><Relationship Id="rId7" Type="http://schemas.openxmlformats.org/officeDocument/2006/relationships/hyperlink" Target="mailto:swansinweb@" TargetMode="External"/><Relationship Id="rId2" Type="http://schemas.openxmlformats.org/officeDocument/2006/relationships/hyperlink" Target="https://sarathi.parivahan.gov.in/sarathiservicecov3/applViewStages.do?applNum=3352360720&amp;dateOfBirth=12-09-1979" TargetMode="External"/><Relationship Id="rId1" Type="http://schemas.openxmlformats.org/officeDocument/2006/relationships/hyperlink" Target="https://sarathi.parivahan.gov.in/sarathiservicecov28/applViewStages.do?applNum=1083441220&amp;dateOfBirth=10-01-1988" TargetMode="External"/><Relationship Id="rId6" Type="http://schemas.openxmlformats.org/officeDocument/2006/relationships/hyperlink" Target="https://sarathi.parivahan.gov.in/sarathiservicecov19/applViewStages.do?applNum=3352289120&amp;dateOfBirth=01-12-1994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sarathi.parivahan.gov.in/sarathiservicecov3/applViewStages.do?applNum=3352316220&amp;dateOfBirth=01-01-1975" TargetMode="External"/><Relationship Id="rId10" Type="http://schemas.openxmlformats.org/officeDocument/2006/relationships/hyperlink" Target="https://sarathi.parivahan.gov.in/sarathiservice/applViewStages.do" TargetMode="External"/><Relationship Id="rId4" Type="http://schemas.openxmlformats.org/officeDocument/2006/relationships/hyperlink" Target="mailto:gurdeetnweb@gmail.com" TargetMode="External"/><Relationship Id="rId9" Type="http://schemas.openxmlformats.org/officeDocument/2006/relationships/hyperlink" Target="https://sarathi.parivahan.gov.in/sarathiservice/applViewStages.do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weinsindiautilities@gmail.com" TargetMode="External"/><Relationship Id="rId13" Type="http://schemas.openxmlformats.org/officeDocument/2006/relationships/hyperlink" Target="mailto:prakashfootwaretelco@gmail.com" TargetMode="External"/><Relationship Id="rId18" Type="http://schemas.openxmlformats.org/officeDocument/2006/relationships/hyperlink" Target="mailto:duttasumit522@gmail.com" TargetMode="External"/><Relationship Id="rId3" Type="http://schemas.openxmlformats.org/officeDocument/2006/relationships/hyperlink" Target="mailto:sunitakumarijsr11@gmail.com" TargetMode="External"/><Relationship Id="rId21" Type="http://schemas.openxmlformats.org/officeDocument/2006/relationships/hyperlink" Target="mailto:dasv40923@gmail.com" TargetMode="External"/><Relationship Id="rId7" Type="http://schemas.openxmlformats.org/officeDocument/2006/relationships/hyperlink" Target="mailto:madankumar1973.2015@rediffmail.com" TargetMode="External"/><Relationship Id="rId12" Type="http://schemas.openxmlformats.org/officeDocument/2006/relationships/hyperlink" Target="mailto:ushaelectricals21@gmail.com" TargetMode="External"/><Relationship Id="rId17" Type="http://schemas.openxmlformats.org/officeDocument/2006/relationships/hyperlink" Target="mailto:Sumit@2022" TargetMode="External"/><Relationship Id="rId2" Type="http://schemas.openxmlformats.org/officeDocument/2006/relationships/hyperlink" Target="mailto:dpjsr0001@rediffmail.com" TargetMode="External"/><Relationship Id="rId16" Type="http://schemas.openxmlformats.org/officeDocument/2006/relationships/hyperlink" Target="mailto:Mishra@1978" TargetMode="External"/><Relationship Id="rId20" Type="http://schemas.openxmlformats.org/officeDocument/2006/relationships/hyperlink" Target="mailto:Shop@2023" TargetMode="External"/><Relationship Id="rId1" Type="http://schemas.openxmlformats.org/officeDocument/2006/relationships/hyperlink" Target="mailto:mamtamannajsr0001@gmail.com" TargetMode="External"/><Relationship Id="rId6" Type="http://schemas.openxmlformats.org/officeDocument/2006/relationships/hyperlink" Target="mailto:svermajsr5@gmail.com" TargetMode="External"/><Relationship Id="rId11" Type="http://schemas.openxmlformats.org/officeDocument/2006/relationships/hyperlink" Target="mailto:sujitkumarchel2233@gmail.com" TargetMode="External"/><Relationship Id="rId5" Type="http://schemas.openxmlformats.org/officeDocument/2006/relationships/hyperlink" Target="mailto:sadiquehussainjsr@gmail.com" TargetMode="External"/><Relationship Id="rId15" Type="http://schemas.openxmlformats.org/officeDocument/2006/relationships/hyperlink" Target="mailto:mishraravindra452@gmail.com" TargetMode="External"/><Relationship Id="rId23" Type="http://schemas.openxmlformats.org/officeDocument/2006/relationships/printerSettings" Target="../printerSettings/printerSettings11.bin"/><Relationship Id="rId10" Type="http://schemas.openxmlformats.org/officeDocument/2006/relationships/hyperlink" Target="mailto:bbpdamit@gmail.com" TargetMode="External"/><Relationship Id="rId19" Type="http://schemas.openxmlformats.org/officeDocument/2006/relationships/hyperlink" Target="mailto:kumarichaman545@gmail.com" TargetMode="External"/><Relationship Id="rId4" Type="http://schemas.openxmlformats.org/officeDocument/2006/relationships/hyperlink" Target="mailto:kavitadas001@gmail.com" TargetMode="External"/><Relationship Id="rId9" Type="http://schemas.openxmlformats.org/officeDocument/2006/relationships/hyperlink" Target="mailto:nareshgounder03@gmail.com" TargetMode="External"/><Relationship Id="rId14" Type="http://schemas.openxmlformats.org/officeDocument/2006/relationships/hyperlink" Target="mailto:rknewhairdresses@gmail.com" TargetMode="External"/><Relationship Id="rId22" Type="http://schemas.openxmlformats.org/officeDocument/2006/relationships/hyperlink" Target="mailto:Shop@20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358" workbookViewId="0"/>
  </sheetViews>
  <sheetFormatPr defaultColWidth="14.42578125" defaultRowHeight="15" customHeight="1"/>
  <cols>
    <col min="1" max="1" width="10.7109375" customWidth="1"/>
    <col min="2" max="2" width="9.140625" customWidth="1"/>
    <col min="3" max="3" width="35.140625" customWidth="1"/>
    <col min="4" max="4" width="16.140625" customWidth="1"/>
    <col min="5" max="5" width="12" customWidth="1"/>
    <col min="6" max="6" width="11.42578125" customWidth="1"/>
    <col min="7" max="7" width="15.140625" customWidth="1"/>
    <col min="8" max="8" width="12.85546875" customWidth="1"/>
    <col min="9" max="9" width="10.85546875" customWidth="1"/>
    <col min="10" max="10" width="11.5703125" customWidth="1"/>
    <col min="11" max="26" width="8.7109375" customWidth="1"/>
  </cols>
  <sheetData>
    <row r="1" spans="1:26" ht="14.25" customHeight="1">
      <c r="A1" s="1"/>
      <c r="B1" s="2"/>
      <c r="C1" s="2" t="s">
        <v>0</v>
      </c>
      <c r="D1" s="2" t="s">
        <v>1</v>
      </c>
      <c r="E1" s="2" t="s">
        <v>2</v>
      </c>
      <c r="F1" s="3"/>
      <c r="G1" s="3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"/>
      <c r="B2" s="2" t="s">
        <v>4</v>
      </c>
      <c r="C2" s="3">
        <f t="shared" ref="C2:C3" si="0">SUMIF($B$352:$B$900,C$1,$D$352:$D$900)</f>
        <v>0</v>
      </c>
      <c r="D2" s="3">
        <f>SUMIF($B$352:$B$900,D$1,$D$352:$D$902)</f>
        <v>13930</v>
      </c>
      <c r="E2" s="3">
        <f>SUMIF($B$352:$B$900,E$1,$D$352:$D$900)</f>
        <v>5580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"/>
      <c r="B3" s="2" t="s">
        <v>5</v>
      </c>
      <c r="C3" s="3">
        <f t="shared" si="0"/>
        <v>0</v>
      </c>
      <c r="D3" s="3">
        <f t="shared" ref="D3:E3" si="1">SUMIF($B$352:$B$900,D$1,$E$352:$E$900)</f>
        <v>7905</v>
      </c>
      <c r="E3" s="3">
        <f t="shared" si="1"/>
        <v>0</v>
      </c>
      <c r="F3" s="3" t="s">
        <v>6</v>
      </c>
      <c r="G3" s="3" t="s">
        <v>7</v>
      </c>
      <c r="H3" s="3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1"/>
      <c r="B4" s="2" t="s">
        <v>9</v>
      </c>
      <c r="C4" s="3">
        <f t="shared" ref="C4:E4" si="2">C2-C3</f>
        <v>0</v>
      </c>
      <c r="D4" s="3">
        <f t="shared" si="2"/>
        <v>6025</v>
      </c>
      <c r="E4" s="3">
        <f t="shared" si="2"/>
        <v>5580</v>
      </c>
      <c r="F4" s="3">
        <f>C4+D4+E4</f>
        <v>11605</v>
      </c>
      <c r="G4" s="3">
        <f ca="1">SUMIF($B$352:$B$9090,G$1,$E$352:$E$9000)</f>
        <v>10000</v>
      </c>
      <c r="H4" s="3">
        <f ca="1">F4-G4</f>
        <v>1605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1"/>
      <c r="B5" s="2"/>
      <c r="C5" s="3"/>
      <c r="D5" s="3">
        <f t="shared" ref="D5:E5" si="3">SUM(D352:D50423)</f>
        <v>22740</v>
      </c>
      <c r="E5" s="3">
        <f t="shared" si="3"/>
        <v>22255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1" t="s">
        <v>10</v>
      </c>
      <c r="B6" s="2" t="s">
        <v>11</v>
      </c>
      <c r="C6" s="3" t="s">
        <v>12</v>
      </c>
      <c r="D6" s="2" t="s">
        <v>13</v>
      </c>
      <c r="E6" s="2" t="s">
        <v>14</v>
      </c>
      <c r="F6" s="2" t="s">
        <v>15</v>
      </c>
      <c r="G6" s="3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>
        <v>42491</v>
      </c>
      <c r="B7" s="5"/>
      <c r="C7" s="6" t="s">
        <v>16</v>
      </c>
      <c r="F7" s="6">
        <v>2700</v>
      </c>
    </row>
    <row r="8" spans="1:26" ht="14.25" customHeight="1">
      <c r="A8" s="4">
        <v>42491</v>
      </c>
      <c r="B8" s="5" t="s">
        <v>2</v>
      </c>
      <c r="C8" s="6" t="s">
        <v>17</v>
      </c>
      <c r="D8" s="6">
        <v>330</v>
      </c>
      <c r="F8" s="6">
        <f t="shared" ref="F8:F154" si="4">F7+D8-E8</f>
        <v>3030</v>
      </c>
    </row>
    <row r="9" spans="1:26" ht="14.25" customHeight="1">
      <c r="A9" s="4">
        <v>42491</v>
      </c>
      <c r="B9" s="5" t="s">
        <v>2</v>
      </c>
      <c r="C9" s="6" t="s">
        <v>18</v>
      </c>
      <c r="D9" s="6">
        <v>2400</v>
      </c>
      <c r="F9" s="6">
        <f t="shared" si="4"/>
        <v>5430</v>
      </c>
    </row>
    <row r="10" spans="1:26" ht="14.25" customHeight="1">
      <c r="A10" s="4">
        <v>42491</v>
      </c>
      <c r="B10" s="5" t="s">
        <v>2</v>
      </c>
      <c r="C10" s="6" t="s">
        <v>19</v>
      </c>
      <c r="D10" s="6">
        <v>200</v>
      </c>
      <c r="F10" s="6">
        <f t="shared" si="4"/>
        <v>5630</v>
      </c>
    </row>
    <row r="11" spans="1:26" ht="14.25" customHeight="1">
      <c r="A11" s="4">
        <v>42491</v>
      </c>
      <c r="B11" s="5" t="s">
        <v>2</v>
      </c>
      <c r="C11" s="6" t="s">
        <v>20</v>
      </c>
      <c r="D11" s="6">
        <v>300</v>
      </c>
      <c r="F11" s="6">
        <f t="shared" si="4"/>
        <v>5930</v>
      </c>
    </row>
    <row r="12" spans="1:26" ht="14.25" customHeight="1">
      <c r="A12" s="4">
        <v>42491</v>
      </c>
      <c r="B12" s="5" t="s">
        <v>2</v>
      </c>
      <c r="C12" s="6" t="s">
        <v>21</v>
      </c>
      <c r="D12" s="6">
        <v>80</v>
      </c>
      <c r="F12" s="6">
        <f t="shared" si="4"/>
        <v>6010</v>
      </c>
    </row>
    <row r="13" spans="1:26" ht="14.25" customHeight="1">
      <c r="A13" s="4">
        <v>42491</v>
      </c>
      <c r="B13" s="5" t="s">
        <v>0</v>
      </c>
      <c r="C13" s="6" t="s">
        <v>22</v>
      </c>
      <c r="E13" s="6">
        <v>100</v>
      </c>
      <c r="F13" s="6">
        <f t="shared" si="4"/>
        <v>5910</v>
      </c>
    </row>
    <row r="14" spans="1:26" ht="14.25" customHeight="1">
      <c r="A14" s="4">
        <v>42491</v>
      </c>
      <c r="B14" s="5" t="s">
        <v>1</v>
      </c>
      <c r="C14" s="6" t="s">
        <v>23</v>
      </c>
      <c r="D14" s="6">
        <v>1300</v>
      </c>
      <c r="F14" s="6">
        <f t="shared" si="4"/>
        <v>7210</v>
      </c>
    </row>
    <row r="15" spans="1:26" ht="14.25" customHeight="1">
      <c r="A15" s="4">
        <v>42492</v>
      </c>
      <c r="B15" s="5" t="s">
        <v>2</v>
      </c>
      <c r="C15" s="6" t="s">
        <v>24</v>
      </c>
      <c r="D15" s="6">
        <v>600</v>
      </c>
      <c r="F15" s="6">
        <f t="shared" si="4"/>
        <v>7810</v>
      </c>
    </row>
    <row r="16" spans="1:26" ht="14.25" customHeight="1">
      <c r="A16" s="4">
        <v>42492</v>
      </c>
      <c r="B16" s="5" t="s">
        <v>2</v>
      </c>
      <c r="C16" s="6" t="s">
        <v>25</v>
      </c>
      <c r="D16" s="6">
        <v>280</v>
      </c>
      <c r="F16" s="6">
        <f t="shared" si="4"/>
        <v>8090</v>
      </c>
    </row>
    <row r="17" spans="1:6" ht="14.25" customHeight="1">
      <c r="A17" s="4">
        <v>42492</v>
      </c>
      <c r="B17" s="5" t="s">
        <v>1</v>
      </c>
      <c r="C17" s="6" t="s">
        <v>23</v>
      </c>
      <c r="D17" s="6">
        <v>1500</v>
      </c>
      <c r="F17" s="6">
        <f t="shared" si="4"/>
        <v>9590</v>
      </c>
    </row>
    <row r="18" spans="1:6" ht="14.25" customHeight="1">
      <c r="A18" s="4">
        <v>42492</v>
      </c>
      <c r="B18" s="5" t="s">
        <v>1</v>
      </c>
      <c r="C18" s="6" t="s">
        <v>26</v>
      </c>
      <c r="E18" s="6">
        <v>200</v>
      </c>
      <c r="F18" s="6">
        <f t="shared" si="4"/>
        <v>9390</v>
      </c>
    </row>
    <row r="19" spans="1:6" ht="14.25" customHeight="1">
      <c r="A19" s="4">
        <v>42492</v>
      </c>
      <c r="B19" s="5" t="s">
        <v>0</v>
      </c>
      <c r="C19" s="6" t="s">
        <v>27</v>
      </c>
      <c r="E19" s="6">
        <v>400</v>
      </c>
      <c r="F19" s="6">
        <f t="shared" si="4"/>
        <v>8990</v>
      </c>
    </row>
    <row r="20" spans="1:6" ht="14.25" customHeight="1">
      <c r="A20" s="4">
        <v>42492</v>
      </c>
      <c r="B20" s="5" t="s">
        <v>0</v>
      </c>
      <c r="C20" s="6" t="s">
        <v>28</v>
      </c>
      <c r="E20" s="6">
        <v>400</v>
      </c>
      <c r="F20" s="6">
        <f t="shared" si="4"/>
        <v>8590</v>
      </c>
    </row>
    <row r="21" spans="1:6" ht="14.25" customHeight="1">
      <c r="A21" s="4">
        <v>42492</v>
      </c>
      <c r="B21" s="5" t="s">
        <v>0</v>
      </c>
      <c r="C21" s="6" t="s">
        <v>29</v>
      </c>
      <c r="E21" s="6">
        <v>300</v>
      </c>
      <c r="F21" s="6">
        <f t="shared" si="4"/>
        <v>8290</v>
      </c>
    </row>
    <row r="22" spans="1:6" ht="14.25" customHeight="1">
      <c r="A22" s="4">
        <v>42492</v>
      </c>
      <c r="B22" s="5" t="s">
        <v>1</v>
      </c>
      <c r="C22" s="6" t="s">
        <v>30</v>
      </c>
      <c r="E22" s="6">
        <v>400</v>
      </c>
      <c r="F22" s="6">
        <f t="shared" si="4"/>
        <v>7890</v>
      </c>
    </row>
    <row r="23" spans="1:6" ht="14.25" customHeight="1">
      <c r="A23" s="4">
        <v>42492</v>
      </c>
      <c r="B23" s="5" t="s">
        <v>3</v>
      </c>
      <c r="C23" s="6" t="s">
        <v>31</v>
      </c>
      <c r="E23" s="6">
        <v>6000</v>
      </c>
      <c r="F23" s="6">
        <f t="shared" si="4"/>
        <v>1890</v>
      </c>
    </row>
    <row r="24" spans="1:6" ht="14.25" customHeight="1">
      <c r="A24" s="4">
        <v>42492</v>
      </c>
      <c r="B24" s="5" t="s">
        <v>2</v>
      </c>
      <c r="C24" s="6" t="s">
        <v>32</v>
      </c>
      <c r="D24" s="6">
        <v>1450</v>
      </c>
      <c r="F24" s="6">
        <f t="shared" si="4"/>
        <v>3340</v>
      </c>
    </row>
    <row r="25" spans="1:6" ht="14.25" customHeight="1">
      <c r="A25" s="4">
        <v>42493</v>
      </c>
      <c r="B25" s="5" t="s">
        <v>2</v>
      </c>
      <c r="C25" s="6" t="s">
        <v>33</v>
      </c>
      <c r="D25" s="6">
        <v>100</v>
      </c>
      <c r="F25" s="6">
        <f t="shared" si="4"/>
        <v>3440</v>
      </c>
    </row>
    <row r="26" spans="1:6" ht="14.25" customHeight="1">
      <c r="A26" s="4">
        <v>42493</v>
      </c>
      <c r="B26" s="5" t="s">
        <v>2</v>
      </c>
      <c r="C26" s="6" t="s">
        <v>34</v>
      </c>
      <c r="D26" s="6">
        <v>100</v>
      </c>
      <c r="F26" s="6">
        <f t="shared" si="4"/>
        <v>3540</v>
      </c>
    </row>
    <row r="27" spans="1:6" ht="14.25" customHeight="1">
      <c r="A27" s="4">
        <v>42493</v>
      </c>
      <c r="B27" s="5" t="s">
        <v>0</v>
      </c>
      <c r="C27" s="6" t="s">
        <v>35</v>
      </c>
      <c r="E27" s="6">
        <v>100</v>
      </c>
      <c r="F27" s="6">
        <f t="shared" si="4"/>
        <v>3440</v>
      </c>
    </row>
    <row r="28" spans="1:6" ht="14.25" customHeight="1">
      <c r="A28" s="4">
        <v>42493</v>
      </c>
      <c r="B28" s="5" t="s">
        <v>0</v>
      </c>
      <c r="C28" s="6" t="s">
        <v>36</v>
      </c>
      <c r="E28" s="6">
        <v>100</v>
      </c>
      <c r="F28" s="6">
        <f t="shared" si="4"/>
        <v>3340</v>
      </c>
    </row>
    <row r="29" spans="1:6" ht="14.25" customHeight="1">
      <c r="A29" s="4">
        <v>42493</v>
      </c>
      <c r="B29" s="5" t="s">
        <v>0</v>
      </c>
      <c r="C29" s="6" t="s">
        <v>37</v>
      </c>
      <c r="E29" s="6">
        <v>130</v>
      </c>
      <c r="F29" s="6">
        <f t="shared" si="4"/>
        <v>3210</v>
      </c>
    </row>
    <row r="30" spans="1:6" ht="14.25" customHeight="1">
      <c r="A30" s="4">
        <v>42493</v>
      </c>
      <c r="B30" s="5" t="s">
        <v>1</v>
      </c>
      <c r="C30" s="6" t="s">
        <v>23</v>
      </c>
      <c r="D30" s="6">
        <v>700</v>
      </c>
      <c r="F30" s="6">
        <f t="shared" si="4"/>
        <v>3910</v>
      </c>
    </row>
    <row r="31" spans="1:6" ht="14.25" customHeight="1">
      <c r="A31" s="4">
        <v>42494</v>
      </c>
      <c r="B31" s="5" t="s">
        <v>2</v>
      </c>
      <c r="C31" s="6" t="s">
        <v>38</v>
      </c>
      <c r="D31" s="6">
        <v>550</v>
      </c>
      <c r="F31" s="6">
        <f t="shared" si="4"/>
        <v>4460</v>
      </c>
    </row>
    <row r="32" spans="1:6" ht="14.25" customHeight="1">
      <c r="A32" s="4">
        <v>42494</v>
      </c>
      <c r="B32" s="5" t="s">
        <v>2</v>
      </c>
      <c r="C32" s="6" t="s">
        <v>39</v>
      </c>
      <c r="D32" s="6">
        <v>530</v>
      </c>
      <c r="F32" s="6">
        <f t="shared" si="4"/>
        <v>4990</v>
      </c>
    </row>
    <row r="33" spans="1:7" ht="14.25" customHeight="1">
      <c r="A33" s="4">
        <v>42494</v>
      </c>
      <c r="B33" s="5" t="s">
        <v>2</v>
      </c>
      <c r="C33" s="6" t="s">
        <v>40</v>
      </c>
      <c r="D33" s="6">
        <v>290</v>
      </c>
      <c r="F33" s="6">
        <f t="shared" si="4"/>
        <v>5280</v>
      </c>
    </row>
    <row r="34" spans="1:7" ht="14.25" customHeight="1">
      <c r="A34" s="4">
        <v>42494</v>
      </c>
      <c r="B34" s="5" t="s">
        <v>1</v>
      </c>
      <c r="C34" s="6" t="s">
        <v>23</v>
      </c>
      <c r="D34" s="6">
        <v>1000</v>
      </c>
      <c r="F34" s="6">
        <f t="shared" si="4"/>
        <v>6280</v>
      </c>
    </row>
    <row r="35" spans="1:7" ht="14.25" customHeight="1">
      <c r="A35" s="4">
        <v>42495</v>
      </c>
      <c r="B35" s="5" t="s">
        <v>2</v>
      </c>
      <c r="C35" s="6" t="s">
        <v>41</v>
      </c>
      <c r="D35" s="6">
        <v>500</v>
      </c>
      <c r="F35" s="6">
        <f t="shared" si="4"/>
        <v>6780</v>
      </c>
    </row>
    <row r="36" spans="1:7" ht="14.25" customHeight="1">
      <c r="A36" s="4">
        <v>42495</v>
      </c>
      <c r="B36" s="5" t="s">
        <v>0</v>
      </c>
      <c r="C36" s="6" t="s">
        <v>42</v>
      </c>
      <c r="E36" s="6">
        <v>4000</v>
      </c>
      <c r="F36" s="6">
        <f t="shared" si="4"/>
        <v>2780</v>
      </c>
    </row>
    <row r="37" spans="1:7" ht="14.25" customHeight="1">
      <c r="A37" s="4">
        <v>42495</v>
      </c>
      <c r="B37" s="5" t="s">
        <v>2</v>
      </c>
      <c r="C37" s="6" t="s">
        <v>43</v>
      </c>
      <c r="D37" s="6">
        <v>350</v>
      </c>
      <c r="F37" s="6">
        <f t="shared" si="4"/>
        <v>3130</v>
      </c>
    </row>
    <row r="38" spans="1:7" ht="14.25" customHeight="1">
      <c r="A38" s="4">
        <v>42495</v>
      </c>
      <c r="B38" s="5" t="s">
        <v>2</v>
      </c>
      <c r="C38" s="6" t="s">
        <v>44</v>
      </c>
      <c r="E38" s="6">
        <v>200</v>
      </c>
      <c r="F38" s="6">
        <f t="shared" si="4"/>
        <v>2930</v>
      </c>
    </row>
    <row r="39" spans="1:7" ht="14.25" customHeight="1">
      <c r="A39" s="4">
        <v>42495</v>
      </c>
      <c r="B39" s="5" t="s">
        <v>2</v>
      </c>
      <c r="C39" s="6" t="s">
        <v>45</v>
      </c>
      <c r="D39" s="6">
        <v>250</v>
      </c>
      <c r="F39" s="6">
        <f t="shared" si="4"/>
        <v>3180</v>
      </c>
    </row>
    <row r="40" spans="1:7" ht="14.25" customHeight="1">
      <c r="A40" s="4">
        <v>42495</v>
      </c>
      <c r="B40" s="5" t="s">
        <v>1</v>
      </c>
      <c r="C40" s="6" t="s">
        <v>23</v>
      </c>
      <c r="D40" s="6">
        <v>1580</v>
      </c>
      <c r="F40" s="6">
        <f t="shared" si="4"/>
        <v>4760</v>
      </c>
    </row>
    <row r="41" spans="1:7" ht="14.25" customHeight="1">
      <c r="A41" s="4">
        <v>42496</v>
      </c>
      <c r="B41" s="5" t="s">
        <v>1</v>
      </c>
      <c r="C41" s="6" t="s">
        <v>46</v>
      </c>
      <c r="D41" s="6">
        <v>1400</v>
      </c>
      <c r="F41" s="6">
        <f t="shared" si="4"/>
        <v>6160</v>
      </c>
    </row>
    <row r="42" spans="1:7" ht="14.25" customHeight="1">
      <c r="A42" s="4">
        <v>42496</v>
      </c>
      <c r="B42" s="5" t="s">
        <v>3</v>
      </c>
      <c r="C42" s="6" t="s">
        <v>31</v>
      </c>
      <c r="E42" s="6">
        <v>3500</v>
      </c>
      <c r="F42" s="6">
        <f t="shared" si="4"/>
        <v>2660</v>
      </c>
      <c r="G42" s="6">
        <f>1300+1000</f>
        <v>2300</v>
      </c>
    </row>
    <row r="43" spans="1:7" ht="14.25" customHeight="1">
      <c r="A43" s="4">
        <v>42496</v>
      </c>
      <c r="B43" s="5" t="s">
        <v>2</v>
      </c>
      <c r="C43" s="6" t="s">
        <v>47</v>
      </c>
      <c r="D43" s="6">
        <v>400</v>
      </c>
      <c r="F43" s="6">
        <f t="shared" si="4"/>
        <v>3060</v>
      </c>
    </row>
    <row r="44" spans="1:7" ht="14.25" customHeight="1">
      <c r="A44" s="4">
        <v>42497</v>
      </c>
      <c r="B44" s="5" t="s">
        <v>2</v>
      </c>
      <c r="C44" s="6" t="s">
        <v>38</v>
      </c>
      <c r="D44" s="6">
        <v>540</v>
      </c>
      <c r="F44" s="6">
        <f t="shared" si="4"/>
        <v>3600</v>
      </c>
    </row>
    <row r="45" spans="1:7" ht="14.25" customHeight="1">
      <c r="A45" s="4">
        <v>42497</v>
      </c>
      <c r="B45" s="5" t="s">
        <v>1</v>
      </c>
      <c r="C45" s="6" t="s">
        <v>23</v>
      </c>
      <c r="D45" s="6">
        <v>1170</v>
      </c>
      <c r="F45" s="6">
        <f t="shared" si="4"/>
        <v>4770</v>
      </c>
    </row>
    <row r="46" spans="1:7" ht="14.25" customHeight="1">
      <c r="A46" s="4">
        <v>42498</v>
      </c>
      <c r="B46" s="5" t="s">
        <v>2</v>
      </c>
      <c r="C46" s="6" t="s">
        <v>48</v>
      </c>
      <c r="D46" s="6">
        <v>600</v>
      </c>
      <c r="F46" s="6">
        <f t="shared" si="4"/>
        <v>5370</v>
      </c>
    </row>
    <row r="47" spans="1:7" ht="14.25" customHeight="1">
      <c r="A47" s="4">
        <v>42498</v>
      </c>
      <c r="B47" s="5" t="s">
        <v>2</v>
      </c>
      <c r="C47" s="6" t="s">
        <v>49</v>
      </c>
      <c r="D47" s="6">
        <v>3300</v>
      </c>
      <c r="F47" s="6">
        <f t="shared" si="4"/>
        <v>8670</v>
      </c>
    </row>
    <row r="48" spans="1:7" ht="14.25" customHeight="1">
      <c r="A48" s="4">
        <v>42498</v>
      </c>
      <c r="B48" s="5" t="s">
        <v>2</v>
      </c>
      <c r="C48" s="6" t="s">
        <v>50</v>
      </c>
      <c r="D48" s="6">
        <v>50</v>
      </c>
      <c r="F48" s="6">
        <f t="shared" si="4"/>
        <v>8720</v>
      </c>
    </row>
    <row r="49" spans="1:6" ht="14.25" customHeight="1">
      <c r="A49" s="4">
        <v>42498</v>
      </c>
      <c r="B49" s="5" t="s">
        <v>1</v>
      </c>
      <c r="C49" s="6" t="s">
        <v>51</v>
      </c>
      <c r="E49" s="6">
        <v>100</v>
      </c>
      <c r="F49" s="6">
        <f t="shared" si="4"/>
        <v>8620</v>
      </c>
    </row>
    <row r="50" spans="1:6" ht="14.25" customHeight="1">
      <c r="A50" s="4">
        <v>42498</v>
      </c>
      <c r="B50" s="5" t="s">
        <v>2</v>
      </c>
      <c r="C50" s="6" t="s">
        <v>52</v>
      </c>
      <c r="D50" s="6">
        <v>1300</v>
      </c>
      <c r="F50" s="6">
        <f t="shared" si="4"/>
        <v>9920</v>
      </c>
    </row>
    <row r="51" spans="1:6" ht="14.25" customHeight="1">
      <c r="A51" s="4">
        <v>42498</v>
      </c>
      <c r="B51" s="5" t="s">
        <v>1</v>
      </c>
      <c r="C51" s="6" t="s">
        <v>23</v>
      </c>
      <c r="D51" s="6">
        <v>1080</v>
      </c>
      <c r="F51" s="6">
        <f t="shared" si="4"/>
        <v>11000</v>
      </c>
    </row>
    <row r="52" spans="1:6" ht="14.25" customHeight="1">
      <c r="A52" s="4">
        <v>42498</v>
      </c>
      <c r="B52" s="5" t="s">
        <v>1</v>
      </c>
      <c r="C52" s="6" t="s">
        <v>53</v>
      </c>
      <c r="E52" s="6">
        <v>1650</v>
      </c>
      <c r="F52" s="6">
        <f t="shared" si="4"/>
        <v>9350</v>
      </c>
    </row>
    <row r="53" spans="1:6" ht="14.25" customHeight="1">
      <c r="A53" s="4">
        <v>42499</v>
      </c>
      <c r="B53" s="5" t="s">
        <v>2</v>
      </c>
      <c r="C53" s="6" t="s">
        <v>54</v>
      </c>
      <c r="D53" s="6">
        <v>540</v>
      </c>
      <c r="F53" s="6">
        <f t="shared" si="4"/>
        <v>9890</v>
      </c>
    </row>
    <row r="54" spans="1:6" ht="14.25" customHeight="1">
      <c r="A54" s="4">
        <v>42499</v>
      </c>
      <c r="B54" s="5" t="s">
        <v>1</v>
      </c>
      <c r="C54" s="6" t="s">
        <v>23</v>
      </c>
      <c r="D54" s="6">
        <v>1420</v>
      </c>
      <c r="F54" s="6">
        <f t="shared" si="4"/>
        <v>11310</v>
      </c>
    </row>
    <row r="55" spans="1:6" ht="14.25" customHeight="1">
      <c r="A55" s="4">
        <v>42499</v>
      </c>
      <c r="B55" s="5" t="s">
        <v>0</v>
      </c>
      <c r="C55" s="6" t="s">
        <v>55</v>
      </c>
      <c r="E55" s="6">
        <v>500</v>
      </c>
      <c r="F55" s="6">
        <f t="shared" si="4"/>
        <v>10810</v>
      </c>
    </row>
    <row r="56" spans="1:6" ht="14.25" customHeight="1">
      <c r="A56" s="4">
        <v>42499</v>
      </c>
      <c r="B56" s="5" t="s">
        <v>2</v>
      </c>
      <c r="C56" s="6" t="s">
        <v>56</v>
      </c>
      <c r="D56" s="6">
        <v>100</v>
      </c>
      <c r="F56" s="6">
        <f t="shared" si="4"/>
        <v>10910</v>
      </c>
    </row>
    <row r="57" spans="1:6" ht="14.25" customHeight="1">
      <c r="A57" s="4">
        <v>42499</v>
      </c>
      <c r="B57" s="5" t="s">
        <v>2</v>
      </c>
      <c r="C57" s="6" t="s">
        <v>57</v>
      </c>
      <c r="D57" s="6">
        <v>400</v>
      </c>
      <c r="F57" s="6">
        <f t="shared" si="4"/>
        <v>11310</v>
      </c>
    </row>
    <row r="58" spans="1:6" ht="14.25" customHeight="1">
      <c r="A58" s="4">
        <v>42499</v>
      </c>
      <c r="B58" s="5" t="s">
        <v>2</v>
      </c>
      <c r="C58" s="6" t="s">
        <v>58</v>
      </c>
      <c r="D58" s="6">
        <v>200</v>
      </c>
      <c r="F58" s="6">
        <f t="shared" si="4"/>
        <v>11510</v>
      </c>
    </row>
    <row r="59" spans="1:6" ht="14.25" customHeight="1">
      <c r="A59" s="4">
        <v>42499</v>
      </c>
      <c r="B59" s="5" t="s">
        <v>2</v>
      </c>
      <c r="C59" s="6" t="s">
        <v>59</v>
      </c>
      <c r="D59" s="6">
        <v>100</v>
      </c>
      <c r="F59" s="6">
        <f t="shared" si="4"/>
        <v>11610</v>
      </c>
    </row>
    <row r="60" spans="1:6" ht="14.25" customHeight="1">
      <c r="A60" s="4">
        <v>42500</v>
      </c>
      <c r="B60" s="5" t="s">
        <v>1</v>
      </c>
      <c r="C60" s="6" t="s">
        <v>23</v>
      </c>
      <c r="D60" s="6">
        <v>500</v>
      </c>
      <c r="F60" s="6">
        <f t="shared" si="4"/>
        <v>12110</v>
      </c>
    </row>
    <row r="61" spans="1:6" ht="14.25" customHeight="1">
      <c r="A61" s="4">
        <v>42500</v>
      </c>
      <c r="B61" s="5" t="s">
        <v>1</v>
      </c>
      <c r="C61" s="6" t="s">
        <v>26</v>
      </c>
      <c r="E61" s="6">
        <v>100</v>
      </c>
      <c r="F61" s="6">
        <f t="shared" si="4"/>
        <v>12010</v>
      </c>
    </row>
    <row r="62" spans="1:6" ht="14.25" customHeight="1">
      <c r="A62" s="4">
        <v>42500</v>
      </c>
      <c r="B62" s="5" t="s">
        <v>1</v>
      </c>
      <c r="C62" s="6" t="s">
        <v>60</v>
      </c>
      <c r="E62" s="6">
        <v>1420</v>
      </c>
      <c r="F62" s="6">
        <f t="shared" si="4"/>
        <v>10590</v>
      </c>
    </row>
    <row r="63" spans="1:6" ht="14.25" customHeight="1">
      <c r="A63" s="4">
        <v>42500</v>
      </c>
      <c r="B63" s="5" t="s">
        <v>1</v>
      </c>
      <c r="C63" s="6" t="s">
        <v>61</v>
      </c>
      <c r="E63" s="6">
        <v>570</v>
      </c>
      <c r="F63" s="6">
        <f t="shared" si="4"/>
        <v>10020</v>
      </c>
    </row>
    <row r="64" spans="1:6" ht="14.25" customHeight="1">
      <c r="A64" s="4">
        <v>42500</v>
      </c>
      <c r="B64" s="5" t="s">
        <v>0</v>
      </c>
      <c r="C64" s="6" t="s">
        <v>27</v>
      </c>
      <c r="E64" s="6">
        <v>1200</v>
      </c>
      <c r="F64" s="6">
        <f t="shared" si="4"/>
        <v>8820</v>
      </c>
    </row>
    <row r="65" spans="1:6" ht="14.25" customHeight="1">
      <c r="A65" s="4">
        <v>42500</v>
      </c>
      <c r="B65" s="5" t="s">
        <v>0</v>
      </c>
      <c r="C65" s="6" t="s">
        <v>62</v>
      </c>
      <c r="E65" s="6">
        <v>2200</v>
      </c>
      <c r="F65" s="6">
        <f t="shared" si="4"/>
        <v>6620</v>
      </c>
    </row>
    <row r="66" spans="1:6" ht="14.25" customHeight="1">
      <c r="A66" s="4">
        <v>42501</v>
      </c>
      <c r="B66" s="5" t="s">
        <v>2</v>
      </c>
      <c r="C66" s="6" t="s">
        <v>63</v>
      </c>
      <c r="D66" s="6">
        <v>1700</v>
      </c>
      <c r="F66" s="6">
        <f t="shared" si="4"/>
        <v>8320</v>
      </c>
    </row>
    <row r="67" spans="1:6" ht="14.25" customHeight="1">
      <c r="A67" s="4">
        <v>42501</v>
      </c>
      <c r="B67" s="5" t="s">
        <v>2</v>
      </c>
      <c r="C67" s="6" t="s">
        <v>64</v>
      </c>
      <c r="D67" s="6">
        <v>500</v>
      </c>
      <c r="F67" s="6">
        <f t="shared" si="4"/>
        <v>8820</v>
      </c>
    </row>
    <row r="68" spans="1:6" ht="14.25" customHeight="1">
      <c r="A68" s="4">
        <v>42501</v>
      </c>
      <c r="B68" s="5" t="s">
        <v>2</v>
      </c>
      <c r="C68" s="6" t="s">
        <v>64</v>
      </c>
      <c r="D68" s="6">
        <v>550</v>
      </c>
      <c r="F68" s="6">
        <f t="shared" si="4"/>
        <v>9370</v>
      </c>
    </row>
    <row r="69" spans="1:6" ht="14.25" customHeight="1">
      <c r="A69" s="4">
        <v>42501</v>
      </c>
      <c r="B69" s="5" t="s">
        <v>3</v>
      </c>
      <c r="C69" s="6" t="s">
        <v>31</v>
      </c>
      <c r="E69" s="6">
        <v>8000</v>
      </c>
      <c r="F69" s="6">
        <f t="shared" si="4"/>
        <v>1370</v>
      </c>
    </row>
    <row r="70" spans="1:6" ht="14.25" customHeight="1">
      <c r="A70" s="4">
        <v>42501</v>
      </c>
      <c r="B70" s="5" t="s">
        <v>1</v>
      </c>
      <c r="C70" s="6" t="s">
        <v>23</v>
      </c>
      <c r="D70" s="6">
        <v>2100</v>
      </c>
      <c r="F70" s="6">
        <f t="shared" si="4"/>
        <v>3470</v>
      </c>
    </row>
    <row r="71" spans="1:6" ht="14.25" customHeight="1">
      <c r="A71" s="4">
        <v>42502</v>
      </c>
      <c r="B71" s="5" t="s">
        <v>1</v>
      </c>
      <c r="C71" s="6" t="s">
        <v>23</v>
      </c>
      <c r="D71" s="6">
        <v>990</v>
      </c>
      <c r="F71" s="6">
        <f t="shared" si="4"/>
        <v>4460</v>
      </c>
    </row>
    <row r="72" spans="1:6" ht="14.25" customHeight="1">
      <c r="A72" s="4">
        <v>42502</v>
      </c>
      <c r="B72" s="5" t="s">
        <v>2</v>
      </c>
      <c r="C72" s="6" t="s">
        <v>65</v>
      </c>
      <c r="E72" s="6">
        <v>250</v>
      </c>
      <c r="F72" s="6">
        <f t="shared" si="4"/>
        <v>4210</v>
      </c>
    </row>
    <row r="73" spans="1:6" ht="14.25" customHeight="1">
      <c r="A73" s="4">
        <v>42503</v>
      </c>
      <c r="B73" s="5" t="s">
        <v>1</v>
      </c>
      <c r="C73" s="6" t="s">
        <v>23</v>
      </c>
      <c r="D73" s="6">
        <v>1000</v>
      </c>
      <c r="F73" s="6">
        <f t="shared" si="4"/>
        <v>5210</v>
      </c>
    </row>
    <row r="74" spans="1:6" ht="14.25" customHeight="1">
      <c r="A74" s="4">
        <v>42504</v>
      </c>
      <c r="B74" s="5" t="s">
        <v>2</v>
      </c>
      <c r="C74" s="6" t="s">
        <v>66</v>
      </c>
      <c r="D74" s="6">
        <v>120</v>
      </c>
      <c r="F74" s="6">
        <f t="shared" si="4"/>
        <v>5330</v>
      </c>
    </row>
    <row r="75" spans="1:6" ht="14.25" customHeight="1">
      <c r="A75" s="4">
        <v>42505</v>
      </c>
      <c r="B75" s="5" t="s">
        <v>1</v>
      </c>
      <c r="C75" s="6" t="s">
        <v>23</v>
      </c>
      <c r="D75" s="6">
        <v>1125</v>
      </c>
      <c r="F75" s="6">
        <f t="shared" si="4"/>
        <v>6455</v>
      </c>
    </row>
    <row r="76" spans="1:6" ht="14.25" customHeight="1">
      <c r="A76" s="4">
        <v>42505</v>
      </c>
      <c r="B76" s="5" t="s">
        <v>0</v>
      </c>
      <c r="C76" s="6" t="s">
        <v>67</v>
      </c>
      <c r="D76" s="6">
        <v>350</v>
      </c>
      <c r="F76" s="6">
        <f t="shared" si="4"/>
        <v>6805</v>
      </c>
    </row>
    <row r="77" spans="1:6" ht="14.25" customHeight="1">
      <c r="A77" s="4">
        <v>42505</v>
      </c>
      <c r="B77" s="5" t="s">
        <v>1</v>
      </c>
      <c r="C77" s="6" t="s">
        <v>30</v>
      </c>
      <c r="E77" s="6">
        <v>1000</v>
      </c>
      <c r="F77" s="6">
        <f t="shared" si="4"/>
        <v>5805</v>
      </c>
    </row>
    <row r="78" spans="1:6" ht="14.25" customHeight="1">
      <c r="A78" s="4">
        <v>42505</v>
      </c>
      <c r="B78" s="5" t="s">
        <v>1</v>
      </c>
      <c r="C78" s="6" t="s">
        <v>23</v>
      </c>
      <c r="D78" s="6">
        <v>590</v>
      </c>
      <c r="F78" s="6">
        <f t="shared" si="4"/>
        <v>6395</v>
      </c>
    </row>
    <row r="79" spans="1:6" ht="14.25" customHeight="1">
      <c r="A79" s="4">
        <v>42505</v>
      </c>
      <c r="B79" s="5" t="s">
        <v>1</v>
      </c>
      <c r="C79" s="6" t="s">
        <v>68</v>
      </c>
      <c r="E79" s="6">
        <v>2500</v>
      </c>
      <c r="F79" s="6">
        <f t="shared" si="4"/>
        <v>3895</v>
      </c>
    </row>
    <row r="80" spans="1:6" ht="14.25" customHeight="1">
      <c r="A80" s="4">
        <v>42506</v>
      </c>
      <c r="B80" s="5" t="s">
        <v>1</v>
      </c>
      <c r="C80" s="6" t="s">
        <v>23</v>
      </c>
      <c r="D80" s="6">
        <v>1300</v>
      </c>
      <c r="F80" s="6">
        <f t="shared" si="4"/>
        <v>5195</v>
      </c>
    </row>
    <row r="81" spans="1:6" ht="14.25" customHeight="1">
      <c r="A81" s="4">
        <v>42506</v>
      </c>
      <c r="B81" s="5" t="s">
        <v>1</v>
      </c>
      <c r="C81" s="6" t="s">
        <v>30</v>
      </c>
      <c r="E81" s="6">
        <v>200</v>
      </c>
      <c r="F81" s="6">
        <f t="shared" si="4"/>
        <v>4995</v>
      </c>
    </row>
    <row r="82" spans="1:6" ht="14.25" customHeight="1">
      <c r="A82" s="4">
        <v>42507</v>
      </c>
      <c r="B82" s="5" t="s">
        <v>1</v>
      </c>
      <c r="C82" s="6" t="s">
        <v>23</v>
      </c>
      <c r="D82" s="6">
        <v>1000</v>
      </c>
      <c r="F82" s="6">
        <f t="shared" si="4"/>
        <v>5995</v>
      </c>
    </row>
    <row r="83" spans="1:6" ht="14.25" customHeight="1">
      <c r="A83" s="4">
        <v>42507</v>
      </c>
      <c r="B83" s="5" t="s">
        <v>1</v>
      </c>
      <c r="C83" s="6" t="s">
        <v>26</v>
      </c>
      <c r="E83" s="6">
        <v>200</v>
      </c>
      <c r="F83" s="6">
        <f t="shared" si="4"/>
        <v>5795</v>
      </c>
    </row>
    <row r="84" spans="1:6" ht="14.25" customHeight="1">
      <c r="A84" s="4">
        <v>42507</v>
      </c>
      <c r="B84" s="5" t="s">
        <v>1</v>
      </c>
      <c r="C84" s="6" t="s">
        <v>69</v>
      </c>
      <c r="E84" s="6">
        <v>120</v>
      </c>
      <c r="F84" s="6">
        <f t="shared" si="4"/>
        <v>5675</v>
      </c>
    </row>
    <row r="85" spans="1:6" ht="14.25" customHeight="1">
      <c r="A85" s="4">
        <v>42507</v>
      </c>
      <c r="B85" s="5" t="s">
        <v>1</v>
      </c>
      <c r="C85" s="6" t="s">
        <v>70</v>
      </c>
      <c r="E85" s="6">
        <v>180</v>
      </c>
      <c r="F85" s="6">
        <f t="shared" si="4"/>
        <v>5495</v>
      </c>
    </row>
    <row r="86" spans="1:6" ht="14.25" customHeight="1">
      <c r="A86" s="4">
        <v>42507</v>
      </c>
      <c r="B86" s="5" t="s">
        <v>2</v>
      </c>
      <c r="C86" s="6" t="s">
        <v>71</v>
      </c>
      <c r="D86" s="6">
        <v>80</v>
      </c>
      <c r="F86" s="6">
        <f t="shared" si="4"/>
        <v>5575</v>
      </c>
    </row>
    <row r="87" spans="1:6" ht="14.25" customHeight="1">
      <c r="A87" s="4">
        <v>42507</v>
      </c>
      <c r="B87" s="5" t="s">
        <v>1</v>
      </c>
      <c r="C87" s="6" t="s">
        <v>72</v>
      </c>
      <c r="E87" s="6">
        <v>2000</v>
      </c>
      <c r="F87" s="6">
        <f t="shared" si="4"/>
        <v>3575</v>
      </c>
    </row>
    <row r="88" spans="1:6" ht="14.25" customHeight="1">
      <c r="A88" s="4">
        <v>42508</v>
      </c>
      <c r="B88" s="5" t="s">
        <v>0</v>
      </c>
      <c r="C88" s="6" t="s">
        <v>73</v>
      </c>
      <c r="E88" s="6">
        <v>1100</v>
      </c>
      <c r="F88" s="6">
        <f t="shared" si="4"/>
        <v>2475</v>
      </c>
    </row>
    <row r="89" spans="1:6" ht="14.25" customHeight="1">
      <c r="A89" s="4">
        <v>42508</v>
      </c>
      <c r="B89" s="5" t="s">
        <v>1</v>
      </c>
      <c r="C89" s="6" t="s">
        <v>23</v>
      </c>
      <c r="D89" s="6">
        <v>1600</v>
      </c>
      <c r="F89" s="6">
        <f t="shared" si="4"/>
        <v>4075</v>
      </c>
    </row>
    <row r="90" spans="1:6" ht="14.25" customHeight="1">
      <c r="A90" s="4">
        <v>42508</v>
      </c>
      <c r="B90" s="5" t="s">
        <v>2</v>
      </c>
      <c r="C90" s="6" t="s">
        <v>74</v>
      </c>
      <c r="D90" s="6">
        <v>80</v>
      </c>
      <c r="F90" s="6">
        <f t="shared" si="4"/>
        <v>4155</v>
      </c>
    </row>
    <row r="91" spans="1:6" ht="14.25" customHeight="1">
      <c r="A91" s="4">
        <v>42508</v>
      </c>
      <c r="B91" s="5" t="s">
        <v>0</v>
      </c>
      <c r="C91" s="6" t="s">
        <v>67</v>
      </c>
      <c r="D91" s="6">
        <v>50</v>
      </c>
      <c r="F91" s="6">
        <f t="shared" si="4"/>
        <v>4205</v>
      </c>
    </row>
    <row r="92" spans="1:6" ht="14.25" customHeight="1">
      <c r="A92" s="4">
        <v>42509</v>
      </c>
      <c r="B92" s="5" t="s">
        <v>2</v>
      </c>
      <c r="C92" s="6" t="s">
        <v>71</v>
      </c>
      <c r="D92" s="6">
        <v>80</v>
      </c>
      <c r="F92" s="6">
        <f t="shared" si="4"/>
        <v>4285</v>
      </c>
    </row>
    <row r="93" spans="1:6" ht="14.25" customHeight="1">
      <c r="A93" s="4">
        <v>42509</v>
      </c>
      <c r="B93" s="5" t="s">
        <v>1</v>
      </c>
      <c r="C93" s="6" t="s">
        <v>23</v>
      </c>
      <c r="D93" s="6">
        <v>1200</v>
      </c>
      <c r="F93" s="6">
        <f t="shared" si="4"/>
        <v>5485</v>
      </c>
    </row>
    <row r="94" spans="1:6" ht="14.25" customHeight="1">
      <c r="A94" s="4">
        <v>42510</v>
      </c>
      <c r="B94" s="5" t="s">
        <v>1</v>
      </c>
      <c r="C94" s="6" t="s">
        <v>75</v>
      </c>
      <c r="E94" s="6">
        <v>350</v>
      </c>
      <c r="F94" s="6">
        <f t="shared" si="4"/>
        <v>5135</v>
      </c>
    </row>
    <row r="95" spans="1:6" ht="14.25" customHeight="1">
      <c r="A95" s="4">
        <v>42510</v>
      </c>
      <c r="B95" s="5" t="s">
        <v>1</v>
      </c>
      <c r="C95" s="6" t="s">
        <v>30</v>
      </c>
      <c r="E95" s="6">
        <v>1000</v>
      </c>
      <c r="F95" s="6">
        <f t="shared" si="4"/>
        <v>4135</v>
      </c>
    </row>
    <row r="96" spans="1:6" ht="14.25" customHeight="1">
      <c r="A96" s="4">
        <v>42510</v>
      </c>
      <c r="B96" s="5" t="s">
        <v>2</v>
      </c>
      <c r="C96" s="6" t="s">
        <v>76</v>
      </c>
      <c r="D96" s="6">
        <v>180</v>
      </c>
      <c r="F96" s="6">
        <f t="shared" si="4"/>
        <v>4315</v>
      </c>
    </row>
    <row r="97" spans="1:8" ht="14.25" customHeight="1">
      <c r="A97" s="4">
        <v>42510</v>
      </c>
      <c r="B97" s="5" t="s">
        <v>2</v>
      </c>
      <c r="C97" s="6" t="s">
        <v>77</v>
      </c>
      <c r="D97" s="6">
        <v>1200</v>
      </c>
      <c r="F97" s="6">
        <f t="shared" si="4"/>
        <v>5515</v>
      </c>
    </row>
    <row r="98" spans="1:8" ht="14.25" customHeight="1">
      <c r="A98" s="4">
        <v>42510</v>
      </c>
      <c r="B98" s="5" t="s">
        <v>1</v>
      </c>
      <c r="C98" s="6" t="s">
        <v>23</v>
      </c>
      <c r="D98" s="6">
        <v>1300</v>
      </c>
      <c r="F98" s="6">
        <f t="shared" si="4"/>
        <v>6815</v>
      </c>
    </row>
    <row r="99" spans="1:8" ht="14.25" customHeight="1">
      <c r="A99" s="4">
        <v>42510</v>
      </c>
      <c r="B99" s="5" t="s">
        <v>2</v>
      </c>
      <c r="C99" s="6" t="s">
        <v>78</v>
      </c>
      <c r="D99" s="6">
        <v>900</v>
      </c>
      <c r="F99" s="6">
        <f t="shared" si="4"/>
        <v>7715</v>
      </c>
    </row>
    <row r="100" spans="1:8" ht="14.25" customHeight="1">
      <c r="A100" s="4">
        <v>42510</v>
      </c>
      <c r="B100" s="5" t="s">
        <v>0</v>
      </c>
      <c r="C100" s="6" t="s">
        <v>67</v>
      </c>
      <c r="D100" s="6">
        <v>300</v>
      </c>
      <c r="F100" s="6">
        <f t="shared" si="4"/>
        <v>8015</v>
      </c>
    </row>
    <row r="101" spans="1:8" ht="14.25" customHeight="1">
      <c r="A101" s="4">
        <v>42510</v>
      </c>
      <c r="B101" s="5" t="s">
        <v>1</v>
      </c>
      <c r="C101" s="6" t="s">
        <v>30</v>
      </c>
      <c r="E101" s="6">
        <v>1200</v>
      </c>
      <c r="F101" s="6">
        <f t="shared" si="4"/>
        <v>6815</v>
      </c>
    </row>
    <row r="102" spans="1:8" ht="14.25" customHeight="1">
      <c r="A102" s="4">
        <v>42511</v>
      </c>
      <c r="B102" s="5" t="s">
        <v>1</v>
      </c>
      <c r="C102" s="6" t="s">
        <v>23</v>
      </c>
      <c r="D102" s="6">
        <v>990</v>
      </c>
      <c r="F102" s="6">
        <f t="shared" si="4"/>
        <v>7805</v>
      </c>
    </row>
    <row r="103" spans="1:8" ht="14.25" customHeight="1">
      <c r="A103" s="4">
        <v>42511</v>
      </c>
      <c r="B103" s="5" t="s">
        <v>2</v>
      </c>
      <c r="C103" s="6" t="s">
        <v>79</v>
      </c>
      <c r="D103" s="6">
        <v>100</v>
      </c>
      <c r="F103" s="6">
        <f t="shared" si="4"/>
        <v>7905</v>
      </c>
    </row>
    <row r="104" spans="1:8" ht="14.25" customHeight="1">
      <c r="A104" s="4">
        <v>42512</v>
      </c>
      <c r="B104" s="5" t="s">
        <v>1</v>
      </c>
      <c r="C104" s="6" t="s">
        <v>23</v>
      </c>
      <c r="D104" s="6">
        <v>490</v>
      </c>
      <c r="F104" s="6">
        <f t="shared" si="4"/>
        <v>8395</v>
      </c>
    </row>
    <row r="105" spans="1:8" ht="14.25" customHeight="1">
      <c r="A105" s="4">
        <v>42512</v>
      </c>
      <c r="B105" s="5" t="s">
        <v>1</v>
      </c>
      <c r="C105" s="6" t="s">
        <v>30</v>
      </c>
      <c r="E105" s="6">
        <v>400</v>
      </c>
      <c r="F105" s="6">
        <f t="shared" si="4"/>
        <v>7995</v>
      </c>
      <c r="G105" s="6">
        <f>7100+560</f>
        <v>7660</v>
      </c>
      <c r="H105" s="6">
        <f>F105-G105</f>
        <v>335</v>
      </c>
    </row>
    <row r="106" spans="1:8" ht="14.25" customHeight="1">
      <c r="A106" s="4">
        <v>42513</v>
      </c>
      <c r="B106" s="5" t="s">
        <v>1</v>
      </c>
      <c r="C106" s="6" t="s">
        <v>23</v>
      </c>
      <c r="D106" s="6">
        <v>870</v>
      </c>
      <c r="F106" s="6">
        <f t="shared" si="4"/>
        <v>8865</v>
      </c>
    </row>
    <row r="107" spans="1:8" ht="14.25" customHeight="1">
      <c r="A107" s="4">
        <v>42513</v>
      </c>
      <c r="B107" s="5" t="s">
        <v>2</v>
      </c>
      <c r="C107" s="6" t="s">
        <v>80</v>
      </c>
      <c r="D107" s="6">
        <v>280</v>
      </c>
      <c r="F107" s="6">
        <f t="shared" si="4"/>
        <v>9145</v>
      </c>
    </row>
    <row r="108" spans="1:8" ht="14.25" customHeight="1">
      <c r="A108" s="4">
        <v>42513</v>
      </c>
      <c r="B108" s="5" t="s">
        <v>3</v>
      </c>
      <c r="C108" s="6" t="s">
        <v>81</v>
      </c>
      <c r="E108" s="6">
        <v>6000</v>
      </c>
      <c r="F108" s="6">
        <f t="shared" si="4"/>
        <v>3145</v>
      </c>
    </row>
    <row r="109" spans="1:8" ht="14.25" customHeight="1">
      <c r="A109" s="4">
        <v>42514</v>
      </c>
      <c r="B109" s="5" t="s">
        <v>1</v>
      </c>
      <c r="C109" s="6" t="s">
        <v>23</v>
      </c>
      <c r="D109" s="6">
        <v>870</v>
      </c>
      <c r="F109" s="6">
        <f t="shared" si="4"/>
        <v>4015</v>
      </c>
    </row>
    <row r="110" spans="1:8" ht="14.25" customHeight="1">
      <c r="A110" s="4">
        <v>42514</v>
      </c>
      <c r="B110" s="5" t="s">
        <v>1</v>
      </c>
      <c r="C110" s="6" t="s">
        <v>30</v>
      </c>
      <c r="E110" s="6">
        <v>800</v>
      </c>
      <c r="F110" s="6">
        <f t="shared" si="4"/>
        <v>3215</v>
      </c>
    </row>
    <row r="111" spans="1:8" ht="14.25" customHeight="1">
      <c r="A111" s="4">
        <v>42514</v>
      </c>
      <c r="B111" s="5" t="s">
        <v>2</v>
      </c>
      <c r="C111" s="6" t="s">
        <v>77</v>
      </c>
      <c r="D111" s="6">
        <v>1200</v>
      </c>
      <c r="F111" s="6">
        <f t="shared" si="4"/>
        <v>4415</v>
      </c>
    </row>
    <row r="112" spans="1:8" ht="14.25" customHeight="1">
      <c r="A112" s="4">
        <v>42514</v>
      </c>
      <c r="B112" s="5" t="s">
        <v>2</v>
      </c>
      <c r="C112" s="6" t="s">
        <v>82</v>
      </c>
      <c r="D112" s="6">
        <v>190</v>
      </c>
      <c r="F112" s="6">
        <f t="shared" si="4"/>
        <v>4605</v>
      </c>
    </row>
    <row r="113" spans="1:7" ht="14.25" customHeight="1">
      <c r="A113" s="4">
        <v>42514</v>
      </c>
      <c r="B113" s="5" t="s">
        <v>2</v>
      </c>
      <c r="C113" s="6" t="s">
        <v>83</v>
      </c>
      <c r="D113" s="6">
        <v>100</v>
      </c>
      <c r="F113" s="6">
        <f t="shared" si="4"/>
        <v>4705</v>
      </c>
    </row>
    <row r="114" spans="1:7" ht="14.25" customHeight="1">
      <c r="A114" s="4">
        <v>42515</v>
      </c>
      <c r="B114" s="5" t="s">
        <v>2</v>
      </c>
      <c r="C114" s="6" t="s">
        <v>84</v>
      </c>
      <c r="D114" s="6">
        <v>280</v>
      </c>
      <c r="F114" s="6">
        <f t="shared" si="4"/>
        <v>4985</v>
      </c>
    </row>
    <row r="115" spans="1:7" ht="14.25" customHeight="1">
      <c r="A115" s="4">
        <v>42515</v>
      </c>
      <c r="B115" s="5" t="s">
        <v>2</v>
      </c>
      <c r="C115" s="6" t="s">
        <v>85</v>
      </c>
      <c r="E115" s="6">
        <v>360</v>
      </c>
      <c r="F115" s="6">
        <f t="shared" si="4"/>
        <v>4625</v>
      </c>
    </row>
    <row r="116" spans="1:7" ht="14.25" customHeight="1">
      <c r="A116" s="4">
        <v>42515</v>
      </c>
      <c r="B116" s="5" t="s">
        <v>2</v>
      </c>
      <c r="C116" s="6" t="s">
        <v>74</v>
      </c>
      <c r="D116" s="6">
        <v>80</v>
      </c>
      <c r="F116" s="6">
        <f t="shared" si="4"/>
        <v>4705</v>
      </c>
    </row>
    <row r="117" spans="1:7" ht="14.25" customHeight="1">
      <c r="A117" s="4">
        <v>42515</v>
      </c>
      <c r="B117" s="5" t="s">
        <v>1</v>
      </c>
      <c r="C117" s="6" t="s">
        <v>23</v>
      </c>
      <c r="D117" s="6">
        <v>1510</v>
      </c>
      <c r="F117" s="6">
        <f t="shared" si="4"/>
        <v>6215</v>
      </c>
    </row>
    <row r="118" spans="1:7" ht="14.25" customHeight="1">
      <c r="A118" s="4">
        <v>42515</v>
      </c>
      <c r="B118" s="5" t="s">
        <v>2</v>
      </c>
      <c r="C118" s="6" t="s">
        <v>86</v>
      </c>
      <c r="D118" s="6">
        <v>500</v>
      </c>
      <c r="F118" s="6">
        <f t="shared" si="4"/>
        <v>6715</v>
      </c>
    </row>
    <row r="119" spans="1:7" ht="14.25" customHeight="1">
      <c r="A119" s="4">
        <v>42515</v>
      </c>
      <c r="B119" s="5" t="s">
        <v>0</v>
      </c>
      <c r="C119" s="6" t="s">
        <v>87</v>
      </c>
      <c r="D119" s="6">
        <v>300</v>
      </c>
      <c r="F119" s="6">
        <f t="shared" si="4"/>
        <v>7015</v>
      </c>
    </row>
    <row r="120" spans="1:7" ht="14.25" customHeight="1">
      <c r="A120" s="4">
        <v>42515</v>
      </c>
      <c r="B120" s="5" t="s">
        <v>1</v>
      </c>
      <c r="C120" s="6" t="s">
        <v>30</v>
      </c>
      <c r="E120" s="6">
        <v>600</v>
      </c>
      <c r="F120" s="6">
        <f t="shared" si="4"/>
        <v>6415</v>
      </c>
      <c r="G120" s="6">
        <v>6310</v>
      </c>
    </row>
    <row r="121" spans="1:7" ht="14.25" customHeight="1">
      <c r="A121" s="4">
        <v>42516</v>
      </c>
      <c r="B121" s="5" t="s">
        <v>1</v>
      </c>
      <c r="C121" s="7" t="s">
        <v>23</v>
      </c>
      <c r="D121" s="5">
        <v>810</v>
      </c>
      <c r="E121" s="5"/>
      <c r="F121" s="6">
        <f t="shared" si="4"/>
        <v>7225</v>
      </c>
    </row>
    <row r="122" spans="1:7" ht="14.25" customHeight="1">
      <c r="A122" s="4">
        <v>42516</v>
      </c>
      <c r="B122" s="5" t="s">
        <v>2</v>
      </c>
      <c r="C122" s="7" t="s">
        <v>88</v>
      </c>
      <c r="D122" s="5">
        <v>1900</v>
      </c>
      <c r="E122" s="5"/>
      <c r="F122" s="6">
        <f t="shared" si="4"/>
        <v>9125</v>
      </c>
    </row>
    <row r="123" spans="1:7" ht="14.25" customHeight="1">
      <c r="A123" s="4">
        <v>42516</v>
      </c>
      <c r="B123" s="5" t="s">
        <v>2</v>
      </c>
      <c r="C123" s="7" t="s">
        <v>89</v>
      </c>
      <c r="D123" s="5">
        <v>320</v>
      </c>
      <c r="E123" s="5"/>
      <c r="F123" s="6">
        <f t="shared" si="4"/>
        <v>9445</v>
      </c>
    </row>
    <row r="124" spans="1:7" ht="14.25" customHeight="1">
      <c r="A124" s="4">
        <v>42516</v>
      </c>
      <c r="B124" s="5" t="s">
        <v>2</v>
      </c>
      <c r="C124" s="7" t="s">
        <v>90</v>
      </c>
      <c r="D124" s="5">
        <v>500</v>
      </c>
      <c r="E124" s="5"/>
      <c r="F124" s="6">
        <f t="shared" si="4"/>
        <v>9945</v>
      </c>
    </row>
    <row r="125" spans="1:7" ht="14.25" customHeight="1">
      <c r="A125" s="4">
        <v>42516</v>
      </c>
      <c r="B125" s="5" t="s">
        <v>3</v>
      </c>
      <c r="C125" s="7" t="s">
        <v>81</v>
      </c>
      <c r="E125" s="6">
        <v>5000</v>
      </c>
      <c r="F125" s="6">
        <f t="shared" si="4"/>
        <v>4945</v>
      </c>
    </row>
    <row r="126" spans="1:7" ht="14.25" customHeight="1">
      <c r="A126" s="4">
        <v>42516</v>
      </c>
      <c r="B126" s="5" t="s">
        <v>1</v>
      </c>
      <c r="C126" s="7" t="s">
        <v>91</v>
      </c>
      <c r="D126" s="5">
        <v>1340</v>
      </c>
      <c r="F126" s="6">
        <f t="shared" si="4"/>
        <v>6285</v>
      </c>
    </row>
    <row r="127" spans="1:7" ht="14.25" customHeight="1">
      <c r="A127" s="4">
        <v>42517</v>
      </c>
      <c r="B127" s="5" t="s">
        <v>3</v>
      </c>
      <c r="C127" s="7" t="s">
        <v>92</v>
      </c>
      <c r="D127" s="5"/>
      <c r="E127" s="5">
        <v>6500</v>
      </c>
      <c r="F127" s="6">
        <f t="shared" si="4"/>
        <v>-215</v>
      </c>
    </row>
    <row r="128" spans="1:7" ht="14.25" customHeight="1">
      <c r="A128" s="4">
        <v>42517</v>
      </c>
      <c r="B128" s="5" t="s">
        <v>2</v>
      </c>
      <c r="C128" s="7" t="s">
        <v>93</v>
      </c>
      <c r="D128" s="5">
        <v>390</v>
      </c>
      <c r="E128" s="5"/>
      <c r="F128" s="6">
        <f t="shared" si="4"/>
        <v>175</v>
      </c>
    </row>
    <row r="129" spans="1:6" ht="14.25" customHeight="1">
      <c r="A129" s="4">
        <v>42517</v>
      </c>
      <c r="B129" s="5" t="s">
        <v>1</v>
      </c>
      <c r="C129" s="7" t="s">
        <v>23</v>
      </c>
      <c r="D129" s="5">
        <v>410</v>
      </c>
      <c r="F129" s="6">
        <f t="shared" si="4"/>
        <v>585</v>
      </c>
    </row>
    <row r="130" spans="1:6" ht="14.25" customHeight="1">
      <c r="A130" s="4">
        <v>42517</v>
      </c>
      <c r="B130" s="5" t="s">
        <v>2</v>
      </c>
      <c r="C130" s="7" t="s">
        <v>94</v>
      </c>
      <c r="E130" s="6">
        <v>450</v>
      </c>
      <c r="F130" s="6">
        <f t="shared" si="4"/>
        <v>135</v>
      </c>
    </row>
    <row r="131" spans="1:6" ht="14.25" customHeight="1">
      <c r="A131" s="4">
        <v>42517</v>
      </c>
      <c r="B131" s="5" t="s">
        <v>2</v>
      </c>
      <c r="C131" s="7" t="s">
        <v>95</v>
      </c>
      <c r="D131" s="5">
        <v>250</v>
      </c>
      <c r="F131" s="6">
        <f t="shared" si="4"/>
        <v>385</v>
      </c>
    </row>
    <row r="132" spans="1:6" ht="14.25" customHeight="1">
      <c r="A132" s="4">
        <v>42517</v>
      </c>
      <c r="B132" s="5" t="s">
        <v>2</v>
      </c>
      <c r="C132" s="7" t="s">
        <v>96</v>
      </c>
      <c r="D132" s="5">
        <f>170+200</f>
        <v>370</v>
      </c>
      <c r="F132" s="6">
        <f t="shared" si="4"/>
        <v>755</v>
      </c>
    </row>
    <row r="133" spans="1:6" ht="14.25" customHeight="1">
      <c r="A133" s="4">
        <v>42518</v>
      </c>
      <c r="B133" s="5" t="s">
        <v>2</v>
      </c>
      <c r="C133" s="8" t="s">
        <v>97</v>
      </c>
      <c r="D133" s="5">
        <v>1200</v>
      </c>
      <c r="F133" s="6">
        <f t="shared" si="4"/>
        <v>1955</v>
      </c>
    </row>
    <row r="134" spans="1:6" ht="14.25" customHeight="1">
      <c r="A134" s="4">
        <v>42518</v>
      </c>
      <c r="B134" s="5" t="s">
        <v>0</v>
      </c>
      <c r="C134" s="7" t="s">
        <v>98</v>
      </c>
      <c r="D134" s="5">
        <v>630</v>
      </c>
      <c r="F134" s="6">
        <f t="shared" si="4"/>
        <v>2585</v>
      </c>
    </row>
    <row r="135" spans="1:6" ht="14.25" customHeight="1">
      <c r="A135" s="4">
        <v>42518</v>
      </c>
      <c r="B135" s="5" t="s">
        <v>1</v>
      </c>
      <c r="C135" s="7" t="s">
        <v>23</v>
      </c>
      <c r="D135" s="5">
        <v>1270</v>
      </c>
      <c r="F135" s="6">
        <f t="shared" si="4"/>
        <v>3855</v>
      </c>
    </row>
    <row r="136" spans="1:6" ht="14.25" customHeight="1">
      <c r="A136" s="4">
        <v>42519</v>
      </c>
      <c r="B136" s="5" t="s">
        <v>2</v>
      </c>
      <c r="C136" s="8" t="s">
        <v>99</v>
      </c>
      <c r="D136" s="5">
        <v>240</v>
      </c>
      <c r="F136" s="6">
        <f t="shared" si="4"/>
        <v>4095</v>
      </c>
    </row>
    <row r="137" spans="1:6" ht="14.25" customHeight="1">
      <c r="A137" s="4">
        <v>42519</v>
      </c>
      <c r="B137" s="5" t="s">
        <v>1</v>
      </c>
      <c r="C137" s="7" t="s">
        <v>23</v>
      </c>
      <c r="D137" s="5">
        <v>1130</v>
      </c>
      <c r="F137" s="6">
        <f t="shared" si="4"/>
        <v>5225</v>
      </c>
    </row>
    <row r="138" spans="1:6" ht="14.25" customHeight="1">
      <c r="A138" s="4">
        <v>42520</v>
      </c>
      <c r="B138" s="5" t="s">
        <v>3</v>
      </c>
      <c r="C138" s="7" t="s">
        <v>100</v>
      </c>
      <c r="E138" s="6">
        <v>3500</v>
      </c>
      <c r="F138" s="6">
        <f t="shared" si="4"/>
        <v>1725</v>
      </c>
    </row>
    <row r="139" spans="1:6" ht="14.25" customHeight="1">
      <c r="A139" s="4">
        <v>42520</v>
      </c>
      <c r="B139" s="5" t="s">
        <v>2</v>
      </c>
      <c r="C139" s="8" t="s">
        <v>101</v>
      </c>
      <c r="D139" s="5">
        <v>450</v>
      </c>
      <c r="F139" s="6">
        <f t="shared" si="4"/>
        <v>2175</v>
      </c>
    </row>
    <row r="140" spans="1:6" ht="14.25" customHeight="1">
      <c r="A140" s="4">
        <v>42520</v>
      </c>
      <c r="B140" s="5" t="s">
        <v>2</v>
      </c>
      <c r="C140" s="8" t="s">
        <v>102</v>
      </c>
      <c r="D140" s="5">
        <v>600</v>
      </c>
      <c r="F140" s="6">
        <f t="shared" si="4"/>
        <v>2775</v>
      </c>
    </row>
    <row r="141" spans="1:6" ht="14.25" customHeight="1">
      <c r="A141" s="4">
        <v>42520</v>
      </c>
      <c r="B141" s="5" t="s">
        <v>2</v>
      </c>
      <c r="C141" s="8" t="s">
        <v>103</v>
      </c>
      <c r="D141" s="5">
        <v>450</v>
      </c>
      <c r="F141" s="6">
        <f t="shared" si="4"/>
        <v>3225</v>
      </c>
    </row>
    <row r="142" spans="1:6" ht="14.25" customHeight="1">
      <c r="A142" s="4">
        <v>42520</v>
      </c>
      <c r="B142" s="5" t="s">
        <v>0</v>
      </c>
      <c r="C142" s="7" t="s">
        <v>104</v>
      </c>
      <c r="D142" s="5">
        <v>150</v>
      </c>
      <c r="F142" s="6">
        <f t="shared" si="4"/>
        <v>3375</v>
      </c>
    </row>
    <row r="143" spans="1:6" ht="14.25" customHeight="1">
      <c r="A143" s="4">
        <v>42520</v>
      </c>
      <c r="B143" s="5" t="s">
        <v>2</v>
      </c>
      <c r="C143" s="8" t="s">
        <v>105</v>
      </c>
      <c r="D143" s="5">
        <v>320</v>
      </c>
      <c r="F143" s="6">
        <f t="shared" si="4"/>
        <v>3695</v>
      </c>
    </row>
    <row r="144" spans="1:6" ht="14.25" customHeight="1">
      <c r="A144" s="4">
        <v>42520</v>
      </c>
      <c r="B144" s="5" t="s">
        <v>1</v>
      </c>
      <c r="C144" s="7" t="s">
        <v>23</v>
      </c>
      <c r="D144" s="5">
        <v>850</v>
      </c>
      <c r="F144" s="6">
        <f t="shared" si="4"/>
        <v>4545</v>
      </c>
    </row>
    <row r="145" spans="1:8" ht="14.25" customHeight="1">
      <c r="A145" s="4">
        <v>42521</v>
      </c>
      <c r="B145" s="5" t="s">
        <v>2</v>
      </c>
      <c r="C145" s="7" t="s">
        <v>106</v>
      </c>
      <c r="D145" s="5">
        <v>40</v>
      </c>
      <c r="F145" s="6">
        <f t="shared" si="4"/>
        <v>4585</v>
      </c>
    </row>
    <row r="146" spans="1:8" ht="14.25" customHeight="1">
      <c r="A146" s="4">
        <v>42521</v>
      </c>
      <c r="B146" s="5" t="s">
        <v>1</v>
      </c>
      <c r="C146" s="7" t="s">
        <v>51</v>
      </c>
      <c r="D146" s="5"/>
      <c r="E146" s="6">
        <v>200</v>
      </c>
      <c r="F146" s="6">
        <f t="shared" si="4"/>
        <v>4385</v>
      </c>
    </row>
    <row r="147" spans="1:8" ht="14.25" customHeight="1">
      <c r="A147" s="4">
        <v>42521</v>
      </c>
      <c r="B147" s="5" t="s">
        <v>1</v>
      </c>
      <c r="C147" s="7" t="s">
        <v>107</v>
      </c>
      <c r="D147" s="5"/>
      <c r="E147" s="6">
        <v>1420</v>
      </c>
      <c r="F147" s="6">
        <f t="shared" si="4"/>
        <v>2965</v>
      </c>
    </row>
    <row r="148" spans="1:8" ht="14.25" customHeight="1">
      <c r="A148" s="4">
        <v>42521</v>
      </c>
      <c r="B148" s="5" t="s">
        <v>1</v>
      </c>
      <c r="C148" s="7" t="s">
        <v>108</v>
      </c>
      <c r="D148" s="5"/>
      <c r="E148" s="6">
        <v>114</v>
      </c>
      <c r="F148" s="6">
        <f t="shared" si="4"/>
        <v>2851</v>
      </c>
    </row>
    <row r="149" spans="1:8" ht="14.25" customHeight="1">
      <c r="A149" s="4">
        <v>42521</v>
      </c>
      <c r="B149" s="5" t="s">
        <v>1</v>
      </c>
      <c r="C149" s="7" t="s">
        <v>60</v>
      </c>
      <c r="D149" s="5"/>
      <c r="E149" s="6">
        <v>135</v>
      </c>
      <c r="F149" s="6">
        <f t="shared" si="4"/>
        <v>2716</v>
      </c>
    </row>
    <row r="150" spans="1:8" ht="14.25" customHeight="1">
      <c r="A150" s="4">
        <v>42521</v>
      </c>
      <c r="B150" s="5" t="s">
        <v>1</v>
      </c>
      <c r="C150" s="7" t="s">
        <v>109</v>
      </c>
      <c r="D150" s="5"/>
      <c r="E150" s="6">
        <v>40</v>
      </c>
      <c r="F150" s="6">
        <f t="shared" si="4"/>
        <v>2676</v>
      </c>
    </row>
    <row r="151" spans="1:8" ht="14.25" customHeight="1">
      <c r="A151" s="4">
        <v>42521</v>
      </c>
      <c r="B151" s="5" t="s">
        <v>1</v>
      </c>
      <c r="C151" s="7" t="s">
        <v>110</v>
      </c>
      <c r="E151" s="6">
        <v>300</v>
      </c>
      <c r="F151" s="6">
        <f t="shared" si="4"/>
        <v>2376</v>
      </c>
    </row>
    <row r="152" spans="1:8" ht="14.25" customHeight="1">
      <c r="A152" s="4">
        <v>42521</v>
      </c>
      <c r="B152" s="5" t="s">
        <v>1</v>
      </c>
      <c r="C152" s="7" t="s">
        <v>30</v>
      </c>
      <c r="E152" s="6">
        <v>600</v>
      </c>
      <c r="F152" s="6">
        <f t="shared" si="4"/>
        <v>1776</v>
      </c>
    </row>
    <row r="153" spans="1:8" ht="14.25" customHeight="1">
      <c r="A153" s="4">
        <v>42521</v>
      </c>
      <c r="B153" s="5" t="s">
        <v>1</v>
      </c>
      <c r="C153" s="7" t="s">
        <v>23</v>
      </c>
      <c r="D153" s="6">
        <v>1600</v>
      </c>
      <c r="F153" s="6">
        <f t="shared" si="4"/>
        <v>3376</v>
      </c>
    </row>
    <row r="154" spans="1:8" ht="14.25" customHeight="1">
      <c r="A154" s="4">
        <v>42521</v>
      </c>
      <c r="B154" s="5" t="s">
        <v>2</v>
      </c>
      <c r="C154" s="8" t="s">
        <v>111</v>
      </c>
      <c r="D154" s="6">
        <v>1000</v>
      </c>
      <c r="F154" s="6">
        <f t="shared" si="4"/>
        <v>4376</v>
      </c>
      <c r="H154" s="6">
        <f>3950+440</f>
        <v>4390</v>
      </c>
    </row>
    <row r="155" spans="1:8" ht="14.25" customHeight="1">
      <c r="A155" s="4"/>
      <c r="B155" s="5"/>
      <c r="C155" s="7"/>
    </row>
    <row r="156" spans="1:8" ht="14.25" customHeight="1">
      <c r="A156" s="4">
        <v>42522</v>
      </c>
      <c r="B156" s="5"/>
      <c r="C156" s="7" t="s">
        <v>112</v>
      </c>
      <c r="D156" s="6">
        <v>4390</v>
      </c>
      <c r="F156" s="6">
        <f t="shared" ref="F156:F273" si="5">F155+D156-E156</f>
        <v>4390</v>
      </c>
    </row>
    <row r="157" spans="1:8" ht="14.25" customHeight="1">
      <c r="A157" s="4">
        <v>42522</v>
      </c>
      <c r="B157" s="5" t="s">
        <v>1</v>
      </c>
      <c r="C157" s="7" t="s">
        <v>23</v>
      </c>
      <c r="D157" s="6">
        <v>100</v>
      </c>
      <c r="F157" s="6">
        <f t="shared" si="5"/>
        <v>4490</v>
      </c>
    </row>
    <row r="158" spans="1:8" ht="14.25" customHeight="1">
      <c r="A158" s="4">
        <v>42523</v>
      </c>
      <c r="B158" s="5" t="s">
        <v>2</v>
      </c>
      <c r="C158" s="8" t="s">
        <v>113</v>
      </c>
      <c r="E158" s="6">
        <v>1190</v>
      </c>
      <c r="F158" s="6">
        <f t="shared" si="5"/>
        <v>3300</v>
      </c>
    </row>
    <row r="159" spans="1:8" ht="14.25" customHeight="1">
      <c r="A159" s="4">
        <v>42523</v>
      </c>
      <c r="B159" s="5" t="s">
        <v>2</v>
      </c>
      <c r="C159" s="7" t="s">
        <v>114</v>
      </c>
      <c r="E159" s="6">
        <v>2660</v>
      </c>
      <c r="F159" s="6">
        <f t="shared" si="5"/>
        <v>640</v>
      </c>
    </row>
    <row r="160" spans="1:8" ht="14.25" customHeight="1">
      <c r="A160" s="4">
        <v>42523</v>
      </c>
      <c r="B160" s="5" t="s">
        <v>1</v>
      </c>
      <c r="C160" s="7" t="s">
        <v>23</v>
      </c>
      <c r="D160" s="6">
        <v>1380</v>
      </c>
      <c r="F160" s="6">
        <f t="shared" si="5"/>
        <v>2020</v>
      </c>
      <c r="H160" s="6">
        <f>1750+420</f>
        <v>2170</v>
      </c>
    </row>
    <row r="161" spans="1:6" ht="14.25" customHeight="1">
      <c r="A161" s="4">
        <v>42524</v>
      </c>
      <c r="B161" s="5" t="s">
        <v>2</v>
      </c>
      <c r="C161" s="7" t="s">
        <v>115</v>
      </c>
      <c r="E161" s="6">
        <v>500</v>
      </c>
      <c r="F161" s="6">
        <f t="shared" si="5"/>
        <v>1520</v>
      </c>
    </row>
    <row r="162" spans="1:6" ht="14.25" customHeight="1">
      <c r="A162" s="4">
        <v>42524</v>
      </c>
      <c r="B162" s="5" t="s">
        <v>2</v>
      </c>
      <c r="C162" s="8" t="s">
        <v>116</v>
      </c>
      <c r="D162" s="6">
        <v>380</v>
      </c>
      <c r="F162" s="6">
        <f t="shared" si="5"/>
        <v>1900</v>
      </c>
    </row>
    <row r="163" spans="1:6" ht="14.25" customHeight="1">
      <c r="A163" s="4">
        <v>42524</v>
      </c>
      <c r="B163" s="5" t="s">
        <v>117</v>
      </c>
      <c r="C163" s="8" t="s">
        <v>118</v>
      </c>
      <c r="D163" s="6">
        <v>450</v>
      </c>
      <c r="F163" s="6">
        <f t="shared" si="5"/>
        <v>2350</v>
      </c>
    </row>
    <row r="164" spans="1:6" ht="14.25" customHeight="1">
      <c r="A164" s="4">
        <v>42524</v>
      </c>
      <c r="B164" s="5" t="s">
        <v>0</v>
      </c>
      <c r="C164" s="7" t="s">
        <v>119</v>
      </c>
      <c r="E164" s="6">
        <v>1000</v>
      </c>
      <c r="F164" s="6">
        <f t="shared" si="5"/>
        <v>1350</v>
      </c>
    </row>
    <row r="165" spans="1:6" ht="14.25" customHeight="1">
      <c r="A165" s="4">
        <v>42524</v>
      </c>
      <c r="B165" s="5" t="s">
        <v>0</v>
      </c>
      <c r="C165" s="7" t="s">
        <v>120</v>
      </c>
      <c r="E165" s="6">
        <v>650</v>
      </c>
      <c r="F165" s="6">
        <f t="shared" si="5"/>
        <v>700</v>
      </c>
    </row>
    <row r="166" spans="1:6" ht="14.25" customHeight="1">
      <c r="A166" s="4">
        <v>42524</v>
      </c>
      <c r="B166" s="5" t="s">
        <v>1</v>
      </c>
      <c r="C166" s="7" t="s">
        <v>23</v>
      </c>
      <c r="D166" s="6">
        <v>950</v>
      </c>
      <c r="F166" s="6">
        <f t="shared" si="5"/>
        <v>1650</v>
      </c>
    </row>
    <row r="167" spans="1:6" ht="14.25" customHeight="1">
      <c r="A167" s="4">
        <v>42525</v>
      </c>
      <c r="B167" s="5" t="s">
        <v>2</v>
      </c>
      <c r="C167" s="7" t="s">
        <v>121</v>
      </c>
      <c r="D167" s="6">
        <v>180</v>
      </c>
      <c r="F167" s="6">
        <f t="shared" si="5"/>
        <v>1830</v>
      </c>
    </row>
    <row r="168" spans="1:6" ht="14.25" customHeight="1">
      <c r="A168" s="4">
        <v>42525</v>
      </c>
      <c r="B168" s="5" t="s">
        <v>2</v>
      </c>
      <c r="C168" s="7" t="s">
        <v>122</v>
      </c>
      <c r="D168" s="6">
        <v>1800</v>
      </c>
      <c r="F168" s="6">
        <f t="shared" si="5"/>
        <v>3630</v>
      </c>
    </row>
    <row r="169" spans="1:6" ht="14.25" customHeight="1">
      <c r="A169" s="4">
        <v>42525</v>
      </c>
      <c r="B169" s="5" t="s">
        <v>2</v>
      </c>
      <c r="C169" s="7" t="s">
        <v>123</v>
      </c>
      <c r="D169" s="6">
        <v>200</v>
      </c>
      <c r="F169" s="6">
        <f t="shared" si="5"/>
        <v>3830</v>
      </c>
    </row>
    <row r="170" spans="1:6" ht="14.25" customHeight="1">
      <c r="A170" s="4">
        <v>42525</v>
      </c>
      <c r="B170" s="5" t="s">
        <v>1</v>
      </c>
      <c r="C170" s="7" t="s">
        <v>23</v>
      </c>
      <c r="D170" s="6">
        <v>990</v>
      </c>
      <c r="F170" s="6">
        <f t="shared" si="5"/>
        <v>4820</v>
      </c>
    </row>
    <row r="171" spans="1:6" ht="14.25" customHeight="1">
      <c r="A171" s="4">
        <v>42526</v>
      </c>
      <c r="B171" s="5" t="s">
        <v>2</v>
      </c>
      <c r="C171" s="8" t="s">
        <v>124</v>
      </c>
      <c r="D171" s="6">
        <v>450</v>
      </c>
      <c r="F171" s="6">
        <f t="shared" si="5"/>
        <v>5270</v>
      </c>
    </row>
    <row r="172" spans="1:6" ht="14.25" customHeight="1">
      <c r="A172" s="4">
        <v>42526</v>
      </c>
      <c r="B172" s="5" t="s">
        <v>2</v>
      </c>
      <c r="C172" s="8" t="s">
        <v>125</v>
      </c>
      <c r="D172" s="6">
        <v>200</v>
      </c>
      <c r="F172" s="6">
        <f t="shared" si="5"/>
        <v>5470</v>
      </c>
    </row>
    <row r="173" spans="1:6" ht="14.25" customHeight="1">
      <c r="A173" s="4">
        <v>42526</v>
      </c>
      <c r="B173" s="5" t="s">
        <v>2</v>
      </c>
      <c r="C173" s="7" t="s">
        <v>126</v>
      </c>
      <c r="D173" s="6">
        <v>80</v>
      </c>
      <c r="F173" s="6">
        <f t="shared" si="5"/>
        <v>5550</v>
      </c>
    </row>
    <row r="174" spans="1:6" ht="14.25" customHeight="1">
      <c r="A174" s="4">
        <v>42526</v>
      </c>
      <c r="B174" s="5" t="s">
        <v>1</v>
      </c>
      <c r="C174" s="7" t="s">
        <v>23</v>
      </c>
      <c r="D174" s="6">
        <v>1210</v>
      </c>
      <c r="F174" s="6">
        <f t="shared" si="5"/>
        <v>6760</v>
      </c>
    </row>
    <row r="175" spans="1:6" ht="14.25" customHeight="1">
      <c r="A175" s="4">
        <v>42526</v>
      </c>
      <c r="B175" s="5" t="s">
        <v>2</v>
      </c>
      <c r="C175" s="7" t="s">
        <v>127</v>
      </c>
      <c r="D175" s="6">
        <v>700</v>
      </c>
      <c r="F175" s="6">
        <f t="shared" si="5"/>
        <v>7460</v>
      </c>
    </row>
    <row r="176" spans="1:6" ht="14.25" customHeight="1">
      <c r="A176" s="4">
        <v>42527</v>
      </c>
      <c r="B176" s="5" t="s">
        <v>3</v>
      </c>
      <c r="C176" s="7" t="s">
        <v>128</v>
      </c>
      <c r="E176" s="6">
        <v>6000</v>
      </c>
      <c r="F176" s="6">
        <f t="shared" si="5"/>
        <v>1460</v>
      </c>
    </row>
    <row r="177" spans="1:8" ht="14.25" customHeight="1">
      <c r="A177" s="4">
        <v>42527</v>
      </c>
      <c r="B177" s="5" t="s">
        <v>1</v>
      </c>
      <c r="C177" s="7" t="s">
        <v>23</v>
      </c>
      <c r="D177" s="6">
        <v>1790</v>
      </c>
      <c r="F177" s="6">
        <f t="shared" si="5"/>
        <v>3250</v>
      </c>
      <c r="G177" s="6">
        <f>2850+460</f>
        <v>3310</v>
      </c>
      <c r="H177" s="6">
        <f>G177-F177</f>
        <v>60</v>
      </c>
    </row>
    <row r="178" spans="1:8" ht="14.25" customHeight="1">
      <c r="A178" s="4">
        <v>42528</v>
      </c>
      <c r="B178" s="5" t="s">
        <v>2</v>
      </c>
      <c r="C178" s="8" t="s">
        <v>129</v>
      </c>
      <c r="D178" s="6">
        <v>290</v>
      </c>
      <c r="F178" s="6">
        <f t="shared" si="5"/>
        <v>3540</v>
      </c>
    </row>
    <row r="179" spans="1:8" ht="14.25" customHeight="1">
      <c r="A179" s="4">
        <v>42528</v>
      </c>
      <c r="B179" s="5" t="s">
        <v>2</v>
      </c>
      <c r="C179" s="7" t="s">
        <v>74</v>
      </c>
      <c r="D179" s="6">
        <v>80</v>
      </c>
      <c r="F179" s="6">
        <f t="shared" si="5"/>
        <v>3620</v>
      </c>
    </row>
    <row r="180" spans="1:8" ht="14.25" customHeight="1">
      <c r="A180" s="4">
        <v>42528</v>
      </c>
      <c r="B180" s="5" t="s">
        <v>130</v>
      </c>
      <c r="C180" s="7" t="s">
        <v>23</v>
      </c>
      <c r="D180" s="6">
        <v>750</v>
      </c>
      <c r="F180" s="6">
        <f t="shared" si="5"/>
        <v>4370</v>
      </c>
    </row>
    <row r="181" spans="1:8" ht="14.25" customHeight="1">
      <c r="A181" s="4">
        <v>42529</v>
      </c>
      <c r="B181" s="5" t="s">
        <v>2</v>
      </c>
      <c r="C181" s="7" t="s">
        <v>131</v>
      </c>
      <c r="D181" s="6">
        <v>400</v>
      </c>
      <c r="F181" s="6">
        <f t="shared" si="5"/>
        <v>4770</v>
      </c>
    </row>
    <row r="182" spans="1:8" ht="14.25" customHeight="1">
      <c r="A182" s="4">
        <v>42529</v>
      </c>
      <c r="B182" s="5" t="s">
        <v>2</v>
      </c>
      <c r="C182" s="7" t="s">
        <v>131</v>
      </c>
      <c r="D182" s="6">
        <v>450</v>
      </c>
      <c r="F182" s="6">
        <f t="shared" si="5"/>
        <v>5220</v>
      </c>
    </row>
    <row r="183" spans="1:8" ht="14.25" customHeight="1">
      <c r="A183" s="4">
        <v>42529</v>
      </c>
      <c r="B183" s="5" t="s">
        <v>3</v>
      </c>
      <c r="C183" s="7" t="s">
        <v>132</v>
      </c>
      <c r="E183" s="6">
        <v>3000</v>
      </c>
      <c r="F183" s="6">
        <f t="shared" si="5"/>
        <v>2220</v>
      </c>
    </row>
    <row r="184" spans="1:8" ht="14.25" customHeight="1">
      <c r="A184" s="4">
        <v>42529</v>
      </c>
      <c r="B184" s="5" t="s">
        <v>2</v>
      </c>
      <c r="C184" s="7" t="s">
        <v>133</v>
      </c>
      <c r="D184" s="6">
        <v>600</v>
      </c>
      <c r="F184" s="6">
        <f t="shared" si="5"/>
        <v>2820</v>
      </c>
    </row>
    <row r="185" spans="1:8" ht="14.25" customHeight="1">
      <c r="A185" s="4">
        <v>42529</v>
      </c>
      <c r="B185" s="5" t="s">
        <v>2</v>
      </c>
      <c r="C185" s="7" t="s">
        <v>134</v>
      </c>
      <c r="D185" s="6">
        <v>750</v>
      </c>
      <c r="F185" s="6">
        <f t="shared" si="5"/>
        <v>3570</v>
      </c>
    </row>
    <row r="186" spans="1:8" ht="14.25" customHeight="1">
      <c r="A186" s="4">
        <v>42529</v>
      </c>
      <c r="B186" s="5" t="s">
        <v>1</v>
      </c>
      <c r="C186" s="7" t="s">
        <v>23</v>
      </c>
      <c r="D186" s="6">
        <v>2010</v>
      </c>
      <c r="F186" s="6">
        <f t="shared" si="5"/>
        <v>5580</v>
      </c>
    </row>
    <row r="187" spans="1:8" ht="14.25" customHeight="1">
      <c r="A187" s="4">
        <v>42529</v>
      </c>
      <c r="B187" s="5" t="s">
        <v>1</v>
      </c>
      <c r="C187" s="7" t="s">
        <v>30</v>
      </c>
      <c r="E187" s="6">
        <v>1000</v>
      </c>
      <c r="F187" s="6">
        <f t="shared" si="5"/>
        <v>4580</v>
      </c>
      <c r="G187" s="6">
        <f>3800+680</f>
        <v>4480</v>
      </c>
      <c r="H187" s="6">
        <f>F187-G187</f>
        <v>100</v>
      </c>
    </row>
    <row r="188" spans="1:8" ht="14.25" customHeight="1">
      <c r="A188" s="4">
        <v>42530</v>
      </c>
      <c r="B188" s="5" t="s">
        <v>2</v>
      </c>
      <c r="C188" s="7" t="s">
        <v>135</v>
      </c>
      <c r="E188" s="6">
        <v>1400</v>
      </c>
      <c r="F188" s="6">
        <f t="shared" si="5"/>
        <v>3180</v>
      </c>
    </row>
    <row r="189" spans="1:8" ht="14.25" customHeight="1">
      <c r="A189" s="4">
        <v>42530</v>
      </c>
      <c r="B189" s="5" t="s">
        <v>2</v>
      </c>
      <c r="C189" s="7" t="s">
        <v>136</v>
      </c>
      <c r="E189" s="6">
        <v>1130</v>
      </c>
      <c r="F189" s="6">
        <f t="shared" si="5"/>
        <v>2050</v>
      </c>
    </row>
    <row r="190" spans="1:8" ht="14.25" customHeight="1">
      <c r="A190" s="4">
        <v>42530</v>
      </c>
      <c r="B190" s="5" t="s">
        <v>1</v>
      </c>
      <c r="C190" s="7" t="s">
        <v>23</v>
      </c>
      <c r="D190" s="6">
        <v>1500</v>
      </c>
      <c r="F190" s="6">
        <f t="shared" si="5"/>
        <v>3550</v>
      </c>
    </row>
    <row r="191" spans="1:8" ht="14.25" customHeight="1">
      <c r="A191" s="4">
        <v>42531</v>
      </c>
      <c r="B191" s="5" t="s">
        <v>1</v>
      </c>
      <c r="C191" s="7" t="s">
        <v>137</v>
      </c>
      <c r="E191" s="6">
        <v>1800</v>
      </c>
      <c r="F191" s="6">
        <f t="shared" si="5"/>
        <v>1750</v>
      </c>
    </row>
    <row r="192" spans="1:8" ht="14.25" customHeight="1">
      <c r="A192" s="4">
        <v>42531</v>
      </c>
      <c r="B192" s="5" t="s">
        <v>1</v>
      </c>
      <c r="C192" s="7" t="s">
        <v>23</v>
      </c>
      <c r="D192" s="6">
        <v>1350</v>
      </c>
      <c r="F192" s="6">
        <f t="shared" si="5"/>
        <v>3100</v>
      </c>
    </row>
    <row r="193" spans="1:7" ht="14.25" customHeight="1">
      <c r="A193" s="4">
        <v>42531</v>
      </c>
      <c r="B193" s="5" t="s">
        <v>2</v>
      </c>
      <c r="C193" s="7" t="s">
        <v>138</v>
      </c>
      <c r="D193" s="6">
        <v>250</v>
      </c>
      <c r="F193" s="6">
        <f t="shared" si="5"/>
        <v>3350</v>
      </c>
      <c r="G193" s="6">
        <f>3500+820</f>
        <v>4320</v>
      </c>
    </row>
    <row r="194" spans="1:7" ht="14.25" customHeight="1">
      <c r="A194" s="4">
        <v>42532</v>
      </c>
      <c r="B194" s="5" t="s">
        <v>139</v>
      </c>
      <c r="C194" s="7" t="s">
        <v>140</v>
      </c>
      <c r="E194" s="6">
        <v>1000</v>
      </c>
      <c r="F194" s="6">
        <f t="shared" si="5"/>
        <v>2350</v>
      </c>
    </row>
    <row r="195" spans="1:7" ht="14.25" customHeight="1">
      <c r="A195" s="4">
        <v>42532</v>
      </c>
      <c r="B195" s="5" t="s">
        <v>1</v>
      </c>
      <c r="C195" s="7" t="s">
        <v>23</v>
      </c>
      <c r="D195" s="6">
        <v>2260</v>
      </c>
      <c r="F195" s="6">
        <f t="shared" si="5"/>
        <v>4610</v>
      </c>
      <c r="G195" s="6">
        <f>4300+830</f>
        <v>5130</v>
      </c>
    </row>
    <row r="196" spans="1:7" ht="14.25" customHeight="1">
      <c r="A196" s="4">
        <v>42533</v>
      </c>
      <c r="B196" s="5" t="s">
        <v>2</v>
      </c>
      <c r="C196" s="7" t="s">
        <v>141</v>
      </c>
      <c r="D196" s="6">
        <v>250</v>
      </c>
      <c r="F196" s="6">
        <f t="shared" si="5"/>
        <v>4860</v>
      </c>
    </row>
    <row r="197" spans="1:7" ht="14.25" customHeight="1">
      <c r="A197" s="4">
        <v>42533</v>
      </c>
      <c r="B197" s="5" t="s">
        <v>2</v>
      </c>
      <c r="C197" s="7" t="s">
        <v>142</v>
      </c>
      <c r="D197" s="6">
        <v>1500</v>
      </c>
      <c r="F197" s="6">
        <f t="shared" si="5"/>
        <v>6360</v>
      </c>
    </row>
    <row r="198" spans="1:7" ht="14.25" customHeight="1">
      <c r="A198" s="4">
        <v>42533</v>
      </c>
      <c r="B198" s="5" t="s">
        <v>2</v>
      </c>
      <c r="C198" s="7" t="s">
        <v>143</v>
      </c>
      <c r="D198" s="6">
        <v>500</v>
      </c>
      <c r="F198" s="6">
        <f t="shared" si="5"/>
        <v>6860</v>
      </c>
    </row>
    <row r="199" spans="1:7" ht="14.25" customHeight="1">
      <c r="A199" s="4">
        <v>42533</v>
      </c>
      <c r="B199" s="5" t="s">
        <v>2</v>
      </c>
      <c r="C199" s="7" t="s">
        <v>144</v>
      </c>
      <c r="D199" s="6">
        <v>160</v>
      </c>
      <c r="F199" s="6">
        <f t="shared" si="5"/>
        <v>7020</v>
      </c>
    </row>
    <row r="200" spans="1:7" ht="14.25" customHeight="1">
      <c r="A200" s="4">
        <v>42533</v>
      </c>
      <c r="B200" s="5" t="s">
        <v>2</v>
      </c>
      <c r="C200" s="7" t="s">
        <v>145</v>
      </c>
      <c r="D200" s="6">
        <v>500</v>
      </c>
      <c r="F200" s="6">
        <f t="shared" si="5"/>
        <v>7520</v>
      </c>
    </row>
    <row r="201" spans="1:7" ht="14.25" customHeight="1">
      <c r="A201" s="4">
        <v>42533</v>
      </c>
      <c r="B201" s="5" t="s">
        <v>2</v>
      </c>
      <c r="C201" s="7" t="s">
        <v>146</v>
      </c>
      <c r="D201" s="6">
        <v>500</v>
      </c>
      <c r="F201" s="6">
        <f t="shared" si="5"/>
        <v>8020</v>
      </c>
    </row>
    <row r="202" spans="1:7" ht="14.25" customHeight="1">
      <c r="A202" s="4">
        <v>42533</v>
      </c>
      <c r="B202" s="5" t="s">
        <v>1</v>
      </c>
      <c r="C202" s="7" t="s">
        <v>23</v>
      </c>
      <c r="D202" s="6">
        <v>2900</v>
      </c>
      <c r="F202" s="6">
        <f t="shared" si="5"/>
        <v>10920</v>
      </c>
    </row>
    <row r="203" spans="1:7" ht="14.25" customHeight="1">
      <c r="A203" s="4">
        <v>42534</v>
      </c>
      <c r="B203" s="5" t="s">
        <v>1</v>
      </c>
      <c r="C203" s="7" t="s">
        <v>60</v>
      </c>
      <c r="E203" s="6">
        <v>1420</v>
      </c>
      <c r="F203" s="6">
        <f t="shared" si="5"/>
        <v>9500</v>
      </c>
    </row>
    <row r="204" spans="1:7" ht="14.25" customHeight="1">
      <c r="A204" s="4">
        <v>42534</v>
      </c>
      <c r="B204" s="5" t="s">
        <v>1</v>
      </c>
      <c r="C204" s="7" t="s">
        <v>147</v>
      </c>
      <c r="E204" s="6">
        <v>445</v>
      </c>
      <c r="F204" s="6">
        <f t="shared" si="5"/>
        <v>9055</v>
      </c>
    </row>
    <row r="205" spans="1:7" ht="14.25" customHeight="1">
      <c r="A205" s="4">
        <v>42534</v>
      </c>
      <c r="B205" s="5" t="s">
        <v>1</v>
      </c>
      <c r="C205" s="7" t="s">
        <v>148</v>
      </c>
      <c r="E205" s="6">
        <v>200</v>
      </c>
      <c r="F205" s="6">
        <f t="shared" si="5"/>
        <v>8855</v>
      </c>
    </row>
    <row r="206" spans="1:7" ht="14.25" customHeight="1">
      <c r="A206" s="4">
        <v>42534</v>
      </c>
      <c r="B206" s="5" t="s">
        <v>3</v>
      </c>
      <c r="C206" s="7" t="s">
        <v>31</v>
      </c>
      <c r="E206" s="6">
        <v>6000</v>
      </c>
      <c r="F206" s="6">
        <f t="shared" si="5"/>
        <v>2855</v>
      </c>
    </row>
    <row r="207" spans="1:7" ht="14.25" customHeight="1">
      <c r="A207" s="4">
        <v>42534</v>
      </c>
      <c r="B207" s="5" t="s">
        <v>0</v>
      </c>
      <c r="C207" s="7" t="s">
        <v>149</v>
      </c>
      <c r="D207" s="6">
        <v>300</v>
      </c>
      <c r="F207" s="6">
        <f t="shared" si="5"/>
        <v>3155</v>
      </c>
    </row>
    <row r="208" spans="1:7" ht="14.25" customHeight="1">
      <c r="A208" s="4">
        <v>42534</v>
      </c>
      <c r="B208" s="5" t="s">
        <v>0</v>
      </c>
      <c r="C208" s="7" t="s">
        <v>119</v>
      </c>
      <c r="E208" s="6">
        <v>1000</v>
      </c>
      <c r="F208" s="6">
        <f t="shared" si="5"/>
        <v>2155</v>
      </c>
    </row>
    <row r="209" spans="1:7" ht="14.25" customHeight="1">
      <c r="A209" s="4">
        <v>42534</v>
      </c>
      <c r="B209" s="5" t="s">
        <v>2</v>
      </c>
      <c r="C209" s="7" t="s">
        <v>150</v>
      </c>
      <c r="D209" s="6">
        <v>240</v>
      </c>
      <c r="F209" s="6">
        <f t="shared" si="5"/>
        <v>2395</v>
      </c>
    </row>
    <row r="210" spans="1:7" ht="14.25" customHeight="1">
      <c r="A210" s="4">
        <v>42534</v>
      </c>
      <c r="B210" s="5" t="s">
        <v>1</v>
      </c>
      <c r="C210" s="7" t="s">
        <v>23</v>
      </c>
      <c r="D210" s="6">
        <v>2235</v>
      </c>
      <c r="F210" s="6">
        <f t="shared" si="5"/>
        <v>4630</v>
      </c>
    </row>
    <row r="211" spans="1:7" ht="14.25" customHeight="1">
      <c r="A211" s="4">
        <v>42534</v>
      </c>
      <c r="B211" s="5" t="s">
        <v>0</v>
      </c>
      <c r="C211" s="7" t="s">
        <v>151</v>
      </c>
      <c r="E211" s="6">
        <v>235</v>
      </c>
      <c r="F211" s="6">
        <f t="shared" si="5"/>
        <v>4395</v>
      </c>
    </row>
    <row r="212" spans="1:7" ht="14.25" customHeight="1">
      <c r="A212" s="4">
        <v>42535</v>
      </c>
      <c r="B212" s="5" t="s">
        <v>1</v>
      </c>
      <c r="C212" s="7" t="s">
        <v>30</v>
      </c>
      <c r="E212" s="6">
        <v>1000</v>
      </c>
      <c r="F212" s="6">
        <f t="shared" si="5"/>
        <v>3395</v>
      </c>
    </row>
    <row r="213" spans="1:7" ht="14.25" customHeight="1">
      <c r="A213" s="4">
        <v>42535</v>
      </c>
      <c r="B213" s="5" t="s">
        <v>2</v>
      </c>
      <c r="C213" s="7" t="s">
        <v>152</v>
      </c>
      <c r="D213" s="6">
        <v>2000</v>
      </c>
      <c r="F213" s="6">
        <f t="shared" si="5"/>
        <v>5395</v>
      </c>
    </row>
    <row r="214" spans="1:7" ht="14.25" customHeight="1">
      <c r="A214" s="4">
        <v>42535</v>
      </c>
      <c r="B214" s="5" t="s">
        <v>2</v>
      </c>
      <c r="C214" s="7" t="s">
        <v>153</v>
      </c>
      <c r="D214" s="6">
        <v>500</v>
      </c>
      <c r="F214" s="6">
        <f t="shared" si="5"/>
        <v>5895</v>
      </c>
    </row>
    <row r="215" spans="1:7" ht="14.25" customHeight="1">
      <c r="A215" s="4">
        <v>42535</v>
      </c>
      <c r="B215" s="5" t="s">
        <v>2</v>
      </c>
      <c r="C215" s="7" t="s">
        <v>154</v>
      </c>
      <c r="D215" s="6">
        <v>160</v>
      </c>
      <c r="F215" s="6">
        <f t="shared" si="5"/>
        <v>6055</v>
      </c>
    </row>
    <row r="216" spans="1:7" ht="14.25" customHeight="1">
      <c r="A216" s="4">
        <v>42535</v>
      </c>
      <c r="B216" s="5" t="s">
        <v>1</v>
      </c>
      <c r="C216" s="7" t="s">
        <v>23</v>
      </c>
      <c r="D216" s="6">
        <v>1900</v>
      </c>
      <c r="F216" s="6">
        <f t="shared" si="5"/>
        <v>7955</v>
      </c>
    </row>
    <row r="217" spans="1:7" ht="14.25" customHeight="1">
      <c r="A217" s="4">
        <v>42536</v>
      </c>
      <c r="B217" s="5" t="s">
        <v>2</v>
      </c>
      <c r="C217" s="7" t="s">
        <v>155</v>
      </c>
      <c r="D217" s="6">
        <v>300</v>
      </c>
      <c r="F217" s="6">
        <f t="shared" si="5"/>
        <v>8255</v>
      </c>
    </row>
    <row r="218" spans="1:7" ht="14.25" customHeight="1">
      <c r="A218" s="4">
        <v>42536</v>
      </c>
      <c r="B218" s="5" t="s">
        <v>130</v>
      </c>
      <c r="C218" s="7" t="s">
        <v>156</v>
      </c>
      <c r="E218" s="6">
        <v>2500</v>
      </c>
      <c r="F218" s="6">
        <f t="shared" si="5"/>
        <v>5755</v>
      </c>
    </row>
    <row r="219" spans="1:7" ht="14.25" customHeight="1">
      <c r="A219" s="4">
        <v>42536</v>
      </c>
      <c r="B219" s="5" t="s">
        <v>1</v>
      </c>
      <c r="C219" s="7" t="s">
        <v>23</v>
      </c>
      <c r="D219" s="6">
        <v>1520</v>
      </c>
      <c r="F219" s="6">
        <f t="shared" si="5"/>
        <v>7275</v>
      </c>
    </row>
    <row r="220" spans="1:7" ht="14.25" customHeight="1">
      <c r="A220" s="4">
        <v>42537</v>
      </c>
      <c r="B220" s="5" t="s">
        <v>1</v>
      </c>
      <c r="C220" s="7" t="s">
        <v>23</v>
      </c>
      <c r="D220" s="6">
        <v>1480</v>
      </c>
      <c r="F220" s="6">
        <f t="shared" si="5"/>
        <v>8755</v>
      </c>
    </row>
    <row r="221" spans="1:7" ht="14.25" customHeight="1">
      <c r="A221" s="4">
        <v>42537</v>
      </c>
      <c r="B221" s="5" t="s">
        <v>2</v>
      </c>
      <c r="C221" s="7" t="s">
        <v>157</v>
      </c>
      <c r="D221" s="6">
        <v>120</v>
      </c>
      <c r="F221" s="6">
        <f t="shared" si="5"/>
        <v>8875</v>
      </c>
    </row>
    <row r="222" spans="1:7" ht="14.25" customHeight="1">
      <c r="A222" s="4">
        <v>42537</v>
      </c>
      <c r="B222" s="5" t="s">
        <v>0</v>
      </c>
      <c r="C222" s="7" t="s">
        <v>158</v>
      </c>
      <c r="E222" s="6">
        <v>1000</v>
      </c>
      <c r="F222" s="6">
        <f t="shared" si="5"/>
        <v>7875</v>
      </c>
    </row>
    <row r="223" spans="1:7" ht="14.25" customHeight="1">
      <c r="A223" s="4">
        <v>42538</v>
      </c>
      <c r="B223" s="5" t="s">
        <v>1</v>
      </c>
      <c r="C223" s="7" t="s">
        <v>159</v>
      </c>
      <c r="E223" s="6">
        <v>6760</v>
      </c>
      <c r="F223" s="6">
        <f t="shared" si="5"/>
        <v>1115</v>
      </c>
    </row>
    <row r="224" spans="1:7" ht="14.25" customHeight="1">
      <c r="A224" s="4">
        <v>42538</v>
      </c>
      <c r="B224" s="5" t="s">
        <v>1</v>
      </c>
      <c r="C224" s="7" t="s">
        <v>23</v>
      </c>
      <c r="D224" s="6">
        <v>1000</v>
      </c>
      <c r="F224" s="6">
        <f t="shared" si="5"/>
        <v>2115</v>
      </c>
      <c r="G224" s="6">
        <f>1450+840</f>
        <v>2290</v>
      </c>
    </row>
    <row r="225" spans="1:6" ht="14.25" customHeight="1">
      <c r="A225" s="4">
        <v>42539</v>
      </c>
      <c r="B225" s="5" t="s">
        <v>2</v>
      </c>
      <c r="C225" s="7" t="s">
        <v>160</v>
      </c>
      <c r="D225" s="6">
        <v>120</v>
      </c>
      <c r="F225" s="6">
        <f t="shared" si="5"/>
        <v>2235</v>
      </c>
    </row>
    <row r="226" spans="1:6" ht="14.25" customHeight="1">
      <c r="A226" s="4">
        <v>42539</v>
      </c>
      <c r="B226" s="5" t="s">
        <v>2</v>
      </c>
      <c r="C226" s="7" t="s">
        <v>161</v>
      </c>
      <c r="D226" s="6">
        <v>110</v>
      </c>
      <c r="F226" s="6">
        <f t="shared" si="5"/>
        <v>2345</v>
      </c>
    </row>
    <row r="227" spans="1:6" ht="14.25" customHeight="1">
      <c r="A227" s="4">
        <v>42539</v>
      </c>
      <c r="B227" s="5" t="s">
        <v>2</v>
      </c>
      <c r="C227" s="7" t="s">
        <v>162</v>
      </c>
      <c r="D227" s="6">
        <v>320</v>
      </c>
      <c r="F227" s="6">
        <f t="shared" si="5"/>
        <v>2665</v>
      </c>
    </row>
    <row r="228" spans="1:6" ht="14.25" customHeight="1">
      <c r="A228" s="4">
        <v>42540</v>
      </c>
      <c r="B228" s="5" t="s">
        <v>1</v>
      </c>
      <c r="C228" s="7" t="s">
        <v>23</v>
      </c>
      <c r="D228" s="6">
        <v>750</v>
      </c>
      <c r="F228" s="6">
        <f t="shared" si="5"/>
        <v>3415</v>
      </c>
    </row>
    <row r="229" spans="1:6" ht="14.25" customHeight="1">
      <c r="A229" s="4">
        <v>42540</v>
      </c>
      <c r="B229" s="5" t="s">
        <v>1</v>
      </c>
      <c r="C229" s="7" t="s">
        <v>30</v>
      </c>
      <c r="E229" s="6">
        <v>200</v>
      </c>
      <c r="F229" s="6">
        <f t="shared" si="5"/>
        <v>3215</v>
      </c>
    </row>
    <row r="230" spans="1:6" ht="14.25" customHeight="1">
      <c r="A230" s="4">
        <v>42540</v>
      </c>
      <c r="B230" s="5" t="s">
        <v>2</v>
      </c>
      <c r="C230" s="7" t="s">
        <v>163</v>
      </c>
      <c r="D230" s="6">
        <v>500</v>
      </c>
      <c r="F230" s="6">
        <f t="shared" si="5"/>
        <v>3715</v>
      </c>
    </row>
    <row r="231" spans="1:6" ht="14.25" customHeight="1">
      <c r="A231" s="4">
        <v>42540</v>
      </c>
      <c r="B231" s="5" t="s">
        <v>2</v>
      </c>
      <c r="C231" s="7" t="s">
        <v>164</v>
      </c>
      <c r="D231" s="6">
        <v>160</v>
      </c>
      <c r="F231" s="6">
        <f t="shared" si="5"/>
        <v>3875</v>
      </c>
    </row>
    <row r="232" spans="1:6" ht="14.25" customHeight="1">
      <c r="A232" s="4">
        <v>42540</v>
      </c>
      <c r="B232" s="5" t="s">
        <v>2</v>
      </c>
      <c r="C232" s="7" t="s">
        <v>74</v>
      </c>
      <c r="D232" s="6">
        <v>80</v>
      </c>
      <c r="F232" s="6">
        <f t="shared" si="5"/>
        <v>3955</v>
      </c>
    </row>
    <row r="233" spans="1:6" ht="14.25" customHeight="1">
      <c r="A233" s="4">
        <v>42540</v>
      </c>
      <c r="B233" s="5" t="s">
        <v>1</v>
      </c>
      <c r="C233" s="7" t="s">
        <v>23</v>
      </c>
      <c r="D233" s="6">
        <v>2000</v>
      </c>
      <c r="F233" s="6">
        <f t="shared" si="5"/>
        <v>5955</v>
      </c>
    </row>
    <row r="234" spans="1:6" ht="14.25" customHeight="1">
      <c r="A234" s="4">
        <v>42540</v>
      </c>
      <c r="B234" s="5" t="s">
        <v>1</v>
      </c>
      <c r="C234" s="7" t="s">
        <v>30</v>
      </c>
      <c r="E234" s="6">
        <v>600</v>
      </c>
      <c r="F234" s="6">
        <f t="shared" si="5"/>
        <v>5355</v>
      </c>
    </row>
    <row r="235" spans="1:6" ht="14.25" customHeight="1">
      <c r="A235" s="4">
        <v>42540</v>
      </c>
      <c r="B235" s="5" t="s">
        <v>0</v>
      </c>
      <c r="C235" s="7" t="s">
        <v>140</v>
      </c>
      <c r="E235" s="6">
        <v>800</v>
      </c>
      <c r="F235" s="6">
        <f t="shared" si="5"/>
        <v>4555</v>
      </c>
    </row>
    <row r="236" spans="1:6" ht="14.25" customHeight="1">
      <c r="A236" s="4">
        <v>42541</v>
      </c>
      <c r="B236" s="5" t="s">
        <v>1</v>
      </c>
      <c r="C236" s="7" t="s">
        <v>23</v>
      </c>
      <c r="D236" s="6">
        <v>2550</v>
      </c>
      <c r="F236" s="6">
        <f t="shared" si="5"/>
        <v>7105</v>
      </c>
    </row>
    <row r="237" spans="1:6" ht="14.25" customHeight="1">
      <c r="A237" s="4">
        <v>42541</v>
      </c>
      <c r="B237" s="5" t="s">
        <v>2</v>
      </c>
      <c r="C237" s="7" t="s">
        <v>165</v>
      </c>
      <c r="D237" s="6">
        <f>220+160</f>
        <v>380</v>
      </c>
      <c r="F237" s="6">
        <f t="shared" si="5"/>
        <v>7485</v>
      </c>
    </row>
    <row r="238" spans="1:6" ht="14.25" customHeight="1">
      <c r="A238" s="4">
        <v>42541</v>
      </c>
      <c r="B238" s="5" t="s">
        <v>2</v>
      </c>
      <c r="C238" s="7" t="s">
        <v>164</v>
      </c>
      <c r="D238" s="6">
        <v>160</v>
      </c>
      <c r="F238" s="6">
        <f t="shared" si="5"/>
        <v>7645</v>
      </c>
    </row>
    <row r="239" spans="1:6" ht="14.25" customHeight="1">
      <c r="A239" s="4">
        <v>42542</v>
      </c>
      <c r="B239" s="5" t="s">
        <v>1</v>
      </c>
      <c r="C239" s="7" t="s">
        <v>23</v>
      </c>
      <c r="D239" s="6">
        <v>1100</v>
      </c>
      <c r="F239" s="6">
        <f t="shared" si="5"/>
        <v>8745</v>
      </c>
    </row>
    <row r="240" spans="1:6" ht="14.25" customHeight="1">
      <c r="A240" s="4">
        <v>42542</v>
      </c>
      <c r="B240" s="5" t="s">
        <v>3</v>
      </c>
      <c r="C240" s="7" t="s">
        <v>67</v>
      </c>
      <c r="E240" s="6">
        <v>7000</v>
      </c>
      <c r="F240" s="6">
        <f t="shared" si="5"/>
        <v>1745</v>
      </c>
    </row>
    <row r="241" spans="1:6" ht="14.25" customHeight="1">
      <c r="A241" s="4">
        <v>42542</v>
      </c>
      <c r="B241" s="5" t="s">
        <v>0</v>
      </c>
      <c r="C241" s="7" t="s">
        <v>67</v>
      </c>
      <c r="D241" s="6">
        <v>220</v>
      </c>
      <c r="F241" s="6">
        <f t="shared" si="5"/>
        <v>1965</v>
      </c>
    </row>
    <row r="242" spans="1:6" ht="14.25" customHeight="1">
      <c r="A242" s="4">
        <v>42543</v>
      </c>
      <c r="B242" s="5" t="s">
        <v>1</v>
      </c>
      <c r="C242" s="7" t="s">
        <v>26</v>
      </c>
      <c r="E242" s="6">
        <v>100</v>
      </c>
      <c r="F242" s="6">
        <f t="shared" si="5"/>
        <v>1865</v>
      </c>
    </row>
    <row r="243" spans="1:6" ht="14.25" customHeight="1">
      <c r="A243" s="4">
        <v>42543</v>
      </c>
      <c r="B243" s="5" t="s">
        <v>0</v>
      </c>
      <c r="C243" s="7" t="s">
        <v>140</v>
      </c>
      <c r="E243" s="6">
        <v>100</v>
      </c>
      <c r="F243" s="6">
        <f t="shared" si="5"/>
        <v>1765</v>
      </c>
    </row>
    <row r="244" spans="1:6" ht="14.25" customHeight="1">
      <c r="A244" s="4">
        <v>42543</v>
      </c>
      <c r="B244" s="5" t="s">
        <v>1</v>
      </c>
      <c r="C244" s="7" t="s">
        <v>166</v>
      </c>
      <c r="E244" s="6">
        <v>200</v>
      </c>
      <c r="F244" s="6">
        <f t="shared" si="5"/>
        <v>1565</v>
      </c>
    </row>
    <row r="245" spans="1:6" ht="14.25" customHeight="1">
      <c r="A245" s="4">
        <v>42543</v>
      </c>
      <c r="B245" s="5" t="s">
        <v>1</v>
      </c>
      <c r="C245" s="7" t="s">
        <v>167</v>
      </c>
      <c r="E245" s="6">
        <v>60</v>
      </c>
      <c r="F245" s="6">
        <f t="shared" si="5"/>
        <v>1505</v>
      </c>
    </row>
    <row r="246" spans="1:6" ht="14.25" customHeight="1">
      <c r="A246" s="4">
        <v>42543</v>
      </c>
      <c r="B246" s="5" t="s">
        <v>1</v>
      </c>
      <c r="C246" s="7" t="s">
        <v>168</v>
      </c>
      <c r="E246" s="6">
        <v>400</v>
      </c>
      <c r="F246" s="6">
        <f t="shared" si="5"/>
        <v>1105</v>
      </c>
    </row>
    <row r="247" spans="1:6" ht="14.25" customHeight="1">
      <c r="A247" s="4">
        <v>42543</v>
      </c>
      <c r="B247" s="5" t="s">
        <v>1</v>
      </c>
      <c r="C247" s="7" t="s">
        <v>23</v>
      </c>
      <c r="D247" s="6">
        <v>1640</v>
      </c>
      <c r="F247" s="6">
        <f t="shared" si="5"/>
        <v>2745</v>
      </c>
    </row>
    <row r="248" spans="1:6" ht="14.25" customHeight="1">
      <c r="A248" s="4">
        <v>42544</v>
      </c>
      <c r="B248" s="5" t="s">
        <v>2</v>
      </c>
      <c r="C248" s="7" t="s">
        <v>169</v>
      </c>
      <c r="D248" s="6">
        <v>1500</v>
      </c>
      <c r="F248" s="6">
        <f t="shared" si="5"/>
        <v>4245</v>
      </c>
    </row>
    <row r="249" spans="1:6" ht="14.25" customHeight="1">
      <c r="A249" s="4">
        <v>42545</v>
      </c>
      <c r="B249" s="5" t="s">
        <v>0</v>
      </c>
      <c r="C249" s="7" t="s">
        <v>170</v>
      </c>
      <c r="E249" s="6">
        <v>600</v>
      </c>
      <c r="F249" s="6">
        <f t="shared" si="5"/>
        <v>3645</v>
      </c>
    </row>
    <row r="250" spans="1:6" ht="14.25" customHeight="1">
      <c r="A250" s="4">
        <v>42545</v>
      </c>
      <c r="B250" s="5" t="s">
        <v>2</v>
      </c>
      <c r="C250" s="7" t="s">
        <v>171</v>
      </c>
      <c r="D250" s="6">
        <v>150</v>
      </c>
      <c r="F250" s="6">
        <f t="shared" si="5"/>
        <v>3795</v>
      </c>
    </row>
    <row r="251" spans="1:6" ht="14.25" customHeight="1">
      <c r="A251" s="4">
        <v>42545</v>
      </c>
      <c r="B251" s="5" t="s">
        <v>1</v>
      </c>
      <c r="C251" s="7" t="s">
        <v>23</v>
      </c>
      <c r="D251" s="6">
        <v>1750</v>
      </c>
      <c r="F251" s="6">
        <f t="shared" si="5"/>
        <v>5545</v>
      </c>
    </row>
    <row r="252" spans="1:6" ht="14.25" customHeight="1">
      <c r="A252" s="4">
        <v>42546</v>
      </c>
      <c r="B252" s="5" t="s">
        <v>1</v>
      </c>
      <c r="C252" s="7" t="s">
        <v>23</v>
      </c>
      <c r="D252" s="6">
        <v>1300</v>
      </c>
      <c r="F252" s="6">
        <f t="shared" si="5"/>
        <v>6845</v>
      </c>
    </row>
    <row r="253" spans="1:6" ht="14.25" customHeight="1">
      <c r="A253" s="4">
        <v>42546</v>
      </c>
      <c r="B253" s="5" t="s">
        <v>2</v>
      </c>
      <c r="C253" s="7" t="s">
        <v>172</v>
      </c>
      <c r="D253" s="6">
        <v>800</v>
      </c>
      <c r="F253" s="6">
        <f t="shared" si="5"/>
        <v>7645</v>
      </c>
    </row>
    <row r="254" spans="1:6" ht="14.25" customHeight="1">
      <c r="A254" s="4">
        <v>42547</v>
      </c>
      <c r="B254" s="5" t="s">
        <v>1</v>
      </c>
      <c r="C254" s="7" t="s">
        <v>23</v>
      </c>
      <c r="D254" s="6">
        <v>1550</v>
      </c>
      <c r="F254" s="6">
        <f t="shared" si="5"/>
        <v>9195</v>
      </c>
    </row>
    <row r="255" spans="1:6" ht="14.25" customHeight="1">
      <c r="A255" s="4">
        <v>42548</v>
      </c>
      <c r="B255" s="5" t="s">
        <v>1</v>
      </c>
      <c r="C255" s="7" t="s">
        <v>60</v>
      </c>
      <c r="E255" s="6">
        <v>1420</v>
      </c>
      <c r="F255" s="6">
        <f t="shared" si="5"/>
        <v>7775</v>
      </c>
    </row>
    <row r="256" spans="1:6" ht="14.25" customHeight="1">
      <c r="A256" s="4">
        <v>42548</v>
      </c>
      <c r="B256" s="5" t="s">
        <v>1</v>
      </c>
      <c r="C256" s="7" t="s">
        <v>173</v>
      </c>
      <c r="E256" s="6">
        <v>550</v>
      </c>
      <c r="F256" s="6">
        <f t="shared" si="5"/>
        <v>7225</v>
      </c>
    </row>
    <row r="257" spans="1:6" ht="14.25" customHeight="1">
      <c r="A257" s="4">
        <v>42548</v>
      </c>
      <c r="B257" s="5" t="s">
        <v>1</v>
      </c>
      <c r="C257" s="7" t="s">
        <v>174</v>
      </c>
      <c r="E257" s="6">
        <v>400</v>
      </c>
      <c r="F257" s="6">
        <f t="shared" si="5"/>
        <v>6825</v>
      </c>
    </row>
    <row r="258" spans="1:6" ht="14.25" customHeight="1">
      <c r="A258" s="4">
        <v>42548</v>
      </c>
      <c r="B258" s="5" t="s">
        <v>1</v>
      </c>
      <c r="C258" s="7" t="s">
        <v>61</v>
      </c>
      <c r="E258" s="6">
        <v>560</v>
      </c>
      <c r="F258" s="6">
        <f t="shared" si="5"/>
        <v>6265</v>
      </c>
    </row>
    <row r="259" spans="1:6" ht="14.25" customHeight="1">
      <c r="A259" s="4">
        <v>42548</v>
      </c>
      <c r="B259" s="5" t="s">
        <v>0</v>
      </c>
      <c r="C259" s="7" t="s">
        <v>27</v>
      </c>
      <c r="E259" s="6">
        <v>330</v>
      </c>
      <c r="F259" s="6">
        <f t="shared" si="5"/>
        <v>5935</v>
      </c>
    </row>
    <row r="260" spans="1:6" ht="14.25" customHeight="1">
      <c r="A260" s="4">
        <v>42548</v>
      </c>
      <c r="B260" s="5" t="s">
        <v>0</v>
      </c>
      <c r="C260" s="7" t="s">
        <v>175</v>
      </c>
      <c r="E260" s="6">
        <v>320</v>
      </c>
      <c r="F260" s="6">
        <f t="shared" si="5"/>
        <v>5615</v>
      </c>
    </row>
    <row r="261" spans="1:6" ht="14.25" customHeight="1">
      <c r="A261" s="4">
        <v>42548</v>
      </c>
      <c r="B261" s="5" t="s">
        <v>1</v>
      </c>
      <c r="C261" s="7" t="s">
        <v>23</v>
      </c>
      <c r="D261" s="6">
        <v>1200</v>
      </c>
      <c r="F261" s="6">
        <f t="shared" si="5"/>
        <v>6815</v>
      </c>
    </row>
    <row r="262" spans="1:6" ht="14.25" customHeight="1">
      <c r="A262" s="4">
        <v>42549</v>
      </c>
      <c r="B262" s="5" t="s">
        <v>1</v>
      </c>
      <c r="C262" s="7" t="s">
        <v>23</v>
      </c>
      <c r="D262" s="6">
        <v>1775</v>
      </c>
      <c r="F262" s="6">
        <f t="shared" si="5"/>
        <v>8590</v>
      </c>
    </row>
    <row r="263" spans="1:6" ht="14.25" customHeight="1">
      <c r="A263" s="4">
        <v>42549</v>
      </c>
      <c r="B263" s="5" t="s">
        <v>1</v>
      </c>
      <c r="C263" s="7" t="s">
        <v>176</v>
      </c>
      <c r="D263" s="6">
        <v>1200</v>
      </c>
      <c r="F263" s="6">
        <f t="shared" si="5"/>
        <v>9790</v>
      </c>
    </row>
    <row r="264" spans="1:6" ht="14.25" customHeight="1">
      <c r="A264" s="4">
        <v>42549</v>
      </c>
      <c r="B264" s="5" t="s">
        <v>3</v>
      </c>
      <c r="C264" s="7" t="s">
        <v>81</v>
      </c>
      <c r="E264" s="6">
        <v>3500</v>
      </c>
      <c r="F264" s="6">
        <f t="shared" si="5"/>
        <v>6290</v>
      </c>
    </row>
    <row r="265" spans="1:6" ht="14.25" customHeight="1">
      <c r="A265" s="4">
        <v>42549</v>
      </c>
      <c r="B265" s="5" t="s">
        <v>1</v>
      </c>
      <c r="C265" s="7" t="s">
        <v>177</v>
      </c>
      <c r="E265" s="6">
        <v>4500</v>
      </c>
      <c r="F265" s="6">
        <f t="shared" si="5"/>
        <v>1790</v>
      </c>
    </row>
    <row r="266" spans="1:6" ht="14.25" customHeight="1">
      <c r="A266" s="4">
        <v>42550</v>
      </c>
      <c r="B266" s="5" t="s">
        <v>2</v>
      </c>
      <c r="C266" s="7" t="s">
        <v>178</v>
      </c>
      <c r="D266" s="6">
        <v>450</v>
      </c>
      <c r="F266" s="6">
        <f t="shared" si="5"/>
        <v>2240</v>
      </c>
    </row>
    <row r="267" spans="1:6" ht="14.25" customHeight="1">
      <c r="A267" s="4">
        <v>42550</v>
      </c>
      <c r="B267" s="5" t="s">
        <v>1</v>
      </c>
      <c r="C267" s="7" t="s">
        <v>23</v>
      </c>
      <c r="D267" s="6">
        <v>1650</v>
      </c>
      <c r="F267" s="6">
        <f t="shared" si="5"/>
        <v>3890</v>
      </c>
    </row>
    <row r="268" spans="1:6" ht="14.25" customHeight="1">
      <c r="A268" s="4">
        <v>42551</v>
      </c>
      <c r="B268" s="5" t="s">
        <v>3</v>
      </c>
      <c r="C268" s="7" t="s">
        <v>31</v>
      </c>
      <c r="E268" s="6">
        <v>5500</v>
      </c>
      <c r="F268" s="6">
        <f t="shared" si="5"/>
        <v>-1610</v>
      </c>
    </row>
    <row r="269" spans="1:6" ht="14.25" customHeight="1">
      <c r="A269" s="4">
        <v>42551</v>
      </c>
      <c r="B269" s="5" t="s">
        <v>179</v>
      </c>
      <c r="C269" s="7" t="s">
        <v>180</v>
      </c>
      <c r="D269" s="6">
        <v>260</v>
      </c>
      <c r="F269" s="6">
        <f t="shared" si="5"/>
        <v>-1350</v>
      </c>
    </row>
    <row r="270" spans="1:6" ht="14.25" customHeight="1">
      <c r="A270" s="4">
        <v>42551</v>
      </c>
      <c r="B270" s="5" t="s">
        <v>2</v>
      </c>
      <c r="C270" s="7" t="s">
        <v>180</v>
      </c>
      <c r="D270" s="6">
        <v>200</v>
      </c>
      <c r="F270" s="6">
        <f t="shared" si="5"/>
        <v>-1150</v>
      </c>
    </row>
    <row r="271" spans="1:6" ht="14.25" customHeight="1">
      <c r="A271" s="4">
        <v>42551</v>
      </c>
      <c r="B271" s="5" t="s">
        <v>2</v>
      </c>
      <c r="C271" s="7" t="s">
        <v>181</v>
      </c>
      <c r="D271" s="6">
        <v>690</v>
      </c>
      <c r="F271" s="6">
        <f t="shared" si="5"/>
        <v>-460</v>
      </c>
    </row>
    <row r="272" spans="1:6" ht="14.25" customHeight="1">
      <c r="A272" s="4">
        <v>42551</v>
      </c>
      <c r="B272" s="5" t="s">
        <v>2</v>
      </c>
      <c r="C272" s="7" t="s">
        <v>182</v>
      </c>
      <c r="D272" s="6">
        <v>120</v>
      </c>
      <c r="F272" s="6">
        <f t="shared" si="5"/>
        <v>-340</v>
      </c>
    </row>
    <row r="273" spans="1:6" ht="14.25" customHeight="1">
      <c r="A273" s="4">
        <v>42551</v>
      </c>
      <c r="B273" s="5" t="s">
        <v>1</v>
      </c>
      <c r="C273" s="7" t="s">
        <v>23</v>
      </c>
      <c r="D273" s="6">
        <v>1380</v>
      </c>
      <c r="F273" s="6">
        <f t="shared" si="5"/>
        <v>1040</v>
      </c>
    </row>
    <row r="274" spans="1:6" ht="14.25" customHeight="1">
      <c r="A274" s="4"/>
      <c r="B274" s="5"/>
    </row>
    <row r="275" spans="1:6" ht="14.25" customHeight="1">
      <c r="A275" s="4">
        <v>42552</v>
      </c>
      <c r="B275" s="5"/>
      <c r="C275" s="7" t="s">
        <v>183</v>
      </c>
      <c r="F275" s="6">
        <v>530</v>
      </c>
    </row>
    <row r="276" spans="1:6" ht="14.25" customHeight="1">
      <c r="A276" s="4">
        <v>42552</v>
      </c>
      <c r="B276" s="5" t="s">
        <v>1</v>
      </c>
      <c r="C276" s="7" t="s">
        <v>23</v>
      </c>
      <c r="D276" s="6">
        <v>1400</v>
      </c>
      <c r="F276" s="6">
        <f t="shared" ref="F276:F347" si="6">F275+D276-E276</f>
        <v>1930</v>
      </c>
    </row>
    <row r="277" spans="1:6" ht="14.25" customHeight="1">
      <c r="A277" s="4">
        <v>42552</v>
      </c>
      <c r="B277" s="5" t="s">
        <v>1</v>
      </c>
      <c r="C277" s="7" t="s">
        <v>184</v>
      </c>
      <c r="E277" s="6">
        <v>200</v>
      </c>
      <c r="F277" s="6">
        <f t="shared" si="6"/>
        <v>1730</v>
      </c>
    </row>
    <row r="278" spans="1:6" ht="14.25" customHeight="1">
      <c r="A278" s="4">
        <v>42552</v>
      </c>
      <c r="B278" s="5" t="s">
        <v>1</v>
      </c>
      <c r="C278" s="7" t="s">
        <v>185</v>
      </c>
      <c r="E278" s="6">
        <v>260</v>
      </c>
      <c r="F278" s="6">
        <f t="shared" si="6"/>
        <v>1470</v>
      </c>
    </row>
    <row r="279" spans="1:6" ht="14.25" customHeight="1">
      <c r="A279" s="4">
        <v>42552</v>
      </c>
      <c r="B279" s="5" t="s">
        <v>1</v>
      </c>
      <c r="C279" s="7" t="s">
        <v>186</v>
      </c>
      <c r="E279" s="6">
        <v>150</v>
      </c>
      <c r="F279" s="6">
        <f t="shared" si="6"/>
        <v>1320</v>
      </c>
    </row>
    <row r="280" spans="1:6" ht="14.25" customHeight="1">
      <c r="A280" s="4">
        <v>42552</v>
      </c>
      <c r="B280" s="5" t="s">
        <v>2</v>
      </c>
      <c r="C280" s="7" t="s">
        <v>187</v>
      </c>
      <c r="D280" s="6">
        <v>500</v>
      </c>
      <c r="F280" s="6">
        <f t="shared" si="6"/>
        <v>1820</v>
      </c>
    </row>
    <row r="281" spans="1:6" ht="14.25" customHeight="1">
      <c r="A281" s="4">
        <v>42552</v>
      </c>
      <c r="B281" s="5" t="s">
        <v>2</v>
      </c>
      <c r="C281" s="7" t="s">
        <v>188</v>
      </c>
      <c r="D281" s="6">
        <v>400</v>
      </c>
      <c r="F281" s="6">
        <f t="shared" si="6"/>
        <v>2220</v>
      </c>
    </row>
    <row r="282" spans="1:6" ht="14.25" customHeight="1">
      <c r="A282" s="4">
        <v>42553</v>
      </c>
      <c r="B282" s="5" t="s">
        <v>2</v>
      </c>
      <c r="C282" s="7" t="s">
        <v>189</v>
      </c>
      <c r="D282" s="6">
        <v>650</v>
      </c>
      <c r="F282" s="6">
        <f t="shared" si="6"/>
        <v>2870</v>
      </c>
    </row>
    <row r="283" spans="1:6" ht="14.25" customHeight="1">
      <c r="A283" s="4">
        <v>42553</v>
      </c>
      <c r="B283" s="5" t="s">
        <v>2</v>
      </c>
      <c r="C283" s="7" t="s">
        <v>190</v>
      </c>
      <c r="D283" s="6">
        <v>250</v>
      </c>
      <c r="F283" s="6">
        <f t="shared" si="6"/>
        <v>3120</v>
      </c>
    </row>
    <row r="284" spans="1:6" ht="14.25" customHeight="1">
      <c r="A284" s="4">
        <v>42553</v>
      </c>
      <c r="B284" s="5" t="s">
        <v>2</v>
      </c>
      <c r="C284" s="7" t="s">
        <v>191</v>
      </c>
      <c r="D284" s="6">
        <v>700</v>
      </c>
      <c r="F284" s="6">
        <f t="shared" si="6"/>
        <v>3820</v>
      </c>
    </row>
    <row r="285" spans="1:6" ht="14.25" customHeight="1">
      <c r="A285" s="4">
        <v>42553</v>
      </c>
      <c r="B285" s="5" t="s">
        <v>1</v>
      </c>
      <c r="C285" s="7" t="s">
        <v>46</v>
      </c>
      <c r="D285" s="6">
        <v>990</v>
      </c>
      <c r="F285" s="6">
        <f t="shared" si="6"/>
        <v>4810</v>
      </c>
    </row>
    <row r="286" spans="1:6" ht="14.25" customHeight="1">
      <c r="A286" s="4">
        <v>42553</v>
      </c>
      <c r="B286" s="5" t="s">
        <v>139</v>
      </c>
      <c r="C286" s="7" t="s">
        <v>192</v>
      </c>
      <c r="D286" s="6">
        <v>300</v>
      </c>
      <c r="F286" s="6">
        <f t="shared" si="6"/>
        <v>5110</v>
      </c>
    </row>
    <row r="287" spans="1:6" ht="14.25" customHeight="1">
      <c r="A287" s="4">
        <v>42553</v>
      </c>
      <c r="B287" s="5" t="s">
        <v>3</v>
      </c>
      <c r="C287" s="7" t="s">
        <v>128</v>
      </c>
      <c r="E287" s="6">
        <v>2500</v>
      </c>
      <c r="F287" s="6">
        <f t="shared" si="6"/>
        <v>2610</v>
      </c>
    </row>
    <row r="288" spans="1:6" ht="14.25" customHeight="1">
      <c r="A288" s="4">
        <v>42553</v>
      </c>
      <c r="B288" s="5" t="s">
        <v>2</v>
      </c>
      <c r="C288" s="7" t="s">
        <v>193</v>
      </c>
      <c r="D288" s="6">
        <v>50</v>
      </c>
      <c r="F288" s="6">
        <f t="shared" si="6"/>
        <v>2660</v>
      </c>
    </row>
    <row r="289" spans="1:6" ht="14.25" customHeight="1">
      <c r="A289" s="4">
        <v>42554</v>
      </c>
      <c r="B289" s="5" t="s">
        <v>2</v>
      </c>
      <c r="C289" s="9">
        <v>0.12708333333333333</v>
      </c>
      <c r="D289" s="6">
        <v>50</v>
      </c>
      <c r="F289" s="6">
        <f t="shared" si="6"/>
        <v>2710</v>
      </c>
    </row>
    <row r="290" spans="1:6" ht="14.25" customHeight="1">
      <c r="A290" s="4">
        <v>42554</v>
      </c>
      <c r="B290" s="5" t="s">
        <v>2</v>
      </c>
      <c r="C290" s="7" t="s">
        <v>194</v>
      </c>
      <c r="D290" s="6">
        <v>40</v>
      </c>
      <c r="F290" s="6">
        <f t="shared" si="6"/>
        <v>2750</v>
      </c>
    </row>
    <row r="291" spans="1:6" ht="14.25" customHeight="1">
      <c r="A291" s="4">
        <v>42554</v>
      </c>
      <c r="B291" s="5" t="s">
        <v>2</v>
      </c>
      <c r="C291" s="7" t="s">
        <v>195</v>
      </c>
      <c r="D291" s="6">
        <v>700</v>
      </c>
      <c r="F291" s="6">
        <f t="shared" si="6"/>
        <v>3450</v>
      </c>
    </row>
    <row r="292" spans="1:6" ht="14.25" customHeight="1">
      <c r="A292" s="4">
        <v>42554</v>
      </c>
      <c r="B292" s="5" t="s">
        <v>2</v>
      </c>
      <c r="C292" s="7" t="s">
        <v>196</v>
      </c>
      <c r="D292" s="6">
        <v>300</v>
      </c>
      <c r="F292" s="6">
        <f t="shared" si="6"/>
        <v>3750</v>
      </c>
    </row>
    <row r="293" spans="1:6" ht="14.25" customHeight="1">
      <c r="A293" s="4">
        <v>42554</v>
      </c>
      <c r="B293" s="5" t="s">
        <v>2</v>
      </c>
      <c r="C293" s="7" t="s">
        <v>197</v>
      </c>
      <c r="D293" s="6">
        <v>4000</v>
      </c>
      <c r="F293" s="6">
        <f t="shared" si="6"/>
        <v>7750</v>
      </c>
    </row>
    <row r="294" spans="1:6" ht="14.25" customHeight="1">
      <c r="A294" s="4">
        <v>42554</v>
      </c>
      <c r="B294" s="5" t="s">
        <v>2</v>
      </c>
      <c r="C294" s="7" t="s">
        <v>198</v>
      </c>
      <c r="D294" s="6">
        <v>250</v>
      </c>
      <c r="F294" s="6">
        <f t="shared" si="6"/>
        <v>8000</v>
      </c>
    </row>
    <row r="295" spans="1:6" ht="14.25" customHeight="1">
      <c r="A295" s="4">
        <v>42554</v>
      </c>
      <c r="B295" s="5" t="s">
        <v>1</v>
      </c>
      <c r="C295" s="7" t="s">
        <v>23</v>
      </c>
      <c r="D295" s="6">
        <v>770</v>
      </c>
      <c r="F295" s="6">
        <f t="shared" si="6"/>
        <v>8770</v>
      </c>
    </row>
    <row r="296" spans="1:6" ht="14.25" customHeight="1">
      <c r="A296" s="4">
        <v>42555</v>
      </c>
      <c r="B296" s="5" t="s">
        <v>2</v>
      </c>
      <c r="C296" s="7" t="s">
        <v>199</v>
      </c>
      <c r="D296" s="6">
        <v>260</v>
      </c>
      <c r="F296" s="6">
        <f t="shared" si="6"/>
        <v>9030</v>
      </c>
    </row>
    <row r="297" spans="1:6" ht="14.25" customHeight="1">
      <c r="A297" s="4">
        <v>42555</v>
      </c>
      <c r="B297" s="5" t="s">
        <v>2</v>
      </c>
      <c r="C297" s="7" t="s">
        <v>200</v>
      </c>
      <c r="D297" s="6">
        <v>440</v>
      </c>
      <c r="F297" s="6">
        <f t="shared" si="6"/>
        <v>9470</v>
      </c>
    </row>
    <row r="298" spans="1:6" ht="14.25" customHeight="1">
      <c r="A298" s="4">
        <v>42555</v>
      </c>
      <c r="B298" s="5" t="s">
        <v>1</v>
      </c>
      <c r="C298" s="7" t="s">
        <v>23</v>
      </c>
      <c r="D298" s="6">
        <v>1500</v>
      </c>
      <c r="F298" s="6">
        <f t="shared" si="6"/>
        <v>10970</v>
      </c>
    </row>
    <row r="299" spans="1:6" ht="14.25" customHeight="1">
      <c r="A299" s="4">
        <v>42555</v>
      </c>
      <c r="B299" s="5" t="s">
        <v>0</v>
      </c>
      <c r="C299" s="7" t="s">
        <v>201</v>
      </c>
      <c r="E299" s="6">
        <v>750</v>
      </c>
      <c r="F299" s="6">
        <f t="shared" si="6"/>
        <v>10220</v>
      </c>
    </row>
    <row r="300" spans="1:6" ht="14.25" customHeight="1">
      <c r="A300" s="4">
        <v>42555</v>
      </c>
      <c r="B300" s="5" t="s">
        <v>139</v>
      </c>
      <c r="C300" s="7" t="s">
        <v>202</v>
      </c>
      <c r="E300" s="6">
        <v>6500</v>
      </c>
      <c r="F300" s="6">
        <f t="shared" si="6"/>
        <v>3720</v>
      </c>
    </row>
    <row r="301" spans="1:6" ht="14.25" customHeight="1">
      <c r="A301" s="4">
        <v>42555</v>
      </c>
      <c r="B301" s="5" t="s">
        <v>0</v>
      </c>
      <c r="C301" s="7" t="s">
        <v>27</v>
      </c>
      <c r="E301" s="6">
        <f>500+200</f>
        <v>700</v>
      </c>
      <c r="F301" s="6">
        <f t="shared" si="6"/>
        <v>3020</v>
      </c>
    </row>
    <row r="302" spans="1:6" ht="14.25" customHeight="1">
      <c r="A302" s="4">
        <v>42556</v>
      </c>
      <c r="B302" s="5" t="s">
        <v>1</v>
      </c>
      <c r="C302" s="7" t="s">
        <v>136</v>
      </c>
      <c r="E302" s="6">
        <v>1400</v>
      </c>
      <c r="F302" s="6">
        <f t="shared" si="6"/>
        <v>1620</v>
      </c>
    </row>
    <row r="303" spans="1:6" ht="14.25" customHeight="1">
      <c r="A303" s="4">
        <v>42556</v>
      </c>
      <c r="B303" s="5" t="s">
        <v>1</v>
      </c>
      <c r="C303" s="7" t="s">
        <v>23</v>
      </c>
      <c r="D303" s="6">
        <v>1320</v>
      </c>
      <c r="F303" s="6">
        <f t="shared" si="6"/>
        <v>2940</v>
      </c>
    </row>
    <row r="304" spans="1:6" ht="14.25" customHeight="1">
      <c r="A304" s="4">
        <v>42556</v>
      </c>
      <c r="B304" s="5" t="s">
        <v>1</v>
      </c>
      <c r="C304" s="7" t="s">
        <v>30</v>
      </c>
      <c r="E304" s="6">
        <v>1000</v>
      </c>
      <c r="F304" s="6">
        <f t="shared" si="6"/>
        <v>1940</v>
      </c>
    </row>
    <row r="305" spans="1:26" ht="14.25" customHeight="1">
      <c r="A305" s="4">
        <v>42556</v>
      </c>
      <c r="B305" s="5" t="s">
        <v>2</v>
      </c>
      <c r="C305" s="7" t="s">
        <v>203</v>
      </c>
      <c r="D305" s="6">
        <v>400</v>
      </c>
      <c r="F305" s="6">
        <f t="shared" si="6"/>
        <v>2340</v>
      </c>
    </row>
    <row r="306" spans="1:26" ht="14.25" customHeight="1">
      <c r="A306" s="4">
        <v>42556</v>
      </c>
      <c r="B306" s="5" t="s">
        <v>0</v>
      </c>
      <c r="C306" s="7" t="s">
        <v>67</v>
      </c>
      <c r="D306" s="6">
        <v>300</v>
      </c>
      <c r="F306" s="6">
        <f t="shared" si="6"/>
        <v>2640</v>
      </c>
      <c r="G306" s="6">
        <f>1600+870</f>
        <v>2470</v>
      </c>
      <c r="H306" s="6">
        <f>F306-G306</f>
        <v>170</v>
      </c>
    </row>
    <row r="307" spans="1:26" ht="14.25" customHeight="1">
      <c r="A307" s="4">
        <v>42556</v>
      </c>
      <c r="B307" s="5" t="s">
        <v>0</v>
      </c>
      <c r="C307" s="7" t="s">
        <v>204</v>
      </c>
      <c r="E307" s="6">
        <v>500</v>
      </c>
      <c r="F307" s="6">
        <f t="shared" si="6"/>
        <v>2140</v>
      </c>
    </row>
    <row r="308" spans="1:26" ht="14.25" customHeight="1">
      <c r="A308" s="4">
        <v>42557</v>
      </c>
      <c r="B308" s="5" t="s">
        <v>0</v>
      </c>
      <c r="C308" s="7" t="s">
        <v>27</v>
      </c>
      <c r="E308" s="6">
        <v>700</v>
      </c>
      <c r="F308" s="6">
        <f t="shared" si="6"/>
        <v>1440</v>
      </c>
    </row>
    <row r="309" spans="1:26" ht="14.25" customHeight="1">
      <c r="A309" s="4">
        <v>42557</v>
      </c>
      <c r="B309" s="5" t="s">
        <v>2</v>
      </c>
      <c r="C309" s="7" t="s">
        <v>190</v>
      </c>
      <c r="D309" s="6">
        <v>250</v>
      </c>
      <c r="F309" s="6">
        <f t="shared" si="6"/>
        <v>1690</v>
      </c>
    </row>
    <row r="310" spans="1:26" ht="14.25" customHeight="1">
      <c r="A310" s="4">
        <v>42557</v>
      </c>
      <c r="B310" s="5" t="s">
        <v>2</v>
      </c>
      <c r="C310" s="7" t="s">
        <v>205</v>
      </c>
      <c r="D310" s="6">
        <v>400</v>
      </c>
      <c r="F310" s="6">
        <f t="shared" si="6"/>
        <v>2090</v>
      </c>
    </row>
    <row r="311" spans="1:26" ht="14.25" customHeight="1">
      <c r="A311" s="4">
        <v>42558</v>
      </c>
      <c r="B311" s="5" t="s">
        <v>2</v>
      </c>
      <c r="C311" s="7" t="s">
        <v>206</v>
      </c>
      <c r="D311" s="6">
        <v>900</v>
      </c>
      <c r="F311" s="6">
        <f t="shared" si="6"/>
        <v>2990</v>
      </c>
      <c r="H311" s="5"/>
      <c r="I311" s="5"/>
      <c r="J311" s="5"/>
      <c r="K311" s="5"/>
      <c r="L311" s="5"/>
    </row>
    <row r="312" spans="1:26" ht="14.25" customHeight="1">
      <c r="A312" s="4">
        <v>42558</v>
      </c>
      <c r="B312" s="5" t="s">
        <v>2</v>
      </c>
      <c r="C312" s="7" t="s">
        <v>196</v>
      </c>
      <c r="D312" s="6">
        <v>500</v>
      </c>
      <c r="F312" s="6">
        <f t="shared" si="6"/>
        <v>3490</v>
      </c>
      <c r="H312" s="5"/>
      <c r="I312" s="5"/>
      <c r="J312" s="5"/>
      <c r="K312" s="5"/>
      <c r="L312" s="5"/>
    </row>
    <row r="313" spans="1:26" ht="14.25" customHeight="1">
      <c r="A313" s="4">
        <v>42558</v>
      </c>
      <c r="B313" s="5" t="s">
        <v>2</v>
      </c>
      <c r="C313" s="7" t="s">
        <v>207</v>
      </c>
      <c r="D313" s="6">
        <v>200</v>
      </c>
      <c r="F313" s="6">
        <f t="shared" si="6"/>
        <v>3690</v>
      </c>
      <c r="H313" s="5"/>
      <c r="I313" s="5"/>
      <c r="J313" s="5"/>
      <c r="K313" s="5"/>
      <c r="L313" s="5"/>
    </row>
    <row r="314" spans="1:26" ht="14.25" customHeight="1">
      <c r="A314" s="4">
        <v>42558</v>
      </c>
      <c r="B314" s="5" t="s">
        <v>2</v>
      </c>
      <c r="C314" s="7" t="s">
        <v>208</v>
      </c>
      <c r="D314" s="6">
        <v>750</v>
      </c>
      <c r="F314" s="6">
        <f t="shared" si="6"/>
        <v>4440</v>
      </c>
      <c r="H314" s="5"/>
      <c r="I314" s="5"/>
      <c r="J314" s="5"/>
      <c r="K314" s="5"/>
      <c r="L314" s="5"/>
    </row>
    <row r="315" spans="1:26" ht="14.25" customHeight="1">
      <c r="A315" s="4">
        <v>42558</v>
      </c>
      <c r="B315" s="5" t="s">
        <v>2</v>
      </c>
      <c r="C315" s="7" t="s">
        <v>209</v>
      </c>
      <c r="D315" s="6">
        <v>150</v>
      </c>
      <c r="F315" s="6">
        <f t="shared" si="6"/>
        <v>4590</v>
      </c>
      <c r="H315" s="5"/>
      <c r="I315" s="5"/>
      <c r="J315" s="5"/>
      <c r="K315" s="5"/>
      <c r="L315" s="5"/>
    </row>
    <row r="316" spans="1:26" ht="14.25" customHeight="1">
      <c r="A316" s="4">
        <v>42558</v>
      </c>
      <c r="B316" s="5" t="s">
        <v>0</v>
      </c>
      <c r="C316" s="7" t="s">
        <v>210</v>
      </c>
      <c r="E316" s="6">
        <v>2000</v>
      </c>
      <c r="F316" s="6">
        <f t="shared" si="6"/>
        <v>2590</v>
      </c>
      <c r="H316" s="5"/>
      <c r="I316" s="5"/>
      <c r="J316" s="5"/>
      <c r="K316" s="5"/>
      <c r="L316" s="5"/>
      <c r="M316" s="5"/>
    </row>
    <row r="317" spans="1:26" ht="14.25" customHeight="1">
      <c r="A317" s="4">
        <v>42558</v>
      </c>
      <c r="B317" s="5" t="s">
        <v>1</v>
      </c>
      <c r="C317" s="7" t="s">
        <v>137</v>
      </c>
      <c r="E317" s="6">
        <v>2000</v>
      </c>
      <c r="F317" s="6">
        <f t="shared" si="6"/>
        <v>590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4">
        <v>42558</v>
      </c>
      <c r="B318" s="5" t="s">
        <v>2</v>
      </c>
      <c r="C318" s="7" t="s">
        <v>211</v>
      </c>
      <c r="D318" s="6">
        <v>450</v>
      </c>
      <c r="F318" s="6">
        <f t="shared" si="6"/>
        <v>1040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4">
        <v>42558</v>
      </c>
      <c r="B319" s="5" t="s">
        <v>2</v>
      </c>
      <c r="C319" s="7" t="s">
        <v>212</v>
      </c>
      <c r="D319" s="6">
        <v>520</v>
      </c>
      <c r="E319" s="6">
        <v>500</v>
      </c>
      <c r="F319" s="6">
        <f t="shared" si="6"/>
        <v>1060</v>
      </c>
      <c r="G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4">
        <v>42558</v>
      </c>
      <c r="B320" s="5" t="s">
        <v>1</v>
      </c>
      <c r="C320" s="7" t="s">
        <v>23</v>
      </c>
      <c r="D320" s="6">
        <v>1540</v>
      </c>
      <c r="F320" s="6">
        <f t="shared" si="6"/>
        <v>2600</v>
      </c>
      <c r="G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4">
        <v>42559</v>
      </c>
      <c r="B321" s="5" t="s">
        <v>2</v>
      </c>
      <c r="C321" s="7" t="s">
        <v>213</v>
      </c>
      <c r="D321" s="6">
        <v>80</v>
      </c>
      <c r="F321" s="6">
        <f t="shared" si="6"/>
        <v>2680</v>
      </c>
      <c r="G321" s="5">
        <f>3550+170</f>
        <v>3720</v>
      </c>
      <c r="H321" s="6">
        <f>F321-G321</f>
        <v>-1040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4">
        <v>42559</v>
      </c>
      <c r="B322" s="5" t="s">
        <v>0</v>
      </c>
      <c r="C322" s="7" t="s">
        <v>214</v>
      </c>
      <c r="E322" s="6">
        <v>700</v>
      </c>
      <c r="F322" s="6">
        <f t="shared" si="6"/>
        <v>1980</v>
      </c>
      <c r="G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4">
        <v>42559</v>
      </c>
      <c r="B323" s="5" t="s">
        <v>1</v>
      </c>
      <c r="C323" s="7" t="s">
        <v>23</v>
      </c>
      <c r="D323" s="6">
        <v>725</v>
      </c>
      <c r="F323" s="6">
        <f t="shared" si="6"/>
        <v>2705</v>
      </c>
      <c r="G323" s="5">
        <f>3550+170</f>
        <v>3720</v>
      </c>
      <c r="H323" s="6">
        <f>F323-G323</f>
        <v>-1015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4">
        <v>42560</v>
      </c>
      <c r="B324" s="5" t="s">
        <v>2</v>
      </c>
      <c r="C324" s="7" t="s">
        <v>124</v>
      </c>
      <c r="D324" s="6">
        <v>500</v>
      </c>
      <c r="F324" s="6">
        <f t="shared" si="6"/>
        <v>3205</v>
      </c>
      <c r="G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4">
        <v>42560</v>
      </c>
      <c r="B325" s="5" t="s">
        <v>0</v>
      </c>
      <c r="C325" s="7" t="s">
        <v>215</v>
      </c>
      <c r="D325" s="6">
        <v>700</v>
      </c>
      <c r="F325" s="6">
        <f t="shared" si="6"/>
        <v>3905</v>
      </c>
    </row>
    <row r="326" spans="1:26" ht="14.25" customHeight="1">
      <c r="A326" s="4">
        <v>42560</v>
      </c>
      <c r="B326" s="5" t="s">
        <v>0</v>
      </c>
      <c r="C326" s="7" t="s">
        <v>216</v>
      </c>
      <c r="E326" s="6">
        <v>1200</v>
      </c>
      <c r="F326" s="6">
        <f t="shared" si="6"/>
        <v>2705</v>
      </c>
    </row>
    <row r="327" spans="1:26" ht="14.25" customHeight="1">
      <c r="A327" s="4">
        <v>42560</v>
      </c>
      <c r="B327" s="5" t="s">
        <v>0</v>
      </c>
      <c r="C327" s="7" t="s">
        <v>217</v>
      </c>
      <c r="E327" s="6">
        <v>200</v>
      </c>
      <c r="F327" s="6">
        <f t="shared" si="6"/>
        <v>2505</v>
      </c>
    </row>
    <row r="328" spans="1:26" ht="14.25" customHeight="1">
      <c r="A328" s="4">
        <v>42560</v>
      </c>
      <c r="B328" s="5" t="s">
        <v>0</v>
      </c>
      <c r="C328" s="7" t="s">
        <v>119</v>
      </c>
      <c r="E328" s="6">
        <v>600</v>
      </c>
      <c r="F328" s="6">
        <f t="shared" si="6"/>
        <v>1905</v>
      </c>
    </row>
    <row r="329" spans="1:26" ht="14.25" customHeight="1">
      <c r="A329" s="4">
        <v>42561</v>
      </c>
      <c r="B329" s="5" t="s">
        <v>1</v>
      </c>
      <c r="C329" s="7" t="s">
        <v>23</v>
      </c>
      <c r="D329" s="6">
        <v>1150</v>
      </c>
      <c r="F329" s="6">
        <f t="shared" si="6"/>
        <v>3055</v>
      </c>
    </row>
    <row r="330" spans="1:26" ht="14.25" customHeight="1">
      <c r="A330" s="4">
        <v>42561</v>
      </c>
      <c r="B330" s="5" t="s">
        <v>2</v>
      </c>
      <c r="C330" s="7" t="s">
        <v>218</v>
      </c>
      <c r="D330" s="6">
        <v>500</v>
      </c>
      <c r="F330" s="6">
        <f t="shared" si="6"/>
        <v>3555</v>
      </c>
    </row>
    <row r="331" spans="1:26" ht="14.25" customHeight="1">
      <c r="A331" s="4">
        <v>42561</v>
      </c>
      <c r="B331" s="5" t="s">
        <v>2</v>
      </c>
      <c r="C331" s="7" t="s">
        <v>219</v>
      </c>
      <c r="D331" s="6">
        <v>2200</v>
      </c>
      <c r="F331" s="6">
        <f t="shared" si="6"/>
        <v>5755</v>
      </c>
    </row>
    <row r="332" spans="1:26" ht="14.25" customHeight="1">
      <c r="A332" s="4">
        <v>42561</v>
      </c>
      <c r="B332" s="5" t="s">
        <v>2</v>
      </c>
      <c r="C332" s="7" t="s">
        <v>203</v>
      </c>
      <c r="D332" s="6">
        <v>400</v>
      </c>
      <c r="F332" s="6">
        <f t="shared" si="6"/>
        <v>6155</v>
      </c>
    </row>
    <row r="333" spans="1:26" ht="14.25" customHeight="1">
      <c r="A333" s="4">
        <v>42561</v>
      </c>
      <c r="B333" s="5" t="s">
        <v>1</v>
      </c>
      <c r="C333" s="7" t="s">
        <v>23</v>
      </c>
      <c r="D333" s="6">
        <v>1000</v>
      </c>
      <c r="F333" s="6">
        <f t="shared" si="6"/>
        <v>7155</v>
      </c>
    </row>
    <row r="334" spans="1:26" ht="14.25" customHeight="1">
      <c r="A334" s="4">
        <v>42561</v>
      </c>
      <c r="B334" s="5" t="s">
        <v>1</v>
      </c>
      <c r="C334" s="7" t="s">
        <v>30</v>
      </c>
      <c r="E334" s="6">
        <v>1000</v>
      </c>
      <c r="F334" s="6">
        <f t="shared" si="6"/>
        <v>6155</v>
      </c>
    </row>
    <row r="335" spans="1:26" ht="14.25" customHeight="1">
      <c r="A335" s="4">
        <v>42562</v>
      </c>
      <c r="B335" s="5" t="s">
        <v>1</v>
      </c>
      <c r="C335" s="7" t="s">
        <v>23</v>
      </c>
      <c r="D335" s="6">
        <v>1425</v>
      </c>
      <c r="F335" s="6">
        <f t="shared" si="6"/>
        <v>7580</v>
      </c>
    </row>
    <row r="336" spans="1:26" ht="14.25" customHeight="1">
      <c r="A336" s="4">
        <v>42563</v>
      </c>
      <c r="B336" s="5" t="s">
        <v>1</v>
      </c>
      <c r="C336" s="7" t="s">
        <v>23</v>
      </c>
      <c r="D336" s="6">
        <v>1170</v>
      </c>
      <c r="F336" s="6">
        <f t="shared" si="6"/>
        <v>8750</v>
      </c>
    </row>
    <row r="337" spans="1:6" ht="14.25" customHeight="1">
      <c r="A337" s="4">
        <v>42563</v>
      </c>
      <c r="B337" s="5" t="s">
        <v>3</v>
      </c>
      <c r="C337" s="7" t="s">
        <v>128</v>
      </c>
      <c r="E337" s="6">
        <v>8000</v>
      </c>
      <c r="F337" s="6">
        <f t="shared" si="6"/>
        <v>750</v>
      </c>
    </row>
    <row r="338" spans="1:6" ht="14.25" customHeight="1">
      <c r="A338" s="4">
        <v>42564</v>
      </c>
      <c r="B338" s="5" t="s">
        <v>2</v>
      </c>
      <c r="C338" s="7" t="s">
        <v>118</v>
      </c>
      <c r="D338" s="6">
        <v>450</v>
      </c>
      <c r="F338" s="6">
        <f t="shared" si="6"/>
        <v>1200</v>
      </c>
    </row>
    <row r="339" spans="1:6" ht="14.25" customHeight="1">
      <c r="A339" s="4">
        <v>42564</v>
      </c>
      <c r="B339" s="5" t="s">
        <v>2</v>
      </c>
      <c r="C339" s="7" t="s">
        <v>220</v>
      </c>
      <c r="D339" s="6">
        <v>650</v>
      </c>
      <c r="F339" s="6">
        <f t="shared" si="6"/>
        <v>1850</v>
      </c>
    </row>
    <row r="340" spans="1:6" ht="14.25" customHeight="1">
      <c r="A340" s="4">
        <v>42564</v>
      </c>
      <c r="B340" s="5" t="s">
        <v>2</v>
      </c>
      <c r="C340" s="7" t="s">
        <v>221</v>
      </c>
      <c r="D340" s="6">
        <v>290</v>
      </c>
      <c r="F340" s="6">
        <f t="shared" si="6"/>
        <v>2140</v>
      </c>
    </row>
    <row r="341" spans="1:6" ht="14.25" customHeight="1">
      <c r="A341" s="4">
        <v>42564</v>
      </c>
      <c r="B341" s="5" t="s">
        <v>1</v>
      </c>
      <c r="C341" s="7" t="s">
        <v>46</v>
      </c>
      <c r="D341" s="6">
        <v>1070</v>
      </c>
      <c r="F341" s="6">
        <f t="shared" si="6"/>
        <v>3210</v>
      </c>
    </row>
    <row r="342" spans="1:6" ht="14.25" customHeight="1">
      <c r="A342" s="4">
        <v>42565</v>
      </c>
      <c r="B342" s="5" t="s">
        <v>1</v>
      </c>
      <c r="C342" s="7" t="s">
        <v>23</v>
      </c>
      <c r="D342" s="6">
        <v>850</v>
      </c>
      <c r="F342" s="6">
        <f t="shared" si="6"/>
        <v>4060</v>
      </c>
    </row>
    <row r="343" spans="1:6" ht="14.25" customHeight="1">
      <c r="A343" s="4">
        <v>42566</v>
      </c>
      <c r="B343" s="5" t="s">
        <v>1</v>
      </c>
      <c r="C343" s="7" t="s">
        <v>222</v>
      </c>
      <c r="E343" s="6">
        <v>2000</v>
      </c>
      <c r="F343" s="6">
        <f t="shared" si="6"/>
        <v>2060</v>
      </c>
    </row>
    <row r="344" spans="1:6" ht="14.25" customHeight="1">
      <c r="A344" s="4">
        <v>42566</v>
      </c>
      <c r="B344" s="5" t="s">
        <v>2</v>
      </c>
      <c r="C344" s="7" t="s">
        <v>223</v>
      </c>
      <c r="D344" s="6">
        <v>150</v>
      </c>
      <c r="F344" s="6">
        <f t="shared" si="6"/>
        <v>2210</v>
      </c>
    </row>
    <row r="345" spans="1:6" ht="14.25" customHeight="1">
      <c r="A345" s="4">
        <v>42566</v>
      </c>
      <c r="B345" s="5" t="s">
        <v>1</v>
      </c>
      <c r="C345" s="7" t="s">
        <v>23</v>
      </c>
      <c r="D345" s="6">
        <v>1530</v>
      </c>
      <c r="F345" s="6">
        <f t="shared" si="6"/>
        <v>3740</v>
      </c>
    </row>
    <row r="346" spans="1:6" ht="14.25" customHeight="1">
      <c r="A346" s="4">
        <v>42567</v>
      </c>
      <c r="B346" s="5" t="s">
        <v>2</v>
      </c>
      <c r="C346" s="7" t="s">
        <v>224</v>
      </c>
      <c r="D346" s="6">
        <v>170</v>
      </c>
      <c r="F346" s="6">
        <f t="shared" si="6"/>
        <v>3910</v>
      </c>
    </row>
    <row r="347" spans="1:6" ht="14.25" customHeight="1">
      <c r="A347" s="4">
        <v>42567</v>
      </c>
      <c r="B347" s="5" t="s">
        <v>2</v>
      </c>
      <c r="C347" s="7" t="s">
        <v>225</v>
      </c>
      <c r="D347" s="6">
        <v>120</v>
      </c>
      <c r="F347" s="6">
        <f t="shared" si="6"/>
        <v>4030</v>
      </c>
    </row>
    <row r="348" spans="1:6" ht="14.25" customHeight="1">
      <c r="A348" s="4">
        <f t="shared" ref="A348:A349" ca="1" si="7">TODAY()</f>
        <v>45837</v>
      </c>
      <c r="B348" s="5"/>
    </row>
    <row r="349" spans="1:6" ht="14.25" customHeight="1">
      <c r="A349" s="4">
        <f t="shared" ca="1" si="7"/>
        <v>45837</v>
      </c>
      <c r="B349" s="5"/>
    </row>
    <row r="350" spans="1:6" ht="14.25" customHeight="1">
      <c r="A350" s="4"/>
      <c r="B350" s="5"/>
    </row>
    <row r="351" spans="1:6" ht="14.25" customHeight="1">
      <c r="A351" s="4"/>
      <c r="B351" s="5"/>
    </row>
    <row r="352" spans="1:6" ht="14.25" customHeight="1">
      <c r="A352" s="4">
        <v>42705</v>
      </c>
      <c r="B352" s="5"/>
      <c r="C352" s="6" t="s">
        <v>226</v>
      </c>
      <c r="D352" s="6">
        <v>3230</v>
      </c>
      <c r="F352" s="6">
        <f t="shared" ref="F352:F383" si="8">F351+D352-E352</f>
        <v>3230</v>
      </c>
    </row>
    <row r="353" spans="1:6" ht="14.25" customHeight="1">
      <c r="A353" s="4">
        <v>42705</v>
      </c>
      <c r="B353" s="5" t="s">
        <v>1</v>
      </c>
      <c r="C353" s="6" t="s">
        <v>227</v>
      </c>
      <c r="D353" s="6">
        <v>1160</v>
      </c>
      <c r="F353" s="6">
        <f t="shared" si="8"/>
        <v>4390</v>
      </c>
    </row>
    <row r="354" spans="1:6" ht="14.25" customHeight="1">
      <c r="A354" s="4">
        <v>42706</v>
      </c>
      <c r="B354" s="5" t="s">
        <v>2</v>
      </c>
      <c r="C354" s="6" t="s">
        <v>215</v>
      </c>
      <c r="D354" s="6">
        <v>3600</v>
      </c>
      <c r="F354" s="6">
        <f t="shared" si="8"/>
        <v>7990</v>
      </c>
    </row>
    <row r="355" spans="1:6" ht="14.25" customHeight="1">
      <c r="A355" s="4">
        <v>42706</v>
      </c>
      <c r="B355" s="5" t="s">
        <v>2</v>
      </c>
      <c r="C355" s="6" t="s">
        <v>228</v>
      </c>
      <c r="D355" s="6">
        <v>120</v>
      </c>
      <c r="F355" s="6">
        <f t="shared" si="8"/>
        <v>8110</v>
      </c>
    </row>
    <row r="356" spans="1:6" ht="14.25" customHeight="1">
      <c r="A356" s="4">
        <v>42706</v>
      </c>
      <c r="B356" s="5" t="s">
        <v>1</v>
      </c>
      <c r="C356" s="6" t="s">
        <v>229</v>
      </c>
      <c r="E356" s="6">
        <v>160</v>
      </c>
      <c r="F356" s="6">
        <f t="shared" si="8"/>
        <v>7950</v>
      </c>
    </row>
    <row r="357" spans="1:6" ht="14.25" customHeight="1">
      <c r="A357" s="4">
        <v>42706</v>
      </c>
      <c r="B357" s="5" t="s">
        <v>2</v>
      </c>
      <c r="C357" s="6" t="s">
        <v>230</v>
      </c>
      <c r="D357" s="6">
        <v>570</v>
      </c>
      <c r="F357" s="6">
        <f t="shared" si="8"/>
        <v>8520</v>
      </c>
    </row>
    <row r="358" spans="1:6" ht="14.25" customHeight="1">
      <c r="A358" s="4">
        <v>42706</v>
      </c>
      <c r="B358" s="5" t="s">
        <v>1</v>
      </c>
      <c r="C358" s="6" t="s">
        <v>227</v>
      </c>
      <c r="D358" s="6">
        <v>1350</v>
      </c>
      <c r="F358" s="6">
        <f t="shared" si="8"/>
        <v>9870</v>
      </c>
    </row>
    <row r="359" spans="1:6" ht="14.25" customHeight="1">
      <c r="A359" s="4">
        <v>42707</v>
      </c>
      <c r="B359" s="5" t="s">
        <v>0</v>
      </c>
      <c r="C359" s="6" t="s">
        <v>231</v>
      </c>
      <c r="E359" s="6">
        <v>1000</v>
      </c>
      <c r="F359" s="6">
        <f t="shared" si="8"/>
        <v>8870</v>
      </c>
    </row>
    <row r="360" spans="1:6" ht="14.25" customHeight="1">
      <c r="A360" s="4">
        <v>42707</v>
      </c>
      <c r="B360" s="5" t="s">
        <v>1</v>
      </c>
      <c r="C360" s="6" t="s">
        <v>227</v>
      </c>
      <c r="D360" s="6">
        <v>1220</v>
      </c>
      <c r="F360" s="6">
        <f t="shared" si="8"/>
        <v>10090</v>
      </c>
    </row>
    <row r="361" spans="1:6" ht="14.25" customHeight="1">
      <c r="A361" s="4">
        <v>42707</v>
      </c>
      <c r="B361" s="5" t="s">
        <v>2</v>
      </c>
      <c r="C361" s="6" t="s">
        <v>232</v>
      </c>
      <c r="D361" s="6">
        <v>300</v>
      </c>
      <c r="F361" s="6">
        <f t="shared" si="8"/>
        <v>10390</v>
      </c>
    </row>
    <row r="362" spans="1:6" ht="14.25" customHeight="1">
      <c r="A362" s="4">
        <v>42708</v>
      </c>
      <c r="B362" s="5" t="s">
        <v>1</v>
      </c>
      <c r="C362" s="6" t="s">
        <v>227</v>
      </c>
      <c r="D362" s="6">
        <v>1700</v>
      </c>
      <c r="F362" s="6">
        <f t="shared" si="8"/>
        <v>12090</v>
      </c>
    </row>
    <row r="363" spans="1:6" ht="14.25" customHeight="1">
      <c r="A363" s="4">
        <v>42708</v>
      </c>
      <c r="B363" s="5" t="s">
        <v>2</v>
      </c>
      <c r="C363" s="6" t="s">
        <v>233</v>
      </c>
      <c r="D363" s="6">
        <v>70</v>
      </c>
      <c r="F363" s="6">
        <f t="shared" si="8"/>
        <v>12160</v>
      </c>
    </row>
    <row r="364" spans="1:6" ht="14.25" customHeight="1">
      <c r="A364" s="4">
        <v>42709</v>
      </c>
      <c r="B364" s="5" t="s">
        <v>1</v>
      </c>
      <c r="C364" s="6" t="s">
        <v>227</v>
      </c>
      <c r="D364" s="6">
        <f>750+370</f>
        <v>1120</v>
      </c>
      <c r="F364" s="6">
        <f t="shared" si="8"/>
        <v>13280</v>
      </c>
    </row>
    <row r="365" spans="1:6" ht="14.25" customHeight="1">
      <c r="A365" s="4">
        <v>42709</v>
      </c>
      <c r="B365" s="5" t="s">
        <v>0</v>
      </c>
      <c r="C365" s="6" t="s">
        <v>234</v>
      </c>
      <c r="E365" s="6">
        <f>350*5</f>
        <v>1750</v>
      </c>
      <c r="F365" s="6">
        <f t="shared" si="8"/>
        <v>11530</v>
      </c>
    </row>
    <row r="366" spans="1:6" ht="14.25" customHeight="1">
      <c r="A366" s="4">
        <v>42709</v>
      </c>
      <c r="B366" s="5" t="s">
        <v>1</v>
      </c>
      <c r="C366" s="6" t="s">
        <v>26</v>
      </c>
      <c r="E366" s="6">
        <v>200</v>
      </c>
      <c r="F366" s="6">
        <f t="shared" si="8"/>
        <v>11330</v>
      </c>
    </row>
    <row r="367" spans="1:6" ht="14.25" customHeight="1">
      <c r="A367" s="4">
        <v>42709</v>
      </c>
      <c r="B367" s="5" t="s">
        <v>3</v>
      </c>
      <c r="C367" s="6" t="s">
        <v>235</v>
      </c>
      <c r="E367" s="6">
        <v>10000</v>
      </c>
      <c r="F367" s="6">
        <f t="shared" si="8"/>
        <v>1330</v>
      </c>
    </row>
    <row r="368" spans="1:6" ht="14.25" customHeight="1">
      <c r="A368" s="4">
        <v>42710</v>
      </c>
      <c r="B368" s="5" t="s">
        <v>1</v>
      </c>
      <c r="C368" s="6" t="s">
        <v>227</v>
      </c>
      <c r="D368" s="6">
        <v>1400</v>
      </c>
      <c r="F368" s="6">
        <f t="shared" si="8"/>
        <v>2730</v>
      </c>
    </row>
    <row r="369" spans="1:11" ht="14.25" customHeight="1">
      <c r="A369" s="4">
        <v>42710</v>
      </c>
      <c r="B369" s="5" t="s">
        <v>2</v>
      </c>
      <c r="C369" s="6" t="s">
        <v>236</v>
      </c>
      <c r="D369" s="6">
        <v>600</v>
      </c>
      <c r="F369" s="6">
        <f t="shared" si="8"/>
        <v>3330</v>
      </c>
    </row>
    <row r="370" spans="1:11" ht="14.25" customHeight="1">
      <c r="A370" s="4">
        <v>42710</v>
      </c>
      <c r="B370" s="5" t="s">
        <v>2</v>
      </c>
      <c r="C370" s="6" t="s">
        <v>232</v>
      </c>
      <c r="D370" s="6">
        <v>320</v>
      </c>
      <c r="F370" s="6">
        <f t="shared" si="8"/>
        <v>3650</v>
      </c>
    </row>
    <row r="371" spans="1:11" ht="14.25" customHeight="1">
      <c r="A371" s="4">
        <v>42711</v>
      </c>
      <c r="B371" s="5" t="s">
        <v>1</v>
      </c>
      <c r="C371" s="6" t="s">
        <v>227</v>
      </c>
      <c r="D371" s="6">
        <v>1620</v>
      </c>
      <c r="F371" s="6">
        <f t="shared" si="8"/>
        <v>5270</v>
      </c>
    </row>
    <row r="372" spans="1:11" ht="14.25" customHeight="1">
      <c r="A372" s="4">
        <v>42711</v>
      </c>
      <c r="B372" s="5" t="s">
        <v>1</v>
      </c>
      <c r="C372" s="6" t="s">
        <v>237</v>
      </c>
      <c r="E372" s="6">
        <v>2700</v>
      </c>
      <c r="F372" s="6">
        <f t="shared" si="8"/>
        <v>2570</v>
      </c>
    </row>
    <row r="373" spans="1:11" ht="14.25" customHeight="1">
      <c r="A373" s="4">
        <v>42712</v>
      </c>
      <c r="B373" s="5" t="s">
        <v>1</v>
      </c>
      <c r="C373" s="6" t="s">
        <v>227</v>
      </c>
      <c r="D373" s="6">
        <v>800</v>
      </c>
      <c r="F373" s="6">
        <f t="shared" si="8"/>
        <v>3370</v>
      </c>
    </row>
    <row r="374" spans="1:11" ht="14.25" customHeight="1">
      <c r="A374" s="4">
        <v>42713</v>
      </c>
      <c r="B374" s="5" t="s">
        <v>1</v>
      </c>
      <c r="C374" s="6" t="s">
        <v>227</v>
      </c>
      <c r="D374" s="6">
        <v>1200</v>
      </c>
      <c r="F374" s="6">
        <f t="shared" si="8"/>
        <v>4570</v>
      </c>
    </row>
    <row r="375" spans="1:11" ht="14.25" customHeight="1">
      <c r="A375" s="4">
        <v>42714</v>
      </c>
      <c r="B375" s="5" t="s">
        <v>1</v>
      </c>
      <c r="C375" s="6" t="s">
        <v>227</v>
      </c>
      <c r="D375" s="6">
        <v>810</v>
      </c>
      <c r="F375" s="6">
        <f t="shared" si="8"/>
        <v>5380</v>
      </c>
    </row>
    <row r="376" spans="1:11" ht="14.25" customHeight="1">
      <c r="A376" s="4">
        <v>42714</v>
      </c>
      <c r="B376" s="5" t="s">
        <v>1</v>
      </c>
      <c r="C376" s="6" t="s">
        <v>238</v>
      </c>
      <c r="E376" s="6">
        <f>1520/2</f>
        <v>760</v>
      </c>
      <c r="F376" s="6">
        <f t="shared" si="8"/>
        <v>4620</v>
      </c>
    </row>
    <row r="377" spans="1:11" ht="14.25" customHeight="1">
      <c r="A377" s="4">
        <v>42714</v>
      </c>
      <c r="B377" s="5" t="s">
        <v>1</v>
      </c>
      <c r="C377" s="6" t="s">
        <v>239</v>
      </c>
      <c r="E377" s="6">
        <f>90</f>
        <v>90</v>
      </c>
      <c r="F377" s="6">
        <f t="shared" si="8"/>
        <v>4530</v>
      </c>
    </row>
    <row r="378" spans="1:11" ht="14.25" customHeight="1">
      <c r="A378" s="4">
        <v>42715</v>
      </c>
      <c r="B378" s="5" t="s">
        <v>1</v>
      </c>
      <c r="C378" s="6" t="s">
        <v>227</v>
      </c>
      <c r="D378" s="6">
        <v>450</v>
      </c>
      <c r="F378" s="6">
        <f t="shared" si="8"/>
        <v>4980</v>
      </c>
    </row>
    <row r="379" spans="1:11" ht="14.25" customHeight="1">
      <c r="A379" s="4">
        <v>42715</v>
      </c>
      <c r="B379" s="5" t="s">
        <v>1</v>
      </c>
      <c r="C379" s="6" t="s">
        <v>240</v>
      </c>
      <c r="E379" s="6">
        <v>995</v>
      </c>
      <c r="F379" s="6">
        <f t="shared" si="8"/>
        <v>3985</v>
      </c>
    </row>
    <row r="380" spans="1:11" ht="14.25" customHeight="1">
      <c r="A380" s="4">
        <v>42715</v>
      </c>
      <c r="B380" s="5" t="s">
        <v>0</v>
      </c>
      <c r="C380" s="6" t="s">
        <v>241</v>
      </c>
      <c r="E380" s="6">
        <v>1600</v>
      </c>
      <c r="F380" s="6">
        <f t="shared" si="8"/>
        <v>2385</v>
      </c>
    </row>
    <row r="381" spans="1:11" ht="14.25" customHeight="1">
      <c r="A381" s="4">
        <v>42716</v>
      </c>
      <c r="B381" s="5" t="s">
        <v>1</v>
      </c>
      <c r="C381" s="6" t="s">
        <v>242</v>
      </c>
      <c r="E381" s="6">
        <v>1000</v>
      </c>
      <c r="F381" s="6">
        <f t="shared" si="8"/>
        <v>1385</v>
      </c>
    </row>
    <row r="382" spans="1:11" ht="14.25" customHeight="1">
      <c r="A382" s="4">
        <v>42716</v>
      </c>
      <c r="B382" s="5" t="s">
        <v>1</v>
      </c>
      <c r="C382" s="6" t="s">
        <v>227</v>
      </c>
      <c r="D382" s="6">
        <v>1100</v>
      </c>
      <c r="F382" s="6">
        <f t="shared" si="8"/>
        <v>2485</v>
      </c>
    </row>
    <row r="383" spans="1:11" ht="14.25" customHeight="1">
      <c r="A383" s="4">
        <v>42716</v>
      </c>
      <c r="B383" s="5" t="s">
        <v>1</v>
      </c>
      <c r="C383" s="6" t="s">
        <v>243</v>
      </c>
      <c r="E383" s="6">
        <v>2000</v>
      </c>
      <c r="F383" s="6">
        <f t="shared" si="8"/>
        <v>485</v>
      </c>
      <c r="J383" s="6" t="s">
        <v>244</v>
      </c>
      <c r="K383" s="6">
        <v>100</v>
      </c>
    </row>
    <row r="384" spans="1:11" ht="14.25" customHeight="1">
      <c r="A384" s="4">
        <f t="shared" ref="A384:A394" ca="1" si="9">TODAY()</f>
        <v>45837</v>
      </c>
      <c r="B384" s="5"/>
      <c r="J384" s="6" t="s">
        <v>245</v>
      </c>
      <c r="K384" s="6">
        <v>30</v>
      </c>
    </row>
    <row r="385" spans="1:11" ht="14.25" customHeight="1">
      <c r="A385" s="4">
        <f t="shared" ca="1" si="9"/>
        <v>45837</v>
      </c>
      <c r="B385" s="5"/>
      <c r="J385" s="6" t="s">
        <v>246</v>
      </c>
      <c r="K385" s="6">
        <v>80</v>
      </c>
    </row>
    <row r="386" spans="1:11" ht="14.25" customHeight="1">
      <c r="A386" s="4">
        <f t="shared" ca="1" si="9"/>
        <v>45837</v>
      </c>
      <c r="B386" s="5"/>
    </row>
    <row r="387" spans="1:11" ht="14.25" customHeight="1">
      <c r="A387" s="4">
        <f t="shared" ca="1" si="9"/>
        <v>45837</v>
      </c>
      <c r="B387" s="5"/>
    </row>
    <row r="388" spans="1:11" ht="14.25" customHeight="1">
      <c r="A388" s="4">
        <f t="shared" ca="1" si="9"/>
        <v>45837</v>
      </c>
      <c r="B388" s="5"/>
    </row>
    <row r="389" spans="1:11" ht="14.25" customHeight="1">
      <c r="A389" s="4">
        <f t="shared" ca="1" si="9"/>
        <v>45837</v>
      </c>
      <c r="B389" s="5"/>
    </row>
    <row r="390" spans="1:11" ht="14.25" customHeight="1">
      <c r="A390" s="4">
        <f t="shared" ca="1" si="9"/>
        <v>45837</v>
      </c>
      <c r="B390" s="5"/>
    </row>
    <row r="391" spans="1:11" ht="14.25" customHeight="1">
      <c r="A391" s="4">
        <f t="shared" ca="1" si="9"/>
        <v>45837</v>
      </c>
      <c r="B391" s="5"/>
    </row>
    <row r="392" spans="1:11" ht="14.25" customHeight="1">
      <c r="A392" s="4">
        <f t="shared" ca="1" si="9"/>
        <v>45837</v>
      </c>
      <c r="B392" s="5"/>
    </row>
    <row r="393" spans="1:11" ht="14.25" customHeight="1">
      <c r="A393" s="4">
        <f t="shared" ca="1" si="9"/>
        <v>45837</v>
      </c>
      <c r="B393" s="5"/>
    </row>
    <row r="394" spans="1:11" ht="14.25" customHeight="1">
      <c r="A394" s="4">
        <f t="shared" ca="1" si="9"/>
        <v>45837</v>
      </c>
      <c r="B394" s="5"/>
    </row>
    <row r="395" spans="1:11" ht="14.25" customHeight="1">
      <c r="A395" s="4"/>
      <c r="B395" s="5"/>
    </row>
    <row r="396" spans="1:11" ht="14.25" customHeight="1">
      <c r="A396" s="4"/>
      <c r="B396" s="5"/>
    </row>
    <row r="397" spans="1:11" ht="14.25" customHeight="1">
      <c r="A397" s="4"/>
      <c r="B397" s="5"/>
    </row>
    <row r="398" spans="1:11" ht="14.25" customHeight="1">
      <c r="A398" s="4"/>
      <c r="B398" s="5"/>
    </row>
    <row r="399" spans="1:11" ht="14.25" customHeight="1">
      <c r="A399" s="4"/>
      <c r="B399" s="5"/>
    </row>
    <row r="400" spans="1:11" ht="14.25" customHeight="1">
      <c r="A400" s="4"/>
      <c r="B400" s="5"/>
    </row>
    <row r="401" spans="1:2" ht="14.25" customHeight="1">
      <c r="A401" s="4"/>
      <c r="B401" s="5"/>
    </row>
    <row r="402" spans="1:2" ht="14.25" customHeight="1">
      <c r="A402" s="4"/>
      <c r="B402" s="5"/>
    </row>
    <row r="403" spans="1:2" ht="14.25" customHeight="1">
      <c r="A403" s="4"/>
      <c r="B403" s="5"/>
    </row>
    <row r="404" spans="1:2" ht="14.25" customHeight="1">
      <c r="A404" s="4"/>
      <c r="B404" s="5"/>
    </row>
    <row r="405" spans="1:2" ht="14.25" customHeight="1">
      <c r="A405" s="4"/>
      <c r="B405" s="5"/>
    </row>
    <row r="406" spans="1:2" ht="14.25" customHeight="1">
      <c r="A406" s="4"/>
      <c r="B406" s="5"/>
    </row>
    <row r="407" spans="1:2" ht="14.25" customHeight="1">
      <c r="A407" s="4"/>
      <c r="B407" s="5"/>
    </row>
    <row r="408" spans="1:2" ht="14.25" customHeight="1">
      <c r="A408" s="4"/>
      <c r="B408" s="5"/>
    </row>
    <row r="409" spans="1:2" ht="14.25" customHeight="1">
      <c r="A409" s="4"/>
      <c r="B409" s="5"/>
    </row>
    <row r="410" spans="1:2" ht="14.25" customHeight="1">
      <c r="A410" s="4"/>
      <c r="B410" s="5"/>
    </row>
    <row r="411" spans="1:2" ht="14.25" customHeight="1">
      <c r="A411" s="4"/>
      <c r="B411" s="5"/>
    </row>
    <row r="412" spans="1:2" ht="14.25" customHeight="1">
      <c r="A412" s="4"/>
      <c r="B412" s="5"/>
    </row>
    <row r="413" spans="1:2" ht="14.25" customHeight="1">
      <c r="A413" s="4"/>
      <c r="B413" s="5"/>
    </row>
    <row r="414" spans="1:2" ht="14.25" customHeight="1">
      <c r="A414" s="4"/>
      <c r="B414" s="5"/>
    </row>
    <row r="415" spans="1:2" ht="14.25" customHeight="1">
      <c r="A415" s="4"/>
      <c r="B415" s="5"/>
    </row>
    <row r="416" spans="1:2" ht="14.25" customHeight="1">
      <c r="A416" s="4"/>
      <c r="B416" s="5"/>
    </row>
    <row r="417" spans="1:2" ht="14.25" customHeight="1">
      <c r="A417" s="4"/>
      <c r="B417" s="5"/>
    </row>
    <row r="418" spans="1:2" ht="14.25" customHeight="1">
      <c r="A418" s="4"/>
      <c r="B418" s="5"/>
    </row>
    <row r="419" spans="1:2" ht="14.25" customHeight="1">
      <c r="A419" s="4"/>
      <c r="B419" s="5"/>
    </row>
    <row r="420" spans="1:2" ht="14.25" customHeight="1">
      <c r="A420" s="4"/>
      <c r="B420" s="5"/>
    </row>
    <row r="421" spans="1:2" ht="14.25" customHeight="1">
      <c r="A421" s="4"/>
      <c r="B421" s="5"/>
    </row>
    <row r="422" spans="1:2" ht="14.25" customHeight="1">
      <c r="A422" s="4"/>
      <c r="B422" s="5"/>
    </row>
    <row r="423" spans="1:2" ht="14.25" customHeight="1">
      <c r="A423" s="4"/>
      <c r="B423" s="5"/>
    </row>
    <row r="424" spans="1:2" ht="14.25" customHeight="1">
      <c r="A424" s="4"/>
      <c r="B424" s="5"/>
    </row>
    <row r="425" spans="1:2" ht="14.25" customHeight="1">
      <c r="A425" s="4"/>
      <c r="B425" s="5"/>
    </row>
    <row r="426" spans="1:2" ht="14.25" customHeight="1">
      <c r="A426" s="4"/>
      <c r="B426" s="5"/>
    </row>
    <row r="427" spans="1:2" ht="14.25" customHeight="1">
      <c r="A427" s="4"/>
      <c r="B427" s="5"/>
    </row>
    <row r="428" spans="1:2" ht="14.25" customHeight="1">
      <c r="A428" s="4"/>
      <c r="B428" s="5"/>
    </row>
    <row r="429" spans="1:2" ht="14.25" customHeight="1">
      <c r="A429" s="4"/>
      <c r="B429" s="5"/>
    </row>
    <row r="430" spans="1:2" ht="14.25" customHeight="1">
      <c r="A430" s="4"/>
      <c r="B430" s="5"/>
    </row>
    <row r="431" spans="1:2" ht="14.25" customHeight="1">
      <c r="A431" s="4"/>
      <c r="B431" s="5"/>
    </row>
    <row r="432" spans="1:2" ht="14.25" customHeight="1">
      <c r="A432" s="4"/>
      <c r="B432" s="5"/>
    </row>
    <row r="433" spans="1:2" ht="14.25" customHeight="1">
      <c r="A433" s="4"/>
      <c r="B433" s="5"/>
    </row>
    <row r="434" spans="1:2" ht="14.25" customHeight="1">
      <c r="A434" s="4"/>
      <c r="B434" s="5"/>
    </row>
    <row r="435" spans="1:2" ht="14.25" customHeight="1">
      <c r="A435" s="4"/>
      <c r="B435" s="5"/>
    </row>
    <row r="436" spans="1:2" ht="14.25" customHeight="1">
      <c r="A436" s="4"/>
      <c r="B436" s="5"/>
    </row>
    <row r="437" spans="1:2" ht="14.25" customHeight="1">
      <c r="A437" s="4"/>
      <c r="B437" s="5"/>
    </row>
    <row r="438" spans="1:2" ht="14.25" customHeight="1">
      <c r="A438" s="4"/>
      <c r="B438" s="5"/>
    </row>
    <row r="439" spans="1:2" ht="14.25" customHeight="1">
      <c r="A439" s="4"/>
      <c r="B439" s="5"/>
    </row>
    <row r="440" spans="1:2" ht="14.25" customHeight="1">
      <c r="A440" s="4"/>
      <c r="B440" s="5"/>
    </row>
    <row r="441" spans="1:2" ht="14.25" customHeight="1">
      <c r="A441" s="4"/>
      <c r="B441" s="5"/>
    </row>
    <row r="442" spans="1:2" ht="14.25" customHeight="1">
      <c r="A442" s="4"/>
      <c r="B442" s="5"/>
    </row>
    <row r="443" spans="1:2" ht="14.25" customHeight="1">
      <c r="A443" s="4"/>
      <c r="B443" s="5"/>
    </row>
    <row r="444" spans="1:2" ht="14.25" customHeight="1">
      <c r="A444" s="4"/>
      <c r="B444" s="5"/>
    </row>
    <row r="445" spans="1:2" ht="14.25" customHeight="1">
      <c r="A445" s="4"/>
      <c r="B445" s="5"/>
    </row>
    <row r="446" spans="1:2" ht="14.25" customHeight="1">
      <c r="A446" s="4"/>
      <c r="B446" s="5"/>
    </row>
    <row r="447" spans="1:2" ht="14.25" customHeight="1">
      <c r="A447" s="4"/>
      <c r="B447" s="5"/>
    </row>
    <row r="448" spans="1:2" ht="14.25" customHeight="1">
      <c r="A448" s="4"/>
      <c r="B448" s="5"/>
    </row>
    <row r="449" spans="1:2" ht="14.25" customHeight="1">
      <c r="A449" s="4"/>
      <c r="B449" s="5"/>
    </row>
    <row r="450" spans="1:2" ht="14.25" customHeight="1">
      <c r="A450" s="4"/>
      <c r="B450" s="5"/>
    </row>
    <row r="451" spans="1:2" ht="14.25" customHeight="1">
      <c r="A451" s="4"/>
      <c r="B451" s="5"/>
    </row>
    <row r="452" spans="1:2" ht="14.25" customHeight="1">
      <c r="A452" s="4"/>
      <c r="B452" s="5"/>
    </row>
    <row r="453" spans="1:2" ht="14.25" customHeight="1">
      <c r="A453" s="4"/>
      <c r="B453" s="5"/>
    </row>
    <row r="454" spans="1:2" ht="14.25" customHeight="1">
      <c r="A454" s="4"/>
      <c r="B454" s="5"/>
    </row>
    <row r="455" spans="1:2" ht="14.25" customHeight="1">
      <c r="A455" s="4"/>
      <c r="B455" s="5"/>
    </row>
    <row r="456" spans="1:2" ht="14.25" customHeight="1">
      <c r="A456" s="4"/>
      <c r="B456" s="5"/>
    </row>
    <row r="457" spans="1:2" ht="14.25" customHeight="1">
      <c r="A457" s="4"/>
      <c r="B457" s="5"/>
    </row>
    <row r="458" spans="1:2" ht="14.25" customHeight="1">
      <c r="A458" s="4"/>
      <c r="B458" s="5"/>
    </row>
    <row r="459" spans="1:2" ht="14.25" customHeight="1">
      <c r="A459" s="4"/>
      <c r="B459" s="5"/>
    </row>
    <row r="460" spans="1:2" ht="14.25" customHeight="1">
      <c r="A460" s="4"/>
      <c r="B460" s="5"/>
    </row>
    <row r="461" spans="1:2" ht="14.25" customHeight="1">
      <c r="A461" s="4"/>
      <c r="B461" s="5"/>
    </row>
    <row r="462" spans="1:2" ht="14.25" customHeight="1">
      <c r="A462" s="4"/>
      <c r="B462" s="5"/>
    </row>
    <row r="463" spans="1:2" ht="14.25" customHeight="1">
      <c r="A463" s="4"/>
      <c r="B463" s="5"/>
    </row>
    <row r="464" spans="1:2" ht="14.25" customHeight="1">
      <c r="A464" s="4"/>
      <c r="B464" s="5"/>
    </row>
    <row r="465" spans="1:2" ht="14.25" customHeight="1">
      <c r="A465" s="4"/>
      <c r="B465" s="5"/>
    </row>
    <row r="466" spans="1:2" ht="14.25" customHeight="1">
      <c r="A466" s="4"/>
      <c r="B466" s="5"/>
    </row>
    <row r="467" spans="1:2" ht="14.25" customHeight="1">
      <c r="A467" s="4"/>
      <c r="B467" s="5"/>
    </row>
    <row r="468" spans="1:2" ht="14.25" customHeight="1">
      <c r="A468" s="4"/>
      <c r="B468" s="5"/>
    </row>
    <row r="469" spans="1:2" ht="14.25" customHeight="1">
      <c r="A469" s="4"/>
      <c r="B469" s="5"/>
    </row>
    <row r="470" spans="1:2" ht="14.25" customHeight="1">
      <c r="A470" s="4"/>
      <c r="B470" s="5"/>
    </row>
    <row r="471" spans="1:2" ht="14.25" customHeight="1">
      <c r="A471" s="4"/>
      <c r="B471" s="5"/>
    </row>
    <row r="472" spans="1:2" ht="14.25" customHeight="1">
      <c r="A472" s="4"/>
      <c r="B472" s="5"/>
    </row>
    <row r="473" spans="1:2" ht="14.25" customHeight="1">
      <c r="A473" s="4"/>
      <c r="B473" s="5"/>
    </row>
    <row r="474" spans="1:2" ht="14.25" customHeight="1">
      <c r="A474" s="4"/>
      <c r="B474" s="5"/>
    </row>
    <row r="475" spans="1:2" ht="14.25" customHeight="1">
      <c r="A475" s="4"/>
      <c r="B475" s="5"/>
    </row>
    <row r="476" spans="1:2" ht="14.25" customHeight="1">
      <c r="A476" s="4"/>
      <c r="B476" s="5"/>
    </row>
    <row r="477" spans="1:2" ht="14.25" customHeight="1">
      <c r="A477" s="4"/>
      <c r="B477" s="5"/>
    </row>
    <row r="478" spans="1:2" ht="14.25" customHeight="1">
      <c r="A478" s="4"/>
      <c r="B478" s="5"/>
    </row>
    <row r="479" spans="1:2" ht="14.25" customHeight="1">
      <c r="A479" s="4"/>
      <c r="B479" s="5"/>
    </row>
    <row r="480" spans="1:2" ht="14.25" customHeight="1">
      <c r="A480" s="4"/>
      <c r="B480" s="5"/>
    </row>
    <row r="481" spans="1:2" ht="14.25" customHeight="1">
      <c r="A481" s="4"/>
      <c r="B481" s="5"/>
    </row>
    <row r="482" spans="1:2" ht="14.25" customHeight="1">
      <c r="A482" s="4"/>
      <c r="B482" s="5"/>
    </row>
    <row r="483" spans="1:2" ht="14.25" customHeight="1">
      <c r="A483" s="4"/>
      <c r="B483" s="5"/>
    </row>
    <row r="484" spans="1:2" ht="14.25" customHeight="1">
      <c r="A484" s="4"/>
      <c r="B484" s="5"/>
    </row>
    <row r="485" spans="1:2" ht="14.25" customHeight="1">
      <c r="A485" s="4"/>
      <c r="B485" s="5"/>
    </row>
    <row r="486" spans="1:2" ht="14.25" customHeight="1">
      <c r="A486" s="4"/>
      <c r="B486" s="5"/>
    </row>
    <row r="487" spans="1:2" ht="14.25" customHeight="1">
      <c r="A487" s="4"/>
      <c r="B487" s="5"/>
    </row>
    <row r="488" spans="1:2" ht="14.25" customHeight="1">
      <c r="A488" s="4"/>
      <c r="B488" s="5"/>
    </row>
    <row r="489" spans="1:2" ht="14.25" customHeight="1">
      <c r="A489" s="4"/>
      <c r="B489" s="5"/>
    </row>
    <row r="490" spans="1:2" ht="14.25" customHeight="1">
      <c r="A490" s="4"/>
      <c r="B490" s="5"/>
    </row>
    <row r="491" spans="1:2" ht="14.25" customHeight="1">
      <c r="A491" s="4"/>
      <c r="B491" s="5"/>
    </row>
    <row r="492" spans="1:2" ht="14.25" customHeight="1">
      <c r="A492" s="4"/>
      <c r="B492" s="5"/>
    </row>
    <row r="493" spans="1:2" ht="14.25" customHeight="1">
      <c r="A493" s="4"/>
      <c r="B493" s="5"/>
    </row>
    <row r="494" spans="1:2" ht="14.25" customHeight="1">
      <c r="A494" s="4"/>
      <c r="B494" s="5"/>
    </row>
    <row r="495" spans="1:2" ht="14.25" customHeight="1">
      <c r="A495" s="4"/>
      <c r="B495" s="5"/>
    </row>
    <row r="496" spans="1:2" ht="14.25" customHeight="1">
      <c r="A496" s="4"/>
      <c r="B496" s="5"/>
    </row>
    <row r="497" spans="1:2" ht="14.25" customHeight="1">
      <c r="A497" s="4"/>
      <c r="B497" s="5"/>
    </row>
    <row r="498" spans="1:2" ht="14.25" customHeight="1">
      <c r="A498" s="4"/>
      <c r="B498" s="5"/>
    </row>
    <row r="499" spans="1:2" ht="14.25" customHeight="1">
      <c r="A499" s="4"/>
      <c r="B499" s="5"/>
    </row>
    <row r="500" spans="1:2" ht="14.25" customHeight="1">
      <c r="A500" s="4"/>
      <c r="B500" s="5"/>
    </row>
    <row r="501" spans="1:2" ht="14.25" customHeight="1">
      <c r="A501" s="4"/>
      <c r="B501" s="5"/>
    </row>
    <row r="502" spans="1:2" ht="14.25" customHeight="1">
      <c r="A502" s="4"/>
      <c r="B502" s="5"/>
    </row>
    <row r="503" spans="1:2" ht="14.25" customHeight="1">
      <c r="A503" s="4"/>
      <c r="B503" s="5"/>
    </row>
    <row r="504" spans="1:2" ht="14.25" customHeight="1">
      <c r="A504" s="4"/>
      <c r="B504" s="5"/>
    </row>
    <row r="505" spans="1:2" ht="14.25" customHeight="1">
      <c r="A505" s="4"/>
      <c r="B505" s="5"/>
    </row>
    <row r="506" spans="1:2" ht="14.25" customHeight="1">
      <c r="A506" s="4"/>
      <c r="B506" s="5"/>
    </row>
    <row r="507" spans="1:2" ht="14.25" customHeight="1">
      <c r="A507" s="4"/>
      <c r="B507" s="5"/>
    </row>
    <row r="508" spans="1:2" ht="14.25" customHeight="1">
      <c r="A508" s="4"/>
      <c r="B508" s="5"/>
    </row>
    <row r="509" spans="1:2" ht="14.25" customHeight="1">
      <c r="A509" s="4"/>
      <c r="B509" s="5"/>
    </row>
    <row r="510" spans="1:2" ht="14.25" customHeight="1">
      <c r="A510" s="4"/>
      <c r="B510" s="5"/>
    </row>
    <row r="511" spans="1:2" ht="14.25" customHeight="1">
      <c r="A511" s="4"/>
      <c r="B511" s="5"/>
    </row>
    <row r="512" spans="1:2" ht="14.25" customHeight="1">
      <c r="A512" s="4"/>
      <c r="B512" s="5"/>
    </row>
    <row r="513" spans="1:2" ht="14.25" customHeight="1">
      <c r="A513" s="4"/>
      <c r="B513" s="5"/>
    </row>
    <row r="514" spans="1:2" ht="14.25" customHeight="1">
      <c r="A514" s="4"/>
      <c r="B514" s="5"/>
    </row>
    <row r="515" spans="1:2" ht="14.25" customHeight="1">
      <c r="A515" s="4"/>
      <c r="B515" s="5"/>
    </row>
    <row r="516" spans="1:2" ht="14.25" customHeight="1">
      <c r="A516" s="4"/>
      <c r="B516" s="5"/>
    </row>
    <row r="517" spans="1:2" ht="14.25" customHeight="1">
      <c r="A517" s="4"/>
      <c r="B517" s="5"/>
    </row>
    <row r="518" spans="1:2" ht="14.25" customHeight="1">
      <c r="A518" s="4"/>
      <c r="B518" s="5"/>
    </row>
    <row r="519" spans="1:2" ht="14.25" customHeight="1">
      <c r="A519" s="4"/>
      <c r="B519" s="5"/>
    </row>
    <row r="520" spans="1:2" ht="14.25" customHeight="1">
      <c r="A520" s="4"/>
      <c r="B520" s="5"/>
    </row>
    <row r="521" spans="1:2" ht="14.25" customHeight="1">
      <c r="A521" s="4"/>
      <c r="B521" s="5"/>
    </row>
    <row r="522" spans="1:2" ht="14.25" customHeight="1">
      <c r="A522" s="4"/>
      <c r="B522" s="5"/>
    </row>
    <row r="523" spans="1:2" ht="14.25" customHeight="1">
      <c r="A523" s="4"/>
      <c r="B523" s="5"/>
    </row>
    <row r="524" spans="1:2" ht="14.25" customHeight="1">
      <c r="A524" s="4"/>
      <c r="B524" s="5"/>
    </row>
    <row r="525" spans="1:2" ht="14.25" customHeight="1">
      <c r="A525" s="4"/>
      <c r="B525" s="5"/>
    </row>
    <row r="526" spans="1:2" ht="14.25" customHeight="1">
      <c r="A526" s="4"/>
      <c r="B526" s="5"/>
    </row>
    <row r="527" spans="1:2" ht="14.25" customHeight="1">
      <c r="A527" s="4"/>
      <c r="B527" s="5"/>
    </row>
    <row r="528" spans="1:2" ht="14.25" customHeight="1">
      <c r="A528" s="4"/>
      <c r="B528" s="5"/>
    </row>
    <row r="529" spans="1:2" ht="14.25" customHeight="1">
      <c r="A529" s="4"/>
      <c r="B529" s="5"/>
    </row>
    <row r="530" spans="1:2" ht="14.25" customHeight="1">
      <c r="A530" s="4"/>
      <c r="B530" s="5"/>
    </row>
    <row r="531" spans="1:2" ht="14.25" customHeight="1">
      <c r="A531" s="4"/>
      <c r="B531" s="5"/>
    </row>
    <row r="532" spans="1:2" ht="14.25" customHeight="1">
      <c r="A532" s="4"/>
      <c r="B532" s="5"/>
    </row>
    <row r="533" spans="1:2" ht="14.25" customHeight="1">
      <c r="A533" s="4"/>
      <c r="B533" s="5"/>
    </row>
    <row r="534" spans="1:2" ht="14.25" customHeight="1">
      <c r="A534" s="4"/>
      <c r="B534" s="5"/>
    </row>
    <row r="535" spans="1:2" ht="14.25" customHeight="1">
      <c r="A535" s="4"/>
      <c r="B535" s="5"/>
    </row>
    <row r="536" spans="1:2" ht="14.25" customHeight="1">
      <c r="A536" s="4"/>
      <c r="B536" s="5"/>
    </row>
    <row r="537" spans="1:2" ht="14.25" customHeight="1">
      <c r="A537" s="4"/>
      <c r="B537" s="5"/>
    </row>
    <row r="538" spans="1:2" ht="14.25" customHeight="1">
      <c r="A538" s="4"/>
      <c r="B538" s="5"/>
    </row>
    <row r="539" spans="1:2" ht="14.25" customHeight="1">
      <c r="A539" s="4"/>
      <c r="B539" s="5"/>
    </row>
    <row r="540" spans="1:2" ht="14.25" customHeight="1">
      <c r="A540" s="4"/>
      <c r="B540" s="5"/>
    </row>
    <row r="541" spans="1:2" ht="14.25" customHeight="1">
      <c r="A541" s="4"/>
      <c r="B541" s="5"/>
    </row>
    <row r="542" spans="1:2" ht="14.25" customHeight="1">
      <c r="A542" s="4"/>
      <c r="B542" s="5"/>
    </row>
    <row r="543" spans="1:2" ht="14.25" customHeight="1">
      <c r="A543" s="4"/>
      <c r="B543" s="5"/>
    </row>
    <row r="544" spans="1:2" ht="14.25" customHeight="1">
      <c r="A544" s="4"/>
      <c r="B544" s="5"/>
    </row>
    <row r="545" spans="1:2" ht="14.25" customHeight="1">
      <c r="A545" s="4"/>
      <c r="B545" s="5"/>
    </row>
    <row r="546" spans="1:2" ht="14.25" customHeight="1">
      <c r="A546" s="4"/>
      <c r="B546" s="5"/>
    </row>
    <row r="547" spans="1:2" ht="14.25" customHeight="1">
      <c r="A547" s="4"/>
      <c r="B547" s="5"/>
    </row>
    <row r="548" spans="1:2" ht="14.25" customHeight="1">
      <c r="A548" s="4"/>
      <c r="B548" s="5"/>
    </row>
    <row r="549" spans="1:2" ht="14.25" customHeight="1">
      <c r="A549" s="4"/>
      <c r="B549" s="5"/>
    </row>
    <row r="550" spans="1:2" ht="14.25" customHeight="1">
      <c r="A550" s="4"/>
      <c r="B550" s="5"/>
    </row>
    <row r="551" spans="1:2" ht="14.25" customHeight="1">
      <c r="A551" s="4"/>
      <c r="B551" s="5"/>
    </row>
    <row r="552" spans="1:2" ht="14.25" customHeight="1">
      <c r="A552" s="4"/>
      <c r="B552" s="5"/>
    </row>
    <row r="553" spans="1:2" ht="14.25" customHeight="1">
      <c r="A553" s="4"/>
      <c r="B553" s="5"/>
    </row>
    <row r="554" spans="1:2" ht="14.25" customHeight="1">
      <c r="A554" s="4"/>
      <c r="B554" s="5"/>
    </row>
    <row r="555" spans="1:2" ht="14.25" customHeight="1">
      <c r="A555" s="4"/>
      <c r="B555" s="5"/>
    </row>
    <row r="556" spans="1:2" ht="14.25" customHeight="1">
      <c r="A556" s="4"/>
      <c r="B556" s="5"/>
    </row>
    <row r="557" spans="1:2" ht="14.25" customHeight="1">
      <c r="A557" s="4"/>
      <c r="B557" s="5"/>
    </row>
    <row r="558" spans="1:2" ht="14.25" customHeight="1">
      <c r="A558" s="4"/>
      <c r="B558" s="5"/>
    </row>
    <row r="559" spans="1:2" ht="14.25" customHeight="1">
      <c r="A559" s="4"/>
      <c r="B559" s="5"/>
    </row>
    <row r="560" spans="1:2" ht="14.25" customHeight="1">
      <c r="A560" s="4"/>
      <c r="B560" s="5"/>
    </row>
    <row r="561" spans="1:2" ht="14.25" customHeight="1">
      <c r="A561" s="4"/>
      <c r="B561" s="5"/>
    </row>
    <row r="562" spans="1:2" ht="14.25" customHeight="1">
      <c r="A562" s="4"/>
      <c r="B562" s="5"/>
    </row>
    <row r="563" spans="1:2" ht="14.25" customHeight="1">
      <c r="A563" s="4"/>
      <c r="B563" s="5"/>
    </row>
    <row r="564" spans="1:2" ht="14.25" customHeight="1">
      <c r="A564" s="4"/>
      <c r="B564" s="5"/>
    </row>
    <row r="565" spans="1:2" ht="14.25" customHeight="1">
      <c r="A565" s="4"/>
      <c r="B565" s="5"/>
    </row>
    <row r="566" spans="1:2" ht="14.25" customHeight="1">
      <c r="A566" s="4"/>
      <c r="B566" s="5"/>
    </row>
    <row r="567" spans="1:2" ht="14.25" customHeight="1">
      <c r="A567" s="4"/>
      <c r="B567" s="5"/>
    </row>
    <row r="568" spans="1:2" ht="14.25" customHeight="1">
      <c r="A568" s="4"/>
      <c r="B568" s="5"/>
    </row>
    <row r="569" spans="1:2" ht="14.25" customHeight="1">
      <c r="A569" s="4"/>
      <c r="B569" s="5"/>
    </row>
    <row r="570" spans="1:2" ht="14.25" customHeight="1">
      <c r="A570" s="4"/>
      <c r="B570" s="5"/>
    </row>
    <row r="571" spans="1:2" ht="14.25" customHeight="1">
      <c r="A571" s="4"/>
      <c r="B571" s="5"/>
    </row>
    <row r="572" spans="1:2" ht="14.25" customHeight="1">
      <c r="A572" s="4"/>
      <c r="B572" s="5"/>
    </row>
    <row r="573" spans="1:2" ht="14.25" customHeight="1">
      <c r="A573" s="4"/>
      <c r="B573" s="5"/>
    </row>
    <row r="574" spans="1:2" ht="14.25" customHeight="1">
      <c r="A574" s="4"/>
      <c r="B574" s="5"/>
    </row>
    <row r="575" spans="1:2" ht="14.25" customHeight="1">
      <c r="A575" s="4"/>
      <c r="B575" s="5"/>
    </row>
    <row r="576" spans="1:2" ht="14.25" customHeight="1">
      <c r="A576" s="4"/>
      <c r="B576" s="5"/>
    </row>
    <row r="577" spans="1:2" ht="14.25" customHeight="1">
      <c r="A577" s="4"/>
      <c r="B577" s="5"/>
    </row>
    <row r="578" spans="1:2" ht="14.25" customHeight="1">
      <c r="A578" s="4"/>
      <c r="B578" s="5"/>
    </row>
    <row r="579" spans="1:2" ht="14.25" customHeight="1">
      <c r="A579" s="4"/>
      <c r="B579" s="5"/>
    </row>
    <row r="580" spans="1:2" ht="14.25" customHeight="1">
      <c r="A580" s="4"/>
      <c r="B580" s="5"/>
    </row>
    <row r="581" spans="1:2" ht="14.25" customHeight="1">
      <c r="A581" s="4"/>
      <c r="B581" s="5"/>
    </row>
    <row r="582" spans="1:2" ht="14.25" customHeight="1">
      <c r="A582" s="4"/>
      <c r="B582" s="5"/>
    </row>
    <row r="583" spans="1:2" ht="14.25" customHeight="1">
      <c r="A583" s="4"/>
      <c r="B583" s="5"/>
    </row>
    <row r="584" spans="1:2" ht="14.25" customHeight="1">
      <c r="A584" s="4"/>
      <c r="B584" s="5"/>
    </row>
    <row r="585" spans="1:2" ht="14.25" customHeight="1">
      <c r="A585" s="4"/>
      <c r="B585" s="5"/>
    </row>
    <row r="586" spans="1:2" ht="14.25" customHeight="1">
      <c r="A586" s="4"/>
      <c r="B586" s="5"/>
    </row>
    <row r="587" spans="1:2" ht="14.25" customHeight="1">
      <c r="A587" s="4"/>
      <c r="B587" s="5"/>
    </row>
    <row r="588" spans="1:2" ht="14.25" customHeight="1">
      <c r="A588" s="4"/>
      <c r="B588" s="5"/>
    </row>
    <row r="589" spans="1:2" ht="14.25" customHeight="1">
      <c r="A589" s="4"/>
      <c r="B589" s="5"/>
    </row>
    <row r="590" spans="1:2" ht="14.25" customHeight="1">
      <c r="A590" s="4"/>
      <c r="B590" s="5"/>
    </row>
    <row r="591" spans="1:2" ht="14.25" customHeight="1">
      <c r="A591" s="4"/>
      <c r="B591" s="5"/>
    </row>
    <row r="592" spans="1:2" ht="14.25" customHeight="1">
      <c r="A592" s="4"/>
      <c r="B592" s="5"/>
    </row>
    <row r="593" spans="1:2" ht="14.25" customHeight="1">
      <c r="A593" s="4"/>
      <c r="B593" s="5"/>
    </row>
    <row r="594" spans="1:2" ht="14.25" customHeight="1">
      <c r="A594" s="4"/>
      <c r="B594" s="5"/>
    </row>
    <row r="595" spans="1:2" ht="14.25" customHeight="1">
      <c r="A595" s="4"/>
      <c r="B595" s="5"/>
    </row>
    <row r="596" spans="1:2" ht="14.25" customHeight="1">
      <c r="A596" s="4"/>
      <c r="B596" s="5"/>
    </row>
    <row r="597" spans="1:2" ht="14.25" customHeight="1">
      <c r="A597" s="4"/>
      <c r="B597" s="5"/>
    </row>
    <row r="598" spans="1:2" ht="14.25" customHeight="1">
      <c r="A598" s="4"/>
      <c r="B598" s="5"/>
    </row>
    <row r="599" spans="1:2" ht="14.25" customHeight="1">
      <c r="A599" s="4"/>
      <c r="B599" s="5"/>
    </row>
    <row r="600" spans="1:2" ht="14.25" customHeight="1">
      <c r="A600" s="4"/>
      <c r="B600" s="5"/>
    </row>
    <row r="601" spans="1:2" ht="14.25" customHeight="1">
      <c r="A601" s="4"/>
      <c r="B601" s="5"/>
    </row>
    <row r="602" spans="1:2" ht="14.25" customHeight="1">
      <c r="A602" s="4"/>
      <c r="B602" s="5"/>
    </row>
    <row r="603" spans="1:2" ht="14.25" customHeight="1">
      <c r="A603" s="4"/>
      <c r="B603" s="5"/>
    </row>
    <row r="604" spans="1:2" ht="14.25" customHeight="1">
      <c r="A604" s="4"/>
      <c r="B604" s="5"/>
    </row>
    <row r="605" spans="1:2" ht="14.25" customHeight="1">
      <c r="A605" s="4"/>
      <c r="B605" s="5"/>
    </row>
    <row r="606" spans="1:2" ht="14.25" customHeight="1">
      <c r="A606" s="4"/>
      <c r="B606" s="5"/>
    </row>
    <row r="607" spans="1:2" ht="14.25" customHeight="1">
      <c r="A607" s="4"/>
      <c r="B607" s="5"/>
    </row>
    <row r="608" spans="1:2" ht="14.25" customHeight="1">
      <c r="A608" s="4"/>
      <c r="B608" s="5"/>
    </row>
    <row r="609" spans="1:2" ht="14.25" customHeight="1">
      <c r="A609" s="4"/>
      <c r="B609" s="5"/>
    </row>
    <row r="610" spans="1:2" ht="14.25" customHeight="1">
      <c r="A610" s="4"/>
      <c r="B610" s="5"/>
    </row>
    <row r="611" spans="1:2" ht="14.25" customHeight="1">
      <c r="A611" s="4"/>
      <c r="B611" s="5"/>
    </row>
    <row r="612" spans="1:2" ht="14.25" customHeight="1">
      <c r="A612" s="4"/>
      <c r="B612" s="5"/>
    </row>
    <row r="613" spans="1:2" ht="14.25" customHeight="1">
      <c r="A613" s="4"/>
      <c r="B613" s="5"/>
    </row>
    <row r="614" spans="1:2" ht="14.25" customHeight="1">
      <c r="A614" s="4"/>
      <c r="B614" s="5"/>
    </row>
    <row r="615" spans="1:2" ht="14.25" customHeight="1">
      <c r="A615" s="4"/>
      <c r="B615" s="5"/>
    </row>
    <row r="616" spans="1:2" ht="14.25" customHeight="1">
      <c r="A616" s="4"/>
      <c r="B616" s="5"/>
    </row>
    <row r="617" spans="1:2" ht="14.25" customHeight="1">
      <c r="A617" s="4"/>
      <c r="B617" s="5"/>
    </row>
    <row r="618" spans="1:2" ht="14.25" customHeight="1">
      <c r="A618" s="4"/>
      <c r="B618" s="5"/>
    </row>
    <row r="619" spans="1:2" ht="14.25" customHeight="1">
      <c r="A619" s="4"/>
      <c r="B619" s="5"/>
    </row>
    <row r="620" spans="1:2" ht="14.25" customHeight="1">
      <c r="A620" s="4"/>
      <c r="B620" s="5"/>
    </row>
    <row r="621" spans="1:2" ht="14.25" customHeight="1">
      <c r="A621" s="4"/>
      <c r="B621" s="5"/>
    </row>
    <row r="622" spans="1:2" ht="14.25" customHeight="1">
      <c r="A622" s="4"/>
      <c r="B622" s="5"/>
    </row>
    <row r="623" spans="1:2" ht="14.25" customHeight="1">
      <c r="A623" s="4"/>
      <c r="B623" s="5"/>
    </row>
    <row r="624" spans="1:2" ht="14.25" customHeight="1">
      <c r="A624" s="4"/>
      <c r="B624" s="5"/>
    </row>
    <row r="625" spans="1:2" ht="14.25" customHeight="1">
      <c r="A625" s="4"/>
      <c r="B625" s="5"/>
    </row>
    <row r="626" spans="1:2" ht="14.25" customHeight="1">
      <c r="A626" s="4"/>
      <c r="B626" s="5"/>
    </row>
    <row r="627" spans="1:2" ht="14.25" customHeight="1">
      <c r="A627" s="4"/>
      <c r="B627" s="5"/>
    </row>
    <row r="628" spans="1:2" ht="14.25" customHeight="1">
      <c r="A628" s="4"/>
      <c r="B628" s="5"/>
    </row>
    <row r="629" spans="1:2" ht="14.25" customHeight="1">
      <c r="A629" s="4"/>
      <c r="B629" s="5"/>
    </row>
    <row r="630" spans="1:2" ht="14.25" customHeight="1">
      <c r="A630" s="4"/>
      <c r="B630" s="5"/>
    </row>
    <row r="631" spans="1:2" ht="14.25" customHeight="1">
      <c r="A631" s="4"/>
      <c r="B631" s="5"/>
    </row>
    <row r="632" spans="1:2" ht="14.25" customHeight="1">
      <c r="A632" s="4"/>
      <c r="B632" s="5"/>
    </row>
    <row r="633" spans="1:2" ht="14.25" customHeight="1">
      <c r="A633" s="4"/>
      <c r="B633" s="5"/>
    </row>
    <row r="634" spans="1:2" ht="14.25" customHeight="1">
      <c r="A634" s="4"/>
      <c r="B634" s="5"/>
    </row>
    <row r="635" spans="1:2" ht="14.25" customHeight="1">
      <c r="A635" s="4"/>
      <c r="B635" s="5"/>
    </row>
    <row r="636" spans="1:2" ht="14.25" customHeight="1">
      <c r="A636" s="4"/>
      <c r="B636" s="5"/>
    </row>
    <row r="637" spans="1:2" ht="14.25" customHeight="1">
      <c r="A637" s="4"/>
      <c r="B637" s="5"/>
    </row>
    <row r="638" spans="1:2" ht="14.25" customHeight="1">
      <c r="A638" s="4"/>
      <c r="B638" s="5"/>
    </row>
    <row r="639" spans="1:2" ht="14.25" customHeight="1">
      <c r="A639" s="4"/>
      <c r="B639" s="5"/>
    </row>
    <row r="640" spans="1:2" ht="14.25" customHeight="1">
      <c r="A640" s="4"/>
      <c r="B640" s="5"/>
    </row>
    <row r="641" spans="1:2" ht="14.25" customHeight="1">
      <c r="A641" s="4"/>
      <c r="B641" s="5"/>
    </row>
    <row r="642" spans="1:2" ht="14.25" customHeight="1">
      <c r="A642" s="4"/>
      <c r="B642" s="5"/>
    </row>
    <row r="643" spans="1:2" ht="14.25" customHeight="1">
      <c r="A643" s="4"/>
      <c r="B643" s="5"/>
    </row>
    <row r="644" spans="1:2" ht="14.25" customHeight="1">
      <c r="A644" s="4"/>
      <c r="B644" s="5"/>
    </row>
    <row r="645" spans="1:2" ht="14.25" customHeight="1">
      <c r="A645" s="4"/>
      <c r="B645" s="5"/>
    </row>
    <row r="646" spans="1:2" ht="14.25" customHeight="1">
      <c r="A646" s="4"/>
      <c r="B646" s="5"/>
    </row>
    <row r="647" spans="1:2" ht="14.25" customHeight="1">
      <c r="A647" s="4"/>
      <c r="B647" s="5"/>
    </row>
    <row r="648" spans="1:2" ht="14.25" customHeight="1">
      <c r="A648" s="4"/>
      <c r="B648" s="5"/>
    </row>
    <row r="649" spans="1:2" ht="14.25" customHeight="1">
      <c r="A649" s="4"/>
      <c r="B649" s="5"/>
    </row>
    <row r="650" spans="1:2" ht="14.25" customHeight="1">
      <c r="A650" s="4"/>
      <c r="B650" s="5"/>
    </row>
    <row r="651" spans="1:2" ht="14.25" customHeight="1">
      <c r="A651" s="4"/>
      <c r="B651" s="5"/>
    </row>
    <row r="652" spans="1:2" ht="14.25" customHeight="1">
      <c r="A652" s="4"/>
      <c r="B652" s="5"/>
    </row>
    <row r="653" spans="1:2" ht="14.25" customHeight="1">
      <c r="A653" s="4"/>
      <c r="B653" s="5"/>
    </row>
    <row r="654" spans="1:2" ht="14.25" customHeight="1">
      <c r="A654" s="4"/>
      <c r="B654" s="5"/>
    </row>
    <row r="655" spans="1:2" ht="14.25" customHeight="1">
      <c r="A655" s="4"/>
      <c r="B655" s="5"/>
    </row>
    <row r="656" spans="1:2" ht="14.25" customHeight="1">
      <c r="A656" s="4"/>
      <c r="B656" s="5"/>
    </row>
    <row r="657" spans="1:2" ht="14.25" customHeight="1">
      <c r="A657" s="4"/>
      <c r="B657" s="5"/>
    </row>
    <row r="658" spans="1:2" ht="14.25" customHeight="1">
      <c r="A658" s="4"/>
      <c r="B658" s="5"/>
    </row>
    <row r="659" spans="1:2" ht="14.25" customHeight="1">
      <c r="A659" s="4"/>
      <c r="B659" s="5"/>
    </row>
    <row r="660" spans="1:2" ht="14.25" customHeight="1">
      <c r="A660" s="4"/>
      <c r="B660" s="5"/>
    </row>
    <row r="661" spans="1:2" ht="14.25" customHeight="1">
      <c r="A661" s="4"/>
      <c r="B661" s="5"/>
    </row>
    <row r="662" spans="1:2" ht="14.25" customHeight="1">
      <c r="A662" s="4"/>
      <c r="B662" s="5"/>
    </row>
    <row r="663" spans="1:2" ht="14.25" customHeight="1">
      <c r="A663" s="4"/>
      <c r="B663" s="5"/>
    </row>
    <row r="664" spans="1:2" ht="14.25" customHeight="1">
      <c r="A664" s="4"/>
      <c r="B664" s="5"/>
    </row>
    <row r="665" spans="1:2" ht="14.25" customHeight="1">
      <c r="A665" s="4"/>
      <c r="B665" s="5"/>
    </row>
    <row r="666" spans="1:2" ht="14.25" customHeight="1">
      <c r="A666" s="4"/>
      <c r="B666" s="5"/>
    </row>
    <row r="667" spans="1:2" ht="14.25" customHeight="1">
      <c r="A667" s="4"/>
      <c r="B667" s="5"/>
    </row>
    <row r="668" spans="1:2" ht="14.25" customHeight="1">
      <c r="A668" s="4"/>
      <c r="B668" s="5"/>
    </row>
    <row r="669" spans="1:2" ht="14.25" customHeight="1">
      <c r="A669" s="4"/>
      <c r="B669" s="5"/>
    </row>
    <row r="670" spans="1:2" ht="14.25" customHeight="1">
      <c r="A670" s="4"/>
      <c r="B670" s="5"/>
    </row>
    <row r="671" spans="1:2" ht="14.25" customHeight="1">
      <c r="A671" s="4"/>
      <c r="B671" s="5"/>
    </row>
    <row r="672" spans="1:2" ht="14.25" customHeight="1">
      <c r="A672" s="4"/>
      <c r="B672" s="5"/>
    </row>
    <row r="673" spans="1:2" ht="14.25" customHeight="1">
      <c r="A673" s="4"/>
      <c r="B673" s="5"/>
    </row>
    <row r="674" spans="1:2" ht="14.25" customHeight="1">
      <c r="A674" s="4"/>
      <c r="B674" s="5"/>
    </row>
    <row r="675" spans="1:2" ht="14.25" customHeight="1">
      <c r="A675" s="4"/>
      <c r="B675" s="5"/>
    </row>
    <row r="676" spans="1:2" ht="14.25" customHeight="1">
      <c r="A676" s="4"/>
      <c r="B676" s="5"/>
    </row>
    <row r="677" spans="1:2" ht="14.25" customHeight="1">
      <c r="A677" s="4"/>
      <c r="B677" s="5"/>
    </row>
    <row r="678" spans="1:2" ht="14.25" customHeight="1">
      <c r="A678" s="4"/>
      <c r="B678" s="5"/>
    </row>
    <row r="679" spans="1:2" ht="14.25" customHeight="1">
      <c r="A679" s="4"/>
      <c r="B679" s="5"/>
    </row>
    <row r="680" spans="1:2" ht="14.25" customHeight="1">
      <c r="A680" s="4"/>
      <c r="B680" s="5"/>
    </row>
    <row r="681" spans="1:2" ht="14.25" customHeight="1">
      <c r="A681" s="4"/>
      <c r="B681" s="5"/>
    </row>
    <row r="682" spans="1:2" ht="14.25" customHeight="1">
      <c r="A682" s="4"/>
      <c r="B682" s="5"/>
    </row>
    <row r="683" spans="1:2" ht="14.25" customHeight="1">
      <c r="A683" s="4"/>
      <c r="B683" s="5"/>
    </row>
    <row r="684" spans="1:2" ht="14.25" customHeight="1">
      <c r="A684" s="4"/>
      <c r="B684" s="5"/>
    </row>
    <row r="685" spans="1:2" ht="14.25" customHeight="1">
      <c r="A685" s="4"/>
      <c r="B685" s="5"/>
    </row>
    <row r="686" spans="1:2" ht="14.25" customHeight="1">
      <c r="A686" s="4"/>
      <c r="B686" s="5"/>
    </row>
    <row r="687" spans="1:2" ht="14.25" customHeight="1">
      <c r="A687" s="4"/>
      <c r="B687" s="5"/>
    </row>
    <row r="688" spans="1:2" ht="14.25" customHeight="1">
      <c r="A688" s="4"/>
      <c r="B688" s="5"/>
    </row>
    <row r="689" spans="1:2" ht="14.25" customHeight="1">
      <c r="A689" s="4"/>
      <c r="B689" s="5"/>
    </row>
    <row r="690" spans="1:2" ht="14.25" customHeight="1">
      <c r="A690" s="4"/>
      <c r="B690" s="5"/>
    </row>
    <row r="691" spans="1:2" ht="14.25" customHeight="1">
      <c r="A691" s="4"/>
      <c r="B691" s="5"/>
    </row>
    <row r="692" spans="1:2" ht="14.25" customHeight="1">
      <c r="A692" s="4"/>
      <c r="B692" s="5"/>
    </row>
    <row r="693" spans="1:2" ht="14.25" customHeight="1">
      <c r="A693" s="4"/>
      <c r="B693" s="5"/>
    </row>
    <row r="694" spans="1:2" ht="14.25" customHeight="1">
      <c r="A694" s="4"/>
      <c r="B694" s="5"/>
    </row>
    <row r="695" spans="1:2" ht="14.25" customHeight="1">
      <c r="A695" s="4"/>
      <c r="B695" s="5"/>
    </row>
    <row r="696" spans="1:2" ht="14.25" customHeight="1">
      <c r="A696" s="4"/>
      <c r="B696" s="5"/>
    </row>
    <row r="697" spans="1:2" ht="14.25" customHeight="1">
      <c r="A697" s="4"/>
      <c r="B697" s="5"/>
    </row>
    <row r="698" spans="1:2" ht="14.25" customHeight="1">
      <c r="A698" s="4"/>
      <c r="B698" s="5"/>
    </row>
    <row r="699" spans="1:2" ht="14.25" customHeight="1">
      <c r="A699" s="4"/>
      <c r="B699" s="5"/>
    </row>
    <row r="700" spans="1:2" ht="14.25" customHeight="1">
      <c r="A700" s="4"/>
      <c r="B700" s="5"/>
    </row>
    <row r="701" spans="1:2" ht="14.25" customHeight="1">
      <c r="A701" s="4"/>
      <c r="B701" s="5"/>
    </row>
    <row r="702" spans="1:2" ht="14.25" customHeight="1">
      <c r="A702" s="4"/>
      <c r="B702" s="5"/>
    </row>
    <row r="703" spans="1:2" ht="14.25" customHeight="1">
      <c r="A703" s="4"/>
      <c r="B703" s="5"/>
    </row>
    <row r="704" spans="1:2" ht="14.25" customHeight="1">
      <c r="A704" s="4"/>
      <c r="B704" s="5"/>
    </row>
    <row r="705" spans="1:2" ht="14.25" customHeight="1">
      <c r="A705" s="4"/>
      <c r="B705" s="5"/>
    </row>
    <row r="706" spans="1:2" ht="14.25" customHeight="1">
      <c r="A706" s="4"/>
      <c r="B706" s="5"/>
    </row>
    <row r="707" spans="1:2" ht="14.25" customHeight="1">
      <c r="A707" s="4"/>
      <c r="B707" s="5"/>
    </row>
    <row r="708" spans="1:2" ht="14.25" customHeight="1">
      <c r="A708" s="4"/>
      <c r="B708" s="5"/>
    </row>
    <row r="709" spans="1:2" ht="14.25" customHeight="1">
      <c r="A709" s="4"/>
      <c r="B709" s="5"/>
    </row>
    <row r="710" spans="1:2" ht="14.25" customHeight="1">
      <c r="A710" s="4"/>
      <c r="B710" s="5"/>
    </row>
    <row r="711" spans="1:2" ht="14.25" customHeight="1">
      <c r="A711" s="4"/>
      <c r="B711" s="5"/>
    </row>
    <row r="712" spans="1:2" ht="14.25" customHeight="1">
      <c r="A712" s="4"/>
      <c r="B712" s="5"/>
    </row>
    <row r="713" spans="1:2" ht="14.25" customHeight="1">
      <c r="A713" s="4"/>
      <c r="B713" s="5"/>
    </row>
    <row r="714" spans="1:2" ht="14.25" customHeight="1">
      <c r="A714" s="4"/>
      <c r="B714" s="5"/>
    </row>
    <row r="715" spans="1:2" ht="14.25" customHeight="1">
      <c r="A715" s="4"/>
      <c r="B715" s="5"/>
    </row>
    <row r="716" spans="1:2" ht="14.25" customHeight="1">
      <c r="A716" s="4"/>
      <c r="B716" s="5"/>
    </row>
    <row r="717" spans="1:2" ht="14.25" customHeight="1">
      <c r="A717" s="4"/>
      <c r="B717" s="5"/>
    </row>
    <row r="718" spans="1:2" ht="14.25" customHeight="1">
      <c r="A718" s="4"/>
      <c r="B718" s="5"/>
    </row>
    <row r="719" spans="1:2" ht="14.25" customHeight="1">
      <c r="A719" s="4"/>
      <c r="B719" s="5"/>
    </row>
    <row r="720" spans="1:2" ht="14.25" customHeight="1">
      <c r="A720" s="4"/>
      <c r="B720" s="5"/>
    </row>
    <row r="721" spans="1:2" ht="14.25" customHeight="1">
      <c r="A721" s="4"/>
      <c r="B721" s="5"/>
    </row>
    <row r="722" spans="1:2" ht="14.25" customHeight="1">
      <c r="A722" s="4"/>
      <c r="B722" s="5"/>
    </row>
    <row r="723" spans="1:2" ht="14.25" customHeight="1">
      <c r="A723" s="4"/>
      <c r="B723" s="5"/>
    </row>
    <row r="724" spans="1:2" ht="14.25" customHeight="1">
      <c r="A724" s="4"/>
      <c r="B724" s="5"/>
    </row>
    <row r="725" spans="1:2" ht="14.25" customHeight="1">
      <c r="A725" s="4"/>
      <c r="B725" s="5"/>
    </row>
    <row r="726" spans="1:2" ht="14.25" customHeight="1">
      <c r="A726" s="4"/>
      <c r="B726" s="5"/>
    </row>
    <row r="727" spans="1:2" ht="14.25" customHeight="1">
      <c r="A727" s="4"/>
      <c r="B727" s="5"/>
    </row>
    <row r="728" spans="1:2" ht="14.25" customHeight="1">
      <c r="A728" s="4"/>
      <c r="B728" s="5"/>
    </row>
    <row r="729" spans="1:2" ht="14.25" customHeight="1">
      <c r="A729" s="4"/>
      <c r="B729" s="5"/>
    </row>
    <row r="730" spans="1:2" ht="14.25" customHeight="1">
      <c r="A730" s="4"/>
      <c r="B730" s="5"/>
    </row>
    <row r="731" spans="1:2" ht="14.25" customHeight="1">
      <c r="A731" s="4"/>
      <c r="B731" s="5"/>
    </row>
    <row r="732" spans="1:2" ht="14.25" customHeight="1">
      <c r="A732" s="4"/>
      <c r="B732" s="5"/>
    </row>
    <row r="733" spans="1:2" ht="14.25" customHeight="1">
      <c r="A733" s="4"/>
      <c r="B733" s="5"/>
    </row>
    <row r="734" spans="1:2" ht="14.25" customHeight="1">
      <c r="A734" s="4"/>
      <c r="B734" s="5"/>
    </row>
    <row r="735" spans="1:2" ht="14.25" customHeight="1">
      <c r="A735" s="4"/>
      <c r="B735" s="5"/>
    </row>
    <row r="736" spans="1:2" ht="14.25" customHeight="1">
      <c r="A736" s="4"/>
      <c r="B736" s="5"/>
    </row>
    <row r="737" spans="1:2" ht="14.25" customHeight="1">
      <c r="A737" s="4"/>
      <c r="B737" s="5"/>
    </row>
    <row r="738" spans="1:2" ht="14.25" customHeight="1">
      <c r="A738" s="4"/>
      <c r="B738" s="5"/>
    </row>
    <row r="739" spans="1:2" ht="14.25" customHeight="1">
      <c r="A739" s="4"/>
      <c r="B739" s="5"/>
    </row>
    <row r="740" spans="1:2" ht="14.25" customHeight="1">
      <c r="A740" s="4"/>
      <c r="B740" s="5"/>
    </row>
    <row r="741" spans="1:2" ht="14.25" customHeight="1">
      <c r="A741" s="4"/>
      <c r="B741" s="5"/>
    </row>
    <row r="742" spans="1:2" ht="14.25" customHeight="1">
      <c r="A742" s="4"/>
      <c r="B742" s="5"/>
    </row>
    <row r="743" spans="1:2" ht="14.25" customHeight="1">
      <c r="A743" s="4"/>
      <c r="B743" s="5"/>
    </row>
    <row r="744" spans="1:2" ht="14.25" customHeight="1">
      <c r="A744" s="4"/>
      <c r="B744" s="5"/>
    </row>
    <row r="745" spans="1:2" ht="14.25" customHeight="1">
      <c r="A745" s="4"/>
      <c r="B745" s="5"/>
    </row>
    <row r="746" spans="1:2" ht="14.25" customHeight="1">
      <c r="A746" s="4"/>
      <c r="B746" s="5"/>
    </row>
    <row r="747" spans="1:2" ht="14.25" customHeight="1">
      <c r="A747" s="4"/>
      <c r="B747" s="5"/>
    </row>
    <row r="748" spans="1:2" ht="14.25" customHeight="1">
      <c r="A748" s="4"/>
      <c r="B748" s="5"/>
    </row>
    <row r="749" spans="1:2" ht="14.25" customHeight="1">
      <c r="A749" s="4"/>
      <c r="B749" s="5"/>
    </row>
    <row r="750" spans="1:2" ht="14.25" customHeight="1">
      <c r="A750" s="4"/>
      <c r="B750" s="5"/>
    </row>
    <row r="751" spans="1:2" ht="14.25" customHeight="1">
      <c r="A751" s="4"/>
      <c r="B751" s="5"/>
    </row>
    <row r="752" spans="1:2" ht="14.25" customHeight="1">
      <c r="A752" s="4"/>
      <c r="B752" s="5"/>
    </row>
    <row r="753" spans="1:2" ht="14.25" customHeight="1">
      <c r="A753" s="4"/>
      <c r="B753" s="5"/>
    </row>
    <row r="754" spans="1:2" ht="14.25" customHeight="1">
      <c r="A754" s="4"/>
      <c r="B754" s="5"/>
    </row>
    <row r="755" spans="1:2" ht="14.25" customHeight="1">
      <c r="A755" s="4"/>
      <c r="B755" s="5"/>
    </row>
    <row r="756" spans="1:2" ht="14.25" customHeight="1">
      <c r="A756" s="4"/>
      <c r="B756" s="5"/>
    </row>
    <row r="757" spans="1:2" ht="14.25" customHeight="1">
      <c r="A757" s="4"/>
      <c r="B757" s="5"/>
    </row>
    <row r="758" spans="1:2" ht="14.25" customHeight="1">
      <c r="A758" s="4"/>
      <c r="B758" s="5"/>
    </row>
    <row r="759" spans="1:2" ht="14.25" customHeight="1">
      <c r="A759" s="4"/>
      <c r="B759" s="5"/>
    </row>
    <row r="760" spans="1:2" ht="14.25" customHeight="1">
      <c r="A760" s="4"/>
      <c r="B760" s="5"/>
    </row>
    <row r="761" spans="1:2" ht="14.25" customHeight="1">
      <c r="A761" s="4"/>
      <c r="B761" s="5"/>
    </row>
    <row r="762" spans="1:2" ht="14.25" customHeight="1">
      <c r="A762" s="4"/>
      <c r="B762" s="5"/>
    </row>
    <row r="763" spans="1:2" ht="14.25" customHeight="1">
      <c r="A763" s="4"/>
      <c r="B763" s="5"/>
    </row>
    <row r="764" spans="1:2" ht="14.25" customHeight="1">
      <c r="A764" s="4"/>
      <c r="B764" s="5"/>
    </row>
    <row r="765" spans="1:2" ht="14.25" customHeight="1">
      <c r="A765" s="4"/>
      <c r="B765" s="5"/>
    </row>
    <row r="766" spans="1:2" ht="14.25" customHeight="1">
      <c r="A766" s="4"/>
      <c r="B766" s="5"/>
    </row>
    <row r="767" spans="1:2" ht="14.25" customHeight="1">
      <c r="A767" s="4"/>
      <c r="B767" s="5"/>
    </row>
    <row r="768" spans="1:2" ht="14.25" customHeight="1">
      <c r="A768" s="4"/>
      <c r="B768" s="5"/>
    </row>
    <row r="769" spans="1:2" ht="14.25" customHeight="1">
      <c r="A769" s="4"/>
      <c r="B769" s="5"/>
    </row>
    <row r="770" spans="1:2" ht="14.25" customHeight="1">
      <c r="A770" s="4"/>
      <c r="B770" s="5"/>
    </row>
    <row r="771" spans="1:2" ht="14.25" customHeight="1">
      <c r="A771" s="4"/>
      <c r="B771" s="5"/>
    </row>
    <row r="772" spans="1:2" ht="14.25" customHeight="1">
      <c r="A772" s="4"/>
      <c r="B772" s="5"/>
    </row>
    <row r="773" spans="1:2" ht="14.25" customHeight="1">
      <c r="A773" s="4"/>
      <c r="B773" s="5"/>
    </row>
    <row r="774" spans="1:2" ht="14.25" customHeight="1">
      <c r="A774" s="4"/>
      <c r="B774" s="5"/>
    </row>
    <row r="775" spans="1:2" ht="14.25" customHeight="1">
      <c r="A775" s="4"/>
      <c r="B775" s="5"/>
    </row>
    <row r="776" spans="1:2" ht="14.25" customHeight="1">
      <c r="A776" s="4"/>
      <c r="B776" s="5"/>
    </row>
    <row r="777" spans="1:2" ht="14.25" customHeight="1">
      <c r="A777" s="4"/>
      <c r="B777" s="5"/>
    </row>
    <row r="778" spans="1:2" ht="14.25" customHeight="1">
      <c r="A778" s="4"/>
      <c r="B778" s="5"/>
    </row>
    <row r="779" spans="1:2" ht="14.25" customHeight="1">
      <c r="A779" s="4"/>
      <c r="B779" s="5"/>
    </row>
    <row r="780" spans="1:2" ht="14.25" customHeight="1">
      <c r="A780" s="4"/>
      <c r="B780" s="5"/>
    </row>
    <row r="781" spans="1:2" ht="14.25" customHeight="1">
      <c r="A781" s="4"/>
      <c r="B781" s="5"/>
    </row>
    <row r="782" spans="1:2" ht="14.25" customHeight="1">
      <c r="A782" s="4"/>
      <c r="B782" s="5"/>
    </row>
    <row r="783" spans="1:2" ht="14.25" customHeight="1">
      <c r="A783" s="4"/>
      <c r="B783" s="5"/>
    </row>
    <row r="784" spans="1:2" ht="14.25" customHeight="1">
      <c r="A784" s="4"/>
      <c r="B784" s="5"/>
    </row>
    <row r="785" spans="1:2" ht="14.25" customHeight="1">
      <c r="A785" s="4"/>
      <c r="B785" s="5"/>
    </row>
    <row r="786" spans="1:2" ht="14.25" customHeight="1">
      <c r="A786" s="4"/>
      <c r="B786" s="5"/>
    </row>
    <row r="787" spans="1:2" ht="14.25" customHeight="1">
      <c r="A787" s="4"/>
      <c r="B787" s="5"/>
    </row>
    <row r="788" spans="1:2" ht="14.25" customHeight="1">
      <c r="A788" s="4"/>
      <c r="B788" s="5"/>
    </row>
    <row r="789" spans="1:2" ht="14.25" customHeight="1">
      <c r="A789" s="4"/>
      <c r="B789" s="5"/>
    </row>
    <row r="790" spans="1:2" ht="14.25" customHeight="1">
      <c r="A790" s="4"/>
      <c r="B790" s="5"/>
    </row>
    <row r="791" spans="1:2" ht="14.25" customHeight="1">
      <c r="A791" s="4"/>
      <c r="B791" s="5"/>
    </row>
    <row r="792" spans="1:2" ht="14.25" customHeight="1">
      <c r="A792" s="4"/>
      <c r="B792" s="5"/>
    </row>
    <row r="793" spans="1:2" ht="14.25" customHeight="1">
      <c r="A793" s="4"/>
      <c r="B793" s="5"/>
    </row>
    <row r="794" spans="1:2" ht="14.25" customHeight="1">
      <c r="A794" s="4"/>
      <c r="B794" s="5"/>
    </row>
    <row r="795" spans="1:2" ht="14.25" customHeight="1">
      <c r="A795" s="4"/>
      <c r="B795" s="5"/>
    </row>
    <row r="796" spans="1:2" ht="14.25" customHeight="1">
      <c r="A796" s="4"/>
      <c r="B796" s="5"/>
    </row>
    <row r="797" spans="1:2" ht="14.25" customHeight="1">
      <c r="A797" s="4"/>
      <c r="B797" s="5"/>
    </row>
    <row r="798" spans="1:2" ht="14.25" customHeight="1">
      <c r="A798" s="4"/>
      <c r="B798" s="5"/>
    </row>
    <row r="799" spans="1:2" ht="14.25" customHeight="1">
      <c r="A799" s="4"/>
      <c r="B799" s="5"/>
    </row>
    <row r="800" spans="1:2" ht="14.25" customHeight="1">
      <c r="A800" s="4"/>
      <c r="B800" s="5"/>
    </row>
    <row r="801" spans="1:2" ht="14.25" customHeight="1">
      <c r="A801" s="4"/>
      <c r="B801" s="5"/>
    </row>
    <row r="802" spans="1:2" ht="14.25" customHeight="1">
      <c r="A802" s="4"/>
      <c r="B802" s="5"/>
    </row>
    <row r="803" spans="1:2" ht="14.25" customHeight="1">
      <c r="A803" s="4"/>
      <c r="B803" s="5"/>
    </row>
    <row r="804" spans="1:2" ht="14.25" customHeight="1">
      <c r="A804" s="4"/>
      <c r="B804" s="5"/>
    </row>
    <row r="805" spans="1:2" ht="14.25" customHeight="1">
      <c r="A805" s="4"/>
      <c r="B805" s="5"/>
    </row>
    <row r="806" spans="1:2" ht="14.25" customHeight="1">
      <c r="A806" s="4"/>
      <c r="B806" s="5"/>
    </row>
    <row r="807" spans="1:2" ht="14.25" customHeight="1">
      <c r="A807" s="4"/>
      <c r="B807" s="5"/>
    </row>
    <row r="808" spans="1:2" ht="14.25" customHeight="1">
      <c r="A808" s="4"/>
      <c r="B808" s="5"/>
    </row>
    <row r="809" spans="1:2" ht="14.25" customHeight="1">
      <c r="A809" s="4"/>
      <c r="B809" s="5"/>
    </row>
    <row r="810" spans="1:2" ht="14.25" customHeight="1">
      <c r="A810" s="4"/>
      <c r="B810" s="5"/>
    </row>
    <row r="811" spans="1:2" ht="14.25" customHeight="1">
      <c r="A811" s="4"/>
      <c r="B811" s="5"/>
    </row>
    <row r="812" spans="1:2" ht="14.25" customHeight="1">
      <c r="A812" s="4"/>
      <c r="B812" s="5"/>
    </row>
    <row r="813" spans="1:2" ht="14.25" customHeight="1">
      <c r="A813" s="4"/>
      <c r="B813" s="5"/>
    </row>
    <row r="814" spans="1:2" ht="14.25" customHeight="1">
      <c r="A814" s="4"/>
      <c r="B814" s="5"/>
    </row>
    <row r="815" spans="1:2" ht="14.25" customHeight="1">
      <c r="A815" s="4"/>
      <c r="B815" s="5"/>
    </row>
    <row r="816" spans="1:2" ht="14.25" customHeight="1">
      <c r="A816" s="4"/>
      <c r="B816" s="5"/>
    </row>
    <row r="817" spans="1:2" ht="14.25" customHeight="1">
      <c r="A817" s="4"/>
      <c r="B817" s="5"/>
    </row>
    <row r="818" spans="1:2" ht="14.25" customHeight="1">
      <c r="A818" s="4"/>
      <c r="B818" s="5"/>
    </row>
    <row r="819" spans="1:2" ht="14.25" customHeight="1">
      <c r="A819" s="4"/>
      <c r="B819" s="5"/>
    </row>
    <row r="820" spans="1:2" ht="14.25" customHeight="1">
      <c r="A820" s="4"/>
      <c r="B820" s="5"/>
    </row>
    <row r="821" spans="1:2" ht="14.25" customHeight="1">
      <c r="A821" s="4"/>
      <c r="B821" s="5"/>
    </row>
    <row r="822" spans="1:2" ht="14.25" customHeight="1">
      <c r="A822" s="4"/>
      <c r="B822" s="5"/>
    </row>
    <row r="823" spans="1:2" ht="14.25" customHeight="1">
      <c r="A823" s="4"/>
      <c r="B823" s="5"/>
    </row>
    <row r="824" spans="1:2" ht="14.25" customHeight="1">
      <c r="A824" s="4"/>
      <c r="B824" s="5"/>
    </row>
    <row r="825" spans="1:2" ht="14.25" customHeight="1">
      <c r="A825" s="4"/>
      <c r="B825" s="5"/>
    </row>
    <row r="826" spans="1:2" ht="14.25" customHeight="1">
      <c r="A826" s="4"/>
      <c r="B826" s="5"/>
    </row>
    <row r="827" spans="1:2" ht="14.25" customHeight="1">
      <c r="A827" s="4"/>
      <c r="B827" s="5"/>
    </row>
    <row r="828" spans="1:2" ht="14.25" customHeight="1">
      <c r="A828" s="4"/>
      <c r="B828" s="5"/>
    </row>
    <row r="829" spans="1:2" ht="14.25" customHeight="1">
      <c r="A829" s="4"/>
      <c r="B829" s="5"/>
    </row>
    <row r="830" spans="1:2" ht="14.25" customHeight="1">
      <c r="A830" s="4"/>
      <c r="B830" s="5"/>
    </row>
    <row r="831" spans="1:2" ht="14.25" customHeight="1">
      <c r="A831" s="4"/>
      <c r="B831" s="5"/>
    </row>
    <row r="832" spans="1:2" ht="14.25" customHeight="1">
      <c r="A832" s="4"/>
      <c r="B832" s="5"/>
    </row>
    <row r="833" spans="1:2" ht="14.25" customHeight="1">
      <c r="A833" s="4"/>
      <c r="B833" s="5"/>
    </row>
    <row r="834" spans="1:2" ht="14.25" customHeight="1">
      <c r="A834" s="4"/>
      <c r="B834" s="5"/>
    </row>
    <row r="835" spans="1:2" ht="14.25" customHeight="1">
      <c r="A835" s="4"/>
      <c r="B835" s="5"/>
    </row>
    <row r="836" spans="1:2" ht="14.25" customHeight="1">
      <c r="A836" s="4"/>
      <c r="B836" s="5"/>
    </row>
    <row r="837" spans="1:2" ht="14.25" customHeight="1">
      <c r="A837" s="4"/>
      <c r="B837" s="5"/>
    </row>
    <row r="838" spans="1:2" ht="14.25" customHeight="1">
      <c r="A838" s="4"/>
      <c r="B838" s="5"/>
    </row>
    <row r="839" spans="1:2" ht="14.25" customHeight="1">
      <c r="A839" s="4"/>
      <c r="B839" s="5"/>
    </row>
    <row r="840" spans="1:2" ht="14.25" customHeight="1">
      <c r="A840" s="4"/>
      <c r="B840" s="5"/>
    </row>
    <row r="841" spans="1:2" ht="14.25" customHeight="1">
      <c r="A841" s="4"/>
      <c r="B841" s="5"/>
    </row>
    <row r="842" spans="1:2" ht="14.25" customHeight="1">
      <c r="A842" s="4"/>
      <c r="B842" s="5"/>
    </row>
    <row r="843" spans="1:2" ht="14.25" customHeight="1">
      <c r="A843" s="4"/>
      <c r="B843" s="5"/>
    </row>
    <row r="844" spans="1:2" ht="14.25" customHeight="1">
      <c r="A844" s="4"/>
      <c r="B844" s="5"/>
    </row>
    <row r="845" spans="1:2" ht="14.25" customHeight="1">
      <c r="A845" s="4"/>
      <c r="B845" s="5"/>
    </row>
    <row r="846" spans="1:2" ht="14.25" customHeight="1">
      <c r="A846" s="4"/>
      <c r="B846" s="5"/>
    </row>
    <row r="847" spans="1:2" ht="14.25" customHeight="1">
      <c r="A847" s="4"/>
      <c r="B847" s="5"/>
    </row>
    <row r="848" spans="1:2" ht="14.25" customHeight="1">
      <c r="A848" s="4"/>
      <c r="B848" s="5"/>
    </row>
    <row r="849" spans="1:2" ht="14.25" customHeight="1">
      <c r="A849" s="4"/>
      <c r="B849" s="5"/>
    </row>
    <row r="850" spans="1:2" ht="14.25" customHeight="1">
      <c r="A850" s="4"/>
      <c r="B850" s="5"/>
    </row>
    <row r="851" spans="1:2" ht="14.25" customHeight="1">
      <c r="A851" s="4"/>
      <c r="B851" s="5"/>
    </row>
    <row r="852" spans="1:2" ht="14.25" customHeight="1">
      <c r="A852" s="4"/>
      <c r="B852" s="5"/>
    </row>
    <row r="853" spans="1:2" ht="14.25" customHeight="1">
      <c r="A853" s="4"/>
      <c r="B853" s="5"/>
    </row>
    <row r="854" spans="1:2" ht="14.25" customHeight="1">
      <c r="A854" s="4"/>
      <c r="B854" s="5"/>
    </row>
    <row r="855" spans="1:2" ht="14.25" customHeight="1">
      <c r="A855" s="4"/>
      <c r="B855" s="5"/>
    </row>
    <row r="856" spans="1:2" ht="14.25" customHeight="1">
      <c r="A856" s="4"/>
      <c r="B856" s="5"/>
    </row>
    <row r="857" spans="1:2" ht="14.25" customHeight="1">
      <c r="A857" s="4"/>
      <c r="B857" s="5"/>
    </row>
    <row r="858" spans="1:2" ht="14.25" customHeight="1">
      <c r="A858" s="4"/>
      <c r="B858" s="5"/>
    </row>
    <row r="859" spans="1:2" ht="14.25" customHeight="1">
      <c r="A859" s="4"/>
      <c r="B859" s="5"/>
    </row>
    <row r="860" spans="1:2" ht="14.25" customHeight="1">
      <c r="A860" s="4"/>
      <c r="B860" s="5"/>
    </row>
    <row r="861" spans="1:2" ht="14.25" customHeight="1">
      <c r="A861" s="4"/>
      <c r="B861" s="5"/>
    </row>
    <row r="862" spans="1:2" ht="14.25" customHeight="1">
      <c r="A862" s="4"/>
      <c r="B862" s="5"/>
    </row>
    <row r="863" spans="1:2" ht="14.25" customHeight="1">
      <c r="A863" s="4"/>
      <c r="B863" s="5"/>
    </row>
    <row r="864" spans="1:2" ht="14.25" customHeight="1">
      <c r="A864" s="4"/>
      <c r="B864" s="5"/>
    </row>
    <row r="865" spans="1:2" ht="14.25" customHeight="1">
      <c r="A865" s="4"/>
      <c r="B865" s="5"/>
    </row>
    <row r="866" spans="1:2" ht="14.25" customHeight="1">
      <c r="A866" s="4"/>
      <c r="B866" s="5"/>
    </row>
    <row r="867" spans="1:2" ht="14.25" customHeight="1">
      <c r="A867" s="4"/>
      <c r="B867" s="5"/>
    </row>
    <row r="868" spans="1:2" ht="14.25" customHeight="1">
      <c r="A868" s="4"/>
      <c r="B868" s="5"/>
    </row>
    <row r="869" spans="1:2" ht="14.25" customHeight="1">
      <c r="A869" s="4"/>
      <c r="B869" s="5"/>
    </row>
    <row r="870" spans="1:2" ht="14.25" customHeight="1">
      <c r="A870" s="4"/>
      <c r="B870" s="5"/>
    </row>
    <row r="871" spans="1:2" ht="14.25" customHeight="1">
      <c r="A871" s="4"/>
      <c r="B871" s="5"/>
    </row>
    <row r="872" spans="1:2" ht="14.25" customHeight="1">
      <c r="A872" s="4"/>
      <c r="B872" s="5"/>
    </row>
    <row r="873" spans="1:2" ht="14.25" customHeight="1">
      <c r="A873" s="4"/>
      <c r="B873" s="5"/>
    </row>
    <row r="874" spans="1:2" ht="14.25" customHeight="1">
      <c r="A874" s="4"/>
      <c r="B874" s="5"/>
    </row>
    <row r="875" spans="1:2" ht="14.25" customHeight="1">
      <c r="A875" s="4"/>
      <c r="B875" s="5"/>
    </row>
    <row r="876" spans="1:2" ht="14.25" customHeight="1">
      <c r="A876" s="4"/>
      <c r="B876" s="5"/>
    </row>
    <row r="877" spans="1:2" ht="14.25" customHeight="1">
      <c r="A877" s="4"/>
      <c r="B877" s="5"/>
    </row>
    <row r="878" spans="1:2" ht="14.25" customHeight="1">
      <c r="A878" s="4"/>
      <c r="B878" s="5"/>
    </row>
    <row r="879" spans="1:2" ht="14.25" customHeight="1">
      <c r="A879" s="4"/>
      <c r="B879" s="5"/>
    </row>
    <row r="880" spans="1:2" ht="14.25" customHeight="1">
      <c r="A880" s="4"/>
      <c r="B880" s="5"/>
    </row>
    <row r="881" spans="1:2" ht="14.25" customHeight="1">
      <c r="A881" s="4"/>
      <c r="B881" s="5"/>
    </row>
    <row r="882" spans="1:2" ht="14.25" customHeight="1">
      <c r="A882" s="4"/>
      <c r="B882" s="5"/>
    </row>
    <row r="883" spans="1:2" ht="14.25" customHeight="1">
      <c r="A883" s="4"/>
      <c r="B883" s="5"/>
    </row>
    <row r="884" spans="1:2" ht="14.25" customHeight="1">
      <c r="A884" s="4"/>
      <c r="B884" s="5"/>
    </row>
    <row r="885" spans="1:2" ht="14.25" customHeight="1">
      <c r="A885" s="4"/>
      <c r="B885" s="5"/>
    </row>
    <row r="886" spans="1:2" ht="14.25" customHeight="1">
      <c r="A886" s="4"/>
      <c r="B886" s="5"/>
    </row>
    <row r="887" spans="1:2" ht="14.25" customHeight="1">
      <c r="A887" s="4"/>
      <c r="B887" s="5"/>
    </row>
    <row r="888" spans="1:2" ht="14.25" customHeight="1">
      <c r="A888" s="4"/>
      <c r="B888" s="5"/>
    </row>
    <row r="889" spans="1:2" ht="14.25" customHeight="1">
      <c r="A889" s="4"/>
      <c r="B889" s="5"/>
    </row>
    <row r="890" spans="1:2" ht="14.25" customHeight="1">
      <c r="A890" s="4"/>
      <c r="B890" s="5"/>
    </row>
    <row r="891" spans="1:2" ht="14.25" customHeight="1">
      <c r="A891" s="4"/>
      <c r="B891" s="5"/>
    </row>
    <row r="892" spans="1:2" ht="14.25" customHeight="1">
      <c r="A892" s="4"/>
      <c r="B892" s="5"/>
    </row>
    <row r="893" spans="1:2" ht="14.25" customHeight="1">
      <c r="A893" s="4"/>
      <c r="B893" s="5"/>
    </row>
    <row r="894" spans="1:2" ht="14.25" customHeight="1">
      <c r="A894" s="4"/>
      <c r="B894" s="5"/>
    </row>
    <row r="895" spans="1:2" ht="14.25" customHeight="1">
      <c r="A895" s="4"/>
      <c r="B895" s="5"/>
    </row>
    <row r="896" spans="1:2" ht="14.25" customHeight="1">
      <c r="A896" s="4"/>
      <c r="B896" s="5"/>
    </row>
    <row r="897" spans="1:2" ht="14.25" customHeight="1">
      <c r="A897" s="4"/>
      <c r="B897" s="5"/>
    </row>
    <row r="898" spans="1:2" ht="14.25" customHeight="1">
      <c r="A898" s="4"/>
      <c r="B898" s="5"/>
    </row>
    <row r="899" spans="1:2" ht="14.25" customHeight="1">
      <c r="A899" s="4"/>
      <c r="B899" s="5"/>
    </row>
    <row r="900" spans="1:2" ht="14.25" customHeight="1">
      <c r="A900" s="4"/>
      <c r="B900" s="5"/>
    </row>
    <row r="901" spans="1:2" ht="14.25" customHeight="1">
      <c r="A901" s="4"/>
      <c r="B901" s="5"/>
    </row>
    <row r="902" spans="1:2" ht="14.25" customHeight="1">
      <c r="A902" s="4"/>
      <c r="B902" s="5"/>
    </row>
    <row r="903" spans="1:2" ht="14.25" customHeight="1">
      <c r="A903" s="4"/>
      <c r="B903" s="5"/>
    </row>
    <row r="904" spans="1:2" ht="14.25" customHeight="1">
      <c r="A904" s="4"/>
      <c r="B904" s="5"/>
    </row>
    <row r="905" spans="1:2" ht="14.25" customHeight="1">
      <c r="A905" s="4"/>
      <c r="B905" s="5"/>
    </row>
    <row r="906" spans="1:2" ht="14.25" customHeight="1">
      <c r="A906" s="4"/>
      <c r="B906" s="5"/>
    </row>
    <row r="907" spans="1:2" ht="14.25" customHeight="1">
      <c r="A907" s="4"/>
      <c r="B907" s="5"/>
    </row>
    <row r="908" spans="1:2" ht="14.25" customHeight="1">
      <c r="A908" s="4"/>
      <c r="B908" s="5"/>
    </row>
    <row r="909" spans="1:2" ht="14.25" customHeight="1">
      <c r="A909" s="4"/>
      <c r="B909" s="5"/>
    </row>
    <row r="910" spans="1:2" ht="14.25" customHeight="1">
      <c r="A910" s="4"/>
      <c r="B910" s="5"/>
    </row>
    <row r="911" spans="1:2" ht="14.25" customHeight="1">
      <c r="A911" s="4"/>
      <c r="B911" s="5"/>
    </row>
    <row r="912" spans="1:2" ht="14.25" customHeight="1">
      <c r="A912" s="4"/>
      <c r="B912" s="5"/>
    </row>
    <row r="913" spans="1:2" ht="14.25" customHeight="1">
      <c r="A913" s="4"/>
      <c r="B913" s="5"/>
    </row>
    <row r="914" spans="1:2" ht="14.25" customHeight="1">
      <c r="A914" s="4"/>
      <c r="B914" s="5"/>
    </row>
    <row r="915" spans="1:2" ht="14.25" customHeight="1">
      <c r="A915" s="4"/>
      <c r="B915" s="5"/>
    </row>
    <row r="916" spans="1:2" ht="14.25" customHeight="1">
      <c r="A916" s="4"/>
      <c r="B916" s="5"/>
    </row>
    <row r="917" spans="1:2" ht="14.25" customHeight="1">
      <c r="A917" s="4"/>
      <c r="B917" s="5"/>
    </row>
    <row r="918" spans="1:2" ht="14.25" customHeight="1">
      <c r="A918" s="4"/>
      <c r="B918" s="5"/>
    </row>
    <row r="919" spans="1:2" ht="14.25" customHeight="1">
      <c r="A919" s="4"/>
      <c r="B919" s="5"/>
    </row>
    <row r="920" spans="1:2" ht="14.25" customHeight="1">
      <c r="A920" s="4"/>
      <c r="B920" s="5"/>
    </row>
    <row r="921" spans="1:2" ht="14.25" customHeight="1">
      <c r="A921" s="4"/>
      <c r="B921" s="5"/>
    </row>
    <row r="922" spans="1:2" ht="14.25" customHeight="1">
      <c r="A922" s="4"/>
      <c r="B922" s="5"/>
    </row>
    <row r="923" spans="1:2" ht="14.25" customHeight="1">
      <c r="A923" s="4"/>
      <c r="B923" s="5"/>
    </row>
    <row r="924" spans="1:2" ht="14.25" customHeight="1">
      <c r="A924" s="4"/>
      <c r="B924" s="5"/>
    </row>
    <row r="925" spans="1:2" ht="14.25" customHeight="1">
      <c r="A925" s="4"/>
      <c r="B925" s="5"/>
    </row>
    <row r="926" spans="1:2" ht="14.25" customHeight="1">
      <c r="A926" s="4"/>
      <c r="B926" s="5"/>
    </row>
    <row r="927" spans="1:2" ht="14.25" customHeight="1">
      <c r="A927" s="4"/>
      <c r="B927" s="5"/>
    </row>
    <row r="928" spans="1:2" ht="14.25" customHeight="1">
      <c r="A928" s="4"/>
      <c r="B928" s="5"/>
    </row>
    <row r="929" spans="1:2" ht="14.25" customHeight="1">
      <c r="A929" s="4"/>
      <c r="B929" s="5"/>
    </row>
    <row r="930" spans="1:2" ht="14.25" customHeight="1">
      <c r="A930" s="4"/>
      <c r="B930" s="5"/>
    </row>
    <row r="931" spans="1:2" ht="14.25" customHeight="1">
      <c r="A931" s="4"/>
      <c r="B931" s="5"/>
    </row>
    <row r="932" spans="1:2" ht="14.25" customHeight="1">
      <c r="A932" s="4"/>
      <c r="B932" s="5"/>
    </row>
    <row r="933" spans="1:2" ht="14.25" customHeight="1">
      <c r="A933" s="4"/>
      <c r="B933" s="5"/>
    </row>
    <row r="934" spans="1:2" ht="14.25" customHeight="1">
      <c r="A934" s="4"/>
      <c r="B934" s="5"/>
    </row>
    <row r="935" spans="1:2" ht="14.25" customHeight="1">
      <c r="A935" s="4"/>
      <c r="B935" s="5"/>
    </row>
    <row r="936" spans="1:2" ht="14.25" customHeight="1">
      <c r="A936" s="4"/>
      <c r="B936" s="5"/>
    </row>
    <row r="937" spans="1:2" ht="14.25" customHeight="1">
      <c r="A937" s="4"/>
      <c r="B937" s="5"/>
    </row>
    <row r="938" spans="1:2" ht="14.25" customHeight="1">
      <c r="A938" s="4"/>
      <c r="B938" s="5"/>
    </row>
    <row r="939" spans="1:2" ht="14.25" customHeight="1">
      <c r="A939" s="4"/>
      <c r="B939" s="5"/>
    </row>
    <row r="940" spans="1:2" ht="14.25" customHeight="1">
      <c r="A940" s="4"/>
      <c r="B940" s="5"/>
    </row>
    <row r="941" spans="1:2" ht="14.25" customHeight="1">
      <c r="A941" s="4"/>
      <c r="B941" s="5"/>
    </row>
    <row r="942" spans="1:2" ht="14.25" customHeight="1">
      <c r="A942" s="4"/>
      <c r="B942" s="5"/>
    </row>
    <row r="943" spans="1:2" ht="14.25" customHeight="1">
      <c r="A943" s="4"/>
      <c r="B943" s="5"/>
    </row>
    <row r="944" spans="1:2" ht="14.25" customHeight="1">
      <c r="A944" s="4"/>
      <c r="B944" s="5"/>
    </row>
    <row r="945" spans="1:2" ht="14.25" customHeight="1">
      <c r="A945" s="4"/>
      <c r="B945" s="5"/>
    </row>
    <row r="946" spans="1:2" ht="14.25" customHeight="1">
      <c r="A946" s="4"/>
      <c r="B946" s="5"/>
    </row>
    <row r="947" spans="1:2" ht="14.25" customHeight="1">
      <c r="A947" s="4"/>
      <c r="B947" s="5"/>
    </row>
    <row r="948" spans="1:2" ht="14.25" customHeight="1">
      <c r="A948" s="4"/>
      <c r="B948" s="5"/>
    </row>
    <row r="949" spans="1:2" ht="14.25" customHeight="1">
      <c r="A949" s="4"/>
      <c r="B949" s="5"/>
    </row>
    <row r="950" spans="1:2" ht="14.25" customHeight="1">
      <c r="A950" s="4"/>
      <c r="B950" s="5"/>
    </row>
    <row r="951" spans="1:2" ht="14.25" customHeight="1">
      <c r="A951" s="4"/>
      <c r="B951" s="5"/>
    </row>
    <row r="952" spans="1:2" ht="14.25" customHeight="1">
      <c r="A952" s="4"/>
      <c r="B952" s="5"/>
    </row>
    <row r="953" spans="1:2" ht="14.25" customHeight="1">
      <c r="A953" s="4"/>
      <c r="B953" s="5"/>
    </row>
    <row r="954" spans="1:2" ht="14.25" customHeight="1">
      <c r="A954" s="4"/>
      <c r="B954" s="5"/>
    </row>
    <row r="955" spans="1:2" ht="14.25" customHeight="1">
      <c r="A955" s="4"/>
      <c r="B955" s="5"/>
    </row>
    <row r="956" spans="1:2" ht="14.25" customHeight="1">
      <c r="A956" s="4"/>
      <c r="B956" s="5"/>
    </row>
    <row r="957" spans="1:2" ht="14.25" customHeight="1">
      <c r="A957" s="4"/>
      <c r="B957" s="5"/>
    </row>
    <row r="958" spans="1:2" ht="14.25" customHeight="1">
      <c r="A958" s="4"/>
      <c r="B958" s="5"/>
    </row>
    <row r="959" spans="1:2" ht="14.25" customHeight="1">
      <c r="A959" s="4"/>
      <c r="B959" s="5"/>
    </row>
    <row r="960" spans="1:2" ht="14.25" customHeight="1">
      <c r="A960" s="4"/>
      <c r="B960" s="5"/>
    </row>
    <row r="961" spans="1:2" ht="14.25" customHeight="1">
      <c r="A961" s="4"/>
      <c r="B961" s="5"/>
    </row>
    <row r="962" spans="1:2" ht="14.25" customHeight="1">
      <c r="A962" s="4"/>
      <c r="B962" s="5"/>
    </row>
    <row r="963" spans="1:2" ht="14.25" customHeight="1">
      <c r="A963" s="4"/>
      <c r="B963" s="5"/>
    </row>
    <row r="964" spans="1:2" ht="14.25" customHeight="1">
      <c r="A964" s="4"/>
      <c r="B964" s="5"/>
    </row>
    <row r="965" spans="1:2" ht="14.25" customHeight="1">
      <c r="A965" s="4"/>
      <c r="B965" s="5"/>
    </row>
    <row r="966" spans="1:2" ht="14.25" customHeight="1">
      <c r="A966" s="4"/>
      <c r="B966" s="5"/>
    </row>
    <row r="967" spans="1:2" ht="14.25" customHeight="1">
      <c r="A967" s="4"/>
      <c r="B967" s="5"/>
    </row>
    <row r="968" spans="1:2" ht="14.25" customHeight="1">
      <c r="A968" s="4"/>
      <c r="B968" s="5"/>
    </row>
    <row r="969" spans="1:2" ht="14.25" customHeight="1">
      <c r="A969" s="4"/>
      <c r="B969" s="5"/>
    </row>
    <row r="970" spans="1:2" ht="14.25" customHeight="1">
      <c r="A970" s="4"/>
      <c r="B970" s="5"/>
    </row>
    <row r="971" spans="1:2" ht="14.25" customHeight="1">
      <c r="A971" s="4"/>
      <c r="B971" s="5"/>
    </row>
    <row r="972" spans="1:2" ht="14.25" customHeight="1">
      <c r="A972" s="4"/>
      <c r="B972" s="5"/>
    </row>
    <row r="973" spans="1:2" ht="14.25" customHeight="1">
      <c r="A973" s="4"/>
      <c r="B973" s="5"/>
    </row>
    <row r="974" spans="1:2" ht="14.25" customHeight="1">
      <c r="A974" s="4"/>
      <c r="B974" s="5"/>
    </row>
    <row r="975" spans="1:2" ht="14.25" customHeight="1">
      <c r="A975" s="4"/>
      <c r="B975" s="5"/>
    </row>
    <row r="976" spans="1:2" ht="14.25" customHeight="1">
      <c r="A976" s="4"/>
      <c r="B976" s="5"/>
    </row>
    <row r="977" spans="1:2" ht="14.25" customHeight="1">
      <c r="A977" s="4"/>
      <c r="B977" s="5"/>
    </row>
    <row r="978" spans="1:2" ht="14.25" customHeight="1">
      <c r="A978" s="4"/>
      <c r="B978" s="5"/>
    </row>
    <row r="979" spans="1:2" ht="14.25" customHeight="1">
      <c r="A979" s="4"/>
      <c r="B979" s="5"/>
    </row>
    <row r="980" spans="1:2" ht="14.25" customHeight="1">
      <c r="A980" s="4"/>
      <c r="B980" s="5"/>
    </row>
    <row r="981" spans="1:2" ht="14.25" customHeight="1">
      <c r="A981" s="4"/>
      <c r="B981" s="5"/>
    </row>
    <row r="982" spans="1:2" ht="14.25" customHeight="1">
      <c r="A982" s="4"/>
      <c r="B982" s="5"/>
    </row>
    <row r="983" spans="1:2" ht="14.25" customHeight="1">
      <c r="A983" s="4"/>
      <c r="B983" s="5"/>
    </row>
    <row r="984" spans="1:2" ht="14.25" customHeight="1">
      <c r="A984" s="4"/>
      <c r="B984" s="5"/>
    </row>
    <row r="985" spans="1:2" ht="14.25" customHeight="1">
      <c r="A985" s="4"/>
      <c r="B985" s="5"/>
    </row>
    <row r="986" spans="1:2" ht="14.25" customHeight="1">
      <c r="A986" s="4"/>
      <c r="B986" s="5"/>
    </row>
    <row r="987" spans="1:2" ht="14.25" customHeight="1">
      <c r="A987" s="4"/>
      <c r="B987" s="5"/>
    </row>
    <row r="988" spans="1:2" ht="14.25" customHeight="1">
      <c r="A988" s="4"/>
      <c r="B988" s="5"/>
    </row>
    <row r="989" spans="1:2" ht="14.25" customHeight="1">
      <c r="A989" s="4"/>
      <c r="B989" s="5"/>
    </row>
    <row r="990" spans="1:2" ht="14.25" customHeight="1">
      <c r="A990" s="4"/>
      <c r="B990" s="5"/>
    </row>
    <row r="991" spans="1:2" ht="14.25" customHeight="1">
      <c r="A991" s="4"/>
      <c r="B991" s="5"/>
    </row>
    <row r="992" spans="1:2" ht="14.25" customHeight="1">
      <c r="A992" s="4"/>
      <c r="B992" s="5"/>
    </row>
    <row r="993" spans="1:2" ht="14.25" customHeight="1">
      <c r="A993" s="4"/>
      <c r="B993" s="5"/>
    </row>
    <row r="994" spans="1:2" ht="14.25" customHeight="1">
      <c r="A994" s="4"/>
      <c r="B994" s="5"/>
    </row>
    <row r="995" spans="1:2" ht="14.25" customHeight="1">
      <c r="A995" s="4"/>
      <c r="B995" s="5"/>
    </row>
    <row r="996" spans="1:2" ht="14.25" customHeight="1">
      <c r="A996" s="4"/>
      <c r="B996" s="5"/>
    </row>
    <row r="997" spans="1:2" ht="14.25" customHeight="1">
      <c r="A997" s="4"/>
      <c r="B997" s="5"/>
    </row>
    <row r="998" spans="1:2" ht="14.25" customHeight="1">
      <c r="A998" s="4"/>
      <c r="B998" s="5"/>
    </row>
    <row r="999" spans="1:2" ht="14.25" customHeight="1">
      <c r="A999" s="4"/>
      <c r="B999" s="5"/>
    </row>
    <row r="1000" spans="1:2" ht="14.25" customHeight="1">
      <c r="A1000" s="4"/>
      <c r="B1000" s="5"/>
    </row>
  </sheetData>
  <autoFilter ref="A6:F154" xr:uid="{00000000-0009-0000-0000-000000000000}"/>
  <customSheetViews>
    <customSheetView guid="{5B977F16-71B0-46A5-85B0-37803B6F8619}" filter="1" showAutoFilter="1">
      <pageMargins left="0.7" right="0.7" top="0.75" bottom="0.75" header="0.3" footer="0.3"/>
      <autoFilter ref="A6:F154" xr:uid="{2F82F275-1A65-4C6F-B618-78C25AAA9E67}"/>
      <extLst>
        <ext uri="GoogleSheetsCustomDataVersion1">
          <go:sheetsCustomData xmlns:go="http://customooxmlschemas.google.com/" filterViewId="811994024"/>
        </ext>
      </extLst>
    </customSheetView>
    <customSheetView guid="{B48AB9B1-ABCB-4969-9A44-080A32004BB6}" filter="1" showAutoFilter="1">
      <pageMargins left="0.7" right="0.7" top="0.75" bottom="0.75" header="0.3" footer="0.3"/>
      <autoFilter ref="A6:F154" xr:uid="{06A30CA5-A92A-492E-A6E6-993873125EDC}"/>
      <extLst>
        <ext uri="GoogleSheetsCustomDataVersion1">
          <go:sheetsCustomData xmlns:go="http://customooxmlschemas.google.com/" filterViewId="677696009"/>
        </ext>
      </extLst>
    </customSheetView>
    <customSheetView guid="{6DBA1DF2-B961-4824-A638-68D2235E258C}" filter="1" showAutoFilter="1">
      <pageMargins left="0.7" right="0.7" top="0.75" bottom="0.75" header="0.3" footer="0.3"/>
      <autoFilter ref="A6:F154" xr:uid="{F8C6E401-62CD-40AB-8EA4-6540A8F1C790}"/>
      <extLst>
        <ext uri="GoogleSheetsCustomDataVersion1">
          <go:sheetsCustomData xmlns:go="http://customooxmlschemas.google.com/" filterViewId="333433522"/>
        </ext>
      </extLst>
    </customSheetView>
    <customSheetView guid="{7D776790-6EE6-4890-AEAD-CC685CF5AC69}" filter="1" showAutoFilter="1">
      <pageMargins left="0.7" right="0.7" top="0.75" bottom="0.75" header="0.3" footer="0.3"/>
      <autoFilter ref="A6:F154" xr:uid="{88E18FBA-E790-4630-9C3B-F4EE6812AED3}"/>
      <extLst>
        <ext uri="GoogleSheetsCustomDataVersion1">
          <go:sheetsCustomData xmlns:go="http://customooxmlschemas.google.com/" filterViewId="229210703"/>
        </ext>
      </extLst>
    </customSheetView>
    <customSheetView guid="{2725018A-75FC-4F1C-84B0-F6408FBACE16}" filter="1" showAutoFilter="1">
      <pageMargins left="0.7" right="0.7" top="0.75" bottom="0.75" header="0.3" footer="0.3"/>
      <autoFilter ref="A6:F154" xr:uid="{8DA92A04-BDC1-4758-9297-0F9287752BCF}"/>
      <extLst>
        <ext uri="GoogleSheetsCustomDataVersion1">
          <go:sheetsCustomData xmlns:go="http://customooxmlschemas.google.com/" filterViewId="21464485"/>
        </ext>
      </extLst>
    </customSheetView>
    <customSheetView guid="{040E2B87-7533-4707-9322-D403F4F7577B}" filter="1" showAutoFilter="1">
      <pageMargins left="0.7" right="0.7" top="0.75" bottom="0.75" header="0.3" footer="0.3"/>
      <autoFilter ref="A6:F154" xr:uid="{4191CCF9-23C2-449B-BECB-4EF1A965067A}"/>
      <extLst>
        <ext uri="GoogleSheetsCustomDataVersion1">
          <go:sheetsCustomData xmlns:go="http://customooxmlschemas.google.com/" filterViewId="2122693360"/>
        </ext>
      </extLst>
    </customSheetView>
    <customSheetView guid="{A2126CFA-336F-4251-8FBA-F8792C4B397B}" filter="1" showAutoFilter="1">
      <pageMargins left="0.7" right="0.7" top="0.75" bottom="0.75" header="0.3" footer="0.3"/>
      <autoFilter ref="A6:F154" xr:uid="{FCADE7EE-D847-400A-A3C0-B1745C4FBCEE}"/>
      <extLst>
        <ext uri="GoogleSheetsCustomDataVersion1">
          <go:sheetsCustomData xmlns:go="http://customooxmlschemas.google.com/" filterViewId="2044651211"/>
        </ext>
      </extLst>
    </customSheetView>
    <customSheetView guid="{62279284-2A04-4898-9B19-D0B29F26DFD3}" filter="1" showAutoFilter="1">
      <pageMargins left="0.7" right="0.7" top="0.75" bottom="0.75" header="0.3" footer="0.3"/>
      <autoFilter ref="A6:F154" xr:uid="{5E30353D-233D-488A-91B7-F60C373BC701}"/>
      <extLst>
        <ext uri="GoogleSheetsCustomDataVersion1">
          <go:sheetsCustomData xmlns:go="http://customooxmlschemas.google.com/" filterViewId="1957407650"/>
        </ext>
      </extLst>
    </customSheetView>
  </customSheetViews>
  <pageMargins left="0.7" right="0.7" top="0.25" bottom="0.2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sqref="A1:A39"/>
    </sheetView>
  </sheetViews>
  <sheetFormatPr defaultColWidth="14.42578125" defaultRowHeight="15" customHeight="1"/>
  <cols>
    <col min="1" max="5" width="8.7109375" customWidth="1"/>
    <col min="6" max="6" width="1.85546875" customWidth="1"/>
    <col min="7" max="7" width="7.5703125" customWidth="1"/>
    <col min="8" max="8" width="7.28515625" customWidth="1"/>
    <col min="9" max="9" width="7.7109375" customWidth="1"/>
    <col min="10" max="10" width="2.28515625" customWidth="1"/>
    <col min="11" max="11" width="11.85546875" customWidth="1"/>
    <col min="12" max="12" width="12.140625" customWidth="1"/>
    <col min="13" max="13" width="10.85546875" customWidth="1"/>
    <col min="14" max="14" width="10.28515625" customWidth="1"/>
    <col min="15" max="15" width="6.42578125" customWidth="1"/>
    <col min="16" max="16" width="5.7109375" customWidth="1"/>
    <col min="17" max="17" width="10.85546875" customWidth="1"/>
    <col min="18" max="19" width="8.7109375" customWidth="1"/>
    <col min="20" max="20" width="11.42578125" customWidth="1"/>
    <col min="21" max="26" width="8.7109375" customWidth="1"/>
  </cols>
  <sheetData>
    <row r="1" spans="1:23" ht="14.25" customHeight="1">
      <c r="F1" s="10"/>
      <c r="J1" s="10"/>
    </row>
    <row r="2" spans="1:23" ht="14.25" customHeight="1">
      <c r="B2" s="6">
        <v>865</v>
      </c>
      <c r="C2" s="6">
        <v>945</v>
      </c>
      <c r="D2" s="6" t="s">
        <v>247</v>
      </c>
      <c r="E2" s="6" t="s">
        <v>248</v>
      </c>
      <c r="F2" s="10"/>
      <c r="J2" s="10"/>
    </row>
    <row r="3" spans="1:23" ht="14.25" customHeight="1">
      <c r="F3" s="10"/>
      <c r="J3" s="10"/>
    </row>
    <row r="4" spans="1:23" ht="14.25" customHeight="1">
      <c r="F4" s="10"/>
      <c r="G4" s="1014" t="s">
        <v>249</v>
      </c>
      <c r="H4" s="1015"/>
      <c r="I4" s="1015"/>
      <c r="J4" s="10"/>
      <c r="K4" s="6" t="s">
        <v>250</v>
      </c>
      <c r="L4" s="6" t="s">
        <v>251</v>
      </c>
      <c r="M4" s="6" t="s">
        <v>252</v>
      </c>
      <c r="N4" s="6" t="s">
        <v>253</v>
      </c>
      <c r="O4" s="6" t="s">
        <v>254</v>
      </c>
      <c r="T4" s="4">
        <v>42593</v>
      </c>
    </row>
    <row r="5" spans="1:23" ht="14.25" customHeight="1">
      <c r="A5" s="6" t="s">
        <v>255</v>
      </c>
      <c r="B5" s="6">
        <v>875</v>
      </c>
      <c r="C5" s="6">
        <v>1000</v>
      </c>
      <c r="D5" s="6">
        <v>1000</v>
      </c>
      <c r="E5" s="6">
        <v>1200</v>
      </c>
      <c r="F5" s="10"/>
      <c r="I5" s="6">
        <v>40</v>
      </c>
      <c r="J5" s="10"/>
      <c r="K5" s="4">
        <v>42262</v>
      </c>
      <c r="L5" s="11" t="s">
        <v>256</v>
      </c>
      <c r="M5" s="4">
        <f t="shared" ref="M5:M8" ca="1" si="0">TODAY()</f>
        <v>45837</v>
      </c>
      <c r="N5" s="6">
        <v>1850</v>
      </c>
      <c r="O5" s="6">
        <v>4.0999999999999996</v>
      </c>
      <c r="P5" s="12">
        <f t="shared" ref="P5:P8" ca="1" si="1">DAYS360(K5,M5)*14%/365</f>
        <v>1.3516712328767124</v>
      </c>
      <c r="Q5" s="13">
        <f t="shared" ref="Q5:Q8" ca="1" si="2">N5+N5*P5</f>
        <v>4350.5917808219183</v>
      </c>
      <c r="T5" s="13">
        <v>2081.3260273972605</v>
      </c>
    </row>
    <row r="6" spans="1:23" ht="14.25" customHeight="1">
      <c r="A6" s="6" t="s">
        <v>257</v>
      </c>
      <c r="B6" s="6" t="s">
        <v>258</v>
      </c>
      <c r="C6" s="6">
        <v>7200</v>
      </c>
      <c r="D6" s="6">
        <v>600</v>
      </c>
      <c r="E6" s="6">
        <v>8200</v>
      </c>
      <c r="F6" s="10"/>
      <c r="G6" s="6">
        <v>810</v>
      </c>
      <c r="H6" s="6">
        <v>20</v>
      </c>
      <c r="I6" s="6">
        <v>40</v>
      </c>
      <c r="J6" s="10"/>
      <c r="K6" s="4">
        <v>42262</v>
      </c>
      <c r="L6" s="6" t="s">
        <v>259</v>
      </c>
      <c r="M6" s="4">
        <f t="shared" ca="1" si="0"/>
        <v>45837</v>
      </c>
      <c r="N6" s="6">
        <v>1950</v>
      </c>
      <c r="O6" s="6">
        <v>2.1</v>
      </c>
      <c r="P6" s="12">
        <f t="shared" ca="1" si="1"/>
        <v>1.3516712328767124</v>
      </c>
      <c r="Q6" s="13">
        <f t="shared" ca="1" si="2"/>
        <v>4585.7589041095889</v>
      </c>
      <c r="T6" s="13">
        <v>2193.8301369863016</v>
      </c>
    </row>
    <row r="7" spans="1:23" ht="14.25" customHeight="1">
      <c r="A7" s="6" t="s">
        <v>260</v>
      </c>
      <c r="B7" s="6" t="s">
        <v>261</v>
      </c>
      <c r="C7" s="6">
        <v>0</v>
      </c>
      <c r="D7" s="6">
        <v>1900</v>
      </c>
      <c r="E7" s="6">
        <v>3250</v>
      </c>
      <c r="F7" s="10"/>
      <c r="G7" s="6">
        <v>811</v>
      </c>
      <c r="H7" s="6">
        <v>40</v>
      </c>
      <c r="I7" s="6">
        <v>80</v>
      </c>
      <c r="J7" s="10"/>
      <c r="K7" s="4">
        <v>42262</v>
      </c>
      <c r="L7" s="11" t="s">
        <v>262</v>
      </c>
      <c r="M7" s="4">
        <f t="shared" ca="1" si="0"/>
        <v>45837</v>
      </c>
      <c r="N7" s="6">
        <v>1950</v>
      </c>
      <c r="P7" s="12">
        <f t="shared" ca="1" si="1"/>
        <v>1.3516712328767124</v>
      </c>
      <c r="Q7" s="13">
        <f t="shared" ca="1" si="2"/>
        <v>4585.7589041095889</v>
      </c>
      <c r="T7" s="13">
        <v>2193.8301369863016</v>
      </c>
    </row>
    <row r="8" spans="1:23" ht="14.25" customHeight="1">
      <c r="A8" s="6" t="s">
        <v>263</v>
      </c>
      <c r="B8" s="6">
        <v>4</v>
      </c>
      <c r="C8" s="6">
        <v>1350</v>
      </c>
      <c r="D8" s="6">
        <v>1200</v>
      </c>
      <c r="E8" s="6">
        <v>1500</v>
      </c>
      <c r="F8" s="10"/>
      <c r="G8" s="6">
        <v>1012</v>
      </c>
      <c r="H8" s="6">
        <v>40</v>
      </c>
      <c r="I8" s="6">
        <v>80</v>
      </c>
      <c r="J8" s="10"/>
      <c r="K8" s="4">
        <v>42203</v>
      </c>
      <c r="L8" s="11" t="s">
        <v>264</v>
      </c>
      <c r="M8" s="4">
        <f t="shared" ca="1" si="0"/>
        <v>45837</v>
      </c>
      <c r="N8" s="6">
        <v>1980</v>
      </c>
      <c r="O8" s="6">
        <v>2.1</v>
      </c>
      <c r="P8" s="12">
        <f t="shared" ca="1" si="1"/>
        <v>1.3735342465753426</v>
      </c>
      <c r="Q8" s="13">
        <f t="shared" ca="1" si="2"/>
        <v>4699.5978082191778</v>
      </c>
      <c r="T8" s="13">
        <v>2270.8701369863015</v>
      </c>
      <c r="W8" s="6">
        <f>12*18*0.85*2+120</f>
        <v>487.2</v>
      </c>
    </row>
    <row r="9" spans="1:23" ht="14.25" customHeight="1">
      <c r="A9" s="6" t="s">
        <v>265</v>
      </c>
      <c r="B9" s="6" t="s">
        <v>266</v>
      </c>
      <c r="C9" s="6">
        <v>3250</v>
      </c>
      <c r="D9" s="6">
        <v>1200</v>
      </c>
      <c r="E9" s="6">
        <v>3300</v>
      </c>
      <c r="F9" s="10"/>
      <c r="G9" s="6">
        <v>1015</v>
      </c>
      <c r="H9" s="6">
        <v>40</v>
      </c>
      <c r="I9" s="6">
        <v>100</v>
      </c>
      <c r="J9" s="10"/>
    </row>
    <row r="10" spans="1:23" ht="14.25" hidden="1" customHeight="1">
      <c r="A10" s="6" t="s">
        <v>173</v>
      </c>
      <c r="B10" s="6" t="s">
        <v>267</v>
      </c>
      <c r="C10" s="6">
        <v>1000</v>
      </c>
      <c r="D10" s="6">
        <v>0</v>
      </c>
      <c r="E10" s="6">
        <v>950</v>
      </c>
      <c r="F10" s="10"/>
      <c r="G10" s="6">
        <v>1215</v>
      </c>
      <c r="H10" s="6">
        <v>70</v>
      </c>
      <c r="I10" s="6">
        <v>140</v>
      </c>
      <c r="J10" s="10"/>
    </row>
    <row r="11" spans="1:23" ht="14.25" customHeight="1">
      <c r="A11" s="6" t="s">
        <v>268</v>
      </c>
      <c r="D11" s="6">
        <v>200</v>
      </c>
      <c r="E11" s="6">
        <v>400</v>
      </c>
      <c r="F11" s="10"/>
      <c r="G11" s="6">
        <v>1218</v>
      </c>
      <c r="H11" s="6">
        <v>60</v>
      </c>
      <c r="I11" s="6">
        <v>150</v>
      </c>
      <c r="J11" s="10"/>
    </row>
    <row r="12" spans="1:23" ht="14.25" customHeight="1">
      <c r="A12" s="6" t="s">
        <v>269</v>
      </c>
      <c r="D12" s="6">
        <v>200</v>
      </c>
      <c r="F12" s="10"/>
      <c r="G12" s="6">
        <v>1620</v>
      </c>
      <c r="H12" s="6">
        <v>180</v>
      </c>
      <c r="I12" s="6">
        <v>400</v>
      </c>
      <c r="J12" s="10"/>
    </row>
    <row r="13" spans="1:23" ht="14.25" customHeight="1">
      <c r="A13" s="6" t="s">
        <v>270</v>
      </c>
      <c r="D13" s="6">
        <v>5400</v>
      </c>
      <c r="E13" s="6">
        <v>5350</v>
      </c>
      <c r="F13" s="10"/>
      <c r="G13" s="6">
        <v>2030</v>
      </c>
      <c r="J13" s="10"/>
    </row>
    <row r="14" spans="1:23" ht="14.25" customHeight="1">
      <c r="A14" s="6" t="s">
        <v>271</v>
      </c>
      <c r="F14" s="10"/>
      <c r="J14" s="10"/>
    </row>
    <row r="15" spans="1:23" ht="14.25" customHeight="1">
      <c r="F15" s="10"/>
      <c r="J15" s="10"/>
    </row>
    <row r="16" spans="1:23" ht="15" customHeight="1">
      <c r="B16" s="6">
        <f t="shared" ref="B16:E16" si="3">SUM(B5:B15)</f>
        <v>879</v>
      </c>
      <c r="C16" s="6">
        <f t="shared" si="3"/>
        <v>13800</v>
      </c>
      <c r="D16" s="6">
        <f t="shared" si="3"/>
        <v>11700</v>
      </c>
      <c r="E16" s="6">
        <f t="shared" si="3"/>
        <v>24150</v>
      </c>
      <c r="F16" s="10"/>
      <c r="J16" s="10"/>
    </row>
    <row r="17" spans="6:10" ht="14.25" customHeight="1">
      <c r="F17" s="10"/>
      <c r="J17" s="10"/>
    </row>
    <row r="18" spans="6:10" ht="14.25" customHeight="1">
      <c r="F18" s="10"/>
      <c r="J18" s="10"/>
    </row>
    <row r="19" spans="6:10" ht="14.25" customHeight="1">
      <c r="F19" s="10"/>
      <c r="J19" s="10"/>
    </row>
    <row r="20" spans="6:10" ht="14.25" customHeight="1">
      <c r="F20" s="10"/>
      <c r="J20" s="10"/>
    </row>
    <row r="21" spans="6:10" ht="14.25" customHeight="1">
      <c r="F21" s="10"/>
      <c r="J21" s="10"/>
    </row>
    <row r="22" spans="6:10" ht="14.25" customHeight="1">
      <c r="F22" s="10"/>
      <c r="J22" s="10"/>
    </row>
    <row r="23" spans="6:10" ht="14.25" customHeight="1">
      <c r="F23" s="10"/>
      <c r="J23" s="10"/>
    </row>
    <row r="24" spans="6:10" ht="14.25" customHeight="1">
      <c r="F24" s="10"/>
      <c r="J24" s="10"/>
    </row>
    <row r="25" spans="6:10" ht="14.25" customHeight="1">
      <c r="F25" s="10"/>
      <c r="J25" s="10"/>
    </row>
    <row r="26" spans="6:10" ht="14.25" customHeight="1">
      <c r="F26" s="10"/>
      <c r="J26" s="10"/>
    </row>
    <row r="27" spans="6:10" ht="14.25" customHeight="1">
      <c r="F27" s="10"/>
      <c r="J27" s="10"/>
    </row>
    <row r="28" spans="6:10" ht="14.25" customHeight="1">
      <c r="F28" s="10"/>
      <c r="J28" s="10"/>
    </row>
    <row r="29" spans="6:10" ht="15" customHeight="1">
      <c r="F29" s="10"/>
      <c r="J29" s="10"/>
    </row>
    <row r="30" spans="6:10" ht="14.25" customHeight="1">
      <c r="F30" s="10"/>
      <c r="J30" s="10"/>
    </row>
    <row r="31" spans="6:10" ht="14.25" customHeight="1">
      <c r="F31" s="10"/>
      <c r="J31" s="10"/>
    </row>
    <row r="32" spans="6:10" ht="14.25" customHeight="1">
      <c r="F32" s="10"/>
      <c r="J32" s="10"/>
    </row>
    <row r="33" spans="6:10" ht="14.25" customHeight="1">
      <c r="F33" s="10"/>
      <c r="J33" s="10"/>
    </row>
    <row r="34" spans="6:10" ht="14.25" customHeight="1">
      <c r="F34" s="10"/>
      <c r="J34" s="10"/>
    </row>
    <row r="35" spans="6:10" ht="14.25" customHeight="1">
      <c r="F35" s="10"/>
      <c r="J35" s="10"/>
    </row>
    <row r="36" spans="6:10" ht="14.25" customHeight="1">
      <c r="F36" s="10"/>
      <c r="J36" s="10"/>
    </row>
    <row r="37" spans="6:10" ht="14.25" customHeight="1">
      <c r="F37" s="10"/>
      <c r="J37" s="10"/>
    </row>
    <row r="38" spans="6:10" ht="14.25" customHeight="1">
      <c r="F38" s="10"/>
      <c r="J38" s="10"/>
    </row>
    <row r="39" spans="6:10" ht="14.25" customHeight="1">
      <c r="F39" s="10"/>
      <c r="J39" s="10"/>
    </row>
    <row r="40" spans="6:10" ht="14.25" customHeight="1">
      <c r="F40" s="10"/>
      <c r="J40" s="10"/>
    </row>
    <row r="41" spans="6:10" ht="14.25" customHeight="1">
      <c r="F41" s="10"/>
      <c r="J41" s="10"/>
    </row>
    <row r="42" spans="6:10" ht="14.25" customHeight="1">
      <c r="F42" s="10"/>
      <c r="J42" s="10"/>
    </row>
    <row r="43" spans="6:10" ht="14.25" customHeight="1">
      <c r="F43" s="10"/>
      <c r="J43" s="10"/>
    </row>
    <row r="44" spans="6:10" ht="14.25" customHeight="1">
      <c r="F44" s="10"/>
      <c r="J44" s="10"/>
    </row>
    <row r="45" spans="6:10" ht="14.25" customHeight="1">
      <c r="F45" s="10"/>
      <c r="J45" s="10"/>
    </row>
    <row r="46" spans="6:10" ht="14.25" customHeight="1">
      <c r="F46" s="10"/>
      <c r="J46" s="10"/>
    </row>
    <row r="47" spans="6:10" ht="14.25" customHeight="1">
      <c r="F47" s="10"/>
      <c r="J47" s="10"/>
    </row>
    <row r="48" spans="6:10" ht="14.25" customHeight="1">
      <c r="F48" s="10"/>
      <c r="J48" s="10"/>
    </row>
    <row r="49" spans="6:10" ht="14.25" customHeight="1">
      <c r="F49" s="10"/>
      <c r="J49" s="10"/>
    </row>
    <row r="50" spans="6:10" ht="14.25" customHeight="1">
      <c r="F50" s="10"/>
      <c r="J50" s="10"/>
    </row>
    <row r="51" spans="6:10" ht="14.25" customHeight="1">
      <c r="F51" s="10"/>
      <c r="J51" s="10"/>
    </row>
    <row r="52" spans="6:10" ht="14.25" customHeight="1">
      <c r="F52" s="10"/>
      <c r="J52" s="10"/>
    </row>
    <row r="53" spans="6:10" ht="14.25" customHeight="1">
      <c r="F53" s="10"/>
      <c r="J53" s="10"/>
    </row>
    <row r="54" spans="6:10" ht="14.25" customHeight="1">
      <c r="F54" s="10"/>
      <c r="J54" s="10"/>
    </row>
    <row r="55" spans="6:10" ht="14.25" customHeight="1">
      <c r="F55" s="10"/>
      <c r="J55" s="10"/>
    </row>
    <row r="56" spans="6:10" ht="14.25" customHeight="1">
      <c r="F56" s="10"/>
      <c r="J56" s="10"/>
    </row>
    <row r="57" spans="6:10" ht="14.25" customHeight="1">
      <c r="F57" s="10"/>
      <c r="J57" s="10"/>
    </row>
    <row r="58" spans="6:10" ht="14.25" customHeight="1">
      <c r="F58" s="10"/>
      <c r="J58" s="10"/>
    </row>
    <row r="59" spans="6:10" ht="14.25" customHeight="1">
      <c r="F59" s="10"/>
      <c r="J59" s="10"/>
    </row>
    <row r="60" spans="6:10" ht="14.25" customHeight="1">
      <c r="F60" s="10"/>
      <c r="J60" s="10"/>
    </row>
    <row r="61" spans="6:10" ht="14.25" customHeight="1">
      <c r="F61" s="10"/>
      <c r="J61" s="10"/>
    </row>
    <row r="62" spans="6:10" ht="14.25" customHeight="1">
      <c r="F62" s="10"/>
      <c r="J62" s="10"/>
    </row>
    <row r="63" spans="6:10" ht="14.25" customHeight="1">
      <c r="F63" s="10"/>
      <c r="J63" s="10"/>
    </row>
    <row r="64" spans="6:10" ht="14.25" customHeight="1">
      <c r="F64" s="10"/>
      <c r="J64" s="10"/>
    </row>
    <row r="65" spans="6:10" ht="14.25" customHeight="1">
      <c r="F65" s="10"/>
      <c r="J65" s="10"/>
    </row>
    <row r="66" spans="6:10" ht="14.25" customHeight="1">
      <c r="F66" s="10"/>
      <c r="J66" s="10"/>
    </row>
    <row r="67" spans="6:10" ht="14.25" customHeight="1">
      <c r="F67" s="10"/>
      <c r="J67" s="10"/>
    </row>
    <row r="68" spans="6:10" ht="14.25" customHeight="1">
      <c r="F68" s="10"/>
      <c r="J68" s="10"/>
    </row>
    <row r="69" spans="6:10" ht="14.25" customHeight="1">
      <c r="F69" s="10"/>
      <c r="J69" s="10"/>
    </row>
    <row r="70" spans="6:10" ht="14.25" customHeight="1">
      <c r="F70" s="10"/>
      <c r="J70" s="10"/>
    </row>
    <row r="71" spans="6:10" ht="14.25" customHeight="1">
      <c r="F71" s="10"/>
      <c r="J71" s="10"/>
    </row>
    <row r="72" spans="6:10" ht="14.25" customHeight="1">
      <c r="F72" s="10"/>
      <c r="J72" s="10"/>
    </row>
    <row r="73" spans="6:10" ht="14.25" customHeight="1">
      <c r="F73" s="10"/>
      <c r="J73" s="10"/>
    </row>
    <row r="74" spans="6:10" ht="14.25" customHeight="1">
      <c r="F74" s="10"/>
      <c r="J74" s="10"/>
    </row>
    <row r="75" spans="6:10" ht="14.25" customHeight="1">
      <c r="F75" s="10"/>
      <c r="J75" s="10"/>
    </row>
    <row r="76" spans="6:10" ht="14.25" customHeight="1">
      <c r="F76" s="10"/>
      <c r="J76" s="10"/>
    </row>
    <row r="77" spans="6:10" ht="14.25" customHeight="1">
      <c r="F77" s="10"/>
      <c r="J77" s="10"/>
    </row>
    <row r="78" spans="6:10" ht="14.25" customHeight="1">
      <c r="F78" s="10"/>
      <c r="J78" s="10"/>
    </row>
    <row r="79" spans="6:10" ht="14.25" customHeight="1">
      <c r="F79" s="10"/>
      <c r="J79" s="10"/>
    </row>
    <row r="80" spans="6:10" ht="14.25" customHeight="1">
      <c r="F80" s="10"/>
      <c r="J80" s="10"/>
    </row>
    <row r="81" spans="6:10" ht="14.25" customHeight="1">
      <c r="F81" s="10"/>
      <c r="J81" s="10"/>
    </row>
    <row r="82" spans="6:10" ht="14.25" customHeight="1">
      <c r="F82" s="10"/>
      <c r="J82" s="10"/>
    </row>
    <row r="83" spans="6:10" ht="14.25" customHeight="1">
      <c r="F83" s="10"/>
      <c r="J83" s="10"/>
    </row>
    <row r="84" spans="6:10" ht="14.25" customHeight="1">
      <c r="F84" s="10"/>
      <c r="J84" s="10"/>
    </row>
    <row r="85" spans="6:10" ht="14.25" customHeight="1">
      <c r="F85" s="10"/>
      <c r="J85" s="10"/>
    </row>
    <row r="86" spans="6:10" ht="14.25" customHeight="1">
      <c r="F86" s="10"/>
      <c r="J86" s="10"/>
    </row>
    <row r="87" spans="6:10" ht="14.25" customHeight="1">
      <c r="F87" s="10"/>
      <c r="J87" s="10"/>
    </row>
    <row r="88" spans="6:10" ht="14.25" customHeight="1">
      <c r="F88" s="10"/>
      <c r="J88" s="10"/>
    </row>
    <row r="89" spans="6:10" ht="14.25" customHeight="1">
      <c r="F89" s="10"/>
      <c r="J89" s="10"/>
    </row>
    <row r="90" spans="6:10" ht="14.25" customHeight="1">
      <c r="F90" s="10"/>
      <c r="J90" s="10"/>
    </row>
    <row r="91" spans="6:10" ht="14.25" customHeight="1">
      <c r="F91" s="10"/>
      <c r="J91" s="10"/>
    </row>
    <row r="92" spans="6:10" ht="14.25" customHeight="1">
      <c r="F92" s="10"/>
      <c r="J92" s="10"/>
    </row>
    <row r="93" spans="6:10" ht="14.25" customHeight="1">
      <c r="F93" s="10"/>
      <c r="J93" s="10"/>
    </row>
    <row r="94" spans="6:10" ht="14.25" customHeight="1">
      <c r="F94" s="10"/>
      <c r="J94" s="10"/>
    </row>
    <row r="95" spans="6:10" ht="14.25" customHeight="1">
      <c r="F95" s="10"/>
      <c r="J95" s="10"/>
    </row>
    <row r="96" spans="6:10" ht="14.25" customHeight="1">
      <c r="F96" s="10"/>
      <c r="J96" s="10"/>
    </row>
    <row r="97" spans="6:10" ht="14.25" customHeight="1">
      <c r="F97" s="10"/>
      <c r="J97" s="10"/>
    </row>
    <row r="98" spans="6:10" ht="14.25" customHeight="1">
      <c r="F98" s="10"/>
      <c r="J98" s="10"/>
    </row>
    <row r="99" spans="6:10" ht="14.25" customHeight="1">
      <c r="F99" s="10"/>
      <c r="J99" s="10"/>
    </row>
    <row r="100" spans="6:10" ht="14.25" customHeight="1">
      <c r="F100" s="10"/>
      <c r="J100" s="10"/>
    </row>
    <row r="101" spans="6:10" ht="14.25" customHeight="1">
      <c r="F101" s="10"/>
      <c r="J101" s="10"/>
    </row>
    <row r="102" spans="6:10" ht="14.25" customHeight="1">
      <c r="F102" s="10"/>
      <c r="J102" s="10"/>
    </row>
    <row r="103" spans="6:10" ht="14.25" customHeight="1">
      <c r="F103" s="10"/>
      <c r="J103" s="10"/>
    </row>
    <row r="104" spans="6:10" ht="14.25" customHeight="1">
      <c r="F104" s="10"/>
      <c r="J104" s="10"/>
    </row>
    <row r="105" spans="6:10" ht="14.25" customHeight="1">
      <c r="F105" s="10"/>
      <c r="J105" s="10"/>
    </row>
    <row r="106" spans="6:10" ht="14.25" customHeight="1">
      <c r="F106" s="10"/>
      <c r="J106" s="10"/>
    </row>
    <row r="107" spans="6:10" ht="14.25" customHeight="1">
      <c r="F107" s="10"/>
      <c r="J107" s="10"/>
    </row>
    <row r="108" spans="6:10" ht="14.25" customHeight="1">
      <c r="F108" s="10"/>
      <c r="J108" s="10"/>
    </row>
    <row r="109" spans="6:10" ht="14.25" customHeight="1">
      <c r="F109" s="10"/>
      <c r="J109" s="10"/>
    </row>
    <row r="110" spans="6:10" ht="14.25" customHeight="1">
      <c r="F110" s="10"/>
      <c r="J110" s="10"/>
    </row>
    <row r="111" spans="6:10" ht="14.25" customHeight="1">
      <c r="F111" s="10"/>
      <c r="J111" s="10"/>
    </row>
    <row r="112" spans="6:10" ht="14.25" customHeight="1">
      <c r="F112" s="10"/>
      <c r="J112" s="10"/>
    </row>
    <row r="113" spans="6:10" ht="14.25" customHeight="1">
      <c r="F113" s="10"/>
      <c r="J113" s="10"/>
    </row>
    <row r="114" spans="6:10" ht="14.25" customHeight="1">
      <c r="F114" s="10"/>
      <c r="J114" s="10"/>
    </row>
    <row r="115" spans="6:10" ht="14.25" customHeight="1">
      <c r="F115" s="10"/>
      <c r="J115" s="10"/>
    </row>
    <row r="116" spans="6:10" ht="14.25" customHeight="1">
      <c r="F116" s="10"/>
      <c r="J116" s="10"/>
    </row>
    <row r="117" spans="6:10" ht="14.25" customHeight="1">
      <c r="F117" s="10"/>
      <c r="J117" s="10"/>
    </row>
    <row r="118" spans="6:10" ht="14.25" customHeight="1">
      <c r="F118" s="10"/>
      <c r="J118" s="10"/>
    </row>
    <row r="119" spans="6:10" ht="14.25" customHeight="1">
      <c r="F119" s="10"/>
      <c r="J119" s="10"/>
    </row>
    <row r="120" spans="6:10" ht="14.25" customHeight="1">
      <c r="F120" s="10"/>
      <c r="J120" s="10"/>
    </row>
    <row r="121" spans="6:10" ht="14.25" customHeight="1">
      <c r="F121" s="10"/>
      <c r="J121" s="10"/>
    </row>
    <row r="122" spans="6:10" ht="14.25" customHeight="1">
      <c r="F122" s="10"/>
      <c r="J122" s="10"/>
    </row>
    <row r="123" spans="6:10" ht="14.25" customHeight="1">
      <c r="F123" s="10"/>
      <c r="J123" s="10"/>
    </row>
    <row r="124" spans="6:10" ht="14.25" customHeight="1">
      <c r="F124" s="10"/>
      <c r="J124" s="10"/>
    </row>
    <row r="125" spans="6:10" ht="14.25" customHeight="1">
      <c r="F125" s="10"/>
      <c r="J125" s="10"/>
    </row>
    <row r="126" spans="6:10" ht="14.25" customHeight="1">
      <c r="F126" s="10"/>
      <c r="J126" s="10"/>
    </row>
    <row r="127" spans="6:10" ht="14.25" customHeight="1">
      <c r="F127" s="10"/>
      <c r="J127" s="10"/>
    </row>
    <row r="128" spans="6:10" ht="14.25" customHeight="1">
      <c r="F128" s="10"/>
      <c r="J128" s="10"/>
    </row>
    <row r="129" spans="6:10" ht="14.25" customHeight="1">
      <c r="F129" s="10"/>
      <c r="J129" s="10"/>
    </row>
    <row r="130" spans="6:10" ht="14.25" customHeight="1">
      <c r="F130" s="10"/>
      <c r="J130" s="10"/>
    </row>
    <row r="131" spans="6:10" ht="14.25" customHeight="1">
      <c r="F131" s="10"/>
      <c r="J131" s="10"/>
    </row>
    <row r="132" spans="6:10" ht="14.25" customHeight="1">
      <c r="F132" s="10"/>
      <c r="J132" s="10"/>
    </row>
    <row r="133" spans="6:10" ht="14.25" customHeight="1">
      <c r="F133" s="10"/>
      <c r="J133" s="10"/>
    </row>
    <row r="134" spans="6:10" ht="14.25" customHeight="1">
      <c r="F134" s="10"/>
      <c r="J134" s="10"/>
    </row>
    <row r="135" spans="6:10" ht="14.25" customHeight="1">
      <c r="F135" s="10"/>
      <c r="J135" s="10"/>
    </row>
    <row r="136" spans="6:10" ht="14.25" customHeight="1">
      <c r="F136" s="10"/>
      <c r="J136" s="10"/>
    </row>
    <row r="137" spans="6:10" ht="14.25" customHeight="1">
      <c r="F137" s="10"/>
      <c r="J137" s="10"/>
    </row>
    <row r="138" spans="6:10" ht="14.25" customHeight="1">
      <c r="F138" s="10"/>
      <c r="J138" s="10"/>
    </row>
    <row r="139" spans="6:10" ht="14.25" customHeight="1">
      <c r="F139" s="10"/>
      <c r="J139" s="10"/>
    </row>
    <row r="140" spans="6:10" ht="14.25" customHeight="1">
      <c r="F140" s="10"/>
      <c r="J140" s="10"/>
    </row>
    <row r="141" spans="6:10" ht="14.25" customHeight="1">
      <c r="F141" s="10"/>
      <c r="J141" s="10"/>
    </row>
    <row r="142" spans="6:10" ht="14.25" customHeight="1">
      <c r="F142" s="10"/>
      <c r="J142" s="10"/>
    </row>
    <row r="143" spans="6:10" ht="14.25" customHeight="1">
      <c r="F143" s="10"/>
      <c r="J143" s="10"/>
    </row>
    <row r="144" spans="6:10" ht="14.25" customHeight="1">
      <c r="F144" s="10"/>
      <c r="J144" s="10"/>
    </row>
    <row r="145" spans="6:10" ht="14.25" customHeight="1">
      <c r="F145" s="10"/>
      <c r="J145" s="10"/>
    </row>
    <row r="146" spans="6:10" ht="14.25" customHeight="1">
      <c r="F146" s="10"/>
      <c r="J146" s="10"/>
    </row>
    <row r="147" spans="6:10" ht="14.25" customHeight="1">
      <c r="F147" s="10"/>
      <c r="J147" s="10"/>
    </row>
    <row r="148" spans="6:10" ht="14.25" customHeight="1">
      <c r="F148" s="10"/>
      <c r="J148" s="10"/>
    </row>
    <row r="149" spans="6:10" ht="14.25" customHeight="1">
      <c r="F149" s="10"/>
      <c r="J149" s="10"/>
    </row>
    <row r="150" spans="6:10" ht="14.25" customHeight="1">
      <c r="F150" s="10"/>
      <c r="J150" s="10"/>
    </row>
    <row r="151" spans="6:10" ht="14.25" customHeight="1">
      <c r="F151" s="10"/>
      <c r="J151" s="10"/>
    </row>
    <row r="152" spans="6:10" ht="14.25" customHeight="1">
      <c r="F152" s="10"/>
      <c r="J152" s="10"/>
    </row>
    <row r="153" spans="6:10" ht="14.25" customHeight="1">
      <c r="F153" s="10"/>
      <c r="J153" s="10"/>
    </row>
    <row r="154" spans="6:10" ht="14.25" customHeight="1">
      <c r="F154" s="10"/>
      <c r="J154" s="10"/>
    </row>
    <row r="155" spans="6:10" ht="14.25" customHeight="1">
      <c r="F155" s="10"/>
      <c r="J155" s="10"/>
    </row>
    <row r="156" spans="6:10" ht="14.25" customHeight="1">
      <c r="F156" s="10"/>
      <c r="J156" s="10"/>
    </row>
    <row r="157" spans="6:10" ht="14.25" customHeight="1">
      <c r="F157" s="10"/>
      <c r="J157" s="10"/>
    </row>
    <row r="158" spans="6:10" ht="14.25" customHeight="1">
      <c r="F158" s="10"/>
      <c r="J158" s="10"/>
    </row>
    <row r="159" spans="6:10" ht="14.25" customHeight="1">
      <c r="F159" s="10"/>
      <c r="J159" s="10"/>
    </row>
    <row r="160" spans="6:10" ht="14.25" customHeight="1">
      <c r="F160" s="10"/>
      <c r="J160" s="10"/>
    </row>
    <row r="161" spans="6:10" ht="14.25" customHeight="1">
      <c r="F161" s="10"/>
      <c r="J161" s="10"/>
    </row>
    <row r="162" spans="6:10" ht="14.25" customHeight="1">
      <c r="F162" s="10"/>
      <c r="J162" s="10"/>
    </row>
    <row r="163" spans="6:10" ht="14.25" customHeight="1">
      <c r="F163" s="10"/>
      <c r="J163" s="10"/>
    </row>
    <row r="164" spans="6:10" ht="14.25" customHeight="1">
      <c r="F164" s="10"/>
      <c r="J164" s="10"/>
    </row>
    <row r="165" spans="6:10" ht="14.25" customHeight="1">
      <c r="F165" s="10"/>
      <c r="J165" s="10"/>
    </row>
    <row r="166" spans="6:10" ht="14.25" customHeight="1">
      <c r="F166" s="10"/>
      <c r="J166" s="10"/>
    </row>
    <row r="167" spans="6:10" ht="14.25" customHeight="1">
      <c r="F167" s="10"/>
      <c r="J167" s="10"/>
    </row>
    <row r="168" spans="6:10" ht="14.25" customHeight="1">
      <c r="F168" s="10"/>
      <c r="J168" s="10"/>
    </row>
    <row r="169" spans="6:10" ht="14.25" customHeight="1">
      <c r="F169" s="10"/>
      <c r="J169" s="10"/>
    </row>
    <row r="170" spans="6:10" ht="14.25" customHeight="1">
      <c r="F170" s="10"/>
      <c r="J170" s="10"/>
    </row>
    <row r="171" spans="6:10" ht="14.25" customHeight="1">
      <c r="F171" s="10"/>
      <c r="J171" s="10"/>
    </row>
    <row r="172" spans="6:10" ht="14.25" customHeight="1">
      <c r="F172" s="10"/>
      <c r="J172" s="10"/>
    </row>
    <row r="173" spans="6:10" ht="14.25" customHeight="1">
      <c r="F173" s="10"/>
      <c r="J173" s="10"/>
    </row>
    <row r="174" spans="6:10" ht="14.25" customHeight="1">
      <c r="F174" s="10"/>
      <c r="J174" s="10"/>
    </row>
    <row r="175" spans="6:10" ht="14.25" customHeight="1">
      <c r="F175" s="10"/>
      <c r="J175" s="10"/>
    </row>
    <row r="176" spans="6:10" ht="14.25" customHeight="1">
      <c r="F176" s="10"/>
      <c r="J176" s="10"/>
    </row>
    <row r="177" spans="6:10" ht="14.25" customHeight="1">
      <c r="F177" s="10"/>
      <c r="J177" s="10"/>
    </row>
    <row r="178" spans="6:10" ht="14.25" customHeight="1">
      <c r="F178" s="10"/>
      <c r="J178" s="10"/>
    </row>
    <row r="179" spans="6:10" ht="14.25" customHeight="1">
      <c r="F179" s="10"/>
      <c r="J179" s="10"/>
    </row>
    <row r="180" spans="6:10" ht="14.25" customHeight="1">
      <c r="F180" s="10"/>
      <c r="J180" s="10"/>
    </row>
    <row r="181" spans="6:10" ht="14.25" customHeight="1">
      <c r="F181" s="10"/>
      <c r="J181" s="10"/>
    </row>
    <row r="182" spans="6:10" ht="14.25" customHeight="1">
      <c r="F182" s="10"/>
      <c r="J182" s="10"/>
    </row>
    <row r="183" spans="6:10" ht="14.25" customHeight="1">
      <c r="F183" s="10"/>
      <c r="J183" s="10"/>
    </row>
    <row r="184" spans="6:10" ht="14.25" customHeight="1">
      <c r="F184" s="10"/>
      <c r="J184" s="10"/>
    </row>
    <row r="185" spans="6:10" ht="14.25" customHeight="1">
      <c r="F185" s="10"/>
      <c r="J185" s="10"/>
    </row>
    <row r="186" spans="6:10" ht="14.25" customHeight="1">
      <c r="F186" s="10"/>
      <c r="J186" s="10"/>
    </row>
    <row r="187" spans="6:10" ht="14.25" customHeight="1">
      <c r="F187" s="10"/>
      <c r="J187" s="10"/>
    </row>
    <row r="188" spans="6:10" ht="14.25" customHeight="1">
      <c r="F188" s="10"/>
      <c r="J188" s="10"/>
    </row>
    <row r="189" spans="6:10" ht="14.25" customHeight="1">
      <c r="F189" s="10"/>
      <c r="J189" s="10"/>
    </row>
    <row r="190" spans="6:10" ht="14.25" customHeight="1">
      <c r="F190" s="10"/>
      <c r="J190" s="10"/>
    </row>
    <row r="191" spans="6:10" ht="14.25" customHeight="1">
      <c r="F191" s="10"/>
      <c r="J191" s="10"/>
    </row>
    <row r="192" spans="6:10" ht="14.25" customHeight="1">
      <c r="F192" s="10"/>
      <c r="J192" s="10"/>
    </row>
    <row r="193" spans="6:10" ht="14.25" customHeight="1">
      <c r="F193" s="10"/>
      <c r="J193" s="10"/>
    </row>
    <row r="194" spans="6:10" ht="14.25" customHeight="1">
      <c r="F194" s="10"/>
      <c r="J194" s="10"/>
    </row>
    <row r="195" spans="6:10" ht="14.25" customHeight="1">
      <c r="F195" s="10"/>
      <c r="J195" s="10"/>
    </row>
    <row r="196" spans="6:10" ht="14.25" customHeight="1">
      <c r="F196" s="10"/>
      <c r="J196" s="10"/>
    </row>
    <row r="197" spans="6:10" ht="14.25" customHeight="1">
      <c r="F197" s="10"/>
      <c r="J197" s="10"/>
    </row>
    <row r="198" spans="6:10" ht="14.25" customHeight="1">
      <c r="F198" s="10"/>
      <c r="J198" s="10"/>
    </row>
    <row r="199" spans="6:10" ht="14.25" customHeight="1">
      <c r="F199" s="10"/>
      <c r="J199" s="10"/>
    </row>
    <row r="200" spans="6:10" ht="14.25" customHeight="1">
      <c r="F200" s="10"/>
      <c r="J200" s="10"/>
    </row>
    <row r="201" spans="6:10" ht="14.25" customHeight="1">
      <c r="F201" s="10"/>
      <c r="J201" s="10"/>
    </row>
    <row r="202" spans="6:10" ht="14.25" customHeight="1">
      <c r="F202" s="10"/>
      <c r="J202" s="10"/>
    </row>
    <row r="203" spans="6:10" ht="14.25" customHeight="1">
      <c r="F203" s="10"/>
      <c r="J203" s="10"/>
    </row>
    <row r="204" spans="6:10" ht="14.25" customHeight="1">
      <c r="F204" s="10"/>
      <c r="J204" s="10"/>
    </row>
    <row r="205" spans="6:10" ht="14.25" customHeight="1">
      <c r="F205" s="10"/>
      <c r="J205" s="10"/>
    </row>
    <row r="206" spans="6:10" ht="14.25" customHeight="1">
      <c r="F206" s="10"/>
      <c r="J206" s="10"/>
    </row>
    <row r="207" spans="6:10" ht="14.25" customHeight="1">
      <c r="F207" s="10"/>
      <c r="J207" s="10"/>
    </row>
    <row r="208" spans="6:10" ht="14.25" customHeight="1">
      <c r="F208" s="10"/>
      <c r="J208" s="10"/>
    </row>
    <row r="209" spans="6:10" ht="14.25" customHeight="1">
      <c r="F209" s="10"/>
      <c r="J209" s="10"/>
    </row>
    <row r="210" spans="6:10" ht="14.25" customHeight="1">
      <c r="F210" s="10"/>
      <c r="J210" s="10"/>
    </row>
    <row r="211" spans="6:10" ht="14.25" customHeight="1">
      <c r="F211" s="10"/>
      <c r="J211" s="10"/>
    </row>
    <row r="212" spans="6:10" ht="14.25" customHeight="1">
      <c r="F212" s="10"/>
      <c r="J212" s="10"/>
    </row>
    <row r="213" spans="6:10" ht="14.25" customHeight="1">
      <c r="F213" s="10"/>
      <c r="J213" s="10"/>
    </row>
    <row r="214" spans="6:10" ht="14.25" customHeight="1">
      <c r="F214" s="10"/>
      <c r="J214" s="10"/>
    </row>
    <row r="215" spans="6:10" ht="14.25" customHeight="1">
      <c r="F215" s="10"/>
      <c r="J215" s="10"/>
    </row>
    <row r="216" spans="6:10" ht="14.25" customHeight="1">
      <c r="F216" s="10"/>
      <c r="J216" s="10"/>
    </row>
    <row r="217" spans="6:10" ht="14.25" customHeight="1">
      <c r="F217" s="10"/>
      <c r="J217" s="10"/>
    </row>
    <row r="218" spans="6:10" ht="14.25" customHeight="1">
      <c r="F218" s="10"/>
      <c r="J218" s="10"/>
    </row>
    <row r="219" spans="6:10" ht="14.25" customHeight="1">
      <c r="F219" s="10"/>
      <c r="J219" s="10"/>
    </row>
    <row r="220" spans="6:10" ht="14.25" customHeight="1">
      <c r="F220" s="10"/>
      <c r="J220" s="10"/>
    </row>
    <row r="221" spans="6:10" ht="14.25" customHeight="1">
      <c r="F221" s="10"/>
      <c r="J221" s="10"/>
    </row>
    <row r="222" spans="6:10" ht="14.25" customHeight="1">
      <c r="F222" s="10"/>
      <c r="J222" s="10"/>
    </row>
    <row r="223" spans="6:10" ht="14.25" customHeight="1">
      <c r="F223" s="10"/>
      <c r="J223" s="10"/>
    </row>
    <row r="224" spans="6:10" ht="14.25" customHeight="1">
      <c r="F224" s="10"/>
      <c r="J224" s="10"/>
    </row>
    <row r="225" spans="6:10" ht="14.25" customHeight="1">
      <c r="F225" s="10"/>
      <c r="J225" s="10"/>
    </row>
    <row r="226" spans="6:10" ht="14.25" customHeight="1">
      <c r="F226" s="10"/>
      <c r="J226" s="10"/>
    </row>
    <row r="227" spans="6:10" ht="14.25" customHeight="1">
      <c r="F227" s="10"/>
      <c r="J227" s="10"/>
    </row>
    <row r="228" spans="6:10" ht="14.25" customHeight="1">
      <c r="F228" s="10"/>
      <c r="J228" s="10"/>
    </row>
    <row r="229" spans="6:10" ht="14.25" customHeight="1">
      <c r="F229" s="10"/>
      <c r="J229" s="10"/>
    </row>
    <row r="230" spans="6:10" ht="14.25" customHeight="1">
      <c r="F230" s="10"/>
      <c r="J230" s="10"/>
    </row>
    <row r="231" spans="6:10" ht="14.25" customHeight="1">
      <c r="F231" s="10"/>
      <c r="J231" s="10"/>
    </row>
    <row r="232" spans="6:10" ht="14.25" customHeight="1">
      <c r="F232" s="10"/>
      <c r="J232" s="10"/>
    </row>
    <row r="233" spans="6:10" ht="14.25" customHeight="1">
      <c r="F233" s="10"/>
      <c r="J233" s="10"/>
    </row>
    <row r="234" spans="6:10" ht="14.25" customHeight="1">
      <c r="F234" s="10"/>
      <c r="J234" s="10"/>
    </row>
    <row r="235" spans="6:10" ht="14.25" customHeight="1">
      <c r="F235" s="10"/>
      <c r="J235" s="10"/>
    </row>
    <row r="236" spans="6:10" ht="14.25" customHeight="1">
      <c r="F236" s="10"/>
      <c r="J236" s="10"/>
    </row>
    <row r="237" spans="6:10" ht="14.25" customHeight="1">
      <c r="F237" s="10"/>
      <c r="J237" s="10"/>
    </row>
    <row r="238" spans="6:10" ht="14.25" customHeight="1">
      <c r="F238" s="10"/>
      <c r="J238" s="10"/>
    </row>
    <row r="239" spans="6:10" ht="14.25" customHeight="1">
      <c r="F239" s="10"/>
      <c r="J239" s="10"/>
    </row>
    <row r="240" spans="6:10" ht="14.25" customHeight="1">
      <c r="F240" s="10"/>
      <c r="J240" s="10"/>
    </row>
    <row r="241" spans="6:10" ht="14.25" customHeight="1">
      <c r="F241" s="10"/>
      <c r="J241" s="10"/>
    </row>
    <row r="242" spans="6:10" ht="14.25" customHeight="1">
      <c r="F242" s="10"/>
      <c r="J242" s="10"/>
    </row>
    <row r="243" spans="6:10" ht="14.25" customHeight="1">
      <c r="F243" s="10"/>
      <c r="J243" s="10"/>
    </row>
    <row r="244" spans="6:10" ht="14.25" customHeight="1">
      <c r="F244" s="10"/>
      <c r="J244" s="10"/>
    </row>
    <row r="245" spans="6:10" ht="14.25" customHeight="1">
      <c r="F245" s="10"/>
      <c r="J245" s="10"/>
    </row>
    <row r="246" spans="6:10" ht="14.25" customHeight="1">
      <c r="F246" s="10"/>
      <c r="J246" s="10"/>
    </row>
    <row r="247" spans="6:10" ht="14.25" customHeight="1">
      <c r="F247" s="10"/>
      <c r="J247" s="10"/>
    </row>
    <row r="248" spans="6:10" ht="14.25" customHeight="1">
      <c r="F248" s="10"/>
      <c r="J248" s="10"/>
    </row>
    <row r="249" spans="6:10" ht="14.25" customHeight="1">
      <c r="F249" s="10"/>
      <c r="J249" s="10"/>
    </row>
    <row r="250" spans="6:10" ht="14.25" customHeight="1">
      <c r="F250" s="10"/>
      <c r="J250" s="10"/>
    </row>
    <row r="251" spans="6:10" ht="14.25" customHeight="1">
      <c r="F251" s="10"/>
      <c r="J251" s="10"/>
    </row>
    <row r="252" spans="6:10" ht="14.25" customHeight="1">
      <c r="F252" s="10"/>
      <c r="J252" s="10"/>
    </row>
    <row r="253" spans="6:10" ht="14.25" customHeight="1">
      <c r="F253" s="10"/>
      <c r="J253" s="10"/>
    </row>
    <row r="254" spans="6:10" ht="14.25" customHeight="1">
      <c r="F254" s="10"/>
      <c r="J254" s="10"/>
    </row>
    <row r="255" spans="6:10" ht="14.25" customHeight="1">
      <c r="F255" s="10"/>
      <c r="J255" s="10"/>
    </row>
    <row r="256" spans="6:10" ht="14.25" customHeight="1">
      <c r="F256" s="10"/>
      <c r="J256" s="10"/>
    </row>
    <row r="257" spans="6:10" ht="14.25" customHeight="1">
      <c r="F257" s="10"/>
      <c r="J257" s="10"/>
    </row>
    <row r="258" spans="6:10" ht="14.25" customHeight="1">
      <c r="F258" s="10"/>
      <c r="J258" s="10"/>
    </row>
    <row r="259" spans="6:10" ht="14.25" customHeight="1">
      <c r="F259" s="10"/>
      <c r="J259" s="10"/>
    </row>
    <row r="260" spans="6:10" ht="14.25" customHeight="1">
      <c r="F260" s="10"/>
      <c r="J260" s="10"/>
    </row>
    <row r="261" spans="6:10" ht="14.25" customHeight="1">
      <c r="F261" s="10"/>
      <c r="J261" s="10"/>
    </row>
    <row r="262" spans="6:10" ht="14.25" customHeight="1">
      <c r="F262" s="10"/>
      <c r="J262" s="10"/>
    </row>
    <row r="263" spans="6:10" ht="14.25" customHeight="1">
      <c r="F263" s="10"/>
      <c r="J263" s="10"/>
    </row>
    <row r="264" spans="6:10" ht="14.25" customHeight="1">
      <c r="F264" s="10"/>
      <c r="J264" s="10"/>
    </row>
    <row r="265" spans="6:10" ht="14.25" customHeight="1">
      <c r="F265" s="10"/>
      <c r="J265" s="10"/>
    </row>
    <row r="266" spans="6:10" ht="14.25" customHeight="1">
      <c r="F266" s="10"/>
      <c r="J266" s="10"/>
    </row>
    <row r="267" spans="6:10" ht="14.25" customHeight="1">
      <c r="F267" s="10"/>
      <c r="J267" s="10"/>
    </row>
    <row r="268" spans="6:10" ht="14.25" customHeight="1">
      <c r="F268" s="10"/>
      <c r="J268" s="10"/>
    </row>
    <row r="269" spans="6:10" ht="14.25" customHeight="1">
      <c r="F269" s="10"/>
      <c r="J269" s="10"/>
    </row>
    <row r="270" spans="6:10" ht="14.25" customHeight="1">
      <c r="F270" s="10"/>
      <c r="J270" s="10"/>
    </row>
    <row r="271" spans="6:10" ht="14.25" customHeight="1">
      <c r="F271" s="10"/>
      <c r="J271" s="10"/>
    </row>
    <row r="272" spans="6:10" ht="14.25" customHeight="1">
      <c r="F272" s="10"/>
      <c r="J272" s="10"/>
    </row>
    <row r="273" spans="6:10" ht="14.25" customHeight="1">
      <c r="F273" s="10"/>
      <c r="J273" s="10"/>
    </row>
    <row r="274" spans="6:10" ht="14.25" customHeight="1">
      <c r="F274" s="10"/>
      <c r="J274" s="10"/>
    </row>
    <row r="275" spans="6:10" ht="14.25" customHeight="1">
      <c r="F275" s="10"/>
      <c r="J275" s="10"/>
    </row>
    <row r="276" spans="6:10" ht="14.25" customHeight="1">
      <c r="F276" s="10"/>
      <c r="J276" s="10"/>
    </row>
    <row r="277" spans="6:10" ht="14.25" customHeight="1">
      <c r="F277" s="10"/>
      <c r="J277" s="10"/>
    </row>
    <row r="278" spans="6:10" ht="14.25" customHeight="1">
      <c r="F278" s="10"/>
      <c r="J278" s="10"/>
    </row>
    <row r="279" spans="6:10" ht="14.25" customHeight="1">
      <c r="F279" s="10"/>
      <c r="J279" s="10"/>
    </row>
    <row r="280" spans="6:10" ht="14.25" customHeight="1">
      <c r="F280" s="10"/>
      <c r="J280" s="10"/>
    </row>
    <row r="281" spans="6:10" ht="14.25" customHeight="1">
      <c r="F281" s="10"/>
      <c r="J281" s="10"/>
    </row>
    <row r="282" spans="6:10" ht="14.25" customHeight="1">
      <c r="F282" s="10"/>
      <c r="J282" s="10"/>
    </row>
    <row r="283" spans="6:10" ht="14.25" customHeight="1">
      <c r="F283" s="10"/>
      <c r="J283" s="10"/>
    </row>
    <row r="284" spans="6:10" ht="14.25" customHeight="1">
      <c r="F284" s="10"/>
      <c r="J284" s="10"/>
    </row>
    <row r="285" spans="6:10" ht="14.25" customHeight="1">
      <c r="F285" s="10"/>
      <c r="J285" s="10"/>
    </row>
    <row r="286" spans="6:10" ht="14.25" customHeight="1">
      <c r="F286" s="10"/>
      <c r="J286" s="10"/>
    </row>
    <row r="287" spans="6:10" ht="14.25" customHeight="1">
      <c r="F287" s="10"/>
      <c r="J287" s="10"/>
    </row>
    <row r="288" spans="6:10" ht="14.25" customHeight="1">
      <c r="F288" s="10"/>
      <c r="J288" s="10"/>
    </row>
    <row r="289" spans="6:10" ht="14.25" customHeight="1">
      <c r="F289" s="10"/>
      <c r="J289" s="10"/>
    </row>
    <row r="290" spans="6:10" ht="14.25" customHeight="1">
      <c r="F290" s="10"/>
      <c r="J290" s="10"/>
    </row>
    <row r="291" spans="6:10" ht="14.25" customHeight="1">
      <c r="F291" s="10"/>
      <c r="J291" s="10"/>
    </row>
    <row r="292" spans="6:10" ht="14.25" customHeight="1">
      <c r="F292" s="10"/>
      <c r="J292" s="10"/>
    </row>
    <row r="293" spans="6:10" ht="14.25" customHeight="1">
      <c r="F293" s="10"/>
      <c r="J293" s="10"/>
    </row>
    <row r="294" spans="6:10" ht="14.25" customHeight="1">
      <c r="F294" s="10"/>
      <c r="J294" s="10"/>
    </row>
    <row r="295" spans="6:10" ht="14.25" customHeight="1">
      <c r="F295" s="10"/>
      <c r="J295" s="10"/>
    </row>
    <row r="296" spans="6:10" ht="14.25" customHeight="1">
      <c r="F296" s="10"/>
      <c r="J296" s="10"/>
    </row>
    <row r="297" spans="6:10" ht="14.25" customHeight="1">
      <c r="F297" s="10"/>
      <c r="J297" s="10"/>
    </row>
    <row r="298" spans="6:10" ht="14.25" customHeight="1">
      <c r="F298" s="10"/>
      <c r="J298" s="10"/>
    </row>
    <row r="299" spans="6:10" ht="14.25" customHeight="1">
      <c r="F299" s="10"/>
      <c r="J299" s="10"/>
    </row>
    <row r="300" spans="6:10" ht="14.25" customHeight="1">
      <c r="F300" s="10"/>
      <c r="J300" s="10"/>
    </row>
    <row r="301" spans="6:10" ht="14.25" customHeight="1">
      <c r="F301" s="10"/>
      <c r="J301" s="10"/>
    </row>
    <row r="302" spans="6:10" ht="14.25" customHeight="1">
      <c r="F302" s="10"/>
      <c r="J302" s="10"/>
    </row>
    <row r="303" spans="6:10" ht="14.25" customHeight="1">
      <c r="F303" s="10"/>
      <c r="J303" s="10"/>
    </row>
    <row r="304" spans="6:10" ht="14.25" customHeight="1">
      <c r="F304" s="10"/>
      <c r="J304" s="10"/>
    </row>
    <row r="305" spans="6:10" ht="14.25" customHeight="1">
      <c r="F305" s="10"/>
      <c r="J305" s="10"/>
    </row>
    <row r="306" spans="6:10" ht="14.25" customHeight="1">
      <c r="F306" s="10"/>
      <c r="J306" s="10"/>
    </row>
    <row r="307" spans="6:10" ht="14.25" customHeight="1">
      <c r="F307" s="10"/>
      <c r="J307" s="10"/>
    </row>
    <row r="308" spans="6:10" ht="14.25" customHeight="1">
      <c r="F308" s="10"/>
      <c r="J308" s="10"/>
    </row>
    <row r="309" spans="6:10" ht="14.25" customHeight="1">
      <c r="F309" s="10"/>
      <c r="J309" s="10"/>
    </row>
    <row r="310" spans="6:10" ht="14.25" customHeight="1">
      <c r="F310" s="10"/>
      <c r="J310" s="10"/>
    </row>
    <row r="311" spans="6:10" ht="14.25" customHeight="1">
      <c r="F311" s="10"/>
      <c r="J311" s="10"/>
    </row>
    <row r="312" spans="6:10" ht="14.25" customHeight="1">
      <c r="F312" s="10"/>
      <c r="J312" s="10"/>
    </row>
    <row r="313" spans="6:10" ht="14.25" customHeight="1">
      <c r="F313" s="10"/>
      <c r="J313" s="10"/>
    </row>
    <row r="314" spans="6:10" ht="14.25" customHeight="1">
      <c r="F314" s="10"/>
      <c r="J314" s="10"/>
    </row>
    <row r="315" spans="6:10" ht="14.25" customHeight="1">
      <c r="F315" s="10"/>
      <c r="J315" s="10"/>
    </row>
    <row r="316" spans="6:10" ht="14.25" customHeight="1">
      <c r="F316" s="10"/>
      <c r="J316" s="10"/>
    </row>
    <row r="317" spans="6:10" ht="14.25" customHeight="1">
      <c r="F317" s="10"/>
      <c r="J317" s="10"/>
    </row>
    <row r="318" spans="6:10" ht="14.25" customHeight="1">
      <c r="F318" s="10"/>
      <c r="J318" s="10"/>
    </row>
    <row r="319" spans="6:10" ht="14.25" customHeight="1">
      <c r="F319" s="10"/>
      <c r="J319" s="10"/>
    </row>
    <row r="320" spans="6:10" ht="14.25" customHeight="1">
      <c r="F320" s="10"/>
      <c r="J320" s="10"/>
    </row>
    <row r="321" spans="6:10" ht="14.25" customHeight="1">
      <c r="F321" s="10"/>
      <c r="J321" s="10"/>
    </row>
    <row r="322" spans="6:10" ht="14.25" customHeight="1">
      <c r="F322" s="10"/>
      <c r="J322" s="10"/>
    </row>
    <row r="323" spans="6:10" ht="14.25" customHeight="1">
      <c r="F323" s="10"/>
      <c r="J323" s="10"/>
    </row>
    <row r="324" spans="6:10" ht="14.25" customHeight="1">
      <c r="F324" s="10"/>
      <c r="J324" s="10"/>
    </row>
    <row r="325" spans="6:10" ht="14.25" customHeight="1">
      <c r="F325" s="10"/>
      <c r="J325" s="10"/>
    </row>
    <row r="326" spans="6:10" ht="14.25" customHeight="1">
      <c r="F326" s="10"/>
      <c r="J326" s="10"/>
    </row>
    <row r="327" spans="6:10" ht="14.25" customHeight="1">
      <c r="F327" s="10"/>
      <c r="J327" s="10"/>
    </row>
    <row r="328" spans="6:10" ht="14.25" customHeight="1">
      <c r="F328" s="10"/>
      <c r="J328" s="10"/>
    </row>
    <row r="329" spans="6:10" ht="14.25" customHeight="1">
      <c r="F329" s="10"/>
      <c r="J329" s="10"/>
    </row>
    <row r="330" spans="6:10" ht="14.25" customHeight="1">
      <c r="F330" s="10"/>
      <c r="J330" s="10"/>
    </row>
    <row r="331" spans="6:10" ht="14.25" customHeight="1">
      <c r="F331" s="10"/>
      <c r="J331" s="10"/>
    </row>
    <row r="332" spans="6:10" ht="14.25" customHeight="1">
      <c r="F332" s="10"/>
      <c r="J332" s="10"/>
    </row>
    <row r="333" spans="6:10" ht="14.25" customHeight="1">
      <c r="F333" s="10"/>
      <c r="J333" s="10"/>
    </row>
    <row r="334" spans="6:10" ht="14.25" customHeight="1">
      <c r="F334" s="10"/>
      <c r="J334" s="10"/>
    </row>
    <row r="335" spans="6:10" ht="14.25" customHeight="1">
      <c r="F335" s="10"/>
      <c r="J335" s="10"/>
    </row>
    <row r="336" spans="6:10" ht="14.25" customHeight="1">
      <c r="F336" s="10"/>
      <c r="J336" s="10"/>
    </row>
    <row r="337" spans="6:10" ht="14.25" customHeight="1">
      <c r="F337" s="10"/>
      <c r="J337" s="10"/>
    </row>
    <row r="338" spans="6:10" ht="14.25" customHeight="1">
      <c r="F338" s="10"/>
      <c r="J338" s="10"/>
    </row>
    <row r="339" spans="6:10" ht="14.25" customHeight="1">
      <c r="F339" s="10"/>
      <c r="J339" s="10"/>
    </row>
    <row r="340" spans="6:10" ht="14.25" customHeight="1">
      <c r="F340" s="10"/>
      <c r="J340" s="10"/>
    </row>
    <row r="341" spans="6:10" ht="14.25" customHeight="1">
      <c r="F341" s="10"/>
      <c r="J341" s="10"/>
    </row>
    <row r="342" spans="6:10" ht="14.25" customHeight="1">
      <c r="F342" s="10"/>
      <c r="J342" s="10"/>
    </row>
    <row r="343" spans="6:10" ht="14.25" customHeight="1">
      <c r="F343" s="10"/>
      <c r="J343" s="10"/>
    </row>
    <row r="344" spans="6:10" ht="14.25" customHeight="1">
      <c r="F344" s="10"/>
      <c r="J344" s="10"/>
    </row>
    <row r="345" spans="6:10" ht="14.25" customHeight="1">
      <c r="F345" s="10"/>
      <c r="J345" s="10"/>
    </row>
    <row r="346" spans="6:10" ht="14.25" customHeight="1">
      <c r="F346" s="10"/>
      <c r="J346" s="10"/>
    </row>
    <row r="347" spans="6:10" ht="14.25" customHeight="1">
      <c r="F347" s="10"/>
      <c r="J347" s="10"/>
    </row>
    <row r="348" spans="6:10" ht="14.25" customHeight="1">
      <c r="F348" s="10"/>
      <c r="J348" s="10"/>
    </row>
    <row r="349" spans="6:10" ht="14.25" customHeight="1">
      <c r="F349" s="10"/>
      <c r="J349" s="10"/>
    </row>
    <row r="350" spans="6:10" ht="14.25" customHeight="1">
      <c r="F350" s="10"/>
      <c r="J350" s="10"/>
    </row>
    <row r="351" spans="6:10" ht="14.25" customHeight="1">
      <c r="F351" s="10"/>
      <c r="J351" s="10"/>
    </row>
    <row r="352" spans="6:10" ht="14.25" customHeight="1">
      <c r="F352" s="10"/>
      <c r="J352" s="10"/>
    </row>
    <row r="353" spans="6:10" ht="14.25" customHeight="1">
      <c r="F353" s="10"/>
      <c r="J353" s="10"/>
    </row>
    <row r="354" spans="6:10" ht="14.25" customHeight="1">
      <c r="F354" s="10"/>
      <c r="J354" s="10"/>
    </row>
    <row r="355" spans="6:10" ht="14.25" customHeight="1">
      <c r="F355" s="10"/>
      <c r="J355" s="10"/>
    </row>
    <row r="356" spans="6:10" ht="14.25" customHeight="1">
      <c r="F356" s="10"/>
      <c r="J356" s="10"/>
    </row>
    <row r="357" spans="6:10" ht="14.25" customHeight="1">
      <c r="F357" s="10"/>
      <c r="J357" s="10"/>
    </row>
    <row r="358" spans="6:10" ht="14.25" customHeight="1">
      <c r="F358" s="10"/>
      <c r="J358" s="10"/>
    </row>
    <row r="359" spans="6:10" ht="14.25" customHeight="1">
      <c r="F359" s="10"/>
      <c r="J359" s="10"/>
    </row>
    <row r="360" spans="6:10" ht="14.25" customHeight="1">
      <c r="F360" s="10"/>
      <c r="J360" s="10"/>
    </row>
    <row r="361" spans="6:10" ht="14.25" customHeight="1">
      <c r="F361" s="10"/>
      <c r="J361" s="10"/>
    </row>
    <row r="362" spans="6:10" ht="14.25" customHeight="1">
      <c r="F362" s="10"/>
      <c r="J362" s="10"/>
    </row>
    <row r="363" spans="6:10" ht="14.25" customHeight="1">
      <c r="F363" s="10"/>
      <c r="J363" s="10"/>
    </row>
    <row r="364" spans="6:10" ht="14.25" customHeight="1">
      <c r="F364" s="10"/>
      <c r="J364" s="10"/>
    </row>
    <row r="365" spans="6:10" ht="14.25" customHeight="1">
      <c r="F365" s="10"/>
      <c r="J365" s="10"/>
    </row>
    <row r="366" spans="6:10" ht="14.25" customHeight="1">
      <c r="F366" s="10"/>
      <c r="J366" s="10"/>
    </row>
    <row r="367" spans="6:10" ht="14.25" customHeight="1">
      <c r="F367" s="10"/>
      <c r="J367" s="10"/>
    </row>
    <row r="368" spans="6:10" ht="14.25" customHeight="1">
      <c r="F368" s="10"/>
      <c r="J368" s="10"/>
    </row>
    <row r="369" spans="6:10" ht="14.25" customHeight="1">
      <c r="F369" s="10"/>
      <c r="J369" s="10"/>
    </row>
    <row r="370" spans="6:10" ht="14.25" customHeight="1">
      <c r="F370" s="10"/>
      <c r="J370" s="10"/>
    </row>
    <row r="371" spans="6:10" ht="14.25" customHeight="1">
      <c r="F371" s="10"/>
      <c r="J371" s="10"/>
    </row>
    <row r="372" spans="6:10" ht="14.25" customHeight="1">
      <c r="F372" s="10"/>
      <c r="J372" s="10"/>
    </row>
    <row r="373" spans="6:10" ht="14.25" customHeight="1">
      <c r="F373" s="10"/>
      <c r="J373" s="10"/>
    </row>
    <row r="374" spans="6:10" ht="14.25" customHeight="1">
      <c r="F374" s="10"/>
      <c r="J374" s="10"/>
    </row>
    <row r="375" spans="6:10" ht="14.25" customHeight="1">
      <c r="F375" s="10"/>
      <c r="J375" s="10"/>
    </row>
    <row r="376" spans="6:10" ht="14.25" customHeight="1">
      <c r="F376" s="10"/>
      <c r="J376" s="10"/>
    </row>
    <row r="377" spans="6:10" ht="14.25" customHeight="1">
      <c r="F377" s="10"/>
      <c r="J377" s="10"/>
    </row>
    <row r="378" spans="6:10" ht="14.25" customHeight="1">
      <c r="F378" s="10"/>
      <c r="J378" s="10"/>
    </row>
    <row r="379" spans="6:10" ht="14.25" customHeight="1">
      <c r="F379" s="10"/>
      <c r="J379" s="10"/>
    </row>
    <row r="380" spans="6:10" ht="14.25" customHeight="1">
      <c r="F380" s="10"/>
      <c r="J380" s="10"/>
    </row>
    <row r="381" spans="6:10" ht="14.25" customHeight="1">
      <c r="F381" s="10"/>
      <c r="J381" s="10"/>
    </row>
    <row r="382" spans="6:10" ht="14.25" customHeight="1">
      <c r="F382" s="10"/>
      <c r="J382" s="10"/>
    </row>
    <row r="383" spans="6:10" ht="14.25" customHeight="1">
      <c r="F383" s="10"/>
      <c r="J383" s="10"/>
    </row>
    <row r="384" spans="6:10" ht="14.25" customHeight="1">
      <c r="F384" s="10"/>
      <c r="J384" s="10"/>
    </row>
    <row r="385" spans="6:10" ht="14.25" customHeight="1">
      <c r="F385" s="10"/>
      <c r="J385" s="10"/>
    </row>
    <row r="386" spans="6:10" ht="14.25" customHeight="1">
      <c r="F386" s="10"/>
      <c r="J386" s="10"/>
    </row>
    <row r="387" spans="6:10" ht="14.25" customHeight="1">
      <c r="F387" s="10"/>
      <c r="J387" s="10"/>
    </row>
    <row r="388" spans="6:10" ht="14.25" customHeight="1">
      <c r="F388" s="10"/>
      <c r="J388" s="10"/>
    </row>
    <row r="389" spans="6:10" ht="14.25" customHeight="1">
      <c r="F389" s="10"/>
      <c r="J389" s="10"/>
    </row>
    <row r="390" spans="6:10" ht="14.25" customHeight="1">
      <c r="F390" s="10"/>
      <c r="J390" s="10"/>
    </row>
    <row r="391" spans="6:10" ht="14.25" customHeight="1">
      <c r="F391" s="10"/>
      <c r="J391" s="10"/>
    </row>
    <row r="392" spans="6:10" ht="14.25" customHeight="1">
      <c r="F392" s="10"/>
      <c r="J392" s="10"/>
    </row>
    <row r="393" spans="6:10" ht="14.25" customHeight="1">
      <c r="F393" s="10"/>
      <c r="J393" s="10"/>
    </row>
    <row r="394" spans="6:10" ht="14.25" customHeight="1">
      <c r="F394" s="10"/>
      <c r="J394" s="10"/>
    </row>
    <row r="395" spans="6:10" ht="14.25" customHeight="1">
      <c r="F395" s="10"/>
      <c r="J395" s="10"/>
    </row>
    <row r="396" spans="6:10" ht="14.25" customHeight="1">
      <c r="F396" s="10"/>
      <c r="J396" s="10"/>
    </row>
    <row r="397" spans="6:10" ht="14.25" customHeight="1">
      <c r="F397" s="10"/>
      <c r="J397" s="10"/>
    </row>
    <row r="398" spans="6:10" ht="14.25" customHeight="1">
      <c r="F398" s="10"/>
      <c r="J398" s="10"/>
    </row>
    <row r="399" spans="6:10" ht="14.25" customHeight="1">
      <c r="F399" s="10"/>
      <c r="J399" s="10"/>
    </row>
    <row r="400" spans="6:10" ht="14.25" customHeight="1">
      <c r="F400" s="10"/>
      <c r="J400" s="10"/>
    </row>
    <row r="401" spans="6:10" ht="14.25" customHeight="1">
      <c r="F401" s="10"/>
      <c r="J401" s="10"/>
    </row>
    <row r="402" spans="6:10" ht="14.25" customHeight="1">
      <c r="F402" s="10"/>
      <c r="J402" s="10"/>
    </row>
    <row r="403" spans="6:10" ht="14.25" customHeight="1">
      <c r="F403" s="10"/>
      <c r="J403" s="10"/>
    </row>
    <row r="404" spans="6:10" ht="14.25" customHeight="1">
      <c r="F404" s="10"/>
      <c r="J404" s="10"/>
    </row>
    <row r="405" spans="6:10" ht="14.25" customHeight="1">
      <c r="F405" s="10"/>
      <c r="J405" s="10"/>
    </row>
    <row r="406" spans="6:10" ht="14.25" customHeight="1">
      <c r="F406" s="10"/>
      <c r="J406" s="10"/>
    </row>
    <row r="407" spans="6:10" ht="14.25" customHeight="1">
      <c r="F407" s="10"/>
      <c r="J407" s="10"/>
    </row>
    <row r="408" spans="6:10" ht="14.25" customHeight="1">
      <c r="F408" s="10"/>
      <c r="J408" s="10"/>
    </row>
    <row r="409" spans="6:10" ht="14.25" customHeight="1">
      <c r="F409" s="10"/>
      <c r="J409" s="10"/>
    </row>
    <row r="410" spans="6:10" ht="14.25" customHeight="1">
      <c r="F410" s="10"/>
      <c r="J410" s="10"/>
    </row>
    <row r="411" spans="6:10" ht="14.25" customHeight="1">
      <c r="F411" s="10"/>
      <c r="J411" s="10"/>
    </row>
    <row r="412" spans="6:10" ht="14.25" customHeight="1">
      <c r="F412" s="10"/>
      <c r="J412" s="10"/>
    </row>
    <row r="413" spans="6:10" ht="14.25" customHeight="1">
      <c r="F413" s="10"/>
      <c r="J413" s="10"/>
    </row>
    <row r="414" spans="6:10" ht="14.25" customHeight="1">
      <c r="F414" s="10"/>
      <c r="J414" s="10"/>
    </row>
    <row r="415" spans="6:10" ht="14.25" customHeight="1">
      <c r="F415" s="10"/>
      <c r="J415" s="10"/>
    </row>
    <row r="416" spans="6:10" ht="14.25" customHeight="1">
      <c r="F416" s="10"/>
      <c r="J416" s="10"/>
    </row>
    <row r="417" spans="6:10" ht="14.25" customHeight="1">
      <c r="F417" s="10"/>
      <c r="J417" s="10"/>
    </row>
    <row r="418" spans="6:10" ht="14.25" customHeight="1">
      <c r="F418" s="10"/>
      <c r="J418" s="10"/>
    </row>
    <row r="419" spans="6:10" ht="14.25" customHeight="1">
      <c r="F419" s="10"/>
      <c r="J419" s="10"/>
    </row>
    <row r="420" spans="6:10" ht="14.25" customHeight="1">
      <c r="F420" s="10"/>
      <c r="J420" s="10"/>
    </row>
    <row r="421" spans="6:10" ht="14.25" customHeight="1">
      <c r="F421" s="10"/>
      <c r="J421" s="10"/>
    </row>
    <row r="422" spans="6:10" ht="14.25" customHeight="1">
      <c r="F422" s="10"/>
      <c r="J422" s="10"/>
    </row>
    <row r="423" spans="6:10" ht="14.25" customHeight="1">
      <c r="F423" s="10"/>
      <c r="J423" s="10"/>
    </row>
    <row r="424" spans="6:10" ht="14.25" customHeight="1">
      <c r="F424" s="10"/>
      <c r="J424" s="10"/>
    </row>
    <row r="425" spans="6:10" ht="14.25" customHeight="1">
      <c r="F425" s="10"/>
      <c r="J425" s="10"/>
    </row>
    <row r="426" spans="6:10" ht="14.25" customHeight="1">
      <c r="F426" s="10"/>
      <c r="J426" s="10"/>
    </row>
    <row r="427" spans="6:10" ht="14.25" customHeight="1">
      <c r="F427" s="10"/>
      <c r="J427" s="10"/>
    </row>
    <row r="428" spans="6:10" ht="14.25" customHeight="1">
      <c r="F428" s="10"/>
      <c r="J428" s="10"/>
    </row>
    <row r="429" spans="6:10" ht="14.25" customHeight="1">
      <c r="F429" s="10"/>
      <c r="J429" s="10"/>
    </row>
    <row r="430" spans="6:10" ht="14.25" customHeight="1">
      <c r="F430" s="10"/>
      <c r="J430" s="10"/>
    </row>
    <row r="431" spans="6:10" ht="14.25" customHeight="1">
      <c r="F431" s="10"/>
      <c r="J431" s="10"/>
    </row>
    <row r="432" spans="6:10" ht="14.25" customHeight="1">
      <c r="F432" s="10"/>
      <c r="J432" s="10"/>
    </row>
    <row r="433" spans="6:10" ht="14.25" customHeight="1">
      <c r="F433" s="10"/>
      <c r="J433" s="10"/>
    </row>
    <row r="434" spans="6:10" ht="14.25" customHeight="1">
      <c r="F434" s="10"/>
      <c r="J434" s="10"/>
    </row>
    <row r="435" spans="6:10" ht="14.25" customHeight="1">
      <c r="F435" s="10"/>
      <c r="J435" s="10"/>
    </row>
    <row r="436" spans="6:10" ht="14.25" customHeight="1">
      <c r="F436" s="10"/>
      <c r="J436" s="10"/>
    </row>
    <row r="437" spans="6:10" ht="14.25" customHeight="1">
      <c r="F437" s="10"/>
      <c r="J437" s="10"/>
    </row>
    <row r="438" spans="6:10" ht="14.25" customHeight="1">
      <c r="F438" s="10"/>
      <c r="J438" s="10"/>
    </row>
    <row r="439" spans="6:10" ht="14.25" customHeight="1">
      <c r="F439" s="10"/>
      <c r="J439" s="10"/>
    </row>
    <row r="440" spans="6:10" ht="14.25" customHeight="1">
      <c r="F440" s="10"/>
      <c r="J440" s="10"/>
    </row>
    <row r="441" spans="6:10" ht="14.25" customHeight="1">
      <c r="F441" s="10"/>
      <c r="J441" s="10"/>
    </row>
    <row r="442" spans="6:10" ht="14.25" customHeight="1">
      <c r="F442" s="10"/>
      <c r="J442" s="10"/>
    </row>
    <row r="443" spans="6:10" ht="14.25" customHeight="1">
      <c r="F443" s="10"/>
      <c r="J443" s="10"/>
    </row>
    <row r="444" spans="6:10" ht="14.25" customHeight="1">
      <c r="F444" s="10"/>
      <c r="J444" s="10"/>
    </row>
    <row r="445" spans="6:10" ht="14.25" customHeight="1">
      <c r="F445" s="10"/>
      <c r="J445" s="10"/>
    </row>
    <row r="446" spans="6:10" ht="14.25" customHeight="1">
      <c r="F446" s="10"/>
      <c r="J446" s="10"/>
    </row>
    <row r="447" spans="6:10" ht="14.25" customHeight="1">
      <c r="F447" s="10"/>
      <c r="J447" s="10"/>
    </row>
    <row r="448" spans="6:10" ht="14.25" customHeight="1">
      <c r="F448" s="10"/>
      <c r="J448" s="10"/>
    </row>
    <row r="449" spans="6:10" ht="14.25" customHeight="1">
      <c r="F449" s="10"/>
      <c r="J449" s="10"/>
    </row>
    <row r="450" spans="6:10" ht="14.25" customHeight="1">
      <c r="F450" s="10"/>
      <c r="J450" s="10"/>
    </row>
    <row r="451" spans="6:10" ht="14.25" customHeight="1">
      <c r="F451" s="10"/>
      <c r="J451" s="10"/>
    </row>
    <row r="452" spans="6:10" ht="14.25" customHeight="1">
      <c r="F452" s="10"/>
      <c r="J452" s="10"/>
    </row>
    <row r="453" spans="6:10" ht="14.25" customHeight="1">
      <c r="F453" s="10"/>
      <c r="J453" s="10"/>
    </row>
    <row r="454" spans="6:10" ht="14.25" customHeight="1">
      <c r="F454" s="10"/>
      <c r="J454" s="10"/>
    </row>
    <row r="455" spans="6:10" ht="14.25" customHeight="1">
      <c r="F455" s="10"/>
      <c r="J455" s="10"/>
    </row>
    <row r="456" spans="6:10" ht="14.25" customHeight="1">
      <c r="F456" s="10"/>
      <c r="J456" s="10"/>
    </row>
    <row r="457" spans="6:10" ht="14.25" customHeight="1">
      <c r="F457" s="10"/>
      <c r="J457" s="10"/>
    </row>
    <row r="458" spans="6:10" ht="14.25" customHeight="1">
      <c r="F458" s="10"/>
      <c r="J458" s="10"/>
    </row>
    <row r="459" spans="6:10" ht="14.25" customHeight="1">
      <c r="F459" s="10"/>
      <c r="J459" s="10"/>
    </row>
    <row r="460" spans="6:10" ht="14.25" customHeight="1">
      <c r="F460" s="10"/>
      <c r="J460" s="10"/>
    </row>
    <row r="461" spans="6:10" ht="14.25" customHeight="1">
      <c r="F461" s="10"/>
      <c r="J461" s="10"/>
    </row>
    <row r="462" spans="6:10" ht="14.25" customHeight="1">
      <c r="F462" s="10"/>
      <c r="J462" s="10"/>
    </row>
    <row r="463" spans="6:10" ht="14.25" customHeight="1">
      <c r="F463" s="10"/>
      <c r="J463" s="10"/>
    </row>
    <row r="464" spans="6:10" ht="14.25" customHeight="1">
      <c r="F464" s="10"/>
      <c r="J464" s="10"/>
    </row>
    <row r="465" spans="6:10" ht="14.25" customHeight="1">
      <c r="F465" s="10"/>
      <c r="J465" s="10"/>
    </row>
    <row r="466" spans="6:10" ht="14.25" customHeight="1">
      <c r="F466" s="10"/>
      <c r="J466" s="10"/>
    </row>
    <row r="467" spans="6:10" ht="14.25" customHeight="1">
      <c r="F467" s="10"/>
      <c r="J467" s="10"/>
    </row>
    <row r="468" spans="6:10" ht="14.25" customHeight="1">
      <c r="F468" s="10"/>
      <c r="J468" s="10"/>
    </row>
    <row r="469" spans="6:10" ht="14.25" customHeight="1">
      <c r="F469" s="10"/>
      <c r="J469" s="10"/>
    </row>
    <row r="470" spans="6:10" ht="14.25" customHeight="1">
      <c r="F470" s="10"/>
      <c r="J470" s="10"/>
    </row>
    <row r="471" spans="6:10" ht="14.25" customHeight="1">
      <c r="F471" s="10"/>
      <c r="J471" s="10"/>
    </row>
    <row r="472" spans="6:10" ht="14.25" customHeight="1">
      <c r="F472" s="10"/>
      <c r="J472" s="10"/>
    </row>
    <row r="473" spans="6:10" ht="14.25" customHeight="1">
      <c r="F473" s="10"/>
      <c r="J473" s="10"/>
    </row>
    <row r="474" spans="6:10" ht="14.25" customHeight="1">
      <c r="F474" s="10"/>
      <c r="J474" s="10"/>
    </row>
    <row r="475" spans="6:10" ht="14.25" customHeight="1">
      <c r="F475" s="10"/>
      <c r="J475" s="10"/>
    </row>
    <row r="476" spans="6:10" ht="14.25" customHeight="1">
      <c r="F476" s="10"/>
      <c r="J476" s="10"/>
    </row>
    <row r="477" spans="6:10" ht="14.25" customHeight="1">
      <c r="F477" s="10"/>
      <c r="J477" s="10"/>
    </row>
    <row r="478" spans="6:10" ht="14.25" customHeight="1">
      <c r="F478" s="10"/>
      <c r="J478" s="10"/>
    </row>
    <row r="479" spans="6:10" ht="14.25" customHeight="1">
      <c r="F479" s="10"/>
      <c r="J479" s="10"/>
    </row>
    <row r="480" spans="6:10" ht="14.25" customHeight="1">
      <c r="F480" s="10"/>
      <c r="J480" s="10"/>
    </row>
    <row r="481" spans="6:10" ht="14.25" customHeight="1">
      <c r="F481" s="10"/>
      <c r="J481" s="10"/>
    </row>
    <row r="482" spans="6:10" ht="14.25" customHeight="1">
      <c r="F482" s="10"/>
      <c r="J482" s="10"/>
    </row>
    <row r="483" spans="6:10" ht="14.25" customHeight="1">
      <c r="F483" s="10"/>
      <c r="J483" s="10"/>
    </row>
    <row r="484" spans="6:10" ht="14.25" customHeight="1">
      <c r="F484" s="10"/>
      <c r="J484" s="10"/>
    </row>
    <row r="485" spans="6:10" ht="14.25" customHeight="1">
      <c r="F485" s="10"/>
      <c r="J485" s="10"/>
    </row>
    <row r="486" spans="6:10" ht="14.25" customHeight="1">
      <c r="F486" s="10"/>
      <c r="J486" s="10"/>
    </row>
    <row r="487" spans="6:10" ht="14.25" customHeight="1">
      <c r="F487" s="10"/>
      <c r="J487" s="10"/>
    </row>
    <row r="488" spans="6:10" ht="14.25" customHeight="1">
      <c r="F488" s="10"/>
      <c r="J488" s="10"/>
    </row>
    <row r="489" spans="6:10" ht="14.25" customHeight="1">
      <c r="F489" s="10"/>
      <c r="J489" s="10"/>
    </row>
    <row r="490" spans="6:10" ht="14.25" customHeight="1">
      <c r="F490" s="10"/>
      <c r="J490" s="10"/>
    </row>
    <row r="491" spans="6:10" ht="14.25" customHeight="1">
      <c r="F491" s="10"/>
      <c r="J491" s="10"/>
    </row>
    <row r="492" spans="6:10" ht="14.25" customHeight="1">
      <c r="F492" s="10"/>
      <c r="J492" s="10"/>
    </row>
    <row r="493" spans="6:10" ht="14.25" customHeight="1">
      <c r="F493" s="10"/>
      <c r="J493" s="10"/>
    </row>
    <row r="494" spans="6:10" ht="14.25" customHeight="1">
      <c r="F494" s="10"/>
      <c r="J494" s="10"/>
    </row>
    <row r="495" spans="6:10" ht="14.25" customHeight="1">
      <c r="F495" s="10"/>
      <c r="J495" s="10"/>
    </row>
    <row r="496" spans="6:10" ht="14.25" customHeight="1">
      <c r="F496" s="10"/>
      <c r="J496" s="10"/>
    </row>
    <row r="497" spans="6:10" ht="14.25" customHeight="1">
      <c r="F497" s="10"/>
      <c r="J497" s="10"/>
    </row>
    <row r="498" spans="6:10" ht="14.25" customHeight="1">
      <c r="F498" s="10"/>
      <c r="J498" s="10"/>
    </row>
    <row r="499" spans="6:10" ht="14.25" customHeight="1">
      <c r="F499" s="10"/>
      <c r="J499" s="10"/>
    </row>
    <row r="500" spans="6:10" ht="14.25" customHeight="1">
      <c r="F500" s="10"/>
      <c r="J500" s="10"/>
    </row>
    <row r="501" spans="6:10" ht="14.25" customHeight="1">
      <c r="F501" s="10"/>
      <c r="J501" s="10"/>
    </row>
    <row r="502" spans="6:10" ht="14.25" customHeight="1">
      <c r="F502" s="10"/>
      <c r="J502" s="10"/>
    </row>
    <row r="503" spans="6:10" ht="14.25" customHeight="1">
      <c r="F503" s="10"/>
      <c r="J503" s="10"/>
    </row>
    <row r="504" spans="6:10" ht="14.25" customHeight="1">
      <c r="F504" s="10"/>
      <c r="J504" s="10"/>
    </row>
    <row r="505" spans="6:10" ht="14.25" customHeight="1">
      <c r="F505" s="10"/>
      <c r="J505" s="10"/>
    </row>
    <row r="506" spans="6:10" ht="14.25" customHeight="1">
      <c r="F506" s="10"/>
      <c r="J506" s="10"/>
    </row>
    <row r="507" spans="6:10" ht="14.25" customHeight="1">
      <c r="F507" s="10"/>
      <c r="J507" s="10"/>
    </row>
    <row r="508" spans="6:10" ht="14.25" customHeight="1">
      <c r="F508" s="10"/>
      <c r="J508" s="10"/>
    </row>
    <row r="509" spans="6:10" ht="14.25" customHeight="1">
      <c r="F509" s="10"/>
      <c r="J509" s="10"/>
    </row>
    <row r="510" spans="6:10" ht="14.25" customHeight="1">
      <c r="F510" s="10"/>
      <c r="J510" s="10"/>
    </row>
    <row r="511" spans="6:10" ht="14.25" customHeight="1">
      <c r="F511" s="10"/>
      <c r="J511" s="10"/>
    </row>
    <row r="512" spans="6:10" ht="14.25" customHeight="1">
      <c r="F512" s="10"/>
      <c r="J512" s="10"/>
    </row>
    <row r="513" spans="6:10" ht="14.25" customHeight="1">
      <c r="F513" s="10"/>
      <c r="J513" s="10"/>
    </row>
    <row r="514" spans="6:10" ht="14.25" customHeight="1">
      <c r="F514" s="10"/>
      <c r="J514" s="10"/>
    </row>
    <row r="515" spans="6:10" ht="14.25" customHeight="1">
      <c r="F515" s="10"/>
      <c r="J515" s="10"/>
    </row>
    <row r="516" spans="6:10" ht="14.25" customHeight="1">
      <c r="F516" s="10"/>
      <c r="J516" s="10"/>
    </row>
    <row r="517" spans="6:10" ht="14.25" customHeight="1">
      <c r="F517" s="10"/>
      <c r="J517" s="10"/>
    </row>
    <row r="518" spans="6:10" ht="14.25" customHeight="1">
      <c r="F518" s="10"/>
      <c r="J518" s="10"/>
    </row>
    <row r="519" spans="6:10" ht="14.25" customHeight="1">
      <c r="F519" s="10"/>
      <c r="J519" s="10"/>
    </row>
    <row r="520" spans="6:10" ht="14.25" customHeight="1">
      <c r="F520" s="10"/>
      <c r="J520" s="10"/>
    </row>
    <row r="521" spans="6:10" ht="14.25" customHeight="1">
      <c r="F521" s="10"/>
      <c r="J521" s="10"/>
    </row>
    <row r="522" spans="6:10" ht="14.25" customHeight="1">
      <c r="F522" s="10"/>
      <c r="J522" s="10"/>
    </row>
    <row r="523" spans="6:10" ht="14.25" customHeight="1">
      <c r="F523" s="10"/>
      <c r="J523" s="10"/>
    </row>
    <row r="524" spans="6:10" ht="14.25" customHeight="1">
      <c r="F524" s="10"/>
      <c r="J524" s="10"/>
    </row>
    <row r="525" spans="6:10" ht="14.25" customHeight="1">
      <c r="F525" s="10"/>
      <c r="J525" s="10"/>
    </row>
    <row r="526" spans="6:10" ht="14.25" customHeight="1">
      <c r="F526" s="10"/>
      <c r="J526" s="10"/>
    </row>
    <row r="527" spans="6:10" ht="14.25" customHeight="1">
      <c r="F527" s="10"/>
      <c r="J527" s="10"/>
    </row>
    <row r="528" spans="6:10" ht="14.25" customHeight="1">
      <c r="F528" s="10"/>
      <c r="J528" s="10"/>
    </row>
    <row r="529" spans="6:10" ht="14.25" customHeight="1">
      <c r="F529" s="10"/>
      <c r="J529" s="10"/>
    </row>
    <row r="530" spans="6:10" ht="14.25" customHeight="1">
      <c r="F530" s="10"/>
      <c r="J530" s="10"/>
    </row>
    <row r="531" spans="6:10" ht="14.25" customHeight="1">
      <c r="F531" s="10"/>
      <c r="J531" s="10"/>
    </row>
    <row r="532" spans="6:10" ht="14.25" customHeight="1">
      <c r="F532" s="10"/>
      <c r="J532" s="10"/>
    </row>
    <row r="533" spans="6:10" ht="14.25" customHeight="1">
      <c r="F533" s="10"/>
      <c r="J533" s="10"/>
    </row>
    <row r="534" spans="6:10" ht="14.25" customHeight="1">
      <c r="F534" s="10"/>
      <c r="J534" s="10"/>
    </row>
    <row r="535" spans="6:10" ht="14.25" customHeight="1">
      <c r="F535" s="10"/>
      <c r="J535" s="10"/>
    </row>
    <row r="536" spans="6:10" ht="14.25" customHeight="1">
      <c r="F536" s="10"/>
      <c r="J536" s="10"/>
    </row>
    <row r="537" spans="6:10" ht="14.25" customHeight="1">
      <c r="F537" s="10"/>
      <c r="J537" s="10"/>
    </row>
    <row r="538" spans="6:10" ht="14.25" customHeight="1">
      <c r="F538" s="10"/>
      <c r="J538" s="10"/>
    </row>
    <row r="539" spans="6:10" ht="14.25" customHeight="1">
      <c r="F539" s="10"/>
      <c r="J539" s="10"/>
    </row>
    <row r="540" spans="6:10" ht="14.25" customHeight="1">
      <c r="F540" s="10"/>
      <c r="J540" s="10"/>
    </row>
    <row r="541" spans="6:10" ht="14.25" customHeight="1">
      <c r="F541" s="10"/>
      <c r="J541" s="10"/>
    </row>
    <row r="542" spans="6:10" ht="14.25" customHeight="1">
      <c r="F542" s="10"/>
      <c r="J542" s="10"/>
    </row>
    <row r="543" spans="6:10" ht="14.25" customHeight="1">
      <c r="F543" s="10"/>
      <c r="J543" s="10"/>
    </row>
    <row r="544" spans="6:10" ht="14.25" customHeight="1">
      <c r="F544" s="10"/>
      <c r="J544" s="10"/>
    </row>
    <row r="545" spans="6:10" ht="14.25" customHeight="1">
      <c r="F545" s="10"/>
      <c r="J545" s="10"/>
    </row>
    <row r="546" spans="6:10" ht="14.25" customHeight="1">
      <c r="F546" s="10"/>
      <c r="J546" s="10"/>
    </row>
    <row r="547" spans="6:10" ht="14.25" customHeight="1">
      <c r="F547" s="10"/>
      <c r="J547" s="10"/>
    </row>
    <row r="548" spans="6:10" ht="14.25" customHeight="1">
      <c r="F548" s="10"/>
      <c r="J548" s="10"/>
    </row>
    <row r="549" spans="6:10" ht="14.25" customHeight="1">
      <c r="F549" s="10"/>
      <c r="J549" s="10"/>
    </row>
    <row r="550" spans="6:10" ht="14.25" customHeight="1">
      <c r="F550" s="10"/>
      <c r="J550" s="10"/>
    </row>
    <row r="551" spans="6:10" ht="14.25" customHeight="1">
      <c r="F551" s="10"/>
      <c r="J551" s="10"/>
    </row>
    <row r="552" spans="6:10" ht="14.25" customHeight="1">
      <c r="F552" s="10"/>
      <c r="J552" s="10"/>
    </row>
    <row r="553" spans="6:10" ht="14.25" customHeight="1">
      <c r="F553" s="10"/>
      <c r="J553" s="10"/>
    </row>
    <row r="554" spans="6:10" ht="14.25" customHeight="1">
      <c r="F554" s="10"/>
      <c r="J554" s="10"/>
    </row>
    <row r="555" spans="6:10" ht="14.25" customHeight="1">
      <c r="F555" s="10"/>
      <c r="J555" s="10"/>
    </row>
    <row r="556" spans="6:10" ht="14.25" customHeight="1">
      <c r="F556" s="10"/>
      <c r="J556" s="10"/>
    </row>
    <row r="557" spans="6:10" ht="14.25" customHeight="1">
      <c r="F557" s="10"/>
      <c r="J557" s="10"/>
    </row>
    <row r="558" spans="6:10" ht="14.25" customHeight="1">
      <c r="F558" s="10"/>
      <c r="J558" s="10"/>
    </row>
    <row r="559" spans="6:10" ht="14.25" customHeight="1">
      <c r="F559" s="10"/>
      <c r="J559" s="10"/>
    </row>
    <row r="560" spans="6:10" ht="14.25" customHeight="1">
      <c r="F560" s="10"/>
      <c r="J560" s="10"/>
    </row>
    <row r="561" spans="6:10" ht="14.25" customHeight="1">
      <c r="F561" s="10"/>
      <c r="J561" s="10"/>
    </row>
    <row r="562" spans="6:10" ht="14.25" customHeight="1">
      <c r="F562" s="10"/>
      <c r="J562" s="10"/>
    </row>
    <row r="563" spans="6:10" ht="14.25" customHeight="1">
      <c r="F563" s="10"/>
      <c r="J563" s="10"/>
    </row>
    <row r="564" spans="6:10" ht="14.25" customHeight="1">
      <c r="F564" s="10"/>
      <c r="J564" s="10"/>
    </row>
    <row r="565" spans="6:10" ht="14.25" customHeight="1">
      <c r="F565" s="10"/>
      <c r="J565" s="10"/>
    </row>
    <row r="566" spans="6:10" ht="14.25" customHeight="1">
      <c r="F566" s="10"/>
      <c r="J566" s="10"/>
    </row>
    <row r="567" spans="6:10" ht="14.25" customHeight="1">
      <c r="F567" s="10"/>
      <c r="J567" s="10"/>
    </row>
    <row r="568" spans="6:10" ht="14.25" customHeight="1">
      <c r="F568" s="10"/>
      <c r="J568" s="10"/>
    </row>
    <row r="569" spans="6:10" ht="14.25" customHeight="1">
      <c r="F569" s="10"/>
      <c r="J569" s="10"/>
    </row>
    <row r="570" spans="6:10" ht="14.25" customHeight="1">
      <c r="F570" s="10"/>
      <c r="J570" s="10"/>
    </row>
    <row r="571" spans="6:10" ht="14.25" customHeight="1">
      <c r="F571" s="10"/>
      <c r="J571" s="10"/>
    </row>
    <row r="572" spans="6:10" ht="14.25" customHeight="1">
      <c r="F572" s="10"/>
      <c r="J572" s="10"/>
    </row>
    <row r="573" spans="6:10" ht="14.25" customHeight="1">
      <c r="F573" s="10"/>
      <c r="J573" s="10"/>
    </row>
    <row r="574" spans="6:10" ht="14.25" customHeight="1">
      <c r="F574" s="10"/>
      <c r="J574" s="10"/>
    </row>
    <row r="575" spans="6:10" ht="14.25" customHeight="1">
      <c r="F575" s="10"/>
      <c r="J575" s="10"/>
    </row>
    <row r="576" spans="6:10" ht="14.25" customHeight="1">
      <c r="F576" s="10"/>
      <c r="J576" s="10"/>
    </row>
    <row r="577" spans="6:10" ht="14.25" customHeight="1">
      <c r="F577" s="10"/>
      <c r="J577" s="10"/>
    </row>
    <row r="578" spans="6:10" ht="14.25" customHeight="1">
      <c r="F578" s="10"/>
      <c r="J578" s="10"/>
    </row>
    <row r="579" spans="6:10" ht="14.25" customHeight="1">
      <c r="F579" s="10"/>
      <c r="J579" s="10"/>
    </row>
    <row r="580" spans="6:10" ht="14.25" customHeight="1">
      <c r="F580" s="10"/>
      <c r="J580" s="10"/>
    </row>
    <row r="581" spans="6:10" ht="14.25" customHeight="1">
      <c r="F581" s="10"/>
      <c r="J581" s="10"/>
    </row>
    <row r="582" spans="6:10" ht="14.25" customHeight="1">
      <c r="F582" s="10"/>
      <c r="J582" s="10"/>
    </row>
    <row r="583" spans="6:10" ht="14.25" customHeight="1">
      <c r="F583" s="10"/>
      <c r="J583" s="10"/>
    </row>
    <row r="584" spans="6:10" ht="14.25" customHeight="1">
      <c r="F584" s="10"/>
      <c r="J584" s="10"/>
    </row>
    <row r="585" spans="6:10" ht="14.25" customHeight="1">
      <c r="F585" s="10"/>
      <c r="J585" s="10"/>
    </row>
    <row r="586" spans="6:10" ht="14.25" customHeight="1">
      <c r="F586" s="10"/>
      <c r="J586" s="10"/>
    </row>
    <row r="587" spans="6:10" ht="14.25" customHeight="1">
      <c r="F587" s="10"/>
      <c r="J587" s="10"/>
    </row>
    <row r="588" spans="6:10" ht="14.25" customHeight="1">
      <c r="F588" s="10"/>
      <c r="J588" s="10"/>
    </row>
    <row r="589" spans="6:10" ht="14.25" customHeight="1">
      <c r="F589" s="10"/>
      <c r="J589" s="10"/>
    </row>
    <row r="590" spans="6:10" ht="14.25" customHeight="1">
      <c r="F590" s="10"/>
      <c r="J590" s="10"/>
    </row>
    <row r="591" spans="6:10" ht="14.25" customHeight="1">
      <c r="F591" s="10"/>
      <c r="J591" s="10"/>
    </row>
    <row r="592" spans="6:10" ht="14.25" customHeight="1">
      <c r="F592" s="10"/>
      <c r="J592" s="10"/>
    </row>
    <row r="593" spans="6:10" ht="14.25" customHeight="1">
      <c r="F593" s="10"/>
      <c r="J593" s="10"/>
    </row>
    <row r="594" spans="6:10" ht="14.25" customHeight="1">
      <c r="F594" s="10"/>
      <c r="J594" s="10"/>
    </row>
    <row r="595" spans="6:10" ht="14.25" customHeight="1">
      <c r="F595" s="10"/>
      <c r="J595" s="10"/>
    </row>
    <row r="596" spans="6:10" ht="14.25" customHeight="1">
      <c r="F596" s="10"/>
      <c r="J596" s="10"/>
    </row>
    <row r="597" spans="6:10" ht="14.25" customHeight="1">
      <c r="F597" s="10"/>
      <c r="J597" s="10"/>
    </row>
    <row r="598" spans="6:10" ht="14.25" customHeight="1">
      <c r="F598" s="10"/>
      <c r="J598" s="10"/>
    </row>
    <row r="599" spans="6:10" ht="14.25" customHeight="1">
      <c r="F599" s="10"/>
      <c r="J599" s="10"/>
    </row>
    <row r="600" spans="6:10" ht="14.25" customHeight="1">
      <c r="F600" s="10"/>
      <c r="J600" s="10"/>
    </row>
    <row r="601" spans="6:10" ht="14.25" customHeight="1">
      <c r="F601" s="10"/>
      <c r="J601" s="10"/>
    </row>
    <row r="602" spans="6:10" ht="14.25" customHeight="1">
      <c r="F602" s="10"/>
      <c r="J602" s="10"/>
    </row>
    <row r="603" spans="6:10" ht="14.25" customHeight="1">
      <c r="F603" s="10"/>
      <c r="J603" s="10"/>
    </row>
    <row r="604" spans="6:10" ht="14.25" customHeight="1">
      <c r="F604" s="10"/>
      <c r="J604" s="10"/>
    </row>
    <row r="605" spans="6:10" ht="14.25" customHeight="1">
      <c r="F605" s="10"/>
      <c r="J605" s="10"/>
    </row>
    <row r="606" spans="6:10" ht="14.25" customHeight="1">
      <c r="F606" s="10"/>
      <c r="J606" s="10"/>
    </row>
    <row r="607" spans="6:10" ht="14.25" customHeight="1">
      <c r="F607" s="10"/>
      <c r="J607" s="10"/>
    </row>
    <row r="608" spans="6:10" ht="14.25" customHeight="1">
      <c r="F608" s="10"/>
      <c r="J608" s="10"/>
    </row>
    <row r="609" spans="6:10" ht="14.25" customHeight="1">
      <c r="F609" s="10"/>
      <c r="J609" s="10"/>
    </row>
    <row r="610" spans="6:10" ht="14.25" customHeight="1">
      <c r="F610" s="10"/>
      <c r="J610" s="10"/>
    </row>
    <row r="611" spans="6:10" ht="14.25" customHeight="1">
      <c r="F611" s="10"/>
      <c r="J611" s="10"/>
    </row>
    <row r="612" spans="6:10" ht="14.25" customHeight="1">
      <c r="F612" s="10"/>
      <c r="J612" s="10"/>
    </row>
    <row r="613" spans="6:10" ht="14.25" customHeight="1">
      <c r="F613" s="10"/>
      <c r="J613" s="10"/>
    </row>
    <row r="614" spans="6:10" ht="14.25" customHeight="1">
      <c r="F614" s="10"/>
      <c r="J614" s="10"/>
    </row>
    <row r="615" spans="6:10" ht="14.25" customHeight="1">
      <c r="F615" s="10"/>
      <c r="J615" s="10"/>
    </row>
    <row r="616" spans="6:10" ht="14.25" customHeight="1">
      <c r="F616" s="10"/>
      <c r="J616" s="10"/>
    </row>
    <row r="617" spans="6:10" ht="14.25" customHeight="1">
      <c r="F617" s="10"/>
      <c r="J617" s="10"/>
    </row>
    <row r="618" spans="6:10" ht="14.25" customHeight="1">
      <c r="F618" s="10"/>
      <c r="J618" s="10"/>
    </row>
    <row r="619" spans="6:10" ht="14.25" customHeight="1">
      <c r="F619" s="10"/>
      <c r="J619" s="10"/>
    </row>
    <row r="620" spans="6:10" ht="14.25" customHeight="1">
      <c r="F620" s="10"/>
      <c r="J620" s="10"/>
    </row>
    <row r="621" spans="6:10" ht="14.25" customHeight="1">
      <c r="F621" s="10"/>
      <c r="J621" s="10"/>
    </row>
    <row r="622" spans="6:10" ht="14.25" customHeight="1">
      <c r="F622" s="10"/>
      <c r="J622" s="10"/>
    </row>
    <row r="623" spans="6:10" ht="14.25" customHeight="1">
      <c r="F623" s="10"/>
      <c r="J623" s="10"/>
    </row>
    <row r="624" spans="6:10" ht="14.25" customHeight="1">
      <c r="F624" s="10"/>
      <c r="J624" s="10"/>
    </row>
    <row r="625" spans="6:10" ht="14.25" customHeight="1">
      <c r="F625" s="10"/>
      <c r="J625" s="10"/>
    </row>
    <row r="626" spans="6:10" ht="14.25" customHeight="1">
      <c r="F626" s="10"/>
      <c r="J626" s="10"/>
    </row>
    <row r="627" spans="6:10" ht="14.25" customHeight="1">
      <c r="F627" s="10"/>
      <c r="J627" s="10"/>
    </row>
    <row r="628" spans="6:10" ht="14.25" customHeight="1">
      <c r="F628" s="10"/>
      <c r="J628" s="10"/>
    </row>
    <row r="629" spans="6:10" ht="14.25" customHeight="1">
      <c r="F629" s="10"/>
      <c r="J629" s="10"/>
    </row>
    <row r="630" spans="6:10" ht="14.25" customHeight="1">
      <c r="F630" s="10"/>
      <c r="J630" s="10"/>
    </row>
    <row r="631" spans="6:10" ht="14.25" customHeight="1">
      <c r="F631" s="10"/>
      <c r="J631" s="10"/>
    </row>
    <row r="632" spans="6:10" ht="14.25" customHeight="1">
      <c r="F632" s="10"/>
      <c r="J632" s="10"/>
    </row>
    <row r="633" spans="6:10" ht="14.25" customHeight="1">
      <c r="F633" s="10"/>
      <c r="J633" s="10"/>
    </row>
    <row r="634" spans="6:10" ht="14.25" customHeight="1">
      <c r="F634" s="10"/>
      <c r="J634" s="10"/>
    </row>
    <row r="635" spans="6:10" ht="14.25" customHeight="1">
      <c r="F635" s="10"/>
      <c r="J635" s="10"/>
    </row>
    <row r="636" spans="6:10" ht="14.25" customHeight="1">
      <c r="F636" s="10"/>
      <c r="J636" s="10"/>
    </row>
    <row r="637" spans="6:10" ht="14.25" customHeight="1">
      <c r="F637" s="10"/>
      <c r="J637" s="10"/>
    </row>
    <row r="638" spans="6:10" ht="14.25" customHeight="1">
      <c r="F638" s="10"/>
      <c r="J638" s="10"/>
    </row>
    <row r="639" spans="6:10" ht="14.25" customHeight="1">
      <c r="F639" s="10"/>
      <c r="J639" s="10"/>
    </row>
    <row r="640" spans="6:10" ht="14.25" customHeight="1">
      <c r="F640" s="10"/>
      <c r="J640" s="10"/>
    </row>
    <row r="641" spans="6:10" ht="14.25" customHeight="1">
      <c r="F641" s="10"/>
      <c r="J641" s="10"/>
    </row>
    <row r="642" spans="6:10" ht="14.25" customHeight="1">
      <c r="F642" s="10"/>
      <c r="J642" s="10"/>
    </row>
    <row r="643" spans="6:10" ht="14.25" customHeight="1">
      <c r="F643" s="10"/>
      <c r="J643" s="10"/>
    </row>
    <row r="644" spans="6:10" ht="14.25" customHeight="1">
      <c r="F644" s="10"/>
      <c r="J644" s="10"/>
    </row>
    <row r="645" spans="6:10" ht="14.25" customHeight="1">
      <c r="F645" s="10"/>
      <c r="J645" s="10"/>
    </row>
    <row r="646" spans="6:10" ht="14.25" customHeight="1">
      <c r="F646" s="10"/>
      <c r="J646" s="10"/>
    </row>
    <row r="647" spans="6:10" ht="14.25" customHeight="1">
      <c r="F647" s="10"/>
      <c r="J647" s="10"/>
    </row>
    <row r="648" spans="6:10" ht="14.25" customHeight="1">
      <c r="F648" s="10"/>
      <c r="J648" s="10"/>
    </row>
    <row r="649" spans="6:10" ht="14.25" customHeight="1">
      <c r="F649" s="10"/>
      <c r="J649" s="10"/>
    </row>
    <row r="650" spans="6:10" ht="14.25" customHeight="1">
      <c r="F650" s="10"/>
      <c r="J650" s="10"/>
    </row>
    <row r="651" spans="6:10" ht="14.25" customHeight="1">
      <c r="F651" s="10"/>
      <c r="J651" s="10"/>
    </row>
    <row r="652" spans="6:10" ht="14.25" customHeight="1">
      <c r="F652" s="10"/>
      <c r="J652" s="10"/>
    </row>
    <row r="653" spans="6:10" ht="14.25" customHeight="1">
      <c r="F653" s="10"/>
      <c r="J653" s="10"/>
    </row>
    <row r="654" spans="6:10" ht="14.25" customHeight="1">
      <c r="F654" s="10"/>
      <c r="J654" s="10"/>
    </row>
    <row r="655" spans="6:10" ht="14.25" customHeight="1">
      <c r="F655" s="10"/>
      <c r="J655" s="10"/>
    </row>
    <row r="656" spans="6:10" ht="14.25" customHeight="1">
      <c r="F656" s="10"/>
      <c r="J656" s="10"/>
    </row>
    <row r="657" spans="6:10" ht="14.25" customHeight="1">
      <c r="F657" s="10"/>
      <c r="J657" s="10"/>
    </row>
    <row r="658" spans="6:10" ht="14.25" customHeight="1">
      <c r="F658" s="10"/>
      <c r="J658" s="10"/>
    </row>
    <row r="659" spans="6:10" ht="14.25" customHeight="1">
      <c r="F659" s="10"/>
      <c r="J659" s="10"/>
    </row>
    <row r="660" spans="6:10" ht="14.25" customHeight="1">
      <c r="F660" s="10"/>
      <c r="J660" s="10"/>
    </row>
    <row r="661" spans="6:10" ht="14.25" customHeight="1">
      <c r="F661" s="10"/>
      <c r="J661" s="10"/>
    </row>
    <row r="662" spans="6:10" ht="14.25" customHeight="1">
      <c r="F662" s="10"/>
      <c r="J662" s="10"/>
    </row>
    <row r="663" spans="6:10" ht="14.25" customHeight="1">
      <c r="F663" s="10"/>
      <c r="J663" s="10"/>
    </row>
    <row r="664" spans="6:10" ht="14.25" customHeight="1">
      <c r="F664" s="10"/>
      <c r="J664" s="10"/>
    </row>
    <row r="665" spans="6:10" ht="14.25" customHeight="1">
      <c r="F665" s="10"/>
      <c r="J665" s="10"/>
    </row>
    <row r="666" spans="6:10" ht="14.25" customHeight="1">
      <c r="F666" s="10"/>
      <c r="J666" s="10"/>
    </row>
    <row r="667" spans="6:10" ht="14.25" customHeight="1">
      <c r="F667" s="10"/>
      <c r="J667" s="10"/>
    </row>
    <row r="668" spans="6:10" ht="14.25" customHeight="1">
      <c r="F668" s="10"/>
      <c r="J668" s="10"/>
    </row>
    <row r="669" spans="6:10" ht="14.25" customHeight="1">
      <c r="F669" s="10"/>
      <c r="J669" s="10"/>
    </row>
    <row r="670" spans="6:10" ht="14.25" customHeight="1">
      <c r="F670" s="10"/>
      <c r="J670" s="10"/>
    </row>
    <row r="671" spans="6:10" ht="14.25" customHeight="1">
      <c r="F671" s="10"/>
      <c r="J671" s="10"/>
    </row>
    <row r="672" spans="6:10" ht="14.25" customHeight="1">
      <c r="F672" s="10"/>
      <c r="J672" s="10"/>
    </row>
    <row r="673" spans="6:10" ht="14.25" customHeight="1">
      <c r="F673" s="10"/>
      <c r="J673" s="10"/>
    </row>
    <row r="674" spans="6:10" ht="14.25" customHeight="1">
      <c r="F674" s="10"/>
      <c r="J674" s="10"/>
    </row>
    <row r="675" spans="6:10" ht="14.25" customHeight="1">
      <c r="F675" s="10"/>
      <c r="J675" s="10"/>
    </row>
    <row r="676" spans="6:10" ht="14.25" customHeight="1">
      <c r="F676" s="10"/>
      <c r="J676" s="10"/>
    </row>
    <row r="677" spans="6:10" ht="14.25" customHeight="1">
      <c r="F677" s="10"/>
      <c r="J677" s="10"/>
    </row>
    <row r="678" spans="6:10" ht="14.25" customHeight="1">
      <c r="F678" s="10"/>
      <c r="J678" s="10"/>
    </row>
    <row r="679" spans="6:10" ht="14.25" customHeight="1">
      <c r="F679" s="10"/>
      <c r="J679" s="10"/>
    </row>
    <row r="680" spans="6:10" ht="14.25" customHeight="1">
      <c r="F680" s="10"/>
      <c r="J680" s="10"/>
    </row>
    <row r="681" spans="6:10" ht="14.25" customHeight="1">
      <c r="F681" s="10"/>
      <c r="J681" s="10"/>
    </row>
    <row r="682" spans="6:10" ht="14.25" customHeight="1">
      <c r="F682" s="10"/>
      <c r="J682" s="10"/>
    </row>
    <row r="683" spans="6:10" ht="14.25" customHeight="1">
      <c r="F683" s="10"/>
      <c r="J683" s="10"/>
    </row>
    <row r="684" spans="6:10" ht="14.25" customHeight="1">
      <c r="F684" s="10"/>
      <c r="J684" s="10"/>
    </row>
    <row r="685" spans="6:10" ht="14.25" customHeight="1">
      <c r="F685" s="10"/>
      <c r="J685" s="10"/>
    </row>
    <row r="686" spans="6:10" ht="14.25" customHeight="1">
      <c r="F686" s="10"/>
      <c r="J686" s="10"/>
    </row>
    <row r="687" spans="6:10" ht="14.25" customHeight="1">
      <c r="F687" s="10"/>
      <c r="J687" s="10"/>
    </row>
    <row r="688" spans="6:10" ht="14.25" customHeight="1">
      <c r="F688" s="10"/>
      <c r="J688" s="10"/>
    </row>
    <row r="689" spans="6:10" ht="14.25" customHeight="1">
      <c r="F689" s="10"/>
      <c r="J689" s="10"/>
    </row>
    <row r="690" spans="6:10" ht="14.25" customHeight="1">
      <c r="F690" s="10"/>
      <c r="J690" s="10"/>
    </row>
    <row r="691" spans="6:10" ht="14.25" customHeight="1">
      <c r="F691" s="10"/>
      <c r="J691" s="10"/>
    </row>
    <row r="692" spans="6:10" ht="14.25" customHeight="1">
      <c r="F692" s="10"/>
      <c r="J692" s="10"/>
    </row>
    <row r="693" spans="6:10" ht="14.25" customHeight="1">
      <c r="F693" s="10"/>
      <c r="J693" s="10"/>
    </row>
    <row r="694" spans="6:10" ht="14.25" customHeight="1">
      <c r="F694" s="10"/>
      <c r="J694" s="10"/>
    </row>
    <row r="695" spans="6:10" ht="14.25" customHeight="1">
      <c r="F695" s="10"/>
      <c r="J695" s="10"/>
    </row>
    <row r="696" spans="6:10" ht="14.25" customHeight="1">
      <c r="F696" s="10"/>
      <c r="J696" s="10"/>
    </row>
    <row r="697" spans="6:10" ht="14.25" customHeight="1">
      <c r="F697" s="10"/>
      <c r="J697" s="10"/>
    </row>
    <row r="698" spans="6:10" ht="14.25" customHeight="1">
      <c r="F698" s="10"/>
      <c r="J698" s="10"/>
    </row>
    <row r="699" spans="6:10" ht="14.25" customHeight="1">
      <c r="F699" s="10"/>
      <c r="J699" s="10"/>
    </row>
    <row r="700" spans="6:10" ht="14.25" customHeight="1">
      <c r="F700" s="10"/>
      <c r="J700" s="10"/>
    </row>
    <row r="701" spans="6:10" ht="14.25" customHeight="1">
      <c r="F701" s="10"/>
      <c r="J701" s="10"/>
    </row>
    <row r="702" spans="6:10" ht="14.25" customHeight="1">
      <c r="F702" s="10"/>
      <c r="J702" s="10"/>
    </row>
    <row r="703" spans="6:10" ht="14.25" customHeight="1">
      <c r="F703" s="10"/>
      <c r="J703" s="10"/>
    </row>
    <row r="704" spans="6:10" ht="14.25" customHeight="1">
      <c r="F704" s="10"/>
      <c r="J704" s="10"/>
    </row>
    <row r="705" spans="6:10" ht="14.25" customHeight="1">
      <c r="F705" s="10"/>
      <c r="J705" s="10"/>
    </row>
    <row r="706" spans="6:10" ht="14.25" customHeight="1">
      <c r="F706" s="10"/>
      <c r="J706" s="10"/>
    </row>
    <row r="707" spans="6:10" ht="14.25" customHeight="1">
      <c r="F707" s="10"/>
      <c r="J707" s="10"/>
    </row>
    <row r="708" spans="6:10" ht="14.25" customHeight="1">
      <c r="F708" s="10"/>
      <c r="J708" s="10"/>
    </row>
    <row r="709" spans="6:10" ht="14.25" customHeight="1">
      <c r="F709" s="10"/>
      <c r="J709" s="10"/>
    </row>
    <row r="710" spans="6:10" ht="14.25" customHeight="1">
      <c r="F710" s="10"/>
      <c r="J710" s="10"/>
    </row>
    <row r="711" spans="6:10" ht="14.25" customHeight="1">
      <c r="F711" s="10"/>
      <c r="J711" s="10"/>
    </row>
    <row r="712" spans="6:10" ht="14.25" customHeight="1">
      <c r="F712" s="10"/>
      <c r="J712" s="10"/>
    </row>
    <row r="713" spans="6:10" ht="14.25" customHeight="1">
      <c r="F713" s="10"/>
      <c r="J713" s="10"/>
    </row>
    <row r="714" spans="6:10" ht="14.25" customHeight="1">
      <c r="F714" s="10"/>
      <c r="J714" s="10"/>
    </row>
    <row r="715" spans="6:10" ht="14.25" customHeight="1">
      <c r="F715" s="10"/>
      <c r="J715" s="10"/>
    </row>
    <row r="716" spans="6:10" ht="14.25" customHeight="1">
      <c r="F716" s="10"/>
      <c r="J716" s="10"/>
    </row>
    <row r="717" spans="6:10" ht="14.25" customHeight="1">
      <c r="F717" s="10"/>
      <c r="J717" s="10"/>
    </row>
    <row r="718" spans="6:10" ht="14.25" customHeight="1">
      <c r="F718" s="10"/>
      <c r="J718" s="10"/>
    </row>
    <row r="719" spans="6:10" ht="14.25" customHeight="1">
      <c r="F719" s="10"/>
      <c r="J719" s="10"/>
    </row>
    <row r="720" spans="6:10" ht="14.25" customHeight="1">
      <c r="F720" s="10"/>
      <c r="J720" s="10"/>
    </row>
    <row r="721" spans="6:10" ht="14.25" customHeight="1">
      <c r="F721" s="10"/>
      <c r="J721" s="10"/>
    </row>
    <row r="722" spans="6:10" ht="14.25" customHeight="1">
      <c r="F722" s="10"/>
      <c r="J722" s="10"/>
    </row>
    <row r="723" spans="6:10" ht="14.25" customHeight="1">
      <c r="F723" s="10"/>
      <c r="J723" s="10"/>
    </row>
    <row r="724" spans="6:10" ht="14.25" customHeight="1">
      <c r="F724" s="10"/>
      <c r="J724" s="10"/>
    </row>
    <row r="725" spans="6:10" ht="14.25" customHeight="1">
      <c r="F725" s="10"/>
      <c r="J725" s="10"/>
    </row>
    <row r="726" spans="6:10" ht="14.25" customHeight="1">
      <c r="F726" s="10"/>
      <c r="J726" s="10"/>
    </row>
    <row r="727" spans="6:10" ht="14.25" customHeight="1">
      <c r="F727" s="10"/>
      <c r="J727" s="10"/>
    </row>
    <row r="728" spans="6:10" ht="14.25" customHeight="1">
      <c r="F728" s="10"/>
      <c r="J728" s="10"/>
    </row>
    <row r="729" spans="6:10" ht="14.25" customHeight="1">
      <c r="F729" s="10"/>
      <c r="J729" s="10"/>
    </row>
    <row r="730" spans="6:10" ht="14.25" customHeight="1">
      <c r="F730" s="10"/>
      <c r="J730" s="10"/>
    </row>
    <row r="731" spans="6:10" ht="14.25" customHeight="1">
      <c r="F731" s="10"/>
      <c r="J731" s="10"/>
    </row>
    <row r="732" spans="6:10" ht="14.25" customHeight="1">
      <c r="F732" s="10"/>
      <c r="J732" s="10"/>
    </row>
    <row r="733" spans="6:10" ht="14.25" customHeight="1">
      <c r="F733" s="10"/>
      <c r="J733" s="10"/>
    </row>
    <row r="734" spans="6:10" ht="14.25" customHeight="1">
      <c r="F734" s="10"/>
      <c r="J734" s="10"/>
    </row>
    <row r="735" spans="6:10" ht="14.25" customHeight="1">
      <c r="F735" s="10"/>
      <c r="J735" s="10"/>
    </row>
    <row r="736" spans="6:10" ht="14.25" customHeight="1">
      <c r="F736" s="10"/>
      <c r="J736" s="10"/>
    </row>
    <row r="737" spans="6:10" ht="14.25" customHeight="1">
      <c r="F737" s="10"/>
      <c r="J737" s="10"/>
    </row>
    <row r="738" spans="6:10" ht="14.25" customHeight="1">
      <c r="F738" s="10"/>
      <c r="J738" s="10"/>
    </row>
    <row r="739" spans="6:10" ht="14.25" customHeight="1">
      <c r="F739" s="10"/>
      <c r="J739" s="10"/>
    </row>
    <row r="740" spans="6:10" ht="14.25" customHeight="1">
      <c r="F740" s="10"/>
      <c r="J740" s="10"/>
    </row>
    <row r="741" spans="6:10" ht="14.25" customHeight="1">
      <c r="F741" s="10"/>
      <c r="J741" s="10"/>
    </row>
    <row r="742" spans="6:10" ht="14.25" customHeight="1">
      <c r="F742" s="10"/>
      <c r="J742" s="10"/>
    </row>
    <row r="743" spans="6:10" ht="14.25" customHeight="1">
      <c r="F743" s="10"/>
      <c r="J743" s="10"/>
    </row>
    <row r="744" spans="6:10" ht="14.25" customHeight="1">
      <c r="F744" s="10"/>
      <c r="J744" s="10"/>
    </row>
    <row r="745" spans="6:10" ht="14.25" customHeight="1">
      <c r="F745" s="10"/>
      <c r="J745" s="10"/>
    </row>
    <row r="746" spans="6:10" ht="14.25" customHeight="1">
      <c r="F746" s="10"/>
      <c r="J746" s="10"/>
    </row>
    <row r="747" spans="6:10" ht="14.25" customHeight="1">
      <c r="F747" s="10"/>
      <c r="J747" s="10"/>
    </row>
    <row r="748" spans="6:10" ht="14.25" customHeight="1">
      <c r="F748" s="10"/>
      <c r="J748" s="10"/>
    </row>
    <row r="749" spans="6:10" ht="14.25" customHeight="1">
      <c r="F749" s="10"/>
      <c r="J749" s="10"/>
    </row>
    <row r="750" spans="6:10" ht="14.25" customHeight="1">
      <c r="F750" s="10"/>
      <c r="J750" s="10"/>
    </row>
    <row r="751" spans="6:10" ht="14.25" customHeight="1">
      <c r="F751" s="10"/>
      <c r="J751" s="10"/>
    </row>
    <row r="752" spans="6:10" ht="14.25" customHeight="1">
      <c r="F752" s="10"/>
      <c r="J752" s="10"/>
    </row>
    <row r="753" spans="6:10" ht="14.25" customHeight="1">
      <c r="F753" s="10"/>
      <c r="J753" s="10"/>
    </row>
    <row r="754" spans="6:10" ht="14.25" customHeight="1">
      <c r="F754" s="10"/>
      <c r="J754" s="10"/>
    </row>
    <row r="755" spans="6:10" ht="14.25" customHeight="1">
      <c r="F755" s="10"/>
      <c r="J755" s="10"/>
    </row>
    <row r="756" spans="6:10" ht="14.25" customHeight="1">
      <c r="F756" s="10"/>
      <c r="J756" s="10"/>
    </row>
    <row r="757" spans="6:10" ht="14.25" customHeight="1">
      <c r="F757" s="10"/>
      <c r="J757" s="10"/>
    </row>
    <row r="758" spans="6:10" ht="14.25" customHeight="1">
      <c r="F758" s="10"/>
      <c r="J758" s="10"/>
    </row>
    <row r="759" spans="6:10" ht="14.25" customHeight="1">
      <c r="F759" s="10"/>
      <c r="J759" s="10"/>
    </row>
    <row r="760" spans="6:10" ht="14.25" customHeight="1">
      <c r="F760" s="10"/>
      <c r="J760" s="10"/>
    </row>
    <row r="761" spans="6:10" ht="14.25" customHeight="1">
      <c r="F761" s="10"/>
      <c r="J761" s="10"/>
    </row>
    <row r="762" spans="6:10" ht="14.25" customHeight="1">
      <c r="F762" s="10"/>
      <c r="J762" s="10"/>
    </row>
    <row r="763" spans="6:10" ht="14.25" customHeight="1">
      <c r="F763" s="10"/>
      <c r="J763" s="10"/>
    </row>
    <row r="764" spans="6:10" ht="14.25" customHeight="1">
      <c r="F764" s="10"/>
      <c r="J764" s="10"/>
    </row>
    <row r="765" spans="6:10" ht="14.25" customHeight="1">
      <c r="F765" s="10"/>
      <c r="J765" s="10"/>
    </row>
    <row r="766" spans="6:10" ht="14.25" customHeight="1">
      <c r="F766" s="10"/>
      <c r="J766" s="10"/>
    </row>
    <row r="767" spans="6:10" ht="14.25" customHeight="1">
      <c r="F767" s="10"/>
      <c r="J767" s="10"/>
    </row>
    <row r="768" spans="6:10" ht="14.25" customHeight="1">
      <c r="F768" s="10"/>
      <c r="J768" s="10"/>
    </row>
    <row r="769" spans="6:10" ht="14.25" customHeight="1">
      <c r="F769" s="10"/>
      <c r="J769" s="10"/>
    </row>
    <row r="770" spans="6:10" ht="14.25" customHeight="1">
      <c r="F770" s="10"/>
      <c r="J770" s="10"/>
    </row>
    <row r="771" spans="6:10" ht="14.25" customHeight="1">
      <c r="F771" s="10"/>
      <c r="J771" s="10"/>
    </row>
    <row r="772" spans="6:10" ht="14.25" customHeight="1">
      <c r="F772" s="10"/>
      <c r="J772" s="10"/>
    </row>
    <row r="773" spans="6:10" ht="14.25" customHeight="1">
      <c r="F773" s="10"/>
      <c r="J773" s="10"/>
    </row>
    <row r="774" spans="6:10" ht="14.25" customHeight="1">
      <c r="F774" s="10"/>
      <c r="J774" s="10"/>
    </row>
    <row r="775" spans="6:10" ht="14.25" customHeight="1">
      <c r="F775" s="10"/>
      <c r="J775" s="10"/>
    </row>
    <row r="776" spans="6:10" ht="14.25" customHeight="1">
      <c r="F776" s="10"/>
      <c r="J776" s="10"/>
    </row>
    <row r="777" spans="6:10" ht="14.25" customHeight="1">
      <c r="F777" s="10"/>
      <c r="J777" s="10"/>
    </row>
    <row r="778" spans="6:10" ht="14.25" customHeight="1">
      <c r="F778" s="10"/>
      <c r="J778" s="10"/>
    </row>
    <row r="779" spans="6:10" ht="14.25" customHeight="1">
      <c r="F779" s="10"/>
      <c r="J779" s="10"/>
    </row>
    <row r="780" spans="6:10" ht="14.25" customHeight="1">
      <c r="F780" s="10"/>
      <c r="J780" s="10"/>
    </row>
    <row r="781" spans="6:10" ht="14.25" customHeight="1">
      <c r="F781" s="10"/>
      <c r="J781" s="10"/>
    </row>
    <row r="782" spans="6:10" ht="14.25" customHeight="1">
      <c r="F782" s="10"/>
      <c r="J782" s="10"/>
    </row>
    <row r="783" spans="6:10" ht="14.25" customHeight="1">
      <c r="F783" s="10"/>
      <c r="J783" s="10"/>
    </row>
    <row r="784" spans="6:10" ht="14.25" customHeight="1">
      <c r="F784" s="10"/>
      <c r="J784" s="10"/>
    </row>
    <row r="785" spans="6:10" ht="14.25" customHeight="1">
      <c r="F785" s="10"/>
      <c r="J785" s="10"/>
    </row>
    <row r="786" spans="6:10" ht="14.25" customHeight="1">
      <c r="F786" s="10"/>
      <c r="J786" s="10"/>
    </row>
    <row r="787" spans="6:10" ht="14.25" customHeight="1">
      <c r="F787" s="10"/>
      <c r="J787" s="10"/>
    </row>
    <row r="788" spans="6:10" ht="14.25" customHeight="1">
      <c r="F788" s="10"/>
      <c r="J788" s="10"/>
    </row>
    <row r="789" spans="6:10" ht="14.25" customHeight="1">
      <c r="F789" s="10"/>
      <c r="J789" s="10"/>
    </row>
    <row r="790" spans="6:10" ht="14.25" customHeight="1">
      <c r="F790" s="10"/>
      <c r="J790" s="10"/>
    </row>
    <row r="791" spans="6:10" ht="14.25" customHeight="1">
      <c r="F791" s="10"/>
      <c r="J791" s="10"/>
    </row>
    <row r="792" spans="6:10" ht="14.25" customHeight="1">
      <c r="F792" s="10"/>
      <c r="J792" s="10"/>
    </row>
    <row r="793" spans="6:10" ht="14.25" customHeight="1">
      <c r="F793" s="10"/>
      <c r="J793" s="10"/>
    </row>
    <row r="794" spans="6:10" ht="14.25" customHeight="1">
      <c r="F794" s="10"/>
      <c r="J794" s="10"/>
    </row>
    <row r="795" spans="6:10" ht="14.25" customHeight="1">
      <c r="F795" s="10"/>
      <c r="J795" s="10"/>
    </row>
    <row r="796" spans="6:10" ht="14.25" customHeight="1">
      <c r="F796" s="10"/>
      <c r="J796" s="10"/>
    </row>
    <row r="797" spans="6:10" ht="14.25" customHeight="1">
      <c r="F797" s="10"/>
      <c r="J797" s="10"/>
    </row>
    <row r="798" spans="6:10" ht="14.25" customHeight="1">
      <c r="F798" s="10"/>
      <c r="J798" s="10"/>
    </row>
    <row r="799" spans="6:10" ht="14.25" customHeight="1">
      <c r="F799" s="10"/>
      <c r="J799" s="10"/>
    </row>
    <row r="800" spans="6:10" ht="14.25" customHeight="1">
      <c r="F800" s="10"/>
      <c r="J800" s="10"/>
    </row>
    <row r="801" spans="6:10" ht="14.25" customHeight="1">
      <c r="F801" s="10"/>
      <c r="J801" s="10"/>
    </row>
    <row r="802" spans="6:10" ht="14.25" customHeight="1">
      <c r="F802" s="10"/>
      <c r="J802" s="10"/>
    </row>
    <row r="803" spans="6:10" ht="14.25" customHeight="1">
      <c r="F803" s="10"/>
      <c r="J803" s="10"/>
    </row>
    <row r="804" spans="6:10" ht="14.25" customHeight="1">
      <c r="F804" s="10"/>
      <c r="J804" s="10"/>
    </row>
    <row r="805" spans="6:10" ht="14.25" customHeight="1">
      <c r="F805" s="10"/>
      <c r="J805" s="10"/>
    </row>
    <row r="806" spans="6:10" ht="14.25" customHeight="1">
      <c r="F806" s="10"/>
      <c r="J806" s="10"/>
    </row>
    <row r="807" spans="6:10" ht="14.25" customHeight="1">
      <c r="F807" s="10"/>
      <c r="J807" s="10"/>
    </row>
    <row r="808" spans="6:10" ht="14.25" customHeight="1">
      <c r="F808" s="10"/>
      <c r="J808" s="10"/>
    </row>
    <row r="809" spans="6:10" ht="14.25" customHeight="1">
      <c r="F809" s="10"/>
      <c r="J809" s="10"/>
    </row>
    <row r="810" spans="6:10" ht="14.25" customHeight="1">
      <c r="F810" s="10"/>
      <c r="J810" s="10"/>
    </row>
    <row r="811" spans="6:10" ht="14.25" customHeight="1">
      <c r="F811" s="10"/>
      <c r="J811" s="10"/>
    </row>
    <row r="812" spans="6:10" ht="14.25" customHeight="1">
      <c r="F812" s="10"/>
      <c r="J812" s="10"/>
    </row>
    <row r="813" spans="6:10" ht="14.25" customHeight="1">
      <c r="F813" s="10"/>
      <c r="J813" s="10"/>
    </row>
    <row r="814" spans="6:10" ht="14.25" customHeight="1">
      <c r="F814" s="10"/>
      <c r="J814" s="10"/>
    </row>
    <row r="815" spans="6:10" ht="14.25" customHeight="1">
      <c r="F815" s="10"/>
      <c r="J815" s="10"/>
    </row>
    <row r="816" spans="6:10" ht="14.25" customHeight="1">
      <c r="F816" s="10"/>
      <c r="J816" s="10"/>
    </row>
    <row r="817" spans="6:10" ht="14.25" customHeight="1">
      <c r="F817" s="10"/>
      <c r="J817" s="10"/>
    </row>
    <row r="818" spans="6:10" ht="14.25" customHeight="1">
      <c r="F818" s="10"/>
      <c r="J818" s="10"/>
    </row>
    <row r="819" spans="6:10" ht="14.25" customHeight="1">
      <c r="F819" s="10"/>
      <c r="J819" s="10"/>
    </row>
    <row r="820" spans="6:10" ht="14.25" customHeight="1">
      <c r="F820" s="10"/>
      <c r="J820" s="10"/>
    </row>
    <row r="821" spans="6:10" ht="14.25" customHeight="1">
      <c r="F821" s="10"/>
      <c r="J821" s="10"/>
    </row>
    <row r="822" spans="6:10" ht="14.25" customHeight="1">
      <c r="F822" s="10"/>
      <c r="J822" s="10"/>
    </row>
    <row r="823" spans="6:10" ht="14.25" customHeight="1">
      <c r="F823" s="10"/>
      <c r="J823" s="10"/>
    </row>
    <row r="824" spans="6:10" ht="14.25" customHeight="1">
      <c r="F824" s="10"/>
      <c r="J824" s="10"/>
    </row>
    <row r="825" spans="6:10" ht="14.25" customHeight="1">
      <c r="F825" s="10"/>
      <c r="J825" s="10"/>
    </row>
    <row r="826" spans="6:10" ht="14.25" customHeight="1">
      <c r="F826" s="10"/>
      <c r="J826" s="10"/>
    </row>
    <row r="827" spans="6:10" ht="14.25" customHeight="1">
      <c r="F827" s="10"/>
      <c r="J827" s="10"/>
    </row>
    <row r="828" spans="6:10" ht="14.25" customHeight="1">
      <c r="F828" s="10"/>
      <c r="J828" s="10"/>
    </row>
    <row r="829" spans="6:10" ht="14.25" customHeight="1">
      <c r="F829" s="10"/>
      <c r="J829" s="10"/>
    </row>
    <row r="830" spans="6:10" ht="14.25" customHeight="1">
      <c r="F830" s="10"/>
      <c r="J830" s="10"/>
    </row>
    <row r="831" spans="6:10" ht="14.25" customHeight="1">
      <c r="F831" s="10"/>
      <c r="J831" s="10"/>
    </row>
    <row r="832" spans="6:10" ht="14.25" customHeight="1">
      <c r="F832" s="10"/>
      <c r="J832" s="10"/>
    </row>
    <row r="833" spans="6:10" ht="14.25" customHeight="1">
      <c r="F833" s="10"/>
      <c r="J833" s="10"/>
    </row>
    <row r="834" spans="6:10" ht="14.25" customHeight="1">
      <c r="F834" s="10"/>
      <c r="J834" s="10"/>
    </row>
    <row r="835" spans="6:10" ht="14.25" customHeight="1">
      <c r="F835" s="10"/>
      <c r="J835" s="10"/>
    </row>
    <row r="836" spans="6:10" ht="14.25" customHeight="1">
      <c r="F836" s="10"/>
      <c r="J836" s="10"/>
    </row>
    <row r="837" spans="6:10" ht="14.25" customHeight="1">
      <c r="F837" s="10"/>
      <c r="J837" s="10"/>
    </row>
    <row r="838" spans="6:10" ht="14.25" customHeight="1">
      <c r="F838" s="10"/>
      <c r="J838" s="10"/>
    </row>
    <row r="839" spans="6:10" ht="14.25" customHeight="1">
      <c r="F839" s="10"/>
      <c r="J839" s="10"/>
    </row>
    <row r="840" spans="6:10" ht="14.25" customHeight="1">
      <c r="F840" s="10"/>
      <c r="J840" s="10"/>
    </row>
    <row r="841" spans="6:10" ht="14.25" customHeight="1">
      <c r="F841" s="10"/>
      <c r="J841" s="10"/>
    </row>
    <row r="842" spans="6:10" ht="14.25" customHeight="1">
      <c r="F842" s="10"/>
      <c r="J842" s="10"/>
    </row>
    <row r="843" spans="6:10" ht="14.25" customHeight="1">
      <c r="F843" s="10"/>
      <c r="J843" s="10"/>
    </row>
    <row r="844" spans="6:10" ht="14.25" customHeight="1">
      <c r="F844" s="10"/>
      <c r="J844" s="10"/>
    </row>
    <row r="845" spans="6:10" ht="14.25" customHeight="1">
      <c r="F845" s="10"/>
      <c r="J845" s="10"/>
    </row>
    <row r="846" spans="6:10" ht="14.25" customHeight="1">
      <c r="F846" s="10"/>
      <c r="J846" s="10"/>
    </row>
    <row r="847" spans="6:10" ht="14.25" customHeight="1">
      <c r="F847" s="10"/>
      <c r="J847" s="10"/>
    </row>
    <row r="848" spans="6:10" ht="14.25" customHeight="1">
      <c r="F848" s="10"/>
      <c r="J848" s="10"/>
    </row>
    <row r="849" spans="6:10" ht="14.25" customHeight="1">
      <c r="F849" s="10"/>
      <c r="J849" s="10"/>
    </row>
    <row r="850" spans="6:10" ht="14.25" customHeight="1">
      <c r="F850" s="10"/>
      <c r="J850" s="10"/>
    </row>
    <row r="851" spans="6:10" ht="14.25" customHeight="1">
      <c r="F851" s="10"/>
      <c r="J851" s="10"/>
    </row>
    <row r="852" spans="6:10" ht="14.25" customHeight="1">
      <c r="F852" s="10"/>
      <c r="J852" s="10"/>
    </row>
    <row r="853" spans="6:10" ht="14.25" customHeight="1">
      <c r="F853" s="10"/>
      <c r="J853" s="10"/>
    </row>
    <row r="854" spans="6:10" ht="14.25" customHeight="1">
      <c r="F854" s="10"/>
      <c r="J854" s="10"/>
    </row>
    <row r="855" spans="6:10" ht="14.25" customHeight="1">
      <c r="F855" s="10"/>
      <c r="J855" s="10"/>
    </row>
    <row r="856" spans="6:10" ht="14.25" customHeight="1">
      <c r="F856" s="10"/>
      <c r="J856" s="10"/>
    </row>
    <row r="857" spans="6:10" ht="14.25" customHeight="1">
      <c r="F857" s="10"/>
      <c r="J857" s="10"/>
    </row>
    <row r="858" spans="6:10" ht="14.25" customHeight="1">
      <c r="F858" s="10"/>
      <c r="J858" s="10"/>
    </row>
    <row r="859" spans="6:10" ht="14.25" customHeight="1">
      <c r="F859" s="10"/>
      <c r="J859" s="10"/>
    </row>
    <row r="860" spans="6:10" ht="14.25" customHeight="1">
      <c r="F860" s="10"/>
      <c r="J860" s="10"/>
    </row>
    <row r="861" spans="6:10" ht="14.25" customHeight="1">
      <c r="F861" s="10"/>
      <c r="J861" s="10"/>
    </row>
    <row r="862" spans="6:10" ht="14.25" customHeight="1">
      <c r="F862" s="10"/>
      <c r="J862" s="10"/>
    </row>
    <row r="863" spans="6:10" ht="14.25" customHeight="1">
      <c r="F863" s="10"/>
      <c r="J863" s="10"/>
    </row>
    <row r="864" spans="6:10" ht="14.25" customHeight="1">
      <c r="F864" s="10"/>
      <c r="J864" s="10"/>
    </row>
    <row r="865" spans="6:10" ht="14.25" customHeight="1">
      <c r="F865" s="10"/>
      <c r="J865" s="10"/>
    </row>
    <row r="866" spans="6:10" ht="14.25" customHeight="1">
      <c r="F866" s="10"/>
      <c r="J866" s="10"/>
    </row>
    <row r="867" spans="6:10" ht="14.25" customHeight="1">
      <c r="F867" s="10"/>
      <c r="J867" s="10"/>
    </row>
    <row r="868" spans="6:10" ht="14.25" customHeight="1">
      <c r="F868" s="10"/>
      <c r="J868" s="10"/>
    </row>
    <row r="869" spans="6:10" ht="14.25" customHeight="1">
      <c r="F869" s="10"/>
      <c r="J869" s="10"/>
    </row>
    <row r="870" spans="6:10" ht="14.25" customHeight="1">
      <c r="F870" s="10"/>
      <c r="J870" s="10"/>
    </row>
    <row r="871" spans="6:10" ht="14.25" customHeight="1">
      <c r="F871" s="10"/>
      <c r="J871" s="10"/>
    </row>
    <row r="872" spans="6:10" ht="14.25" customHeight="1">
      <c r="F872" s="10"/>
      <c r="J872" s="10"/>
    </row>
    <row r="873" spans="6:10" ht="14.25" customHeight="1">
      <c r="F873" s="10"/>
      <c r="J873" s="10"/>
    </row>
    <row r="874" spans="6:10" ht="14.25" customHeight="1">
      <c r="F874" s="10"/>
      <c r="J874" s="10"/>
    </row>
    <row r="875" spans="6:10" ht="14.25" customHeight="1">
      <c r="F875" s="10"/>
      <c r="J875" s="10"/>
    </row>
    <row r="876" spans="6:10" ht="14.25" customHeight="1">
      <c r="F876" s="10"/>
      <c r="J876" s="10"/>
    </row>
    <row r="877" spans="6:10" ht="14.25" customHeight="1">
      <c r="F877" s="10"/>
      <c r="J877" s="10"/>
    </row>
    <row r="878" spans="6:10" ht="14.25" customHeight="1">
      <c r="F878" s="10"/>
      <c r="J878" s="10"/>
    </row>
    <row r="879" spans="6:10" ht="14.25" customHeight="1">
      <c r="F879" s="10"/>
      <c r="J879" s="10"/>
    </row>
    <row r="880" spans="6:10" ht="14.25" customHeight="1">
      <c r="F880" s="10"/>
      <c r="J880" s="10"/>
    </row>
    <row r="881" spans="6:10" ht="14.25" customHeight="1">
      <c r="F881" s="10"/>
      <c r="J881" s="10"/>
    </row>
    <row r="882" spans="6:10" ht="14.25" customHeight="1">
      <c r="F882" s="10"/>
      <c r="J882" s="10"/>
    </row>
    <row r="883" spans="6:10" ht="14.25" customHeight="1">
      <c r="F883" s="10"/>
      <c r="J883" s="10"/>
    </row>
    <row r="884" spans="6:10" ht="14.25" customHeight="1">
      <c r="F884" s="10"/>
      <c r="J884" s="10"/>
    </row>
    <row r="885" spans="6:10" ht="14.25" customHeight="1">
      <c r="F885" s="10"/>
      <c r="J885" s="10"/>
    </row>
    <row r="886" spans="6:10" ht="14.25" customHeight="1">
      <c r="F886" s="10"/>
      <c r="J886" s="10"/>
    </row>
    <row r="887" spans="6:10" ht="14.25" customHeight="1">
      <c r="F887" s="10"/>
      <c r="J887" s="10"/>
    </row>
    <row r="888" spans="6:10" ht="14.25" customHeight="1">
      <c r="F888" s="10"/>
      <c r="J888" s="10"/>
    </row>
    <row r="889" spans="6:10" ht="14.25" customHeight="1">
      <c r="F889" s="10"/>
      <c r="J889" s="10"/>
    </row>
    <row r="890" spans="6:10" ht="14.25" customHeight="1">
      <c r="F890" s="10"/>
      <c r="J890" s="10"/>
    </row>
    <row r="891" spans="6:10" ht="14.25" customHeight="1">
      <c r="F891" s="10"/>
      <c r="J891" s="10"/>
    </row>
    <row r="892" spans="6:10" ht="14.25" customHeight="1">
      <c r="F892" s="10"/>
      <c r="J892" s="10"/>
    </row>
    <row r="893" spans="6:10" ht="14.25" customHeight="1">
      <c r="F893" s="10"/>
      <c r="J893" s="10"/>
    </row>
    <row r="894" spans="6:10" ht="14.25" customHeight="1">
      <c r="F894" s="10"/>
      <c r="J894" s="10"/>
    </row>
    <row r="895" spans="6:10" ht="14.25" customHeight="1">
      <c r="F895" s="10"/>
      <c r="J895" s="10"/>
    </row>
    <row r="896" spans="6:10" ht="14.25" customHeight="1">
      <c r="F896" s="10"/>
      <c r="J896" s="10"/>
    </row>
    <row r="897" spans="6:10" ht="14.25" customHeight="1">
      <c r="F897" s="10"/>
      <c r="J897" s="10"/>
    </row>
    <row r="898" spans="6:10" ht="14.25" customHeight="1">
      <c r="F898" s="10"/>
      <c r="J898" s="10"/>
    </row>
    <row r="899" spans="6:10" ht="14.25" customHeight="1">
      <c r="F899" s="10"/>
      <c r="J899" s="10"/>
    </row>
    <row r="900" spans="6:10" ht="14.25" customHeight="1">
      <c r="F900" s="10"/>
      <c r="J900" s="10"/>
    </row>
    <row r="901" spans="6:10" ht="14.25" customHeight="1">
      <c r="F901" s="10"/>
      <c r="J901" s="10"/>
    </row>
    <row r="902" spans="6:10" ht="14.25" customHeight="1">
      <c r="F902" s="10"/>
      <c r="J902" s="10"/>
    </row>
    <row r="903" spans="6:10" ht="14.25" customHeight="1">
      <c r="F903" s="10"/>
      <c r="J903" s="10"/>
    </row>
    <row r="904" spans="6:10" ht="14.25" customHeight="1">
      <c r="F904" s="10"/>
      <c r="J904" s="10"/>
    </row>
    <row r="905" spans="6:10" ht="14.25" customHeight="1">
      <c r="F905" s="10"/>
      <c r="J905" s="10"/>
    </row>
    <row r="906" spans="6:10" ht="14.25" customHeight="1">
      <c r="F906" s="10"/>
      <c r="J906" s="10"/>
    </row>
    <row r="907" spans="6:10" ht="14.25" customHeight="1">
      <c r="F907" s="10"/>
      <c r="J907" s="10"/>
    </row>
    <row r="908" spans="6:10" ht="14.25" customHeight="1">
      <c r="F908" s="10"/>
      <c r="J908" s="10"/>
    </row>
    <row r="909" spans="6:10" ht="14.25" customHeight="1">
      <c r="F909" s="10"/>
      <c r="J909" s="10"/>
    </row>
    <row r="910" spans="6:10" ht="14.25" customHeight="1">
      <c r="F910" s="10"/>
      <c r="J910" s="10"/>
    </row>
    <row r="911" spans="6:10" ht="14.25" customHeight="1">
      <c r="F911" s="10"/>
      <c r="J911" s="10"/>
    </row>
    <row r="912" spans="6:10" ht="14.25" customHeight="1">
      <c r="F912" s="10"/>
      <c r="J912" s="10"/>
    </row>
    <row r="913" spans="6:10" ht="14.25" customHeight="1">
      <c r="F913" s="10"/>
      <c r="J913" s="10"/>
    </row>
    <row r="914" spans="6:10" ht="14.25" customHeight="1">
      <c r="F914" s="10"/>
      <c r="J914" s="10"/>
    </row>
    <row r="915" spans="6:10" ht="14.25" customHeight="1">
      <c r="F915" s="10"/>
      <c r="J915" s="10"/>
    </row>
    <row r="916" spans="6:10" ht="14.25" customHeight="1">
      <c r="F916" s="10"/>
      <c r="J916" s="10"/>
    </row>
    <row r="917" spans="6:10" ht="14.25" customHeight="1">
      <c r="F917" s="10"/>
      <c r="J917" s="10"/>
    </row>
    <row r="918" spans="6:10" ht="14.25" customHeight="1">
      <c r="F918" s="10"/>
      <c r="J918" s="10"/>
    </row>
    <row r="919" spans="6:10" ht="14.25" customHeight="1">
      <c r="F919" s="10"/>
      <c r="J919" s="10"/>
    </row>
    <row r="920" spans="6:10" ht="14.25" customHeight="1">
      <c r="F920" s="10"/>
      <c r="J920" s="10"/>
    </row>
    <row r="921" spans="6:10" ht="14.25" customHeight="1">
      <c r="F921" s="10"/>
      <c r="J921" s="10"/>
    </row>
    <row r="922" spans="6:10" ht="14.25" customHeight="1">
      <c r="F922" s="10"/>
      <c r="J922" s="10"/>
    </row>
    <row r="923" spans="6:10" ht="14.25" customHeight="1">
      <c r="F923" s="10"/>
      <c r="J923" s="10"/>
    </row>
    <row r="924" spans="6:10" ht="14.25" customHeight="1">
      <c r="F924" s="10"/>
      <c r="J924" s="10"/>
    </row>
    <row r="925" spans="6:10" ht="14.25" customHeight="1">
      <c r="F925" s="10"/>
      <c r="J925" s="10"/>
    </row>
    <row r="926" spans="6:10" ht="14.25" customHeight="1">
      <c r="F926" s="10"/>
      <c r="J926" s="10"/>
    </row>
    <row r="927" spans="6:10" ht="14.25" customHeight="1">
      <c r="F927" s="10"/>
      <c r="J927" s="10"/>
    </row>
    <row r="928" spans="6:10" ht="14.25" customHeight="1">
      <c r="F928" s="10"/>
      <c r="J928" s="10"/>
    </row>
    <row r="929" spans="6:10" ht="14.25" customHeight="1">
      <c r="F929" s="10"/>
      <c r="J929" s="10"/>
    </row>
    <row r="930" spans="6:10" ht="14.25" customHeight="1">
      <c r="F930" s="10"/>
      <c r="J930" s="10"/>
    </row>
    <row r="931" spans="6:10" ht="14.25" customHeight="1">
      <c r="F931" s="10"/>
      <c r="J931" s="10"/>
    </row>
    <row r="932" spans="6:10" ht="14.25" customHeight="1">
      <c r="F932" s="10"/>
      <c r="J932" s="10"/>
    </row>
    <row r="933" spans="6:10" ht="14.25" customHeight="1">
      <c r="F933" s="10"/>
      <c r="J933" s="10"/>
    </row>
    <row r="934" spans="6:10" ht="14.25" customHeight="1">
      <c r="F934" s="10"/>
      <c r="J934" s="10"/>
    </row>
    <row r="935" spans="6:10" ht="14.25" customHeight="1">
      <c r="F935" s="10"/>
      <c r="J935" s="10"/>
    </row>
    <row r="936" spans="6:10" ht="14.25" customHeight="1">
      <c r="F936" s="10"/>
      <c r="J936" s="10"/>
    </row>
    <row r="937" spans="6:10" ht="14.25" customHeight="1">
      <c r="F937" s="10"/>
      <c r="J937" s="10"/>
    </row>
    <row r="938" spans="6:10" ht="14.25" customHeight="1">
      <c r="F938" s="10"/>
      <c r="J938" s="10"/>
    </row>
    <row r="939" spans="6:10" ht="14.25" customHeight="1">
      <c r="F939" s="10"/>
      <c r="J939" s="10"/>
    </row>
    <row r="940" spans="6:10" ht="14.25" customHeight="1">
      <c r="F940" s="10"/>
      <c r="J940" s="10"/>
    </row>
    <row r="941" spans="6:10" ht="14.25" customHeight="1">
      <c r="F941" s="10"/>
      <c r="J941" s="10"/>
    </row>
    <row r="942" spans="6:10" ht="14.25" customHeight="1">
      <c r="F942" s="10"/>
      <c r="J942" s="10"/>
    </row>
    <row r="943" spans="6:10" ht="14.25" customHeight="1">
      <c r="F943" s="10"/>
      <c r="J943" s="10"/>
    </row>
    <row r="944" spans="6:10" ht="14.25" customHeight="1">
      <c r="F944" s="10"/>
      <c r="J944" s="10"/>
    </row>
    <row r="945" spans="6:10" ht="14.25" customHeight="1">
      <c r="F945" s="10"/>
      <c r="J945" s="10"/>
    </row>
    <row r="946" spans="6:10" ht="14.25" customHeight="1">
      <c r="F946" s="10"/>
      <c r="J946" s="10"/>
    </row>
    <row r="947" spans="6:10" ht="14.25" customHeight="1">
      <c r="F947" s="10"/>
      <c r="J947" s="10"/>
    </row>
    <row r="948" spans="6:10" ht="14.25" customHeight="1">
      <c r="F948" s="10"/>
      <c r="J948" s="10"/>
    </row>
    <row r="949" spans="6:10" ht="14.25" customHeight="1">
      <c r="F949" s="10"/>
      <c r="J949" s="10"/>
    </row>
    <row r="950" spans="6:10" ht="14.25" customHeight="1">
      <c r="F950" s="10"/>
      <c r="J950" s="10"/>
    </row>
    <row r="951" spans="6:10" ht="14.25" customHeight="1">
      <c r="F951" s="10"/>
      <c r="J951" s="10"/>
    </row>
    <row r="952" spans="6:10" ht="14.25" customHeight="1">
      <c r="F952" s="10"/>
      <c r="J952" s="10"/>
    </row>
    <row r="953" spans="6:10" ht="14.25" customHeight="1">
      <c r="F953" s="10"/>
      <c r="J953" s="10"/>
    </row>
    <row r="954" spans="6:10" ht="14.25" customHeight="1">
      <c r="F954" s="10"/>
      <c r="J954" s="10"/>
    </row>
    <row r="955" spans="6:10" ht="14.25" customHeight="1">
      <c r="F955" s="10"/>
      <c r="J955" s="10"/>
    </row>
    <row r="956" spans="6:10" ht="14.25" customHeight="1">
      <c r="F956" s="10"/>
      <c r="J956" s="10"/>
    </row>
    <row r="957" spans="6:10" ht="14.25" customHeight="1">
      <c r="F957" s="10"/>
      <c r="J957" s="10"/>
    </row>
    <row r="958" spans="6:10" ht="14.25" customHeight="1">
      <c r="F958" s="10"/>
      <c r="J958" s="10"/>
    </row>
    <row r="959" spans="6:10" ht="14.25" customHeight="1">
      <c r="F959" s="10"/>
      <c r="J959" s="10"/>
    </row>
    <row r="960" spans="6:10" ht="14.25" customHeight="1">
      <c r="F960" s="10"/>
      <c r="J960" s="10"/>
    </row>
    <row r="961" spans="6:10" ht="14.25" customHeight="1">
      <c r="F961" s="10"/>
      <c r="J961" s="10"/>
    </row>
    <row r="962" spans="6:10" ht="14.25" customHeight="1">
      <c r="F962" s="10"/>
      <c r="J962" s="10"/>
    </row>
    <row r="963" spans="6:10" ht="14.25" customHeight="1">
      <c r="F963" s="10"/>
      <c r="J963" s="10"/>
    </row>
    <row r="964" spans="6:10" ht="14.25" customHeight="1">
      <c r="F964" s="10"/>
      <c r="J964" s="10"/>
    </row>
    <row r="965" spans="6:10" ht="14.25" customHeight="1">
      <c r="F965" s="10"/>
      <c r="J965" s="10"/>
    </row>
    <row r="966" spans="6:10" ht="14.25" customHeight="1">
      <c r="F966" s="10"/>
      <c r="J966" s="10"/>
    </row>
    <row r="967" spans="6:10" ht="14.25" customHeight="1">
      <c r="F967" s="10"/>
      <c r="J967" s="10"/>
    </row>
    <row r="968" spans="6:10" ht="14.25" customHeight="1">
      <c r="F968" s="10"/>
      <c r="J968" s="10"/>
    </row>
    <row r="969" spans="6:10" ht="14.25" customHeight="1">
      <c r="F969" s="10"/>
      <c r="J969" s="10"/>
    </row>
    <row r="970" spans="6:10" ht="14.25" customHeight="1">
      <c r="F970" s="10"/>
      <c r="J970" s="10"/>
    </row>
    <row r="971" spans="6:10" ht="14.25" customHeight="1">
      <c r="F971" s="10"/>
      <c r="J971" s="10"/>
    </row>
    <row r="972" spans="6:10" ht="14.25" customHeight="1">
      <c r="F972" s="10"/>
      <c r="J972" s="10"/>
    </row>
    <row r="973" spans="6:10" ht="14.25" customHeight="1">
      <c r="F973" s="10"/>
      <c r="J973" s="10"/>
    </row>
    <row r="974" spans="6:10" ht="14.25" customHeight="1">
      <c r="F974" s="10"/>
      <c r="J974" s="10"/>
    </row>
    <row r="975" spans="6:10" ht="14.25" customHeight="1">
      <c r="F975" s="10"/>
      <c r="J975" s="10"/>
    </row>
    <row r="976" spans="6:10" ht="14.25" customHeight="1">
      <c r="F976" s="10"/>
      <c r="J976" s="10"/>
    </row>
    <row r="977" spans="6:10" ht="14.25" customHeight="1">
      <c r="F977" s="10"/>
      <c r="J977" s="10"/>
    </row>
    <row r="978" spans="6:10" ht="14.25" customHeight="1">
      <c r="F978" s="10"/>
      <c r="J978" s="10"/>
    </row>
    <row r="979" spans="6:10" ht="14.25" customHeight="1">
      <c r="F979" s="10"/>
      <c r="J979" s="10"/>
    </row>
    <row r="980" spans="6:10" ht="14.25" customHeight="1">
      <c r="F980" s="10"/>
      <c r="J980" s="10"/>
    </row>
    <row r="981" spans="6:10" ht="14.25" customHeight="1">
      <c r="F981" s="10"/>
      <c r="J981" s="10"/>
    </row>
    <row r="982" spans="6:10" ht="14.25" customHeight="1">
      <c r="F982" s="10"/>
      <c r="J982" s="10"/>
    </row>
    <row r="983" spans="6:10" ht="14.25" customHeight="1">
      <c r="F983" s="10"/>
      <c r="J983" s="10"/>
    </row>
    <row r="984" spans="6:10" ht="14.25" customHeight="1">
      <c r="F984" s="10"/>
      <c r="J984" s="10"/>
    </row>
    <row r="985" spans="6:10" ht="14.25" customHeight="1">
      <c r="F985" s="10"/>
      <c r="J985" s="10"/>
    </row>
    <row r="986" spans="6:10" ht="14.25" customHeight="1">
      <c r="F986" s="10"/>
      <c r="J986" s="10"/>
    </row>
    <row r="987" spans="6:10" ht="14.25" customHeight="1">
      <c r="F987" s="10"/>
      <c r="J987" s="10"/>
    </row>
    <row r="988" spans="6:10" ht="14.25" customHeight="1">
      <c r="F988" s="10"/>
      <c r="J988" s="10"/>
    </row>
    <row r="989" spans="6:10" ht="14.25" customHeight="1">
      <c r="F989" s="10"/>
      <c r="J989" s="10"/>
    </row>
    <row r="990" spans="6:10" ht="14.25" customHeight="1">
      <c r="F990" s="10"/>
      <c r="J990" s="10"/>
    </row>
    <row r="991" spans="6:10" ht="14.25" customHeight="1">
      <c r="F991" s="10"/>
      <c r="J991" s="10"/>
    </row>
    <row r="992" spans="6:10" ht="14.25" customHeight="1">
      <c r="F992" s="10"/>
      <c r="J992" s="10"/>
    </row>
    <row r="993" spans="6:10" ht="14.25" customHeight="1">
      <c r="F993" s="10"/>
      <c r="J993" s="10"/>
    </row>
    <row r="994" spans="6:10" ht="14.25" customHeight="1">
      <c r="F994" s="10"/>
      <c r="J994" s="10"/>
    </row>
    <row r="995" spans="6:10" ht="14.25" customHeight="1">
      <c r="F995" s="10"/>
      <c r="J995" s="10"/>
    </row>
    <row r="996" spans="6:10" ht="14.25" customHeight="1">
      <c r="F996" s="10"/>
      <c r="J996" s="10"/>
    </row>
    <row r="997" spans="6:10" ht="14.25" customHeight="1">
      <c r="F997" s="10"/>
      <c r="J997" s="10"/>
    </row>
    <row r="998" spans="6:10" ht="14.25" customHeight="1">
      <c r="F998" s="10"/>
      <c r="J998" s="10"/>
    </row>
    <row r="999" spans="6:10" ht="14.25" customHeight="1">
      <c r="F999" s="10"/>
      <c r="J999" s="10"/>
    </row>
    <row r="1000" spans="6:10" ht="14.25" customHeight="1">
      <c r="F1000" s="10"/>
      <c r="J1000" s="10"/>
    </row>
  </sheetData>
  <mergeCells count="1">
    <mergeCell ref="G4:I4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8574"/>
  <sheetViews>
    <sheetView tabSelected="1" zoomScale="115" zoomScaleNormal="115" workbookViewId="0">
      <pane ySplit="1" topLeftCell="A3173" activePane="bottomLeft" state="frozen"/>
      <selection pane="bottomLeft" activeCell="E3193" sqref="E3193"/>
    </sheetView>
  </sheetViews>
  <sheetFormatPr defaultColWidth="14.42578125" defaultRowHeight="15" customHeight="1"/>
  <cols>
    <col min="1" max="1" width="4.85546875" customWidth="1"/>
    <col min="2" max="2" width="4.7109375" customWidth="1"/>
    <col min="3" max="3" width="20.5703125" customWidth="1"/>
    <col min="4" max="4" width="17.5703125" customWidth="1"/>
    <col min="5" max="5" width="24.28515625" customWidth="1"/>
    <col min="6" max="6" width="13.140625" style="448" customWidth="1"/>
    <col min="7" max="7" width="12.42578125" customWidth="1"/>
    <col min="8" max="8" width="11.42578125" customWidth="1"/>
    <col min="9" max="9" width="13.7109375" customWidth="1"/>
    <col min="10" max="10" width="13.140625" customWidth="1"/>
    <col min="11" max="11" width="14.7109375" customWidth="1"/>
    <col min="12" max="12" width="13.42578125" customWidth="1"/>
    <col min="14" max="14" width="17.140625" customWidth="1"/>
    <col min="15" max="15" width="20.85546875" customWidth="1"/>
    <col min="16" max="16" width="27.42578125" customWidth="1"/>
    <col min="17" max="17" width="26.42578125" customWidth="1"/>
    <col min="18" max="18" width="15.42578125" customWidth="1"/>
    <col min="19" max="19" width="8.7109375" customWidth="1"/>
  </cols>
  <sheetData>
    <row r="1" spans="1:19" ht="14.25" customHeight="1">
      <c r="A1" s="5"/>
      <c r="B1" s="5"/>
      <c r="C1" s="14" t="s">
        <v>272</v>
      </c>
      <c r="D1" s="14" t="s">
        <v>14165</v>
      </c>
      <c r="E1" s="15" t="s">
        <v>273</v>
      </c>
      <c r="F1" s="14" t="s">
        <v>274</v>
      </c>
      <c r="G1" s="14" t="s">
        <v>275</v>
      </c>
      <c r="H1" s="14" t="s">
        <v>276</v>
      </c>
      <c r="I1" s="15" t="s">
        <v>277</v>
      </c>
      <c r="J1" s="15" t="s">
        <v>278</v>
      </c>
      <c r="K1" s="15" t="s">
        <v>279</v>
      </c>
      <c r="L1" s="15" t="s">
        <v>280</v>
      </c>
      <c r="M1">
        <f>COUNT(L2:L4999)</f>
        <v>3069</v>
      </c>
      <c r="N1" s="16">
        <f ca="1">OFFSET(A1:M1,0,1,1)</f>
        <v>0</v>
      </c>
      <c r="O1" s="7"/>
      <c r="P1" s="17"/>
    </row>
    <row r="2" spans="1:19" ht="14.25" customHeight="1">
      <c r="A2" s="5"/>
      <c r="B2" s="5" t="s">
        <v>281</v>
      </c>
      <c r="C2" s="18" t="s">
        <v>282</v>
      </c>
      <c r="D2" s="18"/>
      <c r="E2" s="6" t="s">
        <v>283</v>
      </c>
      <c r="F2" s="19"/>
      <c r="G2" s="19"/>
      <c r="H2" s="20"/>
      <c r="I2" s="4"/>
      <c r="J2" s="4"/>
      <c r="K2" s="6" t="s">
        <v>284</v>
      </c>
      <c r="L2" s="6">
        <v>8797935601</v>
      </c>
      <c r="M2" s="6" t="s">
        <v>285</v>
      </c>
      <c r="N2" s="21">
        <v>42403</v>
      </c>
      <c r="O2" s="22"/>
      <c r="P2" s="17"/>
      <c r="Q2" s="6" t="s">
        <v>286</v>
      </c>
      <c r="R2" s="6" t="s">
        <v>287</v>
      </c>
    </row>
    <row r="3" spans="1:19" ht="14.25" customHeight="1">
      <c r="A3" s="5"/>
      <c r="B3" s="5" t="s">
        <v>281</v>
      </c>
      <c r="C3" s="18" t="s">
        <v>288</v>
      </c>
      <c r="D3" s="18"/>
      <c r="E3" s="6" t="s">
        <v>289</v>
      </c>
      <c r="F3" s="19"/>
      <c r="G3" s="19"/>
      <c r="H3" s="20"/>
      <c r="I3" s="4"/>
      <c r="J3" s="4"/>
      <c r="L3" s="6">
        <v>9546154222</v>
      </c>
      <c r="M3" s="6" t="s">
        <v>290</v>
      </c>
      <c r="N3" s="21">
        <v>42404</v>
      </c>
      <c r="O3" s="22"/>
      <c r="P3" s="17"/>
      <c r="Q3" s="6" t="s">
        <v>286</v>
      </c>
      <c r="R3" s="6" t="s">
        <v>291</v>
      </c>
    </row>
    <row r="4" spans="1:19" ht="14.25" customHeight="1">
      <c r="A4" s="5"/>
      <c r="B4" s="5" t="s">
        <v>281</v>
      </c>
      <c r="C4" s="18" t="s">
        <v>292</v>
      </c>
      <c r="D4" s="18"/>
      <c r="E4" s="6" t="s">
        <v>293</v>
      </c>
      <c r="F4" s="19"/>
      <c r="G4" s="19"/>
      <c r="H4" s="20"/>
      <c r="I4" s="4"/>
      <c r="J4" s="4"/>
      <c r="K4" s="6" t="s">
        <v>283</v>
      </c>
      <c r="L4" s="6">
        <v>8797935601</v>
      </c>
      <c r="M4" s="6" t="s">
        <v>294</v>
      </c>
      <c r="N4" s="21">
        <v>42404</v>
      </c>
      <c r="O4" s="22"/>
      <c r="P4" s="17"/>
      <c r="Q4" s="6" t="s">
        <v>286</v>
      </c>
      <c r="R4" s="6" t="s">
        <v>295</v>
      </c>
    </row>
    <row r="5" spans="1:19" ht="14.25" customHeight="1">
      <c r="A5" s="5"/>
      <c r="B5" s="5" t="s">
        <v>281</v>
      </c>
      <c r="C5" s="18" t="s">
        <v>296</v>
      </c>
      <c r="D5" s="18"/>
      <c r="E5" s="6" t="s">
        <v>297</v>
      </c>
      <c r="F5" s="19"/>
      <c r="G5" s="19"/>
      <c r="H5" s="20"/>
      <c r="I5" s="4"/>
      <c r="J5" s="4"/>
      <c r="L5" s="6">
        <v>8235234241</v>
      </c>
      <c r="M5" s="6" t="s">
        <v>298</v>
      </c>
      <c r="N5" s="21">
        <v>42559</v>
      </c>
      <c r="O5" s="22"/>
      <c r="P5" s="17"/>
      <c r="Q5" s="6" t="s">
        <v>299</v>
      </c>
      <c r="R5" s="6" t="s">
        <v>300</v>
      </c>
      <c r="S5" s="6" t="s">
        <v>301</v>
      </c>
    </row>
    <row r="6" spans="1:19" ht="14.25" customHeight="1">
      <c r="A6" s="5"/>
      <c r="B6" s="5" t="s">
        <v>281</v>
      </c>
      <c r="C6" s="18" t="s">
        <v>302</v>
      </c>
      <c r="D6" s="18"/>
      <c r="E6" s="6" t="s">
        <v>303</v>
      </c>
      <c r="F6" s="19"/>
      <c r="G6" s="19"/>
      <c r="H6" s="20"/>
      <c r="I6" s="4"/>
      <c r="J6" s="4"/>
      <c r="L6" s="6">
        <v>8797178186</v>
      </c>
      <c r="M6" s="6" t="s">
        <v>304</v>
      </c>
      <c r="N6" s="21">
        <v>42559</v>
      </c>
      <c r="O6" s="22"/>
      <c r="P6" s="17"/>
      <c r="Q6" s="6" t="s">
        <v>299</v>
      </c>
      <c r="R6" s="6" t="s">
        <v>305</v>
      </c>
    </row>
    <row r="7" spans="1:19" ht="14.25" customHeight="1">
      <c r="A7" s="5"/>
      <c r="B7" s="5" t="s">
        <v>281</v>
      </c>
      <c r="C7" s="18" t="s">
        <v>302</v>
      </c>
      <c r="D7" s="18"/>
      <c r="E7" s="6" t="s">
        <v>306</v>
      </c>
      <c r="F7" s="19"/>
      <c r="G7" s="19"/>
      <c r="H7" s="20"/>
      <c r="I7" s="4"/>
      <c r="J7" s="4"/>
      <c r="L7" s="6">
        <v>8797178186</v>
      </c>
      <c r="M7" s="6" t="s">
        <v>304</v>
      </c>
      <c r="N7" s="21">
        <v>42559</v>
      </c>
      <c r="O7" s="22"/>
      <c r="P7" s="17"/>
      <c r="Q7" s="6" t="s">
        <v>299</v>
      </c>
      <c r="R7" s="6" t="s">
        <v>305</v>
      </c>
    </row>
    <row r="8" spans="1:19" ht="14.25" customHeight="1">
      <c r="A8" s="5"/>
      <c r="B8" s="5" t="s">
        <v>281</v>
      </c>
      <c r="C8" s="18" t="s">
        <v>307</v>
      </c>
      <c r="D8" s="18"/>
      <c r="E8" s="6" t="s">
        <v>308</v>
      </c>
      <c r="F8" s="19"/>
      <c r="G8" s="19"/>
      <c r="H8" s="20"/>
      <c r="I8" s="4"/>
      <c r="J8" s="4"/>
      <c r="L8" s="6">
        <v>8581051866</v>
      </c>
      <c r="M8" s="6" t="s">
        <v>309</v>
      </c>
      <c r="N8" s="21"/>
      <c r="O8" s="22"/>
      <c r="P8" s="17"/>
    </row>
    <row r="9" spans="1:19" ht="14.25" customHeight="1">
      <c r="A9" s="5"/>
      <c r="B9" s="5" t="s">
        <v>281</v>
      </c>
      <c r="C9" s="18" t="s">
        <v>310</v>
      </c>
      <c r="D9" s="18"/>
      <c r="E9" s="6" t="s">
        <v>311</v>
      </c>
      <c r="F9" s="19"/>
      <c r="G9" s="19"/>
      <c r="H9" s="20"/>
      <c r="I9" s="4"/>
      <c r="J9" s="4"/>
      <c r="M9" s="6" t="s">
        <v>312</v>
      </c>
      <c r="N9" s="21">
        <v>42959</v>
      </c>
      <c r="O9" s="22"/>
      <c r="P9" s="17" t="s">
        <v>313</v>
      </c>
      <c r="Q9" s="6" t="s">
        <v>314</v>
      </c>
      <c r="R9" s="6" t="s">
        <v>313</v>
      </c>
    </row>
    <row r="10" spans="1:19" ht="14.25" customHeight="1">
      <c r="A10" s="5"/>
      <c r="B10" s="5" t="s">
        <v>281</v>
      </c>
      <c r="C10" s="18" t="s">
        <v>315</v>
      </c>
      <c r="D10" s="18"/>
      <c r="E10" s="6" t="s">
        <v>316</v>
      </c>
      <c r="F10" s="19"/>
      <c r="G10" s="19"/>
      <c r="H10" s="20"/>
      <c r="I10" s="4"/>
      <c r="J10" s="4"/>
      <c r="L10" s="6">
        <v>8409750833</v>
      </c>
      <c r="M10" s="6" t="s">
        <v>317</v>
      </c>
      <c r="N10" s="21"/>
      <c r="O10" s="22"/>
      <c r="P10" s="17"/>
    </row>
    <row r="11" spans="1:19" ht="14.25" customHeight="1">
      <c r="A11" s="5"/>
      <c r="B11" s="5" t="s">
        <v>281</v>
      </c>
      <c r="C11" s="18" t="s">
        <v>318</v>
      </c>
      <c r="D11" s="18"/>
      <c r="E11" s="6" t="s">
        <v>319</v>
      </c>
      <c r="F11" s="19"/>
      <c r="G11" s="19"/>
      <c r="H11" s="20"/>
      <c r="I11" s="4"/>
      <c r="J11" s="4"/>
      <c r="L11" s="6">
        <v>8092156768</v>
      </c>
      <c r="M11" s="6" t="s">
        <v>320</v>
      </c>
      <c r="N11" s="17">
        <v>42639</v>
      </c>
      <c r="O11" s="23"/>
      <c r="P11" s="17"/>
      <c r="Q11" s="6" t="s">
        <v>321</v>
      </c>
      <c r="R11" s="24">
        <v>657765499</v>
      </c>
    </row>
    <row r="12" spans="1:19" ht="14.25" customHeight="1">
      <c r="A12" s="5"/>
      <c r="B12" s="5" t="s">
        <v>281</v>
      </c>
      <c r="C12" s="18" t="s">
        <v>322</v>
      </c>
      <c r="D12" s="18"/>
      <c r="E12" s="6" t="s">
        <v>323</v>
      </c>
      <c r="F12" s="19"/>
      <c r="G12" s="19"/>
      <c r="H12" s="20"/>
      <c r="I12" s="4"/>
      <c r="J12" s="4"/>
      <c r="K12" s="6" t="s">
        <v>324</v>
      </c>
      <c r="L12" s="6">
        <v>9934604292</v>
      </c>
      <c r="M12" s="6" t="s">
        <v>325</v>
      </c>
      <c r="N12" s="17">
        <v>42642</v>
      </c>
      <c r="O12" s="23"/>
      <c r="P12" s="17"/>
      <c r="Q12" s="6" t="s">
        <v>321</v>
      </c>
      <c r="R12" s="24">
        <v>657765499</v>
      </c>
    </row>
    <row r="13" spans="1:19" ht="14.25" customHeight="1">
      <c r="A13" s="5"/>
      <c r="B13" s="5" t="s">
        <v>281</v>
      </c>
      <c r="C13" s="18" t="s">
        <v>326</v>
      </c>
      <c r="D13" s="18"/>
      <c r="E13" s="6" t="s">
        <v>327</v>
      </c>
      <c r="F13" s="19"/>
      <c r="G13" s="19"/>
      <c r="H13" s="20"/>
      <c r="I13" s="4"/>
      <c r="J13" s="4"/>
      <c r="K13" s="6" t="s">
        <v>328</v>
      </c>
      <c r="L13" s="6">
        <v>9204919534</v>
      </c>
      <c r="M13" s="6" t="s">
        <v>329</v>
      </c>
      <c r="N13" s="16"/>
      <c r="O13" s="7"/>
      <c r="P13" s="17"/>
    </row>
    <row r="14" spans="1:19" ht="14.25" customHeight="1">
      <c r="A14" s="5"/>
      <c r="B14" s="5" t="s">
        <v>281</v>
      </c>
      <c r="C14" s="18" t="s">
        <v>330</v>
      </c>
      <c r="D14" s="18"/>
      <c r="E14" s="6" t="s">
        <v>331</v>
      </c>
      <c r="F14" s="19"/>
      <c r="G14" s="19"/>
      <c r="H14" s="20"/>
      <c r="I14" s="4"/>
      <c r="J14" s="4"/>
      <c r="K14" s="6" t="s">
        <v>332</v>
      </c>
      <c r="L14" s="6">
        <v>8092543448</v>
      </c>
      <c r="M14" s="6" t="s">
        <v>333</v>
      </c>
      <c r="N14" s="16"/>
      <c r="O14" s="7"/>
      <c r="P14" s="17"/>
    </row>
    <row r="15" spans="1:19" ht="14.25" customHeight="1">
      <c r="A15" s="5"/>
      <c r="B15" s="5" t="s">
        <v>281</v>
      </c>
      <c r="C15" s="18" t="s">
        <v>334</v>
      </c>
      <c r="D15" s="18"/>
      <c r="E15" s="6" t="s">
        <v>335</v>
      </c>
      <c r="F15" s="19"/>
      <c r="G15" s="19"/>
      <c r="H15" s="20"/>
      <c r="I15" s="4"/>
      <c r="J15" s="4"/>
      <c r="K15" s="6" t="s">
        <v>336</v>
      </c>
      <c r="L15" s="6">
        <v>8271895936</v>
      </c>
      <c r="M15" s="6" t="s">
        <v>337</v>
      </c>
      <c r="N15" s="16" t="s">
        <v>338</v>
      </c>
      <c r="O15" s="7"/>
      <c r="P15" s="25"/>
      <c r="Q15" s="4">
        <v>42301</v>
      </c>
    </row>
    <row r="16" spans="1:19" ht="14.25" customHeight="1">
      <c r="A16" s="5"/>
      <c r="B16" s="5" t="s">
        <v>281</v>
      </c>
      <c r="C16" s="18" t="s">
        <v>339</v>
      </c>
      <c r="D16" s="18"/>
      <c r="E16" s="6" t="s">
        <v>340</v>
      </c>
      <c r="F16" s="19"/>
      <c r="G16" s="19"/>
      <c r="H16" s="20"/>
      <c r="I16" s="4"/>
      <c r="J16" s="4"/>
      <c r="K16" s="6" t="s">
        <v>341</v>
      </c>
      <c r="L16" s="6">
        <v>9122173734</v>
      </c>
      <c r="M16" s="6" t="s">
        <v>342</v>
      </c>
      <c r="N16" s="16" t="s">
        <v>343</v>
      </c>
      <c r="O16" s="7"/>
      <c r="P16" s="25"/>
      <c r="R16" s="24">
        <v>657767874</v>
      </c>
    </row>
    <row r="17" spans="1:18" ht="14.25" customHeight="1">
      <c r="A17" s="5"/>
      <c r="B17" s="5" t="s">
        <v>281</v>
      </c>
      <c r="C17" s="18" t="s">
        <v>344</v>
      </c>
      <c r="D17" s="18"/>
      <c r="E17" s="6" t="s">
        <v>345</v>
      </c>
      <c r="F17" s="19"/>
      <c r="G17" s="19"/>
      <c r="H17" s="20"/>
      <c r="I17" s="4"/>
      <c r="J17" s="4"/>
      <c r="M17" s="6" t="s">
        <v>346</v>
      </c>
      <c r="N17" s="16" t="s">
        <v>347</v>
      </c>
      <c r="O17" s="7"/>
      <c r="P17" s="17"/>
    </row>
    <row r="18" spans="1:18" ht="14.25" customHeight="1">
      <c r="A18" s="5"/>
      <c r="B18" s="5" t="s">
        <v>281</v>
      </c>
      <c r="C18" s="18" t="s">
        <v>348</v>
      </c>
      <c r="D18" s="18"/>
      <c r="E18" s="6" t="s">
        <v>349</v>
      </c>
      <c r="F18" s="19"/>
      <c r="G18" s="19"/>
      <c r="H18" s="20"/>
      <c r="I18" s="4"/>
      <c r="J18" s="4"/>
      <c r="M18" s="6" t="s">
        <v>350</v>
      </c>
      <c r="N18" s="16" t="s">
        <v>347</v>
      </c>
      <c r="O18" s="7"/>
      <c r="P18" s="17"/>
      <c r="R18" s="6" t="s">
        <v>351</v>
      </c>
    </row>
    <row r="19" spans="1:18" ht="14.25" customHeight="1">
      <c r="A19" s="5" t="s">
        <v>0</v>
      </c>
      <c r="B19" s="5" t="str">
        <f t="shared" ref="B19:B158" si="0">IF(H19="","N","Y")</f>
        <v>Y</v>
      </c>
      <c r="C19" s="18" t="s">
        <v>352</v>
      </c>
      <c r="D19" s="18"/>
      <c r="E19" s="6" t="s">
        <v>353</v>
      </c>
      <c r="F19" s="19"/>
      <c r="G19" s="19"/>
      <c r="H19" s="20">
        <v>43039</v>
      </c>
      <c r="I19" s="4">
        <v>35399</v>
      </c>
      <c r="J19" s="4"/>
      <c r="L19" s="6">
        <v>9234446074</v>
      </c>
      <c r="M19" s="6" t="s">
        <v>354</v>
      </c>
      <c r="N19" s="26">
        <v>43067</v>
      </c>
      <c r="O19" s="27"/>
      <c r="P19" s="28" t="s">
        <v>355</v>
      </c>
    </row>
    <row r="20" spans="1:18" ht="14.25" customHeight="1">
      <c r="A20" s="5" t="s">
        <v>0</v>
      </c>
      <c r="B20" s="5" t="str">
        <f t="shared" si="0"/>
        <v>Y</v>
      </c>
      <c r="C20" s="18" t="s">
        <v>356</v>
      </c>
      <c r="D20" s="18"/>
      <c r="E20" s="6" t="s">
        <v>357</v>
      </c>
      <c r="F20" s="19"/>
      <c r="G20" s="19"/>
      <c r="H20" s="20">
        <v>43039</v>
      </c>
      <c r="I20" s="4">
        <v>30693</v>
      </c>
      <c r="J20" s="4"/>
      <c r="L20" s="6">
        <v>9204942707</v>
      </c>
      <c r="M20" s="6" t="s">
        <v>358</v>
      </c>
      <c r="N20" s="26">
        <v>43067</v>
      </c>
      <c r="O20" s="27"/>
      <c r="P20" s="28" t="s">
        <v>359</v>
      </c>
    </row>
    <row r="21" spans="1:18" ht="14.25" customHeight="1">
      <c r="A21" s="5" t="s">
        <v>0</v>
      </c>
      <c r="B21" s="5" t="str">
        <f t="shared" si="0"/>
        <v>Y</v>
      </c>
      <c r="C21" s="18" t="s">
        <v>360</v>
      </c>
      <c r="D21" s="18"/>
      <c r="E21" s="6" t="s">
        <v>361</v>
      </c>
      <c r="F21" s="19"/>
      <c r="G21" s="19"/>
      <c r="H21" s="20">
        <v>43039</v>
      </c>
      <c r="I21" s="4">
        <v>18994</v>
      </c>
      <c r="J21" s="4"/>
      <c r="L21" s="6">
        <v>9234600211</v>
      </c>
      <c r="M21" s="6" t="s">
        <v>362</v>
      </c>
      <c r="N21" s="26">
        <v>43067</v>
      </c>
      <c r="O21" s="27"/>
      <c r="P21" s="28" t="s">
        <v>363</v>
      </c>
    </row>
    <row r="22" spans="1:18" ht="14.25" customHeight="1">
      <c r="A22" s="5" t="s">
        <v>0</v>
      </c>
      <c r="B22" s="5" t="str">
        <f t="shared" si="0"/>
        <v>Y</v>
      </c>
      <c r="C22" s="18" t="s">
        <v>364</v>
      </c>
      <c r="D22" s="18"/>
      <c r="E22" s="6" t="s">
        <v>365</v>
      </c>
      <c r="F22" s="19"/>
      <c r="G22" s="19"/>
      <c r="H22" s="20">
        <v>43041</v>
      </c>
      <c r="I22" s="4">
        <v>35553</v>
      </c>
      <c r="J22" s="4"/>
      <c r="L22" s="6">
        <v>7411303777</v>
      </c>
      <c r="M22" s="6" t="s">
        <v>366</v>
      </c>
      <c r="N22" s="16"/>
      <c r="O22" s="7"/>
      <c r="P22" s="17"/>
    </row>
    <row r="23" spans="1:18" ht="14.25" customHeight="1">
      <c r="A23" s="5" t="s">
        <v>0</v>
      </c>
      <c r="B23" s="5" t="str">
        <f t="shared" si="0"/>
        <v>Y</v>
      </c>
      <c r="C23" s="18" t="s">
        <v>367</v>
      </c>
      <c r="D23" s="18"/>
      <c r="E23" s="6" t="s">
        <v>368</v>
      </c>
      <c r="F23" s="19"/>
      <c r="G23" s="19"/>
      <c r="H23" s="20">
        <v>43041</v>
      </c>
      <c r="I23" s="4">
        <v>27616</v>
      </c>
      <c r="J23" s="4"/>
      <c r="L23" s="6">
        <v>9031009220</v>
      </c>
      <c r="M23" s="6" t="s">
        <v>369</v>
      </c>
      <c r="N23" s="29" t="s">
        <v>370</v>
      </c>
      <c r="O23" s="28"/>
      <c r="P23" s="28" t="s">
        <v>371</v>
      </c>
    </row>
    <row r="24" spans="1:18" ht="14.25" customHeight="1">
      <c r="A24" s="5" t="s">
        <v>0</v>
      </c>
      <c r="B24" s="5" t="str">
        <f t="shared" si="0"/>
        <v>Y</v>
      </c>
      <c r="C24" s="18" t="s">
        <v>372</v>
      </c>
      <c r="D24" s="18"/>
      <c r="E24" s="6" t="s">
        <v>373</v>
      </c>
      <c r="F24" s="19"/>
      <c r="G24" s="19"/>
      <c r="H24" s="20">
        <v>43042</v>
      </c>
      <c r="I24" s="4">
        <v>33241</v>
      </c>
      <c r="J24" s="4"/>
      <c r="L24" s="6">
        <v>8962222066</v>
      </c>
      <c r="N24" s="16"/>
      <c r="O24" s="7"/>
      <c r="P24" s="17"/>
    </row>
    <row r="25" spans="1:18" ht="14.25" customHeight="1">
      <c r="A25" s="5" t="s">
        <v>0</v>
      </c>
      <c r="B25" s="5" t="str">
        <f t="shared" si="0"/>
        <v>Y</v>
      </c>
      <c r="C25" s="18" t="s">
        <v>374</v>
      </c>
      <c r="D25" s="18"/>
      <c r="E25" s="6" t="s">
        <v>375</v>
      </c>
      <c r="F25" s="19"/>
      <c r="G25" s="19"/>
      <c r="H25" s="20">
        <v>43043</v>
      </c>
      <c r="I25" s="4">
        <v>33101</v>
      </c>
      <c r="J25" s="4"/>
      <c r="L25" s="6">
        <v>8092820307</v>
      </c>
      <c r="M25" s="6" t="s">
        <v>366</v>
      </c>
      <c r="N25" s="16"/>
      <c r="O25" s="7"/>
      <c r="P25" s="17"/>
    </row>
    <row r="26" spans="1:18" ht="14.25" customHeight="1">
      <c r="A26" s="5" t="s">
        <v>0</v>
      </c>
      <c r="B26" s="5" t="str">
        <f t="shared" si="0"/>
        <v>Y</v>
      </c>
      <c r="C26" s="18" t="s">
        <v>376</v>
      </c>
      <c r="D26" s="18"/>
      <c r="E26" s="6" t="s">
        <v>377</v>
      </c>
      <c r="F26" s="19"/>
      <c r="G26" s="19"/>
      <c r="H26" s="20">
        <v>43046</v>
      </c>
      <c r="I26" s="4"/>
      <c r="J26" s="4"/>
      <c r="L26" s="6">
        <v>8809718215</v>
      </c>
      <c r="M26" s="6" t="s">
        <v>378</v>
      </c>
      <c r="N26" s="26">
        <v>43064</v>
      </c>
      <c r="O26" s="27"/>
      <c r="P26" s="28" t="s">
        <v>379</v>
      </c>
    </row>
    <row r="27" spans="1:18" ht="14.25" customHeight="1">
      <c r="A27" s="5" t="s">
        <v>0</v>
      </c>
      <c r="B27" s="5" t="str">
        <f t="shared" si="0"/>
        <v>Y</v>
      </c>
      <c r="C27" s="18" t="s">
        <v>380</v>
      </c>
      <c r="D27" s="18"/>
      <c r="E27" s="6" t="s">
        <v>381</v>
      </c>
      <c r="F27" s="19"/>
      <c r="G27" s="19"/>
      <c r="H27" s="20">
        <v>43046</v>
      </c>
      <c r="I27" s="4">
        <v>19608</v>
      </c>
      <c r="J27" s="4"/>
      <c r="L27" s="6">
        <v>7717771028</v>
      </c>
      <c r="M27" s="6" t="s">
        <v>382</v>
      </c>
      <c r="N27" s="29" t="s">
        <v>383</v>
      </c>
      <c r="O27" s="28"/>
      <c r="P27" s="28" t="s">
        <v>384</v>
      </c>
    </row>
    <row r="28" spans="1:18" ht="14.25" customHeight="1">
      <c r="A28" s="5" t="s">
        <v>0</v>
      </c>
      <c r="B28" s="5" t="str">
        <f t="shared" si="0"/>
        <v>Y</v>
      </c>
      <c r="C28" s="18" t="s">
        <v>385</v>
      </c>
      <c r="D28" s="18"/>
      <c r="E28" s="6" t="s">
        <v>386</v>
      </c>
      <c r="F28" s="19"/>
      <c r="G28" s="19"/>
      <c r="H28" s="20">
        <v>43046</v>
      </c>
      <c r="I28" s="4" t="s">
        <v>387</v>
      </c>
      <c r="J28" s="4"/>
      <c r="L28" s="6">
        <v>7209807885</v>
      </c>
      <c r="M28" s="6" t="s">
        <v>388</v>
      </c>
      <c r="N28" s="26">
        <v>43071</v>
      </c>
      <c r="O28" s="27"/>
      <c r="P28" s="28" t="s">
        <v>389</v>
      </c>
    </row>
    <row r="29" spans="1:18" ht="14.25" customHeight="1">
      <c r="A29" s="5" t="s">
        <v>0</v>
      </c>
      <c r="B29" s="5" t="str">
        <f t="shared" si="0"/>
        <v>Y</v>
      </c>
      <c r="C29" s="18" t="s">
        <v>390</v>
      </c>
      <c r="D29" s="18"/>
      <c r="E29" s="6" t="s">
        <v>391</v>
      </c>
      <c r="F29" s="19"/>
      <c r="G29" s="19"/>
      <c r="H29" s="20">
        <v>43048</v>
      </c>
      <c r="I29" s="4">
        <v>14610</v>
      </c>
      <c r="J29" s="4"/>
      <c r="L29" s="6">
        <v>8404802743</v>
      </c>
      <c r="M29" s="6" t="s">
        <v>392</v>
      </c>
      <c r="N29" s="29" t="s">
        <v>383</v>
      </c>
      <c r="O29" s="28"/>
      <c r="P29" s="28" t="s">
        <v>393</v>
      </c>
    </row>
    <row r="30" spans="1:18" ht="14.25" customHeight="1">
      <c r="A30" s="5" t="s">
        <v>0</v>
      </c>
      <c r="B30" s="5" t="str">
        <f t="shared" si="0"/>
        <v>Y</v>
      </c>
      <c r="C30" s="18" t="s">
        <v>394</v>
      </c>
      <c r="D30" s="18"/>
      <c r="E30" s="6" t="s">
        <v>395</v>
      </c>
      <c r="F30" s="19"/>
      <c r="G30" s="19"/>
      <c r="H30" s="20">
        <v>43048</v>
      </c>
      <c r="I30" s="4">
        <v>22564</v>
      </c>
      <c r="J30" s="4"/>
      <c r="L30" s="6">
        <v>8092217124</v>
      </c>
      <c r="M30" s="6" t="s">
        <v>396</v>
      </c>
      <c r="N30" s="29" t="s">
        <v>397</v>
      </c>
      <c r="O30" s="28"/>
      <c r="P30" s="28" t="s">
        <v>398</v>
      </c>
    </row>
    <row r="31" spans="1:18" ht="14.25" customHeight="1">
      <c r="A31" s="5" t="s">
        <v>0</v>
      </c>
      <c r="B31" s="5" t="str">
        <f t="shared" si="0"/>
        <v>Y</v>
      </c>
      <c r="C31" s="18" t="s">
        <v>399</v>
      </c>
      <c r="D31" s="18"/>
      <c r="E31" s="6" t="s">
        <v>400</v>
      </c>
      <c r="F31" s="19"/>
      <c r="G31" s="19"/>
      <c r="H31" s="20">
        <v>43050</v>
      </c>
      <c r="I31" s="4"/>
      <c r="J31" s="4"/>
      <c r="L31" s="6">
        <v>7544956288</v>
      </c>
      <c r="M31" s="6" t="s">
        <v>401</v>
      </c>
      <c r="N31" s="29" t="s">
        <v>397</v>
      </c>
      <c r="O31" s="28"/>
      <c r="P31" s="28" t="s">
        <v>402</v>
      </c>
    </row>
    <row r="32" spans="1:18" ht="14.25" customHeight="1">
      <c r="A32" s="5" t="s">
        <v>0</v>
      </c>
      <c r="B32" s="5" t="str">
        <f t="shared" si="0"/>
        <v>Y</v>
      </c>
      <c r="C32" s="18" t="s">
        <v>403</v>
      </c>
      <c r="D32" s="18"/>
      <c r="E32" s="6" t="s">
        <v>404</v>
      </c>
      <c r="F32" s="19"/>
      <c r="G32" s="19"/>
      <c r="H32" s="20">
        <v>43050</v>
      </c>
      <c r="I32" s="4"/>
      <c r="J32" s="4"/>
      <c r="L32" s="6">
        <v>7870742068</v>
      </c>
      <c r="M32" s="6" t="s">
        <v>405</v>
      </c>
      <c r="N32" s="26">
        <v>43072</v>
      </c>
      <c r="O32" s="27"/>
      <c r="P32" s="28" t="s">
        <v>406</v>
      </c>
    </row>
    <row r="33" spans="1:16" ht="14.25" customHeight="1">
      <c r="A33" s="5" t="s">
        <v>0</v>
      </c>
      <c r="B33" s="5" t="str">
        <f t="shared" si="0"/>
        <v>Y</v>
      </c>
      <c r="C33" s="18" t="s">
        <v>407</v>
      </c>
      <c r="D33" s="18"/>
      <c r="E33" s="6" t="s">
        <v>408</v>
      </c>
      <c r="F33" s="19"/>
      <c r="G33" s="19"/>
      <c r="H33" s="20">
        <v>43051</v>
      </c>
      <c r="I33" s="4">
        <v>42750</v>
      </c>
      <c r="J33" s="4"/>
      <c r="L33" s="6">
        <v>9234275335</v>
      </c>
      <c r="M33" s="6" t="s">
        <v>409</v>
      </c>
      <c r="N33" s="16"/>
      <c r="O33" s="7"/>
      <c r="P33" s="17"/>
    </row>
    <row r="34" spans="1:16" ht="14.25" customHeight="1">
      <c r="A34" s="5" t="s">
        <v>0</v>
      </c>
      <c r="B34" s="5" t="str">
        <f t="shared" si="0"/>
        <v>Y</v>
      </c>
      <c r="C34" s="18" t="s">
        <v>410</v>
      </c>
      <c r="D34" s="18"/>
      <c r="E34" s="6" t="s">
        <v>411</v>
      </c>
      <c r="F34" s="19"/>
      <c r="G34" s="19"/>
      <c r="H34" s="20">
        <v>43056</v>
      </c>
      <c r="I34" s="4">
        <v>27760</v>
      </c>
      <c r="J34" s="4"/>
      <c r="L34" s="6">
        <v>7479654142</v>
      </c>
      <c r="M34" s="6" t="s">
        <v>412</v>
      </c>
      <c r="N34" s="26">
        <v>43081</v>
      </c>
      <c r="O34" s="27"/>
      <c r="P34" s="28" t="s">
        <v>413</v>
      </c>
    </row>
    <row r="35" spans="1:16" ht="14.25" customHeight="1">
      <c r="A35" s="5" t="s">
        <v>0</v>
      </c>
      <c r="B35" s="5" t="str">
        <f t="shared" si="0"/>
        <v>Y</v>
      </c>
      <c r="C35" s="18" t="s">
        <v>414</v>
      </c>
      <c r="D35" s="18"/>
      <c r="E35" s="6" t="s">
        <v>415</v>
      </c>
      <c r="F35" s="19"/>
      <c r="G35" s="19"/>
      <c r="H35" s="20">
        <v>43056</v>
      </c>
      <c r="I35" s="4">
        <v>20103</v>
      </c>
      <c r="J35" s="4"/>
      <c r="L35" s="6">
        <v>9931568933</v>
      </c>
      <c r="M35" s="6" t="s">
        <v>416</v>
      </c>
      <c r="N35" s="26">
        <v>43081</v>
      </c>
      <c r="O35" s="27"/>
      <c r="P35" s="28" t="s">
        <v>417</v>
      </c>
    </row>
    <row r="36" spans="1:16" ht="14.25" customHeight="1">
      <c r="A36" s="5" t="s">
        <v>0</v>
      </c>
      <c r="B36" s="5" t="str">
        <f t="shared" si="0"/>
        <v>Y</v>
      </c>
      <c r="C36" s="18" t="s">
        <v>418</v>
      </c>
      <c r="D36" s="18"/>
      <c r="E36" s="6" t="s">
        <v>419</v>
      </c>
      <c r="F36" s="19"/>
      <c r="G36" s="19"/>
      <c r="H36" s="20">
        <v>43056</v>
      </c>
      <c r="I36" s="4"/>
      <c r="J36" s="4"/>
      <c r="L36" s="6">
        <v>7209405565</v>
      </c>
      <c r="M36" s="6" t="s">
        <v>420</v>
      </c>
      <c r="N36" s="26">
        <v>43085</v>
      </c>
      <c r="O36" s="27"/>
      <c r="P36" s="28" t="s">
        <v>421</v>
      </c>
    </row>
    <row r="37" spans="1:16" ht="14.25" customHeight="1">
      <c r="A37" s="5" t="s">
        <v>0</v>
      </c>
      <c r="B37" s="5" t="str">
        <f t="shared" si="0"/>
        <v>Y</v>
      </c>
      <c r="C37" s="18" t="s">
        <v>422</v>
      </c>
      <c r="D37" s="18"/>
      <c r="E37" s="6" t="s">
        <v>423</v>
      </c>
      <c r="F37" s="19"/>
      <c r="G37" s="19"/>
      <c r="H37" s="20">
        <v>43058</v>
      </c>
      <c r="I37" s="4">
        <v>31628</v>
      </c>
      <c r="J37" s="4"/>
      <c r="L37" s="6">
        <v>8092575822</v>
      </c>
      <c r="M37" s="6" t="s">
        <v>424</v>
      </c>
      <c r="N37" s="26">
        <v>43085</v>
      </c>
      <c r="O37" s="27"/>
      <c r="P37" s="6" t="s">
        <v>424</v>
      </c>
    </row>
    <row r="38" spans="1:16" ht="14.25" customHeight="1">
      <c r="A38" s="5" t="s">
        <v>0</v>
      </c>
      <c r="B38" s="5" t="str">
        <f t="shared" si="0"/>
        <v>Y</v>
      </c>
      <c r="C38" s="18" t="s">
        <v>425</v>
      </c>
      <c r="D38" s="18"/>
      <c r="E38" s="6" t="s">
        <v>426</v>
      </c>
      <c r="F38" s="19"/>
      <c r="G38" s="19"/>
      <c r="H38" s="20">
        <v>43062</v>
      </c>
      <c r="I38" s="4">
        <v>30761</v>
      </c>
      <c r="J38" s="4"/>
      <c r="L38" s="6">
        <v>9204211833</v>
      </c>
      <c r="M38" s="6" t="s">
        <v>427</v>
      </c>
      <c r="N38" s="26">
        <v>43094</v>
      </c>
      <c r="O38" s="27"/>
      <c r="P38" s="28" t="s">
        <v>428</v>
      </c>
    </row>
    <row r="39" spans="1:16" ht="14.25" customHeight="1">
      <c r="A39" s="5" t="s">
        <v>0</v>
      </c>
      <c r="B39" s="5" t="str">
        <f t="shared" si="0"/>
        <v>Y</v>
      </c>
      <c r="C39" s="18" t="s">
        <v>429</v>
      </c>
      <c r="D39" s="18"/>
      <c r="E39" s="6" t="s">
        <v>430</v>
      </c>
      <c r="F39" s="19"/>
      <c r="G39" s="19"/>
      <c r="H39" s="20">
        <v>43062</v>
      </c>
      <c r="I39" s="4">
        <v>22382</v>
      </c>
      <c r="J39" s="4"/>
      <c r="L39" s="6">
        <v>8540026462</v>
      </c>
      <c r="M39" s="6" t="s">
        <v>431</v>
      </c>
      <c r="N39" s="26">
        <v>43084</v>
      </c>
      <c r="O39" s="27"/>
      <c r="P39" s="28" t="s">
        <v>432</v>
      </c>
    </row>
    <row r="40" spans="1:16" ht="14.25" customHeight="1">
      <c r="A40" s="5" t="s">
        <v>0</v>
      </c>
      <c r="B40" s="5" t="str">
        <f t="shared" si="0"/>
        <v>Y</v>
      </c>
      <c r="C40" s="18" t="s">
        <v>433</v>
      </c>
      <c r="D40" s="18"/>
      <c r="E40" s="6" t="s">
        <v>434</v>
      </c>
      <c r="F40" s="19"/>
      <c r="G40" s="19"/>
      <c r="H40" s="20">
        <v>43062</v>
      </c>
      <c r="I40" s="4">
        <v>35128</v>
      </c>
      <c r="J40" s="4"/>
      <c r="L40" s="6">
        <v>8092536072</v>
      </c>
      <c r="M40" s="6" t="s">
        <v>435</v>
      </c>
      <c r="N40" s="16"/>
      <c r="O40" s="7"/>
      <c r="P40" s="28" t="s">
        <v>436</v>
      </c>
    </row>
    <row r="41" spans="1:16" ht="14.25" customHeight="1">
      <c r="A41" s="5" t="s">
        <v>0</v>
      </c>
      <c r="B41" s="5" t="str">
        <f t="shared" si="0"/>
        <v>Y</v>
      </c>
      <c r="C41" s="18" t="s">
        <v>437</v>
      </c>
      <c r="D41" s="18"/>
      <c r="E41" s="6" t="s">
        <v>438</v>
      </c>
      <c r="F41" s="19"/>
      <c r="G41" s="19"/>
      <c r="H41" s="20">
        <v>43062</v>
      </c>
      <c r="I41" s="4">
        <v>34069</v>
      </c>
      <c r="J41" s="4"/>
      <c r="L41" s="6">
        <v>9955943439</v>
      </c>
      <c r="M41" s="6" t="s">
        <v>439</v>
      </c>
      <c r="N41" s="16"/>
      <c r="O41" s="7"/>
      <c r="P41" s="17"/>
    </row>
    <row r="42" spans="1:16" ht="14.25" customHeight="1">
      <c r="A42" s="5" t="s">
        <v>0</v>
      </c>
      <c r="B42" s="5" t="str">
        <f t="shared" si="0"/>
        <v>Y</v>
      </c>
      <c r="C42" s="18" t="s">
        <v>440</v>
      </c>
      <c r="D42" s="18"/>
      <c r="E42" s="6" t="s">
        <v>441</v>
      </c>
      <c r="F42" s="19"/>
      <c r="G42" s="19"/>
      <c r="H42" s="20">
        <v>43062</v>
      </c>
      <c r="I42" s="4">
        <v>43074</v>
      </c>
      <c r="J42" s="4"/>
      <c r="L42" s="6">
        <v>9570078781</v>
      </c>
      <c r="M42" s="6" t="s">
        <v>442</v>
      </c>
      <c r="N42" s="26">
        <v>43084</v>
      </c>
      <c r="O42" s="27"/>
      <c r="P42" s="28" t="s">
        <v>443</v>
      </c>
    </row>
    <row r="43" spans="1:16" ht="14.25" customHeight="1">
      <c r="A43" s="5" t="s">
        <v>0</v>
      </c>
      <c r="B43" s="5" t="str">
        <f t="shared" si="0"/>
        <v>Y</v>
      </c>
      <c r="C43" s="18" t="s">
        <v>444</v>
      </c>
      <c r="D43" s="18"/>
      <c r="E43" s="6" t="s">
        <v>445</v>
      </c>
      <c r="F43" s="19"/>
      <c r="G43" s="19"/>
      <c r="H43" s="20">
        <v>43064</v>
      </c>
      <c r="I43" s="4">
        <v>19252</v>
      </c>
      <c r="J43" s="4"/>
      <c r="L43" s="6">
        <v>9031385800</v>
      </c>
      <c r="M43" s="6" t="s">
        <v>446</v>
      </c>
      <c r="N43" s="26">
        <v>43104</v>
      </c>
      <c r="O43" s="27"/>
      <c r="P43" s="28" t="s">
        <v>447</v>
      </c>
    </row>
    <row r="44" spans="1:16" ht="14.25" customHeight="1">
      <c r="A44" s="5" t="s">
        <v>0</v>
      </c>
      <c r="B44" s="5" t="str">
        <f t="shared" si="0"/>
        <v>Y</v>
      </c>
      <c r="C44" s="18" t="s">
        <v>448</v>
      </c>
      <c r="D44" s="18"/>
      <c r="E44" s="6" t="s">
        <v>449</v>
      </c>
      <c r="F44" s="19"/>
      <c r="G44" s="19"/>
      <c r="H44" s="20">
        <v>43064</v>
      </c>
      <c r="I44" s="4">
        <v>25356</v>
      </c>
      <c r="J44" s="4"/>
      <c r="L44" s="6">
        <v>7366919521</v>
      </c>
      <c r="M44" s="6" t="s">
        <v>450</v>
      </c>
      <c r="N44" s="26">
        <v>43094</v>
      </c>
      <c r="O44" s="27"/>
      <c r="P44" s="28" t="s">
        <v>451</v>
      </c>
    </row>
    <row r="45" spans="1:16" ht="14.25" customHeight="1">
      <c r="A45" s="5" t="s">
        <v>0</v>
      </c>
      <c r="B45" s="5" t="str">
        <f t="shared" si="0"/>
        <v>Y</v>
      </c>
      <c r="C45" s="18" t="s">
        <v>452</v>
      </c>
      <c r="D45" s="18"/>
      <c r="E45" s="6" t="s">
        <v>453</v>
      </c>
      <c r="F45" s="19"/>
      <c r="G45" s="19"/>
      <c r="H45" s="20">
        <v>43068</v>
      </c>
      <c r="I45" s="4">
        <v>27260</v>
      </c>
      <c r="J45" s="4"/>
      <c r="L45" s="6">
        <v>9279148348</v>
      </c>
      <c r="M45" s="6" t="s">
        <v>409</v>
      </c>
      <c r="N45" s="16"/>
      <c r="O45" s="7"/>
      <c r="P45" s="17"/>
    </row>
    <row r="46" spans="1:16" ht="14.25" customHeight="1">
      <c r="A46" s="5" t="s">
        <v>0</v>
      </c>
      <c r="B46" s="5" t="str">
        <f t="shared" si="0"/>
        <v>Y</v>
      </c>
      <c r="C46" s="18" t="s">
        <v>454</v>
      </c>
      <c r="D46" s="18"/>
      <c r="E46" s="6" t="s">
        <v>455</v>
      </c>
      <c r="F46" s="19"/>
      <c r="G46" s="19"/>
      <c r="H46" s="20">
        <v>43067</v>
      </c>
      <c r="I46" s="4"/>
      <c r="J46" s="4"/>
      <c r="M46" s="6" t="s">
        <v>456</v>
      </c>
      <c r="N46" s="29" t="s">
        <v>457</v>
      </c>
      <c r="O46" s="28"/>
      <c r="P46" s="28" t="s">
        <v>458</v>
      </c>
    </row>
    <row r="47" spans="1:16" ht="14.25" customHeight="1">
      <c r="A47" s="5" t="s">
        <v>0</v>
      </c>
      <c r="B47" s="5" t="str">
        <f t="shared" si="0"/>
        <v>Y</v>
      </c>
      <c r="C47" s="18" t="s">
        <v>459</v>
      </c>
      <c r="D47" s="18"/>
      <c r="E47" s="6" t="s">
        <v>460</v>
      </c>
      <c r="F47" s="19"/>
      <c r="G47" s="19"/>
      <c r="H47" s="20">
        <v>43068</v>
      </c>
      <c r="I47" s="4"/>
      <c r="J47" s="4"/>
      <c r="L47" s="6">
        <v>7488259413</v>
      </c>
      <c r="M47" s="30" t="s">
        <v>461</v>
      </c>
      <c r="N47" s="31" t="s">
        <v>462</v>
      </c>
      <c r="O47" s="32" t="s">
        <v>463</v>
      </c>
      <c r="P47" s="17"/>
    </row>
    <row r="48" spans="1:16" ht="14.25" customHeight="1">
      <c r="A48" s="5" t="s">
        <v>0</v>
      </c>
      <c r="B48" s="5" t="str">
        <f t="shared" si="0"/>
        <v>Y</v>
      </c>
      <c r="C48" s="18" t="s">
        <v>464</v>
      </c>
      <c r="D48" s="18"/>
      <c r="E48" s="6" t="s">
        <v>465</v>
      </c>
      <c r="F48" s="19"/>
      <c r="G48" s="19"/>
      <c r="H48" s="20">
        <v>43068</v>
      </c>
      <c r="I48" s="4">
        <v>20748</v>
      </c>
      <c r="J48" s="4"/>
      <c r="L48" s="6">
        <v>9973858738</v>
      </c>
      <c r="M48" s="6" t="s">
        <v>409</v>
      </c>
      <c r="N48" s="16"/>
      <c r="O48" s="7"/>
      <c r="P48" s="17"/>
    </row>
    <row r="49" spans="1:16" ht="14.25" customHeight="1">
      <c r="A49" s="5" t="s">
        <v>0</v>
      </c>
      <c r="B49" s="5" t="str">
        <f t="shared" si="0"/>
        <v>Y</v>
      </c>
      <c r="C49" s="18" t="s">
        <v>466</v>
      </c>
      <c r="D49" s="18"/>
      <c r="E49" s="6" t="s">
        <v>467</v>
      </c>
      <c r="F49" s="19"/>
      <c r="G49" s="19"/>
      <c r="H49" s="20">
        <v>43068</v>
      </c>
      <c r="M49" s="6" t="s">
        <v>409</v>
      </c>
      <c r="N49" s="16"/>
      <c r="O49" s="7"/>
      <c r="P49" s="17"/>
    </row>
    <row r="50" spans="1:16" ht="14.25" customHeight="1">
      <c r="A50" s="5" t="s">
        <v>0</v>
      </c>
      <c r="B50" s="5" t="str">
        <f t="shared" si="0"/>
        <v>Y</v>
      </c>
      <c r="C50" s="18" t="s">
        <v>468</v>
      </c>
      <c r="D50" s="18"/>
      <c r="E50" s="6" t="s">
        <v>469</v>
      </c>
      <c r="F50" s="19"/>
      <c r="G50" s="19"/>
      <c r="H50" s="20">
        <v>43070</v>
      </c>
      <c r="I50" s="4">
        <v>16083</v>
      </c>
      <c r="J50" s="4"/>
      <c r="L50" s="6">
        <v>7004359302</v>
      </c>
      <c r="M50" s="6" t="s">
        <v>409</v>
      </c>
      <c r="N50" s="16"/>
      <c r="O50" s="7"/>
      <c r="P50" s="17"/>
    </row>
    <row r="51" spans="1:16" ht="14.25" customHeight="1">
      <c r="A51" s="5" t="s">
        <v>0</v>
      </c>
      <c r="B51" s="5" t="str">
        <f t="shared" si="0"/>
        <v>Y</v>
      </c>
      <c r="C51" s="18" t="s">
        <v>470</v>
      </c>
      <c r="D51" s="18"/>
      <c r="E51" s="6" t="s">
        <v>471</v>
      </c>
      <c r="F51" s="19"/>
      <c r="G51" s="19"/>
      <c r="H51" s="20">
        <v>43068</v>
      </c>
      <c r="I51" s="4">
        <v>29952</v>
      </c>
      <c r="J51" s="4"/>
      <c r="L51" s="6">
        <v>8579815108</v>
      </c>
      <c r="M51" s="6" t="s">
        <v>409</v>
      </c>
      <c r="N51" s="16"/>
      <c r="O51" s="7"/>
      <c r="P51" s="17"/>
    </row>
    <row r="52" spans="1:16" ht="14.25" customHeight="1">
      <c r="A52" s="5" t="s">
        <v>0</v>
      </c>
      <c r="B52" s="5" t="str">
        <f t="shared" si="0"/>
        <v>Y</v>
      </c>
      <c r="C52" s="18" t="s">
        <v>472</v>
      </c>
      <c r="D52" s="18"/>
      <c r="E52" s="6" t="s">
        <v>473</v>
      </c>
      <c r="F52" s="19"/>
      <c r="G52" s="19"/>
      <c r="H52" s="20">
        <v>43071</v>
      </c>
      <c r="I52" s="4">
        <v>31413</v>
      </c>
      <c r="J52" s="4"/>
      <c r="L52" s="6">
        <v>7294186921</v>
      </c>
      <c r="M52" s="6" t="s">
        <v>409</v>
      </c>
      <c r="N52" s="16"/>
      <c r="O52" s="7"/>
      <c r="P52" s="17"/>
    </row>
    <row r="53" spans="1:16" ht="14.25" customHeight="1">
      <c r="A53" s="5" t="s">
        <v>0</v>
      </c>
      <c r="B53" s="5" t="str">
        <f t="shared" si="0"/>
        <v>Y</v>
      </c>
      <c r="C53" s="18" t="s">
        <v>474</v>
      </c>
      <c r="D53" s="18"/>
      <c r="E53" s="6" t="s">
        <v>475</v>
      </c>
      <c r="F53" s="19"/>
      <c r="G53" s="19"/>
      <c r="H53" s="20">
        <v>43069</v>
      </c>
      <c r="I53" s="4">
        <v>36060</v>
      </c>
      <c r="J53" s="4"/>
      <c r="L53" s="6">
        <v>8210170567</v>
      </c>
      <c r="M53" s="6" t="s">
        <v>409</v>
      </c>
      <c r="N53" s="16"/>
      <c r="O53" s="7"/>
      <c r="P53" s="17"/>
    </row>
    <row r="54" spans="1:16" ht="14.25" customHeight="1">
      <c r="A54" s="5" t="s">
        <v>0</v>
      </c>
      <c r="B54" s="5" t="str">
        <f t="shared" si="0"/>
        <v>Y</v>
      </c>
      <c r="C54" s="18" t="s">
        <v>476</v>
      </c>
      <c r="D54" s="18"/>
      <c r="E54" s="6" t="s">
        <v>477</v>
      </c>
      <c r="F54" s="19"/>
      <c r="G54" s="19"/>
      <c r="H54" s="20">
        <v>43070</v>
      </c>
      <c r="I54" s="4">
        <v>34990</v>
      </c>
      <c r="J54" s="4"/>
      <c r="L54" s="6">
        <v>9031139129</v>
      </c>
      <c r="M54" s="6" t="s">
        <v>478</v>
      </c>
      <c r="N54" s="16"/>
      <c r="O54" s="7"/>
      <c r="P54" s="17"/>
    </row>
    <row r="55" spans="1:16" ht="14.25" customHeight="1">
      <c r="A55" s="5" t="s">
        <v>0</v>
      </c>
      <c r="B55" s="5" t="str">
        <f t="shared" si="0"/>
        <v>Y</v>
      </c>
      <c r="C55" s="18" t="s">
        <v>479</v>
      </c>
      <c r="D55" s="18"/>
      <c r="E55" s="6" t="s">
        <v>480</v>
      </c>
      <c r="F55" s="19"/>
      <c r="G55" s="19"/>
      <c r="H55" s="20">
        <v>43070</v>
      </c>
      <c r="I55" s="4">
        <v>36074</v>
      </c>
      <c r="J55" s="4"/>
      <c r="L55" s="6">
        <v>7033627813</v>
      </c>
      <c r="M55" s="6" t="s">
        <v>481</v>
      </c>
      <c r="N55" s="29"/>
      <c r="O55" s="28"/>
      <c r="P55" s="28" t="s">
        <v>482</v>
      </c>
    </row>
    <row r="56" spans="1:16" ht="14.25" customHeight="1">
      <c r="A56" s="5" t="s">
        <v>0</v>
      </c>
      <c r="B56" s="5" t="str">
        <f t="shared" si="0"/>
        <v>Y</v>
      </c>
      <c r="C56" s="18" t="s">
        <v>483</v>
      </c>
      <c r="D56" s="18"/>
      <c r="E56" s="6" t="s">
        <v>484</v>
      </c>
      <c r="F56" s="19"/>
      <c r="G56" s="19"/>
      <c r="H56" s="20">
        <v>43072</v>
      </c>
      <c r="I56" s="4">
        <v>36440</v>
      </c>
      <c r="J56" s="4"/>
      <c r="L56" s="6">
        <v>8084559965</v>
      </c>
      <c r="M56" s="6" t="s">
        <v>485</v>
      </c>
      <c r="N56" s="29"/>
      <c r="O56" s="28"/>
      <c r="P56" s="28" t="s">
        <v>486</v>
      </c>
    </row>
    <row r="57" spans="1:16" ht="14.25" customHeight="1">
      <c r="A57" s="5" t="s">
        <v>0</v>
      </c>
      <c r="B57" s="5" t="str">
        <f t="shared" si="0"/>
        <v>Y</v>
      </c>
      <c r="C57" s="18" t="s">
        <v>487</v>
      </c>
      <c r="D57" s="18"/>
      <c r="E57" s="6" t="s">
        <v>488</v>
      </c>
      <c r="F57" s="19"/>
      <c r="G57" s="19"/>
      <c r="H57" s="20">
        <v>43072</v>
      </c>
      <c r="I57" s="4">
        <v>36161</v>
      </c>
      <c r="J57" s="4"/>
      <c r="L57" s="6">
        <v>7070132514</v>
      </c>
      <c r="M57" s="6" t="s">
        <v>489</v>
      </c>
      <c r="N57" s="29"/>
      <c r="O57" s="28"/>
      <c r="P57" s="28" t="s">
        <v>490</v>
      </c>
    </row>
    <row r="58" spans="1:16" ht="14.25" customHeight="1">
      <c r="A58" s="5" t="s">
        <v>0</v>
      </c>
      <c r="B58" s="5" t="str">
        <f t="shared" si="0"/>
        <v>Y</v>
      </c>
      <c r="C58" s="18" t="s">
        <v>491</v>
      </c>
      <c r="D58" s="18"/>
      <c r="E58" s="6" t="s">
        <v>492</v>
      </c>
      <c r="F58" s="19"/>
      <c r="G58" s="19"/>
      <c r="H58" s="20">
        <v>43075</v>
      </c>
      <c r="I58" s="4">
        <v>33577</v>
      </c>
      <c r="J58" s="4"/>
      <c r="L58" s="6">
        <v>9576340318</v>
      </c>
      <c r="M58" s="6" t="s">
        <v>493</v>
      </c>
      <c r="N58" s="16"/>
      <c r="O58" s="7"/>
      <c r="P58" s="7"/>
    </row>
    <row r="59" spans="1:16" ht="14.25" customHeight="1">
      <c r="A59" s="5" t="s">
        <v>0</v>
      </c>
      <c r="B59" s="5" t="str">
        <f t="shared" si="0"/>
        <v>Y</v>
      </c>
      <c r="C59" s="18" t="s">
        <v>494</v>
      </c>
      <c r="D59" s="18"/>
      <c r="E59" s="6" t="s">
        <v>495</v>
      </c>
      <c r="F59" s="19"/>
      <c r="G59" s="19"/>
      <c r="H59" s="20">
        <v>43075</v>
      </c>
      <c r="I59" s="4" t="s">
        <v>496</v>
      </c>
      <c r="J59" s="4"/>
      <c r="L59" s="6">
        <v>7277724070</v>
      </c>
      <c r="M59" s="6" t="s">
        <v>497</v>
      </c>
      <c r="N59" s="29"/>
      <c r="O59" s="28"/>
      <c r="P59" s="28" t="s">
        <v>498</v>
      </c>
    </row>
    <row r="60" spans="1:16" ht="14.25" customHeight="1">
      <c r="A60" s="5" t="s">
        <v>0</v>
      </c>
      <c r="B60" s="5" t="str">
        <f t="shared" si="0"/>
        <v>Y</v>
      </c>
      <c r="C60" s="18" t="s">
        <v>499</v>
      </c>
      <c r="D60" s="18"/>
      <c r="E60" s="6" t="s">
        <v>500</v>
      </c>
      <c r="F60" s="19"/>
      <c r="G60" s="19"/>
      <c r="H60" s="20">
        <v>43079</v>
      </c>
      <c r="I60" s="4">
        <v>30317</v>
      </c>
      <c r="J60" s="4"/>
      <c r="L60" s="6">
        <v>9852198577</v>
      </c>
      <c r="M60" s="6" t="s">
        <v>501</v>
      </c>
      <c r="N60" s="29"/>
      <c r="O60" s="28"/>
      <c r="P60" s="28" t="s">
        <v>502</v>
      </c>
    </row>
    <row r="61" spans="1:16" ht="14.25" customHeight="1">
      <c r="A61" s="5" t="s">
        <v>0</v>
      </c>
      <c r="B61" s="5" t="str">
        <f t="shared" si="0"/>
        <v>Y</v>
      </c>
      <c r="C61" s="18" t="s">
        <v>503</v>
      </c>
      <c r="D61" s="18"/>
      <c r="E61" s="6" t="s">
        <v>504</v>
      </c>
      <c r="F61" s="19"/>
      <c r="G61" s="19"/>
      <c r="H61" s="20">
        <v>43079</v>
      </c>
      <c r="I61" s="4">
        <v>31675</v>
      </c>
      <c r="J61" s="4"/>
      <c r="L61" s="6">
        <v>9661947920</v>
      </c>
      <c r="M61" s="6" t="s">
        <v>505</v>
      </c>
      <c r="N61" s="29" t="s">
        <v>506</v>
      </c>
      <c r="O61" s="28"/>
      <c r="P61" s="28" t="s">
        <v>507</v>
      </c>
    </row>
    <row r="62" spans="1:16" ht="14.25" customHeight="1">
      <c r="A62" s="5" t="s">
        <v>0</v>
      </c>
      <c r="B62" s="5" t="str">
        <f t="shared" si="0"/>
        <v>Y</v>
      </c>
      <c r="C62" s="18" t="s">
        <v>508</v>
      </c>
      <c r="D62" s="18"/>
      <c r="E62" s="6" t="s">
        <v>509</v>
      </c>
      <c r="F62" s="19"/>
      <c r="G62" s="19"/>
      <c r="H62" s="20">
        <v>43079</v>
      </c>
      <c r="I62" s="4">
        <v>21929</v>
      </c>
      <c r="J62" s="4"/>
      <c r="L62" s="6">
        <v>9661947920</v>
      </c>
      <c r="M62" s="6" t="s">
        <v>510</v>
      </c>
      <c r="N62" s="29" t="s">
        <v>511</v>
      </c>
      <c r="O62" s="28"/>
      <c r="P62" s="28" t="s">
        <v>512</v>
      </c>
    </row>
    <row r="63" spans="1:16" ht="14.25" customHeight="1">
      <c r="A63" s="5" t="s">
        <v>0</v>
      </c>
      <c r="B63" s="5" t="str">
        <f t="shared" si="0"/>
        <v>Y</v>
      </c>
      <c r="C63" s="18" t="s">
        <v>513</v>
      </c>
      <c r="D63" s="18"/>
      <c r="E63" s="6" t="s">
        <v>514</v>
      </c>
      <c r="F63" s="19"/>
      <c r="G63" s="19"/>
      <c r="H63" s="20">
        <v>43079</v>
      </c>
      <c r="I63" s="4">
        <v>25735</v>
      </c>
      <c r="J63" s="4"/>
      <c r="L63" s="6">
        <v>8709730897</v>
      </c>
      <c r="M63" s="6" t="s">
        <v>515</v>
      </c>
      <c r="N63" s="16" t="s">
        <v>516</v>
      </c>
      <c r="O63" s="7"/>
      <c r="P63" s="17" t="s">
        <v>517</v>
      </c>
    </row>
    <row r="64" spans="1:16" ht="14.25" customHeight="1">
      <c r="A64" s="5" t="s">
        <v>0</v>
      </c>
      <c r="B64" s="5" t="str">
        <f t="shared" si="0"/>
        <v>Y</v>
      </c>
      <c r="C64" s="18" t="s">
        <v>518</v>
      </c>
      <c r="D64" s="18"/>
      <c r="E64" s="6" t="s">
        <v>519</v>
      </c>
      <c r="F64" s="19"/>
      <c r="G64" s="19"/>
      <c r="H64" s="20">
        <v>43079</v>
      </c>
      <c r="I64" s="4">
        <v>25934</v>
      </c>
      <c r="J64" s="4"/>
      <c r="L64" s="6">
        <v>9334069096</v>
      </c>
      <c r="M64" s="6" t="s">
        <v>520</v>
      </c>
      <c r="N64" s="29" t="s">
        <v>516</v>
      </c>
      <c r="O64" s="28"/>
      <c r="P64" s="17" t="s">
        <v>521</v>
      </c>
    </row>
    <row r="65" spans="1:16" ht="14.25" customHeight="1">
      <c r="A65" s="5" t="s">
        <v>0</v>
      </c>
      <c r="B65" s="5" t="str">
        <f t="shared" si="0"/>
        <v>Y</v>
      </c>
      <c r="C65" s="18" t="s">
        <v>522</v>
      </c>
      <c r="D65" s="18"/>
      <c r="E65" s="6" t="s">
        <v>523</v>
      </c>
      <c r="F65" s="19"/>
      <c r="G65" s="19"/>
      <c r="H65" s="20">
        <v>43080</v>
      </c>
      <c r="I65" s="4">
        <v>22652</v>
      </c>
      <c r="J65" s="4"/>
      <c r="L65" s="6">
        <v>7903892607</v>
      </c>
      <c r="M65" s="6" t="s">
        <v>524</v>
      </c>
      <c r="N65" s="21">
        <v>43110</v>
      </c>
      <c r="O65" s="22"/>
      <c r="P65" s="17" t="s">
        <v>525</v>
      </c>
    </row>
    <row r="66" spans="1:16" ht="14.25" customHeight="1">
      <c r="A66" s="5" t="s">
        <v>0</v>
      </c>
      <c r="B66" s="5" t="str">
        <f t="shared" si="0"/>
        <v>Y</v>
      </c>
      <c r="C66" s="18" t="s">
        <v>526</v>
      </c>
      <c r="D66" s="18"/>
      <c r="E66" s="6" t="s">
        <v>527</v>
      </c>
      <c r="F66" s="19"/>
      <c r="G66" s="19"/>
      <c r="H66" s="20">
        <v>43080</v>
      </c>
      <c r="I66" s="4">
        <v>33398</v>
      </c>
      <c r="J66" s="4"/>
      <c r="L66" s="6">
        <v>9162957994</v>
      </c>
      <c r="M66" s="33" t="s">
        <v>528</v>
      </c>
      <c r="N66" s="34" t="s">
        <v>529</v>
      </c>
      <c r="O66" s="35"/>
      <c r="P66" s="28" t="s">
        <v>530</v>
      </c>
    </row>
    <row r="67" spans="1:16" ht="14.25" customHeight="1">
      <c r="A67" s="5" t="s">
        <v>0</v>
      </c>
      <c r="B67" s="5" t="str">
        <f t="shared" si="0"/>
        <v>Y</v>
      </c>
      <c r="C67" s="18" t="s">
        <v>531</v>
      </c>
      <c r="D67" s="18"/>
      <c r="E67" s="6" t="s">
        <v>532</v>
      </c>
      <c r="F67" s="19"/>
      <c r="G67" s="19"/>
      <c r="H67" s="20">
        <v>43081</v>
      </c>
      <c r="I67" s="4">
        <v>25934</v>
      </c>
      <c r="J67" s="4"/>
      <c r="L67" s="6">
        <v>9905715315</v>
      </c>
      <c r="M67" s="6" t="s">
        <v>533</v>
      </c>
      <c r="N67" s="16" t="s">
        <v>516</v>
      </c>
      <c r="O67" s="7"/>
      <c r="P67" s="17" t="s">
        <v>534</v>
      </c>
    </row>
    <row r="68" spans="1:16" ht="14.25" customHeight="1">
      <c r="A68" s="5" t="s">
        <v>0</v>
      </c>
      <c r="B68" s="5" t="str">
        <f t="shared" si="0"/>
        <v>Y</v>
      </c>
      <c r="C68" s="18" t="s">
        <v>535</v>
      </c>
      <c r="D68" s="18"/>
      <c r="E68" s="6" t="s">
        <v>536</v>
      </c>
      <c r="F68" s="19"/>
      <c r="G68" s="19"/>
      <c r="H68" s="20">
        <v>43081</v>
      </c>
      <c r="I68" s="4">
        <v>21916</v>
      </c>
      <c r="J68" s="4"/>
      <c r="L68" s="6">
        <v>9507692003</v>
      </c>
      <c r="M68" s="6" t="s">
        <v>537</v>
      </c>
      <c r="N68" s="29" t="s">
        <v>516</v>
      </c>
      <c r="O68" s="28"/>
      <c r="P68" s="28" t="s">
        <v>538</v>
      </c>
    </row>
    <row r="69" spans="1:16" ht="14.25" customHeight="1">
      <c r="A69" s="5" t="s">
        <v>0</v>
      </c>
      <c r="B69" s="5" t="str">
        <f t="shared" si="0"/>
        <v>Y</v>
      </c>
      <c r="C69" s="18" t="s">
        <v>539</v>
      </c>
      <c r="D69" s="18"/>
      <c r="E69" s="6" t="s">
        <v>540</v>
      </c>
      <c r="F69" s="19"/>
      <c r="G69" s="19"/>
      <c r="H69" s="20">
        <v>43081</v>
      </c>
      <c r="I69" s="4">
        <v>35816</v>
      </c>
      <c r="J69" s="4"/>
      <c r="L69" s="6">
        <v>9060881348</v>
      </c>
      <c r="M69" s="33" t="s">
        <v>541</v>
      </c>
      <c r="N69" s="34" t="s">
        <v>542</v>
      </c>
      <c r="O69" s="35"/>
      <c r="P69" s="17" t="s">
        <v>543</v>
      </c>
    </row>
    <row r="70" spans="1:16" ht="14.25" customHeight="1">
      <c r="A70" s="5" t="s">
        <v>0</v>
      </c>
      <c r="B70" s="5" t="str">
        <f t="shared" si="0"/>
        <v>Y</v>
      </c>
      <c r="C70" s="18" t="s">
        <v>544</v>
      </c>
      <c r="D70" s="18"/>
      <c r="E70" s="6" t="s">
        <v>545</v>
      </c>
      <c r="F70" s="19"/>
      <c r="G70" s="19"/>
      <c r="H70" s="20">
        <v>43081</v>
      </c>
      <c r="I70" s="4">
        <v>35816</v>
      </c>
      <c r="J70" s="4"/>
      <c r="L70" s="6">
        <v>9060881348</v>
      </c>
      <c r="M70" s="6" t="s">
        <v>546</v>
      </c>
      <c r="N70" s="16" t="s">
        <v>542</v>
      </c>
      <c r="O70" s="7"/>
      <c r="P70" s="17" t="s">
        <v>547</v>
      </c>
    </row>
    <row r="71" spans="1:16" ht="14.25" customHeight="1">
      <c r="A71" s="5" t="s">
        <v>0</v>
      </c>
      <c r="B71" s="5" t="str">
        <f t="shared" si="0"/>
        <v>Y</v>
      </c>
      <c r="C71" s="18" t="s">
        <v>548</v>
      </c>
      <c r="D71" s="18"/>
      <c r="E71" s="6" t="s">
        <v>549</v>
      </c>
      <c r="F71" s="19"/>
      <c r="G71" s="19"/>
      <c r="H71" s="20">
        <v>43081</v>
      </c>
      <c r="I71" s="4">
        <v>23816</v>
      </c>
      <c r="J71" s="4"/>
      <c r="L71" s="6">
        <v>9835126533</v>
      </c>
      <c r="M71" s="18" t="s">
        <v>550</v>
      </c>
      <c r="N71" s="16" t="s">
        <v>516</v>
      </c>
      <c r="O71" s="7"/>
      <c r="P71" s="17" t="s">
        <v>551</v>
      </c>
    </row>
    <row r="72" spans="1:16" ht="14.25" customHeight="1">
      <c r="A72" s="5" t="s">
        <v>0</v>
      </c>
      <c r="B72" s="5" t="str">
        <f t="shared" si="0"/>
        <v>Y</v>
      </c>
      <c r="C72" s="18" t="s">
        <v>552</v>
      </c>
      <c r="D72" s="18"/>
      <c r="E72" s="6" t="s">
        <v>553</v>
      </c>
      <c r="F72" s="19"/>
      <c r="G72" s="19"/>
      <c r="H72" s="20">
        <v>43085</v>
      </c>
      <c r="L72" s="6">
        <v>9204027644</v>
      </c>
      <c r="M72" s="6" t="s">
        <v>554</v>
      </c>
      <c r="N72" s="26">
        <v>43104</v>
      </c>
      <c r="O72" s="27"/>
      <c r="P72" s="28" t="s">
        <v>555</v>
      </c>
    </row>
    <row r="73" spans="1:16" ht="14.25" customHeight="1">
      <c r="A73" s="5" t="s">
        <v>0</v>
      </c>
      <c r="B73" s="5" t="str">
        <f t="shared" si="0"/>
        <v>Y</v>
      </c>
      <c r="C73" s="18" t="s">
        <v>556</v>
      </c>
      <c r="D73" s="18"/>
      <c r="E73" s="6" t="s">
        <v>557</v>
      </c>
      <c r="F73" s="19"/>
      <c r="G73" s="19"/>
      <c r="H73" s="20">
        <v>43083</v>
      </c>
      <c r="I73" s="4">
        <v>26701</v>
      </c>
      <c r="J73" s="4"/>
      <c r="L73" s="6">
        <v>7209753966</v>
      </c>
      <c r="M73" s="6" t="s">
        <v>558</v>
      </c>
      <c r="N73" s="29" t="s">
        <v>559</v>
      </c>
      <c r="O73" s="28"/>
      <c r="P73" s="28" t="s">
        <v>560</v>
      </c>
    </row>
    <row r="74" spans="1:16" ht="14.25" customHeight="1">
      <c r="A74" s="5" t="s">
        <v>0</v>
      </c>
      <c r="B74" s="5" t="str">
        <f t="shared" si="0"/>
        <v>Y</v>
      </c>
      <c r="C74" s="18" t="s">
        <v>561</v>
      </c>
      <c r="D74" s="18"/>
      <c r="E74" s="6" t="s">
        <v>562</v>
      </c>
      <c r="F74" s="19"/>
      <c r="G74" s="19"/>
      <c r="H74" s="20">
        <v>41987</v>
      </c>
      <c r="I74" s="4">
        <v>31048</v>
      </c>
      <c r="J74" s="4"/>
      <c r="L74" s="6">
        <v>9852339193</v>
      </c>
      <c r="M74" s="6" t="s">
        <v>563</v>
      </c>
      <c r="N74" s="16" t="s">
        <v>559</v>
      </c>
      <c r="O74" s="7"/>
      <c r="P74" s="28" t="s">
        <v>564</v>
      </c>
    </row>
    <row r="75" spans="1:16" ht="14.25" customHeight="1">
      <c r="A75" s="5" t="s">
        <v>0</v>
      </c>
      <c r="B75" s="5" t="str">
        <f t="shared" si="0"/>
        <v>Y</v>
      </c>
      <c r="C75" s="18" t="s">
        <v>565</v>
      </c>
      <c r="D75" s="18"/>
      <c r="E75" s="6" t="s">
        <v>566</v>
      </c>
      <c r="F75" s="19"/>
      <c r="G75" s="19"/>
      <c r="H75" s="20">
        <v>43085</v>
      </c>
      <c r="I75" s="4">
        <v>34138</v>
      </c>
      <c r="J75" s="4"/>
      <c r="L75" s="6">
        <v>7209933586</v>
      </c>
      <c r="M75" s="6" t="s">
        <v>567</v>
      </c>
      <c r="N75" s="29" t="s">
        <v>568</v>
      </c>
      <c r="O75" s="28"/>
      <c r="P75" s="28" t="s">
        <v>569</v>
      </c>
    </row>
    <row r="76" spans="1:16" ht="14.25" customHeight="1">
      <c r="A76" s="5" t="s">
        <v>0</v>
      </c>
      <c r="B76" s="5" t="str">
        <f t="shared" si="0"/>
        <v>Y</v>
      </c>
      <c r="C76" s="18" t="s">
        <v>570</v>
      </c>
      <c r="D76" s="18"/>
      <c r="E76" s="6" t="s">
        <v>571</v>
      </c>
      <c r="F76" s="19"/>
      <c r="G76" s="19"/>
      <c r="H76" s="20">
        <v>43087</v>
      </c>
      <c r="I76" s="4">
        <v>35307</v>
      </c>
      <c r="J76" s="4"/>
      <c r="L76" s="6">
        <v>7209821465</v>
      </c>
      <c r="M76" s="6" t="s">
        <v>572</v>
      </c>
      <c r="N76" s="16" t="s">
        <v>573</v>
      </c>
      <c r="O76" s="7"/>
      <c r="P76" s="28" t="s">
        <v>574</v>
      </c>
    </row>
    <row r="77" spans="1:16" ht="14.25" customHeight="1">
      <c r="A77" s="5" t="s">
        <v>0</v>
      </c>
      <c r="B77" s="5" t="str">
        <f t="shared" si="0"/>
        <v>Y</v>
      </c>
      <c r="C77" s="18" t="s">
        <v>575</v>
      </c>
      <c r="D77" s="18"/>
      <c r="E77" s="6" t="s">
        <v>576</v>
      </c>
      <c r="F77" s="19"/>
      <c r="G77" s="19"/>
      <c r="H77" s="20">
        <v>43085</v>
      </c>
      <c r="I77" s="4">
        <v>35875</v>
      </c>
      <c r="J77" s="4"/>
      <c r="L77" s="6">
        <v>7301497220</v>
      </c>
      <c r="M77" s="6" t="s">
        <v>577</v>
      </c>
      <c r="N77" s="26">
        <v>43117</v>
      </c>
      <c r="O77" s="27"/>
      <c r="P77" s="28">
        <v>23301628334</v>
      </c>
    </row>
    <row r="78" spans="1:16" ht="14.25" customHeight="1">
      <c r="A78" s="5" t="s">
        <v>0</v>
      </c>
      <c r="B78" s="5" t="str">
        <f t="shared" si="0"/>
        <v>Y</v>
      </c>
      <c r="C78" s="18" t="s">
        <v>578</v>
      </c>
      <c r="D78" s="18"/>
      <c r="E78" s="6" t="s">
        <v>579</v>
      </c>
      <c r="F78" s="19"/>
      <c r="G78" s="19"/>
      <c r="H78" s="20">
        <v>43087</v>
      </c>
      <c r="I78" s="4">
        <v>30081</v>
      </c>
      <c r="J78" s="4"/>
      <c r="L78" s="6">
        <v>8235341840</v>
      </c>
      <c r="M78" s="6" t="s">
        <v>580</v>
      </c>
      <c r="N78" s="16" t="s">
        <v>581</v>
      </c>
      <c r="O78" s="7"/>
      <c r="P78" s="17" t="s">
        <v>582</v>
      </c>
    </row>
    <row r="79" spans="1:16" ht="14.25" customHeight="1">
      <c r="A79" s="5" t="s">
        <v>0</v>
      </c>
      <c r="B79" s="5" t="str">
        <f t="shared" si="0"/>
        <v>N</v>
      </c>
      <c r="C79" s="18" t="s">
        <v>583</v>
      </c>
      <c r="D79" s="18"/>
      <c r="E79" s="6" t="s">
        <v>584</v>
      </c>
      <c r="F79" s="19"/>
      <c r="G79" s="19"/>
      <c r="H79" s="20"/>
      <c r="L79" s="6">
        <v>8797594876</v>
      </c>
      <c r="N79" s="16"/>
      <c r="O79" s="7"/>
      <c r="P79" s="17"/>
    </row>
    <row r="80" spans="1:16" ht="14.25" customHeight="1">
      <c r="A80" s="5" t="s">
        <v>0</v>
      </c>
      <c r="B80" s="5" t="str">
        <f t="shared" si="0"/>
        <v>Y</v>
      </c>
      <c r="C80" s="18" t="s">
        <v>585</v>
      </c>
      <c r="D80" s="18"/>
      <c r="E80" s="6" t="s">
        <v>586</v>
      </c>
      <c r="F80" s="19"/>
      <c r="G80" s="19"/>
      <c r="H80" s="20">
        <v>43090</v>
      </c>
      <c r="L80" s="6">
        <v>9661121645</v>
      </c>
      <c r="M80" s="6" t="s">
        <v>587</v>
      </c>
      <c r="N80" s="21">
        <v>43108</v>
      </c>
      <c r="O80" s="22"/>
      <c r="P80" s="28" t="s">
        <v>588</v>
      </c>
    </row>
    <row r="81" spans="1:17" ht="14.25" customHeight="1">
      <c r="A81" s="5" t="s">
        <v>0</v>
      </c>
      <c r="B81" s="5" t="str">
        <f t="shared" si="0"/>
        <v>Y</v>
      </c>
      <c r="C81" s="18" t="s">
        <v>589</v>
      </c>
      <c r="D81" s="18"/>
      <c r="E81" s="6" t="s">
        <v>590</v>
      </c>
      <c r="F81" s="19"/>
      <c r="G81" s="19"/>
      <c r="H81" s="20">
        <v>43092</v>
      </c>
      <c r="L81" s="6">
        <v>7381149101</v>
      </c>
      <c r="M81" s="6" t="s">
        <v>591</v>
      </c>
      <c r="N81" s="21">
        <v>43115</v>
      </c>
      <c r="O81" s="22"/>
      <c r="P81" s="28" t="s">
        <v>592</v>
      </c>
    </row>
    <row r="82" spans="1:17" ht="14.25" customHeight="1">
      <c r="A82" s="5" t="s">
        <v>0</v>
      </c>
      <c r="B82" s="5" t="str">
        <f t="shared" si="0"/>
        <v>Y</v>
      </c>
      <c r="C82" s="18" t="s">
        <v>593</v>
      </c>
      <c r="D82" s="18"/>
      <c r="E82" s="6" t="s">
        <v>594</v>
      </c>
      <c r="F82" s="19"/>
      <c r="G82" s="19"/>
      <c r="H82" s="20">
        <v>43090</v>
      </c>
      <c r="I82" s="4"/>
      <c r="J82" s="4"/>
      <c r="L82" s="6">
        <v>7905954465</v>
      </c>
      <c r="M82" s="6" t="s">
        <v>595</v>
      </c>
      <c r="N82" s="16" t="s">
        <v>596</v>
      </c>
      <c r="O82" s="7"/>
      <c r="P82" s="17" t="s">
        <v>597</v>
      </c>
    </row>
    <row r="83" spans="1:17" ht="14.25" customHeight="1">
      <c r="A83" s="5" t="s">
        <v>0</v>
      </c>
      <c r="B83" s="5" t="str">
        <f t="shared" si="0"/>
        <v>Y</v>
      </c>
      <c r="C83" s="18" t="s">
        <v>598</v>
      </c>
      <c r="D83" s="18"/>
      <c r="E83" s="6" t="s">
        <v>599</v>
      </c>
      <c r="F83" s="19"/>
      <c r="G83" s="19"/>
      <c r="H83" s="20">
        <v>43090</v>
      </c>
      <c r="I83" s="4"/>
      <c r="J83" s="4"/>
      <c r="L83" s="6">
        <v>9570184366</v>
      </c>
      <c r="M83" s="6" t="s">
        <v>409</v>
      </c>
      <c r="N83" s="16"/>
      <c r="O83" s="7"/>
      <c r="P83" s="17"/>
    </row>
    <row r="84" spans="1:17" ht="14.25" customHeight="1">
      <c r="A84" s="5" t="s">
        <v>0</v>
      </c>
      <c r="B84" s="5" t="str">
        <f t="shared" si="0"/>
        <v>Y</v>
      </c>
      <c r="C84" s="18" t="s">
        <v>600</v>
      </c>
      <c r="D84" s="18"/>
      <c r="E84" s="6" t="s">
        <v>601</v>
      </c>
      <c r="F84" s="19"/>
      <c r="G84" s="19"/>
      <c r="H84" s="20">
        <v>43090</v>
      </c>
      <c r="L84" s="6">
        <v>8603827820</v>
      </c>
      <c r="M84" s="6" t="s">
        <v>602</v>
      </c>
      <c r="N84" s="26">
        <v>43109</v>
      </c>
      <c r="O84" s="27"/>
      <c r="P84" s="28" t="s">
        <v>603</v>
      </c>
    </row>
    <row r="85" spans="1:17" ht="14.25" customHeight="1">
      <c r="A85" s="5" t="s">
        <v>0</v>
      </c>
      <c r="B85" s="5" t="str">
        <f t="shared" si="0"/>
        <v>Y</v>
      </c>
      <c r="C85" s="18" t="s">
        <v>604</v>
      </c>
      <c r="D85" s="18"/>
      <c r="E85" s="6" t="s">
        <v>605</v>
      </c>
      <c r="F85" s="19"/>
      <c r="G85" s="19"/>
      <c r="H85" s="20">
        <v>43091</v>
      </c>
      <c r="L85" s="6">
        <v>9263948685</v>
      </c>
      <c r="M85" s="6" t="s">
        <v>606</v>
      </c>
      <c r="N85" s="16"/>
      <c r="O85" s="7"/>
      <c r="P85" s="17"/>
    </row>
    <row r="86" spans="1:17" ht="14.25" customHeight="1">
      <c r="A86" s="5" t="s">
        <v>0</v>
      </c>
      <c r="B86" s="5" t="str">
        <f t="shared" si="0"/>
        <v>Y</v>
      </c>
      <c r="C86" s="18" t="s">
        <v>607</v>
      </c>
      <c r="D86" s="18"/>
      <c r="E86" s="6" t="s">
        <v>608</v>
      </c>
      <c r="F86" s="19"/>
      <c r="G86" s="19"/>
      <c r="H86" s="20">
        <v>43094</v>
      </c>
      <c r="L86" s="6">
        <v>7480052154</v>
      </c>
      <c r="M86" s="6" t="s">
        <v>609</v>
      </c>
      <c r="N86" s="26">
        <v>43117</v>
      </c>
      <c r="O86" s="27"/>
      <c r="P86" s="28">
        <v>23301491216</v>
      </c>
    </row>
    <row r="87" spans="1:17" ht="14.25" customHeight="1">
      <c r="A87" s="5" t="s">
        <v>0</v>
      </c>
      <c r="B87" s="5" t="str">
        <f t="shared" si="0"/>
        <v>Y</v>
      </c>
      <c r="C87" s="18" t="s">
        <v>610</v>
      </c>
      <c r="D87" s="18"/>
      <c r="E87" s="6" t="s">
        <v>611</v>
      </c>
      <c r="F87" s="19"/>
      <c r="G87" s="19"/>
      <c r="H87" s="20">
        <v>43100</v>
      </c>
      <c r="L87" s="6">
        <v>8235444665</v>
      </c>
      <c r="M87" s="30" t="s">
        <v>612</v>
      </c>
      <c r="N87" s="31" t="s">
        <v>613</v>
      </c>
      <c r="O87" s="7"/>
      <c r="P87" s="32">
        <v>23301646959</v>
      </c>
    </row>
    <row r="88" spans="1:17" ht="14.25" customHeight="1">
      <c r="A88" s="5" t="s">
        <v>0</v>
      </c>
      <c r="B88" s="5" t="str">
        <f t="shared" si="0"/>
        <v>Y</v>
      </c>
      <c r="C88" s="18" t="s">
        <v>614</v>
      </c>
      <c r="D88" s="18"/>
      <c r="E88" s="6" t="s">
        <v>615</v>
      </c>
      <c r="F88" s="19"/>
      <c r="G88" s="19"/>
      <c r="H88" s="20">
        <v>43094</v>
      </c>
      <c r="L88" s="6">
        <v>9123153564</v>
      </c>
      <c r="M88" s="30" t="s">
        <v>616</v>
      </c>
      <c r="N88" s="36">
        <v>43143</v>
      </c>
      <c r="O88" s="7"/>
      <c r="P88" s="32" t="s">
        <v>617</v>
      </c>
    </row>
    <row r="89" spans="1:17" ht="14.25" customHeight="1">
      <c r="A89" s="5" t="s">
        <v>0</v>
      </c>
      <c r="B89" s="5" t="str">
        <f t="shared" si="0"/>
        <v>Y</v>
      </c>
      <c r="C89" s="18" t="s">
        <v>618</v>
      </c>
      <c r="D89" s="18"/>
      <c r="E89" s="6" t="s">
        <v>619</v>
      </c>
      <c r="F89" s="19"/>
      <c r="G89" s="19"/>
      <c r="H89" s="20">
        <v>43094</v>
      </c>
      <c r="L89" s="6">
        <v>9934182479</v>
      </c>
      <c r="M89" s="33" t="s">
        <v>620</v>
      </c>
      <c r="N89" s="26">
        <v>43117</v>
      </c>
      <c r="O89" s="27"/>
      <c r="P89" s="28">
        <v>23301491220</v>
      </c>
    </row>
    <row r="90" spans="1:17" ht="14.25" customHeight="1">
      <c r="A90" s="5" t="s">
        <v>0</v>
      </c>
      <c r="B90" s="5" t="str">
        <f t="shared" si="0"/>
        <v>Y</v>
      </c>
      <c r="C90" s="18" t="s">
        <v>621</v>
      </c>
      <c r="D90" s="18"/>
      <c r="E90" s="6" t="s">
        <v>622</v>
      </c>
      <c r="F90" s="19"/>
      <c r="G90" s="19"/>
      <c r="H90" s="20">
        <v>43094</v>
      </c>
      <c r="L90" s="6">
        <v>8757169057</v>
      </c>
      <c r="M90" s="6" t="s">
        <v>623</v>
      </c>
      <c r="N90" s="29" t="s">
        <v>581</v>
      </c>
      <c r="O90" s="28"/>
      <c r="P90" s="28" t="s">
        <v>624</v>
      </c>
    </row>
    <row r="91" spans="1:17" ht="14.25" customHeight="1">
      <c r="A91" s="5" t="s">
        <v>0</v>
      </c>
      <c r="B91" s="5" t="str">
        <f t="shared" si="0"/>
        <v>Y</v>
      </c>
      <c r="C91" s="18" t="s">
        <v>625</v>
      </c>
      <c r="D91" s="18"/>
      <c r="E91" s="6" t="s">
        <v>626</v>
      </c>
      <c r="F91" s="19"/>
      <c r="G91" s="19"/>
      <c r="H91" s="20">
        <v>43095</v>
      </c>
      <c r="L91" s="6">
        <v>7209246563</v>
      </c>
      <c r="M91" s="6" t="s">
        <v>627</v>
      </c>
      <c r="N91" s="26">
        <v>43117</v>
      </c>
      <c r="O91" s="27"/>
      <c r="P91" s="28" t="s">
        <v>628</v>
      </c>
    </row>
    <row r="92" spans="1:17" ht="14.25" customHeight="1">
      <c r="A92" s="5" t="s">
        <v>0</v>
      </c>
      <c r="B92" s="5" t="str">
        <f t="shared" si="0"/>
        <v>Y</v>
      </c>
      <c r="C92" s="18" t="s">
        <v>629</v>
      </c>
      <c r="D92" s="18"/>
      <c r="E92" s="6" t="s">
        <v>630</v>
      </c>
      <c r="F92" s="19"/>
      <c r="G92" s="19"/>
      <c r="H92" s="20">
        <v>43095</v>
      </c>
      <c r="L92" s="6">
        <v>8797211820</v>
      </c>
      <c r="M92" s="6" t="s">
        <v>631</v>
      </c>
      <c r="N92" s="29" t="s">
        <v>632</v>
      </c>
      <c r="O92" s="28"/>
      <c r="P92" s="28" t="s">
        <v>633</v>
      </c>
    </row>
    <row r="93" spans="1:17" ht="14.25" customHeight="1">
      <c r="A93" s="5" t="s">
        <v>0</v>
      </c>
      <c r="B93" s="5" t="str">
        <f t="shared" si="0"/>
        <v>Y</v>
      </c>
      <c r="C93" s="18" t="s">
        <v>634</v>
      </c>
      <c r="D93" s="18"/>
      <c r="E93" s="6" t="s">
        <v>635</v>
      </c>
      <c r="F93" s="19"/>
      <c r="G93" s="19"/>
      <c r="H93" s="20">
        <v>43095</v>
      </c>
      <c r="L93" s="6">
        <v>7250514971</v>
      </c>
      <c r="M93" s="33" t="s">
        <v>636</v>
      </c>
      <c r="N93" s="26">
        <v>43117</v>
      </c>
      <c r="O93" s="27"/>
      <c r="P93" s="28">
        <v>23301481376</v>
      </c>
    </row>
    <row r="94" spans="1:17" ht="14.25" customHeight="1">
      <c r="A94" s="5" t="s">
        <v>0</v>
      </c>
      <c r="B94" s="5" t="str">
        <f t="shared" si="0"/>
        <v>Y</v>
      </c>
      <c r="C94" s="18" t="s">
        <v>637</v>
      </c>
      <c r="D94" s="18"/>
      <c r="E94" s="6" t="s">
        <v>638</v>
      </c>
      <c r="F94" s="19"/>
      <c r="G94" s="19"/>
      <c r="H94" s="20">
        <v>43099</v>
      </c>
      <c r="L94" s="6">
        <v>9934172940</v>
      </c>
      <c r="M94" s="6" t="s">
        <v>639</v>
      </c>
      <c r="N94" s="21">
        <v>43125</v>
      </c>
      <c r="O94" s="22"/>
      <c r="P94" s="28" t="s">
        <v>640</v>
      </c>
      <c r="Q94" s="28" t="s">
        <v>641</v>
      </c>
    </row>
    <row r="95" spans="1:17" ht="14.25" customHeight="1">
      <c r="A95" s="5" t="s">
        <v>0</v>
      </c>
      <c r="B95" s="5" t="str">
        <f t="shared" si="0"/>
        <v>Y</v>
      </c>
      <c r="C95" s="18" t="s">
        <v>642</v>
      </c>
      <c r="D95" s="18"/>
      <c r="E95" s="6" t="s">
        <v>643</v>
      </c>
      <c r="F95" s="19"/>
      <c r="G95" s="19"/>
      <c r="H95" s="20">
        <v>43099</v>
      </c>
      <c r="L95" s="6">
        <v>9204046939</v>
      </c>
      <c r="M95" s="6" t="s">
        <v>644</v>
      </c>
      <c r="N95" s="16" t="s">
        <v>645</v>
      </c>
      <c r="O95" s="7"/>
      <c r="P95" s="28">
        <v>23301481380</v>
      </c>
      <c r="Q95" s="28" t="s">
        <v>641</v>
      </c>
    </row>
    <row r="96" spans="1:17" ht="14.25" customHeight="1">
      <c r="A96" s="5" t="s">
        <v>0</v>
      </c>
      <c r="B96" s="5" t="str">
        <f t="shared" si="0"/>
        <v>Y</v>
      </c>
      <c r="C96" s="18" t="s">
        <v>646</v>
      </c>
      <c r="D96" s="18"/>
      <c r="E96" s="6" t="s">
        <v>647</v>
      </c>
      <c r="F96" s="19"/>
      <c r="G96" s="19"/>
      <c r="H96" s="20">
        <v>43100</v>
      </c>
      <c r="L96" s="6">
        <v>8093781110</v>
      </c>
      <c r="M96" s="6" t="s">
        <v>648</v>
      </c>
      <c r="N96" s="29" t="s">
        <v>649</v>
      </c>
      <c r="O96" s="28" t="s">
        <v>650</v>
      </c>
      <c r="P96" s="17"/>
    </row>
    <row r="97" spans="1:17" ht="14.25" customHeight="1">
      <c r="A97" s="5" t="s">
        <v>0</v>
      </c>
      <c r="B97" s="5" t="str">
        <f t="shared" si="0"/>
        <v>Y</v>
      </c>
      <c r="C97" s="18" t="s">
        <v>651</v>
      </c>
      <c r="D97" s="18"/>
      <c r="E97" s="6" t="s">
        <v>652</v>
      </c>
      <c r="F97" s="19"/>
      <c r="G97" s="19"/>
      <c r="H97" s="20">
        <v>43100</v>
      </c>
      <c r="L97" s="6">
        <v>8434842876</v>
      </c>
      <c r="M97" s="6" t="s">
        <v>653</v>
      </c>
      <c r="N97" s="34"/>
      <c r="O97" s="17"/>
      <c r="P97" s="17"/>
    </row>
    <row r="98" spans="1:17" ht="14.25" customHeight="1">
      <c r="A98" s="5" t="s">
        <v>0</v>
      </c>
      <c r="B98" s="5" t="str">
        <f t="shared" si="0"/>
        <v>Y</v>
      </c>
      <c r="C98" s="18" t="s">
        <v>654</v>
      </c>
      <c r="D98" s="18"/>
      <c r="E98" s="6" t="s">
        <v>655</v>
      </c>
      <c r="F98" s="19"/>
      <c r="G98" s="19"/>
      <c r="H98" s="20">
        <v>43100</v>
      </c>
      <c r="L98" s="6">
        <v>9031051601</v>
      </c>
      <c r="M98" s="33" t="s">
        <v>656</v>
      </c>
      <c r="N98" s="34" t="s">
        <v>649</v>
      </c>
      <c r="O98" s="28">
        <v>23301495424</v>
      </c>
      <c r="P98" s="17"/>
      <c r="Q98" s="28" t="s">
        <v>641</v>
      </c>
    </row>
    <row r="99" spans="1:17" ht="14.25" customHeight="1">
      <c r="A99" s="5" t="s">
        <v>0</v>
      </c>
      <c r="B99" s="5" t="str">
        <f t="shared" si="0"/>
        <v>Y</v>
      </c>
      <c r="C99" s="18" t="s">
        <v>657</v>
      </c>
      <c r="D99" s="18"/>
      <c r="E99" s="6" t="s">
        <v>658</v>
      </c>
      <c r="F99" s="19"/>
      <c r="G99" s="19"/>
      <c r="H99" s="20">
        <v>43100</v>
      </c>
      <c r="L99" s="6">
        <v>7209118963</v>
      </c>
      <c r="M99" s="6" t="s">
        <v>659</v>
      </c>
      <c r="N99" s="29" t="s">
        <v>649</v>
      </c>
      <c r="O99" s="28" t="s">
        <v>660</v>
      </c>
      <c r="P99" s="17"/>
    </row>
    <row r="100" spans="1:17" ht="14.25" customHeight="1">
      <c r="A100" s="5" t="s">
        <v>0</v>
      </c>
      <c r="B100" s="5" t="str">
        <f t="shared" si="0"/>
        <v>Y</v>
      </c>
      <c r="C100" s="18" t="s">
        <v>661</v>
      </c>
      <c r="D100" s="18"/>
      <c r="E100" s="6" t="s">
        <v>662</v>
      </c>
      <c r="F100" s="19"/>
      <c r="G100" s="19"/>
      <c r="H100" s="20">
        <v>43100</v>
      </c>
      <c r="L100" s="6">
        <v>8092713719</v>
      </c>
      <c r="M100" s="6" t="s">
        <v>663</v>
      </c>
      <c r="N100" s="31" t="s">
        <v>664</v>
      </c>
      <c r="O100" s="32">
        <v>23301602361</v>
      </c>
      <c r="P100" s="17"/>
      <c r="Q100" s="28" t="s">
        <v>641</v>
      </c>
    </row>
    <row r="101" spans="1:17" ht="14.25" customHeight="1">
      <c r="A101" s="5" t="s">
        <v>0</v>
      </c>
      <c r="B101" s="5" t="str">
        <f t="shared" si="0"/>
        <v>Y</v>
      </c>
      <c r="C101" s="18" t="s">
        <v>665</v>
      </c>
      <c r="D101" s="18"/>
      <c r="E101" s="6" t="s">
        <v>666</v>
      </c>
      <c r="F101" s="19"/>
      <c r="G101" s="19"/>
      <c r="H101" s="20">
        <v>43100</v>
      </c>
      <c r="L101" s="6">
        <v>9955465088</v>
      </c>
      <c r="M101" s="30" t="s">
        <v>667</v>
      </c>
      <c r="N101" s="36">
        <v>43138</v>
      </c>
      <c r="O101" s="32">
        <v>23301647634</v>
      </c>
      <c r="P101" s="17"/>
      <c r="Q101" s="6" t="s">
        <v>641</v>
      </c>
    </row>
    <row r="102" spans="1:17" ht="14.25" customHeight="1">
      <c r="A102" s="5" t="s">
        <v>0</v>
      </c>
      <c r="B102" s="5" t="str">
        <f t="shared" si="0"/>
        <v>Y</v>
      </c>
      <c r="C102" s="18" t="s">
        <v>668</v>
      </c>
      <c r="D102" s="18"/>
      <c r="E102" s="6" t="s">
        <v>669</v>
      </c>
      <c r="F102" s="19"/>
      <c r="G102" s="19"/>
      <c r="H102" s="20">
        <v>43101</v>
      </c>
      <c r="L102" s="6">
        <v>8235252390</v>
      </c>
      <c r="M102" s="33" t="s">
        <v>670</v>
      </c>
      <c r="N102" s="26">
        <v>43120</v>
      </c>
      <c r="O102" s="28">
        <v>23301631535</v>
      </c>
      <c r="P102" s="17"/>
    </row>
    <row r="103" spans="1:17" ht="14.25" customHeight="1">
      <c r="A103" s="5" t="s">
        <v>0</v>
      </c>
      <c r="B103" s="5" t="str">
        <f t="shared" si="0"/>
        <v>Y</v>
      </c>
      <c r="C103" s="18" t="s">
        <v>671</v>
      </c>
      <c r="D103" s="18"/>
      <c r="E103" s="6" t="s">
        <v>672</v>
      </c>
      <c r="F103" s="19"/>
      <c r="G103" s="19"/>
      <c r="H103" s="20">
        <v>43102</v>
      </c>
      <c r="L103" s="6">
        <v>8271824902</v>
      </c>
      <c r="M103" s="6" t="s">
        <v>673</v>
      </c>
      <c r="N103" s="26">
        <v>43121</v>
      </c>
      <c r="O103" s="28">
        <v>23301558921</v>
      </c>
      <c r="P103" s="17"/>
    </row>
    <row r="104" spans="1:17" ht="14.25" customHeight="1">
      <c r="A104" s="5" t="s">
        <v>0</v>
      </c>
      <c r="B104" s="5" t="str">
        <f t="shared" si="0"/>
        <v>Y</v>
      </c>
      <c r="C104" s="18" t="s">
        <v>674</v>
      </c>
      <c r="D104" s="18"/>
      <c r="E104" s="6" t="s">
        <v>675</v>
      </c>
      <c r="F104" s="19"/>
      <c r="G104" s="19"/>
      <c r="H104" s="20">
        <v>42739</v>
      </c>
      <c r="L104" s="6">
        <v>9955844105</v>
      </c>
      <c r="M104" s="6" t="s">
        <v>676</v>
      </c>
      <c r="N104" s="26">
        <v>43121</v>
      </c>
      <c r="O104" s="28">
        <v>23301558939</v>
      </c>
      <c r="P104" s="17"/>
    </row>
    <row r="105" spans="1:17" ht="14.25" customHeight="1">
      <c r="A105" s="5" t="s">
        <v>0</v>
      </c>
      <c r="B105" s="5" t="str">
        <f t="shared" si="0"/>
        <v>Y</v>
      </c>
      <c r="C105" s="18" t="s">
        <v>677</v>
      </c>
      <c r="D105" s="18"/>
      <c r="E105" s="6" t="s">
        <v>678</v>
      </c>
      <c r="F105" s="19"/>
      <c r="G105" s="19"/>
      <c r="H105" s="20">
        <v>42739</v>
      </c>
      <c r="L105" s="6">
        <v>9576692938</v>
      </c>
      <c r="M105" s="30" t="s">
        <v>679</v>
      </c>
      <c r="N105" s="31" t="s">
        <v>680</v>
      </c>
      <c r="O105" s="32">
        <v>23301726568</v>
      </c>
      <c r="P105" s="17"/>
      <c r="Q105" s="28" t="s">
        <v>641</v>
      </c>
    </row>
    <row r="106" spans="1:17" ht="14.25" customHeight="1">
      <c r="A106" s="5" t="s">
        <v>0</v>
      </c>
      <c r="B106" s="5" t="str">
        <f t="shared" si="0"/>
        <v>Y</v>
      </c>
      <c r="C106" s="18" t="s">
        <v>681</v>
      </c>
      <c r="D106" s="18"/>
      <c r="E106" s="6" t="s">
        <v>682</v>
      </c>
      <c r="F106" s="19"/>
      <c r="G106" s="19"/>
      <c r="H106" s="20">
        <v>42739</v>
      </c>
      <c r="L106" s="6">
        <v>8797120537</v>
      </c>
      <c r="M106" s="6" t="s">
        <v>683</v>
      </c>
      <c r="N106" s="31" t="s">
        <v>684</v>
      </c>
      <c r="O106" s="32" t="s">
        <v>685</v>
      </c>
      <c r="P106" s="17"/>
      <c r="Q106" s="28" t="s">
        <v>641</v>
      </c>
    </row>
    <row r="107" spans="1:17" ht="14.25" customHeight="1">
      <c r="A107" s="5" t="s">
        <v>1</v>
      </c>
      <c r="B107" s="5" t="str">
        <f t="shared" si="0"/>
        <v>Y</v>
      </c>
      <c r="C107" s="18" t="s">
        <v>686</v>
      </c>
      <c r="D107" s="18"/>
      <c r="E107" s="6" t="s">
        <v>687</v>
      </c>
      <c r="F107" s="19"/>
      <c r="G107" s="19"/>
      <c r="H107" s="20">
        <v>42743</v>
      </c>
      <c r="L107" s="6">
        <v>7209640434</v>
      </c>
      <c r="M107" s="37" t="s">
        <v>688</v>
      </c>
      <c r="N107" s="36">
        <v>43130</v>
      </c>
      <c r="O107" s="32" t="s">
        <v>689</v>
      </c>
      <c r="P107" s="17"/>
      <c r="Q107" s="28" t="s">
        <v>641</v>
      </c>
    </row>
    <row r="108" spans="1:17" ht="14.25" customHeight="1">
      <c r="A108" s="5" t="s">
        <v>0</v>
      </c>
      <c r="B108" s="5" t="str">
        <f t="shared" si="0"/>
        <v>Y</v>
      </c>
      <c r="C108" s="18" t="s">
        <v>690</v>
      </c>
      <c r="D108" s="18"/>
      <c r="E108" s="6" t="s">
        <v>691</v>
      </c>
      <c r="F108" s="19"/>
      <c r="G108" s="19"/>
      <c r="H108" s="20">
        <v>42743</v>
      </c>
      <c r="L108" s="6">
        <v>9386421911</v>
      </c>
      <c r="M108" s="37" t="s">
        <v>692</v>
      </c>
      <c r="N108" s="31" t="s">
        <v>664</v>
      </c>
      <c r="O108" s="32" t="s">
        <v>693</v>
      </c>
      <c r="P108" s="17"/>
      <c r="Q108" s="28" t="s">
        <v>641</v>
      </c>
    </row>
    <row r="109" spans="1:17" ht="14.25" customHeight="1">
      <c r="A109" s="5" t="s">
        <v>0</v>
      </c>
      <c r="B109" s="5" t="str">
        <f t="shared" si="0"/>
        <v>Y</v>
      </c>
      <c r="C109" s="18" t="s">
        <v>694</v>
      </c>
      <c r="D109" s="18"/>
      <c r="E109" s="6" t="s">
        <v>695</v>
      </c>
      <c r="F109" s="19"/>
      <c r="G109" s="19"/>
      <c r="H109" s="20">
        <v>43109</v>
      </c>
      <c r="L109" s="6">
        <v>9386421911</v>
      </c>
      <c r="M109" s="6" t="s">
        <v>696</v>
      </c>
      <c r="N109" s="36">
        <v>43129</v>
      </c>
      <c r="O109" s="32" t="s">
        <v>697</v>
      </c>
      <c r="P109" s="17"/>
      <c r="Q109" s="28" t="s">
        <v>641</v>
      </c>
    </row>
    <row r="110" spans="1:17" ht="14.25" customHeight="1">
      <c r="A110" s="5" t="s">
        <v>0</v>
      </c>
      <c r="B110" s="5" t="str">
        <f t="shared" si="0"/>
        <v>Y</v>
      </c>
      <c r="C110" s="18" t="s">
        <v>698</v>
      </c>
      <c r="D110" s="18"/>
      <c r="E110" s="6" t="s">
        <v>699</v>
      </c>
      <c r="F110" s="19"/>
      <c r="G110" s="19"/>
      <c r="H110" s="20">
        <v>43105</v>
      </c>
      <c r="L110" s="6">
        <v>8935974413</v>
      </c>
      <c r="M110" s="6" t="s">
        <v>700</v>
      </c>
      <c r="N110" s="26">
        <v>43132</v>
      </c>
      <c r="O110" s="28">
        <v>23301640606</v>
      </c>
      <c r="P110" s="17"/>
      <c r="Q110" s="38" t="s">
        <v>641</v>
      </c>
    </row>
    <row r="111" spans="1:17" ht="14.25" customHeight="1">
      <c r="A111" s="5" t="s">
        <v>0</v>
      </c>
      <c r="B111" s="5" t="str">
        <f t="shared" si="0"/>
        <v>Y</v>
      </c>
      <c r="C111" s="18" t="s">
        <v>701</v>
      </c>
      <c r="D111" s="18"/>
      <c r="E111" s="6" t="s">
        <v>702</v>
      </c>
      <c r="F111" s="19"/>
      <c r="G111" s="19"/>
      <c r="H111" s="20">
        <v>43105</v>
      </c>
      <c r="L111" s="6">
        <v>9674886936</v>
      </c>
      <c r="M111" s="30" t="s">
        <v>703</v>
      </c>
      <c r="N111" s="31" t="s">
        <v>684</v>
      </c>
      <c r="O111" s="32" t="s">
        <v>704</v>
      </c>
      <c r="P111" s="17"/>
      <c r="Q111" s="38" t="s">
        <v>641</v>
      </c>
    </row>
    <row r="112" spans="1:17" ht="18" customHeight="1">
      <c r="A112" s="5" t="s">
        <v>0</v>
      </c>
      <c r="B112" s="5" t="str">
        <f t="shared" si="0"/>
        <v>Y</v>
      </c>
      <c r="C112" s="18" t="s">
        <v>705</v>
      </c>
      <c r="D112" s="18"/>
      <c r="E112" s="6" t="s">
        <v>706</v>
      </c>
      <c r="F112" s="19"/>
      <c r="G112" s="19"/>
      <c r="H112" s="20">
        <v>43108</v>
      </c>
      <c r="L112" s="6">
        <v>8235234241</v>
      </c>
      <c r="M112" s="39" t="s">
        <v>707</v>
      </c>
      <c r="N112" s="21">
        <v>43148</v>
      </c>
      <c r="O112" s="32">
        <v>23302280818</v>
      </c>
      <c r="P112" s="17"/>
      <c r="Q112" s="38" t="s">
        <v>641</v>
      </c>
    </row>
    <row r="113" spans="1:17" ht="14.25" customHeight="1">
      <c r="A113" s="5" t="s">
        <v>0</v>
      </c>
      <c r="B113" s="5" t="str">
        <f t="shared" si="0"/>
        <v>Y</v>
      </c>
      <c r="C113" s="18" t="s">
        <v>708</v>
      </c>
      <c r="D113" s="18"/>
      <c r="E113" s="6" t="s">
        <v>709</v>
      </c>
      <c r="F113" s="19"/>
      <c r="G113" s="19"/>
      <c r="H113" s="20">
        <v>43108</v>
      </c>
      <c r="L113" s="6">
        <v>9939278339</v>
      </c>
      <c r="M113" s="6" t="s">
        <v>710</v>
      </c>
      <c r="N113" s="16"/>
      <c r="P113" s="17"/>
    </row>
    <row r="114" spans="1:17" ht="14.25" customHeight="1">
      <c r="A114" s="5" t="s">
        <v>0</v>
      </c>
      <c r="B114" s="5" t="str">
        <f t="shared" si="0"/>
        <v>Y</v>
      </c>
      <c r="C114" s="18" t="s">
        <v>711</v>
      </c>
      <c r="D114" s="18"/>
      <c r="E114" s="6" t="s">
        <v>712</v>
      </c>
      <c r="F114" s="19"/>
      <c r="G114" s="19"/>
      <c r="H114" s="20">
        <v>43119</v>
      </c>
      <c r="L114" s="6">
        <v>9234469181</v>
      </c>
      <c r="M114" s="6" t="s">
        <v>713</v>
      </c>
      <c r="N114" s="16"/>
      <c r="O114" s="7"/>
      <c r="P114" s="28" t="s">
        <v>714</v>
      </c>
    </row>
    <row r="115" spans="1:17" ht="14.25" customHeight="1">
      <c r="A115" s="5" t="s">
        <v>0</v>
      </c>
      <c r="B115" s="5" t="str">
        <f t="shared" si="0"/>
        <v>Y</v>
      </c>
      <c r="C115" s="18" t="s">
        <v>715</v>
      </c>
      <c r="D115" s="18"/>
      <c r="E115" s="6" t="s">
        <v>716</v>
      </c>
      <c r="F115" s="19"/>
      <c r="G115" s="19"/>
      <c r="H115" s="20">
        <v>43108</v>
      </c>
      <c r="L115" s="6">
        <v>9485428806</v>
      </c>
      <c r="M115" s="6" t="s">
        <v>717</v>
      </c>
      <c r="N115" s="29" t="s">
        <v>718</v>
      </c>
      <c r="O115" s="28"/>
      <c r="P115" s="28" t="s">
        <v>719</v>
      </c>
      <c r="Q115" s="28"/>
    </row>
    <row r="116" spans="1:17" ht="14.25" customHeight="1">
      <c r="A116" s="5" t="s">
        <v>0</v>
      </c>
      <c r="B116" s="5" t="str">
        <f t="shared" si="0"/>
        <v>Y</v>
      </c>
      <c r="C116" s="18" t="s">
        <v>720</v>
      </c>
      <c r="D116" s="18"/>
      <c r="E116" s="6" t="s">
        <v>721</v>
      </c>
      <c r="F116" s="19"/>
      <c r="G116" s="19"/>
      <c r="H116" s="20">
        <v>43108</v>
      </c>
      <c r="L116" s="6">
        <v>8797790266</v>
      </c>
      <c r="M116" s="30" t="s">
        <v>722</v>
      </c>
      <c r="N116" s="36">
        <v>43129</v>
      </c>
      <c r="O116" s="7"/>
      <c r="P116" s="32" t="s">
        <v>723</v>
      </c>
      <c r="Q116" s="6" t="s">
        <v>641</v>
      </c>
    </row>
    <row r="117" spans="1:17" ht="14.25" customHeight="1">
      <c r="A117" s="5" t="s">
        <v>0</v>
      </c>
      <c r="B117" s="5" t="str">
        <f t="shared" si="0"/>
        <v>Y</v>
      </c>
      <c r="C117" s="18" t="s">
        <v>724</v>
      </c>
      <c r="D117" s="18"/>
      <c r="E117" s="6" t="s">
        <v>725</v>
      </c>
      <c r="F117" s="19"/>
      <c r="G117" s="19"/>
      <c r="H117" s="20">
        <v>43109</v>
      </c>
      <c r="L117" s="6">
        <v>8797093952</v>
      </c>
      <c r="M117" s="6" t="s">
        <v>726</v>
      </c>
      <c r="N117" s="26">
        <v>43134</v>
      </c>
      <c r="O117" s="27"/>
      <c r="P117" s="28" t="s">
        <v>727</v>
      </c>
      <c r="Q117" s="28">
        <v>23301742744</v>
      </c>
    </row>
    <row r="118" spans="1:17" ht="14.25" customHeight="1">
      <c r="A118" s="5" t="s">
        <v>0</v>
      </c>
      <c r="B118" s="5" t="str">
        <f t="shared" si="0"/>
        <v>Y</v>
      </c>
      <c r="C118" s="18" t="s">
        <v>728</v>
      </c>
      <c r="D118" s="18"/>
      <c r="E118" s="6" t="s">
        <v>729</v>
      </c>
      <c r="F118" s="19"/>
      <c r="G118" s="19"/>
      <c r="H118" s="20">
        <v>43108</v>
      </c>
      <c r="L118" s="6">
        <v>7493904827</v>
      </c>
      <c r="M118" s="6" t="s">
        <v>730</v>
      </c>
      <c r="N118" s="29" t="s">
        <v>731</v>
      </c>
      <c r="O118" s="28"/>
      <c r="P118" s="28" t="s">
        <v>732</v>
      </c>
    </row>
    <row r="119" spans="1:17" ht="14.25" customHeight="1">
      <c r="A119" s="5" t="s">
        <v>0</v>
      </c>
      <c r="B119" s="5" t="str">
        <f t="shared" si="0"/>
        <v>Y</v>
      </c>
      <c r="C119" s="18" t="s">
        <v>733</v>
      </c>
      <c r="D119" s="18"/>
      <c r="E119" s="6" t="s">
        <v>734</v>
      </c>
      <c r="F119" s="19"/>
      <c r="G119" s="19"/>
      <c r="H119" s="20">
        <v>43108</v>
      </c>
      <c r="L119" s="6">
        <v>9162910101</v>
      </c>
      <c r="M119" s="6" t="s">
        <v>735</v>
      </c>
      <c r="N119" s="29" t="s">
        <v>736</v>
      </c>
      <c r="O119" s="28"/>
      <c r="P119" s="28" t="s">
        <v>737</v>
      </c>
    </row>
    <row r="120" spans="1:17" ht="14.25" customHeight="1">
      <c r="A120" s="5" t="s">
        <v>0</v>
      </c>
      <c r="B120" s="5" t="str">
        <f t="shared" si="0"/>
        <v>Y</v>
      </c>
      <c r="C120" s="18" t="s">
        <v>738</v>
      </c>
      <c r="D120" s="18"/>
      <c r="E120" s="6" t="s">
        <v>739</v>
      </c>
      <c r="F120" s="19"/>
      <c r="G120" s="19"/>
      <c r="H120" s="20">
        <v>43109</v>
      </c>
      <c r="M120" s="6" t="s">
        <v>740</v>
      </c>
      <c r="N120" s="26">
        <v>43137</v>
      </c>
      <c r="O120" s="32" t="s">
        <v>741</v>
      </c>
      <c r="P120" s="38" t="s">
        <v>641</v>
      </c>
    </row>
    <row r="121" spans="1:17" ht="14.25" customHeight="1">
      <c r="A121" s="5" t="s">
        <v>0</v>
      </c>
      <c r="B121" s="5" t="str">
        <f t="shared" si="0"/>
        <v>Y</v>
      </c>
      <c r="C121" s="18" t="s">
        <v>742</v>
      </c>
      <c r="D121" s="18"/>
      <c r="E121" s="6" t="s">
        <v>743</v>
      </c>
      <c r="F121" s="19"/>
      <c r="G121" s="19"/>
      <c r="H121" s="20">
        <v>43113</v>
      </c>
      <c r="L121" s="6">
        <v>8210352810</v>
      </c>
      <c r="M121" s="6" t="s">
        <v>744</v>
      </c>
      <c r="N121" s="26">
        <v>43148</v>
      </c>
      <c r="O121" s="32">
        <v>23302280835</v>
      </c>
      <c r="P121" s="38" t="s">
        <v>641</v>
      </c>
    </row>
    <row r="122" spans="1:17" ht="14.25" customHeight="1">
      <c r="A122" s="5" t="s">
        <v>0</v>
      </c>
      <c r="B122" s="5" t="str">
        <f t="shared" si="0"/>
        <v>Y</v>
      </c>
      <c r="C122" s="18" t="s">
        <v>745</v>
      </c>
      <c r="D122" s="18"/>
      <c r="E122" s="6" t="s">
        <v>746</v>
      </c>
      <c r="F122" s="19"/>
      <c r="G122" s="19"/>
      <c r="H122" s="20">
        <v>43115</v>
      </c>
      <c r="M122" s="6" t="s">
        <v>747</v>
      </c>
      <c r="N122" s="36">
        <v>43149</v>
      </c>
      <c r="O122" s="32">
        <v>23302287846</v>
      </c>
      <c r="P122" s="38" t="s">
        <v>641</v>
      </c>
    </row>
    <row r="123" spans="1:17" ht="14.25" customHeight="1">
      <c r="A123" s="5" t="s">
        <v>0</v>
      </c>
      <c r="B123" s="5" t="str">
        <f t="shared" si="0"/>
        <v>Y</v>
      </c>
      <c r="C123" s="18" t="s">
        <v>748</v>
      </c>
      <c r="D123" s="18"/>
      <c r="E123" s="6" t="s">
        <v>749</v>
      </c>
      <c r="F123" s="19"/>
      <c r="G123" s="19"/>
      <c r="H123" s="20">
        <v>43115</v>
      </c>
      <c r="L123" s="6">
        <v>7319771619</v>
      </c>
      <c r="M123" s="30" t="s">
        <v>750</v>
      </c>
      <c r="N123" s="31" t="s">
        <v>751</v>
      </c>
      <c r="O123" s="32">
        <v>23302246244</v>
      </c>
      <c r="P123" s="38" t="s">
        <v>641</v>
      </c>
    </row>
    <row r="124" spans="1:17" ht="17.25" customHeight="1">
      <c r="A124" s="5" t="s">
        <v>0</v>
      </c>
      <c r="B124" s="5" t="str">
        <f t="shared" si="0"/>
        <v>Y</v>
      </c>
      <c r="C124" s="18" t="s">
        <v>752</v>
      </c>
      <c r="D124" s="18"/>
      <c r="E124" s="6" t="s">
        <v>753</v>
      </c>
      <c r="F124" s="19"/>
      <c r="G124" s="19"/>
      <c r="H124" s="20">
        <v>43115</v>
      </c>
      <c r="L124" s="6">
        <v>8409502026</v>
      </c>
      <c r="M124" s="32" t="s">
        <v>754</v>
      </c>
      <c r="N124" s="31" t="s">
        <v>755</v>
      </c>
      <c r="O124" s="32" t="s">
        <v>756</v>
      </c>
      <c r="P124" s="38" t="s">
        <v>641</v>
      </c>
    </row>
    <row r="125" spans="1:17" ht="14.25" customHeight="1">
      <c r="A125" s="5" t="s">
        <v>0</v>
      </c>
      <c r="B125" s="5" t="str">
        <f t="shared" si="0"/>
        <v>Y</v>
      </c>
      <c r="C125" s="18" t="s">
        <v>757</v>
      </c>
      <c r="D125" s="18"/>
      <c r="E125" s="6" t="s">
        <v>758</v>
      </c>
      <c r="F125" s="19"/>
      <c r="G125" s="19"/>
      <c r="H125" s="20">
        <v>43116</v>
      </c>
      <c r="L125" s="6">
        <v>7209527716</v>
      </c>
      <c r="M125" s="30" t="s">
        <v>759</v>
      </c>
      <c r="N125" s="31" t="s">
        <v>760</v>
      </c>
      <c r="O125" s="32" t="s">
        <v>756</v>
      </c>
      <c r="P125" s="38" t="s">
        <v>641</v>
      </c>
    </row>
    <row r="126" spans="1:17" ht="14.25" customHeight="1">
      <c r="A126" s="5" t="s">
        <v>0</v>
      </c>
      <c r="B126" s="5" t="str">
        <f t="shared" si="0"/>
        <v>Y</v>
      </c>
      <c r="C126" s="18" t="s">
        <v>761</v>
      </c>
      <c r="D126" s="18"/>
      <c r="E126" s="6" t="s">
        <v>762</v>
      </c>
      <c r="F126" s="19"/>
      <c r="G126" s="19"/>
      <c r="H126" s="20">
        <v>43116</v>
      </c>
      <c r="L126" s="6">
        <v>9204058839</v>
      </c>
      <c r="M126" s="30" t="s">
        <v>763</v>
      </c>
      <c r="N126" s="31" t="s">
        <v>755</v>
      </c>
      <c r="O126" s="32" t="s">
        <v>764</v>
      </c>
      <c r="P126" s="38" t="s">
        <v>641</v>
      </c>
    </row>
    <row r="127" spans="1:17" ht="14.25" customHeight="1">
      <c r="A127" s="5" t="s">
        <v>0</v>
      </c>
      <c r="B127" s="5" t="str">
        <f t="shared" si="0"/>
        <v>Y</v>
      </c>
      <c r="C127" s="18" t="s">
        <v>765</v>
      </c>
      <c r="D127" s="18"/>
      <c r="E127" s="6" t="s">
        <v>766</v>
      </c>
      <c r="F127" s="19"/>
      <c r="G127" s="19"/>
      <c r="H127" s="20">
        <v>43118</v>
      </c>
      <c r="L127" s="6">
        <v>8603177691</v>
      </c>
      <c r="M127" s="37" t="s">
        <v>767</v>
      </c>
      <c r="N127" s="36">
        <v>43137</v>
      </c>
      <c r="O127" s="32">
        <v>23302226168</v>
      </c>
      <c r="P127" s="38" t="s">
        <v>641</v>
      </c>
    </row>
    <row r="128" spans="1:17" ht="14.25" customHeight="1">
      <c r="A128" s="5" t="s">
        <v>0</v>
      </c>
      <c r="B128" s="5" t="str">
        <f t="shared" si="0"/>
        <v>Y</v>
      </c>
      <c r="C128" s="18" t="s">
        <v>768</v>
      </c>
      <c r="D128" s="18"/>
      <c r="E128" s="6" t="s">
        <v>769</v>
      </c>
      <c r="F128" s="19"/>
      <c r="G128" s="19"/>
      <c r="H128" s="20">
        <v>43119</v>
      </c>
      <c r="L128" s="6">
        <v>7763974021</v>
      </c>
      <c r="M128" s="30" t="s">
        <v>770</v>
      </c>
      <c r="N128" s="31" t="s">
        <v>771</v>
      </c>
      <c r="O128" s="7"/>
      <c r="P128" s="17"/>
    </row>
    <row r="129" spans="1:17" ht="14.25" customHeight="1">
      <c r="A129" s="5" t="s">
        <v>0</v>
      </c>
      <c r="B129" s="5" t="str">
        <f t="shared" si="0"/>
        <v>Y</v>
      </c>
      <c r="C129" s="18" t="s">
        <v>772</v>
      </c>
      <c r="D129" s="18"/>
      <c r="E129" s="6" t="s">
        <v>773</v>
      </c>
      <c r="F129" s="19"/>
      <c r="G129" s="19"/>
      <c r="H129" s="20">
        <v>43118</v>
      </c>
      <c r="L129" s="6">
        <v>8757522345</v>
      </c>
      <c r="M129" s="30" t="s">
        <v>774</v>
      </c>
      <c r="N129" s="36">
        <v>43137</v>
      </c>
      <c r="O129" s="32">
        <v>23302226161</v>
      </c>
      <c r="P129" s="38" t="s">
        <v>641</v>
      </c>
    </row>
    <row r="130" spans="1:17" ht="14.25" customHeight="1">
      <c r="A130" s="5" t="s">
        <v>0</v>
      </c>
      <c r="B130" s="5" t="str">
        <f t="shared" si="0"/>
        <v>Y</v>
      </c>
      <c r="C130" s="18" t="s">
        <v>775</v>
      </c>
      <c r="D130" s="18"/>
      <c r="E130" s="6" t="s">
        <v>776</v>
      </c>
      <c r="F130" s="19"/>
      <c r="G130" s="19"/>
      <c r="H130" s="20">
        <v>43119</v>
      </c>
      <c r="L130" s="6">
        <v>9007474751</v>
      </c>
      <c r="M130" s="30" t="s">
        <v>777</v>
      </c>
      <c r="N130" s="31" t="s">
        <v>778</v>
      </c>
      <c r="O130" s="32" t="s">
        <v>779</v>
      </c>
    </row>
    <row r="131" spans="1:17" ht="14.25" customHeight="1">
      <c r="A131" s="5" t="s">
        <v>0</v>
      </c>
      <c r="B131" s="5" t="str">
        <f t="shared" si="0"/>
        <v>Y</v>
      </c>
      <c r="C131" s="18" t="s">
        <v>780</v>
      </c>
      <c r="D131" s="18"/>
      <c r="E131" s="6" t="s">
        <v>781</v>
      </c>
      <c r="F131" s="19"/>
      <c r="G131" s="19"/>
      <c r="H131" s="20">
        <v>43119</v>
      </c>
      <c r="L131" s="6">
        <v>9955372855</v>
      </c>
      <c r="M131" s="30" t="s">
        <v>782</v>
      </c>
      <c r="N131" s="36">
        <v>43137</v>
      </c>
      <c r="O131" s="32">
        <v>23302246311</v>
      </c>
      <c r="P131" s="38" t="s">
        <v>641</v>
      </c>
    </row>
    <row r="132" spans="1:17" ht="14.25" customHeight="1">
      <c r="A132" s="5" t="s">
        <v>0</v>
      </c>
      <c r="B132" s="5" t="str">
        <f t="shared" si="0"/>
        <v>Y</v>
      </c>
      <c r="C132" s="18" t="s">
        <v>783</v>
      </c>
      <c r="D132" s="18"/>
      <c r="E132" s="6" t="s">
        <v>784</v>
      </c>
      <c r="F132" s="19"/>
      <c r="G132" s="19"/>
      <c r="H132" s="20">
        <v>43121</v>
      </c>
      <c r="L132" s="6">
        <v>7279024979</v>
      </c>
      <c r="M132" s="37" t="s">
        <v>785</v>
      </c>
      <c r="N132" s="31" t="s">
        <v>786</v>
      </c>
      <c r="O132" s="32" t="s">
        <v>787</v>
      </c>
      <c r="P132" s="38" t="s">
        <v>641</v>
      </c>
    </row>
    <row r="133" spans="1:17" ht="14.25" customHeight="1">
      <c r="A133" s="5" t="s">
        <v>0</v>
      </c>
      <c r="B133" s="5" t="str">
        <f t="shared" si="0"/>
        <v>Y</v>
      </c>
      <c r="C133" s="18" t="s">
        <v>788</v>
      </c>
      <c r="D133" s="18"/>
      <c r="E133" s="6" t="s">
        <v>789</v>
      </c>
      <c r="F133" s="19"/>
      <c r="G133" s="19"/>
      <c r="H133" s="20">
        <v>43124</v>
      </c>
      <c r="L133" s="6">
        <v>9031271967</v>
      </c>
      <c r="M133" s="6" t="s">
        <v>790</v>
      </c>
      <c r="N133" s="36">
        <v>43174</v>
      </c>
      <c r="O133" s="32">
        <v>23302050265</v>
      </c>
      <c r="P133" s="17" t="s">
        <v>641</v>
      </c>
      <c r="Q133" s="38"/>
    </row>
    <row r="134" spans="1:17" ht="14.25" customHeight="1">
      <c r="A134" s="5" t="s">
        <v>0</v>
      </c>
      <c r="B134" s="5" t="str">
        <f t="shared" si="0"/>
        <v>Y</v>
      </c>
      <c r="C134" s="18" t="s">
        <v>791</v>
      </c>
      <c r="D134" s="18"/>
      <c r="E134" s="6" t="s">
        <v>792</v>
      </c>
      <c r="F134" s="19"/>
      <c r="G134" s="19"/>
      <c r="H134" s="20">
        <v>43124</v>
      </c>
      <c r="L134" s="6">
        <v>9204663520</v>
      </c>
      <c r="M134" s="6" t="s">
        <v>793</v>
      </c>
      <c r="N134" s="31" t="s">
        <v>794</v>
      </c>
      <c r="O134" s="32">
        <v>23302050264</v>
      </c>
      <c r="P134" s="17" t="s">
        <v>641</v>
      </c>
      <c r="Q134" s="38"/>
    </row>
    <row r="135" spans="1:17" ht="14.25" customHeight="1">
      <c r="A135" s="5" t="s">
        <v>0</v>
      </c>
      <c r="B135" s="5" t="str">
        <f t="shared" si="0"/>
        <v>Y</v>
      </c>
      <c r="C135" s="18" t="s">
        <v>795</v>
      </c>
      <c r="D135" s="18"/>
      <c r="E135" s="6" t="s">
        <v>796</v>
      </c>
      <c r="F135" s="19"/>
      <c r="G135" s="19"/>
      <c r="H135" s="20">
        <v>43125</v>
      </c>
      <c r="L135" s="6">
        <v>9031905746</v>
      </c>
      <c r="M135" s="6" t="s">
        <v>797</v>
      </c>
      <c r="N135" s="31" t="s">
        <v>798</v>
      </c>
      <c r="O135" s="32">
        <v>23302016903</v>
      </c>
      <c r="P135" s="17" t="s">
        <v>641</v>
      </c>
      <c r="Q135" s="38"/>
    </row>
    <row r="136" spans="1:17" ht="14.25" customHeight="1">
      <c r="A136" s="5" t="s">
        <v>0</v>
      </c>
      <c r="B136" s="5" t="str">
        <f t="shared" si="0"/>
        <v>Y</v>
      </c>
      <c r="C136" s="18" t="s">
        <v>799</v>
      </c>
      <c r="D136" s="18"/>
      <c r="E136" s="6" t="s">
        <v>800</v>
      </c>
      <c r="F136" s="19"/>
      <c r="G136" s="19"/>
      <c r="H136" s="20">
        <v>43125</v>
      </c>
      <c r="L136" s="6">
        <v>8709708630</v>
      </c>
      <c r="M136" s="37" t="s">
        <v>740</v>
      </c>
      <c r="N136" s="36">
        <v>43137</v>
      </c>
      <c r="O136" s="32" t="s">
        <v>741</v>
      </c>
      <c r="P136" s="17" t="s">
        <v>641</v>
      </c>
      <c r="Q136" s="38"/>
    </row>
    <row r="137" spans="1:17" ht="14.25" customHeight="1">
      <c r="A137" s="5" t="s">
        <v>0</v>
      </c>
      <c r="B137" s="5" t="str">
        <f t="shared" si="0"/>
        <v>Y</v>
      </c>
      <c r="C137" s="18" t="s">
        <v>801</v>
      </c>
      <c r="D137" s="18"/>
      <c r="E137" s="6" t="s">
        <v>802</v>
      </c>
      <c r="F137" s="19"/>
      <c r="G137" s="19"/>
      <c r="H137" s="20">
        <v>43125</v>
      </c>
      <c r="L137" s="6">
        <v>9507510714</v>
      </c>
      <c r="M137" s="6" t="s">
        <v>803</v>
      </c>
      <c r="N137" s="31" t="s">
        <v>786</v>
      </c>
      <c r="O137" s="32">
        <v>23301849644</v>
      </c>
      <c r="P137" s="17" t="s">
        <v>641</v>
      </c>
      <c r="Q137" s="38"/>
    </row>
    <row r="138" spans="1:17" ht="14.25" customHeight="1">
      <c r="A138" s="5" t="s">
        <v>0</v>
      </c>
      <c r="B138" s="5" t="str">
        <f t="shared" si="0"/>
        <v>Y</v>
      </c>
      <c r="C138" s="18" t="s">
        <v>804</v>
      </c>
      <c r="D138" s="18"/>
      <c r="E138" s="6" t="s">
        <v>805</v>
      </c>
      <c r="F138" s="19"/>
      <c r="G138" s="19"/>
      <c r="H138" s="20">
        <v>43125</v>
      </c>
      <c r="L138" s="6">
        <v>9031056424</v>
      </c>
      <c r="M138" s="33" t="s">
        <v>806</v>
      </c>
      <c r="N138" s="26">
        <v>43147</v>
      </c>
      <c r="O138" s="27"/>
      <c r="P138" s="17"/>
    </row>
    <row r="139" spans="1:17" ht="14.25" customHeight="1">
      <c r="A139" s="40" t="s">
        <v>0</v>
      </c>
      <c r="B139" s="40" t="str">
        <f t="shared" si="0"/>
        <v>Y</v>
      </c>
      <c r="C139" s="41" t="s">
        <v>807</v>
      </c>
      <c r="D139" s="41"/>
      <c r="E139" s="10" t="s">
        <v>808</v>
      </c>
      <c r="F139" s="42"/>
      <c r="G139" s="42"/>
      <c r="H139" s="43">
        <v>43129</v>
      </c>
      <c r="I139" s="10"/>
      <c r="J139" s="10"/>
      <c r="K139" s="10"/>
      <c r="L139" s="10">
        <v>7654322277</v>
      </c>
      <c r="M139" s="10" t="s">
        <v>809</v>
      </c>
      <c r="N139" s="26">
        <v>43146</v>
      </c>
      <c r="O139" s="28">
        <v>23301849645</v>
      </c>
      <c r="P139" s="28" t="s">
        <v>641</v>
      </c>
    </row>
    <row r="140" spans="1:17" ht="14.25" customHeight="1">
      <c r="A140" s="5" t="s">
        <v>0</v>
      </c>
      <c r="B140" s="5" t="str">
        <f t="shared" si="0"/>
        <v>Y</v>
      </c>
      <c r="C140" s="18" t="s">
        <v>810</v>
      </c>
      <c r="D140" s="18"/>
      <c r="E140" s="6" t="s">
        <v>811</v>
      </c>
      <c r="F140" s="19"/>
      <c r="G140" s="19"/>
      <c r="H140" s="20">
        <v>43139</v>
      </c>
      <c r="L140" s="6">
        <v>8521513684</v>
      </c>
      <c r="M140" s="37" t="s">
        <v>812</v>
      </c>
      <c r="N140" s="31" t="s">
        <v>798</v>
      </c>
      <c r="O140" s="32">
        <v>23302316852</v>
      </c>
      <c r="P140" s="28" t="s">
        <v>641</v>
      </c>
      <c r="Q140" s="38"/>
    </row>
    <row r="141" spans="1:17" ht="14.25" customHeight="1">
      <c r="A141" s="5" t="s">
        <v>0</v>
      </c>
      <c r="B141" s="5" t="str">
        <f t="shared" si="0"/>
        <v>Y</v>
      </c>
      <c r="C141" s="18" t="s">
        <v>813</v>
      </c>
      <c r="D141" s="18"/>
      <c r="E141" s="6" t="s">
        <v>814</v>
      </c>
      <c r="F141" s="19"/>
      <c r="G141" s="19"/>
      <c r="H141" s="20">
        <v>43133</v>
      </c>
      <c r="L141" s="6">
        <v>9852570626</v>
      </c>
      <c r="M141" s="37" t="s">
        <v>815</v>
      </c>
      <c r="N141" s="31" t="s">
        <v>816</v>
      </c>
      <c r="O141" s="32" t="s">
        <v>817</v>
      </c>
      <c r="P141" s="28" t="s">
        <v>641</v>
      </c>
      <c r="Q141" s="38"/>
    </row>
    <row r="142" spans="1:17" ht="14.25" customHeight="1">
      <c r="A142" s="5" t="s">
        <v>0</v>
      </c>
      <c r="B142" s="5" t="str">
        <f t="shared" si="0"/>
        <v>Y</v>
      </c>
      <c r="C142" s="18" t="s">
        <v>818</v>
      </c>
      <c r="D142" s="18"/>
      <c r="E142" s="6" t="s">
        <v>819</v>
      </c>
      <c r="F142" s="19"/>
      <c r="G142" s="19"/>
      <c r="H142" s="20">
        <v>43134</v>
      </c>
      <c r="L142" s="6">
        <v>7209606996</v>
      </c>
      <c r="M142" s="30" t="s">
        <v>820</v>
      </c>
      <c r="N142" s="31" t="s">
        <v>821</v>
      </c>
      <c r="O142" s="7"/>
      <c r="P142" s="17"/>
    </row>
    <row r="143" spans="1:17" ht="14.25" customHeight="1">
      <c r="A143" s="5" t="s">
        <v>0</v>
      </c>
      <c r="B143" s="5" t="str">
        <f t="shared" si="0"/>
        <v>Y</v>
      </c>
      <c r="C143" s="18" t="s">
        <v>822</v>
      </c>
      <c r="D143" s="18"/>
      <c r="E143" s="6" t="s">
        <v>823</v>
      </c>
      <c r="F143" s="19"/>
      <c r="G143" s="19"/>
      <c r="H143" s="20">
        <v>43134</v>
      </c>
      <c r="L143" s="6">
        <v>9031685903</v>
      </c>
      <c r="M143" s="30" t="s">
        <v>824</v>
      </c>
      <c r="N143" s="31" t="s">
        <v>825</v>
      </c>
      <c r="O143" s="32" t="s">
        <v>825</v>
      </c>
      <c r="P143" s="17" t="s">
        <v>641</v>
      </c>
      <c r="Q143" s="38"/>
    </row>
    <row r="144" spans="1:17" ht="14.25" customHeight="1">
      <c r="A144" s="5" t="s">
        <v>139</v>
      </c>
      <c r="B144" s="5" t="str">
        <f t="shared" si="0"/>
        <v>Y</v>
      </c>
      <c r="C144" s="18" t="s">
        <v>826</v>
      </c>
      <c r="D144" s="18"/>
      <c r="E144" s="6" t="s">
        <v>827</v>
      </c>
      <c r="F144" s="19"/>
      <c r="G144" s="19"/>
      <c r="H144" s="20">
        <v>43141</v>
      </c>
      <c r="L144" s="6">
        <v>7209390957</v>
      </c>
      <c r="M144" s="37" t="s">
        <v>828</v>
      </c>
      <c r="N144" s="36">
        <v>43165</v>
      </c>
      <c r="O144" s="32">
        <v>23302013438</v>
      </c>
      <c r="P144" s="17" t="s">
        <v>641</v>
      </c>
    </row>
    <row r="145" spans="1:17" ht="14.25" customHeight="1">
      <c r="A145" s="5" t="s">
        <v>0</v>
      </c>
      <c r="B145" s="5" t="str">
        <f t="shared" si="0"/>
        <v>Y</v>
      </c>
      <c r="C145" s="6" t="s">
        <v>829</v>
      </c>
      <c r="D145" s="6"/>
      <c r="E145" s="6" t="s">
        <v>353</v>
      </c>
      <c r="F145" s="19"/>
      <c r="G145" s="19"/>
      <c r="H145" s="20">
        <v>43137</v>
      </c>
      <c r="L145" s="6">
        <v>7488986828</v>
      </c>
      <c r="M145" s="24" t="s">
        <v>830</v>
      </c>
      <c r="N145" s="25">
        <v>43437</v>
      </c>
      <c r="O145" s="24">
        <v>657860930</v>
      </c>
      <c r="P145" s="17"/>
    </row>
    <row r="146" spans="1:17" ht="14.25" customHeight="1">
      <c r="A146" s="5" t="s">
        <v>0</v>
      </c>
      <c r="B146" s="5" t="str">
        <f t="shared" si="0"/>
        <v>Y</v>
      </c>
      <c r="C146" s="18" t="s">
        <v>831</v>
      </c>
      <c r="D146" s="18"/>
      <c r="E146" s="6" t="s">
        <v>832</v>
      </c>
      <c r="F146" s="19"/>
      <c r="G146" s="19"/>
      <c r="H146" s="20">
        <v>43140</v>
      </c>
      <c r="L146" s="6">
        <v>8674946177</v>
      </c>
      <c r="M146" s="30"/>
      <c r="N146" s="31"/>
      <c r="O146" s="32"/>
      <c r="P146" s="17"/>
      <c r="Q146" s="44" t="s">
        <v>833</v>
      </c>
    </row>
    <row r="147" spans="1:17" ht="14.25" customHeight="1">
      <c r="A147" s="5"/>
      <c r="B147" s="5" t="str">
        <f t="shared" si="0"/>
        <v>Y</v>
      </c>
      <c r="C147" s="18" t="s">
        <v>834</v>
      </c>
      <c r="D147" s="18"/>
      <c r="E147" s="6" t="s">
        <v>835</v>
      </c>
      <c r="F147" s="19"/>
      <c r="G147" s="19"/>
      <c r="H147" s="20">
        <v>43139</v>
      </c>
      <c r="L147" s="6">
        <v>9097021528</v>
      </c>
      <c r="M147" s="30" t="s">
        <v>836</v>
      </c>
      <c r="N147" s="31" t="s">
        <v>794</v>
      </c>
      <c r="O147" s="32" t="s">
        <v>837</v>
      </c>
      <c r="P147" s="17" t="s">
        <v>641</v>
      </c>
    </row>
    <row r="148" spans="1:17" ht="14.25" customHeight="1">
      <c r="A148" s="40" t="s">
        <v>0</v>
      </c>
      <c r="B148" s="40" t="str">
        <f t="shared" si="0"/>
        <v>Y</v>
      </c>
      <c r="C148" s="41" t="s">
        <v>838</v>
      </c>
      <c r="D148" s="41"/>
      <c r="E148" s="10" t="s">
        <v>839</v>
      </c>
      <c r="F148" s="42"/>
      <c r="G148" s="42"/>
      <c r="H148" s="20">
        <v>43139</v>
      </c>
      <c r="I148" s="10"/>
      <c r="J148" s="10"/>
      <c r="K148" s="10"/>
      <c r="L148" s="10">
        <v>9279014813</v>
      </c>
      <c r="M148" s="10" t="s">
        <v>840</v>
      </c>
      <c r="N148" s="31" t="s">
        <v>841</v>
      </c>
      <c r="O148" s="32" t="s">
        <v>842</v>
      </c>
      <c r="P148" s="17" t="s">
        <v>641</v>
      </c>
    </row>
    <row r="149" spans="1:17" ht="14.25" customHeight="1">
      <c r="A149" s="5" t="s">
        <v>0</v>
      </c>
      <c r="B149" s="5" t="str">
        <f t="shared" si="0"/>
        <v>Y</v>
      </c>
      <c r="C149" s="18" t="s">
        <v>843</v>
      </c>
      <c r="D149" s="18"/>
      <c r="E149" s="6" t="s">
        <v>844</v>
      </c>
      <c r="F149" s="19"/>
      <c r="G149" s="19"/>
      <c r="H149" s="20">
        <v>43139</v>
      </c>
      <c r="L149" s="6">
        <v>9835359293</v>
      </c>
      <c r="M149" s="30" t="s">
        <v>845</v>
      </c>
      <c r="N149" s="31" t="s">
        <v>846</v>
      </c>
      <c r="O149" s="32">
        <v>23302031894</v>
      </c>
      <c r="P149" s="45" t="s">
        <v>641</v>
      </c>
    </row>
    <row r="150" spans="1:17" ht="14.25" customHeight="1">
      <c r="A150" s="5" t="s">
        <v>0</v>
      </c>
      <c r="B150" s="5" t="str">
        <f t="shared" si="0"/>
        <v>Y</v>
      </c>
      <c r="C150" s="18" t="s">
        <v>847</v>
      </c>
      <c r="D150" s="18"/>
      <c r="E150" s="6" t="s">
        <v>848</v>
      </c>
      <c r="F150" s="19"/>
      <c r="G150" s="19"/>
      <c r="H150" s="20">
        <v>43141</v>
      </c>
      <c r="L150" s="6">
        <v>7209812759</v>
      </c>
      <c r="M150" s="30" t="s">
        <v>849</v>
      </c>
      <c r="N150" s="36">
        <v>43162</v>
      </c>
      <c r="O150" s="32">
        <v>23302014164</v>
      </c>
      <c r="P150" s="17" t="s">
        <v>641</v>
      </c>
    </row>
    <row r="151" spans="1:17" ht="14.25" customHeight="1">
      <c r="A151" s="5" t="s">
        <v>0</v>
      </c>
      <c r="B151" s="5" t="str">
        <f t="shared" si="0"/>
        <v>Y</v>
      </c>
      <c r="C151" s="18" t="s">
        <v>850</v>
      </c>
      <c r="D151" s="18"/>
      <c r="E151" s="6" t="s">
        <v>851</v>
      </c>
      <c r="F151" s="19"/>
      <c r="G151" s="19"/>
      <c r="H151" s="20">
        <v>43140</v>
      </c>
      <c r="M151" s="30" t="s">
        <v>852</v>
      </c>
      <c r="N151" s="31" t="s">
        <v>853</v>
      </c>
      <c r="O151" s="32">
        <v>23302550653</v>
      </c>
      <c r="P151" s="17" t="s">
        <v>641</v>
      </c>
    </row>
    <row r="152" spans="1:17" ht="14.25" customHeight="1">
      <c r="A152" s="5" t="s">
        <v>0</v>
      </c>
      <c r="B152" s="5" t="str">
        <f t="shared" si="0"/>
        <v>Y</v>
      </c>
      <c r="C152" s="18" t="s">
        <v>854</v>
      </c>
      <c r="D152" s="18"/>
      <c r="E152" s="6" t="s">
        <v>855</v>
      </c>
      <c r="F152" s="19"/>
      <c r="G152" s="19"/>
      <c r="H152" s="20">
        <v>43140</v>
      </c>
      <c r="M152" s="30" t="s">
        <v>856</v>
      </c>
      <c r="N152" s="31" t="s">
        <v>794</v>
      </c>
      <c r="O152" s="32" t="s">
        <v>857</v>
      </c>
      <c r="P152" s="17" t="s">
        <v>641</v>
      </c>
    </row>
    <row r="153" spans="1:17" ht="14.25" customHeight="1">
      <c r="A153" s="5" t="s">
        <v>0</v>
      </c>
      <c r="B153" s="5" t="str">
        <f t="shared" si="0"/>
        <v>Y</v>
      </c>
      <c r="C153" s="18" t="s">
        <v>858</v>
      </c>
      <c r="D153" s="18"/>
      <c r="E153" s="6" t="s">
        <v>859</v>
      </c>
      <c r="F153" s="19"/>
      <c r="G153" s="19"/>
      <c r="H153" s="20">
        <v>43174</v>
      </c>
      <c r="L153" s="6">
        <v>7250188700</v>
      </c>
      <c r="N153" s="16" t="s">
        <v>860</v>
      </c>
      <c r="O153" s="7"/>
      <c r="P153" s="17"/>
    </row>
    <row r="154" spans="1:17" ht="14.25" customHeight="1">
      <c r="A154" s="5" t="s">
        <v>0</v>
      </c>
      <c r="B154" s="5" t="str">
        <f t="shared" si="0"/>
        <v>Y</v>
      </c>
      <c r="C154" s="18" t="s">
        <v>861</v>
      </c>
      <c r="D154" s="18"/>
      <c r="E154" s="6" t="s">
        <v>862</v>
      </c>
      <c r="F154" s="19"/>
      <c r="G154" s="19"/>
      <c r="H154" s="20">
        <v>43142</v>
      </c>
      <c r="L154" s="6">
        <v>8757842753</v>
      </c>
      <c r="M154" s="30" t="s">
        <v>863</v>
      </c>
      <c r="N154" s="31" t="s">
        <v>864</v>
      </c>
      <c r="O154" s="32" t="s">
        <v>865</v>
      </c>
      <c r="P154" s="17" t="s">
        <v>641</v>
      </c>
    </row>
    <row r="155" spans="1:17" ht="14.25" customHeight="1">
      <c r="A155" s="5" t="s">
        <v>0</v>
      </c>
      <c r="B155" s="5" t="str">
        <f t="shared" si="0"/>
        <v>Y</v>
      </c>
      <c r="C155" s="18" t="s">
        <v>866</v>
      </c>
      <c r="D155" s="18"/>
      <c r="E155" s="6" t="s">
        <v>867</v>
      </c>
      <c r="F155" s="19"/>
      <c r="G155" s="19"/>
      <c r="H155" s="20">
        <v>43141</v>
      </c>
      <c r="L155" s="6">
        <v>8210530751</v>
      </c>
      <c r="M155" s="37" t="s">
        <v>868</v>
      </c>
      <c r="N155" s="31" t="s">
        <v>869</v>
      </c>
      <c r="O155" s="32">
        <v>23302550655</v>
      </c>
      <c r="P155" s="17" t="s">
        <v>641</v>
      </c>
    </row>
    <row r="156" spans="1:17" ht="14.25" customHeight="1">
      <c r="A156" s="5" t="s">
        <v>0</v>
      </c>
      <c r="B156" s="5" t="str">
        <f t="shared" si="0"/>
        <v>Y</v>
      </c>
      <c r="C156" s="18" t="s">
        <v>870</v>
      </c>
      <c r="D156" s="18"/>
      <c r="E156" s="6" t="s">
        <v>871</v>
      </c>
      <c r="F156" s="19"/>
      <c r="G156" s="19"/>
      <c r="H156" s="20">
        <v>43141</v>
      </c>
      <c r="L156" s="6">
        <v>9110928127</v>
      </c>
      <c r="M156" s="30" t="s">
        <v>872</v>
      </c>
      <c r="N156" s="31" t="s">
        <v>873</v>
      </c>
      <c r="O156" s="32" t="s">
        <v>874</v>
      </c>
      <c r="P156" s="17" t="s">
        <v>641</v>
      </c>
    </row>
    <row r="157" spans="1:17" ht="14.25" customHeight="1">
      <c r="A157" s="5" t="s">
        <v>0</v>
      </c>
      <c r="B157" s="5" t="str">
        <f t="shared" si="0"/>
        <v>Y</v>
      </c>
      <c r="C157" s="18" t="s">
        <v>875</v>
      </c>
      <c r="D157" s="18"/>
      <c r="E157" s="6" t="s">
        <v>876</v>
      </c>
      <c r="F157" s="19"/>
      <c r="G157" s="19"/>
      <c r="H157" s="20">
        <v>43141</v>
      </c>
      <c r="L157" s="6">
        <v>9775324373</v>
      </c>
      <c r="M157" s="30" t="s">
        <v>877</v>
      </c>
      <c r="N157" s="31" t="s">
        <v>878</v>
      </c>
      <c r="O157" s="32" t="s">
        <v>879</v>
      </c>
      <c r="P157" s="17"/>
    </row>
    <row r="158" spans="1:17" ht="14.25" customHeight="1">
      <c r="A158" s="5" t="s">
        <v>0</v>
      </c>
      <c r="B158" s="5" t="str">
        <f t="shared" si="0"/>
        <v>Y</v>
      </c>
      <c r="C158" s="18" t="s">
        <v>880</v>
      </c>
      <c r="D158" s="18"/>
      <c r="E158" s="6" t="s">
        <v>881</v>
      </c>
      <c r="F158" s="19"/>
      <c r="G158" s="19"/>
      <c r="H158" s="20">
        <v>43142</v>
      </c>
      <c r="L158" s="6">
        <v>9102350069</v>
      </c>
      <c r="M158" s="37" t="s">
        <v>882</v>
      </c>
      <c r="N158" s="31" t="s">
        <v>883</v>
      </c>
      <c r="O158" s="32" t="s">
        <v>884</v>
      </c>
      <c r="P158" s="17" t="s">
        <v>641</v>
      </c>
    </row>
    <row r="159" spans="1:17" ht="14.25" customHeight="1">
      <c r="A159" s="5" t="s">
        <v>0</v>
      </c>
      <c r="B159" s="5" t="e">
        <f>IF(#REF!="","N","Y")</f>
        <v>#REF!</v>
      </c>
      <c r="C159" s="18" t="s">
        <v>885</v>
      </c>
      <c r="D159" s="18"/>
      <c r="E159" s="6" t="s">
        <v>886</v>
      </c>
      <c r="F159" s="19"/>
      <c r="G159" s="19"/>
      <c r="H159" s="20">
        <v>43142</v>
      </c>
      <c r="L159" s="6">
        <v>8521005116</v>
      </c>
      <c r="M159" s="37" t="s">
        <v>887</v>
      </c>
      <c r="N159" s="31" t="s">
        <v>794</v>
      </c>
      <c r="O159" s="32">
        <v>23302050328</v>
      </c>
      <c r="P159" s="17" t="s">
        <v>641</v>
      </c>
    </row>
    <row r="160" spans="1:17" ht="14.25" customHeight="1">
      <c r="A160" s="5" t="s">
        <v>0</v>
      </c>
      <c r="B160" s="5" t="str">
        <f t="shared" ref="B160:B192" si="1">IF(H160="","N","Y")</f>
        <v>Y</v>
      </c>
      <c r="C160" s="18" t="s">
        <v>888</v>
      </c>
      <c r="D160" s="18"/>
      <c r="E160" s="6" t="s">
        <v>889</v>
      </c>
      <c r="F160" s="19"/>
      <c r="G160" s="19"/>
      <c r="H160" s="20">
        <v>43146</v>
      </c>
      <c r="L160" s="6">
        <v>9135762426</v>
      </c>
      <c r="M160" s="30" t="s">
        <v>890</v>
      </c>
      <c r="N160" s="36">
        <v>43178</v>
      </c>
      <c r="O160" s="32">
        <v>23302118251</v>
      </c>
      <c r="P160" s="17" t="s">
        <v>641</v>
      </c>
      <c r="Q160" s="32"/>
    </row>
    <row r="161" spans="1:17" ht="14.25" customHeight="1">
      <c r="A161" s="5" t="s">
        <v>0</v>
      </c>
      <c r="B161" s="5" t="str">
        <f t="shared" si="1"/>
        <v>Y</v>
      </c>
      <c r="C161" s="18" t="s">
        <v>891</v>
      </c>
      <c r="D161" s="18"/>
      <c r="E161" s="6" t="s">
        <v>892</v>
      </c>
      <c r="F161" s="19"/>
      <c r="G161" s="19"/>
      <c r="H161" s="20">
        <v>43147</v>
      </c>
      <c r="L161" s="6">
        <v>8521818829</v>
      </c>
      <c r="M161" s="30" t="s">
        <v>893</v>
      </c>
      <c r="N161" s="31" t="s">
        <v>894</v>
      </c>
      <c r="O161" s="7" t="s">
        <v>895</v>
      </c>
      <c r="P161" s="17" t="s">
        <v>641</v>
      </c>
    </row>
    <row r="162" spans="1:17" ht="14.25" customHeight="1">
      <c r="A162" s="5" t="s">
        <v>0</v>
      </c>
      <c r="B162" s="5" t="str">
        <f t="shared" si="1"/>
        <v>Y</v>
      </c>
      <c r="C162" s="18" t="s">
        <v>896</v>
      </c>
      <c r="D162" s="18"/>
      <c r="E162" s="6" t="s">
        <v>897</v>
      </c>
      <c r="F162" s="19"/>
      <c r="G162" s="19"/>
      <c r="H162" s="20">
        <v>43146</v>
      </c>
      <c r="L162" s="6">
        <v>7292836430</v>
      </c>
      <c r="M162" s="30" t="s">
        <v>898</v>
      </c>
      <c r="N162" s="31" t="s">
        <v>853</v>
      </c>
      <c r="O162" s="32">
        <v>23302542546</v>
      </c>
      <c r="P162" s="17" t="s">
        <v>641</v>
      </c>
      <c r="Q162" s="32"/>
    </row>
    <row r="163" spans="1:17" ht="14.25" customHeight="1">
      <c r="A163" s="5" t="s">
        <v>0</v>
      </c>
      <c r="B163" s="5" t="str">
        <f t="shared" si="1"/>
        <v>Y</v>
      </c>
      <c r="C163" s="18" t="s">
        <v>899</v>
      </c>
      <c r="D163" s="18"/>
      <c r="E163" s="6" t="s">
        <v>900</v>
      </c>
      <c r="F163" s="19"/>
      <c r="G163" s="19"/>
      <c r="H163" s="20">
        <v>43172</v>
      </c>
      <c r="L163" s="6">
        <v>9431347074</v>
      </c>
      <c r="M163" s="30" t="s">
        <v>901</v>
      </c>
      <c r="N163" s="46">
        <v>43193</v>
      </c>
      <c r="O163" s="32">
        <v>23302772781</v>
      </c>
      <c r="P163" s="32" t="s">
        <v>641</v>
      </c>
      <c r="Q163" s="32"/>
    </row>
    <row r="164" spans="1:17" ht="14.25" customHeight="1">
      <c r="A164" s="5" t="s">
        <v>0</v>
      </c>
      <c r="B164" s="5" t="str">
        <f t="shared" si="1"/>
        <v>Y</v>
      </c>
      <c r="C164" s="18" t="s">
        <v>902</v>
      </c>
      <c r="D164" s="18"/>
      <c r="E164" s="6" t="s">
        <v>903</v>
      </c>
      <c r="F164" s="19"/>
      <c r="G164" s="19"/>
      <c r="H164" s="20">
        <v>43148</v>
      </c>
      <c r="L164" s="6">
        <v>8809234620</v>
      </c>
      <c r="M164" s="37" t="s">
        <v>904</v>
      </c>
      <c r="N164" s="36">
        <v>43166</v>
      </c>
      <c r="O164" s="32" t="s">
        <v>905</v>
      </c>
      <c r="P164" s="17" t="s">
        <v>641</v>
      </c>
    </row>
    <row r="165" spans="1:17" ht="14.25" customHeight="1">
      <c r="A165" s="5" t="s">
        <v>0</v>
      </c>
      <c r="B165" s="5" t="str">
        <f t="shared" si="1"/>
        <v>Y</v>
      </c>
      <c r="C165" s="18" t="s">
        <v>906</v>
      </c>
      <c r="D165" s="18"/>
      <c r="E165" s="6" t="s">
        <v>907</v>
      </c>
      <c r="F165" s="19"/>
      <c r="G165" s="19"/>
      <c r="H165" s="20">
        <v>43148</v>
      </c>
      <c r="L165" s="6">
        <v>9204526594</v>
      </c>
      <c r="M165" s="30" t="s">
        <v>908</v>
      </c>
      <c r="N165" s="16" t="s">
        <v>794</v>
      </c>
      <c r="O165" s="32" t="s">
        <v>909</v>
      </c>
      <c r="P165" s="17" t="s">
        <v>641</v>
      </c>
    </row>
    <row r="166" spans="1:17" ht="14.25" customHeight="1">
      <c r="A166" s="5" t="s">
        <v>0</v>
      </c>
      <c r="B166" s="5" t="str">
        <f t="shared" si="1"/>
        <v>Y</v>
      </c>
      <c r="C166" s="18" t="s">
        <v>910</v>
      </c>
      <c r="D166" s="18"/>
      <c r="E166" s="6" t="s">
        <v>911</v>
      </c>
      <c r="F166" s="19"/>
      <c r="G166" s="19"/>
      <c r="H166" s="20">
        <v>43148</v>
      </c>
      <c r="L166" s="6">
        <v>7488096552</v>
      </c>
      <c r="M166" s="30" t="s">
        <v>912</v>
      </c>
      <c r="N166" s="31" t="s">
        <v>798</v>
      </c>
      <c r="O166" s="32">
        <v>23302027837</v>
      </c>
      <c r="P166" s="17" t="s">
        <v>641</v>
      </c>
    </row>
    <row r="167" spans="1:17" ht="14.25" customHeight="1">
      <c r="A167" s="5" t="s">
        <v>0</v>
      </c>
      <c r="B167" s="5" t="str">
        <f t="shared" si="1"/>
        <v>Y</v>
      </c>
      <c r="C167" s="18" t="s">
        <v>913</v>
      </c>
      <c r="D167" s="18"/>
      <c r="E167" s="6" t="s">
        <v>914</v>
      </c>
      <c r="F167" s="19"/>
      <c r="G167" s="19"/>
      <c r="H167" s="20">
        <v>43148</v>
      </c>
      <c r="L167" s="6">
        <v>9204614329</v>
      </c>
      <c r="M167" s="30" t="s">
        <v>915</v>
      </c>
      <c r="N167" s="31" t="s">
        <v>853</v>
      </c>
      <c r="O167" s="32">
        <v>23302551680</v>
      </c>
      <c r="P167" s="17" t="s">
        <v>641</v>
      </c>
    </row>
    <row r="168" spans="1:17" ht="14.25" customHeight="1">
      <c r="A168" s="5" t="s">
        <v>0</v>
      </c>
      <c r="B168" s="5" t="str">
        <f t="shared" si="1"/>
        <v>Y</v>
      </c>
      <c r="C168" s="18" t="s">
        <v>916</v>
      </c>
      <c r="D168" s="18"/>
      <c r="E168" s="6" t="s">
        <v>917</v>
      </c>
      <c r="F168" s="19"/>
      <c r="G168" s="19"/>
      <c r="H168" s="20">
        <v>43148</v>
      </c>
      <c r="L168" s="6">
        <v>9204614329</v>
      </c>
      <c r="M168" s="37" t="s">
        <v>918</v>
      </c>
      <c r="N168" s="31" t="s">
        <v>919</v>
      </c>
      <c r="O168" s="32">
        <v>23302571518</v>
      </c>
      <c r="P168" s="17" t="s">
        <v>641</v>
      </c>
    </row>
    <row r="169" spans="1:17" ht="14.25" customHeight="1">
      <c r="A169" s="5" t="s">
        <v>0</v>
      </c>
      <c r="B169" s="5" t="str">
        <f t="shared" si="1"/>
        <v>Y</v>
      </c>
      <c r="C169" s="18" t="s">
        <v>920</v>
      </c>
      <c r="D169" s="18"/>
      <c r="E169" s="6" t="s">
        <v>921</v>
      </c>
      <c r="F169" s="19"/>
      <c r="G169" s="19"/>
      <c r="H169" s="20">
        <v>43148</v>
      </c>
      <c r="L169" s="6">
        <v>7209612479</v>
      </c>
      <c r="M169" s="30" t="s">
        <v>922</v>
      </c>
      <c r="N169" s="36">
        <v>43169</v>
      </c>
      <c r="O169" s="32" t="s">
        <v>923</v>
      </c>
      <c r="P169" s="17"/>
    </row>
    <row r="170" spans="1:17" ht="14.25" customHeight="1">
      <c r="A170" s="5" t="s">
        <v>0</v>
      </c>
      <c r="B170" s="5" t="str">
        <f t="shared" si="1"/>
        <v>Y</v>
      </c>
      <c r="C170" s="18" t="s">
        <v>924</v>
      </c>
      <c r="D170" s="18"/>
      <c r="E170" s="6" t="s">
        <v>925</v>
      </c>
      <c r="F170" s="19"/>
      <c r="G170" s="19"/>
      <c r="H170" s="20">
        <v>43150</v>
      </c>
      <c r="L170" s="6">
        <v>8540830521</v>
      </c>
      <c r="M170" s="37" t="s">
        <v>926</v>
      </c>
      <c r="N170" s="31" t="s">
        <v>927</v>
      </c>
      <c r="O170" s="32" t="s">
        <v>928</v>
      </c>
      <c r="P170" s="17"/>
    </row>
    <row r="171" spans="1:17" ht="14.25" customHeight="1">
      <c r="A171" s="5" t="s">
        <v>0</v>
      </c>
      <c r="B171" s="5" t="str">
        <f t="shared" si="1"/>
        <v>Y</v>
      </c>
      <c r="C171" s="18" t="s">
        <v>929</v>
      </c>
      <c r="D171" s="18"/>
      <c r="E171" s="47" t="s">
        <v>930</v>
      </c>
      <c r="F171" s="19"/>
      <c r="G171" s="19"/>
      <c r="H171" s="20">
        <v>43149</v>
      </c>
      <c r="K171" s="47"/>
      <c r="L171" s="47">
        <v>8102358784</v>
      </c>
      <c r="M171" s="48" t="s">
        <v>931</v>
      </c>
      <c r="N171" s="49" t="s">
        <v>932</v>
      </c>
      <c r="O171" s="50" t="s">
        <v>933</v>
      </c>
      <c r="P171" s="17" t="s">
        <v>641</v>
      </c>
    </row>
    <row r="172" spans="1:17" ht="14.25" customHeight="1">
      <c r="A172" s="5" t="s">
        <v>0</v>
      </c>
      <c r="B172" s="5" t="str">
        <f t="shared" si="1"/>
        <v>Y</v>
      </c>
      <c r="C172" s="18" t="s">
        <v>934</v>
      </c>
      <c r="D172" s="18"/>
      <c r="E172" s="6" t="s">
        <v>935</v>
      </c>
      <c r="F172" s="19"/>
      <c r="G172" s="19"/>
      <c r="H172" s="20">
        <v>43151</v>
      </c>
      <c r="L172" s="6">
        <v>9304639843</v>
      </c>
      <c r="M172" s="30" t="s">
        <v>936</v>
      </c>
      <c r="N172" s="36"/>
      <c r="O172" s="7"/>
      <c r="P172" s="17"/>
    </row>
    <row r="173" spans="1:17" ht="14.25" customHeight="1">
      <c r="A173" s="5" t="s">
        <v>0</v>
      </c>
      <c r="B173" s="5" t="str">
        <f t="shared" si="1"/>
        <v>Y</v>
      </c>
      <c r="C173" s="18" t="s">
        <v>937</v>
      </c>
      <c r="D173" s="18"/>
      <c r="E173" s="6" t="s">
        <v>938</v>
      </c>
      <c r="F173" s="19"/>
      <c r="G173" s="19"/>
      <c r="H173" s="20">
        <v>43151</v>
      </c>
      <c r="L173" s="6">
        <v>7209500497</v>
      </c>
      <c r="M173" s="30" t="s">
        <v>939</v>
      </c>
      <c r="N173" s="31" t="s">
        <v>940</v>
      </c>
      <c r="O173" s="32">
        <v>23302122684</v>
      </c>
      <c r="P173" s="51" t="s">
        <v>641</v>
      </c>
    </row>
    <row r="174" spans="1:17" ht="14.25" customHeight="1">
      <c r="A174" s="5" t="s">
        <v>0</v>
      </c>
      <c r="B174" s="5" t="str">
        <f t="shared" si="1"/>
        <v>Y</v>
      </c>
      <c r="C174" s="18" t="s">
        <v>941</v>
      </c>
      <c r="D174" s="18"/>
      <c r="E174" s="6" t="s">
        <v>712</v>
      </c>
      <c r="F174" s="19"/>
      <c r="G174" s="19"/>
      <c r="H174" s="20">
        <v>43157</v>
      </c>
      <c r="L174" s="6">
        <v>8292053437</v>
      </c>
      <c r="M174" s="37" t="s">
        <v>942</v>
      </c>
      <c r="N174" s="32" t="s">
        <v>943</v>
      </c>
      <c r="O174" s="32" t="s">
        <v>944</v>
      </c>
      <c r="P174" s="17" t="s">
        <v>641</v>
      </c>
    </row>
    <row r="175" spans="1:17" ht="14.25" customHeight="1">
      <c r="A175" s="5" t="s">
        <v>0</v>
      </c>
      <c r="B175" s="5" t="str">
        <f t="shared" si="1"/>
        <v>Y</v>
      </c>
      <c r="C175" s="18" t="s">
        <v>945</v>
      </c>
      <c r="D175" s="18"/>
      <c r="E175" s="6" t="s">
        <v>946</v>
      </c>
      <c r="F175" s="19"/>
      <c r="G175" s="19"/>
      <c r="H175" s="20">
        <v>43157</v>
      </c>
      <c r="L175" s="6">
        <v>9934115013</v>
      </c>
      <c r="M175" s="37" t="s">
        <v>947</v>
      </c>
      <c r="N175" s="31" t="s">
        <v>948</v>
      </c>
      <c r="O175" s="32" t="s">
        <v>949</v>
      </c>
      <c r="P175" s="17" t="s">
        <v>641</v>
      </c>
    </row>
    <row r="176" spans="1:17" ht="14.25" customHeight="1">
      <c r="A176" s="5" t="s">
        <v>0</v>
      </c>
      <c r="B176" s="5" t="str">
        <f t="shared" si="1"/>
        <v>Y</v>
      </c>
      <c r="C176" s="18" t="s">
        <v>950</v>
      </c>
      <c r="D176" s="18"/>
      <c r="E176" s="6" t="s">
        <v>951</v>
      </c>
      <c r="F176" s="19"/>
      <c r="G176" s="19"/>
      <c r="H176" s="20">
        <v>43157</v>
      </c>
      <c r="L176" s="6">
        <v>8271864049</v>
      </c>
      <c r="M176" s="30" t="s">
        <v>952</v>
      </c>
      <c r="N176" s="31" t="s">
        <v>953</v>
      </c>
      <c r="O176" s="32" t="s">
        <v>954</v>
      </c>
      <c r="P176" s="17" t="s">
        <v>641</v>
      </c>
    </row>
    <row r="177" spans="1:16" ht="14.25" customHeight="1">
      <c r="A177" s="5" t="s">
        <v>0</v>
      </c>
      <c r="B177" s="5" t="str">
        <f t="shared" si="1"/>
        <v>Y</v>
      </c>
      <c r="C177" s="18" t="s">
        <v>955</v>
      </c>
      <c r="D177" s="18"/>
      <c r="E177" s="6" t="s">
        <v>956</v>
      </c>
      <c r="F177" s="19"/>
      <c r="G177" s="19"/>
      <c r="H177" s="20">
        <v>43159</v>
      </c>
      <c r="L177" s="6">
        <v>9308383695</v>
      </c>
      <c r="M177" s="30" t="s">
        <v>957</v>
      </c>
      <c r="N177" s="31" t="s">
        <v>940</v>
      </c>
      <c r="O177" s="32">
        <v>23302107818</v>
      </c>
      <c r="P177" s="17" t="s">
        <v>641</v>
      </c>
    </row>
    <row r="178" spans="1:16" ht="14.25" customHeight="1">
      <c r="A178" s="5" t="s">
        <v>0</v>
      </c>
      <c r="B178" s="5" t="str">
        <f t="shared" si="1"/>
        <v>Y</v>
      </c>
      <c r="C178" s="18" t="s">
        <v>958</v>
      </c>
      <c r="D178" s="18"/>
      <c r="E178" s="6" t="s">
        <v>959</v>
      </c>
      <c r="F178" s="19"/>
      <c r="G178" s="19"/>
      <c r="H178" s="20">
        <v>43164</v>
      </c>
      <c r="L178" s="6">
        <v>7209585174</v>
      </c>
      <c r="M178" s="30" t="s">
        <v>960</v>
      </c>
      <c r="N178" s="32" t="s">
        <v>943</v>
      </c>
      <c r="O178" s="32" t="s">
        <v>961</v>
      </c>
      <c r="P178" s="17" t="s">
        <v>641</v>
      </c>
    </row>
    <row r="179" spans="1:16" ht="14.25" customHeight="1">
      <c r="A179" s="5" t="s">
        <v>0</v>
      </c>
      <c r="B179" s="5" t="str">
        <f t="shared" si="1"/>
        <v>Y</v>
      </c>
      <c r="C179" s="18" t="s">
        <v>962</v>
      </c>
      <c r="D179" s="18"/>
      <c r="E179" s="6" t="s">
        <v>963</v>
      </c>
      <c r="F179" s="19"/>
      <c r="G179" s="19"/>
      <c r="H179" s="20">
        <v>43164</v>
      </c>
      <c r="L179" s="6">
        <v>9955372833</v>
      </c>
      <c r="M179" s="30" t="s">
        <v>964</v>
      </c>
      <c r="N179" s="46">
        <v>43188</v>
      </c>
      <c r="O179" s="32">
        <v>23302591082</v>
      </c>
      <c r="P179" s="17" t="s">
        <v>641</v>
      </c>
    </row>
    <row r="180" spans="1:16" ht="14.25" customHeight="1">
      <c r="A180" s="5" t="s">
        <v>0</v>
      </c>
      <c r="B180" s="5" t="str">
        <f t="shared" si="1"/>
        <v>Y</v>
      </c>
      <c r="C180" s="18" t="s">
        <v>965</v>
      </c>
      <c r="D180" s="18"/>
      <c r="E180" s="6" t="s">
        <v>966</v>
      </c>
      <c r="F180" s="19"/>
      <c r="G180" s="19"/>
      <c r="H180" s="20">
        <v>43169</v>
      </c>
      <c r="L180" s="6">
        <v>9934043646</v>
      </c>
      <c r="M180" s="30" t="s">
        <v>967</v>
      </c>
      <c r="N180" s="31" t="s">
        <v>968</v>
      </c>
      <c r="O180" s="32" t="s">
        <v>969</v>
      </c>
      <c r="P180" s="17"/>
    </row>
    <row r="181" spans="1:16" ht="14.25" customHeight="1">
      <c r="A181" s="5" t="s">
        <v>0</v>
      </c>
      <c r="B181" s="5" t="str">
        <f t="shared" si="1"/>
        <v>Y</v>
      </c>
      <c r="C181" s="18" t="s">
        <v>970</v>
      </c>
      <c r="D181" s="18"/>
      <c r="E181" s="6" t="s">
        <v>971</v>
      </c>
      <c r="F181" s="19"/>
      <c r="G181" s="19"/>
      <c r="H181" s="20">
        <v>43166</v>
      </c>
      <c r="L181" s="6">
        <v>7295981617</v>
      </c>
      <c r="M181" s="30" t="s">
        <v>972</v>
      </c>
      <c r="N181" s="36">
        <v>43189</v>
      </c>
      <c r="O181" s="32" t="s">
        <v>973</v>
      </c>
      <c r="P181" s="17" t="s">
        <v>641</v>
      </c>
    </row>
    <row r="182" spans="1:16" ht="14.25" customHeight="1">
      <c r="A182" s="5" t="s">
        <v>0</v>
      </c>
      <c r="B182" s="5" t="str">
        <f t="shared" si="1"/>
        <v>Y</v>
      </c>
      <c r="C182" s="18" t="s">
        <v>974</v>
      </c>
      <c r="D182" s="18"/>
      <c r="E182" s="6" t="s">
        <v>975</v>
      </c>
      <c r="F182" s="19"/>
      <c r="G182" s="19"/>
      <c r="H182" s="20">
        <v>43167</v>
      </c>
      <c r="L182" s="6">
        <v>8092372050</v>
      </c>
      <c r="M182" s="30" t="s">
        <v>976</v>
      </c>
      <c r="N182" s="31" t="s">
        <v>968</v>
      </c>
      <c r="O182" s="32" t="s">
        <v>977</v>
      </c>
      <c r="P182" s="17" t="s">
        <v>641</v>
      </c>
    </row>
    <row r="183" spans="1:16" ht="14.25" customHeight="1">
      <c r="A183" s="5" t="s">
        <v>0</v>
      </c>
      <c r="B183" s="5" t="str">
        <f t="shared" si="1"/>
        <v>Y</v>
      </c>
      <c r="C183" s="18" t="s">
        <v>978</v>
      </c>
      <c r="D183" s="18"/>
      <c r="E183" s="6" t="s">
        <v>979</v>
      </c>
      <c r="F183" s="19"/>
      <c r="G183" s="19"/>
      <c r="H183" s="20">
        <v>43166</v>
      </c>
      <c r="L183" s="6">
        <v>7488600438</v>
      </c>
      <c r="M183" s="37" t="s">
        <v>980</v>
      </c>
      <c r="N183" s="31" t="s">
        <v>968</v>
      </c>
      <c r="O183" s="32" t="s">
        <v>981</v>
      </c>
      <c r="P183" s="17" t="s">
        <v>641</v>
      </c>
    </row>
    <row r="184" spans="1:16" ht="14.25" customHeight="1">
      <c r="A184" s="5" t="s">
        <v>0</v>
      </c>
      <c r="B184" s="5" t="str">
        <f t="shared" si="1"/>
        <v>Y</v>
      </c>
      <c r="C184" s="18" t="s">
        <v>982</v>
      </c>
      <c r="D184" s="18"/>
      <c r="E184" s="6" t="s">
        <v>983</v>
      </c>
      <c r="F184" s="19"/>
      <c r="G184" s="19"/>
      <c r="H184" s="20">
        <v>43166</v>
      </c>
      <c r="L184" s="6">
        <v>9939439786</v>
      </c>
      <c r="M184" s="37" t="s">
        <v>984</v>
      </c>
      <c r="N184" s="31" t="s">
        <v>968</v>
      </c>
      <c r="O184" s="32" t="s">
        <v>985</v>
      </c>
      <c r="P184" s="17" t="s">
        <v>641</v>
      </c>
    </row>
    <row r="185" spans="1:16" ht="14.25" customHeight="1">
      <c r="A185" s="5" t="s">
        <v>0</v>
      </c>
      <c r="B185" s="5" t="str">
        <f t="shared" si="1"/>
        <v>Y</v>
      </c>
      <c r="C185" s="18" t="s">
        <v>986</v>
      </c>
      <c r="D185" s="18"/>
      <c r="E185" s="6" t="s">
        <v>987</v>
      </c>
      <c r="F185" s="19"/>
      <c r="G185" s="19"/>
      <c r="H185" s="20">
        <v>43167</v>
      </c>
      <c r="L185" s="6">
        <v>8235334483</v>
      </c>
      <c r="M185" s="30" t="s">
        <v>988</v>
      </c>
      <c r="N185" s="36">
        <v>43179</v>
      </c>
      <c r="O185" s="32">
        <v>23302122762</v>
      </c>
      <c r="P185" s="17" t="s">
        <v>641</v>
      </c>
    </row>
    <row r="186" spans="1:16" ht="14.25" customHeight="1">
      <c r="A186" s="5" t="s">
        <v>0</v>
      </c>
      <c r="B186" s="5" t="str">
        <f t="shared" si="1"/>
        <v>Y</v>
      </c>
      <c r="C186" s="18" t="s">
        <v>989</v>
      </c>
      <c r="D186" s="18"/>
      <c r="E186" s="6" t="s">
        <v>990</v>
      </c>
      <c r="F186" s="19"/>
      <c r="G186" s="19"/>
      <c r="H186" s="20">
        <v>43166</v>
      </c>
      <c r="L186" s="6">
        <v>9709108506</v>
      </c>
      <c r="M186" s="37" t="s">
        <v>991</v>
      </c>
      <c r="N186" s="32" t="s">
        <v>943</v>
      </c>
      <c r="O186" s="32">
        <v>23302591101</v>
      </c>
      <c r="P186" s="17" t="s">
        <v>641</v>
      </c>
    </row>
    <row r="187" spans="1:16" ht="14.25" customHeight="1">
      <c r="A187" s="5" t="s">
        <v>0</v>
      </c>
      <c r="B187" s="5" t="str">
        <f t="shared" si="1"/>
        <v>Y</v>
      </c>
      <c r="C187" s="18" t="s">
        <v>992</v>
      </c>
      <c r="D187" s="18"/>
      <c r="E187" s="6" t="s">
        <v>993</v>
      </c>
      <c r="F187" s="19"/>
      <c r="G187" s="19"/>
      <c r="H187" s="20">
        <v>43169</v>
      </c>
      <c r="L187" s="6">
        <v>8797571710</v>
      </c>
      <c r="M187" s="37" t="s">
        <v>994</v>
      </c>
      <c r="N187" s="36">
        <v>43189</v>
      </c>
      <c r="O187" s="32" t="s">
        <v>995</v>
      </c>
      <c r="P187" s="17" t="s">
        <v>641</v>
      </c>
    </row>
    <row r="188" spans="1:16" ht="14.25" customHeight="1">
      <c r="A188" s="52" t="s">
        <v>0</v>
      </c>
      <c r="B188" s="52" t="str">
        <f t="shared" si="1"/>
        <v>Y</v>
      </c>
      <c r="C188" s="53" t="s">
        <v>996</v>
      </c>
      <c r="D188" s="53"/>
      <c r="E188" s="54" t="s">
        <v>997</v>
      </c>
      <c r="F188" s="55"/>
      <c r="G188" s="55"/>
      <c r="H188" s="56">
        <v>43169</v>
      </c>
      <c r="I188" s="54"/>
      <c r="J188" s="54"/>
      <c r="K188" s="54"/>
      <c r="L188" s="54">
        <v>9570458705</v>
      </c>
      <c r="M188" s="57" t="s">
        <v>998</v>
      </c>
      <c r="N188" s="58"/>
      <c r="O188" s="59"/>
      <c r="P188" s="17"/>
    </row>
    <row r="189" spans="1:16" ht="14.25" customHeight="1">
      <c r="A189" s="5" t="s">
        <v>0</v>
      </c>
      <c r="B189" s="5" t="str">
        <f t="shared" si="1"/>
        <v>Y</v>
      </c>
      <c r="C189" s="18" t="s">
        <v>999</v>
      </c>
      <c r="D189" s="18"/>
      <c r="E189" s="6" t="s">
        <v>1000</v>
      </c>
      <c r="F189" s="19"/>
      <c r="G189" s="19"/>
      <c r="H189" s="20">
        <v>43169</v>
      </c>
      <c r="L189" s="6">
        <v>9431347073</v>
      </c>
      <c r="M189" s="37" t="s">
        <v>1001</v>
      </c>
      <c r="N189" s="46">
        <v>43188</v>
      </c>
      <c r="O189" s="32">
        <v>23302591115</v>
      </c>
      <c r="P189" s="17" t="s">
        <v>641</v>
      </c>
    </row>
    <row r="190" spans="1:16" ht="14.25" customHeight="1">
      <c r="A190" s="5" t="s">
        <v>0</v>
      </c>
      <c r="B190" s="5" t="str">
        <f t="shared" si="1"/>
        <v>Y</v>
      </c>
      <c r="C190" s="18" t="s">
        <v>1002</v>
      </c>
      <c r="D190" s="18"/>
      <c r="E190" s="6" t="s">
        <v>1003</v>
      </c>
      <c r="F190" s="19"/>
      <c r="G190" s="19"/>
      <c r="H190" s="20">
        <v>43169</v>
      </c>
      <c r="L190" s="6">
        <v>9031986435</v>
      </c>
      <c r="M190" s="30" t="s">
        <v>1004</v>
      </c>
      <c r="N190" s="31" t="s">
        <v>1005</v>
      </c>
      <c r="O190" s="32" t="s">
        <v>1006</v>
      </c>
      <c r="P190" s="17" t="s">
        <v>641</v>
      </c>
    </row>
    <row r="191" spans="1:16" ht="14.25" customHeight="1">
      <c r="A191" s="5" t="s">
        <v>139</v>
      </c>
      <c r="B191" s="5" t="str">
        <f t="shared" si="1"/>
        <v>Y</v>
      </c>
      <c r="C191" s="18" t="s">
        <v>1007</v>
      </c>
      <c r="D191" s="18"/>
      <c r="E191" s="6" t="s">
        <v>1008</v>
      </c>
      <c r="F191" s="19"/>
      <c r="G191" s="19"/>
      <c r="H191" s="20">
        <v>43169</v>
      </c>
      <c r="L191" s="6">
        <v>9853444275</v>
      </c>
      <c r="M191" s="37" t="s">
        <v>1004</v>
      </c>
      <c r="N191" s="31" t="s">
        <v>1009</v>
      </c>
      <c r="O191" s="32" t="s">
        <v>1010</v>
      </c>
      <c r="P191" s="17" t="s">
        <v>641</v>
      </c>
    </row>
    <row r="192" spans="1:16" ht="14.25" customHeight="1">
      <c r="A192" s="5" t="s">
        <v>139</v>
      </c>
      <c r="B192" s="5" t="str">
        <f t="shared" si="1"/>
        <v>Y</v>
      </c>
      <c r="C192" s="18" t="s">
        <v>1011</v>
      </c>
      <c r="D192" s="18"/>
      <c r="E192" s="6" t="s">
        <v>1012</v>
      </c>
      <c r="F192" s="19"/>
      <c r="G192" s="19"/>
      <c r="H192" s="20">
        <v>43172</v>
      </c>
      <c r="L192" s="6">
        <v>9234904058</v>
      </c>
      <c r="M192" s="30" t="s">
        <v>1013</v>
      </c>
      <c r="N192" s="32" t="s">
        <v>1014</v>
      </c>
      <c r="O192" s="32" t="s">
        <v>1015</v>
      </c>
      <c r="P192" s="17" t="s">
        <v>641</v>
      </c>
    </row>
    <row r="193" spans="1:16" ht="14.25" customHeight="1">
      <c r="A193" s="5"/>
      <c r="B193" s="5"/>
      <c r="C193" s="18"/>
      <c r="D193" s="18"/>
      <c r="F193" s="19"/>
      <c r="G193" s="19"/>
      <c r="H193" s="20"/>
      <c r="N193" s="16"/>
      <c r="O193" s="7"/>
      <c r="P193" s="17"/>
    </row>
    <row r="194" spans="1:16" ht="14.25" customHeight="1">
      <c r="A194" s="5" t="s">
        <v>139</v>
      </c>
      <c r="B194" s="5" t="str">
        <f t="shared" ref="B194:B448" si="2">IF(H194="","N","Y")</f>
        <v>Y</v>
      </c>
      <c r="C194" s="18" t="s">
        <v>1016</v>
      </c>
      <c r="D194" s="18"/>
      <c r="E194" s="6" t="s">
        <v>1017</v>
      </c>
      <c r="F194" s="19"/>
      <c r="G194" s="19"/>
      <c r="H194" s="20">
        <v>43174</v>
      </c>
      <c r="L194" s="6">
        <v>7004733496</v>
      </c>
      <c r="M194" s="30" t="s">
        <v>1018</v>
      </c>
      <c r="N194" s="32" t="s">
        <v>1019</v>
      </c>
      <c r="O194" s="32">
        <v>23302812098</v>
      </c>
      <c r="P194" s="17" t="s">
        <v>641</v>
      </c>
    </row>
    <row r="195" spans="1:16" ht="14.25" customHeight="1">
      <c r="A195" s="5" t="s">
        <v>139</v>
      </c>
      <c r="B195" s="5" t="str">
        <f t="shared" si="2"/>
        <v>Y</v>
      </c>
      <c r="C195" s="18" t="s">
        <v>1020</v>
      </c>
      <c r="D195" s="18"/>
      <c r="E195" s="6" t="s">
        <v>1021</v>
      </c>
      <c r="F195" s="19"/>
      <c r="G195" s="20"/>
      <c r="H195" s="20">
        <v>43175</v>
      </c>
      <c r="L195" s="6">
        <v>7761830778</v>
      </c>
      <c r="M195" s="30" t="s">
        <v>1022</v>
      </c>
      <c r="N195" s="32" t="s">
        <v>1023</v>
      </c>
      <c r="O195" s="32" t="s">
        <v>1024</v>
      </c>
      <c r="P195" s="17" t="s">
        <v>641</v>
      </c>
    </row>
    <row r="196" spans="1:16" ht="14.25" customHeight="1">
      <c r="A196" s="5" t="s">
        <v>139</v>
      </c>
      <c r="B196" s="5" t="str">
        <f t="shared" si="2"/>
        <v>Y</v>
      </c>
      <c r="C196" s="18" t="s">
        <v>1025</v>
      </c>
      <c r="D196" s="18"/>
      <c r="E196" s="6" t="s">
        <v>1026</v>
      </c>
      <c r="F196" s="19"/>
      <c r="G196" s="20"/>
      <c r="H196" s="20">
        <v>43174</v>
      </c>
      <c r="L196" s="6">
        <v>9102518453</v>
      </c>
      <c r="M196" s="37" t="s">
        <v>1027</v>
      </c>
      <c r="N196" s="32" t="s">
        <v>1028</v>
      </c>
      <c r="O196" s="32" t="s">
        <v>1029</v>
      </c>
      <c r="P196" s="17" t="s">
        <v>641</v>
      </c>
    </row>
    <row r="197" spans="1:16" ht="14.25" customHeight="1">
      <c r="A197" s="5" t="s">
        <v>139</v>
      </c>
      <c r="B197" s="5" t="str">
        <f t="shared" si="2"/>
        <v>Y</v>
      </c>
      <c r="C197" s="18" t="s">
        <v>1030</v>
      </c>
      <c r="D197" s="18"/>
      <c r="E197" s="6" t="s">
        <v>1031</v>
      </c>
      <c r="F197" s="19"/>
      <c r="G197" s="20"/>
      <c r="H197" s="20">
        <v>43174</v>
      </c>
      <c r="L197" s="6">
        <v>8084495149</v>
      </c>
      <c r="M197" s="30" t="s">
        <v>1032</v>
      </c>
      <c r="N197" s="32" t="s">
        <v>1033</v>
      </c>
      <c r="O197" s="32" t="s">
        <v>1034</v>
      </c>
      <c r="P197" s="17" t="s">
        <v>641</v>
      </c>
    </row>
    <row r="198" spans="1:16" ht="14.25" customHeight="1">
      <c r="A198" s="5" t="s">
        <v>139</v>
      </c>
      <c r="B198" s="5" t="str">
        <f t="shared" si="2"/>
        <v>Y</v>
      </c>
      <c r="C198" s="18" t="s">
        <v>1035</v>
      </c>
      <c r="D198" s="18"/>
      <c r="E198" s="6" t="s">
        <v>1036</v>
      </c>
      <c r="F198" s="19"/>
      <c r="G198" s="20"/>
      <c r="H198" s="20">
        <v>43174</v>
      </c>
      <c r="L198" s="6">
        <v>8235274380</v>
      </c>
      <c r="M198" s="30" t="s">
        <v>1037</v>
      </c>
      <c r="N198" s="32" t="s">
        <v>1033</v>
      </c>
      <c r="O198" s="32" t="s">
        <v>1038</v>
      </c>
      <c r="P198" s="17" t="s">
        <v>641</v>
      </c>
    </row>
    <row r="199" spans="1:16" ht="14.25" customHeight="1">
      <c r="A199" s="5" t="s">
        <v>139</v>
      </c>
      <c r="B199" s="5" t="str">
        <f t="shared" si="2"/>
        <v>Y</v>
      </c>
      <c r="C199" s="18" t="s">
        <v>1039</v>
      </c>
      <c r="D199" s="18"/>
      <c r="E199" s="6" t="s">
        <v>1040</v>
      </c>
      <c r="F199" s="19"/>
      <c r="G199" s="20"/>
      <c r="H199" s="20">
        <v>43174</v>
      </c>
      <c r="L199" s="6">
        <v>7209963506</v>
      </c>
      <c r="M199" s="30" t="s">
        <v>1041</v>
      </c>
      <c r="N199" s="46">
        <v>43188</v>
      </c>
      <c r="O199" s="32" t="s">
        <v>1042</v>
      </c>
      <c r="P199" s="17" t="s">
        <v>641</v>
      </c>
    </row>
    <row r="200" spans="1:16" ht="14.25" customHeight="1">
      <c r="A200" s="5" t="s">
        <v>139</v>
      </c>
      <c r="B200" s="5" t="str">
        <f t="shared" si="2"/>
        <v>Y</v>
      </c>
      <c r="C200" s="18" t="s">
        <v>1043</v>
      </c>
      <c r="D200" s="18"/>
      <c r="E200" s="6" t="s">
        <v>1044</v>
      </c>
      <c r="F200" s="19"/>
      <c r="G200" s="20"/>
      <c r="H200" s="20">
        <v>43175</v>
      </c>
      <c r="L200" s="6">
        <v>7646050301</v>
      </c>
      <c r="M200" s="30" t="s">
        <v>1045</v>
      </c>
      <c r="N200" s="32" t="s">
        <v>1046</v>
      </c>
      <c r="O200" s="32">
        <v>23302750122</v>
      </c>
      <c r="P200" s="17" t="s">
        <v>641</v>
      </c>
    </row>
    <row r="201" spans="1:16" ht="14.25" customHeight="1">
      <c r="A201" s="5" t="s">
        <v>139</v>
      </c>
      <c r="B201" s="5" t="str">
        <f t="shared" si="2"/>
        <v>Y</v>
      </c>
      <c r="C201" s="18" t="s">
        <v>1047</v>
      </c>
      <c r="D201" s="18"/>
      <c r="E201" s="6" t="s">
        <v>1048</v>
      </c>
      <c r="F201" s="19"/>
      <c r="G201" s="20">
        <v>43175</v>
      </c>
      <c r="H201" s="20">
        <v>43175</v>
      </c>
      <c r="L201" s="6">
        <v>9470554257</v>
      </c>
      <c r="M201" s="30" t="s">
        <v>998</v>
      </c>
      <c r="N201" s="16"/>
      <c r="O201" s="7"/>
      <c r="P201" s="17"/>
    </row>
    <row r="202" spans="1:16" ht="14.25" customHeight="1">
      <c r="A202" s="5" t="s">
        <v>139</v>
      </c>
      <c r="B202" s="5" t="str">
        <f t="shared" si="2"/>
        <v>Y</v>
      </c>
      <c r="C202" s="18" t="s">
        <v>1049</v>
      </c>
      <c r="D202" s="18"/>
      <c r="E202" s="6" t="s">
        <v>1050</v>
      </c>
      <c r="F202" s="19" t="s">
        <v>12529</v>
      </c>
      <c r="G202" s="20">
        <v>43175</v>
      </c>
      <c r="H202" s="20">
        <v>43177</v>
      </c>
      <c r="L202" s="6">
        <v>9204483558</v>
      </c>
      <c r="M202" s="30" t="s">
        <v>1051</v>
      </c>
      <c r="N202" s="32" t="s">
        <v>1052</v>
      </c>
      <c r="O202" s="32" t="s">
        <v>1053</v>
      </c>
      <c r="P202" s="17"/>
    </row>
    <row r="203" spans="1:16" ht="14.25" customHeight="1">
      <c r="A203" s="40" t="s">
        <v>139</v>
      </c>
      <c r="B203" s="5" t="str">
        <f t="shared" si="2"/>
        <v>Y</v>
      </c>
      <c r="C203" s="18" t="s">
        <v>1054</v>
      </c>
      <c r="D203" s="18"/>
      <c r="E203" s="6" t="s">
        <v>1055</v>
      </c>
      <c r="F203" s="19"/>
      <c r="G203" s="20">
        <v>43175</v>
      </c>
      <c r="H203" s="20">
        <v>43177</v>
      </c>
      <c r="L203" s="6">
        <v>9431172576</v>
      </c>
      <c r="M203" s="37" t="s">
        <v>1056</v>
      </c>
      <c r="N203" s="32" t="s">
        <v>1057</v>
      </c>
      <c r="O203" s="32">
        <v>23302773052</v>
      </c>
      <c r="P203" s="17" t="s">
        <v>641</v>
      </c>
    </row>
    <row r="204" spans="1:16" ht="14.25" customHeight="1">
      <c r="A204" s="5" t="s">
        <v>139</v>
      </c>
      <c r="B204" s="5" t="str">
        <f t="shared" si="2"/>
        <v>Y</v>
      </c>
      <c r="C204" s="18" t="s">
        <v>1058</v>
      </c>
      <c r="D204" s="18"/>
      <c r="E204" s="6" t="s">
        <v>1059</v>
      </c>
      <c r="F204" s="19"/>
      <c r="G204" s="20">
        <v>43177</v>
      </c>
      <c r="H204" s="20">
        <v>43177</v>
      </c>
      <c r="L204" s="6">
        <v>8986761085</v>
      </c>
      <c r="M204" s="37" t="s">
        <v>1060</v>
      </c>
      <c r="N204" s="46">
        <v>43190</v>
      </c>
      <c r="O204" s="32">
        <v>23302739641</v>
      </c>
      <c r="P204" s="17" t="s">
        <v>641</v>
      </c>
    </row>
    <row r="205" spans="1:16" ht="14.25" customHeight="1">
      <c r="A205" s="5" t="s">
        <v>139</v>
      </c>
      <c r="B205" s="5" t="str">
        <f t="shared" si="2"/>
        <v>Y</v>
      </c>
      <c r="C205" s="18" t="s">
        <v>1061</v>
      </c>
      <c r="D205" s="18"/>
      <c r="E205" s="6" t="s">
        <v>1062</v>
      </c>
      <c r="F205" s="19"/>
      <c r="G205" s="20">
        <v>43178</v>
      </c>
      <c r="H205" s="20">
        <v>43178</v>
      </c>
      <c r="L205" s="6">
        <v>8434515278</v>
      </c>
      <c r="M205" s="37" t="s">
        <v>1063</v>
      </c>
      <c r="N205" s="32" t="s">
        <v>1014</v>
      </c>
      <c r="O205" s="32" t="s">
        <v>1064</v>
      </c>
      <c r="P205" s="17" t="s">
        <v>641</v>
      </c>
    </row>
    <row r="206" spans="1:16" ht="14.25" customHeight="1">
      <c r="A206" s="5" t="s">
        <v>139</v>
      </c>
      <c r="B206" s="5" t="str">
        <f t="shared" si="2"/>
        <v>Y</v>
      </c>
      <c r="C206" s="18" t="s">
        <v>1065</v>
      </c>
      <c r="D206" s="18"/>
      <c r="E206" s="6" t="s">
        <v>1066</v>
      </c>
      <c r="F206" s="19"/>
      <c r="G206" s="20">
        <v>43180</v>
      </c>
      <c r="H206" s="20">
        <v>43179</v>
      </c>
      <c r="L206" s="6">
        <v>9801613001</v>
      </c>
      <c r="M206" s="30" t="s">
        <v>998</v>
      </c>
      <c r="N206" s="16"/>
      <c r="O206" s="7"/>
      <c r="P206" s="17"/>
    </row>
    <row r="207" spans="1:16" ht="14.25" customHeight="1">
      <c r="A207" s="5" t="s">
        <v>139</v>
      </c>
      <c r="B207" s="5" t="str">
        <f t="shared" si="2"/>
        <v>Y</v>
      </c>
      <c r="C207" s="18" t="s">
        <v>1067</v>
      </c>
      <c r="D207" s="18"/>
      <c r="E207" s="6" t="s">
        <v>1068</v>
      </c>
      <c r="F207" s="19"/>
      <c r="G207" s="20">
        <v>43179</v>
      </c>
      <c r="H207" s="20">
        <v>43179</v>
      </c>
      <c r="L207" s="6">
        <v>8274068540</v>
      </c>
      <c r="M207" s="30" t="s">
        <v>1069</v>
      </c>
      <c r="N207" s="32" t="s">
        <v>1070</v>
      </c>
      <c r="O207" s="32">
        <v>23302827410</v>
      </c>
      <c r="P207" s="17" t="s">
        <v>641</v>
      </c>
    </row>
    <row r="208" spans="1:16" ht="14.25" customHeight="1">
      <c r="A208" s="5" t="s">
        <v>139</v>
      </c>
      <c r="B208" s="5" t="str">
        <f t="shared" si="2"/>
        <v>Y</v>
      </c>
      <c r="C208" s="18" t="s">
        <v>1071</v>
      </c>
      <c r="D208" s="18"/>
      <c r="E208" s="6" t="s">
        <v>1072</v>
      </c>
      <c r="F208" s="19"/>
      <c r="G208" s="20">
        <v>43179</v>
      </c>
      <c r="H208" s="20">
        <v>43187</v>
      </c>
      <c r="L208" s="6">
        <v>7209474759</v>
      </c>
      <c r="M208" s="30" t="s">
        <v>1073</v>
      </c>
      <c r="N208" s="46">
        <v>43207</v>
      </c>
      <c r="O208" s="32" t="s">
        <v>1074</v>
      </c>
      <c r="P208" s="17"/>
    </row>
    <row r="209" spans="1:16" ht="14.25" customHeight="1">
      <c r="A209" s="40" t="s">
        <v>139</v>
      </c>
      <c r="B209" s="5" t="str">
        <f t="shared" si="2"/>
        <v>Y</v>
      </c>
      <c r="C209" s="18" t="s">
        <v>1075</v>
      </c>
      <c r="D209" s="18"/>
      <c r="E209" s="6" t="s">
        <v>1076</v>
      </c>
      <c r="F209" s="19"/>
      <c r="G209" s="20">
        <v>43180</v>
      </c>
      <c r="H209" s="20">
        <v>43182</v>
      </c>
      <c r="L209" s="6">
        <v>8986633963</v>
      </c>
      <c r="M209" s="30"/>
      <c r="N209" s="16" t="s">
        <v>478</v>
      </c>
      <c r="O209" s="7"/>
      <c r="P209" s="17"/>
    </row>
    <row r="210" spans="1:16" ht="14.25" customHeight="1">
      <c r="A210" s="5" t="s">
        <v>139</v>
      </c>
      <c r="B210" s="5" t="str">
        <f t="shared" si="2"/>
        <v>Y</v>
      </c>
      <c r="C210" s="18" t="s">
        <v>1077</v>
      </c>
      <c r="D210" s="18"/>
      <c r="E210" s="6" t="s">
        <v>1078</v>
      </c>
      <c r="F210" s="19"/>
      <c r="G210" s="20">
        <v>43180</v>
      </c>
      <c r="H210" s="20">
        <v>43182</v>
      </c>
      <c r="L210" s="6">
        <v>7367828074</v>
      </c>
      <c r="M210" s="30" t="s">
        <v>998</v>
      </c>
      <c r="N210" s="16"/>
      <c r="O210" s="7"/>
      <c r="P210" s="17"/>
    </row>
    <row r="211" spans="1:16" ht="14.25" customHeight="1">
      <c r="A211" s="5" t="s">
        <v>139</v>
      </c>
      <c r="B211" s="5" t="str">
        <f t="shared" si="2"/>
        <v>Y</v>
      </c>
      <c r="C211" s="18" t="s">
        <v>1079</v>
      </c>
      <c r="D211" s="18"/>
      <c r="E211" s="6" t="s">
        <v>1080</v>
      </c>
      <c r="F211" s="19"/>
      <c r="G211" s="20">
        <v>43180</v>
      </c>
      <c r="H211" s="20">
        <v>43182</v>
      </c>
      <c r="L211" s="6">
        <v>8797270007</v>
      </c>
      <c r="M211" s="30" t="s">
        <v>1081</v>
      </c>
      <c r="N211" s="46">
        <v>43207</v>
      </c>
      <c r="O211" s="32" t="s">
        <v>1082</v>
      </c>
      <c r="P211" s="17"/>
    </row>
    <row r="212" spans="1:16" ht="14.25" customHeight="1">
      <c r="A212" s="5" t="s">
        <v>139</v>
      </c>
      <c r="B212" s="5" t="str">
        <f t="shared" si="2"/>
        <v>Y</v>
      </c>
      <c r="C212" s="18" t="s">
        <v>1083</v>
      </c>
      <c r="D212" s="18"/>
      <c r="E212" s="6" t="s">
        <v>1084</v>
      </c>
      <c r="F212" s="19"/>
      <c r="G212" s="20">
        <v>43180</v>
      </c>
      <c r="H212" s="20">
        <v>43182</v>
      </c>
      <c r="L212" s="6">
        <v>8092713108</v>
      </c>
      <c r="M212" s="30" t="s">
        <v>1085</v>
      </c>
      <c r="N212" s="32" t="s">
        <v>1070</v>
      </c>
      <c r="O212" s="32" t="s">
        <v>1086</v>
      </c>
      <c r="P212" s="17" t="s">
        <v>641</v>
      </c>
    </row>
    <row r="213" spans="1:16" ht="14.25" customHeight="1">
      <c r="A213" s="5" t="s">
        <v>139</v>
      </c>
      <c r="B213" s="5" t="str">
        <f t="shared" si="2"/>
        <v>Y</v>
      </c>
      <c r="C213" s="18" t="s">
        <v>1087</v>
      </c>
      <c r="D213" s="18"/>
      <c r="E213" s="6" t="s">
        <v>1088</v>
      </c>
      <c r="F213" s="19"/>
      <c r="G213" s="20">
        <v>43181</v>
      </c>
      <c r="H213" s="20">
        <v>43182</v>
      </c>
      <c r="L213" s="6">
        <v>7482084122</v>
      </c>
      <c r="M213" s="30" t="s">
        <v>1089</v>
      </c>
      <c r="N213" s="32" t="s">
        <v>1014</v>
      </c>
      <c r="O213" s="32" t="s">
        <v>1090</v>
      </c>
      <c r="P213" s="17" t="s">
        <v>641</v>
      </c>
    </row>
    <row r="214" spans="1:16" ht="14.25" customHeight="1">
      <c r="A214" s="5" t="s">
        <v>139</v>
      </c>
      <c r="B214" s="5" t="str">
        <f t="shared" si="2"/>
        <v>Y</v>
      </c>
      <c r="C214" s="18" t="s">
        <v>1091</v>
      </c>
      <c r="D214" s="18"/>
      <c r="E214" s="6" t="s">
        <v>1092</v>
      </c>
      <c r="F214" s="19"/>
      <c r="G214" s="20">
        <v>43182</v>
      </c>
      <c r="H214" s="20">
        <v>43182</v>
      </c>
      <c r="L214" s="6">
        <v>9470164009</v>
      </c>
      <c r="M214" s="30" t="s">
        <v>1093</v>
      </c>
      <c r="N214" s="32" t="s">
        <v>1094</v>
      </c>
      <c r="O214" s="28">
        <v>23302840435</v>
      </c>
      <c r="P214" s="17" t="s">
        <v>641</v>
      </c>
    </row>
    <row r="215" spans="1:16" ht="14.25" customHeight="1">
      <c r="A215" s="5" t="s">
        <v>139</v>
      </c>
      <c r="B215" s="5" t="str">
        <f t="shared" si="2"/>
        <v>Y</v>
      </c>
      <c r="C215" s="18" t="s">
        <v>1095</v>
      </c>
      <c r="D215" s="18"/>
      <c r="E215" s="6" t="s">
        <v>1096</v>
      </c>
      <c r="F215" s="19"/>
      <c r="G215" s="20">
        <v>43182</v>
      </c>
      <c r="H215" s="20">
        <v>43183</v>
      </c>
      <c r="L215" s="6">
        <v>9631380704</v>
      </c>
      <c r="M215" s="6" t="s">
        <v>1097</v>
      </c>
      <c r="N215" s="32" t="s">
        <v>1098</v>
      </c>
      <c r="O215" s="28">
        <v>23302885929</v>
      </c>
      <c r="P215" s="17"/>
    </row>
    <row r="216" spans="1:16" ht="14.25" customHeight="1">
      <c r="A216" s="5" t="s">
        <v>139</v>
      </c>
      <c r="B216" s="5" t="str">
        <f t="shared" si="2"/>
        <v>Y</v>
      </c>
      <c r="C216" s="18" t="s">
        <v>1099</v>
      </c>
      <c r="D216" s="18"/>
      <c r="E216" s="6" t="s">
        <v>1100</v>
      </c>
      <c r="F216" s="19"/>
      <c r="G216" s="20">
        <v>43182</v>
      </c>
      <c r="H216" s="20">
        <v>43183</v>
      </c>
      <c r="L216" s="6">
        <v>9852347679</v>
      </c>
      <c r="N216" s="16"/>
      <c r="O216" s="7"/>
      <c r="P216" s="17"/>
    </row>
    <row r="217" spans="1:16" ht="14.25" customHeight="1">
      <c r="A217" s="5" t="s">
        <v>139</v>
      </c>
      <c r="B217" s="5" t="str">
        <f t="shared" si="2"/>
        <v>Y</v>
      </c>
      <c r="C217" s="18" t="s">
        <v>1101</v>
      </c>
      <c r="D217" s="18"/>
      <c r="E217" s="6" t="s">
        <v>1102</v>
      </c>
      <c r="F217" s="19"/>
      <c r="G217" s="20">
        <v>43183</v>
      </c>
      <c r="H217" s="20">
        <v>43183</v>
      </c>
      <c r="L217" s="6">
        <v>8603825071</v>
      </c>
      <c r="M217" s="30" t="s">
        <v>1103</v>
      </c>
      <c r="N217" s="46">
        <v>43207</v>
      </c>
      <c r="O217" s="32" t="s">
        <v>1104</v>
      </c>
      <c r="P217" s="17"/>
    </row>
    <row r="218" spans="1:16" ht="14.25" customHeight="1">
      <c r="A218" s="5" t="s">
        <v>139</v>
      </c>
      <c r="B218" s="5" t="str">
        <f t="shared" si="2"/>
        <v>Y</v>
      </c>
      <c r="C218" s="18" t="s">
        <v>1105</v>
      </c>
      <c r="D218" s="18"/>
      <c r="E218" s="6" t="s">
        <v>1106</v>
      </c>
      <c r="F218" s="19"/>
      <c r="G218" s="20">
        <v>43183</v>
      </c>
      <c r="H218" s="20">
        <v>43183</v>
      </c>
      <c r="L218" s="6">
        <v>8603825071</v>
      </c>
      <c r="M218" s="30" t="s">
        <v>1107</v>
      </c>
      <c r="N218" s="32" t="s">
        <v>1108</v>
      </c>
      <c r="O218" s="32">
        <v>23302905356</v>
      </c>
      <c r="P218" s="17"/>
    </row>
    <row r="219" spans="1:16" ht="14.25" customHeight="1">
      <c r="A219" s="5" t="s">
        <v>139</v>
      </c>
      <c r="B219" s="5" t="str">
        <f t="shared" si="2"/>
        <v>Y</v>
      </c>
      <c r="C219" s="18" t="s">
        <v>1109</v>
      </c>
      <c r="D219" s="18"/>
      <c r="E219" s="6" t="s">
        <v>1110</v>
      </c>
      <c r="F219" s="19"/>
      <c r="G219" s="20">
        <v>43183</v>
      </c>
      <c r="H219" s="20">
        <v>43183</v>
      </c>
      <c r="L219" s="6">
        <v>9234514411</v>
      </c>
      <c r="M219" s="30"/>
      <c r="N219" s="16" t="s">
        <v>1111</v>
      </c>
      <c r="O219" s="7"/>
      <c r="P219" s="17"/>
    </row>
    <row r="220" spans="1:16" ht="14.25" customHeight="1">
      <c r="A220" s="5" t="s">
        <v>139</v>
      </c>
      <c r="B220" s="5" t="str">
        <f t="shared" si="2"/>
        <v>Y</v>
      </c>
      <c r="C220" s="18" t="s">
        <v>1112</v>
      </c>
      <c r="D220" s="18"/>
      <c r="E220" s="6" t="s">
        <v>1113</v>
      </c>
      <c r="F220" s="19"/>
      <c r="G220" s="20">
        <v>43183</v>
      </c>
      <c r="H220" s="20">
        <v>43186</v>
      </c>
      <c r="L220" s="6">
        <v>7209145688</v>
      </c>
      <c r="M220" s="30" t="s">
        <v>1114</v>
      </c>
      <c r="N220" s="32" t="s">
        <v>1070</v>
      </c>
      <c r="O220" s="32" t="s">
        <v>1115</v>
      </c>
      <c r="P220" s="17" t="s">
        <v>641</v>
      </c>
    </row>
    <row r="221" spans="1:16" ht="14.25" customHeight="1">
      <c r="A221" s="5" t="s">
        <v>139</v>
      </c>
      <c r="B221" s="5" t="str">
        <f t="shared" si="2"/>
        <v>Y</v>
      </c>
      <c r="C221" s="18" t="s">
        <v>1116</v>
      </c>
      <c r="D221" s="18"/>
      <c r="E221" s="6" t="s">
        <v>1117</v>
      </c>
      <c r="F221" s="19"/>
      <c r="G221" s="20">
        <v>43184</v>
      </c>
      <c r="H221" s="20">
        <v>43186</v>
      </c>
      <c r="L221" s="6">
        <v>9234551750</v>
      </c>
      <c r="M221" s="30" t="s">
        <v>1118</v>
      </c>
      <c r="N221" s="16" t="s">
        <v>1070</v>
      </c>
      <c r="O221" s="32">
        <v>23302830181</v>
      </c>
      <c r="P221" s="17" t="s">
        <v>641</v>
      </c>
    </row>
    <row r="222" spans="1:16" ht="14.25" customHeight="1">
      <c r="A222" s="5" t="s">
        <v>139</v>
      </c>
      <c r="B222" s="5" t="str">
        <f t="shared" si="2"/>
        <v>Y</v>
      </c>
      <c r="C222" s="18" t="s">
        <v>1119</v>
      </c>
      <c r="D222" s="18"/>
      <c r="E222" s="6" t="s">
        <v>1120</v>
      </c>
      <c r="F222" s="19"/>
      <c r="G222" s="20">
        <v>43184</v>
      </c>
      <c r="H222" s="20">
        <v>43192</v>
      </c>
      <c r="L222" s="6">
        <v>9234551750</v>
      </c>
      <c r="N222" s="16"/>
      <c r="O222" s="7"/>
      <c r="P222" s="17"/>
    </row>
    <row r="223" spans="1:16" ht="14.25" customHeight="1">
      <c r="A223" s="5" t="s">
        <v>139</v>
      </c>
      <c r="B223" s="5" t="str">
        <f t="shared" si="2"/>
        <v>Y</v>
      </c>
      <c r="C223" s="18" t="s">
        <v>1121</v>
      </c>
      <c r="D223" s="18"/>
      <c r="E223" s="6" t="s">
        <v>1122</v>
      </c>
      <c r="F223" s="19"/>
      <c r="G223" s="20">
        <v>43186</v>
      </c>
      <c r="H223" s="20">
        <v>43186</v>
      </c>
      <c r="L223" s="6">
        <v>8235130354</v>
      </c>
      <c r="M223" s="30" t="s">
        <v>1123</v>
      </c>
      <c r="N223" s="32" t="s">
        <v>1070</v>
      </c>
      <c r="O223" s="32" t="s">
        <v>1124</v>
      </c>
      <c r="P223" s="17"/>
    </row>
    <row r="224" spans="1:16" ht="14.25" customHeight="1">
      <c r="A224" s="5" t="s">
        <v>139</v>
      </c>
      <c r="B224" s="5" t="str">
        <f t="shared" si="2"/>
        <v>Y</v>
      </c>
      <c r="C224" s="18" t="s">
        <v>1125</v>
      </c>
      <c r="D224" s="18"/>
      <c r="E224" s="6" t="s">
        <v>1126</v>
      </c>
      <c r="F224" s="19"/>
      <c r="G224" s="20">
        <v>43186</v>
      </c>
      <c r="H224" s="20">
        <v>43187</v>
      </c>
      <c r="L224" s="6">
        <v>7091997572</v>
      </c>
      <c r="N224" s="16"/>
      <c r="O224" s="7"/>
      <c r="P224" s="17"/>
    </row>
    <row r="225" spans="1:16" ht="14.25" customHeight="1">
      <c r="A225" s="5" t="s">
        <v>139</v>
      </c>
      <c r="B225" s="5" t="str">
        <f t="shared" si="2"/>
        <v>Y</v>
      </c>
      <c r="C225" s="18" t="s">
        <v>1127</v>
      </c>
      <c r="D225" s="18"/>
      <c r="E225" s="6" t="s">
        <v>1128</v>
      </c>
      <c r="F225" s="19"/>
      <c r="G225" s="20">
        <v>43187</v>
      </c>
      <c r="H225" s="20">
        <v>43188</v>
      </c>
      <c r="L225" s="6">
        <v>8092248694</v>
      </c>
      <c r="N225" s="16"/>
      <c r="O225" s="7"/>
      <c r="P225" s="17"/>
    </row>
    <row r="226" spans="1:16" ht="14.25" customHeight="1">
      <c r="A226" s="5" t="s">
        <v>139</v>
      </c>
      <c r="B226" s="5" t="str">
        <f t="shared" si="2"/>
        <v>Y</v>
      </c>
      <c r="C226" s="18" t="s">
        <v>1129</v>
      </c>
      <c r="D226" s="18"/>
      <c r="E226" s="6" t="s">
        <v>1130</v>
      </c>
      <c r="F226" s="19"/>
      <c r="G226" s="20">
        <v>43187</v>
      </c>
      <c r="H226" s="20">
        <v>43188</v>
      </c>
      <c r="L226" s="6">
        <v>9031723899</v>
      </c>
      <c r="M226" s="30" t="s">
        <v>1131</v>
      </c>
      <c r="N226" s="16"/>
      <c r="O226" s="7"/>
      <c r="P226" s="7">
        <v>831004</v>
      </c>
    </row>
    <row r="227" spans="1:16" ht="14.25" customHeight="1">
      <c r="A227" s="5" t="s">
        <v>0</v>
      </c>
      <c r="B227" s="5" t="str">
        <f t="shared" si="2"/>
        <v>Y</v>
      </c>
      <c r="C227" s="18" t="s">
        <v>1132</v>
      </c>
      <c r="D227" s="18"/>
      <c r="E227" s="6" t="s">
        <v>1133</v>
      </c>
      <c r="F227" s="19"/>
      <c r="G227" s="20">
        <v>43188</v>
      </c>
      <c r="H227" s="20">
        <v>43188</v>
      </c>
      <c r="L227" s="6">
        <v>7209717847</v>
      </c>
      <c r="M227" s="30" t="s">
        <v>1134</v>
      </c>
      <c r="N227" s="32" t="s">
        <v>1135</v>
      </c>
      <c r="O227" s="32">
        <v>23302925177</v>
      </c>
      <c r="P227" s="7">
        <v>831003</v>
      </c>
    </row>
    <row r="228" spans="1:16" ht="14.25" customHeight="1">
      <c r="A228" s="5" t="s">
        <v>0</v>
      </c>
      <c r="B228" s="5" t="str">
        <f t="shared" si="2"/>
        <v>Y</v>
      </c>
      <c r="C228" s="18" t="s">
        <v>1136</v>
      </c>
      <c r="D228" s="18"/>
      <c r="E228" s="6" t="s">
        <v>1137</v>
      </c>
      <c r="F228" s="19"/>
      <c r="G228" s="20">
        <v>43188</v>
      </c>
      <c r="H228" s="20">
        <v>43190</v>
      </c>
      <c r="L228" s="6">
        <v>9279217946</v>
      </c>
      <c r="M228" s="30" t="s">
        <v>1138</v>
      </c>
      <c r="N228" s="16"/>
      <c r="O228" s="7"/>
      <c r="P228" s="7">
        <v>831004</v>
      </c>
    </row>
    <row r="229" spans="1:16" ht="14.25" customHeight="1">
      <c r="A229" s="5" t="s">
        <v>0</v>
      </c>
      <c r="B229" s="5" t="str">
        <f t="shared" si="2"/>
        <v>Y</v>
      </c>
      <c r="C229" s="18" t="s">
        <v>1139</v>
      </c>
      <c r="D229" s="18"/>
      <c r="E229" s="6" t="s">
        <v>1140</v>
      </c>
      <c r="F229" s="19"/>
      <c r="G229" s="20">
        <v>43188</v>
      </c>
      <c r="H229" s="20">
        <v>43190</v>
      </c>
      <c r="L229" s="6">
        <v>9234514411</v>
      </c>
      <c r="N229" s="16"/>
      <c r="O229" s="7"/>
      <c r="P229" s="7">
        <v>831004</v>
      </c>
    </row>
    <row r="230" spans="1:16" ht="14.25" customHeight="1">
      <c r="A230" s="5" t="s">
        <v>0</v>
      </c>
      <c r="B230" s="5" t="str">
        <f t="shared" si="2"/>
        <v>Y</v>
      </c>
      <c r="C230" s="18" t="s">
        <v>1141</v>
      </c>
      <c r="D230" s="18"/>
      <c r="E230" s="6" t="s">
        <v>1142</v>
      </c>
      <c r="F230" s="19"/>
      <c r="G230" s="20">
        <v>43190</v>
      </c>
      <c r="H230" s="20">
        <v>43163</v>
      </c>
      <c r="L230" s="6">
        <v>9031331561</v>
      </c>
      <c r="M230" s="24" t="s">
        <v>1143</v>
      </c>
      <c r="N230" s="60" t="s">
        <v>1144</v>
      </c>
      <c r="O230" s="7"/>
      <c r="P230" s="7">
        <v>831004</v>
      </c>
    </row>
    <row r="231" spans="1:16" ht="14.25" customHeight="1">
      <c r="A231" s="5" t="s">
        <v>0</v>
      </c>
      <c r="B231" s="5" t="str">
        <f t="shared" si="2"/>
        <v>N</v>
      </c>
      <c r="C231" s="18" t="s">
        <v>1145</v>
      </c>
      <c r="D231" s="18"/>
      <c r="E231" s="6" t="s">
        <v>1146</v>
      </c>
      <c r="F231" s="19"/>
      <c r="G231" s="20">
        <v>43190</v>
      </c>
      <c r="H231" s="20"/>
      <c r="L231" s="6">
        <v>7367883102</v>
      </c>
      <c r="N231" s="16"/>
      <c r="O231" s="7"/>
      <c r="P231" s="7"/>
    </row>
    <row r="232" spans="1:16" ht="14.25" customHeight="1">
      <c r="A232" s="5" t="s">
        <v>0</v>
      </c>
      <c r="B232" s="5" t="str">
        <f t="shared" si="2"/>
        <v>Y</v>
      </c>
      <c r="C232" s="18" t="s">
        <v>1147</v>
      </c>
      <c r="D232" s="18"/>
      <c r="E232" s="6" t="s">
        <v>1148</v>
      </c>
      <c r="F232" s="19"/>
      <c r="G232" s="20">
        <v>43191</v>
      </c>
      <c r="H232" s="20">
        <v>43192</v>
      </c>
      <c r="L232" s="6">
        <v>9955828481</v>
      </c>
      <c r="M232" s="30" t="s">
        <v>1149</v>
      </c>
      <c r="N232" s="46">
        <v>43211</v>
      </c>
      <c r="O232" s="32" t="s">
        <v>1150</v>
      </c>
      <c r="P232" s="7">
        <v>835223</v>
      </c>
    </row>
    <row r="233" spans="1:16" ht="14.25" customHeight="1">
      <c r="A233" s="5" t="s">
        <v>0</v>
      </c>
      <c r="B233" s="5" t="str">
        <f t="shared" si="2"/>
        <v>Y</v>
      </c>
      <c r="C233" s="18" t="s">
        <v>1151</v>
      </c>
      <c r="D233" s="18"/>
      <c r="E233" s="6" t="s">
        <v>1152</v>
      </c>
      <c r="F233" s="19"/>
      <c r="G233" s="20">
        <v>43192</v>
      </c>
      <c r="H233" s="20">
        <v>43193</v>
      </c>
      <c r="L233" s="6">
        <v>7739952868</v>
      </c>
      <c r="M233" s="30" t="s">
        <v>1153</v>
      </c>
      <c r="N233" s="32" t="s">
        <v>1154</v>
      </c>
      <c r="O233" s="7"/>
      <c r="P233" s="7">
        <v>835212</v>
      </c>
    </row>
    <row r="234" spans="1:16" ht="14.25" customHeight="1">
      <c r="A234" s="5" t="s">
        <v>0</v>
      </c>
      <c r="B234" s="5" t="str">
        <f t="shared" si="2"/>
        <v>Y</v>
      </c>
      <c r="C234" s="18" t="s">
        <v>1155</v>
      </c>
      <c r="D234" s="18"/>
      <c r="E234" s="6" t="s">
        <v>1156</v>
      </c>
      <c r="F234" s="19"/>
      <c r="G234" s="20">
        <v>43193</v>
      </c>
      <c r="H234" s="20">
        <v>43194</v>
      </c>
      <c r="L234" s="6">
        <v>8621800333</v>
      </c>
      <c r="M234" s="30" t="s">
        <v>1157</v>
      </c>
      <c r="N234" s="32" t="s">
        <v>1108</v>
      </c>
      <c r="O234" s="32">
        <v>23302903306</v>
      </c>
      <c r="P234" s="7">
        <v>831016</v>
      </c>
    </row>
    <row r="235" spans="1:16" ht="14.25" customHeight="1">
      <c r="A235" s="5" t="s">
        <v>0</v>
      </c>
      <c r="B235" s="5" t="str">
        <f t="shared" si="2"/>
        <v>Y</v>
      </c>
      <c r="C235" s="18" t="s">
        <v>1158</v>
      </c>
      <c r="D235" s="18"/>
      <c r="E235" s="6" t="s">
        <v>1159</v>
      </c>
      <c r="F235" s="19"/>
      <c r="G235" s="20">
        <v>43193</v>
      </c>
      <c r="H235" s="20">
        <v>43194</v>
      </c>
      <c r="L235" s="6">
        <v>7255068066</v>
      </c>
      <c r="M235" s="30" t="s">
        <v>1160</v>
      </c>
      <c r="N235" s="32" t="s">
        <v>1154</v>
      </c>
      <c r="O235" s="32" t="s">
        <v>1161</v>
      </c>
      <c r="P235" s="7"/>
    </row>
    <row r="236" spans="1:16" ht="14.25" customHeight="1">
      <c r="A236" s="5" t="s">
        <v>0</v>
      </c>
      <c r="B236" s="5" t="str">
        <f t="shared" si="2"/>
        <v>Y</v>
      </c>
      <c r="C236" s="18" t="s">
        <v>1162</v>
      </c>
      <c r="D236" s="18"/>
      <c r="E236" s="6" t="s">
        <v>1163</v>
      </c>
      <c r="F236" s="19"/>
      <c r="G236" s="20">
        <v>43193</v>
      </c>
      <c r="H236" s="20">
        <v>43194</v>
      </c>
      <c r="L236" s="6">
        <v>8235404818</v>
      </c>
      <c r="M236" s="30" t="s">
        <v>1164</v>
      </c>
      <c r="N236" s="32" t="s">
        <v>1165</v>
      </c>
      <c r="O236" s="32">
        <v>23302945863</v>
      </c>
      <c r="P236" s="7">
        <v>831007</v>
      </c>
    </row>
    <row r="237" spans="1:16" ht="14.25" customHeight="1">
      <c r="A237" s="5" t="s">
        <v>0</v>
      </c>
      <c r="B237" s="5" t="str">
        <f t="shared" si="2"/>
        <v>Y</v>
      </c>
      <c r="C237" s="18" t="s">
        <v>1166</v>
      </c>
      <c r="D237" s="18"/>
      <c r="E237" s="6" t="s">
        <v>1167</v>
      </c>
      <c r="F237" s="19"/>
      <c r="G237" s="20">
        <v>43194</v>
      </c>
      <c r="H237" s="20">
        <v>43194</v>
      </c>
      <c r="L237" s="6">
        <v>9546338230</v>
      </c>
      <c r="M237" s="30" t="s">
        <v>1168</v>
      </c>
      <c r="N237" s="46">
        <v>43208</v>
      </c>
      <c r="O237" s="32">
        <v>23302903311</v>
      </c>
      <c r="P237" s="7"/>
    </row>
    <row r="238" spans="1:16" ht="14.25" customHeight="1">
      <c r="A238" s="5" t="s">
        <v>0</v>
      </c>
      <c r="B238" s="5" t="str">
        <f t="shared" si="2"/>
        <v>Y</v>
      </c>
      <c r="C238" s="18" t="s">
        <v>1169</v>
      </c>
      <c r="D238" s="18"/>
      <c r="E238" s="6" t="s">
        <v>1170</v>
      </c>
      <c r="F238" s="19"/>
      <c r="G238" s="20">
        <v>43195</v>
      </c>
      <c r="H238" s="20">
        <v>43197</v>
      </c>
      <c r="L238" s="6">
        <v>9031958801</v>
      </c>
      <c r="M238" s="30" t="s">
        <v>1171</v>
      </c>
      <c r="N238" s="32" t="s">
        <v>1172</v>
      </c>
      <c r="O238" s="32" t="s">
        <v>1173</v>
      </c>
      <c r="P238" s="7">
        <v>831002</v>
      </c>
    </row>
    <row r="239" spans="1:16" ht="14.25" customHeight="1">
      <c r="A239" s="5" t="s">
        <v>0</v>
      </c>
      <c r="B239" s="5" t="str">
        <f t="shared" si="2"/>
        <v>Y</v>
      </c>
      <c r="C239" s="18" t="s">
        <v>1174</v>
      </c>
      <c r="D239" s="18"/>
      <c r="E239" s="6" t="s">
        <v>1175</v>
      </c>
      <c r="F239" s="19"/>
      <c r="G239" s="20">
        <v>43195</v>
      </c>
      <c r="H239" s="20">
        <v>43197</v>
      </c>
      <c r="L239" s="6">
        <v>7209275861</v>
      </c>
      <c r="N239" s="16"/>
      <c r="O239" s="7"/>
      <c r="P239" s="7">
        <v>831004</v>
      </c>
    </row>
    <row r="240" spans="1:16" ht="14.25" customHeight="1">
      <c r="A240" s="5" t="s">
        <v>0</v>
      </c>
      <c r="B240" s="5" t="str">
        <f t="shared" si="2"/>
        <v>Y</v>
      </c>
      <c r="C240" s="18" t="s">
        <v>1176</v>
      </c>
      <c r="D240" s="18"/>
      <c r="E240" s="6" t="s">
        <v>1177</v>
      </c>
      <c r="F240" s="19"/>
      <c r="G240" s="20">
        <v>43196</v>
      </c>
      <c r="H240" s="20">
        <v>43197</v>
      </c>
      <c r="L240" s="6">
        <v>7369960952</v>
      </c>
      <c r="M240" s="30" t="s">
        <v>1178</v>
      </c>
      <c r="N240" s="32" t="s">
        <v>1179</v>
      </c>
      <c r="O240" s="32" t="s">
        <v>1180</v>
      </c>
      <c r="P240" s="7">
        <v>802165</v>
      </c>
    </row>
    <row r="241" spans="1:16" ht="14.25" customHeight="1">
      <c r="A241" s="5" t="s">
        <v>0</v>
      </c>
      <c r="B241" s="5" t="str">
        <f t="shared" si="2"/>
        <v>Y</v>
      </c>
      <c r="C241" s="6" t="s">
        <v>1181</v>
      </c>
      <c r="D241" s="6"/>
      <c r="E241" s="6" t="s">
        <v>1182</v>
      </c>
      <c r="F241" s="19"/>
      <c r="G241" s="20">
        <v>43196</v>
      </c>
      <c r="H241" s="20">
        <v>43197</v>
      </c>
      <c r="L241" s="6">
        <v>7781037391</v>
      </c>
      <c r="N241" s="16"/>
      <c r="O241" s="7"/>
      <c r="P241" s="7"/>
    </row>
    <row r="242" spans="1:16" ht="14.25" customHeight="1">
      <c r="A242" s="5" t="s">
        <v>0</v>
      </c>
      <c r="B242" s="5" t="str">
        <f t="shared" si="2"/>
        <v>Y</v>
      </c>
      <c r="C242" s="18" t="s">
        <v>1183</v>
      </c>
      <c r="D242" s="18"/>
      <c r="E242" s="6" t="s">
        <v>1184</v>
      </c>
      <c r="F242" s="19"/>
      <c r="G242" s="20">
        <v>43197</v>
      </c>
      <c r="H242" s="20">
        <v>43197</v>
      </c>
      <c r="L242" s="6">
        <v>7209935080</v>
      </c>
      <c r="M242" s="24" t="s">
        <v>1185</v>
      </c>
      <c r="N242" s="17">
        <v>43229</v>
      </c>
      <c r="O242" s="24" t="s">
        <v>1186</v>
      </c>
      <c r="P242" s="7">
        <v>831004</v>
      </c>
    </row>
    <row r="243" spans="1:16" ht="14.25" customHeight="1">
      <c r="A243" s="5" t="s">
        <v>0</v>
      </c>
      <c r="B243" s="5" t="str">
        <f t="shared" si="2"/>
        <v>Y</v>
      </c>
      <c r="C243" s="24" t="s">
        <v>1187</v>
      </c>
      <c r="D243" s="24"/>
      <c r="E243" s="6" t="s">
        <v>1188</v>
      </c>
      <c r="F243" s="19"/>
      <c r="G243" s="20">
        <v>43197</v>
      </c>
      <c r="H243" s="20">
        <v>43202</v>
      </c>
      <c r="L243" s="6">
        <v>9471588127</v>
      </c>
      <c r="N243" s="16"/>
      <c r="O243" s="7"/>
      <c r="P243" s="7">
        <v>831004</v>
      </c>
    </row>
    <row r="244" spans="1:16" ht="14.25" customHeight="1">
      <c r="A244" s="5" t="s">
        <v>0</v>
      </c>
      <c r="B244" s="5" t="str">
        <f t="shared" si="2"/>
        <v>Y</v>
      </c>
      <c r="C244" s="18" t="s">
        <v>1189</v>
      </c>
      <c r="D244" s="18"/>
      <c r="E244" s="6" t="s">
        <v>1190</v>
      </c>
      <c r="F244" s="19"/>
      <c r="G244" s="20">
        <v>43197</v>
      </c>
      <c r="H244" s="20">
        <v>43198</v>
      </c>
      <c r="L244" s="6">
        <v>8409112567</v>
      </c>
      <c r="M244" s="30" t="s">
        <v>1191</v>
      </c>
      <c r="N244" s="32" t="s">
        <v>1192</v>
      </c>
      <c r="O244" s="32" t="s">
        <v>1193</v>
      </c>
      <c r="P244" s="7">
        <v>831004</v>
      </c>
    </row>
    <row r="245" spans="1:16" ht="14.25" customHeight="1">
      <c r="A245" s="5" t="s">
        <v>0</v>
      </c>
      <c r="B245" s="5" t="str">
        <f t="shared" si="2"/>
        <v>N</v>
      </c>
      <c r="C245" s="18" t="s">
        <v>1194</v>
      </c>
      <c r="D245" s="18"/>
      <c r="E245" s="6" t="s">
        <v>1195</v>
      </c>
      <c r="F245" s="19"/>
      <c r="G245" s="20">
        <v>43198</v>
      </c>
      <c r="H245" s="5"/>
      <c r="L245" s="6">
        <v>8867649944</v>
      </c>
      <c r="M245" s="37" t="s">
        <v>1196</v>
      </c>
      <c r="N245" s="46">
        <v>43220</v>
      </c>
      <c r="O245" s="32">
        <v>23301150442</v>
      </c>
      <c r="P245" s="17"/>
    </row>
    <row r="246" spans="1:16" ht="14.25" customHeight="1">
      <c r="A246" s="5" t="s">
        <v>0</v>
      </c>
      <c r="B246" s="5" t="str">
        <f t="shared" si="2"/>
        <v>Y</v>
      </c>
      <c r="C246" s="18" t="s">
        <v>1197</v>
      </c>
      <c r="D246" s="18"/>
      <c r="E246" s="6" t="s">
        <v>1198</v>
      </c>
      <c r="F246" s="19"/>
      <c r="G246" s="20">
        <v>43199</v>
      </c>
      <c r="H246" s="20">
        <v>43199</v>
      </c>
      <c r="L246" s="6">
        <v>9570000735</v>
      </c>
      <c r="M246" s="30" t="s">
        <v>1199</v>
      </c>
      <c r="N246" s="32" t="s">
        <v>1192</v>
      </c>
      <c r="O246" s="32">
        <v>23302647213</v>
      </c>
      <c r="P246" s="7">
        <v>831004</v>
      </c>
    </row>
    <row r="247" spans="1:16" ht="14.25" customHeight="1">
      <c r="A247" s="5" t="s">
        <v>0</v>
      </c>
      <c r="B247" s="5" t="str">
        <f t="shared" si="2"/>
        <v>Y</v>
      </c>
      <c r="C247" s="18" t="s">
        <v>1200</v>
      </c>
      <c r="D247" s="18"/>
      <c r="E247" s="6" t="s">
        <v>1201</v>
      </c>
      <c r="F247" s="19"/>
      <c r="G247" s="20">
        <v>43199</v>
      </c>
      <c r="H247" s="20">
        <v>43203</v>
      </c>
      <c r="L247" s="6">
        <v>7903512466</v>
      </c>
      <c r="M247" s="30" t="s">
        <v>1202</v>
      </c>
      <c r="N247" s="32" t="s">
        <v>1192</v>
      </c>
      <c r="O247" s="32" t="s">
        <v>1203</v>
      </c>
      <c r="P247" s="7">
        <v>831004</v>
      </c>
    </row>
    <row r="248" spans="1:16" ht="14.25" customHeight="1">
      <c r="A248" s="5" t="s">
        <v>0</v>
      </c>
      <c r="B248" s="5" t="str">
        <f t="shared" si="2"/>
        <v>Y</v>
      </c>
      <c r="C248" s="18" t="s">
        <v>1204</v>
      </c>
      <c r="D248" s="18"/>
      <c r="E248" s="6" t="s">
        <v>1205</v>
      </c>
      <c r="F248" s="19"/>
      <c r="G248" s="20">
        <v>43201</v>
      </c>
      <c r="H248" s="20">
        <v>43201</v>
      </c>
      <c r="L248" s="6">
        <v>7209771052</v>
      </c>
      <c r="M248" s="37" t="s">
        <v>1178</v>
      </c>
      <c r="N248" s="32" t="s">
        <v>1206</v>
      </c>
      <c r="O248" s="32" t="s">
        <v>1207</v>
      </c>
      <c r="P248" s="7">
        <v>831004</v>
      </c>
    </row>
    <row r="249" spans="1:16" ht="14.25" customHeight="1">
      <c r="A249" s="5" t="s">
        <v>0</v>
      </c>
      <c r="B249" s="5" t="str">
        <f t="shared" si="2"/>
        <v>Y</v>
      </c>
      <c r="C249" s="18" t="s">
        <v>1208</v>
      </c>
      <c r="D249" s="18"/>
      <c r="E249" s="6" t="s">
        <v>1209</v>
      </c>
      <c r="F249" s="19"/>
      <c r="G249" s="20">
        <v>43202</v>
      </c>
      <c r="H249" s="20">
        <v>43202</v>
      </c>
      <c r="L249" s="6">
        <v>7209532177</v>
      </c>
      <c r="M249" s="30" t="s">
        <v>1210</v>
      </c>
      <c r="N249" s="32" t="s">
        <v>1211</v>
      </c>
      <c r="O249" s="32">
        <v>23301151695</v>
      </c>
      <c r="P249" s="7">
        <v>831008</v>
      </c>
    </row>
    <row r="250" spans="1:16" ht="14.25" customHeight="1">
      <c r="A250" s="5" t="s">
        <v>0</v>
      </c>
      <c r="B250" s="5" t="str">
        <f t="shared" si="2"/>
        <v>Y</v>
      </c>
      <c r="C250" s="18" t="s">
        <v>1212</v>
      </c>
      <c r="D250" s="18"/>
      <c r="E250" s="6" t="s">
        <v>1213</v>
      </c>
      <c r="F250" s="19"/>
      <c r="G250" s="20">
        <v>43202</v>
      </c>
      <c r="H250" s="20">
        <v>43202</v>
      </c>
      <c r="L250" s="6">
        <v>7319771619</v>
      </c>
      <c r="M250" s="30" t="s">
        <v>1214</v>
      </c>
      <c r="N250" s="16"/>
      <c r="O250" s="7"/>
      <c r="P250" s="7">
        <v>831004</v>
      </c>
    </row>
    <row r="251" spans="1:16" ht="14.25" customHeight="1">
      <c r="A251" s="5" t="s">
        <v>0</v>
      </c>
      <c r="B251" s="5" t="str">
        <f t="shared" si="2"/>
        <v>Y</v>
      </c>
      <c r="C251" s="18" t="s">
        <v>1215</v>
      </c>
      <c r="D251" s="18"/>
      <c r="E251" s="6" t="s">
        <v>519</v>
      </c>
      <c r="F251" s="19"/>
      <c r="G251" s="20">
        <v>43202</v>
      </c>
      <c r="H251" s="20">
        <v>43202</v>
      </c>
      <c r="L251" s="6">
        <v>9334069096</v>
      </c>
      <c r="N251" s="16"/>
      <c r="O251" s="7"/>
      <c r="P251" s="7">
        <v>831004</v>
      </c>
    </row>
    <row r="252" spans="1:16" ht="14.25" customHeight="1">
      <c r="A252" s="5" t="s">
        <v>0</v>
      </c>
      <c r="B252" s="5" t="str">
        <f t="shared" si="2"/>
        <v>Y</v>
      </c>
      <c r="C252" s="18" t="s">
        <v>1216</v>
      </c>
      <c r="D252" s="18"/>
      <c r="E252" s="6" t="s">
        <v>1217</v>
      </c>
      <c r="F252" s="19"/>
      <c r="G252" s="20">
        <v>43202</v>
      </c>
      <c r="H252" s="20">
        <v>43203</v>
      </c>
      <c r="L252" s="6">
        <v>7209704639</v>
      </c>
      <c r="M252" s="30" t="s">
        <v>1218</v>
      </c>
      <c r="N252" s="32" t="s">
        <v>1192</v>
      </c>
      <c r="O252" s="32" t="s">
        <v>1219</v>
      </c>
      <c r="P252" s="7">
        <v>831008</v>
      </c>
    </row>
    <row r="253" spans="1:16" ht="14.25" customHeight="1">
      <c r="A253" s="5" t="s">
        <v>0</v>
      </c>
      <c r="B253" s="5" t="str">
        <f t="shared" si="2"/>
        <v>Y</v>
      </c>
      <c r="C253" s="18" t="s">
        <v>1220</v>
      </c>
      <c r="D253" s="18"/>
      <c r="E253" s="6" t="s">
        <v>1221</v>
      </c>
      <c r="F253" s="19"/>
      <c r="G253" s="20">
        <v>43203</v>
      </c>
      <c r="H253" s="20">
        <v>43203</v>
      </c>
      <c r="L253" s="6">
        <v>7762847337</v>
      </c>
      <c r="M253" s="30" t="s">
        <v>1222</v>
      </c>
      <c r="N253" s="32" t="s">
        <v>1223</v>
      </c>
      <c r="O253" s="32">
        <v>23302658813</v>
      </c>
      <c r="P253" s="7">
        <v>831004</v>
      </c>
    </row>
    <row r="254" spans="1:16" ht="14.25" customHeight="1">
      <c r="A254" s="5" t="s">
        <v>0</v>
      </c>
      <c r="B254" s="5" t="str">
        <f t="shared" si="2"/>
        <v>Y</v>
      </c>
      <c r="C254" s="18" t="s">
        <v>1224</v>
      </c>
      <c r="D254" s="18"/>
      <c r="E254" s="6" t="s">
        <v>1225</v>
      </c>
      <c r="F254" s="19"/>
      <c r="G254" s="20">
        <v>43204</v>
      </c>
      <c r="H254" s="20">
        <v>43203</v>
      </c>
      <c r="L254" s="6">
        <v>7366088419</v>
      </c>
      <c r="M254" s="37" t="s">
        <v>1226</v>
      </c>
      <c r="N254" s="46">
        <v>43220</v>
      </c>
      <c r="O254" s="32">
        <v>23302658818</v>
      </c>
      <c r="P254" s="7">
        <v>831004</v>
      </c>
    </row>
    <row r="255" spans="1:16" ht="14.25" customHeight="1">
      <c r="A255" s="5" t="s">
        <v>0</v>
      </c>
      <c r="B255" s="5" t="str">
        <f t="shared" si="2"/>
        <v>Y</v>
      </c>
      <c r="C255" s="18" t="s">
        <v>1227</v>
      </c>
      <c r="D255" s="18"/>
      <c r="E255" s="6" t="s">
        <v>1228</v>
      </c>
      <c r="F255" s="19"/>
      <c r="G255" s="20">
        <v>43204</v>
      </c>
      <c r="H255" s="20">
        <v>43203</v>
      </c>
      <c r="L255" s="6">
        <v>7209356261</v>
      </c>
      <c r="N255" s="16"/>
      <c r="O255" s="7"/>
      <c r="P255" s="7">
        <v>831004</v>
      </c>
    </row>
    <row r="256" spans="1:16" ht="14.25" customHeight="1">
      <c r="A256" s="5" t="s">
        <v>0</v>
      </c>
      <c r="B256" s="5" t="str">
        <f t="shared" si="2"/>
        <v>Y</v>
      </c>
      <c r="C256" s="18" t="s">
        <v>1229</v>
      </c>
      <c r="D256" s="18"/>
      <c r="E256" s="6" t="s">
        <v>1230</v>
      </c>
      <c r="F256" s="19"/>
      <c r="G256" s="20">
        <v>43204</v>
      </c>
      <c r="H256" s="20">
        <v>43205</v>
      </c>
      <c r="L256" s="6">
        <v>9430156682</v>
      </c>
      <c r="M256" s="30" t="s">
        <v>1231</v>
      </c>
      <c r="N256" s="32" t="s">
        <v>1232</v>
      </c>
      <c r="O256" s="32" t="s">
        <v>1233</v>
      </c>
      <c r="P256" s="7">
        <v>831004</v>
      </c>
    </row>
    <row r="257" spans="1:16" ht="14.25" customHeight="1">
      <c r="A257" s="5" t="s">
        <v>0</v>
      </c>
      <c r="B257" s="5" t="str">
        <f t="shared" si="2"/>
        <v>Y</v>
      </c>
      <c r="C257" s="18" t="s">
        <v>1234</v>
      </c>
      <c r="D257" s="18"/>
      <c r="E257" s="6" t="s">
        <v>1235</v>
      </c>
      <c r="F257" s="19"/>
      <c r="G257" s="20">
        <v>43204</v>
      </c>
      <c r="H257" s="20">
        <v>43213</v>
      </c>
      <c r="L257" s="6">
        <v>8603203100</v>
      </c>
      <c r="M257" s="30" t="s">
        <v>1236</v>
      </c>
      <c r="N257" s="32" t="s">
        <v>1232</v>
      </c>
      <c r="O257" s="32" t="s">
        <v>1237</v>
      </c>
      <c r="P257" s="7">
        <v>831004</v>
      </c>
    </row>
    <row r="258" spans="1:16" ht="14.25" customHeight="1">
      <c r="A258" s="5" t="s">
        <v>0</v>
      </c>
      <c r="B258" s="5" t="str">
        <f t="shared" si="2"/>
        <v>Y</v>
      </c>
      <c r="C258" s="18" t="s">
        <v>1238</v>
      </c>
      <c r="D258" s="18"/>
      <c r="E258" s="6" t="s">
        <v>1239</v>
      </c>
      <c r="F258" s="19"/>
      <c r="G258" s="20">
        <v>43205</v>
      </c>
      <c r="H258" s="20">
        <v>43205</v>
      </c>
      <c r="L258" s="6">
        <v>9931209458</v>
      </c>
      <c r="M258" s="30" t="s">
        <v>1240</v>
      </c>
      <c r="N258" s="32" t="s">
        <v>1241</v>
      </c>
      <c r="O258" s="32">
        <v>23302658821</v>
      </c>
      <c r="P258" s="7">
        <v>831004</v>
      </c>
    </row>
    <row r="259" spans="1:16" ht="14.25" customHeight="1">
      <c r="A259" s="5" t="s">
        <v>0</v>
      </c>
      <c r="B259" s="5" t="str">
        <f t="shared" si="2"/>
        <v>Y</v>
      </c>
      <c r="C259" s="18" t="s">
        <v>1242</v>
      </c>
      <c r="D259" s="18"/>
      <c r="E259" s="6" t="s">
        <v>1243</v>
      </c>
      <c r="F259" s="19"/>
      <c r="G259" s="20">
        <v>43205</v>
      </c>
      <c r="H259" s="20">
        <v>43205</v>
      </c>
      <c r="L259" s="6">
        <v>8210442880</v>
      </c>
      <c r="M259" s="30" t="s">
        <v>1244</v>
      </c>
      <c r="N259" s="32" t="s">
        <v>1245</v>
      </c>
      <c r="O259" s="32" t="s">
        <v>1246</v>
      </c>
      <c r="P259" s="7">
        <v>831004</v>
      </c>
    </row>
    <row r="260" spans="1:16" ht="14.25" customHeight="1">
      <c r="A260" s="5" t="s">
        <v>0</v>
      </c>
      <c r="B260" s="5" t="str">
        <f t="shared" si="2"/>
        <v>Y</v>
      </c>
      <c r="C260" s="18" t="s">
        <v>1247</v>
      </c>
      <c r="D260" s="18"/>
      <c r="E260" s="6" t="s">
        <v>1248</v>
      </c>
      <c r="F260" s="19"/>
      <c r="G260" s="20">
        <v>43205</v>
      </c>
      <c r="H260" s="20">
        <v>43206</v>
      </c>
      <c r="L260" s="6">
        <v>9835364078</v>
      </c>
      <c r="M260" s="37" t="s">
        <v>1249</v>
      </c>
      <c r="N260" s="32" t="s">
        <v>1250</v>
      </c>
      <c r="O260" s="32" t="s">
        <v>1251</v>
      </c>
      <c r="P260" s="7">
        <v>831004</v>
      </c>
    </row>
    <row r="261" spans="1:16" ht="14.25" customHeight="1">
      <c r="A261" s="5" t="s">
        <v>0</v>
      </c>
      <c r="B261" s="5" t="str">
        <f t="shared" si="2"/>
        <v>Y</v>
      </c>
      <c r="C261" s="18" t="s">
        <v>1252</v>
      </c>
      <c r="D261" s="18"/>
      <c r="E261" s="6" t="s">
        <v>1253</v>
      </c>
      <c r="F261" s="19"/>
      <c r="G261" s="20">
        <v>43205</v>
      </c>
      <c r="H261" s="20">
        <v>43209</v>
      </c>
      <c r="L261" s="6">
        <v>7209651021</v>
      </c>
      <c r="M261" s="30" t="s">
        <v>1254</v>
      </c>
      <c r="N261" s="32" t="s">
        <v>1255</v>
      </c>
      <c r="O261" s="32" t="s">
        <v>1256</v>
      </c>
      <c r="P261" s="7">
        <v>831004</v>
      </c>
    </row>
    <row r="262" spans="1:16" ht="14.25" customHeight="1">
      <c r="A262" s="5" t="s">
        <v>0</v>
      </c>
      <c r="B262" s="5" t="str">
        <f t="shared" si="2"/>
        <v>Y</v>
      </c>
      <c r="C262" s="18" t="s">
        <v>1257</v>
      </c>
      <c r="D262" s="18"/>
      <c r="E262" s="6" t="s">
        <v>1258</v>
      </c>
      <c r="F262" s="19"/>
      <c r="G262" s="20">
        <v>43206</v>
      </c>
      <c r="H262" s="20">
        <v>43206</v>
      </c>
      <c r="L262" s="6">
        <v>9279148348</v>
      </c>
      <c r="M262" s="30" t="s">
        <v>1254</v>
      </c>
      <c r="N262" s="32" t="s">
        <v>1232</v>
      </c>
      <c r="O262" s="32" t="s">
        <v>1259</v>
      </c>
      <c r="P262" s="7">
        <v>831004</v>
      </c>
    </row>
    <row r="263" spans="1:16" ht="14.25" customHeight="1">
      <c r="A263" s="5" t="s">
        <v>0</v>
      </c>
      <c r="B263" s="5" t="str">
        <f t="shared" si="2"/>
        <v>Y</v>
      </c>
      <c r="C263" s="18" t="s">
        <v>1260</v>
      </c>
      <c r="D263" s="18"/>
      <c r="E263" s="6" t="s">
        <v>1261</v>
      </c>
      <c r="F263" s="19"/>
      <c r="G263" s="20">
        <v>43206</v>
      </c>
      <c r="H263" s="20">
        <v>43206</v>
      </c>
      <c r="L263" s="6">
        <v>8092402913</v>
      </c>
      <c r="M263" s="30" t="s">
        <v>1262</v>
      </c>
      <c r="N263" s="32" t="s">
        <v>1263</v>
      </c>
      <c r="O263" s="32" t="s">
        <v>1264</v>
      </c>
      <c r="P263" s="7">
        <v>831004</v>
      </c>
    </row>
    <row r="264" spans="1:16" ht="14.25" customHeight="1">
      <c r="A264" s="5" t="s">
        <v>0</v>
      </c>
      <c r="B264" s="5" t="str">
        <f t="shared" si="2"/>
        <v>Y</v>
      </c>
      <c r="C264" s="18" t="s">
        <v>1265</v>
      </c>
      <c r="D264" s="18"/>
      <c r="E264" s="6" t="s">
        <v>1266</v>
      </c>
      <c r="F264" s="19"/>
      <c r="G264" s="20">
        <v>43207</v>
      </c>
      <c r="H264" s="20">
        <v>43208</v>
      </c>
      <c r="L264" s="6">
        <v>7488546957</v>
      </c>
      <c r="M264" s="37" t="s">
        <v>1164</v>
      </c>
      <c r="N264" s="32" t="s">
        <v>1192</v>
      </c>
      <c r="O264" s="32" t="s">
        <v>1267</v>
      </c>
      <c r="P264" s="7">
        <v>831016</v>
      </c>
    </row>
    <row r="265" spans="1:16" ht="14.25" customHeight="1">
      <c r="A265" s="5" t="s">
        <v>0</v>
      </c>
      <c r="B265" s="5" t="str">
        <f t="shared" si="2"/>
        <v>Y</v>
      </c>
      <c r="C265" s="18" t="s">
        <v>1268</v>
      </c>
      <c r="D265" s="18"/>
      <c r="E265" s="6" t="s">
        <v>303</v>
      </c>
      <c r="F265" s="19"/>
      <c r="G265" s="20">
        <v>43207</v>
      </c>
      <c r="H265" s="20">
        <v>43213</v>
      </c>
      <c r="L265" s="6">
        <v>7463062521</v>
      </c>
      <c r="M265" s="30" t="s">
        <v>860</v>
      </c>
      <c r="N265" s="16"/>
      <c r="O265" s="7"/>
      <c r="P265" s="7">
        <v>831004</v>
      </c>
    </row>
    <row r="266" spans="1:16" ht="14.25" customHeight="1">
      <c r="A266" s="5" t="s">
        <v>0</v>
      </c>
      <c r="B266" s="5" t="str">
        <f t="shared" si="2"/>
        <v>Y</v>
      </c>
      <c r="C266" s="18" t="s">
        <v>1269</v>
      </c>
      <c r="D266" s="18"/>
      <c r="E266" s="6" t="s">
        <v>1270</v>
      </c>
      <c r="F266" s="19"/>
      <c r="G266" s="20">
        <v>43208</v>
      </c>
      <c r="H266" s="20">
        <v>43209</v>
      </c>
      <c r="L266" s="6">
        <v>8210045356</v>
      </c>
      <c r="M266" s="30" t="s">
        <v>860</v>
      </c>
      <c r="N266" s="16"/>
      <c r="O266" s="7"/>
      <c r="P266" s="7">
        <v>831004</v>
      </c>
    </row>
    <row r="267" spans="1:16" ht="14.25" customHeight="1">
      <c r="A267" s="5" t="s">
        <v>0</v>
      </c>
      <c r="B267" s="5" t="str">
        <f t="shared" si="2"/>
        <v>Y</v>
      </c>
      <c r="C267" s="18" t="s">
        <v>1271</v>
      </c>
      <c r="D267" s="18"/>
      <c r="E267" s="6" t="s">
        <v>1272</v>
      </c>
      <c r="F267" s="19"/>
      <c r="G267" s="20">
        <v>43208</v>
      </c>
      <c r="H267" s="20">
        <v>43215</v>
      </c>
      <c r="L267" s="6">
        <v>7070361272</v>
      </c>
      <c r="M267" s="30" t="s">
        <v>860</v>
      </c>
      <c r="N267" s="16"/>
      <c r="O267" s="7"/>
      <c r="P267" s="7">
        <v>831008</v>
      </c>
    </row>
    <row r="268" spans="1:16" ht="14.25" customHeight="1">
      <c r="A268" s="5" t="s">
        <v>0</v>
      </c>
      <c r="B268" s="5" t="str">
        <f t="shared" si="2"/>
        <v>Y</v>
      </c>
      <c r="C268" s="18" t="s">
        <v>1273</v>
      </c>
      <c r="D268" s="18"/>
      <c r="E268" s="6" t="s">
        <v>1274</v>
      </c>
      <c r="F268" s="19"/>
      <c r="G268" s="20">
        <v>43209</v>
      </c>
      <c r="H268" s="20">
        <v>43211</v>
      </c>
      <c r="L268" s="6">
        <v>9199348774</v>
      </c>
      <c r="M268" s="30" t="s">
        <v>1275</v>
      </c>
      <c r="N268" s="32" t="s">
        <v>1276</v>
      </c>
      <c r="O268" s="32" t="s">
        <v>1277</v>
      </c>
      <c r="P268" s="7">
        <v>831004</v>
      </c>
    </row>
    <row r="269" spans="1:16" ht="14.25" customHeight="1">
      <c r="A269" s="5" t="s">
        <v>0</v>
      </c>
      <c r="B269" s="5" t="str">
        <f t="shared" si="2"/>
        <v>Y</v>
      </c>
      <c r="C269" s="18" t="s">
        <v>1278</v>
      </c>
      <c r="D269" s="18"/>
      <c r="E269" s="6" t="s">
        <v>1279</v>
      </c>
      <c r="F269" s="19"/>
      <c r="G269" s="20">
        <v>43209</v>
      </c>
      <c r="H269" s="20">
        <v>43224</v>
      </c>
      <c r="L269" s="6">
        <v>9204526594</v>
      </c>
      <c r="M269" s="61" t="s">
        <v>1280</v>
      </c>
      <c r="N269" s="16" t="s">
        <v>860</v>
      </c>
      <c r="O269" s="7"/>
      <c r="P269" s="7">
        <v>831004</v>
      </c>
    </row>
    <row r="270" spans="1:16" ht="14.25" customHeight="1">
      <c r="A270" s="5" t="s">
        <v>0</v>
      </c>
      <c r="B270" s="5" t="str">
        <f t="shared" si="2"/>
        <v>Y</v>
      </c>
      <c r="C270" s="18" t="s">
        <v>1281</v>
      </c>
      <c r="D270" s="18"/>
      <c r="E270" s="6" t="s">
        <v>1282</v>
      </c>
      <c r="F270" s="19"/>
      <c r="G270" s="20">
        <v>43209</v>
      </c>
      <c r="H270" s="20">
        <v>43209</v>
      </c>
      <c r="L270" s="6">
        <v>7631081950</v>
      </c>
      <c r="M270" s="30" t="s">
        <v>1283</v>
      </c>
      <c r="N270" s="32" t="s">
        <v>1232</v>
      </c>
      <c r="O270" s="32" t="s">
        <v>1284</v>
      </c>
      <c r="P270" s="7">
        <v>831004</v>
      </c>
    </row>
    <row r="271" spans="1:16" ht="14.25" customHeight="1">
      <c r="A271" s="5" t="s">
        <v>0</v>
      </c>
      <c r="B271" s="5" t="str">
        <f t="shared" si="2"/>
        <v>Y</v>
      </c>
      <c r="C271" s="18" t="s">
        <v>1285</v>
      </c>
      <c r="D271" s="18"/>
      <c r="E271" s="6" t="s">
        <v>1286</v>
      </c>
      <c r="F271" s="19"/>
      <c r="G271" s="20">
        <v>43210</v>
      </c>
      <c r="H271" s="20">
        <v>43211</v>
      </c>
      <c r="L271" s="6">
        <v>9279846874</v>
      </c>
      <c r="M271" s="30" t="s">
        <v>1287</v>
      </c>
      <c r="N271" s="32" t="s">
        <v>1288</v>
      </c>
      <c r="O271" s="32" t="s">
        <v>1289</v>
      </c>
      <c r="P271" s="7">
        <v>831004</v>
      </c>
    </row>
    <row r="272" spans="1:16" ht="14.25" customHeight="1">
      <c r="A272" s="5" t="s">
        <v>0</v>
      </c>
      <c r="B272" s="5" t="str">
        <f t="shared" si="2"/>
        <v>Y</v>
      </c>
      <c r="C272" s="18" t="s">
        <v>1290</v>
      </c>
      <c r="D272" s="18"/>
      <c r="E272" s="6" t="s">
        <v>1291</v>
      </c>
      <c r="F272" s="19"/>
      <c r="G272" s="20">
        <v>43210</v>
      </c>
      <c r="H272" s="20">
        <v>43211</v>
      </c>
      <c r="L272" s="6">
        <v>9031685903</v>
      </c>
      <c r="M272" s="30" t="s">
        <v>1292</v>
      </c>
      <c r="N272" s="46">
        <v>43229</v>
      </c>
      <c r="O272" s="32" t="s">
        <v>1293</v>
      </c>
      <c r="P272" s="7">
        <v>831004</v>
      </c>
    </row>
    <row r="273" spans="1:16" ht="14.25" customHeight="1">
      <c r="A273" s="5" t="s">
        <v>0</v>
      </c>
      <c r="B273" s="5" t="str">
        <f t="shared" si="2"/>
        <v>Y</v>
      </c>
      <c r="C273" s="62" t="s">
        <v>1294</v>
      </c>
      <c r="D273" s="62"/>
      <c r="E273" s="47" t="s">
        <v>1295</v>
      </c>
      <c r="F273" s="63"/>
      <c r="G273" s="64">
        <v>43210</v>
      </c>
      <c r="H273" s="64">
        <v>43211</v>
      </c>
      <c r="I273" s="47"/>
      <c r="J273" s="47"/>
      <c r="K273" s="47"/>
      <c r="L273" s="47">
        <v>8434669856</v>
      </c>
      <c r="M273" s="47" t="s">
        <v>1296</v>
      </c>
      <c r="N273" s="16"/>
      <c r="O273" s="7"/>
      <c r="P273" s="7">
        <v>831004</v>
      </c>
    </row>
    <row r="274" spans="1:16" ht="14.25" customHeight="1">
      <c r="A274" s="5" t="s">
        <v>0</v>
      </c>
      <c r="B274" s="5" t="str">
        <f t="shared" si="2"/>
        <v>Y</v>
      </c>
      <c r="C274" s="18" t="s">
        <v>1297</v>
      </c>
      <c r="D274" s="18"/>
      <c r="E274" s="6" t="s">
        <v>1298</v>
      </c>
      <c r="F274" s="19"/>
      <c r="G274" s="20">
        <v>43210</v>
      </c>
      <c r="H274" s="20">
        <v>43211</v>
      </c>
      <c r="L274" s="6">
        <v>7366982220</v>
      </c>
      <c r="M274" s="30" t="s">
        <v>1299</v>
      </c>
      <c r="N274" s="32" t="s">
        <v>1276</v>
      </c>
      <c r="O274" s="32" t="s">
        <v>1300</v>
      </c>
      <c r="P274" s="7">
        <v>831004</v>
      </c>
    </row>
    <row r="275" spans="1:16" ht="14.25" customHeight="1">
      <c r="A275" s="5" t="s">
        <v>0</v>
      </c>
      <c r="B275" s="5" t="str">
        <f t="shared" si="2"/>
        <v>Y</v>
      </c>
      <c r="C275" s="18" t="s">
        <v>1301</v>
      </c>
      <c r="D275" s="18"/>
      <c r="E275" s="6" t="s">
        <v>1302</v>
      </c>
      <c r="F275" s="19"/>
      <c r="G275" s="20">
        <v>43213</v>
      </c>
      <c r="H275" s="20">
        <v>43213</v>
      </c>
      <c r="L275" s="6">
        <v>7209581251</v>
      </c>
      <c r="M275" s="30" t="s">
        <v>1303</v>
      </c>
      <c r="N275" s="32" t="s">
        <v>1232</v>
      </c>
      <c r="O275" s="32" t="s">
        <v>1304</v>
      </c>
      <c r="P275" s="7">
        <v>831008</v>
      </c>
    </row>
    <row r="276" spans="1:16" ht="14.25" customHeight="1">
      <c r="A276" s="5" t="s">
        <v>0</v>
      </c>
      <c r="B276" s="5" t="str">
        <f t="shared" si="2"/>
        <v>Y</v>
      </c>
      <c r="C276" s="18" t="s">
        <v>1305</v>
      </c>
      <c r="D276" s="18"/>
      <c r="E276" s="6" t="s">
        <v>1306</v>
      </c>
      <c r="F276" s="19"/>
      <c r="G276" s="20">
        <v>43207</v>
      </c>
      <c r="H276" s="20">
        <v>43221</v>
      </c>
      <c r="L276" s="6">
        <v>7070364785</v>
      </c>
      <c r="N276" s="16"/>
      <c r="O276" s="7"/>
      <c r="P276" s="7">
        <v>815314</v>
      </c>
    </row>
    <row r="277" spans="1:16" ht="14.25" customHeight="1">
      <c r="A277" s="5" t="s">
        <v>0</v>
      </c>
      <c r="B277" s="5" t="str">
        <f t="shared" si="2"/>
        <v>Y</v>
      </c>
      <c r="C277" s="18" t="s">
        <v>1307</v>
      </c>
      <c r="D277" s="18"/>
      <c r="E277" s="6" t="s">
        <v>1308</v>
      </c>
      <c r="F277" s="19"/>
      <c r="G277" s="20">
        <v>43208</v>
      </c>
      <c r="H277" s="20">
        <v>43215</v>
      </c>
      <c r="L277" s="6">
        <v>9771441708</v>
      </c>
      <c r="M277" s="30" t="s">
        <v>1309</v>
      </c>
      <c r="N277" s="16"/>
      <c r="O277" s="7"/>
      <c r="P277" s="7">
        <v>831004</v>
      </c>
    </row>
    <row r="278" spans="1:16" ht="14.25" customHeight="1">
      <c r="A278" s="5" t="s">
        <v>0</v>
      </c>
      <c r="B278" s="5" t="str">
        <f t="shared" si="2"/>
        <v>Y</v>
      </c>
      <c r="C278" s="18" t="s">
        <v>1310</v>
      </c>
      <c r="D278" s="18"/>
      <c r="E278" s="6" t="s">
        <v>638</v>
      </c>
      <c r="F278" s="19"/>
      <c r="G278" s="20">
        <v>43211</v>
      </c>
      <c r="H278" s="20">
        <v>43215</v>
      </c>
      <c r="L278" s="6">
        <v>9934172940</v>
      </c>
      <c r="M278" s="30" t="s">
        <v>1311</v>
      </c>
      <c r="N278" s="16"/>
      <c r="O278" s="7"/>
      <c r="P278" s="7">
        <v>831004</v>
      </c>
    </row>
    <row r="279" spans="1:16" ht="14.25" customHeight="1">
      <c r="A279" s="5" t="s">
        <v>0</v>
      </c>
      <c r="B279" s="5" t="str">
        <f t="shared" si="2"/>
        <v>Y</v>
      </c>
      <c r="C279" s="18" t="s">
        <v>1312</v>
      </c>
      <c r="D279" s="18"/>
      <c r="E279" s="6" t="s">
        <v>1313</v>
      </c>
      <c r="F279" s="19"/>
      <c r="G279" s="20">
        <v>43213</v>
      </c>
      <c r="H279" s="20">
        <v>43213</v>
      </c>
      <c r="L279" s="6">
        <v>7091337455</v>
      </c>
      <c r="M279" s="30" t="s">
        <v>1314</v>
      </c>
      <c r="N279" s="46">
        <v>43239</v>
      </c>
      <c r="O279" s="32">
        <v>23303730206</v>
      </c>
      <c r="P279" s="7">
        <v>831004</v>
      </c>
    </row>
    <row r="280" spans="1:16" ht="14.25" customHeight="1">
      <c r="A280" s="5" t="s">
        <v>0</v>
      </c>
      <c r="B280" s="5" t="str">
        <f t="shared" si="2"/>
        <v>Y</v>
      </c>
      <c r="C280" s="18" t="s">
        <v>1315</v>
      </c>
      <c r="D280" s="18"/>
      <c r="E280" s="6" t="s">
        <v>1316</v>
      </c>
      <c r="F280" s="19"/>
      <c r="G280" s="20">
        <v>43213</v>
      </c>
      <c r="H280" s="20">
        <v>43222</v>
      </c>
      <c r="L280" s="6">
        <v>8877222798</v>
      </c>
      <c r="M280" s="30" t="s">
        <v>1317</v>
      </c>
      <c r="N280" s="46">
        <v>43239</v>
      </c>
      <c r="O280" s="32" t="s">
        <v>1318</v>
      </c>
      <c r="P280" s="7">
        <v>831004</v>
      </c>
    </row>
    <row r="281" spans="1:16" ht="14.25" customHeight="1">
      <c r="A281" s="5" t="s">
        <v>0</v>
      </c>
      <c r="B281" s="5" t="str">
        <f t="shared" si="2"/>
        <v>Y</v>
      </c>
      <c r="C281" s="18" t="s">
        <v>1319</v>
      </c>
      <c r="D281" s="18"/>
      <c r="E281" s="6" t="s">
        <v>1320</v>
      </c>
      <c r="F281" s="19"/>
      <c r="G281" s="20">
        <v>43215</v>
      </c>
      <c r="H281" s="20">
        <v>43215</v>
      </c>
      <c r="L281" s="6">
        <v>7091495464</v>
      </c>
      <c r="M281" s="30" t="s">
        <v>1321</v>
      </c>
      <c r="N281" s="16"/>
      <c r="O281" s="7"/>
      <c r="P281" s="7">
        <v>832301</v>
      </c>
    </row>
    <row r="282" spans="1:16" ht="14.25" customHeight="1">
      <c r="A282" s="5" t="s">
        <v>0</v>
      </c>
      <c r="B282" s="5" t="str">
        <f t="shared" si="2"/>
        <v>Y</v>
      </c>
      <c r="C282" s="18" t="s">
        <v>1322</v>
      </c>
      <c r="D282" s="18"/>
      <c r="E282" s="6" t="s">
        <v>1323</v>
      </c>
      <c r="F282" s="19"/>
      <c r="G282" s="20">
        <v>43220</v>
      </c>
      <c r="H282" s="20">
        <v>43223</v>
      </c>
      <c r="L282" s="6">
        <v>7979895911</v>
      </c>
      <c r="M282" s="30" t="s">
        <v>860</v>
      </c>
      <c r="N282" s="16"/>
      <c r="O282" s="7"/>
      <c r="P282" s="7">
        <v>831004</v>
      </c>
    </row>
    <row r="283" spans="1:16" ht="14.25" customHeight="1">
      <c r="A283" s="5" t="s">
        <v>0</v>
      </c>
      <c r="B283" s="5" t="str">
        <f t="shared" si="2"/>
        <v>Y</v>
      </c>
      <c r="C283" s="18" t="s">
        <v>1324</v>
      </c>
      <c r="D283" s="18"/>
      <c r="E283" s="6" t="s">
        <v>1325</v>
      </c>
      <c r="F283" s="19"/>
      <c r="G283" s="20">
        <v>43222</v>
      </c>
      <c r="H283" s="20">
        <v>43222</v>
      </c>
      <c r="L283" s="6">
        <v>6201498763</v>
      </c>
      <c r="M283" s="30" t="s">
        <v>860</v>
      </c>
      <c r="N283" s="16"/>
      <c r="O283" s="7"/>
      <c r="P283" s="7">
        <v>831004</v>
      </c>
    </row>
    <row r="284" spans="1:16" ht="14.25" customHeight="1">
      <c r="A284" s="5" t="s">
        <v>0</v>
      </c>
      <c r="B284" s="5" t="str">
        <f t="shared" si="2"/>
        <v>Y</v>
      </c>
      <c r="C284" s="18" t="s">
        <v>1326</v>
      </c>
      <c r="D284" s="18"/>
      <c r="E284" s="6" t="s">
        <v>1327</v>
      </c>
      <c r="F284" s="19"/>
      <c r="G284" s="20">
        <v>43222</v>
      </c>
      <c r="H284" s="20">
        <v>43222</v>
      </c>
      <c r="L284" s="6">
        <v>9507188858</v>
      </c>
      <c r="M284" s="6" t="s">
        <v>860</v>
      </c>
      <c r="N284" s="16"/>
      <c r="O284" s="7"/>
      <c r="P284" s="17"/>
    </row>
    <row r="285" spans="1:16" ht="14.25" customHeight="1">
      <c r="A285" s="5" t="s">
        <v>0</v>
      </c>
      <c r="B285" s="5" t="str">
        <f t="shared" si="2"/>
        <v>Y</v>
      </c>
      <c r="C285" s="18" t="s">
        <v>1328</v>
      </c>
      <c r="D285" s="18"/>
      <c r="E285" s="6" t="s">
        <v>1329</v>
      </c>
      <c r="F285" s="19"/>
      <c r="G285" s="20">
        <v>43222</v>
      </c>
      <c r="H285" s="20">
        <v>43223</v>
      </c>
      <c r="M285" s="6" t="s">
        <v>860</v>
      </c>
      <c r="N285" s="16"/>
      <c r="O285" s="7"/>
      <c r="P285" s="17"/>
    </row>
    <row r="286" spans="1:16" ht="14.25" customHeight="1">
      <c r="A286" s="5" t="s">
        <v>0</v>
      </c>
      <c r="B286" s="5" t="str">
        <f t="shared" si="2"/>
        <v>Y</v>
      </c>
      <c r="C286" s="18" t="s">
        <v>1330</v>
      </c>
      <c r="D286" s="18"/>
      <c r="E286" s="6" t="s">
        <v>1331</v>
      </c>
      <c r="F286" s="19"/>
      <c r="G286" s="20">
        <v>43223</v>
      </c>
      <c r="H286" s="20">
        <v>43223</v>
      </c>
      <c r="L286" s="6">
        <v>8092226040</v>
      </c>
      <c r="N286" s="16"/>
      <c r="O286" s="7"/>
      <c r="P286" s="17"/>
    </row>
    <row r="287" spans="1:16" ht="14.25" customHeight="1">
      <c r="A287" s="5" t="s">
        <v>0</v>
      </c>
      <c r="B287" s="5" t="str">
        <f t="shared" si="2"/>
        <v>Y</v>
      </c>
      <c r="C287" s="18" t="s">
        <v>1332</v>
      </c>
      <c r="D287" s="18"/>
      <c r="E287" s="6" t="s">
        <v>1333</v>
      </c>
      <c r="F287" s="19"/>
      <c r="G287" s="20">
        <v>43223</v>
      </c>
      <c r="H287" s="20">
        <v>43223</v>
      </c>
      <c r="L287" s="6">
        <v>9204603905</v>
      </c>
      <c r="N287" s="16"/>
      <c r="O287" s="7"/>
      <c r="P287" s="17"/>
    </row>
    <row r="288" spans="1:16" ht="14.25" customHeight="1">
      <c r="A288" s="5" t="s">
        <v>0</v>
      </c>
      <c r="B288" s="5" t="str">
        <f t="shared" si="2"/>
        <v>Y</v>
      </c>
      <c r="C288" s="18" t="s">
        <v>1334</v>
      </c>
      <c r="D288" s="18"/>
      <c r="E288" s="6" t="s">
        <v>1335</v>
      </c>
      <c r="F288" s="19"/>
      <c r="G288" s="20">
        <v>43220</v>
      </c>
      <c r="H288" s="20">
        <v>43224</v>
      </c>
      <c r="L288" s="6">
        <v>9049355695</v>
      </c>
      <c r="N288" s="16"/>
      <c r="O288" s="7"/>
      <c r="P288" s="17"/>
    </row>
    <row r="289" spans="1:16" ht="14.25" customHeight="1">
      <c r="A289" s="5" t="s">
        <v>0</v>
      </c>
      <c r="B289" s="5" t="str">
        <f t="shared" si="2"/>
        <v>Y</v>
      </c>
      <c r="C289" s="18" t="s">
        <v>1336</v>
      </c>
      <c r="D289" s="18"/>
      <c r="E289" s="6" t="s">
        <v>1337</v>
      </c>
      <c r="F289" s="19"/>
      <c r="G289" s="20">
        <v>43224</v>
      </c>
      <c r="H289" s="20">
        <v>43232</v>
      </c>
      <c r="N289" s="16"/>
      <c r="O289" s="7"/>
      <c r="P289" s="17"/>
    </row>
    <row r="290" spans="1:16" ht="14.25" customHeight="1">
      <c r="A290" s="5" t="s">
        <v>0</v>
      </c>
      <c r="B290" s="5" t="str">
        <f t="shared" si="2"/>
        <v>Y</v>
      </c>
      <c r="C290" s="18" t="s">
        <v>1338</v>
      </c>
      <c r="D290" s="18"/>
      <c r="E290" s="6" t="s">
        <v>1339</v>
      </c>
      <c r="F290" s="19"/>
      <c r="G290" s="20">
        <v>43223</v>
      </c>
      <c r="H290" s="20">
        <v>43224</v>
      </c>
      <c r="L290" s="6">
        <v>7319769981</v>
      </c>
      <c r="N290" s="16"/>
      <c r="O290" s="7"/>
      <c r="P290" s="17"/>
    </row>
    <row r="291" spans="1:16" ht="14.25" customHeight="1">
      <c r="A291" s="5" t="s">
        <v>0</v>
      </c>
      <c r="B291" s="5" t="str">
        <f t="shared" si="2"/>
        <v>Y</v>
      </c>
      <c r="C291" s="18" t="s">
        <v>1340</v>
      </c>
      <c r="D291" s="18"/>
      <c r="E291" s="6" t="s">
        <v>1341</v>
      </c>
      <c r="F291" s="19"/>
      <c r="G291" s="20">
        <v>43225</v>
      </c>
      <c r="H291" s="20">
        <v>43228</v>
      </c>
      <c r="N291" s="16"/>
      <c r="O291" s="7"/>
      <c r="P291" s="17"/>
    </row>
    <row r="292" spans="1:16" ht="14.25" customHeight="1">
      <c r="A292" s="5" t="s">
        <v>0</v>
      </c>
      <c r="B292" s="5" t="str">
        <f t="shared" si="2"/>
        <v>Y</v>
      </c>
      <c r="C292" s="18" t="s">
        <v>1342</v>
      </c>
      <c r="D292" s="18"/>
      <c r="E292" s="6" t="s">
        <v>1343</v>
      </c>
      <c r="F292" s="19"/>
      <c r="G292" s="20">
        <v>43227</v>
      </c>
      <c r="H292" s="20">
        <v>43228</v>
      </c>
      <c r="L292" s="6">
        <v>9570051339</v>
      </c>
      <c r="N292" s="16"/>
      <c r="O292" s="7"/>
      <c r="P292" s="17">
        <v>831004</v>
      </c>
    </row>
    <row r="293" spans="1:16" ht="14.25" customHeight="1">
      <c r="A293" s="5" t="s">
        <v>0</v>
      </c>
      <c r="B293" s="5" t="str">
        <f t="shared" si="2"/>
        <v>Y</v>
      </c>
      <c r="C293" s="18" t="s">
        <v>1344</v>
      </c>
      <c r="D293" s="18"/>
      <c r="E293" s="6" t="s">
        <v>1345</v>
      </c>
      <c r="F293" s="19"/>
      <c r="G293" s="20">
        <v>43227</v>
      </c>
      <c r="H293" s="20">
        <v>43228</v>
      </c>
      <c r="L293" s="6">
        <v>8603403435</v>
      </c>
      <c r="N293" s="16"/>
      <c r="O293" s="7"/>
      <c r="P293" s="17"/>
    </row>
    <row r="294" spans="1:16" ht="14.25" customHeight="1">
      <c r="A294" s="5" t="s">
        <v>0</v>
      </c>
      <c r="B294" s="5" t="str">
        <f t="shared" si="2"/>
        <v>Y</v>
      </c>
      <c r="C294" s="18" t="s">
        <v>1346</v>
      </c>
      <c r="D294" s="18"/>
      <c r="E294" s="6" t="s">
        <v>1347</v>
      </c>
      <c r="F294" s="19"/>
      <c r="G294" s="20">
        <v>43228</v>
      </c>
      <c r="H294" s="20">
        <v>43232</v>
      </c>
      <c r="L294" s="6">
        <v>7631070520</v>
      </c>
      <c r="N294" s="16"/>
      <c r="O294" s="7"/>
      <c r="P294" s="17"/>
    </row>
    <row r="295" spans="1:16" ht="14.25" customHeight="1">
      <c r="A295" s="5" t="s">
        <v>0</v>
      </c>
      <c r="B295" s="5" t="str">
        <f t="shared" si="2"/>
        <v>Y</v>
      </c>
      <c r="C295" s="18" t="s">
        <v>1348</v>
      </c>
      <c r="D295" s="18"/>
      <c r="E295" s="6" t="s">
        <v>1349</v>
      </c>
      <c r="F295" s="19"/>
      <c r="G295" s="20">
        <v>43230</v>
      </c>
      <c r="H295" s="20">
        <v>43232</v>
      </c>
      <c r="L295" s="6">
        <v>9234011403</v>
      </c>
      <c r="N295" s="16"/>
      <c r="O295" s="7"/>
      <c r="P295" s="17"/>
    </row>
    <row r="296" spans="1:16" ht="14.25" customHeight="1">
      <c r="A296" s="5" t="s">
        <v>0</v>
      </c>
      <c r="B296" s="5" t="str">
        <f t="shared" si="2"/>
        <v>Y</v>
      </c>
      <c r="C296" s="18" t="s">
        <v>1350</v>
      </c>
      <c r="D296" s="18"/>
      <c r="E296" s="6" t="s">
        <v>1351</v>
      </c>
      <c r="F296" s="19"/>
      <c r="G296" s="20">
        <v>43232</v>
      </c>
      <c r="H296" s="20">
        <v>43232</v>
      </c>
      <c r="L296" s="6">
        <v>8789998782</v>
      </c>
      <c r="N296" s="16"/>
      <c r="O296" s="7"/>
      <c r="P296" s="17"/>
    </row>
    <row r="297" spans="1:16" ht="14.25" customHeight="1">
      <c r="A297" s="5" t="s">
        <v>0</v>
      </c>
      <c r="B297" s="5" t="str">
        <f t="shared" si="2"/>
        <v>Y</v>
      </c>
      <c r="C297" s="18" t="s">
        <v>1352</v>
      </c>
      <c r="D297" s="18"/>
      <c r="E297" s="6" t="s">
        <v>1353</v>
      </c>
      <c r="F297" s="19"/>
      <c r="G297" s="20">
        <v>43232</v>
      </c>
      <c r="H297" s="20">
        <v>43232</v>
      </c>
      <c r="L297" s="6">
        <v>8809901777</v>
      </c>
      <c r="N297" s="16"/>
      <c r="O297" s="7"/>
      <c r="P297" s="17"/>
    </row>
    <row r="298" spans="1:16" ht="14.25" customHeight="1">
      <c r="A298" s="5" t="s">
        <v>0</v>
      </c>
      <c r="B298" s="5" t="str">
        <f t="shared" si="2"/>
        <v>Y</v>
      </c>
      <c r="C298" s="18" t="s">
        <v>1354</v>
      </c>
      <c r="D298" s="18"/>
      <c r="E298" s="6" t="s">
        <v>1355</v>
      </c>
      <c r="F298" s="19"/>
      <c r="G298" s="20">
        <v>43233</v>
      </c>
      <c r="H298" s="20">
        <v>43275</v>
      </c>
      <c r="L298" s="6">
        <v>7541877530</v>
      </c>
      <c r="N298" s="16"/>
      <c r="O298" s="7"/>
      <c r="P298" s="17"/>
    </row>
    <row r="299" spans="1:16" ht="14.25" customHeight="1">
      <c r="A299" s="5" t="s">
        <v>0</v>
      </c>
      <c r="B299" s="5" t="str">
        <f t="shared" si="2"/>
        <v>Y</v>
      </c>
      <c r="C299" s="18" t="s">
        <v>1356</v>
      </c>
      <c r="D299" s="18"/>
      <c r="E299" s="6" t="s">
        <v>1357</v>
      </c>
      <c r="F299" s="19"/>
      <c r="G299" s="20">
        <v>43235</v>
      </c>
      <c r="H299" s="20">
        <v>43239</v>
      </c>
      <c r="L299" s="6">
        <v>8987600904</v>
      </c>
      <c r="N299" s="16"/>
      <c r="O299" s="7"/>
      <c r="P299" s="17"/>
    </row>
    <row r="300" spans="1:16" ht="14.25" customHeight="1">
      <c r="A300" s="5" t="s">
        <v>0</v>
      </c>
      <c r="B300" s="5" t="str">
        <f t="shared" si="2"/>
        <v>Y</v>
      </c>
      <c r="C300" s="18" t="s">
        <v>1358</v>
      </c>
      <c r="D300" s="18"/>
      <c r="E300" s="6" t="s">
        <v>1359</v>
      </c>
      <c r="F300" s="19"/>
      <c r="G300" s="20">
        <v>43236</v>
      </c>
      <c r="H300" s="20">
        <v>43239</v>
      </c>
      <c r="L300" s="6">
        <v>9631500927</v>
      </c>
      <c r="N300" s="16"/>
      <c r="O300" s="7"/>
      <c r="P300" s="17"/>
    </row>
    <row r="301" spans="1:16" ht="14.25" customHeight="1">
      <c r="A301" s="5" t="s">
        <v>0</v>
      </c>
      <c r="B301" s="5" t="str">
        <f t="shared" si="2"/>
        <v>Y</v>
      </c>
      <c r="C301" s="18" t="s">
        <v>1360</v>
      </c>
      <c r="D301" s="18"/>
      <c r="E301" s="6" t="s">
        <v>1361</v>
      </c>
      <c r="F301" s="19"/>
      <c r="G301" s="20">
        <v>43236</v>
      </c>
      <c r="H301" s="20">
        <v>43239</v>
      </c>
      <c r="L301" s="6">
        <v>9801306689</v>
      </c>
      <c r="N301" s="16"/>
      <c r="O301" s="7"/>
      <c r="P301" s="17"/>
    </row>
    <row r="302" spans="1:16" ht="14.25" customHeight="1">
      <c r="A302" s="5" t="s">
        <v>0</v>
      </c>
      <c r="B302" s="5" t="str">
        <f t="shared" si="2"/>
        <v>Y</v>
      </c>
      <c r="C302" s="18" t="s">
        <v>1362</v>
      </c>
      <c r="D302" s="18"/>
      <c r="E302" s="6" t="s">
        <v>1363</v>
      </c>
      <c r="F302" s="19"/>
      <c r="G302" s="20">
        <v>43237</v>
      </c>
      <c r="H302" s="20">
        <v>43239</v>
      </c>
      <c r="L302" s="6">
        <v>8092178296</v>
      </c>
      <c r="N302" s="16"/>
      <c r="O302" s="7"/>
      <c r="P302" s="17"/>
    </row>
    <row r="303" spans="1:16" ht="14.25" customHeight="1">
      <c r="A303" s="5" t="s">
        <v>0</v>
      </c>
      <c r="B303" s="5" t="str">
        <f t="shared" si="2"/>
        <v>Y</v>
      </c>
      <c r="C303" s="18" t="s">
        <v>1364</v>
      </c>
      <c r="D303" s="18"/>
      <c r="E303" s="24" t="s">
        <v>1365</v>
      </c>
      <c r="F303" s="19"/>
      <c r="G303" s="20">
        <v>43245</v>
      </c>
      <c r="H303" s="20">
        <v>43245</v>
      </c>
      <c r="L303" s="24">
        <v>7764050604</v>
      </c>
      <c r="N303" s="16"/>
      <c r="O303" s="7"/>
      <c r="P303" s="17"/>
    </row>
    <row r="304" spans="1:16" ht="14.25" customHeight="1">
      <c r="A304" s="5" t="s">
        <v>0</v>
      </c>
      <c r="B304" s="5" t="str">
        <f t="shared" si="2"/>
        <v>Y</v>
      </c>
      <c r="C304" s="18" t="s">
        <v>1366</v>
      </c>
      <c r="D304" s="18"/>
      <c r="E304" s="6" t="s">
        <v>687</v>
      </c>
      <c r="F304" s="19"/>
      <c r="G304" s="20">
        <v>43245</v>
      </c>
      <c r="H304" s="20">
        <v>43246</v>
      </c>
      <c r="L304" s="6">
        <v>7319771619</v>
      </c>
      <c r="N304" s="16"/>
      <c r="O304" s="7"/>
      <c r="P304" s="17"/>
    </row>
    <row r="305" spans="1:16" ht="14.25" customHeight="1">
      <c r="A305" s="5" t="s">
        <v>0</v>
      </c>
      <c r="B305" s="5" t="str">
        <f t="shared" si="2"/>
        <v>Y</v>
      </c>
      <c r="C305" s="18" t="s">
        <v>1367</v>
      </c>
      <c r="D305" s="18"/>
      <c r="E305" s="6" t="s">
        <v>1368</v>
      </c>
      <c r="F305" s="19"/>
      <c r="G305" s="20">
        <v>43245</v>
      </c>
      <c r="H305" s="20">
        <v>43246</v>
      </c>
      <c r="L305" s="6">
        <v>8092636195</v>
      </c>
      <c r="N305" s="16"/>
      <c r="O305" s="7"/>
      <c r="P305" s="17"/>
    </row>
    <row r="306" spans="1:16" ht="14.25" customHeight="1">
      <c r="A306" s="5" t="s">
        <v>0</v>
      </c>
      <c r="B306" s="5" t="str">
        <f t="shared" si="2"/>
        <v>Y</v>
      </c>
      <c r="C306" s="18" t="s">
        <v>1369</v>
      </c>
      <c r="D306" s="18"/>
      <c r="E306" s="6" t="s">
        <v>1370</v>
      </c>
      <c r="F306" s="19"/>
      <c r="G306" s="20">
        <v>43245</v>
      </c>
      <c r="H306" s="20">
        <v>43246</v>
      </c>
      <c r="L306" s="6">
        <v>8092904862</v>
      </c>
      <c r="N306" s="16"/>
      <c r="O306" s="7"/>
      <c r="P306" s="17"/>
    </row>
    <row r="307" spans="1:16" ht="14.25" customHeight="1">
      <c r="A307" s="5" t="s">
        <v>0</v>
      </c>
      <c r="B307" s="5" t="str">
        <f t="shared" si="2"/>
        <v>N</v>
      </c>
      <c r="C307" s="18" t="s">
        <v>1371</v>
      </c>
      <c r="D307" s="18"/>
      <c r="E307" s="6" t="s">
        <v>1372</v>
      </c>
      <c r="F307" s="19"/>
      <c r="G307" s="20">
        <v>43245</v>
      </c>
      <c r="H307" s="20"/>
      <c r="L307" s="6">
        <v>9204976834</v>
      </c>
      <c r="N307" s="16"/>
      <c r="O307" s="7"/>
      <c r="P307" s="17"/>
    </row>
    <row r="308" spans="1:16" ht="14.25" customHeight="1">
      <c r="A308" s="5" t="s">
        <v>0</v>
      </c>
      <c r="B308" s="5" t="str">
        <f t="shared" si="2"/>
        <v>Y</v>
      </c>
      <c r="C308" s="18" t="s">
        <v>1373</v>
      </c>
      <c r="D308" s="18"/>
      <c r="E308" s="6" t="s">
        <v>1374</v>
      </c>
      <c r="F308" s="19"/>
      <c r="G308" s="20">
        <v>43245</v>
      </c>
      <c r="H308" s="20">
        <v>43246</v>
      </c>
      <c r="L308" s="13">
        <v>7209958871</v>
      </c>
      <c r="N308" s="16"/>
      <c r="O308" s="7"/>
      <c r="P308" s="17"/>
    </row>
    <row r="309" spans="1:16" ht="14.25" customHeight="1">
      <c r="A309" s="5" t="s">
        <v>0</v>
      </c>
      <c r="B309" s="5" t="str">
        <f t="shared" si="2"/>
        <v>N</v>
      </c>
      <c r="C309" s="18" t="s">
        <v>1375</v>
      </c>
      <c r="D309" s="18"/>
      <c r="E309" s="6" t="s">
        <v>1376</v>
      </c>
      <c r="F309" s="19"/>
      <c r="G309" s="20">
        <v>43245</v>
      </c>
      <c r="H309" s="5"/>
      <c r="L309" s="6">
        <v>8340302582</v>
      </c>
      <c r="N309" s="16"/>
      <c r="O309" s="7"/>
      <c r="P309" s="17"/>
    </row>
    <row r="310" spans="1:16" ht="14.25" customHeight="1">
      <c r="A310" s="5" t="s">
        <v>0</v>
      </c>
      <c r="B310" s="5" t="str">
        <f t="shared" si="2"/>
        <v>Y</v>
      </c>
      <c r="C310" s="18" t="s">
        <v>1367</v>
      </c>
      <c r="D310" s="18"/>
      <c r="E310" s="6" t="s">
        <v>1368</v>
      </c>
      <c r="F310" s="19"/>
      <c r="G310" s="20">
        <v>43245</v>
      </c>
      <c r="H310" s="20" t="s">
        <v>1377</v>
      </c>
      <c r="L310" s="6">
        <v>8092636195</v>
      </c>
      <c r="N310" s="16"/>
      <c r="O310" s="7"/>
      <c r="P310" s="17"/>
    </row>
    <row r="311" spans="1:16" ht="14.25" customHeight="1">
      <c r="A311" s="5" t="s">
        <v>0</v>
      </c>
      <c r="B311" s="5" t="str">
        <f t="shared" si="2"/>
        <v>Y</v>
      </c>
      <c r="C311" s="18" t="s">
        <v>1369</v>
      </c>
      <c r="D311" s="18"/>
      <c r="E311" s="6" t="s">
        <v>1370</v>
      </c>
      <c r="F311" s="19"/>
      <c r="G311" s="20">
        <v>43245</v>
      </c>
      <c r="H311" s="20" t="s">
        <v>1377</v>
      </c>
      <c r="L311" s="6">
        <v>8092904862</v>
      </c>
      <c r="N311" s="16"/>
      <c r="O311" s="7"/>
      <c r="P311" s="17"/>
    </row>
    <row r="312" spans="1:16" ht="14.25" customHeight="1">
      <c r="A312" s="5" t="s">
        <v>0</v>
      </c>
      <c r="B312" s="5" t="str">
        <f t="shared" si="2"/>
        <v>Y</v>
      </c>
      <c r="C312" s="18" t="s">
        <v>1366</v>
      </c>
      <c r="D312" s="18"/>
      <c r="E312" s="6" t="s">
        <v>687</v>
      </c>
      <c r="F312" s="19"/>
      <c r="G312" s="20">
        <v>43245</v>
      </c>
      <c r="H312" s="20" t="s">
        <v>1377</v>
      </c>
      <c r="L312" s="6">
        <v>7319771619</v>
      </c>
      <c r="N312" s="16"/>
      <c r="O312" s="7"/>
      <c r="P312" s="17"/>
    </row>
    <row r="313" spans="1:16" ht="14.25" customHeight="1">
      <c r="A313" s="5" t="s">
        <v>0</v>
      </c>
      <c r="B313" s="5" t="str">
        <f t="shared" si="2"/>
        <v>Y</v>
      </c>
      <c r="C313" s="18" t="s">
        <v>1378</v>
      </c>
      <c r="D313" s="18"/>
      <c r="E313" s="6" t="s">
        <v>1379</v>
      </c>
      <c r="F313" s="19"/>
      <c r="G313" s="20">
        <v>43245</v>
      </c>
      <c r="H313" s="20" t="s">
        <v>1377</v>
      </c>
      <c r="L313" s="6">
        <v>7209958871</v>
      </c>
      <c r="N313" s="16"/>
      <c r="O313" s="7"/>
      <c r="P313" s="17"/>
    </row>
    <row r="314" spans="1:16" ht="14.25" customHeight="1">
      <c r="A314" s="5" t="s">
        <v>0</v>
      </c>
      <c r="B314" s="5" t="str">
        <f t="shared" si="2"/>
        <v>Y</v>
      </c>
      <c r="C314" s="18" t="s">
        <v>1364</v>
      </c>
      <c r="D314" s="18"/>
      <c r="E314" s="6" t="s">
        <v>1380</v>
      </c>
      <c r="F314" s="19"/>
      <c r="G314" s="20">
        <v>43245</v>
      </c>
      <c r="H314" s="20" t="s">
        <v>1377</v>
      </c>
      <c r="L314" s="6">
        <v>7764050604</v>
      </c>
      <c r="N314" s="16"/>
      <c r="O314" s="7"/>
      <c r="P314" s="17"/>
    </row>
    <row r="315" spans="1:16" ht="14.25" customHeight="1">
      <c r="A315" s="5" t="s">
        <v>0</v>
      </c>
      <c r="B315" s="5" t="str">
        <f t="shared" si="2"/>
        <v>N</v>
      </c>
      <c r="C315" s="18" t="s">
        <v>1381</v>
      </c>
      <c r="D315" s="18"/>
      <c r="E315" s="6" t="s">
        <v>1382</v>
      </c>
      <c r="F315" s="19"/>
      <c r="G315" s="20">
        <v>43247</v>
      </c>
      <c r="H315" s="5"/>
      <c r="L315" s="6">
        <v>9263499819</v>
      </c>
      <c r="N315" s="16"/>
      <c r="O315" s="7"/>
      <c r="P315" s="17"/>
    </row>
    <row r="316" spans="1:16" ht="14.25" customHeight="1">
      <c r="A316" s="5" t="s">
        <v>0</v>
      </c>
      <c r="B316" s="5" t="str">
        <f t="shared" si="2"/>
        <v>Y</v>
      </c>
      <c r="C316" s="18" t="s">
        <v>1383</v>
      </c>
      <c r="D316" s="18"/>
      <c r="E316" s="6" t="s">
        <v>1384</v>
      </c>
      <c r="F316" s="19"/>
      <c r="G316" s="20">
        <v>43246</v>
      </c>
      <c r="H316" s="20" t="s">
        <v>1385</v>
      </c>
      <c r="L316" s="6">
        <v>8797107528</v>
      </c>
      <c r="N316" s="16"/>
      <c r="O316" s="7"/>
      <c r="P316" s="17"/>
    </row>
    <row r="317" spans="1:16" ht="14.25" customHeight="1">
      <c r="A317" s="5" t="s">
        <v>0</v>
      </c>
      <c r="B317" s="5" t="str">
        <f t="shared" si="2"/>
        <v>Y</v>
      </c>
      <c r="C317" s="18" t="s">
        <v>1386</v>
      </c>
      <c r="D317" s="18"/>
      <c r="E317" s="6" t="s">
        <v>1387</v>
      </c>
      <c r="F317" s="19"/>
      <c r="G317" s="20">
        <v>43246</v>
      </c>
      <c r="H317" s="20" t="s">
        <v>1388</v>
      </c>
      <c r="L317" s="6">
        <v>9304661509</v>
      </c>
      <c r="N317" s="16"/>
      <c r="O317" s="7"/>
      <c r="P317" s="17"/>
    </row>
    <row r="318" spans="1:16" ht="14.25" customHeight="1">
      <c r="A318" s="5"/>
      <c r="B318" s="5" t="str">
        <f t="shared" si="2"/>
        <v>Y</v>
      </c>
      <c r="C318" s="18" t="s">
        <v>1389</v>
      </c>
      <c r="D318" s="18"/>
      <c r="E318" s="6" t="s">
        <v>1390</v>
      </c>
      <c r="F318" s="19"/>
      <c r="G318" s="20">
        <v>43248</v>
      </c>
      <c r="H318" s="20" t="s">
        <v>1391</v>
      </c>
      <c r="L318" s="6">
        <v>8102701909</v>
      </c>
      <c r="N318" s="16"/>
      <c r="O318" s="7"/>
      <c r="P318" s="17"/>
    </row>
    <row r="319" spans="1:16" ht="14.25" customHeight="1">
      <c r="A319" s="5" t="s">
        <v>0</v>
      </c>
      <c r="B319" s="5" t="str">
        <f t="shared" si="2"/>
        <v>Y</v>
      </c>
      <c r="C319" s="18" t="s">
        <v>1375</v>
      </c>
      <c r="D319" s="18"/>
      <c r="E319" s="6" t="s">
        <v>1376</v>
      </c>
      <c r="F319" s="19"/>
      <c r="G319" s="20">
        <v>43248</v>
      </c>
      <c r="H319" s="20" t="s">
        <v>1388</v>
      </c>
      <c r="L319" s="6">
        <v>8340302582</v>
      </c>
      <c r="N319" s="16"/>
      <c r="O319" s="7"/>
      <c r="P319" s="17"/>
    </row>
    <row r="320" spans="1:16" ht="14.25" customHeight="1">
      <c r="A320" s="5" t="s">
        <v>0</v>
      </c>
      <c r="B320" s="5" t="str">
        <f t="shared" si="2"/>
        <v>Y</v>
      </c>
      <c r="C320" s="18" t="s">
        <v>1392</v>
      </c>
      <c r="D320" s="18"/>
      <c r="E320" s="6" t="s">
        <v>1393</v>
      </c>
      <c r="F320" s="19"/>
      <c r="G320" s="20">
        <v>43248</v>
      </c>
      <c r="H320" s="20" t="s">
        <v>1388</v>
      </c>
      <c r="L320" s="6">
        <v>8092323535</v>
      </c>
      <c r="M320" s="24" t="s">
        <v>1394</v>
      </c>
      <c r="N320" s="16"/>
      <c r="O320" s="7"/>
      <c r="P320" s="17"/>
    </row>
    <row r="321" spans="1:16" ht="14.25" customHeight="1">
      <c r="A321" s="5" t="s">
        <v>0</v>
      </c>
      <c r="B321" s="5" t="str">
        <f t="shared" si="2"/>
        <v>N</v>
      </c>
      <c r="C321" s="6" t="s">
        <v>1395</v>
      </c>
      <c r="D321" s="6"/>
      <c r="E321" s="6" t="s">
        <v>1396</v>
      </c>
      <c r="F321" s="19"/>
      <c r="G321" s="20">
        <v>43248</v>
      </c>
      <c r="H321" s="5"/>
      <c r="L321" s="6">
        <v>8349497847</v>
      </c>
      <c r="N321" s="16"/>
      <c r="O321" s="7"/>
      <c r="P321" s="17"/>
    </row>
    <row r="322" spans="1:16" ht="14.25" customHeight="1">
      <c r="A322" s="5" t="s">
        <v>0</v>
      </c>
      <c r="B322" s="5" t="str">
        <f t="shared" si="2"/>
        <v>Y</v>
      </c>
      <c r="C322" s="18" t="s">
        <v>1371</v>
      </c>
      <c r="D322" s="18"/>
      <c r="E322" s="6" t="s">
        <v>1372</v>
      </c>
      <c r="F322" s="19"/>
      <c r="G322" s="20">
        <v>43248</v>
      </c>
      <c r="H322" s="20" t="s">
        <v>1388</v>
      </c>
      <c r="L322" s="6">
        <v>9204976834</v>
      </c>
      <c r="N322" s="16"/>
      <c r="O322" s="7"/>
      <c r="P322" s="17"/>
    </row>
    <row r="323" spans="1:16" ht="14.25" customHeight="1">
      <c r="A323" s="5" t="s">
        <v>0</v>
      </c>
      <c r="B323" s="5" t="str">
        <f t="shared" si="2"/>
        <v>Y</v>
      </c>
      <c r="C323" s="18" t="s">
        <v>1397</v>
      </c>
      <c r="D323" s="18"/>
      <c r="E323" s="6" t="s">
        <v>1398</v>
      </c>
      <c r="F323" s="19"/>
      <c r="G323" s="20">
        <v>43250</v>
      </c>
      <c r="H323" s="20" t="s">
        <v>1399</v>
      </c>
      <c r="L323" s="6">
        <v>8789632037</v>
      </c>
      <c r="M323" s="6" t="s">
        <v>1400</v>
      </c>
      <c r="N323" s="16"/>
      <c r="O323" s="7"/>
      <c r="P323" s="17"/>
    </row>
    <row r="324" spans="1:16" ht="14.25" customHeight="1">
      <c r="A324" s="5"/>
      <c r="B324" s="5" t="str">
        <f t="shared" si="2"/>
        <v>Y</v>
      </c>
      <c r="C324" s="6" t="s">
        <v>1401</v>
      </c>
      <c r="D324" s="6"/>
      <c r="E324" s="6" t="s">
        <v>1402</v>
      </c>
      <c r="F324" s="19"/>
      <c r="G324" s="20">
        <v>43251</v>
      </c>
      <c r="H324" s="20">
        <v>43278</v>
      </c>
      <c r="L324" s="6">
        <v>9234739947</v>
      </c>
      <c r="N324" s="16"/>
      <c r="O324" s="7"/>
      <c r="P324" s="17"/>
    </row>
    <row r="325" spans="1:16" ht="14.25" customHeight="1">
      <c r="A325" s="5"/>
      <c r="B325" s="5" t="str">
        <f t="shared" si="2"/>
        <v>Y</v>
      </c>
      <c r="C325" s="6" t="s">
        <v>1403</v>
      </c>
      <c r="D325" s="6"/>
      <c r="E325" s="6" t="s">
        <v>1404</v>
      </c>
      <c r="F325" s="19"/>
      <c r="G325" s="20">
        <v>43251</v>
      </c>
      <c r="H325" s="20">
        <v>43349</v>
      </c>
      <c r="L325" s="6">
        <v>7209584822</v>
      </c>
      <c r="N325" s="16"/>
      <c r="O325" s="7"/>
      <c r="P325" s="17"/>
    </row>
    <row r="326" spans="1:16" ht="14.25" customHeight="1">
      <c r="A326" s="5" t="s">
        <v>0</v>
      </c>
      <c r="B326" s="5" t="str">
        <f t="shared" si="2"/>
        <v>Y</v>
      </c>
      <c r="C326" s="18" t="s">
        <v>1405</v>
      </c>
      <c r="D326" s="18"/>
      <c r="E326" s="6" t="s">
        <v>1406</v>
      </c>
      <c r="F326" s="19"/>
      <c r="G326" s="20">
        <v>43251</v>
      </c>
      <c r="H326" s="20">
        <v>43251</v>
      </c>
      <c r="L326" s="6">
        <v>7654084911</v>
      </c>
      <c r="M326" s="6" t="s">
        <v>1400</v>
      </c>
      <c r="N326" s="16"/>
      <c r="O326" s="7"/>
      <c r="P326" s="17"/>
    </row>
    <row r="327" spans="1:16" ht="14.25" customHeight="1">
      <c r="A327" s="5" t="s">
        <v>0</v>
      </c>
      <c r="B327" s="5" t="str">
        <f t="shared" si="2"/>
        <v>Y</v>
      </c>
      <c r="C327" s="18" t="s">
        <v>1407</v>
      </c>
      <c r="D327" s="18"/>
      <c r="E327" s="6" t="s">
        <v>1408</v>
      </c>
      <c r="F327" s="19"/>
      <c r="G327" s="20">
        <v>43255</v>
      </c>
      <c r="H327" s="20">
        <v>43256</v>
      </c>
      <c r="L327" s="6">
        <v>9031002088</v>
      </c>
      <c r="N327" s="16"/>
      <c r="O327" s="7"/>
      <c r="P327" s="17"/>
    </row>
    <row r="328" spans="1:16" ht="14.25" customHeight="1">
      <c r="A328" s="5" t="s">
        <v>0</v>
      </c>
      <c r="B328" s="5" t="str">
        <f t="shared" si="2"/>
        <v>Y</v>
      </c>
      <c r="C328" s="18" t="s">
        <v>1409</v>
      </c>
      <c r="D328" s="18"/>
      <c r="E328" s="6" t="s">
        <v>1410</v>
      </c>
      <c r="F328" s="19"/>
      <c r="G328" s="20">
        <v>43255</v>
      </c>
      <c r="H328" s="20">
        <v>43379</v>
      </c>
      <c r="L328" s="6">
        <v>9939374146</v>
      </c>
      <c r="N328" s="16"/>
      <c r="O328" s="7"/>
      <c r="P328" s="17"/>
    </row>
    <row r="329" spans="1:16" ht="14.25" customHeight="1">
      <c r="A329" s="5" t="s">
        <v>0</v>
      </c>
      <c r="B329" s="5" t="str">
        <f t="shared" si="2"/>
        <v>Y</v>
      </c>
      <c r="C329" s="18" t="s">
        <v>1411</v>
      </c>
      <c r="D329" s="18"/>
      <c r="E329" s="6" t="s">
        <v>1412</v>
      </c>
      <c r="F329" s="19"/>
      <c r="G329" s="20">
        <v>43256</v>
      </c>
      <c r="H329" s="20">
        <v>43256</v>
      </c>
      <c r="L329" s="6">
        <v>9525872392</v>
      </c>
      <c r="N329" s="16"/>
      <c r="O329" s="7"/>
      <c r="P329" s="17"/>
    </row>
    <row r="330" spans="1:16" ht="14.25" customHeight="1">
      <c r="A330" s="5" t="s">
        <v>0</v>
      </c>
      <c r="B330" s="5" t="str">
        <f t="shared" si="2"/>
        <v>Y</v>
      </c>
      <c r="C330" s="18" t="s">
        <v>1413</v>
      </c>
      <c r="D330" s="18"/>
      <c r="E330" s="6" t="s">
        <v>1188</v>
      </c>
      <c r="F330" s="19"/>
      <c r="G330" s="20">
        <v>43256</v>
      </c>
      <c r="H330" s="20">
        <v>43271</v>
      </c>
      <c r="L330" s="6">
        <v>9471588127</v>
      </c>
      <c r="N330" s="16"/>
      <c r="O330" s="7"/>
      <c r="P330" s="17"/>
    </row>
    <row r="331" spans="1:16" ht="14.25" customHeight="1">
      <c r="A331" s="5" t="s">
        <v>0</v>
      </c>
      <c r="B331" s="5" t="str">
        <f t="shared" si="2"/>
        <v>Y</v>
      </c>
      <c r="C331" s="18" t="s">
        <v>1414</v>
      </c>
      <c r="D331" s="18"/>
      <c r="E331" s="6" t="s">
        <v>1415</v>
      </c>
      <c r="F331" s="19"/>
      <c r="G331" s="20">
        <v>43256</v>
      </c>
      <c r="H331" s="20">
        <v>43256</v>
      </c>
      <c r="L331" s="6">
        <v>7079193249</v>
      </c>
      <c r="N331" s="16"/>
      <c r="O331" s="7"/>
      <c r="P331" s="17"/>
    </row>
    <row r="332" spans="1:16" ht="14.25" customHeight="1">
      <c r="A332" s="5" t="s">
        <v>0</v>
      </c>
      <c r="B332" s="5" t="str">
        <f t="shared" si="2"/>
        <v>Y</v>
      </c>
      <c r="C332" s="6" t="s">
        <v>1416</v>
      </c>
      <c r="D332" s="6"/>
      <c r="E332" s="6" t="s">
        <v>1417</v>
      </c>
      <c r="F332" s="19"/>
      <c r="G332" s="20">
        <v>43257</v>
      </c>
      <c r="H332" s="20">
        <v>43257</v>
      </c>
      <c r="L332" s="6">
        <v>8294696993</v>
      </c>
      <c r="N332" s="16"/>
      <c r="O332" s="7"/>
      <c r="P332" s="17"/>
    </row>
    <row r="333" spans="1:16" ht="14.25" customHeight="1">
      <c r="A333" s="5" t="s">
        <v>0</v>
      </c>
      <c r="B333" s="5" t="str">
        <f t="shared" si="2"/>
        <v>Y</v>
      </c>
      <c r="C333" s="6" t="s">
        <v>1418</v>
      </c>
      <c r="D333" s="6"/>
      <c r="E333" s="6" t="s">
        <v>1419</v>
      </c>
      <c r="F333" s="19"/>
      <c r="G333" s="20">
        <v>43257</v>
      </c>
      <c r="H333" s="20">
        <v>43379</v>
      </c>
      <c r="L333" s="6">
        <v>9204670280</v>
      </c>
      <c r="N333" s="16"/>
      <c r="O333" s="7"/>
      <c r="P333" s="17"/>
    </row>
    <row r="334" spans="1:16" ht="14.25" customHeight="1">
      <c r="A334" s="5" t="s">
        <v>0</v>
      </c>
      <c r="B334" s="5" t="str">
        <f t="shared" si="2"/>
        <v>Y</v>
      </c>
      <c r="C334" s="6" t="s">
        <v>1420</v>
      </c>
      <c r="D334" s="6"/>
      <c r="E334" s="6" t="s">
        <v>1421</v>
      </c>
      <c r="F334" s="19"/>
      <c r="G334" s="20">
        <v>43257</v>
      </c>
      <c r="H334" s="20">
        <v>43287</v>
      </c>
      <c r="L334" s="6">
        <v>9386421911</v>
      </c>
      <c r="N334" s="16"/>
      <c r="O334" s="7"/>
      <c r="P334" s="17"/>
    </row>
    <row r="335" spans="1:16" ht="14.25" customHeight="1">
      <c r="A335" s="5" t="s">
        <v>0</v>
      </c>
      <c r="B335" s="5" t="str">
        <f t="shared" si="2"/>
        <v>Y</v>
      </c>
      <c r="C335" s="18" t="s">
        <v>1422</v>
      </c>
      <c r="D335" s="18"/>
      <c r="E335" s="6" t="s">
        <v>1423</v>
      </c>
      <c r="F335" s="19"/>
      <c r="G335" s="20">
        <v>43257</v>
      </c>
      <c r="H335" s="20">
        <v>43257</v>
      </c>
      <c r="L335" s="6">
        <v>9523685547</v>
      </c>
      <c r="M335" s="24" t="s">
        <v>1424</v>
      </c>
      <c r="N335" s="16" t="s">
        <v>1425</v>
      </c>
      <c r="O335" s="7"/>
      <c r="P335" s="17"/>
    </row>
    <row r="336" spans="1:16" ht="14.25" customHeight="1">
      <c r="A336" s="5" t="s">
        <v>0</v>
      </c>
      <c r="B336" s="5" t="str">
        <f t="shared" si="2"/>
        <v>Y</v>
      </c>
      <c r="C336" s="18" t="s">
        <v>1426</v>
      </c>
      <c r="D336" s="18"/>
      <c r="E336" s="6" t="s">
        <v>1427</v>
      </c>
      <c r="F336" s="19"/>
      <c r="G336" s="20">
        <v>43257</v>
      </c>
      <c r="H336" s="20">
        <v>43257</v>
      </c>
      <c r="L336" s="6">
        <v>9957928441</v>
      </c>
      <c r="N336" s="16"/>
      <c r="O336" s="7"/>
      <c r="P336" s="17"/>
    </row>
    <row r="337" spans="1:16" ht="14.25" customHeight="1">
      <c r="A337" s="5" t="s">
        <v>0</v>
      </c>
      <c r="B337" s="5" t="str">
        <f t="shared" si="2"/>
        <v>Y</v>
      </c>
      <c r="C337" s="18" t="s">
        <v>1428</v>
      </c>
      <c r="D337" s="18"/>
      <c r="E337" s="6" t="s">
        <v>1429</v>
      </c>
      <c r="F337" s="19"/>
      <c r="G337" s="20">
        <v>43257</v>
      </c>
      <c r="H337" s="20">
        <v>43257</v>
      </c>
      <c r="L337" s="6">
        <v>9204670280</v>
      </c>
      <c r="N337" s="16"/>
      <c r="O337" s="7"/>
      <c r="P337" s="17"/>
    </row>
    <row r="338" spans="1:16" ht="14.25" customHeight="1">
      <c r="A338" s="5" t="s">
        <v>0</v>
      </c>
      <c r="B338" s="5" t="str">
        <f t="shared" si="2"/>
        <v>Y</v>
      </c>
      <c r="C338" s="18" t="s">
        <v>1430</v>
      </c>
      <c r="D338" s="18"/>
      <c r="E338" s="6" t="s">
        <v>1431</v>
      </c>
      <c r="F338" s="19"/>
      <c r="G338" s="20">
        <v>43257</v>
      </c>
      <c r="H338" s="20">
        <v>43287</v>
      </c>
      <c r="L338" s="6">
        <v>9065523522</v>
      </c>
      <c r="N338" s="16"/>
      <c r="O338" s="7"/>
      <c r="P338" s="17"/>
    </row>
    <row r="339" spans="1:16" ht="14.25" customHeight="1">
      <c r="A339" s="5" t="s">
        <v>0</v>
      </c>
      <c r="B339" s="5" t="str">
        <f t="shared" si="2"/>
        <v>Y</v>
      </c>
      <c r="C339" s="6" t="s">
        <v>1432</v>
      </c>
      <c r="D339" s="6"/>
      <c r="E339" s="6" t="s">
        <v>1433</v>
      </c>
      <c r="F339" s="19"/>
      <c r="G339" s="20">
        <v>43259</v>
      </c>
      <c r="H339" s="20">
        <v>43349</v>
      </c>
      <c r="L339" s="6">
        <v>8092808595</v>
      </c>
      <c r="M339" s="6" t="s">
        <v>1434</v>
      </c>
      <c r="N339" s="16"/>
      <c r="O339" s="7"/>
      <c r="P339" s="17"/>
    </row>
    <row r="340" spans="1:16" ht="14.25" customHeight="1">
      <c r="A340" s="5" t="s">
        <v>0</v>
      </c>
      <c r="B340" s="5" t="str">
        <f t="shared" si="2"/>
        <v>Y</v>
      </c>
      <c r="C340" s="6" t="s">
        <v>1435</v>
      </c>
      <c r="D340" s="6"/>
      <c r="E340" s="6" t="s">
        <v>1436</v>
      </c>
      <c r="F340" s="19"/>
      <c r="G340" s="20">
        <v>43259</v>
      </c>
      <c r="H340" s="20">
        <v>43349</v>
      </c>
      <c r="L340" s="6">
        <v>9934268397</v>
      </c>
      <c r="M340" s="6" t="s">
        <v>1434</v>
      </c>
      <c r="N340" s="16"/>
      <c r="O340" s="7"/>
      <c r="P340" s="17"/>
    </row>
    <row r="341" spans="1:16" ht="14.25" customHeight="1">
      <c r="A341" s="5" t="s">
        <v>0</v>
      </c>
      <c r="B341" s="5" t="str">
        <f t="shared" si="2"/>
        <v>Y</v>
      </c>
      <c r="C341" s="18" t="s">
        <v>1437</v>
      </c>
      <c r="D341" s="18"/>
      <c r="E341" s="6" t="s">
        <v>1438</v>
      </c>
      <c r="F341" s="19"/>
      <c r="G341" s="20">
        <v>43259</v>
      </c>
      <c r="H341" s="20">
        <v>43349</v>
      </c>
      <c r="L341" s="6">
        <v>8275238304</v>
      </c>
      <c r="N341" s="16"/>
      <c r="O341" s="7"/>
      <c r="P341" s="17"/>
    </row>
    <row r="342" spans="1:16" ht="14.25" customHeight="1">
      <c r="A342" s="5" t="s">
        <v>0</v>
      </c>
      <c r="B342" s="5" t="str">
        <f t="shared" si="2"/>
        <v>Y</v>
      </c>
      <c r="C342" s="6" t="s">
        <v>1439</v>
      </c>
      <c r="D342" s="6"/>
      <c r="E342" s="6" t="s">
        <v>1440</v>
      </c>
      <c r="F342" s="19"/>
      <c r="G342" s="20">
        <v>43259</v>
      </c>
      <c r="H342" s="20">
        <v>43349</v>
      </c>
      <c r="L342" s="6">
        <v>7320062857</v>
      </c>
      <c r="M342" s="6" t="s">
        <v>1434</v>
      </c>
      <c r="N342" s="16" t="s">
        <v>1441</v>
      </c>
      <c r="O342" s="7"/>
      <c r="P342" s="17"/>
    </row>
    <row r="343" spans="1:16" ht="14.25" customHeight="1">
      <c r="A343" s="5" t="s">
        <v>0</v>
      </c>
      <c r="B343" s="5" t="str">
        <f t="shared" si="2"/>
        <v>Y</v>
      </c>
      <c r="C343" s="6" t="s">
        <v>1442</v>
      </c>
      <c r="D343" s="6"/>
      <c r="E343" s="6" t="s">
        <v>1443</v>
      </c>
      <c r="F343" s="19"/>
      <c r="G343" s="20">
        <v>43259</v>
      </c>
      <c r="H343" s="20">
        <v>43349</v>
      </c>
      <c r="L343" s="6">
        <v>7633967829</v>
      </c>
      <c r="M343" s="6" t="s">
        <v>1434</v>
      </c>
      <c r="N343" s="16"/>
      <c r="O343" s="7"/>
      <c r="P343" s="17"/>
    </row>
    <row r="344" spans="1:16" ht="14.25" customHeight="1">
      <c r="A344" s="5" t="s">
        <v>0</v>
      </c>
      <c r="B344" s="5" t="str">
        <f t="shared" si="2"/>
        <v>Y</v>
      </c>
      <c r="C344" s="6" t="s">
        <v>1444</v>
      </c>
      <c r="D344" s="6"/>
      <c r="E344" s="6" t="s">
        <v>1445</v>
      </c>
      <c r="F344" s="19"/>
      <c r="G344" s="20">
        <v>43259</v>
      </c>
      <c r="H344" s="20">
        <v>43349</v>
      </c>
      <c r="I344" s="6"/>
      <c r="J344" s="6"/>
      <c r="K344" s="6"/>
      <c r="L344" s="6">
        <v>8789161143</v>
      </c>
      <c r="M344" s="6" t="s">
        <v>1434</v>
      </c>
      <c r="N344" s="24" t="s">
        <v>1446</v>
      </c>
      <c r="O344" s="7"/>
      <c r="P344" s="17"/>
    </row>
    <row r="345" spans="1:16" ht="14.25" customHeight="1">
      <c r="A345" s="5" t="s">
        <v>0</v>
      </c>
      <c r="B345" s="5" t="str">
        <f t="shared" si="2"/>
        <v>Y</v>
      </c>
      <c r="C345" s="6" t="s">
        <v>1447</v>
      </c>
      <c r="D345" s="6"/>
      <c r="E345" s="6" t="s">
        <v>1448</v>
      </c>
      <c r="F345" s="19"/>
      <c r="G345" s="20">
        <v>43259</v>
      </c>
      <c r="H345" s="20">
        <v>43349</v>
      </c>
      <c r="L345" s="6">
        <v>6203150689</v>
      </c>
      <c r="M345" s="6" t="s">
        <v>1434</v>
      </c>
      <c r="N345" s="16"/>
      <c r="O345" s="7"/>
      <c r="P345" s="17"/>
    </row>
    <row r="346" spans="1:16" ht="14.25" customHeight="1">
      <c r="A346" s="5" t="s">
        <v>0</v>
      </c>
      <c r="B346" s="5" t="str">
        <f t="shared" si="2"/>
        <v>Y</v>
      </c>
      <c r="C346" s="18" t="s">
        <v>1449</v>
      </c>
      <c r="D346" s="18"/>
      <c r="E346" s="6" t="s">
        <v>1450</v>
      </c>
      <c r="F346" s="19"/>
      <c r="G346" s="20">
        <v>43259</v>
      </c>
      <c r="H346" s="20">
        <v>43349</v>
      </c>
      <c r="L346" s="6">
        <v>9708589881</v>
      </c>
      <c r="N346" s="16"/>
      <c r="O346" s="7"/>
      <c r="P346" s="17"/>
    </row>
    <row r="347" spans="1:16" ht="14.25" customHeight="1">
      <c r="A347" s="5" t="s">
        <v>0</v>
      </c>
      <c r="B347" s="5" t="str">
        <f t="shared" si="2"/>
        <v>Y</v>
      </c>
      <c r="C347" s="18" t="s">
        <v>1451</v>
      </c>
      <c r="D347" s="18"/>
      <c r="E347" s="6" t="s">
        <v>1452</v>
      </c>
      <c r="F347" s="19"/>
      <c r="G347" s="20">
        <v>43259</v>
      </c>
      <c r="H347" s="20">
        <v>43349</v>
      </c>
      <c r="L347" s="6">
        <v>8092790149</v>
      </c>
      <c r="N347" s="16"/>
      <c r="O347" s="7"/>
      <c r="P347" s="17"/>
    </row>
    <row r="348" spans="1:16" ht="14.25" customHeight="1">
      <c r="A348" s="5" t="s">
        <v>0</v>
      </c>
      <c r="B348" s="5" t="str">
        <f t="shared" si="2"/>
        <v>Y</v>
      </c>
      <c r="C348" s="18" t="s">
        <v>1453</v>
      </c>
      <c r="D348" s="18"/>
      <c r="E348" s="6" t="s">
        <v>1454</v>
      </c>
      <c r="F348" s="19"/>
      <c r="G348" s="20">
        <v>43259</v>
      </c>
      <c r="H348" s="20">
        <v>43349</v>
      </c>
      <c r="L348" s="6">
        <v>8275238304</v>
      </c>
      <c r="N348" s="16"/>
      <c r="O348" s="7"/>
      <c r="P348" s="17"/>
    </row>
    <row r="349" spans="1:16" ht="14.25" customHeight="1">
      <c r="A349" s="65" t="s">
        <v>0</v>
      </c>
      <c r="B349" s="65" t="str">
        <f t="shared" si="2"/>
        <v>Y</v>
      </c>
      <c r="C349" s="62" t="s">
        <v>1455</v>
      </c>
      <c r="D349" s="62"/>
      <c r="E349" s="47" t="s">
        <v>1456</v>
      </c>
      <c r="F349" s="63"/>
      <c r="G349" s="64">
        <v>43259</v>
      </c>
      <c r="H349" s="64">
        <v>43349</v>
      </c>
      <c r="I349" s="47"/>
      <c r="J349" s="47"/>
      <c r="K349" s="47"/>
      <c r="L349" s="47">
        <v>8809414096</v>
      </c>
      <c r="M349" s="47" t="s">
        <v>1457</v>
      </c>
      <c r="N349" s="47" t="s">
        <v>1458</v>
      </c>
      <c r="O349" s="7"/>
      <c r="P349" s="17"/>
    </row>
    <row r="350" spans="1:16" ht="14.25" customHeight="1">
      <c r="A350" s="5" t="s">
        <v>0</v>
      </c>
      <c r="B350" s="5" t="str">
        <f t="shared" si="2"/>
        <v>Y</v>
      </c>
      <c r="C350" s="6" t="s">
        <v>1459</v>
      </c>
      <c r="D350" s="6"/>
      <c r="E350" s="6" t="s">
        <v>1460</v>
      </c>
      <c r="F350" s="19"/>
      <c r="G350" s="20">
        <v>43260</v>
      </c>
      <c r="H350" s="20">
        <v>43410</v>
      </c>
      <c r="L350" s="6">
        <v>9430137546</v>
      </c>
      <c r="M350" s="6" t="s">
        <v>1434</v>
      </c>
      <c r="N350" s="16" t="s">
        <v>1461</v>
      </c>
      <c r="O350" s="7"/>
      <c r="P350" s="17"/>
    </row>
    <row r="351" spans="1:16" ht="14.25" customHeight="1">
      <c r="A351" s="5" t="s">
        <v>0</v>
      </c>
      <c r="B351" s="5" t="str">
        <f t="shared" si="2"/>
        <v>Y</v>
      </c>
      <c r="C351" s="6" t="s">
        <v>1462</v>
      </c>
      <c r="D351" s="6"/>
      <c r="E351" s="6" t="s">
        <v>1463</v>
      </c>
      <c r="F351" s="19"/>
      <c r="G351" s="20">
        <v>43260</v>
      </c>
      <c r="H351" s="20">
        <v>43410</v>
      </c>
      <c r="L351" s="6">
        <v>8092906117</v>
      </c>
      <c r="M351" s="6" t="s">
        <v>1434</v>
      </c>
      <c r="N351" s="16" t="s">
        <v>1461</v>
      </c>
      <c r="O351" s="7"/>
      <c r="P351" s="17"/>
    </row>
    <row r="352" spans="1:16" ht="14.25" customHeight="1">
      <c r="A352" s="5" t="s">
        <v>0</v>
      </c>
      <c r="B352" s="5" t="str">
        <f t="shared" si="2"/>
        <v>Y</v>
      </c>
      <c r="C352" s="6" t="s">
        <v>1464</v>
      </c>
      <c r="D352" s="6"/>
      <c r="E352" s="6" t="s">
        <v>1465</v>
      </c>
      <c r="F352" s="19"/>
      <c r="G352" s="20">
        <v>43260</v>
      </c>
      <c r="H352" s="20">
        <v>43410</v>
      </c>
      <c r="L352" s="6">
        <v>9905310239</v>
      </c>
      <c r="M352" s="6" t="s">
        <v>1434</v>
      </c>
      <c r="N352" s="16"/>
      <c r="O352" s="7"/>
      <c r="P352" s="17"/>
    </row>
    <row r="353" spans="1:16" ht="14.25" customHeight="1">
      <c r="A353" s="5" t="s">
        <v>0</v>
      </c>
      <c r="B353" s="5" t="str">
        <f t="shared" si="2"/>
        <v>Y</v>
      </c>
      <c r="C353" s="6" t="s">
        <v>1466</v>
      </c>
      <c r="D353" s="6"/>
      <c r="E353" s="6" t="s">
        <v>1467</v>
      </c>
      <c r="F353" s="19"/>
      <c r="G353" s="20">
        <v>43260</v>
      </c>
      <c r="H353" s="20">
        <v>43410</v>
      </c>
      <c r="L353" s="6">
        <v>7209229807</v>
      </c>
      <c r="M353" s="6" t="s">
        <v>1434</v>
      </c>
      <c r="N353" s="16" t="s">
        <v>1461</v>
      </c>
      <c r="O353" s="7"/>
      <c r="P353" s="17"/>
    </row>
    <row r="354" spans="1:16" ht="14.25" customHeight="1">
      <c r="A354" s="5" t="s">
        <v>0</v>
      </c>
      <c r="B354" s="5" t="str">
        <f t="shared" si="2"/>
        <v>Y</v>
      </c>
      <c r="C354" s="6" t="s">
        <v>1468</v>
      </c>
      <c r="D354" s="6"/>
      <c r="E354" s="6" t="s">
        <v>1469</v>
      </c>
      <c r="F354" s="19"/>
      <c r="G354" s="20">
        <v>43260</v>
      </c>
      <c r="H354" s="20">
        <v>43410</v>
      </c>
      <c r="L354" s="6">
        <v>9279058459</v>
      </c>
      <c r="M354" s="6" t="s">
        <v>1434</v>
      </c>
      <c r="N354" s="16" t="s">
        <v>1461</v>
      </c>
      <c r="O354" s="7"/>
      <c r="P354" s="17"/>
    </row>
    <row r="355" spans="1:16" ht="14.25" customHeight="1">
      <c r="A355" s="5" t="s">
        <v>0</v>
      </c>
      <c r="B355" s="5" t="str">
        <f t="shared" si="2"/>
        <v>Y</v>
      </c>
      <c r="C355" s="6" t="s">
        <v>1470</v>
      </c>
      <c r="D355" s="6"/>
      <c r="E355" s="6" t="s">
        <v>1471</v>
      </c>
      <c r="F355" s="19"/>
      <c r="G355" s="20">
        <v>43260</v>
      </c>
      <c r="H355" s="20">
        <v>43410</v>
      </c>
      <c r="L355" s="6">
        <v>9430137546</v>
      </c>
      <c r="M355" s="6" t="s">
        <v>1434</v>
      </c>
      <c r="N355" s="16" t="s">
        <v>1461</v>
      </c>
      <c r="O355" s="7"/>
      <c r="P355" s="17"/>
    </row>
    <row r="356" spans="1:16" ht="14.25" customHeight="1">
      <c r="A356" s="5" t="s">
        <v>0</v>
      </c>
      <c r="B356" s="5" t="str">
        <f t="shared" si="2"/>
        <v>Y</v>
      </c>
      <c r="C356" s="18" t="s">
        <v>1472</v>
      </c>
      <c r="D356" s="18"/>
      <c r="E356" s="6" t="s">
        <v>1473</v>
      </c>
      <c r="F356" s="19"/>
      <c r="G356" s="20">
        <v>43260</v>
      </c>
      <c r="H356" s="20">
        <v>43410</v>
      </c>
      <c r="L356" s="6">
        <v>9534174029</v>
      </c>
      <c r="N356" s="16"/>
      <c r="O356" s="7"/>
      <c r="P356" s="17"/>
    </row>
    <row r="357" spans="1:16" ht="14.25" customHeight="1">
      <c r="A357" s="5" t="s">
        <v>0</v>
      </c>
      <c r="B357" s="5" t="str">
        <f t="shared" si="2"/>
        <v>Y</v>
      </c>
      <c r="C357" s="18" t="s">
        <v>1474</v>
      </c>
      <c r="D357" s="18"/>
      <c r="E357" s="6" t="s">
        <v>1475</v>
      </c>
      <c r="F357" s="19"/>
      <c r="G357" s="20">
        <v>43265</v>
      </c>
      <c r="H357" s="20">
        <v>43265</v>
      </c>
      <c r="L357" s="6">
        <v>9973207109</v>
      </c>
      <c r="M357" s="6" t="s">
        <v>1434</v>
      </c>
      <c r="N357" s="16" t="s">
        <v>1476</v>
      </c>
      <c r="O357" s="7"/>
      <c r="P357" s="17"/>
    </row>
    <row r="358" spans="1:16" ht="14.25" customHeight="1">
      <c r="A358" s="5" t="s">
        <v>0</v>
      </c>
      <c r="B358" s="5" t="str">
        <f t="shared" si="2"/>
        <v>Y</v>
      </c>
      <c r="C358" s="18" t="s">
        <v>1477</v>
      </c>
      <c r="D358" s="18"/>
      <c r="E358" s="6" t="s">
        <v>1478</v>
      </c>
      <c r="F358" s="19"/>
      <c r="G358" s="20">
        <v>43265</v>
      </c>
      <c r="H358" s="20">
        <v>43265</v>
      </c>
      <c r="L358" s="6">
        <v>8218033270</v>
      </c>
      <c r="M358" s="6" t="s">
        <v>1434</v>
      </c>
      <c r="N358" s="16" t="s">
        <v>1476</v>
      </c>
      <c r="O358" s="7"/>
      <c r="P358" s="17"/>
    </row>
    <row r="359" spans="1:16" ht="14.25" customHeight="1">
      <c r="A359" s="5" t="s">
        <v>0</v>
      </c>
      <c r="B359" s="5" t="str">
        <f t="shared" si="2"/>
        <v>Y</v>
      </c>
      <c r="C359" s="18" t="s">
        <v>1479</v>
      </c>
      <c r="D359" s="18"/>
      <c r="E359" s="6" t="s">
        <v>1480</v>
      </c>
      <c r="F359" s="19"/>
      <c r="G359" s="20">
        <v>43265</v>
      </c>
      <c r="H359" s="20">
        <v>43265</v>
      </c>
      <c r="L359" s="6">
        <v>9234634312</v>
      </c>
      <c r="M359" s="6" t="s">
        <v>1434</v>
      </c>
      <c r="N359" s="16" t="s">
        <v>1476</v>
      </c>
      <c r="O359" s="7"/>
      <c r="P359" s="17"/>
    </row>
    <row r="360" spans="1:16" ht="14.25" customHeight="1">
      <c r="A360" s="5" t="s">
        <v>0</v>
      </c>
      <c r="B360" s="5" t="str">
        <f t="shared" si="2"/>
        <v>Y</v>
      </c>
      <c r="C360" s="18" t="s">
        <v>1481</v>
      </c>
      <c r="D360" s="18"/>
      <c r="E360" s="6" t="s">
        <v>1482</v>
      </c>
      <c r="F360" s="19"/>
      <c r="G360" s="20">
        <v>43265</v>
      </c>
      <c r="H360" s="20">
        <v>43265</v>
      </c>
      <c r="L360" s="6">
        <v>8507840570</v>
      </c>
      <c r="M360" s="6" t="s">
        <v>1434</v>
      </c>
      <c r="N360" s="16" t="s">
        <v>1476</v>
      </c>
      <c r="O360" s="7"/>
      <c r="P360" s="17"/>
    </row>
    <row r="361" spans="1:16" ht="14.25" customHeight="1">
      <c r="A361" s="5" t="s">
        <v>0</v>
      </c>
      <c r="B361" s="5" t="str">
        <f t="shared" si="2"/>
        <v>Y</v>
      </c>
      <c r="C361" s="18" t="s">
        <v>1483</v>
      </c>
      <c r="D361" s="18"/>
      <c r="E361" s="6" t="s">
        <v>1484</v>
      </c>
      <c r="F361" s="19"/>
      <c r="G361" s="20">
        <v>43265</v>
      </c>
      <c r="H361" s="20">
        <v>43265</v>
      </c>
      <c r="L361" s="6">
        <v>8797264484</v>
      </c>
      <c r="M361" s="6" t="s">
        <v>1434</v>
      </c>
      <c r="N361" s="16" t="s">
        <v>1476</v>
      </c>
      <c r="O361" s="7"/>
      <c r="P361" s="17"/>
    </row>
    <row r="362" spans="1:16" ht="14.25" customHeight="1">
      <c r="A362" s="5" t="s">
        <v>0</v>
      </c>
      <c r="B362" s="5" t="str">
        <f t="shared" si="2"/>
        <v>Y</v>
      </c>
      <c r="C362" s="18" t="s">
        <v>1485</v>
      </c>
      <c r="D362" s="18"/>
      <c r="E362" s="6" t="s">
        <v>1486</v>
      </c>
      <c r="F362" s="19"/>
      <c r="G362" s="20">
        <v>43265</v>
      </c>
      <c r="H362" s="20">
        <v>43265</v>
      </c>
      <c r="L362" s="6">
        <v>8051106869</v>
      </c>
      <c r="M362" s="6" t="s">
        <v>1434</v>
      </c>
      <c r="N362" s="16" t="s">
        <v>1476</v>
      </c>
      <c r="O362" s="7"/>
      <c r="P362" s="17"/>
    </row>
    <row r="363" spans="1:16" ht="14.25" customHeight="1">
      <c r="A363" s="5" t="s">
        <v>0</v>
      </c>
      <c r="B363" s="5" t="str">
        <f t="shared" si="2"/>
        <v>Y</v>
      </c>
      <c r="C363" s="18" t="s">
        <v>1487</v>
      </c>
      <c r="D363" s="18"/>
      <c r="E363" s="6" t="s">
        <v>1440</v>
      </c>
      <c r="F363" s="19"/>
      <c r="G363" s="20">
        <v>43265</v>
      </c>
      <c r="H363" s="20">
        <v>43265</v>
      </c>
      <c r="L363" s="6">
        <v>7320062857</v>
      </c>
      <c r="M363" s="6" t="s">
        <v>1434</v>
      </c>
      <c r="N363" s="16" t="s">
        <v>1476</v>
      </c>
      <c r="O363" s="7"/>
      <c r="P363" s="17"/>
    </row>
    <row r="364" spans="1:16" ht="14.25" customHeight="1">
      <c r="A364" s="5" t="s">
        <v>0</v>
      </c>
      <c r="B364" s="5" t="str">
        <f t="shared" si="2"/>
        <v>Y</v>
      </c>
      <c r="C364" s="6" t="s">
        <v>1488</v>
      </c>
      <c r="D364" s="6"/>
      <c r="E364" s="6" t="s">
        <v>1489</v>
      </c>
      <c r="F364" s="19"/>
      <c r="G364" s="20">
        <v>43265</v>
      </c>
      <c r="H364" s="20">
        <v>43266</v>
      </c>
      <c r="L364" s="6">
        <v>8674946177</v>
      </c>
      <c r="M364" s="24" t="s">
        <v>1490</v>
      </c>
      <c r="N364" s="16"/>
      <c r="O364" s="16" t="s">
        <v>1491</v>
      </c>
      <c r="P364" s="17"/>
    </row>
    <row r="365" spans="1:16" ht="14.25" customHeight="1">
      <c r="A365" s="5" t="s">
        <v>0</v>
      </c>
      <c r="B365" s="5" t="str">
        <f t="shared" si="2"/>
        <v>Y</v>
      </c>
      <c r="C365" s="6" t="s">
        <v>1492</v>
      </c>
      <c r="D365" s="6"/>
      <c r="E365" s="6" t="s">
        <v>1493</v>
      </c>
      <c r="F365" s="19"/>
      <c r="G365" s="20">
        <v>43265</v>
      </c>
      <c r="H365" s="20">
        <v>43266</v>
      </c>
      <c r="L365" s="6">
        <v>9102601156</v>
      </c>
      <c r="N365" s="16"/>
      <c r="O365" s="16" t="s">
        <v>1491</v>
      </c>
      <c r="P365" s="17"/>
    </row>
    <row r="366" spans="1:16" ht="14.25" customHeight="1">
      <c r="A366" s="5" t="s">
        <v>0</v>
      </c>
      <c r="B366" s="5" t="str">
        <f t="shared" si="2"/>
        <v>Y</v>
      </c>
      <c r="C366" s="18" t="s">
        <v>1494</v>
      </c>
      <c r="D366" s="18"/>
      <c r="E366" s="6" t="s">
        <v>1495</v>
      </c>
      <c r="F366" s="19"/>
      <c r="G366" s="20">
        <v>43266</v>
      </c>
      <c r="H366" s="20">
        <v>43266</v>
      </c>
      <c r="L366" s="6">
        <v>8210356757</v>
      </c>
      <c r="N366" s="16"/>
      <c r="O366" s="7"/>
      <c r="P366" s="17"/>
    </row>
    <row r="367" spans="1:16" ht="14.25" customHeight="1">
      <c r="A367" s="5" t="s">
        <v>0</v>
      </c>
      <c r="B367" s="5" t="str">
        <f t="shared" si="2"/>
        <v>Y</v>
      </c>
      <c r="C367" s="6" t="s">
        <v>1496</v>
      </c>
      <c r="D367" s="6"/>
      <c r="E367" s="6" t="s">
        <v>1497</v>
      </c>
      <c r="F367" s="19"/>
      <c r="G367" s="20">
        <v>43268</v>
      </c>
      <c r="H367" s="20">
        <v>43272</v>
      </c>
      <c r="L367" s="6">
        <v>8797672403</v>
      </c>
      <c r="N367" s="16"/>
      <c r="O367" s="7"/>
      <c r="P367" s="17"/>
    </row>
    <row r="368" spans="1:16" ht="14.25" customHeight="1">
      <c r="A368" s="5" t="s">
        <v>0</v>
      </c>
      <c r="B368" s="5" t="str">
        <f t="shared" si="2"/>
        <v>Y</v>
      </c>
      <c r="C368" s="6" t="s">
        <v>1498</v>
      </c>
      <c r="D368" s="6"/>
      <c r="E368" s="6" t="s">
        <v>1499</v>
      </c>
      <c r="F368" s="19"/>
      <c r="G368" s="20">
        <v>43268</v>
      </c>
      <c r="H368" s="20">
        <v>43268</v>
      </c>
      <c r="L368" s="6">
        <v>8521055357</v>
      </c>
      <c r="M368" s="6" t="s">
        <v>1434</v>
      </c>
      <c r="N368" s="16" t="s">
        <v>1476</v>
      </c>
      <c r="O368" s="7"/>
      <c r="P368" s="17"/>
    </row>
    <row r="369" spans="1:16" ht="19.5" customHeight="1">
      <c r="A369" s="5" t="s">
        <v>0</v>
      </c>
      <c r="B369" s="5" t="str">
        <f t="shared" si="2"/>
        <v>Y</v>
      </c>
      <c r="C369" s="6" t="s">
        <v>1500</v>
      </c>
      <c r="D369" s="6"/>
      <c r="E369" s="6" t="s">
        <v>1501</v>
      </c>
      <c r="F369" s="19"/>
      <c r="G369" s="20">
        <v>43268</v>
      </c>
      <c r="H369" s="20">
        <v>43268</v>
      </c>
      <c r="L369" s="6">
        <v>8210284708</v>
      </c>
      <c r="M369" s="6" t="s">
        <v>1434</v>
      </c>
      <c r="N369" s="16"/>
      <c r="O369" s="7"/>
      <c r="P369" s="17"/>
    </row>
    <row r="370" spans="1:16" ht="14.25" customHeight="1">
      <c r="A370" s="5" t="s">
        <v>0</v>
      </c>
      <c r="B370" s="5" t="str">
        <f t="shared" si="2"/>
        <v>Y</v>
      </c>
      <c r="C370" s="6" t="s">
        <v>1502</v>
      </c>
      <c r="D370" s="6"/>
      <c r="E370" s="6" t="s">
        <v>1503</v>
      </c>
      <c r="F370" s="19"/>
      <c r="G370" s="20">
        <v>43268</v>
      </c>
      <c r="H370" s="20">
        <v>43268</v>
      </c>
      <c r="L370" s="6">
        <v>9279060508</v>
      </c>
      <c r="M370" s="6" t="s">
        <v>1434</v>
      </c>
      <c r="N370" s="16" t="s">
        <v>1476</v>
      </c>
      <c r="O370" s="7"/>
      <c r="P370" s="17"/>
    </row>
    <row r="371" spans="1:16" ht="14.25" customHeight="1">
      <c r="A371" s="5" t="s">
        <v>0</v>
      </c>
      <c r="B371" s="5" t="str">
        <f t="shared" si="2"/>
        <v>Y</v>
      </c>
      <c r="C371" s="6" t="s">
        <v>1504</v>
      </c>
      <c r="D371" s="6"/>
      <c r="E371" s="6" t="s">
        <v>1505</v>
      </c>
      <c r="F371" s="19"/>
      <c r="G371" s="20">
        <v>43268</v>
      </c>
      <c r="H371" s="20">
        <v>43269</v>
      </c>
      <c r="L371" s="6">
        <v>9204096493</v>
      </c>
      <c r="M371" s="24" t="s">
        <v>1506</v>
      </c>
      <c r="N371" s="16"/>
      <c r="O371" s="7"/>
      <c r="P371" s="17"/>
    </row>
    <row r="372" spans="1:16" ht="14.25" customHeight="1">
      <c r="A372" s="5" t="s">
        <v>0</v>
      </c>
      <c r="B372" s="5" t="str">
        <f t="shared" si="2"/>
        <v>Y</v>
      </c>
      <c r="C372" s="18" t="s">
        <v>1507</v>
      </c>
      <c r="D372" s="18"/>
      <c r="E372" s="6" t="s">
        <v>1508</v>
      </c>
      <c r="F372" s="19"/>
      <c r="G372" s="20">
        <v>43269</v>
      </c>
      <c r="H372" s="20">
        <v>43271</v>
      </c>
      <c r="L372" s="6">
        <v>7010493292</v>
      </c>
      <c r="M372" s="6" t="s">
        <v>1434</v>
      </c>
      <c r="N372" s="16" t="s">
        <v>1476</v>
      </c>
      <c r="O372" s="7"/>
      <c r="P372" s="17"/>
    </row>
    <row r="373" spans="1:16" ht="14.25" customHeight="1">
      <c r="A373" s="5" t="s">
        <v>0</v>
      </c>
      <c r="B373" s="5" t="str">
        <f t="shared" si="2"/>
        <v>Y</v>
      </c>
      <c r="C373" s="6" t="s">
        <v>1509</v>
      </c>
      <c r="D373" s="6"/>
      <c r="E373" s="6" t="s">
        <v>1510</v>
      </c>
      <c r="F373" s="19"/>
      <c r="G373" s="20">
        <v>43272</v>
      </c>
      <c r="H373" s="20">
        <v>43272</v>
      </c>
      <c r="L373" s="6">
        <v>8235118621</v>
      </c>
      <c r="N373" s="16"/>
      <c r="O373" s="7"/>
      <c r="P373" s="17"/>
    </row>
    <row r="374" spans="1:16" ht="14.25" customHeight="1">
      <c r="A374" s="5" t="s">
        <v>0</v>
      </c>
      <c r="B374" s="5" t="str">
        <f t="shared" si="2"/>
        <v>Y</v>
      </c>
      <c r="C374" s="6" t="s">
        <v>1511</v>
      </c>
      <c r="D374" s="6"/>
      <c r="E374" s="6" t="s">
        <v>1512</v>
      </c>
      <c r="F374" s="19"/>
      <c r="G374" s="20">
        <v>43273</v>
      </c>
      <c r="H374" s="20">
        <v>43275</v>
      </c>
      <c r="L374" s="6">
        <v>7209163380</v>
      </c>
      <c r="N374" s="16"/>
      <c r="O374" s="7"/>
      <c r="P374" s="17"/>
    </row>
    <row r="375" spans="1:16" ht="14.25" customHeight="1">
      <c r="A375" s="5" t="s">
        <v>0</v>
      </c>
      <c r="B375" s="5" t="str">
        <f t="shared" si="2"/>
        <v>Y</v>
      </c>
      <c r="C375" s="6" t="s">
        <v>1513</v>
      </c>
      <c r="D375" s="6"/>
      <c r="E375" s="6" t="s">
        <v>1514</v>
      </c>
      <c r="F375" s="19"/>
      <c r="G375" s="20">
        <v>43274</v>
      </c>
      <c r="H375" s="20">
        <v>43279</v>
      </c>
      <c r="L375" s="6">
        <v>8797471134</v>
      </c>
      <c r="M375" s="24" t="s">
        <v>1515</v>
      </c>
      <c r="N375" s="16" t="s">
        <v>1516</v>
      </c>
      <c r="O375" s="7"/>
      <c r="P375" s="17"/>
    </row>
    <row r="376" spans="1:16" ht="14.25" customHeight="1">
      <c r="A376" s="5" t="s">
        <v>0</v>
      </c>
      <c r="B376" s="5" t="str">
        <f t="shared" si="2"/>
        <v>Y</v>
      </c>
      <c r="C376" s="18"/>
      <c r="D376" s="18"/>
      <c r="E376" s="6" t="s">
        <v>1517</v>
      </c>
      <c r="F376" s="19"/>
      <c r="G376" s="20">
        <v>43274</v>
      </c>
      <c r="H376" s="20">
        <v>43275</v>
      </c>
      <c r="L376" s="6">
        <v>8809114601</v>
      </c>
      <c r="M376" s="6" t="s">
        <v>1434</v>
      </c>
      <c r="N376" s="16" t="s">
        <v>1461</v>
      </c>
      <c r="O376" s="7"/>
      <c r="P376" s="17"/>
    </row>
    <row r="377" spans="1:16" ht="14.25" customHeight="1">
      <c r="A377" s="5" t="s">
        <v>0</v>
      </c>
      <c r="B377" s="5" t="str">
        <f t="shared" si="2"/>
        <v>Y</v>
      </c>
      <c r="C377" s="6" t="s">
        <v>1518</v>
      </c>
      <c r="D377" s="6"/>
      <c r="E377" s="6" t="s">
        <v>1519</v>
      </c>
      <c r="F377" s="19"/>
      <c r="G377" s="20">
        <v>43274</v>
      </c>
      <c r="H377" s="20">
        <v>43275</v>
      </c>
      <c r="L377" s="6">
        <v>9939249986</v>
      </c>
      <c r="M377" s="6" t="s">
        <v>1434</v>
      </c>
      <c r="N377" s="16" t="s">
        <v>1461</v>
      </c>
      <c r="O377" s="7"/>
      <c r="P377" s="17"/>
    </row>
    <row r="378" spans="1:16" ht="14.25" customHeight="1">
      <c r="A378" s="5" t="s">
        <v>0</v>
      </c>
      <c r="B378" s="5" t="str">
        <f t="shared" si="2"/>
        <v>Y</v>
      </c>
      <c r="C378" s="6" t="s">
        <v>1520</v>
      </c>
      <c r="D378" s="6"/>
      <c r="E378" s="6" t="s">
        <v>1521</v>
      </c>
      <c r="F378" s="19"/>
      <c r="G378" s="20">
        <v>43275</v>
      </c>
      <c r="H378" s="20">
        <v>43275</v>
      </c>
      <c r="L378" s="6">
        <v>9279787349</v>
      </c>
      <c r="N378" s="16"/>
      <c r="O378" s="7"/>
      <c r="P378" s="17"/>
    </row>
    <row r="379" spans="1:16" ht="14.25" customHeight="1">
      <c r="A379" s="65" t="s">
        <v>0</v>
      </c>
      <c r="B379" s="65" t="str">
        <f t="shared" si="2"/>
        <v>Y</v>
      </c>
      <c r="C379" s="62" t="s">
        <v>1522</v>
      </c>
      <c r="D379" s="62"/>
      <c r="E379" s="47" t="s">
        <v>1523</v>
      </c>
      <c r="F379" s="63"/>
      <c r="G379" s="64">
        <v>43277</v>
      </c>
      <c r="H379" s="64">
        <v>43279</v>
      </c>
      <c r="I379" s="47"/>
      <c r="J379" s="47"/>
      <c r="K379" s="47"/>
      <c r="L379" s="47">
        <v>7643879364</v>
      </c>
      <c r="M379" s="47" t="s">
        <v>1524</v>
      </c>
      <c r="N379" s="66"/>
      <c r="O379" s="7"/>
      <c r="P379" s="17"/>
    </row>
    <row r="380" spans="1:16" ht="14.25" customHeight="1">
      <c r="A380" s="5" t="s">
        <v>0</v>
      </c>
      <c r="B380" s="5" t="str">
        <f t="shared" si="2"/>
        <v>Y</v>
      </c>
      <c r="C380" s="18" t="s">
        <v>1525</v>
      </c>
      <c r="D380" s="18"/>
      <c r="E380" s="6" t="s">
        <v>1526</v>
      </c>
      <c r="F380" s="19"/>
      <c r="G380" s="20">
        <v>43278</v>
      </c>
      <c r="H380" s="20">
        <v>43278</v>
      </c>
      <c r="L380" s="6">
        <v>79704463497</v>
      </c>
      <c r="M380" s="6" t="s">
        <v>1527</v>
      </c>
      <c r="N380" s="16"/>
      <c r="O380" s="7"/>
      <c r="P380" s="17"/>
    </row>
    <row r="381" spans="1:16" ht="14.25" customHeight="1">
      <c r="A381" s="5" t="s">
        <v>0</v>
      </c>
      <c r="B381" s="5" t="str">
        <f t="shared" si="2"/>
        <v>Y</v>
      </c>
      <c r="C381" s="18" t="s">
        <v>1528</v>
      </c>
      <c r="D381" s="18"/>
      <c r="E381" s="6" t="s">
        <v>1529</v>
      </c>
      <c r="F381" s="19"/>
      <c r="G381" s="20">
        <v>43278</v>
      </c>
      <c r="H381" s="20">
        <v>43278</v>
      </c>
      <c r="L381" s="6">
        <v>8002231344</v>
      </c>
      <c r="M381" s="6" t="s">
        <v>1527</v>
      </c>
      <c r="N381" s="16"/>
      <c r="O381" s="7"/>
      <c r="P381" s="17"/>
    </row>
    <row r="382" spans="1:16" ht="14.25" customHeight="1">
      <c r="A382" s="5" t="s">
        <v>0</v>
      </c>
      <c r="B382" s="5" t="str">
        <f t="shared" si="2"/>
        <v>Y</v>
      </c>
      <c r="C382" s="18" t="s">
        <v>1530</v>
      </c>
      <c r="D382" s="18"/>
      <c r="E382" s="6" t="s">
        <v>1531</v>
      </c>
      <c r="F382" s="19"/>
      <c r="G382" s="20">
        <v>43278</v>
      </c>
      <c r="H382" s="20">
        <v>43278</v>
      </c>
      <c r="L382" s="6">
        <v>9570876066</v>
      </c>
      <c r="M382" s="6" t="s">
        <v>1527</v>
      </c>
      <c r="N382" s="16"/>
      <c r="O382" s="7"/>
      <c r="P382" s="17"/>
    </row>
    <row r="383" spans="1:16" ht="14.25" customHeight="1">
      <c r="A383" s="5"/>
      <c r="B383" s="5" t="str">
        <f t="shared" si="2"/>
        <v>N</v>
      </c>
      <c r="C383" s="18"/>
      <c r="D383" s="18"/>
      <c r="E383" s="6" t="s">
        <v>1532</v>
      </c>
      <c r="F383" s="19"/>
      <c r="G383" s="20">
        <v>43278</v>
      </c>
      <c r="H383" s="20"/>
      <c r="L383" s="6">
        <v>6203089707</v>
      </c>
      <c r="M383" s="6" t="s">
        <v>1527</v>
      </c>
      <c r="N383" s="16"/>
      <c r="O383" s="7"/>
      <c r="P383" s="17"/>
    </row>
    <row r="384" spans="1:16" ht="14.25" customHeight="1">
      <c r="A384" s="5" t="s">
        <v>0</v>
      </c>
      <c r="B384" s="5" t="str">
        <f t="shared" si="2"/>
        <v>Y</v>
      </c>
      <c r="C384" s="6" t="s">
        <v>1533</v>
      </c>
      <c r="D384" s="6"/>
      <c r="E384" s="6" t="s">
        <v>1534</v>
      </c>
      <c r="F384" s="19"/>
      <c r="G384" s="20">
        <v>43278</v>
      </c>
      <c r="H384" s="20">
        <v>43278</v>
      </c>
      <c r="L384" s="6">
        <v>9102768493</v>
      </c>
      <c r="N384" s="16"/>
      <c r="O384" s="7"/>
      <c r="P384" s="17"/>
    </row>
    <row r="385" spans="1:16" ht="14.25" customHeight="1">
      <c r="A385" s="5" t="s">
        <v>0</v>
      </c>
      <c r="B385" s="5" t="str">
        <f t="shared" si="2"/>
        <v>Y</v>
      </c>
      <c r="C385" s="18" t="s">
        <v>1535</v>
      </c>
      <c r="D385" s="18"/>
      <c r="E385" s="6" t="s">
        <v>1536</v>
      </c>
      <c r="F385" s="19"/>
      <c r="G385" s="20">
        <v>43278</v>
      </c>
      <c r="H385" s="20">
        <v>43278</v>
      </c>
      <c r="L385" s="6">
        <v>8757728005</v>
      </c>
      <c r="N385" s="16"/>
      <c r="O385" s="7"/>
      <c r="P385" s="17"/>
    </row>
    <row r="386" spans="1:16" ht="14.25" customHeight="1">
      <c r="A386" s="5" t="s">
        <v>0</v>
      </c>
      <c r="B386" s="5" t="str">
        <f t="shared" si="2"/>
        <v>N</v>
      </c>
      <c r="C386" s="6" t="s">
        <v>1537</v>
      </c>
      <c r="D386" s="6"/>
      <c r="E386" s="6" t="s">
        <v>1538</v>
      </c>
      <c r="F386" s="19"/>
      <c r="G386" s="20">
        <v>43279</v>
      </c>
      <c r="H386" s="5"/>
      <c r="L386" s="6">
        <v>7209389734</v>
      </c>
      <c r="N386" s="16"/>
      <c r="O386" s="7"/>
      <c r="P386" s="17"/>
    </row>
    <row r="387" spans="1:16" ht="14.25" customHeight="1">
      <c r="A387" s="5"/>
      <c r="B387" s="5" t="str">
        <f t="shared" si="2"/>
        <v>N</v>
      </c>
      <c r="C387" s="67" t="s">
        <v>1539</v>
      </c>
      <c r="D387" s="800"/>
      <c r="E387" s="6" t="s">
        <v>1540</v>
      </c>
      <c r="F387" s="458"/>
      <c r="G387" s="20">
        <v>43279</v>
      </c>
      <c r="H387" s="5"/>
      <c r="M387" s="6" t="s">
        <v>1541</v>
      </c>
      <c r="N387" s="16"/>
      <c r="O387" s="7"/>
      <c r="P387" s="17"/>
    </row>
    <row r="388" spans="1:16" ht="14.25" customHeight="1">
      <c r="A388" s="5" t="s">
        <v>0</v>
      </c>
      <c r="B388" s="5" t="str">
        <f t="shared" si="2"/>
        <v>Y</v>
      </c>
      <c r="C388" s="18" t="s">
        <v>1542</v>
      </c>
      <c r="D388" s="18"/>
      <c r="E388" s="6" t="s">
        <v>1543</v>
      </c>
      <c r="F388" s="19" t="s">
        <v>1544</v>
      </c>
      <c r="G388" s="20">
        <v>43278</v>
      </c>
      <c r="H388" s="20">
        <v>43278</v>
      </c>
      <c r="L388" s="6">
        <v>9955372833</v>
      </c>
      <c r="N388" s="16"/>
      <c r="O388" s="7"/>
      <c r="P388" s="17"/>
    </row>
    <row r="389" spans="1:16" ht="14.25" customHeight="1">
      <c r="A389" s="5" t="s">
        <v>0</v>
      </c>
      <c r="B389" s="5" t="str">
        <f t="shared" si="2"/>
        <v>Y</v>
      </c>
      <c r="C389" s="6" t="s">
        <v>1545</v>
      </c>
      <c r="D389" s="6"/>
      <c r="E389" s="6" t="s">
        <v>1546</v>
      </c>
      <c r="F389" s="19"/>
      <c r="G389" s="20">
        <v>43283</v>
      </c>
      <c r="H389" s="20">
        <v>43283</v>
      </c>
      <c r="L389" s="6">
        <v>9204258537</v>
      </c>
      <c r="N389" s="16"/>
      <c r="O389" s="7"/>
      <c r="P389" s="17"/>
    </row>
    <row r="390" spans="1:16" ht="14.25" customHeight="1">
      <c r="A390" s="5" t="s">
        <v>0</v>
      </c>
      <c r="B390" s="5" t="str">
        <f t="shared" si="2"/>
        <v>Y</v>
      </c>
      <c r="C390" s="18" t="s">
        <v>1547</v>
      </c>
      <c r="D390" s="18"/>
      <c r="E390" s="6" t="s">
        <v>1548</v>
      </c>
      <c r="F390" s="19"/>
      <c r="G390" s="20">
        <v>43283</v>
      </c>
      <c r="H390" s="20">
        <v>43283</v>
      </c>
      <c r="L390" s="6">
        <v>8797647540</v>
      </c>
      <c r="N390" s="16"/>
      <c r="O390" s="7"/>
      <c r="P390" s="17"/>
    </row>
    <row r="391" spans="1:16" ht="14.25" customHeight="1">
      <c r="A391" s="5" t="s">
        <v>0</v>
      </c>
      <c r="B391" s="5" t="str">
        <f t="shared" si="2"/>
        <v>Y</v>
      </c>
      <c r="C391" s="18" t="s">
        <v>1549</v>
      </c>
      <c r="D391" s="18"/>
      <c r="E391" s="6" t="s">
        <v>1550</v>
      </c>
      <c r="F391" s="19"/>
      <c r="G391" s="20">
        <v>43283</v>
      </c>
      <c r="H391" s="20">
        <v>43286</v>
      </c>
      <c r="L391" s="6">
        <v>8797363322</v>
      </c>
      <c r="M391" s="6" t="s">
        <v>1527</v>
      </c>
      <c r="N391" s="16" t="s">
        <v>1551</v>
      </c>
      <c r="O391" s="7"/>
      <c r="P391" s="17"/>
    </row>
    <row r="392" spans="1:16" ht="14.25" customHeight="1">
      <c r="A392" s="5" t="s">
        <v>0</v>
      </c>
      <c r="B392" s="5" t="str">
        <f t="shared" si="2"/>
        <v>Y</v>
      </c>
      <c r="C392" s="18" t="s">
        <v>1552</v>
      </c>
      <c r="D392" s="18"/>
      <c r="E392" s="6" t="s">
        <v>1553</v>
      </c>
      <c r="F392" s="19"/>
      <c r="G392" s="20">
        <v>43283</v>
      </c>
      <c r="H392" s="20">
        <v>43286</v>
      </c>
      <c r="L392" s="6">
        <v>8263634227</v>
      </c>
      <c r="M392" s="6" t="s">
        <v>1527</v>
      </c>
      <c r="N392" s="16" t="s">
        <v>1551</v>
      </c>
      <c r="O392" s="7" t="s">
        <v>1554</v>
      </c>
      <c r="P392" s="17"/>
    </row>
    <row r="393" spans="1:16" ht="14.25" customHeight="1">
      <c r="A393" s="5" t="s">
        <v>0</v>
      </c>
      <c r="B393" s="5" t="str">
        <f t="shared" si="2"/>
        <v>Y</v>
      </c>
      <c r="C393" s="18" t="s">
        <v>1555</v>
      </c>
      <c r="D393" s="18"/>
      <c r="E393" s="6" t="s">
        <v>1556</v>
      </c>
      <c r="F393" s="19"/>
      <c r="G393" s="20">
        <v>43283</v>
      </c>
      <c r="H393" s="20">
        <v>43286</v>
      </c>
      <c r="L393" s="6">
        <v>8210844873</v>
      </c>
      <c r="M393" s="6" t="s">
        <v>1527</v>
      </c>
      <c r="N393" s="16" t="s">
        <v>1551</v>
      </c>
      <c r="O393" s="7"/>
      <c r="P393" s="17"/>
    </row>
    <row r="394" spans="1:16" ht="14.25" customHeight="1">
      <c r="A394" s="5" t="s">
        <v>0</v>
      </c>
      <c r="B394" s="5" t="str">
        <f t="shared" si="2"/>
        <v>Y</v>
      </c>
      <c r="C394" s="18" t="s">
        <v>1557</v>
      </c>
      <c r="D394" s="18"/>
      <c r="E394" s="6" t="s">
        <v>1558</v>
      </c>
      <c r="F394" s="19"/>
      <c r="G394" s="20">
        <v>43283</v>
      </c>
      <c r="H394" s="20">
        <v>43286</v>
      </c>
      <c r="L394" s="6">
        <v>9973924633</v>
      </c>
      <c r="M394" s="6" t="s">
        <v>1527</v>
      </c>
      <c r="N394" s="16" t="s">
        <v>1551</v>
      </c>
      <c r="O394" s="7"/>
      <c r="P394" s="17"/>
    </row>
    <row r="395" spans="1:16" ht="14.25" customHeight="1">
      <c r="A395" s="5" t="s">
        <v>0</v>
      </c>
      <c r="B395" s="5" t="str">
        <f t="shared" si="2"/>
        <v>Y</v>
      </c>
      <c r="C395" s="18" t="s">
        <v>1559</v>
      </c>
      <c r="D395" s="18"/>
      <c r="E395" s="6" t="s">
        <v>1560</v>
      </c>
      <c r="F395" s="19"/>
      <c r="G395" s="20">
        <v>43284</v>
      </c>
      <c r="H395" s="20">
        <v>43286</v>
      </c>
      <c r="L395" s="6">
        <v>7979718006</v>
      </c>
      <c r="N395" s="16"/>
      <c r="O395" s="7"/>
      <c r="P395" s="17"/>
    </row>
    <row r="396" spans="1:16" ht="14.25" customHeight="1">
      <c r="A396" s="5" t="s">
        <v>0</v>
      </c>
      <c r="B396" s="5" t="str">
        <f t="shared" si="2"/>
        <v>Y</v>
      </c>
      <c r="C396" s="18" t="s">
        <v>1561</v>
      </c>
      <c r="D396" s="18"/>
      <c r="E396" s="6" t="s">
        <v>1562</v>
      </c>
      <c r="F396" s="19"/>
      <c r="G396" s="20">
        <v>43285</v>
      </c>
      <c r="H396" s="20">
        <v>43286</v>
      </c>
      <c r="L396" s="6">
        <v>9031108358</v>
      </c>
      <c r="N396" s="16"/>
      <c r="O396" s="7"/>
      <c r="P396" s="17"/>
    </row>
    <row r="397" spans="1:16" ht="14.25" customHeight="1">
      <c r="A397" s="5" t="s">
        <v>0</v>
      </c>
      <c r="B397" s="5" t="str">
        <f t="shared" si="2"/>
        <v>Y</v>
      </c>
      <c r="C397" s="18" t="s">
        <v>1563</v>
      </c>
      <c r="D397" s="18"/>
      <c r="E397" s="6" t="s">
        <v>1564</v>
      </c>
      <c r="F397" s="19"/>
      <c r="G397" s="20">
        <v>43285</v>
      </c>
      <c r="H397" s="20">
        <v>43286</v>
      </c>
      <c r="L397" s="6">
        <v>7004912520</v>
      </c>
      <c r="N397" s="16"/>
      <c r="O397" s="7"/>
      <c r="P397" s="17"/>
    </row>
    <row r="398" spans="1:16" ht="14.25" customHeight="1">
      <c r="A398" s="5" t="s">
        <v>0</v>
      </c>
      <c r="B398" s="5" t="str">
        <f t="shared" si="2"/>
        <v>Y</v>
      </c>
      <c r="C398" s="6" t="s">
        <v>1565</v>
      </c>
      <c r="D398" s="6"/>
      <c r="E398" s="6" t="s">
        <v>1566</v>
      </c>
      <c r="F398" s="19"/>
      <c r="G398" s="20">
        <v>43285</v>
      </c>
      <c r="H398" s="20">
        <v>43286</v>
      </c>
      <c r="L398" s="6">
        <v>7463802515</v>
      </c>
      <c r="M398" s="6" t="s">
        <v>1527</v>
      </c>
      <c r="N398" s="16" t="s">
        <v>1551</v>
      </c>
      <c r="O398" s="7"/>
      <c r="P398" s="17"/>
    </row>
    <row r="399" spans="1:16" ht="14.25" customHeight="1">
      <c r="A399" s="5" t="s">
        <v>0</v>
      </c>
      <c r="B399" s="5" t="str">
        <f t="shared" si="2"/>
        <v>Y</v>
      </c>
      <c r="C399" s="18" t="s">
        <v>1567</v>
      </c>
      <c r="D399" s="18"/>
      <c r="E399" s="6" t="s">
        <v>1568</v>
      </c>
      <c r="F399" s="19"/>
      <c r="G399" s="20">
        <v>43285</v>
      </c>
      <c r="H399" s="20">
        <v>43286</v>
      </c>
      <c r="L399" s="6">
        <v>6204822723</v>
      </c>
      <c r="M399" s="6" t="s">
        <v>1527</v>
      </c>
      <c r="N399" s="16" t="s">
        <v>1551</v>
      </c>
      <c r="O399" s="7"/>
      <c r="P399" s="17"/>
    </row>
    <row r="400" spans="1:16" ht="14.25" customHeight="1">
      <c r="A400" s="5" t="s">
        <v>0</v>
      </c>
      <c r="B400" s="5" t="str">
        <f t="shared" si="2"/>
        <v>Y</v>
      </c>
      <c r="C400" s="6" t="s">
        <v>1569</v>
      </c>
      <c r="D400" s="6"/>
      <c r="E400" s="6" t="s">
        <v>1570</v>
      </c>
      <c r="F400" s="19"/>
      <c r="G400" s="20">
        <v>43287</v>
      </c>
      <c r="H400" s="19" t="s">
        <v>1571</v>
      </c>
      <c r="L400" s="6">
        <v>9431965352</v>
      </c>
      <c r="M400" s="6" t="s">
        <v>1527</v>
      </c>
      <c r="N400" s="16" t="s">
        <v>1551</v>
      </c>
      <c r="O400" s="7"/>
      <c r="P400" s="17"/>
    </row>
    <row r="401" spans="1:16" ht="14.25" customHeight="1">
      <c r="A401" s="69"/>
      <c r="B401" s="69" t="str">
        <f t="shared" si="2"/>
        <v>N</v>
      </c>
      <c r="C401" s="70" t="s">
        <v>1572</v>
      </c>
      <c r="D401" s="70"/>
      <c r="E401" s="70" t="s">
        <v>1573</v>
      </c>
      <c r="F401" s="71"/>
      <c r="G401" s="72">
        <v>43287</v>
      </c>
      <c r="H401" s="72"/>
      <c r="I401" s="70"/>
      <c r="J401" s="70"/>
      <c r="K401" s="70"/>
      <c r="L401" s="70">
        <v>9679410262</v>
      </c>
      <c r="M401" s="70" t="s">
        <v>1574</v>
      </c>
      <c r="N401" s="16"/>
      <c r="O401" s="7"/>
      <c r="P401" s="17"/>
    </row>
    <row r="402" spans="1:16" ht="14.25" customHeight="1">
      <c r="A402" s="5" t="s">
        <v>0</v>
      </c>
      <c r="B402" s="5" t="str">
        <f t="shared" si="2"/>
        <v>Y</v>
      </c>
      <c r="C402" s="6" t="s">
        <v>1575</v>
      </c>
      <c r="D402" s="6"/>
      <c r="E402" s="6" t="s">
        <v>1576</v>
      </c>
      <c r="F402" s="19"/>
      <c r="G402" s="20">
        <v>43290</v>
      </c>
      <c r="H402" s="19" t="s">
        <v>1577</v>
      </c>
      <c r="L402" s="6">
        <v>9234524421</v>
      </c>
      <c r="N402" s="16"/>
      <c r="O402" s="7"/>
      <c r="P402" s="17"/>
    </row>
    <row r="403" spans="1:16" ht="14.25" customHeight="1">
      <c r="A403" s="5" t="s">
        <v>0</v>
      </c>
      <c r="B403" s="5" t="str">
        <f t="shared" si="2"/>
        <v>Y</v>
      </c>
      <c r="C403" s="18" t="s">
        <v>1578</v>
      </c>
      <c r="D403" s="18"/>
      <c r="E403" s="6" t="s">
        <v>1579</v>
      </c>
      <c r="F403" s="19"/>
      <c r="G403" s="20">
        <v>43288</v>
      </c>
      <c r="H403" s="19" t="s">
        <v>1580</v>
      </c>
      <c r="L403" s="6">
        <v>9234266764</v>
      </c>
      <c r="N403" s="16"/>
      <c r="O403" s="7"/>
      <c r="P403" s="17"/>
    </row>
    <row r="404" spans="1:16" ht="14.25" customHeight="1">
      <c r="A404" s="5" t="s">
        <v>0</v>
      </c>
      <c r="B404" s="5" t="str">
        <f t="shared" si="2"/>
        <v>Y</v>
      </c>
      <c r="C404" s="6" t="s">
        <v>1581</v>
      </c>
      <c r="D404" s="6"/>
      <c r="E404" s="6" t="s">
        <v>1582</v>
      </c>
      <c r="F404" s="19"/>
      <c r="G404" s="20">
        <v>43290</v>
      </c>
      <c r="H404" s="19" t="s">
        <v>1577</v>
      </c>
      <c r="L404" s="6">
        <v>8541058250</v>
      </c>
      <c r="N404" s="16"/>
      <c r="O404" s="7"/>
      <c r="P404" s="17"/>
    </row>
    <row r="405" spans="1:16" ht="14.25" customHeight="1">
      <c r="A405" s="5" t="s">
        <v>0</v>
      </c>
      <c r="B405" s="5" t="str">
        <f t="shared" si="2"/>
        <v>Y</v>
      </c>
      <c r="C405" s="6" t="s">
        <v>1583</v>
      </c>
      <c r="D405" s="6"/>
      <c r="E405" s="6" t="s">
        <v>1584</v>
      </c>
      <c r="F405" s="19"/>
      <c r="G405" s="20">
        <v>43290</v>
      </c>
      <c r="H405" s="19" t="s">
        <v>1571</v>
      </c>
      <c r="L405" s="6">
        <v>9097133839</v>
      </c>
      <c r="N405" s="16"/>
      <c r="O405" s="7"/>
      <c r="P405" s="17"/>
    </row>
    <row r="406" spans="1:16" ht="14.25" customHeight="1">
      <c r="A406" s="5" t="s">
        <v>0</v>
      </c>
      <c r="B406" s="5" t="str">
        <f t="shared" si="2"/>
        <v>Y</v>
      </c>
      <c r="C406" s="6" t="s">
        <v>1585</v>
      </c>
      <c r="D406" s="6"/>
      <c r="E406" s="6" t="s">
        <v>1586</v>
      </c>
      <c r="F406" s="19"/>
      <c r="G406" s="20">
        <v>43291</v>
      </c>
      <c r="H406" s="19" t="s">
        <v>1577</v>
      </c>
      <c r="L406" s="6">
        <v>9934182245</v>
      </c>
      <c r="N406" s="16"/>
      <c r="O406" s="7"/>
      <c r="P406" s="17"/>
    </row>
    <row r="407" spans="1:16" ht="14.25" customHeight="1">
      <c r="A407" s="5" t="s">
        <v>0</v>
      </c>
      <c r="B407" s="5" t="str">
        <f t="shared" si="2"/>
        <v>Y</v>
      </c>
      <c r="C407" s="6" t="s">
        <v>1587</v>
      </c>
      <c r="D407" s="6"/>
      <c r="E407" s="6" t="s">
        <v>1588</v>
      </c>
      <c r="F407" s="19"/>
      <c r="G407" s="20">
        <v>43291</v>
      </c>
      <c r="H407" s="19" t="s">
        <v>1577</v>
      </c>
      <c r="L407" s="6">
        <v>9234530417</v>
      </c>
      <c r="N407" s="16" t="s">
        <v>1589</v>
      </c>
      <c r="O407" s="7"/>
      <c r="P407" s="17"/>
    </row>
    <row r="408" spans="1:16" ht="14.25" customHeight="1">
      <c r="A408" s="5" t="s">
        <v>0</v>
      </c>
      <c r="B408" s="5" t="str">
        <f t="shared" si="2"/>
        <v>Y</v>
      </c>
      <c r="C408" s="6" t="s">
        <v>1590</v>
      </c>
      <c r="D408" s="6"/>
      <c r="E408" s="6" t="s">
        <v>1591</v>
      </c>
      <c r="F408" s="19"/>
      <c r="G408" s="20">
        <v>43291</v>
      </c>
      <c r="H408" s="19" t="s">
        <v>1580</v>
      </c>
      <c r="L408" s="6">
        <v>7250529379</v>
      </c>
      <c r="N408" s="16" t="s">
        <v>1589</v>
      </c>
      <c r="O408" s="7"/>
      <c r="P408" s="17"/>
    </row>
    <row r="409" spans="1:16" ht="14.25" customHeight="1">
      <c r="A409" s="5" t="s">
        <v>0</v>
      </c>
      <c r="B409" s="5" t="str">
        <f t="shared" si="2"/>
        <v>Y</v>
      </c>
      <c r="C409" s="6" t="s">
        <v>1592</v>
      </c>
      <c r="D409" s="6"/>
      <c r="E409" s="6" t="s">
        <v>1593</v>
      </c>
      <c r="F409" s="19"/>
      <c r="G409" s="20">
        <v>43291</v>
      </c>
      <c r="H409" s="19" t="s">
        <v>1580</v>
      </c>
      <c r="L409" s="6">
        <v>9162976754</v>
      </c>
      <c r="N409" s="16" t="s">
        <v>1589</v>
      </c>
      <c r="O409" s="7"/>
      <c r="P409" s="17"/>
    </row>
    <row r="410" spans="1:16" ht="14.25" customHeight="1">
      <c r="A410" s="5" t="s">
        <v>0</v>
      </c>
      <c r="B410" s="5" t="str">
        <f t="shared" si="2"/>
        <v>Y</v>
      </c>
      <c r="C410" s="6" t="s">
        <v>1594</v>
      </c>
      <c r="D410" s="6"/>
      <c r="E410" s="6" t="s">
        <v>1595</v>
      </c>
      <c r="F410" s="19"/>
      <c r="G410" s="20">
        <v>43291</v>
      </c>
      <c r="H410" s="19" t="s">
        <v>1577</v>
      </c>
      <c r="L410" s="6">
        <v>7319188380</v>
      </c>
      <c r="N410" s="16" t="s">
        <v>1589</v>
      </c>
      <c r="O410" s="7"/>
      <c r="P410" s="17"/>
    </row>
    <row r="411" spans="1:16" ht="14.25" customHeight="1">
      <c r="A411" s="5" t="s">
        <v>0</v>
      </c>
      <c r="B411" s="5" t="str">
        <f t="shared" si="2"/>
        <v>Y</v>
      </c>
      <c r="C411" s="6" t="s">
        <v>1596</v>
      </c>
      <c r="D411" s="6"/>
      <c r="E411" s="6" t="s">
        <v>1597</v>
      </c>
      <c r="F411" s="19"/>
      <c r="G411" s="20">
        <v>43291</v>
      </c>
      <c r="H411" s="19" t="s">
        <v>1598</v>
      </c>
      <c r="L411" s="6">
        <v>8877071962</v>
      </c>
      <c r="N411" s="16"/>
      <c r="O411" s="7"/>
      <c r="P411" s="17"/>
    </row>
    <row r="412" spans="1:16" ht="14.25" customHeight="1">
      <c r="A412" s="5" t="s">
        <v>0</v>
      </c>
      <c r="B412" s="5" t="str">
        <f t="shared" si="2"/>
        <v>Y</v>
      </c>
      <c r="C412" s="6" t="s">
        <v>1599</v>
      </c>
      <c r="D412" s="6"/>
      <c r="E412" s="6" t="s">
        <v>1600</v>
      </c>
      <c r="F412" s="19"/>
      <c r="G412" s="20">
        <v>43292</v>
      </c>
      <c r="H412" s="19" t="s">
        <v>1601</v>
      </c>
      <c r="L412" s="6">
        <v>9534224414</v>
      </c>
      <c r="N412" s="16"/>
      <c r="O412" s="7"/>
      <c r="P412" s="17"/>
    </row>
    <row r="413" spans="1:16" ht="14.25" customHeight="1">
      <c r="A413" s="5" t="s">
        <v>0</v>
      </c>
      <c r="B413" s="5" t="str">
        <f t="shared" si="2"/>
        <v>Y</v>
      </c>
      <c r="C413" s="6" t="s">
        <v>1602</v>
      </c>
      <c r="D413" s="6"/>
      <c r="E413" s="6" t="s">
        <v>1603</v>
      </c>
      <c r="F413" s="19"/>
      <c r="G413" s="20">
        <v>43292</v>
      </c>
      <c r="H413" s="19" t="s">
        <v>1598</v>
      </c>
      <c r="L413" s="6">
        <v>9534224414</v>
      </c>
      <c r="N413" s="16"/>
      <c r="O413" s="7"/>
      <c r="P413" s="17"/>
    </row>
    <row r="414" spans="1:16" ht="14.25" customHeight="1">
      <c r="A414" s="65" t="s">
        <v>0</v>
      </c>
      <c r="B414" s="65" t="str">
        <f t="shared" si="2"/>
        <v>Y</v>
      </c>
      <c r="C414" s="47" t="s">
        <v>1604</v>
      </c>
      <c r="D414" s="47"/>
      <c r="E414" s="47" t="s">
        <v>1605</v>
      </c>
      <c r="F414" s="63"/>
      <c r="G414" s="64">
        <v>43292</v>
      </c>
      <c r="H414" s="63" t="s">
        <v>1598</v>
      </c>
      <c r="I414" s="47"/>
      <c r="J414" s="47"/>
      <c r="K414" s="47"/>
      <c r="L414" s="47">
        <v>8877007360</v>
      </c>
      <c r="M414" s="47"/>
      <c r="N414" s="66"/>
      <c r="O414" s="7"/>
      <c r="P414" s="17"/>
    </row>
    <row r="415" spans="1:16" ht="14.25" customHeight="1">
      <c r="A415" s="5" t="s">
        <v>0</v>
      </c>
      <c r="B415" s="5" t="str">
        <f t="shared" si="2"/>
        <v>Y</v>
      </c>
      <c r="C415" s="6" t="s">
        <v>1606</v>
      </c>
      <c r="D415" s="6"/>
      <c r="E415" s="6" t="s">
        <v>1607</v>
      </c>
      <c r="F415" s="19"/>
      <c r="G415" s="20">
        <v>43292</v>
      </c>
      <c r="H415" s="19" t="s">
        <v>1608</v>
      </c>
      <c r="L415" s="6">
        <v>8877007360</v>
      </c>
      <c r="N415" s="16"/>
      <c r="O415" s="7"/>
      <c r="P415" s="17"/>
    </row>
    <row r="416" spans="1:16" ht="14.25" customHeight="1">
      <c r="A416" s="5" t="s">
        <v>0</v>
      </c>
      <c r="B416" s="5" t="str">
        <f t="shared" si="2"/>
        <v>Y</v>
      </c>
      <c r="C416" s="6" t="s">
        <v>1609</v>
      </c>
      <c r="D416" s="6"/>
      <c r="E416" s="6" t="s">
        <v>1320</v>
      </c>
      <c r="F416" s="19"/>
      <c r="G416" s="20">
        <v>43292</v>
      </c>
      <c r="H416" s="19" t="s">
        <v>1608</v>
      </c>
      <c r="L416" s="6">
        <v>7091495464</v>
      </c>
      <c r="N416" s="16"/>
      <c r="O416" s="7"/>
      <c r="P416" s="17"/>
    </row>
    <row r="417" spans="1:16" ht="14.25" customHeight="1">
      <c r="A417" s="5" t="s">
        <v>0</v>
      </c>
      <c r="B417" s="5" t="str">
        <f t="shared" si="2"/>
        <v>Y</v>
      </c>
      <c r="C417" s="6" t="s">
        <v>1610</v>
      </c>
      <c r="D417" s="6"/>
      <c r="E417" s="6" t="s">
        <v>1611</v>
      </c>
      <c r="F417" s="19"/>
      <c r="G417" s="20">
        <v>43292</v>
      </c>
      <c r="H417" s="20">
        <v>43351</v>
      </c>
      <c r="L417" s="6">
        <v>7870597677</v>
      </c>
      <c r="N417" s="16"/>
      <c r="O417" s="7"/>
      <c r="P417" s="17"/>
    </row>
    <row r="418" spans="1:16" ht="14.25" customHeight="1">
      <c r="A418" s="5" t="s">
        <v>0</v>
      </c>
      <c r="B418" s="5" t="str">
        <f t="shared" si="2"/>
        <v>Y</v>
      </c>
      <c r="C418" s="6" t="s">
        <v>1612</v>
      </c>
      <c r="D418" s="6"/>
      <c r="E418" s="6" t="s">
        <v>1613</v>
      </c>
      <c r="F418" s="19"/>
      <c r="G418" s="20">
        <v>43293</v>
      </c>
      <c r="H418" s="19" t="s">
        <v>1608</v>
      </c>
      <c r="L418" s="6">
        <v>8235401099</v>
      </c>
      <c r="N418" s="16" t="s">
        <v>1551</v>
      </c>
      <c r="O418" s="7"/>
      <c r="P418" s="17"/>
    </row>
    <row r="419" spans="1:16" ht="14.25" customHeight="1">
      <c r="A419" s="5" t="s">
        <v>0</v>
      </c>
      <c r="B419" s="5" t="str">
        <f t="shared" si="2"/>
        <v>Y</v>
      </c>
      <c r="C419" s="6" t="s">
        <v>1614</v>
      </c>
      <c r="D419" s="6"/>
      <c r="E419" s="6" t="s">
        <v>1615</v>
      </c>
      <c r="F419" s="19"/>
      <c r="G419" s="20">
        <v>43293</v>
      </c>
      <c r="H419" s="19" t="s">
        <v>1601</v>
      </c>
      <c r="L419" s="6">
        <v>7277207200</v>
      </c>
      <c r="N419" s="16" t="s">
        <v>1616</v>
      </c>
      <c r="O419" s="7"/>
      <c r="P419" s="17"/>
    </row>
    <row r="420" spans="1:16" ht="14.25" customHeight="1">
      <c r="A420" s="5" t="s">
        <v>0</v>
      </c>
      <c r="B420" s="5" t="str">
        <f t="shared" si="2"/>
        <v>Y</v>
      </c>
      <c r="C420" s="6" t="s">
        <v>1617</v>
      </c>
      <c r="D420" s="6"/>
      <c r="E420" s="6" t="s">
        <v>638</v>
      </c>
      <c r="F420" s="19"/>
      <c r="G420" s="20">
        <v>43293</v>
      </c>
      <c r="H420" s="19" t="s">
        <v>1601</v>
      </c>
      <c r="L420" s="6">
        <v>9934172940</v>
      </c>
      <c r="N420" s="16" t="s">
        <v>1551</v>
      </c>
      <c r="O420" s="7"/>
      <c r="P420" s="17"/>
    </row>
    <row r="421" spans="1:16" ht="14.25" customHeight="1">
      <c r="A421" s="5" t="s">
        <v>0</v>
      </c>
      <c r="B421" s="5" t="str">
        <f t="shared" si="2"/>
        <v>Y</v>
      </c>
      <c r="C421" s="6" t="s">
        <v>1618</v>
      </c>
      <c r="D421" s="6"/>
      <c r="E421" s="6" t="s">
        <v>1619</v>
      </c>
      <c r="F421" s="19"/>
      <c r="G421" s="20">
        <v>43293</v>
      </c>
      <c r="H421" s="19" t="s">
        <v>1608</v>
      </c>
      <c r="L421" s="6">
        <v>8084179412</v>
      </c>
      <c r="N421" s="16"/>
      <c r="O421" s="7"/>
      <c r="P421" s="17"/>
    </row>
    <row r="422" spans="1:16" ht="14.25" customHeight="1">
      <c r="A422" s="5" t="s">
        <v>0</v>
      </c>
      <c r="B422" s="5" t="str">
        <f t="shared" si="2"/>
        <v>Y</v>
      </c>
      <c r="C422" s="18" t="s">
        <v>1620</v>
      </c>
      <c r="D422" s="18"/>
      <c r="E422" s="6" t="s">
        <v>1621</v>
      </c>
      <c r="F422" s="19"/>
      <c r="G422" s="20">
        <v>43293</v>
      </c>
      <c r="H422" s="19" t="s">
        <v>1601</v>
      </c>
      <c r="L422" s="6">
        <v>9204665845</v>
      </c>
      <c r="N422" s="16"/>
      <c r="O422" s="7"/>
      <c r="P422" s="17"/>
    </row>
    <row r="423" spans="1:16" ht="14.25" customHeight="1">
      <c r="A423" s="5" t="s">
        <v>0</v>
      </c>
      <c r="B423" s="5" t="str">
        <f t="shared" si="2"/>
        <v>Y</v>
      </c>
      <c r="C423" s="6" t="s">
        <v>1622</v>
      </c>
      <c r="D423" s="6"/>
      <c r="E423" s="6" t="s">
        <v>1623</v>
      </c>
      <c r="F423" s="19"/>
      <c r="G423" s="20">
        <v>43293</v>
      </c>
      <c r="H423" s="19" t="s">
        <v>1601</v>
      </c>
      <c r="L423" s="6">
        <v>7250271909</v>
      </c>
      <c r="N423" s="16"/>
      <c r="O423" s="7"/>
      <c r="P423" s="17"/>
    </row>
    <row r="424" spans="1:16" ht="14.25" customHeight="1">
      <c r="A424" s="5" t="s">
        <v>0</v>
      </c>
      <c r="B424" s="5" t="str">
        <f t="shared" si="2"/>
        <v>Y</v>
      </c>
      <c r="C424" s="6" t="s">
        <v>1624</v>
      </c>
      <c r="D424" s="6"/>
      <c r="E424" s="6" t="s">
        <v>1625</v>
      </c>
      <c r="F424" s="19"/>
      <c r="G424" s="20">
        <v>43293</v>
      </c>
      <c r="H424" s="19" t="s">
        <v>1601</v>
      </c>
      <c r="L424" s="6">
        <v>8797443042</v>
      </c>
      <c r="N424" s="16"/>
      <c r="O424" s="7"/>
      <c r="P424" s="17"/>
    </row>
    <row r="425" spans="1:16" ht="14.25" customHeight="1">
      <c r="A425" s="5" t="s">
        <v>0</v>
      </c>
      <c r="B425" s="5" t="str">
        <f t="shared" si="2"/>
        <v>Y</v>
      </c>
      <c r="C425" s="6" t="s">
        <v>1626</v>
      </c>
      <c r="D425" s="6"/>
      <c r="E425" s="6" t="s">
        <v>1627</v>
      </c>
      <c r="F425" s="19"/>
      <c r="G425" s="20">
        <v>43293</v>
      </c>
      <c r="H425" s="19" t="s">
        <v>1601</v>
      </c>
      <c r="L425" s="6">
        <v>9031703893</v>
      </c>
      <c r="N425" s="16"/>
      <c r="O425" s="7"/>
      <c r="P425" s="17"/>
    </row>
    <row r="426" spans="1:16" ht="14.25" customHeight="1">
      <c r="A426" s="5" t="s">
        <v>0</v>
      </c>
      <c r="B426" s="5" t="str">
        <f t="shared" si="2"/>
        <v>Y</v>
      </c>
      <c r="C426" s="6" t="s">
        <v>1628</v>
      </c>
      <c r="D426" s="6"/>
      <c r="E426" s="6" t="s">
        <v>1627</v>
      </c>
      <c r="F426" s="19"/>
      <c r="G426" s="20">
        <v>43293</v>
      </c>
      <c r="H426" s="19" t="s">
        <v>1601</v>
      </c>
      <c r="L426" s="6">
        <v>7643908877</v>
      </c>
      <c r="N426" s="16" t="s">
        <v>1551</v>
      </c>
      <c r="O426" s="7"/>
      <c r="P426" s="17"/>
    </row>
    <row r="427" spans="1:16" ht="14.25" customHeight="1">
      <c r="A427" s="73" t="s">
        <v>0</v>
      </c>
      <c r="B427" s="73" t="str">
        <f t="shared" si="2"/>
        <v>N</v>
      </c>
      <c r="C427" s="74"/>
      <c r="D427" s="74"/>
      <c r="E427" s="75" t="s">
        <v>1629</v>
      </c>
      <c r="F427" s="76"/>
      <c r="G427" s="20">
        <v>43293</v>
      </c>
      <c r="H427" s="73"/>
      <c r="I427" s="75"/>
      <c r="J427" s="75"/>
      <c r="K427" s="75"/>
      <c r="L427" s="75">
        <v>9279011319</v>
      </c>
      <c r="M427" s="75" t="s">
        <v>1434</v>
      </c>
      <c r="N427" s="77" t="s">
        <v>1630</v>
      </c>
      <c r="O427" s="78" t="s">
        <v>1631</v>
      </c>
      <c r="P427" s="17"/>
    </row>
    <row r="428" spans="1:16" ht="14.25" customHeight="1">
      <c r="A428" s="5" t="s">
        <v>0</v>
      </c>
      <c r="B428" s="5" t="str">
        <f t="shared" si="2"/>
        <v>Y</v>
      </c>
      <c r="C428" s="6" t="s">
        <v>1632</v>
      </c>
      <c r="D428" s="6"/>
      <c r="E428" s="6" t="s">
        <v>1633</v>
      </c>
      <c r="F428" s="19"/>
      <c r="G428" s="20">
        <v>43293</v>
      </c>
      <c r="H428" s="19" t="s">
        <v>1601</v>
      </c>
      <c r="L428" s="6">
        <v>9801314997</v>
      </c>
      <c r="N428" s="16"/>
      <c r="O428" s="7"/>
      <c r="P428" s="17"/>
    </row>
    <row r="429" spans="1:16" ht="14.25" customHeight="1">
      <c r="A429" s="5" t="s">
        <v>0</v>
      </c>
      <c r="B429" s="5" t="str">
        <f t="shared" si="2"/>
        <v>Y</v>
      </c>
      <c r="C429" s="6" t="s">
        <v>1634</v>
      </c>
      <c r="D429" s="6"/>
      <c r="E429" s="6" t="s">
        <v>1635</v>
      </c>
      <c r="F429" s="19"/>
      <c r="G429" s="20">
        <v>43293</v>
      </c>
      <c r="H429" s="19" t="s">
        <v>1608</v>
      </c>
      <c r="L429" s="6">
        <v>9334340676</v>
      </c>
      <c r="N429" s="16"/>
      <c r="O429" s="7"/>
      <c r="P429" s="17"/>
    </row>
    <row r="430" spans="1:16" ht="14.25" customHeight="1">
      <c r="A430" s="5" t="s">
        <v>0</v>
      </c>
      <c r="B430" s="5" t="str">
        <f t="shared" si="2"/>
        <v>Y</v>
      </c>
      <c r="C430" s="6" t="s">
        <v>1636</v>
      </c>
      <c r="D430" s="6"/>
      <c r="E430" s="6" t="s">
        <v>1637</v>
      </c>
      <c r="F430" s="19"/>
      <c r="G430" s="20">
        <v>43294</v>
      </c>
      <c r="H430" s="19" t="s">
        <v>1608</v>
      </c>
      <c r="L430" s="6">
        <v>9835057503</v>
      </c>
      <c r="N430" s="16" t="s">
        <v>1551</v>
      </c>
      <c r="O430" s="7"/>
      <c r="P430" s="17"/>
    </row>
    <row r="431" spans="1:16" ht="14.25" customHeight="1">
      <c r="A431" s="5" t="s">
        <v>0</v>
      </c>
      <c r="B431" s="5" t="str">
        <f t="shared" si="2"/>
        <v>Y</v>
      </c>
      <c r="C431" s="6" t="s">
        <v>1638</v>
      </c>
      <c r="D431" s="6"/>
      <c r="E431" s="6" t="s">
        <v>1639</v>
      </c>
      <c r="F431" s="19"/>
      <c r="G431" s="20">
        <v>43294</v>
      </c>
      <c r="H431" s="19" t="s">
        <v>1608</v>
      </c>
      <c r="L431" s="6">
        <v>7631065320</v>
      </c>
      <c r="N431" s="16"/>
      <c r="O431" s="7"/>
      <c r="P431" s="17"/>
    </row>
    <row r="432" spans="1:16" ht="14.25" customHeight="1">
      <c r="A432" s="5" t="s">
        <v>0</v>
      </c>
      <c r="B432" s="5" t="str">
        <f t="shared" si="2"/>
        <v>Y</v>
      </c>
      <c r="C432" s="18" t="s">
        <v>1640</v>
      </c>
      <c r="D432" s="18"/>
      <c r="E432" s="6" t="s">
        <v>1641</v>
      </c>
      <c r="F432" s="19"/>
      <c r="G432" s="20">
        <v>43294</v>
      </c>
      <c r="H432" s="19" t="s">
        <v>1608</v>
      </c>
      <c r="L432" s="6">
        <v>8226871995</v>
      </c>
      <c r="N432" s="16"/>
      <c r="O432" s="7"/>
      <c r="P432" s="17"/>
    </row>
    <row r="433" spans="1:16" ht="14.25" customHeight="1">
      <c r="A433" s="5" t="s">
        <v>0</v>
      </c>
      <c r="B433" s="5" t="str">
        <f t="shared" si="2"/>
        <v>Y</v>
      </c>
      <c r="C433" s="18" t="s">
        <v>1642</v>
      </c>
      <c r="D433" s="18"/>
      <c r="E433" s="6" t="s">
        <v>1643</v>
      </c>
      <c r="F433" s="19"/>
      <c r="G433" s="20">
        <v>43295</v>
      </c>
      <c r="H433" s="19" t="s">
        <v>1608</v>
      </c>
      <c r="L433" s="6">
        <v>8051106869</v>
      </c>
      <c r="N433" s="16" t="s">
        <v>1551</v>
      </c>
      <c r="O433" s="7"/>
      <c r="P433" s="17"/>
    </row>
    <row r="434" spans="1:16" ht="14.25" customHeight="1">
      <c r="A434" s="5" t="s">
        <v>0</v>
      </c>
      <c r="B434" s="5" t="str">
        <f t="shared" si="2"/>
        <v>Y</v>
      </c>
      <c r="C434" s="6" t="s">
        <v>1644</v>
      </c>
      <c r="D434" s="6"/>
      <c r="E434" s="6" t="s">
        <v>1645</v>
      </c>
      <c r="F434" s="19"/>
      <c r="G434" s="20">
        <v>43295</v>
      </c>
      <c r="H434" s="19" t="s">
        <v>1608</v>
      </c>
      <c r="L434" s="6">
        <v>9334883775</v>
      </c>
      <c r="N434" s="16" t="s">
        <v>1551</v>
      </c>
      <c r="O434" s="7"/>
      <c r="P434" s="17"/>
    </row>
    <row r="435" spans="1:16" ht="14.25" customHeight="1">
      <c r="A435" s="5" t="s">
        <v>0</v>
      </c>
      <c r="B435" s="5" t="str">
        <f t="shared" si="2"/>
        <v>Y</v>
      </c>
      <c r="C435" s="6" t="s">
        <v>1646</v>
      </c>
      <c r="D435" s="6"/>
      <c r="E435" s="6" t="s">
        <v>1647</v>
      </c>
      <c r="F435" s="19"/>
      <c r="G435" s="20">
        <v>43296</v>
      </c>
      <c r="H435" s="19" t="s">
        <v>1648</v>
      </c>
      <c r="L435" s="6">
        <v>9471309565</v>
      </c>
      <c r="N435" s="16"/>
      <c r="O435" s="7"/>
      <c r="P435" s="17"/>
    </row>
    <row r="436" spans="1:16" ht="14.25" customHeight="1">
      <c r="A436" s="5" t="s">
        <v>0</v>
      </c>
      <c r="B436" s="5" t="str">
        <f t="shared" si="2"/>
        <v>Y</v>
      </c>
      <c r="C436" s="18" t="s">
        <v>1649</v>
      </c>
      <c r="D436" s="18"/>
      <c r="E436" s="6" t="s">
        <v>1650</v>
      </c>
      <c r="F436" s="19"/>
      <c r="G436" s="20">
        <v>43296</v>
      </c>
      <c r="H436" s="19" t="s">
        <v>1601</v>
      </c>
      <c r="N436" s="16" t="s">
        <v>1551</v>
      </c>
      <c r="O436" s="7"/>
      <c r="P436" s="17"/>
    </row>
    <row r="437" spans="1:16" ht="14.25" customHeight="1">
      <c r="A437" s="5" t="s">
        <v>0</v>
      </c>
      <c r="B437" s="5" t="str">
        <f t="shared" si="2"/>
        <v>Y</v>
      </c>
      <c r="C437" s="6" t="s">
        <v>1651</v>
      </c>
      <c r="D437" s="6"/>
      <c r="E437" s="6" t="s">
        <v>1652</v>
      </c>
      <c r="F437" s="19"/>
      <c r="G437" s="20">
        <v>43298</v>
      </c>
      <c r="H437" s="19" t="s">
        <v>1653</v>
      </c>
      <c r="L437" s="6">
        <v>9523673153</v>
      </c>
      <c r="N437" s="16" t="s">
        <v>1551</v>
      </c>
      <c r="O437" s="7"/>
      <c r="P437" s="17"/>
    </row>
    <row r="438" spans="1:16" ht="14.25" customHeight="1">
      <c r="A438" s="5" t="s">
        <v>0</v>
      </c>
      <c r="B438" s="5" t="str">
        <f t="shared" si="2"/>
        <v>Y</v>
      </c>
      <c r="C438" s="18" t="s">
        <v>1654</v>
      </c>
      <c r="D438" s="18"/>
      <c r="E438" s="6" t="s">
        <v>1655</v>
      </c>
      <c r="F438" s="19"/>
      <c r="G438" s="20">
        <v>43298</v>
      </c>
      <c r="H438" s="19" t="s">
        <v>1653</v>
      </c>
      <c r="L438" s="6">
        <v>8271121696</v>
      </c>
      <c r="N438" s="16" t="s">
        <v>1551</v>
      </c>
      <c r="O438" s="7"/>
      <c r="P438" s="17"/>
    </row>
    <row r="439" spans="1:16" ht="14.25" customHeight="1">
      <c r="A439" s="5" t="s">
        <v>0</v>
      </c>
      <c r="B439" s="5" t="str">
        <f t="shared" si="2"/>
        <v>Y</v>
      </c>
      <c r="C439" s="6" t="s">
        <v>1656</v>
      </c>
      <c r="D439" s="6"/>
      <c r="E439" s="6" t="s">
        <v>1657</v>
      </c>
      <c r="F439" s="19"/>
      <c r="G439" s="20">
        <v>43299</v>
      </c>
      <c r="H439" s="19" t="s">
        <v>1653</v>
      </c>
      <c r="L439" s="6">
        <v>9546769607</v>
      </c>
      <c r="N439" s="16"/>
      <c r="O439" s="7"/>
      <c r="P439" s="17"/>
    </row>
    <row r="440" spans="1:16" ht="14.25" customHeight="1">
      <c r="A440" s="5" t="s">
        <v>0</v>
      </c>
      <c r="B440" s="5" t="str">
        <f t="shared" si="2"/>
        <v>Y</v>
      </c>
      <c r="C440" s="47" t="s">
        <v>1658</v>
      </c>
      <c r="D440" s="47"/>
      <c r="E440" s="47" t="s">
        <v>1659</v>
      </c>
      <c r="F440" s="63"/>
      <c r="G440" s="64">
        <v>43299</v>
      </c>
      <c r="H440" s="63" t="s">
        <v>1653</v>
      </c>
      <c r="I440" s="47"/>
      <c r="J440" s="47"/>
      <c r="L440" s="6">
        <v>7209657185</v>
      </c>
      <c r="N440" s="16"/>
      <c r="O440" s="7"/>
      <c r="P440" s="17"/>
    </row>
    <row r="441" spans="1:16" ht="14.25" customHeight="1">
      <c r="A441" s="5" t="s">
        <v>0</v>
      </c>
      <c r="B441" s="5" t="str">
        <f t="shared" si="2"/>
        <v>Y</v>
      </c>
      <c r="C441" s="6" t="s">
        <v>1660</v>
      </c>
      <c r="D441" s="6"/>
      <c r="E441" s="6" t="s">
        <v>1661</v>
      </c>
      <c r="F441" s="19"/>
      <c r="G441" s="20">
        <v>43300</v>
      </c>
      <c r="H441" s="19" t="s">
        <v>1662</v>
      </c>
      <c r="L441" s="6">
        <v>9031108073</v>
      </c>
      <c r="N441" s="16"/>
      <c r="O441" s="7"/>
      <c r="P441" s="17"/>
    </row>
    <row r="442" spans="1:16" ht="14.25" customHeight="1">
      <c r="A442" s="5" t="s">
        <v>0</v>
      </c>
      <c r="B442" s="5" t="str">
        <f t="shared" si="2"/>
        <v>Y</v>
      </c>
      <c r="C442" s="6" t="s">
        <v>1663</v>
      </c>
      <c r="D442" s="6"/>
      <c r="E442" s="6" t="s">
        <v>1664</v>
      </c>
      <c r="F442" s="19"/>
      <c r="G442" s="20">
        <v>43300</v>
      </c>
      <c r="H442" s="19" t="s">
        <v>1665</v>
      </c>
      <c r="L442" s="6">
        <v>9470995769</v>
      </c>
      <c r="N442" s="6" t="s">
        <v>1666</v>
      </c>
      <c r="O442" s="7"/>
      <c r="P442" s="17"/>
    </row>
    <row r="443" spans="1:16" ht="14.25" customHeight="1">
      <c r="A443" s="5" t="s">
        <v>0</v>
      </c>
      <c r="B443" s="5" t="str">
        <f t="shared" si="2"/>
        <v>Y</v>
      </c>
      <c r="C443" s="6" t="s">
        <v>1667</v>
      </c>
      <c r="D443" s="6"/>
      <c r="E443" s="6" t="s">
        <v>1668</v>
      </c>
      <c r="F443" s="19"/>
      <c r="G443" s="20">
        <v>43301</v>
      </c>
      <c r="H443" s="19" t="s">
        <v>1662</v>
      </c>
      <c r="L443" s="6">
        <v>9693104517</v>
      </c>
      <c r="N443" s="16"/>
      <c r="O443" s="7"/>
      <c r="P443" s="17"/>
    </row>
    <row r="444" spans="1:16" ht="14.25" customHeight="1">
      <c r="A444" s="5" t="s">
        <v>0</v>
      </c>
      <c r="B444" s="5" t="str">
        <f t="shared" si="2"/>
        <v>Y</v>
      </c>
      <c r="C444" s="6" t="s">
        <v>1669</v>
      </c>
      <c r="D444" s="6"/>
      <c r="E444" s="6" t="s">
        <v>1670</v>
      </c>
      <c r="F444" s="19"/>
      <c r="G444" s="20">
        <v>43301</v>
      </c>
      <c r="H444" s="19" t="s">
        <v>1671</v>
      </c>
      <c r="L444" s="6">
        <v>9234541973</v>
      </c>
      <c r="N444" s="16"/>
      <c r="O444" s="7"/>
      <c r="P444" s="17"/>
    </row>
    <row r="445" spans="1:16" ht="14.25" customHeight="1">
      <c r="A445" s="5" t="s">
        <v>0</v>
      </c>
      <c r="B445" s="5" t="str">
        <f t="shared" si="2"/>
        <v>Y</v>
      </c>
      <c r="C445" s="6" t="s">
        <v>1672</v>
      </c>
      <c r="D445" s="6"/>
      <c r="E445" s="6" t="s">
        <v>1673</v>
      </c>
      <c r="F445" s="19"/>
      <c r="G445" s="20">
        <v>43302</v>
      </c>
      <c r="H445" s="19" t="s">
        <v>1671</v>
      </c>
      <c r="L445" s="6">
        <v>9031707120</v>
      </c>
      <c r="N445" s="16"/>
      <c r="O445" s="7"/>
      <c r="P445" s="17"/>
    </row>
    <row r="446" spans="1:16" ht="14.25" customHeight="1">
      <c r="A446" s="5" t="s">
        <v>0</v>
      </c>
      <c r="B446" s="5" t="str">
        <f t="shared" si="2"/>
        <v>Y</v>
      </c>
      <c r="C446" s="18" t="s">
        <v>1674</v>
      </c>
      <c r="D446" s="18"/>
      <c r="E446" s="6" t="s">
        <v>1675</v>
      </c>
      <c r="F446" s="19"/>
      <c r="G446" s="20">
        <v>43302</v>
      </c>
      <c r="H446" s="19" t="s">
        <v>1671</v>
      </c>
      <c r="L446" s="6">
        <v>7209778573</v>
      </c>
      <c r="N446" s="16"/>
      <c r="O446" s="7"/>
      <c r="P446" s="17"/>
    </row>
    <row r="447" spans="1:16" ht="14.25" customHeight="1">
      <c r="A447" s="5" t="s">
        <v>0</v>
      </c>
      <c r="B447" s="5" t="str">
        <f t="shared" si="2"/>
        <v>Y</v>
      </c>
      <c r="C447" s="18" t="s">
        <v>1676</v>
      </c>
      <c r="D447" s="18"/>
      <c r="E447" s="6" t="s">
        <v>1677</v>
      </c>
      <c r="F447" s="19"/>
      <c r="G447" s="20">
        <v>43307</v>
      </c>
      <c r="H447" s="20">
        <v>43309</v>
      </c>
      <c r="L447" s="6">
        <v>7258886368</v>
      </c>
      <c r="M447" s="6" t="s">
        <v>1551</v>
      </c>
      <c r="N447" s="16" t="s">
        <v>1527</v>
      </c>
      <c r="O447" s="7"/>
      <c r="P447" s="17"/>
    </row>
    <row r="448" spans="1:16" ht="14.25" customHeight="1">
      <c r="A448" s="5" t="s">
        <v>0</v>
      </c>
      <c r="B448" s="5" t="str">
        <f t="shared" si="2"/>
        <v>Y</v>
      </c>
      <c r="C448" s="18" t="s">
        <v>1678</v>
      </c>
      <c r="D448" s="18"/>
      <c r="E448" s="6" t="s">
        <v>1679</v>
      </c>
      <c r="F448" s="19"/>
      <c r="G448" s="20">
        <v>43307</v>
      </c>
      <c r="H448" s="20">
        <v>43309</v>
      </c>
      <c r="L448" s="6">
        <v>8092499873</v>
      </c>
      <c r="M448" s="6" t="s">
        <v>1680</v>
      </c>
      <c r="N448" s="16" t="s">
        <v>1527</v>
      </c>
      <c r="O448" s="7"/>
      <c r="P448" s="17"/>
    </row>
    <row r="449" spans="1:16" ht="14.25" customHeight="1">
      <c r="A449" s="5" t="s">
        <v>0</v>
      </c>
      <c r="B449" s="5" t="str">
        <f t="shared" ref="B449:B581" si="3">IF(H449="","N","Y")</f>
        <v>Y</v>
      </c>
      <c r="C449" s="18" t="s">
        <v>1681</v>
      </c>
      <c r="D449" s="18"/>
      <c r="E449" s="6" t="s">
        <v>1682</v>
      </c>
      <c r="F449" s="19"/>
      <c r="G449" s="20">
        <v>43307</v>
      </c>
      <c r="H449" s="20">
        <v>43309</v>
      </c>
      <c r="L449" s="6">
        <v>6205129116</v>
      </c>
      <c r="M449" s="6" t="s">
        <v>1551</v>
      </c>
      <c r="N449" s="16" t="s">
        <v>1527</v>
      </c>
      <c r="O449" s="7"/>
      <c r="P449" s="17"/>
    </row>
    <row r="450" spans="1:16" ht="14.25" customHeight="1">
      <c r="A450" s="5" t="s">
        <v>0</v>
      </c>
      <c r="B450" s="5" t="str">
        <f t="shared" si="3"/>
        <v>Y</v>
      </c>
      <c r="C450" s="18" t="s">
        <v>1683</v>
      </c>
      <c r="D450" s="18"/>
      <c r="E450" s="6" t="s">
        <v>1684</v>
      </c>
      <c r="F450" s="19"/>
      <c r="G450" s="20">
        <v>43307</v>
      </c>
      <c r="H450" s="20">
        <v>43310</v>
      </c>
      <c r="L450" s="6">
        <v>7461910206</v>
      </c>
      <c r="M450" s="6" t="s">
        <v>1551</v>
      </c>
      <c r="N450" s="16" t="s">
        <v>1527</v>
      </c>
      <c r="O450" s="7"/>
      <c r="P450" s="17"/>
    </row>
    <row r="451" spans="1:16" ht="14.25" customHeight="1">
      <c r="A451" s="5" t="s">
        <v>0</v>
      </c>
      <c r="B451" s="5" t="str">
        <f t="shared" si="3"/>
        <v>Y</v>
      </c>
      <c r="C451" s="18" t="s">
        <v>1685</v>
      </c>
      <c r="D451" s="18"/>
      <c r="E451" s="6" t="s">
        <v>1686</v>
      </c>
      <c r="F451" s="19"/>
      <c r="G451" s="20">
        <v>43307</v>
      </c>
      <c r="H451" s="20">
        <v>43310</v>
      </c>
      <c r="L451" s="6">
        <v>6203191902</v>
      </c>
      <c r="N451" s="16"/>
      <c r="O451" s="7"/>
      <c r="P451" s="17"/>
    </row>
    <row r="452" spans="1:16" ht="14.25" customHeight="1">
      <c r="A452" s="5" t="s">
        <v>0</v>
      </c>
      <c r="B452" s="5" t="str">
        <f t="shared" si="3"/>
        <v>Y</v>
      </c>
      <c r="C452" s="18" t="s">
        <v>1687</v>
      </c>
      <c r="D452" s="18"/>
      <c r="E452" s="6" t="s">
        <v>1688</v>
      </c>
      <c r="F452" s="19"/>
      <c r="G452" s="20">
        <v>43307</v>
      </c>
      <c r="H452" s="20">
        <v>43308</v>
      </c>
      <c r="L452" s="6">
        <v>9060458006</v>
      </c>
      <c r="M452" s="24" t="s">
        <v>1689</v>
      </c>
      <c r="N452" s="79">
        <v>43330</v>
      </c>
      <c r="O452" s="7"/>
      <c r="P452" s="17"/>
    </row>
    <row r="453" spans="1:16" ht="14.25" customHeight="1">
      <c r="A453" s="5" t="s">
        <v>0</v>
      </c>
      <c r="B453" s="5" t="str">
        <f t="shared" si="3"/>
        <v>Y</v>
      </c>
      <c r="C453" s="18" t="s">
        <v>1690</v>
      </c>
      <c r="D453" s="18"/>
      <c r="E453" s="6" t="s">
        <v>1691</v>
      </c>
      <c r="F453" s="19"/>
      <c r="G453" s="20">
        <v>43307</v>
      </c>
      <c r="H453" s="20">
        <v>43308</v>
      </c>
      <c r="L453" s="6">
        <v>8797755159</v>
      </c>
      <c r="N453" s="16"/>
      <c r="O453" s="7"/>
      <c r="P453" s="17"/>
    </row>
    <row r="454" spans="1:16" ht="14.25" customHeight="1">
      <c r="A454" s="5" t="s">
        <v>0</v>
      </c>
      <c r="B454" s="5" t="str">
        <f t="shared" si="3"/>
        <v>Y</v>
      </c>
      <c r="C454" s="6" t="s">
        <v>1692</v>
      </c>
      <c r="D454" s="6"/>
      <c r="E454" s="6" t="s">
        <v>1693</v>
      </c>
      <c r="F454" s="19"/>
      <c r="G454" s="20">
        <v>43307</v>
      </c>
      <c r="H454" s="20">
        <v>43310</v>
      </c>
      <c r="L454" s="6">
        <v>8757156699</v>
      </c>
      <c r="N454" s="16" t="s">
        <v>1524</v>
      </c>
      <c r="O454" s="7"/>
      <c r="P454" s="17"/>
    </row>
    <row r="455" spans="1:16" ht="14.25" customHeight="1">
      <c r="A455" s="5" t="s">
        <v>0</v>
      </c>
      <c r="B455" s="5" t="str">
        <f t="shared" si="3"/>
        <v>Y</v>
      </c>
      <c r="C455" s="6" t="s">
        <v>1694</v>
      </c>
      <c r="D455" s="6"/>
      <c r="E455" s="6" t="s">
        <v>1695</v>
      </c>
      <c r="F455" s="19"/>
      <c r="G455" s="20">
        <v>43308</v>
      </c>
      <c r="H455" s="20">
        <v>43309</v>
      </c>
      <c r="L455" s="6">
        <v>8864049741</v>
      </c>
      <c r="N455" s="16" t="s">
        <v>1524</v>
      </c>
      <c r="O455" s="7"/>
      <c r="P455" s="17"/>
    </row>
    <row r="456" spans="1:16" ht="14.25" customHeight="1">
      <c r="A456" s="5" t="s">
        <v>0</v>
      </c>
      <c r="B456" s="5" t="str">
        <f t="shared" si="3"/>
        <v>Y</v>
      </c>
      <c r="C456" s="18" t="s">
        <v>1696</v>
      </c>
      <c r="D456" s="18"/>
      <c r="E456" s="6" t="s">
        <v>1697</v>
      </c>
      <c r="F456" s="19"/>
      <c r="G456" s="20">
        <v>43308</v>
      </c>
      <c r="H456" s="20">
        <v>43309</v>
      </c>
      <c r="L456" s="6">
        <v>7631202530</v>
      </c>
      <c r="M456" s="6" t="s">
        <v>1551</v>
      </c>
      <c r="N456" s="16" t="s">
        <v>1527</v>
      </c>
      <c r="O456" s="7"/>
      <c r="P456" s="17"/>
    </row>
    <row r="457" spans="1:16" ht="14.25" customHeight="1">
      <c r="A457" s="5" t="s">
        <v>0</v>
      </c>
      <c r="B457" s="5" t="str">
        <f t="shared" si="3"/>
        <v>Y</v>
      </c>
      <c r="C457" s="18" t="s">
        <v>1698</v>
      </c>
      <c r="D457" s="18"/>
      <c r="E457" s="6" t="s">
        <v>1699</v>
      </c>
      <c r="F457" s="19"/>
      <c r="G457" s="20">
        <v>43308</v>
      </c>
      <c r="H457" s="20">
        <v>43309</v>
      </c>
      <c r="L457" s="6">
        <v>9279011319</v>
      </c>
      <c r="M457" s="6" t="s">
        <v>1551</v>
      </c>
      <c r="N457" s="16" t="s">
        <v>1527</v>
      </c>
      <c r="O457" s="7"/>
      <c r="P457" s="17"/>
    </row>
    <row r="458" spans="1:16" ht="14.25" customHeight="1">
      <c r="A458" s="5" t="s">
        <v>0</v>
      </c>
      <c r="B458" s="5" t="str">
        <f t="shared" si="3"/>
        <v>Y</v>
      </c>
      <c r="C458" s="18" t="s">
        <v>1700</v>
      </c>
      <c r="D458" s="18"/>
      <c r="E458" s="6" t="s">
        <v>1701</v>
      </c>
      <c r="F458" s="19"/>
      <c r="G458" s="20">
        <v>43308</v>
      </c>
      <c r="H458" s="20">
        <v>43309</v>
      </c>
      <c r="L458" s="6">
        <v>9031393877</v>
      </c>
      <c r="M458" s="6" t="s">
        <v>1551</v>
      </c>
      <c r="N458" s="16" t="s">
        <v>1527</v>
      </c>
      <c r="O458" s="7"/>
      <c r="P458" s="17"/>
    </row>
    <row r="459" spans="1:16" ht="14.25" customHeight="1">
      <c r="A459" s="5" t="s">
        <v>0</v>
      </c>
      <c r="B459" s="5" t="str">
        <f t="shared" si="3"/>
        <v>Y</v>
      </c>
      <c r="C459" s="18" t="s">
        <v>1702</v>
      </c>
      <c r="D459" s="18"/>
      <c r="E459" s="6" t="s">
        <v>1703</v>
      </c>
      <c r="F459" s="19"/>
      <c r="G459" s="20">
        <v>43308</v>
      </c>
      <c r="H459" s="20">
        <v>43309</v>
      </c>
      <c r="L459" s="6">
        <v>9570129746</v>
      </c>
      <c r="M459" s="6" t="s">
        <v>1551</v>
      </c>
      <c r="N459" s="16" t="s">
        <v>1527</v>
      </c>
      <c r="O459" s="7"/>
      <c r="P459" s="17"/>
    </row>
    <row r="460" spans="1:16" ht="14.25" customHeight="1">
      <c r="A460" s="5" t="s">
        <v>0</v>
      </c>
      <c r="B460" s="5" t="str">
        <f t="shared" si="3"/>
        <v>Y</v>
      </c>
      <c r="C460" s="18" t="s">
        <v>1704</v>
      </c>
      <c r="D460" s="18"/>
      <c r="E460" s="6" t="s">
        <v>1705</v>
      </c>
      <c r="F460" s="19"/>
      <c r="G460" s="20">
        <v>43308</v>
      </c>
      <c r="H460" s="20">
        <v>43309</v>
      </c>
      <c r="L460" s="6">
        <v>9123185489</v>
      </c>
      <c r="M460" s="6" t="s">
        <v>1551</v>
      </c>
      <c r="N460" s="16" t="s">
        <v>1527</v>
      </c>
      <c r="O460" s="7"/>
      <c r="P460" s="17"/>
    </row>
    <row r="461" spans="1:16" ht="14.25" customHeight="1">
      <c r="A461" s="5" t="s">
        <v>0</v>
      </c>
      <c r="B461" s="5" t="str">
        <f t="shared" si="3"/>
        <v>Y</v>
      </c>
      <c r="C461" s="18" t="s">
        <v>1706</v>
      </c>
      <c r="D461" s="18"/>
      <c r="E461" s="6" t="s">
        <v>1707</v>
      </c>
      <c r="F461" s="19"/>
      <c r="G461" s="20">
        <v>43308</v>
      </c>
      <c r="H461" s="20">
        <v>43309</v>
      </c>
      <c r="L461" s="6">
        <v>8797241054</v>
      </c>
      <c r="M461" s="6" t="s">
        <v>1551</v>
      </c>
      <c r="N461" s="16" t="s">
        <v>1527</v>
      </c>
      <c r="O461" s="7"/>
      <c r="P461" s="17"/>
    </row>
    <row r="462" spans="1:16" ht="14.25" customHeight="1">
      <c r="A462" s="5" t="s">
        <v>0</v>
      </c>
      <c r="B462" s="5" t="str">
        <f t="shared" si="3"/>
        <v>Y</v>
      </c>
      <c r="C462" s="18" t="s">
        <v>1678</v>
      </c>
      <c r="D462" s="18"/>
      <c r="E462" s="6" t="s">
        <v>1708</v>
      </c>
      <c r="F462" s="19"/>
      <c r="G462" s="20">
        <v>43308</v>
      </c>
      <c r="H462" s="20">
        <v>43309</v>
      </c>
      <c r="L462" s="6">
        <v>8092499873</v>
      </c>
      <c r="M462" s="6" t="s">
        <v>1551</v>
      </c>
      <c r="N462" s="16" t="s">
        <v>1527</v>
      </c>
      <c r="O462" s="7"/>
      <c r="P462" s="17"/>
    </row>
    <row r="463" spans="1:16" ht="14.25" customHeight="1">
      <c r="A463" s="5" t="s">
        <v>0</v>
      </c>
      <c r="B463" s="5" t="str">
        <f t="shared" si="3"/>
        <v>Y</v>
      </c>
      <c r="C463" s="18" t="s">
        <v>1709</v>
      </c>
      <c r="D463" s="18"/>
      <c r="E463" s="6" t="s">
        <v>1710</v>
      </c>
      <c r="F463" s="19"/>
      <c r="G463" s="20">
        <v>43308</v>
      </c>
      <c r="H463" s="20">
        <v>43309</v>
      </c>
      <c r="L463" s="6">
        <v>9234665251</v>
      </c>
      <c r="M463" s="6" t="s">
        <v>1551</v>
      </c>
      <c r="N463" s="16" t="s">
        <v>1527</v>
      </c>
      <c r="O463" s="7"/>
      <c r="P463" s="17"/>
    </row>
    <row r="464" spans="1:16" ht="14.25" customHeight="1">
      <c r="A464" s="5" t="s">
        <v>0</v>
      </c>
      <c r="B464" s="5" t="str">
        <f t="shared" si="3"/>
        <v>Y</v>
      </c>
      <c r="C464" s="18" t="s">
        <v>1711</v>
      </c>
      <c r="D464" s="18"/>
      <c r="E464" s="6" t="s">
        <v>1712</v>
      </c>
      <c r="F464" s="19"/>
      <c r="G464" s="20">
        <v>43309</v>
      </c>
      <c r="H464" s="20">
        <v>43325</v>
      </c>
      <c r="L464" s="6">
        <v>9472789070</v>
      </c>
      <c r="M464" s="6" t="s">
        <v>1713</v>
      </c>
      <c r="N464" s="16" t="s">
        <v>1527</v>
      </c>
      <c r="O464" s="7"/>
      <c r="P464" s="17"/>
    </row>
    <row r="465" spans="1:16" ht="14.25" customHeight="1">
      <c r="A465" s="5" t="s">
        <v>0</v>
      </c>
      <c r="B465" s="5" t="str">
        <f t="shared" si="3"/>
        <v>Y</v>
      </c>
      <c r="C465" s="18" t="s">
        <v>1714</v>
      </c>
      <c r="D465" s="18"/>
      <c r="E465" s="6" t="s">
        <v>1715</v>
      </c>
      <c r="F465" s="19"/>
      <c r="G465" s="20">
        <v>43309</v>
      </c>
      <c r="H465" s="20">
        <v>43325</v>
      </c>
      <c r="L465" s="6">
        <v>8434655669</v>
      </c>
      <c r="M465" s="6" t="s">
        <v>1713</v>
      </c>
      <c r="N465" s="16" t="s">
        <v>1527</v>
      </c>
      <c r="O465" s="7"/>
      <c r="P465" s="17"/>
    </row>
    <row r="466" spans="1:16" ht="14.25" customHeight="1">
      <c r="A466" s="5" t="s">
        <v>0</v>
      </c>
      <c r="B466" s="5" t="str">
        <f t="shared" si="3"/>
        <v>Y</v>
      </c>
      <c r="C466" s="18" t="s">
        <v>1716</v>
      </c>
      <c r="D466" s="18"/>
      <c r="E466" s="6" t="s">
        <v>1717</v>
      </c>
      <c r="F466" s="19"/>
      <c r="G466" s="20">
        <v>43309</v>
      </c>
      <c r="H466" s="20">
        <v>43309</v>
      </c>
      <c r="L466" s="6">
        <v>9572880148</v>
      </c>
      <c r="M466" s="6" t="s">
        <v>1551</v>
      </c>
      <c r="N466" s="16" t="s">
        <v>1527</v>
      </c>
      <c r="O466" s="7"/>
      <c r="P466" s="17"/>
    </row>
    <row r="467" spans="1:16" ht="14.25" customHeight="1">
      <c r="A467" s="5" t="s">
        <v>0</v>
      </c>
      <c r="B467" s="5" t="str">
        <f t="shared" si="3"/>
        <v>Y</v>
      </c>
      <c r="C467" s="18" t="s">
        <v>1718</v>
      </c>
      <c r="D467" s="18"/>
      <c r="E467" s="6" t="s">
        <v>1719</v>
      </c>
      <c r="F467" s="19"/>
      <c r="G467" s="20">
        <v>43309</v>
      </c>
      <c r="H467" s="20">
        <v>43309</v>
      </c>
      <c r="L467" s="6">
        <v>9472789070</v>
      </c>
      <c r="M467" s="6" t="s">
        <v>1551</v>
      </c>
      <c r="N467" s="16" t="s">
        <v>1527</v>
      </c>
      <c r="O467" s="7"/>
      <c r="P467" s="17"/>
    </row>
    <row r="468" spans="1:16" ht="14.25" customHeight="1">
      <c r="A468" s="5" t="s">
        <v>0</v>
      </c>
      <c r="B468" s="5" t="str">
        <f t="shared" si="3"/>
        <v>Y</v>
      </c>
      <c r="C468" s="18" t="s">
        <v>1720</v>
      </c>
      <c r="D468" s="18"/>
      <c r="E468" s="6" t="s">
        <v>1721</v>
      </c>
      <c r="F468" s="19"/>
      <c r="G468" s="20">
        <v>43309</v>
      </c>
      <c r="H468" s="20">
        <v>43309</v>
      </c>
      <c r="L468" s="6">
        <v>7909004567</v>
      </c>
      <c r="M468" s="6" t="s">
        <v>1551</v>
      </c>
      <c r="N468" s="16" t="s">
        <v>1527</v>
      </c>
      <c r="O468" s="7"/>
      <c r="P468" s="17"/>
    </row>
    <row r="469" spans="1:16" ht="14.25" customHeight="1">
      <c r="A469" s="5" t="s">
        <v>0</v>
      </c>
      <c r="B469" s="5" t="str">
        <f t="shared" si="3"/>
        <v>Y</v>
      </c>
      <c r="C469" s="18" t="s">
        <v>1722</v>
      </c>
      <c r="D469" s="18"/>
      <c r="E469" s="6" t="s">
        <v>1723</v>
      </c>
      <c r="F469" s="19"/>
      <c r="G469" s="20">
        <v>43308</v>
      </c>
      <c r="H469" s="20">
        <v>43309</v>
      </c>
      <c r="L469" s="6">
        <v>6290636447</v>
      </c>
      <c r="N469" s="16"/>
      <c r="O469" s="7"/>
      <c r="P469" s="17"/>
    </row>
    <row r="470" spans="1:16" ht="14.25" customHeight="1">
      <c r="A470" s="5" t="s">
        <v>0</v>
      </c>
      <c r="B470" s="5" t="str">
        <f t="shared" si="3"/>
        <v>Y</v>
      </c>
      <c r="C470" s="24" t="s">
        <v>1724</v>
      </c>
      <c r="D470" s="24"/>
      <c r="E470" s="6" t="s">
        <v>1266</v>
      </c>
      <c r="F470" s="19"/>
      <c r="G470" s="20">
        <v>43310</v>
      </c>
      <c r="H470" s="20">
        <v>43310</v>
      </c>
      <c r="L470" s="33">
        <v>6200390433</v>
      </c>
      <c r="N470" s="16"/>
      <c r="O470" s="7"/>
      <c r="P470" s="17"/>
    </row>
    <row r="471" spans="1:16" ht="14.25" customHeight="1">
      <c r="A471" s="5" t="s">
        <v>0</v>
      </c>
      <c r="B471" s="5" t="str">
        <f t="shared" si="3"/>
        <v>Y</v>
      </c>
      <c r="C471" s="24" t="s">
        <v>1725</v>
      </c>
      <c r="D471" s="24"/>
      <c r="E471" s="6" t="s">
        <v>1726</v>
      </c>
      <c r="F471" s="19"/>
      <c r="G471" s="20">
        <v>43310</v>
      </c>
      <c r="H471" s="20">
        <v>43312</v>
      </c>
      <c r="L471" s="33">
        <v>7903091892</v>
      </c>
      <c r="N471" s="16"/>
      <c r="O471" s="7"/>
      <c r="P471" s="17"/>
    </row>
    <row r="472" spans="1:16" ht="14.25" customHeight="1">
      <c r="A472" s="5" t="s">
        <v>0</v>
      </c>
      <c r="B472" s="5" t="str">
        <f t="shared" si="3"/>
        <v>Y</v>
      </c>
      <c r="C472" s="18" t="s">
        <v>1727</v>
      </c>
      <c r="D472" s="18"/>
      <c r="E472" s="6" t="s">
        <v>1728</v>
      </c>
      <c r="F472" s="19"/>
      <c r="G472" s="20">
        <v>43315</v>
      </c>
      <c r="H472" s="20">
        <v>43315</v>
      </c>
      <c r="L472" s="6">
        <v>8709796965</v>
      </c>
      <c r="N472" s="16" t="s">
        <v>1527</v>
      </c>
      <c r="O472" s="7"/>
      <c r="P472" s="17"/>
    </row>
    <row r="473" spans="1:16" ht="14.25" customHeight="1">
      <c r="A473" s="5" t="s">
        <v>0</v>
      </c>
      <c r="B473" s="5" t="str">
        <f t="shared" si="3"/>
        <v>Y</v>
      </c>
      <c r="C473" s="18" t="s">
        <v>1729</v>
      </c>
      <c r="D473" s="18"/>
      <c r="E473" s="6" t="s">
        <v>1730</v>
      </c>
      <c r="F473" s="19"/>
      <c r="G473" s="20">
        <v>43315</v>
      </c>
      <c r="H473" s="20">
        <v>43315</v>
      </c>
      <c r="L473" s="6">
        <v>7632053140</v>
      </c>
      <c r="N473" s="16" t="s">
        <v>1527</v>
      </c>
      <c r="O473" s="7"/>
      <c r="P473" s="17"/>
    </row>
    <row r="474" spans="1:16" ht="14.25" customHeight="1">
      <c r="A474" s="5" t="s">
        <v>0</v>
      </c>
      <c r="B474" s="5" t="str">
        <f t="shared" si="3"/>
        <v>Y</v>
      </c>
      <c r="C474" s="18" t="s">
        <v>1731</v>
      </c>
      <c r="D474" s="18"/>
      <c r="E474" s="6" t="s">
        <v>1732</v>
      </c>
      <c r="F474" s="19"/>
      <c r="G474" s="20">
        <v>43315</v>
      </c>
      <c r="H474" s="20">
        <v>43326</v>
      </c>
      <c r="N474" s="16" t="s">
        <v>1524</v>
      </c>
      <c r="O474" s="7"/>
      <c r="P474" s="17"/>
    </row>
    <row r="475" spans="1:16" ht="14.25" customHeight="1">
      <c r="A475" s="5" t="s">
        <v>0</v>
      </c>
      <c r="B475" s="5" t="str">
        <f t="shared" si="3"/>
        <v>Y</v>
      </c>
      <c r="C475" s="18" t="s">
        <v>1733</v>
      </c>
      <c r="D475" s="18"/>
      <c r="E475" s="6" t="s">
        <v>1734</v>
      </c>
      <c r="F475" s="19"/>
      <c r="G475" s="20">
        <v>43316</v>
      </c>
      <c r="H475" s="20">
        <v>43316</v>
      </c>
      <c r="L475" s="6">
        <v>9934301876</v>
      </c>
      <c r="N475" s="16" t="s">
        <v>1527</v>
      </c>
      <c r="O475" s="7"/>
      <c r="P475" s="17"/>
    </row>
    <row r="476" spans="1:16" ht="14.25" customHeight="1">
      <c r="A476" s="5" t="s">
        <v>0</v>
      </c>
      <c r="B476" s="5" t="str">
        <f t="shared" si="3"/>
        <v>Y</v>
      </c>
      <c r="C476" s="80" t="s">
        <v>1735</v>
      </c>
      <c r="D476" s="80"/>
      <c r="E476" s="6" t="s">
        <v>1736</v>
      </c>
      <c r="F476" s="19"/>
      <c r="G476" s="20">
        <v>43319</v>
      </c>
      <c r="H476" s="20">
        <v>43329</v>
      </c>
      <c r="L476" s="6">
        <v>7870017006</v>
      </c>
      <c r="N476" s="16"/>
      <c r="O476" s="7"/>
      <c r="P476" s="17"/>
    </row>
    <row r="477" spans="1:16" ht="14.25" customHeight="1">
      <c r="A477" s="5" t="s">
        <v>0</v>
      </c>
      <c r="B477" s="5" t="str">
        <f t="shared" si="3"/>
        <v>N</v>
      </c>
      <c r="C477" s="18" t="s">
        <v>1737</v>
      </c>
      <c r="D477" s="18"/>
      <c r="E477" s="6" t="s">
        <v>1738</v>
      </c>
      <c r="F477" s="19"/>
      <c r="G477" s="20">
        <v>43319</v>
      </c>
      <c r="H477" s="20"/>
      <c r="L477" s="6">
        <v>7541920867</v>
      </c>
      <c r="N477" s="16"/>
      <c r="O477" s="7"/>
      <c r="P477" s="17"/>
    </row>
    <row r="478" spans="1:16" ht="14.25" customHeight="1">
      <c r="A478" s="5" t="s">
        <v>0</v>
      </c>
      <c r="B478" s="5" t="str">
        <f t="shared" si="3"/>
        <v>N</v>
      </c>
      <c r="C478" s="18" t="s">
        <v>1739</v>
      </c>
      <c r="D478" s="18"/>
      <c r="E478" s="6" t="s">
        <v>1740</v>
      </c>
      <c r="F478" s="19"/>
      <c r="G478" s="20">
        <v>43320</v>
      </c>
      <c r="H478" s="20"/>
      <c r="L478" s="6">
        <v>7209606418</v>
      </c>
      <c r="N478" s="16"/>
      <c r="O478" s="7"/>
      <c r="P478" s="17"/>
    </row>
    <row r="479" spans="1:16" ht="14.25" customHeight="1">
      <c r="A479" s="5" t="s">
        <v>0</v>
      </c>
      <c r="B479" s="5" t="str">
        <f t="shared" si="3"/>
        <v>Y</v>
      </c>
      <c r="C479" s="18" t="s">
        <v>1741</v>
      </c>
      <c r="D479" s="18"/>
      <c r="E479" s="6" t="s">
        <v>1742</v>
      </c>
      <c r="F479" s="19"/>
      <c r="G479" s="20">
        <v>43320</v>
      </c>
      <c r="H479" s="20">
        <v>43326</v>
      </c>
      <c r="L479" s="6">
        <v>8298008633</v>
      </c>
      <c r="N479" s="16"/>
      <c r="O479" s="7"/>
      <c r="P479" s="17"/>
    </row>
    <row r="480" spans="1:16" ht="14.25" customHeight="1">
      <c r="A480" s="5" t="s">
        <v>0</v>
      </c>
      <c r="B480" s="5" t="str">
        <f t="shared" si="3"/>
        <v>Y</v>
      </c>
      <c r="C480" s="18" t="s">
        <v>1743</v>
      </c>
      <c r="D480" s="18"/>
      <c r="E480" s="6" t="s">
        <v>1744</v>
      </c>
      <c r="F480" s="19"/>
      <c r="G480" s="20">
        <v>43321</v>
      </c>
      <c r="H480" s="20">
        <v>43326</v>
      </c>
      <c r="L480" s="6">
        <v>8709169293</v>
      </c>
      <c r="M480" s="6" t="s">
        <v>1745</v>
      </c>
      <c r="N480" s="16" t="s">
        <v>1527</v>
      </c>
      <c r="O480" s="7"/>
      <c r="P480" s="17"/>
    </row>
    <row r="481" spans="1:17" ht="14.25" customHeight="1">
      <c r="A481" s="5" t="s">
        <v>0</v>
      </c>
      <c r="B481" s="5" t="str">
        <f t="shared" si="3"/>
        <v>Y</v>
      </c>
      <c r="C481" s="18" t="s">
        <v>1746</v>
      </c>
      <c r="D481" s="18"/>
      <c r="E481" s="6" t="s">
        <v>1747</v>
      </c>
      <c r="F481" s="19"/>
      <c r="G481" s="20">
        <v>43321</v>
      </c>
      <c r="H481" s="20">
        <v>76201</v>
      </c>
      <c r="L481" s="6">
        <v>8092353135</v>
      </c>
      <c r="M481" s="6" t="s">
        <v>1745</v>
      </c>
      <c r="N481" s="16" t="s">
        <v>1527</v>
      </c>
      <c r="O481" s="7"/>
      <c r="P481" s="17"/>
    </row>
    <row r="482" spans="1:17" ht="14.25" customHeight="1">
      <c r="A482" s="5" t="s">
        <v>0</v>
      </c>
      <c r="B482" s="5" t="str">
        <f t="shared" si="3"/>
        <v>Y</v>
      </c>
      <c r="C482" s="18" t="s">
        <v>1748</v>
      </c>
      <c r="D482" s="18"/>
      <c r="E482" s="6" t="s">
        <v>1749</v>
      </c>
      <c r="F482" s="19"/>
      <c r="G482" s="20">
        <v>43321</v>
      </c>
      <c r="H482" s="20">
        <v>43329</v>
      </c>
      <c r="L482" s="6">
        <v>9204381765</v>
      </c>
      <c r="M482" s="6" t="s">
        <v>1745</v>
      </c>
      <c r="N482" s="16" t="s">
        <v>1527</v>
      </c>
      <c r="O482" s="7"/>
      <c r="P482" s="17"/>
    </row>
    <row r="483" spans="1:17" ht="14.25" customHeight="1">
      <c r="A483" s="5" t="s">
        <v>0</v>
      </c>
      <c r="B483" s="5" t="str">
        <f t="shared" si="3"/>
        <v>Y</v>
      </c>
      <c r="C483" s="18" t="s">
        <v>1750</v>
      </c>
      <c r="D483" s="18"/>
      <c r="E483" s="6" t="s">
        <v>1751</v>
      </c>
      <c r="F483" s="19"/>
      <c r="G483" s="20">
        <v>43322</v>
      </c>
      <c r="H483" s="20">
        <v>43336</v>
      </c>
      <c r="L483" s="6">
        <v>7274925308</v>
      </c>
      <c r="M483" s="6" t="s">
        <v>1745</v>
      </c>
      <c r="N483" s="16" t="s">
        <v>1527</v>
      </c>
      <c r="O483" s="7"/>
      <c r="P483" s="17"/>
    </row>
    <row r="484" spans="1:17" ht="14.25" customHeight="1">
      <c r="A484" s="5" t="s">
        <v>0</v>
      </c>
      <c r="B484" s="5" t="str">
        <f t="shared" si="3"/>
        <v>Y</v>
      </c>
      <c r="C484" s="18" t="s">
        <v>1752</v>
      </c>
      <c r="D484" s="18"/>
      <c r="E484" s="6" t="s">
        <v>1753</v>
      </c>
      <c r="F484" s="19"/>
      <c r="G484" s="20">
        <v>43323</v>
      </c>
      <c r="H484" s="20">
        <v>43326</v>
      </c>
      <c r="L484" s="6">
        <v>9934220095</v>
      </c>
      <c r="M484" s="6" t="s">
        <v>1745</v>
      </c>
      <c r="N484" s="16" t="s">
        <v>1527</v>
      </c>
      <c r="O484" s="7"/>
      <c r="P484" s="17"/>
    </row>
    <row r="485" spans="1:17" ht="14.25" customHeight="1">
      <c r="A485" s="5" t="s">
        <v>0</v>
      </c>
      <c r="B485" s="5" t="str">
        <f t="shared" si="3"/>
        <v>Y</v>
      </c>
      <c r="C485" s="18" t="s">
        <v>1754</v>
      </c>
      <c r="D485" s="18"/>
      <c r="E485" s="6" t="s">
        <v>1755</v>
      </c>
      <c r="F485" s="19"/>
      <c r="G485" s="20">
        <v>43323</v>
      </c>
      <c r="H485" s="20">
        <v>43326</v>
      </c>
      <c r="L485" s="6">
        <v>8709352781</v>
      </c>
      <c r="N485" s="16"/>
      <c r="O485" s="7"/>
      <c r="P485" s="17"/>
    </row>
    <row r="486" spans="1:17" ht="14.25" customHeight="1">
      <c r="A486" s="5" t="s">
        <v>0</v>
      </c>
      <c r="B486" s="5" t="str">
        <f t="shared" si="3"/>
        <v>Y</v>
      </c>
      <c r="C486" s="18" t="s">
        <v>1756</v>
      </c>
      <c r="D486" s="18"/>
      <c r="E486" s="6" t="s">
        <v>1757</v>
      </c>
      <c r="F486" s="19"/>
      <c r="G486" s="20">
        <v>43323</v>
      </c>
      <c r="H486" s="20">
        <v>43326</v>
      </c>
      <c r="L486" s="6">
        <v>9570528069</v>
      </c>
      <c r="M486" s="6" t="s">
        <v>1745</v>
      </c>
      <c r="N486" s="16" t="s">
        <v>1527</v>
      </c>
      <c r="O486" s="7"/>
      <c r="P486" s="17"/>
    </row>
    <row r="487" spans="1:17" ht="14.25" customHeight="1">
      <c r="A487" s="5" t="s">
        <v>0</v>
      </c>
      <c r="B487" s="5" t="str">
        <f t="shared" si="3"/>
        <v>Y</v>
      </c>
      <c r="C487" s="18" t="s">
        <v>1758</v>
      </c>
      <c r="D487" s="18"/>
      <c r="E487" s="6" t="s">
        <v>1759</v>
      </c>
      <c r="F487" s="19"/>
      <c r="G487" s="20">
        <v>43323</v>
      </c>
      <c r="H487" s="20">
        <v>43326</v>
      </c>
      <c r="L487" s="6">
        <v>8340163662</v>
      </c>
      <c r="M487" s="6" t="s">
        <v>1745</v>
      </c>
      <c r="N487" s="16" t="s">
        <v>1527</v>
      </c>
      <c r="P487" s="17"/>
    </row>
    <row r="488" spans="1:17" ht="14.25" customHeight="1">
      <c r="A488" s="5" t="s">
        <v>0</v>
      </c>
      <c r="B488" s="5" t="str">
        <f t="shared" si="3"/>
        <v>Y</v>
      </c>
      <c r="C488" s="18" t="s">
        <v>1760</v>
      </c>
      <c r="D488" s="18"/>
      <c r="E488" s="6" t="s">
        <v>1368</v>
      </c>
      <c r="F488" s="19"/>
      <c r="G488" s="20">
        <v>43323</v>
      </c>
      <c r="H488" s="20">
        <v>43326</v>
      </c>
      <c r="L488" s="6">
        <v>8092636195</v>
      </c>
      <c r="N488" s="16"/>
      <c r="P488" s="68" t="s">
        <v>1761</v>
      </c>
    </row>
    <row r="489" spans="1:17" ht="14.25" customHeight="1">
      <c r="A489" s="5" t="s">
        <v>0</v>
      </c>
      <c r="B489" s="5" t="str">
        <f t="shared" si="3"/>
        <v>Y</v>
      </c>
      <c r="C489" s="18" t="s">
        <v>1762</v>
      </c>
      <c r="D489" s="18"/>
      <c r="E489" s="6" t="s">
        <v>1763</v>
      </c>
      <c r="F489" s="19"/>
      <c r="G489" s="20">
        <v>43323</v>
      </c>
      <c r="H489" s="20">
        <v>43329</v>
      </c>
      <c r="L489" s="6">
        <v>9955143021</v>
      </c>
      <c r="M489" s="6" t="s">
        <v>1745</v>
      </c>
      <c r="N489" s="16" t="s">
        <v>1527</v>
      </c>
      <c r="P489" s="6" t="s">
        <v>1733</v>
      </c>
    </row>
    <row r="490" spans="1:17" ht="14.25" customHeight="1">
      <c r="A490" s="5" t="s">
        <v>0</v>
      </c>
      <c r="B490" s="5" t="str">
        <f t="shared" si="3"/>
        <v>Y</v>
      </c>
      <c r="C490" s="18" t="s">
        <v>1764</v>
      </c>
      <c r="D490" s="18"/>
      <c r="E490" s="6" t="s">
        <v>1765</v>
      </c>
      <c r="F490" s="19"/>
      <c r="G490" s="20">
        <v>43323</v>
      </c>
      <c r="H490" s="20">
        <v>43329</v>
      </c>
      <c r="L490" s="6">
        <v>7209920086</v>
      </c>
      <c r="M490" s="6" t="s">
        <v>1745</v>
      </c>
      <c r="N490" s="16" t="s">
        <v>1527</v>
      </c>
      <c r="O490" s="7"/>
      <c r="P490" s="6" t="s">
        <v>1604</v>
      </c>
    </row>
    <row r="491" spans="1:17" ht="14.25" customHeight="1">
      <c r="A491" s="5" t="s">
        <v>0</v>
      </c>
      <c r="B491" s="5" t="str">
        <f t="shared" si="3"/>
        <v>Y</v>
      </c>
      <c r="C491" s="18" t="s">
        <v>1766</v>
      </c>
      <c r="D491" s="18"/>
      <c r="E491" s="6" t="s">
        <v>1767</v>
      </c>
      <c r="F491" s="19"/>
      <c r="G491" s="20">
        <v>43326</v>
      </c>
      <c r="H491" s="20">
        <v>43331</v>
      </c>
      <c r="L491" s="6">
        <v>9709108506</v>
      </c>
      <c r="N491" s="16"/>
      <c r="O491" s="7"/>
      <c r="P491" s="6" t="s">
        <v>1522</v>
      </c>
    </row>
    <row r="492" spans="1:17" ht="14.25" customHeight="1">
      <c r="A492" s="5" t="s">
        <v>0</v>
      </c>
      <c r="B492" s="5" t="str">
        <f t="shared" si="3"/>
        <v>Y</v>
      </c>
      <c r="C492" s="62" t="s">
        <v>1768</v>
      </c>
      <c r="D492" s="62"/>
      <c r="E492" s="6" t="s">
        <v>1769</v>
      </c>
      <c r="F492" s="19"/>
      <c r="G492" s="20">
        <v>43331</v>
      </c>
      <c r="H492" s="20">
        <v>43337</v>
      </c>
      <c r="L492" s="6">
        <v>9939326138</v>
      </c>
      <c r="M492" s="6" t="s">
        <v>1745</v>
      </c>
      <c r="N492" s="16" t="s">
        <v>1527</v>
      </c>
      <c r="O492" s="7"/>
      <c r="P492" s="67"/>
      <c r="Q492" s="68" t="s">
        <v>1500</v>
      </c>
    </row>
    <row r="493" spans="1:17" ht="14.25" customHeight="1">
      <c r="A493" s="5" t="s">
        <v>0</v>
      </c>
      <c r="B493" s="5" t="str">
        <f t="shared" si="3"/>
        <v>Y</v>
      </c>
      <c r="C493" s="18" t="s">
        <v>1770</v>
      </c>
      <c r="D493" s="18"/>
      <c r="E493" s="6" t="s">
        <v>1771</v>
      </c>
      <c r="F493" s="19"/>
      <c r="G493" s="20">
        <v>43331</v>
      </c>
      <c r="H493" s="20">
        <v>43336</v>
      </c>
      <c r="L493" s="6">
        <v>7209829329</v>
      </c>
      <c r="M493" s="6" t="s">
        <v>1745</v>
      </c>
      <c r="N493" s="16" t="s">
        <v>1527</v>
      </c>
      <c r="O493" s="7"/>
      <c r="P493" s="17"/>
    </row>
    <row r="494" spans="1:17" ht="14.25" customHeight="1">
      <c r="A494" s="5" t="s">
        <v>0</v>
      </c>
      <c r="B494" s="5" t="str">
        <f t="shared" si="3"/>
        <v>Y</v>
      </c>
      <c r="C494" s="18" t="s">
        <v>1772</v>
      </c>
      <c r="D494" s="18"/>
      <c r="E494" s="6" t="s">
        <v>1773</v>
      </c>
      <c r="F494" s="19"/>
      <c r="G494" s="20">
        <v>43331</v>
      </c>
      <c r="H494" s="20">
        <v>43331</v>
      </c>
      <c r="L494" s="6">
        <v>7004367906</v>
      </c>
      <c r="M494" s="6" t="s">
        <v>1745</v>
      </c>
      <c r="N494" s="16" t="s">
        <v>1527</v>
      </c>
      <c r="O494" s="7"/>
      <c r="P494" s="17"/>
    </row>
    <row r="495" spans="1:17" ht="14.25" customHeight="1">
      <c r="A495" s="5" t="s">
        <v>0</v>
      </c>
      <c r="B495" s="5" t="str">
        <f t="shared" si="3"/>
        <v>Y</v>
      </c>
      <c r="C495" s="62" t="s">
        <v>1761</v>
      </c>
      <c r="D495" s="62"/>
      <c r="E495" s="47" t="s">
        <v>1774</v>
      </c>
      <c r="F495" s="63"/>
      <c r="G495" s="64">
        <v>43331</v>
      </c>
      <c r="H495" s="64">
        <v>43334</v>
      </c>
      <c r="I495" s="47"/>
      <c r="J495" s="47"/>
      <c r="K495" s="47"/>
      <c r="L495" s="47">
        <v>9113364508</v>
      </c>
      <c r="M495" s="47" t="s">
        <v>1745</v>
      </c>
      <c r="N495" s="66" t="s">
        <v>1527</v>
      </c>
      <c r="O495" s="7"/>
      <c r="P495" s="17"/>
    </row>
    <row r="496" spans="1:17" ht="14.25" customHeight="1">
      <c r="A496" s="5" t="s">
        <v>0</v>
      </c>
      <c r="B496" s="5" t="str">
        <f t="shared" si="3"/>
        <v>Y</v>
      </c>
      <c r="C496" s="18" t="s">
        <v>1775</v>
      </c>
      <c r="D496" s="18"/>
      <c r="E496" s="6" t="s">
        <v>1776</v>
      </c>
      <c r="F496" s="19"/>
      <c r="G496" s="20">
        <v>43331</v>
      </c>
      <c r="H496" s="20">
        <v>43334</v>
      </c>
      <c r="L496" s="6">
        <v>8986711902</v>
      </c>
      <c r="M496" s="6" t="s">
        <v>1745</v>
      </c>
      <c r="N496" s="16" t="s">
        <v>1527</v>
      </c>
      <c r="O496" s="7"/>
      <c r="P496" s="17"/>
    </row>
    <row r="497" spans="1:16" ht="14.25" customHeight="1">
      <c r="A497" s="5" t="s">
        <v>0</v>
      </c>
      <c r="B497" s="5" t="str">
        <f t="shared" si="3"/>
        <v>Y</v>
      </c>
      <c r="C497" s="18" t="s">
        <v>1777</v>
      </c>
      <c r="D497" s="18"/>
      <c r="E497" s="6" t="s">
        <v>1778</v>
      </c>
      <c r="F497" s="19"/>
      <c r="G497" s="20">
        <v>43331</v>
      </c>
      <c r="H497" s="20">
        <v>43334</v>
      </c>
      <c r="L497" s="6">
        <v>8092669507</v>
      </c>
      <c r="N497" s="16"/>
      <c r="O497" s="7"/>
      <c r="P497" s="17"/>
    </row>
    <row r="498" spans="1:16" ht="14.25" customHeight="1">
      <c r="A498" s="5" t="s">
        <v>0</v>
      </c>
      <c r="B498" s="5" t="str">
        <f t="shared" si="3"/>
        <v>Y</v>
      </c>
      <c r="C498" s="18" t="s">
        <v>1779</v>
      </c>
      <c r="D498" s="18"/>
      <c r="E498" s="6" t="s">
        <v>1780</v>
      </c>
      <c r="F498" s="19"/>
      <c r="G498" s="20">
        <v>43331</v>
      </c>
      <c r="H498" s="20">
        <v>43335</v>
      </c>
      <c r="L498" s="6">
        <v>9031703995</v>
      </c>
      <c r="N498" s="16"/>
      <c r="O498" s="7"/>
      <c r="P498" s="17"/>
    </row>
    <row r="499" spans="1:16" ht="14.25" customHeight="1">
      <c r="A499" s="5" t="s">
        <v>0</v>
      </c>
      <c r="B499" s="5" t="str">
        <f t="shared" si="3"/>
        <v>Y</v>
      </c>
      <c r="C499" s="18" t="s">
        <v>1781</v>
      </c>
      <c r="D499" s="18"/>
      <c r="E499" s="6" t="s">
        <v>1782</v>
      </c>
      <c r="F499" s="19"/>
      <c r="G499" s="20">
        <v>43335</v>
      </c>
      <c r="H499" s="20">
        <v>43336</v>
      </c>
      <c r="L499" s="6">
        <v>9801051656</v>
      </c>
      <c r="N499" s="16"/>
      <c r="O499" s="7"/>
      <c r="P499" s="17"/>
    </row>
    <row r="500" spans="1:16" ht="14.25" customHeight="1">
      <c r="A500" s="5" t="s">
        <v>0</v>
      </c>
      <c r="B500" s="5" t="str">
        <f t="shared" si="3"/>
        <v>Y</v>
      </c>
      <c r="C500" s="18" t="s">
        <v>1783</v>
      </c>
      <c r="D500" s="18"/>
      <c r="E500" s="6" t="s">
        <v>1784</v>
      </c>
      <c r="F500" s="19"/>
      <c r="G500" s="20">
        <v>43335</v>
      </c>
      <c r="H500" s="20">
        <v>43337</v>
      </c>
      <c r="L500" s="6">
        <v>8434515278</v>
      </c>
      <c r="N500" s="16"/>
      <c r="O500" s="7"/>
      <c r="P500" s="17"/>
    </row>
    <row r="501" spans="1:16" ht="14.25" customHeight="1">
      <c r="A501" s="5" t="s">
        <v>0</v>
      </c>
      <c r="B501" s="5" t="str">
        <f t="shared" si="3"/>
        <v>Y</v>
      </c>
      <c r="C501" s="18" t="s">
        <v>1785</v>
      </c>
      <c r="D501" s="18"/>
      <c r="E501" s="6" t="s">
        <v>1786</v>
      </c>
      <c r="F501" s="19"/>
      <c r="G501" s="20">
        <v>43335</v>
      </c>
      <c r="H501" s="20">
        <v>43337</v>
      </c>
      <c r="L501" s="6">
        <v>8092504621</v>
      </c>
      <c r="N501" s="16"/>
      <c r="O501" s="7"/>
      <c r="P501" s="17"/>
    </row>
    <row r="502" spans="1:16" ht="14.25" customHeight="1">
      <c r="A502" s="5" t="s">
        <v>0</v>
      </c>
      <c r="B502" s="5" t="str">
        <f t="shared" si="3"/>
        <v>Y</v>
      </c>
      <c r="C502" s="18" t="s">
        <v>1787</v>
      </c>
      <c r="D502" s="18"/>
      <c r="E502" s="6" t="s">
        <v>1788</v>
      </c>
      <c r="F502" s="19"/>
      <c r="G502" s="20">
        <v>43335</v>
      </c>
      <c r="H502" s="20">
        <v>43337</v>
      </c>
      <c r="L502" s="6">
        <v>7250833127</v>
      </c>
      <c r="N502" s="16"/>
      <c r="O502" s="7"/>
      <c r="P502" s="17"/>
    </row>
    <row r="503" spans="1:16" ht="14.25" customHeight="1">
      <c r="A503" s="5" t="s">
        <v>0</v>
      </c>
      <c r="B503" s="5" t="str">
        <f t="shared" si="3"/>
        <v>Y</v>
      </c>
      <c r="C503" s="18" t="s">
        <v>1789</v>
      </c>
      <c r="D503" s="18"/>
      <c r="E503" s="6" t="s">
        <v>1790</v>
      </c>
      <c r="F503" s="19"/>
      <c r="G503" s="20">
        <v>43335</v>
      </c>
      <c r="H503" s="20">
        <v>43337</v>
      </c>
      <c r="L503" s="6">
        <v>9801376592</v>
      </c>
      <c r="N503" s="16"/>
      <c r="O503" s="7"/>
      <c r="P503" s="17"/>
    </row>
    <row r="504" spans="1:16" ht="14.25" customHeight="1">
      <c r="A504" s="5" t="s">
        <v>0</v>
      </c>
      <c r="B504" s="5" t="str">
        <f t="shared" si="3"/>
        <v>Y</v>
      </c>
      <c r="C504" s="18" t="s">
        <v>1791</v>
      </c>
      <c r="D504" s="18"/>
      <c r="E504" s="81" t="s">
        <v>1792</v>
      </c>
      <c r="F504" s="19"/>
      <c r="G504" s="20">
        <v>43340</v>
      </c>
      <c r="H504" s="20">
        <v>43343</v>
      </c>
      <c r="N504" s="16" t="s">
        <v>1524</v>
      </c>
      <c r="O504" s="7"/>
      <c r="P504" s="17"/>
    </row>
    <row r="505" spans="1:16" ht="14.25" customHeight="1">
      <c r="A505" s="5" t="s">
        <v>0</v>
      </c>
      <c r="B505" s="5" t="str">
        <f t="shared" si="3"/>
        <v>Y</v>
      </c>
      <c r="C505" s="18" t="s">
        <v>1793</v>
      </c>
      <c r="D505" s="18"/>
      <c r="E505" s="81" t="s">
        <v>1794</v>
      </c>
      <c r="F505" s="19"/>
      <c r="G505" s="20">
        <v>43340</v>
      </c>
      <c r="H505" s="20">
        <v>43343</v>
      </c>
      <c r="N505" s="16" t="s">
        <v>1524</v>
      </c>
      <c r="O505" s="7"/>
      <c r="P505" s="17"/>
    </row>
    <row r="506" spans="1:16" ht="14.25" customHeight="1">
      <c r="A506" s="5" t="s">
        <v>0</v>
      </c>
      <c r="B506" s="5" t="str">
        <f t="shared" si="3"/>
        <v>Y</v>
      </c>
      <c r="C506" s="18" t="s">
        <v>1795</v>
      </c>
      <c r="D506" s="18"/>
      <c r="E506" s="6" t="s">
        <v>1796</v>
      </c>
      <c r="F506" s="19"/>
      <c r="G506" s="20">
        <v>43341</v>
      </c>
      <c r="H506" s="20">
        <v>43342</v>
      </c>
      <c r="L506" s="6">
        <v>9570067329</v>
      </c>
      <c r="N506" s="16" t="s">
        <v>1527</v>
      </c>
      <c r="O506" s="7"/>
      <c r="P506" s="17"/>
    </row>
    <row r="507" spans="1:16" ht="14.25" customHeight="1">
      <c r="A507" s="5" t="s">
        <v>0</v>
      </c>
      <c r="B507" s="5" t="str">
        <f t="shared" si="3"/>
        <v>N</v>
      </c>
      <c r="C507" s="18" t="s">
        <v>1797</v>
      </c>
      <c r="D507" s="18"/>
      <c r="E507" s="6" t="s">
        <v>1798</v>
      </c>
      <c r="F507" s="19"/>
      <c r="G507" s="20"/>
      <c r="H507" s="20"/>
      <c r="N507" s="16"/>
      <c r="O507" s="7"/>
      <c r="P507" s="17"/>
    </row>
    <row r="508" spans="1:16" ht="14.25" customHeight="1">
      <c r="A508" s="5" t="s">
        <v>0</v>
      </c>
      <c r="B508" s="5" t="str">
        <f t="shared" si="3"/>
        <v>Y</v>
      </c>
      <c r="C508" s="18" t="s">
        <v>1799</v>
      </c>
      <c r="D508" s="18"/>
      <c r="E508" s="6" t="s">
        <v>1800</v>
      </c>
      <c r="F508" s="19"/>
      <c r="G508" s="20">
        <v>43343</v>
      </c>
      <c r="H508" s="20">
        <v>43343</v>
      </c>
      <c r="L508" s="6">
        <v>9523283062</v>
      </c>
      <c r="M508" s="82" t="s">
        <v>1801</v>
      </c>
      <c r="N508" s="79">
        <v>43363</v>
      </c>
      <c r="O508" s="7" t="s">
        <v>1802</v>
      </c>
      <c r="P508" s="17"/>
    </row>
    <row r="509" spans="1:16" ht="14.25" customHeight="1">
      <c r="A509" s="5" t="s">
        <v>0</v>
      </c>
      <c r="B509" s="5" t="str">
        <f t="shared" si="3"/>
        <v>Y</v>
      </c>
      <c r="C509" s="18" t="s">
        <v>1803</v>
      </c>
      <c r="D509" s="18"/>
      <c r="E509" s="6" t="s">
        <v>1804</v>
      </c>
      <c r="F509" s="19"/>
      <c r="G509" s="20">
        <v>43346</v>
      </c>
      <c r="H509" s="20">
        <v>43346</v>
      </c>
      <c r="L509" s="6">
        <v>7985722560</v>
      </c>
      <c r="N509" s="16" t="s">
        <v>1527</v>
      </c>
      <c r="O509" s="7"/>
      <c r="P509" s="17"/>
    </row>
    <row r="510" spans="1:16" ht="14.25" customHeight="1">
      <c r="A510" s="5" t="s">
        <v>0</v>
      </c>
      <c r="B510" s="5" t="str">
        <f t="shared" si="3"/>
        <v>Y</v>
      </c>
      <c r="C510" s="18" t="s">
        <v>1805</v>
      </c>
      <c r="D510" s="18"/>
      <c r="E510" s="6" t="s">
        <v>1806</v>
      </c>
      <c r="F510" s="19"/>
      <c r="G510" s="20">
        <v>43347</v>
      </c>
      <c r="H510" s="20">
        <v>43348</v>
      </c>
      <c r="L510" s="6">
        <v>9199506437</v>
      </c>
      <c r="N510" s="16"/>
      <c r="O510" s="7"/>
      <c r="P510" s="17"/>
    </row>
    <row r="511" spans="1:16" ht="14.25" customHeight="1">
      <c r="A511" s="5" t="s">
        <v>0</v>
      </c>
      <c r="B511" s="5" t="str">
        <f t="shared" si="3"/>
        <v>Y</v>
      </c>
      <c r="C511" s="18" t="s">
        <v>1807</v>
      </c>
      <c r="D511" s="18"/>
      <c r="E511" s="6" t="s">
        <v>1808</v>
      </c>
      <c r="F511" s="19"/>
      <c r="G511" s="20">
        <v>43347</v>
      </c>
      <c r="H511" s="20">
        <v>43348</v>
      </c>
      <c r="L511" s="6">
        <v>6203945892</v>
      </c>
      <c r="N511" s="16" t="s">
        <v>1527</v>
      </c>
      <c r="O511" s="7"/>
      <c r="P511" s="17"/>
    </row>
    <row r="512" spans="1:16" ht="14.25" customHeight="1">
      <c r="A512" s="5" t="s">
        <v>0</v>
      </c>
      <c r="B512" s="5" t="str">
        <f t="shared" si="3"/>
        <v>Y</v>
      </c>
      <c r="C512" s="18" t="s">
        <v>1809</v>
      </c>
      <c r="D512" s="18"/>
      <c r="E512" s="6" t="s">
        <v>1810</v>
      </c>
      <c r="F512" s="19"/>
      <c r="G512" s="20">
        <v>43347</v>
      </c>
      <c r="H512" s="20">
        <v>43348</v>
      </c>
      <c r="L512" s="6">
        <v>8340228900</v>
      </c>
      <c r="N512" s="16" t="s">
        <v>1527</v>
      </c>
      <c r="O512" s="7"/>
      <c r="P512" s="17"/>
    </row>
    <row r="513" spans="1:16" ht="14.25" customHeight="1">
      <c r="A513" s="5" t="s">
        <v>0</v>
      </c>
      <c r="B513" s="5" t="str">
        <f t="shared" si="3"/>
        <v>Y</v>
      </c>
      <c r="C513" s="18" t="s">
        <v>1811</v>
      </c>
      <c r="D513" s="18"/>
      <c r="E513" s="6" t="s">
        <v>1812</v>
      </c>
      <c r="F513" s="19"/>
      <c r="G513" s="20">
        <v>43348</v>
      </c>
      <c r="H513" s="20">
        <v>43348</v>
      </c>
      <c r="L513" s="6">
        <v>8603027664</v>
      </c>
      <c r="N513" s="16"/>
      <c r="O513" s="7"/>
      <c r="P513" s="17"/>
    </row>
    <row r="514" spans="1:16" ht="14.25" customHeight="1">
      <c r="A514" s="5" t="s">
        <v>0</v>
      </c>
      <c r="B514" s="5" t="str">
        <f t="shared" si="3"/>
        <v>Y</v>
      </c>
      <c r="C514" s="18" t="s">
        <v>1813</v>
      </c>
      <c r="D514" s="18"/>
      <c r="E514" s="6" t="s">
        <v>1814</v>
      </c>
      <c r="F514" s="19" t="s">
        <v>1815</v>
      </c>
      <c r="G514" s="20">
        <v>43350</v>
      </c>
      <c r="H514" s="20">
        <v>43351</v>
      </c>
      <c r="L514" s="6">
        <v>9234923855</v>
      </c>
      <c r="N514" s="79">
        <v>43365</v>
      </c>
      <c r="O514" s="7" t="s">
        <v>1802</v>
      </c>
      <c r="P514" s="17"/>
    </row>
    <row r="515" spans="1:16" ht="14.25" customHeight="1">
      <c r="A515" s="5" t="s">
        <v>0</v>
      </c>
      <c r="B515" s="5" t="str">
        <f t="shared" si="3"/>
        <v>Y</v>
      </c>
      <c r="C515" s="18" t="s">
        <v>1816</v>
      </c>
      <c r="D515" s="18"/>
      <c r="E515" s="6" t="s">
        <v>1817</v>
      </c>
      <c r="F515" s="19"/>
      <c r="G515" s="20">
        <v>43350</v>
      </c>
      <c r="H515" s="20">
        <v>43351</v>
      </c>
      <c r="L515" s="6">
        <v>9204110540</v>
      </c>
      <c r="N515" s="16"/>
      <c r="O515" s="7"/>
      <c r="P515" s="17"/>
    </row>
    <row r="516" spans="1:16" ht="14.25" customHeight="1">
      <c r="A516" s="5" t="s">
        <v>0</v>
      </c>
      <c r="B516" s="5" t="str">
        <f t="shared" si="3"/>
        <v>Y</v>
      </c>
      <c r="C516" s="18" t="s">
        <v>1818</v>
      </c>
      <c r="D516" s="18"/>
      <c r="E516" s="6" t="s">
        <v>1819</v>
      </c>
      <c r="F516" s="19"/>
      <c r="G516" s="20">
        <v>43352</v>
      </c>
      <c r="H516" s="20">
        <v>43353</v>
      </c>
      <c r="L516" s="6">
        <v>8271187244</v>
      </c>
      <c r="N516" s="16"/>
      <c r="O516" s="7"/>
      <c r="P516" s="17"/>
    </row>
    <row r="517" spans="1:16" ht="14.25" customHeight="1">
      <c r="A517" s="5" t="s">
        <v>0</v>
      </c>
      <c r="B517" s="5" t="str">
        <f t="shared" si="3"/>
        <v>Y</v>
      </c>
      <c r="C517" s="18" t="s">
        <v>1820</v>
      </c>
      <c r="D517" s="18"/>
      <c r="E517" s="6" t="s">
        <v>1821</v>
      </c>
      <c r="F517" s="19"/>
      <c r="G517" s="20">
        <v>43352</v>
      </c>
      <c r="H517" s="20">
        <v>43353</v>
      </c>
      <c r="L517" s="6">
        <v>8405032399</v>
      </c>
      <c r="N517" s="16"/>
      <c r="O517" s="7"/>
      <c r="P517" s="17"/>
    </row>
    <row r="518" spans="1:16" ht="14.25" customHeight="1">
      <c r="A518" s="5" t="s">
        <v>0</v>
      </c>
      <c r="B518" s="5" t="str">
        <f t="shared" si="3"/>
        <v>Y</v>
      </c>
      <c r="C518" s="18" t="s">
        <v>1822</v>
      </c>
      <c r="D518" s="18"/>
      <c r="E518" s="6" t="s">
        <v>1823</v>
      </c>
      <c r="F518" s="19"/>
      <c r="G518" s="20">
        <v>43355</v>
      </c>
      <c r="H518" s="20">
        <v>43356</v>
      </c>
      <c r="L518" s="6">
        <v>9097042985</v>
      </c>
      <c r="M518" s="6" t="s">
        <v>1551</v>
      </c>
      <c r="N518" s="16" t="s">
        <v>1527</v>
      </c>
      <c r="O518" s="7"/>
      <c r="P518" s="17"/>
    </row>
    <row r="519" spans="1:16" ht="14.25" customHeight="1">
      <c r="A519" s="5" t="s">
        <v>0</v>
      </c>
      <c r="B519" s="5" t="str">
        <f t="shared" si="3"/>
        <v>Y</v>
      </c>
      <c r="C519" s="18" t="s">
        <v>1824</v>
      </c>
      <c r="D519" s="18"/>
      <c r="E519" s="6" t="s">
        <v>1825</v>
      </c>
      <c r="F519" s="19"/>
      <c r="G519" s="20">
        <v>43355</v>
      </c>
      <c r="H519" s="20">
        <v>43356</v>
      </c>
      <c r="L519" s="6">
        <v>7274925308</v>
      </c>
      <c r="M519" s="6" t="s">
        <v>1551</v>
      </c>
      <c r="N519" s="16" t="s">
        <v>1527</v>
      </c>
      <c r="O519" s="7"/>
      <c r="P519" s="17"/>
    </row>
    <row r="520" spans="1:16" ht="14.25" customHeight="1">
      <c r="A520" s="5" t="s">
        <v>0</v>
      </c>
      <c r="B520" s="5" t="str">
        <f t="shared" si="3"/>
        <v>Y</v>
      </c>
      <c r="C520" s="18" t="s">
        <v>1826</v>
      </c>
      <c r="D520" s="18"/>
      <c r="E520" s="6" t="s">
        <v>1827</v>
      </c>
      <c r="F520" s="19"/>
      <c r="G520" s="20">
        <v>43355</v>
      </c>
      <c r="H520" s="20">
        <v>43356</v>
      </c>
      <c r="L520" s="6">
        <v>9523458842</v>
      </c>
      <c r="M520" s="6" t="s">
        <v>1551</v>
      </c>
      <c r="N520" s="16" t="s">
        <v>1527</v>
      </c>
      <c r="O520" s="7"/>
      <c r="P520" s="17"/>
    </row>
    <row r="521" spans="1:16" ht="14.25" customHeight="1">
      <c r="A521" s="5" t="s">
        <v>0</v>
      </c>
      <c r="B521" s="5" t="str">
        <f t="shared" si="3"/>
        <v>Y</v>
      </c>
      <c r="C521" s="18" t="s">
        <v>1828</v>
      </c>
      <c r="D521" s="18"/>
      <c r="E521" s="6" t="s">
        <v>434</v>
      </c>
      <c r="F521" s="19"/>
      <c r="G521" s="20">
        <v>43355</v>
      </c>
      <c r="H521" s="20">
        <v>43356</v>
      </c>
      <c r="L521" s="6">
        <v>7274925308</v>
      </c>
      <c r="M521" s="6" t="s">
        <v>1551</v>
      </c>
      <c r="N521" s="16" t="s">
        <v>1527</v>
      </c>
      <c r="O521" s="7"/>
      <c r="P521" s="17"/>
    </row>
    <row r="522" spans="1:16" ht="14.25" customHeight="1">
      <c r="A522" s="5" t="s">
        <v>0</v>
      </c>
      <c r="B522" s="5" t="str">
        <f t="shared" si="3"/>
        <v>Y</v>
      </c>
      <c r="C522" s="18" t="s">
        <v>1829</v>
      </c>
      <c r="D522" s="18"/>
      <c r="E522" s="6" t="s">
        <v>1830</v>
      </c>
      <c r="F522" s="19"/>
      <c r="G522" s="20">
        <v>43355</v>
      </c>
      <c r="H522" s="20">
        <v>43356</v>
      </c>
      <c r="L522" s="6">
        <v>7324904985</v>
      </c>
      <c r="M522" s="6" t="s">
        <v>1551</v>
      </c>
      <c r="N522" s="16" t="s">
        <v>1527</v>
      </c>
      <c r="O522" s="7"/>
      <c r="P522" s="17"/>
    </row>
    <row r="523" spans="1:16" ht="14.25" customHeight="1">
      <c r="A523" s="5" t="s">
        <v>0</v>
      </c>
      <c r="B523" s="5" t="str">
        <f t="shared" si="3"/>
        <v>N</v>
      </c>
      <c r="C523" s="18"/>
      <c r="D523" s="18"/>
      <c r="E523" s="6" t="s">
        <v>1831</v>
      </c>
      <c r="F523" s="19"/>
      <c r="G523" s="20">
        <v>43355</v>
      </c>
      <c r="H523" s="20"/>
      <c r="L523" s="6">
        <v>7294056552</v>
      </c>
      <c r="M523" s="6" t="s">
        <v>1832</v>
      </c>
      <c r="N523" s="16" t="s">
        <v>1527</v>
      </c>
      <c r="O523" s="7"/>
      <c r="P523" s="17"/>
    </row>
    <row r="524" spans="1:16" ht="14.25" customHeight="1">
      <c r="A524" s="5" t="s">
        <v>0</v>
      </c>
      <c r="B524" s="5" t="str">
        <f t="shared" si="3"/>
        <v>Y</v>
      </c>
      <c r="C524" s="18" t="s">
        <v>1833</v>
      </c>
      <c r="D524" s="18"/>
      <c r="E524" s="6" t="s">
        <v>1834</v>
      </c>
      <c r="F524" s="19"/>
      <c r="G524" s="20">
        <v>43355</v>
      </c>
      <c r="H524" s="20">
        <v>43356</v>
      </c>
      <c r="L524" s="6">
        <v>9234500481</v>
      </c>
      <c r="M524" s="6" t="s">
        <v>1835</v>
      </c>
      <c r="N524" s="16" t="s">
        <v>1527</v>
      </c>
      <c r="O524" s="7"/>
      <c r="P524" s="17"/>
    </row>
    <row r="525" spans="1:16" ht="14.25" customHeight="1">
      <c r="A525" s="5" t="s">
        <v>0</v>
      </c>
      <c r="B525" s="5" t="str">
        <f t="shared" si="3"/>
        <v>Y</v>
      </c>
      <c r="C525" s="18" t="s">
        <v>1836</v>
      </c>
      <c r="D525" s="18"/>
      <c r="E525" s="6" t="s">
        <v>1837</v>
      </c>
      <c r="F525" s="19"/>
      <c r="G525" s="20">
        <v>43373</v>
      </c>
      <c r="H525" s="20">
        <v>43261</v>
      </c>
      <c r="L525" s="6">
        <v>9470562533</v>
      </c>
      <c r="M525" s="6" t="s">
        <v>1832</v>
      </c>
      <c r="N525" s="16" t="s">
        <v>1527</v>
      </c>
      <c r="O525" s="7"/>
      <c r="P525" s="17"/>
    </row>
    <row r="526" spans="1:16" ht="14.25" customHeight="1">
      <c r="A526" s="5" t="s">
        <v>0</v>
      </c>
      <c r="B526" s="5" t="str">
        <f t="shared" si="3"/>
        <v>Y</v>
      </c>
      <c r="C526" s="6" t="s">
        <v>1838</v>
      </c>
      <c r="D526" s="6"/>
      <c r="E526" s="6" t="s">
        <v>1839</v>
      </c>
      <c r="F526" s="19"/>
      <c r="G526" s="20">
        <v>43373</v>
      </c>
      <c r="H526" s="20">
        <v>43261</v>
      </c>
      <c r="L526" s="6">
        <v>7033435892</v>
      </c>
      <c r="N526" s="16" t="s">
        <v>1527</v>
      </c>
      <c r="O526" s="7"/>
      <c r="P526" s="17"/>
    </row>
    <row r="527" spans="1:16" ht="14.25" customHeight="1">
      <c r="A527" s="5" t="s">
        <v>1840</v>
      </c>
      <c r="B527" s="5" t="str">
        <f t="shared" si="3"/>
        <v>Y</v>
      </c>
      <c r="C527" s="18" t="s">
        <v>1841</v>
      </c>
      <c r="D527" s="18"/>
      <c r="E527" s="6" t="s">
        <v>1842</v>
      </c>
      <c r="F527" s="19"/>
      <c r="G527" s="20">
        <v>43357</v>
      </c>
      <c r="H527" s="20">
        <v>43360</v>
      </c>
      <c r="L527" s="6">
        <v>9507517193</v>
      </c>
      <c r="N527" s="16" t="s">
        <v>1527</v>
      </c>
      <c r="O527" s="7"/>
      <c r="P527" s="17"/>
    </row>
    <row r="528" spans="1:16" ht="14.25" customHeight="1">
      <c r="A528" s="5" t="s">
        <v>1840</v>
      </c>
      <c r="B528" s="5" t="str">
        <f t="shared" si="3"/>
        <v>Y</v>
      </c>
      <c r="C528" s="18" t="s">
        <v>1843</v>
      </c>
      <c r="D528" s="18"/>
      <c r="E528" s="6" t="s">
        <v>1844</v>
      </c>
      <c r="F528" s="19"/>
      <c r="G528" s="20">
        <v>43357</v>
      </c>
      <c r="H528" s="20">
        <v>43359</v>
      </c>
      <c r="L528" s="6">
        <v>9546833785</v>
      </c>
      <c r="M528" s="6" t="s">
        <v>1845</v>
      </c>
      <c r="N528" s="16" t="s">
        <v>1527</v>
      </c>
      <c r="O528" s="7"/>
      <c r="P528" s="17"/>
    </row>
    <row r="529" spans="1:16" ht="14.25" customHeight="1">
      <c r="A529" s="5" t="s">
        <v>0</v>
      </c>
      <c r="B529" s="5" t="str">
        <f t="shared" si="3"/>
        <v>Y</v>
      </c>
      <c r="C529" s="18" t="s">
        <v>1846</v>
      </c>
      <c r="D529" s="18"/>
      <c r="E529" s="6" t="s">
        <v>1847</v>
      </c>
      <c r="F529" s="19"/>
      <c r="G529" s="20">
        <v>43357</v>
      </c>
      <c r="H529" s="20">
        <v>43358</v>
      </c>
      <c r="L529" s="6">
        <v>9122767709</v>
      </c>
      <c r="M529" s="6" t="s">
        <v>1848</v>
      </c>
      <c r="N529" s="16"/>
      <c r="O529" s="7"/>
      <c r="P529" s="17"/>
    </row>
    <row r="530" spans="1:16" ht="14.25" customHeight="1">
      <c r="A530" s="5" t="s">
        <v>0</v>
      </c>
      <c r="B530" s="5" t="str">
        <f t="shared" si="3"/>
        <v>Y</v>
      </c>
      <c r="C530" s="62" t="s">
        <v>1849</v>
      </c>
      <c r="D530" s="62"/>
      <c r="E530" s="6" t="s">
        <v>1850</v>
      </c>
      <c r="F530" s="19"/>
      <c r="G530" s="20">
        <v>43357</v>
      </c>
      <c r="H530" s="20">
        <v>43358</v>
      </c>
      <c r="L530" s="6">
        <v>8825395036</v>
      </c>
      <c r="M530" s="6" t="s">
        <v>1851</v>
      </c>
      <c r="N530" s="16"/>
      <c r="O530" s="7"/>
      <c r="P530" s="17"/>
    </row>
    <row r="531" spans="1:16" ht="14.25" customHeight="1">
      <c r="A531" s="5" t="s">
        <v>0</v>
      </c>
      <c r="B531" s="5" t="str">
        <f t="shared" si="3"/>
        <v>Y</v>
      </c>
      <c r="C531" s="62" t="s">
        <v>1852</v>
      </c>
      <c r="D531" s="62"/>
      <c r="E531" s="6" t="s">
        <v>1853</v>
      </c>
      <c r="F531" s="19"/>
      <c r="G531" s="20">
        <v>43357</v>
      </c>
      <c r="H531" s="20">
        <v>43358</v>
      </c>
      <c r="L531" s="6">
        <v>8674801147</v>
      </c>
      <c r="M531" s="6" t="s">
        <v>1851</v>
      </c>
      <c r="N531" s="16"/>
      <c r="O531" s="7"/>
      <c r="P531" s="17"/>
    </row>
    <row r="532" spans="1:16" ht="14.25" customHeight="1">
      <c r="A532" s="5" t="s">
        <v>0</v>
      </c>
      <c r="B532" s="5" t="str">
        <f t="shared" si="3"/>
        <v>Y</v>
      </c>
      <c r="C532" s="62" t="s">
        <v>1854</v>
      </c>
      <c r="D532" s="62"/>
      <c r="E532" s="47" t="s">
        <v>1855</v>
      </c>
      <c r="F532" s="63"/>
      <c r="G532" s="64">
        <v>43357</v>
      </c>
      <c r="H532" s="64">
        <v>43359</v>
      </c>
      <c r="I532" s="47"/>
      <c r="J532" s="47"/>
      <c r="K532" s="47"/>
      <c r="L532" s="47">
        <v>9209084005</v>
      </c>
      <c r="M532" s="6" t="s">
        <v>1856</v>
      </c>
      <c r="N532" s="16"/>
      <c r="O532" s="7"/>
      <c r="P532" s="17"/>
    </row>
    <row r="533" spans="1:16" ht="14.25" customHeight="1">
      <c r="A533" s="5" t="s">
        <v>0</v>
      </c>
      <c r="B533" s="5" t="str">
        <f t="shared" si="3"/>
        <v>Y</v>
      </c>
      <c r="C533" s="6" t="s">
        <v>1857</v>
      </c>
      <c r="D533" s="6"/>
      <c r="E533" s="18" t="s">
        <v>1858</v>
      </c>
      <c r="F533" s="19"/>
      <c r="G533" s="20">
        <v>43360</v>
      </c>
      <c r="H533" s="20">
        <v>43360</v>
      </c>
      <c r="L533" s="6">
        <v>9279538618</v>
      </c>
      <c r="N533" s="16"/>
      <c r="O533" s="7"/>
      <c r="P533" s="17"/>
    </row>
    <row r="534" spans="1:16" ht="14.25" customHeight="1">
      <c r="A534" s="5" t="s">
        <v>0</v>
      </c>
      <c r="B534" s="5" t="str">
        <f t="shared" si="3"/>
        <v>Y</v>
      </c>
      <c r="C534" s="68" t="s">
        <v>1859</v>
      </c>
      <c r="D534" s="800"/>
      <c r="E534" s="6" t="s">
        <v>1860</v>
      </c>
      <c r="F534" s="19"/>
      <c r="G534" s="20">
        <v>43365</v>
      </c>
      <c r="H534" s="20">
        <v>43365</v>
      </c>
      <c r="L534" s="6">
        <v>9546031778</v>
      </c>
      <c r="N534" s="16"/>
      <c r="O534" s="7"/>
      <c r="P534" s="17"/>
    </row>
    <row r="535" spans="1:16" ht="14.25" customHeight="1">
      <c r="A535" s="5" t="s">
        <v>1840</v>
      </c>
      <c r="B535" s="5" t="str">
        <f t="shared" si="3"/>
        <v>Y</v>
      </c>
      <c r="C535" s="18" t="s">
        <v>1861</v>
      </c>
      <c r="D535" s="18"/>
      <c r="E535" s="6" t="s">
        <v>1862</v>
      </c>
      <c r="F535" s="19"/>
      <c r="G535" s="20">
        <v>43365</v>
      </c>
      <c r="H535" s="20">
        <v>43366</v>
      </c>
      <c r="L535" s="6">
        <v>8092241701</v>
      </c>
      <c r="M535" s="6" t="s">
        <v>1551</v>
      </c>
      <c r="N535" s="16" t="s">
        <v>1527</v>
      </c>
      <c r="O535" s="7"/>
      <c r="P535" s="17"/>
    </row>
    <row r="536" spans="1:16" ht="14.25" customHeight="1">
      <c r="A536" s="5" t="s">
        <v>1840</v>
      </c>
      <c r="B536" s="5" t="str">
        <f t="shared" si="3"/>
        <v>Y</v>
      </c>
      <c r="C536" s="18" t="s">
        <v>1863</v>
      </c>
      <c r="D536" s="18"/>
      <c r="E536" s="6" t="s">
        <v>1864</v>
      </c>
      <c r="F536" s="19"/>
      <c r="G536" s="20">
        <v>43365</v>
      </c>
      <c r="H536" s="20">
        <v>43366</v>
      </c>
      <c r="L536" s="6">
        <v>7488598970</v>
      </c>
      <c r="N536" s="16" t="s">
        <v>1527</v>
      </c>
      <c r="O536" s="7"/>
      <c r="P536" s="17"/>
    </row>
    <row r="537" spans="1:16" ht="14.25" customHeight="1">
      <c r="A537" s="5" t="s">
        <v>0</v>
      </c>
      <c r="B537" s="5" t="str">
        <f t="shared" si="3"/>
        <v>Y</v>
      </c>
      <c r="C537" s="18" t="s">
        <v>1865</v>
      </c>
      <c r="D537" s="18"/>
      <c r="E537" s="6" t="s">
        <v>1866</v>
      </c>
      <c r="F537" s="19"/>
      <c r="G537" s="20">
        <v>43728</v>
      </c>
      <c r="H537" s="20">
        <v>43366</v>
      </c>
      <c r="L537" s="6">
        <v>7209588179</v>
      </c>
      <c r="N537" s="16"/>
      <c r="O537" s="7"/>
      <c r="P537" s="17"/>
    </row>
    <row r="538" spans="1:16" ht="14.25" customHeight="1">
      <c r="A538" s="5" t="s">
        <v>0</v>
      </c>
      <c r="B538" s="5" t="str">
        <f t="shared" si="3"/>
        <v>Y</v>
      </c>
      <c r="C538" s="18" t="s">
        <v>1867</v>
      </c>
      <c r="D538" s="18"/>
      <c r="E538" s="6" t="s">
        <v>1868</v>
      </c>
      <c r="F538" s="19"/>
      <c r="G538" s="20">
        <v>43728</v>
      </c>
      <c r="H538" s="20">
        <v>43366</v>
      </c>
      <c r="L538" s="6">
        <v>7209588179</v>
      </c>
      <c r="N538" s="16"/>
      <c r="O538" s="7"/>
      <c r="P538" s="17"/>
    </row>
    <row r="539" spans="1:16" ht="14.25" customHeight="1">
      <c r="A539" s="5" t="s">
        <v>0</v>
      </c>
      <c r="B539" s="5" t="str">
        <f t="shared" si="3"/>
        <v>Y</v>
      </c>
      <c r="C539" s="18" t="s">
        <v>1869</v>
      </c>
      <c r="D539" s="18"/>
      <c r="E539" s="6" t="s">
        <v>1870</v>
      </c>
      <c r="F539" s="19"/>
      <c r="G539" s="20">
        <v>43730</v>
      </c>
      <c r="H539" s="20">
        <v>43366</v>
      </c>
      <c r="L539" s="6">
        <v>9523678078</v>
      </c>
      <c r="N539" s="16"/>
      <c r="O539" s="7"/>
      <c r="P539" s="17"/>
    </row>
    <row r="540" spans="1:16" ht="14.25" customHeight="1">
      <c r="A540" s="5" t="s">
        <v>0</v>
      </c>
      <c r="B540" s="5" t="str">
        <f t="shared" si="3"/>
        <v>Y</v>
      </c>
      <c r="C540" s="18" t="s">
        <v>1871</v>
      </c>
      <c r="D540" s="18"/>
      <c r="E540" s="6" t="s">
        <v>1872</v>
      </c>
      <c r="F540" s="19"/>
      <c r="G540" s="20">
        <v>43730</v>
      </c>
      <c r="H540" s="20">
        <v>43366</v>
      </c>
      <c r="L540" s="6">
        <v>6204177958</v>
      </c>
      <c r="N540" s="16"/>
      <c r="O540" s="7"/>
      <c r="P540" s="17"/>
    </row>
    <row r="541" spans="1:16" ht="14.25" customHeight="1">
      <c r="A541" s="5" t="s">
        <v>0</v>
      </c>
      <c r="B541" s="5" t="str">
        <f t="shared" si="3"/>
        <v>Y</v>
      </c>
      <c r="C541" s="18" t="s">
        <v>1873</v>
      </c>
      <c r="D541" s="18"/>
      <c r="E541" s="6" t="s">
        <v>1874</v>
      </c>
      <c r="F541" s="19"/>
      <c r="G541" s="20">
        <v>43730</v>
      </c>
      <c r="H541" s="20">
        <v>43366</v>
      </c>
      <c r="L541" s="6">
        <v>9546031778</v>
      </c>
      <c r="M541" s="30" t="s">
        <v>1875</v>
      </c>
      <c r="N541" s="17">
        <v>43353</v>
      </c>
      <c r="O541" s="7"/>
      <c r="P541" s="17"/>
    </row>
    <row r="542" spans="1:16" ht="14.25" customHeight="1">
      <c r="A542" s="5" t="s">
        <v>0</v>
      </c>
      <c r="B542" s="5" t="str">
        <f t="shared" si="3"/>
        <v>Y</v>
      </c>
      <c r="C542" s="18" t="s">
        <v>1876</v>
      </c>
      <c r="D542" s="18"/>
      <c r="E542" s="6" t="s">
        <v>1877</v>
      </c>
      <c r="F542" s="19"/>
      <c r="G542" s="20">
        <v>43730</v>
      </c>
      <c r="H542" s="20">
        <v>43395</v>
      </c>
      <c r="L542" s="6">
        <v>7979981167</v>
      </c>
      <c r="N542" s="16" t="s">
        <v>1878</v>
      </c>
      <c r="O542" s="7"/>
      <c r="P542" s="17"/>
    </row>
    <row r="543" spans="1:16" ht="14.25" customHeight="1">
      <c r="A543" s="5" t="s">
        <v>0</v>
      </c>
      <c r="B543" s="5" t="str">
        <f t="shared" si="3"/>
        <v>Y</v>
      </c>
      <c r="C543" s="62" t="s">
        <v>1879</v>
      </c>
      <c r="D543" s="62"/>
      <c r="E543" s="6" t="s">
        <v>1880</v>
      </c>
      <c r="F543" s="19"/>
      <c r="G543" s="20">
        <v>43366</v>
      </c>
      <c r="H543" s="20">
        <v>43370</v>
      </c>
      <c r="L543" s="6">
        <v>9204365819</v>
      </c>
      <c r="N543" s="16" t="s">
        <v>1878</v>
      </c>
      <c r="O543" s="7"/>
      <c r="P543" s="17"/>
    </row>
    <row r="544" spans="1:16" ht="14.25" customHeight="1">
      <c r="A544" s="5" t="s">
        <v>0</v>
      </c>
      <c r="B544" s="5" t="str">
        <f t="shared" si="3"/>
        <v>Y</v>
      </c>
      <c r="C544" s="18" t="s">
        <v>1881</v>
      </c>
      <c r="D544" s="18"/>
      <c r="E544" s="6" t="s">
        <v>1882</v>
      </c>
      <c r="F544" s="19"/>
      <c r="G544" s="20">
        <v>43366</v>
      </c>
      <c r="H544" s="20">
        <v>43370</v>
      </c>
      <c r="L544" s="6">
        <v>7870240016</v>
      </c>
      <c r="N544" s="16" t="s">
        <v>1524</v>
      </c>
      <c r="O544" s="7"/>
      <c r="P544" s="17"/>
    </row>
    <row r="545" spans="1:19" ht="14.25" customHeight="1">
      <c r="A545" s="5" t="s">
        <v>0</v>
      </c>
      <c r="B545" s="5" t="str">
        <f t="shared" si="3"/>
        <v>Y</v>
      </c>
      <c r="C545" s="18" t="s">
        <v>1883</v>
      </c>
      <c r="D545" s="18"/>
      <c r="E545" s="6" t="s">
        <v>1884</v>
      </c>
      <c r="F545" s="19"/>
      <c r="G545" s="20">
        <v>43366</v>
      </c>
      <c r="H545" s="20">
        <v>43370</v>
      </c>
      <c r="L545" s="6">
        <v>7970496253</v>
      </c>
      <c r="N545" s="16" t="s">
        <v>1524</v>
      </c>
      <c r="O545" s="7"/>
      <c r="P545" s="17"/>
    </row>
    <row r="546" spans="1:19" ht="14.25" customHeight="1">
      <c r="A546" s="5" t="s">
        <v>0</v>
      </c>
      <c r="B546" s="5" t="str">
        <f t="shared" si="3"/>
        <v>N</v>
      </c>
      <c r="C546" s="18" t="s">
        <v>1885</v>
      </c>
      <c r="D546" s="18"/>
      <c r="E546" s="6" t="s">
        <v>1886</v>
      </c>
      <c r="F546" s="19"/>
      <c r="G546" s="20"/>
      <c r="H546" s="20"/>
      <c r="L546" s="6">
        <v>9771441846</v>
      </c>
      <c r="N546" s="16"/>
      <c r="O546" s="7"/>
      <c r="P546" s="17"/>
    </row>
    <row r="547" spans="1:19" ht="14.25" customHeight="1">
      <c r="A547" s="5" t="s">
        <v>0</v>
      </c>
      <c r="B547" s="5" t="str">
        <f t="shared" si="3"/>
        <v>Y</v>
      </c>
      <c r="C547" s="18" t="s">
        <v>1887</v>
      </c>
      <c r="D547" s="18"/>
      <c r="E547" s="6" t="s">
        <v>1888</v>
      </c>
      <c r="F547" s="19"/>
      <c r="G547" s="20">
        <v>43374</v>
      </c>
      <c r="H547" s="20">
        <v>43375</v>
      </c>
      <c r="L547" s="6">
        <v>9199244825</v>
      </c>
      <c r="M547" s="30" t="s">
        <v>1889</v>
      </c>
      <c r="N547" s="16" t="s">
        <v>1890</v>
      </c>
      <c r="O547" s="7"/>
      <c r="P547" s="17"/>
    </row>
    <row r="548" spans="1:19" ht="14.25" customHeight="1">
      <c r="A548" s="5" t="s">
        <v>0</v>
      </c>
      <c r="B548" s="5" t="str">
        <f t="shared" si="3"/>
        <v>Y</v>
      </c>
      <c r="C548" s="18" t="s">
        <v>1891</v>
      </c>
      <c r="D548" s="18"/>
      <c r="E548" s="6" t="s">
        <v>1892</v>
      </c>
      <c r="F548" s="19"/>
      <c r="G548" s="20">
        <v>43374</v>
      </c>
      <c r="H548" s="20">
        <v>43375</v>
      </c>
      <c r="L548" s="6">
        <v>6207233812</v>
      </c>
      <c r="M548" s="30" t="s">
        <v>1893</v>
      </c>
      <c r="N548" s="16" t="s">
        <v>1890</v>
      </c>
      <c r="O548" s="7"/>
      <c r="P548" s="17"/>
    </row>
    <row r="549" spans="1:19" ht="14.25" customHeight="1">
      <c r="A549" s="5" t="s">
        <v>0</v>
      </c>
      <c r="B549" s="5" t="str">
        <f t="shared" si="3"/>
        <v>Y</v>
      </c>
      <c r="C549" s="18" t="s">
        <v>1894</v>
      </c>
      <c r="D549" s="18"/>
      <c r="E549" s="6" t="s">
        <v>1895</v>
      </c>
      <c r="F549" s="19"/>
      <c r="G549" s="20">
        <v>43374</v>
      </c>
      <c r="H549" s="20">
        <v>43375</v>
      </c>
      <c r="L549" s="6">
        <v>9031783607</v>
      </c>
      <c r="M549" s="30" t="s">
        <v>1896</v>
      </c>
      <c r="N549" s="16"/>
      <c r="O549" s="7"/>
      <c r="P549" s="17"/>
    </row>
    <row r="550" spans="1:19" ht="14.25" customHeight="1">
      <c r="A550" s="5" t="s">
        <v>0</v>
      </c>
      <c r="B550" s="5" t="str">
        <f t="shared" si="3"/>
        <v>Y</v>
      </c>
      <c r="C550" s="18" t="s">
        <v>1897</v>
      </c>
      <c r="D550" s="18"/>
      <c r="E550" s="6" t="s">
        <v>1898</v>
      </c>
      <c r="F550" s="19"/>
      <c r="G550" s="20">
        <v>43377</v>
      </c>
      <c r="H550" s="20">
        <v>43261</v>
      </c>
      <c r="L550" s="6">
        <v>9609860922</v>
      </c>
      <c r="M550" s="24" t="s">
        <v>1899</v>
      </c>
      <c r="N550" s="16" t="s">
        <v>1890</v>
      </c>
      <c r="O550" s="7"/>
      <c r="P550" s="17"/>
    </row>
    <row r="551" spans="1:19" ht="14.25" customHeight="1">
      <c r="A551" s="5" t="s">
        <v>0</v>
      </c>
      <c r="B551" s="5" t="str">
        <f t="shared" si="3"/>
        <v>Y</v>
      </c>
      <c r="C551" s="6" t="s">
        <v>1900</v>
      </c>
      <c r="D551" s="6"/>
      <c r="E551" s="6" t="s">
        <v>576</v>
      </c>
      <c r="F551" s="19"/>
      <c r="G551" s="20">
        <v>43375</v>
      </c>
      <c r="H551" s="20">
        <v>43400</v>
      </c>
      <c r="L551" s="19" t="s">
        <v>1901</v>
      </c>
      <c r="N551" s="16"/>
      <c r="O551" s="7"/>
      <c r="P551" s="17"/>
    </row>
    <row r="552" spans="1:19" ht="14.25" customHeight="1">
      <c r="A552" s="5">
        <v>100</v>
      </c>
      <c r="B552" s="5" t="str">
        <f t="shared" si="3"/>
        <v>Y</v>
      </c>
      <c r="C552" s="18" t="s">
        <v>1902</v>
      </c>
      <c r="D552" s="18"/>
      <c r="E552" s="6" t="s">
        <v>1903</v>
      </c>
      <c r="F552" s="19"/>
      <c r="G552" s="20">
        <v>43375</v>
      </c>
      <c r="H552" s="20">
        <v>43378</v>
      </c>
      <c r="M552" s="24" t="s">
        <v>1904</v>
      </c>
      <c r="N552" s="16" t="s">
        <v>1905</v>
      </c>
      <c r="O552" s="7"/>
      <c r="P552" s="17"/>
    </row>
    <row r="553" spans="1:19" ht="14.25" customHeight="1">
      <c r="A553" s="5" t="s">
        <v>1840</v>
      </c>
      <c r="B553" s="5" t="str">
        <f t="shared" si="3"/>
        <v>Y</v>
      </c>
      <c r="C553" s="18" t="s">
        <v>1906</v>
      </c>
      <c r="D553" s="18"/>
      <c r="E553" s="6" t="s">
        <v>1907</v>
      </c>
      <c r="F553" s="19"/>
      <c r="G553" s="20">
        <v>43380</v>
      </c>
      <c r="H553" s="20">
        <v>43382</v>
      </c>
      <c r="L553" s="6">
        <v>9939221082</v>
      </c>
      <c r="M553" s="83" t="s">
        <v>1908</v>
      </c>
      <c r="N553" s="16" t="s">
        <v>1905</v>
      </c>
      <c r="O553" s="7"/>
      <c r="P553" s="17"/>
    </row>
    <row r="554" spans="1:19" ht="14.25" customHeight="1">
      <c r="A554" s="5" t="s">
        <v>0</v>
      </c>
      <c r="B554" s="5" t="str">
        <f t="shared" si="3"/>
        <v>Y</v>
      </c>
      <c r="C554" s="18" t="s">
        <v>1909</v>
      </c>
      <c r="D554" s="18"/>
      <c r="E554" s="6" t="s">
        <v>1910</v>
      </c>
      <c r="F554" s="19"/>
      <c r="G554" s="20">
        <v>43384</v>
      </c>
      <c r="H554" s="20">
        <v>43385</v>
      </c>
      <c r="L554" s="6">
        <v>7545802269</v>
      </c>
      <c r="N554" s="16"/>
      <c r="O554" s="7"/>
      <c r="P554" s="17"/>
    </row>
    <row r="555" spans="1:19" ht="14.25" customHeight="1">
      <c r="A555" s="5" t="s">
        <v>0</v>
      </c>
      <c r="B555" s="5" t="str">
        <f t="shared" si="3"/>
        <v>Y</v>
      </c>
      <c r="C555" s="18" t="s">
        <v>1911</v>
      </c>
      <c r="D555" s="18"/>
      <c r="E555" s="6" t="s">
        <v>1912</v>
      </c>
      <c r="F555" s="19"/>
      <c r="G555" s="20">
        <v>43391</v>
      </c>
      <c r="H555" s="20">
        <v>43391</v>
      </c>
      <c r="L555" s="6">
        <v>9263137130</v>
      </c>
      <c r="N555" s="16"/>
      <c r="O555" s="7"/>
      <c r="P555" s="17"/>
    </row>
    <row r="556" spans="1:19" ht="14.25" customHeight="1">
      <c r="A556" s="5" t="s">
        <v>0</v>
      </c>
      <c r="B556" s="5" t="str">
        <f t="shared" si="3"/>
        <v>Y</v>
      </c>
      <c r="C556" s="18" t="s">
        <v>1913</v>
      </c>
      <c r="D556" s="18"/>
      <c r="E556" s="6" t="s">
        <v>1914</v>
      </c>
      <c r="F556" s="19"/>
      <c r="G556" s="20">
        <v>43391</v>
      </c>
      <c r="H556" s="20">
        <v>43391</v>
      </c>
      <c r="L556" s="6">
        <v>9102699131</v>
      </c>
      <c r="N556" s="16"/>
      <c r="O556" s="7"/>
      <c r="P556" s="17"/>
    </row>
    <row r="557" spans="1:19" ht="14.25" customHeight="1">
      <c r="A557" s="5" t="s">
        <v>0</v>
      </c>
      <c r="B557" s="5" t="str">
        <f t="shared" si="3"/>
        <v>Y</v>
      </c>
      <c r="C557" s="18" t="s">
        <v>1915</v>
      </c>
      <c r="D557" s="18"/>
      <c r="E557" s="6" t="s">
        <v>1916</v>
      </c>
      <c r="F557" s="19"/>
      <c r="G557" s="20">
        <v>43389</v>
      </c>
      <c r="H557" s="20">
        <v>43395</v>
      </c>
      <c r="L557" s="6">
        <v>9534101090</v>
      </c>
      <c r="N557" s="16"/>
      <c r="O557" s="7"/>
      <c r="P557" s="17"/>
    </row>
    <row r="558" spans="1:19" ht="14.25" customHeight="1">
      <c r="A558" s="5" t="s">
        <v>0</v>
      </c>
      <c r="B558" s="5" t="str">
        <f t="shared" si="3"/>
        <v>Y</v>
      </c>
      <c r="C558" s="18" t="s">
        <v>1917</v>
      </c>
      <c r="D558" s="18"/>
      <c r="E558" s="6" t="s">
        <v>1918</v>
      </c>
      <c r="F558" s="19"/>
      <c r="G558" s="20">
        <v>43389</v>
      </c>
      <c r="H558" s="20">
        <v>43393</v>
      </c>
      <c r="L558" s="6">
        <v>9835930102</v>
      </c>
      <c r="N558" s="16"/>
      <c r="O558" s="7"/>
      <c r="P558" s="17"/>
    </row>
    <row r="559" spans="1:19" ht="14.25" customHeight="1">
      <c r="A559" s="84" t="s">
        <v>0</v>
      </c>
      <c r="B559" s="84" t="str">
        <f t="shared" si="3"/>
        <v>Y</v>
      </c>
      <c r="C559" s="85" t="s">
        <v>1919</v>
      </c>
      <c r="D559" s="85"/>
      <c r="E559" s="11" t="s">
        <v>1920</v>
      </c>
      <c r="F559" s="86"/>
      <c r="G559" s="87">
        <v>43391</v>
      </c>
      <c r="H559" s="87">
        <v>43392</v>
      </c>
      <c r="I559" s="11"/>
      <c r="J559" s="11"/>
      <c r="K559" s="11"/>
      <c r="L559" s="11">
        <v>8757314943</v>
      </c>
      <c r="M559" s="11"/>
      <c r="N559" s="88"/>
      <c r="O559" s="89"/>
      <c r="P559" s="90"/>
      <c r="Q559" s="11"/>
      <c r="R559" s="11"/>
      <c r="S559" s="11"/>
    </row>
    <row r="560" spans="1:19" ht="14.25" customHeight="1">
      <c r="A560" s="5" t="s">
        <v>0</v>
      </c>
      <c r="B560" s="5" t="str">
        <f t="shared" si="3"/>
        <v>Y</v>
      </c>
      <c r="C560" s="18" t="s">
        <v>1921</v>
      </c>
      <c r="D560" s="18"/>
      <c r="E560" s="6" t="s">
        <v>1922</v>
      </c>
      <c r="F560" s="19"/>
      <c r="G560" s="20">
        <v>43393</v>
      </c>
      <c r="H560" s="20">
        <v>43393</v>
      </c>
      <c r="L560" s="6">
        <v>8789921851</v>
      </c>
      <c r="N560" s="16"/>
      <c r="O560" s="7"/>
      <c r="P560" s="17"/>
    </row>
    <row r="561" spans="1:19" ht="14.25" customHeight="1">
      <c r="A561" s="5" t="s">
        <v>0</v>
      </c>
      <c r="B561" s="5" t="str">
        <f t="shared" si="3"/>
        <v>Y</v>
      </c>
      <c r="C561" s="18" t="s">
        <v>1923</v>
      </c>
      <c r="D561" s="18"/>
      <c r="E561" s="6" t="s">
        <v>1924</v>
      </c>
      <c r="F561" s="19"/>
      <c r="G561" s="20">
        <v>43394</v>
      </c>
      <c r="H561" s="20">
        <v>43394</v>
      </c>
      <c r="L561" s="6">
        <v>9470552704</v>
      </c>
      <c r="N561" s="16"/>
      <c r="O561" s="7"/>
      <c r="P561" s="17"/>
    </row>
    <row r="562" spans="1:19" ht="14.25" customHeight="1">
      <c r="A562" s="5" t="s">
        <v>0</v>
      </c>
      <c r="B562" s="5" t="str">
        <f t="shared" si="3"/>
        <v>Y</v>
      </c>
      <c r="C562" s="18" t="s">
        <v>1925</v>
      </c>
      <c r="D562" s="18"/>
      <c r="E562" s="6" t="s">
        <v>1926</v>
      </c>
      <c r="F562" s="19"/>
      <c r="G562" s="20">
        <v>43394</v>
      </c>
      <c r="H562" s="20">
        <v>43394</v>
      </c>
      <c r="L562" s="6">
        <v>7488540551</v>
      </c>
      <c r="N562" s="16"/>
      <c r="O562" s="7"/>
      <c r="P562" s="17"/>
    </row>
    <row r="563" spans="1:19" ht="14.25" customHeight="1">
      <c r="A563" s="5" t="s">
        <v>0</v>
      </c>
      <c r="B563" s="5" t="str">
        <f t="shared" si="3"/>
        <v>Y</v>
      </c>
      <c r="C563" s="18" t="s">
        <v>1927</v>
      </c>
      <c r="D563" s="18"/>
      <c r="E563" s="6" t="s">
        <v>1928</v>
      </c>
      <c r="F563" s="19"/>
      <c r="G563" s="20">
        <v>43395</v>
      </c>
      <c r="H563" s="20">
        <v>43395</v>
      </c>
      <c r="L563" s="6">
        <v>9572873514</v>
      </c>
      <c r="N563" s="16"/>
      <c r="O563" s="7"/>
      <c r="P563" s="17"/>
    </row>
    <row r="564" spans="1:19" ht="14.25" customHeight="1">
      <c r="A564" s="5" t="s">
        <v>0</v>
      </c>
      <c r="B564" s="5" t="str">
        <f t="shared" si="3"/>
        <v>Y</v>
      </c>
      <c r="C564" s="18" t="s">
        <v>1929</v>
      </c>
      <c r="D564" s="18"/>
      <c r="E564" s="6" t="s">
        <v>1930</v>
      </c>
      <c r="F564" s="19"/>
      <c r="G564" s="20">
        <v>43395</v>
      </c>
      <c r="H564" s="20">
        <v>43395</v>
      </c>
      <c r="L564" s="6">
        <v>9534189391</v>
      </c>
      <c r="M564" s="24" t="s">
        <v>1931</v>
      </c>
      <c r="N564" s="16"/>
      <c r="O564" s="7"/>
      <c r="P564" s="17"/>
    </row>
    <row r="565" spans="1:19" ht="14.25" customHeight="1">
      <c r="A565" s="5" t="s">
        <v>0</v>
      </c>
      <c r="B565" s="5" t="str">
        <f t="shared" si="3"/>
        <v>Y</v>
      </c>
      <c r="C565" s="6" t="s">
        <v>1932</v>
      </c>
      <c r="D565" s="6"/>
      <c r="E565" s="6" t="s">
        <v>1933</v>
      </c>
      <c r="F565" s="19"/>
      <c r="G565" s="20">
        <v>43396</v>
      </c>
      <c r="H565" s="20">
        <v>43396</v>
      </c>
      <c r="L565" s="6">
        <v>7909081697</v>
      </c>
      <c r="N565" s="16"/>
      <c r="O565" s="7"/>
      <c r="P565" s="17"/>
    </row>
    <row r="566" spans="1:19" ht="14.25" customHeight="1">
      <c r="A566" s="84" t="s">
        <v>0</v>
      </c>
      <c r="B566" s="84" t="str">
        <f t="shared" si="3"/>
        <v>Y</v>
      </c>
      <c r="C566" s="85" t="s">
        <v>1934</v>
      </c>
      <c r="D566" s="85"/>
      <c r="E566" s="11" t="s">
        <v>1935</v>
      </c>
      <c r="F566" s="86"/>
      <c r="G566" s="87">
        <v>43399</v>
      </c>
      <c r="H566" s="87">
        <v>43399</v>
      </c>
      <c r="I566" s="11"/>
      <c r="J566" s="11"/>
      <c r="K566" s="11"/>
      <c r="L566" s="11">
        <v>7903667196</v>
      </c>
      <c r="M566" s="91" t="s">
        <v>1936</v>
      </c>
      <c r="N566" s="88"/>
      <c r="O566" s="89"/>
      <c r="P566" s="90"/>
      <c r="Q566" s="11"/>
      <c r="R566" s="11"/>
      <c r="S566" s="11"/>
    </row>
    <row r="567" spans="1:19" ht="14.25" customHeight="1">
      <c r="A567" s="5" t="s">
        <v>0</v>
      </c>
      <c r="B567" s="5" t="str">
        <f t="shared" si="3"/>
        <v>Y</v>
      </c>
      <c r="C567" s="18" t="s">
        <v>1937</v>
      </c>
      <c r="D567" s="18"/>
      <c r="E567" s="6" t="s">
        <v>1938</v>
      </c>
      <c r="F567" s="19"/>
      <c r="G567" s="20">
        <v>43402</v>
      </c>
      <c r="H567" s="20">
        <v>43403</v>
      </c>
      <c r="L567" s="6">
        <v>7488275033</v>
      </c>
      <c r="N567" s="16"/>
      <c r="O567" s="7"/>
      <c r="P567" s="17"/>
    </row>
    <row r="568" spans="1:19" ht="14.25" customHeight="1">
      <c r="A568" s="84" t="s">
        <v>0</v>
      </c>
      <c r="B568" s="84" t="str">
        <f t="shared" si="3"/>
        <v>Y</v>
      </c>
      <c r="C568" s="85" t="s">
        <v>1939</v>
      </c>
      <c r="D568" s="85"/>
      <c r="E568" s="11" t="s">
        <v>1940</v>
      </c>
      <c r="F568" s="86"/>
      <c r="G568" s="87">
        <v>43403</v>
      </c>
      <c r="H568" s="87">
        <v>43403</v>
      </c>
      <c r="I568" s="11"/>
      <c r="J568" s="11"/>
      <c r="K568" s="11"/>
      <c r="L568" s="11">
        <v>9955660083</v>
      </c>
      <c r="M568" s="11"/>
      <c r="N568" s="88"/>
      <c r="O568" s="89"/>
      <c r="P568" s="90"/>
      <c r="Q568" s="11"/>
      <c r="R568" s="11"/>
      <c r="S568" s="11"/>
    </row>
    <row r="569" spans="1:19" ht="14.25" customHeight="1">
      <c r="A569" s="84" t="s">
        <v>0</v>
      </c>
      <c r="B569" s="84" t="str">
        <f t="shared" si="3"/>
        <v>Y</v>
      </c>
      <c r="C569" s="85" t="s">
        <v>1941</v>
      </c>
      <c r="D569" s="85"/>
      <c r="E569" s="11" t="s">
        <v>1942</v>
      </c>
      <c r="F569" s="86"/>
      <c r="G569" s="87">
        <v>43405</v>
      </c>
      <c r="H569" s="87">
        <v>43406</v>
      </c>
      <c r="I569" s="11"/>
      <c r="J569" s="11"/>
      <c r="K569" s="11"/>
      <c r="L569" s="11">
        <v>8092270860</v>
      </c>
      <c r="M569" s="11"/>
      <c r="N569" s="88" t="s">
        <v>1434</v>
      </c>
      <c r="O569" s="89"/>
      <c r="P569" s="90"/>
      <c r="Q569" s="11"/>
      <c r="R569" s="11"/>
      <c r="S569" s="11"/>
    </row>
    <row r="570" spans="1:19" ht="14.25" customHeight="1">
      <c r="A570" s="84" t="s">
        <v>0</v>
      </c>
      <c r="B570" s="84" t="str">
        <f t="shared" si="3"/>
        <v>Y</v>
      </c>
      <c r="C570" s="85" t="s">
        <v>1943</v>
      </c>
      <c r="D570" s="85"/>
      <c r="E570" s="11" t="s">
        <v>1944</v>
      </c>
      <c r="F570" s="86"/>
      <c r="G570" s="87">
        <v>43405</v>
      </c>
      <c r="H570" s="87">
        <v>43406</v>
      </c>
      <c r="I570" s="11"/>
      <c r="J570" s="11"/>
      <c r="K570" s="11"/>
      <c r="L570" s="11">
        <v>7</v>
      </c>
      <c r="M570" s="11"/>
      <c r="N570" s="88" t="s">
        <v>1878</v>
      </c>
      <c r="O570" s="89"/>
      <c r="P570" s="90"/>
      <c r="Q570" s="11"/>
      <c r="R570" s="11"/>
      <c r="S570" s="11"/>
    </row>
    <row r="571" spans="1:19" ht="14.25" customHeight="1">
      <c r="A571" s="5" t="s">
        <v>0</v>
      </c>
      <c r="B571" s="5" t="str">
        <f t="shared" si="3"/>
        <v>Y</v>
      </c>
      <c r="C571" s="18" t="s">
        <v>1945</v>
      </c>
      <c r="D571" s="18"/>
      <c r="E571" s="6" t="s">
        <v>1946</v>
      </c>
      <c r="F571" s="19"/>
      <c r="G571" s="20">
        <v>43405</v>
      </c>
      <c r="H571" s="20">
        <v>43406</v>
      </c>
      <c r="L571" s="6">
        <v>9279457207</v>
      </c>
      <c r="N571" s="16" t="s">
        <v>1527</v>
      </c>
      <c r="O571" s="7"/>
      <c r="P571" s="17"/>
    </row>
    <row r="572" spans="1:19" ht="14.25" customHeight="1">
      <c r="A572" s="84" t="s">
        <v>0</v>
      </c>
      <c r="B572" s="84" t="str">
        <f t="shared" si="3"/>
        <v>Y</v>
      </c>
      <c r="C572" s="85" t="s">
        <v>1947</v>
      </c>
      <c r="D572" s="85"/>
      <c r="E572" s="11" t="s">
        <v>1948</v>
      </c>
      <c r="F572" s="86"/>
      <c r="G572" s="87">
        <v>43405</v>
      </c>
      <c r="H572" s="87">
        <v>43406</v>
      </c>
      <c r="I572" s="11"/>
      <c r="J572" s="11"/>
      <c r="K572" s="11"/>
      <c r="L572" s="11">
        <v>7903361766</v>
      </c>
      <c r="M572" s="11"/>
      <c r="N572" s="88" t="s">
        <v>1527</v>
      </c>
      <c r="O572" s="89"/>
      <c r="P572" s="90"/>
      <c r="Q572" s="11"/>
      <c r="R572" s="11"/>
      <c r="S572" s="11"/>
    </row>
    <row r="573" spans="1:19" ht="14.25" customHeight="1">
      <c r="A573" s="5" t="s">
        <v>0</v>
      </c>
      <c r="B573" s="5" t="str">
        <f t="shared" si="3"/>
        <v>Y</v>
      </c>
      <c r="C573" s="18" t="s">
        <v>1949</v>
      </c>
      <c r="D573" s="18"/>
      <c r="E573" s="6" t="s">
        <v>1950</v>
      </c>
      <c r="F573" s="19"/>
      <c r="G573" s="20">
        <v>43405</v>
      </c>
      <c r="H573" s="20">
        <v>43406</v>
      </c>
      <c r="L573" s="6">
        <v>9279250587</v>
      </c>
      <c r="N573" s="16" t="s">
        <v>1878</v>
      </c>
      <c r="O573" s="7"/>
      <c r="P573" s="17"/>
    </row>
    <row r="574" spans="1:19" ht="14.25" customHeight="1">
      <c r="A574" s="5" t="s">
        <v>0</v>
      </c>
      <c r="B574" s="5" t="str">
        <f t="shared" si="3"/>
        <v>Y</v>
      </c>
      <c r="C574" s="18" t="s">
        <v>1951</v>
      </c>
      <c r="D574" s="18"/>
      <c r="E574" s="6" t="s">
        <v>1952</v>
      </c>
      <c r="F574" s="19"/>
      <c r="G574" s="20">
        <v>43406</v>
      </c>
      <c r="H574" s="20">
        <v>43407</v>
      </c>
      <c r="L574" s="6">
        <v>7903652272</v>
      </c>
      <c r="N574" s="16" t="s">
        <v>1527</v>
      </c>
      <c r="O574" s="7"/>
      <c r="P574" s="17"/>
    </row>
    <row r="575" spans="1:19" ht="14.25" customHeight="1">
      <c r="A575" s="5" t="s">
        <v>0</v>
      </c>
      <c r="B575" s="5" t="str">
        <f t="shared" si="3"/>
        <v>Y</v>
      </c>
      <c r="C575" s="18" t="s">
        <v>1953</v>
      </c>
      <c r="D575" s="18"/>
      <c r="E575" s="6" t="s">
        <v>1954</v>
      </c>
      <c r="F575" s="19"/>
      <c r="G575" s="20">
        <v>43406</v>
      </c>
      <c r="H575" s="20">
        <v>43407</v>
      </c>
      <c r="L575" s="6">
        <v>9204205052</v>
      </c>
      <c r="N575" s="16" t="s">
        <v>1527</v>
      </c>
      <c r="O575" s="7"/>
      <c r="P575" s="17"/>
    </row>
    <row r="576" spans="1:19" ht="14.25" customHeight="1">
      <c r="A576" s="5" t="s">
        <v>0</v>
      </c>
      <c r="B576" s="5" t="str">
        <f t="shared" si="3"/>
        <v>Y</v>
      </c>
      <c r="C576" s="62" t="s">
        <v>1955</v>
      </c>
      <c r="D576" s="62"/>
      <c r="E576" s="47" t="s">
        <v>1956</v>
      </c>
      <c r="F576" s="63"/>
      <c r="G576" s="64">
        <v>43406</v>
      </c>
      <c r="H576" s="64">
        <v>43407</v>
      </c>
      <c r="I576" s="47"/>
      <c r="J576" s="47"/>
      <c r="K576" s="47"/>
      <c r="L576" s="47">
        <v>9334816697</v>
      </c>
      <c r="M576" s="47"/>
      <c r="N576" s="66" t="s">
        <v>1878</v>
      </c>
      <c r="O576" s="7"/>
      <c r="P576" s="17"/>
    </row>
    <row r="577" spans="1:19" ht="14.25" customHeight="1">
      <c r="A577" s="84" t="s">
        <v>0</v>
      </c>
      <c r="B577" s="84" t="str">
        <f t="shared" si="3"/>
        <v>Y</v>
      </c>
      <c r="C577" s="85" t="s">
        <v>1957</v>
      </c>
      <c r="D577" s="85"/>
      <c r="E577" s="11" t="s">
        <v>1958</v>
      </c>
      <c r="F577" s="86"/>
      <c r="G577" s="87">
        <v>43406</v>
      </c>
      <c r="H577" s="87">
        <v>43407</v>
      </c>
      <c r="I577" s="11"/>
      <c r="J577" s="11"/>
      <c r="K577" s="11"/>
      <c r="L577" s="11">
        <v>9470546501</v>
      </c>
      <c r="M577" s="11"/>
      <c r="N577" s="88" t="s">
        <v>1527</v>
      </c>
      <c r="O577" s="89"/>
      <c r="P577" s="90"/>
      <c r="Q577" s="11"/>
      <c r="R577" s="11"/>
      <c r="S577" s="11"/>
    </row>
    <row r="578" spans="1:19" ht="14.25" customHeight="1">
      <c r="A578" s="84" t="s">
        <v>0</v>
      </c>
      <c r="B578" s="84" t="str">
        <f t="shared" si="3"/>
        <v>Y</v>
      </c>
      <c r="C578" s="85" t="s">
        <v>1959</v>
      </c>
      <c r="D578" s="85"/>
      <c r="E578" s="11" t="s">
        <v>1960</v>
      </c>
      <c r="F578" s="86"/>
      <c r="G578" s="87">
        <v>43406</v>
      </c>
      <c r="H578" s="87">
        <v>43407</v>
      </c>
      <c r="I578" s="11"/>
      <c r="J578" s="11"/>
      <c r="K578" s="11"/>
      <c r="L578" s="11">
        <v>7209845854</v>
      </c>
      <c r="M578" s="11"/>
      <c r="N578" s="88" t="s">
        <v>1527</v>
      </c>
      <c r="O578" s="89"/>
      <c r="P578" s="90"/>
      <c r="Q578" s="11"/>
      <c r="R578" s="11"/>
      <c r="S578" s="11"/>
    </row>
    <row r="579" spans="1:19" ht="14.25" customHeight="1">
      <c r="A579" s="84" t="s">
        <v>0</v>
      </c>
      <c r="B579" s="84" t="str">
        <f t="shared" si="3"/>
        <v>Y</v>
      </c>
      <c r="C579" s="85" t="s">
        <v>1961</v>
      </c>
      <c r="D579" s="85"/>
      <c r="E579" s="11" t="s">
        <v>1962</v>
      </c>
      <c r="F579" s="86"/>
      <c r="G579" s="87">
        <v>43406</v>
      </c>
      <c r="H579" s="87">
        <v>43407</v>
      </c>
      <c r="I579" s="11"/>
      <c r="J579" s="11"/>
      <c r="K579" s="11"/>
      <c r="L579" s="11">
        <v>8797603606</v>
      </c>
      <c r="M579" s="11"/>
      <c r="N579" s="88" t="s">
        <v>1527</v>
      </c>
      <c r="O579" s="89"/>
      <c r="P579" s="90"/>
      <c r="Q579" s="11"/>
      <c r="R579" s="11"/>
      <c r="S579" s="11"/>
    </row>
    <row r="580" spans="1:19" ht="14.25" customHeight="1">
      <c r="A580" s="84" t="s">
        <v>139</v>
      </c>
      <c r="B580" s="84" t="str">
        <f t="shared" si="3"/>
        <v>Y</v>
      </c>
      <c r="C580" s="11" t="s">
        <v>1963</v>
      </c>
      <c r="D580" s="11"/>
      <c r="E580" s="11" t="s">
        <v>1964</v>
      </c>
      <c r="F580" s="86"/>
      <c r="G580" s="87">
        <v>43407</v>
      </c>
      <c r="H580" s="87">
        <v>43407</v>
      </c>
      <c r="I580" s="11"/>
      <c r="J580" s="11"/>
      <c r="K580" s="11"/>
      <c r="L580" s="11">
        <v>7766955507</v>
      </c>
      <c r="M580" s="11"/>
      <c r="N580" s="88"/>
      <c r="O580" s="89"/>
      <c r="P580" s="90"/>
      <c r="Q580" s="11"/>
      <c r="R580" s="11"/>
      <c r="S580" s="11"/>
    </row>
    <row r="581" spans="1:19" ht="14.25" customHeight="1">
      <c r="A581" s="84" t="s">
        <v>0</v>
      </c>
      <c r="B581" s="84" t="str">
        <f t="shared" si="3"/>
        <v>Y</v>
      </c>
      <c r="C581" s="11" t="s">
        <v>1965</v>
      </c>
      <c r="D581" s="11"/>
      <c r="E581" s="11" t="s">
        <v>1966</v>
      </c>
      <c r="F581" s="86"/>
      <c r="G581" s="87">
        <v>43407</v>
      </c>
      <c r="H581" s="87">
        <v>43407</v>
      </c>
      <c r="I581" s="11"/>
      <c r="J581" s="11"/>
      <c r="K581" s="11"/>
      <c r="L581" s="11"/>
      <c r="M581" s="11"/>
      <c r="N581" s="88"/>
      <c r="O581" s="89"/>
      <c r="P581" s="90"/>
      <c r="Q581" s="11"/>
      <c r="R581" s="11"/>
      <c r="S581" s="11"/>
    </row>
    <row r="582" spans="1:19" ht="14.25" customHeight="1">
      <c r="A582" s="5" t="s">
        <v>0</v>
      </c>
      <c r="B582" s="5" t="str">
        <f t="shared" ref="B582:B586" si="4">IF(H583="","N","Y")</f>
        <v>Y</v>
      </c>
      <c r="C582" s="6" t="s">
        <v>1967</v>
      </c>
      <c r="D582" s="6"/>
      <c r="E582" s="6" t="s">
        <v>1968</v>
      </c>
      <c r="F582" s="19"/>
      <c r="G582" s="20">
        <v>43407</v>
      </c>
      <c r="H582" s="20">
        <v>43407</v>
      </c>
      <c r="N582" s="16" t="s">
        <v>1527</v>
      </c>
      <c r="O582" s="7"/>
      <c r="P582" s="17"/>
    </row>
    <row r="583" spans="1:19" ht="14.25" customHeight="1">
      <c r="A583" s="84" t="s">
        <v>0</v>
      </c>
      <c r="B583" s="84" t="str">
        <f t="shared" si="4"/>
        <v>Y</v>
      </c>
      <c r="C583" s="85" t="s">
        <v>1969</v>
      </c>
      <c r="D583" s="85"/>
      <c r="E583" s="11" t="s">
        <v>1970</v>
      </c>
      <c r="F583" s="86"/>
      <c r="G583" s="87">
        <v>43407</v>
      </c>
      <c r="H583" s="87">
        <v>43407</v>
      </c>
      <c r="I583" s="11"/>
      <c r="J583" s="11"/>
      <c r="K583" s="11"/>
      <c r="L583" s="11">
        <v>7808584363</v>
      </c>
      <c r="M583" s="92" t="s">
        <v>1971</v>
      </c>
      <c r="N583" s="92" t="s">
        <v>1972</v>
      </c>
      <c r="O583" s="89"/>
      <c r="P583" s="90"/>
      <c r="Q583" s="11"/>
      <c r="R583" s="11"/>
      <c r="S583" s="11"/>
    </row>
    <row r="584" spans="1:19" ht="14.25" customHeight="1">
      <c r="A584" s="84" t="s">
        <v>0</v>
      </c>
      <c r="B584" s="84" t="str">
        <f t="shared" si="4"/>
        <v>Y</v>
      </c>
      <c r="C584" s="85" t="s">
        <v>1969</v>
      </c>
      <c r="D584" s="85"/>
      <c r="E584" s="11" t="s">
        <v>1973</v>
      </c>
      <c r="F584" s="86" t="s">
        <v>1974</v>
      </c>
      <c r="G584" s="87">
        <v>43407</v>
      </c>
      <c r="H584" s="87">
        <v>43412</v>
      </c>
      <c r="I584" s="11"/>
      <c r="J584" s="11"/>
      <c r="K584" s="11"/>
      <c r="L584" s="11">
        <v>9102011530</v>
      </c>
      <c r="M584" s="11"/>
      <c r="N584" s="88"/>
      <c r="O584" s="89"/>
      <c r="P584" s="90"/>
      <c r="Q584" s="11"/>
      <c r="R584" s="11"/>
      <c r="S584" s="11"/>
    </row>
    <row r="585" spans="1:19" ht="14.25" customHeight="1">
      <c r="A585" s="84" t="s">
        <v>0</v>
      </c>
      <c r="B585" s="84" t="str">
        <f t="shared" si="4"/>
        <v>Y</v>
      </c>
      <c r="C585" s="85" t="s">
        <v>1975</v>
      </c>
      <c r="D585" s="85"/>
      <c r="E585" s="11" t="s">
        <v>1976</v>
      </c>
      <c r="F585" s="86" t="s">
        <v>1974</v>
      </c>
      <c r="G585" s="87">
        <v>43407</v>
      </c>
      <c r="H585" s="87">
        <v>43412</v>
      </c>
      <c r="I585" s="11"/>
      <c r="J585" s="11"/>
      <c r="K585" s="11"/>
      <c r="L585" s="11">
        <v>9102011530</v>
      </c>
      <c r="M585" s="11"/>
      <c r="N585" s="88"/>
      <c r="O585" s="89"/>
      <c r="P585" s="90"/>
      <c r="Q585" s="11"/>
      <c r="R585" s="11"/>
      <c r="S585" s="11"/>
    </row>
    <row r="586" spans="1:19" ht="14.25" customHeight="1">
      <c r="A586" s="84" t="s">
        <v>0</v>
      </c>
      <c r="B586" s="84" t="str">
        <f t="shared" si="4"/>
        <v>Y</v>
      </c>
      <c r="C586" s="85" t="s">
        <v>1977</v>
      </c>
      <c r="D586" s="85"/>
      <c r="E586" s="11" t="s">
        <v>1978</v>
      </c>
      <c r="F586" s="86"/>
      <c r="G586" s="87">
        <v>43412</v>
      </c>
      <c r="H586" s="87">
        <v>43412</v>
      </c>
      <c r="I586" s="11"/>
      <c r="J586" s="11"/>
      <c r="K586" s="11"/>
      <c r="L586" s="11">
        <v>8092678271</v>
      </c>
      <c r="M586" s="11"/>
      <c r="N586" s="88"/>
      <c r="O586" s="89"/>
      <c r="P586" s="90"/>
      <c r="Q586" s="11"/>
      <c r="R586" s="11"/>
      <c r="S586" s="11"/>
    </row>
    <row r="587" spans="1:19" ht="14.25" customHeight="1">
      <c r="A587" s="5" t="s">
        <v>0</v>
      </c>
      <c r="B587" s="5" t="str">
        <f t="shared" ref="B587:B841" si="5">IF(H587="","N","Y")</f>
        <v>Y</v>
      </c>
      <c r="C587" s="18" t="s">
        <v>1979</v>
      </c>
      <c r="D587" s="18"/>
      <c r="E587" s="6" t="s">
        <v>1980</v>
      </c>
      <c r="F587" s="19"/>
      <c r="G587" s="20">
        <v>43416</v>
      </c>
      <c r="H587" s="20">
        <v>43416</v>
      </c>
      <c r="L587" s="6">
        <v>8092310744</v>
      </c>
      <c r="N587" s="16"/>
      <c r="O587" s="7"/>
      <c r="P587" s="17"/>
    </row>
    <row r="588" spans="1:19" ht="14.25" customHeight="1">
      <c r="A588" s="5" t="s">
        <v>0</v>
      </c>
      <c r="B588" s="5" t="str">
        <f t="shared" si="5"/>
        <v>Y</v>
      </c>
      <c r="C588" s="18" t="s">
        <v>1981</v>
      </c>
      <c r="D588" s="18"/>
      <c r="E588" s="6" t="s">
        <v>1982</v>
      </c>
      <c r="F588" s="19" t="s">
        <v>1983</v>
      </c>
      <c r="G588" s="20">
        <v>43417</v>
      </c>
      <c r="H588" s="20">
        <v>43417</v>
      </c>
      <c r="L588" s="6">
        <v>8603268570</v>
      </c>
      <c r="M588" s="60" t="s">
        <v>1984</v>
      </c>
      <c r="N588" s="16"/>
      <c r="O588" s="7" t="s">
        <v>1985</v>
      </c>
      <c r="P588" s="17"/>
    </row>
    <row r="589" spans="1:19" ht="14.25" customHeight="1">
      <c r="A589" s="5" t="s">
        <v>0</v>
      </c>
      <c r="B589" s="5" t="str">
        <f t="shared" si="5"/>
        <v>Y</v>
      </c>
      <c r="C589" s="18" t="s">
        <v>1986</v>
      </c>
      <c r="D589" s="18"/>
      <c r="E589" s="6" t="s">
        <v>1987</v>
      </c>
      <c r="F589" s="19"/>
      <c r="G589" s="20">
        <v>43422</v>
      </c>
      <c r="H589" s="20">
        <v>43423</v>
      </c>
      <c r="L589" s="6">
        <v>7209458338</v>
      </c>
      <c r="N589" s="16"/>
      <c r="O589" s="7"/>
      <c r="P589" s="17"/>
    </row>
    <row r="590" spans="1:19" ht="14.25" customHeight="1">
      <c r="A590" s="5" t="s">
        <v>0</v>
      </c>
      <c r="B590" s="5" t="str">
        <f t="shared" si="5"/>
        <v>Y</v>
      </c>
      <c r="C590" s="18" t="s">
        <v>1988</v>
      </c>
      <c r="D590" s="18"/>
      <c r="E590" s="6" t="s">
        <v>1989</v>
      </c>
      <c r="F590" s="19"/>
      <c r="G590" s="20">
        <v>43423</v>
      </c>
      <c r="H590" s="20">
        <v>43423</v>
      </c>
      <c r="L590" s="6">
        <v>9934179679</v>
      </c>
      <c r="N590" s="16"/>
      <c r="O590" s="7"/>
      <c r="P590" s="17"/>
    </row>
    <row r="591" spans="1:19" ht="14.25" customHeight="1">
      <c r="A591" s="5" t="s">
        <v>0</v>
      </c>
      <c r="B591" s="5" t="str">
        <f t="shared" si="5"/>
        <v>Y</v>
      </c>
      <c r="C591" s="18" t="s">
        <v>1990</v>
      </c>
      <c r="D591" s="18"/>
      <c r="E591" s="6" t="s">
        <v>1991</v>
      </c>
      <c r="F591" s="19"/>
      <c r="G591" s="20">
        <v>43424</v>
      </c>
      <c r="H591" s="20">
        <v>43425</v>
      </c>
      <c r="L591" s="6" t="s">
        <v>1992</v>
      </c>
      <c r="N591" s="16" t="s">
        <v>1878</v>
      </c>
      <c r="O591" s="7"/>
      <c r="P591" s="17"/>
    </row>
    <row r="592" spans="1:19" ht="14.25" customHeight="1">
      <c r="A592" s="5" t="s">
        <v>0</v>
      </c>
      <c r="B592" s="5" t="str">
        <f t="shared" si="5"/>
        <v>Y</v>
      </c>
      <c r="C592" s="18" t="s">
        <v>1993</v>
      </c>
      <c r="D592" s="18"/>
      <c r="E592" s="6" t="s">
        <v>1994</v>
      </c>
      <c r="F592" s="19"/>
      <c r="G592" s="20">
        <v>43425</v>
      </c>
      <c r="H592" s="20">
        <v>43425</v>
      </c>
      <c r="N592" s="16" t="s">
        <v>1527</v>
      </c>
      <c r="O592" s="7"/>
      <c r="P592" s="17"/>
    </row>
    <row r="593" spans="1:16" ht="14.25" customHeight="1">
      <c r="A593" s="5" t="s">
        <v>0</v>
      </c>
      <c r="B593" s="5" t="str">
        <f t="shared" si="5"/>
        <v>Y</v>
      </c>
      <c r="C593" s="18" t="s">
        <v>1995</v>
      </c>
      <c r="D593" s="18"/>
      <c r="E593" s="6" t="s">
        <v>1996</v>
      </c>
      <c r="F593" s="19"/>
      <c r="G593" s="20">
        <v>43425</v>
      </c>
      <c r="H593" s="20">
        <v>43425</v>
      </c>
      <c r="L593" s="6">
        <v>9777982271</v>
      </c>
      <c r="N593" s="16" t="s">
        <v>1878</v>
      </c>
      <c r="O593" s="7"/>
      <c r="P593" s="17"/>
    </row>
    <row r="594" spans="1:16" ht="14.25" customHeight="1">
      <c r="A594" s="5" t="s">
        <v>0</v>
      </c>
      <c r="B594" s="5" t="str">
        <f t="shared" si="5"/>
        <v>Y</v>
      </c>
      <c r="C594" s="18" t="s">
        <v>1997</v>
      </c>
      <c r="D594" s="18"/>
      <c r="E594" s="6" t="s">
        <v>1998</v>
      </c>
      <c r="F594" s="19"/>
      <c r="G594" s="20">
        <v>43425</v>
      </c>
      <c r="H594" s="20">
        <v>43425</v>
      </c>
      <c r="L594" s="6">
        <v>9065237074</v>
      </c>
      <c r="N594" s="16" t="s">
        <v>1527</v>
      </c>
      <c r="O594" s="7"/>
      <c r="P594" s="17"/>
    </row>
    <row r="595" spans="1:16" ht="14.25" customHeight="1">
      <c r="A595" s="5" t="s">
        <v>0</v>
      </c>
      <c r="B595" s="5" t="str">
        <f t="shared" si="5"/>
        <v>Y</v>
      </c>
      <c r="C595" s="18" t="s">
        <v>1999</v>
      </c>
      <c r="D595" s="18"/>
      <c r="E595" s="6" t="s">
        <v>2000</v>
      </c>
      <c r="F595" s="19"/>
      <c r="G595" s="20">
        <v>43427</v>
      </c>
      <c r="H595" s="20">
        <v>43428</v>
      </c>
      <c r="L595" s="6">
        <v>9709254072</v>
      </c>
      <c r="N595" s="16"/>
      <c r="O595" s="7"/>
      <c r="P595" s="17"/>
    </row>
    <row r="596" spans="1:16" ht="14.25" customHeight="1">
      <c r="A596" s="5" t="s">
        <v>0</v>
      </c>
      <c r="B596" s="5" t="str">
        <f t="shared" si="5"/>
        <v>Y</v>
      </c>
      <c r="C596" s="18" t="s">
        <v>2001</v>
      </c>
      <c r="D596" s="18"/>
      <c r="E596" s="6" t="s">
        <v>2002</v>
      </c>
      <c r="F596" s="19"/>
      <c r="G596" s="20">
        <v>43427</v>
      </c>
      <c r="H596" s="20">
        <v>43428</v>
      </c>
      <c r="L596" s="6">
        <v>7209163018</v>
      </c>
      <c r="N596" s="16" t="s">
        <v>2003</v>
      </c>
      <c r="O596" s="7"/>
      <c r="P596" s="17"/>
    </row>
    <row r="597" spans="1:16" ht="14.25" customHeight="1">
      <c r="A597" s="5" t="s">
        <v>0</v>
      </c>
      <c r="B597" s="5" t="str">
        <f t="shared" si="5"/>
        <v>Y</v>
      </c>
      <c r="C597" s="18" t="s">
        <v>2004</v>
      </c>
      <c r="D597" s="18"/>
      <c r="E597" s="6" t="s">
        <v>2005</v>
      </c>
      <c r="F597" s="19"/>
      <c r="G597" s="20">
        <v>43427</v>
      </c>
      <c r="H597" s="20">
        <v>43428</v>
      </c>
      <c r="L597" s="6">
        <v>6207256207</v>
      </c>
      <c r="N597" s="16" t="s">
        <v>2003</v>
      </c>
      <c r="O597" s="7"/>
      <c r="P597" s="17"/>
    </row>
    <row r="598" spans="1:16" ht="14.25" customHeight="1">
      <c r="A598" s="5" t="s">
        <v>0</v>
      </c>
      <c r="B598" s="5" t="str">
        <f t="shared" si="5"/>
        <v>Y</v>
      </c>
      <c r="C598" s="18" t="s">
        <v>2006</v>
      </c>
      <c r="D598" s="18"/>
      <c r="E598" s="6" t="s">
        <v>2007</v>
      </c>
      <c r="F598" s="19"/>
      <c r="G598" s="20">
        <v>43429</v>
      </c>
      <c r="H598" s="20">
        <v>43431</v>
      </c>
      <c r="L598" s="6">
        <v>6204585493</v>
      </c>
      <c r="M598" s="60" t="s">
        <v>2008</v>
      </c>
      <c r="N598" s="60" t="s">
        <v>2009</v>
      </c>
      <c r="O598" s="7"/>
      <c r="P598" s="17"/>
    </row>
    <row r="599" spans="1:16" ht="14.25" customHeight="1">
      <c r="A599" s="5" t="s">
        <v>0</v>
      </c>
      <c r="B599" s="5" t="str">
        <f t="shared" si="5"/>
        <v>Y</v>
      </c>
      <c r="C599" s="18" t="s">
        <v>2010</v>
      </c>
      <c r="D599" s="18"/>
      <c r="E599" s="6" t="s">
        <v>2011</v>
      </c>
      <c r="F599" s="19"/>
      <c r="G599" s="20">
        <v>43429</v>
      </c>
      <c r="H599" s="20">
        <v>43431</v>
      </c>
      <c r="L599" s="6">
        <v>7004932216</v>
      </c>
      <c r="N599" s="16"/>
      <c r="O599" s="7"/>
      <c r="P599" s="17"/>
    </row>
    <row r="600" spans="1:16" ht="14.25" customHeight="1">
      <c r="A600" s="5" t="s">
        <v>0</v>
      </c>
      <c r="B600" s="5" t="str">
        <f t="shared" si="5"/>
        <v>Y</v>
      </c>
      <c r="C600" s="18" t="s">
        <v>2012</v>
      </c>
      <c r="D600" s="18"/>
      <c r="E600" s="6" t="s">
        <v>2013</v>
      </c>
      <c r="F600" s="19"/>
      <c r="G600" s="20">
        <v>43429</v>
      </c>
      <c r="H600" s="20">
        <v>43431</v>
      </c>
      <c r="L600" s="6">
        <v>8603752894</v>
      </c>
      <c r="N600" s="16"/>
      <c r="O600" s="7"/>
      <c r="P600" s="17"/>
    </row>
    <row r="601" spans="1:16" ht="14.25" customHeight="1">
      <c r="A601" s="5" t="s">
        <v>0</v>
      </c>
      <c r="B601" s="5" t="str">
        <f t="shared" si="5"/>
        <v>Y</v>
      </c>
      <c r="C601" s="18" t="s">
        <v>2014</v>
      </c>
      <c r="D601" s="18"/>
      <c r="E601" s="6" t="s">
        <v>2015</v>
      </c>
      <c r="F601" s="19"/>
      <c r="G601" s="20">
        <v>43429</v>
      </c>
      <c r="H601" s="20">
        <v>43431</v>
      </c>
      <c r="L601" s="6">
        <v>6203347524</v>
      </c>
      <c r="M601" s="60" t="s">
        <v>2016</v>
      </c>
      <c r="N601" s="16"/>
      <c r="O601" s="7"/>
      <c r="P601" s="17"/>
    </row>
    <row r="602" spans="1:16" ht="14.25" customHeight="1">
      <c r="A602" s="5" t="s">
        <v>0</v>
      </c>
      <c r="B602" s="5" t="str">
        <f t="shared" si="5"/>
        <v>Y</v>
      </c>
      <c r="C602" s="18" t="s">
        <v>2017</v>
      </c>
      <c r="D602" s="18"/>
      <c r="E602" s="6" t="s">
        <v>2018</v>
      </c>
      <c r="F602" s="19"/>
      <c r="G602" s="20">
        <v>43431</v>
      </c>
      <c r="H602" s="20">
        <v>43431</v>
      </c>
      <c r="L602" s="6">
        <v>8804131831</v>
      </c>
      <c r="N602" s="16"/>
      <c r="O602" s="7"/>
      <c r="P602" s="17"/>
    </row>
    <row r="603" spans="1:16" ht="14.25" customHeight="1">
      <c r="A603" s="5" t="s">
        <v>0</v>
      </c>
      <c r="B603" s="5" t="str">
        <f t="shared" si="5"/>
        <v>Y</v>
      </c>
      <c r="C603" s="18" t="s">
        <v>2019</v>
      </c>
      <c r="D603" s="18"/>
      <c r="E603" s="6" t="s">
        <v>2020</v>
      </c>
      <c r="F603" s="19"/>
      <c r="G603" s="20">
        <v>43431</v>
      </c>
      <c r="H603" s="20">
        <v>43432</v>
      </c>
      <c r="L603" s="6">
        <v>7759872431</v>
      </c>
      <c r="N603" s="16"/>
      <c r="O603" s="7"/>
      <c r="P603" s="17"/>
    </row>
    <row r="604" spans="1:16" ht="14.25" customHeight="1">
      <c r="A604" s="84" t="s">
        <v>0</v>
      </c>
      <c r="B604" s="84" t="str">
        <f t="shared" si="5"/>
        <v>Y</v>
      </c>
      <c r="C604" s="85" t="s">
        <v>2021</v>
      </c>
      <c r="D604" s="85"/>
      <c r="E604" s="11" t="s">
        <v>2022</v>
      </c>
      <c r="F604" s="86"/>
      <c r="G604" s="87">
        <v>43431</v>
      </c>
      <c r="H604" s="87">
        <v>43432</v>
      </c>
      <c r="I604" s="11"/>
      <c r="J604" s="11"/>
      <c r="K604" s="11"/>
      <c r="L604" s="11">
        <v>7209483044</v>
      </c>
      <c r="M604" s="93" t="s">
        <v>2023</v>
      </c>
      <c r="N604" s="16"/>
      <c r="O604" s="7"/>
      <c r="P604" s="17"/>
    </row>
    <row r="605" spans="1:16" ht="14.25" customHeight="1">
      <c r="A605" s="5" t="s">
        <v>0</v>
      </c>
      <c r="B605" s="5" t="str">
        <f t="shared" si="5"/>
        <v>Y</v>
      </c>
      <c r="C605" s="18" t="s">
        <v>2024</v>
      </c>
      <c r="D605" s="18"/>
      <c r="E605" s="6" t="s">
        <v>2025</v>
      </c>
      <c r="F605" s="19"/>
      <c r="G605" s="20">
        <v>43431</v>
      </c>
      <c r="H605" s="20">
        <v>43432</v>
      </c>
      <c r="L605" s="6">
        <v>9709012863</v>
      </c>
      <c r="N605" s="16"/>
      <c r="O605" s="7"/>
      <c r="P605" s="17"/>
    </row>
    <row r="606" spans="1:16" ht="14.25" customHeight="1">
      <c r="A606" s="5" t="s">
        <v>0</v>
      </c>
      <c r="B606" s="5" t="str">
        <f t="shared" si="5"/>
        <v>Y</v>
      </c>
      <c r="C606" s="18" t="s">
        <v>2026</v>
      </c>
      <c r="D606" s="18"/>
      <c r="E606" s="6" t="s">
        <v>2027</v>
      </c>
      <c r="F606" s="19"/>
      <c r="G606" s="20">
        <v>43432</v>
      </c>
      <c r="H606" s="20">
        <v>43433</v>
      </c>
      <c r="L606" s="6">
        <v>9570027446</v>
      </c>
      <c r="N606" s="16"/>
      <c r="O606" s="7"/>
      <c r="P606" s="17"/>
    </row>
    <row r="607" spans="1:16" ht="14.25" customHeight="1">
      <c r="A607" s="5" t="s">
        <v>0</v>
      </c>
      <c r="B607" s="5" t="str">
        <f t="shared" si="5"/>
        <v>Y</v>
      </c>
      <c r="C607" s="18" t="s">
        <v>2028</v>
      </c>
      <c r="D607" s="18"/>
      <c r="E607" s="6" t="s">
        <v>2029</v>
      </c>
      <c r="F607" s="19"/>
      <c r="G607" s="20">
        <v>43433</v>
      </c>
      <c r="H607" s="20">
        <v>43433</v>
      </c>
      <c r="L607" s="6">
        <v>7488789573</v>
      </c>
      <c r="N607" s="16"/>
      <c r="O607" s="7"/>
      <c r="P607" s="17"/>
    </row>
    <row r="608" spans="1:16" ht="14.25" customHeight="1">
      <c r="A608" s="5" t="s">
        <v>0</v>
      </c>
      <c r="B608" s="5" t="str">
        <f t="shared" si="5"/>
        <v>Y</v>
      </c>
      <c r="C608" s="18" t="s">
        <v>2030</v>
      </c>
      <c r="D608" s="18"/>
      <c r="E608" s="6" t="s">
        <v>2031</v>
      </c>
      <c r="F608" s="19"/>
      <c r="G608" s="20">
        <v>43433</v>
      </c>
      <c r="H608" s="20">
        <v>43433</v>
      </c>
      <c r="L608" s="6">
        <v>9279337611</v>
      </c>
      <c r="N608" s="16"/>
      <c r="O608" s="7"/>
      <c r="P608" s="17"/>
    </row>
    <row r="609" spans="1:16" ht="14.25" customHeight="1">
      <c r="A609" s="5" t="s">
        <v>0</v>
      </c>
      <c r="B609" s="5" t="str">
        <f t="shared" si="5"/>
        <v>Y</v>
      </c>
      <c r="C609" s="18" t="s">
        <v>2032</v>
      </c>
      <c r="D609" s="18"/>
      <c r="E609" s="6" t="s">
        <v>2033</v>
      </c>
      <c r="F609" s="19"/>
      <c r="G609" s="20">
        <v>43433</v>
      </c>
      <c r="H609" s="20">
        <v>43435</v>
      </c>
      <c r="N609" s="16"/>
      <c r="O609" s="7"/>
      <c r="P609" s="17"/>
    </row>
    <row r="610" spans="1:16" ht="14.25" customHeight="1">
      <c r="A610" s="5" t="s">
        <v>0</v>
      </c>
      <c r="B610" s="5" t="str">
        <f t="shared" si="5"/>
        <v>Y</v>
      </c>
      <c r="C610" s="85" t="s">
        <v>2034</v>
      </c>
      <c r="D610" s="85"/>
      <c r="E610" s="11" t="s">
        <v>2035</v>
      </c>
      <c r="F610" s="86"/>
      <c r="G610" s="87">
        <v>43435</v>
      </c>
      <c r="H610" s="87">
        <v>43436</v>
      </c>
      <c r="I610" s="11"/>
      <c r="J610" s="11"/>
      <c r="K610" s="11"/>
      <c r="L610" s="11">
        <v>6207487308</v>
      </c>
      <c r="M610" s="11"/>
      <c r="N610" s="88" t="s">
        <v>1527</v>
      </c>
      <c r="O610" s="7"/>
      <c r="P610" s="17"/>
    </row>
    <row r="611" spans="1:16" ht="14.25" customHeight="1">
      <c r="A611" s="5" t="s">
        <v>0</v>
      </c>
      <c r="B611" s="5" t="str">
        <f t="shared" si="5"/>
        <v>Y</v>
      </c>
      <c r="C611" s="18" t="s">
        <v>2036</v>
      </c>
      <c r="D611" s="18"/>
      <c r="E611" s="6" t="s">
        <v>2037</v>
      </c>
      <c r="F611" s="19"/>
      <c r="G611" s="20">
        <v>43437</v>
      </c>
      <c r="H611" s="20">
        <v>43437</v>
      </c>
      <c r="L611" s="6">
        <v>9102554555</v>
      </c>
      <c r="N611" s="16" t="s">
        <v>1527</v>
      </c>
      <c r="O611" s="7"/>
      <c r="P611" s="17"/>
    </row>
    <row r="612" spans="1:16" ht="14.25" customHeight="1">
      <c r="A612" s="5" t="s">
        <v>0</v>
      </c>
      <c r="B612" s="5" t="str">
        <f t="shared" si="5"/>
        <v>Y</v>
      </c>
      <c r="C612" s="18" t="s">
        <v>2038</v>
      </c>
      <c r="D612" s="18"/>
      <c r="E612" s="6" t="s">
        <v>2039</v>
      </c>
      <c r="F612" s="19"/>
      <c r="G612" s="20">
        <v>43437</v>
      </c>
      <c r="H612" s="20">
        <v>43437</v>
      </c>
      <c r="L612" s="6">
        <v>8797131337</v>
      </c>
      <c r="N612" s="16" t="s">
        <v>1527</v>
      </c>
      <c r="O612" s="7"/>
      <c r="P612" s="17"/>
    </row>
    <row r="613" spans="1:16" ht="14.25" customHeight="1">
      <c r="A613" s="5" t="s">
        <v>0</v>
      </c>
      <c r="B613" s="5" t="str">
        <f t="shared" si="5"/>
        <v>Y</v>
      </c>
      <c r="C613" s="18" t="s">
        <v>2040</v>
      </c>
      <c r="D613" s="18"/>
      <c r="E613" s="6" t="s">
        <v>2041</v>
      </c>
      <c r="F613" s="19"/>
      <c r="G613" s="20">
        <v>43437</v>
      </c>
      <c r="H613" s="20">
        <v>43437</v>
      </c>
      <c r="L613" s="6">
        <v>9031400239</v>
      </c>
      <c r="N613" s="16" t="s">
        <v>1527</v>
      </c>
      <c r="O613" s="7"/>
      <c r="P613" s="17"/>
    </row>
    <row r="614" spans="1:16" ht="14.25" customHeight="1">
      <c r="A614" s="5" t="s">
        <v>0</v>
      </c>
      <c r="B614" s="5" t="str">
        <f t="shared" si="5"/>
        <v>Y</v>
      </c>
      <c r="C614" s="18" t="s">
        <v>2042</v>
      </c>
      <c r="D614" s="18"/>
      <c r="E614" s="6" t="s">
        <v>2043</v>
      </c>
      <c r="F614" s="19"/>
      <c r="G614" s="20">
        <v>43437</v>
      </c>
      <c r="H614" s="20">
        <v>43437</v>
      </c>
      <c r="L614" s="6">
        <v>957220316</v>
      </c>
      <c r="N614" s="16" t="s">
        <v>1527</v>
      </c>
      <c r="O614" s="7"/>
      <c r="P614" s="17"/>
    </row>
    <row r="615" spans="1:16" ht="14.25" customHeight="1">
      <c r="A615" s="5" t="s">
        <v>0</v>
      </c>
      <c r="B615" s="5" t="str">
        <f t="shared" si="5"/>
        <v>Y</v>
      </c>
      <c r="C615" s="18" t="s">
        <v>2044</v>
      </c>
      <c r="D615" s="18"/>
      <c r="E615" s="6" t="s">
        <v>2045</v>
      </c>
      <c r="F615" s="19"/>
      <c r="G615" s="20">
        <v>43437</v>
      </c>
      <c r="H615" s="20">
        <v>43437</v>
      </c>
      <c r="L615" s="6">
        <v>8797595759</v>
      </c>
      <c r="N615" s="16"/>
      <c r="O615" s="7"/>
      <c r="P615" s="17"/>
    </row>
    <row r="616" spans="1:16" ht="14.25" customHeight="1">
      <c r="A616" s="5" t="s">
        <v>0</v>
      </c>
      <c r="B616" s="5" t="str">
        <f t="shared" si="5"/>
        <v>Y</v>
      </c>
      <c r="C616" s="18" t="s">
        <v>2046</v>
      </c>
      <c r="D616" s="18"/>
      <c r="E616" s="6" t="s">
        <v>2047</v>
      </c>
      <c r="F616" s="19"/>
      <c r="G616" s="20">
        <v>43437</v>
      </c>
      <c r="H616" s="20">
        <v>43437</v>
      </c>
      <c r="L616" s="6">
        <v>8292199709</v>
      </c>
      <c r="N616" s="16"/>
      <c r="O616" s="7"/>
      <c r="P616" s="17"/>
    </row>
    <row r="617" spans="1:16" ht="14.25" customHeight="1">
      <c r="A617" s="5" t="s">
        <v>0</v>
      </c>
      <c r="B617" s="5" t="str">
        <f t="shared" si="5"/>
        <v>Y</v>
      </c>
      <c r="C617" s="18" t="s">
        <v>2048</v>
      </c>
      <c r="D617" s="18"/>
      <c r="E617" s="6" t="s">
        <v>1769</v>
      </c>
      <c r="F617" s="19"/>
      <c r="G617" s="20">
        <v>43437</v>
      </c>
      <c r="H617" s="20">
        <v>43440</v>
      </c>
      <c r="L617" s="6">
        <v>9939326138</v>
      </c>
      <c r="N617" s="16" t="s">
        <v>1527</v>
      </c>
      <c r="O617" s="7"/>
      <c r="P617" s="17"/>
    </row>
    <row r="618" spans="1:16" ht="14.25" customHeight="1">
      <c r="A618" s="5" t="s">
        <v>0</v>
      </c>
      <c r="B618" s="5" t="str">
        <f t="shared" si="5"/>
        <v>N</v>
      </c>
      <c r="C618" s="18"/>
      <c r="D618" s="18"/>
      <c r="E618" s="6" t="s">
        <v>2049</v>
      </c>
      <c r="F618" s="19"/>
      <c r="G618" s="20"/>
      <c r="H618" s="20"/>
      <c r="N618" s="16" t="s">
        <v>1527</v>
      </c>
      <c r="O618" s="7"/>
      <c r="P618" s="17"/>
    </row>
    <row r="619" spans="1:16" ht="14.25" customHeight="1">
      <c r="A619" s="5" t="s">
        <v>0</v>
      </c>
      <c r="B619" s="5" t="str">
        <f t="shared" si="5"/>
        <v>Y</v>
      </c>
      <c r="C619" s="18" t="s">
        <v>2050</v>
      </c>
      <c r="D619" s="18"/>
      <c r="E619" s="6" t="s">
        <v>2051</v>
      </c>
      <c r="F619" s="5" t="s">
        <v>2052</v>
      </c>
      <c r="G619" s="20">
        <v>43440</v>
      </c>
      <c r="H619" s="20">
        <v>43441</v>
      </c>
      <c r="M619" s="60" t="s">
        <v>2053</v>
      </c>
      <c r="N619" s="60" t="s">
        <v>2054</v>
      </c>
      <c r="O619" s="7"/>
      <c r="P619" s="17"/>
    </row>
    <row r="620" spans="1:16" ht="14.25" customHeight="1">
      <c r="A620" s="5" t="s">
        <v>0</v>
      </c>
      <c r="B620" s="5" t="str">
        <f t="shared" si="5"/>
        <v>Y</v>
      </c>
      <c r="C620" s="18" t="s">
        <v>2055</v>
      </c>
      <c r="D620" s="18"/>
      <c r="E620" s="6" t="s">
        <v>2056</v>
      </c>
      <c r="F620" s="19"/>
      <c r="G620" s="20">
        <v>43440</v>
      </c>
      <c r="H620" s="20">
        <v>43441</v>
      </c>
      <c r="M620" s="60" t="s">
        <v>2057</v>
      </c>
      <c r="N620" s="16" t="s">
        <v>2052</v>
      </c>
      <c r="O620" s="7"/>
      <c r="P620" s="17"/>
    </row>
    <row r="621" spans="1:16" ht="14.25" customHeight="1">
      <c r="A621" s="5" t="s">
        <v>0</v>
      </c>
      <c r="B621" s="5" t="str">
        <f t="shared" si="5"/>
        <v>Y</v>
      </c>
      <c r="C621" s="18" t="s">
        <v>2058</v>
      </c>
      <c r="D621" s="18"/>
      <c r="E621" s="6" t="s">
        <v>2059</v>
      </c>
      <c r="F621" s="19"/>
      <c r="G621" s="20">
        <v>43441</v>
      </c>
      <c r="H621" s="20">
        <v>43441</v>
      </c>
      <c r="N621" s="16" t="s">
        <v>1527</v>
      </c>
      <c r="O621" s="7"/>
      <c r="P621" s="17"/>
    </row>
    <row r="622" spans="1:16" ht="14.25" customHeight="1">
      <c r="A622" s="5" t="s">
        <v>0</v>
      </c>
      <c r="B622" s="5" t="str">
        <f t="shared" si="5"/>
        <v>Y</v>
      </c>
      <c r="C622" s="18" t="s">
        <v>2060</v>
      </c>
      <c r="D622" s="18"/>
      <c r="E622" s="6" t="s">
        <v>2061</v>
      </c>
      <c r="F622" s="19"/>
      <c r="G622" s="20">
        <v>43441</v>
      </c>
      <c r="H622" s="20">
        <v>43441</v>
      </c>
      <c r="N622" s="16" t="s">
        <v>1527</v>
      </c>
      <c r="O622" s="7"/>
      <c r="P622" s="17"/>
    </row>
    <row r="623" spans="1:16" ht="14.25" customHeight="1">
      <c r="A623" s="5" t="s">
        <v>0</v>
      </c>
      <c r="B623" s="5" t="str">
        <f t="shared" si="5"/>
        <v>N</v>
      </c>
      <c r="C623" s="18" t="s">
        <v>2062</v>
      </c>
      <c r="D623" s="18"/>
      <c r="E623" s="6" t="s">
        <v>2063</v>
      </c>
      <c r="F623" s="19"/>
      <c r="G623" s="20"/>
      <c r="H623" s="20"/>
      <c r="N623" s="16" t="s">
        <v>1527</v>
      </c>
      <c r="O623" s="7"/>
      <c r="P623" s="17"/>
    </row>
    <row r="624" spans="1:16" ht="14.25" customHeight="1">
      <c r="A624" s="5" t="s">
        <v>0</v>
      </c>
      <c r="B624" s="5" t="str">
        <f t="shared" si="5"/>
        <v>Y</v>
      </c>
      <c r="C624" s="18" t="s">
        <v>2064</v>
      </c>
      <c r="D624" s="18"/>
      <c r="E624" s="6" t="s">
        <v>2065</v>
      </c>
      <c r="F624" s="19"/>
      <c r="G624" s="20">
        <v>43441</v>
      </c>
      <c r="H624" s="20">
        <v>43441</v>
      </c>
      <c r="N624" s="16" t="s">
        <v>1878</v>
      </c>
      <c r="O624" s="7"/>
      <c r="P624" s="17"/>
    </row>
    <row r="625" spans="1:16" ht="14.25" customHeight="1">
      <c r="A625" s="5" t="s">
        <v>0</v>
      </c>
      <c r="B625" s="5" t="str">
        <f t="shared" si="5"/>
        <v>Y</v>
      </c>
      <c r="C625" s="18" t="s">
        <v>2066</v>
      </c>
      <c r="D625" s="18"/>
      <c r="E625" s="6" t="s">
        <v>2067</v>
      </c>
      <c r="F625" s="19"/>
      <c r="G625" s="20">
        <v>43441</v>
      </c>
      <c r="H625" s="20">
        <v>43441</v>
      </c>
      <c r="L625" s="6">
        <v>8825395036</v>
      </c>
      <c r="N625" s="16" t="s">
        <v>1878</v>
      </c>
      <c r="O625" s="7"/>
      <c r="P625" s="17"/>
    </row>
    <row r="626" spans="1:16" ht="14.25" customHeight="1">
      <c r="A626" s="5" t="s">
        <v>0</v>
      </c>
      <c r="B626" s="5" t="str">
        <f t="shared" si="5"/>
        <v>Y</v>
      </c>
      <c r="C626" s="18" t="s">
        <v>2068</v>
      </c>
      <c r="D626" s="18"/>
      <c r="E626" s="6" t="s">
        <v>2069</v>
      </c>
      <c r="F626" s="19"/>
      <c r="G626" s="20">
        <v>43441</v>
      </c>
      <c r="H626" s="20">
        <v>43441</v>
      </c>
      <c r="N626" s="16" t="s">
        <v>1527</v>
      </c>
      <c r="O626" s="7"/>
      <c r="P626" s="17"/>
    </row>
    <row r="627" spans="1:16" ht="14.25" customHeight="1">
      <c r="A627" s="5" t="s">
        <v>1840</v>
      </c>
      <c r="B627" s="5" t="str">
        <f t="shared" si="5"/>
        <v>Y</v>
      </c>
      <c r="C627" s="18" t="s">
        <v>2070</v>
      </c>
      <c r="D627" s="18"/>
      <c r="E627" s="6" t="s">
        <v>1749</v>
      </c>
      <c r="F627" s="19"/>
      <c r="G627" s="20">
        <v>43441</v>
      </c>
      <c r="H627" s="20">
        <v>43441</v>
      </c>
      <c r="M627" s="6">
        <v>0</v>
      </c>
      <c r="N627" s="16" t="s">
        <v>1527</v>
      </c>
      <c r="O627" s="7"/>
      <c r="P627" s="17"/>
    </row>
    <row r="628" spans="1:16" ht="14.25" customHeight="1">
      <c r="A628" s="5" t="s">
        <v>0</v>
      </c>
      <c r="B628" s="5" t="str">
        <f t="shared" si="5"/>
        <v>Y</v>
      </c>
      <c r="C628" s="18" t="s">
        <v>2071</v>
      </c>
      <c r="D628" s="18"/>
      <c r="E628" s="6" t="s">
        <v>2072</v>
      </c>
      <c r="F628" s="19"/>
      <c r="G628" s="20">
        <v>43441</v>
      </c>
      <c r="H628" s="20">
        <v>43441</v>
      </c>
      <c r="L628" s="6">
        <v>8002023325</v>
      </c>
      <c r="N628" s="16"/>
      <c r="O628" s="7"/>
      <c r="P628" s="17"/>
    </row>
    <row r="629" spans="1:16" ht="14.25" customHeight="1">
      <c r="A629" s="5" t="s">
        <v>0</v>
      </c>
      <c r="B629" s="5" t="str">
        <f t="shared" si="5"/>
        <v>Y</v>
      </c>
      <c r="C629" s="18" t="s">
        <v>2073</v>
      </c>
      <c r="D629" s="18"/>
      <c r="E629" s="6" t="s">
        <v>2074</v>
      </c>
      <c r="F629" s="19"/>
      <c r="G629" s="20">
        <v>43441</v>
      </c>
      <c r="H629" s="20">
        <v>43441</v>
      </c>
      <c r="L629" s="6">
        <v>9525218309</v>
      </c>
      <c r="N629" s="16"/>
      <c r="O629" s="7"/>
      <c r="P629" s="17"/>
    </row>
    <row r="630" spans="1:16" ht="14.25" customHeight="1">
      <c r="A630" s="5" t="s">
        <v>0</v>
      </c>
      <c r="B630" s="5" t="str">
        <f t="shared" si="5"/>
        <v>Y</v>
      </c>
      <c r="C630" s="18" t="s">
        <v>2075</v>
      </c>
      <c r="D630" s="18"/>
      <c r="E630" s="6" t="s">
        <v>2076</v>
      </c>
      <c r="F630" s="19"/>
      <c r="G630" s="20">
        <v>43441</v>
      </c>
      <c r="H630" s="20">
        <v>43441</v>
      </c>
      <c r="L630" s="6">
        <v>9905498895</v>
      </c>
      <c r="N630" s="16"/>
      <c r="O630" s="7"/>
      <c r="P630" s="17"/>
    </row>
    <row r="631" spans="1:16" ht="14.25" customHeight="1">
      <c r="A631" s="5" t="s">
        <v>0</v>
      </c>
      <c r="B631" s="5" t="str">
        <f t="shared" si="5"/>
        <v>Y</v>
      </c>
      <c r="C631" s="18" t="s">
        <v>2077</v>
      </c>
      <c r="D631" s="18"/>
      <c r="E631" s="6" t="s">
        <v>2078</v>
      </c>
      <c r="F631" s="19"/>
      <c r="G631" s="20">
        <v>43447</v>
      </c>
      <c r="H631" s="20">
        <v>43447</v>
      </c>
      <c r="L631" s="6">
        <v>7549410014</v>
      </c>
      <c r="N631" s="16" t="s">
        <v>1434</v>
      </c>
      <c r="O631" s="7"/>
      <c r="P631" s="17"/>
    </row>
    <row r="632" spans="1:16" ht="14.25" customHeight="1">
      <c r="A632" s="5" t="s">
        <v>0</v>
      </c>
      <c r="B632" s="5" t="str">
        <f t="shared" si="5"/>
        <v>Y</v>
      </c>
      <c r="C632" s="18" t="s">
        <v>2079</v>
      </c>
      <c r="D632" s="18"/>
      <c r="E632" s="6" t="s">
        <v>2080</v>
      </c>
      <c r="F632" s="19"/>
      <c r="G632" s="20">
        <v>43447</v>
      </c>
      <c r="H632" s="20">
        <v>43447</v>
      </c>
      <c r="L632" s="6">
        <v>8709014383</v>
      </c>
      <c r="N632" s="16" t="s">
        <v>1434</v>
      </c>
      <c r="O632" s="7"/>
      <c r="P632" s="17"/>
    </row>
    <row r="633" spans="1:16" ht="14.25" customHeight="1">
      <c r="A633" s="5" t="s">
        <v>0</v>
      </c>
      <c r="B633" s="5" t="str">
        <f t="shared" si="5"/>
        <v>Y</v>
      </c>
      <c r="C633" s="18" t="s">
        <v>2081</v>
      </c>
      <c r="D633" s="18"/>
      <c r="E633" s="6" t="s">
        <v>2082</v>
      </c>
      <c r="F633" s="19"/>
      <c r="G633" s="20">
        <v>43447</v>
      </c>
      <c r="H633" s="20">
        <v>43447</v>
      </c>
      <c r="L633" s="6">
        <v>8521633325</v>
      </c>
      <c r="N633" s="16" t="s">
        <v>1434</v>
      </c>
      <c r="O633" s="7"/>
      <c r="P633" s="17"/>
    </row>
    <row r="634" spans="1:16" ht="14.25" customHeight="1">
      <c r="A634" s="5" t="s">
        <v>0</v>
      </c>
      <c r="B634" s="5" t="str">
        <f t="shared" si="5"/>
        <v>Y</v>
      </c>
      <c r="C634" s="18" t="s">
        <v>2083</v>
      </c>
      <c r="D634" s="18"/>
      <c r="E634" s="6" t="s">
        <v>2084</v>
      </c>
      <c r="F634" s="19"/>
      <c r="G634" s="20">
        <v>43448</v>
      </c>
      <c r="H634" s="20">
        <v>43448</v>
      </c>
      <c r="L634" s="6">
        <v>8677887243</v>
      </c>
      <c r="N634" s="16" t="s">
        <v>1434</v>
      </c>
      <c r="O634" s="7"/>
      <c r="P634" s="17"/>
    </row>
    <row r="635" spans="1:16" ht="14.25" customHeight="1">
      <c r="A635" s="5" t="s">
        <v>0</v>
      </c>
      <c r="B635" s="5" t="str">
        <f t="shared" si="5"/>
        <v>Y</v>
      </c>
      <c r="C635" s="18" t="s">
        <v>2085</v>
      </c>
      <c r="D635" s="18"/>
      <c r="E635" s="6" t="s">
        <v>2086</v>
      </c>
      <c r="F635" s="19"/>
      <c r="G635" s="20">
        <v>43448</v>
      </c>
      <c r="H635" s="20">
        <v>43451</v>
      </c>
      <c r="L635" s="6">
        <v>9097188675</v>
      </c>
      <c r="N635" s="16"/>
      <c r="O635" s="7"/>
      <c r="P635" s="17"/>
    </row>
    <row r="636" spans="1:16" ht="14.25" customHeight="1">
      <c r="A636" s="5" t="s">
        <v>0</v>
      </c>
      <c r="B636" s="5" t="str">
        <f t="shared" si="5"/>
        <v>Y</v>
      </c>
      <c r="C636" s="18" t="s">
        <v>2087</v>
      </c>
      <c r="D636" s="18"/>
      <c r="E636" s="6" t="s">
        <v>2088</v>
      </c>
      <c r="F636" s="19"/>
      <c r="G636" s="20">
        <v>43448</v>
      </c>
      <c r="H636" s="20">
        <v>43448</v>
      </c>
      <c r="L636" s="6">
        <v>9097188675</v>
      </c>
      <c r="N636" s="16"/>
      <c r="O636" s="7"/>
      <c r="P636" s="17"/>
    </row>
    <row r="637" spans="1:16" ht="14.25" customHeight="1">
      <c r="A637" s="5" t="s">
        <v>0</v>
      </c>
      <c r="B637" s="5" t="str">
        <f t="shared" si="5"/>
        <v>Y</v>
      </c>
      <c r="C637" s="18" t="s">
        <v>2089</v>
      </c>
      <c r="D637" s="18"/>
      <c r="E637" s="6" t="s">
        <v>2090</v>
      </c>
      <c r="F637" s="19"/>
      <c r="G637" s="20">
        <v>43448</v>
      </c>
      <c r="H637" s="20">
        <v>43448</v>
      </c>
      <c r="N637" s="16" t="s">
        <v>1527</v>
      </c>
      <c r="O637" s="7"/>
      <c r="P637" s="17"/>
    </row>
    <row r="638" spans="1:16" ht="14.25" customHeight="1">
      <c r="A638" s="5" t="s">
        <v>0</v>
      </c>
      <c r="B638" s="5" t="str">
        <f t="shared" si="5"/>
        <v>Y</v>
      </c>
      <c r="C638" s="18" t="s">
        <v>2091</v>
      </c>
      <c r="D638" s="18"/>
      <c r="E638" s="6" t="s">
        <v>2092</v>
      </c>
      <c r="F638" s="19"/>
      <c r="G638" s="20">
        <v>43448</v>
      </c>
      <c r="H638" s="20">
        <v>43448</v>
      </c>
      <c r="N638" s="16" t="s">
        <v>1527</v>
      </c>
      <c r="O638" s="7"/>
      <c r="P638" s="17"/>
    </row>
    <row r="639" spans="1:16" ht="14.25" customHeight="1">
      <c r="A639" s="5" t="s">
        <v>0</v>
      </c>
      <c r="B639" s="5" t="str">
        <f t="shared" si="5"/>
        <v>Y</v>
      </c>
      <c r="C639" s="18" t="s">
        <v>2093</v>
      </c>
      <c r="D639" s="18"/>
      <c r="E639" s="6" t="s">
        <v>2094</v>
      </c>
      <c r="F639" s="19"/>
      <c r="G639" s="20">
        <v>43455</v>
      </c>
      <c r="H639" s="20">
        <v>43455</v>
      </c>
      <c r="L639" s="6">
        <v>9279068179</v>
      </c>
      <c r="N639" s="16"/>
      <c r="O639" s="7"/>
      <c r="P639" s="17"/>
    </row>
    <row r="640" spans="1:16" ht="14.25" customHeight="1">
      <c r="A640" s="5" t="s">
        <v>0</v>
      </c>
      <c r="B640" s="5" t="str">
        <f t="shared" si="5"/>
        <v>Y</v>
      </c>
      <c r="C640" s="18" t="s">
        <v>2095</v>
      </c>
      <c r="D640" s="18"/>
      <c r="E640" s="6" t="s">
        <v>2096</v>
      </c>
      <c r="F640" s="19"/>
      <c r="G640" s="20">
        <v>43449</v>
      </c>
      <c r="H640" s="20">
        <v>43449</v>
      </c>
      <c r="L640" s="6">
        <v>8298008633</v>
      </c>
      <c r="N640" s="16"/>
      <c r="O640" s="7"/>
      <c r="P640" s="17"/>
    </row>
    <row r="641" spans="1:16" ht="14.25" customHeight="1">
      <c r="A641" s="5" t="s">
        <v>0</v>
      </c>
      <c r="B641" s="5" t="str">
        <f t="shared" si="5"/>
        <v>Y</v>
      </c>
      <c r="C641" s="18" t="s">
        <v>2097</v>
      </c>
      <c r="D641" s="18"/>
      <c r="E641" s="6" t="s">
        <v>2098</v>
      </c>
      <c r="F641" s="19"/>
      <c r="G641" s="20">
        <v>43449</v>
      </c>
      <c r="H641" s="20">
        <v>43449</v>
      </c>
      <c r="L641" s="6">
        <v>9162013025</v>
      </c>
      <c r="N641" s="16"/>
      <c r="O641" s="7"/>
      <c r="P641" s="17"/>
    </row>
    <row r="642" spans="1:16" ht="14.25" customHeight="1">
      <c r="A642" s="5" t="s">
        <v>0</v>
      </c>
      <c r="B642" s="5" t="str">
        <f t="shared" si="5"/>
        <v>Y</v>
      </c>
      <c r="C642" s="6" t="s">
        <v>2099</v>
      </c>
      <c r="D642" s="6"/>
      <c r="E642" s="6" t="s">
        <v>2100</v>
      </c>
      <c r="F642" s="19"/>
      <c r="G642" s="20">
        <v>43451</v>
      </c>
      <c r="H642" s="20">
        <v>43451</v>
      </c>
      <c r="L642" s="6">
        <v>9570020243</v>
      </c>
      <c r="N642" s="16" t="s">
        <v>1527</v>
      </c>
      <c r="O642" s="7"/>
      <c r="P642" s="17"/>
    </row>
    <row r="643" spans="1:16" ht="14.25" customHeight="1">
      <c r="A643" s="5" t="s">
        <v>0</v>
      </c>
      <c r="B643" s="5" t="str">
        <f t="shared" si="5"/>
        <v>Y</v>
      </c>
      <c r="C643" s="18" t="s">
        <v>2101</v>
      </c>
      <c r="D643" s="18"/>
      <c r="E643" s="6" t="s">
        <v>2102</v>
      </c>
      <c r="F643" s="19"/>
      <c r="G643" s="20">
        <v>43451</v>
      </c>
      <c r="H643" s="20">
        <v>43451</v>
      </c>
      <c r="L643" s="6">
        <v>8051106869</v>
      </c>
      <c r="N643" s="16" t="s">
        <v>1527</v>
      </c>
      <c r="O643" s="7"/>
      <c r="P643" s="17"/>
    </row>
    <row r="644" spans="1:16" ht="14.25" customHeight="1">
      <c r="A644" s="5" t="s">
        <v>0</v>
      </c>
      <c r="B644" s="5" t="str">
        <f t="shared" si="5"/>
        <v>Y</v>
      </c>
      <c r="C644" s="18" t="s">
        <v>2103</v>
      </c>
      <c r="D644" s="18"/>
      <c r="E644" s="6" t="s">
        <v>2104</v>
      </c>
      <c r="F644" s="19"/>
      <c r="G644" s="20">
        <v>43451</v>
      </c>
      <c r="H644" s="20">
        <v>43451</v>
      </c>
      <c r="L644" s="6">
        <v>7488763916</v>
      </c>
      <c r="N644" s="16" t="s">
        <v>1527</v>
      </c>
      <c r="O644" s="7"/>
      <c r="P644" s="17"/>
    </row>
    <row r="645" spans="1:16" ht="14.25" customHeight="1">
      <c r="A645" s="5" t="s">
        <v>0</v>
      </c>
      <c r="B645" s="5" t="str">
        <f t="shared" si="5"/>
        <v>Y</v>
      </c>
      <c r="C645" s="18" t="s">
        <v>2105</v>
      </c>
      <c r="D645" s="18"/>
      <c r="E645" s="6" t="s">
        <v>2106</v>
      </c>
      <c r="F645" s="19"/>
      <c r="G645" s="20">
        <v>43451</v>
      </c>
      <c r="H645" s="20">
        <v>43451</v>
      </c>
      <c r="L645" s="6">
        <v>9801338870</v>
      </c>
      <c r="N645" s="16" t="s">
        <v>1527</v>
      </c>
      <c r="O645" s="7"/>
      <c r="P645" s="17"/>
    </row>
    <row r="646" spans="1:16" ht="14.25" customHeight="1">
      <c r="A646" s="5" t="s">
        <v>0</v>
      </c>
      <c r="B646" s="5" t="str">
        <f t="shared" si="5"/>
        <v>Y</v>
      </c>
      <c r="C646" s="18" t="s">
        <v>2107</v>
      </c>
      <c r="D646" s="18"/>
      <c r="E646" s="6" t="s">
        <v>2108</v>
      </c>
      <c r="F646" s="19"/>
      <c r="G646" s="20">
        <v>43451</v>
      </c>
      <c r="H646" s="20">
        <v>43455</v>
      </c>
      <c r="L646" s="6">
        <v>9931568780</v>
      </c>
      <c r="N646" s="16"/>
      <c r="O646" s="7"/>
      <c r="P646" s="17"/>
    </row>
    <row r="647" spans="1:16" ht="14.25" customHeight="1">
      <c r="A647" s="5" t="s">
        <v>0</v>
      </c>
      <c r="B647" s="5" t="str">
        <f t="shared" si="5"/>
        <v>Y</v>
      </c>
      <c r="C647" s="18" t="s">
        <v>2109</v>
      </c>
      <c r="D647" s="18"/>
      <c r="E647" s="6" t="s">
        <v>2110</v>
      </c>
      <c r="F647" s="19"/>
      <c r="G647" s="20">
        <v>43453</v>
      </c>
      <c r="H647" s="20">
        <v>43461</v>
      </c>
      <c r="L647" s="6">
        <v>7488267183</v>
      </c>
      <c r="N647" s="16"/>
      <c r="O647" s="7"/>
      <c r="P647" s="17"/>
    </row>
    <row r="648" spans="1:16" ht="14.25" customHeight="1">
      <c r="A648" s="5" t="s">
        <v>0</v>
      </c>
      <c r="B648" s="5" t="str">
        <f t="shared" si="5"/>
        <v>Y</v>
      </c>
      <c r="C648" s="18" t="s">
        <v>2111</v>
      </c>
      <c r="D648" s="18"/>
      <c r="E648" s="6" t="s">
        <v>2112</v>
      </c>
      <c r="F648" s="19"/>
      <c r="G648" s="20">
        <v>43454</v>
      </c>
      <c r="H648" s="20">
        <v>43455</v>
      </c>
      <c r="L648" s="6">
        <v>8797264873</v>
      </c>
      <c r="N648" s="16"/>
      <c r="O648" s="7"/>
      <c r="P648" s="17"/>
    </row>
    <row r="649" spans="1:16" ht="14.25" customHeight="1">
      <c r="A649" s="5" t="s">
        <v>0</v>
      </c>
      <c r="B649" s="5" t="str">
        <f t="shared" si="5"/>
        <v>Y</v>
      </c>
      <c r="C649" s="18" t="s">
        <v>2113</v>
      </c>
      <c r="D649" s="18"/>
      <c r="E649" s="6" t="s">
        <v>2114</v>
      </c>
      <c r="F649" s="19"/>
      <c r="G649" s="20">
        <v>43454</v>
      </c>
      <c r="H649" s="20">
        <v>43455</v>
      </c>
      <c r="L649" s="6">
        <v>7209601025</v>
      </c>
      <c r="N649" s="16"/>
      <c r="O649" s="7"/>
      <c r="P649" s="17"/>
    </row>
    <row r="650" spans="1:16" ht="14.25" customHeight="1">
      <c r="A650" s="5" t="s">
        <v>0</v>
      </c>
      <c r="B650" s="5" t="str">
        <f t="shared" si="5"/>
        <v>Y</v>
      </c>
      <c r="C650" s="18" t="s">
        <v>2115</v>
      </c>
      <c r="D650" s="18"/>
      <c r="E650" s="6" t="s">
        <v>2116</v>
      </c>
      <c r="F650" s="19"/>
      <c r="G650" s="20">
        <v>43454</v>
      </c>
      <c r="H650" s="20">
        <v>43455</v>
      </c>
      <c r="L650" s="6">
        <v>8825309927</v>
      </c>
      <c r="N650" s="16"/>
      <c r="O650" s="7"/>
      <c r="P650" s="17"/>
    </row>
    <row r="651" spans="1:16" ht="14.25" customHeight="1">
      <c r="A651" s="5" t="s">
        <v>0</v>
      </c>
      <c r="B651" s="5" t="str">
        <f t="shared" si="5"/>
        <v>Y</v>
      </c>
      <c r="C651" s="18" t="s">
        <v>2117</v>
      </c>
      <c r="D651" s="18"/>
      <c r="E651" s="6" t="s">
        <v>2118</v>
      </c>
      <c r="F651" s="19"/>
      <c r="G651" s="20">
        <v>43454</v>
      </c>
      <c r="H651" s="20">
        <v>43455</v>
      </c>
      <c r="L651" s="6">
        <v>7631028281</v>
      </c>
      <c r="N651" s="16"/>
      <c r="O651" s="7"/>
      <c r="P651" s="17"/>
    </row>
    <row r="652" spans="1:16" ht="14.25" customHeight="1">
      <c r="A652" s="5" t="s">
        <v>0</v>
      </c>
      <c r="B652" s="5" t="str">
        <f t="shared" si="5"/>
        <v>Y</v>
      </c>
      <c r="C652" s="18" t="s">
        <v>2119</v>
      </c>
      <c r="D652" s="18"/>
      <c r="E652" s="6" t="s">
        <v>2120</v>
      </c>
      <c r="F652" s="19"/>
      <c r="G652" s="20">
        <v>43454</v>
      </c>
      <c r="H652" s="20">
        <v>43455</v>
      </c>
      <c r="L652" s="6">
        <v>8434669854</v>
      </c>
      <c r="N652" s="16"/>
      <c r="O652" s="7"/>
      <c r="P652" s="17"/>
    </row>
    <row r="653" spans="1:16" ht="14.25" customHeight="1">
      <c r="A653" s="5" t="s">
        <v>0</v>
      </c>
      <c r="B653" s="5" t="str">
        <f t="shared" si="5"/>
        <v>Y</v>
      </c>
      <c r="C653" s="18" t="s">
        <v>2121</v>
      </c>
      <c r="D653" s="18"/>
      <c r="E653" s="6" t="s">
        <v>2122</v>
      </c>
      <c r="F653" s="19"/>
      <c r="G653" s="20">
        <v>43455</v>
      </c>
      <c r="H653" s="20">
        <v>43457</v>
      </c>
      <c r="L653" s="6">
        <v>7209978936</v>
      </c>
      <c r="N653" s="16" t="s">
        <v>1434</v>
      </c>
      <c r="O653" s="7"/>
      <c r="P653" s="17"/>
    </row>
    <row r="654" spans="1:16" ht="14.25" customHeight="1">
      <c r="A654" s="5" t="s">
        <v>0</v>
      </c>
      <c r="B654" s="5" t="str">
        <f t="shared" si="5"/>
        <v>Y</v>
      </c>
      <c r="C654" s="18" t="s">
        <v>2123</v>
      </c>
      <c r="D654" s="18"/>
      <c r="E654" s="6" t="s">
        <v>2124</v>
      </c>
      <c r="F654" s="19"/>
      <c r="G654" s="20">
        <v>43456</v>
      </c>
      <c r="H654" s="20">
        <v>43457</v>
      </c>
      <c r="L654" s="6">
        <v>7209978936</v>
      </c>
      <c r="N654" s="16" t="s">
        <v>1434</v>
      </c>
      <c r="O654" s="7"/>
      <c r="P654" s="17"/>
    </row>
    <row r="655" spans="1:16" ht="14.25" customHeight="1">
      <c r="A655" s="5" t="s">
        <v>0</v>
      </c>
      <c r="B655" s="5" t="str">
        <f t="shared" si="5"/>
        <v>Y</v>
      </c>
      <c r="C655" s="18" t="s">
        <v>2125</v>
      </c>
      <c r="D655" s="18"/>
      <c r="E655" s="6" t="s">
        <v>2126</v>
      </c>
      <c r="F655" s="19"/>
      <c r="G655" s="20">
        <v>43456</v>
      </c>
      <c r="H655" s="20">
        <v>43457</v>
      </c>
      <c r="L655" s="6">
        <v>8235280043</v>
      </c>
      <c r="N655" s="16"/>
      <c r="O655" s="7"/>
      <c r="P655" s="17"/>
    </row>
    <row r="656" spans="1:16" ht="14.25" customHeight="1">
      <c r="A656" s="5" t="s">
        <v>0</v>
      </c>
      <c r="B656" s="5" t="str">
        <f t="shared" si="5"/>
        <v>Y</v>
      </c>
      <c r="C656" s="18" t="s">
        <v>2127</v>
      </c>
      <c r="D656" s="18"/>
      <c r="E656" s="6" t="s">
        <v>2128</v>
      </c>
      <c r="F656" s="19"/>
      <c r="G656" s="20">
        <v>43456</v>
      </c>
      <c r="H656" s="20">
        <v>43456</v>
      </c>
      <c r="N656" s="16"/>
      <c r="O656" s="7"/>
      <c r="P656" s="17"/>
    </row>
    <row r="657" spans="1:16" ht="14.25" customHeight="1">
      <c r="A657" s="5" t="s">
        <v>0</v>
      </c>
      <c r="B657" s="5" t="str">
        <f t="shared" si="5"/>
        <v>Y</v>
      </c>
      <c r="C657" s="18" t="s">
        <v>2129</v>
      </c>
      <c r="D657" s="18"/>
      <c r="E657" s="6" t="s">
        <v>2130</v>
      </c>
      <c r="F657" s="19"/>
      <c r="G657" s="20">
        <v>43457</v>
      </c>
      <c r="H657" s="20">
        <v>43457</v>
      </c>
      <c r="L657" s="6">
        <v>8809498968</v>
      </c>
      <c r="N657" s="16"/>
      <c r="O657" s="7"/>
      <c r="P657" s="17"/>
    </row>
    <row r="658" spans="1:16" ht="14.25" customHeight="1">
      <c r="A658" s="5" t="s">
        <v>0</v>
      </c>
      <c r="B658" s="5" t="str">
        <f t="shared" si="5"/>
        <v>Y</v>
      </c>
      <c r="C658" s="18" t="s">
        <v>2131</v>
      </c>
      <c r="D658" s="18"/>
      <c r="E658" s="6" t="s">
        <v>2132</v>
      </c>
      <c r="F658" s="19"/>
      <c r="G658" s="20">
        <v>43460</v>
      </c>
      <c r="H658" s="20">
        <v>43460</v>
      </c>
      <c r="L658" s="6">
        <v>7488965713</v>
      </c>
      <c r="N658" s="16"/>
      <c r="O658" s="7"/>
      <c r="P658" s="17"/>
    </row>
    <row r="659" spans="1:16" ht="14.25" customHeight="1">
      <c r="A659" s="5" t="s">
        <v>0</v>
      </c>
      <c r="B659" s="5" t="str">
        <f t="shared" si="5"/>
        <v>Y</v>
      </c>
      <c r="C659" s="81" t="s">
        <v>2133</v>
      </c>
      <c r="D659" s="81"/>
      <c r="E659" s="6" t="s">
        <v>2134</v>
      </c>
      <c r="F659" s="19"/>
      <c r="G659" s="20">
        <v>43460</v>
      </c>
      <c r="H659" s="20">
        <v>43460</v>
      </c>
      <c r="L659" s="6">
        <v>8987545034</v>
      </c>
      <c r="N659" s="16"/>
      <c r="O659" s="7"/>
      <c r="P659" s="17"/>
    </row>
    <row r="660" spans="1:16" ht="14.25" customHeight="1">
      <c r="A660" s="5" t="s">
        <v>0</v>
      </c>
      <c r="B660" s="5" t="str">
        <f t="shared" si="5"/>
        <v>Y</v>
      </c>
      <c r="C660" s="18" t="s">
        <v>2135</v>
      </c>
      <c r="D660" s="18"/>
      <c r="E660" s="6" t="s">
        <v>2136</v>
      </c>
      <c r="F660" s="19"/>
      <c r="G660" s="20">
        <v>43460</v>
      </c>
      <c r="H660" s="20">
        <v>43460</v>
      </c>
      <c r="L660" s="6">
        <v>9973914277</v>
      </c>
      <c r="N660" s="16" t="s">
        <v>1527</v>
      </c>
      <c r="O660" s="7"/>
      <c r="P660" s="17"/>
    </row>
    <row r="661" spans="1:16" ht="14.25" customHeight="1">
      <c r="A661" s="5" t="s">
        <v>0</v>
      </c>
      <c r="B661" s="5" t="str">
        <f t="shared" si="5"/>
        <v>Y</v>
      </c>
      <c r="C661" s="18" t="s">
        <v>2137</v>
      </c>
      <c r="D661" s="18"/>
      <c r="E661" s="6" t="s">
        <v>2138</v>
      </c>
      <c r="F661" s="19"/>
      <c r="G661" s="20">
        <v>43464</v>
      </c>
      <c r="H661" s="20">
        <v>43468</v>
      </c>
      <c r="L661" s="6">
        <v>6205519668</v>
      </c>
      <c r="N661" s="16" t="s">
        <v>1527</v>
      </c>
      <c r="O661" s="7"/>
      <c r="P661" s="17"/>
    </row>
    <row r="662" spans="1:16" ht="14.25" customHeight="1">
      <c r="A662" s="5" t="s">
        <v>0</v>
      </c>
      <c r="B662" s="5" t="str">
        <f t="shared" si="5"/>
        <v>Y</v>
      </c>
      <c r="C662" s="18" t="s">
        <v>2139</v>
      </c>
      <c r="D662" s="18"/>
      <c r="E662" s="6" t="s">
        <v>1804</v>
      </c>
      <c r="F662" s="19"/>
      <c r="G662" s="20">
        <v>43461</v>
      </c>
      <c r="H662" s="20">
        <v>43461</v>
      </c>
      <c r="L662" s="6">
        <v>7985722560</v>
      </c>
      <c r="N662" s="16" t="s">
        <v>1527</v>
      </c>
      <c r="O662" s="7"/>
      <c r="P662" s="17"/>
    </row>
    <row r="663" spans="1:16" ht="14.25" customHeight="1">
      <c r="A663" s="5" t="s">
        <v>0</v>
      </c>
      <c r="B663" s="5" t="str">
        <f t="shared" si="5"/>
        <v>Y</v>
      </c>
      <c r="C663" s="18" t="s">
        <v>2140</v>
      </c>
      <c r="D663" s="18"/>
      <c r="E663" s="6" t="s">
        <v>2141</v>
      </c>
      <c r="F663" s="19"/>
      <c r="G663" s="20">
        <v>43462</v>
      </c>
      <c r="H663" s="20">
        <v>43463</v>
      </c>
      <c r="L663" s="6">
        <v>6205658028</v>
      </c>
      <c r="N663" s="16"/>
      <c r="O663" s="7"/>
      <c r="P663" s="17"/>
    </row>
    <row r="664" spans="1:16" ht="14.25" customHeight="1">
      <c r="A664" s="5" t="s">
        <v>0</v>
      </c>
      <c r="B664" s="5" t="str">
        <f t="shared" si="5"/>
        <v>Y</v>
      </c>
      <c r="C664" s="18" t="s">
        <v>2142</v>
      </c>
      <c r="D664" s="18"/>
      <c r="E664" s="6" t="s">
        <v>773</v>
      </c>
      <c r="F664" s="19"/>
      <c r="G664" s="20">
        <v>43463</v>
      </c>
      <c r="H664" s="20">
        <v>43465</v>
      </c>
      <c r="L664" s="6">
        <v>7488965713</v>
      </c>
      <c r="N664" s="16"/>
      <c r="O664" s="7"/>
      <c r="P664" s="17"/>
    </row>
    <row r="665" spans="1:16" ht="14.25" customHeight="1">
      <c r="A665" s="5" t="s">
        <v>0</v>
      </c>
      <c r="B665" s="5" t="str">
        <f t="shared" si="5"/>
        <v>Y</v>
      </c>
      <c r="C665" s="18" t="s">
        <v>2143</v>
      </c>
      <c r="D665" s="18"/>
      <c r="E665" s="6" t="s">
        <v>1588</v>
      </c>
      <c r="F665" s="19"/>
      <c r="G665" s="20">
        <v>43465</v>
      </c>
      <c r="H665" s="20">
        <v>43466</v>
      </c>
      <c r="L665" s="6">
        <v>9570206247</v>
      </c>
      <c r="N665" s="16"/>
      <c r="O665" s="7"/>
      <c r="P665" s="17"/>
    </row>
    <row r="666" spans="1:16" ht="14.25" customHeight="1">
      <c r="A666" s="5" t="s">
        <v>0</v>
      </c>
      <c r="B666" s="5" t="str">
        <f t="shared" si="5"/>
        <v>Y</v>
      </c>
      <c r="C666" s="18" t="s">
        <v>2144</v>
      </c>
      <c r="D666" s="18"/>
      <c r="E666" s="6" t="s">
        <v>2145</v>
      </c>
      <c r="F666" s="19"/>
      <c r="G666" s="20">
        <v>43465</v>
      </c>
      <c r="H666" s="20">
        <v>43466</v>
      </c>
      <c r="L666" s="6">
        <v>9570206247</v>
      </c>
      <c r="N666" s="16"/>
      <c r="O666" s="7"/>
      <c r="P666" s="17"/>
    </row>
    <row r="667" spans="1:16" ht="14.25" customHeight="1">
      <c r="A667" s="5" t="s">
        <v>0</v>
      </c>
      <c r="B667" s="5" t="str">
        <f t="shared" si="5"/>
        <v>Y</v>
      </c>
      <c r="C667" s="6" t="s">
        <v>2146</v>
      </c>
      <c r="D667" s="6"/>
      <c r="E667" s="6" t="s">
        <v>2000</v>
      </c>
      <c r="F667" s="19"/>
      <c r="G667" s="20">
        <v>43465</v>
      </c>
      <c r="H667" s="20">
        <v>43103</v>
      </c>
      <c r="N667" s="16" t="s">
        <v>1527</v>
      </c>
      <c r="O667" s="7"/>
      <c r="P667" s="17"/>
    </row>
    <row r="668" spans="1:16" ht="14.25" customHeight="1">
      <c r="A668" s="5" t="s">
        <v>0</v>
      </c>
      <c r="B668" s="5" t="str">
        <f t="shared" si="5"/>
        <v>Y</v>
      </c>
      <c r="C668" s="18" t="s">
        <v>2147</v>
      </c>
      <c r="D668" s="18"/>
      <c r="E668" s="6" t="s">
        <v>2148</v>
      </c>
      <c r="F668" s="19"/>
      <c r="G668" s="20">
        <v>43469</v>
      </c>
      <c r="H668" s="20">
        <v>43469</v>
      </c>
      <c r="L668" s="6">
        <v>8340395527</v>
      </c>
      <c r="N668" s="16" t="s">
        <v>1527</v>
      </c>
      <c r="O668" s="7"/>
      <c r="P668" s="17"/>
    </row>
    <row r="669" spans="1:16" ht="14.25" customHeight="1">
      <c r="A669" s="5" t="s">
        <v>0</v>
      </c>
      <c r="B669" s="5" t="str">
        <f t="shared" si="5"/>
        <v>Y</v>
      </c>
      <c r="C669" s="18" t="s">
        <v>2149</v>
      </c>
      <c r="D669" s="18"/>
      <c r="E669" s="6" t="s">
        <v>2150</v>
      </c>
      <c r="F669" s="19"/>
      <c r="G669" s="20">
        <v>43469</v>
      </c>
      <c r="H669" s="20">
        <v>43469</v>
      </c>
      <c r="L669" s="6">
        <v>8252313399</v>
      </c>
      <c r="N669" s="16" t="s">
        <v>1527</v>
      </c>
      <c r="O669" s="7"/>
      <c r="P669" s="17"/>
    </row>
    <row r="670" spans="1:16" ht="14.25" customHeight="1">
      <c r="A670" s="5" t="s">
        <v>0</v>
      </c>
      <c r="B670" s="5" t="str">
        <f t="shared" si="5"/>
        <v>Y</v>
      </c>
      <c r="C670" s="18" t="s">
        <v>2151</v>
      </c>
      <c r="D670" s="18"/>
      <c r="E670" s="6" t="s">
        <v>2152</v>
      </c>
      <c r="F670" s="19"/>
      <c r="G670" s="20">
        <v>43469</v>
      </c>
      <c r="H670" s="20">
        <v>43469</v>
      </c>
      <c r="L670" s="6">
        <v>9304117430</v>
      </c>
      <c r="N670" s="16" t="s">
        <v>1527</v>
      </c>
      <c r="O670" s="7"/>
      <c r="P670" s="17"/>
    </row>
    <row r="671" spans="1:16" ht="14.25" customHeight="1">
      <c r="A671" s="5" t="s">
        <v>0</v>
      </c>
      <c r="B671" s="5" t="str">
        <f t="shared" si="5"/>
        <v>Y</v>
      </c>
      <c r="C671" s="18" t="s">
        <v>2153</v>
      </c>
      <c r="D671" s="18"/>
      <c r="E671" s="6" t="s">
        <v>2154</v>
      </c>
      <c r="F671" s="19"/>
      <c r="G671" s="20">
        <v>43469</v>
      </c>
      <c r="H671" s="20">
        <v>43469</v>
      </c>
      <c r="L671" s="6">
        <v>8539971029</v>
      </c>
      <c r="N671" s="16" t="s">
        <v>1527</v>
      </c>
      <c r="O671" s="7"/>
      <c r="P671" s="17"/>
    </row>
    <row r="672" spans="1:16" ht="14.25" customHeight="1">
      <c r="A672" s="5" t="s">
        <v>0</v>
      </c>
      <c r="B672" s="5" t="str">
        <f t="shared" si="5"/>
        <v>Y</v>
      </c>
      <c r="C672" s="18" t="s">
        <v>2155</v>
      </c>
      <c r="D672" s="18"/>
      <c r="E672" s="6" t="s">
        <v>2156</v>
      </c>
      <c r="F672" s="19"/>
      <c r="G672" s="20">
        <v>43469</v>
      </c>
      <c r="H672" s="20">
        <v>43469</v>
      </c>
      <c r="L672" s="6">
        <v>7209399124</v>
      </c>
      <c r="N672" s="16" t="s">
        <v>1527</v>
      </c>
      <c r="O672" s="7"/>
      <c r="P672" s="17"/>
    </row>
    <row r="673" spans="1:16" ht="14.25" customHeight="1">
      <c r="A673" s="5" t="s">
        <v>0</v>
      </c>
      <c r="B673" s="5" t="str">
        <f t="shared" si="5"/>
        <v>N</v>
      </c>
      <c r="C673" s="18" t="s">
        <v>2157</v>
      </c>
      <c r="D673" s="18"/>
      <c r="E673" s="6" t="s">
        <v>2158</v>
      </c>
      <c r="F673" s="19"/>
      <c r="G673" s="20">
        <v>43469</v>
      </c>
      <c r="H673" s="20"/>
      <c r="L673" s="6">
        <v>8709607874</v>
      </c>
      <c r="N673" s="16"/>
      <c r="O673" s="7"/>
      <c r="P673" s="17"/>
    </row>
    <row r="674" spans="1:16" ht="14.25" customHeight="1">
      <c r="A674" s="5" t="s">
        <v>0</v>
      </c>
      <c r="B674" s="5" t="str">
        <f t="shared" si="5"/>
        <v>Y</v>
      </c>
      <c r="C674" s="18" t="s">
        <v>2159</v>
      </c>
      <c r="D674" s="18"/>
      <c r="E674" s="6" t="s">
        <v>2160</v>
      </c>
      <c r="F674" s="19"/>
      <c r="G674" s="20">
        <v>43469</v>
      </c>
      <c r="H674" s="20">
        <v>43469</v>
      </c>
      <c r="L674" s="6">
        <v>9204611594</v>
      </c>
      <c r="N674" s="16" t="s">
        <v>1527</v>
      </c>
      <c r="O674" s="7"/>
      <c r="P674" s="17"/>
    </row>
    <row r="675" spans="1:16" ht="14.25" customHeight="1">
      <c r="A675" s="5" t="s">
        <v>0</v>
      </c>
      <c r="B675" s="5" t="str">
        <f t="shared" si="5"/>
        <v>Y</v>
      </c>
      <c r="C675" s="18" t="s">
        <v>2161</v>
      </c>
      <c r="D675" s="18"/>
      <c r="E675" s="6" t="s">
        <v>2162</v>
      </c>
      <c r="F675" s="19"/>
      <c r="G675" s="20">
        <v>43469</v>
      </c>
      <c r="H675" s="20">
        <v>43469</v>
      </c>
      <c r="L675" s="6">
        <v>9204611594</v>
      </c>
      <c r="N675" s="16" t="s">
        <v>1527</v>
      </c>
      <c r="O675" s="7"/>
      <c r="P675" s="17"/>
    </row>
    <row r="676" spans="1:16" ht="14.25" customHeight="1">
      <c r="A676" s="5" t="s">
        <v>0</v>
      </c>
      <c r="B676" s="5" t="str">
        <f t="shared" si="5"/>
        <v>Y</v>
      </c>
      <c r="C676" s="18" t="s">
        <v>2163</v>
      </c>
      <c r="D676" s="18"/>
      <c r="E676" s="6" t="s">
        <v>2164</v>
      </c>
      <c r="F676" s="19"/>
      <c r="G676" s="20">
        <v>43469</v>
      </c>
      <c r="H676" s="20">
        <v>43471</v>
      </c>
      <c r="L676" s="6">
        <v>8340742270</v>
      </c>
      <c r="N676" s="16"/>
      <c r="O676" s="7"/>
      <c r="P676" s="17"/>
    </row>
    <row r="677" spans="1:16" ht="14.25" customHeight="1">
      <c r="A677" s="5" t="s">
        <v>0</v>
      </c>
      <c r="B677" s="5" t="str">
        <f t="shared" si="5"/>
        <v>Y</v>
      </c>
      <c r="C677" s="18" t="s">
        <v>2165</v>
      </c>
      <c r="D677" s="18"/>
      <c r="E677" s="6" t="s">
        <v>2166</v>
      </c>
      <c r="F677" s="19"/>
      <c r="G677" s="20">
        <v>43469</v>
      </c>
      <c r="H677" s="20">
        <v>43471</v>
      </c>
      <c r="L677" s="6">
        <v>8825227887</v>
      </c>
      <c r="N677" s="16"/>
      <c r="O677" s="7"/>
      <c r="P677" s="17"/>
    </row>
    <row r="678" spans="1:16" ht="14.25" customHeight="1">
      <c r="A678" s="5" t="s">
        <v>0</v>
      </c>
      <c r="B678" s="5" t="str">
        <f t="shared" si="5"/>
        <v>Y</v>
      </c>
      <c r="C678" s="18" t="s">
        <v>2167</v>
      </c>
      <c r="D678" s="18"/>
      <c r="E678" s="6" t="s">
        <v>2168</v>
      </c>
      <c r="F678" s="19"/>
      <c r="G678" s="20">
        <v>43471</v>
      </c>
      <c r="H678" s="20">
        <v>43471</v>
      </c>
      <c r="L678" s="6">
        <v>9934180856</v>
      </c>
      <c r="N678" s="16"/>
      <c r="O678" s="7"/>
      <c r="P678" s="17"/>
    </row>
    <row r="679" spans="1:16" ht="14.25" customHeight="1">
      <c r="A679" s="5" t="s">
        <v>0</v>
      </c>
      <c r="B679" s="5" t="str">
        <f t="shared" si="5"/>
        <v>Y</v>
      </c>
      <c r="C679" s="18" t="s">
        <v>2169</v>
      </c>
      <c r="D679" s="18"/>
      <c r="E679" s="6" t="s">
        <v>2170</v>
      </c>
      <c r="F679" s="19"/>
      <c r="G679" s="20">
        <v>43473</v>
      </c>
      <c r="H679" s="20">
        <v>43473</v>
      </c>
      <c r="L679" s="6">
        <v>6201195600</v>
      </c>
      <c r="N679" s="16"/>
      <c r="O679" s="7"/>
      <c r="P679" s="17"/>
    </row>
    <row r="680" spans="1:16" ht="14.25" customHeight="1">
      <c r="A680" s="5" t="s">
        <v>0</v>
      </c>
      <c r="B680" s="5" t="str">
        <f t="shared" si="5"/>
        <v>Y</v>
      </c>
      <c r="C680" s="18" t="s">
        <v>2171</v>
      </c>
      <c r="D680" s="18"/>
      <c r="E680" s="6" t="s">
        <v>2172</v>
      </c>
      <c r="F680" s="19"/>
      <c r="G680" s="20">
        <v>43473</v>
      </c>
      <c r="H680" s="20">
        <v>43473</v>
      </c>
      <c r="L680" s="6">
        <v>6202046272</v>
      </c>
      <c r="N680" s="16"/>
      <c r="O680" s="7"/>
      <c r="P680" s="17"/>
    </row>
    <row r="681" spans="1:16" ht="14.25" customHeight="1">
      <c r="A681" s="5" t="s">
        <v>0</v>
      </c>
      <c r="B681" s="5" t="str">
        <f t="shared" si="5"/>
        <v>Y</v>
      </c>
      <c r="C681" s="18" t="s">
        <v>2171</v>
      </c>
      <c r="D681" s="18"/>
      <c r="E681" s="6" t="s">
        <v>2173</v>
      </c>
      <c r="F681" s="19"/>
      <c r="G681" s="20">
        <v>43473</v>
      </c>
      <c r="H681" s="20">
        <v>43473</v>
      </c>
      <c r="L681" s="6">
        <v>8340467676</v>
      </c>
      <c r="N681" s="16"/>
      <c r="O681" s="7"/>
      <c r="P681" s="17"/>
    </row>
    <row r="682" spans="1:16" ht="14.25" customHeight="1">
      <c r="A682" s="5" t="s">
        <v>0</v>
      </c>
      <c r="B682" s="5" t="str">
        <f t="shared" si="5"/>
        <v>Y</v>
      </c>
      <c r="C682" s="18" t="s">
        <v>2174</v>
      </c>
      <c r="D682" s="18"/>
      <c r="E682" s="6" t="s">
        <v>2175</v>
      </c>
      <c r="F682" s="19"/>
      <c r="G682" s="20">
        <v>43473</v>
      </c>
      <c r="H682" s="20">
        <v>43473</v>
      </c>
      <c r="L682" s="6">
        <v>7247234588</v>
      </c>
      <c r="N682" s="16"/>
      <c r="O682" s="7"/>
      <c r="P682" s="17"/>
    </row>
    <row r="683" spans="1:16" ht="14.25" customHeight="1">
      <c r="A683" s="5" t="s">
        <v>0</v>
      </c>
      <c r="B683" s="5" t="str">
        <f t="shared" si="5"/>
        <v>Y</v>
      </c>
      <c r="C683" s="18" t="s">
        <v>2176</v>
      </c>
      <c r="D683" s="18"/>
      <c r="E683" s="6" t="s">
        <v>2177</v>
      </c>
      <c r="F683" s="19"/>
      <c r="G683" s="20">
        <v>43473</v>
      </c>
      <c r="H683" s="20">
        <v>43474</v>
      </c>
      <c r="L683" s="6">
        <v>8340467676</v>
      </c>
      <c r="N683" s="16"/>
      <c r="O683" s="7"/>
      <c r="P683" s="17"/>
    </row>
    <row r="684" spans="1:16" ht="14.25" customHeight="1">
      <c r="A684" s="5" t="s">
        <v>0</v>
      </c>
      <c r="B684" s="5" t="str">
        <f t="shared" si="5"/>
        <v>Y</v>
      </c>
      <c r="C684" s="18" t="s">
        <v>2178</v>
      </c>
      <c r="D684" s="18"/>
      <c r="E684" s="6" t="s">
        <v>2179</v>
      </c>
      <c r="F684" s="19"/>
      <c r="G684" s="20">
        <v>43474</v>
      </c>
      <c r="H684" s="20">
        <v>43474</v>
      </c>
      <c r="L684" s="6">
        <v>7367005833</v>
      </c>
      <c r="N684" s="16"/>
      <c r="O684" s="7"/>
      <c r="P684" s="17"/>
    </row>
    <row r="685" spans="1:16" ht="14.25" customHeight="1">
      <c r="A685" s="5" t="s">
        <v>0</v>
      </c>
      <c r="B685" s="5" t="str">
        <f t="shared" si="5"/>
        <v>Y</v>
      </c>
      <c r="C685" s="18" t="s">
        <v>2180</v>
      </c>
      <c r="D685" s="18"/>
      <c r="E685" s="6" t="s">
        <v>2181</v>
      </c>
      <c r="F685" s="19"/>
      <c r="G685" s="20">
        <v>43474</v>
      </c>
      <c r="H685" s="20">
        <v>43474</v>
      </c>
      <c r="L685" s="6">
        <v>7633966747</v>
      </c>
      <c r="N685" s="16"/>
      <c r="O685" s="7"/>
      <c r="P685" s="17"/>
    </row>
    <row r="686" spans="1:16" ht="14.25" customHeight="1">
      <c r="A686" s="5" t="s">
        <v>0</v>
      </c>
      <c r="B686" s="5" t="str">
        <f t="shared" si="5"/>
        <v>Y</v>
      </c>
      <c r="C686" s="18" t="s">
        <v>2182</v>
      </c>
      <c r="D686" s="18"/>
      <c r="E686" s="6" t="s">
        <v>2183</v>
      </c>
      <c r="F686" s="19"/>
      <c r="G686" s="20">
        <v>43474</v>
      </c>
      <c r="H686" s="20">
        <v>43474</v>
      </c>
      <c r="L686" s="6">
        <v>8825343518</v>
      </c>
      <c r="N686" s="16"/>
      <c r="O686" s="7"/>
      <c r="P686" s="17"/>
    </row>
    <row r="687" spans="1:16" ht="14.25" customHeight="1">
      <c r="A687" s="5"/>
      <c r="B687" s="5" t="str">
        <f t="shared" si="5"/>
        <v>Y</v>
      </c>
      <c r="C687" s="18" t="s">
        <v>2184</v>
      </c>
      <c r="D687" s="18"/>
      <c r="E687" s="6" t="s">
        <v>695</v>
      </c>
      <c r="F687" s="19"/>
      <c r="G687" s="20">
        <v>43475</v>
      </c>
      <c r="H687" s="20">
        <v>43484</v>
      </c>
      <c r="L687" s="6">
        <v>9386741691</v>
      </c>
      <c r="N687" s="16"/>
      <c r="O687" s="7"/>
      <c r="P687" s="17"/>
    </row>
    <row r="688" spans="1:16" ht="14.25" customHeight="1">
      <c r="A688" s="5" t="s">
        <v>0</v>
      </c>
      <c r="B688" s="5" t="str">
        <f t="shared" si="5"/>
        <v>Y</v>
      </c>
      <c r="C688" s="18" t="s">
        <v>2185</v>
      </c>
      <c r="D688" s="18"/>
      <c r="E688" s="6" t="s">
        <v>2186</v>
      </c>
      <c r="F688" s="19"/>
      <c r="G688" s="20">
        <v>43475</v>
      </c>
      <c r="H688" s="20">
        <v>43476</v>
      </c>
      <c r="L688" s="6">
        <v>6200104266</v>
      </c>
      <c r="N688" s="16"/>
      <c r="O688" s="7"/>
      <c r="P688" s="17"/>
    </row>
    <row r="689" spans="1:16" ht="14.25" customHeight="1">
      <c r="A689" s="5" t="s">
        <v>0</v>
      </c>
      <c r="B689" s="5" t="str">
        <f t="shared" si="5"/>
        <v>Y</v>
      </c>
      <c r="C689" s="18" t="s">
        <v>2187</v>
      </c>
      <c r="D689" s="18"/>
      <c r="E689" s="6" t="s">
        <v>2188</v>
      </c>
      <c r="F689" s="19"/>
      <c r="G689" s="20">
        <v>43476</v>
      </c>
      <c r="H689" s="20">
        <v>43476</v>
      </c>
      <c r="L689" s="6">
        <v>966174769</v>
      </c>
      <c r="N689" s="16"/>
      <c r="O689" s="7"/>
      <c r="P689" s="17"/>
    </row>
    <row r="690" spans="1:16" ht="14.25" customHeight="1">
      <c r="A690" s="5" t="s">
        <v>0</v>
      </c>
      <c r="B690" s="5" t="str">
        <f t="shared" si="5"/>
        <v>Y</v>
      </c>
      <c r="C690" s="18" t="s">
        <v>2189</v>
      </c>
      <c r="D690" s="18"/>
      <c r="E690" s="6" t="s">
        <v>2190</v>
      </c>
      <c r="F690" s="19"/>
      <c r="G690" s="20">
        <v>43477</v>
      </c>
      <c r="H690" s="20">
        <v>43480</v>
      </c>
      <c r="L690" s="6">
        <v>9931721475</v>
      </c>
      <c r="N690" s="16"/>
      <c r="O690" s="7"/>
      <c r="P690" s="17"/>
    </row>
    <row r="691" spans="1:16" ht="14.25" customHeight="1">
      <c r="A691" s="5" t="s">
        <v>0</v>
      </c>
      <c r="B691" s="5" t="str">
        <f t="shared" si="5"/>
        <v>Y</v>
      </c>
      <c r="C691" s="18" t="s">
        <v>2191</v>
      </c>
      <c r="D691" s="18"/>
      <c r="E691" s="6" t="s">
        <v>2192</v>
      </c>
      <c r="F691" s="19"/>
      <c r="G691" s="20">
        <v>43477</v>
      </c>
      <c r="H691" s="20">
        <v>43481</v>
      </c>
      <c r="L691" s="6">
        <v>9771231269</v>
      </c>
      <c r="N691" s="16" t="s">
        <v>1434</v>
      </c>
      <c r="O691" s="7"/>
      <c r="P691" s="17"/>
    </row>
    <row r="692" spans="1:16" ht="14.25" customHeight="1">
      <c r="A692" s="5" t="s">
        <v>0</v>
      </c>
      <c r="B692" s="5" t="str">
        <f t="shared" si="5"/>
        <v>Y</v>
      </c>
      <c r="C692" s="18" t="s">
        <v>2193</v>
      </c>
      <c r="D692" s="18"/>
      <c r="E692" s="6" t="s">
        <v>2190</v>
      </c>
      <c r="F692" s="19"/>
      <c r="G692" s="20">
        <v>43477</v>
      </c>
      <c r="H692" s="20">
        <v>43478</v>
      </c>
      <c r="L692" s="6">
        <v>7320886332</v>
      </c>
      <c r="N692" s="16" t="s">
        <v>1434</v>
      </c>
      <c r="O692" s="7"/>
      <c r="P692" s="17"/>
    </row>
    <row r="693" spans="1:16" ht="14.25" customHeight="1">
      <c r="A693" s="5" t="s">
        <v>0</v>
      </c>
      <c r="B693" s="5" t="str">
        <f t="shared" si="5"/>
        <v>Y</v>
      </c>
      <c r="C693" s="18" t="s">
        <v>2194</v>
      </c>
      <c r="D693" s="18"/>
      <c r="E693" s="6" t="s">
        <v>2195</v>
      </c>
      <c r="F693" s="19"/>
      <c r="G693" s="20">
        <v>43477</v>
      </c>
      <c r="H693" s="20">
        <v>43478</v>
      </c>
      <c r="L693" s="6">
        <v>8051106869</v>
      </c>
      <c r="N693" s="16"/>
      <c r="O693" s="7"/>
      <c r="P693" s="17"/>
    </row>
    <row r="694" spans="1:16" ht="14.25" customHeight="1">
      <c r="A694" s="5" t="s">
        <v>0</v>
      </c>
      <c r="B694" s="5" t="str">
        <f t="shared" si="5"/>
        <v>Y</v>
      </c>
      <c r="C694" s="18" t="s">
        <v>2196</v>
      </c>
      <c r="D694" s="18"/>
      <c r="E694" s="6" t="s">
        <v>2197</v>
      </c>
      <c r="F694" s="19"/>
      <c r="G694" s="20">
        <v>43479</v>
      </c>
      <c r="H694" s="20">
        <v>43480</v>
      </c>
      <c r="L694" s="6">
        <v>7209451649</v>
      </c>
      <c r="N694" s="16"/>
      <c r="O694" s="7"/>
      <c r="P694" s="17"/>
    </row>
    <row r="695" spans="1:16" ht="14.25" customHeight="1">
      <c r="A695" s="5" t="s">
        <v>0</v>
      </c>
      <c r="B695" s="5" t="str">
        <f t="shared" si="5"/>
        <v>Y</v>
      </c>
      <c r="C695" s="18" t="s">
        <v>2198</v>
      </c>
      <c r="D695" s="18"/>
      <c r="E695" s="6" t="s">
        <v>2199</v>
      </c>
      <c r="F695" s="19"/>
      <c r="G695" s="20">
        <v>43480</v>
      </c>
      <c r="H695" s="20">
        <v>43481</v>
      </c>
      <c r="L695" s="6">
        <v>7631065320</v>
      </c>
      <c r="N695" s="16"/>
      <c r="O695" s="7"/>
      <c r="P695" s="17"/>
    </row>
    <row r="696" spans="1:16" ht="14.25" customHeight="1">
      <c r="A696" s="5" t="s">
        <v>0</v>
      </c>
      <c r="B696" s="5" t="str">
        <f t="shared" si="5"/>
        <v>Y</v>
      </c>
      <c r="C696" s="18" t="s">
        <v>2200</v>
      </c>
      <c r="D696" s="18"/>
      <c r="E696" s="6" t="s">
        <v>2201</v>
      </c>
      <c r="F696" s="19"/>
      <c r="G696" s="20">
        <v>43480</v>
      </c>
      <c r="H696" s="20">
        <v>43481</v>
      </c>
      <c r="L696" s="6">
        <v>9386058249</v>
      </c>
      <c r="N696" s="16"/>
      <c r="O696" s="7"/>
      <c r="P696" s="17"/>
    </row>
    <row r="697" spans="1:16" ht="14.25" customHeight="1">
      <c r="A697" s="5" t="s">
        <v>0</v>
      </c>
      <c r="B697" s="5" t="str">
        <f t="shared" si="5"/>
        <v>Y</v>
      </c>
      <c r="C697" s="18" t="s">
        <v>2202</v>
      </c>
      <c r="D697" s="18"/>
      <c r="E697" s="6" t="s">
        <v>2203</v>
      </c>
      <c r="F697" s="19"/>
      <c r="G697" s="20">
        <v>43481</v>
      </c>
      <c r="H697" s="20">
        <v>43482</v>
      </c>
      <c r="L697" s="6">
        <v>9570174716</v>
      </c>
      <c r="N697" s="16"/>
      <c r="O697" s="7"/>
      <c r="P697" s="17"/>
    </row>
    <row r="698" spans="1:16" ht="14.25" customHeight="1">
      <c r="A698" s="5" t="s">
        <v>0</v>
      </c>
      <c r="B698" s="5" t="str">
        <f t="shared" si="5"/>
        <v>Y</v>
      </c>
      <c r="C698" s="18" t="s">
        <v>2204</v>
      </c>
      <c r="D698" s="18"/>
      <c r="E698" s="6" t="s">
        <v>2205</v>
      </c>
      <c r="F698" s="19"/>
      <c r="G698" s="20">
        <v>43482</v>
      </c>
      <c r="H698" s="20">
        <v>43484</v>
      </c>
      <c r="L698" s="6">
        <v>7488476946</v>
      </c>
      <c r="N698" s="16"/>
      <c r="O698" s="7"/>
      <c r="P698" s="17"/>
    </row>
    <row r="699" spans="1:16" ht="14.25" customHeight="1">
      <c r="A699" s="5" t="s">
        <v>0</v>
      </c>
      <c r="B699" s="5" t="str">
        <f t="shared" si="5"/>
        <v>Y</v>
      </c>
      <c r="C699" s="18" t="s">
        <v>2206</v>
      </c>
      <c r="D699" s="18"/>
      <c r="E699" s="6" t="s">
        <v>2207</v>
      </c>
      <c r="F699" s="19"/>
      <c r="G699" s="20">
        <v>43483</v>
      </c>
      <c r="H699" s="20">
        <v>43119</v>
      </c>
      <c r="L699" s="6">
        <v>7209351434</v>
      </c>
      <c r="N699" s="16" t="s">
        <v>1527</v>
      </c>
      <c r="O699" s="7"/>
      <c r="P699" s="17"/>
    </row>
    <row r="700" spans="1:16" ht="14.25" customHeight="1">
      <c r="A700" s="5" t="s">
        <v>0</v>
      </c>
      <c r="B700" s="5" t="str">
        <f t="shared" si="5"/>
        <v>Y</v>
      </c>
      <c r="C700" s="81" t="s">
        <v>2208</v>
      </c>
      <c r="D700" s="81"/>
      <c r="E700" s="6" t="s">
        <v>2209</v>
      </c>
      <c r="F700" s="19"/>
      <c r="G700" s="20">
        <v>43483</v>
      </c>
      <c r="H700" s="20">
        <v>43119</v>
      </c>
      <c r="N700" s="16"/>
      <c r="O700" s="7"/>
      <c r="P700" s="17"/>
    </row>
    <row r="701" spans="1:16" ht="14.25" customHeight="1">
      <c r="A701" s="5" t="s">
        <v>0</v>
      </c>
      <c r="B701" s="5" t="str">
        <f t="shared" si="5"/>
        <v>Y</v>
      </c>
      <c r="C701" s="18" t="s">
        <v>2210</v>
      </c>
      <c r="D701" s="18"/>
      <c r="E701" s="6" t="s">
        <v>2211</v>
      </c>
      <c r="F701" s="19"/>
      <c r="G701" s="20">
        <v>43486</v>
      </c>
      <c r="H701" s="20">
        <v>43486</v>
      </c>
      <c r="L701" s="6">
        <v>9955582553</v>
      </c>
      <c r="N701" s="16"/>
      <c r="O701" s="7"/>
      <c r="P701" s="17"/>
    </row>
    <row r="702" spans="1:16" ht="14.25" customHeight="1">
      <c r="A702" s="5" t="s">
        <v>0</v>
      </c>
      <c r="B702" s="5" t="str">
        <f t="shared" si="5"/>
        <v>Y</v>
      </c>
      <c r="C702" s="18" t="s">
        <v>2212</v>
      </c>
      <c r="D702" s="18"/>
      <c r="E702" s="6" t="s">
        <v>2213</v>
      </c>
      <c r="F702" s="19"/>
      <c r="G702" s="20">
        <v>43486</v>
      </c>
      <c r="H702" s="20">
        <v>43486</v>
      </c>
      <c r="N702" s="16"/>
      <c r="O702" s="7"/>
      <c r="P702" s="17"/>
    </row>
    <row r="703" spans="1:16" ht="14.25" customHeight="1">
      <c r="A703" s="5" t="s">
        <v>0</v>
      </c>
      <c r="B703" s="5" t="str">
        <f t="shared" si="5"/>
        <v>N</v>
      </c>
      <c r="C703" s="18" t="s">
        <v>2214</v>
      </c>
      <c r="D703" s="18"/>
      <c r="E703" s="6" t="s">
        <v>2215</v>
      </c>
      <c r="F703" s="19"/>
      <c r="G703" s="20">
        <v>43486</v>
      </c>
      <c r="H703" s="20"/>
      <c r="N703" s="16"/>
      <c r="O703" s="7"/>
      <c r="P703" s="17"/>
    </row>
    <row r="704" spans="1:16" ht="14.25" customHeight="1">
      <c r="A704" s="5" t="s">
        <v>0</v>
      </c>
      <c r="B704" s="5" t="str">
        <f t="shared" si="5"/>
        <v>Y</v>
      </c>
      <c r="C704" s="18" t="s">
        <v>2216</v>
      </c>
      <c r="D704" s="18"/>
      <c r="E704" s="6" t="s">
        <v>2217</v>
      </c>
      <c r="F704" s="19"/>
      <c r="G704" s="20">
        <v>43486</v>
      </c>
      <c r="H704" s="20">
        <v>43486</v>
      </c>
      <c r="L704" s="6">
        <v>7250009722</v>
      </c>
      <c r="N704" s="16"/>
      <c r="O704" s="7"/>
      <c r="P704" s="17"/>
    </row>
    <row r="705" spans="1:16" ht="14.25" customHeight="1">
      <c r="A705" s="5" t="s">
        <v>0</v>
      </c>
      <c r="B705" s="5" t="str">
        <f t="shared" si="5"/>
        <v>Y</v>
      </c>
      <c r="C705" s="18" t="s">
        <v>2218</v>
      </c>
      <c r="D705" s="18"/>
      <c r="E705" s="6" t="s">
        <v>2219</v>
      </c>
      <c r="F705" s="19"/>
      <c r="G705" s="20">
        <v>43486</v>
      </c>
      <c r="H705" s="20">
        <v>43486</v>
      </c>
      <c r="N705" s="16"/>
      <c r="O705" s="7"/>
      <c r="P705" s="17"/>
    </row>
    <row r="706" spans="1:16" ht="14.25" customHeight="1">
      <c r="A706" s="5" t="s">
        <v>0</v>
      </c>
      <c r="B706" s="5" t="str">
        <f t="shared" si="5"/>
        <v>Y</v>
      </c>
      <c r="C706" s="18" t="s">
        <v>2220</v>
      </c>
      <c r="D706" s="18"/>
      <c r="E706" s="6" t="s">
        <v>2221</v>
      </c>
      <c r="F706" s="19"/>
      <c r="G706" s="20">
        <v>43487</v>
      </c>
      <c r="H706" s="20">
        <v>43487</v>
      </c>
      <c r="L706" s="6">
        <v>9835934374</v>
      </c>
      <c r="N706" s="16"/>
      <c r="O706" s="7"/>
      <c r="P706" s="17"/>
    </row>
    <row r="707" spans="1:16" ht="14.25" customHeight="1">
      <c r="A707" s="5" t="s">
        <v>0</v>
      </c>
      <c r="B707" s="5" t="str">
        <f t="shared" si="5"/>
        <v>Y</v>
      </c>
      <c r="C707" s="18" t="s">
        <v>2222</v>
      </c>
      <c r="D707" s="18"/>
      <c r="E707" s="6" t="s">
        <v>2223</v>
      </c>
      <c r="F707" s="19"/>
      <c r="G707" s="20">
        <v>43489</v>
      </c>
      <c r="H707" s="20">
        <v>43491</v>
      </c>
      <c r="L707" s="6">
        <v>7408781352</v>
      </c>
      <c r="N707" s="16" t="s">
        <v>1527</v>
      </c>
      <c r="O707" s="7"/>
      <c r="P707" s="17"/>
    </row>
    <row r="708" spans="1:16" ht="14.25" customHeight="1">
      <c r="A708" s="5" t="s">
        <v>0</v>
      </c>
      <c r="B708" s="5" t="str">
        <f t="shared" si="5"/>
        <v>Y</v>
      </c>
      <c r="C708" s="18" t="s">
        <v>2224</v>
      </c>
      <c r="D708" s="18"/>
      <c r="E708" s="6" t="s">
        <v>2183</v>
      </c>
      <c r="F708" s="19"/>
      <c r="G708" s="20">
        <v>43487</v>
      </c>
      <c r="H708" s="20">
        <v>43491</v>
      </c>
      <c r="L708" s="6">
        <v>8825343517</v>
      </c>
      <c r="N708" s="16"/>
      <c r="O708" s="7"/>
      <c r="P708" s="17"/>
    </row>
    <row r="709" spans="1:16" ht="14.25" customHeight="1">
      <c r="A709" s="5" t="s">
        <v>0</v>
      </c>
      <c r="B709" s="5" t="str">
        <f t="shared" si="5"/>
        <v>Y</v>
      </c>
      <c r="C709" s="18" t="s">
        <v>2225</v>
      </c>
      <c r="D709" s="18"/>
      <c r="E709" s="6" t="s">
        <v>2226</v>
      </c>
      <c r="F709" s="19"/>
      <c r="G709" s="20">
        <v>43489</v>
      </c>
      <c r="H709" s="20">
        <v>43491</v>
      </c>
      <c r="L709" s="6">
        <v>8092687089</v>
      </c>
      <c r="M709" s="6" t="s">
        <v>2227</v>
      </c>
      <c r="N709" s="16"/>
      <c r="O709" s="7"/>
      <c r="P709" s="17"/>
    </row>
    <row r="710" spans="1:16" ht="14.25" customHeight="1">
      <c r="A710" s="5" t="s">
        <v>0</v>
      </c>
      <c r="B710" s="5" t="str">
        <f t="shared" si="5"/>
        <v>Y</v>
      </c>
      <c r="C710" s="18" t="s">
        <v>2228</v>
      </c>
      <c r="D710" s="18"/>
      <c r="E710" s="6" t="s">
        <v>1886</v>
      </c>
      <c r="F710" s="19"/>
      <c r="G710" s="20">
        <v>43489</v>
      </c>
      <c r="H710" s="20">
        <v>43491</v>
      </c>
      <c r="L710" s="6">
        <v>9771441846</v>
      </c>
      <c r="N710" s="16"/>
      <c r="O710" s="7"/>
      <c r="P710" s="17"/>
    </row>
    <row r="711" spans="1:16" ht="14.25" customHeight="1">
      <c r="A711" s="5" t="s">
        <v>0</v>
      </c>
      <c r="B711" s="5" t="str">
        <f t="shared" si="5"/>
        <v>Y</v>
      </c>
      <c r="C711" s="18" t="s">
        <v>2229</v>
      </c>
      <c r="D711" s="18"/>
      <c r="E711" s="6" t="s">
        <v>2230</v>
      </c>
      <c r="F711" s="19"/>
      <c r="G711" s="20">
        <v>43489</v>
      </c>
      <c r="H711" s="20">
        <v>43491</v>
      </c>
      <c r="L711" s="6">
        <v>8092687089</v>
      </c>
      <c r="N711" s="16"/>
      <c r="O711" s="7"/>
      <c r="P711" s="17"/>
    </row>
    <row r="712" spans="1:16" ht="14.25" customHeight="1">
      <c r="A712" s="5" t="s">
        <v>0</v>
      </c>
      <c r="B712" s="5" t="str">
        <f t="shared" si="5"/>
        <v>Y</v>
      </c>
      <c r="C712" s="18" t="s">
        <v>2231</v>
      </c>
      <c r="D712" s="18"/>
      <c r="E712" s="6" t="s">
        <v>2232</v>
      </c>
      <c r="F712" s="19"/>
      <c r="G712" s="20">
        <v>43489</v>
      </c>
      <c r="H712" s="20">
        <v>43490</v>
      </c>
      <c r="L712" s="6">
        <v>6201773785</v>
      </c>
      <c r="N712" s="16" t="s">
        <v>1434</v>
      </c>
      <c r="O712" s="7"/>
      <c r="P712" s="17"/>
    </row>
    <row r="713" spans="1:16" ht="14.25" customHeight="1">
      <c r="A713" s="5" t="s">
        <v>0</v>
      </c>
      <c r="B713" s="5" t="str">
        <f t="shared" si="5"/>
        <v>Y</v>
      </c>
      <c r="C713" s="18" t="s">
        <v>2233</v>
      </c>
      <c r="D713" s="18"/>
      <c r="E713" s="6" t="s">
        <v>2234</v>
      </c>
      <c r="F713" s="19"/>
      <c r="G713" s="20">
        <v>43489</v>
      </c>
      <c r="H713" s="20">
        <v>43490</v>
      </c>
      <c r="L713" s="6">
        <v>8825208990</v>
      </c>
      <c r="N713" s="16" t="s">
        <v>1434</v>
      </c>
      <c r="O713" s="7"/>
      <c r="P713" s="17"/>
    </row>
    <row r="714" spans="1:16" ht="14.25" customHeight="1">
      <c r="A714" s="5" t="s">
        <v>0</v>
      </c>
      <c r="B714" s="5" t="str">
        <f t="shared" si="5"/>
        <v>Y</v>
      </c>
      <c r="C714" s="18" t="s">
        <v>2235</v>
      </c>
      <c r="D714" s="18"/>
      <c r="E714" s="6" t="s">
        <v>2236</v>
      </c>
      <c r="F714" s="19"/>
      <c r="G714" s="20">
        <v>43489</v>
      </c>
      <c r="H714" s="20">
        <v>43490</v>
      </c>
      <c r="L714" s="6">
        <v>9097071055</v>
      </c>
      <c r="N714" s="16"/>
      <c r="O714" s="7"/>
      <c r="P714" s="17"/>
    </row>
    <row r="715" spans="1:16" ht="14.25" customHeight="1">
      <c r="A715" s="5" t="s">
        <v>0</v>
      </c>
      <c r="B715" s="5" t="str">
        <f t="shared" si="5"/>
        <v>Y</v>
      </c>
      <c r="C715" s="18" t="s">
        <v>2237</v>
      </c>
      <c r="D715" s="18"/>
      <c r="E715" s="6" t="s">
        <v>2238</v>
      </c>
      <c r="F715" s="19"/>
      <c r="G715" s="20">
        <v>43489</v>
      </c>
      <c r="H715" s="20">
        <v>43491</v>
      </c>
      <c r="L715" s="6">
        <v>6200507403</v>
      </c>
      <c r="M715" s="6" t="s">
        <v>1551</v>
      </c>
      <c r="N715" s="16" t="s">
        <v>1527</v>
      </c>
      <c r="O715" s="7"/>
      <c r="P715" s="17"/>
    </row>
    <row r="716" spans="1:16" ht="14.25" customHeight="1">
      <c r="A716" s="5" t="s">
        <v>0</v>
      </c>
      <c r="B716" s="5" t="str">
        <f t="shared" si="5"/>
        <v>Y</v>
      </c>
      <c r="C716" s="18" t="s">
        <v>2239</v>
      </c>
      <c r="D716" s="18"/>
      <c r="E716" s="6" t="s">
        <v>2240</v>
      </c>
      <c r="F716" s="19" t="s">
        <v>2241</v>
      </c>
      <c r="G716" s="20">
        <v>43489</v>
      </c>
      <c r="H716" s="20">
        <v>43491</v>
      </c>
      <c r="L716" s="6">
        <v>8437797800</v>
      </c>
      <c r="N716" s="16"/>
      <c r="O716" s="7"/>
      <c r="P716" s="17"/>
    </row>
    <row r="717" spans="1:16" ht="14.25" customHeight="1">
      <c r="A717" s="5" t="s">
        <v>0</v>
      </c>
      <c r="B717" s="5" t="str">
        <f t="shared" si="5"/>
        <v>Y</v>
      </c>
      <c r="C717" s="18" t="s">
        <v>2242</v>
      </c>
      <c r="D717" s="18"/>
      <c r="E717" s="6" t="s">
        <v>2243</v>
      </c>
      <c r="F717" s="19"/>
      <c r="G717" s="20">
        <v>43491</v>
      </c>
      <c r="H717" s="20">
        <v>43501</v>
      </c>
      <c r="L717" s="6">
        <v>8210418280</v>
      </c>
      <c r="N717" s="16" t="s">
        <v>1527</v>
      </c>
      <c r="O717" s="7"/>
      <c r="P717" s="17"/>
    </row>
    <row r="718" spans="1:16" ht="14.25" customHeight="1">
      <c r="A718" s="5" t="s">
        <v>0</v>
      </c>
      <c r="B718" s="5" t="str">
        <f t="shared" si="5"/>
        <v>Y</v>
      </c>
      <c r="C718" s="18" t="s">
        <v>2244</v>
      </c>
      <c r="D718" s="18"/>
      <c r="E718" s="6" t="s">
        <v>2245</v>
      </c>
      <c r="F718" s="19"/>
      <c r="G718" s="20">
        <v>43491</v>
      </c>
      <c r="H718" s="20">
        <v>43491</v>
      </c>
      <c r="L718" s="6">
        <v>6205505607</v>
      </c>
      <c r="N718" s="16"/>
      <c r="O718" s="7"/>
      <c r="P718" s="17"/>
    </row>
    <row r="719" spans="1:16" ht="14.25" customHeight="1">
      <c r="A719" s="5" t="s">
        <v>0</v>
      </c>
      <c r="B719" s="5" t="str">
        <f t="shared" si="5"/>
        <v>Y</v>
      </c>
      <c r="C719" s="18" t="s">
        <v>2246</v>
      </c>
      <c r="D719" s="18"/>
      <c r="E719" s="6" t="s">
        <v>2247</v>
      </c>
      <c r="F719" s="19"/>
      <c r="G719" s="20">
        <v>43491</v>
      </c>
      <c r="H719" s="20">
        <v>43501</v>
      </c>
      <c r="L719" s="6">
        <v>8757876406</v>
      </c>
      <c r="M719" s="6" t="s">
        <v>1551</v>
      </c>
      <c r="N719" s="16" t="s">
        <v>1527</v>
      </c>
      <c r="O719" s="7"/>
      <c r="P719" s="17"/>
    </row>
    <row r="720" spans="1:16" ht="14.25" customHeight="1">
      <c r="A720" s="5" t="s">
        <v>0</v>
      </c>
      <c r="B720" s="5" t="str">
        <f t="shared" si="5"/>
        <v>Y</v>
      </c>
      <c r="C720" s="18" t="s">
        <v>2248</v>
      </c>
      <c r="D720" s="18"/>
      <c r="E720" s="6" t="s">
        <v>2249</v>
      </c>
      <c r="F720" s="19"/>
      <c r="G720" s="20">
        <v>43491</v>
      </c>
      <c r="H720" s="20">
        <v>43492</v>
      </c>
      <c r="L720" s="6">
        <v>6205700513</v>
      </c>
      <c r="N720" s="16" t="s">
        <v>1524</v>
      </c>
      <c r="O720" s="7"/>
      <c r="P720" s="17"/>
    </row>
    <row r="721" spans="1:16" ht="14.25" customHeight="1">
      <c r="A721" s="5" t="s">
        <v>0</v>
      </c>
      <c r="B721" s="5" t="str">
        <f t="shared" si="5"/>
        <v>Y</v>
      </c>
      <c r="C721" s="18" t="s">
        <v>2250</v>
      </c>
      <c r="D721" s="18"/>
      <c r="E721" s="6" t="s">
        <v>1721</v>
      </c>
      <c r="F721" s="19"/>
      <c r="G721" s="20">
        <v>43494</v>
      </c>
      <c r="H721" s="20">
        <v>43494</v>
      </c>
      <c r="L721" s="6">
        <v>9430348544</v>
      </c>
      <c r="M721" s="6" t="s">
        <v>1551</v>
      </c>
      <c r="N721" s="16" t="s">
        <v>1527</v>
      </c>
      <c r="O721" s="7"/>
      <c r="P721" s="17"/>
    </row>
    <row r="722" spans="1:16" ht="14.25" customHeight="1">
      <c r="A722" s="5" t="s">
        <v>0</v>
      </c>
      <c r="B722" s="5" t="str">
        <f t="shared" si="5"/>
        <v>Y</v>
      </c>
      <c r="C722" s="18" t="s">
        <v>2251</v>
      </c>
      <c r="D722" s="18"/>
      <c r="E722" s="6" t="s">
        <v>1721</v>
      </c>
      <c r="F722" s="19"/>
      <c r="G722" s="20">
        <v>43494</v>
      </c>
      <c r="H722" s="20">
        <v>43499</v>
      </c>
      <c r="L722" s="6">
        <v>8292867451</v>
      </c>
      <c r="M722" s="6" t="s">
        <v>1551</v>
      </c>
      <c r="N722" s="16" t="s">
        <v>1527</v>
      </c>
      <c r="O722" s="7"/>
      <c r="P722" s="17"/>
    </row>
    <row r="723" spans="1:16" ht="14.25" customHeight="1">
      <c r="A723" s="5" t="s">
        <v>0</v>
      </c>
      <c r="B723" s="5" t="str">
        <f t="shared" si="5"/>
        <v>Y</v>
      </c>
      <c r="C723" s="18" t="s">
        <v>2252</v>
      </c>
      <c r="D723" s="18"/>
      <c r="E723" s="6" t="s">
        <v>2253</v>
      </c>
      <c r="F723" s="19"/>
      <c r="G723" s="20">
        <v>43498</v>
      </c>
      <c r="H723" s="20">
        <v>43501</v>
      </c>
      <c r="L723" s="6">
        <v>9534096354</v>
      </c>
      <c r="M723" s="6" t="s">
        <v>1551</v>
      </c>
      <c r="N723" s="16" t="s">
        <v>1527</v>
      </c>
      <c r="O723" s="7"/>
      <c r="P723" s="17"/>
    </row>
    <row r="724" spans="1:16" ht="14.25" customHeight="1">
      <c r="A724" s="5" t="s">
        <v>0</v>
      </c>
      <c r="B724" s="5" t="str">
        <f t="shared" si="5"/>
        <v>Y</v>
      </c>
      <c r="C724" s="94" t="s">
        <v>2254</v>
      </c>
      <c r="D724" s="94"/>
      <c r="E724" s="6" t="s">
        <v>2255</v>
      </c>
      <c r="F724" s="19"/>
      <c r="G724" s="20">
        <v>43502</v>
      </c>
      <c r="H724" s="20">
        <v>43504</v>
      </c>
      <c r="L724" s="6">
        <v>9279808033</v>
      </c>
      <c r="N724" s="16" t="s">
        <v>1527</v>
      </c>
      <c r="O724" s="7"/>
      <c r="P724" s="17"/>
    </row>
    <row r="725" spans="1:16" ht="14.25" customHeight="1">
      <c r="A725" s="5" t="s">
        <v>0</v>
      </c>
      <c r="B725" s="5" t="str">
        <f t="shared" si="5"/>
        <v>Y</v>
      </c>
      <c r="C725" s="18" t="s">
        <v>2256</v>
      </c>
      <c r="D725" s="18"/>
      <c r="E725" s="6" t="s">
        <v>2257</v>
      </c>
      <c r="F725" s="19"/>
      <c r="G725" s="20">
        <v>43500</v>
      </c>
      <c r="H725" s="20">
        <v>43501</v>
      </c>
      <c r="L725" s="6">
        <v>8298048677</v>
      </c>
      <c r="N725" s="16"/>
      <c r="O725" s="7"/>
      <c r="P725" s="17"/>
    </row>
    <row r="726" spans="1:16" ht="14.25" customHeight="1">
      <c r="A726" s="5" t="s">
        <v>0</v>
      </c>
      <c r="B726" s="5" t="str">
        <f t="shared" si="5"/>
        <v>Y</v>
      </c>
      <c r="C726" s="18" t="s">
        <v>2258</v>
      </c>
      <c r="D726" s="18"/>
      <c r="E726" s="6" t="s">
        <v>2259</v>
      </c>
      <c r="F726" s="19"/>
      <c r="G726" s="20">
        <v>43496</v>
      </c>
      <c r="H726" s="20">
        <v>43501</v>
      </c>
      <c r="L726" s="6">
        <v>7004660616</v>
      </c>
      <c r="N726" s="16"/>
      <c r="O726" s="7"/>
      <c r="P726" s="17"/>
    </row>
    <row r="727" spans="1:16" ht="14.25" customHeight="1">
      <c r="A727" s="5" t="s">
        <v>0</v>
      </c>
      <c r="B727" s="5" t="str">
        <f t="shared" si="5"/>
        <v>Y</v>
      </c>
      <c r="C727" s="18" t="s">
        <v>2260</v>
      </c>
      <c r="D727" s="18"/>
      <c r="E727" s="6" t="s">
        <v>2261</v>
      </c>
      <c r="F727" s="19"/>
      <c r="G727" s="20">
        <v>43502</v>
      </c>
      <c r="H727" s="20">
        <v>43505</v>
      </c>
      <c r="L727" s="6">
        <v>8340788276</v>
      </c>
      <c r="N727" s="16"/>
      <c r="O727" s="7"/>
      <c r="P727" s="17"/>
    </row>
    <row r="728" spans="1:16" ht="14.25" customHeight="1">
      <c r="A728" s="5" t="s">
        <v>0</v>
      </c>
      <c r="B728" s="5" t="str">
        <f t="shared" si="5"/>
        <v>N</v>
      </c>
      <c r="C728" s="80" t="s">
        <v>2262</v>
      </c>
      <c r="D728" s="80"/>
      <c r="E728" s="6" t="s">
        <v>2263</v>
      </c>
      <c r="F728" s="19"/>
      <c r="G728" s="20">
        <v>43502</v>
      </c>
      <c r="H728" s="20"/>
      <c r="L728" s="6">
        <v>823403005</v>
      </c>
      <c r="N728" s="16"/>
      <c r="O728" s="7"/>
      <c r="P728" s="17"/>
    </row>
    <row r="729" spans="1:16" ht="14.25" customHeight="1">
      <c r="A729" s="5" t="s">
        <v>0</v>
      </c>
      <c r="B729" s="5" t="str">
        <f t="shared" si="5"/>
        <v>Y</v>
      </c>
      <c r="C729" s="94" t="s">
        <v>2264</v>
      </c>
      <c r="D729" s="94"/>
      <c r="E729" s="6" t="s">
        <v>2265</v>
      </c>
      <c r="F729" s="19"/>
      <c r="G729" s="20">
        <v>43502</v>
      </c>
      <c r="H729" s="20">
        <v>43504</v>
      </c>
      <c r="L729" s="6">
        <v>6204826153</v>
      </c>
      <c r="N729" s="16"/>
      <c r="O729" s="7"/>
      <c r="P729" s="17"/>
    </row>
    <row r="730" spans="1:16" ht="14.25" customHeight="1">
      <c r="A730" s="5" t="s">
        <v>0</v>
      </c>
      <c r="B730" s="5" t="str">
        <f t="shared" si="5"/>
        <v>Y</v>
      </c>
      <c r="C730" s="94" t="s">
        <v>2266</v>
      </c>
      <c r="D730" s="94"/>
      <c r="E730" s="6" t="s">
        <v>2267</v>
      </c>
      <c r="F730" s="19" t="s">
        <v>2268</v>
      </c>
      <c r="G730" s="20">
        <v>43501</v>
      </c>
      <c r="H730" s="20">
        <v>43502</v>
      </c>
      <c r="L730" s="6">
        <v>9122357524</v>
      </c>
      <c r="N730" s="16"/>
      <c r="O730" s="7"/>
      <c r="P730" s="17"/>
    </row>
    <row r="731" spans="1:16" ht="14.25" customHeight="1">
      <c r="A731" s="5" t="s">
        <v>0</v>
      </c>
      <c r="B731" s="5" t="str">
        <f t="shared" si="5"/>
        <v>Y</v>
      </c>
      <c r="C731" s="18" t="s">
        <v>2269</v>
      </c>
      <c r="D731" s="18"/>
      <c r="E731" s="6" t="s">
        <v>2270</v>
      </c>
      <c r="F731" s="19"/>
      <c r="G731" s="20">
        <v>43502</v>
      </c>
      <c r="H731" s="20">
        <v>43502</v>
      </c>
      <c r="L731" s="6">
        <v>6201248988</v>
      </c>
      <c r="N731" s="16"/>
      <c r="O731" s="7"/>
      <c r="P731" s="17"/>
    </row>
    <row r="732" spans="1:16" ht="14.25" customHeight="1">
      <c r="A732" s="5" t="s">
        <v>0</v>
      </c>
      <c r="B732" s="5" t="str">
        <f t="shared" si="5"/>
        <v>Y</v>
      </c>
      <c r="C732" s="18" t="s">
        <v>2271</v>
      </c>
      <c r="D732" s="18"/>
      <c r="E732" s="6" t="s">
        <v>2272</v>
      </c>
      <c r="F732" s="19"/>
      <c r="G732" s="20">
        <v>43502</v>
      </c>
      <c r="H732" s="20">
        <v>43504</v>
      </c>
      <c r="L732" s="6">
        <v>7209632640</v>
      </c>
      <c r="N732" s="16"/>
      <c r="O732" s="7"/>
      <c r="P732" s="17"/>
    </row>
    <row r="733" spans="1:16" ht="14.25" customHeight="1">
      <c r="A733" s="5" t="s">
        <v>0</v>
      </c>
      <c r="B733" s="5" t="str">
        <f t="shared" si="5"/>
        <v>Y</v>
      </c>
      <c r="C733" s="18" t="s">
        <v>2273</v>
      </c>
      <c r="D733" s="18"/>
      <c r="E733" s="6" t="s">
        <v>2274</v>
      </c>
      <c r="F733" s="19"/>
      <c r="G733" s="20">
        <v>43502</v>
      </c>
      <c r="H733" s="20">
        <v>43504</v>
      </c>
      <c r="L733" s="6">
        <v>8002668157</v>
      </c>
      <c r="N733" s="16"/>
      <c r="O733" s="7"/>
      <c r="P733" s="17"/>
    </row>
    <row r="734" spans="1:16" ht="14.25" customHeight="1">
      <c r="A734" s="5" t="s">
        <v>0</v>
      </c>
      <c r="B734" s="5" t="str">
        <f t="shared" si="5"/>
        <v>Y</v>
      </c>
      <c r="C734" s="18" t="s">
        <v>2275</v>
      </c>
      <c r="D734" s="18"/>
      <c r="E734" s="6" t="s">
        <v>2276</v>
      </c>
      <c r="F734" s="19"/>
      <c r="G734" s="20">
        <v>43503</v>
      </c>
      <c r="H734" s="20">
        <v>43504</v>
      </c>
      <c r="L734" s="6">
        <v>6202676919</v>
      </c>
      <c r="N734" s="16"/>
      <c r="O734" s="7"/>
      <c r="P734" s="17"/>
    </row>
    <row r="735" spans="1:16" ht="14.25" customHeight="1">
      <c r="A735" s="5" t="s">
        <v>0</v>
      </c>
      <c r="B735" s="5" t="str">
        <f t="shared" si="5"/>
        <v>Y</v>
      </c>
      <c r="C735" s="18" t="s">
        <v>2277</v>
      </c>
      <c r="D735" s="18"/>
      <c r="E735" s="6" t="s">
        <v>2278</v>
      </c>
      <c r="F735" s="19"/>
      <c r="G735" s="20">
        <v>43503</v>
      </c>
      <c r="H735" s="20">
        <v>43505</v>
      </c>
      <c r="L735" s="6">
        <v>8235662762</v>
      </c>
      <c r="N735" s="16"/>
      <c r="O735" s="7"/>
      <c r="P735" s="17"/>
    </row>
    <row r="736" spans="1:16" ht="14.25" customHeight="1">
      <c r="A736" s="5" t="s">
        <v>0</v>
      </c>
      <c r="B736" s="5" t="str">
        <f t="shared" si="5"/>
        <v>Y</v>
      </c>
      <c r="C736" s="18" t="s">
        <v>2279</v>
      </c>
      <c r="D736" s="18"/>
      <c r="E736" s="6" t="s">
        <v>2280</v>
      </c>
      <c r="F736" s="19"/>
      <c r="G736" s="20">
        <v>43501</v>
      </c>
      <c r="H736" s="20">
        <v>43505</v>
      </c>
      <c r="L736" s="6">
        <v>7209755576</v>
      </c>
      <c r="N736" s="16"/>
      <c r="O736" s="7"/>
      <c r="P736" s="17"/>
    </row>
    <row r="737" spans="1:16" ht="14.25" customHeight="1">
      <c r="A737" s="5" t="s">
        <v>0</v>
      </c>
      <c r="B737" s="5" t="str">
        <f t="shared" si="5"/>
        <v>Y</v>
      </c>
      <c r="C737" s="18" t="s">
        <v>2281</v>
      </c>
      <c r="D737" s="18"/>
      <c r="E737" s="6" t="s">
        <v>2282</v>
      </c>
      <c r="F737" s="19"/>
      <c r="G737" s="20">
        <v>43501</v>
      </c>
      <c r="H737" s="20">
        <v>43505</v>
      </c>
      <c r="L737" s="6">
        <v>7250552453</v>
      </c>
      <c r="N737" s="16"/>
      <c r="O737" s="7"/>
      <c r="P737" s="17"/>
    </row>
    <row r="738" spans="1:16" ht="14.25" customHeight="1">
      <c r="A738" s="5" t="s">
        <v>0</v>
      </c>
      <c r="B738" s="5" t="str">
        <f t="shared" si="5"/>
        <v>Y</v>
      </c>
      <c r="C738" s="18" t="s">
        <v>2283</v>
      </c>
      <c r="D738" s="18"/>
      <c r="E738" s="6" t="s">
        <v>2284</v>
      </c>
      <c r="F738" s="19"/>
      <c r="G738" s="20">
        <v>43502</v>
      </c>
      <c r="H738" s="20">
        <v>43505</v>
      </c>
      <c r="L738" s="6">
        <v>7070906967</v>
      </c>
      <c r="N738" s="16"/>
      <c r="O738" s="7"/>
      <c r="P738" s="17"/>
    </row>
    <row r="739" spans="1:16" ht="14.25" customHeight="1">
      <c r="A739" s="5" t="s">
        <v>0</v>
      </c>
      <c r="B739" s="5" t="str">
        <f t="shared" si="5"/>
        <v>Y</v>
      </c>
      <c r="C739" s="18" t="s">
        <v>2285</v>
      </c>
      <c r="D739" s="18"/>
      <c r="E739" s="6" t="s">
        <v>2286</v>
      </c>
      <c r="F739" s="19"/>
      <c r="G739" s="20">
        <v>43503</v>
      </c>
      <c r="H739" s="20">
        <v>43505</v>
      </c>
      <c r="L739" s="6">
        <v>9709276416</v>
      </c>
      <c r="N739" s="16"/>
      <c r="O739" s="7"/>
      <c r="P739" s="17"/>
    </row>
    <row r="740" spans="1:16" ht="14.25" customHeight="1">
      <c r="A740" s="5" t="s">
        <v>0</v>
      </c>
      <c r="B740" s="5" t="str">
        <f t="shared" si="5"/>
        <v>Y</v>
      </c>
      <c r="C740" s="18" t="s">
        <v>2287</v>
      </c>
      <c r="D740" s="18"/>
      <c r="E740" s="6" t="s">
        <v>2288</v>
      </c>
      <c r="F740" s="19"/>
      <c r="G740" s="20">
        <v>43503</v>
      </c>
      <c r="H740" s="20">
        <v>43504</v>
      </c>
      <c r="L740" s="6">
        <v>9709276416</v>
      </c>
      <c r="N740" s="16"/>
      <c r="O740" s="7"/>
      <c r="P740" s="17"/>
    </row>
    <row r="741" spans="1:16" ht="14.25" customHeight="1">
      <c r="A741" s="5" t="s">
        <v>0</v>
      </c>
      <c r="B741" s="5" t="str">
        <f t="shared" si="5"/>
        <v>Y</v>
      </c>
      <c r="C741" s="18" t="s">
        <v>2289</v>
      </c>
      <c r="D741" s="18"/>
      <c r="E741" s="6" t="s">
        <v>2290</v>
      </c>
      <c r="F741" s="19"/>
      <c r="G741" s="20">
        <v>43503</v>
      </c>
      <c r="H741" s="20">
        <v>43504</v>
      </c>
      <c r="L741" s="6">
        <v>9709276416</v>
      </c>
      <c r="N741" s="16"/>
      <c r="O741" s="7"/>
      <c r="P741" s="17"/>
    </row>
    <row r="742" spans="1:16" ht="14.25" customHeight="1">
      <c r="A742" s="5" t="s">
        <v>0</v>
      </c>
      <c r="B742" s="5" t="str">
        <f t="shared" si="5"/>
        <v>Y</v>
      </c>
      <c r="C742" s="18" t="s">
        <v>2291</v>
      </c>
      <c r="D742" s="18"/>
      <c r="E742" s="6" t="s">
        <v>2292</v>
      </c>
      <c r="F742" s="19"/>
      <c r="G742" s="20">
        <v>43504</v>
      </c>
      <c r="H742" s="20">
        <v>43504</v>
      </c>
      <c r="L742" s="6">
        <v>9939660522</v>
      </c>
      <c r="N742" s="16"/>
      <c r="O742" s="7"/>
      <c r="P742" s="17"/>
    </row>
    <row r="743" spans="1:16" ht="14.25" customHeight="1">
      <c r="A743" s="5" t="s">
        <v>0</v>
      </c>
      <c r="B743" s="5" t="str">
        <f t="shared" si="5"/>
        <v>Y</v>
      </c>
      <c r="C743" s="18" t="s">
        <v>2293</v>
      </c>
      <c r="D743" s="18"/>
      <c r="E743" s="6" t="s">
        <v>2294</v>
      </c>
      <c r="F743" s="19"/>
      <c r="G743" s="20">
        <v>43504</v>
      </c>
      <c r="H743" s="20">
        <v>43504</v>
      </c>
      <c r="L743" s="6">
        <v>9939183954</v>
      </c>
      <c r="N743" s="16"/>
      <c r="O743" s="7"/>
      <c r="P743" s="17"/>
    </row>
    <row r="744" spans="1:16" ht="14.25" customHeight="1">
      <c r="A744" s="5" t="s">
        <v>0</v>
      </c>
      <c r="B744" s="5" t="str">
        <f t="shared" si="5"/>
        <v>Y</v>
      </c>
      <c r="C744" s="18" t="s">
        <v>2295</v>
      </c>
      <c r="D744" s="18"/>
      <c r="E744" s="6" t="s">
        <v>2296</v>
      </c>
      <c r="F744" s="19"/>
      <c r="G744" s="20">
        <v>43504</v>
      </c>
      <c r="H744" s="20">
        <v>43509</v>
      </c>
      <c r="L744" s="6">
        <v>6202676919</v>
      </c>
      <c r="N744" s="16"/>
      <c r="O744" s="7"/>
      <c r="P744" s="17"/>
    </row>
    <row r="745" spans="1:16" ht="14.25" customHeight="1">
      <c r="A745" s="5" t="s">
        <v>0</v>
      </c>
      <c r="B745" s="5" t="str">
        <f t="shared" si="5"/>
        <v>Y</v>
      </c>
      <c r="C745" s="18" t="s">
        <v>2297</v>
      </c>
      <c r="D745" s="18"/>
      <c r="E745" s="6" t="s">
        <v>2298</v>
      </c>
      <c r="F745" s="19"/>
      <c r="G745" s="20">
        <v>43504</v>
      </c>
      <c r="H745" s="20">
        <v>43505</v>
      </c>
      <c r="L745" s="6">
        <v>9102665789</v>
      </c>
      <c r="N745" s="16"/>
      <c r="O745" s="7"/>
      <c r="P745" s="17"/>
    </row>
    <row r="746" spans="1:16" ht="14.25" customHeight="1">
      <c r="A746" s="5" t="s">
        <v>0</v>
      </c>
      <c r="B746" s="5" t="str">
        <f t="shared" si="5"/>
        <v>Y</v>
      </c>
      <c r="C746" s="18" t="s">
        <v>2299</v>
      </c>
      <c r="D746" s="18"/>
      <c r="E746" s="6" t="s">
        <v>2300</v>
      </c>
      <c r="F746" s="19"/>
      <c r="G746" s="20">
        <v>43504</v>
      </c>
      <c r="H746" s="20">
        <v>43513</v>
      </c>
      <c r="L746" s="6">
        <v>8210538113</v>
      </c>
      <c r="N746" s="16"/>
      <c r="O746" s="7"/>
      <c r="P746" s="17"/>
    </row>
    <row r="747" spans="1:16" ht="14.25" customHeight="1">
      <c r="A747" s="5" t="s">
        <v>0</v>
      </c>
      <c r="B747" s="5" t="str">
        <f t="shared" si="5"/>
        <v>Y</v>
      </c>
      <c r="C747" s="18" t="s">
        <v>2301</v>
      </c>
      <c r="D747" s="18"/>
      <c r="E747" s="6" t="s">
        <v>2302</v>
      </c>
      <c r="F747" s="19"/>
      <c r="G747" s="20">
        <v>43505</v>
      </c>
      <c r="H747" s="20">
        <v>43513</v>
      </c>
      <c r="L747" s="6">
        <v>9525218309</v>
      </c>
      <c r="N747" s="16"/>
      <c r="O747" s="7"/>
      <c r="P747" s="17"/>
    </row>
    <row r="748" spans="1:16" ht="14.25" customHeight="1">
      <c r="A748" s="5" t="s">
        <v>0</v>
      </c>
      <c r="B748" s="5" t="str">
        <f t="shared" si="5"/>
        <v>Y</v>
      </c>
      <c r="C748" s="18" t="s">
        <v>2303</v>
      </c>
      <c r="D748" s="18"/>
      <c r="E748" s="6" t="s">
        <v>2304</v>
      </c>
      <c r="F748" s="19"/>
      <c r="G748" s="20">
        <v>43505</v>
      </c>
      <c r="H748" s="20">
        <v>43505</v>
      </c>
      <c r="L748" s="6">
        <v>9431372599</v>
      </c>
      <c r="N748" s="16"/>
      <c r="O748" s="7"/>
      <c r="P748" s="17"/>
    </row>
    <row r="749" spans="1:16" ht="14.25" customHeight="1">
      <c r="A749" s="5" t="s">
        <v>0</v>
      </c>
      <c r="B749" s="5" t="str">
        <f t="shared" si="5"/>
        <v>Y</v>
      </c>
      <c r="C749" s="18" t="s">
        <v>2305</v>
      </c>
      <c r="D749" s="18"/>
      <c r="E749" s="6" t="s">
        <v>2306</v>
      </c>
      <c r="F749" s="19"/>
      <c r="G749" s="20">
        <v>43506</v>
      </c>
      <c r="H749" s="20">
        <v>43507</v>
      </c>
      <c r="L749" s="6">
        <v>9031203713</v>
      </c>
      <c r="N749" s="16"/>
      <c r="O749" s="7"/>
      <c r="P749" s="17"/>
    </row>
    <row r="750" spans="1:16" ht="14.25" customHeight="1">
      <c r="A750" s="5" t="s">
        <v>0</v>
      </c>
      <c r="B750" s="5" t="str">
        <f t="shared" si="5"/>
        <v>Y</v>
      </c>
      <c r="C750" s="18" t="s">
        <v>2307</v>
      </c>
      <c r="D750" s="18"/>
      <c r="E750" s="6" t="s">
        <v>2308</v>
      </c>
      <c r="F750" s="19"/>
      <c r="G750" s="20">
        <v>43506</v>
      </c>
      <c r="H750" s="20">
        <v>43507</v>
      </c>
      <c r="L750" s="6">
        <v>8210564642</v>
      </c>
      <c r="M750" s="6" t="s">
        <v>1551</v>
      </c>
      <c r="N750" s="16" t="s">
        <v>1527</v>
      </c>
      <c r="O750" s="7"/>
      <c r="P750" s="17"/>
    </row>
    <row r="751" spans="1:16" ht="14.25" customHeight="1">
      <c r="A751" s="5" t="s">
        <v>0</v>
      </c>
      <c r="B751" s="5" t="str">
        <f t="shared" si="5"/>
        <v>Y</v>
      </c>
      <c r="C751" s="18" t="s">
        <v>2309</v>
      </c>
      <c r="D751" s="18"/>
      <c r="E751" s="6" t="s">
        <v>2310</v>
      </c>
      <c r="F751" s="19"/>
      <c r="G751" s="20">
        <v>43506</v>
      </c>
      <c r="H751" s="20">
        <v>43507</v>
      </c>
      <c r="L751" s="6">
        <v>8789694483</v>
      </c>
      <c r="M751" s="6" t="s">
        <v>1551</v>
      </c>
      <c r="N751" s="16" t="s">
        <v>1527</v>
      </c>
      <c r="O751" s="7"/>
      <c r="P751" s="17"/>
    </row>
    <row r="752" spans="1:16" ht="14.25" customHeight="1">
      <c r="A752" s="5" t="s">
        <v>0</v>
      </c>
      <c r="B752" s="5" t="str">
        <f t="shared" si="5"/>
        <v>Y</v>
      </c>
      <c r="C752" s="18" t="s">
        <v>2311</v>
      </c>
      <c r="D752" s="18"/>
      <c r="E752" s="6" t="s">
        <v>2312</v>
      </c>
      <c r="F752" s="19"/>
      <c r="G752" s="20">
        <v>43507</v>
      </c>
      <c r="H752" s="20">
        <v>43508</v>
      </c>
      <c r="L752" s="6">
        <v>7488687023</v>
      </c>
      <c r="N752" s="16"/>
      <c r="O752" s="7"/>
      <c r="P752" s="17"/>
    </row>
    <row r="753" spans="1:16" ht="14.25" customHeight="1">
      <c r="A753" s="5" t="s">
        <v>0</v>
      </c>
      <c r="B753" s="5" t="str">
        <f t="shared" si="5"/>
        <v>Y</v>
      </c>
      <c r="C753" s="18" t="s">
        <v>2313</v>
      </c>
      <c r="D753" s="18"/>
      <c r="E753" s="6" t="s">
        <v>2314</v>
      </c>
      <c r="F753" s="19"/>
      <c r="G753" s="20">
        <v>43508</v>
      </c>
      <c r="H753" s="20">
        <v>43508</v>
      </c>
      <c r="L753" s="6">
        <v>9430348544</v>
      </c>
      <c r="M753" s="6" t="s">
        <v>1551</v>
      </c>
      <c r="N753" s="16" t="s">
        <v>1527</v>
      </c>
      <c r="O753" s="7"/>
      <c r="P753" s="17"/>
    </row>
    <row r="754" spans="1:16" ht="14.25" customHeight="1">
      <c r="A754" s="5" t="s">
        <v>0</v>
      </c>
      <c r="B754" s="5" t="str">
        <f t="shared" si="5"/>
        <v>Y</v>
      </c>
      <c r="C754" s="18" t="s">
        <v>2315</v>
      </c>
      <c r="D754" s="18"/>
      <c r="E754" s="6" t="s">
        <v>2316</v>
      </c>
      <c r="F754" s="19"/>
      <c r="G754" s="20">
        <v>43508</v>
      </c>
      <c r="H754" s="20">
        <v>43508</v>
      </c>
      <c r="L754" s="6">
        <v>9546262989</v>
      </c>
      <c r="M754" s="6" t="s">
        <v>1551</v>
      </c>
      <c r="N754" s="16" t="s">
        <v>1527</v>
      </c>
      <c r="O754" s="7"/>
      <c r="P754" s="17"/>
    </row>
    <row r="755" spans="1:16" ht="14.25" customHeight="1">
      <c r="A755" s="5" t="s">
        <v>0</v>
      </c>
      <c r="B755" s="5" t="str">
        <f t="shared" si="5"/>
        <v>Y</v>
      </c>
      <c r="C755" s="18" t="s">
        <v>2317</v>
      </c>
      <c r="D755" s="18"/>
      <c r="E755" s="6" t="s">
        <v>2318</v>
      </c>
      <c r="F755" s="19"/>
      <c r="G755" s="20">
        <v>43507</v>
      </c>
      <c r="H755" s="20">
        <v>43508</v>
      </c>
      <c r="L755" s="6">
        <v>9234529243</v>
      </c>
      <c r="N755" s="16"/>
      <c r="O755" s="7"/>
      <c r="P755" s="17"/>
    </row>
    <row r="756" spans="1:16" ht="14.25" customHeight="1">
      <c r="A756" s="5" t="s">
        <v>0</v>
      </c>
      <c r="B756" s="5" t="str">
        <f t="shared" si="5"/>
        <v>Y</v>
      </c>
      <c r="C756" s="18" t="s">
        <v>2319</v>
      </c>
      <c r="D756" s="18"/>
      <c r="E756" s="6" t="s">
        <v>2320</v>
      </c>
      <c r="F756" s="19"/>
      <c r="G756" s="20">
        <v>43508</v>
      </c>
      <c r="H756" s="20">
        <v>43509</v>
      </c>
      <c r="L756" s="6">
        <v>9065339493</v>
      </c>
      <c r="N756" s="16"/>
      <c r="O756" s="7"/>
      <c r="P756" s="17"/>
    </row>
    <row r="757" spans="1:16" ht="14.25" customHeight="1">
      <c r="A757" s="5" t="s">
        <v>0</v>
      </c>
      <c r="B757" s="5" t="str">
        <f t="shared" si="5"/>
        <v>Y</v>
      </c>
      <c r="C757" s="18" t="s">
        <v>2321</v>
      </c>
      <c r="D757" s="18"/>
      <c r="E757" s="6" t="s">
        <v>2322</v>
      </c>
      <c r="F757" s="19"/>
      <c r="G757" s="20">
        <v>43509</v>
      </c>
      <c r="H757" s="20">
        <v>43509</v>
      </c>
      <c r="L757" s="6">
        <v>9031271960</v>
      </c>
      <c r="N757" s="16"/>
      <c r="O757" s="7"/>
      <c r="P757" s="17"/>
    </row>
    <row r="758" spans="1:16" ht="14.25" customHeight="1">
      <c r="A758" s="5" t="s">
        <v>0</v>
      </c>
      <c r="B758" s="5" t="str">
        <f t="shared" si="5"/>
        <v>Y</v>
      </c>
      <c r="C758" s="18" t="s">
        <v>2323</v>
      </c>
      <c r="D758" s="18"/>
      <c r="E758" s="6" t="s">
        <v>2324</v>
      </c>
      <c r="F758" s="19"/>
      <c r="G758" s="20">
        <v>43509</v>
      </c>
      <c r="H758" s="20">
        <v>43513</v>
      </c>
      <c r="L758" s="6">
        <v>6204930409</v>
      </c>
      <c r="N758" s="16" t="s">
        <v>1527</v>
      </c>
      <c r="O758" s="7"/>
      <c r="P758" s="17"/>
    </row>
    <row r="759" spans="1:16" ht="14.25" customHeight="1">
      <c r="A759" s="5" t="s">
        <v>0</v>
      </c>
      <c r="B759" s="5" t="str">
        <f t="shared" si="5"/>
        <v>Y</v>
      </c>
      <c r="C759" s="18" t="s">
        <v>2325</v>
      </c>
      <c r="D759" s="18"/>
      <c r="E759" s="6" t="s">
        <v>2326</v>
      </c>
      <c r="F759" s="19"/>
      <c r="G759" s="20">
        <v>43509</v>
      </c>
      <c r="H759" s="20">
        <v>43509</v>
      </c>
      <c r="L759" s="6">
        <v>7677615639</v>
      </c>
      <c r="N759" s="16"/>
      <c r="O759" s="7"/>
      <c r="P759" s="17"/>
    </row>
    <row r="760" spans="1:16" ht="14.25" customHeight="1">
      <c r="A760" s="5" t="s">
        <v>0</v>
      </c>
      <c r="B760" s="5" t="str">
        <f t="shared" si="5"/>
        <v>Y</v>
      </c>
      <c r="C760" s="18" t="s">
        <v>2327</v>
      </c>
      <c r="D760" s="18"/>
      <c r="E760" s="6" t="s">
        <v>2328</v>
      </c>
      <c r="F760" s="19"/>
      <c r="G760" s="20">
        <v>43509</v>
      </c>
      <c r="H760" s="20">
        <v>43513</v>
      </c>
      <c r="L760" s="6">
        <v>7488290689</v>
      </c>
      <c r="N760" s="16" t="s">
        <v>1527</v>
      </c>
      <c r="O760" s="7"/>
      <c r="P760" s="17"/>
    </row>
    <row r="761" spans="1:16" ht="14.25" customHeight="1">
      <c r="A761" s="5" t="s">
        <v>0</v>
      </c>
      <c r="B761" s="5" t="str">
        <f t="shared" si="5"/>
        <v>Y</v>
      </c>
      <c r="C761" s="18" t="s">
        <v>2329</v>
      </c>
      <c r="D761" s="18"/>
      <c r="E761" s="6" t="s">
        <v>2330</v>
      </c>
      <c r="F761" s="19"/>
      <c r="G761" s="20">
        <v>43509</v>
      </c>
      <c r="H761" s="20">
        <v>43513</v>
      </c>
      <c r="L761" s="6">
        <v>9204306869</v>
      </c>
      <c r="N761" s="16" t="s">
        <v>1527</v>
      </c>
      <c r="O761" s="7"/>
      <c r="P761" s="17"/>
    </row>
    <row r="762" spans="1:16" ht="14.25" customHeight="1">
      <c r="A762" s="5" t="s">
        <v>0</v>
      </c>
      <c r="B762" s="5" t="str">
        <f t="shared" si="5"/>
        <v>Y</v>
      </c>
      <c r="C762" s="18" t="s">
        <v>2331</v>
      </c>
      <c r="D762" s="18"/>
      <c r="E762" s="6" t="s">
        <v>2332</v>
      </c>
      <c r="F762" s="19"/>
      <c r="G762" s="20">
        <v>43510</v>
      </c>
      <c r="H762" s="20">
        <v>43513</v>
      </c>
      <c r="L762" s="6">
        <v>9931246385</v>
      </c>
      <c r="N762" s="16"/>
      <c r="O762" s="7"/>
      <c r="P762" s="17"/>
    </row>
    <row r="763" spans="1:16" ht="14.25" customHeight="1">
      <c r="A763" s="5" t="s">
        <v>0</v>
      </c>
      <c r="B763" s="5" t="str">
        <f t="shared" si="5"/>
        <v>Y</v>
      </c>
      <c r="C763" s="18" t="s">
        <v>2333</v>
      </c>
      <c r="D763" s="18"/>
      <c r="E763" s="6" t="s">
        <v>2334</v>
      </c>
      <c r="F763" s="19"/>
      <c r="G763" s="20">
        <v>43510</v>
      </c>
      <c r="H763" s="20">
        <v>43513</v>
      </c>
      <c r="L763" s="6">
        <v>7492021083</v>
      </c>
      <c r="N763" s="16"/>
      <c r="O763" s="7"/>
      <c r="P763" s="17"/>
    </row>
    <row r="764" spans="1:16" ht="14.25" customHeight="1">
      <c r="A764" s="5" t="s">
        <v>0</v>
      </c>
      <c r="B764" s="5" t="str">
        <f t="shared" si="5"/>
        <v>Y</v>
      </c>
      <c r="C764" s="18" t="s">
        <v>2335</v>
      </c>
      <c r="D764" s="18"/>
      <c r="E764" s="6" t="s">
        <v>2336</v>
      </c>
      <c r="F764" s="19"/>
      <c r="G764" s="20">
        <v>43510</v>
      </c>
      <c r="H764" s="20">
        <v>43513</v>
      </c>
      <c r="L764" s="6">
        <v>9470281512</v>
      </c>
      <c r="N764" s="16"/>
      <c r="O764" s="7"/>
      <c r="P764" s="17"/>
    </row>
    <row r="765" spans="1:16" ht="14.25" customHeight="1">
      <c r="A765" s="5" t="s">
        <v>0</v>
      </c>
      <c r="B765" s="5" t="str">
        <f t="shared" si="5"/>
        <v>Y</v>
      </c>
      <c r="C765" s="18" t="s">
        <v>2337</v>
      </c>
      <c r="D765" s="18"/>
      <c r="E765" s="6" t="s">
        <v>2338</v>
      </c>
      <c r="F765" s="19"/>
      <c r="G765" s="20">
        <v>43510</v>
      </c>
      <c r="H765" s="20">
        <v>43513</v>
      </c>
      <c r="L765" s="6">
        <v>7209411109</v>
      </c>
      <c r="N765" s="16"/>
      <c r="O765" s="7"/>
      <c r="P765" s="17"/>
    </row>
    <row r="766" spans="1:16" ht="14.25" customHeight="1">
      <c r="A766" s="5" t="s">
        <v>0</v>
      </c>
      <c r="B766" s="5" t="str">
        <f t="shared" si="5"/>
        <v>Y</v>
      </c>
      <c r="C766" s="18" t="s">
        <v>2339</v>
      </c>
      <c r="D766" s="18"/>
      <c r="E766" s="6" t="s">
        <v>2340</v>
      </c>
      <c r="F766" s="19"/>
      <c r="G766" s="20">
        <v>43511</v>
      </c>
      <c r="H766" s="20">
        <v>43513</v>
      </c>
      <c r="L766" s="6">
        <v>8084692449</v>
      </c>
      <c r="N766" s="16"/>
      <c r="O766" s="7"/>
      <c r="P766" s="17"/>
    </row>
    <row r="767" spans="1:16" ht="14.25" customHeight="1">
      <c r="A767" s="5" t="s">
        <v>0</v>
      </c>
      <c r="B767" s="5" t="str">
        <f t="shared" si="5"/>
        <v>Y</v>
      </c>
      <c r="C767" s="18" t="s">
        <v>2341</v>
      </c>
      <c r="D767" s="18"/>
      <c r="E767" s="6" t="s">
        <v>2342</v>
      </c>
      <c r="F767" s="19"/>
      <c r="G767" s="20">
        <v>43601</v>
      </c>
      <c r="H767" s="20">
        <v>43513</v>
      </c>
      <c r="L767" s="6">
        <v>8002668157</v>
      </c>
      <c r="N767" s="16"/>
      <c r="O767" s="7"/>
      <c r="P767" s="17"/>
    </row>
    <row r="768" spans="1:16" ht="14.25" customHeight="1">
      <c r="A768" s="5" t="s">
        <v>0</v>
      </c>
      <c r="B768" s="5" t="str">
        <f t="shared" si="5"/>
        <v>Y</v>
      </c>
      <c r="C768" s="18" t="s">
        <v>2343</v>
      </c>
      <c r="D768" s="18"/>
      <c r="E768" s="6" t="s">
        <v>2344</v>
      </c>
      <c r="F768" s="19"/>
      <c r="G768" s="20">
        <v>43513</v>
      </c>
      <c r="H768" s="20">
        <v>43514</v>
      </c>
      <c r="L768" s="6">
        <v>9102942962</v>
      </c>
      <c r="N768" s="16" t="s">
        <v>1527</v>
      </c>
      <c r="O768" s="7"/>
      <c r="P768" s="17"/>
    </row>
    <row r="769" spans="1:16" ht="14.25" customHeight="1">
      <c r="A769" s="5" t="s">
        <v>0</v>
      </c>
      <c r="B769" s="5" t="str">
        <f t="shared" si="5"/>
        <v>Y</v>
      </c>
      <c r="C769" s="18" t="s">
        <v>2345</v>
      </c>
      <c r="D769" s="18"/>
      <c r="E769" s="6" t="s">
        <v>2346</v>
      </c>
      <c r="F769" s="19"/>
      <c r="G769" s="20">
        <v>43513</v>
      </c>
      <c r="H769" s="20">
        <v>43514</v>
      </c>
      <c r="L769" s="6">
        <v>8292799735</v>
      </c>
      <c r="N769" s="16" t="s">
        <v>1527</v>
      </c>
      <c r="O769" s="7"/>
      <c r="P769" s="17"/>
    </row>
    <row r="770" spans="1:16" ht="14.25" customHeight="1">
      <c r="A770" s="5" t="s">
        <v>0</v>
      </c>
      <c r="B770" s="5" t="str">
        <f t="shared" si="5"/>
        <v>Y</v>
      </c>
      <c r="C770" s="18" t="s">
        <v>2347</v>
      </c>
      <c r="D770" s="18"/>
      <c r="E770" s="6" t="s">
        <v>2348</v>
      </c>
      <c r="F770" s="19"/>
      <c r="G770" s="20">
        <v>43513</v>
      </c>
      <c r="H770" s="20">
        <v>43514</v>
      </c>
      <c r="L770" s="6">
        <v>7602317254</v>
      </c>
      <c r="N770" s="16" t="s">
        <v>1527</v>
      </c>
      <c r="O770" s="7"/>
      <c r="P770" s="17"/>
    </row>
    <row r="771" spans="1:16" ht="14.25" customHeight="1">
      <c r="A771" s="5" t="s">
        <v>0</v>
      </c>
      <c r="B771" s="5" t="str">
        <f t="shared" si="5"/>
        <v>Y</v>
      </c>
      <c r="C771" s="18" t="s">
        <v>2349</v>
      </c>
      <c r="D771" s="18"/>
      <c r="E771" s="6" t="s">
        <v>2350</v>
      </c>
      <c r="F771" s="19"/>
      <c r="G771" s="20">
        <v>43513</v>
      </c>
      <c r="H771" s="20">
        <v>43514</v>
      </c>
      <c r="L771" s="6">
        <v>9507579084</v>
      </c>
      <c r="N771" s="16" t="s">
        <v>1527</v>
      </c>
      <c r="O771" s="7"/>
      <c r="P771" s="17"/>
    </row>
    <row r="772" spans="1:16" ht="14.25" customHeight="1">
      <c r="A772" s="5" t="s">
        <v>0</v>
      </c>
      <c r="B772" s="5" t="str">
        <f t="shared" si="5"/>
        <v>Y</v>
      </c>
      <c r="C772" s="18" t="s">
        <v>2351</v>
      </c>
      <c r="D772" s="18"/>
      <c r="E772" s="6" t="s">
        <v>2352</v>
      </c>
      <c r="F772" s="19"/>
      <c r="G772" s="20">
        <v>43514</v>
      </c>
      <c r="H772" s="20">
        <v>43514</v>
      </c>
      <c r="L772" s="6">
        <v>8235383237</v>
      </c>
      <c r="N772" s="16"/>
      <c r="O772" s="7"/>
      <c r="P772" s="17"/>
    </row>
    <row r="773" spans="1:16" ht="14.25" customHeight="1">
      <c r="A773" s="5" t="s">
        <v>0</v>
      </c>
      <c r="B773" s="5" t="str">
        <f t="shared" si="5"/>
        <v>Y</v>
      </c>
      <c r="C773" s="18" t="s">
        <v>2353</v>
      </c>
      <c r="D773" s="18"/>
      <c r="E773" s="6" t="s">
        <v>2354</v>
      </c>
      <c r="F773" s="19"/>
      <c r="G773" s="20">
        <v>43514</v>
      </c>
      <c r="H773" s="20">
        <v>43516</v>
      </c>
      <c r="L773" s="6">
        <v>9279278895</v>
      </c>
      <c r="N773" s="16"/>
      <c r="O773" s="7"/>
      <c r="P773" s="17"/>
    </row>
    <row r="774" spans="1:16" ht="14.25" customHeight="1">
      <c r="A774" s="5" t="s">
        <v>0</v>
      </c>
      <c r="B774" s="5" t="str">
        <f t="shared" si="5"/>
        <v>N</v>
      </c>
      <c r="C774" s="18" t="s">
        <v>2355</v>
      </c>
      <c r="D774" s="18"/>
      <c r="E774" s="6" t="s">
        <v>2356</v>
      </c>
      <c r="F774" s="19"/>
      <c r="G774" s="20">
        <v>43514</v>
      </c>
      <c r="H774" s="5"/>
      <c r="L774" s="6">
        <v>8651421030</v>
      </c>
      <c r="N774" s="16"/>
      <c r="O774" s="7"/>
      <c r="P774" s="17"/>
    </row>
    <row r="775" spans="1:16" ht="14.25" customHeight="1">
      <c r="A775" s="5" t="s">
        <v>0</v>
      </c>
      <c r="B775" s="5" t="str">
        <f t="shared" si="5"/>
        <v>Y</v>
      </c>
      <c r="C775" s="18" t="s">
        <v>2357</v>
      </c>
      <c r="D775" s="18"/>
      <c r="E775" s="6" t="s">
        <v>2358</v>
      </c>
      <c r="F775" s="19"/>
      <c r="G775" s="20">
        <v>43517</v>
      </c>
      <c r="H775" s="20">
        <v>43518</v>
      </c>
      <c r="L775" s="6">
        <v>9939278339</v>
      </c>
      <c r="N775" s="16"/>
      <c r="O775" s="7"/>
      <c r="P775" s="17"/>
    </row>
    <row r="776" spans="1:16" ht="14.25" customHeight="1">
      <c r="A776" s="5" t="s">
        <v>0</v>
      </c>
      <c r="B776" s="5" t="str">
        <f t="shared" si="5"/>
        <v>Y</v>
      </c>
      <c r="C776" s="18" t="s">
        <v>2359</v>
      </c>
      <c r="D776" s="18"/>
      <c r="E776" s="6" t="s">
        <v>2360</v>
      </c>
      <c r="F776" s="19"/>
      <c r="G776" s="20">
        <v>43517</v>
      </c>
      <c r="H776" s="20">
        <v>43518</v>
      </c>
      <c r="L776" s="6">
        <v>7209637286</v>
      </c>
      <c r="M776" s="6" t="s">
        <v>1551</v>
      </c>
      <c r="N776" s="16" t="s">
        <v>1527</v>
      </c>
      <c r="O776" s="7"/>
      <c r="P776" s="17"/>
    </row>
    <row r="777" spans="1:16" ht="14.25" customHeight="1">
      <c r="A777" s="5" t="s">
        <v>0</v>
      </c>
      <c r="B777" s="5" t="str">
        <f t="shared" si="5"/>
        <v>Y</v>
      </c>
      <c r="C777" s="18" t="s">
        <v>2361</v>
      </c>
      <c r="D777" s="18"/>
      <c r="E777" s="6" t="s">
        <v>2362</v>
      </c>
      <c r="F777" s="19"/>
      <c r="G777" s="20">
        <v>43517</v>
      </c>
      <c r="H777" s="20">
        <v>43518</v>
      </c>
      <c r="L777" s="6">
        <v>7209637286</v>
      </c>
      <c r="M777" s="6" t="s">
        <v>1551</v>
      </c>
      <c r="N777" s="16" t="s">
        <v>1527</v>
      </c>
      <c r="O777" s="7"/>
      <c r="P777" s="17"/>
    </row>
    <row r="778" spans="1:16" ht="14.25" customHeight="1">
      <c r="A778" s="5" t="s">
        <v>0</v>
      </c>
      <c r="B778" s="5" t="str">
        <f t="shared" si="5"/>
        <v>Y</v>
      </c>
      <c r="C778" s="80" t="s">
        <v>2363</v>
      </c>
      <c r="D778" s="80"/>
      <c r="E778" s="6" t="s">
        <v>2364</v>
      </c>
      <c r="F778" s="19"/>
      <c r="G778" s="20">
        <v>43518</v>
      </c>
      <c r="H778" s="20">
        <v>43518</v>
      </c>
      <c r="L778" s="6">
        <v>8092248700</v>
      </c>
      <c r="M778" s="38"/>
      <c r="N778" s="16"/>
      <c r="O778" s="7"/>
      <c r="P778" s="17"/>
    </row>
    <row r="779" spans="1:16" ht="14.25" customHeight="1">
      <c r="A779" s="5" t="s">
        <v>0</v>
      </c>
      <c r="B779" s="5" t="str">
        <f t="shared" si="5"/>
        <v>Y</v>
      </c>
      <c r="C779" s="18" t="s">
        <v>2365</v>
      </c>
      <c r="D779" s="18"/>
      <c r="E779" s="6" t="s">
        <v>2366</v>
      </c>
      <c r="F779" s="19"/>
      <c r="G779" s="20">
        <v>43518</v>
      </c>
      <c r="H779" s="20">
        <v>43518</v>
      </c>
      <c r="L779" s="6">
        <v>7067981371</v>
      </c>
      <c r="N779" s="16"/>
      <c r="O779" s="7"/>
      <c r="P779" s="17"/>
    </row>
    <row r="780" spans="1:16" ht="14.25" customHeight="1">
      <c r="A780" s="5"/>
      <c r="B780" s="5" t="str">
        <f t="shared" si="5"/>
        <v>Y</v>
      </c>
      <c r="C780" s="18" t="s">
        <v>2367</v>
      </c>
      <c r="D780" s="18"/>
      <c r="E780" s="6" t="s">
        <v>2368</v>
      </c>
      <c r="F780" s="19"/>
      <c r="G780" s="20">
        <v>43518</v>
      </c>
      <c r="H780" s="20">
        <v>43518</v>
      </c>
      <c r="L780" s="6">
        <v>7209351710</v>
      </c>
      <c r="M780" s="6" t="s">
        <v>1551</v>
      </c>
      <c r="N780" s="16" t="s">
        <v>1527</v>
      </c>
      <c r="O780" s="7"/>
      <c r="P780" s="17"/>
    </row>
    <row r="781" spans="1:16" ht="14.25" customHeight="1">
      <c r="A781" s="5"/>
      <c r="B781" s="5" t="str">
        <f t="shared" si="5"/>
        <v>Y</v>
      </c>
      <c r="C781" s="18" t="s">
        <v>2369</v>
      </c>
      <c r="D781" s="18"/>
      <c r="E781" s="6" t="s">
        <v>2370</v>
      </c>
      <c r="F781" s="19"/>
      <c r="G781" s="20">
        <v>43518</v>
      </c>
      <c r="H781" s="20">
        <v>43518</v>
      </c>
      <c r="L781" s="6">
        <v>7209351710</v>
      </c>
      <c r="M781" s="6" t="s">
        <v>1551</v>
      </c>
      <c r="N781" s="16" t="s">
        <v>1527</v>
      </c>
      <c r="O781" s="7"/>
      <c r="P781" s="17"/>
    </row>
    <row r="782" spans="1:16" ht="14.25" customHeight="1">
      <c r="A782" s="5" t="s">
        <v>0</v>
      </c>
      <c r="B782" s="5" t="str">
        <f t="shared" si="5"/>
        <v>Y</v>
      </c>
      <c r="C782" s="18" t="s">
        <v>2371</v>
      </c>
      <c r="D782" s="18"/>
      <c r="E782" s="6" t="s">
        <v>2372</v>
      </c>
      <c r="F782" s="19" t="s">
        <v>2373</v>
      </c>
      <c r="G782" s="20">
        <v>43518</v>
      </c>
      <c r="H782" s="20">
        <v>43518</v>
      </c>
      <c r="L782" s="6">
        <v>6299400530</v>
      </c>
      <c r="N782" s="16"/>
      <c r="O782" s="7"/>
      <c r="P782" s="17"/>
    </row>
    <row r="783" spans="1:16" ht="14.25" customHeight="1">
      <c r="A783" s="5" t="s">
        <v>0</v>
      </c>
      <c r="B783" s="5" t="str">
        <f t="shared" si="5"/>
        <v>Y</v>
      </c>
      <c r="C783" s="18" t="s">
        <v>2374</v>
      </c>
      <c r="D783" s="18"/>
      <c r="E783" s="6" t="s">
        <v>2375</v>
      </c>
      <c r="F783" s="19"/>
      <c r="G783" s="20">
        <v>43518</v>
      </c>
      <c r="H783" s="20">
        <v>43518</v>
      </c>
      <c r="L783" s="6">
        <v>9631587383</v>
      </c>
      <c r="N783" s="16"/>
      <c r="O783" s="7"/>
      <c r="P783" s="17"/>
    </row>
    <row r="784" spans="1:16" ht="14.25" customHeight="1">
      <c r="A784" s="5" t="s">
        <v>0</v>
      </c>
      <c r="B784" s="5" t="str">
        <f t="shared" si="5"/>
        <v>Y</v>
      </c>
      <c r="C784" s="18" t="s">
        <v>2376</v>
      </c>
      <c r="D784" s="18"/>
      <c r="E784" s="6" t="s">
        <v>2377</v>
      </c>
      <c r="F784" s="19"/>
      <c r="G784" s="20">
        <v>43518</v>
      </c>
      <c r="H784" s="20">
        <v>43518</v>
      </c>
      <c r="L784" s="6">
        <v>6201912439</v>
      </c>
      <c r="M784" s="6" t="s">
        <v>1551</v>
      </c>
      <c r="N784" s="16" t="s">
        <v>1527</v>
      </c>
      <c r="O784" s="7"/>
      <c r="P784" s="17"/>
    </row>
    <row r="785" spans="1:16" ht="14.25" customHeight="1">
      <c r="A785" s="5" t="s">
        <v>0</v>
      </c>
      <c r="B785" s="5" t="str">
        <f t="shared" si="5"/>
        <v>Y</v>
      </c>
      <c r="C785" s="94" t="s">
        <v>2378</v>
      </c>
      <c r="D785" s="94"/>
      <c r="E785" s="6" t="s">
        <v>2379</v>
      </c>
      <c r="F785" s="19"/>
      <c r="G785" s="20">
        <v>43518</v>
      </c>
      <c r="H785" s="20">
        <v>43520</v>
      </c>
      <c r="L785" s="6">
        <v>8340406670</v>
      </c>
      <c r="N785" s="16"/>
      <c r="O785" s="7"/>
      <c r="P785" s="17"/>
    </row>
    <row r="786" spans="1:16" ht="14.25" customHeight="1">
      <c r="A786" s="5" t="s">
        <v>0</v>
      </c>
      <c r="B786" s="5" t="str">
        <f t="shared" si="5"/>
        <v>Y</v>
      </c>
      <c r="C786" s="18" t="s">
        <v>2380</v>
      </c>
      <c r="D786" s="18"/>
      <c r="E786" s="6" t="s">
        <v>2381</v>
      </c>
      <c r="F786" s="19" t="s">
        <v>2382</v>
      </c>
      <c r="G786" s="20">
        <v>43518</v>
      </c>
      <c r="H786" s="20">
        <v>43519</v>
      </c>
      <c r="L786" s="6">
        <v>8092639469</v>
      </c>
      <c r="N786" s="16"/>
      <c r="O786" s="7"/>
      <c r="P786" s="17"/>
    </row>
    <row r="787" spans="1:16" ht="14.25" customHeight="1">
      <c r="A787" s="5" t="s">
        <v>0</v>
      </c>
      <c r="B787" s="5" t="str">
        <f t="shared" si="5"/>
        <v>Y</v>
      </c>
      <c r="C787" s="18" t="s">
        <v>2383</v>
      </c>
      <c r="D787" s="18"/>
      <c r="E787" s="6" t="s">
        <v>2384</v>
      </c>
      <c r="F787" s="19"/>
      <c r="G787" s="20">
        <v>43519</v>
      </c>
      <c r="H787" s="20">
        <v>43520</v>
      </c>
      <c r="L787" s="6">
        <v>8235352983</v>
      </c>
      <c r="N787" s="16"/>
      <c r="O787" s="7"/>
      <c r="P787" s="17"/>
    </row>
    <row r="788" spans="1:16" ht="14.25" customHeight="1">
      <c r="A788" s="5" t="s">
        <v>0</v>
      </c>
      <c r="B788" s="5" t="str">
        <f t="shared" si="5"/>
        <v>Y</v>
      </c>
      <c r="C788" s="18" t="s">
        <v>2385</v>
      </c>
      <c r="D788" s="18"/>
      <c r="E788" s="6" t="s">
        <v>2386</v>
      </c>
      <c r="F788" s="19"/>
      <c r="G788" s="20">
        <v>43519</v>
      </c>
      <c r="H788" s="20">
        <v>43520</v>
      </c>
      <c r="L788" s="6">
        <v>9771223152</v>
      </c>
      <c r="N788" s="16"/>
      <c r="O788" s="7"/>
      <c r="P788" s="17"/>
    </row>
    <row r="789" spans="1:16" ht="14.25" customHeight="1">
      <c r="A789" s="5" t="s">
        <v>0</v>
      </c>
      <c r="B789" s="5" t="str">
        <f t="shared" si="5"/>
        <v>Y</v>
      </c>
      <c r="C789" s="18" t="s">
        <v>2387</v>
      </c>
      <c r="D789" s="18"/>
      <c r="E789" s="6" t="s">
        <v>2388</v>
      </c>
      <c r="F789" s="19"/>
      <c r="G789" s="20">
        <v>43519</v>
      </c>
      <c r="H789" s="20">
        <v>43520</v>
      </c>
      <c r="L789" s="6">
        <v>9204596758</v>
      </c>
      <c r="N789" s="16"/>
      <c r="O789" s="7"/>
      <c r="P789" s="17"/>
    </row>
    <row r="790" spans="1:16" ht="14.25" customHeight="1">
      <c r="A790" s="5" t="s">
        <v>0</v>
      </c>
      <c r="B790" s="5" t="str">
        <f t="shared" si="5"/>
        <v>Y</v>
      </c>
      <c r="C790" s="18" t="s">
        <v>2389</v>
      </c>
      <c r="D790" s="18"/>
      <c r="E790" s="6" t="s">
        <v>2390</v>
      </c>
      <c r="F790" s="19"/>
      <c r="G790" s="20">
        <v>43519</v>
      </c>
      <c r="H790" s="20">
        <v>43520</v>
      </c>
      <c r="L790" s="6">
        <v>9234334855</v>
      </c>
      <c r="N790" s="16"/>
      <c r="O790" s="7"/>
      <c r="P790" s="17"/>
    </row>
    <row r="791" spans="1:16" ht="14.25" customHeight="1">
      <c r="A791" s="5" t="s">
        <v>0</v>
      </c>
      <c r="B791" s="5" t="str">
        <f t="shared" si="5"/>
        <v>Y</v>
      </c>
      <c r="C791" s="18" t="s">
        <v>2391</v>
      </c>
      <c r="D791" s="18"/>
      <c r="E791" s="6" t="s">
        <v>2392</v>
      </c>
      <c r="F791" s="19"/>
      <c r="G791" s="20">
        <v>43521</v>
      </c>
      <c r="H791" s="20">
        <v>43521</v>
      </c>
      <c r="L791" s="6">
        <v>7209767494</v>
      </c>
      <c r="N791" s="16"/>
      <c r="O791" s="7"/>
      <c r="P791" s="17"/>
    </row>
    <row r="792" spans="1:16" ht="14.25" customHeight="1">
      <c r="A792" s="5" t="s">
        <v>0</v>
      </c>
      <c r="B792" s="5" t="str">
        <f t="shared" si="5"/>
        <v>Y</v>
      </c>
      <c r="C792" s="18" t="s">
        <v>2393</v>
      </c>
      <c r="D792" s="18"/>
      <c r="E792" s="6" t="s">
        <v>2394</v>
      </c>
      <c r="F792" s="19"/>
      <c r="G792" s="20">
        <v>43522</v>
      </c>
      <c r="H792" s="20">
        <v>43523</v>
      </c>
      <c r="L792" s="6">
        <v>7903364319</v>
      </c>
      <c r="N792" s="16"/>
      <c r="O792" s="7"/>
      <c r="P792" s="17"/>
    </row>
    <row r="793" spans="1:16" ht="14.25" customHeight="1">
      <c r="A793" s="5" t="s">
        <v>0</v>
      </c>
      <c r="B793" s="5" t="str">
        <f t="shared" si="5"/>
        <v>Y</v>
      </c>
      <c r="C793" s="18" t="s">
        <v>2395</v>
      </c>
      <c r="D793" s="18"/>
      <c r="E793" s="6" t="s">
        <v>2396</v>
      </c>
      <c r="F793" s="19"/>
      <c r="G793" s="20">
        <v>43522</v>
      </c>
      <c r="H793" s="20">
        <v>43523</v>
      </c>
      <c r="L793" s="6">
        <v>9263499819</v>
      </c>
      <c r="N793" s="16"/>
      <c r="O793" s="7"/>
      <c r="P793" s="17"/>
    </row>
    <row r="794" spans="1:16" ht="14.25" customHeight="1">
      <c r="A794" s="5" t="s">
        <v>0</v>
      </c>
      <c r="B794" s="5" t="str">
        <f t="shared" si="5"/>
        <v>Y</v>
      </c>
      <c r="C794" s="18" t="s">
        <v>2397</v>
      </c>
      <c r="D794" s="18"/>
      <c r="E794" s="6" t="s">
        <v>2398</v>
      </c>
      <c r="F794" s="19"/>
      <c r="G794" s="20">
        <v>43522</v>
      </c>
      <c r="H794" s="20">
        <v>43523</v>
      </c>
      <c r="L794" s="6">
        <v>7762078626</v>
      </c>
      <c r="N794" s="16"/>
      <c r="O794" s="7"/>
      <c r="P794" s="17"/>
    </row>
    <row r="795" spans="1:16" ht="14.25" customHeight="1">
      <c r="A795" s="5" t="s">
        <v>0</v>
      </c>
      <c r="B795" s="5" t="str">
        <f t="shared" si="5"/>
        <v>Y</v>
      </c>
      <c r="C795" s="18" t="s">
        <v>2399</v>
      </c>
      <c r="D795" s="18"/>
      <c r="E795" s="6" t="s">
        <v>2400</v>
      </c>
      <c r="F795" s="19"/>
      <c r="G795" s="20">
        <v>43522</v>
      </c>
      <c r="H795" s="20">
        <v>43523</v>
      </c>
      <c r="L795" s="6">
        <v>8210027224</v>
      </c>
      <c r="N795" s="16"/>
      <c r="O795" s="7"/>
      <c r="P795" s="17"/>
    </row>
    <row r="796" spans="1:16" ht="14.25" customHeight="1">
      <c r="A796" s="5" t="s">
        <v>0</v>
      </c>
      <c r="B796" s="5" t="str">
        <f t="shared" si="5"/>
        <v>Y</v>
      </c>
      <c r="C796" s="18" t="s">
        <v>2401</v>
      </c>
      <c r="D796" s="18"/>
      <c r="E796" s="6" t="s">
        <v>2402</v>
      </c>
      <c r="F796" s="19"/>
      <c r="G796" s="20">
        <v>43523</v>
      </c>
      <c r="H796" s="20">
        <v>43524</v>
      </c>
      <c r="L796" s="6">
        <v>7549066090</v>
      </c>
      <c r="N796" s="16"/>
      <c r="O796" s="7"/>
      <c r="P796" s="17"/>
    </row>
    <row r="797" spans="1:16" ht="14.25" customHeight="1">
      <c r="A797" s="5" t="s">
        <v>0</v>
      </c>
      <c r="B797" s="5" t="str">
        <f t="shared" si="5"/>
        <v>Y</v>
      </c>
      <c r="C797" s="18" t="s">
        <v>2403</v>
      </c>
      <c r="D797" s="18"/>
      <c r="E797" s="6" t="s">
        <v>2404</v>
      </c>
      <c r="F797" s="19"/>
      <c r="G797" s="20">
        <v>43524</v>
      </c>
      <c r="H797" s="20">
        <v>47178</v>
      </c>
      <c r="L797" s="6">
        <v>9031783611</v>
      </c>
      <c r="N797" s="16"/>
      <c r="O797" s="7"/>
      <c r="P797" s="17"/>
    </row>
    <row r="798" spans="1:16" ht="14.25" customHeight="1">
      <c r="A798" s="5" t="s">
        <v>0</v>
      </c>
      <c r="B798" s="5" t="str">
        <f t="shared" si="5"/>
        <v>Y</v>
      </c>
      <c r="C798" s="18" t="s">
        <v>2405</v>
      </c>
      <c r="D798" s="18"/>
      <c r="E798" s="6" t="s">
        <v>2406</v>
      </c>
      <c r="F798" s="19"/>
      <c r="G798" s="20">
        <v>43528</v>
      </c>
      <c r="H798" s="20">
        <v>43528</v>
      </c>
      <c r="L798" s="6">
        <v>8619255203</v>
      </c>
      <c r="N798" s="16"/>
      <c r="O798" s="7"/>
      <c r="P798" s="17"/>
    </row>
    <row r="799" spans="1:16" ht="14.25" customHeight="1">
      <c r="A799" s="5" t="s">
        <v>0</v>
      </c>
      <c r="B799" s="5" t="str">
        <f t="shared" si="5"/>
        <v>Y</v>
      </c>
      <c r="C799" s="18" t="s">
        <v>2407</v>
      </c>
      <c r="D799" s="18"/>
      <c r="E799" s="6" t="s">
        <v>2408</v>
      </c>
      <c r="F799" s="19"/>
      <c r="G799" s="20">
        <v>43528</v>
      </c>
      <c r="H799" s="20">
        <v>43528</v>
      </c>
      <c r="L799" s="6">
        <v>9835973528</v>
      </c>
      <c r="N799" s="16"/>
      <c r="O799" s="7"/>
      <c r="P799" s="17"/>
    </row>
    <row r="800" spans="1:16" ht="14.25" customHeight="1">
      <c r="A800" s="5" t="s">
        <v>0</v>
      </c>
      <c r="B800" s="5" t="str">
        <f t="shared" si="5"/>
        <v>Y</v>
      </c>
      <c r="C800" s="18" t="s">
        <v>2409</v>
      </c>
      <c r="D800" s="18"/>
      <c r="E800" s="6" t="s">
        <v>2410</v>
      </c>
      <c r="F800" s="19"/>
      <c r="G800" s="20">
        <v>43530</v>
      </c>
      <c r="H800" s="20">
        <v>43531</v>
      </c>
      <c r="L800" s="6">
        <v>7070921286</v>
      </c>
      <c r="N800" s="16"/>
      <c r="O800" s="7"/>
      <c r="P800" s="17"/>
    </row>
    <row r="801" spans="1:16" ht="14.25" customHeight="1">
      <c r="A801" s="5" t="s">
        <v>0</v>
      </c>
      <c r="B801" s="5" t="str">
        <f t="shared" si="5"/>
        <v>Y</v>
      </c>
      <c r="C801" s="18" t="s">
        <v>2409</v>
      </c>
      <c r="D801" s="18"/>
      <c r="E801" s="6" t="s">
        <v>2411</v>
      </c>
      <c r="F801" s="19"/>
      <c r="G801" s="20">
        <v>43530</v>
      </c>
      <c r="H801" s="20">
        <v>43531</v>
      </c>
      <c r="L801" s="6">
        <v>9123233026</v>
      </c>
      <c r="N801" s="16" t="s">
        <v>2412</v>
      </c>
      <c r="O801" s="7"/>
      <c r="P801" s="17"/>
    </row>
    <row r="802" spans="1:16" ht="14.25" customHeight="1">
      <c r="A802" s="5" t="s">
        <v>0</v>
      </c>
      <c r="B802" s="5" t="str">
        <f t="shared" si="5"/>
        <v>Y</v>
      </c>
      <c r="C802" s="18" t="s">
        <v>2413</v>
      </c>
      <c r="D802" s="18"/>
      <c r="E802" s="6" t="s">
        <v>2414</v>
      </c>
      <c r="F802" s="19"/>
      <c r="G802" s="20">
        <v>43532</v>
      </c>
      <c r="H802" s="20">
        <v>43532</v>
      </c>
      <c r="L802" s="6">
        <v>9931355479</v>
      </c>
      <c r="N802" s="16"/>
      <c r="O802" s="7"/>
      <c r="P802" s="17"/>
    </row>
    <row r="803" spans="1:16" ht="14.25" customHeight="1">
      <c r="A803" s="5" t="s">
        <v>0</v>
      </c>
      <c r="B803" s="5" t="str">
        <f t="shared" si="5"/>
        <v>Y</v>
      </c>
      <c r="C803" s="18" t="s">
        <v>2415</v>
      </c>
      <c r="D803" s="18"/>
      <c r="E803" s="70" t="s">
        <v>2416</v>
      </c>
      <c r="F803" s="19" t="s">
        <v>2417</v>
      </c>
      <c r="G803" s="20">
        <v>43535</v>
      </c>
      <c r="H803" s="20">
        <v>43537</v>
      </c>
      <c r="L803" s="6">
        <v>8210535615</v>
      </c>
      <c r="N803" s="16"/>
      <c r="O803" s="7"/>
      <c r="P803" s="17"/>
    </row>
    <row r="804" spans="1:16" ht="14.25" customHeight="1">
      <c r="A804" s="5" t="s">
        <v>0</v>
      </c>
      <c r="B804" s="5" t="str">
        <f t="shared" si="5"/>
        <v>Y</v>
      </c>
      <c r="C804" s="18" t="s">
        <v>2418</v>
      </c>
      <c r="D804" s="18"/>
      <c r="E804" s="70" t="s">
        <v>2419</v>
      </c>
      <c r="F804" s="19" t="s">
        <v>2420</v>
      </c>
      <c r="G804" s="20">
        <v>43535</v>
      </c>
      <c r="H804" s="20">
        <v>43537</v>
      </c>
      <c r="L804" s="6">
        <v>8210535615</v>
      </c>
      <c r="N804" s="16"/>
      <c r="O804" s="7"/>
      <c r="P804" s="17"/>
    </row>
    <row r="805" spans="1:16" ht="14.25" customHeight="1">
      <c r="A805" s="5" t="s">
        <v>0</v>
      </c>
      <c r="B805" s="5" t="str">
        <f t="shared" si="5"/>
        <v>Y</v>
      </c>
      <c r="C805" s="18" t="s">
        <v>2421</v>
      </c>
      <c r="D805" s="18"/>
      <c r="E805" s="70" t="s">
        <v>2422</v>
      </c>
      <c r="F805" s="19" t="s">
        <v>2423</v>
      </c>
      <c r="G805" s="20">
        <v>43535</v>
      </c>
      <c r="H805" s="20">
        <v>43538</v>
      </c>
      <c r="L805" s="6">
        <v>8210535615</v>
      </c>
      <c r="N805" s="16"/>
      <c r="O805" s="7"/>
      <c r="P805" s="17"/>
    </row>
    <row r="806" spans="1:16" ht="14.25" customHeight="1">
      <c r="A806" s="5" t="s">
        <v>0</v>
      </c>
      <c r="B806" s="5" t="str">
        <f t="shared" si="5"/>
        <v>Y</v>
      </c>
      <c r="C806" s="18" t="s">
        <v>2421</v>
      </c>
      <c r="D806" s="18"/>
      <c r="E806" s="70" t="s">
        <v>2424</v>
      </c>
      <c r="F806" s="19" t="s">
        <v>2425</v>
      </c>
      <c r="G806" s="20">
        <v>43535</v>
      </c>
      <c r="H806" s="20">
        <v>43538</v>
      </c>
      <c r="L806" s="6">
        <v>8210535615</v>
      </c>
      <c r="N806" s="16"/>
      <c r="O806" s="7"/>
      <c r="P806" s="17"/>
    </row>
    <row r="807" spans="1:16" ht="14.25" customHeight="1">
      <c r="A807" s="5" t="s">
        <v>0</v>
      </c>
      <c r="B807" s="5" t="str">
        <f t="shared" si="5"/>
        <v>Y</v>
      </c>
      <c r="C807" s="18" t="s">
        <v>2426</v>
      </c>
      <c r="D807" s="18"/>
      <c r="E807" s="70" t="s">
        <v>2427</v>
      </c>
      <c r="F807" s="19" t="s">
        <v>2428</v>
      </c>
      <c r="G807" s="20">
        <v>43535</v>
      </c>
      <c r="H807" s="20">
        <v>43538</v>
      </c>
      <c r="L807" s="6">
        <v>8210535615</v>
      </c>
      <c r="N807" s="16"/>
      <c r="O807" s="7"/>
      <c r="P807" s="17"/>
    </row>
    <row r="808" spans="1:16" ht="14.25" customHeight="1">
      <c r="A808" s="5" t="s">
        <v>0</v>
      </c>
      <c r="B808" s="5" t="str">
        <f t="shared" si="5"/>
        <v>Y</v>
      </c>
      <c r="C808" s="18" t="s">
        <v>2429</v>
      </c>
      <c r="D808" s="18"/>
      <c r="E808" s="70" t="s">
        <v>2430</v>
      </c>
      <c r="F808" s="19"/>
      <c r="G808" s="20">
        <v>43535</v>
      </c>
      <c r="H808" s="20">
        <v>43538</v>
      </c>
      <c r="L808" s="6">
        <v>8210535615</v>
      </c>
      <c r="N808" s="16"/>
      <c r="O808" s="7"/>
      <c r="P808" s="17"/>
    </row>
    <row r="809" spans="1:16" ht="14.25" customHeight="1">
      <c r="A809" s="5" t="s">
        <v>0</v>
      </c>
      <c r="B809" s="5" t="str">
        <f t="shared" si="5"/>
        <v>N</v>
      </c>
      <c r="C809" s="18" t="s">
        <v>2431</v>
      </c>
      <c r="D809" s="18"/>
      <c r="E809" s="6" t="s">
        <v>2432</v>
      </c>
      <c r="F809" s="19"/>
      <c r="G809" s="20">
        <v>43535</v>
      </c>
      <c r="H809" s="5"/>
      <c r="N809" s="16" t="s">
        <v>2433</v>
      </c>
      <c r="O809" s="7"/>
      <c r="P809" s="17"/>
    </row>
    <row r="810" spans="1:16" ht="14.25" customHeight="1">
      <c r="A810" s="5" t="s">
        <v>0</v>
      </c>
      <c r="B810" s="5" t="str">
        <f t="shared" si="5"/>
        <v>Y</v>
      </c>
      <c r="C810" s="18" t="s">
        <v>2434</v>
      </c>
      <c r="D810" s="18"/>
      <c r="E810" s="6" t="s">
        <v>2435</v>
      </c>
      <c r="F810" s="19" t="s">
        <v>2436</v>
      </c>
      <c r="G810" s="20">
        <v>43535</v>
      </c>
      <c r="H810" s="20">
        <v>43538</v>
      </c>
      <c r="L810" s="6">
        <v>6203130343</v>
      </c>
      <c r="N810" s="16"/>
      <c r="O810" s="7"/>
      <c r="P810" s="17"/>
    </row>
    <row r="811" spans="1:16" ht="14.25" customHeight="1">
      <c r="A811" s="5" t="s">
        <v>0</v>
      </c>
      <c r="B811" s="5" t="str">
        <f t="shared" si="5"/>
        <v>Y</v>
      </c>
      <c r="C811" s="18" t="s">
        <v>2437</v>
      </c>
      <c r="D811" s="18"/>
      <c r="E811" s="6" t="s">
        <v>2438</v>
      </c>
      <c r="F811" s="19" t="s">
        <v>2439</v>
      </c>
      <c r="G811" s="20">
        <v>43535</v>
      </c>
      <c r="H811" s="20">
        <v>43537</v>
      </c>
      <c r="L811" s="6">
        <v>7461910437</v>
      </c>
      <c r="N811" s="16"/>
      <c r="O811" s="7"/>
      <c r="P811" s="17"/>
    </row>
    <row r="812" spans="1:16" ht="14.25" customHeight="1">
      <c r="A812" s="5" t="s">
        <v>0</v>
      </c>
      <c r="B812" s="5" t="str">
        <f t="shared" si="5"/>
        <v>Y</v>
      </c>
      <c r="C812" s="18" t="s">
        <v>2440</v>
      </c>
      <c r="D812" s="18"/>
      <c r="E812" s="6" t="s">
        <v>2441</v>
      </c>
      <c r="F812" s="19" t="s">
        <v>2442</v>
      </c>
      <c r="G812" s="20">
        <v>43535</v>
      </c>
      <c r="H812" s="20">
        <v>43537</v>
      </c>
      <c r="L812" s="6">
        <v>7903798550</v>
      </c>
      <c r="N812" s="16"/>
      <c r="O812" s="7"/>
      <c r="P812" s="17"/>
    </row>
    <row r="813" spans="1:16" ht="14.25" customHeight="1">
      <c r="A813" s="5" t="s">
        <v>0</v>
      </c>
      <c r="B813" s="5" t="str">
        <f t="shared" si="5"/>
        <v>Y</v>
      </c>
      <c r="C813" s="18" t="s">
        <v>2443</v>
      </c>
      <c r="D813" s="18"/>
      <c r="E813" s="6" t="s">
        <v>2444</v>
      </c>
      <c r="F813" s="19" t="s">
        <v>2445</v>
      </c>
      <c r="G813" s="20">
        <v>43536</v>
      </c>
      <c r="H813" s="20">
        <v>43537</v>
      </c>
      <c r="N813" s="16"/>
      <c r="O813" s="7"/>
      <c r="P813" s="17"/>
    </row>
    <row r="814" spans="1:16" ht="14.25" customHeight="1">
      <c r="A814" s="5" t="s">
        <v>0</v>
      </c>
      <c r="B814" s="5" t="str">
        <f t="shared" si="5"/>
        <v>Y</v>
      </c>
      <c r="C814" s="18" t="s">
        <v>2446</v>
      </c>
      <c r="D814" s="18"/>
      <c r="E814" s="6" t="s">
        <v>2447</v>
      </c>
      <c r="F814" s="19"/>
      <c r="G814" s="20">
        <v>43536</v>
      </c>
      <c r="H814" s="20">
        <v>43538</v>
      </c>
      <c r="N814" s="16"/>
      <c r="O814" s="7"/>
      <c r="P814" s="17"/>
    </row>
    <row r="815" spans="1:16" ht="14.25" customHeight="1">
      <c r="A815" s="5" t="s">
        <v>0</v>
      </c>
      <c r="B815" s="5" t="str">
        <f t="shared" si="5"/>
        <v>Y</v>
      </c>
      <c r="C815" s="18" t="s">
        <v>2448</v>
      </c>
      <c r="D815" s="18"/>
      <c r="E815" s="6" t="s">
        <v>2449</v>
      </c>
      <c r="F815" s="19" t="s">
        <v>2450</v>
      </c>
      <c r="G815" s="20">
        <v>43536</v>
      </c>
      <c r="H815" s="20">
        <v>43538</v>
      </c>
      <c r="L815" s="6">
        <v>6204916360</v>
      </c>
      <c r="N815" s="16"/>
      <c r="O815" s="7"/>
      <c r="P815" s="17"/>
    </row>
    <row r="816" spans="1:16" ht="14.25" customHeight="1">
      <c r="A816" s="5" t="s">
        <v>0</v>
      </c>
      <c r="B816" s="5" t="str">
        <f t="shared" si="5"/>
        <v>Y</v>
      </c>
      <c r="C816" s="18" t="s">
        <v>2451</v>
      </c>
      <c r="D816" s="18"/>
      <c r="E816" s="6" t="s">
        <v>2452</v>
      </c>
      <c r="F816" s="19" t="s">
        <v>2453</v>
      </c>
      <c r="G816" s="20">
        <v>36599</v>
      </c>
      <c r="H816" s="20">
        <v>43571</v>
      </c>
      <c r="L816" s="6">
        <v>9123435076</v>
      </c>
      <c r="N816" s="16"/>
      <c r="O816" s="7"/>
      <c r="P816" s="17"/>
    </row>
    <row r="817" spans="1:16" ht="14.25" customHeight="1">
      <c r="A817" s="5" t="s">
        <v>1840</v>
      </c>
      <c r="B817" s="5" t="str">
        <f t="shared" si="5"/>
        <v>Y</v>
      </c>
      <c r="C817" s="18" t="s">
        <v>2454</v>
      </c>
      <c r="D817" s="18"/>
      <c r="E817" s="6" t="s">
        <v>2455</v>
      </c>
      <c r="F817" s="19" t="s">
        <v>2456</v>
      </c>
      <c r="G817" s="20">
        <v>43517</v>
      </c>
      <c r="H817" s="20">
        <v>43538</v>
      </c>
      <c r="L817" s="6">
        <v>7295903354</v>
      </c>
      <c r="M817" s="6" t="s">
        <v>2457</v>
      </c>
      <c r="N817" s="16"/>
      <c r="O817" s="7"/>
      <c r="P817" s="17"/>
    </row>
    <row r="818" spans="1:16" ht="14.25" customHeight="1">
      <c r="A818" s="5" t="s">
        <v>0</v>
      </c>
      <c r="B818" s="5" t="str">
        <f t="shared" si="5"/>
        <v>Y</v>
      </c>
      <c r="C818" s="18" t="s">
        <v>2458</v>
      </c>
      <c r="D818" s="18"/>
      <c r="E818" s="6" t="s">
        <v>2459</v>
      </c>
      <c r="F818" s="19" t="s">
        <v>2460</v>
      </c>
      <c r="G818" s="20" t="s">
        <v>2461</v>
      </c>
      <c r="H818" s="20">
        <v>43550</v>
      </c>
      <c r="L818" s="6">
        <v>9934120572</v>
      </c>
      <c r="N818" s="16"/>
      <c r="O818" s="7"/>
      <c r="P818" s="17"/>
    </row>
    <row r="819" spans="1:16" ht="14.25" customHeight="1">
      <c r="A819" s="5" t="s">
        <v>0</v>
      </c>
      <c r="B819" s="5" t="str">
        <f t="shared" si="5"/>
        <v>Y</v>
      </c>
      <c r="C819" s="18" t="s">
        <v>2462</v>
      </c>
      <c r="D819" s="18"/>
      <c r="E819" s="6" t="s">
        <v>2463</v>
      </c>
      <c r="F819" s="19" t="s">
        <v>2464</v>
      </c>
      <c r="G819" s="20" t="s">
        <v>2461</v>
      </c>
      <c r="H819" s="20">
        <v>43550</v>
      </c>
      <c r="L819" s="6">
        <v>9939402224</v>
      </c>
      <c r="N819" s="16"/>
      <c r="O819" s="7"/>
      <c r="P819" s="17"/>
    </row>
    <row r="820" spans="1:16" ht="14.25" customHeight="1">
      <c r="A820" s="5" t="s">
        <v>0</v>
      </c>
      <c r="B820" s="5" t="str">
        <f t="shared" si="5"/>
        <v>Y</v>
      </c>
      <c r="C820" s="18" t="s">
        <v>2465</v>
      </c>
      <c r="D820" s="18"/>
      <c r="E820" s="6" t="s">
        <v>2466</v>
      </c>
      <c r="F820" s="19" t="s">
        <v>2420</v>
      </c>
      <c r="G820" s="20" t="s">
        <v>2461</v>
      </c>
      <c r="H820" s="20">
        <v>43550</v>
      </c>
      <c r="L820" s="6">
        <v>9572218354</v>
      </c>
      <c r="N820" s="16"/>
      <c r="O820" s="7"/>
      <c r="P820" s="17"/>
    </row>
    <row r="821" spans="1:16" ht="14.25" customHeight="1">
      <c r="A821" s="5" t="s">
        <v>0</v>
      </c>
      <c r="B821" s="5" t="str">
        <f t="shared" si="5"/>
        <v>Y</v>
      </c>
      <c r="C821" s="18" t="s">
        <v>2467</v>
      </c>
      <c r="D821" s="18"/>
      <c r="E821" s="6" t="s">
        <v>2468</v>
      </c>
      <c r="F821" s="19" t="s">
        <v>2469</v>
      </c>
      <c r="G821" s="20" t="s">
        <v>2461</v>
      </c>
      <c r="H821" s="20">
        <v>43550</v>
      </c>
      <c r="L821" s="6">
        <v>9934120572</v>
      </c>
      <c r="N821" s="16"/>
      <c r="O821" s="7"/>
      <c r="P821" s="17"/>
    </row>
    <row r="822" spans="1:16" ht="14.25" customHeight="1">
      <c r="A822" s="5" t="s">
        <v>0</v>
      </c>
      <c r="B822" s="5" t="str">
        <f t="shared" si="5"/>
        <v>Y</v>
      </c>
      <c r="C822" s="18" t="s">
        <v>2470</v>
      </c>
      <c r="D822" s="18"/>
      <c r="E822" s="6" t="s">
        <v>2471</v>
      </c>
      <c r="F822" s="19" t="s">
        <v>2472</v>
      </c>
      <c r="G822" s="20" t="s">
        <v>2461</v>
      </c>
      <c r="H822" s="20">
        <v>43544</v>
      </c>
      <c r="L822" s="6">
        <v>8092465625</v>
      </c>
      <c r="N822" s="16"/>
      <c r="O822" s="7"/>
      <c r="P822" s="17"/>
    </row>
    <row r="823" spans="1:16" ht="14.25" customHeight="1">
      <c r="A823" s="5" t="s">
        <v>0</v>
      </c>
      <c r="B823" s="5" t="str">
        <f t="shared" si="5"/>
        <v>Y</v>
      </c>
      <c r="C823" s="18" t="s">
        <v>2473</v>
      </c>
      <c r="D823" s="18"/>
      <c r="E823" s="6" t="s">
        <v>2474</v>
      </c>
      <c r="F823" s="19" t="s">
        <v>2425</v>
      </c>
      <c r="G823" s="20" t="s">
        <v>2461</v>
      </c>
      <c r="H823" s="20">
        <v>43544</v>
      </c>
      <c r="L823" s="6">
        <v>8092465625</v>
      </c>
      <c r="N823" s="16"/>
      <c r="O823" s="7"/>
      <c r="P823" s="17"/>
    </row>
    <row r="824" spans="1:16" ht="14.25" customHeight="1">
      <c r="A824" s="5" t="s">
        <v>0</v>
      </c>
      <c r="B824" s="5" t="str">
        <f t="shared" si="5"/>
        <v>Y</v>
      </c>
      <c r="C824" s="18" t="s">
        <v>2475</v>
      </c>
      <c r="D824" s="18"/>
      <c r="E824" s="6" t="s">
        <v>2476</v>
      </c>
      <c r="F824" s="19" t="s">
        <v>2477</v>
      </c>
      <c r="G824" s="20" t="s">
        <v>2478</v>
      </c>
      <c r="H824" s="20">
        <v>43550</v>
      </c>
      <c r="L824" s="6">
        <v>9934120572</v>
      </c>
      <c r="N824" s="16"/>
      <c r="O824" s="7"/>
      <c r="P824" s="17"/>
    </row>
    <row r="825" spans="1:16" ht="14.25" customHeight="1">
      <c r="A825" s="5" t="s">
        <v>0</v>
      </c>
      <c r="B825" s="5" t="str">
        <f t="shared" si="5"/>
        <v>Y</v>
      </c>
      <c r="C825" s="18" t="s">
        <v>2479</v>
      </c>
      <c r="D825" s="18"/>
      <c r="E825" s="6" t="s">
        <v>2480</v>
      </c>
      <c r="F825" s="19" t="s">
        <v>2481</v>
      </c>
      <c r="G825" s="20" t="s">
        <v>2478</v>
      </c>
      <c r="H825" s="20">
        <v>43542</v>
      </c>
      <c r="L825" s="6">
        <v>6206822548</v>
      </c>
      <c r="N825" s="16"/>
      <c r="O825" s="7"/>
      <c r="P825" s="17"/>
    </row>
    <row r="826" spans="1:16" ht="14.25" customHeight="1">
      <c r="A826" s="5" t="s">
        <v>0</v>
      </c>
      <c r="B826" s="5" t="str">
        <f t="shared" si="5"/>
        <v>Y</v>
      </c>
      <c r="C826" s="18" t="s">
        <v>2482</v>
      </c>
      <c r="D826" s="18"/>
      <c r="E826" s="6" t="s">
        <v>2483</v>
      </c>
      <c r="F826" s="19" t="s">
        <v>2484</v>
      </c>
      <c r="G826" s="20" t="s">
        <v>2478</v>
      </c>
      <c r="H826" s="20">
        <v>43542</v>
      </c>
      <c r="L826" s="6">
        <v>8603206085</v>
      </c>
      <c r="N826" s="16"/>
      <c r="O826" s="7"/>
      <c r="P826" s="17"/>
    </row>
    <row r="827" spans="1:16" ht="14.25" customHeight="1">
      <c r="A827" s="5" t="s">
        <v>0</v>
      </c>
      <c r="B827" s="5" t="str">
        <f t="shared" si="5"/>
        <v>Y</v>
      </c>
      <c r="C827" s="18" t="s">
        <v>2485</v>
      </c>
      <c r="D827" s="18"/>
      <c r="E827" s="6" t="s">
        <v>2486</v>
      </c>
      <c r="F827" s="19" t="s">
        <v>2487</v>
      </c>
      <c r="G827" s="20">
        <v>43543</v>
      </c>
      <c r="H827" s="20">
        <v>43543</v>
      </c>
      <c r="L827" s="6">
        <v>6200538873</v>
      </c>
      <c r="N827" s="16" t="s">
        <v>1527</v>
      </c>
      <c r="O827" s="7"/>
      <c r="P827" s="17"/>
    </row>
    <row r="828" spans="1:16" ht="14.25" customHeight="1">
      <c r="A828" s="5" t="s">
        <v>0</v>
      </c>
      <c r="B828" s="5" t="str">
        <f t="shared" si="5"/>
        <v>Y</v>
      </c>
      <c r="C828" s="18" t="s">
        <v>2488</v>
      </c>
      <c r="D828" s="18"/>
      <c r="E828" s="6" t="s">
        <v>2489</v>
      </c>
      <c r="F828" s="19" t="s">
        <v>2490</v>
      </c>
      <c r="G828" s="20">
        <v>43543</v>
      </c>
      <c r="H828" s="20">
        <v>43543</v>
      </c>
      <c r="L828" s="6">
        <v>8409495280</v>
      </c>
      <c r="N828" s="16" t="s">
        <v>1527</v>
      </c>
      <c r="O828" s="7"/>
      <c r="P828" s="17"/>
    </row>
    <row r="829" spans="1:16" ht="14.25" customHeight="1">
      <c r="A829" s="5" t="s">
        <v>0</v>
      </c>
      <c r="B829" s="5" t="str">
        <f t="shared" si="5"/>
        <v>Y</v>
      </c>
      <c r="C829" s="18" t="s">
        <v>2491</v>
      </c>
      <c r="D829" s="18"/>
      <c r="E829" s="6" t="s">
        <v>2492</v>
      </c>
      <c r="F829" s="19" t="s">
        <v>2493</v>
      </c>
      <c r="G829" s="20" t="s">
        <v>2494</v>
      </c>
      <c r="H829" s="20">
        <v>43543</v>
      </c>
      <c r="N829" s="16"/>
      <c r="O829" s="7"/>
      <c r="P829" s="17"/>
    </row>
    <row r="830" spans="1:16" ht="14.25" customHeight="1">
      <c r="A830" s="5" t="s">
        <v>0</v>
      </c>
      <c r="B830" s="5" t="str">
        <f t="shared" si="5"/>
        <v>Y</v>
      </c>
      <c r="C830" s="18" t="s">
        <v>2495</v>
      </c>
      <c r="D830" s="18"/>
      <c r="E830" s="6" t="s">
        <v>2496</v>
      </c>
      <c r="F830" s="19" t="s">
        <v>2497</v>
      </c>
      <c r="G830" s="20" t="s">
        <v>2494</v>
      </c>
      <c r="H830" s="20">
        <v>43544</v>
      </c>
      <c r="L830" s="6">
        <v>7070917782</v>
      </c>
      <c r="N830" s="16"/>
      <c r="O830" s="7"/>
      <c r="P830" s="17"/>
    </row>
    <row r="831" spans="1:16" ht="14.25" customHeight="1">
      <c r="A831" s="5" t="s">
        <v>0</v>
      </c>
      <c r="B831" s="5" t="str">
        <f t="shared" si="5"/>
        <v>Y</v>
      </c>
      <c r="C831" s="18" t="s">
        <v>2498</v>
      </c>
      <c r="D831" s="18"/>
      <c r="E831" s="6" t="s">
        <v>2499</v>
      </c>
      <c r="F831" s="19" t="s">
        <v>2500</v>
      </c>
      <c r="G831" s="20" t="s">
        <v>2494</v>
      </c>
      <c r="H831" s="20">
        <v>43550</v>
      </c>
      <c r="L831" s="6">
        <v>7070917782</v>
      </c>
      <c r="N831" s="16"/>
      <c r="O831" s="7"/>
      <c r="P831" s="17"/>
    </row>
    <row r="832" spans="1:16" ht="14.25" customHeight="1">
      <c r="A832" s="5" t="s">
        <v>0</v>
      </c>
      <c r="B832" s="5" t="str">
        <f t="shared" si="5"/>
        <v>Y</v>
      </c>
      <c r="C832" s="18" t="s">
        <v>2501</v>
      </c>
      <c r="D832" s="18"/>
      <c r="E832" s="6" t="s">
        <v>2502</v>
      </c>
      <c r="F832" s="19" t="s">
        <v>2503</v>
      </c>
      <c r="G832" s="20" t="s">
        <v>2494</v>
      </c>
      <c r="H832" s="20">
        <v>43544</v>
      </c>
      <c r="L832" s="6">
        <v>8409508026</v>
      </c>
      <c r="N832" s="16"/>
      <c r="O832" s="7"/>
      <c r="P832" s="17"/>
    </row>
    <row r="833" spans="1:16" ht="14.25" customHeight="1">
      <c r="A833" s="5" t="s">
        <v>0</v>
      </c>
      <c r="B833" s="5" t="str">
        <f t="shared" si="5"/>
        <v>Y</v>
      </c>
      <c r="C833" s="18" t="s">
        <v>2504</v>
      </c>
      <c r="D833" s="18"/>
      <c r="E833" s="6" t="s">
        <v>2505</v>
      </c>
      <c r="F833" s="19" t="s">
        <v>2506</v>
      </c>
      <c r="G833" s="20" t="s">
        <v>2494</v>
      </c>
      <c r="H833" s="20">
        <v>43544</v>
      </c>
      <c r="L833" s="6">
        <v>8409508026</v>
      </c>
      <c r="N833" s="16"/>
      <c r="O833" s="7"/>
      <c r="P833" s="17"/>
    </row>
    <row r="834" spans="1:16" ht="14.25" customHeight="1">
      <c r="A834" s="5" t="s">
        <v>0</v>
      </c>
      <c r="B834" s="5" t="str">
        <f t="shared" si="5"/>
        <v>Y</v>
      </c>
      <c r="C834" s="18" t="s">
        <v>2507</v>
      </c>
      <c r="D834" s="18"/>
      <c r="E834" s="6" t="s">
        <v>2508</v>
      </c>
      <c r="F834" s="19" t="s">
        <v>2509</v>
      </c>
      <c r="G834" s="20">
        <v>43544</v>
      </c>
      <c r="H834" s="20">
        <v>43544</v>
      </c>
      <c r="L834" s="6">
        <v>8797831268</v>
      </c>
      <c r="N834" s="16"/>
      <c r="O834" s="7"/>
      <c r="P834" s="17"/>
    </row>
    <row r="835" spans="1:16" ht="14.25" customHeight="1">
      <c r="A835" s="5" t="s">
        <v>0</v>
      </c>
      <c r="B835" s="5" t="str">
        <f t="shared" si="5"/>
        <v>Y</v>
      </c>
      <c r="C835" s="18" t="s">
        <v>2510</v>
      </c>
      <c r="D835" s="18"/>
      <c r="E835" s="6" t="s">
        <v>2511</v>
      </c>
      <c r="F835" s="19" t="s">
        <v>2512</v>
      </c>
      <c r="G835" s="20">
        <v>43544</v>
      </c>
      <c r="H835" s="20">
        <v>43544</v>
      </c>
      <c r="L835" s="6">
        <v>8084014972</v>
      </c>
      <c r="N835" s="16"/>
      <c r="O835" s="7"/>
      <c r="P835" s="17"/>
    </row>
    <row r="836" spans="1:16" ht="14.25" customHeight="1">
      <c r="A836" s="5" t="s">
        <v>0</v>
      </c>
      <c r="B836" s="5" t="str">
        <f t="shared" si="5"/>
        <v>Y</v>
      </c>
      <c r="C836" s="18" t="s">
        <v>2513</v>
      </c>
      <c r="D836" s="18"/>
      <c r="E836" s="6" t="s">
        <v>2514</v>
      </c>
      <c r="F836" s="19" t="s">
        <v>2515</v>
      </c>
      <c r="G836" s="20" t="s">
        <v>2516</v>
      </c>
      <c r="H836" s="20">
        <v>43549</v>
      </c>
      <c r="L836" s="6">
        <v>8092765060</v>
      </c>
      <c r="N836" s="16"/>
      <c r="O836" s="7"/>
      <c r="P836" s="17"/>
    </row>
    <row r="837" spans="1:16" ht="14.25" customHeight="1">
      <c r="A837" s="5" t="s">
        <v>0</v>
      </c>
      <c r="B837" s="5" t="str">
        <f t="shared" si="5"/>
        <v>Y</v>
      </c>
      <c r="C837" s="18" t="s">
        <v>2517</v>
      </c>
      <c r="D837" s="18"/>
      <c r="E837" s="6" t="s">
        <v>2518</v>
      </c>
      <c r="F837" s="19" t="s">
        <v>2519</v>
      </c>
      <c r="G837" s="20" t="s">
        <v>2516</v>
      </c>
      <c r="H837" s="20">
        <v>43549</v>
      </c>
      <c r="L837" s="6">
        <v>7004658646</v>
      </c>
      <c r="N837" s="16"/>
      <c r="O837" s="7"/>
      <c r="P837" s="17"/>
    </row>
    <row r="838" spans="1:16" ht="14.25" customHeight="1">
      <c r="A838" s="5" t="s">
        <v>0</v>
      </c>
      <c r="B838" s="5" t="str">
        <f t="shared" si="5"/>
        <v>Y</v>
      </c>
      <c r="C838" s="18" t="s">
        <v>2520</v>
      </c>
      <c r="D838" s="18"/>
      <c r="E838" s="6" t="s">
        <v>2521</v>
      </c>
      <c r="F838" s="19" t="s">
        <v>2522</v>
      </c>
      <c r="G838" s="20" t="s">
        <v>2516</v>
      </c>
      <c r="H838" s="20">
        <v>43549</v>
      </c>
      <c r="L838" s="6">
        <v>9113182499</v>
      </c>
      <c r="N838" s="16"/>
      <c r="O838" s="7"/>
      <c r="P838" s="17"/>
    </row>
    <row r="839" spans="1:16" ht="14.25" customHeight="1">
      <c r="A839" s="5" t="s">
        <v>0</v>
      </c>
      <c r="B839" s="5" t="str">
        <f t="shared" si="5"/>
        <v>Y</v>
      </c>
      <c r="C839" s="18" t="s">
        <v>2523</v>
      </c>
      <c r="D839" s="18"/>
      <c r="E839" s="6" t="s">
        <v>2524</v>
      </c>
      <c r="F839" s="19" t="s">
        <v>2525</v>
      </c>
      <c r="G839" s="20">
        <v>43549</v>
      </c>
      <c r="H839" s="20">
        <v>43550</v>
      </c>
      <c r="L839" s="6">
        <v>8789387119</v>
      </c>
      <c r="N839" s="16"/>
      <c r="O839" s="7"/>
      <c r="P839" s="17"/>
    </row>
    <row r="840" spans="1:16" ht="14.25" customHeight="1">
      <c r="A840" s="5" t="s">
        <v>0</v>
      </c>
      <c r="B840" s="5" t="str">
        <f t="shared" si="5"/>
        <v>Y</v>
      </c>
      <c r="C840" s="18"/>
      <c r="D840" s="18"/>
      <c r="E840" s="6" t="s">
        <v>2526</v>
      </c>
      <c r="F840" s="19"/>
      <c r="G840" s="20">
        <v>43550</v>
      </c>
      <c r="H840" s="20">
        <v>43550</v>
      </c>
      <c r="L840" s="6">
        <v>7643987768</v>
      </c>
      <c r="N840" s="16"/>
      <c r="O840" s="7"/>
      <c r="P840" s="17"/>
    </row>
    <row r="841" spans="1:16" ht="14.25" customHeight="1">
      <c r="A841" s="5" t="s">
        <v>0</v>
      </c>
      <c r="B841" s="5" t="str">
        <f t="shared" si="5"/>
        <v>Y</v>
      </c>
      <c r="C841" s="18" t="s">
        <v>2527</v>
      </c>
      <c r="D841" s="18"/>
      <c r="E841" s="6" t="s">
        <v>2528</v>
      </c>
      <c r="F841" s="19" t="s">
        <v>2529</v>
      </c>
      <c r="G841" s="20">
        <v>43550</v>
      </c>
      <c r="H841" s="20">
        <v>43553</v>
      </c>
      <c r="L841" s="6">
        <v>9102518044</v>
      </c>
      <c r="N841" s="16"/>
      <c r="O841" s="7"/>
      <c r="P841" s="17"/>
    </row>
    <row r="842" spans="1:16" ht="14.25" customHeight="1">
      <c r="A842" s="5" t="s">
        <v>0</v>
      </c>
      <c r="B842" s="5" t="str">
        <f t="shared" ref="B842:B1077" si="6">IF(H842="","N","Y")</f>
        <v>Y</v>
      </c>
      <c r="C842" s="18" t="s">
        <v>2530</v>
      </c>
      <c r="D842" s="18"/>
      <c r="E842" s="6" t="s">
        <v>2531</v>
      </c>
      <c r="F842" s="19" t="s">
        <v>2532</v>
      </c>
      <c r="G842" s="20">
        <v>43550</v>
      </c>
      <c r="H842" s="20">
        <v>43550</v>
      </c>
      <c r="L842" s="6">
        <v>8986817569</v>
      </c>
      <c r="N842" s="16"/>
      <c r="O842" s="7"/>
      <c r="P842" s="17"/>
    </row>
    <row r="843" spans="1:16" ht="14.25" customHeight="1">
      <c r="A843" s="5" t="s">
        <v>0</v>
      </c>
      <c r="B843" s="5" t="str">
        <f t="shared" si="6"/>
        <v>Y</v>
      </c>
      <c r="C843" s="95" t="s">
        <v>2533</v>
      </c>
      <c r="D843" s="95"/>
      <c r="E843" s="70" t="s">
        <v>2534</v>
      </c>
      <c r="F843" s="71" t="s">
        <v>2535</v>
      </c>
      <c r="G843" s="72">
        <v>43550</v>
      </c>
      <c r="H843" s="72">
        <v>43550</v>
      </c>
      <c r="I843" s="70"/>
      <c r="J843" s="70"/>
      <c r="K843" s="70"/>
      <c r="L843" s="70">
        <v>9122112380</v>
      </c>
      <c r="M843" s="70" t="s">
        <v>1457</v>
      </c>
      <c r="N843" s="16"/>
      <c r="O843" s="7"/>
      <c r="P843" s="17"/>
    </row>
    <row r="844" spans="1:16" ht="14.25" customHeight="1">
      <c r="A844" s="5" t="s">
        <v>0</v>
      </c>
      <c r="B844" s="5" t="str">
        <f t="shared" si="6"/>
        <v>Y</v>
      </c>
      <c r="C844" s="18" t="s">
        <v>2536</v>
      </c>
      <c r="D844" s="18"/>
      <c r="E844" s="6" t="s">
        <v>1877</v>
      </c>
      <c r="F844" s="19" t="s">
        <v>2537</v>
      </c>
      <c r="G844" s="20">
        <v>43550</v>
      </c>
      <c r="H844" s="20">
        <v>43551</v>
      </c>
      <c r="L844" s="6">
        <v>9631483151</v>
      </c>
      <c r="N844" s="16"/>
      <c r="O844" s="7"/>
      <c r="P844" s="17"/>
    </row>
    <row r="845" spans="1:16" ht="14.25" customHeight="1">
      <c r="A845" s="5" t="s">
        <v>0</v>
      </c>
      <c r="B845" s="5" t="str">
        <f t="shared" si="6"/>
        <v>Y</v>
      </c>
      <c r="C845" s="18" t="s">
        <v>2538</v>
      </c>
      <c r="D845" s="18"/>
      <c r="E845" s="6" t="s">
        <v>2539</v>
      </c>
      <c r="F845" s="19" t="s">
        <v>2540</v>
      </c>
      <c r="G845" s="20">
        <v>43550</v>
      </c>
      <c r="H845" s="20">
        <v>43550</v>
      </c>
      <c r="L845" s="6">
        <v>8383095605</v>
      </c>
      <c r="N845" s="16"/>
      <c r="O845" s="7"/>
      <c r="P845" s="17"/>
    </row>
    <row r="846" spans="1:16" ht="14.25" customHeight="1">
      <c r="A846" s="5" t="s">
        <v>0</v>
      </c>
      <c r="B846" s="5" t="str">
        <f t="shared" si="6"/>
        <v>Y</v>
      </c>
      <c r="C846" s="18" t="s">
        <v>2541</v>
      </c>
      <c r="D846" s="18"/>
      <c r="E846" s="6" t="s">
        <v>2542</v>
      </c>
      <c r="F846" s="19" t="s">
        <v>2543</v>
      </c>
      <c r="G846" s="20">
        <v>43551</v>
      </c>
      <c r="H846" s="20">
        <v>43554</v>
      </c>
      <c r="L846" s="6">
        <v>9102929041</v>
      </c>
      <c r="N846" s="16"/>
      <c r="O846" s="7"/>
      <c r="P846" s="17"/>
    </row>
    <row r="847" spans="1:16" ht="14.25" customHeight="1">
      <c r="A847" s="5" t="s">
        <v>0</v>
      </c>
      <c r="B847" s="5" t="str">
        <f t="shared" si="6"/>
        <v>Y</v>
      </c>
      <c r="C847" s="18" t="s">
        <v>2544</v>
      </c>
      <c r="D847" s="18"/>
      <c r="E847" s="6" t="s">
        <v>2545</v>
      </c>
      <c r="F847" s="19" t="s">
        <v>2546</v>
      </c>
      <c r="G847" s="20">
        <v>43551</v>
      </c>
      <c r="H847" s="20">
        <v>43553</v>
      </c>
      <c r="L847" s="6">
        <v>6201459247</v>
      </c>
      <c r="N847" s="16"/>
      <c r="O847" s="7"/>
      <c r="P847" s="17"/>
    </row>
    <row r="848" spans="1:16" ht="14.25" customHeight="1">
      <c r="A848" s="5" t="s">
        <v>0</v>
      </c>
      <c r="B848" s="5" t="str">
        <f t="shared" si="6"/>
        <v>Y</v>
      </c>
      <c r="C848" s="18" t="s">
        <v>2547</v>
      </c>
      <c r="D848" s="18"/>
      <c r="E848" s="6" t="s">
        <v>2548</v>
      </c>
      <c r="F848" s="19"/>
      <c r="G848" s="20">
        <v>43552</v>
      </c>
      <c r="H848" s="20">
        <v>43553</v>
      </c>
      <c r="N848" s="16"/>
      <c r="O848" s="7"/>
      <c r="P848" s="17"/>
    </row>
    <row r="849" spans="1:16" ht="14.25" customHeight="1">
      <c r="A849" s="5" t="s">
        <v>0</v>
      </c>
      <c r="B849" s="5" t="str">
        <f t="shared" si="6"/>
        <v>Y</v>
      </c>
      <c r="C849" s="18" t="s">
        <v>2549</v>
      </c>
      <c r="D849" s="18"/>
      <c r="E849" s="6" t="s">
        <v>2550</v>
      </c>
      <c r="F849" s="19" t="s">
        <v>2551</v>
      </c>
      <c r="G849" s="20">
        <v>43552</v>
      </c>
      <c r="H849" s="20">
        <v>43555</v>
      </c>
      <c r="L849" s="6">
        <v>9204776264</v>
      </c>
      <c r="N849" s="16"/>
      <c r="O849" s="7"/>
      <c r="P849" s="17"/>
    </row>
    <row r="850" spans="1:16" ht="14.25" customHeight="1">
      <c r="A850" s="5" t="s">
        <v>0</v>
      </c>
      <c r="B850" s="5" t="str">
        <f t="shared" si="6"/>
        <v>Y</v>
      </c>
      <c r="C850" s="18" t="s">
        <v>2552</v>
      </c>
      <c r="D850" s="18"/>
      <c r="E850" s="6" t="s">
        <v>2553</v>
      </c>
      <c r="F850" s="19"/>
      <c r="G850" s="20">
        <v>43552</v>
      </c>
      <c r="H850" s="20">
        <v>43555</v>
      </c>
      <c r="L850" s="6">
        <v>7209249819</v>
      </c>
      <c r="N850" s="16"/>
      <c r="O850" s="7"/>
      <c r="P850" s="17"/>
    </row>
    <row r="851" spans="1:16" ht="14.25" customHeight="1">
      <c r="A851" s="5" t="s">
        <v>0</v>
      </c>
      <c r="B851" s="5" t="str">
        <f t="shared" si="6"/>
        <v>Y</v>
      </c>
      <c r="C851" s="18" t="s">
        <v>2554</v>
      </c>
      <c r="D851" s="18"/>
      <c r="E851" s="6" t="s">
        <v>2555</v>
      </c>
      <c r="F851" s="19"/>
      <c r="G851" s="20">
        <v>43552</v>
      </c>
      <c r="H851" s="20">
        <v>43556</v>
      </c>
      <c r="N851" s="16"/>
      <c r="O851" s="7"/>
      <c r="P851" s="17"/>
    </row>
    <row r="852" spans="1:16" ht="14.25" customHeight="1">
      <c r="A852" s="5" t="s">
        <v>0</v>
      </c>
      <c r="B852" s="5" t="str">
        <f t="shared" si="6"/>
        <v>Y</v>
      </c>
      <c r="C852" s="18" t="s">
        <v>2556</v>
      </c>
      <c r="D852" s="18"/>
      <c r="E852" s="6" t="s">
        <v>2557</v>
      </c>
      <c r="F852" s="19"/>
      <c r="G852" s="20">
        <v>43552</v>
      </c>
      <c r="H852" s="20">
        <v>43553</v>
      </c>
      <c r="N852" s="16"/>
      <c r="O852" s="7"/>
      <c r="P852" s="17"/>
    </row>
    <row r="853" spans="1:16" ht="14.25" customHeight="1">
      <c r="A853" s="5" t="s">
        <v>0</v>
      </c>
      <c r="B853" s="5" t="str">
        <f t="shared" si="6"/>
        <v>Y</v>
      </c>
      <c r="C853" s="18" t="s">
        <v>2558</v>
      </c>
      <c r="D853" s="18"/>
      <c r="E853" s="6" t="s">
        <v>2559</v>
      </c>
      <c r="F853" s="19" t="s">
        <v>2560</v>
      </c>
      <c r="G853" s="20">
        <v>43552</v>
      </c>
      <c r="H853" s="20">
        <v>43553</v>
      </c>
      <c r="L853" s="6">
        <v>7903580725</v>
      </c>
      <c r="N853" s="16"/>
      <c r="O853" s="7"/>
      <c r="P853" s="17"/>
    </row>
    <row r="854" spans="1:16" ht="14.25" customHeight="1">
      <c r="A854" s="5" t="s">
        <v>0</v>
      </c>
      <c r="B854" s="5" t="str">
        <f t="shared" si="6"/>
        <v>Y</v>
      </c>
      <c r="C854" s="18" t="s">
        <v>2561</v>
      </c>
      <c r="D854" s="18"/>
      <c r="E854" s="6" t="s">
        <v>2562</v>
      </c>
      <c r="F854" s="19" t="s">
        <v>2563</v>
      </c>
      <c r="G854" s="20">
        <v>43553</v>
      </c>
      <c r="H854" s="20">
        <v>43553</v>
      </c>
      <c r="N854" s="16"/>
      <c r="O854" s="7"/>
      <c r="P854" s="17"/>
    </row>
    <row r="855" spans="1:16" ht="14.25" customHeight="1">
      <c r="A855" s="5" t="s">
        <v>0</v>
      </c>
      <c r="B855" s="5" t="str">
        <f t="shared" si="6"/>
        <v>Y</v>
      </c>
      <c r="C855" s="18" t="s">
        <v>2564</v>
      </c>
      <c r="D855" s="18"/>
      <c r="E855" s="6" t="s">
        <v>2565</v>
      </c>
      <c r="F855" s="19"/>
      <c r="G855" s="20">
        <v>43553</v>
      </c>
      <c r="H855" s="20">
        <v>43555</v>
      </c>
      <c r="N855" s="16"/>
      <c r="O855" s="7"/>
      <c r="P855" s="17"/>
    </row>
    <row r="856" spans="1:16" ht="14.25" customHeight="1">
      <c r="A856" s="5" t="s">
        <v>0</v>
      </c>
      <c r="B856" s="5" t="str">
        <f t="shared" si="6"/>
        <v>Y</v>
      </c>
      <c r="C856" s="80" t="s">
        <v>2566</v>
      </c>
      <c r="D856" s="80"/>
      <c r="E856" s="6" t="s">
        <v>2567</v>
      </c>
      <c r="F856" s="19" t="s">
        <v>2568</v>
      </c>
      <c r="G856" s="20" t="s">
        <v>2569</v>
      </c>
      <c r="H856" s="20">
        <v>43556</v>
      </c>
      <c r="L856" s="6">
        <v>9905171766</v>
      </c>
      <c r="N856" s="16"/>
      <c r="O856" s="7"/>
      <c r="P856" s="17"/>
    </row>
    <row r="857" spans="1:16" ht="14.25" customHeight="1">
      <c r="A857" s="5" t="s">
        <v>0</v>
      </c>
      <c r="B857" s="5" t="str">
        <f t="shared" si="6"/>
        <v>Y</v>
      </c>
      <c r="C857" s="18" t="s">
        <v>2570</v>
      </c>
      <c r="D857" s="18"/>
      <c r="E857" s="6" t="s">
        <v>2571</v>
      </c>
      <c r="F857" s="19" t="s">
        <v>2477</v>
      </c>
      <c r="G857" s="20" t="s">
        <v>2569</v>
      </c>
      <c r="H857" s="20">
        <v>43556</v>
      </c>
      <c r="L857" s="6">
        <v>7762041641</v>
      </c>
      <c r="N857" s="16"/>
      <c r="O857" s="7"/>
      <c r="P857" s="17"/>
    </row>
    <row r="858" spans="1:16" ht="14.25" customHeight="1">
      <c r="A858" s="5" t="s">
        <v>0</v>
      </c>
      <c r="B858" s="5" t="str">
        <f t="shared" si="6"/>
        <v>Y</v>
      </c>
      <c r="C858" s="18" t="s">
        <v>2572</v>
      </c>
      <c r="D858" s="18"/>
      <c r="E858" s="6" t="s">
        <v>2573</v>
      </c>
      <c r="F858" s="19" t="s">
        <v>2574</v>
      </c>
      <c r="G858" s="20">
        <v>43558</v>
      </c>
      <c r="H858" s="20">
        <v>43558</v>
      </c>
      <c r="L858" s="6">
        <v>9304694461</v>
      </c>
      <c r="N858" s="16"/>
      <c r="O858" s="7"/>
      <c r="P858" s="17"/>
    </row>
    <row r="859" spans="1:16" ht="14.25" customHeight="1">
      <c r="A859" s="5" t="s">
        <v>0</v>
      </c>
      <c r="B859" s="5" t="str">
        <f t="shared" si="6"/>
        <v>Y</v>
      </c>
      <c r="C859" s="80" t="s">
        <v>2575</v>
      </c>
      <c r="D859" s="80"/>
      <c r="E859" s="6" t="s">
        <v>2576</v>
      </c>
      <c r="F859" s="19" t="s">
        <v>2577</v>
      </c>
      <c r="G859" s="20">
        <v>43558</v>
      </c>
      <c r="H859" s="20">
        <v>43558</v>
      </c>
      <c r="L859" s="6">
        <v>7870334001</v>
      </c>
      <c r="N859" s="16"/>
      <c r="O859" s="7"/>
      <c r="P859" s="17"/>
    </row>
    <row r="860" spans="1:16" ht="14.25" customHeight="1">
      <c r="A860" s="5" t="s">
        <v>0</v>
      </c>
      <c r="B860" s="5" t="str">
        <f t="shared" si="6"/>
        <v>Y</v>
      </c>
      <c r="C860" s="18" t="s">
        <v>2578</v>
      </c>
      <c r="D860" s="18"/>
      <c r="E860" s="6" t="s">
        <v>2579</v>
      </c>
      <c r="F860" s="19" t="s">
        <v>2580</v>
      </c>
      <c r="G860" s="20">
        <v>43558</v>
      </c>
      <c r="H860" s="20">
        <v>43558</v>
      </c>
      <c r="L860" s="6">
        <v>6205784655</v>
      </c>
      <c r="N860" s="16"/>
      <c r="O860" s="7"/>
      <c r="P860" s="17"/>
    </row>
    <row r="861" spans="1:16" ht="14.25" customHeight="1">
      <c r="A861" s="5" t="s">
        <v>0</v>
      </c>
      <c r="B861" s="5" t="str">
        <f t="shared" si="6"/>
        <v>Y</v>
      </c>
      <c r="C861" s="18" t="s">
        <v>2581</v>
      </c>
      <c r="D861" s="18"/>
      <c r="E861" s="6" t="s">
        <v>2582</v>
      </c>
      <c r="F861" s="19" t="s">
        <v>2583</v>
      </c>
      <c r="G861" s="20">
        <v>43558</v>
      </c>
      <c r="H861" s="20">
        <v>43559</v>
      </c>
      <c r="L861" s="6">
        <v>7250996689</v>
      </c>
      <c r="N861" s="16"/>
      <c r="O861" s="7"/>
      <c r="P861" s="17"/>
    </row>
    <row r="862" spans="1:16" ht="14.25" customHeight="1">
      <c r="A862" s="5" t="s">
        <v>0</v>
      </c>
      <c r="B862" s="5" t="str">
        <f t="shared" si="6"/>
        <v>Y</v>
      </c>
      <c r="C862" s="18" t="s">
        <v>2584</v>
      </c>
      <c r="D862" s="18"/>
      <c r="E862" s="6" t="s">
        <v>2585</v>
      </c>
      <c r="F862" s="19" t="s">
        <v>2586</v>
      </c>
      <c r="G862" s="20">
        <v>43560</v>
      </c>
      <c r="H862" s="20">
        <v>43560</v>
      </c>
      <c r="L862" s="6">
        <v>7488260490</v>
      </c>
      <c r="N862" s="16"/>
      <c r="O862" s="7"/>
      <c r="P862" s="17"/>
    </row>
    <row r="863" spans="1:16" ht="14.25" customHeight="1">
      <c r="A863" s="5" t="s">
        <v>0</v>
      </c>
      <c r="B863" s="5" t="str">
        <f t="shared" si="6"/>
        <v>Y</v>
      </c>
      <c r="C863" s="18" t="s">
        <v>2587</v>
      </c>
      <c r="D863" s="18"/>
      <c r="E863" s="6" t="s">
        <v>2588</v>
      </c>
      <c r="F863" s="19" t="s">
        <v>2589</v>
      </c>
      <c r="G863" s="20">
        <v>43561</v>
      </c>
      <c r="H863" s="20">
        <v>43561</v>
      </c>
      <c r="L863" s="6">
        <v>8340442073</v>
      </c>
      <c r="N863" s="16"/>
      <c r="O863" s="7"/>
      <c r="P863" s="17"/>
    </row>
    <row r="864" spans="1:16" ht="14.25" customHeight="1">
      <c r="A864" s="5" t="s">
        <v>0</v>
      </c>
      <c r="B864" s="65" t="str">
        <f t="shared" si="6"/>
        <v>Y</v>
      </c>
      <c r="C864" s="62" t="s">
        <v>2590</v>
      </c>
      <c r="D864" s="62"/>
      <c r="E864" s="47" t="s">
        <v>2591</v>
      </c>
      <c r="F864" s="63" t="s">
        <v>2425</v>
      </c>
      <c r="G864" s="64">
        <v>43561</v>
      </c>
      <c r="H864" s="64">
        <v>43561</v>
      </c>
      <c r="I864" s="47"/>
      <c r="J864" s="47"/>
      <c r="K864" s="47"/>
      <c r="L864" s="47">
        <v>9835964592</v>
      </c>
      <c r="N864" s="16"/>
      <c r="O864" s="7"/>
      <c r="P864" s="17"/>
    </row>
    <row r="865" spans="1:16" ht="14.25" customHeight="1">
      <c r="A865" s="5" t="s">
        <v>0</v>
      </c>
      <c r="B865" s="5" t="str">
        <f t="shared" si="6"/>
        <v>Y</v>
      </c>
      <c r="C865" s="18" t="s">
        <v>2592</v>
      </c>
      <c r="D865" s="18"/>
      <c r="E865" s="6" t="s">
        <v>2593</v>
      </c>
      <c r="F865" s="19" t="s">
        <v>2425</v>
      </c>
      <c r="G865" s="20">
        <v>43563</v>
      </c>
      <c r="H865" s="20">
        <v>43563</v>
      </c>
      <c r="L865" s="6">
        <v>6201172775</v>
      </c>
      <c r="N865" s="16"/>
      <c r="O865" s="7"/>
      <c r="P865" s="17"/>
    </row>
    <row r="866" spans="1:16" ht="14.25" customHeight="1">
      <c r="A866" s="5" t="s">
        <v>0</v>
      </c>
      <c r="B866" s="5" t="str">
        <f t="shared" si="6"/>
        <v>Y</v>
      </c>
      <c r="C866" s="18" t="s">
        <v>2594</v>
      </c>
      <c r="D866" s="18"/>
      <c r="E866" s="6" t="s">
        <v>2595</v>
      </c>
      <c r="F866" s="19" t="s">
        <v>2596</v>
      </c>
      <c r="G866" s="20">
        <v>43563</v>
      </c>
      <c r="H866" s="20">
        <v>43576</v>
      </c>
      <c r="L866" s="6">
        <v>8797901115</v>
      </c>
      <c r="N866" s="16"/>
      <c r="O866" s="7"/>
      <c r="P866" s="17"/>
    </row>
    <row r="867" spans="1:16" ht="14.25" customHeight="1">
      <c r="A867" s="5" t="s">
        <v>0</v>
      </c>
      <c r="B867" s="5" t="str">
        <f t="shared" si="6"/>
        <v>Y</v>
      </c>
      <c r="C867" s="18" t="s">
        <v>2597</v>
      </c>
      <c r="D867" s="18"/>
      <c r="E867" s="6" t="s">
        <v>2598</v>
      </c>
      <c r="F867" s="19" t="s">
        <v>2599</v>
      </c>
      <c r="G867" s="20">
        <v>43563</v>
      </c>
      <c r="H867" s="20">
        <v>43576</v>
      </c>
      <c r="L867" s="6">
        <v>8797901113</v>
      </c>
      <c r="N867" s="16"/>
      <c r="O867" s="7"/>
      <c r="P867" s="17"/>
    </row>
    <row r="868" spans="1:16" ht="14.25" customHeight="1">
      <c r="A868" s="5" t="s">
        <v>0</v>
      </c>
      <c r="B868" s="5" t="str">
        <f t="shared" si="6"/>
        <v>Y</v>
      </c>
      <c r="C868" s="18" t="s">
        <v>2600</v>
      </c>
      <c r="D868" s="18"/>
      <c r="E868" s="6" t="s">
        <v>2601</v>
      </c>
      <c r="F868" s="19" t="s">
        <v>2602</v>
      </c>
      <c r="G868" s="20">
        <v>43564</v>
      </c>
      <c r="H868" s="20">
        <v>43564</v>
      </c>
      <c r="L868" s="6">
        <v>6200770418</v>
      </c>
      <c r="N868" s="16"/>
      <c r="O868" s="7"/>
      <c r="P868" s="17"/>
    </row>
    <row r="869" spans="1:16" ht="14.25" customHeight="1">
      <c r="A869" s="5" t="s">
        <v>0</v>
      </c>
      <c r="B869" s="5" t="str">
        <f t="shared" si="6"/>
        <v>Y</v>
      </c>
      <c r="C869" s="18" t="s">
        <v>2603</v>
      </c>
      <c r="D869" s="18"/>
      <c r="E869" s="6" t="s">
        <v>1823</v>
      </c>
      <c r="F869" s="19" t="s">
        <v>2604</v>
      </c>
      <c r="G869" s="20">
        <v>43565</v>
      </c>
      <c r="H869" s="20">
        <v>43566</v>
      </c>
      <c r="L869" s="6">
        <v>9204703536</v>
      </c>
      <c r="N869" s="16"/>
      <c r="O869" s="7"/>
      <c r="P869" s="17"/>
    </row>
    <row r="870" spans="1:16" ht="14.25" customHeight="1">
      <c r="A870" s="5" t="s">
        <v>0</v>
      </c>
      <c r="B870" s="5" t="str">
        <f t="shared" si="6"/>
        <v>Y</v>
      </c>
      <c r="C870" s="18" t="s">
        <v>2605</v>
      </c>
      <c r="D870" s="18"/>
      <c r="E870" s="6" t="s">
        <v>2606</v>
      </c>
      <c r="F870" s="19" t="s">
        <v>2607</v>
      </c>
      <c r="G870" s="20">
        <v>43566</v>
      </c>
      <c r="H870" s="20">
        <v>43567</v>
      </c>
      <c r="L870" s="6">
        <v>6201340840</v>
      </c>
      <c r="N870" s="16"/>
      <c r="O870" s="7"/>
      <c r="P870" s="17"/>
    </row>
    <row r="871" spans="1:16" ht="14.25" customHeight="1">
      <c r="A871" s="5" t="s">
        <v>0</v>
      </c>
      <c r="B871" s="5" t="str">
        <f t="shared" si="6"/>
        <v>Y</v>
      </c>
      <c r="C871" s="18" t="s">
        <v>2608</v>
      </c>
      <c r="D871" s="18"/>
      <c r="E871" s="6" t="s">
        <v>2609</v>
      </c>
      <c r="F871" s="19" t="s">
        <v>2610</v>
      </c>
      <c r="G871" s="20">
        <v>43567</v>
      </c>
      <c r="H871" s="20">
        <v>43568</v>
      </c>
      <c r="L871" s="6">
        <v>8871871941</v>
      </c>
      <c r="N871" s="16"/>
      <c r="O871" s="7"/>
      <c r="P871" s="17"/>
    </row>
    <row r="872" spans="1:16" ht="14.25" customHeight="1">
      <c r="A872" s="5" t="s">
        <v>0</v>
      </c>
      <c r="B872" s="5" t="str">
        <f t="shared" si="6"/>
        <v>Y</v>
      </c>
      <c r="C872" s="18" t="s">
        <v>2611</v>
      </c>
      <c r="D872" s="18"/>
      <c r="E872" s="6" t="s">
        <v>2612</v>
      </c>
      <c r="F872" s="19" t="s">
        <v>2613</v>
      </c>
      <c r="G872" s="20">
        <v>43568</v>
      </c>
      <c r="H872" s="20">
        <v>43568</v>
      </c>
      <c r="L872" s="6">
        <v>9430111201</v>
      </c>
      <c r="N872" s="16"/>
      <c r="O872" s="7"/>
      <c r="P872" s="17"/>
    </row>
    <row r="873" spans="1:16" ht="14.25" customHeight="1">
      <c r="A873" s="5" t="s">
        <v>0</v>
      </c>
      <c r="B873" s="5" t="str">
        <f t="shared" si="6"/>
        <v>Y</v>
      </c>
      <c r="C873" s="18" t="s">
        <v>2614</v>
      </c>
      <c r="D873" s="18"/>
      <c r="E873" s="6" t="s">
        <v>2615</v>
      </c>
      <c r="F873" s="19" t="s">
        <v>2616</v>
      </c>
      <c r="G873" s="20">
        <v>43568</v>
      </c>
      <c r="H873" s="20">
        <v>43568</v>
      </c>
      <c r="L873" s="6">
        <v>9430111201</v>
      </c>
      <c r="N873" s="16"/>
      <c r="O873" s="7"/>
      <c r="P873" s="17"/>
    </row>
    <row r="874" spans="1:16" ht="14.25" customHeight="1">
      <c r="A874" s="5" t="s">
        <v>0</v>
      </c>
      <c r="B874" s="5" t="str">
        <f t="shared" si="6"/>
        <v>Y</v>
      </c>
      <c r="C874" s="18" t="s">
        <v>2617</v>
      </c>
      <c r="D874" s="18"/>
      <c r="E874" s="6" t="s">
        <v>2618</v>
      </c>
      <c r="F874" s="19" t="s">
        <v>2619</v>
      </c>
      <c r="G874" s="20">
        <v>43570</v>
      </c>
      <c r="H874" s="20">
        <v>43570</v>
      </c>
      <c r="L874" s="6">
        <v>6204422425</v>
      </c>
      <c r="N874" s="16"/>
      <c r="O874" s="7"/>
      <c r="P874" s="17"/>
    </row>
    <row r="875" spans="1:16" ht="14.25" customHeight="1">
      <c r="A875" s="5" t="s">
        <v>0</v>
      </c>
      <c r="B875" s="5" t="str">
        <f t="shared" si="6"/>
        <v>Y</v>
      </c>
      <c r="C875" s="18" t="s">
        <v>2620</v>
      </c>
      <c r="D875" s="18"/>
      <c r="E875" s="6" t="s">
        <v>2621</v>
      </c>
      <c r="F875" s="19" t="s">
        <v>2472</v>
      </c>
      <c r="G875" s="20">
        <v>43570</v>
      </c>
      <c r="H875" s="20">
        <v>43570</v>
      </c>
      <c r="L875" s="6">
        <v>6204422425</v>
      </c>
      <c r="N875" s="16"/>
      <c r="O875" s="7"/>
      <c r="P875" s="17"/>
    </row>
    <row r="876" spans="1:16" ht="14.25" customHeight="1">
      <c r="A876" s="5" t="s">
        <v>0</v>
      </c>
      <c r="B876" s="5" t="str">
        <f t="shared" si="6"/>
        <v>Y</v>
      </c>
      <c r="C876" s="18" t="s">
        <v>2622</v>
      </c>
      <c r="D876" s="18"/>
      <c r="E876" s="6" t="s">
        <v>2623</v>
      </c>
      <c r="F876" s="19" t="s">
        <v>2624</v>
      </c>
      <c r="G876" s="20">
        <v>43571</v>
      </c>
      <c r="H876" s="20">
        <v>43571</v>
      </c>
      <c r="L876" s="6">
        <v>8184700199</v>
      </c>
      <c r="N876" s="16"/>
      <c r="O876" s="7"/>
      <c r="P876" s="17"/>
    </row>
    <row r="877" spans="1:16" ht="14.25" customHeight="1">
      <c r="A877" s="5" t="s">
        <v>0</v>
      </c>
      <c r="B877" s="5" t="str">
        <f t="shared" si="6"/>
        <v>Y</v>
      </c>
      <c r="C877" s="18" t="s">
        <v>2625</v>
      </c>
      <c r="D877" s="18"/>
      <c r="E877" s="6" t="s">
        <v>2626</v>
      </c>
      <c r="F877" s="19" t="s">
        <v>2627</v>
      </c>
      <c r="G877" s="20">
        <v>43573</v>
      </c>
      <c r="H877" s="20">
        <v>43574</v>
      </c>
      <c r="L877" s="6">
        <v>6200014990</v>
      </c>
      <c r="N877" s="16"/>
      <c r="O877" s="7"/>
      <c r="P877" s="17"/>
    </row>
    <row r="878" spans="1:16" ht="14.25" customHeight="1">
      <c r="A878" s="5" t="s">
        <v>0</v>
      </c>
      <c r="B878" s="5" t="str">
        <f t="shared" si="6"/>
        <v>Y</v>
      </c>
      <c r="C878" s="18" t="s">
        <v>2628</v>
      </c>
      <c r="D878" s="18"/>
      <c r="E878" s="6" t="s">
        <v>2629</v>
      </c>
      <c r="F878" s="19" t="s">
        <v>2630</v>
      </c>
      <c r="G878" s="20">
        <v>43577</v>
      </c>
      <c r="H878" s="20">
        <v>43578</v>
      </c>
      <c r="L878" s="6">
        <v>9263499819</v>
      </c>
      <c r="M878" s="6" t="s">
        <v>2631</v>
      </c>
      <c r="N878" s="16"/>
      <c r="O878" s="7"/>
      <c r="P878" s="17"/>
    </row>
    <row r="879" spans="1:16" ht="14.25" customHeight="1">
      <c r="A879" s="5" t="s">
        <v>0</v>
      </c>
      <c r="B879" s="5" t="str">
        <f t="shared" si="6"/>
        <v>Y</v>
      </c>
      <c r="C879" s="18" t="s">
        <v>2632</v>
      </c>
      <c r="D879" s="18"/>
      <c r="E879" s="6" t="s">
        <v>2633</v>
      </c>
      <c r="F879" s="19" t="s">
        <v>2634</v>
      </c>
      <c r="G879" s="20">
        <v>43578</v>
      </c>
      <c r="H879" s="20">
        <v>43549</v>
      </c>
      <c r="L879" s="6">
        <v>9430111201</v>
      </c>
      <c r="N879" s="16"/>
      <c r="O879" s="7"/>
      <c r="P879" s="17"/>
    </row>
    <row r="880" spans="1:16" ht="14.25" customHeight="1">
      <c r="A880" s="5" t="s">
        <v>0</v>
      </c>
      <c r="B880" s="5" t="str">
        <f t="shared" si="6"/>
        <v>Y</v>
      </c>
      <c r="C880" s="18" t="s">
        <v>2635</v>
      </c>
      <c r="D880" s="18"/>
      <c r="E880" s="6" t="s">
        <v>2636</v>
      </c>
      <c r="F880" s="19" t="s">
        <v>2637</v>
      </c>
      <c r="G880" s="20">
        <v>43580</v>
      </c>
      <c r="H880" s="20">
        <v>43549</v>
      </c>
      <c r="L880" s="6">
        <v>7004909358</v>
      </c>
      <c r="N880" s="16"/>
      <c r="O880" s="7"/>
      <c r="P880" s="17"/>
    </row>
    <row r="881" spans="1:16" ht="14.25" customHeight="1">
      <c r="A881" s="5" t="s">
        <v>0</v>
      </c>
      <c r="B881" s="5" t="str">
        <f t="shared" si="6"/>
        <v>Y</v>
      </c>
      <c r="C881" s="18" t="s">
        <v>2638</v>
      </c>
      <c r="D881" s="18"/>
      <c r="E881" s="6" t="s">
        <v>2639</v>
      </c>
      <c r="F881" s="19" t="s">
        <v>2640</v>
      </c>
      <c r="G881" s="20">
        <v>43581</v>
      </c>
      <c r="H881" s="20">
        <v>43550</v>
      </c>
      <c r="L881" s="6">
        <v>7209522416</v>
      </c>
      <c r="N881" s="16"/>
      <c r="O881" s="7"/>
      <c r="P881" s="17"/>
    </row>
    <row r="882" spans="1:16" ht="14.25" customHeight="1">
      <c r="A882" s="5" t="s">
        <v>0</v>
      </c>
      <c r="B882" s="5" t="str">
        <f t="shared" si="6"/>
        <v>Y</v>
      </c>
      <c r="C882" s="18" t="s">
        <v>2641</v>
      </c>
      <c r="D882" s="18"/>
      <c r="E882" s="6" t="s">
        <v>2642</v>
      </c>
      <c r="F882" s="19" t="s">
        <v>2643</v>
      </c>
      <c r="G882" s="20">
        <v>43581</v>
      </c>
      <c r="H882" s="20">
        <v>43582</v>
      </c>
      <c r="L882" s="6">
        <v>8969721943</v>
      </c>
      <c r="N882" s="16"/>
      <c r="O882" s="7"/>
      <c r="P882" s="17"/>
    </row>
    <row r="883" spans="1:16" ht="14.25" customHeight="1">
      <c r="A883" s="5" t="s">
        <v>0</v>
      </c>
      <c r="B883" s="5" t="str">
        <f t="shared" si="6"/>
        <v>Y</v>
      </c>
      <c r="C883" s="18" t="s">
        <v>2644</v>
      </c>
      <c r="D883" s="18"/>
      <c r="E883" s="6" t="s">
        <v>2645</v>
      </c>
      <c r="F883" s="19" t="s">
        <v>2469</v>
      </c>
      <c r="G883" s="20">
        <v>43582</v>
      </c>
      <c r="H883" s="20">
        <v>43582</v>
      </c>
      <c r="L883" s="6">
        <v>7209531061</v>
      </c>
      <c r="N883" s="16"/>
      <c r="O883" s="7"/>
      <c r="P883" s="17"/>
    </row>
    <row r="884" spans="1:16" ht="14.25" customHeight="1">
      <c r="A884" s="5" t="s">
        <v>0</v>
      </c>
      <c r="B884" s="5" t="str">
        <f t="shared" si="6"/>
        <v>Y</v>
      </c>
      <c r="C884" s="18" t="s">
        <v>2646</v>
      </c>
      <c r="D884" s="18"/>
      <c r="E884" s="6" t="s">
        <v>2647</v>
      </c>
      <c r="F884" s="19" t="s">
        <v>2648</v>
      </c>
      <c r="G884" s="20">
        <v>43588</v>
      </c>
      <c r="H884" s="20">
        <v>43589</v>
      </c>
      <c r="L884" s="6">
        <v>9279244637</v>
      </c>
      <c r="N884" s="16"/>
      <c r="O884" s="7"/>
      <c r="P884" s="17"/>
    </row>
    <row r="885" spans="1:16" ht="14.25" customHeight="1">
      <c r="A885" s="5" t="s">
        <v>0</v>
      </c>
      <c r="B885" s="5" t="str">
        <f t="shared" si="6"/>
        <v>Y</v>
      </c>
      <c r="C885" s="18" t="s">
        <v>2649</v>
      </c>
      <c r="D885" s="18"/>
      <c r="E885" s="6" t="s">
        <v>1055</v>
      </c>
      <c r="F885" s="19" t="s">
        <v>2650</v>
      </c>
      <c r="G885" s="20">
        <v>43588</v>
      </c>
      <c r="H885" s="20">
        <v>43591</v>
      </c>
      <c r="L885" s="6">
        <v>9430345366</v>
      </c>
      <c r="N885" s="16"/>
      <c r="O885" s="7"/>
      <c r="P885" s="17"/>
    </row>
    <row r="886" spans="1:16" ht="14.25" customHeight="1">
      <c r="A886" s="5" t="s">
        <v>0</v>
      </c>
      <c r="B886" s="5" t="str">
        <f t="shared" si="6"/>
        <v>Y</v>
      </c>
      <c r="C886" s="18" t="s">
        <v>2651</v>
      </c>
      <c r="D886" s="18"/>
      <c r="E886" s="6" t="s">
        <v>2652</v>
      </c>
      <c r="F886" s="19" t="s">
        <v>2453</v>
      </c>
      <c r="G886" s="20">
        <v>43589</v>
      </c>
      <c r="H886" s="20">
        <v>43589</v>
      </c>
      <c r="L886" s="6">
        <v>9304104552</v>
      </c>
      <c r="N886" s="16"/>
      <c r="O886" s="7"/>
      <c r="P886" s="17"/>
    </row>
    <row r="887" spans="1:16" ht="14.25" customHeight="1">
      <c r="A887" s="5" t="s">
        <v>0</v>
      </c>
      <c r="B887" s="5" t="str">
        <f t="shared" si="6"/>
        <v>Y</v>
      </c>
      <c r="C887" s="18" t="s">
        <v>2653</v>
      </c>
      <c r="D887" s="18"/>
      <c r="E887" s="6" t="s">
        <v>2654</v>
      </c>
      <c r="F887" s="19"/>
      <c r="G887" s="20" t="s">
        <v>2655</v>
      </c>
      <c r="H887" s="20">
        <v>43592</v>
      </c>
      <c r="L887" s="6">
        <v>9568465806</v>
      </c>
      <c r="N887" s="16"/>
      <c r="O887" s="7"/>
      <c r="P887" s="17"/>
    </row>
    <row r="888" spans="1:16" ht="14.25" customHeight="1">
      <c r="A888" s="5" t="s">
        <v>0</v>
      </c>
      <c r="B888" s="5" t="str">
        <f t="shared" si="6"/>
        <v>Y</v>
      </c>
      <c r="C888" s="18" t="s">
        <v>2656</v>
      </c>
      <c r="D888" s="18"/>
      <c r="E888" s="6" t="s">
        <v>2657</v>
      </c>
      <c r="F888" s="19" t="s">
        <v>2658</v>
      </c>
      <c r="G888" s="20" t="s">
        <v>2659</v>
      </c>
      <c r="H888" s="20">
        <v>43593</v>
      </c>
      <c r="L888" s="6">
        <v>8969048033</v>
      </c>
      <c r="N888" s="16"/>
      <c r="O888" s="7"/>
      <c r="P888" s="17"/>
    </row>
    <row r="889" spans="1:16" ht="14.25" customHeight="1">
      <c r="A889" s="5" t="s">
        <v>0</v>
      </c>
      <c r="B889" s="5" t="str">
        <f t="shared" si="6"/>
        <v>Y</v>
      </c>
      <c r="C889" s="18" t="s">
        <v>2660</v>
      </c>
      <c r="D889" s="18"/>
      <c r="E889" s="6" t="s">
        <v>2601</v>
      </c>
      <c r="F889" s="19" t="s">
        <v>2602</v>
      </c>
      <c r="G889" s="20" t="s">
        <v>2661</v>
      </c>
      <c r="H889" s="20">
        <v>43596</v>
      </c>
      <c r="L889" s="6">
        <v>6200770418</v>
      </c>
      <c r="N889" s="16"/>
      <c r="O889" s="7"/>
      <c r="P889" s="17"/>
    </row>
    <row r="890" spans="1:16" ht="14.25" customHeight="1">
      <c r="A890" s="5" t="s">
        <v>0</v>
      </c>
      <c r="B890" s="5" t="str">
        <f t="shared" si="6"/>
        <v>Y</v>
      </c>
      <c r="C890" s="18" t="s">
        <v>2662</v>
      </c>
      <c r="D890" s="18"/>
      <c r="E890" s="6" t="s">
        <v>2663</v>
      </c>
      <c r="F890" s="19" t="s">
        <v>2664</v>
      </c>
      <c r="G890" s="20">
        <v>43596</v>
      </c>
      <c r="H890" s="20">
        <v>43597</v>
      </c>
      <c r="L890" s="6">
        <v>7761054651</v>
      </c>
      <c r="N890" s="16"/>
      <c r="O890" s="7"/>
      <c r="P890" s="17"/>
    </row>
    <row r="891" spans="1:16" ht="14.25" customHeight="1">
      <c r="A891" s="5" t="s">
        <v>0</v>
      </c>
      <c r="B891" s="5" t="str">
        <f t="shared" si="6"/>
        <v>Y</v>
      </c>
      <c r="C891" s="18" t="s">
        <v>2665</v>
      </c>
      <c r="D891" s="18"/>
      <c r="E891" s="6" t="s">
        <v>2666</v>
      </c>
      <c r="F891" s="19" t="s">
        <v>2667</v>
      </c>
      <c r="G891" s="20">
        <v>43596</v>
      </c>
      <c r="H891" s="20">
        <v>43597</v>
      </c>
      <c r="L891" s="6">
        <v>9234719769</v>
      </c>
      <c r="N891" s="16"/>
      <c r="O891" s="7"/>
      <c r="P891" s="17"/>
    </row>
    <row r="892" spans="1:16" ht="14.25" customHeight="1">
      <c r="A892" s="5" t="s">
        <v>0</v>
      </c>
      <c r="B892" s="5" t="str">
        <f t="shared" si="6"/>
        <v>Y</v>
      </c>
      <c r="C892" s="18" t="s">
        <v>2668</v>
      </c>
      <c r="D892" s="18"/>
      <c r="E892" s="6" t="s">
        <v>1217</v>
      </c>
      <c r="F892" s="19" t="s">
        <v>2669</v>
      </c>
      <c r="G892" s="20">
        <v>43597</v>
      </c>
      <c r="H892" s="20">
        <v>43597</v>
      </c>
      <c r="L892" s="6">
        <v>7367962621</v>
      </c>
      <c r="N892" s="16"/>
      <c r="O892" s="7"/>
      <c r="P892" s="17"/>
    </row>
    <row r="893" spans="1:16" ht="14.25" customHeight="1">
      <c r="A893" s="5" t="s">
        <v>0</v>
      </c>
      <c r="B893" s="5" t="str">
        <f t="shared" si="6"/>
        <v>Y</v>
      </c>
      <c r="C893" s="18" t="s">
        <v>2670</v>
      </c>
      <c r="D893" s="18"/>
      <c r="E893" s="6" t="s">
        <v>2671</v>
      </c>
      <c r="F893" s="19" t="s">
        <v>2672</v>
      </c>
      <c r="G893" s="20">
        <v>43600</v>
      </c>
      <c r="H893" s="20">
        <v>43600</v>
      </c>
      <c r="L893" s="6">
        <v>6299479278</v>
      </c>
      <c r="N893" s="16"/>
      <c r="O893" s="7"/>
      <c r="P893" s="17"/>
    </row>
    <row r="894" spans="1:16" ht="14.25" customHeight="1">
      <c r="A894" s="5" t="s">
        <v>0</v>
      </c>
      <c r="B894" s="5" t="str">
        <f t="shared" si="6"/>
        <v>Y</v>
      </c>
      <c r="C894" s="18" t="s">
        <v>2673</v>
      </c>
      <c r="D894" s="18"/>
      <c r="E894" s="6" t="s">
        <v>2674</v>
      </c>
      <c r="F894" s="19" t="s">
        <v>2675</v>
      </c>
      <c r="G894" s="20" t="s">
        <v>2676</v>
      </c>
      <c r="H894" s="20">
        <v>43601</v>
      </c>
      <c r="L894" s="6">
        <v>9431372599</v>
      </c>
      <c r="N894" s="16"/>
      <c r="O894" s="7"/>
      <c r="P894" s="17"/>
    </row>
    <row r="895" spans="1:16" ht="14.25" customHeight="1">
      <c r="A895" s="5" t="s">
        <v>0</v>
      </c>
      <c r="B895" s="5" t="str">
        <f t="shared" si="6"/>
        <v>Y</v>
      </c>
      <c r="C895" s="18" t="s">
        <v>2677</v>
      </c>
      <c r="D895" s="18"/>
      <c r="E895" s="6" t="s">
        <v>2678</v>
      </c>
      <c r="F895" s="19" t="s">
        <v>2679</v>
      </c>
      <c r="G895" s="20">
        <v>43603</v>
      </c>
      <c r="H895" s="20">
        <v>43603</v>
      </c>
      <c r="L895" s="6">
        <v>7992390331</v>
      </c>
      <c r="N895" s="16"/>
      <c r="O895" s="7"/>
      <c r="P895" s="17"/>
    </row>
    <row r="896" spans="1:16" ht="14.25" customHeight="1">
      <c r="A896" s="5" t="s">
        <v>0</v>
      </c>
      <c r="B896" s="5" t="str">
        <f t="shared" si="6"/>
        <v>Y</v>
      </c>
      <c r="C896" s="18" t="s">
        <v>2680</v>
      </c>
      <c r="D896" s="18"/>
      <c r="E896" s="6" t="s">
        <v>2681</v>
      </c>
      <c r="F896" s="19" t="s">
        <v>2682</v>
      </c>
      <c r="G896" s="20">
        <v>43605</v>
      </c>
      <c r="H896" s="20">
        <v>43605</v>
      </c>
      <c r="L896" s="6">
        <v>9204740259</v>
      </c>
      <c r="N896" s="16"/>
      <c r="O896" s="7"/>
      <c r="P896" s="17"/>
    </row>
    <row r="897" spans="1:16" ht="14.25" customHeight="1">
      <c r="A897" s="5" t="s">
        <v>0</v>
      </c>
      <c r="B897" s="5" t="str">
        <f t="shared" si="6"/>
        <v>Y</v>
      </c>
      <c r="C897" s="18" t="s">
        <v>2683</v>
      </c>
      <c r="D897" s="18"/>
      <c r="E897" s="6" t="s">
        <v>2684</v>
      </c>
      <c r="F897" s="19" t="s">
        <v>2685</v>
      </c>
      <c r="G897" s="20">
        <v>43605</v>
      </c>
      <c r="H897" s="20">
        <v>43605</v>
      </c>
      <c r="L897" s="6">
        <v>7549019415</v>
      </c>
      <c r="N897" s="16"/>
      <c r="O897" s="7"/>
      <c r="P897" s="17"/>
    </row>
    <row r="898" spans="1:16" ht="14.25" customHeight="1">
      <c r="A898" s="5" t="s">
        <v>0</v>
      </c>
      <c r="B898" s="5" t="str">
        <f t="shared" si="6"/>
        <v>Y</v>
      </c>
      <c r="C898" s="18" t="s">
        <v>2686</v>
      </c>
      <c r="D898" s="18"/>
      <c r="E898" s="6" t="s">
        <v>2687</v>
      </c>
      <c r="F898" s="19" t="s">
        <v>2688</v>
      </c>
      <c r="G898" s="20">
        <v>43607</v>
      </c>
      <c r="H898" s="20">
        <v>43607</v>
      </c>
      <c r="L898" s="6">
        <v>7762982223</v>
      </c>
      <c r="N898" s="16"/>
      <c r="O898" s="7"/>
      <c r="P898" s="17"/>
    </row>
    <row r="899" spans="1:16" ht="14.25" customHeight="1">
      <c r="A899" s="5" t="s">
        <v>0</v>
      </c>
      <c r="B899" s="5" t="str">
        <f t="shared" si="6"/>
        <v>Y</v>
      </c>
      <c r="C899" s="18" t="s">
        <v>2689</v>
      </c>
      <c r="D899" s="18"/>
      <c r="E899" s="6" t="s">
        <v>2690</v>
      </c>
      <c r="F899" s="19" t="s">
        <v>2691</v>
      </c>
      <c r="G899" s="20">
        <v>43610</v>
      </c>
      <c r="H899" s="20">
        <v>43610</v>
      </c>
      <c r="L899" s="6">
        <v>7705916376</v>
      </c>
      <c r="M899" s="6" t="s">
        <v>2692</v>
      </c>
      <c r="N899" s="16"/>
      <c r="O899" s="7"/>
      <c r="P899" s="17"/>
    </row>
    <row r="900" spans="1:16" ht="14.25" customHeight="1">
      <c r="A900" s="5" t="s">
        <v>0</v>
      </c>
      <c r="B900" s="5" t="str">
        <f t="shared" si="6"/>
        <v>Y</v>
      </c>
      <c r="C900" s="18" t="s">
        <v>2693</v>
      </c>
      <c r="D900" s="18"/>
      <c r="E900" s="6" t="s">
        <v>2694</v>
      </c>
      <c r="F900" s="19" t="s">
        <v>2695</v>
      </c>
      <c r="G900" s="20">
        <v>43614</v>
      </c>
      <c r="H900" s="20">
        <v>43614</v>
      </c>
      <c r="L900" s="6">
        <v>9572480341</v>
      </c>
      <c r="N900" s="16"/>
      <c r="O900" s="7"/>
      <c r="P900" s="17"/>
    </row>
    <row r="901" spans="1:16" ht="14.25" customHeight="1">
      <c r="A901" s="5" t="s">
        <v>0</v>
      </c>
      <c r="B901" s="5" t="str">
        <f t="shared" si="6"/>
        <v>Y</v>
      </c>
      <c r="C901" s="18" t="s">
        <v>2696</v>
      </c>
      <c r="D901" s="18"/>
      <c r="E901" s="6" t="s">
        <v>2697</v>
      </c>
      <c r="F901" s="19" t="s">
        <v>2698</v>
      </c>
      <c r="G901" s="20">
        <v>43615</v>
      </c>
      <c r="H901" s="20">
        <v>43615</v>
      </c>
      <c r="L901" s="6">
        <v>9570103381</v>
      </c>
      <c r="N901" s="16"/>
      <c r="O901" s="7"/>
      <c r="P901" s="17"/>
    </row>
    <row r="902" spans="1:16" ht="14.25" customHeight="1">
      <c r="A902" s="5" t="s">
        <v>0</v>
      </c>
      <c r="B902" s="5" t="str">
        <f t="shared" si="6"/>
        <v>Y</v>
      </c>
      <c r="C902" s="18" t="s">
        <v>2699</v>
      </c>
      <c r="D902" s="18"/>
      <c r="E902" s="6" t="s">
        <v>2700</v>
      </c>
      <c r="F902" s="19" t="s">
        <v>2701</v>
      </c>
      <c r="G902" s="20">
        <v>43615</v>
      </c>
      <c r="H902" s="20">
        <v>43615</v>
      </c>
      <c r="L902" s="6">
        <v>9934757692</v>
      </c>
      <c r="N902" s="16"/>
      <c r="O902" s="7"/>
      <c r="P902" s="17"/>
    </row>
    <row r="903" spans="1:16" ht="14.25" customHeight="1">
      <c r="A903" s="5" t="s">
        <v>0</v>
      </c>
      <c r="B903" s="5" t="str">
        <f t="shared" si="6"/>
        <v>Y</v>
      </c>
      <c r="C903" s="18" t="s">
        <v>2702</v>
      </c>
      <c r="D903" s="18"/>
      <c r="E903" s="6" t="s">
        <v>2703</v>
      </c>
      <c r="F903" s="19" t="s">
        <v>2704</v>
      </c>
      <c r="G903" s="20">
        <v>43615</v>
      </c>
      <c r="H903" s="20">
        <v>43615</v>
      </c>
      <c r="L903" s="6">
        <v>9031789119</v>
      </c>
      <c r="N903" s="16"/>
      <c r="O903" s="7"/>
      <c r="P903" s="17"/>
    </row>
    <row r="904" spans="1:16" ht="14.25" customHeight="1">
      <c r="A904" s="5" t="s">
        <v>0</v>
      </c>
      <c r="B904" s="5" t="str">
        <f t="shared" si="6"/>
        <v>Y</v>
      </c>
      <c r="C904" s="18" t="s">
        <v>2705</v>
      </c>
      <c r="D904" s="18"/>
      <c r="E904" s="6" t="s">
        <v>2706</v>
      </c>
      <c r="F904" s="19" t="s">
        <v>2707</v>
      </c>
      <c r="G904" s="20">
        <v>39964</v>
      </c>
      <c r="H904" s="20">
        <v>43616</v>
      </c>
      <c r="L904" s="6">
        <v>7368029936</v>
      </c>
      <c r="N904" s="16"/>
      <c r="O904" s="7"/>
      <c r="P904" s="17"/>
    </row>
    <row r="905" spans="1:16" ht="14.25" customHeight="1">
      <c r="A905" s="5" t="s">
        <v>0</v>
      </c>
      <c r="B905" s="5" t="str">
        <f t="shared" si="6"/>
        <v>Y</v>
      </c>
      <c r="C905" s="18" t="s">
        <v>2708</v>
      </c>
      <c r="D905" s="18"/>
      <c r="E905" s="6" t="s">
        <v>2709</v>
      </c>
      <c r="F905" s="19" t="s">
        <v>2710</v>
      </c>
      <c r="G905" s="20" t="s">
        <v>2711</v>
      </c>
      <c r="H905" s="20">
        <v>43625</v>
      </c>
      <c r="L905" s="6">
        <v>9334623447</v>
      </c>
      <c r="N905" s="16"/>
      <c r="O905" s="7"/>
      <c r="P905" s="17"/>
    </row>
    <row r="906" spans="1:16" ht="14.25" customHeight="1">
      <c r="A906" s="5" t="s">
        <v>0</v>
      </c>
      <c r="B906" s="5" t="str">
        <f t="shared" si="6"/>
        <v>Y</v>
      </c>
      <c r="C906" s="18" t="s">
        <v>2712</v>
      </c>
      <c r="D906" s="18"/>
      <c r="E906" s="6" t="s">
        <v>2713</v>
      </c>
      <c r="F906" s="19" t="s">
        <v>2714</v>
      </c>
      <c r="G906" s="20" t="s">
        <v>2711</v>
      </c>
      <c r="H906" s="20">
        <v>43625</v>
      </c>
      <c r="N906" s="16"/>
      <c r="O906" s="7"/>
      <c r="P906" s="17"/>
    </row>
    <row r="907" spans="1:16" ht="14.25" customHeight="1">
      <c r="A907" s="5" t="s">
        <v>0</v>
      </c>
      <c r="B907" s="5" t="str">
        <f t="shared" si="6"/>
        <v>Y</v>
      </c>
      <c r="C907" s="18" t="s">
        <v>2715</v>
      </c>
      <c r="D907" s="18"/>
      <c r="E907" s="6" t="s">
        <v>2716</v>
      </c>
      <c r="F907" s="19" t="s">
        <v>2717</v>
      </c>
      <c r="G907" s="20" t="s">
        <v>2711</v>
      </c>
      <c r="H907" s="20">
        <v>43625</v>
      </c>
      <c r="L907" s="6">
        <v>8797055579</v>
      </c>
      <c r="N907" s="16"/>
      <c r="O907" s="7"/>
      <c r="P907" s="17"/>
    </row>
    <row r="908" spans="1:16" ht="14.25" customHeight="1">
      <c r="A908" s="5" t="s">
        <v>0</v>
      </c>
      <c r="B908" s="5" t="str">
        <f t="shared" si="6"/>
        <v>Y</v>
      </c>
      <c r="C908" s="18" t="s">
        <v>2718</v>
      </c>
      <c r="D908" s="18"/>
      <c r="E908" s="6" t="s">
        <v>2719</v>
      </c>
      <c r="F908" s="19" t="s">
        <v>2720</v>
      </c>
      <c r="G908" s="20" t="s">
        <v>2721</v>
      </c>
      <c r="H908" s="20">
        <v>43627</v>
      </c>
      <c r="L908" s="6">
        <v>7209105356</v>
      </c>
      <c r="N908" s="16"/>
      <c r="O908" s="7"/>
      <c r="P908" s="17"/>
    </row>
    <row r="909" spans="1:16" ht="14.25" customHeight="1">
      <c r="A909" s="5" t="s">
        <v>0</v>
      </c>
      <c r="B909" s="5" t="str">
        <f t="shared" si="6"/>
        <v>Y</v>
      </c>
      <c r="C909" s="18" t="s">
        <v>2722</v>
      </c>
      <c r="D909" s="18"/>
      <c r="E909" s="6" t="s">
        <v>2723</v>
      </c>
      <c r="F909" s="19" t="s">
        <v>2724</v>
      </c>
      <c r="G909" s="20" t="s">
        <v>2725</v>
      </c>
      <c r="H909" s="20">
        <v>43626</v>
      </c>
      <c r="N909" s="16"/>
      <c r="O909" s="7"/>
      <c r="P909" s="17"/>
    </row>
    <row r="910" spans="1:16" ht="14.25" customHeight="1">
      <c r="A910" s="5" t="s">
        <v>0</v>
      </c>
      <c r="B910" s="5" t="str">
        <f t="shared" si="6"/>
        <v>Y</v>
      </c>
      <c r="C910" s="18" t="s">
        <v>2726</v>
      </c>
      <c r="D910" s="18"/>
      <c r="E910" s="6" t="s">
        <v>2727</v>
      </c>
      <c r="F910" s="19" t="s">
        <v>2506</v>
      </c>
      <c r="G910" s="20" t="s">
        <v>2728</v>
      </c>
      <c r="H910" s="20">
        <v>43628</v>
      </c>
      <c r="L910" s="6">
        <v>9835143179</v>
      </c>
      <c r="N910" s="16"/>
      <c r="O910" s="7"/>
      <c r="P910" s="17"/>
    </row>
    <row r="911" spans="1:16" ht="14.25" customHeight="1">
      <c r="A911" s="5" t="s">
        <v>0</v>
      </c>
      <c r="B911" s="5" t="str">
        <f t="shared" si="6"/>
        <v>Y</v>
      </c>
      <c r="C911" s="18" t="s">
        <v>2729</v>
      </c>
      <c r="D911" s="18"/>
      <c r="E911" s="6" t="s">
        <v>2730</v>
      </c>
      <c r="F911" s="19" t="s">
        <v>2731</v>
      </c>
      <c r="G911" s="20" t="s">
        <v>2732</v>
      </c>
      <c r="H911" s="20">
        <v>43629</v>
      </c>
      <c r="L911" s="6">
        <v>8873381186</v>
      </c>
      <c r="N911" s="16"/>
      <c r="O911" s="7"/>
      <c r="P911" s="17"/>
    </row>
    <row r="912" spans="1:16" ht="14.25" customHeight="1">
      <c r="A912" s="5">
        <v>90</v>
      </c>
      <c r="B912" s="5" t="str">
        <f t="shared" si="6"/>
        <v>Y</v>
      </c>
      <c r="C912" s="18" t="s">
        <v>2733</v>
      </c>
      <c r="D912" s="18"/>
      <c r="E912" s="6" t="s">
        <v>2734</v>
      </c>
      <c r="F912" s="19" t="s">
        <v>2735</v>
      </c>
      <c r="G912" s="20" t="s">
        <v>2736</v>
      </c>
      <c r="H912" s="20">
        <v>43634</v>
      </c>
      <c r="L912" s="6">
        <v>9570071444</v>
      </c>
      <c r="N912" s="16"/>
      <c r="O912" s="7"/>
      <c r="P912" s="17"/>
    </row>
    <row r="913" spans="1:16" ht="14.25" customHeight="1">
      <c r="A913" s="5" t="s">
        <v>0</v>
      </c>
      <c r="B913" s="5" t="str">
        <f t="shared" si="6"/>
        <v>Y</v>
      </c>
      <c r="C913" s="85" t="s">
        <v>2737</v>
      </c>
      <c r="D913" s="85"/>
      <c r="E913" s="6" t="s">
        <v>2738</v>
      </c>
      <c r="F913" s="19" t="s">
        <v>2739</v>
      </c>
      <c r="G913" s="20" t="s">
        <v>2736</v>
      </c>
      <c r="H913" s="20">
        <v>43634</v>
      </c>
      <c r="L913" s="6">
        <v>8434145500</v>
      </c>
      <c r="N913" s="16"/>
      <c r="O913" s="7"/>
      <c r="P913" s="17"/>
    </row>
    <row r="914" spans="1:16" ht="14.25" customHeight="1">
      <c r="A914" s="5" t="s">
        <v>0</v>
      </c>
      <c r="B914" s="5" t="str">
        <f t="shared" si="6"/>
        <v>Y</v>
      </c>
      <c r="C914" s="18" t="s">
        <v>2740</v>
      </c>
      <c r="D914" s="18"/>
      <c r="E914" s="6" t="s">
        <v>2741</v>
      </c>
      <c r="F914" s="19" t="s">
        <v>2742</v>
      </c>
      <c r="G914" s="20" t="s">
        <v>2743</v>
      </c>
      <c r="H914" s="20">
        <v>43634</v>
      </c>
      <c r="L914" s="6">
        <v>9122497600</v>
      </c>
      <c r="N914" s="16"/>
      <c r="O914" s="7"/>
      <c r="P914" s="17"/>
    </row>
    <row r="915" spans="1:16" ht="14.25" customHeight="1">
      <c r="A915" s="5" t="s">
        <v>0</v>
      </c>
      <c r="B915" s="5" t="str">
        <f t="shared" si="6"/>
        <v>Y</v>
      </c>
      <c r="C915" s="53" t="s">
        <v>2744</v>
      </c>
      <c r="D915" s="53"/>
      <c r="E915" s="6" t="s">
        <v>2745</v>
      </c>
      <c r="F915" s="19" t="s">
        <v>2746</v>
      </c>
      <c r="G915" s="20" t="s">
        <v>2743</v>
      </c>
      <c r="H915" s="20">
        <v>43634</v>
      </c>
      <c r="L915" s="6">
        <v>7209282682</v>
      </c>
      <c r="N915" s="16"/>
      <c r="O915" s="7"/>
      <c r="P915" s="17"/>
    </row>
    <row r="916" spans="1:16" ht="14.25" customHeight="1">
      <c r="A916" s="5" t="s">
        <v>0</v>
      </c>
      <c r="B916" s="5" t="str">
        <f t="shared" si="6"/>
        <v>Y</v>
      </c>
      <c r="C916" s="80" t="s">
        <v>2747</v>
      </c>
      <c r="D916" s="80"/>
      <c r="E916" s="6" t="s">
        <v>2748</v>
      </c>
      <c r="F916" s="19" t="s">
        <v>2749</v>
      </c>
      <c r="G916" s="20" t="s">
        <v>2743</v>
      </c>
      <c r="H916" s="20">
        <v>43634</v>
      </c>
      <c r="L916" s="6">
        <v>7488943906</v>
      </c>
      <c r="N916" s="16"/>
      <c r="O916" s="7"/>
      <c r="P916" s="17"/>
    </row>
    <row r="917" spans="1:16" ht="14.25" customHeight="1">
      <c r="A917" s="5" t="s">
        <v>0</v>
      </c>
      <c r="B917" s="5" t="str">
        <f t="shared" si="6"/>
        <v>Y</v>
      </c>
      <c r="C917" s="18" t="s">
        <v>2750</v>
      </c>
      <c r="D917" s="18"/>
      <c r="E917" s="6" t="s">
        <v>2751</v>
      </c>
      <c r="F917" s="19" t="s">
        <v>2752</v>
      </c>
      <c r="G917" s="20" t="s">
        <v>2753</v>
      </c>
      <c r="H917" s="20">
        <v>43634</v>
      </c>
      <c r="L917" s="6">
        <v>9801346791</v>
      </c>
      <c r="N917" s="16"/>
      <c r="O917" s="7"/>
      <c r="P917" s="17"/>
    </row>
    <row r="918" spans="1:16" ht="14.25" customHeight="1">
      <c r="A918" s="5" t="s">
        <v>0</v>
      </c>
      <c r="B918" s="5" t="str">
        <f t="shared" si="6"/>
        <v>Y</v>
      </c>
      <c r="C918" s="18" t="s">
        <v>2754</v>
      </c>
      <c r="D918" s="18"/>
      <c r="E918" s="6" t="s">
        <v>2755</v>
      </c>
      <c r="F918" s="19" t="s">
        <v>2756</v>
      </c>
      <c r="G918" s="20" t="s">
        <v>2753</v>
      </c>
      <c r="H918" s="20">
        <v>43634</v>
      </c>
      <c r="L918" s="6">
        <v>9546438478</v>
      </c>
      <c r="N918" s="16"/>
      <c r="O918" s="7"/>
      <c r="P918" s="17"/>
    </row>
    <row r="919" spans="1:16" ht="14.25" customHeight="1">
      <c r="A919" s="5" t="s">
        <v>0</v>
      </c>
      <c r="B919" s="5" t="str">
        <f t="shared" si="6"/>
        <v>Y</v>
      </c>
      <c r="C919" s="18" t="s">
        <v>2757</v>
      </c>
      <c r="D919" s="18"/>
      <c r="E919" s="6" t="s">
        <v>2758</v>
      </c>
      <c r="F919" s="19" t="s">
        <v>2759</v>
      </c>
      <c r="G919" s="20" t="s">
        <v>2760</v>
      </c>
      <c r="H919" s="20">
        <v>43544</v>
      </c>
      <c r="L919" s="6">
        <v>8860615958</v>
      </c>
      <c r="N919" s="16"/>
      <c r="O919" s="7"/>
      <c r="P919" s="17"/>
    </row>
    <row r="920" spans="1:16" ht="14.25" customHeight="1">
      <c r="A920" s="5" t="s">
        <v>0</v>
      </c>
      <c r="B920" s="5" t="str">
        <f t="shared" si="6"/>
        <v>Y</v>
      </c>
      <c r="C920" s="18" t="s">
        <v>2761</v>
      </c>
      <c r="D920" s="18"/>
      <c r="E920" s="6" t="s">
        <v>2762</v>
      </c>
      <c r="F920" s="19" t="s">
        <v>2763</v>
      </c>
      <c r="G920" s="20" t="s">
        <v>2764</v>
      </c>
      <c r="H920" s="20">
        <v>43546</v>
      </c>
      <c r="L920" s="6">
        <v>7261033793</v>
      </c>
      <c r="N920" s="16"/>
      <c r="O920" s="7"/>
      <c r="P920" s="17"/>
    </row>
    <row r="921" spans="1:16" ht="14.25" customHeight="1">
      <c r="A921" s="5" t="s">
        <v>0</v>
      </c>
      <c r="B921" s="5" t="str">
        <f t="shared" si="6"/>
        <v>Y</v>
      </c>
      <c r="C921" s="18" t="s">
        <v>2765</v>
      </c>
      <c r="D921" s="18"/>
      <c r="E921" s="6" t="s">
        <v>2766</v>
      </c>
      <c r="F921" s="19" t="s">
        <v>2767</v>
      </c>
      <c r="G921" s="20" t="s">
        <v>2768</v>
      </c>
      <c r="H921" s="20">
        <v>43642</v>
      </c>
      <c r="L921" s="6">
        <v>8789678947</v>
      </c>
      <c r="N921" s="16"/>
      <c r="O921" s="7"/>
      <c r="P921" s="17"/>
    </row>
    <row r="922" spans="1:16" ht="14.25" customHeight="1">
      <c r="A922" s="5" t="s">
        <v>0</v>
      </c>
      <c r="B922" s="5" t="str">
        <f t="shared" si="6"/>
        <v>Y</v>
      </c>
      <c r="C922" s="18" t="s">
        <v>2769</v>
      </c>
      <c r="D922" s="18"/>
      <c r="E922" s="6" t="s">
        <v>2770</v>
      </c>
      <c r="F922" s="19" t="s">
        <v>2771</v>
      </c>
      <c r="G922" s="20" t="s">
        <v>2768</v>
      </c>
      <c r="H922" s="20">
        <v>43642</v>
      </c>
      <c r="L922" s="6">
        <v>8092329834</v>
      </c>
      <c r="N922" s="16"/>
      <c r="O922" s="7"/>
      <c r="P922" s="17"/>
    </row>
    <row r="923" spans="1:16" ht="14.25" customHeight="1">
      <c r="A923" s="5" t="s">
        <v>0</v>
      </c>
      <c r="B923" s="5" t="str">
        <f t="shared" si="6"/>
        <v>Y</v>
      </c>
      <c r="C923" s="80" t="s">
        <v>2772</v>
      </c>
      <c r="D923" s="80"/>
      <c r="E923" s="6" t="s">
        <v>2773</v>
      </c>
      <c r="F923" s="19" t="s">
        <v>2774</v>
      </c>
      <c r="G923" s="20" t="s">
        <v>2775</v>
      </c>
      <c r="H923" s="20">
        <v>43644</v>
      </c>
      <c r="L923" s="6">
        <v>9931096336</v>
      </c>
      <c r="N923" s="16"/>
      <c r="O923" s="7"/>
      <c r="P923" s="17"/>
    </row>
    <row r="924" spans="1:16" ht="14.25" customHeight="1">
      <c r="A924" s="5" t="s">
        <v>0</v>
      </c>
      <c r="B924" s="5" t="str">
        <f t="shared" si="6"/>
        <v>Y</v>
      </c>
      <c r="C924" s="18" t="s">
        <v>2776</v>
      </c>
      <c r="D924" s="18"/>
      <c r="E924" s="6" t="s">
        <v>2777</v>
      </c>
      <c r="F924" s="19" t="s">
        <v>2778</v>
      </c>
      <c r="G924" s="20" t="s">
        <v>2775</v>
      </c>
      <c r="H924" s="20">
        <v>43644</v>
      </c>
      <c r="L924" s="6">
        <v>9431702979</v>
      </c>
      <c r="N924" s="16"/>
      <c r="O924" s="7"/>
      <c r="P924" s="17"/>
    </row>
    <row r="925" spans="1:16" ht="14.25" customHeight="1">
      <c r="A925" s="5" t="s">
        <v>0</v>
      </c>
      <c r="B925" s="5" t="str">
        <f t="shared" si="6"/>
        <v>Y</v>
      </c>
      <c r="C925" s="18" t="s">
        <v>2779</v>
      </c>
      <c r="D925" s="18"/>
      <c r="E925" s="6" t="s">
        <v>2780</v>
      </c>
      <c r="F925" s="19" t="s">
        <v>2781</v>
      </c>
      <c r="G925" s="20" t="s">
        <v>2775</v>
      </c>
      <c r="H925" s="20">
        <v>43644</v>
      </c>
      <c r="L925" s="6">
        <v>7765917895</v>
      </c>
      <c r="N925" s="16"/>
      <c r="O925" s="7"/>
      <c r="P925" s="17"/>
    </row>
    <row r="926" spans="1:16" ht="14.25" customHeight="1">
      <c r="A926" s="5" t="s">
        <v>0</v>
      </c>
      <c r="B926" s="5" t="str">
        <f t="shared" si="6"/>
        <v>Y</v>
      </c>
      <c r="C926" s="18" t="s">
        <v>2782</v>
      </c>
      <c r="D926" s="18"/>
      <c r="E926" s="6" t="s">
        <v>2783</v>
      </c>
      <c r="F926" s="19" t="s">
        <v>2515</v>
      </c>
      <c r="G926" s="20" t="s">
        <v>2775</v>
      </c>
      <c r="H926" s="20">
        <v>43644</v>
      </c>
      <c r="L926" s="6">
        <v>8809429452</v>
      </c>
      <c r="N926" s="16"/>
      <c r="O926" s="7"/>
      <c r="P926" s="17"/>
    </row>
    <row r="927" spans="1:16" ht="14.25" customHeight="1">
      <c r="A927" s="5" t="s">
        <v>0</v>
      </c>
      <c r="B927" s="5" t="str">
        <f t="shared" si="6"/>
        <v>Y</v>
      </c>
      <c r="C927" s="18" t="s">
        <v>2784</v>
      </c>
      <c r="D927" s="18"/>
      <c r="E927" s="6" t="s">
        <v>2785</v>
      </c>
      <c r="F927" s="19" t="s">
        <v>2786</v>
      </c>
      <c r="G927" s="20" t="s">
        <v>2787</v>
      </c>
      <c r="H927" s="20">
        <v>43646</v>
      </c>
      <c r="L927" s="6">
        <v>7895898001</v>
      </c>
      <c r="N927" s="16"/>
      <c r="O927" s="7"/>
      <c r="P927" s="17"/>
    </row>
    <row r="928" spans="1:16" ht="14.25" customHeight="1">
      <c r="A928" s="5" t="s">
        <v>0</v>
      </c>
      <c r="B928" s="5" t="str">
        <f t="shared" si="6"/>
        <v>Y</v>
      </c>
      <c r="C928" s="18" t="s">
        <v>2788</v>
      </c>
      <c r="D928" s="18"/>
      <c r="E928" s="6" t="s">
        <v>2789</v>
      </c>
      <c r="F928" s="19" t="s">
        <v>2790</v>
      </c>
      <c r="G928" s="20" t="s">
        <v>2791</v>
      </c>
      <c r="H928" s="20">
        <v>43648</v>
      </c>
      <c r="L928" s="6">
        <v>7295941214</v>
      </c>
      <c r="N928" s="16"/>
      <c r="O928" s="7"/>
      <c r="P928" s="17"/>
    </row>
    <row r="929" spans="1:16" ht="14.25" customHeight="1">
      <c r="A929" s="5" t="s">
        <v>0</v>
      </c>
      <c r="B929" s="5" t="str">
        <f t="shared" si="6"/>
        <v>Y</v>
      </c>
      <c r="C929" s="18" t="s">
        <v>2792</v>
      </c>
      <c r="D929" s="18"/>
      <c r="E929" s="6" t="s">
        <v>2531</v>
      </c>
      <c r="F929" s="19" t="s">
        <v>2532</v>
      </c>
      <c r="G929" s="20" t="s">
        <v>2791</v>
      </c>
      <c r="H929" s="20">
        <v>43648</v>
      </c>
      <c r="L929" s="6">
        <v>7549079447</v>
      </c>
      <c r="N929" s="16"/>
      <c r="O929" s="7"/>
      <c r="P929" s="17"/>
    </row>
    <row r="930" spans="1:16" ht="14.25" customHeight="1">
      <c r="A930" s="5" t="s">
        <v>0</v>
      </c>
      <c r="B930" s="5" t="str">
        <f t="shared" si="6"/>
        <v>Y</v>
      </c>
      <c r="C930" s="18" t="s">
        <v>2793</v>
      </c>
      <c r="D930" s="18"/>
      <c r="E930" s="6" t="s">
        <v>2794</v>
      </c>
      <c r="F930" s="19" t="s">
        <v>2795</v>
      </c>
      <c r="G930" s="20" t="s">
        <v>2796</v>
      </c>
      <c r="H930" s="20">
        <v>43651</v>
      </c>
      <c r="L930" s="6">
        <v>7209994825</v>
      </c>
      <c r="N930" s="16"/>
      <c r="O930" s="7"/>
      <c r="P930" s="17"/>
    </row>
    <row r="931" spans="1:16" ht="14.25" customHeight="1">
      <c r="A931" s="5" t="s">
        <v>0</v>
      </c>
      <c r="B931" s="5" t="str">
        <f t="shared" si="6"/>
        <v>Y</v>
      </c>
      <c r="C931" s="18" t="s">
        <v>2797</v>
      </c>
      <c r="D931" s="18"/>
      <c r="E931" s="6" t="s">
        <v>2798</v>
      </c>
      <c r="F931" s="19" t="s">
        <v>2799</v>
      </c>
      <c r="G931" s="20">
        <v>43650</v>
      </c>
      <c r="H931" s="20">
        <v>43651</v>
      </c>
      <c r="L931" s="6">
        <v>9608830368</v>
      </c>
      <c r="N931" s="16"/>
      <c r="O931" s="7"/>
      <c r="P931" s="17"/>
    </row>
    <row r="932" spans="1:16" ht="14.25" customHeight="1">
      <c r="A932" s="5" t="s">
        <v>0</v>
      </c>
      <c r="B932" s="5" t="str">
        <f t="shared" si="6"/>
        <v>Y</v>
      </c>
      <c r="C932" s="18" t="s">
        <v>2800</v>
      </c>
      <c r="D932" s="18"/>
      <c r="E932" s="6" t="s">
        <v>2801</v>
      </c>
      <c r="F932" s="19" t="s">
        <v>2802</v>
      </c>
      <c r="G932" s="20">
        <v>43651</v>
      </c>
      <c r="H932" s="20">
        <v>43651</v>
      </c>
      <c r="L932" s="6">
        <v>8210587870</v>
      </c>
      <c r="N932" s="16"/>
      <c r="O932" s="7"/>
      <c r="P932" s="17"/>
    </row>
    <row r="933" spans="1:16" ht="14.25" customHeight="1">
      <c r="A933" s="5" t="s">
        <v>0</v>
      </c>
      <c r="B933" s="5" t="str">
        <f t="shared" si="6"/>
        <v>Y</v>
      </c>
      <c r="C933" s="18" t="s">
        <v>2803</v>
      </c>
      <c r="D933" s="18"/>
      <c r="E933" s="6" t="s">
        <v>2804</v>
      </c>
      <c r="F933" s="19" t="s">
        <v>2805</v>
      </c>
      <c r="G933" s="20" t="s">
        <v>2806</v>
      </c>
      <c r="H933" s="20">
        <v>43654</v>
      </c>
      <c r="L933" s="6">
        <v>9397021528</v>
      </c>
      <c r="N933" s="16"/>
      <c r="O933" s="7"/>
      <c r="P933" s="17"/>
    </row>
    <row r="934" spans="1:16" ht="14.25" customHeight="1">
      <c r="A934" s="5" t="s">
        <v>0</v>
      </c>
      <c r="B934" s="5" t="str">
        <f t="shared" si="6"/>
        <v>Y</v>
      </c>
      <c r="C934" s="18" t="s">
        <v>2807</v>
      </c>
      <c r="D934" s="18"/>
      <c r="E934" s="6" t="s">
        <v>2808</v>
      </c>
      <c r="F934" s="19" t="s">
        <v>2809</v>
      </c>
      <c r="G934" s="20" t="s">
        <v>2806</v>
      </c>
      <c r="H934" s="20">
        <v>43654</v>
      </c>
      <c r="L934" s="6">
        <v>9397021528</v>
      </c>
      <c r="N934" s="16"/>
      <c r="O934" s="7"/>
      <c r="P934" s="17"/>
    </row>
    <row r="935" spans="1:16" ht="14.25" customHeight="1">
      <c r="A935" s="5" t="s">
        <v>0</v>
      </c>
      <c r="B935" s="5" t="str">
        <f t="shared" si="6"/>
        <v>Y</v>
      </c>
      <c r="C935" s="18" t="s">
        <v>2810</v>
      </c>
      <c r="D935" s="18"/>
      <c r="E935" s="6" t="s">
        <v>2811</v>
      </c>
      <c r="F935" s="19" t="s">
        <v>2812</v>
      </c>
      <c r="G935" s="20" t="s">
        <v>2806</v>
      </c>
      <c r="H935" s="20">
        <v>43654</v>
      </c>
      <c r="L935" s="6">
        <v>9304588126</v>
      </c>
      <c r="M935" s="6" t="s">
        <v>2813</v>
      </c>
      <c r="N935" s="16"/>
      <c r="O935" s="7"/>
      <c r="P935" s="17"/>
    </row>
    <row r="936" spans="1:16" ht="14.25" customHeight="1">
      <c r="A936" s="69" t="s">
        <v>0</v>
      </c>
      <c r="B936" s="69" t="str">
        <f t="shared" si="6"/>
        <v>Y</v>
      </c>
      <c r="C936" s="95" t="s">
        <v>2814</v>
      </c>
      <c r="D936" s="95"/>
      <c r="E936" s="70" t="s">
        <v>2815</v>
      </c>
      <c r="F936" s="71" t="s">
        <v>2816</v>
      </c>
      <c r="G936" s="72">
        <v>43654</v>
      </c>
      <c r="H936" s="72">
        <v>43654</v>
      </c>
      <c r="I936" s="70"/>
      <c r="J936" s="70"/>
      <c r="K936" s="70"/>
      <c r="L936" s="70">
        <v>9204787976</v>
      </c>
      <c r="M936" s="70" t="s">
        <v>2817</v>
      </c>
      <c r="N936" s="16" t="s">
        <v>2818</v>
      </c>
      <c r="O936" s="7"/>
      <c r="P936" s="17"/>
    </row>
    <row r="937" spans="1:16" ht="14.25" customHeight="1">
      <c r="A937" s="5" t="s">
        <v>0</v>
      </c>
      <c r="B937" s="5" t="str">
        <f t="shared" si="6"/>
        <v>Y</v>
      </c>
      <c r="C937" s="18" t="s">
        <v>2819</v>
      </c>
      <c r="D937" s="18"/>
      <c r="E937" s="6" t="s">
        <v>2820</v>
      </c>
      <c r="F937" s="19" t="s">
        <v>2821</v>
      </c>
      <c r="G937" s="20">
        <v>43654</v>
      </c>
      <c r="H937" s="20">
        <v>43654</v>
      </c>
      <c r="L937" s="6">
        <v>6203948212</v>
      </c>
      <c r="N937" s="16"/>
      <c r="O937" s="7"/>
      <c r="P937" s="17"/>
    </row>
    <row r="938" spans="1:16" ht="14.25" customHeight="1">
      <c r="A938" s="5" t="s">
        <v>139</v>
      </c>
      <c r="B938" s="5" t="str">
        <f t="shared" si="6"/>
        <v>N</v>
      </c>
      <c r="C938" s="80" t="s">
        <v>2822</v>
      </c>
      <c r="D938" s="80"/>
      <c r="E938" s="6" t="s">
        <v>2823</v>
      </c>
      <c r="F938" s="19" t="s">
        <v>2824</v>
      </c>
      <c r="G938" s="20" t="s">
        <v>2825</v>
      </c>
      <c r="H938" s="5"/>
      <c r="L938" s="6">
        <v>8797122911</v>
      </c>
      <c r="N938" s="16"/>
      <c r="O938" s="7"/>
      <c r="P938" s="17"/>
    </row>
    <row r="939" spans="1:16" ht="14.25" customHeight="1">
      <c r="A939" s="5" t="s">
        <v>139</v>
      </c>
      <c r="B939" s="5" t="str">
        <f t="shared" si="6"/>
        <v>Y</v>
      </c>
      <c r="C939" s="18" t="s">
        <v>2826</v>
      </c>
      <c r="D939" s="18"/>
      <c r="E939" s="6" t="s">
        <v>2827</v>
      </c>
      <c r="F939" s="19" t="s">
        <v>2828</v>
      </c>
      <c r="G939" s="20" t="s">
        <v>2829</v>
      </c>
      <c r="H939" s="20">
        <v>43657</v>
      </c>
      <c r="L939" s="6">
        <v>9102091606</v>
      </c>
      <c r="N939" s="16"/>
      <c r="O939" s="7"/>
      <c r="P939" s="17"/>
    </row>
    <row r="940" spans="1:16" ht="14.25" customHeight="1">
      <c r="A940" s="5" t="s">
        <v>139</v>
      </c>
      <c r="B940" s="5" t="str">
        <f t="shared" si="6"/>
        <v>Y</v>
      </c>
      <c r="C940" s="18" t="s">
        <v>2830</v>
      </c>
      <c r="D940" s="18"/>
      <c r="E940" s="6" t="s">
        <v>2831</v>
      </c>
      <c r="F940" s="19" t="s">
        <v>2832</v>
      </c>
      <c r="G940" s="20" t="s">
        <v>2829</v>
      </c>
      <c r="H940" s="20">
        <v>43657</v>
      </c>
      <c r="L940" s="6">
        <v>6201737324</v>
      </c>
      <c r="N940" s="16"/>
      <c r="O940" s="7"/>
      <c r="P940" s="17"/>
    </row>
    <row r="941" spans="1:16" ht="14.25" customHeight="1">
      <c r="A941" s="5" t="s">
        <v>139</v>
      </c>
      <c r="B941" s="5" t="str">
        <f t="shared" si="6"/>
        <v>Y</v>
      </c>
      <c r="C941" s="18" t="s">
        <v>2833</v>
      </c>
      <c r="D941" s="18"/>
      <c r="E941" s="6" t="s">
        <v>2834</v>
      </c>
      <c r="F941" s="19" t="s">
        <v>2835</v>
      </c>
      <c r="G941" s="20" t="s">
        <v>2829</v>
      </c>
      <c r="H941" s="20">
        <v>43657</v>
      </c>
      <c r="L941" s="6">
        <v>7070921714</v>
      </c>
      <c r="N941" s="16"/>
      <c r="O941" s="7"/>
      <c r="P941" s="17"/>
    </row>
    <row r="942" spans="1:16" ht="14.25" customHeight="1">
      <c r="A942" s="5" t="s">
        <v>139</v>
      </c>
      <c r="B942" s="5" t="str">
        <f t="shared" si="6"/>
        <v>Y</v>
      </c>
      <c r="C942" s="80" t="s">
        <v>2836</v>
      </c>
      <c r="D942" s="80"/>
      <c r="E942" s="6" t="s">
        <v>2837</v>
      </c>
      <c r="F942" s="19" t="s">
        <v>2838</v>
      </c>
      <c r="G942" s="20" t="s">
        <v>2829</v>
      </c>
      <c r="H942" s="20">
        <v>43658</v>
      </c>
      <c r="L942" s="6">
        <v>7995728673</v>
      </c>
      <c r="N942" s="16"/>
      <c r="O942" s="7"/>
      <c r="P942" s="17"/>
    </row>
    <row r="943" spans="1:16" ht="14.25" customHeight="1">
      <c r="A943" s="5" t="s">
        <v>139</v>
      </c>
      <c r="B943" s="5" t="str">
        <f t="shared" si="6"/>
        <v>Y</v>
      </c>
      <c r="C943" s="80" t="s">
        <v>2839</v>
      </c>
      <c r="D943" s="80"/>
      <c r="E943" s="6" t="s">
        <v>2190</v>
      </c>
      <c r="F943" s="19" t="s">
        <v>2828</v>
      </c>
      <c r="G943" s="20" t="s">
        <v>2829</v>
      </c>
      <c r="H943" s="20">
        <v>43658</v>
      </c>
      <c r="L943" s="6">
        <v>9931721425</v>
      </c>
      <c r="N943" s="16"/>
      <c r="O943" s="7"/>
      <c r="P943" s="17"/>
    </row>
    <row r="944" spans="1:16" ht="14.25" customHeight="1">
      <c r="A944" s="5" t="s">
        <v>139</v>
      </c>
      <c r="B944" s="5" t="str">
        <f t="shared" si="6"/>
        <v>Y</v>
      </c>
      <c r="C944" s="18" t="s">
        <v>2840</v>
      </c>
      <c r="D944" s="18"/>
      <c r="E944" s="6" t="s">
        <v>2841</v>
      </c>
      <c r="F944" s="19" t="s">
        <v>2842</v>
      </c>
      <c r="G944" s="20">
        <v>43658</v>
      </c>
      <c r="H944" s="20">
        <v>43658</v>
      </c>
      <c r="L944" s="6">
        <v>8582011500</v>
      </c>
      <c r="N944" s="16"/>
      <c r="O944" s="7"/>
      <c r="P944" s="17"/>
    </row>
    <row r="945" spans="1:16" ht="14.25" customHeight="1">
      <c r="A945" s="5" t="s">
        <v>139</v>
      </c>
      <c r="B945" s="5" t="str">
        <f t="shared" si="6"/>
        <v>Y</v>
      </c>
      <c r="C945" s="18" t="s">
        <v>2843</v>
      </c>
      <c r="D945" s="18"/>
      <c r="E945" s="6" t="s">
        <v>2844</v>
      </c>
      <c r="F945" s="19" t="s">
        <v>2845</v>
      </c>
      <c r="G945" s="20">
        <v>43658</v>
      </c>
      <c r="H945" s="20">
        <v>43658</v>
      </c>
      <c r="L945" s="6">
        <v>7978932230</v>
      </c>
      <c r="N945" s="16"/>
      <c r="O945" s="7"/>
      <c r="P945" s="17"/>
    </row>
    <row r="946" spans="1:16" ht="14.25" customHeight="1">
      <c r="A946" s="5" t="s">
        <v>139</v>
      </c>
      <c r="B946" s="5" t="str">
        <f t="shared" si="6"/>
        <v>Y</v>
      </c>
      <c r="C946" s="18" t="s">
        <v>2846</v>
      </c>
      <c r="D946" s="18"/>
      <c r="E946" s="6" t="s">
        <v>2847</v>
      </c>
      <c r="F946" s="19" t="s">
        <v>2848</v>
      </c>
      <c r="G946" s="20" t="s">
        <v>2849</v>
      </c>
      <c r="H946" s="20">
        <v>43670</v>
      </c>
      <c r="L946" s="6">
        <v>9334340626</v>
      </c>
      <c r="N946" s="16"/>
      <c r="O946" s="7"/>
      <c r="P946" s="17"/>
    </row>
    <row r="947" spans="1:16" ht="14.25" customHeight="1">
      <c r="A947" s="5" t="s">
        <v>139</v>
      </c>
      <c r="B947" s="5" t="str">
        <f t="shared" si="6"/>
        <v>Y</v>
      </c>
      <c r="C947" s="18" t="s">
        <v>2850</v>
      </c>
      <c r="D947" s="18"/>
      <c r="E947" s="6" t="s">
        <v>2851</v>
      </c>
      <c r="F947" s="19" t="s">
        <v>2852</v>
      </c>
      <c r="G947" s="20">
        <v>43661</v>
      </c>
      <c r="H947" s="20">
        <v>43661</v>
      </c>
      <c r="L947" s="6">
        <v>9102977767</v>
      </c>
      <c r="N947" s="16"/>
      <c r="O947" s="7"/>
      <c r="P947" s="17"/>
    </row>
    <row r="948" spans="1:16" ht="14.25" customHeight="1">
      <c r="A948" s="5" t="s">
        <v>139</v>
      </c>
      <c r="B948" s="5" t="str">
        <f t="shared" si="6"/>
        <v>Y</v>
      </c>
      <c r="C948" s="18" t="s">
        <v>2853</v>
      </c>
      <c r="D948" s="18"/>
      <c r="E948" s="6" t="s">
        <v>2854</v>
      </c>
      <c r="F948" s="19" t="s">
        <v>2855</v>
      </c>
      <c r="G948" s="20">
        <v>43663</v>
      </c>
      <c r="H948" s="20">
        <v>43665</v>
      </c>
      <c r="L948" s="6">
        <v>9006840263</v>
      </c>
      <c r="N948" s="16"/>
      <c r="O948" s="7"/>
      <c r="P948" s="17"/>
    </row>
    <row r="949" spans="1:16" ht="14.25" customHeight="1">
      <c r="A949" s="5" t="s">
        <v>139</v>
      </c>
      <c r="B949" s="5" t="str">
        <f t="shared" si="6"/>
        <v>Y</v>
      </c>
      <c r="C949" s="18" t="s">
        <v>2856</v>
      </c>
      <c r="D949" s="18"/>
      <c r="E949" s="6" t="s">
        <v>2857</v>
      </c>
      <c r="F949" s="19" t="s">
        <v>2436</v>
      </c>
      <c r="G949" s="20">
        <v>43664</v>
      </c>
      <c r="H949" s="20">
        <v>43665</v>
      </c>
      <c r="L949" s="6">
        <v>7543990440</v>
      </c>
      <c r="N949" s="16"/>
      <c r="O949" s="7"/>
      <c r="P949" s="17"/>
    </row>
    <row r="950" spans="1:16" ht="14.25" customHeight="1">
      <c r="A950" s="5" t="s">
        <v>139</v>
      </c>
      <c r="B950" s="5" t="str">
        <f t="shared" si="6"/>
        <v>Y</v>
      </c>
      <c r="C950" s="80" t="s">
        <v>2858</v>
      </c>
      <c r="D950" s="80"/>
      <c r="E950" s="6" t="s">
        <v>2859</v>
      </c>
      <c r="F950" s="19" t="s">
        <v>2860</v>
      </c>
      <c r="G950" s="20">
        <v>43665</v>
      </c>
      <c r="H950" s="20">
        <v>43665</v>
      </c>
      <c r="L950" s="6">
        <v>8809544365</v>
      </c>
      <c r="N950" s="16"/>
      <c r="O950" s="7"/>
      <c r="P950" s="17"/>
    </row>
    <row r="951" spans="1:16" ht="14.25" customHeight="1">
      <c r="A951" s="5" t="s">
        <v>139</v>
      </c>
      <c r="B951" s="5" t="str">
        <f t="shared" si="6"/>
        <v>Y</v>
      </c>
      <c r="C951" s="80" t="s">
        <v>2861</v>
      </c>
      <c r="D951" s="80"/>
      <c r="E951" s="6" t="s">
        <v>2862</v>
      </c>
      <c r="F951" s="19" t="s">
        <v>2835</v>
      </c>
      <c r="G951" s="20">
        <v>43666</v>
      </c>
      <c r="H951" s="20">
        <v>43666</v>
      </c>
      <c r="L951" s="6">
        <v>7779945910</v>
      </c>
      <c r="N951" s="16"/>
      <c r="O951" s="7"/>
      <c r="P951" s="17"/>
    </row>
    <row r="952" spans="1:16" ht="14.25" customHeight="1">
      <c r="A952" s="5" t="s">
        <v>139</v>
      </c>
      <c r="B952" s="5" t="str">
        <f t="shared" si="6"/>
        <v>Y</v>
      </c>
      <c r="C952" s="18" t="s">
        <v>2863</v>
      </c>
      <c r="D952" s="18"/>
      <c r="E952" s="6" t="s">
        <v>2864</v>
      </c>
      <c r="F952" s="19" t="s">
        <v>2865</v>
      </c>
      <c r="G952" s="20">
        <v>43666</v>
      </c>
      <c r="H952" s="20">
        <v>43666</v>
      </c>
      <c r="L952" s="6">
        <v>9708679279</v>
      </c>
      <c r="N952" s="16"/>
      <c r="O952" s="7"/>
      <c r="P952" s="17"/>
    </row>
    <row r="953" spans="1:16" ht="14.25" customHeight="1">
      <c r="A953" s="5" t="s">
        <v>139</v>
      </c>
      <c r="B953" s="5" t="str">
        <f t="shared" si="6"/>
        <v>Y</v>
      </c>
      <c r="C953" s="94" t="s">
        <v>2866</v>
      </c>
      <c r="D953" s="94"/>
      <c r="E953" s="6" t="s">
        <v>2867</v>
      </c>
      <c r="F953" s="19" t="s">
        <v>2868</v>
      </c>
      <c r="G953" s="20">
        <v>43670</v>
      </c>
      <c r="H953" s="20">
        <v>43749</v>
      </c>
      <c r="L953" s="6">
        <v>8936012595</v>
      </c>
      <c r="N953" s="16"/>
      <c r="O953" s="7"/>
      <c r="P953" s="17"/>
    </row>
    <row r="954" spans="1:16" ht="14.25" customHeight="1">
      <c r="A954" s="5" t="s">
        <v>0</v>
      </c>
      <c r="B954" s="5" t="str">
        <f t="shared" si="6"/>
        <v>Y</v>
      </c>
      <c r="C954" s="94" t="s">
        <v>2869</v>
      </c>
      <c r="D954" s="94"/>
      <c r="E954" s="6" t="s">
        <v>2870</v>
      </c>
      <c r="F954" s="19" t="s">
        <v>2634</v>
      </c>
      <c r="G954" s="20">
        <v>43670</v>
      </c>
      <c r="H954" s="20">
        <v>43672</v>
      </c>
      <c r="L954" s="6">
        <v>7209592794</v>
      </c>
      <c r="N954" s="16"/>
      <c r="O954" s="7"/>
      <c r="P954" s="17"/>
    </row>
    <row r="955" spans="1:16" ht="14.25" customHeight="1">
      <c r="A955" s="5" t="s">
        <v>0</v>
      </c>
      <c r="B955" s="5" t="str">
        <f t="shared" si="6"/>
        <v>Y</v>
      </c>
      <c r="C955" s="18" t="s">
        <v>2871</v>
      </c>
      <c r="D955" s="18"/>
      <c r="E955" s="6" t="s">
        <v>2872</v>
      </c>
      <c r="F955" s="19" t="s">
        <v>2873</v>
      </c>
      <c r="G955" s="20">
        <v>43670</v>
      </c>
      <c r="H955" s="20">
        <v>43670</v>
      </c>
      <c r="L955" s="6">
        <v>9279585704</v>
      </c>
      <c r="N955" s="16"/>
      <c r="O955" s="7"/>
      <c r="P955" s="17"/>
    </row>
    <row r="956" spans="1:16" ht="14.25" customHeight="1">
      <c r="A956" s="5" t="s">
        <v>0</v>
      </c>
      <c r="B956" s="5" t="str">
        <f t="shared" si="6"/>
        <v>Y</v>
      </c>
      <c r="C956" s="18" t="s">
        <v>2874</v>
      </c>
      <c r="D956" s="18"/>
      <c r="E956" s="6" t="s">
        <v>2875</v>
      </c>
      <c r="F956" s="19" t="s">
        <v>2425</v>
      </c>
      <c r="G956" s="20">
        <v>43670</v>
      </c>
      <c r="H956" s="20">
        <v>43672</v>
      </c>
      <c r="L956" s="6">
        <v>8851257728</v>
      </c>
      <c r="N956" s="16"/>
      <c r="O956" s="7"/>
      <c r="P956" s="17"/>
    </row>
    <row r="957" spans="1:16" ht="14.25" customHeight="1">
      <c r="A957" s="5" t="s">
        <v>0</v>
      </c>
      <c r="B957" s="5" t="str">
        <f t="shared" si="6"/>
        <v>Y</v>
      </c>
      <c r="C957" s="18" t="s">
        <v>2876</v>
      </c>
      <c r="D957" s="18"/>
      <c r="E957" s="6" t="s">
        <v>2877</v>
      </c>
      <c r="F957" s="19" t="s">
        <v>2878</v>
      </c>
      <c r="G957" s="20">
        <v>43672</v>
      </c>
      <c r="H957" s="20">
        <v>43672</v>
      </c>
      <c r="L957" s="6">
        <v>9631070403</v>
      </c>
      <c r="N957" s="16"/>
      <c r="O957" s="7"/>
      <c r="P957" s="17"/>
    </row>
    <row r="958" spans="1:16" ht="14.25" customHeight="1">
      <c r="A958" s="5" t="s">
        <v>0</v>
      </c>
      <c r="B958" s="5" t="str">
        <f t="shared" si="6"/>
        <v>Y</v>
      </c>
      <c r="C958" s="18" t="s">
        <v>2879</v>
      </c>
      <c r="D958" s="18"/>
      <c r="E958" s="6" t="s">
        <v>2697</v>
      </c>
      <c r="F958" s="19" t="s">
        <v>2880</v>
      </c>
      <c r="G958" s="20">
        <v>43672</v>
      </c>
      <c r="H958" s="20">
        <v>43677</v>
      </c>
      <c r="L958" s="6">
        <v>7979819496</v>
      </c>
      <c r="N958" s="16"/>
      <c r="O958" s="7"/>
      <c r="P958" s="17"/>
    </row>
    <row r="959" spans="1:16" ht="14.25" customHeight="1">
      <c r="A959" s="5" t="s">
        <v>0</v>
      </c>
      <c r="B959" s="5" t="str">
        <f t="shared" si="6"/>
        <v>Y</v>
      </c>
      <c r="C959" s="18" t="s">
        <v>2881</v>
      </c>
      <c r="D959" s="18"/>
      <c r="E959" s="6" t="s">
        <v>2882</v>
      </c>
      <c r="F959" s="19" t="s">
        <v>2883</v>
      </c>
      <c r="G959" s="20">
        <v>43676</v>
      </c>
      <c r="H959" s="20">
        <v>43677</v>
      </c>
      <c r="L959" s="6">
        <v>9204581190</v>
      </c>
      <c r="N959" s="16"/>
      <c r="O959" s="7"/>
      <c r="P959" s="17"/>
    </row>
    <row r="960" spans="1:16" ht="14.25" customHeight="1">
      <c r="A960" s="5" t="s">
        <v>0</v>
      </c>
      <c r="B960" s="5" t="str">
        <f t="shared" si="6"/>
        <v>Y</v>
      </c>
      <c r="C960" s="18" t="s">
        <v>2884</v>
      </c>
      <c r="D960" s="18"/>
      <c r="E960" s="6" t="s">
        <v>1682</v>
      </c>
      <c r="F960" s="19" t="s">
        <v>2885</v>
      </c>
      <c r="G960" s="20">
        <v>43676</v>
      </c>
      <c r="H960" s="20">
        <v>43679</v>
      </c>
      <c r="L960" s="6">
        <v>7209120140</v>
      </c>
      <c r="N960" s="16"/>
      <c r="O960" s="7"/>
      <c r="P960" s="17"/>
    </row>
    <row r="961" spans="1:16" ht="14.25" customHeight="1">
      <c r="A961" s="5" t="s">
        <v>0</v>
      </c>
      <c r="B961" s="5" t="str">
        <f t="shared" si="6"/>
        <v>Y</v>
      </c>
      <c r="C961" s="18" t="s">
        <v>2886</v>
      </c>
      <c r="D961" s="18"/>
      <c r="E961" s="6" t="s">
        <v>2887</v>
      </c>
      <c r="F961" s="19" t="s">
        <v>2888</v>
      </c>
      <c r="G961" s="20">
        <v>43676</v>
      </c>
      <c r="H961" s="20">
        <v>43677</v>
      </c>
      <c r="L961" s="6">
        <v>8002107424</v>
      </c>
      <c r="N961" s="16"/>
      <c r="O961" s="7"/>
      <c r="P961" s="17"/>
    </row>
    <row r="962" spans="1:16" ht="14.25" customHeight="1">
      <c r="A962" s="5" t="s">
        <v>0</v>
      </c>
      <c r="B962" s="5" t="str">
        <f t="shared" si="6"/>
        <v>Y</v>
      </c>
      <c r="C962" s="18" t="s">
        <v>2889</v>
      </c>
      <c r="D962" s="18"/>
      <c r="E962" s="6" t="s">
        <v>2890</v>
      </c>
      <c r="F962" s="19" t="s">
        <v>2891</v>
      </c>
      <c r="G962" s="20">
        <v>43678</v>
      </c>
      <c r="H962" s="20">
        <v>43678</v>
      </c>
      <c r="L962" s="6">
        <v>8227064613</v>
      </c>
      <c r="N962" s="16"/>
      <c r="O962" s="7"/>
      <c r="P962" s="17"/>
    </row>
    <row r="963" spans="1:16" ht="14.25" customHeight="1">
      <c r="A963" s="5" t="s">
        <v>0</v>
      </c>
      <c r="B963" s="5" t="str">
        <f t="shared" si="6"/>
        <v>Y</v>
      </c>
      <c r="C963" s="18" t="s">
        <v>2892</v>
      </c>
      <c r="D963" s="18"/>
      <c r="E963" s="6" t="s">
        <v>2000</v>
      </c>
      <c r="F963" s="19" t="s">
        <v>2893</v>
      </c>
      <c r="G963" s="20">
        <v>43678</v>
      </c>
      <c r="H963" s="20">
        <v>43678</v>
      </c>
      <c r="L963" s="6">
        <v>9973660110</v>
      </c>
      <c r="N963" s="16"/>
      <c r="O963" s="7"/>
      <c r="P963" s="17"/>
    </row>
    <row r="964" spans="1:16" ht="14.25" customHeight="1">
      <c r="A964" s="5" t="s">
        <v>0</v>
      </c>
      <c r="B964" s="5" t="str">
        <f t="shared" si="6"/>
        <v>Y</v>
      </c>
      <c r="C964" s="18" t="s">
        <v>2894</v>
      </c>
      <c r="D964" s="18"/>
      <c r="E964" s="6" t="s">
        <v>2895</v>
      </c>
      <c r="F964" s="19" t="s">
        <v>2896</v>
      </c>
      <c r="G964" s="20">
        <v>43678</v>
      </c>
      <c r="H964" s="20">
        <v>43679</v>
      </c>
      <c r="L964" s="6">
        <v>7209173328</v>
      </c>
      <c r="N964" s="16"/>
      <c r="O964" s="7"/>
      <c r="P964" s="17"/>
    </row>
    <row r="965" spans="1:16" ht="14.25" customHeight="1">
      <c r="A965" s="5" t="s">
        <v>0</v>
      </c>
      <c r="B965" s="5" t="str">
        <f t="shared" si="6"/>
        <v>Y</v>
      </c>
      <c r="C965" s="18" t="s">
        <v>2897</v>
      </c>
      <c r="D965" s="18"/>
      <c r="E965" s="6" t="s">
        <v>2898</v>
      </c>
      <c r="F965" s="19" t="s">
        <v>2899</v>
      </c>
      <c r="G965" s="20">
        <v>43678</v>
      </c>
      <c r="H965" s="20">
        <v>43678</v>
      </c>
      <c r="L965" s="6">
        <v>9234266534</v>
      </c>
      <c r="N965" s="16"/>
      <c r="O965" s="7"/>
      <c r="P965" s="17"/>
    </row>
    <row r="966" spans="1:16" ht="14.25" customHeight="1">
      <c r="A966" s="5" t="s">
        <v>0</v>
      </c>
      <c r="B966" s="5" t="str">
        <f t="shared" si="6"/>
        <v>Y</v>
      </c>
      <c r="C966" s="18" t="s">
        <v>2900</v>
      </c>
      <c r="D966" s="18"/>
      <c r="E966" s="6" t="s">
        <v>2901</v>
      </c>
      <c r="F966" s="19" t="s">
        <v>2902</v>
      </c>
      <c r="G966" s="20">
        <v>43679</v>
      </c>
      <c r="H966" s="20">
        <v>43679</v>
      </c>
      <c r="L966" s="6">
        <v>9608705986</v>
      </c>
      <c r="N966" s="16"/>
      <c r="O966" s="7"/>
      <c r="P966" s="17"/>
    </row>
    <row r="967" spans="1:16" ht="14.25" customHeight="1">
      <c r="A967" s="5" t="s">
        <v>0</v>
      </c>
      <c r="B967" s="5" t="str">
        <f t="shared" si="6"/>
        <v>Y</v>
      </c>
      <c r="C967" s="18" t="s">
        <v>2903</v>
      </c>
      <c r="D967" s="18"/>
      <c r="E967" s="6" t="s">
        <v>2904</v>
      </c>
      <c r="F967" s="19" t="s">
        <v>2695</v>
      </c>
      <c r="G967" s="20">
        <v>43680</v>
      </c>
      <c r="H967" s="20">
        <v>43680</v>
      </c>
      <c r="L967" s="6">
        <v>9199887372</v>
      </c>
      <c r="N967" s="16"/>
      <c r="O967" s="7"/>
      <c r="P967" s="17"/>
    </row>
    <row r="968" spans="1:16" ht="14.25" customHeight="1">
      <c r="A968" s="5" t="s">
        <v>0</v>
      </c>
      <c r="B968" s="5" t="str">
        <f t="shared" si="6"/>
        <v>Y</v>
      </c>
      <c r="C968" s="18" t="s">
        <v>2905</v>
      </c>
      <c r="D968" s="18"/>
      <c r="E968" s="6" t="s">
        <v>2906</v>
      </c>
      <c r="F968" s="19" t="s">
        <v>2907</v>
      </c>
      <c r="G968" s="20">
        <v>43688</v>
      </c>
      <c r="H968" s="20">
        <v>43688</v>
      </c>
      <c r="L968" s="6">
        <v>9472754411</v>
      </c>
      <c r="N968" s="16"/>
      <c r="O968" s="7"/>
      <c r="P968" s="17"/>
    </row>
    <row r="969" spans="1:16" ht="14.25" customHeight="1">
      <c r="A969" s="5" t="s">
        <v>0</v>
      </c>
      <c r="B969" s="5" t="str">
        <f t="shared" si="6"/>
        <v>Y</v>
      </c>
      <c r="C969" s="18" t="s">
        <v>2908</v>
      </c>
      <c r="D969" s="18"/>
      <c r="E969" s="6" t="s">
        <v>2909</v>
      </c>
      <c r="F969" s="19" t="s">
        <v>2910</v>
      </c>
      <c r="G969" s="20" t="s">
        <v>2911</v>
      </c>
      <c r="H969" s="20">
        <v>43688</v>
      </c>
      <c r="L969" s="6">
        <v>9234331405</v>
      </c>
      <c r="M969" s="6" t="s">
        <v>2912</v>
      </c>
      <c r="N969" s="16"/>
      <c r="O969" s="7"/>
      <c r="P969" s="17"/>
    </row>
    <row r="970" spans="1:16" ht="14.25" customHeight="1">
      <c r="A970" s="5" t="s">
        <v>0</v>
      </c>
      <c r="B970" s="5" t="str">
        <f t="shared" si="6"/>
        <v>Y</v>
      </c>
      <c r="C970" s="18" t="s">
        <v>2913</v>
      </c>
      <c r="D970" s="18"/>
      <c r="E970" s="6" t="s">
        <v>2914</v>
      </c>
      <c r="F970" s="19" t="s">
        <v>2915</v>
      </c>
      <c r="G970" s="20">
        <v>43687</v>
      </c>
      <c r="H970" s="20">
        <v>43688</v>
      </c>
      <c r="L970" s="6">
        <v>8294464695</v>
      </c>
      <c r="N970" s="16"/>
      <c r="O970" s="7"/>
      <c r="P970" s="17"/>
    </row>
    <row r="971" spans="1:16" ht="14.25" customHeight="1">
      <c r="A971" s="5" t="s">
        <v>0</v>
      </c>
      <c r="B971" s="5" t="str">
        <f t="shared" si="6"/>
        <v>Y</v>
      </c>
      <c r="C971" s="18" t="s">
        <v>2916</v>
      </c>
      <c r="D971" s="18"/>
      <c r="E971" s="6" t="s">
        <v>2917</v>
      </c>
      <c r="F971" s="19" t="s">
        <v>2918</v>
      </c>
      <c r="G971" s="20">
        <v>43687</v>
      </c>
      <c r="H971" s="20">
        <v>43688</v>
      </c>
      <c r="L971" s="6">
        <v>8235439038</v>
      </c>
      <c r="N971" s="16"/>
      <c r="O971" s="7"/>
      <c r="P971" s="17"/>
    </row>
    <row r="972" spans="1:16" ht="14.25" customHeight="1">
      <c r="A972" s="5" t="s">
        <v>0</v>
      </c>
      <c r="B972" s="5" t="str">
        <f t="shared" si="6"/>
        <v>Y</v>
      </c>
      <c r="C972" s="18" t="s">
        <v>2919</v>
      </c>
      <c r="D972" s="18"/>
      <c r="E972" s="6" t="s">
        <v>2920</v>
      </c>
      <c r="F972" s="19" t="s">
        <v>2921</v>
      </c>
      <c r="G972" s="20">
        <v>43689</v>
      </c>
      <c r="H972" s="20">
        <v>43690</v>
      </c>
      <c r="L972" s="6">
        <v>8789514614</v>
      </c>
      <c r="N972" s="16"/>
      <c r="O972" s="7"/>
      <c r="P972" s="17"/>
    </row>
    <row r="973" spans="1:16" ht="14.25" customHeight="1">
      <c r="A973" s="5" t="s">
        <v>0</v>
      </c>
      <c r="B973" s="5" t="str">
        <f t="shared" si="6"/>
        <v>Y</v>
      </c>
      <c r="C973" s="18" t="s">
        <v>2922</v>
      </c>
      <c r="D973" s="18"/>
      <c r="E973" s="6" t="s">
        <v>2923</v>
      </c>
      <c r="F973" s="19" t="s">
        <v>2924</v>
      </c>
      <c r="G973" s="20">
        <v>43688</v>
      </c>
      <c r="H973" s="20">
        <v>43688</v>
      </c>
      <c r="L973" s="6">
        <v>9065746698</v>
      </c>
      <c r="N973" s="16"/>
      <c r="O973" s="7"/>
      <c r="P973" s="17"/>
    </row>
    <row r="974" spans="1:16" ht="14.25" customHeight="1">
      <c r="A974" s="5" t="s">
        <v>0</v>
      </c>
      <c r="B974" s="5" t="str">
        <f t="shared" si="6"/>
        <v>Y</v>
      </c>
      <c r="C974" s="18" t="s">
        <v>2905</v>
      </c>
      <c r="D974" s="18"/>
      <c r="E974" s="6" t="s">
        <v>2925</v>
      </c>
      <c r="F974" s="19" t="s">
        <v>2907</v>
      </c>
      <c r="G974" s="20">
        <v>43688</v>
      </c>
      <c r="H974" s="20">
        <v>43688</v>
      </c>
      <c r="L974" s="6">
        <v>9472754411</v>
      </c>
      <c r="N974" s="16"/>
      <c r="O974" s="7"/>
      <c r="P974" s="17"/>
    </row>
    <row r="975" spans="1:16" ht="14.25" customHeight="1">
      <c r="A975" s="5" t="s">
        <v>0</v>
      </c>
      <c r="B975" s="5" t="str">
        <f t="shared" si="6"/>
        <v>Y</v>
      </c>
      <c r="C975" s="18" t="s">
        <v>2926</v>
      </c>
      <c r="D975" s="18"/>
      <c r="E975" s="6" t="s">
        <v>2927</v>
      </c>
      <c r="F975" s="19" t="s">
        <v>2928</v>
      </c>
      <c r="G975" s="20">
        <v>43689</v>
      </c>
      <c r="H975" s="20">
        <v>43690</v>
      </c>
      <c r="L975" s="6">
        <v>9113143893</v>
      </c>
      <c r="N975" s="16"/>
      <c r="O975" s="7"/>
      <c r="P975" s="17"/>
    </row>
    <row r="976" spans="1:16" ht="14.25" customHeight="1">
      <c r="A976" s="5" t="s">
        <v>0</v>
      </c>
      <c r="B976" s="5" t="str">
        <f t="shared" si="6"/>
        <v>Y</v>
      </c>
      <c r="C976" s="18" t="s">
        <v>2929</v>
      </c>
      <c r="D976" s="18"/>
      <c r="E976" s="6" t="s">
        <v>2930</v>
      </c>
      <c r="F976" s="19" t="s">
        <v>2928</v>
      </c>
      <c r="G976" s="20">
        <v>43689</v>
      </c>
      <c r="H976" s="20">
        <v>43690</v>
      </c>
      <c r="L976" s="6">
        <v>9234706023</v>
      </c>
      <c r="N976" s="16"/>
      <c r="O976" s="7"/>
      <c r="P976" s="17"/>
    </row>
    <row r="977" spans="1:16" ht="14.25" customHeight="1">
      <c r="A977" s="5" t="s">
        <v>0</v>
      </c>
      <c r="B977" s="5" t="str">
        <f t="shared" si="6"/>
        <v>Y</v>
      </c>
      <c r="C977" s="18" t="s">
        <v>2931</v>
      </c>
      <c r="D977" s="18"/>
      <c r="E977" s="6" t="s">
        <v>2932</v>
      </c>
      <c r="F977" s="19" t="s">
        <v>2933</v>
      </c>
      <c r="G977" s="20">
        <v>43690</v>
      </c>
      <c r="H977" s="20">
        <v>43707</v>
      </c>
      <c r="L977" s="6">
        <v>7992452115</v>
      </c>
      <c r="M977" s="6" t="s">
        <v>2934</v>
      </c>
      <c r="N977" s="16"/>
      <c r="O977" s="7"/>
      <c r="P977" s="17"/>
    </row>
    <row r="978" spans="1:16" ht="14.25" customHeight="1">
      <c r="A978" s="5" t="s">
        <v>0</v>
      </c>
      <c r="B978" s="5" t="str">
        <f t="shared" si="6"/>
        <v>N</v>
      </c>
      <c r="C978" s="18" t="s">
        <v>2935</v>
      </c>
      <c r="D978" s="18"/>
      <c r="E978" s="6" t="s">
        <v>2936</v>
      </c>
      <c r="F978" s="19" t="s">
        <v>2515</v>
      </c>
      <c r="G978" s="20">
        <v>43691</v>
      </c>
      <c r="H978" s="5"/>
      <c r="L978" s="6">
        <v>9955143042</v>
      </c>
      <c r="N978" s="16"/>
      <c r="O978" s="7"/>
      <c r="P978" s="17"/>
    </row>
    <row r="979" spans="1:16" ht="14.25" customHeight="1">
      <c r="A979" s="5" t="s">
        <v>0</v>
      </c>
      <c r="B979" s="5" t="str">
        <f t="shared" si="6"/>
        <v>Y</v>
      </c>
      <c r="C979" s="18" t="s">
        <v>2937</v>
      </c>
      <c r="D979" s="18"/>
      <c r="E979" s="6" t="s">
        <v>2938</v>
      </c>
      <c r="F979" s="19" t="s">
        <v>2500</v>
      </c>
      <c r="G979" s="20">
        <v>43693</v>
      </c>
      <c r="H979" s="20">
        <v>43694</v>
      </c>
      <c r="L979" s="6">
        <v>7050061641</v>
      </c>
      <c r="N979" s="16"/>
      <c r="O979" s="7"/>
      <c r="P979" s="17"/>
    </row>
    <row r="980" spans="1:16" ht="14.25" customHeight="1">
      <c r="A980" s="5" t="s">
        <v>0</v>
      </c>
      <c r="B980" s="5" t="str">
        <f t="shared" si="6"/>
        <v>Y</v>
      </c>
      <c r="C980" s="18" t="s">
        <v>2939</v>
      </c>
      <c r="D980" s="18"/>
      <c r="E980" s="6" t="s">
        <v>2940</v>
      </c>
      <c r="F980" s="19" t="s">
        <v>2941</v>
      </c>
      <c r="G980" s="20">
        <v>43694</v>
      </c>
      <c r="H980" s="20">
        <v>43694</v>
      </c>
      <c r="J980" s="4">
        <v>43707</v>
      </c>
      <c r="L980" s="6">
        <v>8409427478</v>
      </c>
      <c r="N980" s="16"/>
      <c r="O980" s="7"/>
      <c r="P980" s="17"/>
    </row>
    <row r="981" spans="1:16" ht="14.25" customHeight="1">
      <c r="A981" s="5" t="s">
        <v>0</v>
      </c>
      <c r="B981" s="5" t="str">
        <f t="shared" si="6"/>
        <v>Y</v>
      </c>
      <c r="C981" s="18" t="s">
        <v>2942</v>
      </c>
      <c r="D981" s="18"/>
      <c r="E981" s="6" t="s">
        <v>2943</v>
      </c>
      <c r="F981" s="19" t="s">
        <v>2944</v>
      </c>
      <c r="G981" s="20">
        <v>43694</v>
      </c>
      <c r="H981" s="20">
        <v>43695</v>
      </c>
      <c r="L981" s="6">
        <v>9386847035</v>
      </c>
      <c r="N981" s="16"/>
      <c r="O981" s="7"/>
      <c r="P981" s="17"/>
    </row>
    <row r="982" spans="1:16" ht="14.25" customHeight="1">
      <c r="A982" s="5" t="s">
        <v>0</v>
      </c>
      <c r="B982" s="5" t="str">
        <f t="shared" si="6"/>
        <v>Y</v>
      </c>
      <c r="C982" s="18" t="s">
        <v>2945</v>
      </c>
      <c r="D982" s="18"/>
      <c r="E982" s="6" t="s">
        <v>2946</v>
      </c>
      <c r="F982" s="19" t="s">
        <v>2947</v>
      </c>
      <c r="G982" s="20" t="s">
        <v>2948</v>
      </c>
      <c r="H982" s="19" t="s">
        <v>2948</v>
      </c>
      <c r="L982" s="6">
        <v>6201871001</v>
      </c>
      <c r="M982" s="6" t="s">
        <v>2949</v>
      </c>
      <c r="N982" s="16"/>
      <c r="O982" s="7"/>
      <c r="P982" s="17"/>
    </row>
    <row r="983" spans="1:16" ht="14.25" customHeight="1">
      <c r="A983" s="5" t="s">
        <v>0</v>
      </c>
      <c r="B983" s="5" t="str">
        <f t="shared" si="6"/>
        <v>Y</v>
      </c>
      <c r="C983" s="18" t="s">
        <v>2950</v>
      </c>
      <c r="D983" s="18"/>
      <c r="E983" s="6" t="s">
        <v>2951</v>
      </c>
      <c r="F983" s="19" t="s">
        <v>2952</v>
      </c>
      <c r="G983" s="20" t="s">
        <v>2948</v>
      </c>
      <c r="H983" s="19" t="s">
        <v>2948</v>
      </c>
      <c r="L983" s="6">
        <v>9123405621</v>
      </c>
      <c r="M983" s="6" t="s">
        <v>2949</v>
      </c>
      <c r="N983" s="16"/>
      <c r="O983" s="7"/>
      <c r="P983" s="17"/>
    </row>
    <row r="984" spans="1:16" ht="14.25" customHeight="1">
      <c r="A984" s="5" t="s">
        <v>0</v>
      </c>
      <c r="B984" s="5" t="str">
        <f t="shared" si="6"/>
        <v>Y</v>
      </c>
      <c r="C984" s="18" t="s">
        <v>2953</v>
      </c>
      <c r="D984" s="18"/>
      <c r="E984" s="6" t="s">
        <v>2954</v>
      </c>
      <c r="F984" s="19" t="s">
        <v>2955</v>
      </c>
      <c r="G984" s="20" t="s">
        <v>2948</v>
      </c>
      <c r="H984" s="20">
        <v>43700</v>
      </c>
      <c r="L984" s="6">
        <v>9234131348</v>
      </c>
      <c r="N984" s="16"/>
      <c r="O984" s="7"/>
      <c r="P984" s="17"/>
    </row>
    <row r="985" spans="1:16" ht="14.25" customHeight="1">
      <c r="A985" s="5" t="s">
        <v>0</v>
      </c>
      <c r="B985" s="5" t="str">
        <f t="shared" si="6"/>
        <v>Y</v>
      </c>
      <c r="C985" s="18" t="s">
        <v>2956</v>
      </c>
      <c r="D985" s="18"/>
      <c r="E985" s="6" t="s">
        <v>2957</v>
      </c>
      <c r="F985" s="19" t="s">
        <v>2958</v>
      </c>
      <c r="G985" s="20" t="s">
        <v>2948</v>
      </c>
      <c r="H985" s="19" t="s">
        <v>2948</v>
      </c>
      <c r="L985" s="6">
        <v>8789116517</v>
      </c>
      <c r="N985" s="16"/>
      <c r="O985" s="7"/>
      <c r="P985" s="17"/>
    </row>
    <row r="986" spans="1:16" ht="14.25" customHeight="1">
      <c r="A986" s="5" t="s">
        <v>0</v>
      </c>
      <c r="B986" s="5" t="str">
        <f t="shared" si="6"/>
        <v>Y</v>
      </c>
      <c r="C986" s="18" t="s">
        <v>2959</v>
      </c>
      <c r="D986" s="18"/>
      <c r="E986" s="6" t="s">
        <v>2960</v>
      </c>
      <c r="F986" s="19" t="s">
        <v>2961</v>
      </c>
      <c r="G986" s="20" t="s">
        <v>2962</v>
      </c>
      <c r="H986" s="19" t="s">
        <v>2962</v>
      </c>
      <c r="L986" s="6">
        <v>8581910280</v>
      </c>
      <c r="M986" s="6" t="s">
        <v>2949</v>
      </c>
      <c r="N986" s="16"/>
      <c r="O986" s="7"/>
      <c r="P986" s="17"/>
    </row>
    <row r="987" spans="1:16" ht="14.25" customHeight="1">
      <c r="A987" s="5" t="s">
        <v>0</v>
      </c>
      <c r="B987" s="5" t="str">
        <f t="shared" si="6"/>
        <v>Y</v>
      </c>
      <c r="C987" s="18" t="s">
        <v>2963</v>
      </c>
      <c r="D987" s="18"/>
      <c r="E987" s="6" t="s">
        <v>2964</v>
      </c>
      <c r="F987" s="19" t="s">
        <v>2965</v>
      </c>
      <c r="G987" s="20" t="s">
        <v>2962</v>
      </c>
      <c r="H987" s="19" t="s">
        <v>2962</v>
      </c>
      <c r="L987" s="6">
        <v>7488815903</v>
      </c>
      <c r="M987" s="6" t="s">
        <v>2949</v>
      </c>
      <c r="N987" s="16"/>
      <c r="O987" s="7"/>
      <c r="P987" s="17"/>
    </row>
    <row r="988" spans="1:16" ht="14.25" customHeight="1">
      <c r="A988" s="5" t="s">
        <v>0</v>
      </c>
      <c r="B988" s="5" t="str">
        <f t="shared" si="6"/>
        <v>Y</v>
      </c>
      <c r="C988" s="18" t="s">
        <v>2966</v>
      </c>
      <c r="D988" s="18"/>
      <c r="E988" s="6" t="s">
        <v>2967</v>
      </c>
      <c r="F988" s="19" t="s">
        <v>2968</v>
      </c>
      <c r="G988" s="20" t="s">
        <v>2969</v>
      </c>
      <c r="H988" s="19" t="s">
        <v>2969</v>
      </c>
      <c r="L988" s="6">
        <v>6205647909</v>
      </c>
      <c r="N988" s="16"/>
      <c r="O988" s="7"/>
      <c r="P988" s="17"/>
    </row>
    <row r="989" spans="1:16" ht="14.25" customHeight="1">
      <c r="A989" s="5" t="s">
        <v>0</v>
      </c>
      <c r="B989" s="5" t="str">
        <f t="shared" si="6"/>
        <v>Y</v>
      </c>
      <c r="C989" s="18" t="s">
        <v>2970</v>
      </c>
      <c r="D989" s="18"/>
      <c r="E989" s="6" t="s">
        <v>2971</v>
      </c>
      <c r="F989" s="19" t="s">
        <v>2972</v>
      </c>
      <c r="G989" s="20" t="s">
        <v>2969</v>
      </c>
      <c r="H989" s="19" t="s">
        <v>2969</v>
      </c>
      <c r="L989" s="6">
        <v>7091845913</v>
      </c>
      <c r="M989" s="6" t="s">
        <v>2973</v>
      </c>
      <c r="N989" s="16"/>
      <c r="O989" s="7"/>
      <c r="P989" s="17"/>
    </row>
    <row r="990" spans="1:16" ht="14.25" customHeight="1">
      <c r="A990" s="5" t="s">
        <v>0</v>
      </c>
      <c r="B990" s="5" t="str">
        <f t="shared" si="6"/>
        <v>Y</v>
      </c>
      <c r="C990" s="18" t="s">
        <v>2974</v>
      </c>
      <c r="D990" s="18"/>
      <c r="E990" s="6" t="s">
        <v>2975</v>
      </c>
      <c r="F990" s="19" t="s">
        <v>2976</v>
      </c>
      <c r="G990" s="19" t="s">
        <v>2977</v>
      </c>
      <c r="H990" s="20">
        <v>43704</v>
      </c>
      <c r="L990" s="6">
        <v>9123470290</v>
      </c>
      <c r="N990" s="16"/>
      <c r="O990" s="7"/>
      <c r="P990" s="17"/>
    </row>
    <row r="991" spans="1:16" ht="14.25" customHeight="1">
      <c r="A991" s="5" t="s">
        <v>0</v>
      </c>
      <c r="B991" s="5" t="str">
        <f t="shared" si="6"/>
        <v>Y</v>
      </c>
      <c r="C991" s="18" t="s">
        <v>2978</v>
      </c>
      <c r="D991" s="18"/>
      <c r="E991" s="6" t="s">
        <v>2979</v>
      </c>
      <c r="F991" s="19" t="s">
        <v>2980</v>
      </c>
      <c r="G991" s="20">
        <v>43705</v>
      </c>
      <c r="H991" s="19" t="s">
        <v>2981</v>
      </c>
      <c r="L991" s="6">
        <v>6200021962</v>
      </c>
      <c r="M991" s="6" t="s">
        <v>2949</v>
      </c>
      <c r="N991" s="16"/>
      <c r="O991" s="7"/>
      <c r="P991" s="17"/>
    </row>
    <row r="992" spans="1:16" ht="14.25" customHeight="1">
      <c r="A992" s="5" t="s">
        <v>0</v>
      </c>
      <c r="B992" s="5" t="str">
        <f t="shared" si="6"/>
        <v>Y</v>
      </c>
      <c r="C992" s="18" t="s">
        <v>2982</v>
      </c>
      <c r="D992" s="18"/>
      <c r="E992" s="6" t="s">
        <v>2983</v>
      </c>
      <c r="F992" s="19" t="s">
        <v>2984</v>
      </c>
      <c r="G992" s="20" t="s">
        <v>2981</v>
      </c>
      <c r="H992" s="19" t="s">
        <v>2981</v>
      </c>
      <c r="L992" s="6">
        <v>9102665789</v>
      </c>
      <c r="M992" s="6" t="s">
        <v>2949</v>
      </c>
      <c r="N992" s="16"/>
      <c r="O992" s="7"/>
      <c r="P992" s="17"/>
    </row>
    <row r="993" spans="1:16" ht="14.25" customHeight="1">
      <c r="A993" s="5" t="s">
        <v>0</v>
      </c>
      <c r="B993" s="5" t="str">
        <f t="shared" si="6"/>
        <v>Y</v>
      </c>
      <c r="C993" s="18" t="s">
        <v>2985</v>
      </c>
      <c r="D993" s="18"/>
      <c r="E993" s="6" t="s">
        <v>2986</v>
      </c>
      <c r="F993" s="19" t="s">
        <v>2987</v>
      </c>
      <c r="G993" s="20" t="s">
        <v>2981</v>
      </c>
      <c r="H993" s="19" t="s">
        <v>2981</v>
      </c>
      <c r="L993" s="6">
        <v>8207352736</v>
      </c>
      <c r="M993" s="6" t="s">
        <v>2949</v>
      </c>
      <c r="N993" s="16"/>
      <c r="O993" s="7"/>
      <c r="P993" s="17"/>
    </row>
    <row r="994" spans="1:16" ht="14.25" customHeight="1">
      <c r="A994" s="5"/>
      <c r="B994" s="5" t="str">
        <f t="shared" si="6"/>
        <v>Y</v>
      </c>
      <c r="C994" s="18" t="s">
        <v>2988</v>
      </c>
      <c r="D994" s="18"/>
      <c r="E994" s="6" t="s">
        <v>2989</v>
      </c>
      <c r="F994" s="19" t="s">
        <v>2990</v>
      </c>
      <c r="G994" s="20" t="s">
        <v>2981</v>
      </c>
      <c r="H994" s="20">
        <v>43714</v>
      </c>
      <c r="L994" s="6">
        <v>8603192185</v>
      </c>
      <c r="M994" s="6" t="s">
        <v>2991</v>
      </c>
      <c r="N994" s="16"/>
      <c r="O994" s="7"/>
      <c r="P994" s="17"/>
    </row>
    <row r="995" spans="1:16" ht="14.25" customHeight="1">
      <c r="A995" s="5" t="s">
        <v>0</v>
      </c>
      <c r="B995" s="5" t="str">
        <f t="shared" si="6"/>
        <v>Y</v>
      </c>
      <c r="C995" s="18" t="s">
        <v>2992</v>
      </c>
      <c r="D995" s="18"/>
      <c r="E995" s="6" t="s">
        <v>2993</v>
      </c>
      <c r="F995" s="19" t="s">
        <v>2994</v>
      </c>
      <c r="G995" s="20">
        <v>43706</v>
      </c>
      <c r="H995" s="19" t="s">
        <v>2995</v>
      </c>
      <c r="L995" s="6">
        <v>6204245041</v>
      </c>
      <c r="M995" s="6" t="s">
        <v>2991</v>
      </c>
      <c r="N995" s="16"/>
      <c r="O995" s="7"/>
      <c r="P995" s="17"/>
    </row>
    <row r="996" spans="1:16" ht="14.25" customHeight="1">
      <c r="A996" s="5" t="s">
        <v>0</v>
      </c>
      <c r="B996" s="5" t="str">
        <f t="shared" si="6"/>
        <v>Y</v>
      </c>
      <c r="C996" s="18" t="s">
        <v>2996</v>
      </c>
      <c r="D996" s="18"/>
      <c r="E996" s="96" t="s">
        <v>2997</v>
      </c>
      <c r="F996" s="19" t="s">
        <v>2998</v>
      </c>
      <c r="G996" s="19" t="s">
        <v>2995</v>
      </c>
      <c r="H996" s="19" t="s">
        <v>2995</v>
      </c>
      <c r="L996" s="6">
        <v>7667878604</v>
      </c>
      <c r="N996" s="16"/>
      <c r="O996" s="7"/>
      <c r="P996" s="17"/>
    </row>
    <row r="997" spans="1:16" ht="14.25" customHeight="1">
      <c r="A997" s="5" t="s">
        <v>0</v>
      </c>
      <c r="B997" s="5" t="str">
        <f t="shared" si="6"/>
        <v>Y</v>
      </c>
      <c r="C997" s="18" t="s">
        <v>2999</v>
      </c>
      <c r="D997" s="18"/>
      <c r="E997" s="6" t="s">
        <v>3000</v>
      </c>
      <c r="F997" s="19" t="s">
        <v>3001</v>
      </c>
      <c r="G997" s="19" t="s">
        <v>2995</v>
      </c>
      <c r="H997" s="19" t="s">
        <v>2995</v>
      </c>
      <c r="L997" s="6">
        <v>7209840419</v>
      </c>
      <c r="N997" s="16"/>
      <c r="O997" s="7"/>
      <c r="P997" s="17"/>
    </row>
    <row r="998" spans="1:16" ht="14.25" customHeight="1">
      <c r="A998" s="5" t="s">
        <v>0</v>
      </c>
      <c r="B998" s="5" t="str">
        <f t="shared" si="6"/>
        <v>Y</v>
      </c>
      <c r="C998" s="18" t="s">
        <v>3002</v>
      </c>
      <c r="D998" s="18"/>
      <c r="E998" s="6" t="s">
        <v>3003</v>
      </c>
      <c r="F998" s="19" t="s">
        <v>3004</v>
      </c>
      <c r="G998" s="19" t="s">
        <v>3005</v>
      </c>
      <c r="H998" s="20">
        <v>43712</v>
      </c>
      <c r="L998" s="6">
        <v>8797101292</v>
      </c>
      <c r="N998" s="16"/>
      <c r="O998" s="7"/>
      <c r="P998" s="17"/>
    </row>
    <row r="999" spans="1:16" ht="14.25" customHeight="1">
      <c r="A999" s="5" t="s">
        <v>0</v>
      </c>
      <c r="B999" s="5" t="str">
        <f t="shared" si="6"/>
        <v>Y</v>
      </c>
      <c r="C999" s="18" t="s">
        <v>3006</v>
      </c>
      <c r="D999" s="18"/>
      <c r="E999" s="6" t="s">
        <v>3007</v>
      </c>
      <c r="F999" s="19" t="s">
        <v>3008</v>
      </c>
      <c r="G999" s="19" t="s">
        <v>3009</v>
      </c>
      <c r="H999" s="20">
        <v>43712</v>
      </c>
      <c r="L999" s="6">
        <v>8409267396</v>
      </c>
      <c r="N999" s="16"/>
      <c r="O999" s="7"/>
      <c r="P999" s="17"/>
    </row>
    <row r="1000" spans="1:16" ht="14.25" customHeight="1">
      <c r="A1000" s="5" t="s">
        <v>0</v>
      </c>
      <c r="B1000" s="5" t="str">
        <f t="shared" si="6"/>
        <v>Y</v>
      </c>
      <c r="C1000" s="18" t="s">
        <v>3010</v>
      </c>
      <c r="D1000" s="18"/>
      <c r="E1000" s="6" t="s">
        <v>3011</v>
      </c>
      <c r="F1000" s="19" t="s">
        <v>3012</v>
      </c>
      <c r="G1000" s="19" t="s">
        <v>3009</v>
      </c>
      <c r="H1000" s="20">
        <v>43714</v>
      </c>
      <c r="L1000" s="6">
        <v>6206433691</v>
      </c>
      <c r="M1000" s="6" t="s">
        <v>3013</v>
      </c>
      <c r="N1000" s="16"/>
      <c r="O1000" s="7"/>
      <c r="P1000" s="17"/>
    </row>
    <row r="1001" spans="1:16" ht="14.25" customHeight="1">
      <c r="A1001" s="5" t="s">
        <v>0</v>
      </c>
      <c r="B1001" s="5" t="str">
        <f t="shared" si="6"/>
        <v>N</v>
      </c>
      <c r="C1001" s="18" t="s">
        <v>3014</v>
      </c>
      <c r="D1001" s="18"/>
      <c r="E1001" s="6" t="s">
        <v>3015</v>
      </c>
      <c r="F1001" s="19" t="s">
        <v>3016</v>
      </c>
      <c r="G1001" s="19" t="s">
        <v>3017</v>
      </c>
      <c r="H1001" s="5"/>
      <c r="L1001" s="6">
        <v>9122942220</v>
      </c>
      <c r="M1001" s="6" t="s">
        <v>3018</v>
      </c>
      <c r="N1001" s="16"/>
      <c r="O1001" s="7"/>
      <c r="P1001" s="17"/>
    </row>
    <row r="1002" spans="1:16" ht="14.25" customHeight="1">
      <c r="A1002" s="5" t="s">
        <v>0</v>
      </c>
      <c r="B1002" s="5" t="str">
        <f t="shared" si="6"/>
        <v>Y</v>
      </c>
      <c r="C1002" s="18" t="s">
        <v>3019</v>
      </c>
      <c r="D1002" s="18"/>
      <c r="E1002" s="6" t="s">
        <v>3020</v>
      </c>
      <c r="F1002" s="19" t="s">
        <v>3021</v>
      </c>
      <c r="G1002" s="19" t="s">
        <v>3022</v>
      </c>
      <c r="H1002" s="19" t="s">
        <v>3022</v>
      </c>
      <c r="L1002" s="6">
        <v>9031901804</v>
      </c>
      <c r="N1002" s="16"/>
      <c r="O1002" s="7"/>
      <c r="P1002" s="17"/>
    </row>
    <row r="1003" spans="1:16" ht="14.25" customHeight="1">
      <c r="A1003" s="5" t="s">
        <v>0</v>
      </c>
      <c r="B1003" s="5" t="str">
        <f t="shared" si="6"/>
        <v>Y</v>
      </c>
      <c r="C1003" s="18" t="s">
        <v>3023</v>
      </c>
      <c r="D1003" s="18"/>
      <c r="E1003" s="6" t="s">
        <v>3024</v>
      </c>
      <c r="F1003" s="19" t="s">
        <v>3025</v>
      </c>
      <c r="G1003" s="19" t="s">
        <v>3026</v>
      </c>
      <c r="H1003" s="19" t="s">
        <v>3026</v>
      </c>
      <c r="L1003" s="6">
        <v>8298128575</v>
      </c>
      <c r="N1003" s="16"/>
      <c r="O1003" s="7"/>
      <c r="P1003" s="17"/>
    </row>
    <row r="1004" spans="1:16" ht="14.25" customHeight="1">
      <c r="A1004" s="5" t="s">
        <v>0</v>
      </c>
      <c r="B1004" s="5" t="str">
        <f t="shared" si="6"/>
        <v>Y</v>
      </c>
      <c r="C1004" s="18" t="s">
        <v>3027</v>
      </c>
      <c r="D1004" s="18"/>
      <c r="E1004" s="6" t="s">
        <v>3028</v>
      </c>
      <c r="F1004" s="19" t="s">
        <v>3029</v>
      </c>
      <c r="G1004" s="19" t="s">
        <v>3030</v>
      </c>
      <c r="H1004" s="19" t="s">
        <v>3030</v>
      </c>
      <c r="L1004" s="6">
        <v>8603251790</v>
      </c>
      <c r="N1004" s="16"/>
      <c r="O1004" s="7"/>
      <c r="P1004" s="17"/>
    </row>
    <row r="1005" spans="1:16" ht="14.25" customHeight="1">
      <c r="A1005" s="5" t="s">
        <v>0</v>
      </c>
      <c r="B1005" s="5" t="str">
        <f t="shared" si="6"/>
        <v>Y</v>
      </c>
      <c r="C1005" s="18" t="s">
        <v>3031</v>
      </c>
      <c r="D1005" s="18"/>
      <c r="E1005" s="6" t="s">
        <v>3032</v>
      </c>
      <c r="F1005" s="19" t="s">
        <v>3033</v>
      </c>
      <c r="G1005" s="19" t="s">
        <v>3034</v>
      </c>
      <c r="H1005" s="19" t="s">
        <v>3034</v>
      </c>
      <c r="L1005" s="6">
        <v>8797418288</v>
      </c>
      <c r="N1005" s="16"/>
      <c r="O1005" s="7"/>
      <c r="P1005" s="17"/>
    </row>
    <row r="1006" spans="1:16" ht="14.25" customHeight="1">
      <c r="A1006" s="5" t="s">
        <v>0</v>
      </c>
      <c r="B1006" s="5" t="str">
        <f t="shared" si="6"/>
        <v>Y</v>
      </c>
      <c r="C1006" s="18" t="s">
        <v>3035</v>
      </c>
      <c r="D1006" s="18"/>
      <c r="E1006" s="6" t="s">
        <v>3036</v>
      </c>
      <c r="F1006" s="19" t="s">
        <v>3037</v>
      </c>
      <c r="G1006" s="19" t="s">
        <v>3034</v>
      </c>
      <c r="H1006" s="19" t="s">
        <v>3034</v>
      </c>
      <c r="L1006" s="6">
        <v>7903681002</v>
      </c>
      <c r="N1006" s="16"/>
      <c r="O1006" s="7"/>
      <c r="P1006" s="17"/>
    </row>
    <row r="1007" spans="1:16" ht="14.25" customHeight="1">
      <c r="A1007" s="5" t="s">
        <v>1840</v>
      </c>
      <c r="B1007" s="5" t="str">
        <f t="shared" si="6"/>
        <v>N</v>
      </c>
      <c r="C1007" s="18" t="s">
        <v>3038</v>
      </c>
      <c r="D1007" s="18"/>
      <c r="E1007" s="6" t="s">
        <v>3039</v>
      </c>
      <c r="F1007" s="19" t="s">
        <v>3040</v>
      </c>
      <c r="G1007" s="19" t="s">
        <v>3034</v>
      </c>
      <c r="H1007" s="5"/>
      <c r="L1007" s="6">
        <v>7209959476</v>
      </c>
      <c r="M1007" s="6" t="s">
        <v>3041</v>
      </c>
      <c r="N1007" s="16"/>
      <c r="O1007" s="7"/>
      <c r="P1007" s="17"/>
    </row>
    <row r="1008" spans="1:16" ht="14.25" customHeight="1">
      <c r="A1008" s="5" t="s">
        <v>0</v>
      </c>
      <c r="B1008" s="5" t="str">
        <f t="shared" si="6"/>
        <v>Y</v>
      </c>
      <c r="C1008" s="18" t="s">
        <v>3042</v>
      </c>
      <c r="D1008" s="18"/>
      <c r="E1008" s="6" t="s">
        <v>3043</v>
      </c>
      <c r="F1008" s="19" t="s">
        <v>3044</v>
      </c>
      <c r="G1008" s="19" t="s">
        <v>3045</v>
      </c>
      <c r="H1008" s="19" t="s">
        <v>3045</v>
      </c>
      <c r="L1008" s="6">
        <v>7295011441</v>
      </c>
      <c r="M1008" s="6" t="s">
        <v>2949</v>
      </c>
      <c r="N1008" s="16"/>
      <c r="O1008" s="7"/>
      <c r="P1008" s="17"/>
    </row>
    <row r="1009" spans="1:19" ht="14.25" customHeight="1">
      <c r="A1009" s="5" t="s">
        <v>0</v>
      </c>
      <c r="B1009" s="5" t="str">
        <f t="shared" si="6"/>
        <v>Y</v>
      </c>
      <c r="C1009" s="18" t="s">
        <v>3046</v>
      </c>
      <c r="D1009" s="18"/>
      <c r="E1009" s="6" t="s">
        <v>3047</v>
      </c>
      <c r="F1009" s="19" t="s">
        <v>3040</v>
      </c>
      <c r="G1009" s="19" t="s">
        <v>3045</v>
      </c>
      <c r="H1009" s="19" t="s">
        <v>3048</v>
      </c>
      <c r="L1009" s="6">
        <v>9263613711</v>
      </c>
      <c r="M1009" s="6" t="s">
        <v>2949</v>
      </c>
      <c r="N1009" s="16"/>
      <c r="O1009" s="7"/>
      <c r="P1009" s="17"/>
    </row>
    <row r="1010" spans="1:19" ht="14.25" customHeight="1">
      <c r="A1010" s="5" t="s">
        <v>0</v>
      </c>
      <c r="B1010" s="5" t="str">
        <f t="shared" si="6"/>
        <v>Y</v>
      </c>
      <c r="C1010" s="18" t="s">
        <v>3049</v>
      </c>
      <c r="D1010" s="18"/>
      <c r="E1010" s="6" t="s">
        <v>3050</v>
      </c>
      <c r="F1010" s="19" t="s">
        <v>3051</v>
      </c>
      <c r="G1010" s="19" t="s">
        <v>3045</v>
      </c>
      <c r="H1010" s="19" t="s">
        <v>3048</v>
      </c>
      <c r="L1010" s="6">
        <v>8709410980</v>
      </c>
      <c r="N1010" s="16"/>
      <c r="O1010" s="7"/>
      <c r="P1010" s="17"/>
    </row>
    <row r="1011" spans="1:19" ht="14.25" customHeight="1">
      <c r="A1011" s="5" t="s">
        <v>0</v>
      </c>
      <c r="B1011" s="5" t="str">
        <f t="shared" si="6"/>
        <v>Y</v>
      </c>
      <c r="C1011" s="18" t="s">
        <v>3052</v>
      </c>
      <c r="D1011" s="18"/>
      <c r="E1011" s="6" t="s">
        <v>3053</v>
      </c>
      <c r="F1011" s="19" t="s">
        <v>3054</v>
      </c>
      <c r="G1011" s="19" t="s">
        <v>3048</v>
      </c>
      <c r="H1011" s="19" t="s">
        <v>3048</v>
      </c>
      <c r="L1011" s="6">
        <v>8092713860</v>
      </c>
      <c r="N1011" s="16"/>
      <c r="O1011" s="7"/>
      <c r="P1011" s="17"/>
    </row>
    <row r="1012" spans="1:19" ht="14.25" customHeight="1">
      <c r="A1012" s="5" t="s">
        <v>0</v>
      </c>
      <c r="B1012" s="5" t="str">
        <f t="shared" si="6"/>
        <v>Y</v>
      </c>
      <c r="C1012" s="18" t="s">
        <v>3055</v>
      </c>
      <c r="D1012" s="18"/>
      <c r="E1012" s="6" t="s">
        <v>3056</v>
      </c>
      <c r="F1012" s="19" t="s">
        <v>3057</v>
      </c>
      <c r="G1012" s="19" t="s">
        <v>3048</v>
      </c>
      <c r="H1012" s="19" t="s">
        <v>3048</v>
      </c>
      <c r="L1012" s="6">
        <v>8092713860</v>
      </c>
      <c r="N1012" s="16"/>
      <c r="O1012" s="7"/>
      <c r="P1012" s="17"/>
    </row>
    <row r="1013" spans="1:19" ht="14.25" customHeight="1">
      <c r="A1013" s="5" t="s">
        <v>0</v>
      </c>
      <c r="B1013" s="5" t="str">
        <f t="shared" si="6"/>
        <v>Y</v>
      </c>
      <c r="C1013" s="18" t="s">
        <v>3058</v>
      </c>
      <c r="D1013" s="18"/>
      <c r="E1013" s="6" t="s">
        <v>3059</v>
      </c>
      <c r="F1013" s="19" t="s">
        <v>3060</v>
      </c>
      <c r="G1013" s="19" t="s">
        <v>3048</v>
      </c>
      <c r="H1013" s="20">
        <v>43725</v>
      </c>
      <c r="L1013" s="6">
        <v>8603404027</v>
      </c>
      <c r="N1013" s="16"/>
      <c r="O1013" s="7"/>
      <c r="P1013" s="17"/>
    </row>
    <row r="1014" spans="1:19" ht="14.25" customHeight="1">
      <c r="A1014" s="5" t="s">
        <v>0</v>
      </c>
      <c r="B1014" s="5" t="str">
        <f t="shared" si="6"/>
        <v>Y</v>
      </c>
      <c r="C1014" s="6" t="s">
        <v>3061</v>
      </c>
      <c r="D1014" s="6"/>
      <c r="E1014" s="6" t="s">
        <v>3062</v>
      </c>
      <c r="F1014" s="19" t="s">
        <v>3063</v>
      </c>
      <c r="G1014" s="19" t="s">
        <v>3048</v>
      </c>
      <c r="H1014" s="20">
        <v>43725</v>
      </c>
      <c r="L1014" s="6">
        <v>7903447070</v>
      </c>
      <c r="N1014" s="16"/>
      <c r="O1014" s="7"/>
      <c r="P1014" s="17"/>
    </row>
    <row r="1015" spans="1:19" ht="14.25" customHeight="1">
      <c r="A1015" s="5" t="s">
        <v>0</v>
      </c>
      <c r="B1015" s="5" t="str">
        <f t="shared" si="6"/>
        <v>Y</v>
      </c>
      <c r="C1015" s="6" t="s">
        <v>3064</v>
      </c>
      <c r="D1015" s="6"/>
      <c r="E1015" s="6" t="s">
        <v>3065</v>
      </c>
      <c r="F1015" s="19" t="s">
        <v>3066</v>
      </c>
      <c r="G1015" s="19" t="s">
        <v>3048</v>
      </c>
      <c r="H1015" s="20">
        <v>43725</v>
      </c>
      <c r="L1015" s="6">
        <v>9263297832</v>
      </c>
      <c r="N1015" s="16"/>
      <c r="O1015" s="7"/>
      <c r="P1015" s="17"/>
    </row>
    <row r="1016" spans="1:19" ht="14.25" customHeight="1">
      <c r="A1016" s="5" t="s">
        <v>0</v>
      </c>
      <c r="B1016" s="5" t="str">
        <f t="shared" si="6"/>
        <v>Y</v>
      </c>
      <c r="C1016" s="18" t="s">
        <v>3067</v>
      </c>
      <c r="D1016" s="18"/>
      <c r="E1016" s="6" t="s">
        <v>3068</v>
      </c>
      <c r="F1016" s="19" t="s">
        <v>3069</v>
      </c>
      <c r="G1016" s="19" t="s">
        <v>3070</v>
      </c>
      <c r="H1016" s="19" t="s">
        <v>3071</v>
      </c>
      <c r="L1016" s="6">
        <v>9471589819</v>
      </c>
      <c r="N1016" s="16"/>
      <c r="O1016" s="7"/>
      <c r="P1016" s="17"/>
    </row>
    <row r="1017" spans="1:19" ht="14.25" customHeight="1">
      <c r="A1017" s="5" t="s">
        <v>0</v>
      </c>
      <c r="B1017" s="5" t="str">
        <f t="shared" si="6"/>
        <v>Y</v>
      </c>
      <c r="C1017" s="18" t="s">
        <v>3072</v>
      </c>
      <c r="D1017" s="18"/>
      <c r="E1017" s="6" t="s">
        <v>3073</v>
      </c>
      <c r="F1017" s="19" t="s">
        <v>3074</v>
      </c>
      <c r="G1017" s="19" t="s">
        <v>3075</v>
      </c>
      <c r="H1017" s="19" t="s">
        <v>3075</v>
      </c>
      <c r="N1017" s="16"/>
      <c r="O1017" s="7"/>
      <c r="P1017" s="17"/>
    </row>
    <row r="1018" spans="1:19" ht="14.25" customHeight="1">
      <c r="A1018" s="5" t="s">
        <v>0</v>
      </c>
      <c r="B1018" s="5" t="str">
        <f t="shared" si="6"/>
        <v>Y</v>
      </c>
      <c r="C1018" s="18" t="s">
        <v>3076</v>
      </c>
      <c r="D1018" s="18"/>
      <c r="E1018" s="6" t="s">
        <v>3077</v>
      </c>
      <c r="F1018" s="19" t="s">
        <v>3078</v>
      </c>
      <c r="G1018" s="19" t="s">
        <v>3075</v>
      </c>
      <c r="H1018" s="19" t="s">
        <v>3071</v>
      </c>
      <c r="L1018" s="6">
        <v>8092223466</v>
      </c>
      <c r="N1018" s="16"/>
      <c r="O1018" s="7"/>
      <c r="P1018" s="17"/>
    </row>
    <row r="1019" spans="1:19" ht="14.25" customHeight="1">
      <c r="A1019" s="5" t="s">
        <v>0</v>
      </c>
      <c r="B1019" s="5" t="str">
        <f t="shared" si="6"/>
        <v>Y</v>
      </c>
      <c r="C1019" s="18" t="s">
        <v>3079</v>
      </c>
      <c r="D1019" s="18"/>
      <c r="E1019" s="6" t="s">
        <v>3080</v>
      </c>
      <c r="F1019" s="19" t="s">
        <v>3081</v>
      </c>
      <c r="G1019" s="19" t="s">
        <v>3071</v>
      </c>
      <c r="H1019" s="19" t="s">
        <v>3071</v>
      </c>
      <c r="L1019" s="6">
        <v>9113130824</v>
      </c>
      <c r="N1019" s="16"/>
      <c r="O1019" s="7"/>
      <c r="P1019" s="17"/>
    </row>
    <row r="1020" spans="1:19" ht="14.25" customHeight="1">
      <c r="A1020" s="5" t="s">
        <v>0</v>
      </c>
      <c r="B1020" s="5" t="str">
        <f t="shared" si="6"/>
        <v>Y</v>
      </c>
      <c r="C1020" s="18" t="s">
        <v>3082</v>
      </c>
      <c r="D1020" s="18"/>
      <c r="E1020" s="6" t="s">
        <v>3083</v>
      </c>
      <c r="F1020" s="19" t="s">
        <v>3084</v>
      </c>
      <c r="G1020" s="19" t="s">
        <v>3071</v>
      </c>
      <c r="H1020" s="19" t="s">
        <v>3071</v>
      </c>
      <c r="L1020" s="6">
        <v>7008218699</v>
      </c>
      <c r="N1020" s="16"/>
      <c r="O1020" s="7"/>
      <c r="P1020" s="17"/>
    </row>
    <row r="1021" spans="1:19" ht="14.25" customHeight="1">
      <c r="A1021" s="5" t="s">
        <v>0</v>
      </c>
      <c r="B1021" s="5" t="str">
        <f t="shared" si="6"/>
        <v>Y</v>
      </c>
      <c r="C1021" s="6" t="s">
        <v>3085</v>
      </c>
      <c r="D1021" s="6"/>
      <c r="E1021" s="6" t="s">
        <v>3086</v>
      </c>
      <c r="F1021" s="19" t="s">
        <v>3078</v>
      </c>
      <c r="G1021" s="19" t="s">
        <v>3071</v>
      </c>
      <c r="H1021" s="19" t="s">
        <v>3071</v>
      </c>
      <c r="L1021" s="6">
        <v>6200747234</v>
      </c>
      <c r="N1021" s="16"/>
      <c r="O1021" s="7"/>
      <c r="P1021" s="17"/>
    </row>
    <row r="1022" spans="1:19" ht="14.25" customHeight="1">
      <c r="A1022" s="5" t="s">
        <v>0</v>
      </c>
      <c r="B1022" s="5" t="str">
        <f t="shared" si="6"/>
        <v>Y</v>
      </c>
      <c r="C1022" s="18" t="s">
        <v>3087</v>
      </c>
      <c r="D1022" s="18"/>
      <c r="E1022" s="6" t="s">
        <v>3088</v>
      </c>
      <c r="F1022" s="19" t="s">
        <v>3089</v>
      </c>
      <c r="G1022" s="19" t="s">
        <v>3071</v>
      </c>
      <c r="H1022" s="19" t="s">
        <v>3090</v>
      </c>
      <c r="L1022" s="6">
        <v>9955844105</v>
      </c>
      <c r="N1022" s="16"/>
      <c r="O1022" s="7"/>
      <c r="P1022" s="17"/>
    </row>
    <row r="1023" spans="1:19" ht="14.25" customHeight="1">
      <c r="A1023" s="84" t="s">
        <v>0</v>
      </c>
      <c r="B1023" s="84" t="str">
        <f t="shared" si="6"/>
        <v>Y</v>
      </c>
      <c r="C1023" s="85" t="s">
        <v>3091</v>
      </c>
      <c r="D1023" s="85"/>
      <c r="E1023" s="11" t="s">
        <v>3092</v>
      </c>
      <c r="F1023" s="86" t="s">
        <v>3093</v>
      </c>
      <c r="G1023" s="86" t="s">
        <v>3090</v>
      </c>
      <c r="H1023" s="86" t="s">
        <v>3090</v>
      </c>
      <c r="I1023" s="11"/>
      <c r="J1023" s="11"/>
      <c r="K1023" s="11"/>
      <c r="L1023" s="11">
        <v>620010964</v>
      </c>
      <c r="M1023" s="11"/>
      <c r="N1023" s="88"/>
      <c r="O1023" s="89"/>
      <c r="P1023" s="90"/>
      <c r="Q1023" s="11"/>
      <c r="R1023" s="11"/>
      <c r="S1023" s="11"/>
    </row>
    <row r="1024" spans="1:19" ht="14.25" customHeight="1">
      <c r="A1024" s="5" t="s">
        <v>0</v>
      </c>
      <c r="B1024" s="5" t="str">
        <f t="shared" si="6"/>
        <v>Y</v>
      </c>
      <c r="C1024" s="18" t="s">
        <v>3094</v>
      </c>
      <c r="D1024" s="18"/>
      <c r="E1024" s="6" t="s">
        <v>3095</v>
      </c>
      <c r="F1024" s="19" t="s">
        <v>3096</v>
      </c>
      <c r="G1024" s="19" t="s">
        <v>3090</v>
      </c>
      <c r="H1024" s="19" t="s">
        <v>3090</v>
      </c>
      <c r="L1024" s="6">
        <v>7488197474</v>
      </c>
      <c r="M1024" s="6" t="s">
        <v>1527</v>
      </c>
      <c r="N1024" s="16"/>
      <c r="O1024" s="7"/>
      <c r="P1024" s="17"/>
    </row>
    <row r="1025" spans="1:19" ht="14.25" customHeight="1">
      <c r="A1025" s="5" t="s">
        <v>0</v>
      </c>
      <c r="B1025" s="5" t="str">
        <f t="shared" si="6"/>
        <v>Y</v>
      </c>
      <c r="C1025" s="85" t="s">
        <v>3097</v>
      </c>
      <c r="D1025" s="85"/>
      <c r="E1025" s="11" t="s">
        <v>3098</v>
      </c>
      <c r="F1025" s="86" t="s">
        <v>3099</v>
      </c>
      <c r="G1025" s="86" t="s">
        <v>3090</v>
      </c>
      <c r="H1025" s="86" t="s">
        <v>3090</v>
      </c>
      <c r="I1025" s="11"/>
      <c r="J1025" s="11"/>
      <c r="K1025" s="11"/>
      <c r="L1025" s="11">
        <v>7488177612</v>
      </c>
      <c r="M1025" s="6" t="s">
        <v>1527</v>
      </c>
      <c r="N1025" s="16"/>
      <c r="O1025" s="7"/>
      <c r="P1025" s="17"/>
    </row>
    <row r="1026" spans="1:19" ht="14.25" customHeight="1">
      <c r="A1026" s="5" t="s">
        <v>0</v>
      </c>
      <c r="B1026" s="5" t="str">
        <f t="shared" si="6"/>
        <v>Y</v>
      </c>
      <c r="C1026" s="18" t="s">
        <v>3100</v>
      </c>
      <c r="D1026" s="18"/>
      <c r="E1026" s="6" t="s">
        <v>3101</v>
      </c>
      <c r="F1026" s="19" t="s">
        <v>3102</v>
      </c>
      <c r="G1026" s="19" t="s">
        <v>3090</v>
      </c>
      <c r="H1026" s="19" t="s">
        <v>3090</v>
      </c>
      <c r="L1026" s="6">
        <v>9470567334</v>
      </c>
      <c r="M1026" s="6" t="s">
        <v>1527</v>
      </c>
      <c r="N1026" s="16"/>
      <c r="O1026" s="7"/>
      <c r="P1026" s="17"/>
    </row>
    <row r="1027" spans="1:19" ht="14.25" customHeight="1">
      <c r="A1027" s="84" t="s">
        <v>0</v>
      </c>
      <c r="B1027" s="84" t="str">
        <f t="shared" si="6"/>
        <v>Y</v>
      </c>
      <c r="C1027" s="85" t="s">
        <v>3103</v>
      </c>
      <c r="D1027" s="85"/>
      <c r="E1027" s="11" t="s">
        <v>2612</v>
      </c>
      <c r="F1027" s="86" t="s">
        <v>3104</v>
      </c>
      <c r="G1027" s="86" t="s">
        <v>3090</v>
      </c>
      <c r="H1027" s="86" t="s">
        <v>3090</v>
      </c>
      <c r="I1027" s="11"/>
      <c r="J1027" s="11"/>
      <c r="K1027" s="11"/>
      <c r="L1027" s="11"/>
      <c r="M1027" s="11" t="s">
        <v>1527</v>
      </c>
      <c r="N1027" s="88"/>
      <c r="O1027" s="89"/>
      <c r="P1027" s="90"/>
      <c r="Q1027" s="11"/>
      <c r="R1027" s="11"/>
      <c r="S1027" s="11"/>
    </row>
    <row r="1028" spans="1:19" ht="14.25" customHeight="1">
      <c r="A1028" s="5" t="s">
        <v>0</v>
      </c>
      <c r="B1028" s="5" t="str">
        <f t="shared" si="6"/>
        <v>Y</v>
      </c>
      <c r="C1028" s="18" t="s">
        <v>3105</v>
      </c>
      <c r="D1028" s="18"/>
      <c r="E1028" s="6" t="s">
        <v>3106</v>
      </c>
      <c r="F1028" s="19" t="s">
        <v>3107</v>
      </c>
      <c r="G1028" s="19" t="s">
        <v>3090</v>
      </c>
      <c r="H1028" s="19" t="s">
        <v>3090</v>
      </c>
      <c r="L1028" s="6">
        <v>8789207209</v>
      </c>
      <c r="M1028" s="6" t="s">
        <v>1527</v>
      </c>
      <c r="N1028" s="16"/>
      <c r="O1028" s="7"/>
      <c r="P1028" s="17"/>
    </row>
    <row r="1029" spans="1:19" ht="14.25" customHeight="1">
      <c r="A1029" s="84" t="s">
        <v>0</v>
      </c>
      <c r="B1029" s="84" t="str">
        <f t="shared" si="6"/>
        <v>Y</v>
      </c>
      <c r="C1029" s="85" t="s">
        <v>3108</v>
      </c>
      <c r="D1029" s="85"/>
      <c r="E1029" s="11" t="s">
        <v>3109</v>
      </c>
      <c r="F1029" s="86" t="s">
        <v>3110</v>
      </c>
      <c r="G1029" s="86" t="s">
        <v>3090</v>
      </c>
      <c r="H1029" s="86" t="s">
        <v>3111</v>
      </c>
      <c r="I1029" s="11"/>
      <c r="J1029" s="11"/>
      <c r="K1029" s="11"/>
      <c r="L1029" s="11">
        <v>9031709707</v>
      </c>
      <c r="M1029" s="11"/>
      <c r="N1029" s="88"/>
      <c r="O1029" s="89"/>
      <c r="P1029" s="90"/>
      <c r="Q1029" s="11"/>
      <c r="R1029" s="11"/>
      <c r="S1029" s="11"/>
    </row>
    <row r="1030" spans="1:19" ht="14.25" customHeight="1">
      <c r="A1030" s="5" t="s">
        <v>0</v>
      </c>
      <c r="B1030" s="5" t="str">
        <f t="shared" si="6"/>
        <v>Y</v>
      </c>
      <c r="C1030" s="18" t="s">
        <v>3112</v>
      </c>
      <c r="D1030" s="18"/>
      <c r="E1030" s="6" t="s">
        <v>3113</v>
      </c>
      <c r="F1030" s="19" t="s">
        <v>3114</v>
      </c>
      <c r="G1030" s="19" t="s">
        <v>3115</v>
      </c>
      <c r="H1030" s="19" t="s">
        <v>3116</v>
      </c>
      <c r="L1030" s="6">
        <v>9973678365</v>
      </c>
      <c r="N1030" s="16"/>
      <c r="O1030" s="7"/>
      <c r="P1030" s="17"/>
    </row>
    <row r="1031" spans="1:19" ht="14.25" customHeight="1">
      <c r="A1031" s="5" t="s">
        <v>0</v>
      </c>
      <c r="B1031" s="5" t="str">
        <f t="shared" si="6"/>
        <v>Y</v>
      </c>
      <c r="C1031" s="18" t="s">
        <v>3117</v>
      </c>
      <c r="D1031" s="18"/>
      <c r="E1031" s="6" t="s">
        <v>1460</v>
      </c>
      <c r="F1031" s="19" t="s">
        <v>3118</v>
      </c>
      <c r="G1031" s="19" t="s">
        <v>3115</v>
      </c>
      <c r="H1031" s="19" t="s">
        <v>3119</v>
      </c>
      <c r="L1031" s="6">
        <v>6200932821</v>
      </c>
      <c r="N1031" s="16"/>
      <c r="O1031" s="7"/>
      <c r="P1031" s="17"/>
    </row>
    <row r="1032" spans="1:19" ht="14.25" customHeight="1">
      <c r="A1032" s="5" t="s">
        <v>0</v>
      </c>
      <c r="B1032" s="5" t="str">
        <f t="shared" si="6"/>
        <v>Y</v>
      </c>
      <c r="C1032" s="18" t="s">
        <v>3120</v>
      </c>
      <c r="D1032" s="18"/>
      <c r="E1032" s="6" t="s">
        <v>3121</v>
      </c>
      <c r="F1032" s="19" t="s">
        <v>3122</v>
      </c>
      <c r="G1032" s="19" t="s">
        <v>3115</v>
      </c>
      <c r="H1032" s="19" t="s">
        <v>3119</v>
      </c>
      <c r="L1032" s="6">
        <v>9304541919</v>
      </c>
      <c r="N1032" s="16"/>
      <c r="O1032" s="7"/>
      <c r="P1032" s="17"/>
    </row>
    <row r="1033" spans="1:19" ht="14.25" customHeight="1">
      <c r="A1033" s="5" t="s">
        <v>0</v>
      </c>
      <c r="B1033" s="5" t="str">
        <f t="shared" si="6"/>
        <v>Y</v>
      </c>
      <c r="C1033" s="18" t="s">
        <v>3123</v>
      </c>
      <c r="D1033" s="18"/>
      <c r="E1033" s="6" t="s">
        <v>3124</v>
      </c>
      <c r="F1033" s="19" t="s">
        <v>3125</v>
      </c>
      <c r="G1033" s="19" t="s">
        <v>3115</v>
      </c>
      <c r="H1033" s="19" t="s">
        <v>3119</v>
      </c>
      <c r="L1033" s="6">
        <v>8002717721</v>
      </c>
      <c r="N1033" s="16"/>
      <c r="O1033" s="7"/>
      <c r="P1033" s="17"/>
    </row>
    <row r="1034" spans="1:19" ht="14.25" customHeight="1">
      <c r="A1034" s="5" t="s">
        <v>0</v>
      </c>
      <c r="B1034" s="5" t="str">
        <f t="shared" si="6"/>
        <v>Y</v>
      </c>
      <c r="C1034" s="18" t="s">
        <v>3126</v>
      </c>
      <c r="D1034" s="18"/>
      <c r="E1034" s="6" t="s">
        <v>3127</v>
      </c>
      <c r="F1034" s="19" t="s">
        <v>3128</v>
      </c>
      <c r="G1034" s="19" t="s">
        <v>3119</v>
      </c>
      <c r="H1034" s="19" t="s">
        <v>3119</v>
      </c>
      <c r="L1034" s="6">
        <v>9798860156</v>
      </c>
      <c r="N1034" s="16"/>
      <c r="O1034" s="7"/>
      <c r="P1034" s="17"/>
    </row>
    <row r="1035" spans="1:19" ht="14.25" customHeight="1">
      <c r="A1035" s="5" t="s">
        <v>0</v>
      </c>
      <c r="B1035" s="5" t="str">
        <f t="shared" si="6"/>
        <v>Y</v>
      </c>
      <c r="C1035" s="18" t="s">
        <v>3129</v>
      </c>
      <c r="D1035" s="18"/>
      <c r="E1035" s="6" t="s">
        <v>3130</v>
      </c>
      <c r="F1035" s="19" t="s">
        <v>3131</v>
      </c>
      <c r="G1035" s="19" t="s">
        <v>3119</v>
      </c>
      <c r="H1035" s="19" t="s">
        <v>3119</v>
      </c>
      <c r="L1035" s="6">
        <v>9939402224</v>
      </c>
      <c r="N1035" s="16"/>
      <c r="O1035" s="7"/>
      <c r="P1035" s="17"/>
    </row>
    <row r="1036" spans="1:19" ht="14.25" customHeight="1">
      <c r="A1036" s="5" t="s">
        <v>0</v>
      </c>
      <c r="B1036" s="5" t="str">
        <f t="shared" si="6"/>
        <v>Y</v>
      </c>
      <c r="C1036" s="18" t="s">
        <v>3132</v>
      </c>
      <c r="D1036" s="18"/>
      <c r="E1036" s="6" t="s">
        <v>3133</v>
      </c>
      <c r="F1036" s="19" t="s">
        <v>3134</v>
      </c>
      <c r="G1036" s="19" t="s">
        <v>3135</v>
      </c>
      <c r="H1036" s="19" t="s">
        <v>3136</v>
      </c>
      <c r="L1036" s="6">
        <v>8789911215</v>
      </c>
      <c r="N1036" s="16"/>
      <c r="O1036" s="7"/>
      <c r="P1036" s="17"/>
    </row>
    <row r="1037" spans="1:19" ht="14.25" customHeight="1">
      <c r="A1037" s="5" t="s">
        <v>0</v>
      </c>
      <c r="B1037" s="5" t="str">
        <f t="shared" si="6"/>
        <v>Y</v>
      </c>
      <c r="C1037" s="18" t="s">
        <v>3137</v>
      </c>
      <c r="D1037" s="18"/>
      <c r="E1037" s="6" t="s">
        <v>3138</v>
      </c>
      <c r="F1037" s="19" t="s">
        <v>3139</v>
      </c>
      <c r="G1037" s="19" t="s">
        <v>3135</v>
      </c>
      <c r="H1037" s="19" t="s">
        <v>3136</v>
      </c>
      <c r="L1037" s="6">
        <v>9583803880</v>
      </c>
      <c r="N1037" s="16"/>
      <c r="O1037" s="7"/>
      <c r="P1037" s="17"/>
    </row>
    <row r="1038" spans="1:19" ht="14.25" customHeight="1">
      <c r="A1038" s="5" t="s">
        <v>0</v>
      </c>
      <c r="B1038" s="5" t="str">
        <f t="shared" si="6"/>
        <v>Y</v>
      </c>
      <c r="C1038" s="18" t="s">
        <v>3140</v>
      </c>
      <c r="D1038" s="18"/>
      <c r="E1038" s="6" t="s">
        <v>3141</v>
      </c>
      <c r="F1038" s="19" t="s">
        <v>3142</v>
      </c>
      <c r="G1038" s="19" t="s">
        <v>3135</v>
      </c>
      <c r="H1038" s="19" t="s">
        <v>3135</v>
      </c>
      <c r="L1038" s="6">
        <v>9798310778</v>
      </c>
      <c r="N1038" s="16"/>
      <c r="O1038" s="7"/>
      <c r="P1038" s="17"/>
    </row>
    <row r="1039" spans="1:19" ht="14.25" customHeight="1">
      <c r="A1039" s="5"/>
      <c r="B1039" s="5" t="str">
        <f t="shared" si="6"/>
        <v>Y</v>
      </c>
      <c r="C1039" s="18" t="s">
        <v>3143</v>
      </c>
      <c r="D1039" s="18"/>
      <c r="E1039" s="6" t="s">
        <v>3144</v>
      </c>
      <c r="F1039" s="19" t="s">
        <v>3029</v>
      </c>
      <c r="G1039" s="19" t="s">
        <v>3135</v>
      </c>
      <c r="H1039" s="20">
        <v>43749</v>
      </c>
      <c r="L1039" s="6">
        <v>7667816796</v>
      </c>
      <c r="N1039" s="16"/>
      <c r="O1039" s="7"/>
      <c r="P1039" s="17"/>
    </row>
    <row r="1040" spans="1:19" ht="14.25" customHeight="1">
      <c r="A1040" s="5"/>
      <c r="B1040" s="5" t="str">
        <f t="shared" si="6"/>
        <v>Y</v>
      </c>
      <c r="C1040" s="18" t="s">
        <v>3145</v>
      </c>
      <c r="D1040" s="18"/>
      <c r="E1040" s="6" t="s">
        <v>2938</v>
      </c>
      <c r="F1040" s="19" t="s">
        <v>3051</v>
      </c>
      <c r="G1040" s="19" t="s">
        <v>3135</v>
      </c>
      <c r="H1040" s="20">
        <v>43749</v>
      </c>
      <c r="L1040" s="6">
        <v>7667816796</v>
      </c>
      <c r="N1040" s="16"/>
      <c r="O1040" s="7"/>
      <c r="P1040" s="17"/>
    </row>
    <row r="1041" spans="1:19" ht="14.25" customHeight="1">
      <c r="A1041" s="5" t="s">
        <v>1840</v>
      </c>
      <c r="B1041" s="5" t="str">
        <f t="shared" si="6"/>
        <v>Y</v>
      </c>
      <c r="C1041" s="18" t="s">
        <v>3146</v>
      </c>
      <c r="D1041" s="18"/>
      <c r="E1041" s="6" t="s">
        <v>3147</v>
      </c>
      <c r="F1041" s="19" t="s">
        <v>3148</v>
      </c>
      <c r="G1041" s="19" t="s">
        <v>3136</v>
      </c>
      <c r="H1041" s="19" t="s">
        <v>3136</v>
      </c>
      <c r="N1041" s="16"/>
      <c r="O1041" s="7"/>
      <c r="P1041" s="17"/>
    </row>
    <row r="1042" spans="1:19" ht="14.25" customHeight="1">
      <c r="A1042" s="5" t="s">
        <v>0</v>
      </c>
      <c r="B1042" s="5" t="str">
        <f t="shared" si="6"/>
        <v>Y</v>
      </c>
      <c r="C1042" s="18" t="s">
        <v>3149</v>
      </c>
      <c r="D1042" s="18"/>
      <c r="E1042" s="6" t="s">
        <v>3150</v>
      </c>
      <c r="F1042" s="19" t="s">
        <v>3151</v>
      </c>
      <c r="G1042" s="19" t="s">
        <v>3136</v>
      </c>
      <c r="H1042" s="19" t="s">
        <v>3136</v>
      </c>
      <c r="L1042" s="6">
        <v>7209585805</v>
      </c>
      <c r="N1042" s="16"/>
      <c r="O1042" s="7"/>
      <c r="P1042" s="17"/>
    </row>
    <row r="1043" spans="1:19" ht="14.25" customHeight="1">
      <c r="A1043" s="5" t="s">
        <v>0</v>
      </c>
      <c r="B1043" s="5" t="str">
        <f t="shared" si="6"/>
        <v>Y</v>
      </c>
      <c r="C1043" s="18" t="s">
        <v>3152</v>
      </c>
      <c r="D1043" s="18"/>
      <c r="E1043" s="6" t="s">
        <v>3153</v>
      </c>
      <c r="F1043" s="19" t="s">
        <v>3154</v>
      </c>
      <c r="G1043" s="19" t="s">
        <v>3136</v>
      </c>
      <c r="H1043" s="19" t="s">
        <v>3136</v>
      </c>
      <c r="L1043" s="6">
        <v>7209568650</v>
      </c>
      <c r="N1043" s="16"/>
      <c r="O1043" s="7"/>
      <c r="P1043" s="17"/>
    </row>
    <row r="1044" spans="1:19" ht="14.25" customHeight="1">
      <c r="A1044" s="5" t="s">
        <v>0</v>
      </c>
      <c r="B1044" s="5" t="str">
        <f t="shared" si="6"/>
        <v>Y</v>
      </c>
      <c r="C1044" s="18" t="s">
        <v>3076</v>
      </c>
      <c r="D1044" s="18"/>
      <c r="E1044" s="6" t="s">
        <v>3077</v>
      </c>
      <c r="F1044" s="19" t="s">
        <v>3078</v>
      </c>
      <c r="G1044" s="19" t="s">
        <v>3136</v>
      </c>
      <c r="H1044" s="19" t="s">
        <v>3136</v>
      </c>
      <c r="L1044" s="6">
        <v>8092223466</v>
      </c>
      <c r="N1044" s="16"/>
      <c r="O1044" s="7"/>
      <c r="P1044" s="17"/>
    </row>
    <row r="1045" spans="1:19" ht="14.25" customHeight="1">
      <c r="A1045" s="5" t="s">
        <v>0</v>
      </c>
      <c r="B1045" s="5" t="str">
        <f t="shared" si="6"/>
        <v>Y</v>
      </c>
      <c r="C1045" s="18" t="s">
        <v>3155</v>
      </c>
      <c r="D1045" s="18"/>
      <c r="E1045" s="6" t="s">
        <v>3156</v>
      </c>
      <c r="F1045" s="19" t="s">
        <v>3157</v>
      </c>
      <c r="G1045" s="19" t="s">
        <v>3136</v>
      </c>
      <c r="H1045" s="19" t="s">
        <v>3136</v>
      </c>
      <c r="L1045" s="6">
        <v>7258876970</v>
      </c>
      <c r="N1045" s="16"/>
      <c r="O1045" s="7"/>
      <c r="P1045" s="17"/>
    </row>
    <row r="1046" spans="1:19" ht="14.25" customHeight="1">
      <c r="A1046" s="65" t="s">
        <v>0</v>
      </c>
      <c r="B1046" s="65" t="str">
        <f t="shared" si="6"/>
        <v>Y</v>
      </c>
      <c r="C1046" s="62" t="s">
        <v>3158</v>
      </c>
      <c r="D1046" s="62"/>
      <c r="E1046" s="47" t="s">
        <v>3159</v>
      </c>
      <c r="F1046" s="63" t="s">
        <v>3160</v>
      </c>
      <c r="G1046" s="63" t="s">
        <v>3136</v>
      </c>
      <c r="H1046" s="64">
        <v>43748</v>
      </c>
      <c r="I1046" s="47"/>
      <c r="J1046" s="47"/>
      <c r="K1046" s="47"/>
      <c r="L1046" s="47">
        <v>9693731966</v>
      </c>
      <c r="M1046" s="47"/>
      <c r="N1046" s="66"/>
      <c r="O1046" s="97"/>
      <c r="P1046" s="98"/>
      <c r="Q1046" s="47"/>
      <c r="R1046" s="47"/>
      <c r="S1046" s="47"/>
    </row>
    <row r="1047" spans="1:19" ht="14.25" customHeight="1">
      <c r="A1047" s="5" t="s">
        <v>0</v>
      </c>
      <c r="B1047" s="5" t="str">
        <f t="shared" si="6"/>
        <v>Y</v>
      </c>
      <c r="C1047" s="18" t="s">
        <v>3161</v>
      </c>
      <c r="D1047" s="18"/>
      <c r="E1047" s="6" t="s">
        <v>3162</v>
      </c>
      <c r="F1047" s="19" t="s">
        <v>3163</v>
      </c>
      <c r="G1047" s="19" t="s">
        <v>3136</v>
      </c>
      <c r="H1047" s="20">
        <v>43748</v>
      </c>
      <c r="L1047" s="6">
        <v>9693731966</v>
      </c>
      <c r="N1047" s="16"/>
      <c r="O1047" s="7"/>
      <c r="P1047" s="17"/>
    </row>
    <row r="1048" spans="1:19" ht="14.25" customHeight="1">
      <c r="A1048" s="5" t="s">
        <v>0</v>
      </c>
      <c r="B1048" s="5" t="str">
        <f t="shared" si="6"/>
        <v>Y</v>
      </c>
      <c r="C1048" s="18" t="s">
        <v>3164</v>
      </c>
      <c r="D1048" s="18"/>
      <c r="E1048" s="6" t="s">
        <v>3165</v>
      </c>
      <c r="F1048" s="19" t="s">
        <v>3166</v>
      </c>
      <c r="G1048" s="19" t="s">
        <v>3167</v>
      </c>
      <c r="H1048" s="19" t="s">
        <v>3167</v>
      </c>
      <c r="L1048" s="6">
        <v>9955143006</v>
      </c>
      <c r="M1048" s="6" t="s">
        <v>3168</v>
      </c>
      <c r="N1048" s="16"/>
      <c r="O1048" s="7"/>
      <c r="P1048" s="17"/>
    </row>
    <row r="1049" spans="1:19" ht="14.25" customHeight="1">
      <c r="A1049" s="5" t="s">
        <v>0</v>
      </c>
      <c r="B1049" s="5" t="str">
        <f t="shared" si="6"/>
        <v>Y</v>
      </c>
      <c r="C1049" s="18" t="s">
        <v>3169</v>
      </c>
      <c r="D1049" s="18"/>
      <c r="E1049" s="6" t="s">
        <v>381</v>
      </c>
      <c r="F1049" s="19" t="s">
        <v>3170</v>
      </c>
      <c r="G1049" s="19" t="s">
        <v>3167</v>
      </c>
      <c r="H1049" s="19" t="s">
        <v>3167</v>
      </c>
      <c r="L1049" s="6">
        <v>9955143006</v>
      </c>
      <c r="M1049" s="6" t="s">
        <v>382</v>
      </c>
      <c r="N1049" s="16"/>
      <c r="O1049" s="7"/>
      <c r="P1049" s="17"/>
    </row>
    <row r="1050" spans="1:19" ht="14.25" customHeight="1">
      <c r="A1050" s="99" t="s">
        <v>0</v>
      </c>
      <c r="B1050" s="99" t="str">
        <f t="shared" si="6"/>
        <v>Y</v>
      </c>
      <c r="C1050" s="100" t="s">
        <v>3171</v>
      </c>
      <c r="D1050" s="100"/>
      <c r="E1050" s="101" t="s">
        <v>3172</v>
      </c>
      <c r="F1050" s="102" t="s">
        <v>3173</v>
      </c>
      <c r="G1050" s="102" t="s">
        <v>3174</v>
      </c>
      <c r="H1050" s="102" t="s">
        <v>3174</v>
      </c>
      <c r="I1050" s="101"/>
      <c r="J1050" s="101"/>
      <c r="K1050" s="101"/>
      <c r="L1050" s="101">
        <v>6204134435</v>
      </c>
      <c r="M1050" s="101"/>
      <c r="N1050" s="103"/>
      <c r="O1050" s="104"/>
      <c r="P1050" s="105"/>
      <c r="Q1050" s="101"/>
      <c r="R1050" s="101"/>
      <c r="S1050" s="101"/>
    </row>
    <row r="1051" spans="1:19" ht="14.25" customHeight="1">
      <c r="A1051" s="84" t="s">
        <v>0</v>
      </c>
      <c r="B1051" s="84" t="str">
        <f t="shared" si="6"/>
        <v>Y</v>
      </c>
      <c r="C1051" s="85" t="s">
        <v>3175</v>
      </c>
      <c r="D1051" s="85"/>
      <c r="E1051" s="11" t="s">
        <v>3176</v>
      </c>
      <c r="F1051" s="86" t="s">
        <v>3177</v>
      </c>
      <c r="G1051" s="86" t="s">
        <v>3174</v>
      </c>
      <c r="H1051" s="86" t="s">
        <v>3178</v>
      </c>
      <c r="I1051" s="11"/>
      <c r="J1051" s="106">
        <v>43755</v>
      </c>
      <c r="K1051" s="11"/>
      <c r="L1051" s="11">
        <v>7631039502</v>
      </c>
      <c r="M1051" s="11"/>
      <c r="N1051" s="88"/>
      <c r="O1051" s="89"/>
      <c r="P1051" s="90"/>
      <c r="Q1051" s="11"/>
      <c r="R1051" s="11"/>
      <c r="S1051" s="11"/>
    </row>
    <row r="1052" spans="1:19" ht="14.25" customHeight="1">
      <c r="A1052" s="5" t="s">
        <v>0</v>
      </c>
      <c r="B1052" s="5" t="str">
        <f t="shared" si="6"/>
        <v>Y</v>
      </c>
      <c r="C1052" s="18" t="s">
        <v>3179</v>
      </c>
      <c r="D1052" s="18"/>
      <c r="E1052" s="6" t="s">
        <v>3180</v>
      </c>
      <c r="F1052" s="19" t="s">
        <v>3181</v>
      </c>
      <c r="G1052" s="19" t="s">
        <v>3178</v>
      </c>
      <c r="H1052" s="19" t="s">
        <v>3178</v>
      </c>
      <c r="L1052" s="6">
        <v>9431961617</v>
      </c>
      <c r="M1052" s="6" t="s">
        <v>3182</v>
      </c>
      <c r="N1052" s="16"/>
      <c r="O1052" s="7"/>
      <c r="P1052" s="17"/>
    </row>
    <row r="1053" spans="1:19" ht="14.25" customHeight="1">
      <c r="A1053" s="5" t="s">
        <v>0</v>
      </c>
      <c r="B1053" s="5" t="str">
        <f t="shared" si="6"/>
        <v>Y</v>
      </c>
      <c r="C1053" s="18" t="s">
        <v>3183</v>
      </c>
      <c r="D1053" s="18"/>
      <c r="E1053" s="6" t="s">
        <v>3184</v>
      </c>
      <c r="F1053" s="19" t="s">
        <v>3185</v>
      </c>
      <c r="G1053" s="19" t="s">
        <v>3178</v>
      </c>
      <c r="H1053" s="19" t="s">
        <v>3178</v>
      </c>
      <c r="L1053" s="6">
        <v>6202154252</v>
      </c>
      <c r="N1053" s="16"/>
      <c r="O1053" s="7"/>
      <c r="P1053" s="17"/>
    </row>
    <row r="1054" spans="1:19" ht="14.25" customHeight="1">
      <c r="A1054" s="5" t="s">
        <v>0</v>
      </c>
      <c r="B1054" s="5" t="str">
        <f t="shared" si="6"/>
        <v>Y</v>
      </c>
      <c r="C1054" s="18" t="s">
        <v>3186</v>
      </c>
      <c r="D1054" s="18"/>
      <c r="E1054" s="6" t="s">
        <v>3187</v>
      </c>
      <c r="F1054" s="19" t="s">
        <v>3188</v>
      </c>
      <c r="G1054" s="19" t="s">
        <v>3178</v>
      </c>
      <c r="H1054" s="19" t="s">
        <v>3178</v>
      </c>
      <c r="L1054" s="6">
        <v>8235601373</v>
      </c>
      <c r="N1054" s="16"/>
      <c r="O1054" s="7"/>
      <c r="P1054" s="17"/>
    </row>
    <row r="1055" spans="1:19" ht="14.25" customHeight="1">
      <c r="A1055" s="5" t="s">
        <v>0</v>
      </c>
      <c r="B1055" s="5" t="str">
        <f t="shared" si="6"/>
        <v>Y</v>
      </c>
      <c r="C1055" s="81" t="s">
        <v>3189</v>
      </c>
      <c r="D1055" s="81"/>
      <c r="E1055" s="6" t="s">
        <v>3190</v>
      </c>
      <c r="F1055" s="19" t="s">
        <v>3191</v>
      </c>
      <c r="G1055" s="19" t="s">
        <v>3178</v>
      </c>
      <c r="H1055" s="20" t="s">
        <v>3178</v>
      </c>
      <c r="L1055" s="6">
        <v>7405796925</v>
      </c>
      <c r="N1055" s="16"/>
      <c r="O1055" s="7"/>
      <c r="P1055" s="17"/>
    </row>
    <row r="1056" spans="1:19" ht="14.25" customHeight="1">
      <c r="A1056" s="5" t="s">
        <v>0</v>
      </c>
      <c r="B1056" s="5" t="str">
        <f t="shared" si="6"/>
        <v>Y</v>
      </c>
      <c r="C1056" s="18" t="s">
        <v>3192</v>
      </c>
      <c r="D1056" s="18"/>
      <c r="E1056" s="6" t="s">
        <v>3193</v>
      </c>
      <c r="F1056" s="19" t="s">
        <v>3194</v>
      </c>
      <c r="G1056" s="19" t="s">
        <v>3195</v>
      </c>
      <c r="H1056" s="20">
        <v>43748</v>
      </c>
      <c r="L1056" s="6">
        <v>8797597329</v>
      </c>
      <c r="N1056" s="16"/>
      <c r="O1056" s="7"/>
      <c r="P1056" s="17"/>
    </row>
    <row r="1057" spans="1:16" ht="14.25" customHeight="1">
      <c r="A1057" s="5" t="s">
        <v>0</v>
      </c>
      <c r="B1057" s="5" t="str">
        <f t="shared" si="6"/>
        <v>Y</v>
      </c>
      <c r="C1057" s="81" t="s">
        <v>3196</v>
      </c>
      <c r="D1057" s="81"/>
      <c r="E1057" s="6" t="s">
        <v>3197</v>
      </c>
      <c r="F1057" s="19" t="s">
        <v>3198</v>
      </c>
      <c r="G1057" s="19" t="s">
        <v>3195</v>
      </c>
      <c r="H1057" s="20">
        <v>43748</v>
      </c>
      <c r="L1057" s="6">
        <v>7991170355</v>
      </c>
      <c r="N1057" s="16"/>
      <c r="O1057" s="7"/>
      <c r="P1057" s="17"/>
    </row>
    <row r="1058" spans="1:16" ht="14.25" customHeight="1">
      <c r="A1058" s="5" t="s">
        <v>0</v>
      </c>
      <c r="B1058" s="5" t="str">
        <f t="shared" si="6"/>
        <v>Y</v>
      </c>
      <c r="C1058" s="81" t="s">
        <v>3199</v>
      </c>
      <c r="D1058" s="81"/>
      <c r="E1058" s="6" t="s">
        <v>3200</v>
      </c>
      <c r="F1058" s="19" t="s">
        <v>3201</v>
      </c>
      <c r="G1058" s="19" t="s">
        <v>3202</v>
      </c>
      <c r="H1058" s="20">
        <v>43748</v>
      </c>
      <c r="L1058" s="6">
        <v>9931127422</v>
      </c>
      <c r="N1058" s="16"/>
      <c r="O1058" s="7"/>
      <c r="P1058" s="17"/>
    </row>
    <row r="1059" spans="1:16" ht="14.25" customHeight="1">
      <c r="A1059" s="5" t="s">
        <v>0</v>
      </c>
      <c r="B1059" s="5" t="str">
        <f t="shared" si="6"/>
        <v>Y</v>
      </c>
      <c r="C1059" s="81" t="s">
        <v>3203</v>
      </c>
      <c r="D1059" s="81"/>
      <c r="E1059" s="6" t="s">
        <v>3204</v>
      </c>
      <c r="F1059" s="19" t="s">
        <v>3205</v>
      </c>
      <c r="G1059" s="19" t="s">
        <v>3202</v>
      </c>
      <c r="H1059" s="20">
        <v>43748</v>
      </c>
      <c r="L1059" s="6">
        <v>8092524722</v>
      </c>
      <c r="N1059" s="16"/>
      <c r="O1059" s="7"/>
      <c r="P1059" s="17"/>
    </row>
    <row r="1060" spans="1:16" ht="14.25" customHeight="1">
      <c r="A1060" s="5" t="s">
        <v>0</v>
      </c>
      <c r="B1060" s="5" t="str">
        <f t="shared" si="6"/>
        <v>Y</v>
      </c>
      <c r="C1060" s="18" t="s">
        <v>3206</v>
      </c>
      <c r="D1060" s="18"/>
      <c r="E1060" s="6" t="s">
        <v>3207</v>
      </c>
      <c r="F1060" s="19" t="s">
        <v>3208</v>
      </c>
      <c r="G1060" s="19" t="s">
        <v>3202</v>
      </c>
      <c r="H1060" s="20">
        <v>43748</v>
      </c>
      <c r="L1060" s="6">
        <v>9835469789</v>
      </c>
      <c r="N1060" s="16"/>
      <c r="O1060" s="7"/>
      <c r="P1060" s="17"/>
    </row>
    <row r="1061" spans="1:16" ht="14.25" customHeight="1">
      <c r="A1061" s="5" t="s">
        <v>0</v>
      </c>
      <c r="B1061" s="5" t="str">
        <f t="shared" si="6"/>
        <v>Y</v>
      </c>
      <c r="C1061" s="18" t="s">
        <v>3209</v>
      </c>
      <c r="D1061" s="18"/>
      <c r="E1061" s="6" t="s">
        <v>3210</v>
      </c>
      <c r="F1061" s="19" t="s">
        <v>3211</v>
      </c>
      <c r="G1061" s="19" t="s">
        <v>3212</v>
      </c>
      <c r="H1061" s="19" t="s">
        <v>3213</v>
      </c>
      <c r="L1061" s="6">
        <v>9608553320</v>
      </c>
      <c r="N1061" s="16"/>
      <c r="O1061" s="7"/>
      <c r="P1061" s="17"/>
    </row>
    <row r="1062" spans="1:16" ht="14.25" customHeight="1">
      <c r="A1062" s="5" t="s">
        <v>0</v>
      </c>
      <c r="B1062" s="5" t="str">
        <f t="shared" si="6"/>
        <v>Y</v>
      </c>
      <c r="C1062" s="18" t="s">
        <v>3214</v>
      </c>
      <c r="D1062" s="18"/>
      <c r="E1062" s="6" t="s">
        <v>3215</v>
      </c>
      <c r="F1062" s="19" t="s">
        <v>3216</v>
      </c>
      <c r="G1062" s="19" t="s">
        <v>3213</v>
      </c>
      <c r="H1062" s="20">
        <v>43751</v>
      </c>
      <c r="L1062" s="6">
        <v>9135936042</v>
      </c>
      <c r="N1062" s="16"/>
      <c r="O1062" s="7"/>
      <c r="P1062" s="17"/>
    </row>
    <row r="1063" spans="1:16" ht="14.25" customHeight="1">
      <c r="A1063" s="5" t="s">
        <v>0</v>
      </c>
      <c r="B1063" s="5" t="str">
        <f t="shared" si="6"/>
        <v>Y</v>
      </c>
      <c r="C1063" s="18" t="s">
        <v>3217</v>
      </c>
      <c r="D1063" s="18"/>
      <c r="E1063" s="6" t="s">
        <v>3218</v>
      </c>
      <c r="F1063" s="19" t="s">
        <v>3219</v>
      </c>
      <c r="G1063" s="19" t="s">
        <v>3212</v>
      </c>
      <c r="H1063" s="19" t="s">
        <v>3213</v>
      </c>
      <c r="L1063" s="6">
        <v>7766904897</v>
      </c>
      <c r="M1063" s="6" t="s">
        <v>1527</v>
      </c>
      <c r="N1063" s="16"/>
      <c r="O1063" s="7"/>
      <c r="P1063" s="17"/>
    </row>
    <row r="1064" spans="1:16" ht="14.25" customHeight="1">
      <c r="A1064" s="5" t="s">
        <v>0</v>
      </c>
      <c r="B1064" s="5" t="str">
        <f t="shared" si="6"/>
        <v>Y</v>
      </c>
      <c r="C1064" s="18" t="s">
        <v>3220</v>
      </c>
      <c r="D1064" s="18"/>
      <c r="E1064" s="6" t="s">
        <v>3221</v>
      </c>
      <c r="F1064" s="19" t="s">
        <v>3222</v>
      </c>
      <c r="G1064" s="19" t="s">
        <v>3213</v>
      </c>
      <c r="H1064" s="19" t="s">
        <v>3213</v>
      </c>
      <c r="L1064" s="6">
        <v>8935924667</v>
      </c>
      <c r="M1064" s="6" t="s">
        <v>1457</v>
      </c>
      <c r="N1064" s="16"/>
      <c r="O1064" s="7"/>
      <c r="P1064" s="17"/>
    </row>
    <row r="1065" spans="1:16" ht="14.25" customHeight="1">
      <c r="A1065" s="5" t="s">
        <v>0</v>
      </c>
      <c r="B1065" s="5" t="str">
        <f t="shared" si="6"/>
        <v>Y</v>
      </c>
      <c r="C1065" s="18" t="s">
        <v>3223</v>
      </c>
      <c r="D1065" s="18"/>
      <c r="E1065" s="6" t="s">
        <v>3224</v>
      </c>
      <c r="F1065" s="19" t="s">
        <v>3225</v>
      </c>
      <c r="G1065" s="19" t="s">
        <v>3213</v>
      </c>
      <c r="H1065" s="19" t="s">
        <v>3213</v>
      </c>
      <c r="N1065" s="16"/>
      <c r="O1065" s="7"/>
      <c r="P1065" s="17"/>
    </row>
    <row r="1066" spans="1:16" ht="14.25" customHeight="1">
      <c r="A1066" s="5" t="s">
        <v>0</v>
      </c>
      <c r="B1066" s="5" t="str">
        <f t="shared" si="6"/>
        <v>Y</v>
      </c>
      <c r="C1066" s="18" t="s">
        <v>3226</v>
      </c>
      <c r="D1066" s="18"/>
      <c r="E1066" s="6" t="s">
        <v>3227</v>
      </c>
      <c r="F1066" s="19" t="s">
        <v>3228</v>
      </c>
      <c r="G1066" s="19" t="s">
        <v>3229</v>
      </c>
      <c r="H1066" s="19" t="s">
        <v>3229</v>
      </c>
      <c r="L1066" s="6">
        <v>8434670641</v>
      </c>
      <c r="N1066" s="16"/>
      <c r="O1066" s="7"/>
      <c r="P1066" s="17"/>
    </row>
    <row r="1067" spans="1:16" ht="14.25" customHeight="1">
      <c r="A1067" s="5" t="s">
        <v>0</v>
      </c>
      <c r="B1067" s="5" t="str">
        <f t="shared" si="6"/>
        <v>Y</v>
      </c>
      <c r="C1067" s="18" t="s">
        <v>3230</v>
      </c>
      <c r="D1067" s="18"/>
      <c r="E1067" s="6" t="s">
        <v>3231</v>
      </c>
      <c r="F1067" s="19" t="s">
        <v>3232</v>
      </c>
      <c r="G1067" s="19" t="s">
        <v>3229</v>
      </c>
      <c r="H1067" s="19" t="s">
        <v>3233</v>
      </c>
      <c r="L1067" s="6">
        <v>9576501435</v>
      </c>
      <c r="N1067" s="16"/>
      <c r="O1067" s="7"/>
      <c r="P1067" s="17"/>
    </row>
    <row r="1068" spans="1:16" ht="14.25" customHeight="1">
      <c r="A1068" s="5" t="s">
        <v>0</v>
      </c>
      <c r="B1068" s="5" t="str">
        <f t="shared" si="6"/>
        <v>Y</v>
      </c>
      <c r="C1068" s="18" t="s">
        <v>3234</v>
      </c>
      <c r="D1068" s="18"/>
      <c r="E1068" s="6" t="s">
        <v>3235</v>
      </c>
      <c r="F1068" s="19" t="s">
        <v>3236</v>
      </c>
      <c r="G1068" s="19" t="s">
        <v>3233</v>
      </c>
      <c r="H1068" s="19" t="s">
        <v>3233</v>
      </c>
      <c r="L1068" s="6">
        <v>9973805319</v>
      </c>
      <c r="N1068" s="16"/>
      <c r="O1068" s="7"/>
      <c r="P1068" s="17"/>
    </row>
    <row r="1069" spans="1:16" ht="14.25" customHeight="1">
      <c r="A1069" s="5" t="s">
        <v>0</v>
      </c>
      <c r="B1069" s="5" t="str">
        <f t="shared" si="6"/>
        <v>Y</v>
      </c>
      <c r="C1069" s="18" t="s">
        <v>3237</v>
      </c>
      <c r="D1069" s="18"/>
      <c r="E1069" s="6" t="s">
        <v>3238</v>
      </c>
      <c r="F1069" s="19" t="s">
        <v>3239</v>
      </c>
      <c r="G1069" s="19" t="s">
        <v>3233</v>
      </c>
      <c r="H1069" s="19" t="s">
        <v>3233</v>
      </c>
      <c r="L1069" s="6">
        <v>8757933528</v>
      </c>
      <c r="N1069" s="16"/>
      <c r="O1069" s="7"/>
      <c r="P1069" s="17"/>
    </row>
    <row r="1070" spans="1:16" ht="14.25" customHeight="1">
      <c r="A1070" s="5" t="s">
        <v>0</v>
      </c>
      <c r="B1070" s="5" t="str">
        <f t="shared" si="6"/>
        <v>Y</v>
      </c>
      <c r="C1070" s="18" t="s">
        <v>3240</v>
      </c>
      <c r="D1070" s="18"/>
      <c r="E1070" s="6" t="s">
        <v>3241</v>
      </c>
      <c r="F1070" s="19" t="s">
        <v>3242</v>
      </c>
      <c r="G1070" s="19" t="s">
        <v>3233</v>
      </c>
      <c r="H1070" s="19" t="s">
        <v>3233</v>
      </c>
      <c r="L1070" s="6">
        <v>9304988427</v>
      </c>
      <c r="M1070" s="6">
        <v>542482609152</v>
      </c>
      <c r="N1070" s="16"/>
      <c r="O1070" s="7"/>
      <c r="P1070" s="17"/>
    </row>
    <row r="1071" spans="1:16" ht="14.25" customHeight="1">
      <c r="A1071" s="5" t="s">
        <v>0</v>
      </c>
      <c r="B1071" s="5" t="str">
        <f t="shared" si="6"/>
        <v>Y</v>
      </c>
      <c r="C1071" s="18" t="s">
        <v>3243</v>
      </c>
      <c r="D1071" s="18"/>
      <c r="E1071" s="6" t="s">
        <v>3244</v>
      </c>
      <c r="F1071" s="19" t="s">
        <v>3245</v>
      </c>
      <c r="G1071" s="19" t="s">
        <v>3233</v>
      </c>
      <c r="H1071" s="19" t="s">
        <v>3233</v>
      </c>
      <c r="L1071" s="6">
        <v>8235183855</v>
      </c>
      <c r="N1071" s="16"/>
      <c r="O1071" s="7"/>
      <c r="P1071" s="17"/>
    </row>
    <row r="1072" spans="1:16" ht="14.25" customHeight="1">
      <c r="A1072" s="5" t="s">
        <v>0</v>
      </c>
      <c r="B1072" s="5" t="str">
        <f t="shared" si="6"/>
        <v>Y</v>
      </c>
      <c r="C1072" s="18" t="s">
        <v>3246</v>
      </c>
      <c r="D1072" s="18"/>
      <c r="E1072" s="6" t="s">
        <v>3247</v>
      </c>
      <c r="F1072" s="19" t="s">
        <v>3054</v>
      </c>
      <c r="G1072" s="19" t="s">
        <v>3233</v>
      </c>
      <c r="H1072" s="19" t="s">
        <v>3233</v>
      </c>
      <c r="L1072" s="6">
        <v>9065746698</v>
      </c>
      <c r="N1072" s="16"/>
      <c r="O1072" s="7"/>
      <c r="P1072" s="17"/>
    </row>
    <row r="1073" spans="1:19" ht="14.25" customHeight="1">
      <c r="A1073" s="84" t="s">
        <v>0</v>
      </c>
      <c r="B1073" s="84" t="str">
        <f t="shared" si="6"/>
        <v>Y</v>
      </c>
      <c r="C1073" s="85" t="s">
        <v>3248</v>
      </c>
      <c r="D1073" s="85"/>
      <c r="E1073" s="11" t="s">
        <v>3249</v>
      </c>
      <c r="F1073" s="86" t="s">
        <v>2893</v>
      </c>
      <c r="G1073" s="86" t="s">
        <v>3233</v>
      </c>
      <c r="H1073" s="87">
        <v>43753</v>
      </c>
      <c r="I1073" s="11"/>
      <c r="J1073" s="11"/>
      <c r="K1073" s="11"/>
      <c r="L1073" s="11">
        <v>9031398477</v>
      </c>
      <c r="M1073" s="11"/>
      <c r="N1073" s="88"/>
      <c r="O1073" s="89"/>
      <c r="P1073" s="90"/>
      <c r="Q1073" s="11"/>
      <c r="R1073" s="11"/>
      <c r="S1073" s="11"/>
    </row>
    <row r="1074" spans="1:19" ht="14.25" customHeight="1">
      <c r="A1074" s="84" t="s">
        <v>0</v>
      </c>
      <c r="B1074" s="84" t="str">
        <f t="shared" si="6"/>
        <v>Y</v>
      </c>
      <c r="C1074" s="85" t="s">
        <v>3250</v>
      </c>
      <c r="D1074" s="85"/>
      <c r="E1074" s="11" t="s">
        <v>3251</v>
      </c>
      <c r="F1074" s="86" t="s">
        <v>3252</v>
      </c>
      <c r="G1074" s="86" t="s">
        <v>3253</v>
      </c>
      <c r="H1074" s="87">
        <v>43756</v>
      </c>
      <c r="I1074" s="11"/>
      <c r="J1074" s="11"/>
      <c r="K1074" s="11"/>
      <c r="L1074" s="11">
        <v>8987600904</v>
      </c>
      <c r="M1074" s="11"/>
      <c r="N1074" s="88"/>
      <c r="O1074" s="89"/>
      <c r="P1074" s="90"/>
      <c r="Q1074" s="11"/>
      <c r="R1074" s="11"/>
      <c r="S1074" s="11"/>
    </row>
    <row r="1075" spans="1:19" ht="14.25" customHeight="1">
      <c r="A1075" s="5" t="s">
        <v>0</v>
      </c>
      <c r="B1075" s="5" t="str">
        <f t="shared" si="6"/>
        <v>N</v>
      </c>
      <c r="C1075" s="18" t="s">
        <v>3254</v>
      </c>
      <c r="D1075" s="18"/>
      <c r="E1075" s="6" t="s">
        <v>3255</v>
      </c>
      <c r="F1075" s="19" t="s">
        <v>2891</v>
      </c>
      <c r="G1075" s="19" t="s">
        <v>3256</v>
      </c>
      <c r="H1075" s="5"/>
      <c r="L1075" s="6">
        <v>8227064913</v>
      </c>
      <c r="N1075" s="16"/>
      <c r="O1075" s="7"/>
      <c r="P1075" s="17"/>
    </row>
    <row r="1076" spans="1:19" ht="14.25" customHeight="1">
      <c r="A1076" s="5" t="s">
        <v>0</v>
      </c>
      <c r="B1076" s="5" t="str">
        <f t="shared" si="6"/>
        <v>Y</v>
      </c>
      <c r="C1076" s="18" t="s">
        <v>3257</v>
      </c>
      <c r="D1076" s="18"/>
      <c r="E1076" s="6" t="s">
        <v>3258</v>
      </c>
      <c r="F1076" s="19" t="s">
        <v>3259</v>
      </c>
      <c r="G1076" s="19" t="s">
        <v>3256</v>
      </c>
      <c r="H1076" s="20">
        <v>43756</v>
      </c>
      <c r="L1076" s="6">
        <v>8102093509</v>
      </c>
      <c r="N1076" s="16"/>
      <c r="O1076" s="7"/>
      <c r="P1076" s="17"/>
    </row>
    <row r="1077" spans="1:19" ht="14.25" customHeight="1">
      <c r="A1077" s="5" t="s">
        <v>0</v>
      </c>
      <c r="B1077" s="5" t="str">
        <f t="shared" si="6"/>
        <v>Y</v>
      </c>
      <c r="C1077" s="18" t="s">
        <v>3260</v>
      </c>
      <c r="D1077" s="18"/>
      <c r="E1077" s="6" t="s">
        <v>3261</v>
      </c>
      <c r="F1077" s="19" t="s">
        <v>3262</v>
      </c>
      <c r="G1077" s="19" t="s">
        <v>3256</v>
      </c>
      <c r="H1077" s="20">
        <v>43756</v>
      </c>
      <c r="L1077" s="6">
        <v>7488379639</v>
      </c>
      <c r="N1077" s="16"/>
      <c r="O1077" s="7"/>
      <c r="P1077" s="17"/>
    </row>
    <row r="1078" spans="1:19" ht="14.25" customHeight="1">
      <c r="A1078" s="5" t="s">
        <v>0</v>
      </c>
      <c r="B1078" s="5" t="str">
        <f>IF(G1099="","N","Y")</f>
        <v>Y</v>
      </c>
      <c r="C1078" s="18" t="s">
        <v>3263</v>
      </c>
      <c r="D1078" s="18"/>
      <c r="E1078" s="6" t="s">
        <v>3264</v>
      </c>
      <c r="F1078" s="19" t="s">
        <v>3265</v>
      </c>
      <c r="G1078" s="19" t="s">
        <v>3266</v>
      </c>
      <c r="H1078" s="20">
        <v>43758</v>
      </c>
      <c r="L1078" s="6">
        <v>8235564582</v>
      </c>
      <c r="N1078" s="16"/>
      <c r="O1078" s="7"/>
      <c r="P1078" s="17"/>
    </row>
    <row r="1079" spans="1:19" ht="14.25" customHeight="1">
      <c r="A1079" s="5" t="s">
        <v>0</v>
      </c>
      <c r="B1079" s="5" t="str">
        <f t="shared" ref="B1079:B1278" si="7">IF(H1079="","N","Y")</f>
        <v>Y</v>
      </c>
      <c r="C1079" s="18" t="s">
        <v>3267</v>
      </c>
      <c r="D1079" s="18"/>
      <c r="E1079" s="6" t="s">
        <v>3268</v>
      </c>
      <c r="F1079" s="19" t="s">
        <v>3142</v>
      </c>
      <c r="G1079" s="19" t="s">
        <v>3266</v>
      </c>
      <c r="H1079" s="20">
        <v>43758</v>
      </c>
      <c r="L1079" s="6">
        <v>9934188137</v>
      </c>
      <c r="N1079" s="16"/>
      <c r="O1079" s="7"/>
      <c r="P1079" s="17"/>
    </row>
    <row r="1080" spans="1:19" ht="14.25" customHeight="1">
      <c r="A1080" s="5" t="s">
        <v>0</v>
      </c>
      <c r="B1080" s="5" t="str">
        <f t="shared" si="7"/>
        <v>Y</v>
      </c>
      <c r="C1080" s="18" t="s">
        <v>3269</v>
      </c>
      <c r="D1080" s="18"/>
      <c r="E1080" s="6" t="s">
        <v>3270</v>
      </c>
      <c r="F1080" s="19" t="s">
        <v>3271</v>
      </c>
      <c r="G1080" s="19" t="s">
        <v>3272</v>
      </c>
      <c r="H1080" s="20">
        <v>43759</v>
      </c>
      <c r="K1080" s="6" t="s">
        <v>2692</v>
      </c>
      <c r="L1080" s="6">
        <v>7488812695</v>
      </c>
      <c r="N1080" s="16"/>
      <c r="O1080" s="7"/>
      <c r="P1080" s="17"/>
    </row>
    <row r="1081" spans="1:19" ht="14.25" customHeight="1">
      <c r="A1081" s="5" t="s">
        <v>0</v>
      </c>
      <c r="B1081" s="5" t="str">
        <f t="shared" si="7"/>
        <v>Y</v>
      </c>
      <c r="C1081" s="18" t="s">
        <v>3273</v>
      </c>
      <c r="D1081" s="18"/>
      <c r="E1081" s="6" t="s">
        <v>3274</v>
      </c>
      <c r="F1081" s="19" t="s">
        <v>3275</v>
      </c>
      <c r="G1081" s="19" t="s">
        <v>3272</v>
      </c>
      <c r="H1081" s="20">
        <v>43759</v>
      </c>
      <c r="N1081" s="16"/>
      <c r="O1081" s="7"/>
      <c r="P1081" s="17"/>
    </row>
    <row r="1082" spans="1:19" ht="14.25" customHeight="1">
      <c r="A1082" s="84" t="s">
        <v>0</v>
      </c>
      <c r="B1082" s="84" t="str">
        <f t="shared" si="7"/>
        <v>Y</v>
      </c>
      <c r="C1082" s="85" t="s">
        <v>3276</v>
      </c>
      <c r="D1082" s="85"/>
      <c r="E1082" s="11" t="s">
        <v>3277</v>
      </c>
      <c r="F1082" s="86" t="s">
        <v>3278</v>
      </c>
      <c r="G1082" s="86" t="s">
        <v>3272</v>
      </c>
      <c r="H1082" s="87">
        <v>43759</v>
      </c>
      <c r="I1082" s="11"/>
      <c r="J1082" s="11"/>
      <c r="K1082" s="11"/>
      <c r="L1082" s="11">
        <v>8825265056</v>
      </c>
      <c r="M1082" s="11"/>
      <c r="N1082" s="88"/>
      <c r="O1082" s="89"/>
      <c r="P1082" s="90"/>
      <c r="Q1082" s="11"/>
      <c r="R1082" s="11"/>
      <c r="S1082" s="11"/>
    </row>
    <row r="1083" spans="1:19" ht="14.25" customHeight="1">
      <c r="A1083" s="5" t="s">
        <v>0</v>
      </c>
      <c r="B1083" s="5" t="str">
        <f t="shared" si="7"/>
        <v>Y</v>
      </c>
      <c r="C1083" s="18" t="s">
        <v>3279</v>
      </c>
      <c r="D1083" s="18"/>
      <c r="E1083" s="6" t="s">
        <v>3280</v>
      </c>
      <c r="F1083" s="19" t="s">
        <v>3281</v>
      </c>
      <c r="G1083" s="19" t="s">
        <v>3282</v>
      </c>
      <c r="H1083" s="20">
        <v>43760</v>
      </c>
      <c r="L1083" s="6">
        <v>7319808833</v>
      </c>
      <c r="N1083" s="16"/>
      <c r="O1083" s="7"/>
      <c r="P1083" s="17"/>
    </row>
    <row r="1084" spans="1:19" ht="14.25" customHeight="1">
      <c r="A1084" s="84" t="s">
        <v>0</v>
      </c>
      <c r="B1084" s="84" t="str">
        <f t="shared" si="7"/>
        <v>Y</v>
      </c>
      <c r="C1084" s="85" t="s">
        <v>3283</v>
      </c>
      <c r="D1084" s="85"/>
      <c r="E1084" s="11" t="s">
        <v>3284</v>
      </c>
      <c r="F1084" s="86" t="s">
        <v>3194</v>
      </c>
      <c r="G1084" s="86" t="s">
        <v>3282</v>
      </c>
      <c r="H1084" s="87">
        <v>43760</v>
      </c>
      <c r="I1084" s="11"/>
      <c r="J1084" s="11"/>
      <c r="K1084" s="11"/>
      <c r="L1084" s="11">
        <v>8986815960</v>
      </c>
      <c r="M1084" s="11"/>
      <c r="N1084" s="88"/>
      <c r="O1084" s="89"/>
      <c r="P1084" s="90"/>
      <c r="Q1084" s="11"/>
      <c r="R1084" s="11"/>
      <c r="S1084" s="11"/>
    </row>
    <row r="1085" spans="1:19" ht="14.25" customHeight="1">
      <c r="A1085" s="5" t="s">
        <v>0</v>
      </c>
      <c r="B1085" s="5" t="str">
        <f t="shared" si="7"/>
        <v>Y</v>
      </c>
      <c r="C1085" s="18" t="s">
        <v>3285</v>
      </c>
      <c r="D1085" s="18"/>
      <c r="E1085" s="6" t="s">
        <v>1847</v>
      </c>
      <c r="F1085" s="19" t="s">
        <v>3286</v>
      </c>
      <c r="G1085" s="19" t="s">
        <v>3282</v>
      </c>
      <c r="H1085" s="20">
        <v>43761</v>
      </c>
      <c r="L1085" s="6">
        <v>9122767709</v>
      </c>
      <c r="N1085" s="16"/>
      <c r="O1085" s="7"/>
      <c r="P1085" s="17"/>
    </row>
    <row r="1086" spans="1:19" ht="14.25" customHeight="1">
      <c r="A1086" s="84" t="s">
        <v>0</v>
      </c>
      <c r="B1086" s="84" t="str">
        <f t="shared" si="7"/>
        <v>Y</v>
      </c>
      <c r="C1086" s="85" t="s">
        <v>3287</v>
      </c>
      <c r="D1086" s="85"/>
      <c r="E1086" s="11" t="s">
        <v>3288</v>
      </c>
      <c r="F1086" s="86" t="s">
        <v>3289</v>
      </c>
      <c r="G1086" s="86" t="s">
        <v>3290</v>
      </c>
      <c r="H1086" s="107" t="s">
        <v>3290</v>
      </c>
      <c r="I1086" s="11"/>
      <c r="J1086" s="11"/>
      <c r="K1086" s="11"/>
      <c r="L1086" s="11">
        <v>6299903608</v>
      </c>
      <c r="M1086" s="11"/>
      <c r="N1086" s="88"/>
      <c r="O1086" s="89"/>
      <c r="P1086" s="90"/>
      <c r="Q1086" s="11"/>
      <c r="R1086" s="11"/>
      <c r="S1086" s="11"/>
    </row>
    <row r="1087" spans="1:19" ht="14.25" customHeight="1">
      <c r="A1087" s="84" t="s">
        <v>0</v>
      </c>
      <c r="B1087" s="84" t="str">
        <f t="shared" si="7"/>
        <v>Y</v>
      </c>
      <c r="C1087" s="85" t="s">
        <v>3291</v>
      </c>
      <c r="D1087" s="85"/>
      <c r="E1087" s="11" t="s">
        <v>3292</v>
      </c>
      <c r="F1087" s="86" t="s">
        <v>3293</v>
      </c>
      <c r="G1087" s="86" t="s">
        <v>3294</v>
      </c>
      <c r="H1087" s="107" t="s">
        <v>3294</v>
      </c>
      <c r="I1087" s="11"/>
      <c r="J1087" s="11"/>
      <c r="K1087" s="11"/>
      <c r="L1087" s="108">
        <v>6204212664</v>
      </c>
      <c r="M1087" s="11"/>
      <c r="N1087" s="88"/>
      <c r="O1087" s="89"/>
      <c r="P1087" s="90"/>
      <c r="Q1087" s="11"/>
      <c r="R1087" s="11"/>
      <c r="S1087" s="11"/>
    </row>
    <row r="1088" spans="1:19" ht="14.25" customHeight="1">
      <c r="A1088" s="5" t="s">
        <v>0</v>
      </c>
      <c r="B1088" s="5" t="str">
        <f t="shared" si="7"/>
        <v>Y</v>
      </c>
      <c r="C1088" s="18" t="s">
        <v>3295</v>
      </c>
      <c r="D1088" s="18"/>
      <c r="E1088" s="6" t="s">
        <v>3296</v>
      </c>
      <c r="F1088" s="19" t="s">
        <v>3297</v>
      </c>
      <c r="G1088" s="19" t="s">
        <v>3298</v>
      </c>
      <c r="H1088" s="109">
        <v>43767</v>
      </c>
      <c r="L1088" s="6">
        <v>9546014063</v>
      </c>
      <c r="N1088" s="16"/>
      <c r="O1088" s="7"/>
      <c r="P1088" s="17"/>
    </row>
    <row r="1089" spans="1:16" ht="14.25" customHeight="1">
      <c r="A1089" s="5" t="s">
        <v>0</v>
      </c>
      <c r="B1089" s="5" t="str">
        <f t="shared" si="7"/>
        <v>Y</v>
      </c>
      <c r="C1089" s="18" t="s">
        <v>3299</v>
      </c>
      <c r="D1089" s="18"/>
      <c r="E1089" s="6" t="s">
        <v>3300</v>
      </c>
      <c r="F1089" s="19" t="s">
        <v>3216</v>
      </c>
      <c r="G1089" s="19" t="s">
        <v>3301</v>
      </c>
      <c r="H1089" s="109">
        <v>43768</v>
      </c>
      <c r="L1089" s="6">
        <v>7250673361</v>
      </c>
      <c r="N1089" s="16"/>
      <c r="O1089" s="7"/>
      <c r="P1089" s="17"/>
    </row>
    <row r="1090" spans="1:16" ht="14.25" customHeight="1">
      <c r="A1090" s="5" t="s">
        <v>0</v>
      </c>
      <c r="B1090" s="5" t="str">
        <f t="shared" si="7"/>
        <v>Y</v>
      </c>
      <c r="C1090" s="18" t="s">
        <v>3302</v>
      </c>
      <c r="D1090" s="18"/>
      <c r="E1090" s="6" t="s">
        <v>3303</v>
      </c>
      <c r="F1090" s="19" t="s">
        <v>3304</v>
      </c>
      <c r="G1090" s="19" t="s">
        <v>3305</v>
      </c>
      <c r="H1090" s="109">
        <v>43769</v>
      </c>
      <c r="L1090" s="6">
        <v>9661646391</v>
      </c>
      <c r="N1090" s="16"/>
      <c r="O1090" s="7"/>
      <c r="P1090" s="17"/>
    </row>
    <row r="1091" spans="1:16" ht="14.25" customHeight="1">
      <c r="A1091" s="5" t="s">
        <v>0</v>
      </c>
      <c r="B1091" s="5" t="str">
        <f t="shared" si="7"/>
        <v>Y</v>
      </c>
      <c r="C1091" s="18" t="s">
        <v>3306</v>
      </c>
      <c r="D1091" s="18"/>
      <c r="E1091" s="6" t="s">
        <v>1970</v>
      </c>
      <c r="F1091" s="19" t="s">
        <v>3307</v>
      </c>
      <c r="G1091" s="19" t="s">
        <v>3305</v>
      </c>
      <c r="H1091" s="109">
        <v>43769</v>
      </c>
      <c r="L1091" s="6">
        <v>7808584363</v>
      </c>
      <c r="N1091" s="16"/>
      <c r="O1091" s="7"/>
      <c r="P1091" s="17"/>
    </row>
    <row r="1092" spans="1:16" ht="14.25" customHeight="1">
      <c r="A1092" s="5" t="s">
        <v>0</v>
      </c>
      <c r="B1092" s="5" t="str">
        <f t="shared" si="7"/>
        <v>Y</v>
      </c>
      <c r="C1092" s="18" t="s">
        <v>3308</v>
      </c>
      <c r="D1092" s="18"/>
      <c r="E1092" s="6" t="s">
        <v>3309</v>
      </c>
      <c r="F1092" s="19" t="s">
        <v>3310</v>
      </c>
      <c r="G1092" s="19" t="s">
        <v>3311</v>
      </c>
      <c r="H1092" s="109">
        <v>43770</v>
      </c>
      <c r="L1092" s="6">
        <v>9279922631</v>
      </c>
      <c r="N1092" s="16"/>
      <c r="O1092" s="7"/>
      <c r="P1092" s="17"/>
    </row>
    <row r="1093" spans="1:16" ht="14.25" customHeight="1">
      <c r="A1093" s="5" t="s">
        <v>0</v>
      </c>
      <c r="B1093" s="5" t="str">
        <f t="shared" si="7"/>
        <v>Y</v>
      </c>
      <c r="C1093" s="18" t="s">
        <v>3312</v>
      </c>
      <c r="D1093" s="18"/>
      <c r="E1093" s="6" t="s">
        <v>3313</v>
      </c>
      <c r="F1093" s="19" t="s">
        <v>3314</v>
      </c>
      <c r="G1093" s="19" t="s">
        <v>3311</v>
      </c>
      <c r="H1093" s="109">
        <v>43770</v>
      </c>
      <c r="L1093" s="6">
        <v>8271859743</v>
      </c>
      <c r="N1093" s="16"/>
      <c r="O1093" s="7"/>
      <c r="P1093" s="17"/>
    </row>
    <row r="1094" spans="1:16" ht="14.25" customHeight="1">
      <c r="A1094" s="5" t="s">
        <v>0</v>
      </c>
      <c r="B1094" s="5" t="str">
        <f t="shared" si="7"/>
        <v>Y</v>
      </c>
      <c r="C1094" s="18" t="s">
        <v>3315</v>
      </c>
      <c r="D1094" s="18"/>
      <c r="E1094" s="6" t="s">
        <v>3316</v>
      </c>
      <c r="F1094" s="19" t="s">
        <v>3317</v>
      </c>
      <c r="G1094" s="19" t="s">
        <v>3318</v>
      </c>
      <c r="H1094" s="109">
        <v>43783</v>
      </c>
      <c r="L1094" s="6">
        <v>8797414857</v>
      </c>
      <c r="N1094" s="16"/>
      <c r="O1094" s="7"/>
      <c r="P1094" s="17"/>
    </row>
    <row r="1095" spans="1:16" ht="14.25" customHeight="1">
      <c r="A1095" s="5" t="s">
        <v>0</v>
      </c>
      <c r="B1095" s="5" t="str">
        <f t="shared" si="7"/>
        <v>Y</v>
      </c>
      <c r="C1095" s="18" t="s">
        <v>3319</v>
      </c>
      <c r="D1095" s="18"/>
      <c r="E1095" s="6" t="s">
        <v>3320</v>
      </c>
      <c r="F1095" s="19" t="s">
        <v>3321</v>
      </c>
      <c r="G1095" s="19" t="s">
        <v>3322</v>
      </c>
      <c r="H1095" s="109">
        <v>43773</v>
      </c>
      <c r="L1095" s="6">
        <v>8863097495</v>
      </c>
      <c r="N1095" s="16"/>
      <c r="O1095" s="7"/>
      <c r="P1095" s="17"/>
    </row>
    <row r="1096" spans="1:16" ht="14.25" customHeight="1">
      <c r="A1096" s="5" t="s">
        <v>0</v>
      </c>
      <c r="B1096" s="5" t="str">
        <f t="shared" si="7"/>
        <v>Y</v>
      </c>
      <c r="C1096" s="110" t="s">
        <v>3323</v>
      </c>
      <c r="D1096" s="110"/>
      <c r="E1096" s="6" t="s">
        <v>3324</v>
      </c>
      <c r="F1096" s="19" t="s">
        <v>3325</v>
      </c>
      <c r="G1096" s="19" t="s">
        <v>3322</v>
      </c>
      <c r="H1096" s="109">
        <v>43773</v>
      </c>
      <c r="L1096" s="6">
        <v>8235242283</v>
      </c>
      <c r="N1096" s="16"/>
      <c r="O1096" s="7"/>
      <c r="P1096" s="17"/>
    </row>
    <row r="1097" spans="1:16" ht="14.25" customHeight="1">
      <c r="A1097" s="5" t="s">
        <v>0</v>
      </c>
      <c r="B1097" s="5" t="str">
        <f t="shared" si="7"/>
        <v>Y</v>
      </c>
      <c r="C1097" s="18" t="s">
        <v>3326</v>
      </c>
      <c r="D1097" s="18"/>
      <c r="E1097" s="6" t="s">
        <v>3327</v>
      </c>
      <c r="F1097" s="19" t="s">
        <v>3328</v>
      </c>
      <c r="G1097" s="19" t="s">
        <v>3329</v>
      </c>
      <c r="H1097" s="109">
        <v>43774</v>
      </c>
      <c r="L1097" s="6">
        <v>8092402403</v>
      </c>
      <c r="N1097" s="16"/>
      <c r="O1097" s="7"/>
      <c r="P1097" s="17"/>
    </row>
    <row r="1098" spans="1:16" ht="14.25" customHeight="1">
      <c r="A1098" s="5" t="s">
        <v>0</v>
      </c>
      <c r="B1098" s="5" t="str">
        <f t="shared" si="7"/>
        <v>Y</v>
      </c>
      <c r="C1098" s="18"/>
      <c r="D1098" s="18"/>
      <c r="E1098" s="6" t="s">
        <v>3330</v>
      </c>
      <c r="F1098" s="19" t="s">
        <v>3331</v>
      </c>
      <c r="G1098" s="111" t="s">
        <v>3332</v>
      </c>
      <c r="H1098" s="112">
        <v>43775</v>
      </c>
      <c r="L1098" s="6">
        <v>9263294720</v>
      </c>
      <c r="N1098" s="16"/>
      <c r="O1098" s="7"/>
      <c r="P1098" s="17"/>
    </row>
    <row r="1099" spans="1:16" ht="14.25" customHeight="1">
      <c r="A1099" s="5" t="s">
        <v>0</v>
      </c>
      <c r="B1099" s="5" t="str">
        <f t="shared" si="7"/>
        <v>Y</v>
      </c>
      <c r="C1099" s="18" t="s">
        <v>3333</v>
      </c>
      <c r="D1099" s="18"/>
      <c r="E1099" s="6" t="s">
        <v>3334</v>
      </c>
      <c r="F1099" s="19" t="s">
        <v>3335</v>
      </c>
      <c r="G1099" s="111" t="s">
        <v>3336</v>
      </c>
      <c r="H1099" s="112">
        <v>43776</v>
      </c>
      <c r="L1099" s="6">
        <v>6203283540</v>
      </c>
      <c r="N1099" s="16"/>
      <c r="O1099" s="7"/>
      <c r="P1099" s="17"/>
    </row>
    <row r="1100" spans="1:16" ht="14.25" customHeight="1">
      <c r="A1100" s="5" t="s">
        <v>0</v>
      </c>
      <c r="B1100" s="5" t="str">
        <f t="shared" si="7"/>
        <v>Y</v>
      </c>
      <c r="C1100" s="18" t="s">
        <v>3337</v>
      </c>
      <c r="D1100" s="18"/>
      <c r="E1100" s="6" t="s">
        <v>3338</v>
      </c>
      <c r="F1100" s="19" t="s">
        <v>3339</v>
      </c>
      <c r="G1100" s="111" t="s">
        <v>3336</v>
      </c>
      <c r="H1100" s="112">
        <v>43776</v>
      </c>
      <c r="L1100" s="6">
        <v>9304296878</v>
      </c>
      <c r="N1100" s="16"/>
      <c r="O1100" s="7"/>
      <c r="P1100" s="17"/>
    </row>
    <row r="1101" spans="1:16" ht="14.25" customHeight="1">
      <c r="A1101" s="5" t="s">
        <v>0</v>
      </c>
      <c r="B1101" s="5" t="str">
        <f t="shared" si="7"/>
        <v>Y</v>
      </c>
      <c r="C1101" s="18" t="s">
        <v>3340</v>
      </c>
      <c r="D1101" s="18"/>
      <c r="E1101" s="6" t="s">
        <v>3341</v>
      </c>
      <c r="F1101" s="19" t="s">
        <v>2428</v>
      </c>
      <c r="G1101" s="111" t="s">
        <v>3336</v>
      </c>
      <c r="H1101" s="112">
        <v>43776</v>
      </c>
      <c r="L1101" s="6">
        <v>8797944739</v>
      </c>
      <c r="N1101" s="16"/>
      <c r="O1101" s="7"/>
      <c r="P1101" s="17"/>
    </row>
    <row r="1102" spans="1:16" ht="14.25" customHeight="1">
      <c r="A1102" s="5" t="s">
        <v>0</v>
      </c>
      <c r="B1102" s="5" t="str">
        <f t="shared" si="7"/>
        <v>Y</v>
      </c>
      <c r="C1102" s="18" t="s">
        <v>3342</v>
      </c>
      <c r="D1102" s="18"/>
      <c r="E1102" s="6" t="s">
        <v>3343</v>
      </c>
      <c r="F1102" s="19" t="s">
        <v>3344</v>
      </c>
      <c r="G1102" s="111" t="s">
        <v>3345</v>
      </c>
      <c r="H1102" s="111" t="s">
        <v>3346</v>
      </c>
      <c r="L1102" s="6">
        <v>9570198626</v>
      </c>
      <c r="N1102" s="16"/>
      <c r="O1102" s="7"/>
      <c r="P1102" s="17"/>
    </row>
    <row r="1103" spans="1:16" ht="14.25" customHeight="1">
      <c r="A1103" s="5" t="s">
        <v>0</v>
      </c>
      <c r="B1103" s="5" t="str">
        <f t="shared" si="7"/>
        <v>Y</v>
      </c>
      <c r="C1103" s="18" t="s">
        <v>3347</v>
      </c>
      <c r="D1103" s="18"/>
      <c r="E1103" s="6" t="s">
        <v>3348</v>
      </c>
      <c r="F1103" s="19" t="s">
        <v>3349</v>
      </c>
      <c r="G1103" s="111" t="s">
        <v>3350</v>
      </c>
      <c r="H1103" s="112" t="s">
        <v>3350</v>
      </c>
      <c r="L1103" s="6">
        <v>7488814477</v>
      </c>
      <c r="N1103" s="16"/>
      <c r="O1103" s="7"/>
      <c r="P1103" s="17"/>
    </row>
    <row r="1104" spans="1:16" ht="14.25" customHeight="1">
      <c r="A1104" s="5" t="s">
        <v>0</v>
      </c>
      <c r="B1104" s="5" t="str">
        <f t="shared" si="7"/>
        <v>Y</v>
      </c>
      <c r="C1104" s="18" t="s">
        <v>3351</v>
      </c>
      <c r="D1104" s="18"/>
      <c r="E1104" s="6" t="s">
        <v>3352</v>
      </c>
      <c r="F1104" s="19" t="s">
        <v>3353</v>
      </c>
      <c r="G1104" s="111" t="s">
        <v>3350</v>
      </c>
      <c r="H1104" s="112" t="s">
        <v>3350</v>
      </c>
      <c r="L1104" s="6">
        <v>9060207414</v>
      </c>
      <c r="N1104" s="16"/>
      <c r="O1104" s="7"/>
      <c r="P1104" s="17"/>
    </row>
    <row r="1105" spans="1:19" ht="14.25" customHeight="1">
      <c r="A1105" s="5" t="s">
        <v>0</v>
      </c>
      <c r="B1105" s="5" t="str">
        <f t="shared" si="7"/>
        <v>Y</v>
      </c>
      <c r="C1105" s="18" t="s">
        <v>3354</v>
      </c>
      <c r="D1105" s="18"/>
      <c r="E1105" s="6" t="s">
        <v>1579</v>
      </c>
      <c r="F1105" s="19" t="s">
        <v>2583</v>
      </c>
      <c r="G1105" s="111" t="s">
        <v>3350</v>
      </c>
      <c r="H1105" s="112">
        <v>43784</v>
      </c>
      <c r="L1105" s="6">
        <v>9431997140</v>
      </c>
      <c r="N1105" s="16"/>
      <c r="O1105" s="7"/>
      <c r="P1105" s="17"/>
    </row>
    <row r="1106" spans="1:19" ht="14.25" customHeight="1">
      <c r="A1106" s="5" t="s">
        <v>0</v>
      </c>
      <c r="B1106" s="5" t="str">
        <f t="shared" si="7"/>
        <v>Y</v>
      </c>
      <c r="C1106" s="18" t="s">
        <v>3355</v>
      </c>
      <c r="D1106" s="18"/>
      <c r="E1106" s="113" t="s">
        <v>3356</v>
      </c>
      <c r="F1106" s="19" t="s">
        <v>3357</v>
      </c>
      <c r="G1106" s="111" t="s">
        <v>3358</v>
      </c>
      <c r="H1106" s="111" t="s">
        <v>3358</v>
      </c>
      <c r="L1106" s="6">
        <v>7808199990</v>
      </c>
      <c r="N1106" s="16"/>
      <c r="O1106" s="7"/>
      <c r="P1106" s="17"/>
    </row>
    <row r="1107" spans="1:19" ht="14.25" customHeight="1">
      <c r="A1107" s="5" t="s">
        <v>0</v>
      </c>
      <c r="B1107" s="5" t="str">
        <f t="shared" si="7"/>
        <v>Y</v>
      </c>
      <c r="C1107" s="18" t="s">
        <v>3359</v>
      </c>
      <c r="D1107" s="18"/>
      <c r="E1107" s="96" t="s">
        <v>3360</v>
      </c>
      <c r="F1107" s="19" t="s">
        <v>3361</v>
      </c>
      <c r="G1107" s="111" t="s">
        <v>3346</v>
      </c>
      <c r="H1107" s="111" t="s">
        <v>3346</v>
      </c>
      <c r="L1107" s="6">
        <v>7488355892</v>
      </c>
      <c r="N1107" s="16"/>
      <c r="O1107" s="7"/>
      <c r="P1107" s="17"/>
    </row>
    <row r="1108" spans="1:19" ht="14.25" customHeight="1">
      <c r="A1108" s="5" t="s">
        <v>0</v>
      </c>
      <c r="B1108" s="5" t="str">
        <f t="shared" si="7"/>
        <v>Y</v>
      </c>
      <c r="C1108" s="18" t="s">
        <v>3362</v>
      </c>
      <c r="D1108" s="18"/>
      <c r="E1108" s="96" t="s">
        <v>3363</v>
      </c>
      <c r="F1108" s="19" t="s">
        <v>3364</v>
      </c>
      <c r="G1108" s="111" t="s">
        <v>3365</v>
      </c>
      <c r="H1108" s="111" t="s">
        <v>3365</v>
      </c>
      <c r="L1108" s="6">
        <v>9798722477</v>
      </c>
      <c r="N1108" s="16"/>
      <c r="O1108" s="7"/>
      <c r="P1108" s="17"/>
    </row>
    <row r="1109" spans="1:19" ht="14.25" customHeight="1">
      <c r="A1109" s="5" t="s">
        <v>0</v>
      </c>
      <c r="B1109" s="5" t="str">
        <f t="shared" si="7"/>
        <v>Y</v>
      </c>
      <c r="C1109" s="18" t="s">
        <v>3366</v>
      </c>
      <c r="D1109" s="18"/>
      <c r="E1109" s="6" t="s">
        <v>3367</v>
      </c>
      <c r="F1109" s="19" t="s">
        <v>3368</v>
      </c>
      <c r="G1109" s="111" t="s">
        <v>3369</v>
      </c>
      <c r="H1109" s="111" t="s">
        <v>3369</v>
      </c>
      <c r="L1109" s="6">
        <v>9162567438</v>
      </c>
      <c r="M1109" s="6" t="s">
        <v>3370</v>
      </c>
      <c r="N1109" s="16"/>
      <c r="O1109" s="7"/>
      <c r="P1109" s="17"/>
    </row>
    <row r="1110" spans="1:19" ht="14.25" customHeight="1">
      <c r="A1110" s="5" t="s">
        <v>0</v>
      </c>
      <c r="B1110" s="5" t="str">
        <f t="shared" si="7"/>
        <v>Y</v>
      </c>
      <c r="C1110" s="18" t="s">
        <v>3371</v>
      </c>
      <c r="D1110" s="18"/>
      <c r="E1110" s="6" t="s">
        <v>3372</v>
      </c>
      <c r="F1110" s="19" t="s">
        <v>3373</v>
      </c>
      <c r="G1110" s="111" t="s">
        <v>3369</v>
      </c>
      <c r="H1110" s="111" t="s">
        <v>3369</v>
      </c>
      <c r="L1110" s="6">
        <v>8434104971</v>
      </c>
      <c r="N1110" s="16"/>
      <c r="O1110" s="7"/>
      <c r="P1110" s="17"/>
    </row>
    <row r="1111" spans="1:19" ht="14.25" customHeight="1">
      <c r="A1111" s="5" t="s">
        <v>0</v>
      </c>
      <c r="B1111" s="5" t="str">
        <f t="shared" si="7"/>
        <v>Y</v>
      </c>
      <c r="C1111" s="18" t="s">
        <v>3374</v>
      </c>
      <c r="D1111" s="18"/>
      <c r="E1111" s="6" t="s">
        <v>3375</v>
      </c>
      <c r="F1111" s="19" t="s">
        <v>3376</v>
      </c>
      <c r="G1111" s="111" t="s">
        <v>3369</v>
      </c>
      <c r="H1111" s="111" t="s">
        <v>3369</v>
      </c>
      <c r="L1111" s="6">
        <v>7209105356</v>
      </c>
      <c r="N1111" s="16"/>
      <c r="O1111" s="7"/>
      <c r="P1111" s="17"/>
    </row>
    <row r="1112" spans="1:19" ht="14.25" customHeight="1">
      <c r="A1112" s="5" t="s">
        <v>0</v>
      </c>
      <c r="B1112" s="5" t="str">
        <f t="shared" si="7"/>
        <v>Y</v>
      </c>
      <c r="C1112" s="18" t="s">
        <v>3377</v>
      </c>
      <c r="D1112" s="18"/>
      <c r="E1112" s="6" t="s">
        <v>3378</v>
      </c>
      <c r="F1112" s="19" t="s">
        <v>3379</v>
      </c>
      <c r="G1112" s="111" t="s">
        <v>3380</v>
      </c>
      <c r="H1112" s="112">
        <v>43789</v>
      </c>
      <c r="L1112" s="6">
        <v>7209707520</v>
      </c>
      <c r="N1112" s="16"/>
      <c r="O1112" s="7"/>
      <c r="P1112" s="17"/>
    </row>
    <row r="1113" spans="1:19" ht="14.25" customHeight="1">
      <c r="A1113" s="5" t="s">
        <v>0</v>
      </c>
      <c r="B1113" s="5" t="str">
        <f t="shared" si="7"/>
        <v>Y</v>
      </c>
      <c r="C1113" s="18" t="s">
        <v>3381</v>
      </c>
      <c r="D1113" s="18"/>
      <c r="E1113" s="6" t="s">
        <v>3382</v>
      </c>
      <c r="F1113" s="19" t="s">
        <v>3383</v>
      </c>
      <c r="G1113" s="111" t="s">
        <v>3384</v>
      </c>
      <c r="H1113" s="112">
        <v>43789</v>
      </c>
      <c r="L1113" s="6">
        <v>8235662762</v>
      </c>
      <c r="N1113" s="16"/>
      <c r="O1113" s="7"/>
      <c r="P1113" s="17"/>
    </row>
    <row r="1114" spans="1:19" ht="14.25" customHeight="1">
      <c r="A1114" s="5" t="s">
        <v>0</v>
      </c>
      <c r="B1114" s="5" t="str">
        <f t="shared" si="7"/>
        <v>Y</v>
      </c>
      <c r="C1114" s="18" t="s">
        <v>3385</v>
      </c>
      <c r="D1114" s="18"/>
      <c r="E1114" s="6" t="s">
        <v>3386</v>
      </c>
      <c r="F1114" s="19" t="s">
        <v>3387</v>
      </c>
      <c r="G1114" s="111" t="s">
        <v>3388</v>
      </c>
      <c r="H1114" s="111" t="s">
        <v>3388</v>
      </c>
      <c r="L1114" s="6">
        <v>8969479009</v>
      </c>
      <c r="N1114" s="16"/>
      <c r="O1114" s="7"/>
      <c r="P1114" s="17"/>
    </row>
    <row r="1115" spans="1:19" ht="14.25" customHeight="1">
      <c r="A1115" s="84" t="s">
        <v>0</v>
      </c>
      <c r="B1115" s="84" t="str">
        <f t="shared" si="7"/>
        <v>Y</v>
      </c>
      <c r="C1115" s="85" t="s">
        <v>3389</v>
      </c>
      <c r="D1115" s="85"/>
      <c r="E1115" s="114" t="s">
        <v>3390</v>
      </c>
      <c r="F1115" s="86" t="s">
        <v>3391</v>
      </c>
      <c r="G1115" s="115" t="s">
        <v>3392</v>
      </c>
      <c r="H1115" s="115" t="s">
        <v>3392</v>
      </c>
      <c r="I1115" s="11"/>
      <c r="J1115" s="11"/>
      <c r="K1115" s="11"/>
      <c r="L1115" s="11">
        <v>9204393365</v>
      </c>
      <c r="M1115" s="11"/>
      <c r="N1115" s="88"/>
      <c r="O1115" s="89"/>
      <c r="P1115" s="90"/>
      <c r="Q1115" s="11"/>
      <c r="R1115" s="11"/>
      <c r="S1115" s="11"/>
    </row>
    <row r="1116" spans="1:19" ht="14.25" customHeight="1">
      <c r="A1116" s="5" t="s">
        <v>0</v>
      </c>
      <c r="B1116" s="5" t="str">
        <f t="shared" si="7"/>
        <v>Y</v>
      </c>
      <c r="C1116" s="18" t="s">
        <v>3393</v>
      </c>
      <c r="D1116" s="18"/>
      <c r="E1116" s="6" t="s">
        <v>3394</v>
      </c>
      <c r="F1116" s="19" t="s">
        <v>3395</v>
      </c>
      <c r="G1116" s="111" t="s">
        <v>3392</v>
      </c>
      <c r="H1116" s="112">
        <v>43795</v>
      </c>
      <c r="L1116" s="6">
        <v>9631063335</v>
      </c>
      <c r="N1116" s="16"/>
      <c r="O1116" s="7"/>
      <c r="P1116" s="17"/>
    </row>
    <row r="1117" spans="1:19" ht="14.25" customHeight="1">
      <c r="A1117" s="5" t="s">
        <v>0</v>
      </c>
      <c r="B1117" s="5" t="str">
        <f t="shared" si="7"/>
        <v>Y</v>
      </c>
      <c r="C1117" s="18" t="s">
        <v>3396</v>
      </c>
      <c r="D1117" s="18"/>
      <c r="E1117" s="6" t="s">
        <v>3397</v>
      </c>
      <c r="F1117" s="19" t="s">
        <v>2500</v>
      </c>
      <c r="G1117" s="111" t="s">
        <v>3392</v>
      </c>
      <c r="H1117" s="112">
        <v>43795</v>
      </c>
      <c r="L1117" s="6">
        <v>6201834819</v>
      </c>
      <c r="N1117" s="16"/>
      <c r="O1117" s="7"/>
      <c r="P1117" s="17"/>
    </row>
    <row r="1118" spans="1:19" ht="14.25" customHeight="1">
      <c r="A1118" s="5" t="s">
        <v>0</v>
      </c>
      <c r="B1118" s="5" t="str">
        <f t="shared" si="7"/>
        <v>Y</v>
      </c>
      <c r="C1118" s="18" t="s">
        <v>3398</v>
      </c>
      <c r="D1118" s="18"/>
      <c r="E1118" s="6" t="s">
        <v>1877</v>
      </c>
      <c r="F1118" s="19" t="s">
        <v>3399</v>
      </c>
      <c r="G1118" s="111" t="s">
        <v>3400</v>
      </c>
      <c r="H1118" s="112">
        <v>43797</v>
      </c>
      <c r="L1118" s="6">
        <v>9534105503</v>
      </c>
      <c r="N1118" s="16"/>
      <c r="O1118" s="7"/>
      <c r="P1118" s="17"/>
    </row>
    <row r="1119" spans="1:19" ht="14.25" customHeight="1">
      <c r="A1119" s="5" t="s">
        <v>0</v>
      </c>
      <c r="B1119" s="5" t="str">
        <f t="shared" si="7"/>
        <v>Y</v>
      </c>
      <c r="C1119" s="18" t="s">
        <v>3401</v>
      </c>
      <c r="D1119" s="18"/>
      <c r="E1119" s="6" t="s">
        <v>3402</v>
      </c>
      <c r="F1119" s="19" t="s">
        <v>3403</v>
      </c>
      <c r="G1119" s="111" t="s">
        <v>3404</v>
      </c>
      <c r="H1119" s="112">
        <v>43552</v>
      </c>
      <c r="L1119" s="6">
        <v>8709035702</v>
      </c>
      <c r="N1119" s="16"/>
      <c r="O1119" s="7"/>
      <c r="P1119" s="17"/>
    </row>
    <row r="1120" spans="1:19" ht="14.25" customHeight="1">
      <c r="A1120" s="5" t="s">
        <v>0</v>
      </c>
      <c r="B1120" s="5" t="str">
        <f t="shared" si="7"/>
        <v>Y</v>
      </c>
      <c r="C1120" s="18" t="s">
        <v>3405</v>
      </c>
      <c r="D1120" s="18"/>
      <c r="E1120" s="6" t="s">
        <v>3406</v>
      </c>
      <c r="F1120" s="19" t="s">
        <v>2634</v>
      </c>
      <c r="G1120" s="111" t="s">
        <v>3400</v>
      </c>
      <c r="H1120" s="112">
        <v>43552</v>
      </c>
      <c r="L1120" s="6">
        <v>6204004914</v>
      </c>
      <c r="N1120" s="16"/>
      <c r="O1120" s="7"/>
      <c r="P1120" s="17"/>
    </row>
    <row r="1121" spans="1:19" ht="14.25" customHeight="1">
      <c r="A1121" s="5" t="s">
        <v>0</v>
      </c>
      <c r="B1121" s="5" t="str">
        <f t="shared" si="7"/>
        <v>Y</v>
      </c>
      <c r="C1121" s="18" t="s">
        <v>3407</v>
      </c>
      <c r="D1121" s="18"/>
      <c r="E1121" s="6" t="s">
        <v>3408</v>
      </c>
      <c r="F1121" s="19" t="s">
        <v>3409</v>
      </c>
      <c r="G1121" s="111" t="s">
        <v>3410</v>
      </c>
      <c r="H1121" s="112">
        <v>43799</v>
      </c>
      <c r="L1121" s="6">
        <v>7209226277</v>
      </c>
      <c r="N1121" s="16"/>
      <c r="O1121" s="7"/>
      <c r="P1121" s="17"/>
    </row>
    <row r="1122" spans="1:19" ht="14.25" customHeight="1">
      <c r="A1122" s="5" t="s">
        <v>0</v>
      </c>
      <c r="B1122" s="5" t="str">
        <f t="shared" si="7"/>
        <v>Y</v>
      </c>
      <c r="C1122" s="18" t="s">
        <v>3411</v>
      </c>
      <c r="D1122" s="18"/>
      <c r="E1122" s="6" t="s">
        <v>3412</v>
      </c>
      <c r="F1122" s="19" t="s">
        <v>3413</v>
      </c>
      <c r="G1122" s="111" t="s">
        <v>3414</v>
      </c>
      <c r="H1122" s="112">
        <v>43798</v>
      </c>
      <c r="L1122" s="6">
        <v>9608135949</v>
      </c>
      <c r="N1122" s="16"/>
      <c r="O1122" s="7"/>
      <c r="P1122" s="17"/>
    </row>
    <row r="1123" spans="1:19" ht="14.25" customHeight="1">
      <c r="A1123" s="116" t="s">
        <v>0</v>
      </c>
      <c r="B1123" s="116" t="str">
        <f t="shared" si="7"/>
        <v>Y</v>
      </c>
      <c r="C1123" s="117" t="s">
        <v>3415</v>
      </c>
      <c r="D1123" s="117"/>
      <c r="E1123" s="118" t="s">
        <v>3416</v>
      </c>
      <c r="F1123" s="119" t="s">
        <v>3417</v>
      </c>
      <c r="G1123" s="120" t="s">
        <v>3418</v>
      </c>
      <c r="H1123" s="120" t="s">
        <v>3418</v>
      </c>
      <c r="I1123" s="118"/>
      <c r="J1123" s="118"/>
      <c r="K1123" s="118"/>
      <c r="L1123" s="118">
        <v>9031166535</v>
      </c>
      <c r="M1123" s="118"/>
      <c r="N1123" s="121"/>
      <c r="O1123" s="122"/>
      <c r="P1123" s="123"/>
      <c r="Q1123" s="118"/>
      <c r="R1123" s="118"/>
      <c r="S1123" s="118"/>
    </row>
    <row r="1124" spans="1:19" ht="14.25" customHeight="1">
      <c r="A1124" s="84" t="s">
        <v>0</v>
      </c>
      <c r="B1124" s="84" t="str">
        <f t="shared" si="7"/>
        <v>Y</v>
      </c>
      <c r="C1124" s="85" t="s">
        <v>3419</v>
      </c>
      <c r="D1124" s="85"/>
      <c r="E1124" s="114" t="s">
        <v>3420</v>
      </c>
      <c r="F1124" s="86" t="s">
        <v>3421</v>
      </c>
      <c r="G1124" s="115" t="s">
        <v>3418</v>
      </c>
      <c r="H1124" s="115" t="s">
        <v>3418</v>
      </c>
      <c r="I1124" s="11"/>
      <c r="J1124" s="11"/>
      <c r="K1124" s="11"/>
      <c r="L1124" s="11">
        <v>9334141809</v>
      </c>
      <c r="M1124" s="11"/>
      <c r="N1124" s="88"/>
      <c r="O1124" s="89"/>
      <c r="P1124" s="90"/>
      <c r="Q1124" s="11"/>
      <c r="R1124" s="11"/>
      <c r="S1124" s="11"/>
    </row>
    <row r="1125" spans="1:19" ht="14.25" customHeight="1">
      <c r="A1125" s="5" t="s">
        <v>0</v>
      </c>
      <c r="B1125" s="5" t="str">
        <f t="shared" si="7"/>
        <v>Y</v>
      </c>
      <c r="C1125" s="18" t="s">
        <v>3422</v>
      </c>
      <c r="D1125" s="18"/>
      <c r="E1125" s="7" t="s">
        <v>3423</v>
      </c>
      <c r="F1125" s="19" t="s">
        <v>3424</v>
      </c>
      <c r="G1125" s="111" t="s">
        <v>3418</v>
      </c>
      <c r="H1125" s="111" t="s">
        <v>3418</v>
      </c>
      <c r="L1125" s="6">
        <v>9616642928</v>
      </c>
      <c r="N1125" s="16"/>
      <c r="O1125" s="7"/>
      <c r="P1125" s="17"/>
    </row>
    <row r="1126" spans="1:19" ht="14.25" customHeight="1">
      <c r="A1126" s="84" t="s">
        <v>0</v>
      </c>
      <c r="B1126" s="84" t="str">
        <f t="shared" si="7"/>
        <v>Y</v>
      </c>
      <c r="C1126" s="85" t="s">
        <v>3425</v>
      </c>
      <c r="D1126" s="85"/>
      <c r="E1126" s="124" t="s">
        <v>3426</v>
      </c>
      <c r="F1126" s="86" t="s">
        <v>3142</v>
      </c>
      <c r="G1126" s="115" t="s">
        <v>3427</v>
      </c>
      <c r="H1126" s="115" t="s">
        <v>3427</v>
      </c>
      <c r="I1126" s="11"/>
      <c r="J1126" s="11"/>
      <c r="K1126" s="11"/>
      <c r="L1126" s="11">
        <v>8002111251</v>
      </c>
      <c r="N1126" s="16"/>
      <c r="O1126" s="7"/>
      <c r="P1126" s="17"/>
    </row>
    <row r="1127" spans="1:19" ht="14.25" customHeight="1">
      <c r="A1127" s="5" t="s">
        <v>0</v>
      </c>
      <c r="B1127" s="5" t="str">
        <f t="shared" si="7"/>
        <v>Y</v>
      </c>
      <c r="C1127" s="18" t="s">
        <v>3428</v>
      </c>
      <c r="D1127" s="18"/>
      <c r="E1127" s="6" t="s">
        <v>3429</v>
      </c>
      <c r="F1127" s="19" t="s">
        <v>3245</v>
      </c>
      <c r="G1127" s="111" t="s">
        <v>3430</v>
      </c>
      <c r="H1127" s="111" t="s">
        <v>3430</v>
      </c>
      <c r="L1127" s="6">
        <v>7739230189</v>
      </c>
      <c r="N1127" s="16"/>
      <c r="O1127" s="7"/>
      <c r="P1127" s="17"/>
    </row>
    <row r="1128" spans="1:19" ht="14.25" customHeight="1">
      <c r="A1128" s="5" t="s">
        <v>0</v>
      </c>
      <c r="B1128" s="5" t="str">
        <f t="shared" si="7"/>
        <v>Y</v>
      </c>
      <c r="C1128" s="18" t="s">
        <v>3431</v>
      </c>
      <c r="D1128" s="18"/>
      <c r="E1128" s="6" t="s">
        <v>3432</v>
      </c>
      <c r="F1128" s="19" t="s">
        <v>3433</v>
      </c>
      <c r="G1128" s="111" t="s">
        <v>3430</v>
      </c>
      <c r="H1128" s="111" t="s">
        <v>3430</v>
      </c>
      <c r="L1128" s="6">
        <v>7070975303</v>
      </c>
      <c r="N1128" s="16"/>
      <c r="O1128" s="7"/>
      <c r="P1128" s="17"/>
    </row>
    <row r="1129" spans="1:19" ht="14.25" customHeight="1">
      <c r="A1129" s="5" t="s">
        <v>0</v>
      </c>
      <c r="B1129" s="5" t="str">
        <f t="shared" si="7"/>
        <v>Y</v>
      </c>
      <c r="C1129" s="18" t="s">
        <v>3434</v>
      </c>
      <c r="D1129" s="18"/>
      <c r="E1129" s="6" t="s">
        <v>3435</v>
      </c>
      <c r="F1129" s="19" t="s">
        <v>3436</v>
      </c>
      <c r="G1129" s="111" t="s">
        <v>3430</v>
      </c>
      <c r="H1129" s="111" t="s">
        <v>3430</v>
      </c>
      <c r="N1129" s="16"/>
      <c r="O1129" s="7"/>
      <c r="P1129" s="17"/>
    </row>
    <row r="1130" spans="1:19" ht="14.25" customHeight="1">
      <c r="A1130" s="5" t="s">
        <v>0</v>
      </c>
      <c r="B1130" s="84" t="str">
        <f t="shared" si="7"/>
        <v>Y</v>
      </c>
      <c r="C1130" s="85" t="s">
        <v>3437</v>
      </c>
      <c r="D1130" s="85"/>
      <c r="E1130" s="11" t="s">
        <v>3438</v>
      </c>
      <c r="F1130" s="86" t="s">
        <v>3439</v>
      </c>
      <c r="G1130" s="86" t="s">
        <v>3440</v>
      </c>
      <c r="H1130" s="87">
        <v>43804</v>
      </c>
      <c r="I1130" s="11"/>
      <c r="J1130" s="11"/>
      <c r="K1130" s="11"/>
      <c r="L1130" s="11">
        <v>9931335397</v>
      </c>
      <c r="N1130" s="16"/>
      <c r="O1130" s="7"/>
      <c r="P1130" s="17"/>
    </row>
    <row r="1131" spans="1:19" ht="14.25" customHeight="1">
      <c r="A1131" s="5" t="s">
        <v>0</v>
      </c>
      <c r="B1131" s="84" t="str">
        <f t="shared" si="7"/>
        <v>Y</v>
      </c>
      <c r="C1131" s="85" t="s">
        <v>3441</v>
      </c>
      <c r="D1131" s="85"/>
      <c r="E1131" s="11" t="s">
        <v>3442</v>
      </c>
      <c r="F1131" s="86" t="s">
        <v>3443</v>
      </c>
      <c r="G1131" s="86" t="s">
        <v>3440</v>
      </c>
      <c r="H1131" s="87">
        <v>43804</v>
      </c>
      <c r="I1131" s="11"/>
      <c r="J1131" s="11"/>
      <c r="K1131" s="11"/>
      <c r="L1131" s="11">
        <v>8235010194</v>
      </c>
      <c r="N1131" s="16"/>
      <c r="O1131" s="7"/>
      <c r="P1131" s="17"/>
    </row>
    <row r="1132" spans="1:19" ht="14.25" customHeight="1">
      <c r="A1132" s="5" t="s">
        <v>0</v>
      </c>
      <c r="B1132" s="5" t="str">
        <f t="shared" si="7"/>
        <v>Y</v>
      </c>
      <c r="C1132" s="18" t="s">
        <v>3444</v>
      </c>
      <c r="D1132" s="18"/>
      <c r="E1132" s="6" t="s">
        <v>3445</v>
      </c>
      <c r="F1132" s="19" t="s">
        <v>3446</v>
      </c>
      <c r="G1132" s="19" t="s">
        <v>3447</v>
      </c>
      <c r="H1132" s="20">
        <v>43806</v>
      </c>
      <c r="L1132" s="6">
        <v>8084276047</v>
      </c>
      <c r="N1132" s="16"/>
      <c r="O1132" s="7"/>
      <c r="P1132" s="17"/>
    </row>
    <row r="1133" spans="1:19" ht="14.25" customHeight="1">
      <c r="A1133" s="5" t="s">
        <v>0</v>
      </c>
      <c r="B1133" s="84" t="str">
        <f t="shared" si="7"/>
        <v>Y</v>
      </c>
      <c r="C1133" s="85" t="s">
        <v>3448</v>
      </c>
      <c r="D1133" s="85"/>
      <c r="E1133" s="11" t="s">
        <v>3449</v>
      </c>
      <c r="F1133" s="86" t="s">
        <v>3446</v>
      </c>
      <c r="G1133" s="86" t="s">
        <v>3447</v>
      </c>
      <c r="H1133" s="87">
        <v>43806</v>
      </c>
      <c r="I1133" s="11"/>
      <c r="J1133" s="11"/>
      <c r="K1133" s="11"/>
      <c r="L1133" s="11">
        <v>9122496359</v>
      </c>
      <c r="N1133" s="16"/>
      <c r="O1133" s="7"/>
      <c r="P1133" s="17"/>
    </row>
    <row r="1134" spans="1:19" ht="14.25" customHeight="1">
      <c r="A1134" s="5" t="s">
        <v>0</v>
      </c>
      <c r="B1134" s="5" t="str">
        <f t="shared" si="7"/>
        <v>Y</v>
      </c>
      <c r="C1134" s="18" t="s">
        <v>3450</v>
      </c>
      <c r="D1134" s="18"/>
      <c r="E1134" s="6" t="s">
        <v>3451</v>
      </c>
      <c r="F1134" s="19" t="s">
        <v>3452</v>
      </c>
      <c r="G1134" s="19" t="s">
        <v>3453</v>
      </c>
      <c r="H1134" s="20">
        <v>43807</v>
      </c>
      <c r="L1134" s="6">
        <v>8210564677</v>
      </c>
      <c r="N1134" s="16"/>
      <c r="O1134" s="7"/>
      <c r="P1134" s="17"/>
    </row>
    <row r="1135" spans="1:19" ht="14.25" customHeight="1">
      <c r="A1135" s="5" t="s">
        <v>0</v>
      </c>
      <c r="B1135" s="5" t="str">
        <f t="shared" si="7"/>
        <v>Y</v>
      </c>
      <c r="C1135" s="18" t="s">
        <v>3454</v>
      </c>
      <c r="D1135" s="18"/>
      <c r="E1135" s="96" t="s">
        <v>3455</v>
      </c>
      <c r="F1135" s="19" t="s">
        <v>3456</v>
      </c>
      <c r="G1135" s="19" t="s">
        <v>3457</v>
      </c>
      <c r="H1135" s="19" t="s">
        <v>3457</v>
      </c>
      <c r="L1135" s="6">
        <v>8092798534</v>
      </c>
      <c r="N1135" s="16"/>
      <c r="O1135" s="7"/>
      <c r="P1135" s="17"/>
    </row>
    <row r="1136" spans="1:19" ht="14.25" customHeight="1">
      <c r="A1136" s="5" t="s">
        <v>0</v>
      </c>
      <c r="B1136" s="5" t="str">
        <f t="shared" si="7"/>
        <v>Y</v>
      </c>
      <c r="C1136" s="94" t="s">
        <v>3458</v>
      </c>
      <c r="D1136" s="94"/>
      <c r="E1136" s="6" t="s">
        <v>3459</v>
      </c>
      <c r="F1136" s="19" t="s">
        <v>3460</v>
      </c>
      <c r="G1136" s="19" t="s">
        <v>3461</v>
      </c>
      <c r="H1136" s="20">
        <v>43810</v>
      </c>
      <c r="L1136" s="6">
        <v>9031385126</v>
      </c>
      <c r="N1136" s="16"/>
      <c r="O1136" s="7"/>
      <c r="P1136" s="17"/>
    </row>
    <row r="1137" spans="1:16" ht="14.25" customHeight="1">
      <c r="A1137" s="5" t="s">
        <v>0</v>
      </c>
      <c r="B1137" s="5" t="str">
        <f t="shared" si="7"/>
        <v>Y</v>
      </c>
      <c r="C1137" s="18" t="s">
        <v>3462</v>
      </c>
      <c r="D1137" s="18"/>
      <c r="E1137" s="6" t="s">
        <v>3463</v>
      </c>
      <c r="F1137" s="19" t="s">
        <v>3464</v>
      </c>
      <c r="G1137" s="19" t="s">
        <v>3461</v>
      </c>
      <c r="H1137" s="20">
        <v>43810</v>
      </c>
      <c r="L1137" s="6">
        <v>6207329168</v>
      </c>
      <c r="N1137" s="16"/>
      <c r="O1137" s="7"/>
      <c r="P1137" s="17"/>
    </row>
    <row r="1138" spans="1:16" ht="14.25" customHeight="1">
      <c r="A1138" s="5" t="s">
        <v>0</v>
      </c>
      <c r="B1138" s="5" t="str">
        <f t="shared" si="7"/>
        <v>Y</v>
      </c>
      <c r="C1138" s="18" t="s">
        <v>3465</v>
      </c>
      <c r="D1138" s="18"/>
      <c r="E1138" s="6" t="s">
        <v>3466</v>
      </c>
      <c r="F1138" s="19" t="s">
        <v>3467</v>
      </c>
      <c r="G1138" s="19" t="s">
        <v>3468</v>
      </c>
      <c r="H1138" s="20">
        <v>43810</v>
      </c>
      <c r="N1138" s="16"/>
      <c r="O1138" s="7"/>
      <c r="P1138" s="17"/>
    </row>
    <row r="1139" spans="1:16" ht="14.25" customHeight="1">
      <c r="A1139" s="5" t="s">
        <v>0</v>
      </c>
      <c r="B1139" s="5" t="str">
        <f t="shared" si="7"/>
        <v>Y</v>
      </c>
      <c r="C1139" s="18" t="s">
        <v>3469</v>
      </c>
      <c r="D1139" s="18"/>
      <c r="E1139" s="6" t="s">
        <v>3470</v>
      </c>
      <c r="F1139" s="19" t="s">
        <v>3471</v>
      </c>
      <c r="G1139" s="19" t="s">
        <v>3461</v>
      </c>
      <c r="H1139" s="19" t="s">
        <v>3472</v>
      </c>
      <c r="L1139" s="6">
        <v>6203956812</v>
      </c>
      <c r="N1139" s="16"/>
      <c r="O1139" s="7"/>
      <c r="P1139" s="17"/>
    </row>
    <row r="1140" spans="1:16" ht="14.25" customHeight="1">
      <c r="A1140" s="5" t="s">
        <v>0</v>
      </c>
      <c r="B1140" s="5" t="str">
        <f t="shared" si="7"/>
        <v>Y</v>
      </c>
      <c r="C1140" s="18" t="s">
        <v>3473</v>
      </c>
      <c r="D1140" s="18"/>
      <c r="E1140" s="6" t="s">
        <v>3474</v>
      </c>
      <c r="F1140" s="19" t="s">
        <v>3475</v>
      </c>
      <c r="G1140" s="19" t="s">
        <v>3461</v>
      </c>
      <c r="H1140" s="20">
        <v>43812</v>
      </c>
      <c r="L1140" s="6">
        <v>8809398991</v>
      </c>
      <c r="N1140" s="16"/>
      <c r="O1140" s="7"/>
      <c r="P1140" s="17"/>
    </row>
    <row r="1141" spans="1:16" ht="14.25" customHeight="1">
      <c r="A1141" s="5" t="s">
        <v>0</v>
      </c>
      <c r="B1141" s="5" t="str">
        <f t="shared" si="7"/>
        <v>Y</v>
      </c>
      <c r="C1141" s="18" t="s">
        <v>3476</v>
      </c>
      <c r="D1141" s="18"/>
      <c r="E1141" s="6" t="s">
        <v>3477</v>
      </c>
      <c r="F1141" s="19" t="s">
        <v>3478</v>
      </c>
      <c r="G1141" s="19" t="s">
        <v>3479</v>
      </c>
      <c r="H1141" s="20">
        <v>43812</v>
      </c>
      <c r="L1141" s="6">
        <v>9031398504</v>
      </c>
      <c r="N1141" s="16"/>
      <c r="O1141" s="7"/>
      <c r="P1141" s="17"/>
    </row>
    <row r="1142" spans="1:16" ht="14.25" customHeight="1">
      <c r="A1142" s="5" t="s">
        <v>0</v>
      </c>
      <c r="B1142" s="5" t="str">
        <f t="shared" si="7"/>
        <v>Y</v>
      </c>
      <c r="C1142" s="18" t="s">
        <v>3480</v>
      </c>
      <c r="D1142" s="18"/>
      <c r="E1142" s="6" t="s">
        <v>3481</v>
      </c>
      <c r="F1142" s="19" t="s">
        <v>3482</v>
      </c>
      <c r="G1142" s="19" t="s">
        <v>3479</v>
      </c>
      <c r="H1142" s="20">
        <v>43812</v>
      </c>
      <c r="L1142" s="6">
        <v>9709477552</v>
      </c>
      <c r="N1142" s="16"/>
      <c r="O1142" s="7"/>
      <c r="P1142" s="17"/>
    </row>
    <row r="1143" spans="1:16" ht="14.25" customHeight="1">
      <c r="A1143" s="5" t="s">
        <v>0</v>
      </c>
      <c r="B1143" s="5" t="str">
        <f t="shared" si="7"/>
        <v>Y</v>
      </c>
      <c r="C1143" s="18" t="s">
        <v>3483</v>
      </c>
      <c r="D1143" s="18"/>
      <c r="E1143" s="6" t="s">
        <v>3484</v>
      </c>
      <c r="F1143" s="19" t="s">
        <v>3485</v>
      </c>
      <c r="G1143" s="19" t="s">
        <v>3472</v>
      </c>
      <c r="H1143" s="19" t="s">
        <v>3472</v>
      </c>
      <c r="L1143" s="6">
        <v>8809414611</v>
      </c>
      <c r="N1143" s="16"/>
      <c r="O1143" s="7"/>
      <c r="P1143" s="17"/>
    </row>
    <row r="1144" spans="1:16" ht="14.25" customHeight="1">
      <c r="A1144" s="5" t="s">
        <v>0</v>
      </c>
      <c r="B1144" s="5" t="str">
        <f t="shared" si="7"/>
        <v>Y</v>
      </c>
      <c r="C1144" s="85" t="s">
        <v>3486</v>
      </c>
      <c r="D1144" s="85"/>
      <c r="E1144" s="11" t="s">
        <v>3487</v>
      </c>
      <c r="F1144" s="86" t="s">
        <v>3488</v>
      </c>
      <c r="G1144" s="86" t="s">
        <v>3489</v>
      </c>
      <c r="H1144" s="87">
        <v>43814</v>
      </c>
      <c r="I1144" s="11"/>
      <c r="J1144" s="11"/>
      <c r="K1144" s="11"/>
      <c r="L1144" s="11">
        <v>9798744486</v>
      </c>
      <c r="N1144" s="16"/>
      <c r="O1144" s="7"/>
      <c r="P1144" s="17"/>
    </row>
    <row r="1145" spans="1:16" ht="14.25" customHeight="1">
      <c r="A1145" s="5" t="s">
        <v>0</v>
      </c>
      <c r="B1145" s="5" t="str">
        <f t="shared" si="7"/>
        <v>Y</v>
      </c>
      <c r="C1145" s="18" t="s">
        <v>3490</v>
      </c>
      <c r="D1145" s="18"/>
      <c r="E1145" s="6" t="s">
        <v>3491</v>
      </c>
      <c r="F1145" s="19" t="s">
        <v>2880</v>
      </c>
      <c r="G1145" s="19" t="s">
        <v>3492</v>
      </c>
      <c r="H1145" s="20">
        <v>43815</v>
      </c>
      <c r="L1145" s="6">
        <v>9973934560</v>
      </c>
      <c r="N1145" s="16"/>
      <c r="O1145" s="7"/>
      <c r="P1145" s="17"/>
    </row>
    <row r="1146" spans="1:16" ht="14.25" customHeight="1">
      <c r="A1146" s="84" t="s">
        <v>0</v>
      </c>
      <c r="B1146" s="84" t="str">
        <f t="shared" si="7"/>
        <v>Y</v>
      </c>
      <c r="C1146" s="85" t="s">
        <v>3493</v>
      </c>
      <c r="D1146" s="85"/>
      <c r="E1146" s="11" t="s">
        <v>3494</v>
      </c>
      <c r="F1146" s="86" t="s">
        <v>3495</v>
      </c>
      <c r="G1146" s="86" t="s">
        <v>3492</v>
      </c>
      <c r="H1146" s="87">
        <v>43818</v>
      </c>
      <c r="I1146" s="11"/>
      <c r="J1146" s="11"/>
      <c r="K1146" s="11"/>
      <c r="L1146" s="11">
        <v>7909084923</v>
      </c>
      <c r="N1146" s="16"/>
      <c r="O1146" s="7"/>
      <c r="P1146" s="17"/>
    </row>
    <row r="1147" spans="1:16" ht="14.25" customHeight="1">
      <c r="A1147" s="84" t="s">
        <v>0</v>
      </c>
      <c r="B1147" s="84" t="str">
        <f t="shared" si="7"/>
        <v>Y</v>
      </c>
      <c r="C1147" s="85" t="s">
        <v>3496</v>
      </c>
      <c r="D1147" s="85"/>
      <c r="E1147" s="11" t="s">
        <v>3497</v>
      </c>
      <c r="F1147" s="86" t="s">
        <v>3498</v>
      </c>
      <c r="G1147" s="86" t="s">
        <v>3492</v>
      </c>
      <c r="H1147" s="87">
        <v>43818</v>
      </c>
      <c r="I1147" s="11"/>
      <c r="J1147" s="11"/>
      <c r="K1147" s="11"/>
      <c r="L1147" s="11">
        <v>7909084923</v>
      </c>
      <c r="N1147" s="16"/>
      <c r="O1147" s="7"/>
      <c r="P1147" s="17"/>
    </row>
    <row r="1148" spans="1:16" ht="14.25" customHeight="1">
      <c r="A1148" s="84" t="s">
        <v>0</v>
      </c>
      <c r="B1148" s="84" t="str">
        <f t="shared" si="7"/>
        <v>Y</v>
      </c>
      <c r="C1148" s="85" t="s">
        <v>3499</v>
      </c>
      <c r="D1148" s="85"/>
      <c r="E1148" s="11" t="s">
        <v>3500</v>
      </c>
      <c r="F1148" s="86" t="s">
        <v>3501</v>
      </c>
      <c r="G1148" s="86" t="s">
        <v>3492</v>
      </c>
      <c r="H1148" s="87">
        <v>43818</v>
      </c>
      <c r="I1148" s="11"/>
      <c r="J1148" s="11"/>
      <c r="K1148" s="11"/>
      <c r="L1148" s="11">
        <v>7909084923</v>
      </c>
      <c r="N1148" s="16"/>
      <c r="O1148" s="7"/>
      <c r="P1148" s="17"/>
    </row>
    <row r="1149" spans="1:16" ht="14.25" customHeight="1">
      <c r="A1149" s="84" t="s">
        <v>0</v>
      </c>
      <c r="B1149" s="84" t="str">
        <f t="shared" si="7"/>
        <v>Y</v>
      </c>
      <c r="C1149" s="85" t="s">
        <v>3502</v>
      </c>
      <c r="D1149" s="85"/>
      <c r="E1149" s="11" t="s">
        <v>3503</v>
      </c>
      <c r="F1149" s="86" t="s">
        <v>3504</v>
      </c>
      <c r="G1149" s="86" t="s">
        <v>3492</v>
      </c>
      <c r="H1149" s="87">
        <v>43818</v>
      </c>
      <c r="I1149" s="11"/>
      <c r="J1149" s="11"/>
      <c r="K1149" s="11"/>
      <c r="L1149" s="11">
        <v>7909084923</v>
      </c>
      <c r="N1149" s="16"/>
      <c r="O1149" s="7"/>
      <c r="P1149" s="17"/>
    </row>
    <row r="1150" spans="1:16" ht="14.25" customHeight="1">
      <c r="A1150" s="84" t="s">
        <v>0</v>
      </c>
      <c r="B1150" s="84" t="str">
        <f t="shared" si="7"/>
        <v>Y</v>
      </c>
      <c r="C1150" s="85" t="s">
        <v>3505</v>
      </c>
      <c r="D1150" s="85"/>
      <c r="E1150" s="11" t="s">
        <v>3506</v>
      </c>
      <c r="F1150" s="86" t="s">
        <v>3507</v>
      </c>
      <c r="G1150" s="86" t="s">
        <v>3492</v>
      </c>
      <c r="H1150" s="87">
        <v>43818</v>
      </c>
      <c r="I1150" s="11"/>
      <c r="J1150" s="11"/>
      <c r="K1150" s="11"/>
      <c r="L1150" s="11">
        <v>7909084923</v>
      </c>
      <c r="N1150" s="16"/>
      <c r="O1150" s="7"/>
      <c r="P1150" s="17"/>
    </row>
    <row r="1151" spans="1:16" ht="14.25" customHeight="1">
      <c r="A1151" s="84" t="s">
        <v>0</v>
      </c>
      <c r="B1151" s="84" t="str">
        <f t="shared" si="7"/>
        <v>Y</v>
      </c>
      <c r="C1151" s="85" t="s">
        <v>3508</v>
      </c>
      <c r="D1151" s="85"/>
      <c r="E1151" s="11" t="s">
        <v>3509</v>
      </c>
      <c r="F1151" s="86" t="s">
        <v>3510</v>
      </c>
      <c r="G1151" s="86" t="s">
        <v>3492</v>
      </c>
      <c r="H1151" s="87">
        <v>43818</v>
      </c>
      <c r="I1151" s="11"/>
      <c r="J1151" s="11"/>
      <c r="K1151" s="11"/>
      <c r="L1151" s="11">
        <v>7909084923</v>
      </c>
      <c r="N1151" s="16"/>
      <c r="O1151" s="7"/>
      <c r="P1151" s="17"/>
    </row>
    <row r="1152" spans="1:16" ht="14.25" customHeight="1">
      <c r="A1152" s="5" t="s">
        <v>0</v>
      </c>
      <c r="B1152" s="5" t="str">
        <f t="shared" si="7"/>
        <v>Y</v>
      </c>
      <c r="C1152" s="18" t="s">
        <v>3511</v>
      </c>
      <c r="D1152" s="18"/>
      <c r="E1152" s="6" t="s">
        <v>3512</v>
      </c>
      <c r="F1152" s="19" t="s">
        <v>3513</v>
      </c>
      <c r="G1152" s="19" t="s">
        <v>3492</v>
      </c>
      <c r="H1152" s="20">
        <v>43815</v>
      </c>
      <c r="L1152" s="6">
        <v>9570207464</v>
      </c>
      <c r="N1152" s="16"/>
      <c r="O1152" s="7"/>
      <c r="P1152" s="17"/>
    </row>
    <row r="1153" spans="1:16" ht="14.25" customHeight="1">
      <c r="A1153" s="84" t="s">
        <v>0</v>
      </c>
      <c r="B1153" s="84" t="str">
        <f t="shared" si="7"/>
        <v>Y</v>
      </c>
      <c r="C1153" s="85" t="s">
        <v>3514</v>
      </c>
      <c r="D1153" s="85"/>
      <c r="E1153" s="11" t="s">
        <v>3515</v>
      </c>
      <c r="F1153" s="86" t="s">
        <v>3516</v>
      </c>
      <c r="G1153" s="86" t="s">
        <v>3517</v>
      </c>
      <c r="H1153" s="87">
        <v>43817</v>
      </c>
      <c r="I1153" s="11"/>
      <c r="J1153" s="11"/>
      <c r="K1153" s="11"/>
      <c r="L1153" s="11">
        <v>6200455335</v>
      </c>
      <c r="N1153" s="16"/>
      <c r="O1153" s="7"/>
      <c r="P1153" s="17"/>
    </row>
    <row r="1154" spans="1:16" ht="14.25" customHeight="1">
      <c r="A1154" s="84" t="s">
        <v>0</v>
      </c>
      <c r="B1154" s="84" t="str">
        <f t="shared" si="7"/>
        <v>Y</v>
      </c>
      <c r="C1154" s="85" t="s">
        <v>3518</v>
      </c>
      <c r="D1154" s="85"/>
      <c r="E1154" s="11" t="s">
        <v>3519</v>
      </c>
      <c r="F1154" s="86" t="s">
        <v>3520</v>
      </c>
      <c r="G1154" s="86" t="s">
        <v>3517</v>
      </c>
      <c r="H1154" s="87">
        <v>43817</v>
      </c>
      <c r="I1154" s="11"/>
      <c r="J1154" s="11"/>
      <c r="K1154" s="11"/>
      <c r="L1154" s="11"/>
      <c r="N1154" s="16"/>
      <c r="O1154" s="7"/>
      <c r="P1154" s="17"/>
    </row>
    <row r="1155" spans="1:16" ht="14.25" customHeight="1">
      <c r="A1155" s="5" t="s">
        <v>0</v>
      </c>
      <c r="B1155" s="5" t="str">
        <f t="shared" si="7"/>
        <v>Y</v>
      </c>
      <c r="C1155" s="18" t="s">
        <v>3521</v>
      </c>
      <c r="D1155" s="18"/>
      <c r="E1155" s="6" t="s">
        <v>3522</v>
      </c>
      <c r="F1155" s="19" t="s">
        <v>3523</v>
      </c>
      <c r="G1155" s="19" t="s">
        <v>3517</v>
      </c>
      <c r="H1155" s="20">
        <v>43817</v>
      </c>
      <c r="L1155" s="6">
        <v>8084697654</v>
      </c>
      <c r="N1155" s="16"/>
      <c r="O1155" s="7"/>
      <c r="P1155" s="17"/>
    </row>
    <row r="1156" spans="1:16" ht="14.25" customHeight="1">
      <c r="A1156" s="84" t="s">
        <v>0</v>
      </c>
      <c r="B1156" s="84" t="str">
        <f t="shared" si="7"/>
        <v>Y</v>
      </c>
      <c r="C1156" s="85" t="s">
        <v>3524</v>
      </c>
      <c r="D1156" s="85"/>
      <c r="E1156" s="11" t="s">
        <v>3525</v>
      </c>
      <c r="F1156" s="86" t="s">
        <v>3526</v>
      </c>
      <c r="G1156" s="86" t="s">
        <v>3527</v>
      </c>
      <c r="H1156" s="87">
        <v>43818</v>
      </c>
      <c r="I1156" s="11"/>
      <c r="J1156" s="11"/>
      <c r="K1156" s="11"/>
      <c r="L1156" s="11">
        <v>8603614462</v>
      </c>
      <c r="N1156" s="16"/>
      <c r="O1156" s="7"/>
      <c r="P1156" s="17"/>
    </row>
    <row r="1157" spans="1:16" ht="14.25" customHeight="1">
      <c r="A1157" s="5" t="s">
        <v>0</v>
      </c>
      <c r="B1157" s="5" t="str">
        <f t="shared" si="7"/>
        <v>Y</v>
      </c>
      <c r="C1157" s="18" t="s">
        <v>3528</v>
      </c>
      <c r="D1157" s="18"/>
      <c r="E1157" s="6" t="s">
        <v>3092</v>
      </c>
      <c r="F1157" s="19" t="s">
        <v>3093</v>
      </c>
      <c r="G1157" s="19" t="s">
        <v>3527</v>
      </c>
      <c r="H1157" s="20">
        <v>43818</v>
      </c>
      <c r="L1157" s="6">
        <v>7488355892</v>
      </c>
      <c r="N1157" s="16"/>
      <c r="O1157" s="7"/>
      <c r="P1157" s="17"/>
    </row>
    <row r="1158" spans="1:16" ht="14.25" customHeight="1">
      <c r="A1158" s="84" t="s">
        <v>0</v>
      </c>
      <c r="B1158" s="84" t="str">
        <f t="shared" si="7"/>
        <v>Y</v>
      </c>
      <c r="C1158" s="85" t="s">
        <v>3529</v>
      </c>
      <c r="D1158" s="85"/>
      <c r="E1158" s="11" t="s">
        <v>3530</v>
      </c>
      <c r="F1158" s="86" t="s">
        <v>3531</v>
      </c>
      <c r="G1158" s="86" t="s">
        <v>3527</v>
      </c>
      <c r="H1158" s="87">
        <v>43818</v>
      </c>
      <c r="I1158" s="11"/>
      <c r="J1158" s="11"/>
      <c r="K1158" s="11"/>
      <c r="L1158" s="11">
        <v>8434686015</v>
      </c>
      <c r="N1158" s="16"/>
      <c r="O1158" s="7"/>
      <c r="P1158" s="17"/>
    </row>
    <row r="1159" spans="1:16" ht="14.25" customHeight="1">
      <c r="A1159" s="84" t="s">
        <v>0</v>
      </c>
      <c r="B1159" s="84" t="str">
        <f t="shared" si="7"/>
        <v>Y</v>
      </c>
      <c r="C1159" s="85" t="s">
        <v>3532</v>
      </c>
      <c r="D1159" s="85"/>
      <c r="E1159" s="11" t="s">
        <v>3533</v>
      </c>
      <c r="F1159" s="86" t="s">
        <v>3534</v>
      </c>
      <c r="G1159" s="86" t="s">
        <v>3535</v>
      </c>
      <c r="H1159" s="87">
        <v>43820</v>
      </c>
      <c r="I1159" s="11"/>
      <c r="J1159" s="11"/>
      <c r="K1159" s="11"/>
      <c r="L1159" s="11">
        <v>8825245171</v>
      </c>
      <c r="N1159" s="16"/>
      <c r="O1159" s="7"/>
      <c r="P1159" s="17"/>
    </row>
    <row r="1160" spans="1:16" ht="14.25" customHeight="1">
      <c r="A1160" s="84" t="s">
        <v>0</v>
      </c>
      <c r="B1160" s="84" t="str">
        <f t="shared" si="7"/>
        <v>Y</v>
      </c>
      <c r="C1160" s="85" t="s">
        <v>3536</v>
      </c>
      <c r="D1160" s="85"/>
      <c r="E1160" s="11" t="s">
        <v>3537</v>
      </c>
      <c r="F1160" s="86" t="s">
        <v>3538</v>
      </c>
      <c r="G1160" s="86" t="s">
        <v>3539</v>
      </c>
      <c r="H1160" s="87">
        <v>43820</v>
      </c>
      <c r="I1160" s="11"/>
      <c r="J1160" s="11"/>
      <c r="K1160" s="11"/>
      <c r="L1160" s="11">
        <v>8102533622</v>
      </c>
      <c r="N1160" s="16"/>
      <c r="O1160" s="7"/>
      <c r="P1160" s="17"/>
    </row>
    <row r="1161" spans="1:16" ht="14.25" customHeight="1">
      <c r="A1161" s="84" t="s">
        <v>0</v>
      </c>
      <c r="B1161" s="84" t="str">
        <f t="shared" si="7"/>
        <v>Y</v>
      </c>
      <c r="C1161" s="85" t="s">
        <v>3540</v>
      </c>
      <c r="D1161" s="85"/>
      <c r="E1161" s="11" t="s">
        <v>3541</v>
      </c>
      <c r="F1161" s="86" t="s">
        <v>3542</v>
      </c>
      <c r="G1161" s="86" t="s">
        <v>3543</v>
      </c>
      <c r="H1161" s="87">
        <v>43820</v>
      </c>
      <c r="I1161" s="11"/>
      <c r="J1161" s="11" t="s">
        <v>3544</v>
      </c>
      <c r="K1161" s="11"/>
      <c r="L1161" s="11">
        <v>7979764439</v>
      </c>
      <c r="N1161" s="16"/>
      <c r="O1161" s="7"/>
      <c r="P1161" s="17"/>
    </row>
    <row r="1162" spans="1:16" ht="14.25" customHeight="1">
      <c r="A1162" s="5" t="s">
        <v>0</v>
      </c>
      <c r="B1162" s="5" t="str">
        <f t="shared" si="7"/>
        <v>Y</v>
      </c>
      <c r="C1162" s="18" t="s">
        <v>3545</v>
      </c>
      <c r="D1162" s="18"/>
      <c r="E1162" s="6" t="s">
        <v>3241</v>
      </c>
      <c r="F1162" s="19" t="s">
        <v>3242</v>
      </c>
      <c r="G1162" s="19" t="s">
        <v>3546</v>
      </c>
      <c r="H1162" s="20">
        <v>43827</v>
      </c>
      <c r="L1162" s="6">
        <v>9304988427</v>
      </c>
      <c r="N1162" s="16"/>
      <c r="O1162" s="7"/>
      <c r="P1162" s="17"/>
    </row>
    <row r="1163" spans="1:16" ht="14.25" customHeight="1">
      <c r="A1163" s="5" t="s">
        <v>0</v>
      </c>
      <c r="B1163" s="5" t="str">
        <f t="shared" si="7"/>
        <v>Y</v>
      </c>
      <c r="C1163" s="18" t="s">
        <v>3547</v>
      </c>
      <c r="D1163" s="18"/>
      <c r="E1163" s="6" t="s">
        <v>3548</v>
      </c>
      <c r="F1163" s="19" t="s">
        <v>3549</v>
      </c>
      <c r="G1163" s="19" t="s">
        <v>3550</v>
      </c>
      <c r="H1163" s="20">
        <v>43829</v>
      </c>
      <c r="L1163" s="6">
        <v>7631039364</v>
      </c>
      <c r="N1163" s="16"/>
      <c r="O1163" s="7"/>
      <c r="P1163" s="17"/>
    </row>
    <row r="1164" spans="1:16" ht="14.25" customHeight="1">
      <c r="A1164" s="5" t="s">
        <v>0</v>
      </c>
      <c r="B1164" s="5" t="str">
        <f t="shared" si="7"/>
        <v>Y</v>
      </c>
      <c r="C1164" s="18" t="s">
        <v>3551</v>
      </c>
      <c r="D1164" s="18"/>
      <c r="E1164" s="6" t="s">
        <v>3552</v>
      </c>
      <c r="F1164" s="19" t="s">
        <v>3553</v>
      </c>
      <c r="G1164" s="19" t="s">
        <v>3554</v>
      </c>
      <c r="H1164" s="20">
        <v>43829</v>
      </c>
      <c r="L1164" s="6">
        <v>9031725185</v>
      </c>
      <c r="N1164" s="16"/>
      <c r="O1164" s="7"/>
      <c r="P1164" s="17"/>
    </row>
    <row r="1165" spans="1:16" ht="14.25" customHeight="1">
      <c r="A1165" s="5" t="s">
        <v>0</v>
      </c>
      <c r="B1165" s="5" t="str">
        <f t="shared" si="7"/>
        <v>Y</v>
      </c>
      <c r="C1165" s="18" t="s">
        <v>3555</v>
      </c>
      <c r="D1165" s="18"/>
      <c r="E1165" s="6" t="s">
        <v>3556</v>
      </c>
      <c r="F1165" s="19" t="s">
        <v>3557</v>
      </c>
      <c r="G1165" s="19" t="s">
        <v>3558</v>
      </c>
      <c r="H1165" s="20">
        <v>43830</v>
      </c>
      <c r="L1165" s="6">
        <v>9234630162</v>
      </c>
      <c r="N1165" s="16"/>
      <c r="O1165" s="7"/>
      <c r="P1165" s="17"/>
    </row>
    <row r="1166" spans="1:16" ht="14.25" customHeight="1">
      <c r="A1166" s="5" t="s">
        <v>0</v>
      </c>
      <c r="B1166" s="5" t="str">
        <f t="shared" si="7"/>
        <v>Y</v>
      </c>
      <c r="C1166" s="18" t="s">
        <v>3559</v>
      </c>
      <c r="D1166" s="18"/>
      <c r="E1166" s="6" t="s">
        <v>3560</v>
      </c>
      <c r="F1166" s="19" t="s">
        <v>3424</v>
      </c>
      <c r="G1166" s="19" t="s">
        <v>3561</v>
      </c>
      <c r="H1166" s="20">
        <v>43830</v>
      </c>
      <c r="L1166" s="6">
        <v>7295023045</v>
      </c>
      <c r="N1166" s="16"/>
      <c r="O1166" s="7"/>
      <c r="P1166" s="17"/>
    </row>
    <row r="1167" spans="1:16" ht="14.25" customHeight="1">
      <c r="A1167" s="5" t="s">
        <v>0</v>
      </c>
      <c r="B1167" s="5" t="str">
        <f t="shared" si="7"/>
        <v>Y</v>
      </c>
      <c r="C1167" s="18" t="s">
        <v>3562</v>
      </c>
      <c r="D1167" s="18"/>
      <c r="E1167" s="6" t="s">
        <v>3563</v>
      </c>
      <c r="F1167" s="19" t="s">
        <v>3564</v>
      </c>
      <c r="G1167" s="19" t="s">
        <v>3561</v>
      </c>
      <c r="H1167" s="20">
        <v>43830</v>
      </c>
      <c r="L1167" s="6">
        <v>9234000105</v>
      </c>
      <c r="N1167" s="16"/>
      <c r="O1167" s="7"/>
      <c r="P1167" s="17"/>
    </row>
    <row r="1168" spans="1:16" ht="14.25" customHeight="1">
      <c r="A1168" s="5">
        <v>333</v>
      </c>
      <c r="B1168" s="5" t="str">
        <f t="shared" si="7"/>
        <v>Y</v>
      </c>
      <c r="C1168" s="18" t="s">
        <v>2692</v>
      </c>
      <c r="D1168" s="18"/>
      <c r="E1168" s="6" t="s">
        <v>3565</v>
      </c>
      <c r="F1168" s="19" t="s">
        <v>3566</v>
      </c>
      <c r="G1168" s="19" t="s">
        <v>3567</v>
      </c>
      <c r="H1168" s="20">
        <v>43832</v>
      </c>
      <c r="N1168" s="16"/>
      <c r="O1168" s="7"/>
      <c r="P1168" s="17"/>
    </row>
    <row r="1169" spans="1:16" ht="14.25" customHeight="1">
      <c r="A1169" s="5" t="s">
        <v>0</v>
      </c>
      <c r="B1169" s="5" t="str">
        <f t="shared" si="7"/>
        <v>Y</v>
      </c>
      <c r="C1169" s="125" t="s">
        <v>3568</v>
      </c>
      <c r="D1169" s="125"/>
      <c r="E1169" s="6" t="s">
        <v>3569</v>
      </c>
      <c r="F1169" s="19" t="s">
        <v>3570</v>
      </c>
      <c r="G1169" s="19" t="s">
        <v>3567</v>
      </c>
      <c r="H1169" s="20">
        <v>43834</v>
      </c>
      <c r="M1169" s="6" t="s">
        <v>1457</v>
      </c>
      <c r="N1169" s="16"/>
      <c r="O1169" s="7"/>
      <c r="P1169" s="17"/>
    </row>
    <row r="1170" spans="1:16" ht="14.25" customHeight="1">
      <c r="A1170" s="5" t="s">
        <v>0</v>
      </c>
      <c r="B1170" s="5" t="str">
        <f t="shared" si="7"/>
        <v>Y</v>
      </c>
      <c r="C1170" s="18" t="s">
        <v>3571</v>
      </c>
      <c r="D1170" s="18"/>
      <c r="E1170" s="6" t="s">
        <v>3572</v>
      </c>
      <c r="F1170" s="19" t="s">
        <v>3573</v>
      </c>
      <c r="G1170" s="19" t="s">
        <v>3574</v>
      </c>
      <c r="H1170" s="20">
        <v>43835</v>
      </c>
      <c r="L1170" s="6">
        <v>8210811372</v>
      </c>
      <c r="N1170" s="16"/>
      <c r="O1170" s="7"/>
      <c r="P1170" s="17"/>
    </row>
    <row r="1171" spans="1:16" ht="14.25" customHeight="1">
      <c r="A1171" s="5" t="s">
        <v>0</v>
      </c>
      <c r="B1171" s="5" t="str">
        <f t="shared" si="7"/>
        <v>Y</v>
      </c>
      <c r="C1171" s="18" t="s">
        <v>3575</v>
      </c>
      <c r="D1171" s="18"/>
      <c r="E1171" s="6" t="s">
        <v>3576</v>
      </c>
      <c r="F1171" s="19" t="s">
        <v>3577</v>
      </c>
      <c r="G1171" s="19" t="s">
        <v>3567</v>
      </c>
      <c r="H1171" s="20">
        <v>43837</v>
      </c>
      <c r="L1171" s="6">
        <v>8935884124</v>
      </c>
      <c r="N1171" s="16"/>
      <c r="O1171" s="7"/>
      <c r="P1171" s="17"/>
    </row>
    <row r="1172" spans="1:16" ht="14.25" customHeight="1">
      <c r="A1172" s="5" t="s">
        <v>0</v>
      </c>
      <c r="B1172" s="5" t="str">
        <f t="shared" si="7"/>
        <v>Y</v>
      </c>
      <c r="C1172" s="18" t="s">
        <v>3578</v>
      </c>
      <c r="D1172" s="18"/>
      <c r="E1172" s="6" t="s">
        <v>3579</v>
      </c>
      <c r="F1172" s="19" t="s">
        <v>3580</v>
      </c>
      <c r="G1172" s="19" t="s">
        <v>3581</v>
      </c>
      <c r="H1172" s="20">
        <v>43837</v>
      </c>
      <c r="L1172" s="6">
        <v>7209812759</v>
      </c>
      <c r="N1172" s="16"/>
      <c r="O1172" s="7"/>
      <c r="P1172" s="17"/>
    </row>
    <row r="1173" spans="1:16" ht="14.25" customHeight="1">
      <c r="A1173" s="5" t="s">
        <v>0</v>
      </c>
      <c r="B1173" s="5" t="str">
        <f t="shared" si="7"/>
        <v>Y</v>
      </c>
      <c r="C1173" s="18" t="s">
        <v>3582</v>
      </c>
      <c r="D1173" s="18"/>
      <c r="E1173" s="6" t="s">
        <v>3583</v>
      </c>
      <c r="F1173" s="19" t="s">
        <v>3584</v>
      </c>
      <c r="G1173" s="19" t="s">
        <v>3581</v>
      </c>
      <c r="H1173" s="20">
        <v>43837</v>
      </c>
      <c r="L1173" s="6">
        <v>7209812759</v>
      </c>
      <c r="N1173" s="16"/>
      <c r="O1173" s="7"/>
      <c r="P1173" s="17"/>
    </row>
    <row r="1174" spans="1:16" ht="14.25" customHeight="1">
      <c r="A1174" s="5" t="s">
        <v>0</v>
      </c>
      <c r="B1174" s="5" t="str">
        <f t="shared" si="7"/>
        <v>Y</v>
      </c>
      <c r="C1174" s="125" t="s">
        <v>3585</v>
      </c>
      <c r="D1174" s="125"/>
      <c r="E1174" s="6" t="s">
        <v>3586</v>
      </c>
      <c r="F1174" s="19" t="s">
        <v>3587</v>
      </c>
      <c r="G1174" s="19" t="s">
        <v>3588</v>
      </c>
      <c r="H1174" s="20">
        <v>43839</v>
      </c>
      <c r="N1174" s="16"/>
      <c r="O1174" s="7"/>
      <c r="P1174" s="17"/>
    </row>
    <row r="1175" spans="1:16" ht="14.25" customHeight="1">
      <c r="A1175" s="5" t="s">
        <v>0</v>
      </c>
      <c r="B1175" s="5" t="str">
        <f t="shared" si="7"/>
        <v>Y</v>
      </c>
      <c r="C1175" s="18" t="s">
        <v>3589</v>
      </c>
      <c r="D1175" s="18"/>
      <c r="E1175" s="6" t="s">
        <v>3590</v>
      </c>
      <c r="F1175" s="19" t="s">
        <v>3591</v>
      </c>
      <c r="G1175" s="19" t="s">
        <v>3588</v>
      </c>
      <c r="H1175" s="20">
        <v>43839</v>
      </c>
      <c r="L1175" s="6">
        <v>6204219287</v>
      </c>
      <c r="N1175" s="16"/>
      <c r="O1175" s="7"/>
      <c r="P1175" s="17"/>
    </row>
    <row r="1176" spans="1:16" ht="14.25" customHeight="1">
      <c r="A1176" s="5" t="s">
        <v>0</v>
      </c>
      <c r="B1176" s="5" t="str">
        <f t="shared" si="7"/>
        <v>Y</v>
      </c>
      <c r="C1176" s="18" t="s">
        <v>3592</v>
      </c>
      <c r="D1176" s="18"/>
      <c r="E1176" s="6" t="s">
        <v>3593</v>
      </c>
      <c r="F1176" s="19" t="s">
        <v>3594</v>
      </c>
      <c r="G1176" s="19" t="s">
        <v>3588</v>
      </c>
      <c r="H1176" s="20">
        <v>43839</v>
      </c>
      <c r="L1176" s="6">
        <v>9931110369</v>
      </c>
      <c r="N1176" s="16"/>
      <c r="O1176" s="7"/>
      <c r="P1176" s="17"/>
    </row>
    <row r="1177" spans="1:16" ht="14.25" customHeight="1">
      <c r="A1177" s="5" t="s">
        <v>0</v>
      </c>
      <c r="B1177" s="5" t="str">
        <f t="shared" si="7"/>
        <v>Y</v>
      </c>
      <c r="C1177" s="18" t="s">
        <v>3595</v>
      </c>
      <c r="D1177" s="18"/>
      <c r="E1177" s="6" t="s">
        <v>3596</v>
      </c>
      <c r="F1177" s="19" t="s">
        <v>3597</v>
      </c>
      <c r="G1177" s="20">
        <v>43839</v>
      </c>
      <c r="H1177" s="20">
        <v>43839</v>
      </c>
      <c r="L1177" s="6">
        <v>9031381897</v>
      </c>
      <c r="N1177" s="16"/>
      <c r="O1177" s="7"/>
      <c r="P1177" s="17"/>
    </row>
    <row r="1178" spans="1:16" ht="14.25" customHeight="1">
      <c r="A1178" s="5" t="s">
        <v>0</v>
      </c>
      <c r="B1178" s="5" t="str">
        <f t="shared" si="7"/>
        <v>Y</v>
      </c>
      <c r="C1178" s="18" t="s">
        <v>3598</v>
      </c>
      <c r="D1178" s="18"/>
      <c r="E1178" s="6" t="s">
        <v>3599</v>
      </c>
      <c r="F1178" s="19" t="s">
        <v>3600</v>
      </c>
      <c r="G1178" s="19" t="s">
        <v>3601</v>
      </c>
      <c r="H1178" s="20">
        <v>43847</v>
      </c>
      <c r="L1178" s="6">
        <v>9931127591</v>
      </c>
      <c r="M1178" s="6" t="s">
        <v>3602</v>
      </c>
      <c r="N1178" s="16"/>
      <c r="O1178" s="7"/>
      <c r="P1178" s="17"/>
    </row>
    <row r="1179" spans="1:16" ht="14.25" customHeight="1">
      <c r="A1179" s="5" t="s">
        <v>0</v>
      </c>
      <c r="B1179" s="5" t="str">
        <f t="shared" si="7"/>
        <v>N</v>
      </c>
      <c r="C1179" s="18" t="s">
        <v>3603</v>
      </c>
      <c r="D1179" s="18"/>
      <c r="E1179" s="6" t="s">
        <v>3604</v>
      </c>
      <c r="F1179" s="19" t="s">
        <v>3605</v>
      </c>
      <c r="G1179" s="19" t="s">
        <v>3601</v>
      </c>
      <c r="H1179" s="5"/>
      <c r="L1179" s="6">
        <v>9279242848</v>
      </c>
      <c r="N1179" s="16"/>
      <c r="O1179" s="7"/>
      <c r="P1179" s="17"/>
    </row>
    <row r="1180" spans="1:16" ht="14.25" customHeight="1">
      <c r="A1180" s="5" t="s">
        <v>0</v>
      </c>
      <c r="B1180" s="5" t="str">
        <f t="shared" si="7"/>
        <v>Y</v>
      </c>
      <c r="C1180" s="18" t="s">
        <v>3606</v>
      </c>
      <c r="D1180" s="18"/>
      <c r="E1180" s="6" t="s">
        <v>3607</v>
      </c>
      <c r="F1180" s="19" t="s">
        <v>3608</v>
      </c>
      <c r="G1180" s="19" t="s">
        <v>3601</v>
      </c>
      <c r="H1180" s="20">
        <v>43842</v>
      </c>
      <c r="I1180" s="6" t="s">
        <v>3609</v>
      </c>
      <c r="L1180" s="6">
        <v>9279068179</v>
      </c>
      <c r="N1180" s="16"/>
      <c r="O1180" s="7"/>
      <c r="P1180" s="17"/>
    </row>
    <row r="1181" spans="1:16" ht="14.25" customHeight="1">
      <c r="A1181" s="5" t="s">
        <v>0</v>
      </c>
      <c r="B1181" s="5" t="str">
        <f t="shared" si="7"/>
        <v>Y</v>
      </c>
      <c r="C1181" s="18" t="s">
        <v>3610</v>
      </c>
      <c r="D1181" s="18"/>
      <c r="E1181" s="6" t="s">
        <v>3611</v>
      </c>
      <c r="F1181" s="19" t="s">
        <v>3051</v>
      </c>
      <c r="G1181" s="19" t="s">
        <v>3601</v>
      </c>
      <c r="H1181" s="20">
        <v>43841</v>
      </c>
      <c r="L1181" s="6">
        <v>9693013783</v>
      </c>
      <c r="N1181" s="16"/>
      <c r="O1181" s="7"/>
      <c r="P1181" s="17"/>
    </row>
    <row r="1182" spans="1:16" ht="14.25" customHeight="1">
      <c r="A1182" s="5" t="s">
        <v>0</v>
      </c>
      <c r="B1182" s="5" t="str">
        <f t="shared" si="7"/>
        <v>Y</v>
      </c>
      <c r="C1182" s="18" t="s">
        <v>3612</v>
      </c>
      <c r="D1182" s="18"/>
      <c r="E1182" s="6" t="s">
        <v>3613</v>
      </c>
      <c r="F1182" s="19" t="s">
        <v>3614</v>
      </c>
      <c r="G1182" s="20">
        <v>43841</v>
      </c>
      <c r="H1182" s="20">
        <v>43842</v>
      </c>
      <c r="I1182" s="6" t="s">
        <v>3615</v>
      </c>
      <c r="L1182" s="6">
        <v>9279242848</v>
      </c>
      <c r="N1182" s="16"/>
      <c r="O1182" s="7"/>
      <c r="P1182" s="17"/>
    </row>
    <row r="1183" spans="1:16" ht="14.25" customHeight="1">
      <c r="A1183" s="5" t="s">
        <v>0</v>
      </c>
      <c r="B1183" s="5" t="str">
        <f t="shared" si="7"/>
        <v>Y</v>
      </c>
      <c r="C1183" s="18" t="s">
        <v>3616</v>
      </c>
      <c r="D1183" s="18"/>
      <c r="E1183" s="96" t="s">
        <v>3617</v>
      </c>
      <c r="F1183" s="19" t="s">
        <v>3584</v>
      </c>
      <c r="G1183" s="19" t="s">
        <v>3618</v>
      </c>
      <c r="H1183" s="19" t="s">
        <v>3618</v>
      </c>
      <c r="L1183" s="6">
        <v>7970494337</v>
      </c>
      <c r="N1183" s="16"/>
      <c r="O1183" s="7"/>
      <c r="P1183" s="17"/>
    </row>
    <row r="1184" spans="1:16" ht="14.25" customHeight="1">
      <c r="A1184" s="5" t="s">
        <v>0</v>
      </c>
      <c r="B1184" s="5" t="str">
        <f t="shared" si="7"/>
        <v>Y</v>
      </c>
      <c r="C1184" s="18" t="s">
        <v>3619</v>
      </c>
      <c r="D1184" s="18"/>
      <c r="E1184" s="19" t="s">
        <v>3620</v>
      </c>
      <c r="F1184" s="19" t="s">
        <v>3621</v>
      </c>
      <c r="G1184" s="19" t="s">
        <v>3622</v>
      </c>
      <c r="H1184" s="19" t="s">
        <v>3622</v>
      </c>
      <c r="L1184" s="6">
        <v>9835552756</v>
      </c>
      <c r="N1184" s="16"/>
      <c r="O1184" s="7"/>
      <c r="P1184" s="17"/>
    </row>
    <row r="1185" spans="1:16" ht="14.25" customHeight="1">
      <c r="A1185" s="5" t="s">
        <v>0</v>
      </c>
      <c r="B1185" s="5" t="str">
        <f t="shared" si="7"/>
        <v>Y</v>
      </c>
      <c r="C1185" s="18" t="s">
        <v>3623</v>
      </c>
      <c r="D1185" s="18"/>
      <c r="E1185" s="6" t="s">
        <v>3624</v>
      </c>
      <c r="F1185" s="19" t="s">
        <v>3625</v>
      </c>
      <c r="G1185" s="19" t="s">
        <v>3622</v>
      </c>
      <c r="H1185" s="19" t="s">
        <v>3622</v>
      </c>
      <c r="L1185" s="6">
        <v>7654775513</v>
      </c>
      <c r="N1185" s="16"/>
      <c r="O1185" s="7"/>
      <c r="P1185" s="17"/>
    </row>
    <row r="1186" spans="1:16" ht="14.25" customHeight="1">
      <c r="A1186" s="5" t="s">
        <v>0</v>
      </c>
      <c r="B1186" s="5" t="str">
        <f t="shared" si="7"/>
        <v>Y</v>
      </c>
      <c r="C1186" s="18" t="s">
        <v>3626</v>
      </c>
      <c r="D1186" s="18"/>
      <c r="E1186" s="6" t="s">
        <v>3627</v>
      </c>
      <c r="F1186" s="19" t="s">
        <v>3628</v>
      </c>
      <c r="G1186" s="19" t="s">
        <v>3622</v>
      </c>
      <c r="H1186" s="19" t="s">
        <v>3622</v>
      </c>
      <c r="L1186" s="6">
        <v>7654775513</v>
      </c>
      <c r="N1186" s="16"/>
      <c r="O1186" s="7"/>
      <c r="P1186" s="17"/>
    </row>
    <row r="1187" spans="1:16" ht="14.25" customHeight="1">
      <c r="A1187" s="5" t="s">
        <v>0</v>
      </c>
      <c r="B1187" s="5" t="str">
        <f t="shared" si="7"/>
        <v>Y</v>
      </c>
      <c r="C1187" s="18" t="s">
        <v>3629</v>
      </c>
      <c r="D1187" s="18"/>
      <c r="E1187" s="96" t="s">
        <v>3630</v>
      </c>
      <c r="F1187" s="19" t="s">
        <v>3040</v>
      </c>
      <c r="G1187" s="19" t="s">
        <v>3631</v>
      </c>
      <c r="H1187" s="111" t="s">
        <v>3631</v>
      </c>
      <c r="L1187" s="6">
        <v>7260078168</v>
      </c>
      <c r="N1187" s="16"/>
      <c r="O1187" s="7"/>
      <c r="P1187" s="17"/>
    </row>
    <row r="1188" spans="1:16" ht="14.25" customHeight="1">
      <c r="A1188" s="5" t="s">
        <v>0</v>
      </c>
      <c r="B1188" s="5" t="str">
        <f t="shared" si="7"/>
        <v>Y</v>
      </c>
      <c r="C1188" s="18" t="s">
        <v>3632</v>
      </c>
      <c r="D1188" s="18"/>
      <c r="E1188" s="6" t="s">
        <v>3633</v>
      </c>
      <c r="F1188" s="19" t="s">
        <v>3634</v>
      </c>
      <c r="G1188" s="19" t="s">
        <v>3635</v>
      </c>
      <c r="H1188" s="112">
        <v>43852</v>
      </c>
      <c r="L1188" s="6">
        <v>9534053089</v>
      </c>
      <c r="N1188" s="16"/>
      <c r="O1188" s="7"/>
      <c r="P1188" s="17"/>
    </row>
    <row r="1189" spans="1:16" ht="14.25" customHeight="1">
      <c r="A1189" s="5" t="s">
        <v>0</v>
      </c>
      <c r="B1189" s="5" t="str">
        <f t="shared" si="7"/>
        <v>Y</v>
      </c>
      <c r="C1189" s="18" t="s">
        <v>3636</v>
      </c>
      <c r="D1189" s="18"/>
      <c r="E1189" s="6" t="s">
        <v>3637</v>
      </c>
      <c r="F1189" s="19" t="s">
        <v>3638</v>
      </c>
      <c r="G1189" s="19" t="s">
        <v>3639</v>
      </c>
      <c r="H1189" s="112">
        <v>43853</v>
      </c>
      <c r="L1189" s="6">
        <v>7277687092</v>
      </c>
      <c r="N1189" s="16"/>
      <c r="O1189" s="7"/>
      <c r="P1189" s="17"/>
    </row>
    <row r="1190" spans="1:16" ht="14.25" customHeight="1">
      <c r="A1190" s="5" t="s">
        <v>0</v>
      </c>
      <c r="B1190" s="5" t="str">
        <f t="shared" si="7"/>
        <v>Y</v>
      </c>
      <c r="C1190" s="18" t="s">
        <v>3640</v>
      </c>
      <c r="D1190" s="18"/>
      <c r="E1190" s="6" t="s">
        <v>3641</v>
      </c>
      <c r="F1190" s="19" t="s">
        <v>3642</v>
      </c>
      <c r="G1190" s="19" t="s">
        <v>3639</v>
      </c>
      <c r="H1190" s="112">
        <v>43853</v>
      </c>
      <c r="L1190" s="6">
        <v>9113182499</v>
      </c>
      <c r="N1190" s="16"/>
      <c r="O1190" s="7"/>
      <c r="P1190" s="17"/>
    </row>
    <row r="1191" spans="1:16" ht="14.25" customHeight="1">
      <c r="A1191" s="5" t="s">
        <v>0</v>
      </c>
      <c r="B1191" s="5" t="str">
        <f t="shared" si="7"/>
        <v>Y</v>
      </c>
      <c r="C1191" s="18" t="s">
        <v>3643</v>
      </c>
      <c r="D1191" s="18"/>
      <c r="E1191" s="6" t="s">
        <v>3644</v>
      </c>
      <c r="F1191" s="19" t="s">
        <v>3645</v>
      </c>
      <c r="G1191" s="19" t="s">
        <v>3646</v>
      </c>
      <c r="H1191" s="112">
        <v>43855</v>
      </c>
      <c r="L1191" s="6">
        <v>7488949641</v>
      </c>
      <c r="N1191" s="16"/>
      <c r="O1191" s="7"/>
      <c r="P1191" s="17"/>
    </row>
    <row r="1192" spans="1:16" ht="14.25" customHeight="1">
      <c r="A1192" s="5" t="s">
        <v>0</v>
      </c>
      <c r="B1192" s="5" t="str">
        <f t="shared" si="7"/>
        <v>Y</v>
      </c>
      <c r="C1192" s="18" t="s">
        <v>3647</v>
      </c>
      <c r="D1192" s="18"/>
      <c r="E1192" s="6" t="s">
        <v>3648</v>
      </c>
      <c r="F1192" s="19" t="s">
        <v>3649</v>
      </c>
      <c r="G1192" s="19" t="s">
        <v>3650</v>
      </c>
      <c r="H1192" s="112">
        <v>43850</v>
      </c>
      <c r="L1192" s="6">
        <v>8651911238</v>
      </c>
      <c r="N1192" s="16"/>
      <c r="O1192" s="7"/>
      <c r="P1192" s="17"/>
    </row>
    <row r="1193" spans="1:16" ht="14.25" customHeight="1">
      <c r="A1193" s="5" t="s">
        <v>0</v>
      </c>
      <c r="B1193" s="5" t="str">
        <f t="shared" si="7"/>
        <v>Y</v>
      </c>
      <c r="C1193" s="18" t="s">
        <v>3651</v>
      </c>
      <c r="D1193" s="18"/>
      <c r="E1193" s="6" t="s">
        <v>3652</v>
      </c>
      <c r="F1193" s="19" t="s">
        <v>3653</v>
      </c>
      <c r="G1193" s="19" t="s">
        <v>3650</v>
      </c>
      <c r="H1193" s="112">
        <v>43850</v>
      </c>
      <c r="L1193" s="6">
        <v>9709817690</v>
      </c>
      <c r="N1193" s="16"/>
      <c r="O1193" s="7"/>
      <c r="P1193" s="17"/>
    </row>
    <row r="1194" spans="1:16" ht="14.25" customHeight="1">
      <c r="A1194" s="5" t="s">
        <v>0</v>
      </c>
      <c r="B1194" s="5" t="str">
        <f t="shared" si="7"/>
        <v>Y</v>
      </c>
      <c r="C1194" s="18" t="s">
        <v>3654</v>
      </c>
      <c r="D1194" s="18"/>
      <c r="E1194" s="6" t="s">
        <v>3617</v>
      </c>
      <c r="F1194" s="19" t="s">
        <v>3655</v>
      </c>
      <c r="G1194" s="19" t="s">
        <v>3656</v>
      </c>
      <c r="H1194" s="112">
        <v>43855</v>
      </c>
      <c r="L1194" s="6">
        <v>9113182499</v>
      </c>
      <c r="N1194" s="16"/>
      <c r="O1194" s="7"/>
      <c r="P1194" s="17"/>
    </row>
    <row r="1195" spans="1:16" ht="14.25" customHeight="1">
      <c r="A1195" s="5" t="s">
        <v>0</v>
      </c>
      <c r="B1195" s="5" t="str">
        <f t="shared" si="7"/>
        <v>Y</v>
      </c>
      <c r="C1195" s="18" t="s">
        <v>3657</v>
      </c>
      <c r="D1195" s="18"/>
      <c r="E1195" s="6" t="s">
        <v>3658</v>
      </c>
      <c r="F1195" s="19" t="s">
        <v>3659</v>
      </c>
      <c r="G1195" s="19" t="s">
        <v>3656</v>
      </c>
      <c r="H1195" s="112">
        <v>43858</v>
      </c>
      <c r="J1195" s="4">
        <v>43868</v>
      </c>
      <c r="L1195" s="6">
        <v>9334181654</v>
      </c>
      <c r="N1195" s="16"/>
      <c r="O1195" s="7"/>
      <c r="P1195" s="17"/>
    </row>
    <row r="1196" spans="1:16" ht="14.25" customHeight="1">
      <c r="A1196" s="5" t="s">
        <v>0</v>
      </c>
      <c r="B1196" s="5" t="str">
        <f t="shared" si="7"/>
        <v>Y</v>
      </c>
      <c r="C1196" s="18" t="s">
        <v>3660</v>
      </c>
      <c r="D1196" s="18"/>
      <c r="E1196" s="96" t="s">
        <v>3661</v>
      </c>
      <c r="F1196" s="19" t="s">
        <v>3662</v>
      </c>
      <c r="G1196" s="19" t="s">
        <v>3663</v>
      </c>
      <c r="H1196" s="111" t="s">
        <v>3663</v>
      </c>
      <c r="L1196" s="6">
        <v>7250988250</v>
      </c>
      <c r="N1196" s="16"/>
      <c r="O1196" s="7"/>
      <c r="P1196" s="17"/>
    </row>
    <row r="1197" spans="1:16" ht="14.25" customHeight="1">
      <c r="A1197" s="5" t="s">
        <v>0</v>
      </c>
      <c r="B1197" s="5" t="str">
        <f t="shared" si="7"/>
        <v>Y</v>
      </c>
      <c r="C1197" s="18" t="s">
        <v>3664</v>
      </c>
      <c r="D1197" s="18"/>
      <c r="E1197" s="96" t="s">
        <v>3665</v>
      </c>
      <c r="F1197" s="19" t="s">
        <v>3666</v>
      </c>
      <c r="G1197" s="19" t="s">
        <v>3663</v>
      </c>
      <c r="H1197" s="111" t="s">
        <v>3663</v>
      </c>
      <c r="L1197" s="6">
        <v>6206526807</v>
      </c>
      <c r="N1197" s="16"/>
      <c r="O1197" s="7"/>
      <c r="P1197" s="17"/>
    </row>
    <row r="1198" spans="1:16" ht="14.25" customHeight="1">
      <c r="A1198" s="5" t="s">
        <v>0</v>
      </c>
      <c r="B1198" s="5" t="str">
        <f t="shared" si="7"/>
        <v>Y</v>
      </c>
      <c r="C1198" s="18" t="s">
        <v>3667</v>
      </c>
      <c r="D1198" s="18"/>
      <c r="E1198" s="6" t="s">
        <v>3668</v>
      </c>
      <c r="F1198" s="19" t="s">
        <v>3669</v>
      </c>
      <c r="G1198" s="19" t="s">
        <v>3663</v>
      </c>
      <c r="H1198" s="111" t="s">
        <v>3670</v>
      </c>
      <c r="L1198" s="6">
        <v>6205426807</v>
      </c>
      <c r="N1198" s="16"/>
      <c r="O1198" s="7"/>
      <c r="P1198" s="17"/>
    </row>
    <row r="1199" spans="1:16" ht="14.25" customHeight="1">
      <c r="A1199" s="5" t="s">
        <v>0</v>
      </c>
      <c r="B1199" s="5" t="str">
        <f t="shared" si="7"/>
        <v>Y</v>
      </c>
      <c r="C1199" s="18" t="s">
        <v>3671</v>
      </c>
      <c r="D1199" s="18"/>
      <c r="E1199" s="6" t="s">
        <v>3672</v>
      </c>
      <c r="F1199" s="19" t="s">
        <v>3673</v>
      </c>
      <c r="G1199" s="19" t="s">
        <v>3674</v>
      </c>
      <c r="H1199" s="19" t="s">
        <v>3670</v>
      </c>
      <c r="L1199" s="6">
        <v>7070000571</v>
      </c>
      <c r="N1199" s="16"/>
      <c r="O1199" s="7"/>
      <c r="P1199" s="17"/>
    </row>
    <row r="1200" spans="1:16" ht="14.25" customHeight="1">
      <c r="A1200" s="5" t="s">
        <v>0</v>
      </c>
      <c r="B1200" s="5" t="str">
        <f t="shared" si="7"/>
        <v>Y</v>
      </c>
      <c r="C1200" s="18" t="s">
        <v>3675</v>
      </c>
      <c r="D1200" s="18"/>
      <c r="E1200" s="6" t="s">
        <v>3676</v>
      </c>
      <c r="F1200" s="19" t="s">
        <v>3677</v>
      </c>
      <c r="G1200" s="19" t="s">
        <v>3678</v>
      </c>
      <c r="H1200" s="19" t="s">
        <v>3670</v>
      </c>
      <c r="L1200" s="6">
        <v>9852438170</v>
      </c>
      <c r="N1200" s="16"/>
      <c r="O1200" s="7"/>
      <c r="P1200" s="17"/>
    </row>
    <row r="1201" spans="1:16" ht="14.25" customHeight="1">
      <c r="A1201" s="5" t="s">
        <v>0</v>
      </c>
      <c r="B1201" s="5" t="str">
        <f t="shared" si="7"/>
        <v>Y</v>
      </c>
      <c r="C1201" s="18" t="s">
        <v>3679</v>
      </c>
      <c r="D1201" s="18"/>
      <c r="E1201" s="96" t="s">
        <v>3680</v>
      </c>
      <c r="F1201" s="19" t="s">
        <v>3681</v>
      </c>
      <c r="G1201" s="19" t="s">
        <v>3670</v>
      </c>
      <c r="H1201" s="19" t="s">
        <v>3670</v>
      </c>
      <c r="L1201" s="6">
        <v>7739112284</v>
      </c>
      <c r="N1201" s="16"/>
      <c r="O1201" s="7"/>
      <c r="P1201" s="17"/>
    </row>
    <row r="1202" spans="1:16" ht="14.25" customHeight="1">
      <c r="A1202" s="5" t="s">
        <v>0</v>
      </c>
      <c r="B1202" s="5" t="str">
        <f t="shared" si="7"/>
        <v>Y</v>
      </c>
      <c r="C1202" s="18" t="s">
        <v>3682</v>
      </c>
      <c r="D1202" s="18"/>
      <c r="E1202" s="6" t="s">
        <v>3683</v>
      </c>
      <c r="F1202" s="19" t="s">
        <v>3684</v>
      </c>
      <c r="G1202" s="19" t="s">
        <v>3670</v>
      </c>
      <c r="H1202" s="19" t="s">
        <v>3670</v>
      </c>
      <c r="L1202" s="6">
        <v>9199395670</v>
      </c>
      <c r="N1202" s="16"/>
      <c r="O1202" s="7"/>
      <c r="P1202" s="17"/>
    </row>
    <row r="1203" spans="1:16" ht="14.25" customHeight="1">
      <c r="A1203" s="5" t="s">
        <v>0</v>
      </c>
      <c r="B1203" s="5" t="str">
        <f t="shared" si="7"/>
        <v>Y</v>
      </c>
      <c r="C1203" s="18" t="s">
        <v>3685</v>
      </c>
      <c r="D1203" s="18"/>
      <c r="E1203" s="126" t="s">
        <v>3686</v>
      </c>
      <c r="F1203" s="19" t="s">
        <v>3687</v>
      </c>
      <c r="G1203" s="19" t="s">
        <v>3688</v>
      </c>
      <c r="H1203" s="20">
        <v>43861</v>
      </c>
      <c r="L1203" s="6">
        <v>8227820413</v>
      </c>
      <c r="N1203" s="16"/>
      <c r="O1203" s="7"/>
      <c r="P1203" s="17"/>
    </row>
    <row r="1204" spans="1:16" ht="14.25" customHeight="1">
      <c r="A1204" s="5" t="s">
        <v>0</v>
      </c>
      <c r="B1204" s="5" t="str">
        <f t="shared" si="7"/>
        <v>Y</v>
      </c>
      <c r="C1204" s="18" t="s">
        <v>3689</v>
      </c>
      <c r="D1204" s="18"/>
      <c r="E1204" s="113" t="s">
        <v>3690</v>
      </c>
      <c r="F1204" s="19" t="s">
        <v>3205</v>
      </c>
      <c r="G1204" s="19" t="s">
        <v>3691</v>
      </c>
      <c r="H1204" s="19" t="s">
        <v>3691</v>
      </c>
      <c r="L1204" s="6">
        <v>9155044319</v>
      </c>
      <c r="N1204" s="16"/>
      <c r="O1204" s="7"/>
      <c r="P1204" s="17"/>
    </row>
    <row r="1205" spans="1:16" ht="14.25" customHeight="1">
      <c r="A1205" s="5" t="s">
        <v>0</v>
      </c>
      <c r="B1205" s="5" t="str">
        <f t="shared" si="7"/>
        <v>Y</v>
      </c>
      <c r="C1205" s="18" t="s">
        <v>3692</v>
      </c>
      <c r="D1205" s="18"/>
      <c r="E1205" s="126" t="s">
        <v>3693</v>
      </c>
      <c r="F1205" s="19" t="s">
        <v>3029</v>
      </c>
      <c r="G1205" s="19" t="s">
        <v>3691</v>
      </c>
      <c r="H1205" s="19" t="s">
        <v>3691</v>
      </c>
      <c r="I1205" s="19" t="s">
        <v>3694</v>
      </c>
      <c r="L1205" s="6">
        <v>7070280574</v>
      </c>
      <c r="M1205" s="6" t="s">
        <v>3695</v>
      </c>
      <c r="N1205" s="127" t="s">
        <v>3696</v>
      </c>
      <c r="O1205" s="7"/>
      <c r="P1205" s="17"/>
    </row>
    <row r="1206" spans="1:16" ht="14.25" customHeight="1">
      <c r="A1206" s="5" t="s">
        <v>0</v>
      </c>
      <c r="B1206" s="5" t="str">
        <f t="shared" si="7"/>
        <v>Y</v>
      </c>
      <c r="C1206" s="18" t="s">
        <v>3697</v>
      </c>
      <c r="D1206" s="18"/>
      <c r="E1206" s="126" t="s">
        <v>3698</v>
      </c>
      <c r="F1206" s="19" t="s">
        <v>3699</v>
      </c>
      <c r="G1206" s="19" t="s">
        <v>3691</v>
      </c>
      <c r="H1206" s="19" t="s">
        <v>3691</v>
      </c>
      <c r="L1206" s="6">
        <v>7667856058</v>
      </c>
      <c r="M1206" s="6" t="s">
        <v>3700</v>
      </c>
      <c r="N1206" s="127" t="s">
        <v>3696</v>
      </c>
      <c r="O1206" s="7"/>
      <c r="P1206" s="17"/>
    </row>
    <row r="1207" spans="1:16" ht="14.25" customHeight="1">
      <c r="A1207" s="5" t="s">
        <v>0</v>
      </c>
      <c r="B1207" s="5" t="str">
        <f t="shared" si="7"/>
        <v>Y</v>
      </c>
      <c r="C1207" s="18" t="s">
        <v>3701</v>
      </c>
      <c r="D1207" s="18"/>
      <c r="E1207" s="126" t="s">
        <v>3702</v>
      </c>
      <c r="F1207" s="19" t="s">
        <v>3703</v>
      </c>
      <c r="G1207" s="19" t="s">
        <v>3691</v>
      </c>
      <c r="H1207" s="19" t="s">
        <v>3691</v>
      </c>
      <c r="L1207" s="6">
        <v>9294949525</v>
      </c>
      <c r="M1207" s="6" t="s">
        <v>3704</v>
      </c>
      <c r="N1207" s="127" t="s">
        <v>3696</v>
      </c>
      <c r="O1207" s="7"/>
      <c r="P1207" s="17"/>
    </row>
    <row r="1208" spans="1:16" ht="14.25" customHeight="1">
      <c r="A1208" s="5" t="s">
        <v>0</v>
      </c>
      <c r="B1208" s="5" t="str">
        <f t="shared" si="7"/>
        <v>N</v>
      </c>
      <c r="C1208" s="125" t="s">
        <v>3705</v>
      </c>
      <c r="D1208" s="125"/>
      <c r="E1208" s="126" t="s">
        <v>3706</v>
      </c>
      <c r="F1208" s="19" t="s">
        <v>3707</v>
      </c>
      <c r="G1208" s="19" t="s">
        <v>3708</v>
      </c>
      <c r="H1208" s="5"/>
      <c r="L1208" s="6">
        <v>8987964834</v>
      </c>
      <c r="M1208" s="6" t="s">
        <v>3695</v>
      </c>
      <c r="N1208" s="16"/>
      <c r="O1208" s="7"/>
      <c r="P1208" s="17"/>
    </row>
    <row r="1209" spans="1:16" ht="14.25" customHeight="1">
      <c r="A1209" s="5" t="s">
        <v>0</v>
      </c>
      <c r="B1209" s="5" t="str">
        <f t="shared" si="7"/>
        <v>Y</v>
      </c>
      <c r="C1209" s="18" t="s">
        <v>3709</v>
      </c>
      <c r="D1209" s="18"/>
      <c r="E1209" s="126" t="s">
        <v>3710</v>
      </c>
      <c r="F1209" s="19" t="s">
        <v>3711</v>
      </c>
      <c r="G1209" s="19" t="s">
        <v>3708</v>
      </c>
      <c r="H1209" s="20">
        <v>43864</v>
      </c>
      <c r="L1209" s="6">
        <v>7319482141</v>
      </c>
      <c r="M1209" s="38" t="s">
        <v>3712</v>
      </c>
      <c r="N1209" s="16"/>
      <c r="O1209" s="7"/>
      <c r="P1209" s="17"/>
    </row>
    <row r="1210" spans="1:16" ht="14.25" customHeight="1">
      <c r="A1210" s="5" t="s">
        <v>0</v>
      </c>
      <c r="B1210" s="5" t="str">
        <f t="shared" si="7"/>
        <v>Y</v>
      </c>
      <c r="C1210" s="18" t="s">
        <v>3713</v>
      </c>
      <c r="D1210" s="18"/>
      <c r="E1210" s="126" t="s">
        <v>3714</v>
      </c>
      <c r="F1210" s="19" t="s">
        <v>3715</v>
      </c>
      <c r="G1210" s="19" t="s">
        <v>3716</v>
      </c>
      <c r="H1210" s="19" t="s">
        <v>3716</v>
      </c>
      <c r="L1210" s="6">
        <v>9748248979</v>
      </c>
      <c r="N1210" s="16"/>
      <c r="O1210" s="7"/>
      <c r="P1210" s="17"/>
    </row>
    <row r="1211" spans="1:16" ht="14.25" customHeight="1">
      <c r="A1211" s="5" t="s">
        <v>0</v>
      </c>
      <c r="B1211" s="5" t="str">
        <f t="shared" si="7"/>
        <v>Y</v>
      </c>
      <c r="C1211" s="18" t="s">
        <v>3717</v>
      </c>
      <c r="D1211" s="18"/>
      <c r="E1211" s="126" t="s">
        <v>3718</v>
      </c>
      <c r="F1211" s="19" t="s">
        <v>3719</v>
      </c>
      <c r="G1211" s="19" t="s">
        <v>3716</v>
      </c>
      <c r="H1211" s="19" t="s">
        <v>3720</v>
      </c>
      <c r="N1211" s="16"/>
      <c r="O1211" s="7"/>
      <c r="P1211" s="17"/>
    </row>
    <row r="1212" spans="1:16" ht="14.25" customHeight="1">
      <c r="A1212" s="5" t="s">
        <v>0</v>
      </c>
      <c r="B1212" s="5" t="str">
        <f t="shared" si="7"/>
        <v>Y</v>
      </c>
      <c r="C1212" s="18" t="s">
        <v>3721</v>
      </c>
      <c r="D1212" s="18"/>
      <c r="E1212" s="126" t="s">
        <v>3722</v>
      </c>
      <c r="F1212" s="19" t="s">
        <v>3723</v>
      </c>
      <c r="G1212" s="19" t="s">
        <v>3716</v>
      </c>
      <c r="H1212" s="19" t="s">
        <v>3716</v>
      </c>
      <c r="L1212" s="6">
        <v>9031737872</v>
      </c>
      <c r="N1212" s="16"/>
      <c r="O1212" s="7"/>
      <c r="P1212" s="17"/>
    </row>
    <row r="1213" spans="1:16" ht="14.25" customHeight="1">
      <c r="A1213" s="5" t="s">
        <v>0</v>
      </c>
      <c r="B1213" s="5" t="str">
        <f t="shared" si="7"/>
        <v>Y</v>
      </c>
      <c r="C1213" s="18" t="s">
        <v>3724</v>
      </c>
      <c r="D1213" s="18"/>
      <c r="E1213" s="126" t="s">
        <v>3725</v>
      </c>
      <c r="F1213" s="19" t="s">
        <v>3726</v>
      </c>
      <c r="G1213" s="19" t="s">
        <v>3716</v>
      </c>
      <c r="H1213" s="19" t="s">
        <v>3716</v>
      </c>
      <c r="L1213" s="6">
        <v>9798371275</v>
      </c>
      <c r="M1213" s="6" t="s">
        <v>3695</v>
      </c>
      <c r="N1213" s="16"/>
      <c r="O1213" s="7"/>
      <c r="P1213" s="17"/>
    </row>
    <row r="1214" spans="1:16" ht="14.25" customHeight="1">
      <c r="A1214" s="5" t="s">
        <v>0</v>
      </c>
      <c r="B1214" s="5" t="str">
        <f t="shared" si="7"/>
        <v>Y</v>
      </c>
      <c r="C1214" s="18" t="s">
        <v>3727</v>
      </c>
      <c r="D1214" s="18"/>
      <c r="E1214" s="126" t="s">
        <v>584</v>
      </c>
      <c r="F1214" s="19" t="s">
        <v>3728</v>
      </c>
      <c r="G1214" s="19" t="s">
        <v>3720</v>
      </c>
      <c r="H1214" s="19" t="s">
        <v>3720</v>
      </c>
      <c r="N1214" s="16"/>
      <c r="O1214" s="7"/>
      <c r="P1214" s="17"/>
    </row>
    <row r="1215" spans="1:16" ht="14.25" customHeight="1">
      <c r="A1215" s="5" t="s">
        <v>0</v>
      </c>
      <c r="B1215" s="5" t="str">
        <f t="shared" si="7"/>
        <v>Y</v>
      </c>
      <c r="C1215" s="18" t="s">
        <v>3729</v>
      </c>
      <c r="D1215" s="18"/>
      <c r="E1215" s="126" t="s">
        <v>3730</v>
      </c>
      <c r="F1215" s="19" t="s">
        <v>3051</v>
      </c>
      <c r="G1215" s="19" t="s">
        <v>3731</v>
      </c>
      <c r="H1215" s="20">
        <v>43869</v>
      </c>
      <c r="L1215" s="6">
        <v>9835566129</v>
      </c>
      <c r="M1215" s="6" t="s">
        <v>3700</v>
      </c>
      <c r="N1215" s="16"/>
      <c r="O1215" s="7"/>
      <c r="P1215" s="17"/>
    </row>
    <row r="1216" spans="1:16" ht="14.25" customHeight="1">
      <c r="A1216" s="5" t="s">
        <v>0</v>
      </c>
      <c r="B1216" s="5" t="str">
        <f t="shared" si="7"/>
        <v>Y</v>
      </c>
      <c r="C1216" s="18" t="s">
        <v>3732</v>
      </c>
      <c r="D1216" s="18"/>
      <c r="E1216" s="126" t="s">
        <v>3733</v>
      </c>
      <c r="F1216" s="19" t="s">
        <v>3734</v>
      </c>
      <c r="G1216" s="19" t="s">
        <v>3735</v>
      </c>
      <c r="H1216" s="19" t="s">
        <v>3735</v>
      </c>
      <c r="I1216" s="6" t="s">
        <v>3736</v>
      </c>
      <c r="L1216" s="6">
        <v>9708588501</v>
      </c>
      <c r="N1216" s="16"/>
      <c r="O1216" s="7"/>
      <c r="P1216" s="17"/>
    </row>
    <row r="1217" spans="1:16" ht="14.25" customHeight="1">
      <c r="A1217" s="5" t="s">
        <v>0</v>
      </c>
      <c r="B1217" s="5" t="str">
        <f t="shared" si="7"/>
        <v>Y</v>
      </c>
      <c r="C1217" s="18" t="s">
        <v>3737</v>
      </c>
      <c r="D1217" s="18"/>
      <c r="E1217" s="126" t="s">
        <v>3738</v>
      </c>
      <c r="F1217" s="19" t="s">
        <v>3739</v>
      </c>
      <c r="G1217" s="19" t="s">
        <v>3740</v>
      </c>
      <c r="H1217" s="19" t="s">
        <v>3740</v>
      </c>
      <c r="I1217" s="6" t="s">
        <v>3741</v>
      </c>
      <c r="L1217" s="6">
        <v>7370891032</v>
      </c>
      <c r="M1217" s="6" t="s">
        <v>3742</v>
      </c>
      <c r="N1217" s="127" t="s">
        <v>3696</v>
      </c>
      <c r="O1217" s="7"/>
      <c r="P1217" s="17"/>
    </row>
    <row r="1218" spans="1:16" ht="14.25" customHeight="1">
      <c r="A1218" s="5" t="s">
        <v>0</v>
      </c>
      <c r="B1218" s="5" t="str">
        <f t="shared" si="7"/>
        <v>Y</v>
      </c>
      <c r="C1218" s="18" t="s">
        <v>3743</v>
      </c>
      <c r="D1218" s="18"/>
      <c r="E1218" s="126" t="s">
        <v>3744</v>
      </c>
      <c r="F1218" s="19" t="s">
        <v>3745</v>
      </c>
      <c r="G1218" s="19" t="s">
        <v>3740</v>
      </c>
      <c r="H1218" s="19" t="s">
        <v>3746</v>
      </c>
      <c r="L1218" s="6">
        <v>9102665789</v>
      </c>
      <c r="M1218" s="6" t="s">
        <v>3742</v>
      </c>
      <c r="N1218" s="127" t="s">
        <v>3696</v>
      </c>
      <c r="O1218" s="7"/>
      <c r="P1218" s="17"/>
    </row>
    <row r="1219" spans="1:16" ht="14.25" customHeight="1">
      <c r="A1219" s="5" t="s">
        <v>0</v>
      </c>
      <c r="B1219" s="5" t="str">
        <f t="shared" si="7"/>
        <v>Y</v>
      </c>
      <c r="C1219" s="18" t="s">
        <v>3747</v>
      </c>
      <c r="D1219" s="18"/>
      <c r="E1219" s="126" t="s">
        <v>3604</v>
      </c>
      <c r="F1219" s="19" t="s">
        <v>3748</v>
      </c>
      <c r="G1219" s="19" t="s">
        <v>3746</v>
      </c>
      <c r="H1219" s="20">
        <v>43875</v>
      </c>
      <c r="I1219" s="6" t="s">
        <v>3749</v>
      </c>
      <c r="L1219" s="6">
        <v>9279242848</v>
      </c>
      <c r="M1219" s="47" t="s">
        <v>3742</v>
      </c>
      <c r="N1219" s="66" t="s">
        <v>3696</v>
      </c>
      <c r="O1219" s="97"/>
      <c r="P1219" s="98"/>
    </row>
    <row r="1220" spans="1:16" ht="14.25" customHeight="1">
      <c r="A1220" s="5" t="s">
        <v>0</v>
      </c>
      <c r="B1220" s="5" t="str">
        <f t="shared" si="7"/>
        <v>Y</v>
      </c>
      <c r="C1220" s="18" t="s">
        <v>3750</v>
      </c>
      <c r="D1220" s="18"/>
      <c r="E1220" s="126" t="s">
        <v>3751</v>
      </c>
      <c r="F1220" s="19" t="s">
        <v>3752</v>
      </c>
      <c r="G1220" s="19" t="s">
        <v>3746</v>
      </c>
      <c r="H1220" s="20">
        <v>43875</v>
      </c>
      <c r="I1220" s="6" t="s">
        <v>3753</v>
      </c>
      <c r="L1220" s="6">
        <v>7209736177</v>
      </c>
      <c r="M1220" s="6" t="s">
        <v>3754</v>
      </c>
      <c r="N1220" s="16"/>
      <c r="O1220" s="7"/>
      <c r="P1220" s="17"/>
    </row>
    <row r="1221" spans="1:16" ht="14.25" customHeight="1">
      <c r="A1221" s="5" t="s">
        <v>0</v>
      </c>
      <c r="B1221" s="5" t="str">
        <f t="shared" si="7"/>
        <v>Y</v>
      </c>
      <c r="C1221" s="125" t="s">
        <v>3755</v>
      </c>
      <c r="D1221" s="125"/>
      <c r="E1221" s="126" t="s">
        <v>3756</v>
      </c>
      <c r="F1221" s="19" t="s">
        <v>3757</v>
      </c>
      <c r="G1221" s="19" t="s">
        <v>3758</v>
      </c>
      <c r="H1221" s="20">
        <v>43875</v>
      </c>
      <c r="I1221" s="17"/>
      <c r="L1221" s="6">
        <v>8102490894</v>
      </c>
      <c r="M1221" s="128" t="s">
        <v>3695</v>
      </c>
      <c r="N1221" s="16"/>
      <c r="O1221" s="7"/>
      <c r="P1221" s="17"/>
    </row>
    <row r="1222" spans="1:16" ht="14.25" customHeight="1">
      <c r="A1222" s="5" t="s">
        <v>0</v>
      </c>
      <c r="B1222" s="5" t="str">
        <f t="shared" si="7"/>
        <v>Y</v>
      </c>
      <c r="C1222" s="18" t="s">
        <v>3759</v>
      </c>
      <c r="D1222" s="18"/>
      <c r="E1222" s="126" t="s">
        <v>3760</v>
      </c>
      <c r="F1222" s="19" t="s">
        <v>3761</v>
      </c>
      <c r="G1222" s="19" t="s">
        <v>3762</v>
      </c>
      <c r="H1222" s="20">
        <v>43875</v>
      </c>
      <c r="L1222" s="6">
        <v>7366982903</v>
      </c>
      <c r="N1222" s="16"/>
      <c r="O1222" s="7"/>
      <c r="P1222" s="17"/>
    </row>
    <row r="1223" spans="1:16" ht="14.25" customHeight="1">
      <c r="A1223" s="65" t="s">
        <v>0</v>
      </c>
      <c r="B1223" s="65" t="str">
        <f t="shared" si="7"/>
        <v>Y</v>
      </c>
      <c r="C1223" s="62" t="s">
        <v>3763</v>
      </c>
      <c r="D1223" s="62"/>
      <c r="E1223" s="129" t="s">
        <v>3764</v>
      </c>
      <c r="F1223" s="63" t="s">
        <v>3765</v>
      </c>
      <c r="G1223" s="63" t="s">
        <v>3762</v>
      </c>
      <c r="H1223" s="64">
        <v>43875</v>
      </c>
      <c r="I1223" s="47"/>
      <c r="J1223" s="47"/>
      <c r="K1223" s="47"/>
      <c r="L1223" s="47">
        <v>8434686052</v>
      </c>
      <c r="M1223" s="47" t="s">
        <v>1457</v>
      </c>
      <c r="N1223" s="16"/>
      <c r="O1223" s="7"/>
      <c r="P1223" s="17"/>
    </row>
    <row r="1224" spans="1:16" ht="14.25" customHeight="1">
      <c r="A1224" s="5" t="s">
        <v>0</v>
      </c>
      <c r="B1224" s="5" t="str">
        <f t="shared" si="7"/>
        <v>Y</v>
      </c>
      <c r="C1224" s="18" t="s">
        <v>3766</v>
      </c>
      <c r="D1224" s="18"/>
      <c r="E1224" s="126" t="s">
        <v>2084</v>
      </c>
      <c r="F1224" s="19" t="s">
        <v>3767</v>
      </c>
      <c r="G1224" s="19" t="s">
        <v>3758</v>
      </c>
      <c r="H1224" s="20">
        <v>43875</v>
      </c>
      <c r="L1224" s="6">
        <v>9304508491</v>
      </c>
      <c r="N1224" s="16"/>
      <c r="O1224" s="7"/>
      <c r="P1224" s="17"/>
    </row>
    <row r="1225" spans="1:16" ht="14.25" customHeight="1">
      <c r="A1225" s="5" t="s">
        <v>0</v>
      </c>
      <c r="B1225" s="5" t="str">
        <f t="shared" si="7"/>
        <v>Y</v>
      </c>
      <c r="C1225" s="18" t="s">
        <v>3768</v>
      </c>
      <c r="D1225" s="18"/>
      <c r="E1225" s="126" t="s">
        <v>3769</v>
      </c>
      <c r="F1225" s="19" t="s">
        <v>3770</v>
      </c>
      <c r="G1225" s="19" t="s">
        <v>3758</v>
      </c>
      <c r="H1225" s="20">
        <v>43875</v>
      </c>
      <c r="I1225" s="6" t="s">
        <v>3771</v>
      </c>
      <c r="L1225" s="6">
        <v>9931692648</v>
      </c>
      <c r="M1225" s="6" t="s">
        <v>3695</v>
      </c>
      <c r="N1225" s="16"/>
      <c r="O1225" s="7"/>
      <c r="P1225" s="17"/>
    </row>
    <row r="1226" spans="1:16" ht="14.25" customHeight="1">
      <c r="A1226" s="5" t="s">
        <v>0</v>
      </c>
      <c r="B1226" s="5" t="str">
        <f t="shared" si="7"/>
        <v>Y</v>
      </c>
      <c r="C1226" s="18" t="s">
        <v>3772</v>
      </c>
      <c r="D1226" s="18"/>
      <c r="E1226" s="126" t="s">
        <v>3548</v>
      </c>
      <c r="F1226" s="19" t="s">
        <v>3549</v>
      </c>
      <c r="G1226" s="19" t="s">
        <v>3773</v>
      </c>
      <c r="H1226" s="19" t="s">
        <v>3773</v>
      </c>
      <c r="L1226" s="6">
        <v>7631039364</v>
      </c>
      <c r="N1226" s="16"/>
      <c r="O1226" s="7"/>
      <c r="P1226" s="17"/>
    </row>
    <row r="1227" spans="1:16" ht="14.25" customHeight="1">
      <c r="A1227" s="5" t="s">
        <v>0</v>
      </c>
      <c r="B1227" s="5" t="str">
        <f t="shared" si="7"/>
        <v>Y</v>
      </c>
      <c r="C1227" s="18" t="s">
        <v>3774</v>
      </c>
      <c r="D1227" s="18"/>
      <c r="E1227" s="126" t="s">
        <v>3775</v>
      </c>
      <c r="F1227" s="19" t="s">
        <v>3776</v>
      </c>
      <c r="G1227" s="19" t="s">
        <v>3777</v>
      </c>
      <c r="H1227" s="19" t="s">
        <v>3777</v>
      </c>
      <c r="L1227" s="6">
        <v>9572013491</v>
      </c>
      <c r="M1227" s="6" t="s">
        <v>3695</v>
      </c>
      <c r="N1227" s="16"/>
      <c r="O1227" s="7"/>
      <c r="P1227" s="17"/>
    </row>
    <row r="1228" spans="1:16" ht="14.25" customHeight="1">
      <c r="A1228" s="5" t="s">
        <v>0</v>
      </c>
      <c r="B1228" s="5" t="str">
        <f t="shared" si="7"/>
        <v>Y</v>
      </c>
      <c r="C1228" s="18" t="s">
        <v>3778</v>
      </c>
      <c r="D1228" s="18"/>
      <c r="E1228" s="126" t="s">
        <v>3779</v>
      </c>
      <c r="F1228" s="19" t="s">
        <v>3293</v>
      </c>
      <c r="G1228" s="19" t="s">
        <v>3777</v>
      </c>
      <c r="H1228" s="19" t="s">
        <v>3777</v>
      </c>
      <c r="L1228" s="6">
        <v>74997744173</v>
      </c>
      <c r="M1228" s="6" t="s">
        <v>3695</v>
      </c>
      <c r="N1228" s="16"/>
      <c r="O1228" s="7"/>
      <c r="P1228" s="17"/>
    </row>
    <row r="1229" spans="1:16" ht="14.25" customHeight="1">
      <c r="A1229" s="5" t="s">
        <v>0</v>
      </c>
      <c r="B1229" s="5" t="str">
        <f t="shared" si="7"/>
        <v>Y</v>
      </c>
      <c r="C1229" s="18" t="s">
        <v>3780</v>
      </c>
      <c r="D1229" s="18"/>
      <c r="E1229" s="126" t="s">
        <v>3781</v>
      </c>
      <c r="F1229" s="19" t="s">
        <v>3782</v>
      </c>
      <c r="G1229" s="19" t="s">
        <v>3777</v>
      </c>
      <c r="H1229" s="19" t="s">
        <v>3777</v>
      </c>
      <c r="L1229" s="6">
        <v>9973267006</v>
      </c>
      <c r="N1229" s="16"/>
      <c r="O1229" s="7"/>
      <c r="P1229" s="17"/>
    </row>
    <row r="1230" spans="1:16" ht="14.25" customHeight="1">
      <c r="A1230" s="5" t="s">
        <v>0</v>
      </c>
      <c r="B1230" s="5" t="str">
        <f t="shared" si="7"/>
        <v>Y</v>
      </c>
      <c r="C1230" s="18" t="s">
        <v>3783</v>
      </c>
      <c r="D1230" s="18"/>
      <c r="E1230" s="126" t="s">
        <v>3784</v>
      </c>
      <c r="F1230" s="19" t="s">
        <v>3785</v>
      </c>
      <c r="G1230" s="19" t="s">
        <v>3786</v>
      </c>
      <c r="H1230" s="20">
        <v>43882</v>
      </c>
      <c r="K1230" s="6">
        <v>250</v>
      </c>
      <c r="L1230" s="6">
        <v>7544894894</v>
      </c>
      <c r="M1230" s="6" t="s">
        <v>3695</v>
      </c>
      <c r="N1230" s="16"/>
      <c r="O1230" s="7"/>
      <c r="P1230" s="17"/>
    </row>
    <row r="1231" spans="1:16" ht="14.25" customHeight="1">
      <c r="A1231" s="5" t="s">
        <v>0</v>
      </c>
      <c r="B1231" s="5" t="str">
        <f t="shared" si="7"/>
        <v>Y</v>
      </c>
      <c r="C1231" s="18" t="s">
        <v>3787</v>
      </c>
      <c r="D1231" s="18"/>
      <c r="E1231" s="126" t="s">
        <v>3788</v>
      </c>
      <c r="F1231" s="19" t="s">
        <v>3789</v>
      </c>
      <c r="G1231" s="19" t="s">
        <v>3786</v>
      </c>
      <c r="H1231" s="20">
        <v>43882</v>
      </c>
      <c r="K1231" s="6">
        <v>290</v>
      </c>
      <c r="L1231" s="6">
        <v>9006856701</v>
      </c>
      <c r="M1231" s="6" t="s">
        <v>3695</v>
      </c>
      <c r="N1231" s="16"/>
      <c r="O1231" s="7"/>
      <c r="P1231" s="17"/>
    </row>
    <row r="1232" spans="1:16" ht="14.25" customHeight="1">
      <c r="A1232" s="5" t="s">
        <v>0</v>
      </c>
      <c r="B1232" s="5" t="str">
        <f t="shared" si="7"/>
        <v>Y</v>
      </c>
      <c r="C1232" s="18" t="s">
        <v>3790</v>
      </c>
      <c r="D1232" s="18"/>
      <c r="E1232" s="126" t="s">
        <v>3791</v>
      </c>
      <c r="F1232" s="19" t="s">
        <v>3792</v>
      </c>
      <c r="G1232" s="19" t="s">
        <v>3786</v>
      </c>
      <c r="H1232" s="20">
        <v>43882</v>
      </c>
      <c r="L1232" s="6">
        <v>8987964834</v>
      </c>
      <c r="M1232" s="6" t="s">
        <v>3695</v>
      </c>
      <c r="N1232" s="16"/>
      <c r="O1232" s="7"/>
      <c r="P1232" s="17"/>
    </row>
    <row r="1233" spans="1:16" ht="14.25" customHeight="1">
      <c r="A1233" s="5" t="s">
        <v>0</v>
      </c>
      <c r="B1233" s="5" t="str">
        <f t="shared" si="7"/>
        <v>Y</v>
      </c>
      <c r="C1233" s="18" t="s">
        <v>3793</v>
      </c>
      <c r="D1233" s="18"/>
      <c r="E1233" s="126" t="s">
        <v>3794</v>
      </c>
      <c r="F1233" s="111" t="s">
        <v>3795</v>
      </c>
      <c r="G1233" s="19" t="s">
        <v>3786</v>
      </c>
      <c r="H1233" s="20">
        <v>43882</v>
      </c>
      <c r="L1233" s="6">
        <v>6295511917</v>
      </c>
      <c r="M1233" s="6" t="s">
        <v>3695</v>
      </c>
      <c r="N1233" s="16"/>
      <c r="O1233" s="7"/>
      <c r="P1233" s="17"/>
    </row>
    <row r="1234" spans="1:16" ht="14.25" customHeight="1">
      <c r="A1234" s="5" t="s">
        <v>0</v>
      </c>
      <c r="B1234" s="5" t="str">
        <f t="shared" si="7"/>
        <v>Y</v>
      </c>
      <c r="C1234" s="18" t="s">
        <v>3796</v>
      </c>
      <c r="D1234" s="18"/>
      <c r="E1234" s="126" t="s">
        <v>3797</v>
      </c>
      <c r="F1234" s="112">
        <v>32994</v>
      </c>
      <c r="G1234" s="19" t="s">
        <v>3786</v>
      </c>
      <c r="H1234" s="20">
        <v>43882</v>
      </c>
      <c r="I1234" s="126"/>
      <c r="J1234" s="126"/>
      <c r="K1234" s="126"/>
      <c r="L1234" s="130">
        <v>8603215464</v>
      </c>
      <c r="N1234" s="16"/>
      <c r="O1234" s="7"/>
      <c r="P1234" s="17"/>
    </row>
    <row r="1235" spans="1:16" ht="14.25" customHeight="1">
      <c r="A1235" s="5" t="s">
        <v>0</v>
      </c>
      <c r="B1235" s="5" t="str">
        <f t="shared" si="7"/>
        <v>Y</v>
      </c>
      <c r="C1235" s="18" t="s">
        <v>3798</v>
      </c>
      <c r="D1235" s="18"/>
      <c r="E1235" s="126" t="s">
        <v>3799</v>
      </c>
      <c r="F1235" s="112">
        <v>33829</v>
      </c>
      <c r="G1235" s="19" t="s">
        <v>3800</v>
      </c>
      <c r="H1235" s="19" t="s">
        <v>3800</v>
      </c>
      <c r="L1235" s="6">
        <v>9204262036</v>
      </c>
      <c r="N1235" s="16"/>
      <c r="O1235" s="7"/>
      <c r="P1235" s="17"/>
    </row>
    <row r="1236" spans="1:16" ht="14.25" customHeight="1">
      <c r="A1236" s="5" t="s">
        <v>0</v>
      </c>
      <c r="B1236" s="5" t="str">
        <f t="shared" si="7"/>
        <v>Y</v>
      </c>
      <c r="C1236" s="18" t="s">
        <v>3801</v>
      </c>
      <c r="D1236" s="18"/>
      <c r="E1236" s="126" t="s">
        <v>3802</v>
      </c>
      <c r="F1236" s="19" t="s">
        <v>3803</v>
      </c>
      <c r="G1236" s="19" t="s">
        <v>3804</v>
      </c>
      <c r="H1236" s="20">
        <v>43887</v>
      </c>
      <c r="L1236" s="6">
        <v>7762938839</v>
      </c>
      <c r="N1236" s="16"/>
      <c r="O1236" s="7"/>
      <c r="P1236" s="17"/>
    </row>
    <row r="1237" spans="1:16" ht="14.25" customHeight="1">
      <c r="A1237" s="5" t="s">
        <v>0</v>
      </c>
      <c r="B1237" s="5" t="str">
        <f t="shared" si="7"/>
        <v>Y</v>
      </c>
      <c r="C1237" s="18" t="s">
        <v>3805</v>
      </c>
      <c r="D1237" s="18"/>
      <c r="E1237" s="126" t="s">
        <v>3806</v>
      </c>
      <c r="F1237" s="19" t="s">
        <v>3807</v>
      </c>
      <c r="G1237" s="19" t="s">
        <v>3800</v>
      </c>
      <c r="H1237" s="20">
        <v>43887</v>
      </c>
      <c r="L1237" s="6">
        <v>7250604462</v>
      </c>
      <c r="N1237" s="16"/>
      <c r="O1237" s="7"/>
      <c r="P1237" s="17"/>
    </row>
    <row r="1238" spans="1:16" ht="14.25" customHeight="1">
      <c r="A1238" s="5" t="s">
        <v>0</v>
      </c>
      <c r="B1238" s="5" t="str">
        <f t="shared" si="7"/>
        <v>Y</v>
      </c>
      <c r="C1238" s="18" t="s">
        <v>3808</v>
      </c>
      <c r="D1238" s="18"/>
      <c r="E1238" s="126" t="s">
        <v>3809</v>
      </c>
      <c r="F1238" s="19" t="s">
        <v>3810</v>
      </c>
      <c r="G1238" s="19" t="s">
        <v>3800</v>
      </c>
      <c r="H1238" s="20">
        <v>43887</v>
      </c>
      <c r="L1238" s="6">
        <v>7992372723</v>
      </c>
      <c r="M1238" s="38" t="s">
        <v>3811</v>
      </c>
      <c r="N1238" s="16"/>
      <c r="O1238" s="7"/>
      <c r="P1238" s="17"/>
    </row>
    <row r="1239" spans="1:16" ht="14.25" customHeight="1">
      <c r="A1239" s="5" t="s">
        <v>0</v>
      </c>
      <c r="B1239" s="5" t="str">
        <f t="shared" si="7"/>
        <v>Y</v>
      </c>
      <c r="C1239" s="18" t="s">
        <v>3812</v>
      </c>
      <c r="D1239" s="18"/>
      <c r="E1239" s="126" t="s">
        <v>3813</v>
      </c>
      <c r="F1239" s="19" t="s">
        <v>3814</v>
      </c>
      <c r="G1239" s="19" t="s">
        <v>3804</v>
      </c>
      <c r="H1239" s="19" t="s">
        <v>3804</v>
      </c>
      <c r="L1239" s="6">
        <v>9315593847</v>
      </c>
      <c r="N1239" s="16"/>
      <c r="O1239" s="7"/>
      <c r="P1239" s="17"/>
    </row>
    <row r="1240" spans="1:16" ht="14.25" customHeight="1">
      <c r="A1240" s="5" t="s">
        <v>0</v>
      </c>
      <c r="B1240" s="5" t="str">
        <f t="shared" si="7"/>
        <v>Y</v>
      </c>
      <c r="C1240" s="18" t="s">
        <v>3815</v>
      </c>
      <c r="D1240" s="18"/>
      <c r="E1240" s="126" t="s">
        <v>3816</v>
      </c>
      <c r="F1240" s="19" t="s">
        <v>3051</v>
      </c>
      <c r="G1240" s="19" t="s">
        <v>3817</v>
      </c>
      <c r="H1240" s="19" t="s">
        <v>3817</v>
      </c>
      <c r="L1240" s="6">
        <v>8002744183</v>
      </c>
      <c r="M1240" s="6" t="s">
        <v>3695</v>
      </c>
      <c r="N1240" s="16"/>
      <c r="O1240" s="7"/>
      <c r="P1240" s="17"/>
    </row>
    <row r="1241" spans="1:16" ht="14.25" customHeight="1">
      <c r="A1241" s="5" t="s">
        <v>0</v>
      </c>
      <c r="B1241" s="5" t="str">
        <f t="shared" si="7"/>
        <v>Y</v>
      </c>
      <c r="C1241" s="18" t="s">
        <v>3818</v>
      </c>
      <c r="D1241" s="18"/>
      <c r="E1241" s="126" t="s">
        <v>3819</v>
      </c>
      <c r="F1241" s="19" t="s">
        <v>3820</v>
      </c>
      <c r="G1241" s="19" t="s">
        <v>3817</v>
      </c>
      <c r="H1241" s="19" t="s">
        <v>3817</v>
      </c>
      <c r="L1241" s="6">
        <v>6209042443</v>
      </c>
      <c r="N1241" s="16"/>
      <c r="O1241" s="7"/>
      <c r="P1241" s="17"/>
    </row>
    <row r="1242" spans="1:16" ht="14.25" customHeight="1">
      <c r="A1242" s="5" t="s">
        <v>0</v>
      </c>
      <c r="B1242" s="5" t="str">
        <f t="shared" si="7"/>
        <v>Y</v>
      </c>
      <c r="C1242" s="18" t="s">
        <v>3821</v>
      </c>
      <c r="D1242" s="18"/>
      <c r="E1242" s="126" t="s">
        <v>3822</v>
      </c>
      <c r="F1242" s="19" t="s">
        <v>3823</v>
      </c>
      <c r="G1242" s="19" t="s">
        <v>3824</v>
      </c>
      <c r="H1242" s="20">
        <v>43889</v>
      </c>
      <c r="L1242" s="6">
        <v>8271919681</v>
      </c>
      <c r="N1242" s="16"/>
      <c r="O1242" s="7"/>
      <c r="P1242" s="17"/>
    </row>
    <row r="1243" spans="1:16" ht="14.25" customHeight="1">
      <c r="A1243" s="5" t="s">
        <v>0</v>
      </c>
      <c r="B1243" s="5" t="str">
        <f t="shared" si="7"/>
        <v>Y</v>
      </c>
      <c r="C1243" s="18" t="s">
        <v>3825</v>
      </c>
      <c r="D1243" s="18"/>
      <c r="E1243" s="126" t="s">
        <v>3826</v>
      </c>
      <c r="F1243" s="19" t="s">
        <v>2961</v>
      </c>
      <c r="G1243" s="19" t="s">
        <v>3827</v>
      </c>
      <c r="H1243" s="20">
        <v>43890</v>
      </c>
      <c r="L1243" s="6">
        <v>7294147152</v>
      </c>
      <c r="N1243" s="16"/>
      <c r="O1243" s="7"/>
      <c r="P1243" s="17"/>
    </row>
    <row r="1244" spans="1:16" ht="14.25" customHeight="1">
      <c r="A1244" s="5" t="s">
        <v>0</v>
      </c>
      <c r="B1244" s="5" t="str">
        <f t="shared" si="7"/>
        <v>N</v>
      </c>
      <c r="C1244" s="18" t="s">
        <v>3828</v>
      </c>
      <c r="D1244" s="18"/>
      <c r="E1244" s="126" t="s">
        <v>3829</v>
      </c>
      <c r="F1244" s="19" t="s">
        <v>3830</v>
      </c>
      <c r="G1244" s="19" t="s">
        <v>3831</v>
      </c>
      <c r="H1244" s="5"/>
      <c r="L1244" s="6">
        <v>96008656159</v>
      </c>
      <c r="N1244" s="16"/>
      <c r="O1244" s="7"/>
      <c r="P1244" s="17"/>
    </row>
    <row r="1245" spans="1:16" ht="14.25" customHeight="1">
      <c r="A1245" s="5" t="s">
        <v>0</v>
      </c>
      <c r="B1245" s="5" t="str">
        <f t="shared" si="7"/>
        <v>Y</v>
      </c>
      <c r="C1245" s="18" t="s">
        <v>3832</v>
      </c>
      <c r="D1245" s="18"/>
      <c r="E1245" s="126" t="s">
        <v>3833</v>
      </c>
      <c r="F1245" s="19" t="s">
        <v>3834</v>
      </c>
      <c r="G1245" s="19" t="s">
        <v>3835</v>
      </c>
      <c r="H1245" s="19" t="s">
        <v>3835</v>
      </c>
      <c r="L1245" s="6">
        <v>7033934909</v>
      </c>
      <c r="M1245" s="6" t="s">
        <v>3836</v>
      </c>
      <c r="N1245" s="16"/>
      <c r="O1245" s="7"/>
      <c r="P1245" s="17"/>
    </row>
    <row r="1246" spans="1:16" ht="14.25" customHeight="1">
      <c r="A1246" s="5" t="s">
        <v>0</v>
      </c>
      <c r="B1246" s="5" t="str">
        <f t="shared" si="7"/>
        <v>Y</v>
      </c>
      <c r="C1246" s="18" t="s">
        <v>3837</v>
      </c>
      <c r="D1246" s="18"/>
      <c r="E1246" s="126" t="s">
        <v>3838</v>
      </c>
      <c r="F1246" s="19" t="s">
        <v>3839</v>
      </c>
      <c r="G1246" s="19" t="s">
        <v>3835</v>
      </c>
      <c r="H1246" s="19" t="s">
        <v>3835</v>
      </c>
      <c r="L1246" s="6">
        <v>7292836430</v>
      </c>
      <c r="N1246" s="16"/>
      <c r="O1246" s="7"/>
      <c r="P1246" s="17"/>
    </row>
    <row r="1247" spans="1:16" ht="14.25" customHeight="1">
      <c r="A1247" s="5" t="s">
        <v>0</v>
      </c>
      <c r="B1247" s="5" t="str">
        <f t="shared" si="7"/>
        <v>Y</v>
      </c>
      <c r="C1247" s="18" t="s">
        <v>3840</v>
      </c>
      <c r="D1247" s="18"/>
      <c r="E1247" s="126" t="s">
        <v>3841</v>
      </c>
      <c r="F1247" s="19" t="s">
        <v>3842</v>
      </c>
      <c r="G1247" s="19" t="s">
        <v>3835</v>
      </c>
      <c r="H1247" s="19" t="s">
        <v>3843</v>
      </c>
      <c r="L1247" s="6">
        <v>9523271173</v>
      </c>
      <c r="N1247" s="16"/>
      <c r="O1247" s="7"/>
      <c r="P1247" s="17"/>
    </row>
    <row r="1248" spans="1:16" ht="14.25" customHeight="1">
      <c r="A1248" s="5" t="s">
        <v>0</v>
      </c>
      <c r="B1248" s="5" t="str">
        <f t="shared" si="7"/>
        <v>Y</v>
      </c>
      <c r="C1248" s="18" t="s">
        <v>3844</v>
      </c>
      <c r="D1248" s="18"/>
      <c r="E1248" s="126" t="s">
        <v>3845</v>
      </c>
      <c r="F1248" s="19" t="s">
        <v>3846</v>
      </c>
      <c r="G1248" s="19" t="s">
        <v>3835</v>
      </c>
      <c r="H1248" s="19" t="s">
        <v>3843</v>
      </c>
      <c r="L1248" s="6">
        <v>9523271173</v>
      </c>
      <c r="N1248" s="16"/>
      <c r="O1248" s="7"/>
      <c r="P1248" s="17"/>
    </row>
    <row r="1249" spans="1:16" ht="14.25" customHeight="1">
      <c r="A1249" s="5" t="s">
        <v>0</v>
      </c>
      <c r="B1249" s="5" t="str">
        <f t="shared" si="7"/>
        <v>Y</v>
      </c>
      <c r="C1249" s="18" t="s">
        <v>3847</v>
      </c>
      <c r="D1249" s="18"/>
      <c r="E1249" s="126" t="s">
        <v>3848</v>
      </c>
      <c r="F1249" s="19" t="s">
        <v>3054</v>
      </c>
      <c r="G1249" s="19" t="s">
        <v>3843</v>
      </c>
      <c r="H1249" s="19" t="s">
        <v>3843</v>
      </c>
      <c r="L1249" s="6">
        <v>8092524722</v>
      </c>
      <c r="N1249" s="16"/>
      <c r="O1249" s="7"/>
      <c r="P1249" s="17"/>
    </row>
    <row r="1250" spans="1:16" ht="14.25" customHeight="1">
      <c r="A1250" s="5" t="s">
        <v>0</v>
      </c>
      <c r="B1250" s="5" t="str">
        <f t="shared" si="7"/>
        <v>Y</v>
      </c>
      <c r="C1250" s="18" t="s">
        <v>3837</v>
      </c>
      <c r="D1250" s="18"/>
      <c r="E1250" s="126" t="s">
        <v>3838</v>
      </c>
      <c r="F1250" s="19" t="s">
        <v>3839</v>
      </c>
      <c r="G1250" s="19" t="s">
        <v>3843</v>
      </c>
      <c r="H1250" s="19" t="s">
        <v>3843</v>
      </c>
      <c r="L1250" s="6">
        <v>7292836430</v>
      </c>
      <c r="N1250" s="16"/>
      <c r="O1250" s="7"/>
      <c r="P1250" s="17"/>
    </row>
    <row r="1251" spans="1:16" ht="14.25" customHeight="1">
      <c r="A1251" s="5" t="s">
        <v>0</v>
      </c>
      <c r="B1251" s="5" t="str">
        <f t="shared" si="7"/>
        <v>Y</v>
      </c>
      <c r="C1251" s="18" t="s">
        <v>3849</v>
      </c>
      <c r="D1251" s="18"/>
      <c r="E1251" s="126" t="s">
        <v>3850</v>
      </c>
      <c r="F1251" s="19" t="s">
        <v>3851</v>
      </c>
      <c r="G1251" s="19" t="s">
        <v>3852</v>
      </c>
      <c r="H1251" s="20">
        <v>43897</v>
      </c>
      <c r="L1251" s="131">
        <v>7209152003</v>
      </c>
      <c r="N1251" s="16"/>
      <c r="O1251" s="7"/>
      <c r="P1251" s="17"/>
    </row>
    <row r="1252" spans="1:16" ht="14.25" customHeight="1">
      <c r="A1252" s="5" t="s">
        <v>0</v>
      </c>
      <c r="B1252" s="5" t="str">
        <f t="shared" si="7"/>
        <v>Y</v>
      </c>
      <c r="C1252" s="18" t="s">
        <v>3853</v>
      </c>
      <c r="D1252" s="18"/>
      <c r="E1252" s="126" t="s">
        <v>3854</v>
      </c>
      <c r="F1252" s="19" t="s">
        <v>3653</v>
      </c>
      <c r="G1252" s="19" t="s">
        <v>3855</v>
      </c>
      <c r="H1252" s="19" t="s">
        <v>3856</v>
      </c>
      <c r="L1252" s="6">
        <v>8434686155</v>
      </c>
      <c r="N1252" s="16"/>
      <c r="O1252" s="7"/>
      <c r="P1252" s="17"/>
    </row>
    <row r="1253" spans="1:16" ht="14.25" customHeight="1">
      <c r="A1253" s="5" t="s">
        <v>0</v>
      </c>
      <c r="B1253" s="5" t="str">
        <f t="shared" si="7"/>
        <v>Y</v>
      </c>
      <c r="C1253" s="18" t="s">
        <v>3857</v>
      </c>
      <c r="D1253" s="18"/>
      <c r="E1253" s="126" t="s">
        <v>3858</v>
      </c>
      <c r="F1253" s="19" t="s">
        <v>3859</v>
      </c>
      <c r="G1253" s="19" t="s">
        <v>3855</v>
      </c>
      <c r="H1253" s="19" t="s">
        <v>3855</v>
      </c>
      <c r="L1253" s="6">
        <v>6202429543</v>
      </c>
      <c r="N1253" s="16"/>
      <c r="O1253" s="7"/>
      <c r="P1253" s="17"/>
    </row>
    <row r="1254" spans="1:16" ht="14.25" customHeight="1">
      <c r="A1254" s="5" t="s">
        <v>0</v>
      </c>
      <c r="B1254" s="5" t="str">
        <f t="shared" si="7"/>
        <v>Y</v>
      </c>
      <c r="C1254" s="18" t="s">
        <v>3860</v>
      </c>
      <c r="D1254" s="18"/>
      <c r="E1254" s="126" t="s">
        <v>3861</v>
      </c>
      <c r="F1254" s="19" t="s">
        <v>3862</v>
      </c>
      <c r="G1254" s="19" t="s">
        <v>3855</v>
      </c>
      <c r="H1254" s="19" t="s">
        <v>3855</v>
      </c>
      <c r="L1254" s="6">
        <v>9835567908</v>
      </c>
      <c r="N1254" s="16"/>
      <c r="O1254" s="7"/>
      <c r="P1254" s="17"/>
    </row>
    <row r="1255" spans="1:16" ht="14.25" customHeight="1">
      <c r="A1255" s="5" t="s">
        <v>0</v>
      </c>
      <c r="B1255" s="5" t="str">
        <f t="shared" si="7"/>
        <v>Y</v>
      </c>
      <c r="C1255" s="18" t="s">
        <v>3863</v>
      </c>
      <c r="D1255" s="18"/>
      <c r="E1255" s="126" t="s">
        <v>3864</v>
      </c>
      <c r="F1255" s="19" t="s">
        <v>3865</v>
      </c>
      <c r="G1255" s="19" t="s">
        <v>3856</v>
      </c>
      <c r="H1255" s="19" t="s">
        <v>3856</v>
      </c>
      <c r="L1255" s="6">
        <v>8092524722</v>
      </c>
      <c r="N1255" s="16"/>
      <c r="O1255" s="7"/>
      <c r="P1255" s="17"/>
    </row>
    <row r="1256" spans="1:16" ht="14.25" customHeight="1">
      <c r="A1256" s="5" t="s">
        <v>0</v>
      </c>
      <c r="B1256" s="5" t="str">
        <f t="shared" si="7"/>
        <v>Y</v>
      </c>
      <c r="C1256" s="18" t="s">
        <v>3866</v>
      </c>
      <c r="D1256" s="18"/>
      <c r="E1256" s="126" t="s">
        <v>3867</v>
      </c>
      <c r="F1256" s="19" t="s">
        <v>3868</v>
      </c>
      <c r="G1256" s="19" t="s">
        <v>3856</v>
      </c>
      <c r="H1256" s="19" t="s">
        <v>3856</v>
      </c>
      <c r="L1256" s="6">
        <v>9246529954</v>
      </c>
      <c r="N1256" s="16"/>
      <c r="O1256" s="7"/>
      <c r="P1256" s="17"/>
    </row>
    <row r="1257" spans="1:16" ht="14.25" customHeight="1">
      <c r="A1257" s="5" t="s">
        <v>0</v>
      </c>
      <c r="B1257" s="5" t="str">
        <f t="shared" si="7"/>
        <v>Y</v>
      </c>
      <c r="C1257" s="18" t="s">
        <v>3869</v>
      </c>
      <c r="D1257" s="18"/>
      <c r="E1257" s="126" t="s">
        <v>3870</v>
      </c>
      <c r="F1257" s="19" t="s">
        <v>3871</v>
      </c>
      <c r="G1257" s="19" t="s">
        <v>3872</v>
      </c>
      <c r="H1257" s="19" t="s">
        <v>3873</v>
      </c>
      <c r="L1257" s="6">
        <v>7061381402</v>
      </c>
      <c r="N1257" s="16"/>
      <c r="O1257" s="7"/>
      <c r="P1257" s="17"/>
    </row>
    <row r="1258" spans="1:16" ht="14.25" customHeight="1">
      <c r="A1258" s="5" t="s">
        <v>0</v>
      </c>
      <c r="B1258" s="5" t="str">
        <f t="shared" si="7"/>
        <v>Y</v>
      </c>
      <c r="C1258" s="18" t="s">
        <v>3874</v>
      </c>
      <c r="D1258" s="18"/>
      <c r="E1258" s="126" t="s">
        <v>3875</v>
      </c>
      <c r="F1258" s="19" t="s">
        <v>3876</v>
      </c>
      <c r="G1258" s="19" t="s">
        <v>3877</v>
      </c>
      <c r="H1258" s="19" t="s">
        <v>3873</v>
      </c>
      <c r="L1258" s="6">
        <v>9955133587</v>
      </c>
      <c r="N1258" s="16"/>
      <c r="O1258" s="7"/>
      <c r="P1258" s="17"/>
    </row>
    <row r="1259" spans="1:16" ht="14.25" customHeight="1">
      <c r="A1259" s="5" t="s">
        <v>0</v>
      </c>
      <c r="B1259" s="5" t="str">
        <f t="shared" si="7"/>
        <v>Y</v>
      </c>
      <c r="C1259" s="18" t="s">
        <v>3878</v>
      </c>
      <c r="D1259" s="18"/>
      <c r="E1259" s="126" t="s">
        <v>3879</v>
      </c>
      <c r="F1259" s="19" t="s">
        <v>3880</v>
      </c>
      <c r="G1259" s="19" t="s">
        <v>3877</v>
      </c>
      <c r="H1259" s="20">
        <v>43934</v>
      </c>
      <c r="L1259" s="6">
        <v>8809979291</v>
      </c>
      <c r="N1259" s="16"/>
      <c r="O1259" s="7"/>
      <c r="P1259" s="17"/>
    </row>
    <row r="1260" spans="1:16" ht="14.25" customHeight="1">
      <c r="A1260" s="5" t="s">
        <v>0</v>
      </c>
      <c r="B1260" s="5" t="str">
        <f t="shared" si="7"/>
        <v>Y</v>
      </c>
      <c r="C1260" s="18" t="s">
        <v>3881</v>
      </c>
      <c r="D1260" s="18"/>
      <c r="E1260" s="126" t="s">
        <v>3882</v>
      </c>
      <c r="F1260" s="19" t="s">
        <v>3883</v>
      </c>
      <c r="G1260" s="19" t="s">
        <v>3884</v>
      </c>
      <c r="H1260" s="20">
        <v>43934</v>
      </c>
      <c r="L1260" s="6">
        <v>9304787229</v>
      </c>
      <c r="N1260" s="16"/>
      <c r="O1260" s="7"/>
      <c r="P1260" s="17"/>
    </row>
    <row r="1261" spans="1:16" ht="14.25" customHeight="1">
      <c r="A1261" s="5" t="s">
        <v>0</v>
      </c>
      <c r="B1261" s="5" t="str">
        <f t="shared" si="7"/>
        <v>Y</v>
      </c>
      <c r="C1261" s="18" t="s">
        <v>3885</v>
      </c>
      <c r="D1261" s="18"/>
      <c r="E1261" s="126" t="s">
        <v>3886</v>
      </c>
      <c r="F1261" s="19" t="s">
        <v>3887</v>
      </c>
      <c r="G1261" s="19" t="s">
        <v>3884</v>
      </c>
      <c r="H1261" s="20">
        <v>43934</v>
      </c>
      <c r="L1261" s="6">
        <v>8271388848</v>
      </c>
      <c r="N1261" s="16"/>
      <c r="O1261" s="7"/>
      <c r="P1261" s="17"/>
    </row>
    <row r="1262" spans="1:16" ht="14.25" customHeight="1">
      <c r="A1262" s="5" t="s">
        <v>0</v>
      </c>
      <c r="B1262" s="5" t="str">
        <f t="shared" si="7"/>
        <v>Y</v>
      </c>
      <c r="C1262" s="18" t="s">
        <v>3888</v>
      </c>
      <c r="D1262" s="18"/>
      <c r="E1262" s="126" t="s">
        <v>3889</v>
      </c>
      <c r="F1262" s="19" t="s">
        <v>3890</v>
      </c>
      <c r="G1262" s="19" t="s">
        <v>3884</v>
      </c>
      <c r="H1262" s="20">
        <v>43934</v>
      </c>
      <c r="L1262" s="6">
        <v>8271388848</v>
      </c>
      <c r="N1262" s="16"/>
      <c r="O1262" s="7"/>
      <c r="P1262" s="17"/>
    </row>
    <row r="1263" spans="1:16" ht="14.25" customHeight="1">
      <c r="A1263" s="5" t="s">
        <v>0</v>
      </c>
      <c r="B1263" s="5" t="str">
        <f t="shared" si="7"/>
        <v>Y</v>
      </c>
      <c r="C1263" s="18" t="s">
        <v>3891</v>
      </c>
      <c r="D1263" s="18"/>
      <c r="E1263" s="126" t="s">
        <v>3892</v>
      </c>
      <c r="F1263" s="19" t="s">
        <v>3893</v>
      </c>
      <c r="G1263" s="19" t="s">
        <v>3894</v>
      </c>
      <c r="H1263" s="20">
        <v>43904</v>
      </c>
      <c r="L1263" s="6">
        <v>7992461915</v>
      </c>
      <c r="N1263" s="16"/>
      <c r="O1263" s="7"/>
      <c r="P1263" s="17"/>
    </row>
    <row r="1264" spans="1:16" ht="14.25" customHeight="1">
      <c r="A1264" s="5" t="s">
        <v>1</v>
      </c>
      <c r="B1264" s="5" t="str">
        <f t="shared" si="7"/>
        <v>Y</v>
      </c>
      <c r="C1264" s="95" t="s">
        <v>472</v>
      </c>
      <c r="D1264" s="95"/>
      <c r="E1264" s="70" t="s">
        <v>473</v>
      </c>
      <c r="F1264" s="72">
        <v>31413</v>
      </c>
      <c r="G1264" s="71"/>
      <c r="H1264" s="72">
        <v>43071</v>
      </c>
      <c r="J1264" s="132"/>
      <c r="K1264" s="70"/>
      <c r="L1264" s="70">
        <v>7294186921</v>
      </c>
      <c r="M1264" s="6" t="s">
        <v>3895</v>
      </c>
      <c r="N1264" s="16"/>
      <c r="O1264" s="7"/>
      <c r="P1264" s="17"/>
    </row>
    <row r="1265" spans="1:16" ht="14.25" customHeight="1">
      <c r="A1265" s="5" t="s">
        <v>0</v>
      </c>
      <c r="B1265" s="5" t="str">
        <f t="shared" si="7"/>
        <v>Y</v>
      </c>
      <c r="C1265" s="18" t="s">
        <v>3896</v>
      </c>
      <c r="D1265" s="18"/>
      <c r="E1265" s="126" t="s">
        <v>3897</v>
      </c>
      <c r="F1265" s="19" t="s">
        <v>3898</v>
      </c>
      <c r="G1265" s="19" t="s">
        <v>3899</v>
      </c>
      <c r="H1265" s="19" t="s">
        <v>3899</v>
      </c>
      <c r="L1265" s="6">
        <v>7079817411</v>
      </c>
      <c r="N1265" s="16"/>
      <c r="O1265" s="7"/>
      <c r="P1265" s="17"/>
    </row>
    <row r="1266" spans="1:16" ht="14.25" customHeight="1">
      <c r="A1266" s="5" t="s">
        <v>0</v>
      </c>
      <c r="B1266" s="5" t="str">
        <f t="shared" si="7"/>
        <v>Y</v>
      </c>
      <c r="C1266" s="18" t="s">
        <v>3900</v>
      </c>
      <c r="D1266" s="18"/>
      <c r="E1266" s="126" t="s">
        <v>3901</v>
      </c>
      <c r="F1266" s="19" t="s">
        <v>3902</v>
      </c>
      <c r="G1266" s="19" t="s">
        <v>3899</v>
      </c>
      <c r="H1266" s="19" t="s">
        <v>3899</v>
      </c>
      <c r="L1266" s="6">
        <v>9955441785</v>
      </c>
      <c r="N1266" s="16"/>
      <c r="O1266" s="7"/>
      <c r="P1266" s="17"/>
    </row>
    <row r="1267" spans="1:16" ht="14.25" customHeight="1">
      <c r="A1267" s="5" t="s">
        <v>0</v>
      </c>
      <c r="B1267" s="5" t="str">
        <f t="shared" si="7"/>
        <v>Y</v>
      </c>
      <c r="C1267" s="18" t="s">
        <v>3903</v>
      </c>
      <c r="D1267" s="18"/>
      <c r="E1267" s="126" t="s">
        <v>3904</v>
      </c>
      <c r="F1267" s="19" t="s">
        <v>3905</v>
      </c>
      <c r="G1267" s="19" t="s">
        <v>3899</v>
      </c>
      <c r="H1267" s="19" t="s">
        <v>3899</v>
      </c>
      <c r="L1267" s="6">
        <v>8227070042</v>
      </c>
      <c r="N1267" s="16"/>
      <c r="O1267" s="7"/>
      <c r="P1267" s="17"/>
    </row>
    <row r="1268" spans="1:16" ht="14.25" customHeight="1">
      <c r="A1268" s="5" t="s">
        <v>0</v>
      </c>
      <c r="B1268" s="5" t="str">
        <f t="shared" si="7"/>
        <v>Y</v>
      </c>
      <c r="C1268" s="18" t="s">
        <v>3906</v>
      </c>
      <c r="D1268" s="18"/>
      <c r="E1268" s="18" t="s">
        <v>3907</v>
      </c>
      <c r="F1268" s="19" t="s">
        <v>3908</v>
      </c>
      <c r="G1268" s="19" t="s">
        <v>3909</v>
      </c>
      <c r="H1268" s="19" t="s">
        <v>3909</v>
      </c>
      <c r="L1268" s="6">
        <v>9431345580</v>
      </c>
      <c r="N1268" s="16"/>
      <c r="O1268" s="7"/>
      <c r="P1268" s="17"/>
    </row>
    <row r="1269" spans="1:16" ht="14.25" customHeight="1">
      <c r="A1269" s="5" t="s">
        <v>0</v>
      </c>
      <c r="B1269" s="5" t="str">
        <f t="shared" si="7"/>
        <v>Y</v>
      </c>
      <c r="C1269" s="18" t="s">
        <v>3910</v>
      </c>
      <c r="D1269" s="18"/>
      <c r="E1269" s="126" t="s">
        <v>3911</v>
      </c>
      <c r="F1269" s="19" t="s">
        <v>3912</v>
      </c>
      <c r="G1269" s="19" t="s">
        <v>3913</v>
      </c>
      <c r="H1269" s="20">
        <v>43911</v>
      </c>
      <c r="L1269" s="6">
        <v>9661350133</v>
      </c>
      <c r="N1269" s="16"/>
      <c r="O1269" s="7"/>
      <c r="P1269" s="17"/>
    </row>
    <row r="1270" spans="1:16" ht="14.25" customHeight="1">
      <c r="A1270" s="5" t="s">
        <v>0</v>
      </c>
      <c r="B1270" s="5" t="str">
        <f t="shared" si="7"/>
        <v>Y</v>
      </c>
      <c r="C1270" s="18" t="s">
        <v>3914</v>
      </c>
      <c r="D1270" s="18"/>
      <c r="E1270" s="126" t="s">
        <v>3915</v>
      </c>
      <c r="F1270" s="19" t="s">
        <v>3142</v>
      </c>
      <c r="G1270" s="19" t="s">
        <v>3916</v>
      </c>
      <c r="H1270" s="19" t="s">
        <v>3916</v>
      </c>
      <c r="L1270" s="6">
        <v>8434011519</v>
      </c>
      <c r="N1270" s="16"/>
      <c r="O1270" s="7"/>
      <c r="P1270" s="17"/>
    </row>
    <row r="1271" spans="1:16" ht="14.25" customHeight="1">
      <c r="A1271" s="69" t="s">
        <v>0</v>
      </c>
      <c r="B1271" s="69" t="str">
        <f t="shared" si="7"/>
        <v>N</v>
      </c>
      <c r="C1271" s="95" t="s">
        <v>3917</v>
      </c>
      <c r="D1271" s="95"/>
      <c r="E1271" s="133" t="s">
        <v>3918</v>
      </c>
      <c r="F1271" s="71" t="s">
        <v>3919</v>
      </c>
      <c r="G1271" s="71" t="s">
        <v>3920</v>
      </c>
      <c r="H1271" s="69"/>
      <c r="I1271" s="70"/>
      <c r="J1271" s="70"/>
      <c r="K1271" s="70"/>
      <c r="L1271" s="70">
        <v>9308457927</v>
      </c>
      <c r="M1271" s="70"/>
      <c r="N1271" s="16"/>
      <c r="O1271" s="7"/>
      <c r="P1271" s="17"/>
    </row>
    <row r="1272" spans="1:16" ht="14.25" customHeight="1">
      <c r="A1272" s="5" t="s">
        <v>0</v>
      </c>
      <c r="B1272" s="5" t="str">
        <f t="shared" si="7"/>
        <v>Y</v>
      </c>
      <c r="C1272" s="18" t="s">
        <v>3921</v>
      </c>
      <c r="D1272" s="18"/>
      <c r="E1272" s="126" t="s">
        <v>3922</v>
      </c>
      <c r="F1272" s="19" t="s">
        <v>3653</v>
      </c>
      <c r="G1272" s="19" t="s">
        <v>3916</v>
      </c>
      <c r="H1272" s="19" t="s">
        <v>3916</v>
      </c>
      <c r="L1272" s="6">
        <v>9835734308</v>
      </c>
      <c r="N1272" s="16"/>
      <c r="O1272" s="7"/>
      <c r="P1272" s="17"/>
    </row>
    <row r="1273" spans="1:16" ht="14.25" customHeight="1">
      <c r="A1273" s="5" t="s">
        <v>0</v>
      </c>
      <c r="B1273" s="5" t="str">
        <f t="shared" si="7"/>
        <v>Y</v>
      </c>
      <c r="C1273" s="18" t="s">
        <v>3923</v>
      </c>
      <c r="D1273" s="18"/>
      <c r="E1273" s="126" t="s">
        <v>3924</v>
      </c>
      <c r="F1273" s="19" t="s">
        <v>2961</v>
      </c>
      <c r="G1273" s="19" t="s">
        <v>3916</v>
      </c>
      <c r="H1273" s="19" t="s">
        <v>3916</v>
      </c>
      <c r="L1273" s="6">
        <v>9835734308</v>
      </c>
      <c r="N1273" s="16"/>
      <c r="O1273" s="7"/>
      <c r="P1273" s="17"/>
    </row>
    <row r="1274" spans="1:16" ht="14.25" customHeight="1">
      <c r="A1274" s="5" t="s">
        <v>0</v>
      </c>
      <c r="B1274" s="5" t="str">
        <f t="shared" si="7"/>
        <v>Y</v>
      </c>
      <c r="C1274" s="18" t="s">
        <v>3925</v>
      </c>
      <c r="D1274" s="18"/>
      <c r="E1274" s="126" t="s">
        <v>3926</v>
      </c>
      <c r="F1274" s="19" t="s">
        <v>3927</v>
      </c>
      <c r="G1274" s="19" t="s">
        <v>3920</v>
      </c>
      <c r="H1274" s="20">
        <v>43976</v>
      </c>
      <c r="N1274" s="16"/>
      <c r="O1274" s="7"/>
      <c r="P1274" s="17"/>
    </row>
    <row r="1275" spans="1:16" ht="14.25" customHeight="1">
      <c r="A1275" s="5" t="s">
        <v>0</v>
      </c>
      <c r="B1275" s="5" t="str">
        <f t="shared" si="7"/>
        <v>Y</v>
      </c>
      <c r="C1275" s="18" t="s">
        <v>3928</v>
      </c>
      <c r="D1275" s="18"/>
      <c r="E1275" s="126" t="s">
        <v>3929</v>
      </c>
      <c r="F1275" s="19" t="s">
        <v>3930</v>
      </c>
      <c r="G1275" s="19" t="s">
        <v>3931</v>
      </c>
      <c r="H1275" s="20">
        <v>43926</v>
      </c>
      <c r="K1275" s="38" t="s">
        <v>3932</v>
      </c>
      <c r="L1275" s="6">
        <v>8092455396</v>
      </c>
      <c r="N1275" s="16"/>
      <c r="O1275" s="7"/>
      <c r="P1275" s="17"/>
    </row>
    <row r="1276" spans="1:16" ht="14.25" customHeight="1">
      <c r="A1276" s="5" t="s">
        <v>0</v>
      </c>
      <c r="B1276" s="5" t="str">
        <f t="shared" si="7"/>
        <v>Y</v>
      </c>
      <c r="C1276" s="18" t="s">
        <v>3933</v>
      </c>
      <c r="D1276" s="18"/>
      <c r="E1276" s="126" t="s">
        <v>3934</v>
      </c>
      <c r="F1276" s="19" t="s">
        <v>3040</v>
      </c>
      <c r="G1276" s="19" t="s">
        <v>3935</v>
      </c>
      <c r="H1276" s="20">
        <v>43956</v>
      </c>
      <c r="L1276" s="6">
        <v>6206119248</v>
      </c>
      <c r="N1276" s="16"/>
      <c r="O1276" s="7"/>
      <c r="P1276" s="17"/>
    </row>
    <row r="1277" spans="1:16" ht="14.25" customHeight="1">
      <c r="A1277" s="5" t="s">
        <v>0</v>
      </c>
      <c r="B1277" s="5" t="str">
        <f t="shared" si="7"/>
        <v>Y</v>
      </c>
      <c r="C1277" s="18" t="s">
        <v>3936</v>
      </c>
      <c r="D1277" s="18"/>
      <c r="E1277" s="126" t="s">
        <v>1402</v>
      </c>
      <c r="F1277" s="19" t="s">
        <v>3937</v>
      </c>
      <c r="G1277" s="19" t="s">
        <v>3938</v>
      </c>
      <c r="H1277" s="20">
        <v>43946</v>
      </c>
      <c r="L1277" s="6">
        <v>9234739947</v>
      </c>
      <c r="N1277" s="16"/>
      <c r="O1277" s="7"/>
      <c r="P1277" s="17"/>
    </row>
    <row r="1278" spans="1:16" ht="14.25" customHeight="1">
      <c r="A1278" s="5" t="s">
        <v>0</v>
      </c>
      <c r="B1278" s="5" t="str">
        <f t="shared" si="7"/>
        <v>Y</v>
      </c>
      <c r="C1278" s="18" t="s">
        <v>3939</v>
      </c>
      <c r="D1278" s="18"/>
      <c r="E1278" s="126" t="s">
        <v>3940</v>
      </c>
      <c r="F1278" s="19" t="s">
        <v>3941</v>
      </c>
      <c r="G1278" s="19" t="s">
        <v>3942</v>
      </c>
      <c r="H1278" s="20">
        <v>43941</v>
      </c>
      <c r="L1278" s="6">
        <v>8986761085</v>
      </c>
      <c r="N1278" s="16"/>
      <c r="O1278" s="7"/>
      <c r="P1278" s="17"/>
    </row>
    <row r="1279" spans="1:16" ht="14.25" customHeight="1">
      <c r="A1279" s="5" t="s">
        <v>0</v>
      </c>
      <c r="B1279" s="5" t="str">
        <f t="shared" ref="B1279:B1280" si="8">IF(H1280="","N","Y")</f>
        <v>Y</v>
      </c>
      <c r="C1279" s="18" t="s">
        <v>3928</v>
      </c>
      <c r="D1279" s="18"/>
      <c r="E1279" s="126" t="s">
        <v>3943</v>
      </c>
      <c r="F1279" s="19" t="s">
        <v>3944</v>
      </c>
      <c r="G1279" s="19" t="s">
        <v>3945</v>
      </c>
      <c r="H1279" s="20">
        <v>43939</v>
      </c>
      <c r="L1279" s="6">
        <v>8092455396</v>
      </c>
      <c r="N1279" s="16"/>
      <c r="O1279" s="7"/>
      <c r="P1279" s="17"/>
    </row>
    <row r="1280" spans="1:16" ht="14.25" customHeight="1">
      <c r="A1280" s="5" t="s">
        <v>0</v>
      </c>
      <c r="B1280" s="5" t="str">
        <f t="shared" si="8"/>
        <v>Y</v>
      </c>
      <c r="C1280" s="18" t="s">
        <v>3946</v>
      </c>
      <c r="D1280" s="18"/>
      <c r="E1280" s="126" t="s">
        <v>3947</v>
      </c>
      <c r="F1280" s="19" t="s">
        <v>3948</v>
      </c>
      <c r="G1280" s="19" t="s">
        <v>3949</v>
      </c>
      <c r="H1280" s="20">
        <v>43914</v>
      </c>
      <c r="L1280" s="6">
        <v>9031059999</v>
      </c>
      <c r="N1280" s="16"/>
      <c r="O1280" s="7"/>
      <c r="P1280" s="17"/>
    </row>
    <row r="1281" spans="1:16" ht="14.25" customHeight="1">
      <c r="A1281" s="5" t="s">
        <v>0</v>
      </c>
      <c r="B1281" s="5" t="str">
        <f t="shared" ref="B1281:B1293" si="9">IF(H1281="","N","Y")</f>
        <v>Y</v>
      </c>
      <c r="C1281" s="18" t="s">
        <v>3950</v>
      </c>
      <c r="D1281" s="18"/>
      <c r="E1281" s="126" t="s">
        <v>3951</v>
      </c>
      <c r="F1281" s="19" t="s">
        <v>3952</v>
      </c>
      <c r="G1281" s="19" t="s">
        <v>3953</v>
      </c>
      <c r="H1281" s="20">
        <v>43975</v>
      </c>
      <c r="K1281" s="38" t="s">
        <v>3932</v>
      </c>
      <c r="L1281" s="6">
        <v>9234341682</v>
      </c>
      <c r="N1281" s="16"/>
      <c r="O1281" s="7"/>
      <c r="P1281" s="17"/>
    </row>
    <row r="1282" spans="1:16" ht="14.25" customHeight="1">
      <c r="A1282" s="5" t="s">
        <v>0</v>
      </c>
      <c r="B1282" s="5" t="str">
        <f t="shared" si="9"/>
        <v>Y</v>
      </c>
      <c r="C1282" s="18" t="s">
        <v>3954</v>
      </c>
      <c r="D1282" s="18"/>
      <c r="E1282" s="126" t="s">
        <v>3955</v>
      </c>
      <c r="F1282" s="19" t="s">
        <v>3293</v>
      </c>
      <c r="G1282" s="19" t="s">
        <v>3956</v>
      </c>
      <c r="H1282" s="20">
        <v>43952</v>
      </c>
      <c r="K1282" s="38" t="s">
        <v>3932</v>
      </c>
      <c r="L1282" s="6">
        <v>9123495345</v>
      </c>
      <c r="N1282" s="16"/>
      <c r="O1282" s="7"/>
      <c r="P1282" s="17"/>
    </row>
    <row r="1283" spans="1:16" ht="14.25" customHeight="1">
      <c r="A1283" s="5" t="s">
        <v>0</v>
      </c>
      <c r="B1283" s="5" t="str">
        <f t="shared" si="9"/>
        <v>Y</v>
      </c>
      <c r="C1283" s="18" t="s">
        <v>3957</v>
      </c>
      <c r="D1283" s="18"/>
      <c r="E1283" s="126" t="s">
        <v>3958</v>
      </c>
      <c r="F1283" s="19" t="s">
        <v>3959</v>
      </c>
      <c r="G1283" s="19" t="s">
        <v>3960</v>
      </c>
      <c r="H1283" s="20">
        <v>43962</v>
      </c>
      <c r="K1283" s="38" t="s">
        <v>3961</v>
      </c>
      <c r="L1283" s="6">
        <v>9279252812</v>
      </c>
      <c r="N1283" s="16"/>
      <c r="O1283" s="7"/>
      <c r="P1283" s="17"/>
    </row>
    <row r="1284" spans="1:16" ht="14.25" customHeight="1">
      <c r="A1284" s="5" t="s">
        <v>0</v>
      </c>
      <c r="B1284" s="5" t="str">
        <f t="shared" si="9"/>
        <v>Y</v>
      </c>
      <c r="C1284" s="134" t="s">
        <v>3962</v>
      </c>
      <c r="D1284" s="134"/>
      <c r="E1284" s="126" t="s">
        <v>3963</v>
      </c>
      <c r="F1284" s="19" t="s">
        <v>3964</v>
      </c>
      <c r="G1284" s="19" t="s">
        <v>3960</v>
      </c>
      <c r="H1284" s="20">
        <v>43962</v>
      </c>
      <c r="L1284" s="6">
        <v>8825195700</v>
      </c>
      <c r="N1284" s="16"/>
      <c r="O1284" s="7"/>
      <c r="P1284" s="17"/>
    </row>
    <row r="1285" spans="1:16" ht="14.25" customHeight="1">
      <c r="A1285" s="5" t="s">
        <v>0</v>
      </c>
      <c r="B1285" s="5" t="str">
        <f t="shared" si="9"/>
        <v>Y</v>
      </c>
      <c r="C1285" s="18" t="s">
        <v>3950</v>
      </c>
      <c r="D1285" s="18"/>
      <c r="E1285" s="126" t="s">
        <v>3951</v>
      </c>
      <c r="F1285" s="19" t="s">
        <v>3952</v>
      </c>
      <c r="G1285" s="19" t="s">
        <v>3965</v>
      </c>
      <c r="H1285" s="20">
        <v>43973</v>
      </c>
      <c r="K1285" s="38" t="s">
        <v>3932</v>
      </c>
      <c r="L1285" s="6">
        <v>9234341682</v>
      </c>
      <c r="N1285" s="16"/>
      <c r="O1285" s="7"/>
      <c r="P1285" s="17"/>
    </row>
    <row r="1286" spans="1:16" ht="14.25" customHeight="1">
      <c r="A1286" s="5" t="s">
        <v>0</v>
      </c>
      <c r="B1286" s="5" t="str">
        <f t="shared" si="9"/>
        <v>Y</v>
      </c>
      <c r="C1286" s="18" t="s">
        <v>3925</v>
      </c>
      <c r="D1286" s="18"/>
      <c r="E1286" s="126" t="s">
        <v>3966</v>
      </c>
      <c r="F1286" s="19" t="s">
        <v>3927</v>
      </c>
      <c r="G1286" s="19" t="s">
        <v>3967</v>
      </c>
      <c r="H1286" s="20">
        <v>43901</v>
      </c>
      <c r="K1286" s="38" t="s">
        <v>3968</v>
      </c>
      <c r="L1286" s="6">
        <v>8340635705</v>
      </c>
      <c r="N1286" s="16"/>
      <c r="O1286" s="7"/>
      <c r="P1286" s="17"/>
    </row>
    <row r="1287" spans="1:16" ht="14.25" customHeight="1">
      <c r="A1287" s="5" t="s">
        <v>0</v>
      </c>
      <c r="B1287" s="5" t="str">
        <f t="shared" si="9"/>
        <v>Y</v>
      </c>
      <c r="C1287" s="18" t="s">
        <v>3969</v>
      </c>
      <c r="D1287" s="18"/>
      <c r="E1287" s="126" t="s">
        <v>3970</v>
      </c>
      <c r="F1287" s="19" t="s">
        <v>3971</v>
      </c>
      <c r="G1287" s="19" t="s">
        <v>3972</v>
      </c>
      <c r="H1287" s="20">
        <v>43995</v>
      </c>
      <c r="K1287" s="38" t="s">
        <v>3973</v>
      </c>
      <c r="L1287" s="6">
        <v>6206056078</v>
      </c>
      <c r="N1287" s="16"/>
      <c r="O1287" s="7"/>
      <c r="P1287" s="17"/>
    </row>
    <row r="1288" spans="1:16" ht="14.25" customHeight="1">
      <c r="A1288" s="5" t="s">
        <v>0</v>
      </c>
      <c r="B1288" s="5" t="str">
        <f t="shared" si="9"/>
        <v>Y</v>
      </c>
      <c r="C1288" s="18" t="s">
        <v>3974</v>
      </c>
      <c r="D1288" s="18"/>
      <c r="E1288" s="126" t="s">
        <v>3975</v>
      </c>
      <c r="F1288" s="19" t="s">
        <v>3976</v>
      </c>
      <c r="G1288" s="19" t="s">
        <v>3972</v>
      </c>
      <c r="H1288" s="20">
        <v>43995</v>
      </c>
      <c r="K1288" s="38" t="s">
        <v>3973</v>
      </c>
      <c r="L1288" s="6">
        <v>6206056078</v>
      </c>
      <c r="N1288" s="16"/>
      <c r="O1288" s="7"/>
      <c r="P1288" s="17"/>
    </row>
    <row r="1289" spans="1:16" ht="14.25" customHeight="1">
      <c r="A1289" s="5" t="s">
        <v>0</v>
      </c>
      <c r="B1289" s="5" t="str">
        <f t="shared" si="9"/>
        <v>Y</v>
      </c>
      <c r="C1289" s="18" t="s">
        <v>3977</v>
      </c>
      <c r="D1289" s="18"/>
      <c r="E1289" s="126" t="s">
        <v>3978</v>
      </c>
      <c r="F1289" s="19" t="s">
        <v>3979</v>
      </c>
      <c r="G1289" s="19" t="s">
        <v>3972</v>
      </c>
      <c r="H1289" s="20">
        <v>43995</v>
      </c>
      <c r="K1289" s="135" t="s">
        <v>3980</v>
      </c>
      <c r="L1289" s="6">
        <v>7897587491</v>
      </c>
      <c r="N1289" s="16"/>
      <c r="O1289" s="7"/>
      <c r="P1289" s="17"/>
    </row>
    <row r="1290" spans="1:16" ht="14.25" customHeight="1">
      <c r="A1290" s="5" t="s">
        <v>0</v>
      </c>
      <c r="B1290" s="5" t="str">
        <f t="shared" si="9"/>
        <v>Y</v>
      </c>
      <c r="C1290" s="18" t="s">
        <v>3981</v>
      </c>
      <c r="D1290" s="18"/>
      <c r="E1290" s="126" t="s">
        <v>1266</v>
      </c>
      <c r="F1290" s="19" t="s">
        <v>3982</v>
      </c>
      <c r="G1290" s="19" t="s">
        <v>3972</v>
      </c>
      <c r="H1290" s="20">
        <v>43995</v>
      </c>
      <c r="K1290" s="38" t="s">
        <v>3983</v>
      </c>
      <c r="L1290" s="6">
        <v>9279068201</v>
      </c>
      <c r="N1290" s="16"/>
      <c r="O1290" s="7"/>
      <c r="P1290" s="17"/>
    </row>
    <row r="1291" spans="1:16" ht="14.25" customHeight="1">
      <c r="A1291" s="5" t="s">
        <v>0</v>
      </c>
      <c r="B1291" s="5" t="str">
        <f t="shared" si="9"/>
        <v>Y</v>
      </c>
      <c r="C1291" s="24" t="s">
        <v>3984</v>
      </c>
      <c r="D1291" s="24"/>
      <c r="E1291" s="126" t="s">
        <v>3985</v>
      </c>
      <c r="F1291" s="19" t="s">
        <v>3986</v>
      </c>
      <c r="G1291" s="19" t="s">
        <v>3987</v>
      </c>
      <c r="H1291" s="20">
        <v>43995</v>
      </c>
      <c r="K1291" s="24" t="s">
        <v>3988</v>
      </c>
      <c r="L1291" s="24">
        <v>6202698226</v>
      </c>
      <c r="N1291" s="16"/>
      <c r="O1291" s="7"/>
      <c r="P1291" s="17"/>
    </row>
    <row r="1292" spans="1:16" ht="14.25" customHeight="1">
      <c r="A1292" s="5" t="s">
        <v>0</v>
      </c>
      <c r="B1292" s="5" t="str">
        <f t="shared" si="9"/>
        <v>Y</v>
      </c>
      <c r="C1292" s="24" t="s">
        <v>3989</v>
      </c>
      <c r="D1292" s="24"/>
      <c r="E1292" s="126" t="s">
        <v>3990</v>
      </c>
      <c r="F1292" s="19" t="s">
        <v>3991</v>
      </c>
      <c r="G1292" s="19" t="s">
        <v>3992</v>
      </c>
      <c r="H1292" s="20">
        <v>43995</v>
      </c>
      <c r="K1292" s="38" t="s">
        <v>3993</v>
      </c>
      <c r="L1292" s="24">
        <v>8092666318</v>
      </c>
      <c r="N1292" s="16"/>
      <c r="O1292" s="7"/>
      <c r="P1292" s="17"/>
    </row>
    <row r="1293" spans="1:16" ht="14.25" customHeight="1">
      <c r="A1293" s="5" t="s">
        <v>0</v>
      </c>
      <c r="B1293" s="5" t="str">
        <f t="shared" si="9"/>
        <v>Y</v>
      </c>
      <c r="C1293" s="18" t="s">
        <v>3994</v>
      </c>
      <c r="D1293" s="18"/>
      <c r="E1293" s="126" t="s">
        <v>3995</v>
      </c>
      <c r="F1293" s="19" t="s">
        <v>3996</v>
      </c>
      <c r="G1293" s="19" t="s">
        <v>3997</v>
      </c>
      <c r="H1293" s="20">
        <v>44000</v>
      </c>
      <c r="K1293" s="38" t="s">
        <v>3998</v>
      </c>
      <c r="L1293" s="24">
        <v>929969721743</v>
      </c>
      <c r="N1293" s="16"/>
      <c r="O1293" s="7"/>
      <c r="P1293" s="17"/>
    </row>
    <row r="1294" spans="1:16" ht="14.25" customHeight="1">
      <c r="A1294" s="5" t="s">
        <v>0</v>
      </c>
      <c r="B1294" s="5" t="str">
        <f>IF(H1293="","N","Y")</f>
        <v>Y</v>
      </c>
      <c r="C1294" s="18" t="s">
        <v>3999</v>
      </c>
      <c r="D1294" s="18"/>
      <c r="E1294" s="126" t="s">
        <v>4000</v>
      </c>
      <c r="F1294" s="19" t="s">
        <v>3653</v>
      </c>
      <c r="G1294" s="19" t="s">
        <v>4001</v>
      </c>
      <c r="H1294" s="20">
        <v>43994</v>
      </c>
      <c r="K1294" s="38" t="s">
        <v>4002</v>
      </c>
      <c r="L1294" s="24">
        <v>7779872247</v>
      </c>
      <c r="N1294" s="16"/>
      <c r="O1294" s="7"/>
      <c r="P1294" s="17"/>
    </row>
    <row r="1295" spans="1:16" ht="14.25" customHeight="1">
      <c r="A1295" s="5" t="s">
        <v>0</v>
      </c>
      <c r="B1295" s="5" t="str">
        <f t="shared" ref="B1295:B1549" si="10">IF(H1295="","N","Y")</f>
        <v>Y</v>
      </c>
      <c r="C1295" s="18" t="s">
        <v>4003</v>
      </c>
      <c r="D1295" s="18"/>
      <c r="E1295" s="126" t="s">
        <v>4004</v>
      </c>
      <c r="F1295" s="19" t="s">
        <v>4005</v>
      </c>
      <c r="G1295" s="19" t="s">
        <v>4006</v>
      </c>
      <c r="H1295" s="20">
        <v>43997</v>
      </c>
      <c r="J1295" s="6" t="s">
        <v>4007</v>
      </c>
      <c r="L1295" s="24">
        <v>8603203058</v>
      </c>
      <c r="N1295" s="16"/>
      <c r="O1295" s="7"/>
      <c r="P1295" s="17"/>
    </row>
    <row r="1296" spans="1:16" ht="14.25" customHeight="1">
      <c r="A1296" s="5" t="s">
        <v>0</v>
      </c>
      <c r="B1296" s="5" t="str">
        <f t="shared" si="10"/>
        <v>Y</v>
      </c>
      <c r="C1296" s="18" t="s">
        <v>4008</v>
      </c>
      <c r="D1296" s="18"/>
      <c r="E1296" s="126" t="s">
        <v>4009</v>
      </c>
      <c r="F1296" s="19" t="s">
        <v>4010</v>
      </c>
      <c r="G1296" s="19" t="s">
        <v>4006</v>
      </c>
      <c r="H1296" s="20">
        <v>43998</v>
      </c>
      <c r="K1296" s="38" t="s">
        <v>3932</v>
      </c>
      <c r="L1296" s="24">
        <v>8092774655</v>
      </c>
      <c r="N1296" s="16"/>
      <c r="O1296" s="7"/>
      <c r="P1296" s="17"/>
    </row>
    <row r="1297" spans="1:16" ht="14.25" customHeight="1">
      <c r="A1297" s="5" t="s">
        <v>0</v>
      </c>
      <c r="B1297" s="5" t="str">
        <f t="shared" si="10"/>
        <v>Y</v>
      </c>
      <c r="C1297" s="18" t="s">
        <v>4011</v>
      </c>
      <c r="D1297" s="18"/>
      <c r="E1297" s="126" t="s">
        <v>4012</v>
      </c>
      <c r="F1297" s="19" t="s">
        <v>4013</v>
      </c>
      <c r="G1297" s="19" t="s">
        <v>4006</v>
      </c>
      <c r="H1297" s="20">
        <v>44000</v>
      </c>
      <c r="L1297" s="24">
        <v>9955796483</v>
      </c>
      <c r="N1297" s="16"/>
      <c r="O1297" s="7"/>
      <c r="P1297" s="17"/>
    </row>
    <row r="1298" spans="1:16" ht="14.25" customHeight="1">
      <c r="A1298" s="5" t="s">
        <v>0</v>
      </c>
      <c r="B1298" s="5" t="str">
        <f t="shared" si="10"/>
        <v>Y</v>
      </c>
      <c r="C1298" s="18" t="s">
        <v>4014</v>
      </c>
      <c r="D1298" s="18"/>
      <c r="E1298" s="126" t="s">
        <v>4015</v>
      </c>
      <c r="F1298" s="19" t="s">
        <v>4016</v>
      </c>
      <c r="G1298" s="19" t="s">
        <v>4017</v>
      </c>
      <c r="H1298" s="20">
        <v>44002</v>
      </c>
      <c r="L1298" s="24">
        <v>7209702980</v>
      </c>
      <c r="N1298" s="16"/>
      <c r="O1298" s="7"/>
      <c r="P1298" s="17"/>
    </row>
    <row r="1299" spans="1:16" ht="14.25" customHeight="1">
      <c r="A1299" s="5" t="s">
        <v>0</v>
      </c>
      <c r="B1299" s="5" t="str">
        <f t="shared" si="10"/>
        <v>Y</v>
      </c>
      <c r="C1299" s="18" t="s">
        <v>4018</v>
      </c>
      <c r="D1299" s="18"/>
      <c r="E1299" s="136" t="s">
        <v>4019</v>
      </c>
      <c r="F1299" s="19" t="s">
        <v>4020</v>
      </c>
      <c r="G1299" s="19" t="s">
        <v>4021</v>
      </c>
      <c r="H1299" s="20">
        <v>44000</v>
      </c>
      <c r="K1299" s="38" t="s">
        <v>4022</v>
      </c>
      <c r="L1299" s="24">
        <v>9279458182</v>
      </c>
      <c r="N1299" s="16"/>
      <c r="O1299" s="7"/>
      <c r="P1299" s="17"/>
    </row>
    <row r="1300" spans="1:16" ht="14.25" customHeight="1">
      <c r="A1300" s="5" t="s">
        <v>0</v>
      </c>
      <c r="B1300" s="5" t="str">
        <f t="shared" si="10"/>
        <v>Y</v>
      </c>
      <c r="C1300" s="18" t="s">
        <v>4023</v>
      </c>
      <c r="D1300" s="18"/>
      <c r="E1300" s="136" t="s">
        <v>4024</v>
      </c>
      <c r="F1300" s="19" t="s">
        <v>4025</v>
      </c>
      <c r="G1300" s="19" t="s">
        <v>4021</v>
      </c>
      <c r="H1300" s="20">
        <v>44000</v>
      </c>
      <c r="K1300" s="38" t="s">
        <v>4026</v>
      </c>
      <c r="L1300" s="24">
        <v>8579982778</v>
      </c>
      <c r="N1300" s="16"/>
      <c r="O1300" s="7"/>
      <c r="P1300" s="17"/>
    </row>
    <row r="1301" spans="1:16" ht="14.25" customHeight="1">
      <c r="A1301" s="5" t="s">
        <v>0</v>
      </c>
      <c r="B1301" s="5" t="str">
        <f t="shared" si="10"/>
        <v>Y</v>
      </c>
      <c r="C1301" s="18" t="s">
        <v>4027</v>
      </c>
      <c r="D1301" s="18"/>
      <c r="E1301" s="136" t="s">
        <v>4028</v>
      </c>
      <c r="F1301" s="19" t="s">
        <v>4029</v>
      </c>
      <c r="G1301" s="19" t="s">
        <v>4030</v>
      </c>
      <c r="H1301" s="20">
        <v>44001</v>
      </c>
      <c r="L1301" s="24">
        <v>9234582999</v>
      </c>
      <c r="N1301" s="16"/>
      <c r="O1301" s="7"/>
      <c r="P1301" s="17"/>
    </row>
    <row r="1302" spans="1:16" ht="14.25" customHeight="1">
      <c r="A1302" s="5" t="s">
        <v>0</v>
      </c>
      <c r="B1302" s="5" t="str">
        <f t="shared" si="10"/>
        <v>Y</v>
      </c>
      <c r="C1302" s="18" t="s">
        <v>4031</v>
      </c>
      <c r="D1302" s="18"/>
      <c r="E1302" s="136" t="s">
        <v>4032</v>
      </c>
      <c r="F1302" s="19" t="s">
        <v>3776</v>
      </c>
      <c r="G1302" s="19" t="s">
        <v>4030</v>
      </c>
      <c r="H1302" s="20">
        <v>44005</v>
      </c>
      <c r="L1302" s="24">
        <v>8271388848</v>
      </c>
      <c r="N1302" s="16"/>
      <c r="O1302" s="7"/>
      <c r="P1302" s="17"/>
    </row>
    <row r="1303" spans="1:16" ht="14.25" customHeight="1">
      <c r="A1303" s="5" t="s">
        <v>1</v>
      </c>
      <c r="B1303" s="5" t="str">
        <f t="shared" si="10"/>
        <v>Y</v>
      </c>
      <c r="C1303" s="18" t="s">
        <v>4033</v>
      </c>
      <c r="D1303" s="18"/>
      <c r="E1303" s="136" t="s">
        <v>4034</v>
      </c>
      <c r="F1303" s="19" t="s">
        <v>3952</v>
      </c>
      <c r="G1303" s="19" t="s">
        <v>4035</v>
      </c>
      <c r="H1303" s="20">
        <v>43977</v>
      </c>
      <c r="K1303" s="38" t="s">
        <v>3932</v>
      </c>
      <c r="N1303" s="16"/>
      <c r="O1303" s="7"/>
      <c r="P1303" s="17"/>
    </row>
    <row r="1304" spans="1:16" ht="14.25" customHeight="1">
      <c r="A1304" s="5" t="s">
        <v>0</v>
      </c>
      <c r="B1304" s="5" t="str">
        <f t="shared" si="10"/>
        <v>Y</v>
      </c>
      <c r="C1304" s="18" t="s">
        <v>4036</v>
      </c>
      <c r="D1304" s="18"/>
      <c r="E1304" s="126" t="s">
        <v>1402</v>
      </c>
      <c r="F1304" s="19" t="s">
        <v>3937</v>
      </c>
      <c r="G1304" s="19" t="s">
        <v>4035</v>
      </c>
      <c r="H1304" s="20">
        <v>44005</v>
      </c>
      <c r="K1304" s="38" t="s">
        <v>4026</v>
      </c>
      <c r="L1304" s="24">
        <v>9234739947</v>
      </c>
      <c r="N1304" s="16"/>
      <c r="O1304" s="7"/>
      <c r="P1304" s="17"/>
    </row>
    <row r="1305" spans="1:16" ht="14.25" customHeight="1">
      <c r="A1305" s="5" t="s">
        <v>0</v>
      </c>
      <c r="B1305" s="5" t="str">
        <f t="shared" si="10"/>
        <v>Y</v>
      </c>
      <c r="C1305" s="18" t="s">
        <v>4037</v>
      </c>
      <c r="D1305" s="18"/>
      <c r="E1305" s="6" t="s">
        <v>2148</v>
      </c>
      <c r="F1305" s="19" t="s">
        <v>4038</v>
      </c>
      <c r="G1305" s="19" t="s">
        <v>4035</v>
      </c>
      <c r="H1305" s="20">
        <v>44005</v>
      </c>
      <c r="K1305" s="38" t="s">
        <v>4039</v>
      </c>
      <c r="L1305" s="6">
        <v>7381319636</v>
      </c>
      <c r="N1305" s="16"/>
      <c r="O1305" s="7"/>
      <c r="P1305" s="17"/>
    </row>
    <row r="1306" spans="1:16" ht="14.25" customHeight="1">
      <c r="A1306" s="5" t="s">
        <v>0</v>
      </c>
      <c r="B1306" s="5" t="str">
        <f t="shared" si="10"/>
        <v>Y</v>
      </c>
      <c r="C1306" s="18" t="s">
        <v>4040</v>
      </c>
      <c r="D1306" s="18"/>
      <c r="E1306" s="6" t="s">
        <v>4041</v>
      </c>
      <c r="F1306" s="19" t="s">
        <v>4042</v>
      </c>
      <c r="G1306" s="19" t="s">
        <v>4035</v>
      </c>
      <c r="H1306" s="20">
        <v>44005</v>
      </c>
      <c r="K1306" s="38" t="s">
        <v>4043</v>
      </c>
      <c r="L1306" s="6">
        <v>9097550450</v>
      </c>
      <c r="N1306" s="16"/>
      <c r="O1306" s="7"/>
      <c r="P1306" s="17"/>
    </row>
    <row r="1307" spans="1:16" ht="14.25" customHeight="1">
      <c r="A1307" s="5" t="s">
        <v>0</v>
      </c>
      <c r="B1307" s="5" t="str">
        <f t="shared" si="10"/>
        <v>Y</v>
      </c>
      <c r="C1307" s="18" t="s">
        <v>4044</v>
      </c>
      <c r="D1307" s="18"/>
      <c r="E1307" s="126" t="s">
        <v>2346</v>
      </c>
      <c r="F1307" s="19" t="s">
        <v>4045</v>
      </c>
      <c r="G1307" s="19" t="s">
        <v>4046</v>
      </c>
      <c r="H1307" s="20">
        <v>44005</v>
      </c>
      <c r="K1307" s="137" t="s">
        <v>4047</v>
      </c>
      <c r="L1307" s="6">
        <v>8092595151</v>
      </c>
      <c r="N1307" s="16"/>
      <c r="O1307" s="7"/>
      <c r="P1307" s="17"/>
    </row>
    <row r="1308" spans="1:16" ht="14.25" customHeight="1">
      <c r="A1308" s="5" t="s">
        <v>0</v>
      </c>
      <c r="B1308" s="5" t="str">
        <f t="shared" si="10"/>
        <v>Y</v>
      </c>
      <c r="C1308" s="18" t="s">
        <v>4048</v>
      </c>
      <c r="D1308" s="18"/>
      <c r="E1308" s="126" t="s">
        <v>1682</v>
      </c>
      <c r="F1308" s="19" t="s">
        <v>4049</v>
      </c>
      <c r="G1308" s="19" t="s">
        <v>4046</v>
      </c>
      <c r="H1308" s="20">
        <v>44008</v>
      </c>
      <c r="K1308" s="137" t="s">
        <v>4050</v>
      </c>
      <c r="L1308" s="6">
        <v>7209682107</v>
      </c>
      <c r="N1308" s="16"/>
      <c r="O1308" s="7"/>
      <c r="P1308" s="17"/>
    </row>
    <row r="1309" spans="1:16" ht="14.25" customHeight="1">
      <c r="A1309" s="5" t="s">
        <v>0</v>
      </c>
      <c r="B1309" s="5" t="str">
        <f t="shared" si="10"/>
        <v>Y</v>
      </c>
      <c r="C1309" s="18" t="s">
        <v>4051</v>
      </c>
      <c r="D1309" s="18"/>
      <c r="E1309" s="126" t="s">
        <v>4052</v>
      </c>
      <c r="F1309" s="19" t="s">
        <v>4053</v>
      </c>
      <c r="G1309" s="19" t="s">
        <v>4046</v>
      </c>
      <c r="H1309" s="20">
        <v>44008</v>
      </c>
      <c r="K1309" s="38" t="s">
        <v>3932</v>
      </c>
      <c r="L1309" s="6">
        <v>6205763816</v>
      </c>
      <c r="N1309" s="16"/>
      <c r="O1309" s="7"/>
      <c r="P1309" s="17"/>
    </row>
    <row r="1310" spans="1:16" ht="14.25" customHeight="1">
      <c r="A1310" s="5" t="s">
        <v>0</v>
      </c>
      <c r="B1310" s="5" t="str">
        <f t="shared" si="10"/>
        <v>Y</v>
      </c>
      <c r="C1310" s="18" t="s">
        <v>4054</v>
      </c>
      <c r="D1310" s="18"/>
      <c r="E1310" s="126" t="s">
        <v>4055</v>
      </c>
      <c r="F1310" s="19" t="s">
        <v>4056</v>
      </c>
      <c r="G1310" s="19" t="s">
        <v>4057</v>
      </c>
      <c r="H1310" s="20">
        <v>44009</v>
      </c>
      <c r="K1310" s="137" t="s">
        <v>4058</v>
      </c>
      <c r="L1310" s="6">
        <v>9065484269</v>
      </c>
      <c r="N1310" s="16"/>
      <c r="O1310" s="7"/>
      <c r="P1310" s="17"/>
    </row>
    <row r="1311" spans="1:16" ht="14.25" customHeight="1">
      <c r="A1311" s="5" t="s">
        <v>0</v>
      </c>
      <c r="B1311" s="5" t="str">
        <f t="shared" si="10"/>
        <v>Y</v>
      </c>
      <c r="C1311" s="18" t="s">
        <v>4059</v>
      </c>
      <c r="D1311" s="18"/>
      <c r="E1311" s="136" t="s">
        <v>4060</v>
      </c>
      <c r="F1311" s="19" t="s">
        <v>4061</v>
      </c>
      <c r="G1311" s="19" t="s">
        <v>4062</v>
      </c>
      <c r="H1311" s="20">
        <v>44010</v>
      </c>
      <c r="K1311" s="137" t="s">
        <v>4063</v>
      </c>
      <c r="L1311" s="6">
        <v>9631055121</v>
      </c>
      <c r="N1311" s="16"/>
      <c r="O1311" s="7"/>
      <c r="P1311" s="17"/>
    </row>
    <row r="1312" spans="1:16" ht="14.25" customHeight="1">
      <c r="A1312" s="5" t="s">
        <v>0</v>
      </c>
      <c r="B1312" s="5" t="str">
        <f t="shared" si="10"/>
        <v>Y</v>
      </c>
      <c r="C1312" s="18" t="s">
        <v>4064</v>
      </c>
      <c r="D1312" s="18"/>
      <c r="E1312" s="126" t="s">
        <v>4065</v>
      </c>
      <c r="F1312" s="19" t="s">
        <v>4066</v>
      </c>
      <c r="G1312" s="19" t="s">
        <v>4067</v>
      </c>
      <c r="H1312" s="20">
        <v>43983</v>
      </c>
      <c r="K1312" s="38" t="s">
        <v>3932</v>
      </c>
      <c r="L1312" s="6">
        <v>9798490492</v>
      </c>
      <c r="N1312" s="16"/>
      <c r="O1312" s="7"/>
      <c r="P1312" s="17"/>
    </row>
    <row r="1313" spans="1:16" ht="14.25" customHeight="1">
      <c r="A1313" s="5" t="s">
        <v>0</v>
      </c>
      <c r="B1313" s="5" t="str">
        <f t="shared" si="10"/>
        <v>Y</v>
      </c>
      <c r="C1313" s="18" t="s">
        <v>4068</v>
      </c>
      <c r="D1313" s="18"/>
      <c r="E1313" s="126" t="s">
        <v>4069</v>
      </c>
      <c r="F1313" s="19" t="s">
        <v>4070</v>
      </c>
      <c r="G1313" s="19" t="s">
        <v>4067</v>
      </c>
      <c r="H1313" s="19" t="s">
        <v>4067</v>
      </c>
      <c r="K1313" s="38" t="s">
        <v>3932</v>
      </c>
      <c r="L1313" s="6">
        <v>8210926195</v>
      </c>
      <c r="N1313" s="16"/>
      <c r="O1313" s="7"/>
      <c r="P1313" s="17"/>
    </row>
    <row r="1314" spans="1:16" ht="14.25" customHeight="1">
      <c r="A1314" s="5" t="s">
        <v>0</v>
      </c>
      <c r="B1314" s="5" t="str">
        <f t="shared" si="10"/>
        <v>Y</v>
      </c>
      <c r="C1314" s="62" t="s">
        <v>4071</v>
      </c>
      <c r="D1314" s="62"/>
      <c r="E1314" s="136" t="s">
        <v>4072</v>
      </c>
      <c r="F1314" s="19" t="s">
        <v>4073</v>
      </c>
      <c r="G1314" s="19" t="s">
        <v>4067</v>
      </c>
      <c r="H1314" s="19" t="s">
        <v>4067</v>
      </c>
      <c r="K1314" s="38" t="s">
        <v>3932</v>
      </c>
      <c r="L1314" s="6">
        <v>6299095164</v>
      </c>
      <c r="N1314" s="16"/>
      <c r="O1314" s="7"/>
      <c r="P1314" s="17"/>
    </row>
    <row r="1315" spans="1:16" ht="14.25" customHeight="1">
      <c r="A1315" s="5" t="s">
        <v>0</v>
      </c>
      <c r="B1315" s="5" t="str">
        <f t="shared" si="10"/>
        <v>Y</v>
      </c>
      <c r="C1315" s="18" t="s">
        <v>4074</v>
      </c>
      <c r="D1315" s="18"/>
      <c r="E1315" s="126" t="s">
        <v>4075</v>
      </c>
      <c r="F1315" s="19" t="s">
        <v>4076</v>
      </c>
      <c r="G1315" s="19" t="s">
        <v>4077</v>
      </c>
      <c r="H1315" s="20">
        <v>44014</v>
      </c>
      <c r="L1315" s="6">
        <v>9031956771</v>
      </c>
      <c r="N1315" s="16"/>
      <c r="O1315" s="7"/>
      <c r="P1315" s="17"/>
    </row>
    <row r="1316" spans="1:16" ht="14.25" customHeight="1">
      <c r="A1316" s="5" t="s">
        <v>0</v>
      </c>
      <c r="B1316" s="5" t="str">
        <f t="shared" si="10"/>
        <v>Y</v>
      </c>
      <c r="C1316" s="18" t="s">
        <v>4078</v>
      </c>
      <c r="D1316" s="18"/>
      <c r="E1316" s="126" t="s">
        <v>4079</v>
      </c>
      <c r="F1316" s="19" t="s">
        <v>4080</v>
      </c>
      <c r="G1316" s="19" t="s">
        <v>4081</v>
      </c>
      <c r="H1316" s="19" t="s">
        <v>4081</v>
      </c>
      <c r="L1316" s="6">
        <v>9031734009</v>
      </c>
      <c r="N1316" s="16"/>
      <c r="O1316" s="7"/>
      <c r="P1316" s="17"/>
    </row>
    <row r="1317" spans="1:16" ht="14.25" customHeight="1">
      <c r="A1317" s="5" t="s">
        <v>0</v>
      </c>
      <c r="B1317" s="5" t="str">
        <f t="shared" si="10"/>
        <v>Y</v>
      </c>
      <c r="C1317" s="18" t="s">
        <v>4082</v>
      </c>
      <c r="D1317" s="18"/>
      <c r="E1317" s="136" t="s">
        <v>4083</v>
      </c>
      <c r="F1317" s="19" t="s">
        <v>4084</v>
      </c>
      <c r="G1317" s="19" t="s">
        <v>4081</v>
      </c>
      <c r="H1317" s="20">
        <v>44014</v>
      </c>
      <c r="L1317" s="6">
        <v>9572217529</v>
      </c>
      <c r="N1317" s="16"/>
      <c r="O1317" s="7"/>
      <c r="P1317" s="17"/>
    </row>
    <row r="1318" spans="1:16" ht="14.25" customHeight="1">
      <c r="A1318" s="5" t="s">
        <v>0</v>
      </c>
      <c r="B1318" s="5" t="str">
        <f t="shared" si="10"/>
        <v>Y</v>
      </c>
      <c r="C1318" s="18" t="s">
        <v>4085</v>
      </c>
      <c r="D1318" s="18"/>
      <c r="E1318" s="136" t="s">
        <v>4086</v>
      </c>
      <c r="F1318" s="19" t="s">
        <v>4087</v>
      </c>
      <c r="G1318" s="19" t="s">
        <v>4088</v>
      </c>
      <c r="H1318" s="20">
        <v>44016</v>
      </c>
      <c r="L1318" s="6">
        <v>9234341682</v>
      </c>
      <c r="N1318" s="16"/>
      <c r="O1318" s="7"/>
      <c r="P1318" s="17"/>
    </row>
    <row r="1319" spans="1:16" ht="14.25" customHeight="1">
      <c r="A1319" s="5" t="s">
        <v>0</v>
      </c>
      <c r="B1319" s="5" t="str">
        <f t="shared" si="10"/>
        <v>Y</v>
      </c>
      <c r="C1319" s="18" t="s">
        <v>4089</v>
      </c>
      <c r="D1319" s="18"/>
      <c r="E1319" s="136" t="s">
        <v>4090</v>
      </c>
      <c r="F1319" s="19" t="s">
        <v>4091</v>
      </c>
      <c r="G1319" s="19" t="s">
        <v>4092</v>
      </c>
      <c r="H1319" s="20">
        <v>44015</v>
      </c>
      <c r="N1319" s="16"/>
      <c r="O1319" s="7"/>
      <c r="P1319" s="17"/>
    </row>
    <row r="1320" spans="1:16" ht="14.25" customHeight="1">
      <c r="A1320" s="5" t="s">
        <v>0</v>
      </c>
      <c r="B1320" s="5" t="str">
        <f t="shared" si="10"/>
        <v>Y</v>
      </c>
      <c r="C1320" s="18" t="s">
        <v>4093</v>
      </c>
      <c r="D1320" s="18"/>
      <c r="E1320" s="136" t="s">
        <v>4094</v>
      </c>
      <c r="F1320" s="19" t="s">
        <v>4095</v>
      </c>
      <c r="G1320" s="19" t="s">
        <v>4092</v>
      </c>
      <c r="H1320" s="20">
        <v>44015</v>
      </c>
      <c r="K1320" s="38" t="s">
        <v>4096</v>
      </c>
      <c r="L1320" s="6">
        <v>7667536392</v>
      </c>
      <c r="N1320" s="16"/>
      <c r="O1320" s="7"/>
      <c r="P1320" s="17"/>
    </row>
    <row r="1321" spans="1:16" ht="14.25" customHeight="1">
      <c r="A1321" s="5" t="s">
        <v>0</v>
      </c>
      <c r="B1321" s="5" t="str">
        <f t="shared" si="10"/>
        <v>Y</v>
      </c>
      <c r="C1321" s="128" t="s">
        <v>4097</v>
      </c>
      <c r="D1321" s="128"/>
      <c r="E1321" s="136" t="s">
        <v>4098</v>
      </c>
      <c r="F1321" s="19" t="s">
        <v>3054</v>
      </c>
      <c r="G1321" s="19" t="s">
        <v>4099</v>
      </c>
      <c r="H1321" s="20">
        <v>44018</v>
      </c>
      <c r="K1321" s="38" t="s">
        <v>4100</v>
      </c>
      <c r="L1321" s="6">
        <v>9234715391</v>
      </c>
      <c r="N1321" s="16"/>
      <c r="O1321" s="7"/>
      <c r="P1321" s="17"/>
    </row>
    <row r="1322" spans="1:16" ht="14.25" customHeight="1">
      <c r="A1322" s="5" t="s">
        <v>0</v>
      </c>
      <c r="B1322" s="5" t="str">
        <f t="shared" si="10"/>
        <v>Y</v>
      </c>
      <c r="C1322" s="18" t="s">
        <v>4101</v>
      </c>
      <c r="D1322" s="18"/>
      <c r="E1322" s="136" t="s">
        <v>4102</v>
      </c>
      <c r="F1322" s="19" t="s">
        <v>4103</v>
      </c>
      <c r="G1322" s="19" t="s">
        <v>4104</v>
      </c>
      <c r="H1322" s="20">
        <v>44019</v>
      </c>
      <c r="K1322" s="38" t="s">
        <v>3932</v>
      </c>
      <c r="L1322" s="6">
        <v>9771616936</v>
      </c>
      <c r="N1322" s="16"/>
      <c r="O1322" s="7"/>
      <c r="P1322" s="17"/>
    </row>
    <row r="1323" spans="1:16" ht="14.25" customHeight="1">
      <c r="A1323" s="5" t="s">
        <v>0</v>
      </c>
      <c r="B1323" s="5" t="str">
        <f t="shared" si="10"/>
        <v>Y</v>
      </c>
      <c r="C1323" s="18" t="s">
        <v>4105</v>
      </c>
      <c r="D1323" s="18"/>
      <c r="E1323" s="136" t="s">
        <v>4106</v>
      </c>
      <c r="F1323" s="19" t="s">
        <v>4107</v>
      </c>
      <c r="G1323" s="19" t="s">
        <v>4108</v>
      </c>
      <c r="H1323" s="20">
        <v>44020</v>
      </c>
      <c r="K1323" s="137" t="s">
        <v>4109</v>
      </c>
      <c r="L1323" s="6">
        <v>9279252812</v>
      </c>
      <c r="N1323" s="16"/>
      <c r="O1323" s="7"/>
      <c r="P1323" s="17"/>
    </row>
    <row r="1324" spans="1:16" ht="14.25" customHeight="1">
      <c r="A1324" s="5" t="s">
        <v>0</v>
      </c>
      <c r="B1324" s="5" t="str">
        <f t="shared" si="10"/>
        <v>Y</v>
      </c>
      <c r="C1324" s="18" t="s">
        <v>4110</v>
      </c>
      <c r="D1324" s="18"/>
      <c r="E1324" s="136" t="s">
        <v>3544</v>
      </c>
      <c r="F1324" s="19" t="s">
        <v>4111</v>
      </c>
      <c r="G1324" s="19" t="s">
        <v>4108</v>
      </c>
      <c r="H1324" s="20">
        <v>44020</v>
      </c>
      <c r="K1324" s="137" t="s">
        <v>4112</v>
      </c>
      <c r="L1324" s="6">
        <v>7301622375</v>
      </c>
      <c r="N1324" s="16"/>
      <c r="O1324" s="7"/>
      <c r="P1324" s="17"/>
    </row>
    <row r="1325" spans="1:16" ht="14.25" customHeight="1">
      <c r="A1325" s="5" t="s">
        <v>0</v>
      </c>
      <c r="B1325" s="5" t="str">
        <f t="shared" si="10"/>
        <v>Y</v>
      </c>
      <c r="C1325" s="18" t="s">
        <v>4113</v>
      </c>
      <c r="D1325" s="18"/>
      <c r="E1325" s="136" t="s">
        <v>4114</v>
      </c>
      <c r="F1325" s="19" t="s">
        <v>3142</v>
      </c>
      <c r="G1325" s="19" t="s">
        <v>4108</v>
      </c>
      <c r="H1325" s="20">
        <v>44020</v>
      </c>
      <c r="K1325" s="38" t="s">
        <v>3932</v>
      </c>
      <c r="L1325" s="6">
        <v>6209061233</v>
      </c>
      <c r="N1325" s="16"/>
      <c r="O1325" s="7"/>
      <c r="P1325" s="17"/>
    </row>
    <row r="1326" spans="1:16" ht="14.25" customHeight="1">
      <c r="A1326" s="5" t="s">
        <v>0</v>
      </c>
      <c r="B1326" s="5" t="str">
        <f t="shared" si="10"/>
        <v>Y</v>
      </c>
      <c r="C1326" s="18" t="s">
        <v>4115</v>
      </c>
      <c r="D1326" s="18"/>
      <c r="E1326" s="136" t="s">
        <v>4116</v>
      </c>
      <c r="F1326" s="19" t="s">
        <v>4117</v>
      </c>
      <c r="G1326" s="19" t="s">
        <v>4118</v>
      </c>
      <c r="H1326" s="20">
        <v>44022</v>
      </c>
      <c r="K1326" s="38" t="s">
        <v>4119</v>
      </c>
      <c r="L1326" s="6">
        <v>6201104635</v>
      </c>
      <c r="N1326" s="16"/>
      <c r="O1326" s="7"/>
      <c r="P1326" s="17"/>
    </row>
    <row r="1327" spans="1:16" ht="14.25" customHeight="1">
      <c r="A1327" s="5" t="s">
        <v>0</v>
      </c>
      <c r="B1327" s="5" t="str">
        <f t="shared" si="10"/>
        <v>Y</v>
      </c>
      <c r="C1327" s="134" t="s">
        <v>4120</v>
      </c>
      <c r="D1327" s="134"/>
      <c r="E1327" s="136" t="s">
        <v>4121</v>
      </c>
      <c r="F1327" s="19" t="s">
        <v>4122</v>
      </c>
      <c r="G1327" s="19" t="s">
        <v>4118</v>
      </c>
      <c r="H1327" s="20">
        <v>44022</v>
      </c>
      <c r="N1327" s="16"/>
      <c r="O1327" s="7"/>
      <c r="P1327" s="17"/>
    </row>
    <row r="1328" spans="1:16" ht="14.25" customHeight="1">
      <c r="A1328" s="5" t="s">
        <v>0</v>
      </c>
      <c r="B1328" s="5" t="str">
        <f t="shared" si="10"/>
        <v>Y</v>
      </c>
      <c r="C1328" s="18" t="s">
        <v>4123</v>
      </c>
      <c r="D1328" s="18"/>
      <c r="E1328" s="136" t="s">
        <v>4124</v>
      </c>
      <c r="F1328" s="19" t="s">
        <v>4125</v>
      </c>
      <c r="G1328" s="19" t="s">
        <v>4126</v>
      </c>
      <c r="H1328" s="20">
        <v>44025</v>
      </c>
      <c r="K1328" s="38" t="s">
        <v>4127</v>
      </c>
      <c r="L1328" s="6">
        <v>9431380755</v>
      </c>
      <c r="N1328" s="16"/>
      <c r="O1328" s="7"/>
      <c r="P1328" s="17"/>
    </row>
    <row r="1329" spans="1:16" ht="14.25" customHeight="1">
      <c r="A1329" s="5" t="s">
        <v>0</v>
      </c>
      <c r="B1329" s="5" t="str">
        <f t="shared" si="10"/>
        <v>Y</v>
      </c>
      <c r="C1329" s="18" t="s">
        <v>4128</v>
      </c>
      <c r="D1329" s="18"/>
      <c r="E1329" s="136" t="s">
        <v>4129</v>
      </c>
      <c r="F1329" s="19" t="s">
        <v>4130</v>
      </c>
      <c r="G1329" s="19" t="s">
        <v>4126</v>
      </c>
      <c r="H1329" s="20">
        <v>44023</v>
      </c>
      <c r="K1329" s="38" t="s">
        <v>3932</v>
      </c>
      <c r="L1329" s="6">
        <v>7209288061</v>
      </c>
      <c r="N1329" s="16"/>
      <c r="O1329" s="7"/>
      <c r="P1329" s="17"/>
    </row>
    <row r="1330" spans="1:16" ht="14.25" customHeight="1">
      <c r="A1330" s="5" t="s">
        <v>0</v>
      </c>
      <c r="B1330" s="5" t="str">
        <f t="shared" si="10"/>
        <v>Y</v>
      </c>
      <c r="C1330" s="18" t="s">
        <v>4131</v>
      </c>
      <c r="D1330" s="18"/>
      <c r="E1330" s="136" t="s">
        <v>4132</v>
      </c>
      <c r="F1330" s="19" t="s">
        <v>4133</v>
      </c>
      <c r="G1330" s="19" t="s">
        <v>4134</v>
      </c>
      <c r="H1330" s="20">
        <v>44026</v>
      </c>
      <c r="K1330" s="38" t="s">
        <v>3932</v>
      </c>
      <c r="L1330" s="6">
        <v>7805015160</v>
      </c>
      <c r="N1330" s="16"/>
      <c r="O1330" s="7"/>
      <c r="P1330" s="17"/>
    </row>
    <row r="1331" spans="1:16" ht="14.25" customHeight="1">
      <c r="A1331" s="5" t="s">
        <v>0</v>
      </c>
      <c r="B1331" s="5" t="str">
        <f t="shared" si="10"/>
        <v>Y</v>
      </c>
      <c r="C1331" s="18" t="s">
        <v>4135</v>
      </c>
      <c r="D1331" s="18"/>
      <c r="E1331" s="136" t="s">
        <v>4136</v>
      </c>
      <c r="F1331" s="19" t="s">
        <v>4137</v>
      </c>
      <c r="G1331" s="19" t="s">
        <v>4138</v>
      </c>
      <c r="H1331" s="20">
        <v>44026</v>
      </c>
      <c r="K1331" s="38" t="s">
        <v>4139</v>
      </c>
      <c r="L1331" s="6">
        <v>7294820312</v>
      </c>
      <c r="N1331" s="16"/>
      <c r="O1331" s="7"/>
      <c r="P1331" s="17"/>
    </row>
    <row r="1332" spans="1:16" ht="14.25" customHeight="1">
      <c r="A1332" s="5" t="s">
        <v>0</v>
      </c>
      <c r="B1332" s="5" t="str">
        <f t="shared" si="10"/>
        <v>Y</v>
      </c>
      <c r="C1332" s="18" t="s">
        <v>4140</v>
      </c>
      <c r="D1332" s="18"/>
      <c r="E1332" s="136" t="s">
        <v>4141</v>
      </c>
      <c r="F1332" s="19" t="s">
        <v>4142</v>
      </c>
      <c r="G1332" s="19" t="s">
        <v>4143</v>
      </c>
      <c r="H1332" s="20">
        <v>44028</v>
      </c>
      <c r="K1332" s="38" t="s">
        <v>3932</v>
      </c>
      <c r="L1332" s="6">
        <v>8092192473</v>
      </c>
      <c r="N1332" s="16"/>
      <c r="O1332" s="7"/>
      <c r="P1332" s="17"/>
    </row>
    <row r="1333" spans="1:16" ht="14.25" customHeight="1">
      <c r="A1333" s="5" t="s">
        <v>0</v>
      </c>
      <c r="B1333" s="5" t="str">
        <f t="shared" si="10"/>
        <v>Y</v>
      </c>
      <c r="C1333" s="18" t="s">
        <v>4144</v>
      </c>
      <c r="D1333" s="18"/>
      <c r="E1333" s="136" t="s">
        <v>4145</v>
      </c>
      <c r="F1333" s="19" t="s">
        <v>4146</v>
      </c>
      <c r="G1333" s="19" t="s">
        <v>4147</v>
      </c>
      <c r="H1333" s="20">
        <v>44028</v>
      </c>
      <c r="K1333" s="137" t="s">
        <v>4148</v>
      </c>
      <c r="L1333" s="6">
        <v>8092450036</v>
      </c>
      <c r="N1333" s="16"/>
      <c r="O1333" s="7"/>
      <c r="P1333" s="17"/>
    </row>
    <row r="1334" spans="1:16" ht="14.25" customHeight="1">
      <c r="A1334" s="5" t="s">
        <v>0</v>
      </c>
      <c r="B1334" s="5" t="str">
        <f t="shared" si="10"/>
        <v>Y</v>
      </c>
      <c r="C1334" s="18" t="s">
        <v>4149</v>
      </c>
      <c r="D1334" s="18"/>
      <c r="E1334" s="136" t="s">
        <v>4150</v>
      </c>
      <c r="F1334" s="19" t="s">
        <v>4151</v>
      </c>
      <c r="G1334" s="19" t="s">
        <v>4147</v>
      </c>
      <c r="H1334" s="20">
        <v>44028</v>
      </c>
      <c r="K1334" s="137" t="s">
        <v>4152</v>
      </c>
      <c r="L1334" s="6">
        <v>9113387403</v>
      </c>
      <c r="M1334" s="11"/>
      <c r="N1334" s="16"/>
      <c r="O1334" s="7"/>
      <c r="P1334" s="17"/>
    </row>
    <row r="1335" spans="1:16" ht="14.25" customHeight="1">
      <c r="A1335" s="5" t="s">
        <v>0</v>
      </c>
      <c r="B1335" s="5" t="str">
        <f t="shared" si="10"/>
        <v>Y</v>
      </c>
      <c r="C1335" s="18" t="s">
        <v>4153</v>
      </c>
      <c r="D1335" s="18"/>
      <c r="E1335" s="136" t="s">
        <v>4154</v>
      </c>
      <c r="F1335" s="19" t="s">
        <v>4155</v>
      </c>
      <c r="G1335" s="19" t="s">
        <v>4156</v>
      </c>
      <c r="H1335" s="20">
        <v>44033</v>
      </c>
      <c r="K1335" s="38" t="s">
        <v>3932</v>
      </c>
      <c r="L1335" s="6">
        <v>8235232493</v>
      </c>
      <c r="M1335" s="11"/>
      <c r="N1335" s="16"/>
      <c r="O1335" s="7"/>
      <c r="P1335" s="17"/>
    </row>
    <row r="1336" spans="1:16" ht="14.25" customHeight="1">
      <c r="A1336" s="5" t="s">
        <v>0</v>
      </c>
      <c r="B1336" s="5" t="str">
        <f t="shared" si="10"/>
        <v>Y</v>
      </c>
      <c r="C1336" s="18" t="s">
        <v>4157</v>
      </c>
      <c r="D1336" s="18"/>
      <c r="E1336" s="136" t="s">
        <v>4158</v>
      </c>
      <c r="F1336" s="19" t="s">
        <v>4159</v>
      </c>
      <c r="G1336" s="19" t="s">
        <v>4156</v>
      </c>
      <c r="H1336" s="20">
        <v>44033</v>
      </c>
      <c r="K1336" s="137" t="s">
        <v>4160</v>
      </c>
      <c r="L1336" s="6">
        <v>7488674210</v>
      </c>
      <c r="M1336" s="11"/>
      <c r="N1336" s="16"/>
      <c r="O1336" s="7"/>
      <c r="P1336" s="17"/>
    </row>
    <row r="1337" spans="1:16" ht="14.25" customHeight="1">
      <c r="A1337" s="5" t="s">
        <v>0</v>
      </c>
      <c r="B1337" s="5" t="str">
        <f t="shared" si="10"/>
        <v>Y</v>
      </c>
      <c r="C1337" s="18" t="s">
        <v>4161</v>
      </c>
      <c r="D1337" s="18"/>
      <c r="E1337" s="136" t="s">
        <v>4162</v>
      </c>
      <c r="F1337" s="19" t="s">
        <v>4163</v>
      </c>
      <c r="G1337" s="19" t="s">
        <v>4164</v>
      </c>
      <c r="H1337" s="20">
        <v>44025</v>
      </c>
      <c r="K1337" s="38" t="s">
        <v>3932</v>
      </c>
      <c r="L1337" s="6">
        <v>8298144804</v>
      </c>
      <c r="N1337" s="16"/>
      <c r="O1337" s="7"/>
      <c r="P1337" s="17"/>
    </row>
    <row r="1338" spans="1:16" ht="14.25" customHeight="1">
      <c r="A1338" s="5" t="s">
        <v>0</v>
      </c>
      <c r="B1338" s="5" t="str">
        <f t="shared" si="10"/>
        <v>Y</v>
      </c>
      <c r="C1338" s="18" t="s">
        <v>4165</v>
      </c>
      <c r="D1338" s="18"/>
      <c r="E1338" s="136" t="s">
        <v>4166</v>
      </c>
      <c r="F1338" s="19" t="s">
        <v>4167</v>
      </c>
      <c r="G1338" s="19" t="s">
        <v>4168</v>
      </c>
      <c r="H1338" s="20">
        <v>44041</v>
      </c>
      <c r="K1338" s="137" t="s">
        <v>4169</v>
      </c>
      <c r="L1338" s="6">
        <v>9852379551</v>
      </c>
      <c r="N1338" s="16"/>
      <c r="O1338" s="7"/>
      <c r="P1338" s="17"/>
    </row>
    <row r="1339" spans="1:16" ht="14.25" customHeight="1">
      <c r="A1339" s="5" t="s">
        <v>0</v>
      </c>
      <c r="B1339" s="5" t="str">
        <f t="shared" si="10"/>
        <v>Y</v>
      </c>
      <c r="C1339" s="18" t="s">
        <v>4170</v>
      </c>
      <c r="D1339" s="18"/>
      <c r="E1339" s="136" t="s">
        <v>4171</v>
      </c>
      <c r="F1339" s="19" t="s">
        <v>4172</v>
      </c>
      <c r="G1339" s="19" t="s">
        <v>4173</v>
      </c>
      <c r="H1339" s="20">
        <v>44043</v>
      </c>
      <c r="K1339" s="38" t="s">
        <v>3932</v>
      </c>
      <c r="L1339" s="6">
        <v>9279905122</v>
      </c>
      <c r="N1339" s="16"/>
      <c r="O1339" s="7"/>
      <c r="P1339" s="17"/>
    </row>
    <row r="1340" spans="1:16" ht="14.25" customHeight="1">
      <c r="A1340" s="5" t="s">
        <v>0</v>
      </c>
      <c r="B1340" s="5" t="str">
        <f t="shared" si="10"/>
        <v>Y</v>
      </c>
      <c r="C1340" s="18" t="s">
        <v>4174</v>
      </c>
      <c r="D1340" s="18"/>
      <c r="E1340" s="136" t="s">
        <v>4072</v>
      </c>
      <c r="F1340" s="19" t="s">
        <v>4073</v>
      </c>
      <c r="G1340" s="19" t="s">
        <v>4175</v>
      </c>
      <c r="H1340" s="20">
        <v>44046</v>
      </c>
      <c r="K1340" s="38" t="s">
        <v>3932</v>
      </c>
      <c r="L1340" s="6">
        <v>6299095164</v>
      </c>
      <c r="N1340" s="16"/>
      <c r="O1340" s="7"/>
      <c r="P1340" s="17"/>
    </row>
    <row r="1341" spans="1:16" ht="14.25" customHeight="1">
      <c r="A1341" s="5" t="s">
        <v>0</v>
      </c>
      <c r="B1341" s="5" t="str">
        <f t="shared" si="10"/>
        <v>Y</v>
      </c>
      <c r="C1341" s="18" t="s">
        <v>4176</v>
      </c>
      <c r="D1341" s="18"/>
      <c r="E1341" s="136" t="s">
        <v>4177</v>
      </c>
      <c r="F1341" s="19" t="s">
        <v>4111</v>
      </c>
      <c r="G1341" s="19" t="s">
        <v>4175</v>
      </c>
      <c r="H1341" s="20">
        <v>44046</v>
      </c>
      <c r="K1341" s="38"/>
      <c r="L1341" s="6">
        <v>7209953411</v>
      </c>
      <c r="N1341" s="16"/>
      <c r="O1341" s="7"/>
      <c r="P1341" s="17"/>
    </row>
    <row r="1342" spans="1:16" ht="14.25" customHeight="1">
      <c r="A1342" s="5" t="s">
        <v>0</v>
      </c>
      <c r="B1342" s="5" t="str">
        <f t="shared" si="10"/>
        <v>Y</v>
      </c>
      <c r="C1342" s="18" t="s">
        <v>4178</v>
      </c>
      <c r="D1342" s="18"/>
      <c r="E1342" s="136" t="s">
        <v>4179</v>
      </c>
      <c r="F1342" s="19" t="s">
        <v>4180</v>
      </c>
      <c r="G1342" s="19" t="s">
        <v>4175</v>
      </c>
      <c r="H1342" s="20" t="s">
        <v>4175</v>
      </c>
      <c r="K1342" s="138" t="s">
        <v>4181</v>
      </c>
      <c r="L1342" s="6">
        <v>7488016067</v>
      </c>
      <c r="N1342" s="16"/>
      <c r="O1342" s="7"/>
      <c r="P1342" s="17"/>
    </row>
    <row r="1343" spans="1:16" ht="14.25" customHeight="1">
      <c r="A1343" s="5" t="s">
        <v>0</v>
      </c>
      <c r="B1343" s="5" t="str">
        <f t="shared" si="10"/>
        <v>Y</v>
      </c>
      <c r="C1343" s="18" t="s">
        <v>4182</v>
      </c>
      <c r="D1343" s="18"/>
      <c r="E1343" s="136" t="s">
        <v>4183</v>
      </c>
      <c r="F1343" s="19" t="s">
        <v>4184</v>
      </c>
      <c r="G1343" s="19" t="s">
        <v>4185</v>
      </c>
      <c r="H1343" s="20">
        <v>44056</v>
      </c>
      <c r="K1343" s="38" t="s">
        <v>3932</v>
      </c>
      <c r="L1343" s="6">
        <v>9204928770</v>
      </c>
      <c r="N1343" s="16"/>
      <c r="O1343" s="7"/>
      <c r="P1343" s="17"/>
    </row>
    <row r="1344" spans="1:16" ht="14.25" customHeight="1">
      <c r="A1344" s="5" t="s">
        <v>0</v>
      </c>
      <c r="B1344" s="5" t="str">
        <f t="shared" si="10"/>
        <v>Y</v>
      </c>
      <c r="C1344" s="18" t="s">
        <v>4186</v>
      </c>
      <c r="D1344" s="18"/>
      <c r="E1344" s="136" t="s">
        <v>4187</v>
      </c>
      <c r="F1344" s="19" t="s">
        <v>4188</v>
      </c>
      <c r="G1344" s="19" t="s">
        <v>4189</v>
      </c>
      <c r="H1344" s="20">
        <v>44058</v>
      </c>
      <c r="K1344" s="137" t="s">
        <v>4190</v>
      </c>
      <c r="L1344" s="6">
        <v>9608255547</v>
      </c>
      <c r="N1344" s="16"/>
      <c r="O1344" s="7"/>
      <c r="P1344" s="17"/>
    </row>
    <row r="1345" spans="1:16" ht="14.25" customHeight="1">
      <c r="A1345" s="5" t="s">
        <v>0</v>
      </c>
      <c r="B1345" s="5" t="str">
        <f t="shared" si="10"/>
        <v>N</v>
      </c>
      <c r="C1345" s="18" t="s">
        <v>4191</v>
      </c>
      <c r="D1345" s="18"/>
      <c r="E1345" s="126" t="s">
        <v>4106</v>
      </c>
      <c r="F1345" s="19"/>
      <c r="G1345" s="19"/>
      <c r="H1345" s="20"/>
      <c r="K1345" s="38"/>
      <c r="N1345" s="16"/>
      <c r="O1345" s="7"/>
      <c r="P1345" s="17"/>
    </row>
    <row r="1346" spans="1:16" ht="14.25" customHeight="1">
      <c r="A1346" s="5" t="s">
        <v>0</v>
      </c>
      <c r="B1346" s="5" t="str">
        <f t="shared" si="10"/>
        <v>N</v>
      </c>
      <c r="C1346" s="18" t="s">
        <v>4192</v>
      </c>
      <c r="D1346" s="18"/>
      <c r="E1346" s="126" t="s">
        <v>4193</v>
      </c>
      <c r="F1346" s="19"/>
      <c r="G1346" s="19"/>
      <c r="H1346" s="20"/>
      <c r="K1346" s="38"/>
      <c r="N1346" s="16"/>
      <c r="O1346" s="7"/>
      <c r="P1346" s="17"/>
    </row>
    <row r="1347" spans="1:16" ht="14.25" customHeight="1">
      <c r="A1347" s="5" t="s">
        <v>0</v>
      </c>
      <c r="B1347" s="5" t="str">
        <f t="shared" si="10"/>
        <v>Y</v>
      </c>
      <c r="C1347" s="126" t="s">
        <v>4194</v>
      </c>
      <c r="D1347" s="126"/>
      <c r="E1347" s="126" t="s">
        <v>4195</v>
      </c>
      <c r="F1347" s="19" t="s">
        <v>4196</v>
      </c>
      <c r="G1347" s="19" t="s">
        <v>4197</v>
      </c>
      <c r="H1347" s="20">
        <v>44060</v>
      </c>
      <c r="K1347" s="137" t="s">
        <v>4198</v>
      </c>
      <c r="L1347" s="6">
        <v>8797471110</v>
      </c>
      <c r="N1347" s="16"/>
      <c r="O1347" s="7"/>
      <c r="P1347" s="17"/>
    </row>
    <row r="1348" spans="1:16" ht="14.25" customHeight="1">
      <c r="A1348" s="5" t="s">
        <v>0</v>
      </c>
      <c r="B1348" s="5" t="str">
        <f t="shared" si="10"/>
        <v>Y</v>
      </c>
      <c r="C1348" s="18" t="s">
        <v>4199</v>
      </c>
      <c r="D1348" s="18"/>
      <c r="E1348" s="126" t="s">
        <v>4200</v>
      </c>
      <c r="F1348" s="19" t="s">
        <v>4201</v>
      </c>
      <c r="G1348" s="19" t="s">
        <v>4202</v>
      </c>
      <c r="H1348" s="20">
        <v>44061</v>
      </c>
      <c r="K1348" s="38" t="s">
        <v>4203</v>
      </c>
      <c r="L1348" s="6">
        <v>9905851189</v>
      </c>
      <c r="N1348" s="16"/>
      <c r="O1348" s="7"/>
      <c r="P1348" s="17"/>
    </row>
    <row r="1349" spans="1:16" ht="14.25" customHeight="1">
      <c r="A1349" s="5"/>
      <c r="B1349" s="5" t="str">
        <f t="shared" si="10"/>
        <v>N</v>
      </c>
      <c r="C1349" s="18" t="s">
        <v>4204</v>
      </c>
      <c r="D1349" s="18"/>
      <c r="E1349" s="126" t="s">
        <v>4205</v>
      </c>
      <c r="F1349" s="19" t="s">
        <v>4206</v>
      </c>
      <c r="G1349" s="19" t="s">
        <v>4202</v>
      </c>
      <c r="H1349" s="5"/>
      <c r="K1349" s="38" t="s">
        <v>4207</v>
      </c>
      <c r="L1349" s="6">
        <v>7761972059</v>
      </c>
      <c r="N1349" s="16"/>
      <c r="O1349" s="7"/>
      <c r="P1349" s="17"/>
    </row>
    <row r="1350" spans="1:16" ht="14.25" customHeight="1">
      <c r="A1350" s="5"/>
      <c r="B1350" s="5" t="str">
        <f t="shared" si="10"/>
        <v>N</v>
      </c>
      <c r="C1350" s="18" t="s">
        <v>4208</v>
      </c>
      <c r="D1350" s="18"/>
      <c r="E1350" s="126" t="s">
        <v>4209</v>
      </c>
      <c r="F1350" s="19" t="s">
        <v>4210</v>
      </c>
      <c r="G1350" s="19" t="s">
        <v>4202</v>
      </c>
      <c r="H1350" s="5"/>
      <c r="K1350" s="38" t="s">
        <v>4211</v>
      </c>
      <c r="L1350" s="6">
        <v>7761972059</v>
      </c>
      <c r="N1350" s="16"/>
      <c r="O1350" s="7"/>
      <c r="P1350" s="17"/>
    </row>
    <row r="1351" spans="1:16" ht="14.25" customHeight="1">
      <c r="A1351" s="5" t="s">
        <v>0</v>
      </c>
      <c r="B1351" s="5" t="str">
        <f t="shared" si="10"/>
        <v>Y</v>
      </c>
      <c r="C1351" s="18" t="s">
        <v>4212</v>
      </c>
      <c r="D1351" s="18"/>
      <c r="E1351" s="126" t="s">
        <v>1048</v>
      </c>
      <c r="F1351" s="19" t="s">
        <v>4213</v>
      </c>
      <c r="G1351" s="19" t="s">
        <v>4214</v>
      </c>
      <c r="H1351" s="20">
        <v>43910</v>
      </c>
      <c r="K1351" s="137" t="s">
        <v>4215</v>
      </c>
      <c r="L1351" s="6">
        <v>9142585352</v>
      </c>
      <c r="N1351" s="16"/>
      <c r="O1351" s="7"/>
      <c r="P1351" s="17"/>
    </row>
    <row r="1352" spans="1:16" ht="14.25" customHeight="1">
      <c r="A1352" s="5" t="s">
        <v>0</v>
      </c>
      <c r="B1352" s="5" t="str">
        <f t="shared" si="10"/>
        <v>Y</v>
      </c>
      <c r="C1352" s="18" t="s">
        <v>4216</v>
      </c>
      <c r="D1352" s="18"/>
      <c r="E1352" s="126" t="s">
        <v>4217</v>
      </c>
      <c r="F1352" s="19" t="s">
        <v>4218</v>
      </c>
      <c r="G1352" s="19" t="s">
        <v>4219</v>
      </c>
      <c r="H1352" s="20">
        <v>43910</v>
      </c>
      <c r="N1352" s="16"/>
      <c r="O1352" s="7"/>
      <c r="P1352" s="17"/>
    </row>
    <row r="1353" spans="1:16" ht="14.25" customHeight="1">
      <c r="A1353" s="5" t="s">
        <v>0</v>
      </c>
      <c r="B1353" s="5" t="str">
        <f t="shared" si="10"/>
        <v>Y</v>
      </c>
      <c r="C1353" s="18" t="s">
        <v>4220</v>
      </c>
      <c r="D1353" s="18"/>
      <c r="E1353" s="126" t="s">
        <v>4221</v>
      </c>
      <c r="F1353" s="19" t="s">
        <v>4222</v>
      </c>
      <c r="G1353" s="19" t="s">
        <v>4219</v>
      </c>
      <c r="H1353" s="20">
        <v>44064</v>
      </c>
      <c r="K1353" s="38" t="s">
        <v>4223</v>
      </c>
      <c r="L1353" s="6">
        <v>8809095909</v>
      </c>
      <c r="N1353" s="16"/>
      <c r="O1353" s="7"/>
      <c r="P1353" s="17"/>
    </row>
    <row r="1354" spans="1:16" ht="14.25" customHeight="1">
      <c r="A1354" s="5" t="s">
        <v>0</v>
      </c>
      <c r="B1354" s="5" t="str">
        <f t="shared" si="10"/>
        <v>N</v>
      </c>
      <c r="C1354" s="18" t="s">
        <v>4224</v>
      </c>
      <c r="D1354" s="18"/>
      <c r="E1354" s="126" t="s">
        <v>4225</v>
      </c>
      <c r="F1354" s="19" t="s">
        <v>4226</v>
      </c>
      <c r="G1354" s="19" t="s">
        <v>4227</v>
      </c>
      <c r="H1354" s="5"/>
      <c r="K1354" s="137" t="s">
        <v>4228</v>
      </c>
      <c r="L1354" s="6">
        <v>9523284611</v>
      </c>
      <c r="N1354" s="16"/>
      <c r="O1354" s="7"/>
      <c r="P1354" s="17"/>
    </row>
    <row r="1355" spans="1:16" ht="14.25" customHeight="1">
      <c r="A1355" s="5" t="s">
        <v>0</v>
      </c>
      <c r="B1355" s="5" t="str">
        <f t="shared" si="10"/>
        <v>Y</v>
      </c>
      <c r="C1355" s="18" t="s">
        <v>4229</v>
      </c>
      <c r="D1355" s="18"/>
      <c r="E1355" s="126" t="s">
        <v>4230</v>
      </c>
      <c r="F1355" s="19" t="s">
        <v>4231</v>
      </c>
      <c r="G1355" s="19" t="s">
        <v>4232</v>
      </c>
      <c r="H1355" s="20">
        <v>44064</v>
      </c>
      <c r="K1355" s="137" t="s">
        <v>4233</v>
      </c>
      <c r="L1355" s="6">
        <v>8292019856</v>
      </c>
      <c r="N1355" s="16"/>
      <c r="O1355" s="7"/>
      <c r="P1355" s="17"/>
    </row>
    <row r="1356" spans="1:16" ht="14.25" customHeight="1">
      <c r="A1356" s="5" t="s">
        <v>0</v>
      </c>
      <c r="B1356" s="5" t="str">
        <f t="shared" si="10"/>
        <v>Y</v>
      </c>
      <c r="C1356" s="18" t="s">
        <v>4234</v>
      </c>
      <c r="D1356" s="18"/>
      <c r="E1356" s="126" t="s">
        <v>4235</v>
      </c>
      <c r="F1356" s="19" t="s">
        <v>4236</v>
      </c>
      <c r="G1356" s="19" t="s">
        <v>4232</v>
      </c>
      <c r="H1356" s="20">
        <v>44064</v>
      </c>
      <c r="K1356" s="137" t="s">
        <v>4237</v>
      </c>
      <c r="L1356" s="6">
        <v>9031270647</v>
      </c>
      <c r="N1356" s="16"/>
      <c r="O1356" s="7"/>
      <c r="P1356" s="17"/>
    </row>
    <row r="1357" spans="1:16" ht="14.25" customHeight="1">
      <c r="A1357" s="5" t="s">
        <v>0</v>
      </c>
      <c r="B1357" s="5" t="str">
        <f t="shared" si="10"/>
        <v>Y</v>
      </c>
      <c r="C1357" s="18" t="s">
        <v>4238</v>
      </c>
      <c r="D1357" s="18"/>
      <c r="E1357" s="126" t="s">
        <v>4239</v>
      </c>
      <c r="F1357" s="19" t="s">
        <v>4240</v>
      </c>
      <c r="G1357" s="19" t="s">
        <v>4241</v>
      </c>
      <c r="H1357" s="20">
        <v>44068</v>
      </c>
      <c r="K1357" s="38" t="s">
        <v>4242</v>
      </c>
      <c r="L1357" s="6">
        <v>8789483217</v>
      </c>
      <c r="N1357" s="16"/>
      <c r="O1357" s="7"/>
      <c r="P1357" s="17"/>
    </row>
    <row r="1358" spans="1:16" ht="14.25" customHeight="1">
      <c r="A1358" s="5" t="s">
        <v>0</v>
      </c>
      <c r="B1358" s="5" t="str">
        <f t="shared" si="10"/>
        <v>Y</v>
      </c>
      <c r="C1358" s="18" t="s">
        <v>4243</v>
      </c>
      <c r="D1358" s="18"/>
      <c r="E1358" s="126" t="s">
        <v>4244</v>
      </c>
      <c r="F1358" s="19" t="s">
        <v>2809</v>
      </c>
      <c r="G1358" s="19" t="s">
        <v>4245</v>
      </c>
      <c r="H1358" s="20">
        <v>44069</v>
      </c>
      <c r="K1358" s="38" t="s">
        <v>4246</v>
      </c>
      <c r="L1358" s="6">
        <v>8210777299</v>
      </c>
      <c r="N1358" s="16"/>
      <c r="O1358" s="7"/>
      <c r="P1358" s="17"/>
    </row>
    <row r="1359" spans="1:16" ht="14.25" customHeight="1">
      <c r="A1359" s="5" t="s">
        <v>1840</v>
      </c>
      <c r="B1359" s="5" t="str">
        <f t="shared" si="10"/>
        <v>N</v>
      </c>
      <c r="C1359" s="18" t="s">
        <v>4247</v>
      </c>
      <c r="D1359" s="18"/>
      <c r="E1359" s="126" t="s">
        <v>4248</v>
      </c>
      <c r="F1359" s="19" t="s">
        <v>4249</v>
      </c>
      <c r="G1359" s="19" t="s">
        <v>4245</v>
      </c>
      <c r="H1359" s="5"/>
      <c r="N1359" s="16"/>
      <c r="O1359" s="7"/>
      <c r="P1359" s="17"/>
    </row>
    <row r="1360" spans="1:16" ht="14.25" customHeight="1">
      <c r="A1360" s="5" t="s">
        <v>0</v>
      </c>
      <c r="B1360" s="5" t="str">
        <f t="shared" si="10"/>
        <v>Y</v>
      </c>
      <c r="C1360" s="18" t="s">
        <v>4250</v>
      </c>
      <c r="D1360" s="18"/>
      <c r="E1360" s="126" t="s">
        <v>4251</v>
      </c>
      <c r="F1360" s="19" t="s">
        <v>4252</v>
      </c>
      <c r="G1360" s="19" t="s">
        <v>4245</v>
      </c>
      <c r="H1360" s="20">
        <v>44074</v>
      </c>
      <c r="K1360" s="38" t="s">
        <v>4253</v>
      </c>
      <c r="L1360" s="6">
        <v>9431764174</v>
      </c>
      <c r="N1360" s="16"/>
      <c r="O1360" s="7"/>
      <c r="P1360" s="17"/>
    </row>
    <row r="1361" spans="1:16" ht="14.25" customHeight="1">
      <c r="A1361" s="5" t="s">
        <v>0</v>
      </c>
      <c r="B1361" s="5" t="str">
        <f t="shared" si="10"/>
        <v>Y</v>
      </c>
      <c r="C1361" s="18" t="s">
        <v>4254</v>
      </c>
      <c r="D1361" s="18"/>
      <c r="E1361" s="126" t="s">
        <v>4255</v>
      </c>
      <c r="F1361" s="19" t="s">
        <v>4256</v>
      </c>
      <c r="G1361" s="19" t="s">
        <v>4245</v>
      </c>
      <c r="H1361" s="139">
        <v>44070</v>
      </c>
      <c r="L1361" s="6">
        <v>9431369255</v>
      </c>
      <c r="N1361" s="16"/>
      <c r="O1361" s="7"/>
      <c r="P1361" s="17"/>
    </row>
    <row r="1362" spans="1:16" ht="14.25" customHeight="1">
      <c r="A1362" s="5" t="s">
        <v>0</v>
      </c>
      <c r="B1362" s="5" t="str">
        <f t="shared" si="10"/>
        <v>Y</v>
      </c>
      <c r="C1362" s="18" t="s">
        <v>4257</v>
      </c>
      <c r="D1362" s="18"/>
      <c r="E1362" s="126" t="s">
        <v>4258</v>
      </c>
      <c r="F1362" s="19" t="s">
        <v>3037</v>
      </c>
      <c r="G1362" s="19" t="s">
        <v>4245</v>
      </c>
      <c r="H1362" s="20">
        <v>44070</v>
      </c>
      <c r="L1362" s="6">
        <v>7209959476</v>
      </c>
      <c r="N1362" s="16"/>
      <c r="O1362" s="7"/>
      <c r="P1362" s="17"/>
    </row>
    <row r="1363" spans="1:16" ht="14.25" customHeight="1">
      <c r="A1363" s="5" t="s">
        <v>0</v>
      </c>
      <c r="B1363" s="5" t="str">
        <f t="shared" si="10"/>
        <v>Y</v>
      </c>
      <c r="C1363" s="18" t="s">
        <v>4259</v>
      </c>
      <c r="D1363" s="18"/>
      <c r="E1363" s="126" t="s">
        <v>4260</v>
      </c>
      <c r="F1363" s="19" t="s">
        <v>3054</v>
      </c>
      <c r="G1363" s="19" t="s">
        <v>4261</v>
      </c>
      <c r="H1363" s="20">
        <v>44071</v>
      </c>
      <c r="L1363" s="6">
        <v>7763889975</v>
      </c>
      <c r="N1363" s="16"/>
      <c r="O1363" s="7"/>
      <c r="P1363" s="17"/>
    </row>
    <row r="1364" spans="1:16" ht="14.25" customHeight="1">
      <c r="A1364" s="5" t="s">
        <v>0</v>
      </c>
      <c r="B1364" s="5" t="str">
        <f t="shared" si="10"/>
        <v>Y</v>
      </c>
      <c r="C1364" s="18" t="s">
        <v>4262</v>
      </c>
      <c r="D1364" s="18"/>
      <c r="E1364" s="126" t="s">
        <v>4263</v>
      </c>
      <c r="F1364" s="19" t="s">
        <v>4264</v>
      </c>
      <c r="G1364" s="19" t="s">
        <v>4265</v>
      </c>
      <c r="H1364" s="20">
        <v>44074</v>
      </c>
      <c r="L1364" s="6">
        <v>9798478996</v>
      </c>
      <c r="N1364" s="16"/>
      <c r="O1364" s="7"/>
      <c r="P1364" s="17"/>
    </row>
    <row r="1365" spans="1:16" ht="14.25" customHeight="1">
      <c r="A1365" s="5" t="s">
        <v>0</v>
      </c>
      <c r="B1365" s="5" t="str">
        <f t="shared" si="10"/>
        <v>Y</v>
      </c>
      <c r="C1365" s="18" t="s">
        <v>4266</v>
      </c>
      <c r="D1365" s="18"/>
      <c r="E1365" s="126" t="s">
        <v>4267</v>
      </c>
      <c r="F1365" s="19" t="s">
        <v>4268</v>
      </c>
      <c r="G1365" s="19" t="s">
        <v>4269</v>
      </c>
      <c r="H1365" s="19" t="s">
        <v>4269</v>
      </c>
      <c r="L1365" s="6">
        <v>6299686339</v>
      </c>
      <c r="N1365" s="16"/>
      <c r="O1365" s="7"/>
      <c r="P1365" s="17"/>
    </row>
    <row r="1366" spans="1:16" ht="14.25" customHeight="1">
      <c r="A1366" s="5" t="s">
        <v>0</v>
      </c>
      <c r="B1366" s="5" t="str">
        <f t="shared" si="10"/>
        <v>Y</v>
      </c>
      <c r="C1366" s="134" t="s">
        <v>4270</v>
      </c>
      <c r="D1366" s="134"/>
      <c r="E1366" s="126" t="s">
        <v>4271</v>
      </c>
      <c r="F1366" s="19" t="s">
        <v>4272</v>
      </c>
      <c r="G1366" s="19" t="s">
        <v>4269</v>
      </c>
      <c r="H1366" s="19" t="s">
        <v>4269</v>
      </c>
      <c r="L1366" s="6">
        <v>6299686339</v>
      </c>
      <c r="N1366" s="16"/>
      <c r="O1366" s="7"/>
      <c r="P1366" s="17"/>
    </row>
    <row r="1367" spans="1:16" ht="14.25" customHeight="1">
      <c r="A1367" s="5" t="s">
        <v>0</v>
      </c>
      <c r="B1367" s="5" t="str">
        <f t="shared" si="10"/>
        <v>Y</v>
      </c>
      <c r="C1367" s="18" t="s">
        <v>4273</v>
      </c>
      <c r="D1367" s="18"/>
      <c r="E1367" s="126" t="s">
        <v>4274</v>
      </c>
      <c r="F1367" s="19" t="s">
        <v>4275</v>
      </c>
      <c r="G1367" s="19" t="s">
        <v>4276</v>
      </c>
      <c r="H1367" s="19" t="s">
        <v>4276</v>
      </c>
      <c r="L1367" s="6">
        <v>9709031665</v>
      </c>
      <c r="N1367" s="16"/>
      <c r="O1367" s="7"/>
      <c r="P1367" s="17"/>
    </row>
    <row r="1368" spans="1:16" ht="14.25" customHeight="1">
      <c r="A1368" s="5" t="s">
        <v>0</v>
      </c>
      <c r="B1368" s="5" t="str">
        <f t="shared" si="10"/>
        <v>Y</v>
      </c>
      <c r="C1368" s="18" t="s">
        <v>4277</v>
      </c>
      <c r="D1368" s="18"/>
      <c r="E1368" s="126" t="s">
        <v>4278</v>
      </c>
      <c r="F1368" s="19" t="s">
        <v>4279</v>
      </c>
      <c r="G1368" s="19" t="s">
        <v>4276</v>
      </c>
      <c r="H1368" s="20">
        <v>44074</v>
      </c>
      <c r="K1368" s="38" t="s">
        <v>4280</v>
      </c>
      <c r="L1368" s="6">
        <v>9504504612</v>
      </c>
      <c r="N1368" s="16"/>
      <c r="O1368" s="7"/>
      <c r="P1368" s="17"/>
    </row>
    <row r="1369" spans="1:16" ht="14.25" customHeight="1">
      <c r="A1369" s="5" t="s">
        <v>0</v>
      </c>
      <c r="B1369" s="5" t="str">
        <f t="shared" si="10"/>
        <v>Y</v>
      </c>
      <c r="C1369" s="18" t="s">
        <v>4281</v>
      </c>
      <c r="D1369" s="18"/>
      <c r="E1369" s="126" t="s">
        <v>4282</v>
      </c>
      <c r="F1369" s="19" t="s">
        <v>4283</v>
      </c>
      <c r="G1369" s="19" t="s">
        <v>4284</v>
      </c>
      <c r="H1369" s="20">
        <v>44075</v>
      </c>
      <c r="K1369" s="38" t="s">
        <v>4285</v>
      </c>
      <c r="L1369" s="6">
        <v>8434677077</v>
      </c>
      <c r="N1369" s="16"/>
      <c r="O1369" s="7"/>
      <c r="P1369" s="17"/>
    </row>
    <row r="1370" spans="1:16" ht="14.25" customHeight="1">
      <c r="A1370" s="5" t="s">
        <v>0</v>
      </c>
      <c r="B1370" s="5" t="str">
        <f t="shared" si="10"/>
        <v>Y</v>
      </c>
      <c r="C1370" s="18" t="s">
        <v>4286</v>
      </c>
      <c r="D1370" s="18"/>
      <c r="E1370" s="126" t="s">
        <v>4287</v>
      </c>
      <c r="F1370" s="19" t="s">
        <v>4288</v>
      </c>
      <c r="G1370" s="19" t="s">
        <v>4284</v>
      </c>
      <c r="H1370" s="19" t="s">
        <v>4284</v>
      </c>
      <c r="K1370" s="138" t="s">
        <v>3932</v>
      </c>
      <c r="L1370" s="6">
        <v>8092389297</v>
      </c>
      <c r="N1370" s="16"/>
      <c r="O1370" s="7"/>
      <c r="P1370" s="17"/>
    </row>
    <row r="1371" spans="1:16" ht="14.25" customHeight="1">
      <c r="A1371" s="5" t="s">
        <v>0</v>
      </c>
      <c r="B1371" s="5" t="str">
        <f t="shared" si="10"/>
        <v>Y</v>
      </c>
      <c r="C1371" s="18" t="s">
        <v>4289</v>
      </c>
      <c r="D1371" s="18"/>
      <c r="E1371" s="126" t="s">
        <v>2745</v>
      </c>
      <c r="F1371" s="19" t="s">
        <v>4290</v>
      </c>
      <c r="G1371" s="19" t="s">
        <v>4284</v>
      </c>
      <c r="H1371" s="19" t="s">
        <v>4284</v>
      </c>
      <c r="K1371" s="138" t="s">
        <v>3932</v>
      </c>
      <c r="L1371" s="6">
        <v>8092389297</v>
      </c>
      <c r="N1371" s="16"/>
      <c r="O1371" s="7"/>
      <c r="P1371" s="17"/>
    </row>
    <row r="1372" spans="1:16" ht="14.25" customHeight="1">
      <c r="A1372" s="5" t="s">
        <v>0</v>
      </c>
      <c r="B1372" s="5" t="str">
        <f t="shared" si="10"/>
        <v>Y</v>
      </c>
      <c r="C1372" s="18" t="s">
        <v>4291</v>
      </c>
      <c r="D1372" s="18"/>
      <c r="E1372" s="126" t="s">
        <v>4292</v>
      </c>
      <c r="F1372" s="19" t="s">
        <v>4293</v>
      </c>
      <c r="G1372" s="19" t="s">
        <v>4294</v>
      </c>
      <c r="H1372" s="19" t="s">
        <v>4295</v>
      </c>
      <c r="K1372" s="38" t="s">
        <v>4296</v>
      </c>
      <c r="L1372" s="6">
        <v>7209220115</v>
      </c>
      <c r="N1372" s="16"/>
      <c r="O1372" s="7"/>
      <c r="P1372" s="17"/>
    </row>
    <row r="1373" spans="1:16" ht="14.25" customHeight="1">
      <c r="A1373" s="5" t="s">
        <v>0</v>
      </c>
      <c r="B1373" s="5" t="str">
        <f t="shared" si="10"/>
        <v>Y</v>
      </c>
      <c r="C1373" s="18" t="s">
        <v>4297</v>
      </c>
      <c r="D1373" s="18"/>
      <c r="E1373" s="126" t="s">
        <v>4298</v>
      </c>
      <c r="F1373" s="19" t="s">
        <v>4299</v>
      </c>
      <c r="G1373" s="19" t="s">
        <v>4294</v>
      </c>
      <c r="H1373" s="19" t="s">
        <v>4295</v>
      </c>
      <c r="K1373" s="38" t="s">
        <v>4300</v>
      </c>
      <c r="L1373" s="6">
        <v>8434665198</v>
      </c>
      <c r="N1373" s="16"/>
      <c r="O1373" s="7"/>
      <c r="P1373" s="17"/>
    </row>
    <row r="1374" spans="1:16" ht="14.25" customHeight="1">
      <c r="A1374" s="5" t="s">
        <v>0</v>
      </c>
      <c r="B1374" s="5" t="str">
        <f t="shared" si="10"/>
        <v>Y</v>
      </c>
      <c r="C1374" s="18" t="s">
        <v>4301</v>
      </c>
      <c r="D1374" s="18"/>
      <c r="E1374" s="126" t="s">
        <v>4302</v>
      </c>
      <c r="F1374" s="19" t="s">
        <v>4303</v>
      </c>
      <c r="G1374" s="19" t="s">
        <v>4294</v>
      </c>
      <c r="H1374" s="19" t="s">
        <v>4295</v>
      </c>
      <c r="K1374" s="38" t="s">
        <v>4304</v>
      </c>
      <c r="L1374" s="6">
        <v>9955467849</v>
      </c>
      <c r="N1374" s="16"/>
      <c r="O1374" s="7"/>
      <c r="P1374" s="17"/>
    </row>
    <row r="1375" spans="1:16" ht="14.25" customHeight="1">
      <c r="A1375" s="5" t="s">
        <v>0</v>
      </c>
      <c r="B1375" s="5" t="str">
        <f t="shared" si="10"/>
        <v>Y</v>
      </c>
      <c r="C1375" s="18" t="s">
        <v>4305</v>
      </c>
      <c r="D1375" s="18"/>
      <c r="E1375" s="126" t="s">
        <v>2352</v>
      </c>
      <c r="F1375" s="19" t="s">
        <v>4306</v>
      </c>
      <c r="G1375" s="19" t="s">
        <v>4294</v>
      </c>
      <c r="H1375" s="19" t="s">
        <v>4295</v>
      </c>
      <c r="K1375" s="38" t="s">
        <v>4304</v>
      </c>
      <c r="L1375" s="6">
        <v>9955467849</v>
      </c>
      <c r="N1375" s="16"/>
      <c r="O1375" s="7"/>
      <c r="P1375" s="17"/>
    </row>
    <row r="1376" spans="1:16" ht="14.25" customHeight="1">
      <c r="A1376" s="5" t="s">
        <v>0</v>
      </c>
      <c r="B1376" s="5" t="str">
        <f t="shared" si="10"/>
        <v>Y</v>
      </c>
      <c r="C1376" s="18" t="s">
        <v>4307</v>
      </c>
      <c r="D1376" s="18"/>
      <c r="E1376" s="126" t="s">
        <v>4308</v>
      </c>
      <c r="F1376" s="19" t="s">
        <v>4309</v>
      </c>
      <c r="G1376" s="19" t="s">
        <v>4294</v>
      </c>
      <c r="H1376" s="19" t="s">
        <v>4295</v>
      </c>
      <c r="K1376" s="38" t="s">
        <v>4310</v>
      </c>
      <c r="L1376" s="6">
        <v>9031903045</v>
      </c>
      <c r="N1376" s="16"/>
      <c r="O1376" s="7"/>
      <c r="P1376" s="17"/>
    </row>
    <row r="1377" spans="1:16" ht="14.25" customHeight="1">
      <c r="A1377" s="5" t="s">
        <v>0</v>
      </c>
      <c r="B1377" s="5" t="str">
        <f t="shared" si="10"/>
        <v>Y</v>
      </c>
      <c r="C1377" s="18" t="s">
        <v>4311</v>
      </c>
      <c r="D1377" s="18"/>
      <c r="E1377" s="126" t="s">
        <v>4312</v>
      </c>
      <c r="F1377" s="19" t="s">
        <v>3142</v>
      </c>
      <c r="G1377" s="19" t="s">
        <v>4295</v>
      </c>
      <c r="H1377" s="19" t="s">
        <v>4295</v>
      </c>
      <c r="L1377" s="6">
        <v>7488535413</v>
      </c>
      <c r="N1377" s="16"/>
      <c r="O1377" s="7"/>
      <c r="P1377" s="17"/>
    </row>
    <row r="1378" spans="1:16" ht="14.25" customHeight="1">
      <c r="A1378" s="5" t="s">
        <v>0</v>
      </c>
      <c r="B1378" s="5" t="str">
        <f t="shared" si="10"/>
        <v>Y</v>
      </c>
      <c r="C1378" s="18" t="s">
        <v>4313</v>
      </c>
      <c r="D1378" s="18"/>
      <c r="E1378" s="126" t="s">
        <v>4314</v>
      </c>
      <c r="F1378" s="19" t="s">
        <v>4315</v>
      </c>
      <c r="G1378" s="19" t="s">
        <v>4295</v>
      </c>
      <c r="H1378" s="19" t="s">
        <v>4295</v>
      </c>
      <c r="K1378" s="38" t="s">
        <v>3932</v>
      </c>
      <c r="L1378" s="6">
        <v>7654550539</v>
      </c>
      <c r="N1378" s="16"/>
      <c r="O1378" s="7"/>
      <c r="P1378" s="17"/>
    </row>
    <row r="1379" spans="1:16" ht="14.25" customHeight="1">
      <c r="A1379" s="5" t="s">
        <v>0</v>
      </c>
      <c r="B1379" s="5" t="str">
        <f t="shared" si="10"/>
        <v>Y</v>
      </c>
      <c r="C1379" s="18" t="s">
        <v>4316</v>
      </c>
      <c r="D1379" s="18"/>
      <c r="E1379" s="126" t="s">
        <v>4317</v>
      </c>
      <c r="F1379" s="19" t="s">
        <v>4318</v>
      </c>
      <c r="G1379" s="19" t="s">
        <v>4319</v>
      </c>
      <c r="H1379" s="19" t="s">
        <v>4319</v>
      </c>
      <c r="L1379" s="6">
        <v>9304366480</v>
      </c>
      <c r="N1379" s="16"/>
      <c r="O1379" s="7"/>
      <c r="P1379" s="17"/>
    </row>
    <row r="1380" spans="1:16" ht="14.25" customHeight="1">
      <c r="A1380" s="5" t="s">
        <v>0</v>
      </c>
      <c r="B1380" s="5" t="str">
        <f t="shared" si="10"/>
        <v>Y</v>
      </c>
      <c r="C1380" s="18" t="s">
        <v>4320</v>
      </c>
      <c r="D1380" s="18"/>
      <c r="E1380" s="126" t="s">
        <v>4321</v>
      </c>
      <c r="F1380" s="19" t="s">
        <v>4322</v>
      </c>
      <c r="G1380" s="19" t="s">
        <v>4295</v>
      </c>
      <c r="H1380" s="20">
        <v>44083</v>
      </c>
      <c r="K1380" s="38" t="s">
        <v>3932</v>
      </c>
      <c r="L1380" s="6">
        <v>8294448943</v>
      </c>
      <c r="N1380" s="16"/>
      <c r="O1380" s="7"/>
      <c r="P1380" s="17"/>
    </row>
    <row r="1381" spans="1:16" ht="14.25" customHeight="1">
      <c r="A1381" s="5" t="s">
        <v>0</v>
      </c>
      <c r="B1381" s="5" t="str">
        <f t="shared" si="10"/>
        <v>Y</v>
      </c>
      <c r="C1381" s="18" t="s">
        <v>4323</v>
      </c>
      <c r="D1381" s="18"/>
      <c r="E1381" s="126" t="s">
        <v>4324</v>
      </c>
      <c r="F1381" s="19" t="s">
        <v>4325</v>
      </c>
      <c r="G1381" s="19" t="s">
        <v>4319</v>
      </c>
      <c r="H1381" s="20">
        <v>44083</v>
      </c>
      <c r="L1381" s="6">
        <v>9939318306</v>
      </c>
      <c r="N1381" s="16"/>
      <c r="O1381" s="7"/>
      <c r="P1381" s="17"/>
    </row>
    <row r="1382" spans="1:16" ht="14.25" customHeight="1">
      <c r="A1382" s="5" t="s">
        <v>0</v>
      </c>
      <c r="B1382" s="5" t="str">
        <f t="shared" si="10"/>
        <v>Y</v>
      </c>
      <c r="C1382" s="18" t="s">
        <v>4326</v>
      </c>
      <c r="D1382" s="18"/>
      <c r="E1382" s="126" t="s">
        <v>4327</v>
      </c>
      <c r="F1382" s="19" t="s">
        <v>4328</v>
      </c>
      <c r="G1382" s="19" t="s">
        <v>4329</v>
      </c>
      <c r="H1382" s="20">
        <v>44083</v>
      </c>
      <c r="K1382" s="38" t="s">
        <v>3932</v>
      </c>
      <c r="L1382" s="6">
        <v>9608147384</v>
      </c>
      <c r="N1382" s="16"/>
      <c r="O1382" s="7"/>
      <c r="P1382" s="17"/>
    </row>
    <row r="1383" spans="1:16" ht="14.25" customHeight="1">
      <c r="A1383" s="5" t="s">
        <v>0</v>
      </c>
      <c r="B1383" s="5" t="str">
        <f t="shared" si="10"/>
        <v>Y</v>
      </c>
      <c r="C1383" s="18" t="s">
        <v>4330</v>
      </c>
      <c r="D1383" s="18"/>
      <c r="E1383" s="126" t="s">
        <v>4331</v>
      </c>
      <c r="F1383" s="19" t="s">
        <v>4332</v>
      </c>
      <c r="G1383" s="19" t="s">
        <v>4333</v>
      </c>
      <c r="H1383" s="20">
        <v>44085</v>
      </c>
      <c r="K1383" s="137" t="s">
        <v>4334</v>
      </c>
      <c r="L1383" s="6">
        <v>6200455389</v>
      </c>
      <c r="N1383" s="16"/>
      <c r="O1383" s="7"/>
      <c r="P1383" s="17"/>
    </row>
    <row r="1384" spans="1:16" ht="14.25" customHeight="1">
      <c r="A1384" s="5" t="s">
        <v>0</v>
      </c>
      <c r="B1384" s="5" t="str">
        <f t="shared" si="10"/>
        <v>Y</v>
      </c>
      <c r="C1384" s="18" t="s">
        <v>4335</v>
      </c>
      <c r="D1384" s="18"/>
      <c r="E1384" s="126" t="s">
        <v>4336</v>
      </c>
      <c r="F1384" s="19" t="s">
        <v>4337</v>
      </c>
      <c r="G1384" s="19" t="s">
        <v>4338</v>
      </c>
      <c r="H1384" s="19" t="s">
        <v>4339</v>
      </c>
      <c r="L1384" s="6">
        <v>8292619320</v>
      </c>
      <c r="N1384" s="16"/>
      <c r="O1384" s="7"/>
      <c r="P1384" s="17"/>
    </row>
    <row r="1385" spans="1:16" ht="14.25" customHeight="1">
      <c r="A1385" s="5" t="s">
        <v>0</v>
      </c>
      <c r="B1385" s="5" t="str">
        <f t="shared" si="10"/>
        <v>Y</v>
      </c>
      <c r="C1385" s="18" t="s">
        <v>4340</v>
      </c>
      <c r="D1385" s="18"/>
      <c r="E1385" s="126" t="s">
        <v>4341</v>
      </c>
      <c r="F1385" s="19" t="s">
        <v>4342</v>
      </c>
      <c r="G1385" s="19" t="s">
        <v>4338</v>
      </c>
      <c r="H1385" s="19" t="s">
        <v>4339</v>
      </c>
      <c r="L1385" s="6">
        <v>8092524722</v>
      </c>
      <c r="N1385" s="16"/>
      <c r="O1385" s="7"/>
      <c r="P1385" s="17"/>
    </row>
    <row r="1386" spans="1:16" ht="14.25" customHeight="1">
      <c r="A1386" s="5" t="s">
        <v>0</v>
      </c>
      <c r="B1386" s="5" t="str">
        <f t="shared" si="10"/>
        <v>Y</v>
      </c>
      <c r="C1386" s="18" t="s">
        <v>4343</v>
      </c>
      <c r="D1386" s="18"/>
      <c r="E1386" s="126" t="s">
        <v>4344</v>
      </c>
      <c r="F1386" s="19" t="s">
        <v>4345</v>
      </c>
      <c r="G1386" s="19" t="s">
        <v>4338</v>
      </c>
      <c r="H1386" s="19" t="s">
        <v>4339</v>
      </c>
      <c r="L1386" s="6">
        <v>8877215999</v>
      </c>
      <c r="N1386" s="16"/>
      <c r="O1386" s="7"/>
      <c r="P1386" s="17"/>
    </row>
    <row r="1387" spans="1:16" ht="14.25" customHeight="1">
      <c r="A1387" s="5" t="s">
        <v>0</v>
      </c>
      <c r="B1387" s="5" t="str">
        <f t="shared" si="10"/>
        <v>Y</v>
      </c>
      <c r="C1387" s="18" t="s">
        <v>4346</v>
      </c>
      <c r="D1387" s="18"/>
      <c r="E1387" s="126" t="s">
        <v>4347</v>
      </c>
      <c r="F1387" s="19" t="s">
        <v>4348</v>
      </c>
      <c r="G1387" s="19" t="s">
        <v>4339</v>
      </c>
      <c r="H1387" s="19" t="s">
        <v>4339</v>
      </c>
      <c r="K1387" s="38" t="s">
        <v>3932</v>
      </c>
      <c r="L1387" s="6">
        <v>7033535157</v>
      </c>
      <c r="N1387" s="16"/>
      <c r="O1387" s="7"/>
      <c r="P1387" s="17"/>
    </row>
    <row r="1388" spans="1:16" ht="14.25" customHeight="1">
      <c r="A1388" s="5" t="s">
        <v>0</v>
      </c>
      <c r="B1388" s="5" t="str">
        <f t="shared" si="10"/>
        <v>Y</v>
      </c>
      <c r="C1388" s="18" t="s">
        <v>4349</v>
      </c>
      <c r="D1388" s="18"/>
      <c r="E1388" s="126" t="s">
        <v>4350</v>
      </c>
      <c r="F1388" s="19" t="s">
        <v>4351</v>
      </c>
      <c r="G1388" s="19" t="s">
        <v>4352</v>
      </c>
      <c r="H1388" s="20">
        <v>44090</v>
      </c>
      <c r="L1388" s="6">
        <v>9334964342</v>
      </c>
      <c r="N1388" s="16"/>
      <c r="O1388" s="7"/>
      <c r="P1388" s="17"/>
    </row>
    <row r="1389" spans="1:16" ht="14.25" customHeight="1">
      <c r="A1389" s="5" t="s">
        <v>0</v>
      </c>
      <c r="B1389" s="5" t="str">
        <f t="shared" si="10"/>
        <v>Y</v>
      </c>
      <c r="C1389" s="18" t="s">
        <v>4353</v>
      </c>
      <c r="D1389" s="18"/>
      <c r="E1389" s="126" t="s">
        <v>4354</v>
      </c>
      <c r="F1389" s="19" t="s">
        <v>4355</v>
      </c>
      <c r="G1389" s="19" t="s">
        <v>4352</v>
      </c>
      <c r="H1389" s="20">
        <v>44090</v>
      </c>
      <c r="K1389" s="38" t="s">
        <v>4356</v>
      </c>
      <c r="L1389" s="6">
        <v>9304340818</v>
      </c>
      <c r="N1389" s="16"/>
      <c r="O1389" s="7"/>
      <c r="P1389" s="17"/>
    </row>
    <row r="1390" spans="1:16" ht="14.25" customHeight="1">
      <c r="A1390" s="5" t="s">
        <v>0</v>
      </c>
      <c r="B1390" s="5" t="str">
        <f t="shared" si="10"/>
        <v>Y</v>
      </c>
      <c r="C1390" s="18" t="s">
        <v>4357</v>
      </c>
      <c r="D1390" s="18"/>
      <c r="E1390" s="126" t="s">
        <v>4358</v>
      </c>
      <c r="F1390" s="19" t="s">
        <v>4359</v>
      </c>
      <c r="G1390" s="19" t="s">
        <v>4352</v>
      </c>
      <c r="H1390" s="20">
        <v>44091</v>
      </c>
      <c r="K1390" s="137" t="s">
        <v>4360</v>
      </c>
      <c r="L1390" s="6">
        <v>7480007688</v>
      </c>
      <c r="N1390" s="16"/>
      <c r="O1390" s="7"/>
      <c r="P1390" s="17"/>
    </row>
    <row r="1391" spans="1:16" ht="14.25" customHeight="1">
      <c r="A1391" s="5" t="s">
        <v>0</v>
      </c>
      <c r="B1391" s="5" t="str">
        <f t="shared" si="10"/>
        <v>Y</v>
      </c>
      <c r="C1391" s="18" t="s">
        <v>4361</v>
      </c>
      <c r="D1391" s="18"/>
      <c r="E1391" s="126" t="s">
        <v>4362</v>
      </c>
      <c r="F1391" s="19" t="s">
        <v>4363</v>
      </c>
      <c r="G1391" s="19" t="s">
        <v>4352</v>
      </c>
      <c r="H1391" s="20">
        <v>44091</v>
      </c>
      <c r="K1391" s="38" t="s">
        <v>4364</v>
      </c>
      <c r="L1391" s="6">
        <v>9204484672</v>
      </c>
      <c r="N1391" s="16"/>
      <c r="O1391" s="7"/>
      <c r="P1391" s="17"/>
    </row>
    <row r="1392" spans="1:16" ht="14.25" customHeight="1">
      <c r="A1392" s="5" t="s">
        <v>0</v>
      </c>
      <c r="B1392" s="5" t="str">
        <f t="shared" si="10"/>
        <v>Y</v>
      </c>
      <c r="C1392" s="18" t="s">
        <v>4365</v>
      </c>
      <c r="D1392" s="18"/>
      <c r="E1392" s="126" t="s">
        <v>4366</v>
      </c>
      <c r="F1392" s="19" t="s">
        <v>4367</v>
      </c>
      <c r="G1392" s="19" t="s">
        <v>4368</v>
      </c>
      <c r="H1392" s="20">
        <v>44091</v>
      </c>
      <c r="K1392" s="38" t="s">
        <v>3932</v>
      </c>
      <c r="L1392" s="6">
        <v>8789492784</v>
      </c>
      <c r="N1392" s="16"/>
      <c r="O1392" s="7"/>
      <c r="P1392" s="17"/>
    </row>
    <row r="1393" spans="1:16" ht="14.25" customHeight="1">
      <c r="A1393" s="5" t="s">
        <v>0</v>
      </c>
      <c r="B1393" s="5" t="str">
        <f t="shared" si="10"/>
        <v>Y</v>
      </c>
      <c r="C1393" s="18" t="s">
        <v>4369</v>
      </c>
      <c r="D1393" s="18"/>
      <c r="E1393" s="126" t="s">
        <v>4370</v>
      </c>
      <c r="F1393" s="19" t="s">
        <v>4371</v>
      </c>
      <c r="G1393" s="19" t="s">
        <v>4368</v>
      </c>
      <c r="H1393" s="20">
        <v>44091</v>
      </c>
      <c r="K1393" s="137" t="s">
        <v>4372</v>
      </c>
      <c r="L1393" s="6">
        <v>8252717817</v>
      </c>
      <c r="N1393" s="16"/>
      <c r="O1393" s="7"/>
      <c r="P1393" s="17"/>
    </row>
    <row r="1394" spans="1:16" ht="14.25" customHeight="1">
      <c r="A1394" s="5" t="s">
        <v>1</v>
      </c>
      <c r="B1394" s="5" t="str">
        <f t="shared" si="10"/>
        <v>Y</v>
      </c>
      <c r="C1394" s="18" t="s">
        <v>4373</v>
      </c>
      <c r="D1394" s="18"/>
      <c r="E1394" s="126" t="s">
        <v>4321</v>
      </c>
      <c r="F1394" s="19" t="s">
        <v>4322</v>
      </c>
      <c r="G1394" s="19" t="s">
        <v>4368</v>
      </c>
      <c r="H1394" s="20">
        <v>44091</v>
      </c>
      <c r="K1394" s="38" t="s">
        <v>3932</v>
      </c>
      <c r="L1394" s="6">
        <v>8294448943</v>
      </c>
      <c r="N1394" s="16"/>
      <c r="O1394" s="7"/>
      <c r="P1394" s="17"/>
    </row>
    <row r="1395" spans="1:16" ht="14.25" customHeight="1">
      <c r="A1395" s="5" t="s">
        <v>0</v>
      </c>
      <c r="B1395" s="5" t="str">
        <f t="shared" si="10"/>
        <v>Y</v>
      </c>
      <c r="C1395" s="129" t="s">
        <v>4374</v>
      </c>
      <c r="D1395" s="129"/>
      <c r="E1395" s="129" t="s">
        <v>3420</v>
      </c>
      <c r="F1395" s="63" t="s">
        <v>4375</v>
      </c>
      <c r="G1395" s="63" t="s">
        <v>4368</v>
      </c>
      <c r="H1395" s="63" t="s">
        <v>4376</v>
      </c>
      <c r="I1395" s="47"/>
      <c r="J1395" s="47"/>
      <c r="K1395" s="47"/>
      <c r="L1395" s="47">
        <v>9334141809</v>
      </c>
      <c r="N1395" s="16"/>
      <c r="O1395" s="7"/>
      <c r="P1395" s="17"/>
    </row>
    <row r="1396" spans="1:16" ht="14.25" customHeight="1">
      <c r="A1396" s="5" t="s">
        <v>0</v>
      </c>
      <c r="B1396" s="5" t="str">
        <f t="shared" si="10"/>
        <v>Y</v>
      </c>
      <c r="C1396" s="18" t="s">
        <v>4377</v>
      </c>
      <c r="D1396" s="18"/>
      <c r="E1396" s="126" t="s">
        <v>4378</v>
      </c>
      <c r="F1396" s="19" t="s">
        <v>4379</v>
      </c>
      <c r="G1396" s="19" t="s">
        <v>4376</v>
      </c>
      <c r="H1396" s="19" t="s">
        <v>4376</v>
      </c>
      <c r="K1396" s="38" t="s">
        <v>4380</v>
      </c>
      <c r="L1396" s="6">
        <v>9234730854</v>
      </c>
      <c r="N1396" s="16"/>
      <c r="O1396" s="7"/>
      <c r="P1396" s="17"/>
    </row>
    <row r="1397" spans="1:16" ht="14.25" customHeight="1">
      <c r="A1397" s="5" t="s">
        <v>0</v>
      </c>
      <c r="B1397" s="5" t="str">
        <f t="shared" si="10"/>
        <v>Y</v>
      </c>
      <c r="C1397" s="128" t="s">
        <v>4381</v>
      </c>
      <c r="D1397" s="128"/>
      <c r="E1397" s="126" t="s">
        <v>4382</v>
      </c>
      <c r="F1397" s="19" t="s">
        <v>4383</v>
      </c>
      <c r="G1397" s="19" t="s">
        <v>4376</v>
      </c>
      <c r="H1397" s="19" t="s">
        <v>4376</v>
      </c>
      <c r="L1397" s="6">
        <v>9204874676</v>
      </c>
      <c r="N1397" s="16"/>
      <c r="O1397" s="7"/>
      <c r="P1397" s="17"/>
    </row>
    <row r="1398" spans="1:16" ht="14.25" customHeight="1">
      <c r="A1398" s="5" t="s">
        <v>0</v>
      </c>
      <c r="B1398" s="5" t="str">
        <f t="shared" si="10"/>
        <v>Y</v>
      </c>
      <c r="C1398" s="18" t="s">
        <v>4384</v>
      </c>
      <c r="D1398" s="18"/>
      <c r="E1398" s="126" t="s">
        <v>4385</v>
      </c>
      <c r="F1398" s="19" t="s">
        <v>4386</v>
      </c>
      <c r="G1398" s="19" t="s">
        <v>4387</v>
      </c>
      <c r="H1398" s="20">
        <v>44094</v>
      </c>
      <c r="K1398" s="38" t="s">
        <v>3932</v>
      </c>
      <c r="L1398" s="6">
        <v>8235401754</v>
      </c>
      <c r="N1398" s="16"/>
      <c r="O1398" s="7"/>
      <c r="P1398" s="17"/>
    </row>
    <row r="1399" spans="1:16" ht="14.25" customHeight="1">
      <c r="A1399" s="5" t="s">
        <v>0</v>
      </c>
      <c r="B1399" s="5" t="str">
        <f t="shared" si="10"/>
        <v>Y</v>
      </c>
      <c r="C1399" s="18" t="s">
        <v>4388</v>
      </c>
      <c r="D1399" s="18"/>
      <c r="E1399" s="126" t="s">
        <v>4389</v>
      </c>
      <c r="F1399" s="19" t="s">
        <v>4390</v>
      </c>
      <c r="G1399" s="19" t="s">
        <v>4391</v>
      </c>
      <c r="H1399" s="20">
        <v>44094</v>
      </c>
      <c r="K1399" s="38" t="s">
        <v>4392</v>
      </c>
      <c r="L1399" s="6">
        <v>7209392713</v>
      </c>
      <c r="N1399" s="16"/>
      <c r="O1399" s="7"/>
      <c r="P1399" s="17"/>
    </row>
    <row r="1400" spans="1:16" ht="14.25" customHeight="1">
      <c r="A1400" s="5" t="s">
        <v>0</v>
      </c>
      <c r="B1400" s="5" t="str">
        <f t="shared" si="10"/>
        <v>N</v>
      </c>
      <c r="C1400" s="18" t="s">
        <v>4393</v>
      </c>
      <c r="D1400" s="18"/>
      <c r="E1400" s="126" t="s">
        <v>4394</v>
      </c>
      <c r="F1400" s="19" t="s">
        <v>4395</v>
      </c>
      <c r="G1400" s="19" t="s">
        <v>4396</v>
      </c>
      <c r="H1400" s="5"/>
      <c r="N1400" s="16"/>
      <c r="O1400" s="7"/>
      <c r="P1400" s="17"/>
    </row>
    <row r="1401" spans="1:16" ht="14.25" customHeight="1">
      <c r="A1401" s="5" t="s">
        <v>0</v>
      </c>
      <c r="B1401" s="5" t="str">
        <f t="shared" si="10"/>
        <v>Y</v>
      </c>
      <c r="C1401" s="18" t="s">
        <v>4397</v>
      </c>
      <c r="D1401" s="18"/>
      <c r="E1401" s="126" t="s">
        <v>4398</v>
      </c>
      <c r="F1401" s="19" t="s">
        <v>4399</v>
      </c>
      <c r="G1401" s="19" t="s">
        <v>4400</v>
      </c>
      <c r="H1401" s="20">
        <v>44110</v>
      </c>
      <c r="L1401" s="6">
        <v>9852269587</v>
      </c>
      <c r="N1401" s="16"/>
      <c r="O1401" s="7"/>
      <c r="P1401" s="17"/>
    </row>
    <row r="1402" spans="1:16" ht="14.25" customHeight="1">
      <c r="A1402" s="84" t="s">
        <v>0</v>
      </c>
      <c r="B1402" s="84" t="str">
        <f t="shared" si="10"/>
        <v>Y</v>
      </c>
      <c r="C1402" s="85" t="s">
        <v>4401</v>
      </c>
      <c r="D1402" s="85"/>
      <c r="E1402" s="136" t="s">
        <v>4402</v>
      </c>
      <c r="F1402" s="86" t="s">
        <v>4403</v>
      </c>
      <c r="G1402" s="86" t="s">
        <v>4400</v>
      </c>
      <c r="H1402" s="87">
        <v>44110</v>
      </c>
      <c r="I1402" s="11" t="s">
        <v>4404</v>
      </c>
      <c r="J1402" s="11"/>
      <c r="K1402" s="140" t="s">
        <v>4405</v>
      </c>
      <c r="L1402" s="11">
        <v>9931781759</v>
      </c>
      <c r="N1402" s="16"/>
      <c r="O1402" s="7"/>
      <c r="P1402" s="17"/>
    </row>
    <row r="1403" spans="1:16" ht="14.25" customHeight="1">
      <c r="A1403" s="5" t="s">
        <v>0</v>
      </c>
      <c r="B1403" s="5" t="str">
        <f t="shared" si="10"/>
        <v>Y</v>
      </c>
      <c r="C1403" s="18" t="s">
        <v>4361</v>
      </c>
      <c r="D1403" s="18"/>
      <c r="E1403" s="126" t="s">
        <v>4406</v>
      </c>
      <c r="F1403" s="19" t="s">
        <v>4407</v>
      </c>
      <c r="G1403" s="19" t="s">
        <v>4339</v>
      </c>
      <c r="H1403" s="20">
        <v>44110</v>
      </c>
      <c r="L1403" s="6">
        <v>9204484672</v>
      </c>
      <c r="N1403" s="16"/>
      <c r="O1403" s="7"/>
      <c r="P1403" s="17"/>
    </row>
    <row r="1404" spans="1:16" ht="14.25" customHeight="1">
      <c r="A1404" s="5" t="s">
        <v>0</v>
      </c>
      <c r="B1404" s="5" t="str">
        <f t="shared" si="10"/>
        <v>Y</v>
      </c>
      <c r="C1404" s="18" t="s">
        <v>4408</v>
      </c>
      <c r="D1404" s="18"/>
      <c r="E1404" s="126" t="s">
        <v>4409</v>
      </c>
      <c r="F1404" s="19" t="s">
        <v>4410</v>
      </c>
      <c r="G1404" s="19" t="s">
        <v>4411</v>
      </c>
      <c r="H1404" s="20">
        <v>44110</v>
      </c>
      <c r="L1404" s="6">
        <v>7667412994</v>
      </c>
      <c r="N1404" s="16"/>
      <c r="O1404" s="7"/>
      <c r="P1404" s="17"/>
    </row>
    <row r="1405" spans="1:16" ht="14.25" customHeight="1">
      <c r="A1405" s="5" t="s">
        <v>0</v>
      </c>
      <c r="B1405" s="5" t="str">
        <f t="shared" si="10"/>
        <v>Y</v>
      </c>
      <c r="C1405" s="18" t="s">
        <v>4412</v>
      </c>
      <c r="D1405" s="18"/>
      <c r="E1405" s="126" t="s">
        <v>4413</v>
      </c>
      <c r="F1405" s="19" t="s">
        <v>4414</v>
      </c>
      <c r="G1405" s="19" t="s">
        <v>4415</v>
      </c>
      <c r="H1405" s="20">
        <v>44116</v>
      </c>
      <c r="K1405" s="38" t="s">
        <v>4416</v>
      </c>
      <c r="L1405" s="6">
        <v>8409048907</v>
      </c>
      <c r="N1405" s="16"/>
      <c r="O1405" s="7"/>
      <c r="P1405" s="17"/>
    </row>
    <row r="1406" spans="1:16" ht="14.25" customHeight="1">
      <c r="A1406" s="5" t="s">
        <v>0</v>
      </c>
      <c r="B1406" s="5" t="str">
        <f t="shared" si="10"/>
        <v>N</v>
      </c>
      <c r="C1406" s="18" t="s">
        <v>4417</v>
      </c>
      <c r="D1406" s="18"/>
      <c r="E1406" s="126" t="s">
        <v>4418</v>
      </c>
      <c r="F1406" s="19" t="s">
        <v>4419</v>
      </c>
      <c r="G1406" s="19" t="s">
        <v>4420</v>
      </c>
      <c r="H1406" s="5"/>
      <c r="L1406" s="6">
        <v>9142868144</v>
      </c>
      <c r="N1406" s="16"/>
      <c r="O1406" s="7"/>
      <c r="P1406" s="17"/>
    </row>
    <row r="1407" spans="1:16" ht="14.25" customHeight="1">
      <c r="A1407" s="5" t="s">
        <v>0</v>
      </c>
      <c r="B1407" s="5" t="str">
        <f t="shared" si="10"/>
        <v>N</v>
      </c>
      <c r="C1407" s="18" t="s">
        <v>4421</v>
      </c>
      <c r="D1407" s="18"/>
      <c r="E1407" s="126" t="s">
        <v>4422</v>
      </c>
      <c r="F1407" s="19" t="s">
        <v>4423</v>
      </c>
      <c r="G1407" s="19" t="s">
        <v>4415</v>
      </c>
      <c r="H1407" s="5"/>
      <c r="L1407" s="6">
        <v>6209395854</v>
      </c>
      <c r="N1407" s="16"/>
      <c r="O1407" s="7"/>
      <c r="P1407" s="17"/>
    </row>
    <row r="1408" spans="1:16" ht="14.25" customHeight="1">
      <c r="A1408" s="5" t="s">
        <v>0</v>
      </c>
      <c r="B1408" s="5" t="str">
        <f t="shared" si="10"/>
        <v>N</v>
      </c>
      <c r="C1408" s="18" t="s">
        <v>4424</v>
      </c>
      <c r="D1408" s="18"/>
      <c r="E1408" s="126" t="s">
        <v>4425</v>
      </c>
      <c r="F1408" s="19" t="s">
        <v>4426</v>
      </c>
      <c r="G1408" s="19" t="s">
        <v>4415</v>
      </c>
      <c r="H1408" s="5"/>
      <c r="L1408" s="6">
        <v>8298078108</v>
      </c>
      <c r="N1408" s="16"/>
      <c r="O1408" s="7"/>
      <c r="P1408" s="17"/>
    </row>
    <row r="1409" spans="1:16" ht="14.25" customHeight="1">
      <c r="A1409" s="5" t="s">
        <v>0</v>
      </c>
      <c r="B1409" s="5" t="str">
        <f t="shared" si="10"/>
        <v>N</v>
      </c>
      <c r="C1409" s="18" t="s">
        <v>4427</v>
      </c>
      <c r="D1409" s="18"/>
      <c r="E1409" s="126" t="s">
        <v>4428</v>
      </c>
      <c r="F1409" s="19" t="s">
        <v>4429</v>
      </c>
      <c r="G1409" s="19" t="s">
        <v>4430</v>
      </c>
      <c r="H1409" s="5"/>
      <c r="L1409" s="6">
        <v>9204095059</v>
      </c>
      <c r="N1409" s="16"/>
      <c r="O1409" s="7"/>
      <c r="P1409" s="17"/>
    </row>
    <row r="1410" spans="1:16" ht="14.25" customHeight="1">
      <c r="A1410" s="5" t="s">
        <v>0</v>
      </c>
      <c r="B1410" s="5" t="str">
        <f t="shared" si="10"/>
        <v>N</v>
      </c>
      <c r="C1410" s="18" t="s">
        <v>4431</v>
      </c>
      <c r="D1410" s="18"/>
      <c r="E1410" s="126" t="s">
        <v>4432</v>
      </c>
      <c r="F1410" s="19" t="s">
        <v>4433</v>
      </c>
      <c r="G1410" s="19" t="s">
        <v>4430</v>
      </c>
      <c r="H1410" s="5"/>
      <c r="L1410" s="6">
        <v>8797652054</v>
      </c>
      <c r="N1410" s="16"/>
      <c r="O1410" s="7"/>
      <c r="P1410" s="17"/>
    </row>
    <row r="1411" spans="1:16" ht="14.25" customHeight="1">
      <c r="A1411" s="5" t="s">
        <v>0</v>
      </c>
      <c r="B1411" s="5" t="str">
        <f t="shared" si="10"/>
        <v>N</v>
      </c>
      <c r="C1411" s="18" t="s">
        <v>4434</v>
      </c>
      <c r="D1411" s="18"/>
      <c r="E1411" s="126" t="s">
        <v>4435</v>
      </c>
      <c r="F1411" s="19" t="s">
        <v>4436</v>
      </c>
      <c r="G1411" s="19" t="s">
        <v>4437</v>
      </c>
      <c r="H1411" s="5"/>
      <c r="L1411" s="6">
        <v>9279014823</v>
      </c>
      <c r="N1411" s="16"/>
      <c r="O1411" s="7"/>
      <c r="P1411" s="17"/>
    </row>
    <row r="1412" spans="1:16" ht="14.25" customHeight="1">
      <c r="A1412" s="5" t="s">
        <v>0</v>
      </c>
      <c r="B1412" s="5" t="str">
        <f t="shared" si="10"/>
        <v>N</v>
      </c>
      <c r="C1412" s="18" t="s">
        <v>4438</v>
      </c>
      <c r="D1412" s="18"/>
      <c r="E1412" s="126" t="s">
        <v>4439</v>
      </c>
      <c r="F1412" s="19" t="s">
        <v>4440</v>
      </c>
      <c r="G1412" s="19" t="s">
        <v>4441</v>
      </c>
      <c r="H1412" s="5"/>
      <c r="L1412" s="6">
        <v>8210427929</v>
      </c>
      <c r="N1412" s="16"/>
      <c r="O1412" s="7"/>
      <c r="P1412" s="17"/>
    </row>
    <row r="1413" spans="1:16" ht="14.25" customHeight="1">
      <c r="A1413" s="5" t="s">
        <v>0</v>
      </c>
      <c r="B1413" s="5" t="str">
        <f t="shared" si="10"/>
        <v>N</v>
      </c>
      <c r="C1413" s="18" t="s">
        <v>4442</v>
      </c>
      <c r="D1413" s="18"/>
      <c r="E1413" s="126" t="s">
        <v>4443</v>
      </c>
      <c r="F1413" s="19" t="s">
        <v>4444</v>
      </c>
      <c r="G1413" s="19" t="s">
        <v>4441</v>
      </c>
      <c r="H1413" s="5"/>
      <c r="L1413" s="6">
        <v>7050312952</v>
      </c>
      <c r="N1413" s="16"/>
      <c r="O1413" s="7"/>
      <c r="P1413" s="17"/>
    </row>
    <row r="1414" spans="1:16" ht="14.25" customHeight="1">
      <c r="A1414" s="5" t="s">
        <v>0</v>
      </c>
      <c r="B1414" s="5" t="str">
        <f t="shared" si="10"/>
        <v>N</v>
      </c>
      <c r="C1414" s="18" t="s">
        <v>4445</v>
      </c>
      <c r="D1414" s="18"/>
      <c r="E1414" s="126" t="s">
        <v>4446</v>
      </c>
      <c r="F1414" s="19" t="s">
        <v>4447</v>
      </c>
      <c r="G1414" s="19" t="s">
        <v>4441</v>
      </c>
      <c r="H1414" s="5"/>
      <c r="L1414" s="6">
        <v>9693632923</v>
      </c>
      <c r="N1414" s="16"/>
      <c r="O1414" s="7"/>
      <c r="P1414" s="17"/>
    </row>
    <row r="1415" spans="1:16" ht="14.25" customHeight="1">
      <c r="A1415" s="5" t="s">
        <v>0</v>
      </c>
      <c r="B1415" s="5" t="str">
        <f t="shared" si="10"/>
        <v>N</v>
      </c>
      <c r="C1415" s="18" t="s">
        <v>4448</v>
      </c>
      <c r="D1415" s="18"/>
      <c r="E1415" s="126" t="s">
        <v>1333</v>
      </c>
      <c r="F1415" s="19" t="s">
        <v>4449</v>
      </c>
      <c r="G1415" s="19" t="s">
        <v>4441</v>
      </c>
      <c r="H1415" s="5"/>
      <c r="L1415" s="6">
        <v>6209129460</v>
      </c>
      <c r="N1415" s="16"/>
      <c r="O1415" s="7"/>
      <c r="P1415" s="17"/>
    </row>
    <row r="1416" spans="1:16" ht="14.25" customHeight="1">
      <c r="A1416" s="5" t="s">
        <v>0</v>
      </c>
      <c r="B1416" s="5" t="str">
        <f t="shared" si="10"/>
        <v>N</v>
      </c>
      <c r="C1416" s="18" t="s">
        <v>4450</v>
      </c>
      <c r="D1416" s="18"/>
      <c r="E1416" s="126" t="s">
        <v>4451</v>
      </c>
      <c r="F1416" s="19" t="s">
        <v>4396</v>
      </c>
      <c r="G1416" s="19" t="s">
        <v>4269</v>
      </c>
      <c r="H1416" s="5"/>
      <c r="L1416" s="6">
        <v>9709031665</v>
      </c>
      <c r="N1416" s="16"/>
      <c r="O1416" s="7"/>
      <c r="P1416" s="17"/>
    </row>
    <row r="1417" spans="1:16" ht="14.25" customHeight="1">
      <c r="A1417" s="5" t="s">
        <v>0</v>
      </c>
      <c r="B1417" s="5" t="str">
        <f t="shared" si="10"/>
        <v>Y</v>
      </c>
      <c r="C1417" s="18" t="s">
        <v>4452</v>
      </c>
      <c r="D1417" s="18"/>
      <c r="E1417" s="126" t="s">
        <v>4453</v>
      </c>
      <c r="F1417" s="19" t="s">
        <v>4454</v>
      </c>
      <c r="G1417" s="19" t="s">
        <v>4455</v>
      </c>
      <c r="H1417" s="20">
        <v>44121</v>
      </c>
      <c r="L1417" s="6">
        <v>8936819992</v>
      </c>
      <c r="N1417" s="16"/>
      <c r="O1417" s="7"/>
      <c r="P1417" s="17"/>
    </row>
    <row r="1418" spans="1:16" ht="14.25" customHeight="1">
      <c r="A1418" s="5" t="s">
        <v>0</v>
      </c>
      <c r="B1418" s="5" t="str">
        <f t="shared" si="10"/>
        <v>Y</v>
      </c>
      <c r="C1418" s="18" t="s">
        <v>4456</v>
      </c>
      <c r="D1418" s="18"/>
      <c r="E1418" s="126" t="s">
        <v>4457</v>
      </c>
      <c r="F1418" s="19" t="s">
        <v>4458</v>
      </c>
      <c r="G1418" s="19" t="s">
        <v>4420</v>
      </c>
      <c r="H1418" s="20">
        <v>44122</v>
      </c>
      <c r="K1418" s="38" t="s">
        <v>4459</v>
      </c>
      <c r="L1418" s="6">
        <v>9693723194</v>
      </c>
      <c r="N1418" s="16"/>
      <c r="O1418" s="7"/>
      <c r="P1418" s="17"/>
    </row>
    <row r="1419" spans="1:16" ht="14.25" customHeight="1">
      <c r="A1419" s="5" t="s">
        <v>0</v>
      </c>
      <c r="B1419" s="5" t="str">
        <f t="shared" si="10"/>
        <v>Y</v>
      </c>
      <c r="C1419" s="18" t="s">
        <v>4460</v>
      </c>
      <c r="D1419" s="18"/>
      <c r="E1419" s="126" t="s">
        <v>4461</v>
      </c>
      <c r="F1419" s="19" t="s">
        <v>4462</v>
      </c>
      <c r="G1419" s="19" t="s">
        <v>4463</v>
      </c>
      <c r="H1419" s="20">
        <v>44122</v>
      </c>
      <c r="K1419" s="38" t="s">
        <v>4459</v>
      </c>
      <c r="L1419" s="6">
        <v>9693723194</v>
      </c>
      <c r="N1419" s="16"/>
      <c r="O1419" s="7"/>
      <c r="P1419" s="17"/>
    </row>
    <row r="1420" spans="1:16" ht="14.25" customHeight="1">
      <c r="A1420" s="5" t="s">
        <v>0</v>
      </c>
      <c r="B1420" s="5" t="str">
        <f t="shared" si="10"/>
        <v>Y</v>
      </c>
      <c r="C1420" s="18" t="s">
        <v>4464</v>
      </c>
      <c r="D1420" s="18"/>
      <c r="E1420" s="126" t="s">
        <v>4465</v>
      </c>
      <c r="F1420" s="19" t="s">
        <v>4466</v>
      </c>
      <c r="G1420" s="19" t="s">
        <v>4467</v>
      </c>
      <c r="H1420" s="20">
        <v>44123</v>
      </c>
      <c r="K1420" s="38" t="s">
        <v>4468</v>
      </c>
      <c r="L1420" s="6">
        <v>9905159688</v>
      </c>
      <c r="N1420" s="16"/>
      <c r="O1420" s="7"/>
      <c r="P1420" s="17"/>
    </row>
    <row r="1421" spans="1:16" ht="14.25" customHeight="1">
      <c r="A1421" s="5" t="s">
        <v>0</v>
      </c>
      <c r="B1421" s="5" t="str">
        <f t="shared" si="10"/>
        <v>Y</v>
      </c>
      <c r="C1421" s="18" t="s">
        <v>4469</v>
      </c>
      <c r="D1421" s="18"/>
      <c r="E1421" s="126" t="s">
        <v>4470</v>
      </c>
      <c r="F1421" s="19" t="s">
        <v>4471</v>
      </c>
      <c r="G1421" s="19" t="s">
        <v>4467</v>
      </c>
      <c r="H1421" s="20">
        <v>44123</v>
      </c>
      <c r="K1421" s="38" t="s">
        <v>4472</v>
      </c>
      <c r="L1421" s="6">
        <v>6200010564</v>
      </c>
      <c r="N1421" s="16"/>
      <c r="O1421" s="7"/>
      <c r="P1421" s="17"/>
    </row>
    <row r="1422" spans="1:16" ht="14.25" customHeight="1">
      <c r="A1422" s="5" t="s">
        <v>0</v>
      </c>
      <c r="B1422" s="5" t="str">
        <f t="shared" si="10"/>
        <v>Y</v>
      </c>
      <c r="C1422" s="18" t="s">
        <v>4473</v>
      </c>
      <c r="D1422" s="18"/>
      <c r="E1422" s="126" t="s">
        <v>4474</v>
      </c>
      <c r="F1422" s="19" t="s">
        <v>4475</v>
      </c>
      <c r="G1422" s="19" t="s">
        <v>4476</v>
      </c>
      <c r="H1422" s="20">
        <v>44124</v>
      </c>
      <c r="K1422" s="38" t="s">
        <v>4405</v>
      </c>
      <c r="L1422" s="6">
        <v>9546276597</v>
      </c>
      <c r="N1422" s="16"/>
      <c r="O1422" s="7"/>
      <c r="P1422" s="17"/>
    </row>
    <row r="1423" spans="1:16" ht="14.25" customHeight="1">
      <c r="A1423" s="5"/>
      <c r="B1423" s="5" t="str">
        <f t="shared" si="10"/>
        <v>Y</v>
      </c>
      <c r="C1423" s="18" t="s">
        <v>4477</v>
      </c>
      <c r="D1423" s="18"/>
      <c r="E1423" s="126" t="s">
        <v>4478</v>
      </c>
      <c r="F1423" s="19" t="s">
        <v>4479</v>
      </c>
      <c r="G1423" s="19" t="s">
        <v>4476</v>
      </c>
      <c r="H1423" s="20">
        <v>44124</v>
      </c>
      <c r="K1423" s="38" t="s">
        <v>4480</v>
      </c>
      <c r="L1423" s="6">
        <v>9065236989</v>
      </c>
      <c r="N1423" s="16"/>
      <c r="O1423" s="7"/>
      <c r="P1423" s="17"/>
    </row>
    <row r="1424" spans="1:16" ht="14.25" customHeight="1">
      <c r="A1424" s="5" t="s">
        <v>0</v>
      </c>
      <c r="B1424" s="5" t="str">
        <f t="shared" si="10"/>
        <v>Y</v>
      </c>
      <c r="C1424" s="18" t="s">
        <v>4481</v>
      </c>
      <c r="D1424" s="18"/>
      <c r="E1424" s="126" t="s">
        <v>4482</v>
      </c>
      <c r="F1424" s="19" t="s">
        <v>4483</v>
      </c>
      <c r="G1424" s="19" t="s">
        <v>4484</v>
      </c>
      <c r="H1424" s="20">
        <v>44127</v>
      </c>
      <c r="K1424" s="137" t="s">
        <v>4485</v>
      </c>
      <c r="L1424" s="6">
        <v>9031788707</v>
      </c>
      <c r="N1424" s="16"/>
      <c r="O1424" s="7"/>
      <c r="P1424" s="17"/>
    </row>
    <row r="1425" spans="1:16" ht="14.25" customHeight="1">
      <c r="A1425" s="5" t="s">
        <v>0</v>
      </c>
      <c r="B1425" s="5" t="str">
        <f t="shared" si="10"/>
        <v>N</v>
      </c>
      <c r="C1425" s="18"/>
      <c r="D1425" s="18"/>
      <c r="E1425" s="126" t="s">
        <v>4327</v>
      </c>
      <c r="F1425" s="19"/>
      <c r="G1425" s="19"/>
      <c r="H1425" s="5"/>
      <c r="N1425" s="16"/>
      <c r="O1425" s="7"/>
      <c r="P1425" s="17"/>
    </row>
    <row r="1426" spans="1:16" ht="14.25" customHeight="1">
      <c r="A1426" s="5" t="s">
        <v>0</v>
      </c>
      <c r="B1426" s="5" t="str">
        <f t="shared" si="10"/>
        <v>Y</v>
      </c>
      <c r="C1426" s="18" t="s">
        <v>4486</v>
      </c>
      <c r="D1426" s="18"/>
      <c r="E1426" s="126" t="s">
        <v>4487</v>
      </c>
      <c r="F1426" s="19" t="s">
        <v>4488</v>
      </c>
      <c r="G1426" s="19" t="s">
        <v>4489</v>
      </c>
      <c r="H1426" s="20">
        <v>44128</v>
      </c>
      <c r="K1426" s="137" t="s">
        <v>4490</v>
      </c>
      <c r="L1426" s="6">
        <v>7762078625</v>
      </c>
      <c r="N1426" s="16"/>
      <c r="O1426" s="7"/>
      <c r="P1426" s="17"/>
    </row>
    <row r="1427" spans="1:16" ht="14.25" customHeight="1">
      <c r="A1427" s="5" t="s">
        <v>0</v>
      </c>
      <c r="B1427" s="5" t="str">
        <f t="shared" si="10"/>
        <v>Y</v>
      </c>
      <c r="C1427" s="18" t="s">
        <v>4491</v>
      </c>
      <c r="D1427" s="18"/>
      <c r="E1427" s="126" t="s">
        <v>4492</v>
      </c>
      <c r="F1427" s="19" t="s">
        <v>4493</v>
      </c>
      <c r="G1427" s="19" t="s">
        <v>4494</v>
      </c>
      <c r="H1427" s="20">
        <v>44134</v>
      </c>
      <c r="K1427" s="137" t="s">
        <v>4495</v>
      </c>
      <c r="L1427" s="6">
        <v>9931097789</v>
      </c>
      <c r="N1427" s="16"/>
      <c r="O1427" s="7"/>
      <c r="P1427" s="17"/>
    </row>
    <row r="1428" spans="1:16" ht="14.25" customHeight="1">
      <c r="A1428" s="5" t="s">
        <v>0</v>
      </c>
      <c r="B1428" s="5" t="str">
        <f t="shared" si="10"/>
        <v>Y</v>
      </c>
      <c r="C1428" s="18" t="s">
        <v>4496</v>
      </c>
      <c r="D1428" s="18"/>
      <c r="E1428" s="126" t="s">
        <v>4497</v>
      </c>
      <c r="F1428" s="19" t="s">
        <v>4498</v>
      </c>
      <c r="G1428" s="19" t="s">
        <v>4499</v>
      </c>
      <c r="H1428" s="20">
        <v>44134</v>
      </c>
      <c r="K1428" s="137" t="s">
        <v>4500</v>
      </c>
      <c r="L1428" s="6">
        <v>8102627503</v>
      </c>
      <c r="N1428" s="16"/>
      <c r="O1428" s="7"/>
      <c r="P1428" s="17"/>
    </row>
    <row r="1429" spans="1:16" ht="14.25" customHeight="1">
      <c r="A1429" s="5" t="s">
        <v>0</v>
      </c>
      <c r="B1429" s="5" t="str">
        <f t="shared" si="10"/>
        <v>Y</v>
      </c>
      <c r="C1429" s="18" t="s">
        <v>4501</v>
      </c>
      <c r="D1429" s="18"/>
      <c r="E1429" s="126" t="s">
        <v>4502</v>
      </c>
      <c r="F1429" s="19" t="s">
        <v>4503</v>
      </c>
      <c r="G1429" s="19" t="s">
        <v>4504</v>
      </c>
      <c r="H1429" s="20">
        <v>44134</v>
      </c>
      <c r="K1429" s="137" t="s">
        <v>4505</v>
      </c>
      <c r="L1429" s="6">
        <v>8271388848</v>
      </c>
      <c r="N1429" s="16"/>
      <c r="O1429" s="7"/>
      <c r="P1429" s="17"/>
    </row>
    <row r="1430" spans="1:16" ht="14.25" customHeight="1">
      <c r="A1430" s="5" t="s">
        <v>0</v>
      </c>
      <c r="B1430" s="5" t="str">
        <f t="shared" si="10"/>
        <v>Y</v>
      </c>
      <c r="C1430" s="18" t="s">
        <v>4506</v>
      </c>
      <c r="D1430" s="18"/>
      <c r="E1430" s="126" t="s">
        <v>4507</v>
      </c>
      <c r="F1430" s="19" t="s">
        <v>4508</v>
      </c>
      <c r="G1430" s="19" t="s">
        <v>4504</v>
      </c>
      <c r="H1430" s="20">
        <v>44134</v>
      </c>
      <c r="K1430" s="137" t="s">
        <v>4509</v>
      </c>
      <c r="L1430" s="6">
        <v>7209155202</v>
      </c>
      <c r="N1430" s="16"/>
      <c r="O1430" s="7"/>
      <c r="P1430" s="17"/>
    </row>
    <row r="1431" spans="1:16" ht="14.25" customHeight="1">
      <c r="A1431" s="5" t="s">
        <v>0</v>
      </c>
      <c r="B1431" s="5" t="str">
        <f t="shared" si="10"/>
        <v>Y</v>
      </c>
      <c r="C1431" s="6" t="s">
        <v>4510</v>
      </c>
      <c r="D1431" s="6"/>
      <c r="E1431" s="126" t="s">
        <v>3620</v>
      </c>
      <c r="F1431" s="19" t="s">
        <v>4511</v>
      </c>
      <c r="G1431" s="19" t="s">
        <v>4512</v>
      </c>
      <c r="H1431" s="20">
        <v>44135</v>
      </c>
      <c r="K1431" s="137" t="s">
        <v>4509</v>
      </c>
      <c r="L1431" s="6">
        <v>9031787790</v>
      </c>
      <c r="N1431" s="16"/>
      <c r="O1431" s="7"/>
      <c r="P1431" s="17"/>
    </row>
    <row r="1432" spans="1:16" ht="14.25" customHeight="1">
      <c r="A1432" s="5" t="s">
        <v>0</v>
      </c>
      <c r="B1432" s="5" t="str">
        <f t="shared" si="10"/>
        <v>Y</v>
      </c>
      <c r="C1432" s="18" t="s">
        <v>4513</v>
      </c>
      <c r="D1432" s="18"/>
      <c r="E1432" s="126" t="s">
        <v>4079</v>
      </c>
      <c r="F1432" s="19" t="s">
        <v>4514</v>
      </c>
      <c r="G1432" s="19" t="s">
        <v>4512</v>
      </c>
      <c r="H1432" s="20">
        <v>44135</v>
      </c>
      <c r="K1432" s="137" t="s">
        <v>4515</v>
      </c>
      <c r="L1432" s="6">
        <v>9031734009</v>
      </c>
      <c r="N1432" s="16"/>
      <c r="O1432" s="7"/>
      <c r="P1432" s="17"/>
    </row>
    <row r="1433" spans="1:16" ht="14.25" customHeight="1">
      <c r="A1433" s="5" t="s">
        <v>0</v>
      </c>
      <c r="B1433" s="5" t="str">
        <f t="shared" si="10"/>
        <v>Y</v>
      </c>
      <c r="C1433" s="18" t="s">
        <v>4516</v>
      </c>
      <c r="D1433" s="18"/>
      <c r="E1433" s="126" t="s">
        <v>4517</v>
      </c>
      <c r="F1433" s="19" t="s">
        <v>4514</v>
      </c>
      <c r="G1433" s="19" t="s">
        <v>4512</v>
      </c>
      <c r="H1433" s="20">
        <v>44135</v>
      </c>
      <c r="K1433" s="137" t="s">
        <v>4518</v>
      </c>
      <c r="L1433" s="6">
        <v>7367945763</v>
      </c>
      <c r="N1433" s="16"/>
      <c r="O1433" s="7"/>
      <c r="P1433" s="17"/>
    </row>
    <row r="1434" spans="1:16" ht="14.25" customHeight="1">
      <c r="A1434" s="5" t="s">
        <v>0</v>
      </c>
      <c r="B1434" s="5" t="str">
        <f t="shared" si="10"/>
        <v>Y</v>
      </c>
      <c r="C1434" s="126" t="s">
        <v>4519</v>
      </c>
      <c r="D1434" s="126"/>
      <c r="E1434" s="126" t="s">
        <v>4520</v>
      </c>
      <c r="F1434" s="19" t="s">
        <v>4521</v>
      </c>
      <c r="G1434" s="19" t="s">
        <v>4522</v>
      </c>
      <c r="H1434" s="20">
        <v>44140</v>
      </c>
      <c r="K1434" s="38" t="s">
        <v>4523</v>
      </c>
      <c r="L1434" s="6">
        <v>9135415936</v>
      </c>
      <c r="N1434" s="16"/>
      <c r="O1434" s="7"/>
      <c r="P1434" s="17"/>
    </row>
    <row r="1435" spans="1:16" ht="14.25" customHeight="1">
      <c r="A1435" s="5" t="s">
        <v>0</v>
      </c>
      <c r="B1435" s="5" t="str">
        <f t="shared" si="10"/>
        <v>Y</v>
      </c>
      <c r="C1435" s="18" t="s">
        <v>4524</v>
      </c>
      <c r="D1435" s="18"/>
      <c r="E1435" s="126" t="s">
        <v>4525</v>
      </c>
      <c r="F1435" s="19" t="s">
        <v>4526</v>
      </c>
      <c r="G1435" s="19" t="s">
        <v>4527</v>
      </c>
      <c r="H1435" s="20">
        <v>44139</v>
      </c>
      <c r="L1435" s="6">
        <v>8987761288</v>
      </c>
      <c r="N1435" s="16"/>
      <c r="O1435" s="7"/>
      <c r="P1435" s="17"/>
    </row>
    <row r="1436" spans="1:16" ht="14.25" customHeight="1">
      <c r="A1436" s="5" t="s">
        <v>0</v>
      </c>
      <c r="B1436" s="5" t="str">
        <f t="shared" si="10"/>
        <v>Y</v>
      </c>
      <c r="C1436" s="18" t="s">
        <v>4528</v>
      </c>
      <c r="D1436" s="18"/>
      <c r="E1436" s="126" t="s">
        <v>3586</v>
      </c>
      <c r="F1436" s="19" t="s">
        <v>4529</v>
      </c>
      <c r="G1436" s="19" t="s">
        <v>4530</v>
      </c>
      <c r="H1436" s="20">
        <v>44139</v>
      </c>
      <c r="L1436" s="6">
        <v>8789678947</v>
      </c>
      <c r="N1436" s="16"/>
      <c r="O1436" s="7"/>
      <c r="P1436" s="17"/>
    </row>
    <row r="1437" spans="1:16" ht="14.25" customHeight="1">
      <c r="A1437" s="5" t="s">
        <v>0</v>
      </c>
      <c r="B1437" s="5" t="str">
        <f t="shared" si="10"/>
        <v>Y</v>
      </c>
      <c r="C1437" s="18" t="s">
        <v>4531</v>
      </c>
      <c r="D1437" s="18"/>
      <c r="E1437" s="126" t="s">
        <v>4532</v>
      </c>
      <c r="F1437" s="19" t="s">
        <v>4533</v>
      </c>
      <c r="G1437" s="19" t="s">
        <v>4530</v>
      </c>
      <c r="H1437" s="20">
        <v>44139</v>
      </c>
      <c r="L1437" s="6">
        <v>9234745588</v>
      </c>
      <c r="N1437" s="16"/>
      <c r="O1437" s="7"/>
      <c r="P1437" s="17"/>
    </row>
    <row r="1438" spans="1:16" ht="14.25" customHeight="1">
      <c r="A1438" s="5" t="s">
        <v>0</v>
      </c>
      <c r="B1438" s="5" t="str">
        <f t="shared" si="10"/>
        <v>Y</v>
      </c>
      <c r="C1438" s="18" t="s">
        <v>4534</v>
      </c>
      <c r="D1438" s="18"/>
      <c r="E1438" s="126" t="s">
        <v>4535</v>
      </c>
      <c r="F1438" s="19" t="s">
        <v>4536</v>
      </c>
      <c r="G1438" s="19" t="s">
        <v>4530</v>
      </c>
      <c r="H1438" s="20">
        <v>44139</v>
      </c>
      <c r="L1438" s="6">
        <v>6200496766</v>
      </c>
      <c r="N1438" s="16"/>
      <c r="O1438" s="7"/>
      <c r="P1438" s="17"/>
    </row>
    <row r="1439" spans="1:16" ht="14.25" customHeight="1">
      <c r="A1439" s="5" t="s">
        <v>0</v>
      </c>
      <c r="B1439" s="5" t="str">
        <f t="shared" si="10"/>
        <v>N</v>
      </c>
      <c r="C1439" s="18" t="s">
        <v>4537</v>
      </c>
      <c r="D1439" s="18"/>
      <c r="E1439" s="126" t="s">
        <v>4538</v>
      </c>
      <c r="F1439" s="19" t="s">
        <v>4539</v>
      </c>
      <c r="G1439" s="19" t="s">
        <v>4540</v>
      </c>
      <c r="H1439" s="5"/>
      <c r="K1439" s="38" t="s">
        <v>4541</v>
      </c>
      <c r="L1439" s="6">
        <v>6299638067</v>
      </c>
      <c r="N1439" s="16"/>
      <c r="O1439" s="7"/>
      <c r="P1439" s="17"/>
    </row>
    <row r="1440" spans="1:16" ht="14.25" customHeight="1">
      <c r="A1440" s="5" t="s">
        <v>0</v>
      </c>
      <c r="B1440" s="5" t="str">
        <f t="shared" si="10"/>
        <v>Y</v>
      </c>
      <c r="C1440" s="18" t="s">
        <v>4542</v>
      </c>
      <c r="D1440" s="18"/>
      <c r="E1440" s="126" t="s">
        <v>4543</v>
      </c>
      <c r="F1440" s="19" t="s">
        <v>4544</v>
      </c>
      <c r="G1440" s="19" t="s">
        <v>4545</v>
      </c>
      <c r="H1440" s="19" t="s">
        <v>4545</v>
      </c>
      <c r="L1440" s="6">
        <v>8292019856</v>
      </c>
      <c r="N1440" s="16"/>
      <c r="O1440" s="7"/>
      <c r="P1440" s="17"/>
    </row>
    <row r="1441" spans="1:16" ht="14.25" customHeight="1">
      <c r="A1441" s="5" t="s">
        <v>0</v>
      </c>
      <c r="B1441" s="5" t="str">
        <f t="shared" si="10"/>
        <v>Y</v>
      </c>
      <c r="C1441" s="18" t="s">
        <v>4546</v>
      </c>
      <c r="D1441" s="18"/>
      <c r="E1441" s="126" t="s">
        <v>4547</v>
      </c>
      <c r="F1441" s="19" t="s">
        <v>4548</v>
      </c>
      <c r="G1441" s="19" t="s">
        <v>4545</v>
      </c>
      <c r="H1441" s="19" t="s">
        <v>4545</v>
      </c>
      <c r="L1441" s="6">
        <v>9142587913</v>
      </c>
      <c r="N1441" s="16"/>
      <c r="O1441" s="7"/>
      <c r="P1441" s="17"/>
    </row>
    <row r="1442" spans="1:16" ht="14.25" customHeight="1">
      <c r="A1442" s="5" t="s">
        <v>0</v>
      </c>
      <c r="B1442" s="5" t="str">
        <f t="shared" si="10"/>
        <v>Y</v>
      </c>
      <c r="C1442" s="18" t="s">
        <v>4549</v>
      </c>
      <c r="D1442" s="18"/>
      <c r="E1442" s="126" t="s">
        <v>4550</v>
      </c>
      <c r="F1442" s="19" t="s">
        <v>4551</v>
      </c>
      <c r="G1442" s="19" t="s">
        <v>4552</v>
      </c>
      <c r="H1442" s="19" t="s">
        <v>4552</v>
      </c>
      <c r="L1442" s="6">
        <v>9162525813</v>
      </c>
      <c r="N1442" s="16"/>
      <c r="O1442" s="7"/>
      <c r="P1442" s="17"/>
    </row>
    <row r="1443" spans="1:16" ht="14.25" customHeight="1">
      <c r="A1443" s="5" t="s">
        <v>0</v>
      </c>
      <c r="B1443" s="5" t="str">
        <f t="shared" si="10"/>
        <v>Y</v>
      </c>
      <c r="C1443" s="18" t="s">
        <v>4553</v>
      </c>
      <c r="D1443" s="18"/>
      <c r="E1443" s="126" t="s">
        <v>4554</v>
      </c>
      <c r="F1443" s="19" t="s">
        <v>4555</v>
      </c>
      <c r="G1443" s="19" t="s">
        <v>4556</v>
      </c>
      <c r="H1443" s="20">
        <v>44156</v>
      </c>
      <c r="L1443" s="6">
        <v>9693779649</v>
      </c>
      <c r="N1443" s="16"/>
      <c r="O1443" s="7"/>
      <c r="P1443" s="17"/>
    </row>
    <row r="1444" spans="1:16" ht="14.25" customHeight="1">
      <c r="A1444" s="5" t="s">
        <v>0</v>
      </c>
      <c r="B1444" s="5" t="str">
        <f t="shared" si="10"/>
        <v>Y</v>
      </c>
      <c r="C1444" s="18" t="s">
        <v>4557</v>
      </c>
      <c r="D1444" s="18"/>
      <c r="E1444" s="126" t="s">
        <v>4558</v>
      </c>
      <c r="F1444" s="19" t="s">
        <v>4559</v>
      </c>
      <c r="G1444" s="19" t="s">
        <v>4560</v>
      </c>
      <c r="H1444" s="20">
        <v>44151</v>
      </c>
      <c r="K1444" s="137" t="s">
        <v>4561</v>
      </c>
      <c r="L1444" s="6">
        <v>9709213014</v>
      </c>
      <c r="N1444" s="16"/>
      <c r="O1444" s="7"/>
      <c r="P1444" s="17"/>
    </row>
    <row r="1445" spans="1:16" ht="14.25" customHeight="1">
      <c r="A1445" s="5" t="s">
        <v>0</v>
      </c>
      <c r="B1445" s="5" t="str">
        <f t="shared" si="10"/>
        <v>Y</v>
      </c>
      <c r="C1445" s="18" t="s">
        <v>4562</v>
      </c>
      <c r="D1445" s="18"/>
      <c r="E1445" s="126" t="s">
        <v>4563</v>
      </c>
      <c r="F1445" s="19" t="s">
        <v>4564</v>
      </c>
      <c r="G1445" s="19" t="s">
        <v>4560</v>
      </c>
      <c r="H1445" s="20">
        <v>44152</v>
      </c>
      <c r="L1445" s="6">
        <v>8271312110</v>
      </c>
      <c r="N1445" s="16"/>
      <c r="O1445" s="7"/>
      <c r="P1445" s="17"/>
    </row>
    <row r="1446" spans="1:16" ht="14.25" customHeight="1">
      <c r="A1446" s="5" t="s">
        <v>0</v>
      </c>
      <c r="B1446" s="5" t="str">
        <f t="shared" si="10"/>
        <v>Y</v>
      </c>
      <c r="C1446" s="18" t="s">
        <v>4565</v>
      </c>
      <c r="D1446" s="18"/>
      <c r="E1446" s="126" t="s">
        <v>4566</v>
      </c>
      <c r="F1446" s="19" t="s">
        <v>4567</v>
      </c>
      <c r="G1446" s="19" t="s">
        <v>4568</v>
      </c>
      <c r="H1446" s="20">
        <v>44155</v>
      </c>
      <c r="K1446" s="137" t="s">
        <v>4569</v>
      </c>
      <c r="L1446" s="6">
        <v>7294059307</v>
      </c>
      <c r="N1446" s="16"/>
      <c r="O1446" s="7"/>
      <c r="P1446" s="17"/>
    </row>
    <row r="1447" spans="1:16" ht="14.25" customHeight="1">
      <c r="A1447" s="5" t="s">
        <v>0</v>
      </c>
      <c r="B1447" s="5" t="str">
        <f t="shared" si="10"/>
        <v>Y</v>
      </c>
      <c r="C1447" s="18" t="s">
        <v>4570</v>
      </c>
      <c r="D1447" s="18"/>
      <c r="E1447" s="126" t="s">
        <v>4019</v>
      </c>
      <c r="F1447" s="19" t="s">
        <v>4571</v>
      </c>
      <c r="G1447" s="19" t="s">
        <v>4572</v>
      </c>
      <c r="H1447" s="19" t="s">
        <v>4573</v>
      </c>
      <c r="K1447" s="138" t="s">
        <v>4574</v>
      </c>
      <c r="L1447" s="6">
        <v>9445481793</v>
      </c>
      <c r="N1447" s="16"/>
      <c r="O1447" s="7"/>
      <c r="P1447" s="17"/>
    </row>
    <row r="1448" spans="1:16" ht="14.25" customHeight="1">
      <c r="A1448" s="5" t="s">
        <v>0</v>
      </c>
      <c r="B1448" s="5" t="str">
        <f t="shared" si="10"/>
        <v>Y</v>
      </c>
      <c r="C1448" s="18" t="s">
        <v>4575</v>
      </c>
      <c r="D1448" s="18"/>
      <c r="E1448" s="126" t="s">
        <v>4576</v>
      </c>
      <c r="F1448" s="19" t="s">
        <v>4577</v>
      </c>
      <c r="G1448" s="19" t="s">
        <v>4573</v>
      </c>
      <c r="H1448" s="19" t="s">
        <v>4573</v>
      </c>
      <c r="L1448" s="6">
        <v>9031788707</v>
      </c>
      <c r="N1448" s="16"/>
      <c r="O1448" s="7"/>
      <c r="P1448" s="17"/>
    </row>
    <row r="1449" spans="1:16" ht="14.25" customHeight="1">
      <c r="A1449" s="5" t="s">
        <v>0</v>
      </c>
      <c r="B1449" s="5" t="str">
        <f t="shared" si="10"/>
        <v>Y</v>
      </c>
      <c r="C1449" s="126" t="s">
        <v>4578</v>
      </c>
      <c r="D1449" s="126"/>
      <c r="E1449" s="126" t="s">
        <v>4579</v>
      </c>
      <c r="F1449" s="19" t="s">
        <v>4580</v>
      </c>
      <c r="G1449" s="19" t="s">
        <v>4581</v>
      </c>
      <c r="H1449" s="19" t="s">
        <v>4581</v>
      </c>
      <c r="L1449" s="6">
        <v>7900565561</v>
      </c>
      <c r="N1449" s="16"/>
      <c r="O1449" s="7"/>
      <c r="P1449" s="17"/>
    </row>
    <row r="1450" spans="1:16" ht="14.25" customHeight="1">
      <c r="A1450" s="5" t="s">
        <v>0</v>
      </c>
      <c r="B1450" s="5" t="str">
        <f t="shared" si="10"/>
        <v>Y</v>
      </c>
      <c r="C1450" s="18" t="s">
        <v>4582</v>
      </c>
      <c r="D1450" s="18"/>
      <c r="E1450" s="126" t="s">
        <v>3586</v>
      </c>
      <c r="F1450" s="19" t="s">
        <v>4583</v>
      </c>
      <c r="G1450" s="19" t="s">
        <v>4584</v>
      </c>
      <c r="H1450" s="20">
        <v>44162</v>
      </c>
      <c r="K1450" s="38" t="s">
        <v>4585</v>
      </c>
      <c r="L1450" s="6">
        <v>9031907573</v>
      </c>
      <c r="N1450" s="16"/>
      <c r="O1450" s="7"/>
      <c r="P1450" s="17"/>
    </row>
    <row r="1451" spans="1:16" ht="14.25" customHeight="1">
      <c r="A1451" s="5" t="s">
        <v>0</v>
      </c>
      <c r="B1451" s="5" t="str">
        <f t="shared" si="10"/>
        <v>Y</v>
      </c>
      <c r="C1451" s="18" t="s">
        <v>4586</v>
      </c>
      <c r="D1451" s="18"/>
      <c r="E1451" s="126" t="s">
        <v>4587</v>
      </c>
      <c r="F1451" s="19" t="s">
        <v>4588</v>
      </c>
      <c r="G1451" s="19" t="s">
        <v>4589</v>
      </c>
      <c r="H1451" s="20">
        <v>44164</v>
      </c>
      <c r="K1451" s="38" t="s">
        <v>4405</v>
      </c>
      <c r="L1451" s="6">
        <v>8969400181</v>
      </c>
      <c r="N1451" s="16"/>
      <c r="O1451" s="7"/>
      <c r="P1451" s="17"/>
    </row>
    <row r="1452" spans="1:16" ht="14.25" customHeight="1">
      <c r="A1452" s="5" t="s">
        <v>0</v>
      </c>
      <c r="B1452" s="5" t="str">
        <f t="shared" si="10"/>
        <v>Y</v>
      </c>
      <c r="C1452" s="18" t="s">
        <v>4590</v>
      </c>
      <c r="D1452" s="18"/>
      <c r="E1452" s="126" t="s">
        <v>3215</v>
      </c>
      <c r="F1452" s="19" t="s">
        <v>4433</v>
      </c>
      <c r="G1452" s="19" t="s">
        <v>4589</v>
      </c>
      <c r="H1452" s="20">
        <v>44164</v>
      </c>
      <c r="K1452" s="38" t="s">
        <v>4405</v>
      </c>
      <c r="L1452" s="6">
        <v>7255854497</v>
      </c>
      <c r="N1452" s="16"/>
      <c r="O1452" s="7"/>
      <c r="P1452" s="17"/>
    </row>
    <row r="1453" spans="1:16" ht="14.25" customHeight="1">
      <c r="A1453" s="5" t="s">
        <v>0</v>
      </c>
      <c r="B1453" s="5" t="str">
        <f t="shared" si="10"/>
        <v>Y</v>
      </c>
      <c r="C1453" s="18" t="s">
        <v>4591</v>
      </c>
      <c r="D1453" s="18"/>
      <c r="E1453" s="126" t="s">
        <v>4592</v>
      </c>
      <c r="F1453" s="19" t="s">
        <v>4593</v>
      </c>
      <c r="G1453" s="19" t="s">
        <v>4594</v>
      </c>
      <c r="H1453" s="20">
        <v>44165</v>
      </c>
      <c r="K1453" s="38" t="s">
        <v>4405</v>
      </c>
      <c r="L1453" s="6">
        <v>7061735613</v>
      </c>
      <c r="N1453" s="16"/>
      <c r="O1453" s="7"/>
      <c r="P1453" s="17"/>
    </row>
    <row r="1454" spans="1:16" ht="14.25" customHeight="1">
      <c r="A1454" s="5" t="s">
        <v>0</v>
      </c>
      <c r="B1454" s="5" t="str">
        <f t="shared" si="10"/>
        <v>Y</v>
      </c>
      <c r="C1454" s="18" t="s">
        <v>4595</v>
      </c>
      <c r="D1454" s="18"/>
      <c r="E1454" s="126" t="s">
        <v>4596</v>
      </c>
      <c r="F1454" s="19" t="s">
        <v>4597</v>
      </c>
      <c r="G1454" s="19" t="s">
        <v>4598</v>
      </c>
      <c r="H1454" s="19" t="s">
        <v>4598</v>
      </c>
      <c r="L1454" s="6">
        <v>6205266370</v>
      </c>
      <c r="N1454" s="16"/>
      <c r="O1454" s="7"/>
      <c r="P1454" s="17"/>
    </row>
    <row r="1455" spans="1:16" ht="14.25" customHeight="1">
      <c r="A1455" s="5" t="s">
        <v>0</v>
      </c>
      <c r="B1455" s="5" t="str">
        <f t="shared" si="10"/>
        <v>Y</v>
      </c>
      <c r="C1455" s="18" t="s">
        <v>4599</v>
      </c>
      <c r="D1455" s="18"/>
      <c r="E1455" s="126" t="s">
        <v>4600</v>
      </c>
      <c r="F1455" s="19" t="s">
        <v>4601</v>
      </c>
      <c r="G1455" s="19" t="s">
        <v>4602</v>
      </c>
      <c r="H1455" s="19" t="s">
        <v>4603</v>
      </c>
      <c r="L1455" s="6">
        <v>6202930603</v>
      </c>
      <c r="N1455" s="16"/>
      <c r="O1455" s="7"/>
      <c r="P1455" s="17"/>
    </row>
    <row r="1456" spans="1:16" ht="14.25" customHeight="1">
      <c r="A1456" s="5" t="s">
        <v>0</v>
      </c>
      <c r="B1456" s="5" t="str">
        <f t="shared" si="10"/>
        <v>N</v>
      </c>
      <c r="C1456" s="18" t="s">
        <v>4604</v>
      </c>
      <c r="D1456" s="18"/>
      <c r="E1456" s="126" t="s">
        <v>4605</v>
      </c>
      <c r="F1456" s="19" t="s">
        <v>4606</v>
      </c>
      <c r="G1456" s="19" t="s">
        <v>4603</v>
      </c>
      <c r="H1456" s="5"/>
      <c r="K1456" s="38" t="s">
        <v>4405</v>
      </c>
      <c r="L1456" s="6">
        <v>8789251907</v>
      </c>
      <c r="N1456" s="16"/>
      <c r="O1456" s="7"/>
      <c r="P1456" s="17"/>
    </row>
    <row r="1457" spans="1:16" ht="14.25" customHeight="1">
      <c r="A1457" s="5" t="s">
        <v>0</v>
      </c>
      <c r="B1457" s="5" t="str">
        <f t="shared" si="10"/>
        <v>Y</v>
      </c>
      <c r="C1457" s="18" t="s">
        <v>4607</v>
      </c>
      <c r="D1457" s="18"/>
      <c r="E1457" s="126" t="s">
        <v>4608</v>
      </c>
      <c r="F1457" s="19" t="s">
        <v>3040</v>
      </c>
      <c r="G1457" s="19" t="s">
        <v>4603</v>
      </c>
      <c r="H1457" s="19" t="s">
        <v>4603</v>
      </c>
      <c r="K1457" s="38" t="s">
        <v>4405</v>
      </c>
      <c r="L1457" s="6">
        <v>7061673571</v>
      </c>
      <c r="N1457" s="16"/>
      <c r="O1457" s="7"/>
      <c r="P1457" s="17"/>
    </row>
    <row r="1458" spans="1:16" ht="14.25" customHeight="1">
      <c r="A1458" s="5" t="s">
        <v>0</v>
      </c>
      <c r="B1458" s="5" t="str">
        <f t="shared" si="10"/>
        <v>Y</v>
      </c>
      <c r="C1458" s="18" t="s">
        <v>4609</v>
      </c>
      <c r="D1458" s="18"/>
      <c r="E1458" s="126" t="s">
        <v>4610</v>
      </c>
      <c r="F1458" s="19" t="s">
        <v>4611</v>
      </c>
      <c r="G1458" s="19" t="s">
        <v>4612</v>
      </c>
      <c r="H1458" s="20">
        <v>44170</v>
      </c>
      <c r="K1458" s="38" t="s">
        <v>4613</v>
      </c>
      <c r="L1458" s="6">
        <v>9931115958</v>
      </c>
      <c r="N1458" s="16"/>
      <c r="O1458" s="7"/>
      <c r="P1458" s="17"/>
    </row>
    <row r="1459" spans="1:16" ht="14.25" customHeight="1">
      <c r="A1459" s="5" t="s">
        <v>0</v>
      </c>
      <c r="B1459" s="5" t="str">
        <f t="shared" si="10"/>
        <v>Y</v>
      </c>
      <c r="C1459" s="18" t="s">
        <v>4614</v>
      </c>
      <c r="D1459" s="18"/>
      <c r="E1459" s="126" t="s">
        <v>4615</v>
      </c>
      <c r="F1459" s="19" t="s">
        <v>4616</v>
      </c>
      <c r="G1459" s="19" t="s">
        <v>4612</v>
      </c>
      <c r="H1459" s="20">
        <v>44170</v>
      </c>
      <c r="L1459" s="6">
        <v>9334007810</v>
      </c>
      <c r="N1459" s="16"/>
      <c r="O1459" s="7"/>
      <c r="P1459" s="17"/>
    </row>
    <row r="1460" spans="1:16" ht="14.25" customHeight="1">
      <c r="A1460" s="5" t="s">
        <v>0</v>
      </c>
      <c r="B1460" s="5" t="str">
        <f t="shared" si="10"/>
        <v>Y</v>
      </c>
      <c r="C1460" s="18" t="s">
        <v>4617</v>
      </c>
      <c r="D1460" s="18"/>
      <c r="E1460" s="126" t="s">
        <v>4618</v>
      </c>
      <c r="F1460" s="19" t="s">
        <v>4619</v>
      </c>
      <c r="G1460" s="19" t="s">
        <v>4620</v>
      </c>
      <c r="H1460" s="20">
        <v>44172</v>
      </c>
      <c r="K1460" s="38" t="s">
        <v>4621</v>
      </c>
      <c r="L1460" s="6">
        <v>7979771584</v>
      </c>
      <c r="N1460" s="16"/>
      <c r="O1460" s="7"/>
      <c r="P1460" s="17"/>
    </row>
    <row r="1461" spans="1:16" ht="14.25" customHeight="1">
      <c r="A1461" s="5" t="s">
        <v>0</v>
      </c>
      <c r="B1461" s="5" t="str">
        <f t="shared" si="10"/>
        <v>Y</v>
      </c>
      <c r="C1461" s="18" t="s">
        <v>4622</v>
      </c>
      <c r="D1461" s="18"/>
      <c r="E1461" s="126" t="s">
        <v>4623</v>
      </c>
      <c r="F1461" s="19" t="s">
        <v>4624</v>
      </c>
      <c r="G1461" s="19" t="s">
        <v>4625</v>
      </c>
      <c r="H1461" s="19" t="s">
        <v>4625</v>
      </c>
      <c r="K1461" s="137" t="s">
        <v>4626</v>
      </c>
      <c r="L1461" s="6">
        <v>8797058889</v>
      </c>
      <c r="N1461" s="16"/>
      <c r="O1461" s="7"/>
      <c r="P1461" s="17"/>
    </row>
    <row r="1462" spans="1:16" ht="14.25" customHeight="1">
      <c r="A1462" s="5" t="s">
        <v>0</v>
      </c>
      <c r="B1462" s="5" t="str">
        <f t="shared" si="10"/>
        <v>Y</v>
      </c>
      <c r="C1462" s="80" t="s">
        <v>4627</v>
      </c>
      <c r="D1462" s="80"/>
      <c r="E1462" s="126" t="s">
        <v>4628</v>
      </c>
      <c r="F1462" s="19" t="s">
        <v>4629</v>
      </c>
      <c r="G1462" s="19" t="s">
        <v>4630</v>
      </c>
      <c r="H1462" s="20">
        <v>44175</v>
      </c>
      <c r="K1462" s="38" t="s">
        <v>4631</v>
      </c>
      <c r="L1462" s="6">
        <v>6201458575</v>
      </c>
      <c r="N1462" s="16"/>
      <c r="O1462" s="7"/>
      <c r="P1462" s="17"/>
    </row>
    <row r="1463" spans="1:16" ht="14.25" customHeight="1">
      <c r="A1463" s="5" t="s">
        <v>0</v>
      </c>
      <c r="B1463" s="5" t="str">
        <f t="shared" si="10"/>
        <v>Y</v>
      </c>
      <c r="C1463" s="18" t="s">
        <v>4632</v>
      </c>
      <c r="D1463" s="18"/>
      <c r="E1463" s="126" t="s">
        <v>4633</v>
      </c>
      <c r="F1463" s="19" t="s">
        <v>4634</v>
      </c>
      <c r="G1463" s="19" t="s">
        <v>4630</v>
      </c>
      <c r="H1463" s="20">
        <v>44175</v>
      </c>
      <c r="K1463" s="38" t="s">
        <v>4405</v>
      </c>
      <c r="L1463" s="6">
        <v>8603102217</v>
      </c>
      <c r="N1463" s="16"/>
      <c r="O1463" s="7"/>
      <c r="P1463" s="17"/>
    </row>
    <row r="1464" spans="1:16" ht="14.25" customHeight="1">
      <c r="A1464" s="5" t="s">
        <v>0</v>
      </c>
      <c r="B1464" s="5" t="str">
        <f t="shared" si="10"/>
        <v>Y</v>
      </c>
      <c r="C1464" s="18" t="s">
        <v>4635</v>
      </c>
      <c r="D1464" s="18"/>
      <c r="E1464" s="126" t="s">
        <v>4636</v>
      </c>
      <c r="F1464" s="19" t="s">
        <v>4637</v>
      </c>
      <c r="G1464" s="19" t="s">
        <v>4630</v>
      </c>
      <c r="H1464" s="20">
        <v>44175</v>
      </c>
      <c r="K1464" s="38" t="s">
        <v>4638</v>
      </c>
      <c r="L1464" s="6">
        <v>7632053401</v>
      </c>
      <c r="N1464" s="16"/>
      <c r="O1464" s="7"/>
      <c r="P1464" s="17"/>
    </row>
    <row r="1465" spans="1:16" ht="14.25" customHeight="1">
      <c r="A1465" s="5" t="s">
        <v>0</v>
      </c>
      <c r="B1465" s="5" t="str">
        <f t="shared" si="10"/>
        <v>Y</v>
      </c>
      <c r="C1465" s="18" t="s">
        <v>4639</v>
      </c>
      <c r="D1465" s="18"/>
      <c r="E1465" s="126" t="s">
        <v>4640</v>
      </c>
      <c r="F1465" s="19" t="s">
        <v>4641</v>
      </c>
      <c r="G1465" s="19" t="s">
        <v>4642</v>
      </c>
      <c r="H1465" s="19" t="s">
        <v>4642</v>
      </c>
      <c r="K1465" s="138" t="s">
        <v>4405</v>
      </c>
      <c r="L1465" s="6">
        <v>8888662368</v>
      </c>
      <c r="N1465" s="16"/>
      <c r="O1465" s="7"/>
      <c r="P1465" s="17"/>
    </row>
    <row r="1466" spans="1:16" ht="14.25" customHeight="1">
      <c r="A1466" s="5" t="s">
        <v>0</v>
      </c>
      <c r="B1466" s="5" t="str">
        <f t="shared" si="10"/>
        <v>Y</v>
      </c>
      <c r="C1466" s="18" t="s">
        <v>4643</v>
      </c>
      <c r="D1466" s="18"/>
      <c r="E1466" s="126" t="s">
        <v>4644</v>
      </c>
      <c r="F1466" s="19" t="s">
        <v>4645</v>
      </c>
      <c r="G1466" s="19" t="s">
        <v>4642</v>
      </c>
      <c r="H1466" s="19" t="s">
        <v>4642</v>
      </c>
      <c r="K1466" s="138" t="s">
        <v>4405</v>
      </c>
      <c r="L1466" s="6">
        <v>7038314863</v>
      </c>
      <c r="N1466" s="16"/>
      <c r="O1466" s="7"/>
      <c r="P1466" s="17"/>
    </row>
    <row r="1467" spans="1:16" ht="14.25" customHeight="1">
      <c r="A1467" s="5" t="s">
        <v>0</v>
      </c>
      <c r="B1467" s="5" t="str">
        <f t="shared" si="10"/>
        <v>Y</v>
      </c>
      <c r="C1467" s="18" t="s">
        <v>4646</v>
      </c>
      <c r="D1467" s="18"/>
      <c r="E1467" s="126" t="s">
        <v>4647</v>
      </c>
      <c r="F1467" s="19" t="s">
        <v>3792</v>
      </c>
      <c r="G1467" s="19" t="s">
        <v>4642</v>
      </c>
      <c r="H1467" s="19" t="s">
        <v>4642</v>
      </c>
      <c r="K1467" s="138" t="s">
        <v>4405</v>
      </c>
      <c r="L1467" s="6">
        <v>7542926115</v>
      </c>
      <c r="N1467" s="16"/>
      <c r="O1467" s="7"/>
      <c r="P1467" s="17"/>
    </row>
    <row r="1468" spans="1:16" ht="14.25" customHeight="1">
      <c r="A1468" s="5" t="s">
        <v>0</v>
      </c>
      <c r="B1468" s="5" t="str">
        <f t="shared" si="10"/>
        <v>Y</v>
      </c>
      <c r="C1468" s="18" t="s">
        <v>4648</v>
      </c>
      <c r="D1468" s="18"/>
      <c r="E1468" s="126" t="s">
        <v>4649</v>
      </c>
      <c r="F1468" s="19" t="s">
        <v>4650</v>
      </c>
      <c r="G1468" s="19" t="s">
        <v>4651</v>
      </c>
      <c r="H1468" s="19" t="s">
        <v>4652</v>
      </c>
      <c r="K1468" s="138" t="s">
        <v>4653</v>
      </c>
      <c r="L1468" s="6">
        <v>8210463626</v>
      </c>
      <c r="N1468" s="16"/>
      <c r="O1468" s="7"/>
      <c r="P1468" s="17"/>
    </row>
    <row r="1469" spans="1:16" ht="14.25" customHeight="1">
      <c r="A1469" s="5" t="s">
        <v>0</v>
      </c>
      <c r="B1469" s="5" t="str">
        <f t="shared" si="10"/>
        <v>Y</v>
      </c>
      <c r="C1469" s="18" t="s">
        <v>4654</v>
      </c>
      <c r="D1469" s="18"/>
      <c r="E1469" s="126" t="s">
        <v>4655</v>
      </c>
      <c r="F1469" s="19" t="s">
        <v>4656</v>
      </c>
      <c r="G1469" s="19" t="s">
        <v>4657</v>
      </c>
      <c r="H1469" s="19" t="s">
        <v>4652</v>
      </c>
      <c r="K1469" s="38" t="s">
        <v>4405</v>
      </c>
      <c r="L1469" s="6">
        <v>9234849548</v>
      </c>
      <c r="N1469" s="16"/>
      <c r="O1469" s="7"/>
      <c r="P1469" s="17"/>
    </row>
    <row r="1470" spans="1:16" ht="14.25" customHeight="1">
      <c r="A1470" s="5" t="s">
        <v>0</v>
      </c>
      <c r="B1470" s="5" t="str">
        <f t="shared" si="10"/>
        <v>Y</v>
      </c>
      <c r="C1470" s="141" t="s">
        <v>4658</v>
      </c>
      <c r="D1470" s="141"/>
      <c r="E1470" s="126" t="s">
        <v>4659</v>
      </c>
      <c r="F1470" s="19" t="s">
        <v>4660</v>
      </c>
      <c r="G1470" s="19" t="s">
        <v>4657</v>
      </c>
      <c r="H1470" s="19" t="s">
        <v>4657</v>
      </c>
      <c r="K1470" s="38" t="s">
        <v>4405</v>
      </c>
      <c r="L1470" s="6">
        <v>7004512957</v>
      </c>
      <c r="N1470" s="16"/>
      <c r="O1470" s="7"/>
      <c r="P1470" s="17"/>
    </row>
    <row r="1471" spans="1:16" ht="14.25" customHeight="1">
      <c r="A1471" s="5" t="s">
        <v>0</v>
      </c>
      <c r="B1471" s="5" t="str">
        <f t="shared" si="10"/>
        <v>Y</v>
      </c>
      <c r="C1471" s="18" t="s">
        <v>4661</v>
      </c>
      <c r="D1471" s="18"/>
      <c r="E1471" s="126" t="s">
        <v>4662</v>
      </c>
      <c r="F1471" s="19" t="s">
        <v>4663</v>
      </c>
      <c r="G1471" s="19" t="s">
        <v>4652</v>
      </c>
      <c r="H1471" s="19" t="s">
        <v>4652</v>
      </c>
      <c r="K1471" s="38" t="s">
        <v>4664</v>
      </c>
      <c r="L1471" s="6">
        <v>8755921013</v>
      </c>
      <c r="N1471" s="16"/>
      <c r="O1471" s="7"/>
      <c r="P1471" s="17"/>
    </row>
    <row r="1472" spans="1:16" ht="14.25" customHeight="1">
      <c r="A1472" s="5" t="s">
        <v>0</v>
      </c>
      <c r="B1472" s="5" t="str">
        <f t="shared" si="10"/>
        <v>Y</v>
      </c>
      <c r="C1472" s="80" t="s">
        <v>4665</v>
      </c>
      <c r="D1472" s="80"/>
      <c r="E1472" s="126" t="s">
        <v>4666</v>
      </c>
      <c r="F1472" s="19" t="s">
        <v>4667</v>
      </c>
      <c r="G1472" s="19" t="s">
        <v>4652</v>
      </c>
      <c r="H1472" s="19" t="s">
        <v>4652</v>
      </c>
      <c r="L1472" s="6">
        <v>9234681883</v>
      </c>
      <c r="N1472" s="16"/>
      <c r="O1472" s="7"/>
      <c r="P1472" s="17"/>
    </row>
    <row r="1473" spans="1:16" ht="14.25" customHeight="1">
      <c r="A1473" s="5" t="s">
        <v>0</v>
      </c>
      <c r="B1473" s="5" t="str">
        <f t="shared" si="10"/>
        <v>Y</v>
      </c>
      <c r="C1473" s="18" t="s">
        <v>4668</v>
      </c>
      <c r="D1473" s="18"/>
      <c r="E1473" s="126" t="s">
        <v>4669</v>
      </c>
      <c r="F1473" s="19" t="s">
        <v>4670</v>
      </c>
      <c r="G1473" s="19" t="s">
        <v>4671</v>
      </c>
      <c r="H1473" s="20">
        <v>44182</v>
      </c>
      <c r="K1473" s="137" t="s">
        <v>4672</v>
      </c>
      <c r="L1473" s="6">
        <v>8789081302</v>
      </c>
      <c r="N1473" s="16"/>
      <c r="O1473" s="7"/>
      <c r="P1473" s="17"/>
    </row>
    <row r="1474" spans="1:16" ht="14.25" customHeight="1">
      <c r="A1474" s="5" t="s">
        <v>0</v>
      </c>
      <c r="B1474" s="5" t="str">
        <f t="shared" si="10"/>
        <v>Y</v>
      </c>
      <c r="C1474" s="18" t="s">
        <v>4673</v>
      </c>
      <c r="D1474" s="18"/>
      <c r="E1474" s="126" t="s">
        <v>4674</v>
      </c>
      <c r="F1474" s="19" t="s">
        <v>4675</v>
      </c>
      <c r="G1474" s="19" t="s">
        <v>4676</v>
      </c>
      <c r="H1474" s="19" t="s">
        <v>4676</v>
      </c>
      <c r="J1474" s="19" t="s">
        <v>4677</v>
      </c>
      <c r="K1474" s="38" t="s">
        <v>4405</v>
      </c>
      <c r="L1474" s="6">
        <v>9110089485</v>
      </c>
      <c r="N1474" s="16"/>
      <c r="O1474" s="7"/>
      <c r="P1474" s="17"/>
    </row>
    <row r="1475" spans="1:16" ht="14.25" customHeight="1">
      <c r="A1475" s="5" t="s">
        <v>0</v>
      </c>
      <c r="B1475" s="5" t="str">
        <f t="shared" si="10"/>
        <v>Y</v>
      </c>
      <c r="C1475" s="18" t="s">
        <v>4678</v>
      </c>
      <c r="D1475" s="18"/>
      <c r="E1475" s="126" t="s">
        <v>4679</v>
      </c>
      <c r="F1475" s="19" t="s">
        <v>4680</v>
      </c>
      <c r="G1475" s="19" t="s">
        <v>4676</v>
      </c>
      <c r="H1475" s="19" t="s">
        <v>4676</v>
      </c>
      <c r="J1475" s="19" t="s">
        <v>4677</v>
      </c>
      <c r="K1475" s="38" t="s">
        <v>4405</v>
      </c>
      <c r="L1475" s="6">
        <v>7488205027</v>
      </c>
      <c r="N1475" s="16"/>
      <c r="O1475" s="7"/>
      <c r="P1475" s="17"/>
    </row>
    <row r="1476" spans="1:16" ht="14.25" customHeight="1">
      <c r="A1476" s="5" t="s">
        <v>0</v>
      </c>
      <c r="B1476" s="5" t="str">
        <f t="shared" si="10"/>
        <v>Y</v>
      </c>
      <c r="C1476" s="18" t="s">
        <v>4681</v>
      </c>
      <c r="D1476" s="18"/>
      <c r="E1476" s="126" t="s">
        <v>4682</v>
      </c>
      <c r="F1476" s="19" t="s">
        <v>4683</v>
      </c>
      <c r="G1476" s="19" t="s">
        <v>4676</v>
      </c>
      <c r="H1476" s="19" t="s">
        <v>4676</v>
      </c>
      <c r="K1476" s="38" t="s">
        <v>4405</v>
      </c>
      <c r="L1476" s="6">
        <v>9279058485</v>
      </c>
      <c r="N1476" s="16"/>
      <c r="O1476" s="7"/>
      <c r="P1476" s="17"/>
    </row>
    <row r="1477" spans="1:16" ht="14.25" customHeight="1">
      <c r="A1477" s="5" t="s">
        <v>0</v>
      </c>
      <c r="B1477" s="5" t="str">
        <f t="shared" si="10"/>
        <v>Y</v>
      </c>
      <c r="C1477" s="18" t="s">
        <v>4684</v>
      </c>
      <c r="D1477" s="18"/>
      <c r="E1477" s="126" t="s">
        <v>4685</v>
      </c>
      <c r="F1477" s="19" t="s">
        <v>4686</v>
      </c>
      <c r="G1477" s="19" t="s">
        <v>4687</v>
      </c>
      <c r="H1477" s="19" t="s">
        <v>4688</v>
      </c>
      <c r="L1477" s="6">
        <v>6202144394</v>
      </c>
      <c r="N1477" s="16"/>
      <c r="O1477" s="7"/>
      <c r="P1477" s="17"/>
    </row>
    <row r="1478" spans="1:16" ht="14.25" customHeight="1">
      <c r="A1478" s="5" t="s">
        <v>0</v>
      </c>
      <c r="B1478" s="5" t="str">
        <f t="shared" si="10"/>
        <v>Y</v>
      </c>
      <c r="C1478" s="18" t="s">
        <v>4689</v>
      </c>
      <c r="D1478" s="18"/>
      <c r="E1478" s="126" t="s">
        <v>4690</v>
      </c>
      <c r="F1478" s="19" t="s">
        <v>4691</v>
      </c>
      <c r="G1478" s="19" t="s">
        <v>4692</v>
      </c>
      <c r="H1478" s="20">
        <v>44191</v>
      </c>
      <c r="K1478" s="38" t="s">
        <v>4693</v>
      </c>
      <c r="L1478" s="6">
        <v>7209249819</v>
      </c>
      <c r="N1478" s="16"/>
      <c r="O1478" s="7"/>
      <c r="P1478" s="17"/>
    </row>
    <row r="1479" spans="1:16" ht="14.25" customHeight="1">
      <c r="A1479" s="5" t="s">
        <v>0</v>
      </c>
      <c r="B1479" s="5" t="str">
        <f t="shared" si="10"/>
        <v>Y</v>
      </c>
      <c r="C1479" s="18" t="s">
        <v>4694</v>
      </c>
      <c r="D1479" s="18"/>
      <c r="E1479" s="126" t="s">
        <v>4695</v>
      </c>
      <c r="F1479" s="19" t="s">
        <v>4696</v>
      </c>
      <c r="G1479" s="19" t="s">
        <v>4697</v>
      </c>
      <c r="H1479" s="20">
        <v>44191</v>
      </c>
      <c r="J1479" s="6" t="s">
        <v>4677</v>
      </c>
      <c r="K1479" s="6" t="s">
        <v>4698</v>
      </c>
      <c r="L1479" s="6">
        <v>9523935388</v>
      </c>
      <c r="N1479" s="16"/>
      <c r="O1479" s="7"/>
      <c r="P1479" s="17"/>
    </row>
    <row r="1480" spans="1:16" ht="14.25" customHeight="1">
      <c r="A1480" s="5" t="s">
        <v>0</v>
      </c>
      <c r="B1480" s="5" t="str">
        <f t="shared" si="10"/>
        <v>Y</v>
      </c>
      <c r="C1480" s="18" t="s">
        <v>4699</v>
      </c>
      <c r="D1480" s="18"/>
      <c r="E1480" s="126" t="s">
        <v>4700</v>
      </c>
      <c r="F1480" s="19" t="s">
        <v>4701</v>
      </c>
      <c r="G1480" s="19" t="s">
        <v>4697</v>
      </c>
      <c r="H1480" s="20">
        <v>44192</v>
      </c>
      <c r="K1480" s="137" t="s">
        <v>4702</v>
      </c>
      <c r="L1480" s="6">
        <v>8210301844</v>
      </c>
      <c r="N1480" s="16"/>
      <c r="O1480" s="7"/>
      <c r="P1480" s="17"/>
    </row>
    <row r="1481" spans="1:16" ht="14.25" customHeight="1">
      <c r="A1481" s="5" t="s">
        <v>0</v>
      </c>
      <c r="B1481" s="5" t="str">
        <f t="shared" si="10"/>
        <v>Y</v>
      </c>
      <c r="C1481" s="141" t="s">
        <v>4703</v>
      </c>
      <c r="D1481" s="141"/>
      <c r="E1481" s="126" t="s">
        <v>4704</v>
      </c>
      <c r="F1481" s="19" t="s">
        <v>4705</v>
      </c>
      <c r="G1481" s="19" t="s">
        <v>4706</v>
      </c>
      <c r="H1481" s="20">
        <v>44192</v>
      </c>
      <c r="K1481" s="137" t="s">
        <v>4707</v>
      </c>
      <c r="L1481" s="6">
        <v>7667721237</v>
      </c>
      <c r="N1481" s="16"/>
      <c r="O1481" s="7"/>
      <c r="P1481" s="17"/>
    </row>
    <row r="1482" spans="1:16" ht="14.25" customHeight="1">
      <c r="A1482" s="5" t="s">
        <v>0</v>
      </c>
      <c r="B1482" s="5" t="str">
        <f t="shared" si="10"/>
        <v>Y</v>
      </c>
      <c r="C1482" s="18" t="s">
        <v>4708</v>
      </c>
      <c r="D1482" s="18"/>
      <c r="E1482" s="126" t="s">
        <v>4709</v>
      </c>
      <c r="F1482" s="19" t="s">
        <v>4710</v>
      </c>
      <c r="G1482" s="19" t="s">
        <v>4711</v>
      </c>
      <c r="H1482" s="20">
        <v>44193</v>
      </c>
      <c r="K1482" s="38" t="s">
        <v>4712</v>
      </c>
      <c r="L1482" s="6">
        <v>7652081910</v>
      </c>
      <c r="N1482" s="16"/>
      <c r="O1482" s="7"/>
      <c r="P1482" s="17"/>
    </row>
    <row r="1483" spans="1:16" ht="14.25" customHeight="1">
      <c r="A1483" s="5" t="s">
        <v>0</v>
      </c>
      <c r="B1483" s="5" t="str">
        <f t="shared" si="10"/>
        <v>Y</v>
      </c>
      <c r="C1483" s="18" t="s">
        <v>4713</v>
      </c>
      <c r="D1483" s="18"/>
      <c r="E1483" s="126" t="s">
        <v>4714</v>
      </c>
      <c r="F1483" s="19" t="s">
        <v>4715</v>
      </c>
      <c r="G1483" s="19" t="s">
        <v>4711</v>
      </c>
      <c r="H1483" s="20">
        <v>44194</v>
      </c>
      <c r="K1483" s="38" t="s">
        <v>4712</v>
      </c>
      <c r="L1483" s="6">
        <v>7652081910</v>
      </c>
      <c r="N1483" s="16"/>
      <c r="O1483" s="7"/>
      <c r="P1483" s="17"/>
    </row>
    <row r="1484" spans="1:16" ht="14.25" customHeight="1">
      <c r="A1484" s="5" t="s">
        <v>0</v>
      </c>
      <c r="B1484" s="5" t="str">
        <f t="shared" si="10"/>
        <v>Y</v>
      </c>
      <c r="C1484" s="18" t="s">
        <v>4716</v>
      </c>
      <c r="D1484" s="18"/>
      <c r="E1484" s="126" t="s">
        <v>4717</v>
      </c>
      <c r="F1484" s="19" t="s">
        <v>4718</v>
      </c>
      <c r="G1484" s="19" t="s">
        <v>4719</v>
      </c>
      <c r="H1484" s="20">
        <v>44195</v>
      </c>
      <c r="L1484" s="6">
        <v>9113370772</v>
      </c>
      <c r="N1484" s="16"/>
      <c r="O1484" s="7"/>
      <c r="P1484" s="17"/>
    </row>
    <row r="1485" spans="1:16" ht="14.25" customHeight="1">
      <c r="A1485" s="5" t="s">
        <v>0</v>
      </c>
      <c r="B1485" s="5" t="str">
        <f t="shared" si="10"/>
        <v>Y</v>
      </c>
      <c r="C1485" s="18" t="s">
        <v>4720</v>
      </c>
      <c r="D1485" s="18"/>
      <c r="E1485" s="126" t="s">
        <v>4721</v>
      </c>
      <c r="F1485" s="19" t="s">
        <v>4722</v>
      </c>
      <c r="G1485" s="19" t="s">
        <v>4719</v>
      </c>
      <c r="H1485" s="20">
        <v>44195</v>
      </c>
      <c r="L1485" s="6">
        <v>9065979878</v>
      </c>
      <c r="N1485" s="16"/>
      <c r="O1485" s="7"/>
      <c r="P1485" s="17"/>
    </row>
    <row r="1486" spans="1:16" ht="14.25" customHeight="1">
      <c r="A1486" s="5" t="s">
        <v>0</v>
      </c>
      <c r="B1486" s="5" t="str">
        <f t="shared" si="10"/>
        <v>Y</v>
      </c>
      <c r="C1486" s="18" t="s">
        <v>4723</v>
      </c>
      <c r="D1486" s="18"/>
      <c r="E1486" s="126" t="s">
        <v>4724</v>
      </c>
      <c r="F1486" s="19" t="s">
        <v>4725</v>
      </c>
      <c r="G1486" s="20">
        <v>44195</v>
      </c>
      <c r="H1486" s="20">
        <v>44195</v>
      </c>
      <c r="L1486" s="6">
        <v>9852992509</v>
      </c>
      <c r="N1486" s="16"/>
      <c r="O1486" s="7"/>
      <c r="P1486" s="17"/>
    </row>
    <row r="1487" spans="1:16" ht="14.25" customHeight="1">
      <c r="A1487" s="5" t="s">
        <v>0</v>
      </c>
      <c r="B1487" s="5" t="str">
        <f t="shared" si="10"/>
        <v>N</v>
      </c>
      <c r="C1487" s="80" t="s">
        <v>4726</v>
      </c>
      <c r="D1487" s="80"/>
      <c r="E1487" s="126" t="s">
        <v>4727</v>
      </c>
      <c r="F1487" s="19" t="s">
        <v>4728</v>
      </c>
      <c r="G1487" s="19" t="s">
        <v>4729</v>
      </c>
      <c r="H1487" s="5"/>
      <c r="L1487" s="6">
        <v>9886929427</v>
      </c>
      <c r="N1487" s="16"/>
      <c r="O1487" s="7"/>
      <c r="P1487" s="17"/>
    </row>
    <row r="1488" spans="1:16" ht="14.25" customHeight="1">
      <c r="A1488" s="5" t="s">
        <v>0</v>
      </c>
      <c r="B1488" s="5" t="str">
        <f t="shared" si="10"/>
        <v>Y</v>
      </c>
      <c r="C1488" s="18" t="s">
        <v>4730</v>
      </c>
      <c r="D1488" s="18"/>
      <c r="E1488" s="126" t="s">
        <v>4731</v>
      </c>
      <c r="F1488" s="19" t="s">
        <v>4732</v>
      </c>
      <c r="G1488" s="19" t="s">
        <v>4733</v>
      </c>
      <c r="H1488" s="20">
        <v>44199</v>
      </c>
      <c r="K1488" s="137" t="s">
        <v>4734</v>
      </c>
      <c r="L1488" s="6">
        <v>9031765880</v>
      </c>
      <c r="N1488" s="16"/>
      <c r="O1488" s="7"/>
      <c r="P1488" s="17"/>
    </row>
    <row r="1489" spans="1:16" ht="14.25" customHeight="1">
      <c r="A1489" s="5" t="s">
        <v>0</v>
      </c>
      <c r="B1489" s="5" t="str">
        <f t="shared" si="10"/>
        <v>Y</v>
      </c>
      <c r="C1489" s="18" t="s">
        <v>4735</v>
      </c>
      <c r="D1489" s="18"/>
      <c r="E1489" s="126" t="s">
        <v>4736</v>
      </c>
      <c r="F1489" s="19" t="s">
        <v>4737</v>
      </c>
      <c r="G1489" s="19" t="s">
        <v>4733</v>
      </c>
      <c r="H1489" s="20">
        <v>44200</v>
      </c>
      <c r="K1489" s="6" t="s">
        <v>4698</v>
      </c>
      <c r="L1489" s="6">
        <v>9523306208</v>
      </c>
      <c r="N1489" s="16"/>
      <c r="O1489" s="7"/>
      <c r="P1489" s="17"/>
    </row>
    <row r="1490" spans="1:16" ht="14.25" customHeight="1">
      <c r="A1490" s="5" t="s">
        <v>0</v>
      </c>
      <c r="B1490" s="5" t="str">
        <f t="shared" si="10"/>
        <v>Y</v>
      </c>
      <c r="C1490" s="18" t="s">
        <v>4738</v>
      </c>
      <c r="D1490" s="18"/>
      <c r="E1490" s="18" t="s">
        <v>4739</v>
      </c>
      <c r="F1490" s="19" t="s">
        <v>4740</v>
      </c>
      <c r="G1490" s="19" t="s">
        <v>4741</v>
      </c>
      <c r="H1490" s="20">
        <v>44200</v>
      </c>
      <c r="K1490" s="137" t="s">
        <v>4742</v>
      </c>
      <c r="L1490" s="6">
        <v>8936801670</v>
      </c>
      <c r="N1490" s="16"/>
      <c r="O1490" s="7"/>
      <c r="P1490" s="17"/>
    </row>
    <row r="1491" spans="1:16" ht="14.25" customHeight="1">
      <c r="A1491" s="5" t="s">
        <v>0</v>
      </c>
      <c r="B1491" s="5" t="str">
        <f t="shared" si="10"/>
        <v>Y</v>
      </c>
      <c r="C1491" s="18" t="s">
        <v>4743</v>
      </c>
      <c r="D1491" s="18"/>
      <c r="E1491" s="126" t="s">
        <v>4744</v>
      </c>
      <c r="F1491" s="19" t="s">
        <v>4745</v>
      </c>
      <c r="G1491" s="19" t="s">
        <v>4741</v>
      </c>
      <c r="H1491" s="20">
        <v>44200</v>
      </c>
      <c r="K1491" s="137" t="s">
        <v>4746</v>
      </c>
      <c r="L1491" s="6">
        <v>6294058716</v>
      </c>
      <c r="N1491" s="16"/>
      <c r="O1491" s="7"/>
      <c r="P1491" s="17"/>
    </row>
    <row r="1492" spans="1:16" ht="14.25" customHeight="1">
      <c r="A1492" s="5" t="s">
        <v>0</v>
      </c>
      <c r="B1492" s="5" t="str">
        <f t="shared" si="10"/>
        <v>Y</v>
      </c>
      <c r="C1492" s="18" t="s">
        <v>4747</v>
      </c>
      <c r="D1492" s="18"/>
      <c r="E1492" s="126" t="s">
        <v>4748</v>
      </c>
      <c r="F1492" s="19" t="s">
        <v>4749</v>
      </c>
      <c r="G1492" s="19" t="s">
        <v>4750</v>
      </c>
      <c r="H1492" s="20">
        <v>44204</v>
      </c>
      <c r="K1492" s="137" t="s">
        <v>4751</v>
      </c>
      <c r="L1492" s="6">
        <v>9608926494</v>
      </c>
      <c r="N1492" s="16"/>
      <c r="O1492" s="7"/>
      <c r="P1492" s="17"/>
    </row>
    <row r="1493" spans="1:16" ht="14.25" customHeight="1">
      <c r="A1493" s="5" t="s">
        <v>0</v>
      </c>
      <c r="B1493" s="5" t="str">
        <f t="shared" si="10"/>
        <v>Y</v>
      </c>
      <c r="C1493" s="18" t="s">
        <v>4752</v>
      </c>
      <c r="D1493" s="18"/>
      <c r="E1493" s="126" t="s">
        <v>4753</v>
      </c>
      <c r="F1493" s="19" t="s">
        <v>4754</v>
      </c>
      <c r="G1493" s="19" t="s">
        <v>4750</v>
      </c>
      <c r="H1493" s="20">
        <v>44204</v>
      </c>
      <c r="K1493" s="137" t="s">
        <v>4755</v>
      </c>
      <c r="L1493" s="6">
        <v>7004910160</v>
      </c>
      <c r="N1493" s="16"/>
      <c r="O1493" s="7"/>
      <c r="P1493" s="17"/>
    </row>
    <row r="1494" spans="1:16" ht="14.25" customHeight="1">
      <c r="A1494" s="5" t="s">
        <v>0</v>
      </c>
      <c r="B1494" s="5" t="str">
        <f t="shared" si="10"/>
        <v>Y</v>
      </c>
      <c r="C1494" s="18" t="s">
        <v>4756</v>
      </c>
      <c r="D1494" s="18"/>
      <c r="E1494" s="126" t="s">
        <v>4757</v>
      </c>
      <c r="F1494" s="19" t="s">
        <v>4758</v>
      </c>
      <c r="G1494" s="19" t="s">
        <v>4759</v>
      </c>
      <c r="H1494" s="20">
        <v>44204</v>
      </c>
      <c r="K1494" s="6" t="s">
        <v>4698</v>
      </c>
      <c r="L1494" s="6">
        <v>9661506154</v>
      </c>
      <c r="N1494" s="16"/>
      <c r="O1494" s="7"/>
      <c r="P1494" s="17"/>
    </row>
    <row r="1495" spans="1:16" ht="14.25" customHeight="1">
      <c r="A1495" s="5" t="s">
        <v>0</v>
      </c>
      <c r="B1495" s="5" t="str">
        <f t="shared" si="10"/>
        <v>Y</v>
      </c>
      <c r="C1495" s="18" t="s">
        <v>4760</v>
      </c>
      <c r="D1495" s="18"/>
      <c r="E1495" s="126" t="s">
        <v>4761</v>
      </c>
      <c r="F1495" s="19" t="s">
        <v>4762</v>
      </c>
      <c r="G1495" s="19" t="s">
        <v>4763</v>
      </c>
      <c r="H1495" s="20">
        <v>44206</v>
      </c>
      <c r="K1495" s="6" t="s">
        <v>4698</v>
      </c>
      <c r="L1495" s="6">
        <v>7488427353</v>
      </c>
      <c r="N1495" s="16"/>
      <c r="O1495" s="7"/>
      <c r="P1495" s="17"/>
    </row>
    <row r="1496" spans="1:16" ht="14.25" customHeight="1">
      <c r="A1496" s="5" t="s">
        <v>0</v>
      </c>
      <c r="B1496" s="5" t="str">
        <f t="shared" si="10"/>
        <v>Y</v>
      </c>
      <c r="C1496" s="18" t="s">
        <v>4764</v>
      </c>
      <c r="D1496" s="18"/>
      <c r="E1496" s="126" t="s">
        <v>4765</v>
      </c>
      <c r="F1496" s="19" t="s">
        <v>4766</v>
      </c>
      <c r="G1496" s="19" t="s">
        <v>4763</v>
      </c>
      <c r="H1496" s="20">
        <v>44206</v>
      </c>
      <c r="K1496" s="137" t="s">
        <v>4767</v>
      </c>
      <c r="L1496" s="6">
        <v>9102339868</v>
      </c>
      <c r="N1496" s="16"/>
      <c r="O1496" s="7"/>
      <c r="P1496" s="17"/>
    </row>
    <row r="1497" spans="1:16" ht="14.25" customHeight="1">
      <c r="A1497" s="5" t="s">
        <v>0</v>
      </c>
      <c r="B1497" s="5" t="str">
        <f t="shared" si="10"/>
        <v>Y</v>
      </c>
      <c r="C1497" s="18" t="s">
        <v>4768</v>
      </c>
      <c r="D1497" s="18"/>
      <c r="E1497" s="126" t="s">
        <v>4769</v>
      </c>
      <c r="F1497" s="19" t="s">
        <v>2450</v>
      </c>
      <c r="G1497" s="19" t="s">
        <v>4770</v>
      </c>
      <c r="H1497" s="20">
        <v>44209</v>
      </c>
      <c r="K1497" s="137" t="s">
        <v>4569</v>
      </c>
      <c r="L1497" s="6">
        <v>9031167257</v>
      </c>
      <c r="N1497" s="16"/>
      <c r="O1497" s="7"/>
      <c r="P1497" s="17"/>
    </row>
    <row r="1498" spans="1:16" ht="14.25" customHeight="1">
      <c r="A1498" s="5" t="s">
        <v>0</v>
      </c>
      <c r="B1498" s="5" t="str">
        <f t="shared" si="10"/>
        <v>Y</v>
      </c>
      <c r="C1498" s="18" t="s">
        <v>4771</v>
      </c>
      <c r="D1498" s="18"/>
      <c r="E1498" s="126" t="s">
        <v>4772</v>
      </c>
      <c r="F1498" s="19" t="s">
        <v>4773</v>
      </c>
      <c r="G1498" s="19" t="s">
        <v>4774</v>
      </c>
      <c r="H1498" s="20">
        <v>44210</v>
      </c>
      <c r="L1498" s="6">
        <v>7975894976</v>
      </c>
      <c r="N1498" s="16"/>
      <c r="O1498" s="7"/>
      <c r="P1498" s="17"/>
    </row>
    <row r="1499" spans="1:16" ht="14.25" customHeight="1">
      <c r="A1499" s="5" t="s">
        <v>0</v>
      </c>
      <c r="B1499" s="5" t="str">
        <f t="shared" si="10"/>
        <v>Y</v>
      </c>
      <c r="C1499" s="18" t="s">
        <v>4775</v>
      </c>
      <c r="D1499" s="18"/>
      <c r="E1499" s="126" t="s">
        <v>4776</v>
      </c>
      <c r="F1499" s="19" t="s">
        <v>4777</v>
      </c>
      <c r="G1499" s="19" t="s">
        <v>4778</v>
      </c>
      <c r="H1499" s="19" t="s">
        <v>4778</v>
      </c>
      <c r="K1499" s="19" t="s">
        <v>4698</v>
      </c>
      <c r="L1499" s="6">
        <v>7461820338</v>
      </c>
      <c r="N1499" s="16"/>
      <c r="O1499" s="7"/>
      <c r="P1499" s="17"/>
    </row>
    <row r="1500" spans="1:16" ht="14.25" customHeight="1">
      <c r="A1500" s="5" t="s">
        <v>0</v>
      </c>
      <c r="B1500" s="5" t="str">
        <f t="shared" si="10"/>
        <v>Y</v>
      </c>
      <c r="C1500" s="18" t="s">
        <v>4779</v>
      </c>
      <c r="D1500" s="18"/>
      <c r="E1500" s="126" t="s">
        <v>4780</v>
      </c>
      <c r="F1500" s="19" t="s">
        <v>4781</v>
      </c>
      <c r="G1500" s="19" t="s">
        <v>4778</v>
      </c>
      <c r="H1500" s="19" t="s">
        <v>4778</v>
      </c>
      <c r="L1500" s="6">
        <v>9334583994</v>
      </c>
      <c r="N1500" s="16"/>
      <c r="O1500" s="7"/>
      <c r="P1500" s="17"/>
    </row>
    <row r="1501" spans="1:16" ht="14.25" customHeight="1">
      <c r="A1501" s="5" t="s">
        <v>0</v>
      </c>
      <c r="B1501" s="5" t="str">
        <f t="shared" si="10"/>
        <v>Y</v>
      </c>
      <c r="C1501" s="18" t="s">
        <v>4782</v>
      </c>
      <c r="D1501" s="18"/>
      <c r="E1501" s="126" t="s">
        <v>4783</v>
      </c>
      <c r="F1501" s="19" t="s">
        <v>4784</v>
      </c>
      <c r="G1501" s="19" t="s">
        <v>4778</v>
      </c>
      <c r="H1501" s="19" t="s">
        <v>4778</v>
      </c>
      <c r="L1501" s="6">
        <v>7485825529</v>
      </c>
      <c r="N1501" s="16"/>
      <c r="O1501" s="7"/>
      <c r="P1501" s="17"/>
    </row>
    <row r="1502" spans="1:16" ht="14.25" customHeight="1">
      <c r="A1502" s="5" t="s">
        <v>0</v>
      </c>
      <c r="B1502" s="5" t="str">
        <f t="shared" si="10"/>
        <v>Y</v>
      </c>
      <c r="C1502" s="18" t="s">
        <v>4785</v>
      </c>
      <c r="D1502" s="18"/>
      <c r="E1502" s="126" t="s">
        <v>4786</v>
      </c>
      <c r="F1502" s="19" t="s">
        <v>4787</v>
      </c>
      <c r="G1502" s="19" t="s">
        <v>4788</v>
      </c>
      <c r="H1502" s="20">
        <v>44213</v>
      </c>
      <c r="L1502" s="6">
        <v>9939240260</v>
      </c>
      <c r="N1502" s="16"/>
      <c r="O1502" s="7"/>
      <c r="P1502" s="17"/>
    </row>
    <row r="1503" spans="1:16" ht="14.25" customHeight="1">
      <c r="A1503" s="5" t="s">
        <v>0</v>
      </c>
      <c r="B1503" s="5" t="str">
        <f t="shared" si="10"/>
        <v>Y</v>
      </c>
      <c r="C1503" s="18" t="s">
        <v>4789</v>
      </c>
      <c r="D1503" s="18"/>
      <c r="E1503" s="6" t="s">
        <v>3784</v>
      </c>
      <c r="F1503" s="19" t="s">
        <v>4264</v>
      </c>
      <c r="G1503" s="19" t="s">
        <v>4790</v>
      </c>
      <c r="H1503" s="20">
        <v>44215</v>
      </c>
      <c r="L1503" s="6">
        <v>8092286813</v>
      </c>
      <c r="N1503" s="16"/>
      <c r="O1503" s="7"/>
      <c r="P1503" s="17"/>
    </row>
    <row r="1504" spans="1:16" ht="14.25" customHeight="1">
      <c r="A1504" s="5" t="s">
        <v>0</v>
      </c>
      <c r="B1504" s="5" t="str">
        <f t="shared" si="10"/>
        <v>Y</v>
      </c>
      <c r="C1504" s="18" t="s">
        <v>4791</v>
      </c>
      <c r="D1504" s="18"/>
      <c r="E1504" s="6" t="s">
        <v>4792</v>
      </c>
      <c r="F1504" s="19" t="s">
        <v>4793</v>
      </c>
      <c r="G1504" s="19" t="s">
        <v>4790</v>
      </c>
      <c r="H1504" s="20">
        <v>44215</v>
      </c>
      <c r="L1504" s="6">
        <v>9934797938</v>
      </c>
      <c r="N1504" s="16"/>
      <c r="O1504" s="7"/>
      <c r="P1504" s="17"/>
    </row>
    <row r="1505" spans="1:16" ht="14.25" customHeight="1">
      <c r="A1505" s="5" t="s">
        <v>0</v>
      </c>
      <c r="B1505" s="5" t="str">
        <f t="shared" si="10"/>
        <v>Y</v>
      </c>
      <c r="C1505" s="18" t="s">
        <v>4794</v>
      </c>
      <c r="D1505" s="18"/>
      <c r="E1505" s="6" t="s">
        <v>4795</v>
      </c>
      <c r="F1505" s="19" t="s">
        <v>4796</v>
      </c>
      <c r="G1505" s="19" t="s">
        <v>4790</v>
      </c>
      <c r="H1505" s="20">
        <v>44215</v>
      </c>
      <c r="L1505" s="6">
        <v>9771297884</v>
      </c>
      <c r="N1505" s="16"/>
      <c r="O1505" s="7"/>
      <c r="P1505" s="17"/>
    </row>
    <row r="1506" spans="1:16" ht="14.25" customHeight="1">
      <c r="A1506" s="5" t="s">
        <v>0</v>
      </c>
      <c r="B1506" s="5" t="str">
        <f t="shared" si="10"/>
        <v>Y</v>
      </c>
      <c r="C1506" s="18" t="s">
        <v>4797</v>
      </c>
      <c r="D1506" s="18"/>
      <c r="E1506" s="6" t="s">
        <v>4798</v>
      </c>
      <c r="F1506" s="19" t="s">
        <v>4799</v>
      </c>
      <c r="G1506" s="19" t="s">
        <v>4790</v>
      </c>
      <c r="H1506" s="20">
        <v>44215</v>
      </c>
      <c r="L1506" s="6">
        <v>7295815713</v>
      </c>
      <c r="N1506" s="16"/>
      <c r="O1506" s="7"/>
      <c r="P1506" s="17"/>
    </row>
    <row r="1507" spans="1:16" ht="14.25" customHeight="1">
      <c r="A1507" s="5" t="s">
        <v>0</v>
      </c>
      <c r="B1507" s="5" t="str">
        <f t="shared" si="10"/>
        <v>Y</v>
      </c>
      <c r="C1507" s="18" t="s">
        <v>4800</v>
      </c>
      <c r="D1507" s="18"/>
      <c r="E1507" s="6" t="s">
        <v>4801</v>
      </c>
      <c r="F1507" s="19" t="s">
        <v>4802</v>
      </c>
      <c r="G1507" s="19" t="s">
        <v>4803</v>
      </c>
      <c r="H1507" s="20">
        <v>44217</v>
      </c>
      <c r="K1507" s="137" t="s">
        <v>4804</v>
      </c>
      <c r="L1507" s="6">
        <v>8102504378</v>
      </c>
      <c r="N1507" s="16"/>
      <c r="O1507" s="7"/>
      <c r="P1507" s="17"/>
    </row>
    <row r="1508" spans="1:16" ht="14.25" customHeight="1">
      <c r="A1508" s="5" t="s">
        <v>0</v>
      </c>
      <c r="B1508" s="5" t="str">
        <f t="shared" si="10"/>
        <v>Y</v>
      </c>
      <c r="C1508" s="18" t="s">
        <v>4805</v>
      </c>
      <c r="D1508" s="18"/>
      <c r="E1508" s="6" t="s">
        <v>4806</v>
      </c>
      <c r="F1508" s="19" t="s">
        <v>2735</v>
      </c>
      <c r="G1508" s="19" t="s">
        <v>4803</v>
      </c>
      <c r="H1508" s="20">
        <v>44217</v>
      </c>
      <c r="K1508" s="6" t="s">
        <v>4698</v>
      </c>
      <c r="L1508" s="6">
        <v>6202376331</v>
      </c>
      <c r="N1508" s="16"/>
      <c r="O1508" s="7"/>
      <c r="P1508" s="17"/>
    </row>
    <row r="1509" spans="1:16" ht="14.25" customHeight="1">
      <c r="A1509" s="5" t="s">
        <v>0</v>
      </c>
      <c r="B1509" s="5" t="str">
        <f t="shared" si="10"/>
        <v>Y</v>
      </c>
      <c r="C1509" s="24" t="s">
        <v>4807</v>
      </c>
      <c r="D1509" s="24"/>
      <c r="E1509" s="6" t="s">
        <v>2190</v>
      </c>
      <c r="F1509" s="19" t="s">
        <v>4808</v>
      </c>
      <c r="G1509" s="20">
        <v>44217</v>
      </c>
      <c r="H1509" s="20">
        <v>44217</v>
      </c>
      <c r="L1509" s="6">
        <v>8252271040</v>
      </c>
      <c r="N1509" s="16"/>
      <c r="O1509" s="7"/>
      <c r="P1509" s="17"/>
    </row>
    <row r="1510" spans="1:16" ht="14.25" customHeight="1">
      <c r="A1510" s="5" t="s">
        <v>0</v>
      </c>
      <c r="B1510" s="5" t="str">
        <f t="shared" si="10"/>
        <v>Y</v>
      </c>
      <c r="C1510" s="18" t="s">
        <v>4809</v>
      </c>
      <c r="D1510" s="18"/>
      <c r="E1510" s="6" t="s">
        <v>4810</v>
      </c>
      <c r="F1510" s="19" t="s">
        <v>4811</v>
      </c>
      <c r="G1510" s="20">
        <v>44217</v>
      </c>
      <c r="H1510" s="20">
        <v>44219</v>
      </c>
      <c r="L1510" s="6">
        <v>8578058402</v>
      </c>
      <c r="N1510" s="16"/>
      <c r="O1510" s="7"/>
      <c r="P1510" s="17"/>
    </row>
    <row r="1511" spans="1:16" ht="14.25" customHeight="1">
      <c r="A1511" s="5" t="s">
        <v>0</v>
      </c>
      <c r="B1511" s="5" t="str">
        <f t="shared" si="10"/>
        <v>Y</v>
      </c>
      <c r="C1511" s="18" t="s">
        <v>4812</v>
      </c>
      <c r="D1511" s="18"/>
      <c r="E1511" s="6" t="s">
        <v>4813</v>
      </c>
      <c r="F1511" s="19" t="s">
        <v>4814</v>
      </c>
      <c r="G1511" s="19" t="s">
        <v>4815</v>
      </c>
      <c r="H1511" s="20">
        <v>44220</v>
      </c>
      <c r="L1511" s="6">
        <v>9031971063</v>
      </c>
      <c r="N1511" s="16"/>
      <c r="O1511" s="7"/>
      <c r="P1511" s="17"/>
    </row>
    <row r="1512" spans="1:16" ht="14.25" customHeight="1">
      <c r="A1512" s="5" t="s">
        <v>0</v>
      </c>
      <c r="B1512" s="5" t="str">
        <f t="shared" si="10"/>
        <v>Y</v>
      </c>
      <c r="C1512" s="18" t="s">
        <v>4816</v>
      </c>
      <c r="D1512" s="18"/>
      <c r="E1512" s="6" t="s">
        <v>4817</v>
      </c>
      <c r="F1512" s="19" t="s">
        <v>4818</v>
      </c>
      <c r="G1512" s="19" t="s">
        <v>4819</v>
      </c>
      <c r="H1512" s="19" t="s">
        <v>4819</v>
      </c>
      <c r="L1512" s="6">
        <v>9508704182</v>
      </c>
      <c r="N1512" s="16"/>
      <c r="O1512" s="7"/>
      <c r="P1512" s="17"/>
    </row>
    <row r="1513" spans="1:16" ht="14.25" customHeight="1">
      <c r="A1513" s="5" t="s">
        <v>0</v>
      </c>
      <c r="B1513" s="5" t="str">
        <f t="shared" si="10"/>
        <v>Y</v>
      </c>
      <c r="C1513" s="18" t="s">
        <v>4820</v>
      </c>
      <c r="D1513" s="18"/>
      <c r="E1513" s="6" t="s">
        <v>4821</v>
      </c>
      <c r="F1513" s="19" t="s">
        <v>4056</v>
      </c>
      <c r="G1513" s="19" t="s">
        <v>4822</v>
      </c>
      <c r="H1513" s="19" t="s">
        <v>4822</v>
      </c>
      <c r="L1513" s="6">
        <v>9701706545</v>
      </c>
      <c r="N1513" s="16"/>
      <c r="O1513" s="7"/>
      <c r="P1513" s="17"/>
    </row>
    <row r="1514" spans="1:16" ht="14.25" customHeight="1">
      <c r="A1514" s="5" t="s">
        <v>0</v>
      </c>
      <c r="B1514" s="5" t="str">
        <f t="shared" si="10"/>
        <v>Y</v>
      </c>
      <c r="C1514" s="18" t="s">
        <v>4823</v>
      </c>
      <c r="D1514" s="18"/>
      <c r="E1514" s="6" t="s">
        <v>4824</v>
      </c>
      <c r="F1514" s="19" t="s">
        <v>4825</v>
      </c>
      <c r="G1514" s="19" t="s">
        <v>4826</v>
      </c>
      <c r="H1514" s="19" t="s">
        <v>4826</v>
      </c>
      <c r="K1514" s="19" t="s">
        <v>4698</v>
      </c>
      <c r="L1514" s="6">
        <v>8210078816</v>
      </c>
      <c r="N1514" s="16"/>
      <c r="O1514" s="7"/>
      <c r="P1514" s="17"/>
    </row>
    <row r="1515" spans="1:16" ht="14.25" customHeight="1">
      <c r="A1515" s="5" t="s">
        <v>0</v>
      </c>
      <c r="B1515" s="5" t="str">
        <f t="shared" si="10"/>
        <v>Y</v>
      </c>
      <c r="C1515" s="18" t="s">
        <v>4827</v>
      </c>
      <c r="D1515" s="18"/>
      <c r="E1515" s="6" t="s">
        <v>4828</v>
      </c>
      <c r="F1515" s="19" t="s">
        <v>4829</v>
      </c>
      <c r="G1515" s="19" t="s">
        <v>4826</v>
      </c>
      <c r="H1515" s="19" t="s">
        <v>4826</v>
      </c>
      <c r="K1515" s="19" t="s">
        <v>4698</v>
      </c>
      <c r="L1515" s="6">
        <v>8235431872</v>
      </c>
      <c r="N1515" s="16"/>
      <c r="O1515" s="7"/>
      <c r="P1515" s="17"/>
    </row>
    <row r="1516" spans="1:16" ht="14.25" customHeight="1">
      <c r="A1516" s="5" t="s">
        <v>0</v>
      </c>
      <c r="B1516" s="5" t="str">
        <f t="shared" si="10"/>
        <v>Y</v>
      </c>
      <c r="C1516" s="18" t="s">
        <v>4830</v>
      </c>
      <c r="D1516" s="18"/>
      <c r="E1516" s="6" t="s">
        <v>4831</v>
      </c>
      <c r="F1516" s="19" t="s">
        <v>4832</v>
      </c>
      <c r="G1516" s="19" t="s">
        <v>4833</v>
      </c>
      <c r="H1516" s="19" t="s">
        <v>4833</v>
      </c>
      <c r="K1516" s="19" t="s">
        <v>4698</v>
      </c>
      <c r="N1516" s="16"/>
      <c r="O1516" s="7"/>
      <c r="P1516" s="17"/>
    </row>
    <row r="1517" spans="1:16" ht="14.25" customHeight="1">
      <c r="A1517" s="5" t="s">
        <v>0</v>
      </c>
      <c r="B1517" s="5" t="str">
        <f t="shared" si="10"/>
        <v>Y</v>
      </c>
      <c r="C1517" s="18" t="s">
        <v>4834</v>
      </c>
      <c r="D1517" s="18"/>
      <c r="E1517" s="6" t="s">
        <v>4835</v>
      </c>
      <c r="F1517" s="19" t="s">
        <v>2428</v>
      </c>
      <c r="G1517" s="19" t="s">
        <v>4836</v>
      </c>
      <c r="H1517" s="19" t="s">
        <v>4836</v>
      </c>
      <c r="L1517" s="6">
        <v>7250215049</v>
      </c>
      <c r="N1517" s="16"/>
      <c r="O1517" s="7"/>
      <c r="P1517" s="17"/>
    </row>
    <row r="1518" spans="1:16" ht="14.25" customHeight="1">
      <c r="A1518" s="5" t="s">
        <v>0</v>
      </c>
      <c r="B1518" s="5" t="str">
        <f t="shared" si="10"/>
        <v>Y</v>
      </c>
      <c r="C1518" s="18" t="s">
        <v>4837</v>
      </c>
      <c r="D1518" s="18"/>
      <c r="E1518" s="6" t="s">
        <v>4838</v>
      </c>
      <c r="F1518" s="19" t="s">
        <v>4839</v>
      </c>
      <c r="G1518" s="19" t="s">
        <v>4836</v>
      </c>
      <c r="H1518" s="20">
        <v>44230</v>
      </c>
      <c r="L1518" s="6">
        <v>8329869311</v>
      </c>
      <c r="N1518" s="16"/>
      <c r="O1518" s="7"/>
      <c r="P1518" s="17"/>
    </row>
    <row r="1519" spans="1:16" ht="14.25" customHeight="1">
      <c r="A1519" s="5" t="s">
        <v>0</v>
      </c>
      <c r="B1519" s="5" t="str">
        <f t="shared" si="10"/>
        <v>Y</v>
      </c>
      <c r="C1519" s="18" t="s">
        <v>4840</v>
      </c>
      <c r="D1519" s="18"/>
      <c r="E1519" s="6" t="s">
        <v>4841</v>
      </c>
      <c r="F1519" s="19" t="s">
        <v>4842</v>
      </c>
      <c r="G1519" s="19" t="s">
        <v>4843</v>
      </c>
      <c r="H1519" s="19" t="s">
        <v>4843</v>
      </c>
      <c r="L1519" s="6">
        <v>7739227144</v>
      </c>
      <c r="N1519" s="16"/>
      <c r="O1519" s="7"/>
      <c r="P1519" s="17"/>
    </row>
    <row r="1520" spans="1:16" ht="14.25" customHeight="1">
      <c r="A1520" s="5" t="s">
        <v>0</v>
      </c>
      <c r="B1520" s="5" t="str">
        <f t="shared" si="10"/>
        <v>Y</v>
      </c>
      <c r="C1520" s="18" t="s">
        <v>4844</v>
      </c>
      <c r="D1520" s="18"/>
      <c r="E1520" s="6" t="s">
        <v>1877</v>
      </c>
      <c r="F1520" s="19" t="s">
        <v>4845</v>
      </c>
      <c r="G1520" s="19" t="s">
        <v>4843</v>
      </c>
      <c r="H1520" s="19" t="s">
        <v>4843</v>
      </c>
      <c r="L1520" s="6">
        <v>9570027446</v>
      </c>
      <c r="N1520" s="16"/>
      <c r="O1520" s="7"/>
      <c r="P1520" s="17"/>
    </row>
    <row r="1521" spans="1:16" ht="14.25" customHeight="1">
      <c r="A1521" s="5" t="s">
        <v>0</v>
      </c>
      <c r="B1521" s="5" t="str">
        <f t="shared" si="10"/>
        <v>Y</v>
      </c>
      <c r="C1521" s="141" t="s">
        <v>4846</v>
      </c>
      <c r="D1521" s="141"/>
      <c r="E1521" s="6" t="s">
        <v>4847</v>
      </c>
      <c r="F1521" s="19" t="s">
        <v>4848</v>
      </c>
      <c r="G1521" s="19" t="s">
        <v>4849</v>
      </c>
      <c r="H1521" s="20">
        <v>44231</v>
      </c>
      <c r="K1521" s="6" t="s">
        <v>4850</v>
      </c>
      <c r="L1521" s="6">
        <v>8709047640</v>
      </c>
      <c r="N1521" s="16"/>
      <c r="O1521" s="7"/>
      <c r="P1521" s="17"/>
    </row>
    <row r="1522" spans="1:16" ht="14.25" customHeight="1">
      <c r="A1522" s="5" t="s">
        <v>0</v>
      </c>
      <c r="B1522" s="5" t="str">
        <f t="shared" si="10"/>
        <v>Y</v>
      </c>
      <c r="C1522" s="18" t="s">
        <v>4851</v>
      </c>
      <c r="D1522" s="18"/>
      <c r="E1522" s="6" t="s">
        <v>4852</v>
      </c>
      <c r="F1522" s="19" t="s">
        <v>2746</v>
      </c>
      <c r="G1522" s="19" t="s">
        <v>4849</v>
      </c>
      <c r="H1522" s="20">
        <v>44231</v>
      </c>
      <c r="K1522" s="6" t="s">
        <v>4850</v>
      </c>
      <c r="L1522" s="6">
        <v>8709047640</v>
      </c>
      <c r="N1522" s="16"/>
      <c r="O1522" s="7"/>
      <c r="P1522" s="17"/>
    </row>
    <row r="1523" spans="1:16" ht="14.25" customHeight="1">
      <c r="A1523" s="5" t="s">
        <v>0</v>
      </c>
      <c r="B1523" s="5" t="str">
        <f t="shared" si="10"/>
        <v>Y</v>
      </c>
      <c r="C1523" s="18" t="s">
        <v>4853</v>
      </c>
      <c r="D1523" s="18"/>
      <c r="E1523" s="6" t="s">
        <v>4854</v>
      </c>
      <c r="F1523" s="19" t="s">
        <v>4855</v>
      </c>
      <c r="G1523" s="19" t="s">
        <v>4856</v>
      </c>
      <c r="H1523" s="20">
        <v>44233</v>
      </c>
      <c r="K1523" s="6" t="s">
        <v>4698</v>
      </c>
      <c r="L1523" s="6">
        <v>7430760982</v>
      </c>
      <c r="N1523" s="16"/>
      <c r="O1523" s="7"/>
      <c r="P1523" s="17"/>
    </row>
    <row r="1524" spans="1:16" ht="14.25" customHeight="1">
      <c r="A1524" s="5" t="s">
        <v>0</v>
      </c>
      <c r="B1524" s="5" t="str">
        <f t="shared" si="10"/>
        <v>Y</v>
      </c>
      <c r="C1524" s="18" t="s">
        <v>4857</v>
      </c>
      <c r="D1524" s="18"/>
      <c r="E1524" s="6" t="s">
        <v>2043</v>
      </c>
      <c r="F1524" s="19" t="s">
        <v>2746</v>
      </c>
      <c r="G1524" s="19" t="s">
        <v>4856</v>
      </c>
      <c r="H1524" s="20">
        <v>44233</v>
      </c>
      <c r="L1524" s="6">
        <v>6287749810</v>
      </c>
      <c r="N1524" s="16"/>
      <c r="O1524" s="7"/>
      <c r="P1524" s="17"/>
    </row>
    <row r="1525" spans="1:16" ht="14.25" customHeight="1">
      <c r="A1525" s="5" t="s">
        <v>0</v>
      </c>
      <c r="B1525" s="5" t="str">
        <f t="shared" si="10"/>
        <v>Y</v>
      </c>
      <c r="C1525" s="18" t="s">
        <v>4858</v>
      </c>
      <c r="D1525" s="18"/>
      <c r="E1525" s="6" t="s">
        <v>4859</v>
      </c>
      <c r="F1525" s="19" t="s">
        <v>4860</v>
      </c>
      <c r="G1525" s="19" t="s">
        <v>4861</v>
      </c>
      <c r="H1525" s="20">
        <v>44239</v>
      </c>
      <c r="K1525" s="38" t="s">
        <v>4862</v>
      </c>
      <c r="L1525" s="6">
        <v>8797901113</v>
      </c>
      <c r="N1525" s="16"/>
      <c r="O1525" s="7"/>
      <c r="P1525" s="17"/>
    </row>
    <row r="1526" spans="1:16" ht="14.25" customHeight="1">
      <c r="A1526" s="5" t="s">
        <v>0</v>
      </c>
      <c r="B1526" s="5" t="str">
        <f t="shared" si="10"/>
        <v>Y</v>
      </c>
      <c r="C1526" s="18" t="s">
        <v>4863</v>
      </c>
      <c r="D1526" s="18"/>
      <c r="E1526" s="6" t="s">
        <v>4864</v>
      </c>
      <c r="F1526" s="19" t="s">
        <v>4865</v>
      </c>
      <c r="G1526" s="19" t="s">
        <v>4866</v>
      </c>
      <c r="H1526" s="20">
        <v>44239</v>
      </c>
      <c r="L1526" s="6">
        <v>9122735484</v>
      </c>
      <c r="N1526" s="16"/>
      <c r="O1526" s="7"/>
      <c r="P1526" s="17"/>
    </row>
    <row r="1527" spans="1:16" ht="14.25" customHeight="1">
      <c r="A1527" s="5" t="s">
        <v>0</v>
      </c>
      <c r="B1527" s="5" t="str">
        <f t="shared" si="10"/>
        <v>Y</v>
      </c>
      <c r="C1527" s="18" t="s">
        <v>4867</v>
      </c>
      <c r="D1527" s="18"/>
      <c r="E1527" s="6" t="s">
        <v>4868</v>
      </c>
      <c r="F1527" s="19" t="s">
        <v>4264</v>
      </c>
      <c r="G1527" s="19" t="s">
        <v>4866</v>
      </c>
      <c r="H1527" s="20">
        <v>44239</v>
      </c>
      <c r="L1527" s="6">
        <v>8210023504</v>
      </c>
      <c r="N1527" s="16"/>
      <c r="O1527" s="7"/>
      <c r="P1527" s="17"/>
    </row>
    <row r="1528" spans="1:16" ht="14.25" customHeight="1">
      <c r="A1528" s="5" t="s">
        <v>0</v>
      </c>
      <c r="B1528" s="5" t="str">
        <f t="shared" si="10"/>
        <v>Y</v>
      </c>
      <c r="C1528" s="18" t="s">
        <v>4869</v>
      </c>
      <c r="D1528" s="18"/>
      <c r="E1528" s="6" t="s">
        <v>4870</v>
      </c>
      <c r="F1528" s="19" t="s">
        <v>4871</v>
      </c>
      <c r="G1528" s="19" t="s">
        <v>4872</v>
      </c>
      <c r="H1528" s="20">
        <v>44239</v>
      </c>
      <c r="L1528" s="6">
        <v>7482029826</v>
      </c>
      <c r="N1528" s="16"/>
      <c r="O1528" s="7"/>
      <c r="P1528" s="17"/>
    </row>
    <row r="1529" spans="1:16" ht="14.25" customHeight="1">
      <c r="A1529" s="5" t="s">
        <v>0</v>
      </c>
      <c r="B1529" s="5" t="str">
        <f t="shared" si="10"/>
        <v>Y</v>
      </c>
      <c r="C1529" s="18" t="s">
        <v>4873</v>
      </c>
      <c r="D1529" s="18"/>
      <c r="E1529" s="6" t="s">
        <v>4874</v>
      </c>
      <c r="F1529" s="19" t="s">
        <v>3245</v>
      </c>
      <c r="G1529" s="19" t="s">
        <v>4872</v>
      </c>
      <c r="H1529" s="20">
        <v>44239</v>
      </c>
      <c r="K1529" s="6" t="s">
        <v>4698</v>
      </c>
      <c r="L1529" s="6">
        <v>8873668206</v>
      </c>
      <c r="N1529" s="16"/>
      <c r="O1529" s="7"/>
      <c r="P1529" s="17"/>
    </row>
    <row r="1530" spans="1:16" ht="14.25" customHeight="1">
      <c r="A1530" s="5" t="s">
        <v>0</v>
      </c>
      <c r="B1530" s="5" t="str">
        <f t="shared" si="10"/>
        <v>Y</v>
      </c>
      <c r="C1530" s="18" t="s">
        <v>4875</v>
      </c>
      <c r="D1530" s="18"/>
      <c r="E1530" s="6" t="s">
        <v>4876</v>
      </c>
      <c r="F1530" s="19" t="s">
        <v>4877</v>
      </c>
      <c r="G1530" s="19" t="s">
        <v>4872</v>
      </c>
      <c r="H1530" s="20">
        <v>44239</v>
      </c>
      <c r="L1530" s="6">
        <v>9934921032</v>
      </c>
      <c r="N1530" s="16"/>
      <c r="O1530" s="7"/>
      <c r="P1530" s="17"/>
    </row>
    <row r="1531" spans="1:16" ht="14.25" customHeight="1">
      <c r="A1531" s="5" t="s">
        <v>0</v>
      </c>
      <c r="B1531" s="5" t="str">
        <f t="shared" si="10"/>
        <v>Y</v>
      </c>
      <c r="C1531" s="18" t="s">
        <v>4878</v>
      </c>
      <c r="D1531" s="18"/>
      <c r="E1531" s="6" t="s">
        <v>4879</v>
      </c>
      <c r="F1531" s="19" t="s">
        <v>4880</v>
      </c>
      <c r="G1531" s="19" t="s">
        <v>4881</v>
      </c>
      <c r="H1531" s="20">
        <v>44239</v>
      </c>
      <c r="L1531" s="6">
        <v>7319732924</v>
      </c>
      <c r="N1531" s="16"/>
      <c r="O1531" s="7"/>
      <c r="P1531" s="17"/>
    </row>
    <row r="1532" spans="1:16" ht="14.25" customHeight="1">
      <c r="A1532" s="5" t="s">
        <v>0</v>
      </c>
      <c r="B1532" s="5" t="str">
        <f t="shared" si="10"/>
        <v>Y</v>
      </c>
      <c r="C1532" s="18" t="s">
        <v>4882</v>
      </c>
      <c r="D1532" s="18"/>
      <c r="E1532" s="6" t="s">
        <v>4883</v>
      </c>
      <c r="F1532" s="19" t="s">
        <v>4884</v>
      </c>
      <c r="G1532" s="19" t="s">
        <v>4872</v>
      </c>
      <c r="H1532" s="20">
        <v>44239</v>
      </c>
      <c r="L1532" s="6">
        <v>8294555226</v>
      </c>
      <c r="N1532" s="16"/>
      <c r="O1532" s="7"/>
      <c r="P1532" s="17"/>
    </row>
    <row r="1533" spans="1:16" ht="14.25" customHeight="1">
      <c r="A1533" s="5" t="s">
        <v>0</v>
      </c>
      <c r="B1533" s="5" t="str">
        <f t="shared" si="10"/>
        <v>Y</v>
      </c>
      <c r="C1533" s="18" t="s">
        <v>4885</v>
      </c>
      <c r="D1533" s="18"/>
      <c r="E1533" s="6" t="s">
        <v>4886</v>
      </c>
      <c r="F1533" s="19" t="s">
        <v>4887</v>
      </c>
      <c r="G1533" s="19" t="s">
        <v>4872</v>
      </c>
      <c r="H1533" s="20">
        <v>44239</v>
      </c>
      <c r="L1533" s="6">
        <v>8936877535</v>
      </c>
      <c r="N1533" s="16"/>
      <c r="O1533" s="7"/>
      <c r="P1533" s="17"/>
    </row>
    <row r="1534" spans="1:16" ht="14.25" customHeight="1">
      <c r="A1534" s="5" t="s">
        <v>0</v>
      </c>
      <c r="B1534" s="5" t="str">
        <f t="shared" si="10"/>
        <v>Y</v>
      </c>
      <c r="C1534" s="18" t="s">
        <v>4888</v>
      </c>
      <c r="D1534" s="18"/>
      <c r="E1534" s="6" t="s">
        <v>3633</v>
      </c>
      <c r="F1534" s="19" t="s">
        <v>4889</v>
      </c>
      <c r="G1534" s="19" t="s">
        <v>4890</v>
      </c>
      <c r="H1534" s="19" t="s">
        <v>4890</v>
      </c>
      <c r="L1534" s="6">
        <v>7250517461</v>
      </c>
      <c r="N1534" s="16"/>
      <c r="O1534" s="7"/>
      <c r="P1534" s="17"/>
    </row>
    <row r="1535" spans="1:16" ht="14.25" customHeight="1">
      <c r="A1535" s="5" t="s">
        <v>0</v>
      </c>
      <c r="B1535" s="5" t="str">
        <f t="shared" si="10"/>
        <v>Y</v>
      </c>
      <c r="C1535" s="18" t="s">
        <v>4891</v>
      </c>
      <c r="D1535" s="18"/>
      <c r="E1535" s="6" t="s">
        <v>4892</v>
      </c>
      <c r="F1535" s="19" t="s">
        <v>4893</v>
      </c>
      <c r="G1535" s="19" t="s">
        <v>4890</v>
      </c>
      <c r="H1535" s="19" t="s">
        <v>4890</v>
      </c>
      <c r="L1535" s="6">
        <v>9570056424</v>
      </c>
      <c r="N1535" s="16"/>
      <c r="O1535" s="7"/>
      <c r="P1535" s="17"/>
    </row>
    <row r="1536" spans="1:16" ht="14.25" customHeight="1">
      <c r="A1536" s="5" t="s">
        <v>0</v>
      </c>
      <c r="B1536" s="5" t="str">
        <f t="shared" si="10"/>
        <v>Y</v>
      </c>
      <c r="C1536" s="18" t="s">
        <v>4894</v>
      </c>
      <c r="D1536" s="18"/>
      <c r="E1536" s="6" t="s">
        <v>2396</v>
      </c>
      <c r="F1536" s="19" t="s">
        <v>4895</v>
      </c>
      <c r="G1536" s="19" t="s">
        <v>4890</v>
      </c>
      <c r="H1536" s="19" t="s">
        <v>4890</v>
      </c>
      <c r="L1536" s="6">
        <v>9508125004</v>
      </c>
      <c r="N1536" s="16"/>
      <c r="O1536" s="7"/>
      <c r="P1536" s="17"/>
    </row>
    <row r="1537" spans="1:16" ht="14.25" customHeight="1">
      <c r="A1537" s="5" t="s">
        <v>0</v>
      </c>
      <c r="B1537" s="5" t="str">
        <f t="shared" si="10"/>
        <v>Y</v>
      </c>
      <c r="C1537" s="18" t="s">
        <v>4896</v>
      </c>
      <c r="D1537" s="18"/>
      <c r="E1537" s="6" t="s">
        <v>4897</v>
      </c>
      <c r="F1537" s="19" t="s">
        <v>4898</v>
      </c>
      <c r="G1537" s="19" t="s">
        <v>4890</v>
      </c>
      <c r="H1537" s="19" t="s">
        <v>4890</v>
      </c>
      <c r="L1537" s="6">
        <v>9234949069</v>
      </c>
      <c r="N1537" s="16"/>
      <c r="O1537" s="7"/>
      <c r="P1537" s="17"/>
    </row>
    <row r="1538" spans="1:16" ht="14.25" customHeight="1">
      <c r="A1538" s="5" t="s">
        <v>0</v>
      </c>
      <c r="B1538" s="5" t="str">
        <f t="shared" si="10"/>
        <v>Y</v>
      </c>
      <c r="C1538" s="18" t="s">
        <v>4899</v>
      </c>
      <c r="D1538" s="18"/>
      <c r="E1538" s="6" t="s">
        <v>1712</v>
      </c>
      <c r="F1538" s="19" t="s">
        <v>4900</v>
      </c>
      <c r="G1538" s="19" t="s">
        <v>4890</v>
      </c>
      <c r="H1538" s="19" t="s">
        <v>4890</v>
      </c>
      <c r="L1538" s="6">
        <v>8825164755</v>
      </c>
      <c r="N1538" s="16"/>
      <c r="O1538" s="7"/>
      <c r="P1538" s="17"/>
    </row>
    <row r="1539" spans="1:16" ht="14.25" customHeight="1">
      <c r="A1539" s="5" t="s">
        <v>0</v>
      </c>
      <c r="B1539" s="5" t="str">
        <f t="shared" si="10"/>
        <v>Y</v>
      </c>
      <c r="C1539" s="18" t="s">
        <v>4901</v>
      </c>
      <c r="D1539" s="18"/>
      <c r="E1539" s="6" t="s">
        <v>4902</v>
      </c>
      <c r="F1539" s="19" t="s">
        <v>4903</v>
      </c>
      <c r="G1539" s="19" t="s">
        <v>4890</v>
      </c>
      <c r="H1539" s="19" t="s">
        <v>4890</v>
      </c>
      <c r="L1539" s="6">
        <v>9142834403</v>
      </c>
      <c r="N1539" s="16"/>
      <c r="O1539" s="7"/>
      <c r="P1539" s="17"/>
    </row>
    <row r="1540" spans="1:16" ht="14.25" customHeight="1">
      <c r="A1540" s="5" t="s">
        <v>0</v>
      </c>
      <c r="B1540" s="5" t="str">
        <f t="shared" si="10"/>
        <v>Y</v>
      </c>
      <c r="C1540" s="18" t="s">
        <v>4904</v>
      </c>
      <c r="D1540" s="18"/>
      <c r="E1540" s="6" t="s">
        <v>4905</v>
      </c>
      <c r="F1540" s="19" t="s">
        <v>4906</v>
      </c>
      <c r="G1540" s="19" t="s">
        <v>4907</v>
      </c>
      <c r="H1540" s="19" t="s">
        <v>4908</v>
      </c>
      <c r="L1540" s="6">
        <v>9031505502</v>
      </c>
      <c r="N1540" s="16"/>
      <c r="O1540" s="7"/>
      <c r="P1540" s="17"/>
    </row>
    <row r="1541" spans="1:16" ht="14.25" customHeight="1">
      <c r="A1541" s="5" t="s">
        <v>0</v>
      </c>
      <c r="B1541" s="5" t="str">
        <f t="shared" si="10"/>
        <v>Y</v>
      </c>
      <c r="C1541" s="18" t="s">
        <v>4909</v>
      </c>
      <c r="D1541" s="18"/>
      <c r="E1541" s="6" t="s">
        <v>4910</v>
      </c>
      <c r="F1541" s="19" t="s">
        <v>4911</v>
      </c>
      <c r="G1541" s="19" t="s">
        <v>4907</v>
      </c>
      <c r="H1541" s="19" t="s">
        <v>4908</v>
      </c>
      <c r="L1541" s="6">
        <v>9031139110</v>
      </c>
      <c r="N1541" s="16"/>
      <c r="O1541" s="7"/>
      <c r="P1541" s="17"/>
    </row>
    <row r="1542" spans="1:16" ht="14.25" customHeight="1">
      <c r="A1542" s="5" t="s">
        <v>0</v>
      </c>
      <c r="B1542" s="5" t="str">
        <f t="shared" si="10"/>
        <v>Y</v>
      </c>
      <c r="C1542" s="18" t="s">
        <v>4912</v>
      </c>
      <c r="D1542" s="18"/>
      <c r="E1542" s="6" t="s">
        <v>4913</v>
      </c>
      <c r="F1542" s="19" t="s">
        <v>4914</v>
      </c>
      <c r="G1542" s="19" t="s">
        <v>4907</v>
      </c>
      <c r="H1542" s="19" t="s">
        <v>4908</v>
      </c>
      <c r="L1542" s="6">
        <v>9973515720</v>
      </c>
      <c r="N1542" s="16"/>
      <c r="O1542" s="7"/>
      <c r="P1542" s="17"/>
    </row>
    <row r="1543" spans="1:16" ht="14.25" customHeight="1">
      <c r="A1543" s="5" t="s">
        <v>0</v>
      </c>
      <c r="B1543" s="5" t="str">
        <f t="shared" si="10"/>
        <v>Y</v>
      </c>
      <c r="C1543" s="18" t="s">
        <v>4915</v>
      </c>
      <c r="D1543" s="18"/>
      <c r="E1543" s="6" t="s">
        <v>4916</v>
      </c>
      <c r="F1543" s="19" t="s">
        <v>4917</v>
      </c>
      <c r="G1543" s="19" t="s">
        <v>4908</v>
      </c>
      <c r="H1543" s="19" t="s">
        <v>4908</v>
      </c>
      <c r="L1543" s="6">
        <v>7903833040</v>
      </c>
      <c r="N1543" s="16"/>
      <c r="O1543" s="7"/>
      <c r="P1543" s="17"/>
    </row>
    <row r="1544" spans="1:16" ht="14.25" customHeight="1">
      <c r="A1544" s="65" t="s">
        <v>0</v>
      </c>
      <c r="B1544" s="65" t="str">
        <f t="shared" si="10"/>
        <v>N</v>
      </c>
      <c r="C1544" s="62" t="s">
        <v>4918</v>
      </c>
      <c r="D1544" s="62"/>
      <c r="E1544" s="47" t="s">
        <v>4919</v>
      </c>
      <c r="F1544" s="63" t="s">
        <v>4920</v>
      </c>
      <c r="G1544" s="63" t="s">
        <v>4921</v>
      </c>
      <c r="H1544" s="65"/>
      <c r="L1544" s="6">
        <v>9304738393</v>
      </c>
      <c r="N1544" s="16"/>
      <c r="O1544" s="7"/>
      <c r="P1544" s="17"/>
    </row>
    <row r="1545" spans="1:16" ht="14.25" customHeight="1">
      <c r="A1545" s="5" t="s">
        <v>0</v>
      </c>
      <c r="B1545" s="5" t="str">
        <f t="shared" si="10"/>
        <v>Y</v>
      </c>
      <c r="C1545" s="18" t="s">
        <v>4922</v>
      </c>
      <c r="D1545" s="18"/>
      <c r="E1545" s="6" t="s">
        <v>4923</v>
      </c>
      <c r="F1545" s="19" t="s">
        <v>4924</v>
      </c>
      <c r="G1545" s="19" t="s">
        <v>4921</v>
      </c>
      <c r="H1545" s="19" t="s">
        <v>4921</v>
      </c>
      <c r="L1545" s="6">
        <v>9534136792</v>
      </c>
      <c r="N1545" s="16"/>
      <c r="O1545" s="7"/>
      <c r="P1545" s="17"/>
    </row>
    <row r="1546" spans="1:16" ht="14.25" customHeight="1">
      <c r="A1546" s="5" t="s">
        <v>0</v>
      </c>
      <c r="B1546" s="5" t="str">
        <f t="shared" si="10"/>
        <v>Y</v>
      </c>
      <c r="C1546" s="18" t="s">
        <v>4925</v>
      </c>
      <c r="D1546" s="18"/>
      <c r="E1546" s="6" t="s">
        <v>4731</v>
      </c>
      <c r="F1546" s="19" t="s">
        <v>4926</v>
      </c>
      <c r="G1546" s="19" t="s">
        <v>4927</v>
      </c>
      <c r="H1546" s="19" t="s">
        <v>4927</v>
      </c>
      <c r="N1546" s="16"/>
      <c r="O1546" s="7"/>
      <c r="P1546" s="17"/>
    </row>
    <row r="1547" spans="1:16" ht="14.25" customHeight="1">
      <c r="A1547" s="5" t="s">
        <v>0</v>
      </c>
      <c r="B1547" s="5" t="str">
        <f t="shared" si="10"/>
        <v>Y</v>
      </c>
      <c r="C1547" s="18" t="s">
        <v>4928</v>
      </c>
      <c r="D1547" s="18"/>
      <c r="E1547" s="6" t="s">
        <v>4929</v>
      </c>
      <c r="F1547" s="19" t="s">
        <v>4930</v>
      </c>
      <c r="G1547" s="19" t="s">
        <v>4927</v>
      </c>
      <c r="H1547" s="19" t="s">
        <v>4927</v>
      </c>
      <c r="L1547" s="6">
        <v>7520223549</v>
      </c>
      <c r="N1547" s="16"/>
      <c r="O1547" s="7"/>
      <c r="P1547" s="17"/>
    </row>
    <row r="1548" spans="1:16" ht="14.25" customHeight="1">
      <c r="A1548" s="5" t="s">
        <v>0</v>
      </c>
      <c r="B1548" s="5" t="str">
        <f t="shared" si="10"/>
        <v>Y</v>
      </c>
      <c r="C1548" s="24" t="s">
        <v>4931</v>
      </c>
      <c r="D1548" s="24"/>
      <c r="E1548" s="6" t="s">
        <v>4932</v>
      </c>
      <c r="F1548" s="19" t="s">
        <v>4933</v>
      </c>
      <c r="G1548" s="19" t="s">
        <v>4927</v>
      </c>
      <c r="H1548" s="19" t="s">
        <v>4927</v>
      </c>
      <c r="L1548" s="6">
        <v>9263204709</v>
      </c>
      <c r="N1548" s="16"/>
      <c r="O1548" s="7"/>
      <c r="P1548" s="17"/>
    </row>
    <row r="1549" spans="1:16" ht="14.25" customHeight="1">
      <c r="A1549" s="5" t="s">
        <v>0</v>
      </c>
      <c r="B1549" s="5" t="str">
        <f t="shared" si="10"/>
        <v>Y</v>
      </c>
      <c r="C1549" s="18" t="s">
        <v>4934</v>
      </c>
      <c r="D1549" s="18"/>
      <c r="E1549" s="6" t="s">
        <v>4935</v>
      </c>
      <c r="F1549" s="19" t="s">
        <v>4936</v>
      </c>
      <c r="G1549" s="19" t="s">
        <v>4937</v>
      </c>
      <c r="H1549" s="19" t="s">
        <v>4937</v>
      </c>
      <c r="N1549" s="16"/>
      <c r="O1549" s="7"/>
      <c r="P1549" s="17"/>
    </row>
    <row r="1550" spans="1:16" ht="14.25" customHeight="1">
      <c r="A1550" s="5" t="s">
        <v>0</v>
      </c>
      <c r="B1550" s="5" t="str">
        <f t="shared" ref="B1550:B1741" si="11">IF(H1550="","N","Y")</f>
        <v>Y</v>
      </c>
      <c r="C1550" s="18" t="s">
        <v>4938</v>
      </c>
      <c r="D1550" s="18"/>
      <c r="E1550" s="6" t="s">
        <v>4939</v>
      </c>
      <c r="F1550" s="19" t="s">
        <v>4940</v>
      </c>
      <c r="G1550" s="19" t="s">
        <v>4937</v>
      </c>
      <c r="H1550" s="19" t="s">
        <v>4937</v>
      </c>
      <c r="L1550" s="6">
        <v>7667988312</v>
      </c>
      <c r="N1550" s="16"/>
      <c r="O1550" s="7"/>
      <c r="P1550" s="17"/>
    </row>
    <row r="1551" spans="1:16" ht="14.25" customHeight="1">
      <c r="A1551" s="5" t="s">
        <v>0</v>
      </c>
      <c r="B1551" s="5" t="str">
        <f t="shared" si="11"/>
        <v>Y</v>
      </c>
      <c r="C1551" s="18" t="s">
        <v>4941</v>
      </c>
      <c r="D1551" s="18"/>
      <c r="E1551" s="6" t="s">
        <v>4942</v>
      </c>
      <c r="F1551" s="19" t="s">
        <v>4943</v>
      </c>
      <c r="G1551" s="19" t="s">
        <v>4937</v>
      </c>
      <c r="H1551" s="19" t="s">
        <v>4937</v>
      </c>
      <c r="L1551" s="6">
        <v>7992426984</v>
      </c>
      <c r="N1551" s="16"/>
      <c r="O1551" s="7"/>
      <c r="P1551" s="17"/>
    </row>
    <row r="1552" spans="1:16" ht="14.25" customHeight="1">
      <c r="A1552" s="5" t="s">
        <v>0</v>
      </c>
      <c r="B1552" s="5" t="str">
        <f t="shared" si="11"/>
        <v>Y</v>
      </c>
      <c r="C1552" s="18" t="s">
        <v>4944</v>
      </c>
      <c r="D1552" s="18"/>
      <c r="E1552" s="6" t="s">
        <v>4945</v>
      </c>
      <c r="F1552" s="19" t="s">
        <v>4946</v>
      </c>
      <c r="G1552" s="19" t="s">
        <v>4937</v>
      </c>
      <c r="H1552" s="19" t="s">
        <v>4937</v>
      </c>
      <c r="L1552" s="6">
        <v>8920805024</v>
      </c>
      <c r="N1552" s="16"/>
      <c r="O1552" s="7"/>
      <c r="P1552" s="17"/>
    </row>
    <row r="1553" spans="1:16" ht="14.25" customHeight="1">
      <c r="A1553" s="5" t="s">
        <v>0</v>
      </c>
      <c r="B1553" s="5" t="str">
        <f t="shared" si="11"/>
        <v>Y</v>
      </c>
      <c r="C1553" s="18" t="s">
        <v>4947</v>
      </c>
      <c r="D1553" s="18"/>
      <c r="E1553" s="6" t="s">
        <v>4948</v>
      </c>
      <c r="F1553" s="19" t="s">
        <v>4949</v>
      </c>
      <c r="G1553" s="19" t="s">
        <v>4937</v>
      </c>
      <c r="H1553" s="19" t="s">
        <v>4937</v>
      </c>
      <c r="L1553" s="6">
        <v>7061010586</v>
      </c>
      <c r="N1553" s="16"/>
      <c r="O1553" s="7"/>
      <c r="P1553" s="17"/>
    </row>
    <row r="1554" spans="1:16" ht="14.25" customHeight="1">
      <c r="A1554" s="5" t="s">
        <v>0</v>
      </c>
      <c r="B1554" s="5" t="str">
        <f t="shared" si="11"/>
        <v>Y</v>
      </c>
      <c r="C1554" s="18" t="s">
        <v>4950</v>
      </c>
      <c r="D1554" s="18"/>
      <c r="E1554" s="6" t="s">
        <v>4951</v>
      </c>
      <c r="F1554" s="19" t="s">
        <v>4952</v>
      </c>
      <c r="G1554" s="19" t="s">
        <v>4953</v>
      </c>
      <c r="H1554" s="19" t="s">
        <v>4953</v>
      </c>
      <c r="L1554" s="6">
        <v>8797107333</v>
      </c>
      <c r="N1554" s="16"/>
      <c r="O1554" s="7"/>
      <c r="P1554" s="17"/>
    </row>
    <row r="1555" spans="1:16" ht="14.25" customHeight="1">
      <c r="A1555" s="5" t="s">
        <v>0</v>
      </c>
      <c r="B1555" s="5" t="str">
        <f t="shared" si="11"/>
        <v>Y</v>
      </c>
      <c r="C1555" s="18" t="s">
        <v>4954</v>
      </c>
      <c r="D1555" s="18"/>
      <c r="E1555" s="6" t="s">
        <v>4955</v>
      </c>
      <c r="F1555" s="19" t="s">
        <v>4956</v>
      </c>
      <c r="G1555" s="19" t="s">
        <v>4957</v>
      </c>
      <c r="H1555" s="19" t="s">
        <v>4957</v>
      </c>
      <c r="L1555" s="6">
        <v>9507711813</v>
      </c>
      <c r="N1555" s="16"/>
      <c r="O1555" s="7"/>
      <c r="P1555" s="17"/>
    </row>
    <row r="1556" spans="1:16" ht="14.25" customHeight="1">
      <c r="A1556" s="5" t="s">
        <v>0</v>
      </c>
      <c r="B1556" s="5" t="str">
        <f t="shared" si="11"/>
        <v>Y</v>
      </c>
      <c r="C1556" s="18" t="s">
        <v>4958</v>
      </c>
      <c r="D1556" s="18"/>
      <c r="E1556" s="6" t="s">
        <v>4959</v>
      </c>
      <c r="F1556" s="19" t="s">
        <v>4960</v>
      </c>
      <c r="G1556" s="19" t="s">
        <v>4961</v>
      </c>
      <c r="H1556" s="20">
        <v>44255</v>
      </c>
      <c r="K1556" s="38" t="s">
        <v>4962</v>
      </c>
      <c r="L1556" s="6">
        <v>9122544536</v>
      </c>
      <c r="N1556" s="16"/>
      <c r="O1556" s="7"/>
      <c r="P1556" s="17"/>
    </row>
    <row r="1557" spans="1:16" ht="14.25" customHeight="1">
      <c r="A1557" s="5" t="s">
        <v>0</v>
      </c>
      <c r="B1557" s="5" t="str">
        <f t="shared" si="11"/>
        <v>Y</v>
      </c>
      <c r="C1557" s="18" t="s">
        <v>4963</v>
      </c>
      <c r="D1557" s="18"/>
      <c r="E1557" s="6" t="s">
        <v>4964</v>
      </c>
      <c r="F1557" s="19" t="s">
        <v>4965</v>
      </c>
      <c r="G1557" s="19" t="s">
        <v>4961</v>
      </c>
      <c r="H1557" s="20">
        <v>44255</v>
      </c>
      <c r="K1557" s="38" t="s">
        <v>4966</v>
      </c>
      <c r="L1557" s="6">
        <v>8863974166</v>
      </c>
      <c r="N1557" s="16"/>
      <c r="O1557" s="7"/>
      <c r="P1557" s="17"/>
    </row>
    <row r="1558" spans="1:16" ht="14.25" customHeight="1">
      <c r="A1558" s="5" t="s">
        <v>0</v>
      </c>
      <c r="B1558" s="5" t="str">
        <f t="shared" si="11"/>
        <v>Y</v>
      </c>
      <c r="C1558" s="18" t="s">
        <v>4967</v>
      </c>
      <c r="D1558" s="18"/>
      <c r="E1558" s="6" t="s">
        <v>4968</v>
      </c>
      <c r="F1558" s="19" t="s">
        <v>4969</v>
      </c>
      <c r="G1558" s="19" t="s">
        <v>4970</v>
      </c>
      <c r="H1558" s="20">
        <v>44228</v>
      </c>
      <c r="K1558" s="38" t="s">
        <v>4971</v>
      </c>
      <c r="L1558" s="6">
        <v>7061273402</v>
      </c>
      <c r="N1558" s="16"/>
      <c r="O1558" s="7"/>
      <c r="P1558" s="17"/>
    </row>
    <row r="1559" spans="1:16" ht="14.25" customHeight="1">
      <c r="A1559" s="5" t="s">
        <v>0</v>
      </c>
      <c r="B1559" s="5" t="str">
        <f t="shared" si="11"/>
        <v>Y</v>
      </c>
      <c r="C1559" s="18" t="s">
        <v>4972</v>
      </c>
      <c r="D1559" s="18"/>
      <c r="E1559" s="6" t="s">
        <v>2084</v>
      </c>
      <c r="F1559" s="19" t="s">
        <v>4973</v>
      </c>
      <c r="G1559" s="19" t="s">
        <v>4970</v>
      </c>
      <c r="H1559" s="20">
        <v>44228</v>
      </c>
      <c r="K1559" s="38" t="s">
        <v>4974</v>
      </c>
      <c r="L1559" s="6">
        <v>8797804720</v>
      </c>
      <c r="N1559" s="16"/>
      <c r="O1559" s="7"/>
      <c r="P1559" s="17"/>
    </row>
    <row r="1560" spans="1:16" ht="14.25" customHeight="1">
      <c r="A1560" s="5" t="s">
        <v>0</v>
      </c>
      <c r="B1560" s="5" t="str">
        <f t="shared" si="11"/>
        <v>Y</v>
      </c>
      <c r="C1560" s="18" t="s">
        <v>4975</v>
      </c>
      <c r="D1560" s="18"/>
      <c r="E1560" s="6" t="s">
        <v>4976</v>
      </c>
      <c r="F1560" s="19" t="s">
        <v>4977</v>
      </c>
      <c r="G1560" s="19" t="s">
        <v>4978</v>
      </c>
      <c r="H1560" s="19" t="s">
        <v>4978</v>
      </c>
      <c r="L1560" s="6">
        <v>8789027362</v>
      </c>
      <c r="N1560" s="16"/>
      <c r="O1560" s="7"/>
      <c r="P1560" s="17"/>
    </row>
    <row r="1561" spans="1:16" ht="14.25" customHeight="1">
      <c r="A1561" s="5" t="s">
        <v>0</v>
      </c>
      <c r="B1561" s="5" t="str">
        <f t="shared" si="11"/>
        <v>Y</v>
      </c>
      <c r="C1561" s="18" t="s">
        <v>4979</v>
      </c>
      <c r="D1561" s="18"/>
      <c r="E1561" s="6" t="s">
        <v>4980</v>
      </c>
      <c r="F1561" s="19" t="s">
        <v>4981</v>
      </c>
      <c r="G1561" s="19" t="s">
        <v>4978</v>
      </c>
      <c r="H1561" s="19" t="s">
        <v>4978</v>
      </c>
      <c r="L1561" s="6">
        <v>9334041690</v>
      </c>
      <c r="N1561" s="16"/>
      <c r="O1561" s="7"/>
      <c r="P1561" s="17"/>
    </row>
    <row r="1562" spans="1:16" ht="14.25" customHeight="1">
      <c r="A1562" s="5" t="s">
        <v>0</v>
      </c>
      <c r="B1562" s="5" t="str">
        <f t="shared" si="11"/>
        <v>Y</v>
      </c>
      <c r="C1562" s="18" t="s">
        <v>4982</v>
      </c>
      <c r="D1562" s="18"/>
      <c r="E1562" s="6" t="s">
        <v>4983</v>
      </c>
      <c r="F1562" s="19" t="s">
        <v>4984</v>
      </c>
      <c r="G1562" s="19" t="s">
        <v>4978</v>
      </c>
      <c r="H1562" s="19" t="s">
        <v>4978</v>
      </c>
      <c r="L1562" s="6">
        <v>9135246478</v>
      </c>
      <c r="N1562" s="16"/>
      <c r="O1562" s="7"/>
      <c r="P1562" s="17"/>
    </row>
    <row r="1563" spans="1:16" ht="14.25" customHeight="1">
      <c r="A1563" s="5" t="s">
        <v>0</v>
      </c>
      <c r="B1563" s="5" t="str">
        <f t="shared" si="11"/>
        <v>Y</v>
      </c>
      <c r="C1563" s="18" t="s">
        <v>4985</v>
      </c>
      <c r="D1563" s="18"/>
      <c r="E1563" s="6" t="s">
        <v>4986</v>
      </c>
      <c r="F1563" s="19" t="s">
        <v>4987</v>
      </c>
      <c r="G1563" s="19" t="s">
        <v>4978</v>
      </c>
      <c r="H1563" s="19" t="s">
        <v>4978</v>
      </c>
      <c r="L1563" s="6">
        <v>8986815858</v>
      </c>
      <c r="N1563" s="16"/>
      <c r="O1563" s="7"/>
      <c r="P1563" s="17"/>
    </row>
    <row r="1564" spans="1:16" ht="14.25" customHeight="1">
      <c r="A1564" s="5" t="s">
        <v>0</v>
      </c>
      <c r="B1564" s="5" t="str">
        <f t="shared" si="11"/>
        <v>Y</v>
      </c>
      <c r="C1564" s="18" t="s">
        <v>4988</v>
      </c>
      <c r="D1564" s="18"/>
      <c r="E1564" s="6" t="s">
        <v>4989</v>
      </c>
      <c r="F1564" s="19" t="s">
        <v>4990</v>
      </c>
      <c r="G1564" s="19" t="s">
        <v>4991</v>
      </c>
      <c r="H1564" s="20">
        <v>44259</v>
      </c>
      <c r="N1564" s="16"/>
      <c r="O1564" s="7"/>
      <c r="P1564" s="17"/>
    </row>
    <row r="1565" spans="1:16" ht="14.25" customHeight="1">
      <c r="A1565" s="5" t="s">
        <v>0</v>
      </c>
      <c r="B1565" s="5" t="str">
        <f t="shared" si="11"/>
        <v>Y</v>
      </c>
      <c r="C1565" s="18" t="s">
        <v>4992</v>
      </c>
      <c r="D1565" s="18"/>
      <c r="E1565" s="6" t="s">
        <v>2553</v>
      </c>
      <c r="F1565" s="19" t="s">
        <v>4993</v>
      </c>
      <c r="G1565" s="19" t="s">
        <v>4994</v>
      </c>
      <c r="H1565" s="19" t="s">
        <v>4994</v>
      </c>
      <c r="L1565" s="6">
        <v>9693042041</v>
      </c>
      <c r="N1565" s="16"/>
      <c r="O1565" s="7"/>
      <c r="P1565" s="17"/>
    </row>
    <row r="1566" spans="1:16" ht="14.25" customHeight="1">
      <c r="A1566" s="5" t="s">
        <v>0</v>
      </c>
      <c r="B1566" s="5" t="str">
        <f t="shared" si="11"/>
        <v>Y</v>
      </c>
      <c r="C1566" s="24" t="s">
        <v>4995</v>
      </c>
      <c r="D1566" s="24"/>
      <c r="E1566" s="6" t="s">
        <v>4996</v>
      </c>
      <c r="F1566" s="19" t="s">
        <v>4997</v>
      </c>
      <c r="G1566" s="19" t="s">
        <v>4998</v>
      </c>
      <c r="H1566" s="19" t="s">
        <v>4998</v>
      </c>
      <c r="L1566" s="6">
        <v>7667702193</v>
      </c>
      <c r="N1566" s="16"/>
      <c r="O1566" s="7"/>
      <c r="P1566" s="17"/>
    </row>
    <row r="1567" spans="1:16" ht="14.25" customHeight="1">
      <c r="A1567" s="5" t="s">
        <v>0</v>
      </c>
      <c r="B1567" s="5" t="str">
        <f t="shared" si="11"/>
        <v>Y</v>
      </c>
      <c r="C1567" s="18" t="s">
        <v>4999</v>
      </c>
      <c r="D1567" s="18"/>
      <c r="E1567" s="6" t="s">
        <v>5000</v>
      </c>
      <c r="F1567" s="19" t="s">
        <v>5001</v>
      </c>
      <c r="G1567" s="19" t="s">
        <v>4998</v>
      </c>
      <c r="H1567" s="19" t="s">
        <v>4998</v>
      </c>
      <c r="L1567" s="6">
        <v>9199736469</v>
      </c>
      <c r="N1567" s="16"/>
      <c r="O1567" s="7"/>
      <c r="P1567" s="17"/>
    </row>
    <row r="1568" spans="1:16" ht="14.25" customHeight="1">
      <c r="A1568" s="5" t="s">
        <v>0</v>
      </c>
      <c r="B1568" s="5" t="str">
        <f t="shared" si="11"/>
        <v>Y</v>
      </c>
      <c r="C1568" s="18" t="s">
        <v>5002</v>
      </c>
      <c r="D1568" s="18"/>
      <c r="E1568" s="6" t="s">
        <v>5003</v>
      </c>
      <c r="F1568" s="19" t="s">
        <v>5004</v>
      </c>
      <c r="G1568" s="19" t="s">
        <v>4998</v>
      </c>
      <c r="H1568" s="19" t="s">
        <v>4998</v>
      </c>
      <c r="L1568" s="6">
        <v>9905314204</v>
      </c>
      <c r="N1568" s="16"/>
      <c r="O1568" s="7"/>
      <c r="P1568" s="17"/>
    </row>
    <row r="1569" spans="1:16" ht="14.25" customHeight="1">
      <c r="A1569" s="5" t="s">
        <v>0</v>
      </c>
      <c r="B1569" s="5" t="str">
        <f t="shared" si="11"/>
        <v>Y</v>
      </c>
      <c r="C1569" s="18" t="s">
        <v>5005</v>
      </c>
      <c r="D1569" s="18"/>
      <c r="E1569" s="6" t="s">
        <v>1266</v>
      </c>
      <c r="F1569" s="19" t="s">
        <v>5006</v>
      </c>
      <c r="G1569" s="19" t="s">
        <v>4998</v>
      </c>
      <c r="H1569" s="20">
        <v>44262</v>
      </c>
      <c r="L1569" s="6">
        <v>9262304449</v>
      </c>
      <c r="N1569" s="16"/>
      <c r="O1569" s="7"/>
      <c r="P1569" s="17"/>
    </row>
    <row r="1570" spans="1:16" ht="14.25" customHeight="1">
      <c r="A1570" s="5" t="s">
        <v>0</v>
      </c>
      <c r="B1570" s="5" t="str">
        <f t="shared" si="11"/>
        <v>Y</v>
      </c>
      <c r="C1570" s="18" t="s">
        <v>5007</v>
      </c>
      <c r="D1570" s="18"/>
      <c r="E1570" s="6" t="s">
        <v>5008</v>
      </c>
      <c r="F1570" s="19" t="s">
        <v>3245</v>
      </c>
      <c r="G1570" s="19" t="s">
        <v>4998</v>
      </c>
      <c r="H1570" s="20">
        <v>44262</v>
      </c>
      <c r="L1570" s="6">
        <v>7209420095</v>
      </c>
      <c r="N1570" s="16"/>
      <c r="O1570" s="7"/>
      <c r="P1570" s="17"/>
    </row>
    <row r="1571" spans="1:16" ht="14.25" customHeight="1">
      <c r="A1571" s="5" t="s">
        <v>0</v>
      </c>
      <c r="B1571" s="5" t="str">
        <f t="shared" si="11"/>
        <v>Y</v>
      </c>
      <c r="C1571" s="18" t="s">
        <v>5009</v>
      </c>
      <c r="D1571" s="18"/>
      <c r="E1571" s="6" t="s">
        <v>5010</v>
      </c>
      <c r="F1571" s="19" t="s">
        <v>3194</v>
      </c>
      <c r="G1571" s="19" t="s">
        <v>4998</v>
      </c>
      <c r="H1571" s="20">
        <v>44262</v>
      </c>
      <c r="L1571" s="6">
        <v>9199736469</v>
      </c>
      <c r="N1571" s="16"/>
      <c r="O1571" s="7"/>
      <c r="P1571" s="17"/>
    </row>
    <row r="1572" spans="1:16" ht="14.25" customHeight="1">
      <c r="A1572" s="5" t="s">
        <v>0</v>
      </c>
      <c r="B1572" s="5" t="str">
        <f t="shared" si="11"/>
        <v>Y</v>
      </c>
      <c r="C1572" s="18" t="s">
        <v>5011</v>
      </c>
      <c r="D1572" s="18"/>
      <c r="E1572" s="6" t="s">
        <v>5012</v>
      </c>
      <c r="F1572" s="19" t="s">
        <v>2525</v>
      </c>
      <c r="G1572" s="19" t="s">
        <v>5013</v>
      </c>
      <c r="H1572" s="20">
        <v>44264</v>
      </c>
      <c r="K1572" s="6" t="s">
        <v>4698</v>
      </c>
      <c r="L1572" s="6">
        <v>9264222179</v>
      </c>
      <c r="N1572" s="16"/>
      <c r="O1572" s="7"/>
      <c r="P1572" s="17"/>
    </row>
    <row r="1573" spans="1:16" ht="14.25" customHeight="1">
      <c r="A1573" s="5" t="s">
        <v>0</v>
      </c>
      <c r="B1573" s="5" t="str">
        <f t="shared" si="11"/>
        <v>Y</v>
      </c>
      <c r="C1573" s="18" t="s">
        <v>5014</v>
      </c>
      <c r="D1573" s="18"/>
      <c r="E1573" s="6" t="s">
        <v>5015</v>
      </c>
      <c r="F1573" s="19" t="s">
        <v>5016</v>
      </c>
      <c r="G1573" s="19" t="s">
        <v>5013</v>
      </c>
      <c r="H1573" s="20">
        <v>44264</v>
      </c>
      <c r="K1573" s="6" t="s">
        <v>4698</v>
      </c>
      <c r="L1573" s="6">
        <v>8292221569</v>
      </c>
      <c r="N1573" s="16"/>
      <c r="O1573" s="7"/>
      <c r="P1573" s="17"/>
    </row>
    <row r="1574" spans="1:16" ht="14.25" customHeight="1">
      <c r="A1574" s="5" t="s">
        <v>0</v>
      </c>
      <c r="B1574" s="5" t="str">
        <f t="shared" si="11"/>
        <v>Y</v>
      </c>
      <c r="C1574" s="18" t="s">
        <v>5017</v>
      </c>
      <c r="D1574" s="18"/>
      <c r="E1574" s="6" t="s">
        <v>5018</v>
      </c>
      <c r="F1574" s="19" t="s">
        <v>5019</v>
      </c>
      <c r="G1574" s="19" t="s">
        <v>5013</v>
      </c>
      <c r="H1574" s="20">
        <v>44264</v>
      </c>
      <c r="K1574" s="6" t="s">
        <v>5020</v>
      </c>
      <c r="L1574" s="6">
        <v>8804696729</v>
      </c>
      <c r="N1574" s="16"/>
      <c r="O1574" s="7"/>
      <c r="P1574" s="17"/>
    </row>
    <row r="1575" spans="1:16" ht="14.25" customHeight="1">
      <c r="A1575" s="5" t="s">
        <v>0</v>
      </c>
      <c r="B1575" s="5" t="str">
        <f t="shared" si="11"/>
        <v>Y</v>
      </c>
      <c r="C1575" s="18" t="s">
        <v>5021</v>
      </c>
      <c r="D1575" s="18"/>
      <c r="E1575" s="6" t="s">
        <v>5022</v>
      </c>
      <c r="F1575" s="19" t="s">
        <v>5023</v>
      </c>
      <c r="G1575" s="19" t="s">
        <v>5013</v>
      </c>
      <c r="H1575" s="20">
        <v>44264</v>
      </c>
      <c r="K1575" s="6" t="s">
        <v>5024</v>
      </c>
      <c r="L1575" s="6">
        <v>9798769069</v>
      </c>
      <c r="N1575" s="16"/>
      <c r="O1575" s="7"/>
      <c r="P1575" s="17"/>
    </row>
    <row r="1576" spans="1:16" ht="14.25" customHeight="1">
      <c r="A1576" s="5" t="s">
        <v>0</v>
      </c>
      <c r="B1576" s="5" t="str">
        <f t="shared" si="11"/>
        <v>Y</v>
      </c>
      <c r="C1576" s="18" t="s">
        <v>5025</v>
      </c>
      <c r="D1576" s="18"/>
      <c r="E1576" s="6" t="s">
        <v>5026</v>
      </c>
      <c r="F1576" s="19" t="s">
        <v>5027</v>
      </c>
      <c r="G1576" s="19" t="s">
        <v>5013</v>
      </c>
      <c r="H1576" s="20">
        <v>44264</v>
      </c>
      <c r="K1576" s="38" t="s">
        <v>5028</v>
      </c>
      <c r="L1576" s="6">
        <v>6204390362</v>
      </c>
      <c r="N1576" s="16"/>
      <c r="O1576" s="7"/>
      <c r="P1576" s="17"/>
    </row>
    <row r="1577" spans="1:16" ht="14.25" customHeight="1">
      <c r="A1577" s="5" t="s">
        <v>0</v>
      </c>
      <c r="B1577" s="5" t="str">
        <f t="shared" si="11"/>
        <v>Y</v>
      </c>
      <c r="C1577" s="18" t="s">
        <v>5029</v>
      </c>
      <c r="D1577" s="18"/>
      <c r="E1577" s="6" t="s">
        <v>5030</v>
      </c>
      <c r="F1577" s="19" t="s">
        <v>5031</v>
      </c>
      <c r="G1577" s="19" t="s">
        <v>5032</v>
      </c>
      <c r="H1577" s="20">
        <v>44262</v>
      </c>
      <c r="L1577" s="6">
        <v>7261033890</v>
      </c>
      <c r="N1577" s="16"/>
      <c r="O1577" s="7"/>
      <c r="P1577" s="17"/>
    </row>
    <row r="1578" spans="1:16" ht="14.25" customHeight="1">
      <c r="A1578" s="5" t="s">
        <v>0</v>
      </c>
      <c r="B1578" s="5" t="str">
        <f t="shared" si="11"/>
        <v>Y</v>
      </c>
      <c r="C1578" s="18" t="s">
        <v>5033</v>
      </c>
      <c r="D1578" s="18"/>
      <c r="E1578" s="6" t="s">
        <v>5034</v>
      </c>
      <c r="F1578" s="19" t="s">
        <v>5035</v>
      </c>
      <c r="G1578" s="19" t="s">
        <v>5036</v>
      </c>
      <c r="H1578" s="19" t="s">
        <v>5036</v>
      </c>
      <c r="L1578" s="6">
        <v>9693993536</v>
      </c>
      <c r="N1578" s="16"/>
      <c r="O1578" s="7"/>
      <c r="P1578" s="17"/>
    </row>
    <row r="1579" spans="1:16" ht="14.25" customHeight="1">
      <c r="A1579" s="5" t="s">
        <v>0</v>
      </c>
      <c r="B1579" s="5" t="str">
        <f t="shared" si="11"/>
        <v>Y</v>
      </c>
      <c r="C1579" s="18" t="s">
        <v>5037</v>
      </c>
      <c r="D1579" s="18"/>
      <c r="E1579" s="6" t="s">
        <v>5038</v>
      </c>
      <c r="F1579" s="19" t="s">
        <v>5039</v>
      </c>
      <c r="G1579" s="19" t="s">
        <v>5036</v>
      </c>
      <c r="H1579" s="19" t="s">
        <v>5036</v>
      </c>
      <c r="L1579" s="6">
        <v>8409169079</v>
      </c>
      <c r="N1579" s="16"/>
      <c r="O1579" s="7"/>
      <c r="P1579" s="17"/>
    </row>
    <row r="1580" spans="1:16" ht="14.25" customHeight="1">
      <c r="A1580" s="5" t="s">
        <v>0</v>
      </c>
      <c r="B1580" s="5" t="str">
        <f t="shared" si="11"/>
        <v>Y</v>
      </c>
      <c r="C1580" s="62" t="s">
        <v>5040</v>
      </c>
      <c r="D1580" s="62"/>
      <c r="E1580" s="47" t="s">
        <v>5041</v>
      </c>
      <c r="F1580" s="63" t="s">
        <v>5042</v>
      </c>
      <c r="G1580" s="63" t="s">
        <v>5043</v>
      </c>
      <c r="H1580" s="20">
        <v>44267</v>
      </c>
      <c r="L1580" s="6">
        <v>8084017957</v>
      </c>
      <c r="N1580" s="16"/>
      <c r="O1580" s="7"/>
      <c r="P1580" s="17"/>
    </row>
    <row r="1581" spans="1:16" ht="14.25" customHeight="1">
      <c r="A1581" s="5" t="s">
        <v>0</v>
      </c>
      <c r="B1581" s="5" t="str">
        <f t="shared" si="11"/>
        <v>N</v>
      </c>
      <c r="C1581" s="18" t="s">
        <v>5044</v>
      </c>
      <c r="D1581" s="18"/>
      <c r="E1581" s="6" t="s">
        <v>1460</v>
      </c>
      <c r="F1581" s="19" t="s">
        <v>5045</v>
      </c>
      <c r="G1581" s="19" t="s">
        <v>5046</v>
      </c>
      <c r="H1581" s="5"/>
      <c r="L1581" s="6">
        <v>9852740582</v>
      </c>
      <c r="N1581" s="16"/>
      <c r="O1581" s="7"/>
      <c r="P1581" s="17"/>
    </row>
    <row r="1582" spans="1:16" ht="14.25" customHeight="1">
      <c r="A1582" s="5" t="s">
        <v>0</v>
      </c>
      <c r="B1582" s="5" t="str">
        <f t="shared" si="11"/>
        <v>N</v>
      </c>
      <c r="C1582" s="18" t="s">
        <v>5047</v>
      </c>
      <c r="D1582" s="18"/>
      <c r="E1582" s="6" t="s">
        <v>5048</v>
      </c>
      <c r="F1582" s="19" t="s">
        <v>5049</v>
      </c>
      <c r="G1582" s="19"/>
      <c r="H1582" s="5"/>
      <c r="N1582" s="16"/>
      <c r="O1582" s="7"/>
      <c r="P1582" s="17"/>
    </row>
    <row r="1583" spans="1:16" ht="14.25" customHeight="1">
      <c r="A1583" s="5" t="s">
        <v>0</v>
      </c>
      <c r="B1583" s="5" t="str">
        <f t="shared" si="11"/>
        <v>Y</v>
      </c>
      <c r="C1583" s="81" t="s">
        <v>5050</v>
      </c>
      <c r="D1583" s="81"/>
      <c r="E1583" s="6" t="s">
        <v>5051</v>
      </c>
      <c r="F1583" s="19" t="s">
        <v>5052</v>
      </c>
      <c r="G1583" s="19" t="s">
        <v>5053</v>
      </c>
      <c r="H1583" s="20">
        <v>44270</v>
      </c>
      <c r="L1583" s="6">
        <v>7209328193</v>
      </c>
      <c r="N1583" s="16"/>
      <c r="O1583" s="7"/>
      <c r="P1583" s="17"/>
    </row>
    <row r="1584" spans="1:16" ht="14.25" customHeight="1">
      <c r="A1584" s="5" t="s">
        <v>0</v>
      </c>
      <c r="B1584" s="5" t="str">
        <f t="shared" si="11"/>
        <v>Y</v>
      </c>
      <c r="C1584" s="18" t="s">
        <v>5054</v>
      </c>
      <c r="D1584" s="18"/>
      <c r="E1584" s="6" t="s">
        <v>5055</v>
      </c>
      <c r="F1584" s="19" t="s">
        <v>3673</v>
      </c>
      <c r="G1584" s="19" t="s">
        <v>5053</v>
      </c>
      <c r="H1584" s="20">
        <v>44270</v>
      </c>
      <c r="L1584" s="6">
        <v>8260422418</v>
      </c>
      <c r="N1584" s="16"/>
      <c r="O1584" s="7"/>
      <c r="P1584" s="17"/>
    </row>
    <row r="1585" spans="1:16" ht="14.25" customHeight="1">
      <c r="A1585" s="5" t="s">
        <v>0</v>
      </c>
      <c r="B1585" s="5" t="str">
        <f t="shared" si="11"/>
        <v>Y</v>
      </c>
      <c r="C1585" s="18" t="s">
        <v>5056</v>
      </c>
      <c r="D1585" s="18"/>
      <c r="E1585" s="6" t="s">
        <v>5057</v>
      </c>
      <c r="F1585" s="19" t="s">
        <v>3029</v>
      </c>
      <c r="G1585" s="19" t="s">
        <v>5053</v>
      </c>
      <c r="H1585" s="20">
        <v>44270</v>
      </c>
      <c r="L1585" s="6">
        <v>8016151521</v>
      </c>
      <c r="N1585" s="16"/>
      <c r="O1585" s="7"/>
      <c r="P1585" s="17"/>
    </row>
    <row r="1586" spans="1:16" ht="14.25" customHeight="1">
      <c r="A1586" s="5" t="s">
        <v>0</v>
      </c>
      <c r="B1586" s="5" t="str">
        <f t="shared" si="11"/>
        <v>Y</v>
      </c>
      <c r="C1586" s="18" t="s">
        <v>5058</v>
      </c>
      <c r="D1586" s="18"/>
      <c r="E1586" s="6" t="s">
        <v>5059</v>
      </c>
      <c r="F1586" s="19" t="s">
        <v>5060</v>
      </c>
      <c r="G1586" s="19" t="s">
        <v>5061</v>
      </c>
      <c r="H1586" s="20">
        <v>44270</v>
      </c>
      <c r="L1586" s="6">
        <v>9835670085</v>
      </c>
      <c r="N1586" s="16"/>
      <c r="O1586" s="7"/>
      <c r="P1586" s="17"/>
    </row>
    <row r="1587" spans="1:16" ht="14.25" customHeight="1">
      <c r="A1587" s="5" t="s">
        <v>0</v>
      </c>
      <c r="B1587" s="5" t="str">
        <f t="shared" si="11"/>
        <v>Y</v>
      </c>
      <c r="C1587" s="18" t="s">
        <v>5062</v>
      </c>
      <c r="D1587" s="18"/>
      <c r="E1587" s="6" t="s">
        <v>5063</v>
      </c>
      <c r="F1587" s="19" t="s">
        <v>5064</v>
      </c>
      <c r="G1587" s="19" t="s">
        <v>5065</v>
      </c>
      <c r="H1587" s="20">
        <v>44273</v>
      </c>
      <c r="L1587" s="6">
        <v>7979972916</v>
      </c>
      <c r="N1587" s="16"/>
      <c r="O1587" s="7"/>
      <c r="P1587" s="17"/>
    </row>
    <row r="1588" spans="1:16" ht="14.25" customHeight="1">
      <c r="A1588" s="5" t="s">
        <v>0</v>
      </c>
      <c r="B1588" s="5" t="str">
        <f t="shared" si="11"/>
        <v>Y</v>
      </c>
      <c r="C1588" s="18" t="s">
        <v>5066</v>
      </c>
      <c r="D1588" s="18"/>
      <c r="E1588" s="6" t="s">
        <v>5067</v>
      </c>
      <c r="F1588" s="19" t="s">
        <v>5068</v>
      </c>
      <c r="G1588" s="19" t="s">
        <v>5065</v>
      </c>
      <c r="H1588" s="20">
        <v>44273</v>
      </c>
      <c r="L1588" s="6">
        <v>9835564586</v>
      </c>
      <c r="N1588" s="16"/>
      <c r="O1588" s="7"/>
      <c r="P1588" s="17"/>
    </row>
    <row r="1589" spans="1:16" ht="14.25" customHeight="1">
      <c r="A1589" s="5" t="s">
        <v>0</v>
      </c>
      <c r="B1589" s="5" t="str">
        <f t="shared" si="11"/>
        <v>Y</v>
      </c>
      <c r="C1589" s="18" t="s">
        <v>5069</v>
      </c>
      <c r="D1589" s="18"/>
      <c r="E1589" s="6" t="s">
        <v>5070</v>
      </c>
      <c r="F1589" s="19" t="s">
        <v>5071</v>
      </c>
      <c r="G1589" s="19" t="s">
        <v>5072</v>
      </c>
      <c r="H1589" s="20">
        <v>44275</v>
      </c>
      <c r="L1589" s="6">
        <v>8603210634</v>
      </c>
      <c r="N1589" s="16"/>
      <c r="O1589" s="7"/>
      <c r="P1589" s="17"/>
    </row>
    <row r="1590" spans="1:16" ht="14.25" customHeight="1">
      <c r="A1590" s="5" t="s">
        <v>0</v>
      </c>
      <c r="B1590" s="5" t="str">
        <f t="shared" si="11"/>
        <v>Y</v>
      </c>
      <c r="C1590" s="18" t="s">
        <v>5073</v>
      </c>
      <c r="D1590" s="18"/>
      <c r="E1590" s="6" t="s">
        <v>5074</v>
      </c>
      <c r="F1590" s="19" t="s">
        <v>3293</v>
      </c>
      <c r="G1590" s="19" t="s">
        <v>5072</v>
      </c>
      <c r="H1590" s="20">
        <v>44275</v>
      </c>
      <c r="L1590" s="6">
        <v>6202651779</v>
      </c>
      <c r="N1590" s="16"/>
      <c r="O1590" s="7"/>
      <c r="P1590" s="17"/>
    </row>
    <row r="1591" spans="1:16" ht="14.25" customHeight="1">
      <c r="A1591" s="5" t="s">
        <v>0</v>
      </c>
      <c r="B1591" s="5" t="str">
        <f t="shared" si="11"/>
        <v>Y</v>
      </c>
      <c r="C1591" s="18" t="s">
        <v>5075</v>
      </c>
      <c r="D1591" s="18"/>
      <c r="E1591" s="6" t="s">
        <v>5076</v>
      </c>
      <c r="F1591" s="19" t="s">
        <v>5077</v>
      </c>
      <c r="G1591" s="19" t="s">
        <v>5072</v>
      </c>
      <c r="H1591" s="20">
        <v>44275</v>
      </c>
      <c r="L1591" s="6">
        <v>9709254072</v>
      </c>
      <c r="N1591" s="16"/>
      <c r="O1591" s="7"/>
      <c r="P1591" s="17"/>
    </row>
    <row r="1592" spans="1:16" ht="14.25" customHeight="1">
      <c r="A1592" s="5" t="s">
        <v>0</v>
      </c>
      <c r="B1592" s="5" t="str">
        <f t="shared" si="11"/>
        <v>Y</v>
      </c>
      <c r="C1592" s="18" t="s">
        <v>5078</v>
      </c>
      <c r="D1592" s="18"/>
      <c r="E1592" s="6" t="s">
        <v>5079</v>
      </c>
      <c r="F1592" s="19" t="s">
        <v>5080</v>
      </c>
      <c r="G1592" s="19" t="s">
        <v>5081</v>
      </c>
      <c r="H1592" s="20">
        <v>44277</v>
      </c>
      <c r="N1592" s="16"/>
      <c r="O1592" s="7"/>
      <c r="P1592" s="17"/>
    </row>
    <row r="1593" spans="1:16" ht="14.25" customHeight="1">
      <c r="A1593" s="5" t="s">
        <v>0</v>
      </c>
      <c r="B1593" s="5" t="str">
        <f t="shared" si="11"/>
        <v>Y</v>
      </c>
      <c r="C1593" s="18" t="s">
        <v>5082</v>
      </c>
      <c r="D1593" s="18"/>
      <c r="E1593" s="6" t="s">
        <v>5083</v>
      </c>
      <c r="F1593" s="19" t="s">
        <v>5084</v>
      </c>
      <c r="G1593" s="19" t="s">
        <v>5085</v>
      </c>
      <c r="H1593" s="20">
        <v>44278</v>
      </c>
      <c r="K1593" s="6" t="s">
        <v>4698</v>
      </c>
      <c r="L1593" s="6">
        <v>8092684131</v>
      </c>
      <c r="N1593" s="16"/>
      <c r="O1593" s="7"/>
      <c r="P1593" s="17"/>
    </row>
    <row r="1594" spans="1:16" ht="14.25" customHeight="1">
      <c r="A1594" s="5" t="s">
        <v>0</v>
      </c>
      <c r="B1594" s="5" t="str">
        <f t="shared" si="11"/>
        <v>Y</v>
      </c>
      <c r="C1594" s="18" t="s">
        <v>5086</v>
      </c>
      <c r="D1594" s="18"/>
      <c r="E1594" s="6" t="s">
        <v>5087</v>
      </c>
      <c r="F1594" s="19" t="s">
        <v>5088</v>
      </c>
      <c r="G1594" s="19" t="s">
        <v>5085</v>
      </c>
      <c r="H1594" s="19" t="s">
        <v>5085</v>
      </c>
      <c r="L1594" s="6">
        <v>9661456944</v>
      </c>
      <c r="N1594" s="16"/>
      <c r="O1594" s="7"/>
      <c r="P1594" s="17"/>
    </row>
    <row r="1595" spans="1:16" ht="14.25" customHeight="1">
      <c r="A1595" s="5" t="s">
        <v>0</v>
      </c>
      <c r="B1595" s="5" t="str">
        <f t="shared" si="11"/>
        <v>Y</v>
      </c>
      <c r="C1595" s="18" t="s">
        <v>5089</v>
      </c>
      <c r="D1595" s="18"/>
      <c r="E1595" s="6" t="s">
        <v>5090</v>
      </c>
      <c r="F1595" s="19" t="s">
        <v>5091</v>
      </c>
      <c r="G1595" s="19" t="s">
        <v>5085</v>
      </c>
      <c r="H1595" s="19" t="s">
        <v>5085</v>
      </c>
      <c r="L1595" s="6">
        <v>9525264346</v>
      </c>
      <c r="N1595" s="16"/>
      <c r="O1595" s="7"/>
      <c r="P1595" s="17"/>
    </row>
    <row r="1596" spans="1:16" ht="14.25" customHeight="1">
      <c r="A1596" s="5" t="s">
        <v>0</v>
      </c>
      <c r="B1596" s="5" t="str">
        <f t="shared" si="11"/>
        <v>Y</v>
      </c>
      <c r="C1596" s="18" t="s">
        <v>5092</v>
      </c>
      <c r="D1596" s="18"/>
      <c r="E1596" s="6" t="s">
        <v>5093</v>
      </c>
      <c r="F1596" s="19" t="s">
        <v>5094</v>
      </c>
      <c r="G1596" s="19" t="s">
        <v>5095</v>
      </c>
      <c r="H1596" s="19" t="s">
        <v>5096</v>
      </c>
      <c r="L1596" s="6">
        <v>9508149905</v>
      </c>
      <c r="N1596" s="16"/>
      <c r="O1596" s="7"/>
      <c r="P1596" s="17"/>
    </row>
    <row r="1597" spans="1:16" ht="14.25" customHeight="1">
      <c r="A1597" s="5" t="s">
        <v>0</v>
      </c>
      <c r="B1597" s="5" t="str">
        <f t="shared" si="11"/>
        <v>Y</v>
      </c>
      <c r="C1597" s="18" t="s">
        <v>5097</v>
      </c>
      <c r="D1597" s="18"/>
      <c r="E1597" s="6" t="s">
        <v>5098</v>
      </c>
      <c r="F1597" s="19" t="s">
        <v>5099</v>
      </c>
      <c r="G1597" s="19" t="s">
        <v>5095</v>
      </c>
      <c r="H1597" s="19" t="s">
        <v>5096</v>
      </c>
      <c r="L1597" s="6">
        <v>9431167110</v>
      </c>
      <c r="N1597" s="16"/>
      <c r="O1597" s="7"/>
      <c r="P1597" s="17"/>
    </row>
    <row r="1598" spans="1:16" ht="14.25" customHeight="1">
      <c r="A1598" s="5" t="s">
        <v>0</v>
      </c>
      <c r="B1598" s="5" t="str">
        <f t="shared" si="11"/>
        <v>Y</v>
      </c>
      <c r="C1598" s="18" t="s">
        <v>5100</v>
      </c>
      <c r="D1598" s="18"/>
      <c r="E1598" s="6" t="s">
        <v>5101</v>
      </c>
      <c r="F1598" s="19" t="s">
        <v>5102</v>
      </c>
      <c r="G1598" s="19" t="s">
        <v>5103</v>
      </c>
      <c r="H1598" s="20">
        <v>44282</v>
      </c>
      <c r="L1598" s="6">
        <v>6204623642</v>
      </c>
      <c r="N1598" s="16"/>
      <c r="O1598" s="7"/>
      <c r="P1598" s="17"/>
    </row>
    <row r="1599" spans="1:16" ht="14.25" customHeight="1">
      <c r="A1599" s="5" t="s">
        <v>0</v>
      </c>
      <c r="B1599" s="5" t="str">
        <f t="shared" si="11"/>
        <v>Y</v>
      </c>
      <c r="C1599" s="18" t="s">
        <v>5104</v>
      </c>
      <c r="D1599" s="18"/>
      <c r="E1599" s="6" t="s">
        <v>5105</v>
      </c>
      <c r="F1599" s="19" t="s">
        <v>5106</v>
      </c>
      <c r="G1599" s="19" t="s">
        <v>5107</v>
      </c>
      <c r="H1599" s="20">
        <v>44282</v>
      </c>
      <c r="L1599" s="6">
        <v>8789955685</v>
      </c>
      <c r="N1599" s="16"/>
      <c r="O1599" s="7"/>
      <c r="P1599" s="17"/>
    </row>
    <row r="1600" spans="1:16" ht="14.25" customHeight="1">
      <c r="A1600" s="5" t="s">
        <v>0</v>
      </c>
      <c r="B1600" s="5" t="str">
        <f t="shared" si="11"/>
        <v>Y</v>
      </c>
      <c r="C1600" s="18" t="s">
        <v>5108</v>
      </c>
      <c r="D1600" s="18"/>
      <c r="E1600" s="6" t="s">
        <v>5109</v>
      </c>
      <c r="F1600" s="19" t="s">
        <v>5110</v>
      </c>
      <c r="G1600" s="19" t="s">
        <v>5107</v>
      </c>
      <c r="H1600" s="19" t="s">
        <v>5107</v>
      </c>
      <c r="L1600" s="6">
        <v>7632053336</v>
      </c>
      <c r="N1600" s="16"/>
      <c r="O1600" s="7"/>
      <c r="P1600" s="17"/>
    </row>
    <row r="1601" spans="1:16" ht="14.25" customHeight="1">
      <c r="A1601" s="5" t="s">
        <v>0</v>
      </c>
      <c r="B1601" s="5" t="str">
        <f t="shared" si="11"/>
        <v>Y</v>
      </c>
      <c r="C1601" s="18" t="s">
        <v>5111</v>
      </c>
      <c r="D1601" s="18"/>
      <c r="E1601" s="6" t="s">
        <v>5112</v>
      </c>
      <c r="F1601" s="19" t="s">
        <v>5113</v>
      </c>
      <c r="G1601" s="19" t="s">
        <v>5107</v>
      </c>
      <c r="H1601" s="19" t="s">
        <v>5107</v>
      </c>
      <c r="L1601" s="6">
        <v>8340173835</v>
      </c>
      <c r="N1601" s="16"/>
      <c r="O1601" s="7"/>
      <c r="P1601" s="17"/>
    </row>
    <row r="1602" spans="1:16" ht="14.25" customHeight="1">
      <c r="A1602" s="5" t="s">
        <v>0</v>
      </c>
      <c r="B1602" s="5" t="str">
        <f t="shared" si="11"/>
        <v>Y</v>
      </c>
      <c r="C1602" s="18" t="s">
        <v>5114</v>
      </c>
      <c r="D1602" s="18"/>
      <c r="E1602" s="6" t="s">
        <v>5115</v>
      </c>
      <c r="F1602" s="19" t="s">
        <v>5116</v>
      </c>
      <c r="G1602" s="19" t="s">
        <v>5107</v>
      </c>
      <c r="H1602" s="19" t="s">
        <v>5107</v>
      </c>
      <c r="L1602" s="6">
        <v>9771420180</v>
      </c>
      <c r="N1602" s="16"/>
      <c r="O1602" s="7"/>
      <c r="P1602" s="17"/>
    </row>
    <row r="1603" spans="1:16" ht="14.25" customHeight="1">
      <c r="A1603" s="5" t="s">
        <v>0</v>
      </c>
      <c r="B1603" s="5" t="str">
        <f t="shared" si="11"/>
        <v>Y</v>
      </c>
      <c r="C1603" s="18" t="s">
        <v>5117</v>
      </c>
      <c r="D1603" s="18"/>
      <c r="E1603" s="6" t="s">
        <v>4780</v>
      </c>
      <c r="F1603" s="19" t="s">
        <v>5118</v>
      </c>
      <c r="G1603" s="19" t="s">
        <v>5107</v>
      </c>
      <c r="H1603" s="20">
        <v>44282</v>
      </c>
      <c r="L1603" s="6">
        <v>6204623642</v>
      </c>
      <c r="N1603" s="16"/>
      <c r="O1603" s="7"/>
      <c r="P1603" s="17"/>
    </row>
    <row r="1604" spans="1:16" ht="14.25" customHeight="1">
      <c r="A1604" s="5" t="s">
        <v>0</v>
      </c>
      <c r="B1604" s="5" t="str">
        <f t="shared" si="11"/>
        <v>Y</v>
      </c>
      <c r="C1604" s="18" t="s">
        <v>5119</v>
      </c>
      <c r="D1604" s="18"/>
      <c r="E1604" s="6" t="s">
        <v>5120</v>
      </c>
      <c r="F1604" s="19" t="s">
        <v>5121</v>
      </c>
      <c r="G1604" s="19" t="s">
        <v>5107</v>
      </c>
      <c r="H1604" s="20">
        <v>44282</v>
      </c>
      <c r="N1604" s="16"/>
      <c r="O1604" s="7"/>
      <c r="P1604" s="17"/>
    </row>
    <row r="1605" spans="1:16" ht="14.25" customHeight="1">
      <c r="A1605" s="5" t="s">
        <v>0</v>
      </c>
      <c r="B1605" s="5" t="str">
        <f t="shared" si="11"/>
        <v>Y</v>
      </c>
      <c r="C1605" s="18" t="s">
        <v>5122</v>
      </c>
      <c r="D1605" s="18"/>
      <c r="E1605" s="6" t="s">
        <v>5123</v>
      </c>
      <c r="F1605" s="19" t="s">
        <v>5124</v>
      </c>
      <c r="G1605" s="19" t="s">
        <v>5125</v>
      </c>
      <c r="H1605" s="19" t="s">
        <v>5125</v>
      </c>
      <c r="L1605" s="6">
        <v>7061588856</v>
      </c>
      <c r="N1605" s="16"/>
      <c r="O1605" s="7"/>
      <c r="P1605" s="17"/>
    </row>
    <row r="1606" spans="1:16" ht="14.25" customHeight="1">
      <c r="A1606" s="5" t="s">
        <v>0</v>
      </c>
      <c r="B1606" s="5" t="str">
        <f t="shared" si="11"/>
        <v>Y</v>
      </c>
      <c r="C1606" s="18" t="s">
        <v>5126</v>
      </c>
      <c r="D1606" s="18"/>
      <c r="E1606" s="6" t="s">
        <v>5127</v>
      </c>
      <c r="F1606" s="19" t="s">
        <v>5128</v>
      </c>
      <c r="G1606" s="19" t="s">
        <v>5129</v>
      </c>
      <c r="H1606" s="20">
        <v>44285</v>
      </c>
      <c r="K1606" s="38" t="s">
        <v>5130</v>
      </c>
      <c r="L1606" s="6">
        <v>8603452667</v>
      </c>
      <c r="N1606" s="16"/>
      <c r="O1606" s="7"/>
      <c r="P1606" s="17"/>
    </row>
    <row r="1607" spans="1:16" ht="14.25" customHeight="1">
      <c r="A1607" s="5" t="s">
        <v>0</v>
      </c>
      <c r="B1607" s="5" t="str">
        <f t="shared" si="11"/>
        <v>Y</v>
      </c>
      <c r="C1607" s="18" t="s">
        <v>5131</v>
      </c>
      <c r="D1607" s="18"/>
      <c r="E1607" s="6" t="s">
        <v>5132</v>
      </c>
      <c r="F1607" s="19" t="s">
        <v>5133</v>
      </c>
      <c r="G1607" s="19" t="s">
        <v>5129</v>
      </c>
      <c r="H1607" s="20">
        <v>44286</v>
      </c>
      <c r="L1607" s="6">
        <v>6204220411</v>
      </c>
      <c r="N1607" s="16"/>
      <c r="O1607" s="7"/>
      <c r="P1607" s="17"/>
    </row>
    <row r="1608" spans="1:16" ht="14.25" customHeight="1">
      <c r="A1608" s="5" t="s">
        <v>0</v>
      </c>
      <c r="B1608" s="5" t="str">
        <f t="shared" si="11"/>
        <v>Y</v>
      </c>
      <c r="C1608" s="18" t="s">
        <v>5134</v>
      </c>
      <c r="D1608" s="18"/>
      <c r="E1608" s="6" t="s">
        <v>5135</v>
      </c>
      <c r="F1608" s="19" t="s">
        <v>5136</v>
      </c>
      <c r="G1608" s="19" t="s">
        <v>5129</v>
      </c>
      <c r="H1608" s="20">
        <v>44286</v>
      </c>
      <c r="L1608" s="6">
        <v>7209606443</v>
      </c>
      <c r="N1608" s="16"/>
      <c r="O1608" s="7"/>
      <c r="P1608" s="17"/>
    </row>
    <row r="1609" spans="1:16" ht="14.25" customHeight="1">
      <c r="A1609" s="5" t="s">
        <v>0</v>
      </c>
      <c r="B1609" s="5" t="str">
        <f t="shared" si="11"/>
        <v>Y</v>
      </c>
      <c r="C1609" s="18" t="s">
        <v>5137</v>
      </c>
      <c r="D1609" s="18"/>
      <c r="E1609" s="6" t="s">
        <v>5138</v>
      </c>
      <c r="F1609" s="19" t="s">
        <v>5139</v>
      </c>
      <c r="G1609" s="19" t="s">
        <v>5140</v>
      </c>
      <c r="H1609" s="19" t="s">
        <v>5140</v>
      </c>
      <c r="L1609" s="6">
        <v>7482937244</v>
      </c>
      <c r="N1609" s="16"/>
      <c r="O1609" s="7"/>
      <c r="P1609" s="17"/>
    </row>
    <row r="1610" spans="1:16" ht="14.25" customHeight="1">
      <c r="A1610" s="5" t="s">
        <v>0</v>
      </c>
      <c r="B1610" s="5" t="str">
        <f t="shared" si="11"/>
        <v>Y</v>
      </c>
      <c r="C1610" s="18" t="s">
        <v>5141</v>
      </c>
      <c r="D1610" s="18"/>
      <c r="E1610" s="6" t="s">
        <v>5142</v>
      </c>
      <c r="F1610" s="19" t="s">
        <v>3344</v>
      </c>
      <c r="G1610" s="19" t="s">
        <v>5143</v>
      </c>
      <c r="H1610" s="19" t="s">
        <v>5143</v>
      </c>
      <c r="L1610" s="6">
        <v>8797291214</v>
      </c>
      <c r="N1610" s="16"/>
      <c r="O1610" s="7"/>
      <c r="P1610" s="17"/>
    </row>
    <row r="1611" spans="1:16" ht="14.25" customHeight="1">
      <c r="A1611" s="5" t="s">
        <v>0</v>
      </c>
      <c r="B1611" s="5" t="str">
        <f t="shared" si="11"/>
        <v>Y</v>
      </c>
      <c r="C1611" s="18" t="s">
        <v>5144</v>
      </c>
      <c r="D1611" s="18"/>
      <c r="E1611" s="6" t="s">
        <v>5145</v>
      </c>
      <c r="F1611" s="19" t="s">
        <v>5146</v>
      </c>
      <c r="G1611" s="19" t="s">
        <v>5143</v>
      </c>
      <c r="H1611" s="19" t="s">
        <v>5143</v>
      </c>
      <c r="L1611" s="6">
        <v>7903772690</v>
      </c>
      <c r="N1611" s="16"/>
      <c r="O1611" s="7"/>
      <c r="P1611" s="17"/>
    </row>
    <row r="1612" spans="1:16" ht="14.25" customHeight="1">
      <c r="A1612" s="5" t="s">
        <v>0</v>
      </c>
      <c r="B1612" s="5" t="str">
        <f t="shared" si="11"/>
        <v>Y</v>
      </c>
      <c r="C1612" s="18" t="s">
        <v>5147</v>
      </c>
      <c r="D1612" s="18"/>
      <c r="E1612" s="6" t="s">
        <v>5148</v>
      </c>
      <c r="F1612" s="19" t="s">
        <v>5149</v>
      </c>
      <c r="G1612" s="19" t="s">
        <v>5143</v>
      </c>
      <c r="H1612" s="19" t="s">
        <v>5143</v>
      </c>
      <c r="L1612" s="6">
        <v>8797291214</v>
      </c>
      <c r="N1612" s="16"/>
      <c r="O1612" s="7"/>
      <c r="P1612" s="17"/>
    </row>
    <row r="1613" spans="1:16" ht="14.25" customHeight="1">
      <c r="A1613" s="5" t="s">
        <v>0</v>
      </c>
      <c r="B1613" s="5" t="str">
        <f t="shared" si="11"/>
        <v>Y</v>
      </c>
      <c r="C1613" s="18" t="s">
        <v>5150</v>
      </c>
      <c r="D1613" s="18"/>
      <c r="E1613" s="6" t="s">
        <v>5151</v>
      </c>
      <c r="F1613" s="19" t="s">
        <v>5152</v>
      </c>
      <c r="G1613" s="19" t="s">
        <v>5143</v>
      </c>
      <c r="H1613" s="19" t="s">
        <v>5143</v>
      </c>
      <c r="L1613" s="6">
        <v>9031395162</v>
      </c>
      <c r="N1613" s="16"/>
      <c r="O1613" s="7"/>
      <c r="P1613" s="17"/>
    </row>
    <row r="1614" spans="1:16" ht="14.25" customHeight="1">
      <c r="A1614" s="5" t="s">
        <v>0</v>
      </c>
      <c r="B1614" s="5" t="str">
        <f t="shared" si="11"/>
        <v>Y</v>
      </c>
      <c r="C1614" s="18" t="s">
        <v>5153</v>
      </c>
      <c r="D1614" s="18"/>
      <c r="E1614" s="6" t="s">
        <v>5154</v>
      </c>
      <c r="F1614" s="19" t="s">
        <v>5155</v>
      </c>
      <c r="G1614" s="19" t="s">
        <v>5143</v>
      </c>
      <c r="H1614" s="19" t="s">
        <v>5143</v>
      </c>
      <c r="L1614" s="6">
        <v>8092248694</v>
      </c>
      <c r="N1614" s="16"/>
      <c r="O1614" s="7"/>
      <c r="P1614" s="17"/>
    </row>
    <row r="1615" spans="1:16" ht="14.25" customHeight="1">
      <c r="A1615" s="5" t="s">
        <v>0</v>
      </c>
      <c r="B1615" s="5" t="str">
        <f t="shared" si="11"/>
        <v>Y</v>
      </c>
      <c r="C1615" s="18" t="s">
        <v>5156</v>
      </c>
      <c r="D1615" s="18"/>
      <c r="E1615" s="6" t="s">
        <v>5157</v>
      </c>
      <c r="F1615" s="19" t="s">
        <v>5158</v>
      </c>
      <c r="G1615" s="19" t="s">
        <v>5143</v>
      </c>
      <c r="H1615" s="19" t="s">
        <v>5143</v>
      </c>
      <c r="L1615" s="6">
        <v>8709707874</v>
      </c>
      <c r="N1615" s="16"/>
      <c r="O1615" s="7"/>
      <c r="P1615" s="17"/>
    </row>
    <row r="1616" spans="1:16" ht="14.25" customHeight="1">
      <c r="A1616" s="5" t="s">
        <v>0</v>
      </c>
      <c r="B1616" s="5" t="str">
        <f t="shared" si="11"/>
        <v>Y</v>
      </c>
      <c r="C1616" s="18" t="s">
        <v>5159</v>
      </c>
      <c r="D1616" s="18"/>
      <c r="E1616" s="6" t="s">
        <v>5160</v>
      </c>
      <c r="F1616" s="19" t="s">
        <v>5161</v>
      </c>
      <c r="G1616" s="19" t="s">
        <v>5162</v>
      </c>
      <c r="H1616" s="19" t="s">
        <v>5162</v>
      </c>
      <c r="L1616" s="6">
        <v>7761823413</v>
      </c>
      <c r="N1616" s="16"/>
      <c r="O1616" s="7"/>
      <c r="P1616" s="17"/>
    </row>
    <row r="1617" spans="1:16" ht="14.25" customHeight="1">
      <c r="A1617" s="5" t="s">
        <v>0</v>
      </c>
      <c r="B1617" s="5" t="str">
        <f t="shared" si="11"/>
        <v>Y</v>
      </c>
      <c r="C1617" s="18" t="s">
        <v>5163</v>
      </c>
      <c r="D1617" s="18"/>
      <c r="E1617" s="6" t="s">
        <v>5164</v>
      </c>
      <c r="F1617" s="19" t="s">
        <v>5165</v>
      </c>
      <c r="G1617" s="19" t="s">
        <v>5162</v>
      </c>
      <c r="H1617" s="19" t="s">
        <v>5162</v>
      </c>
      <c r="L1617" s="6">
        <v>9835489204</v>
      </c>
      <c r="N1617" s="16"/>
      <c r="O1617" s="7"/>
      <c r="P1617" s="17"/>
    </row>
    <row r="1618" spans="1:16" ht="14.25" customHeight="1">
      <c r="A1618" s="5" t="s">
        <v>0</v>
      </c>
      <c r="B1618" s="5" t="str">
        <f t="shared" si="11"/>
        <v>Y</v>
      </c>
      <c r="C1618" s="18" t="s">
        <v>5166</v>
      </c>
      <c r="D1618" s="18"/>
      <c r="E1618" s="6" t="s">
        <v>5167</v>
      </c>
      <c r="F1618" s="19" t="s">
        <v>5168</v>
      </c>
      <c r="G1618" s="19" t="s">
        <v>5169</v>
      </c>
      <c r="H1618" s="19" t="s">
        <v>5169</v>
      </c>
      <c r="L1618" s="6">
        <v>9431330106</v>
      </c>
      <c r="N1618" s="16"/>
      <c r="O1618" s="7"/>
      <c r="P1618" s="17"/>
    </row>
    <row r="1619" spans="1:16" ht="14.25" customHeight="1">
      <c r="A1619" s="5" t="s">
        <v>0</v>
      </c>
      <c r="B1619" s="5" t="str">
        <f t="shared" si="11"/>
        <v>Y</v>
      </c>
      <c r="C1619" s="18" t="s">
        <v>5170</v>
      </c>
      <c r="D1619" s="18"/>
      <c r="E1619" s="6" t="s">
        <v>5171</v>
      </c>
      <c r="F1619" s="19" t="s">
        <v>5172</v>
      </c>
      <c r="G1619" s="19" t="s">
        <v>5169</v>
      </c>
      <c r="H1619" s="19" t="s">
        <v>5169</v>
      </c>
      <c r="L1619" s="6">
        <v>9431330106</v>
      </c>
      <c r="N1619" s="16"/>
      <c r="O1619" s="7"/>
      <c r="P1619" s="17"/>
    </row>
    <row r="1620" spans="1:16" ht="14.25" customHeight="1">
      <c r="A1620" s="5" t="s">
        <v>0</v>
      </c>
      <c r="B1620" s="5" t="str">
        <f t="shared" si="11"/>
        <v>Y</v>
      </c>
      <c r="C1620" s="18" t="s">
        <v>5173</v>
      </c>
      <c r="D1620" s="18"/>
      <c r="E1620" s="6" t="s">
        <v>5174</v>
      </c>
      <c r="F1620" s="19" t="s">
        <v>5175</v>
      </c>
      <c r="G1620" s="19" t="s">
        <v>5169</v>
      </c>
      <c r="H1620" s="19" t="s">
        <v>5169</v>
      </c>
      <c r="L1620" s="6">
        <v>9142040034</v>
      </c>
      <c r="N1620" s="16"/>
      <c r="O1620" s="7"/>
      <c r="P1620" s="17"/>
    </row>
    <row r="1621" spans="1:16" ht="14.25" customHeight="1">
      <c r="A1621" s="5" t="s">
        <v>0</v>
      </c>
      <c r="B1621" s="5" t="str">
        <f t="shared" si="11"/>
        <v>Y</v>
      </c>
      <c r="C1621" s="18" t="s">
        <v>5176</v>
      </c>
      <c r="D1621" s="18"/>
      <c r="E1621" s="6" t="s">
        <v>5177</v>
      </c>
      <c r="F1621" s="19" t="s">
        <v>5178</v>
      </c>
      <c r="G1621" s="19" t="s">
        <v>5169</v>
      </c>
      <c r="H1621" s="19" t="s">
        <v>5169</v>
      </c>
      <c r="N1621" s="16"/>
      <c r="O1621" s="7"/>
      <c r="P1621" s="17"/>
    </row>
    <row r="1622" spans="1:16" ht="14.25" customHeight="1">
      <c r="A1622" s="5" t="s">
        <v>0</v>
      </c>
      <c r="B1622" s="5" t="str">
        <f t="shared" si="11"/>
        <v>Y</v>
      </c>
      <c r="C1622" s="18" t="s">
        <v>5179</v>
      </c>
      <c r="D1622" s="18"/>
      <c r="E1622" s="6" t="s">
        <v>5180</v>
      </c>
      <c r="F1622" s="19" t="s">
        <v>5181</v>
      </c>
      <c r="G1622" s="19" t="s">
        <v>5182</v>
      </c>
      <c r="H1622" s="19" t="s">
        <v>5182</v>
      </c>
      <c r="K1622" s="19" t="s">
        <v>4698</v>
      </c>
      <c r="L1622" s="6">
        <v>9835393584</v>
      </c>
      <c r="N1622" s="16"/>
      <c r="O1622" s="7"/>
      <c r="P1622" s="17"/>
    </row>
    <row r="1623" spans="1:16" ht="14.25" customHeight="1">
      <c r="A1623" s="5" t="s">
        <v>0</v>
      </c>
      <c r="B1623" s="5" t="str">
        <f t="shared" si="11"/>
        <v>Y</v>
      </c>
      <c r="C1623" s="18" t="s">
        <v>5183</v>
      </c>
      <c r="D1623" s="18"/>
      <c r="E1623" s="6" t="s">
        <v>5184</v>
      </c>
      <c r="F1623" s="19" t="s">
        <v>5185</v>
      </c>
      <c r="G1623" s="19" t="s">
        <v>5182</v>
      </c>
      <c r="H1623" s="19" t="s">
        <v>5182</v>
      </c>
      <c r="K1623" s="142" t="s">
        <v>5186</v>
      </c>
      <c r="L1623" s="6">
        <v>8986813787</v>
      </c>
      <c r="N1623" s="16"/>
      <c r="O1623" s="7"/>
      <c r="P1623" s="17"/>
    </row>
    <row r="1624" spans="1:16" ht="14.25" customHeight="1">
      <c r="A1624" s="5" t="s">
        <v>0</v>
      </c>
      <c r="B1624" s="5" t="str">
        <f t="shared" si="11"/>
        <v>Y</v>
      </c>
      <c r="C1624" s="18" t="s">
        <v>5187</v>
      </c>
      <c r="D1624" s="18"/>
      <c r="E1624" s="6" t="s">
        <v>5188</v>
      </c>
      <c r="F1624" s="19" t="s">
        <v>5189</v>
      </c>
      <c r="G1624" s="19" t="s">
        <v>5190</v>
      </c>
      <c r="H1624" s="20">
        <v>44293</v>
      </c>
      <c r="L1624" s="6">
        <v>8092876763</v>
      </c>
      <c r="N1624" s="16"/>
      <c r="O1624" s="7"/>
      <c r="P1624" s="17"/>
    </row>
    <row r="1625" spans="1:16" ht="14.25" customHeight="1">
      <c r="A1625" s="5" t="s">
        <v>0</v>
      </c>
      <c r="B1625" s="5" t="str">
        <f t="shared" si="11"/>
        <v>Y</v>
      </c>
      <c r="C1625" s="18" t="s">
        <v>5191</v>
      </c>
      <c r="D1625" s="18"/>
      <c r="E1625" s="6" t="s">
        <v>5192</v>
      </c>
      <c r="F1625" s="19" t="s">
        <v>5193</v>
      </c>
      <c r="G1625" s="19" t="s">
        <v>5190</v>
      </c>
      <c r="H1625" s="20">
        <v>44293</v>
      </c>
      <c r="L1625" s="6">
        <v>8102137893</v>
      </c>
      <c r="N1625" s="16"/>
      <c r="O1625" s="7"/>
      <c r="P1625" s="17"/>
    </row>
    <row r="1626" spans="1:16" ht="14.25" customHeight="1">
      <c r="A1626" s="5" t="s">
        <v>0</v>
      </c>
      <c r="B1626" s="5" t="str">
        <f t="shared" si="11"/>
        <v>Y</v>
      </c>
      <c r="C1626" s="18" t="s">
        <v>5194</v>
      </c>
      <c r="D1626" s="18"/>
      <c r="E1626" s="6" t="s">
        <v>5195</v>
      </c>
      <c r="F1626" s="19" t="s">
        <v>5196</v>
      </c>
      <c r="G1626" s="19" t="s">
        <v>5190</v>
      </c>
      <c r="H1626" s="20">
        <v>44293</v>
      </c>
      <c r="L1626" s="6">
        <v>8877024024</v>
      </c>
      <c r="N1626" s="16"/>
      <c r="O1626" s="7"/>
      <c r="P1626" s="17"/>
    </row>
    <row r="1627" spans="1:16" ht="14.25" customHeight="1">
      <c r="A1627" s="5" t="s">
        <v>0</v>
      </c>
      <c r="B1627" s="5" t="str">
        <f t="shared" si="11"/>
        <v>Y</v>
      </c>
      <c r="C1627" s="18" t="s">
        <v>5197</v>
      </c>
      <c r="D1627" s="18"/>
      <c r="E1627" s="6" t="s">
        <v>5198</v>
      </c>
      <c r="F1627" s="19" t="s">
        <v>5199</v>
      </c>
      <c r="G1627" s="19" t="s">
        <v>5190</v>
      </c>
      <c r="H1627" s="20">
        <v>44293</v>
      </c>
      <c r="K1627" s="6" t="s">
        <v>5200</v>
      </c>
      <c r="L1627" s="6">
        <v>8789772921</v>
      </c>
      <c r="N1627" s="16"/>
      <c r="O1627" s="7"/>
      <c r="P1627" s="17"/>
    </row>
    <row r="1628" spans="1:16" ht="14.25" customHeight="1">
      <c r="A1628" s="5" t="s">
        <v>0</v>
      </c>
      <c r="B1628" s="5" t="str">
        <f t="shared" si="11"/>
        <v>Y</v>
      </c>
      <c r="C1628" s="80" t="s">
        <v>5201</v>
      </c>
      <c r="D1628" s="80"/>
      <c r="E1628" s="6" t="s">
        <v>5202</v>
      </c>
      <c r="F1628" s="19" t="s">
        <v>5203</v>
      </c>
      <c r="G1628" s="19" t="s">
        <v>5204</v>
      </c>
      <c r="H1628" s="19" t="s">
        <v>5204</v>
      </c>
      <c r="L1628" s="6">
        <v>7903677484</v>
      </c>
      <c r="N1628" s="16"/>
      <c r="O1628" s="7"/>
      <c r="P1628" s="17"/>
    </row>
    <row r="1629" spans="1:16" ht="14.25" customHeight="1">
      <c r="A1629" s="5" t="s">
        <v>0</v>
      </c>
      <c r="B1629" s="5" t="str">
        <f t="shared" si="11"/>
        <v>Y</v>
      </c>
      <c r="C1629" s="18" t="s">
        <v>5205</v>
      </c>
      <c r="D1629" s="18"/>
      <c r="E1629" s="6" t="s">
        <v>5206</v>
      </c>
      <c r="F1629" s="19" t="s">
        <v>5207</v>
      </c>
      <c r="G1629" s="19" t="s">
        <v>5204</v>
      </c>
      <c r="H1629" s="19" t="s">
        <v>5204</v>
      </c>
      <c r="L1629" s="6">
        <v>8092879267</v>
      </c>
      <c r="N1629" s="16"/>
      <c r="O1629" s="7"/>
      <c r="P1629" s="17"/>
    </row>
    <row r="1630" spans="1:16" ht="14.25" customHeight="1">
      <c r="A1630" s="5" t="s">
        <v>0</v>
      </c>
      <c r="B1630" s="5" t="str">
        <f t="shared" si="11"/>
        <v>Y</v>
      </c>
      <c r="C1630" s="18" t="s">
        <v>5208</v>
      </c>
      <c r="D1630" s="18"/>
      <c r="E1630" s="6" t="s">
        <v>5209</v>
      </c>
      <c r="F1630" s="19" t="s">
        <v>5210</v>
      </c>
      <c r="G1630" s="19" t="s">
        <v>5204</v>
      </c>
      <c r="H1630" s="19" t="s">
        <v>5204</v>
      </c>
      <c r="L1630" s="6">
        <v>9661123668</v>
      </c>
      <c r="N1630" s="16"/>
      <c r="O1630" s="7"/>
      <c r="P1630" s="17"/>
    </row>
    <row r="1631" spans="1:16" ht="14.25" customHeight="1">
      <c r="A1631" s="5" t="s">
        <v>0</v>
      </c>
      <c r="B1631" s="5" t="str">
        <f t="shared" si="11"/>
        <v>Y</v>
      </c>
      <c r="C1631" s="18" t="s">
        <v>5211</v>
      </c>
      <c r="D1631" s="18"/>
      <c r="E1631" s="6" t="s">
        <v>5212</v>
      </c>
      <c r="F1631" s="19" t="s">
        <v>3424</v>
      </c>
      <c r="G1631" s="19" t="s">
        <v>5204</v>
      </c>
      <c r="H1631" s="19" t="s">
        <v>5204</v>
      </c>
      <c r="L1631" s="6">
        <v>8434646895</v>
      </c>
      <c r="N1631" s="16"/>
      <c r="O1631" s="7"/>
      <c r="P1631" s="17"/>
    </row>
    <row r="1632" spans="1:16" ht="14.25" customHeight="1">
      <c r="A1632" s="5" t="s">
        <v>0</v>
      </c>
      <c r="B1632" s="5" t="str">
        <f t="shared" si="11"/>
        <v>Y</v>
      </c>
      <c r="C1632" s="18" t="s">
        <v>5213</v>
      </c>
      <c r="D1632" s="18"/>
      <c r="E1632" s="6" t="s">
        <v>5214</v>
      </c>
      <c r="F1632" s="19" t="s">
        <v>5215</v>
      </c>
      <c r="G1632" s="19" t="s">
        <v>5204</v>
      </c>
      <c r="H1632" s="19" t="s">
        <v>5204</v>
      </c>
      <c r="L1632" s="6">
        <v>7079270767</v>
      </c>
      <c r="N1632" s="16"/>
      <c r="O1632" s="7"/>
      <c r="P1632" s="17"/>
    </row>
    <row r="1633" spans="1:16" ht="14.25" customHeight="1">
      <c r="A1633" s="5" t="s">
        <v>0</v>
      </c>
      <c r="B1633" s="5" t="str">
        <f t="shared" si="11"/>
        <v>Y</v>
      </c>
      <c r="C1633" s="18" t="s">
        <v>5216</v>
      </c>
      <c r="D1633" s="18"/>
      <c r="E1633" s="6" t="s">
        <v>5217</v>
      </c>
      <c r="F1633" s="19" t="s">
        <v>5218</v>
      </c>
      <c r="G1633" s="19" t="s">
        <v>5204</v>
      </c>
      <c r="H1633" s="19" t="s">
        <v>5219</v>
      </c>
      <c r="L1633" s="6">
        <v>7858922828</v>
      </c>
      <c r="N1633" s="16"/>
      <c r="O1633" s="7"/>
      <c r="P1633" s="17"/>
    </row>
    <row r="1634" spans="1:16" ht="14.25" customHeight="1">
      <c r="A1634" s="5" t="s">
        <v>0</v>
      </c>
      <c r="B1634" s="5" t="str">
        <f t="shared" si="11"/>
        <v>Y</v>
      </c>
      <c r="C1634" s="18" t="s">
        <v>5220</v>
      </c>
      <c r="D1634" s="18"/>
      <c r="E1634" s="6" t="s">
        <v>5221</v>
      </c>
      <c r="F1634" s="19" t="s">
        <v>5222</v>
      </c>
      <c r="G1634" s="19" t="s">
        <v>5219</v>
      </c>
      <c r="H1634" s="19" t="s">
        <v>5219</v>
      </c>
      <c r="L1634" s="6">
        <v>9835171045</v>
      </c>
      <c r="N1634" s="16"/>
      <c r="O1634" s="7"/>
      <c r="P1634" s="17"/>
    </row>
    <row r="1635" spans="1:16" ht="14.25" customHeight="1">
      <c r="A1635" s="5" t="s">
        <v>0</v>
      </c>
      <c r="B1635" s="5" t="str">
        <f t="shared" si="11"/>
        <v>Y</v>
      </c>
      <c r="C1635" s="18" t="s">
        <v>5223</v>
      </c>
      <c r="D1635" s="18"/>
      <c r="E1635" s="6" t="s">
        <v>5224</v>
      </c>
      <c r="F1635" s="19" t="s">
        <v>5225</v>
      </c>
      <c r="G1635" s="19" t="s">
        <v>5219</v>
      </c>
      <c r="H1635" s="19" t="s">
        <v>5219</v>
      </c>
      <c r="L1635" s="6">
        <v>8789552082</v>
      </c>
      <c r="N1635" s="16"/>
      <c r="O1635" s="7"/>
      <c r="P1635" s="17"/>
    </row>
    <row r="1636" spans="1:16" ht="14.25" customHeight="1">
      <c r="A1636" s="5" t="s">
        <v>0</v>
      </c>
      <c r="B1636" s="5" t="str">
        <f t="shared" si="11"/>
        <v>Y</v>
      </c>
      <c r="C1636" s="18" t="s">
        <v>5226</v>
      </c>
      <c r="D1636" s="18"/>
      <c r="E1636" s="6" t="s">
        <v>5227</v>
      </c>
      <c r="F1636" s="19" t="s">
        <v>3054</v>
      </c>
      <c r="G1636" s="19" t="s">
        <v>5219</v>
      </c>
      <c r="H1636" s="19" t="s">
        <v>5219</v>
      </c>
      <c r="L1636" s="6">
        <v>7070449831</v>
      </c>
      <c r="N1636" s="16"/>
      <c r="O1636" s="7"/>
      <c r="P1636" s="17"/>
    </row>
    <row r="1637" spans="1:16" ht="14.25" customHeight="1">
      <c r="A1637" s="5" t="s">
        <v>0</v>
      </c>
      <c r="B1637" s="5" t="str">
        <f t="shared" si="11"/>
        <v>Y</v>
      </c>
      <c r="C1637" s="18" t="s">
        <v>5228</v>
      </c>
      <c r="D1637" s="18"/>
      <c r="E1637" s="6" t="s">
        <v>3133</v>
      </c>
      <c r="F1637" s="19" t="s">
        <v>5229</v>
      </c>
      <c r="G1637" s="19" t="s">
        <v>5230</v>
      </c>
      <c r="H1637" s="19" t="s">
        <v>5230</v>
      </c>
      <c r="L1637" s="6">
        <v>9204249100</v>
      </c>
      <c r="N1637" s="16"/>
      <c r="O1637" s="7"/>
      <c r="P1637" s="17"/>
    </row>
    <row r="1638" spans="1:16" ht="14.25" customHeight="1">
      <c r="A1638" s="5" t="s">
        <v>0</v>
      </c>
      <c r="B1638" s="5" t="str">
        <f t="shared" si="11"/>
        <v>Y</v>
      </c>
      <c r="C1638" s="18" t="s">
        <v>5231</v>
      </c>
      <c r="D1638" s="18"/>
      <c r="E1638" s="6" t="s">
        <v>5232</v>
      </c>
      <c r="F1638" s="19" t="s">
        <v>5233</v>
      </c>
      <c r="G1638" s="19" t="s">
        <v>5230</v>
      </c>
      <c r="H1638" s="19" t="s">
        <v>5230</v>
      </c>
      <c r="L1638" s="6">
        <v>8709464598</v>
      </c>
      <c r="N1638" s="16"/>
      <c r="O1638" s="7"/>
      <c r="P1638" s="17"/>
    </row>
    <row r="1639" spans="1:16" ht="14.25" customHeight="1">
      <c r="A1639" s="5" t="s">
        <v>0</v>
      </c>
      <c r="B1639" s="5" t="str">
        <f t="shared" si="11"/>
        <v>Y</v>
      </c>
      <c r="C1639" s="18" t="s">
        <v>5234</v>
      </c>
      <c r="D1639" s="18"/>
      <c r="E1639" s="6" t="s">
        <v>5235</v>
      </c>
      <c r="F1639" s="19" t="s">
        <v>5236</v>
      </c>
      <c r="G1639" s="19" t="s">
        <v>5230</v>
      </c>
      <c r="H1639" s="19" t="s">
        <v>5230</v>
      </c>
      <c r="L1639" s="6">
        <v>7091186444</v>
      </c>
      <c r="N1639" s="16"/>
      <c r="O1639" s="7"/>
      <c r="P1639" s="17"/>
    </row>
    <row r="1640" spans="1:16" ht="14.25" customHeight="1">
      <c r="A1640" s="5" t="s">
        <v>0</v>
      </c>
      <c r="B1640" s="5" t="str">
        <f t="shared" si="11"/>
        <v>Y</v>
      </c>
      <c r="C1640" s="18" t="s">
        <v>5237</v>
      </c>
      <c r="D1640" s="18"/>
      <c r="E1640" s="6" t="s">
        <v>5238</v>
      </c>
      <c r="F1640" s="19" t="s">
        <v>5239</v>
      </c>
      <c r="G1640" s="19" t="s">
        <v>5240</v>
      </c>
      <c r="H1640" s="20">
        <v>44298</v>
      </c>
      <c r="L1640" s="6">
        <v>9905721612</v>
      </c>
      <c r="N1640" s="16"/>
      <c r="O1640" s="7"/>
      <c r="P1640" s="17"/>
    </row>
    <row r="1641" spans="1:16" ht="14.25" customHeight="1">
      <c r="A1641" s="5" t="s">
        <v>0</v>
      </c>
      <c r="B1641" s="5" t="str">
        <f t="shared" si="11"/>
        <v>Y</v>
      </c>
      <c r="C1641" s="18" t="s">
        <v>5241</v>
      </c>
      <c r="D1641" s="18"/>
      <c r="E1641" s="6" t="s">
        <v>5242</v>
      </c>
      <c r="F1641" s="19" t="s">
        <v>5243</v>
      </c>
      <c r="G1641" s="19" t="s">
        <v>5240</v>
      </c>
      <c r="H1641" s="20">
        <v>44298</v>
      </c>
      <c r="K1641" s="137" t="s">
        <v>5244</v>
      </c>
      <c r="L1641" s="6">
        <v>6200586815</v>
      </c>
      <c r="N1641" s="16"/>
      <c r="O1641" s="7"/>
      <c r="P1641" s="17"/>
    </row>
    <row r="1642" spans="1:16" ht="14.25" customHeight="1">
      <c r="A1642" s="5" t="s">
        <v>0</v>
      </c>
      <c r="B1642" s="5" t="str">
        <f t="shared" si="11"/>
        <v>Y</v>
      </c>
      <c r="C1642" s="18" t="s">
        <v>5245</v>
      </c>
      <c r="D1642" s="18"/>
      <c r="E1642" s="6" t="s">
        <v>5246</v>
      </c>
      <c r="F1642" s="19" t="s">
        <v>5247</v>
      </c>
      <c r="G1642" s="19" t="s">
        <v>5240</v>
      </c>
      <c r="H1642" s="20">
        <v>44298</v>
      </c>
      <c r="K1642" s="6" t="s">
        <v>4698</v>
      </c>
      <c r="L1642" s="6">
        <v>9031953504</v>
      </c>
      <c r="N1642" s="16"/>
      <c r="O1642" s="7"/>
      <c r="P1642" s="17"/>
    </row>
    <row r="1643" spans="1:16" ht="14.25" customHeight="1">
      <c r="A1643" s="5" t="s">
        <v>0</v>
      </c>
      <c r="B1643" s="5" t="str">
        <f t="shared" si="11"/>
        <v>Y</v>
      </c>
      <c r="C1643" s="18" t="s">
        <v>5248</v>
      </c>
      <c r="D1643" s="18"/>
      <c r="E1643" s="6" t="s">
        <v>5249</v>
      </c>
      <c r="F1643" s="19" t="s">
        <v>5250</v>
      </c>
      <c r="G1643" s="19" t="s">
        <v>5240</v>
      </c>
      <c r="H1643" s="20">
        <v>44298</v>
      </c>
      <c r="K1643" s="137" t="s">
        <v>5251</v>
      </c>
      <c r="L1643" s="6">
        <v>6200770418</v>
      </c>
      <c r="N1643" s="16"/>
      <c r="O1643" s="7"/>
      <c r="P1643" s="17"/>
    </row>
    <row r="1644" spans="1:16" ht="14.25" customHeight="1">
      <c r="A1644" s="5" t="s">
        <v>0</v>
      </c>
      <c r="B1644" s="5" t="str">
        <f t="shared" si="11"/>
        <v>N</v>
      </c>
      <c r="C1644" s="18" t="s">
        <v>5252</v>
      </c>
      <c r="D1644" s="18"/>
      <c r="E1644" s="6" t="s">
        <v>5253</v>
      </c>
      <c r="F1644" s="19" t="s">
        <v>5254</v>
      </c>
      <c r="G1644" s="19" t="s">
        <v>5240</v>
      </c>
      <c r="H1644" s="19"/>
      <c r="L1644" s="6">
        <v>9835170142</v>
      </c>
      <c r="N1644" s="16"/>
      <c r="O1644" s="7"/>
      <c r="P1644" s="17"/>
    </row>
    <row r="1645" spans="1:16" ht="14.25" customHeight="1">
      <c r="A1645" s="5" t="s">
        <v>0</v>
      </c>
      <c r="B1645" s="5" t="str">
        <f t="shared" si="11"/>
        <v>Y</v>
      </c>
      <c r="C1645" s="18" t="s">
        <v>5255</v>
      </c>
      <c r="D1645" s="18"/>
      <c r="E1645" s="6" t="s">
        <v>5256</v>
      </c>
      <c r="F1645" s="19" t="s">
        <v>5257</v>
      </c>
      <c r="G1645" s="19" t="s">
        <v>5258</v>
      </c>
      <c r="H1645" s="19" t="s">
        <v>5258</v>
      </c>
      <c r="L1645" s="6">
        <v>8252171691</v>
      </c>
      <c r="N1645" s="16"/>
      <c r="O1645" s="7"/>
      <c r="P1645" s="17"/>
    </row>
    <row r="1646" spans="1:16" ht="14.25" customHeight="1">
      <c r="A1646" s="5" t="s">
        <v>0</v>
      </c>
      <c r="B1646" s="5" t="str">
        <f t="shared" si="11"/>
        <v>Y</v>
      </c>
      <c r="C1646" s="18" t="s">
        <v>5252</v>
      </c>
      <c r="D1646" s="18"/>
      <c r="E1646" s="6" t="s">
        <v>5253</v>
      </c>
      <c r="F1646" s="19" t="s">
        <v>5259</v>
      </c>
      <c r="G1646" s="19" t="s">
        <v>5258</v>
      </c>
      <c r="H1646" s="19" t="s">
        <v>5258</v>
      </c>
      <c r="L1646" s="6">
        <v>9835170142</v>
      </c>
      <c r="N1646" s="16"/>
      <c r="O1646" s="7"/>
      <c r="P1646" s="17"/>
    </row>
    <row r="1647" spans="1:16" ht="14.25" customHeight="1">
      <c r="A1647" s="5" t="s">
        <v>0</v>
      </c>
      <c r="B1647" s="5" t="str">
        <f t="shared" si="11"/>
        <v>Y</v>
      </c>
      <c r="C1647" s="18" t="s">
        <v>5260</v>
      </c>
      <c r="D1647" s="18"/>
      <c r="E1647" s="6" t="s">
        <v>5261</v>
      </c>
      <c r="F1647" s="19" t="s">
        <v>5262</v>
      </c>
      <c r="G1647" s="19" t="s">
        <v>5263</v>
      </c>
      <c r="H1647" s="19" t="s">
        <v>5263</v>
      </c>
      <c r="L1647" s="6">
        <v>9031504189</v>
      </c>
      <c r="N1647" s="16"/>
      <c r="O1647" s="7"/>
      <c r="P1647" s="17"/>
    </row>
    <row r="1648" spans="1:16" ht="14.25" customHeight="1">
      <c r="A1648" s="5" t="s">
        <v>0</v>
      </c>
      <c r="B1648" s="5" t="str">
        <f t="shared" si="11"/>
        <v>Y</v>
      </c>
      <c r="C1648" s="18" t="s">
        <v>5264</v>
      </c>
      <c r="D1648" s="18"/>
      <c r="E1648" s="6" t="s">
        <v>5265</v>
      </c>
      <c r="F1648" s="19" t="s">
        <v>5266</v>
      </c>
      <c r="G1648" s="19" t="s">
        <v>5263</v>
      </c>
      <c r="H1648" s="19" t="s">
        <v>5263</v>
      </c>
      <c r="L1648" s="6">
        <v>8617421827</v>
      </c>
      <c r="N1648" s="16"/>
      <c r="O1648" s="7"/>
      <c r="P1648" s="17"/>
    </row>
    <row r="1649" spans="1:16" ht="14.25" customHeight="1">
      <c r="A1649" s="5" t="s">
        <v>0</v>
      </c>
      <c r="B1649" s="5" t="str">
        <f t="shared" si="11"/>
        <v>Y</v>
      </c>
      <c r="C1649" s="18" t="s">
        <v>5267</v>
      </c>
      <c r="D1649" s="18"/>
      <c r="E1649" s="6" t="s">
        <v>5268</v>
      </c>
      <c r="F1649" s="19" t="s">
        <v>5269</v>
      </c>
      <c r="G1649" s="19" t="s">
        <v>5270</v>
      </c>
      <c r="H1649" s="19" t="s">
        <v>5270</v>
      </c>
      <c r="L1649" s="6">
        <v>9931900944</v>
      </c>
      <c r="N1649" s="16"/>
      <c r="O1649" s="7"/>
      <c r="P1649" s="17"/>
    </row>
    <row r="1650" spans="1:16" ht="14.25" customHeight="1">
      <c r="A1650" s="5" t="s">
        <v>0</v>
      </c>
      <c r="B1650" s="5" t="str">
        <f t="shared" si="11"/>
        <v>Y</v>
      </c>
      <c r="C1650" s="18" t="s">
        <v>5271</v>
      </c>
      <c r="D1650" s="18"/>
      <c r="E1650" s="6" t="s">
        <v>5272</v>
      </c>
      <c r="F1650" s="19" t="s">
        <v>5273</v>
      </c>
      <c r="G1650" s="19" t="s">
        <v>5270</v>
      </c>
      <c r="H1650" s="19" t="s">
        <v>5270</v>
      </c>
      <c r="L1650" s="6">
        <v>6202059598</v>
      </c>
      <c r="N1650" s="16"/>
      <c r="O1650" s="7"/>
      <c r="P1650" s="17"/>
    </row>
    <row r="1651" spans="1:16" ht="14.25" customHeight="1">
      <c r="A1651" s="5" t="s">
        <v>0</v>
      </c>
      <c r="B1651" s="5" t="str">
        <f t="shared" si="11"/>
        <v>Y</v>
      </c>
      <c r="C1651" s="18" t="s">
        <v>5274</v>
      </c>
      <c r="D1651" s="18"/>
      <c r="E1651" s="6" t="s">
        <v>5275</v>
      </c>
      <c r="F1651" s="19" t="s">
        <v>5276</v>
      </c>
      <c r="G1651" s="19" t="s">
        <v>5270</v>
      </c>
      <c r="H1651" s="20">
        <v>44302</v>
      </c>
      <c r="L1651" s="6">
        <v>6200040556</v>
      </c>
      <c r="N1651" s="16"/>
      <c r="O1651" s="7"/>
      <c r="P1651" s="17"/>
    </row>
    <row r="1652" spans="1:16" ht="14.25" customHeight="1">
      <c r="A1652" s="5" t="s">
        <v>0</v>
      </c>
      <c r="B1652" s="5" t="str">
        <f t="shared" si="11"/>
        <v>Y</v>
      </c>
      <c r="C1652" s="18" t="s">
        <v>5277</v>
      </c>
      <c r="D1652" s="18"/>
      <c r="E1652" s="6" t="s">
        <v>5278</v>
      </c>
      <c r="F1652" s="19" t="s">
        <v>4777</v>
      </c>
      <c r="G1652" s="19" t="s">
        <v>5270</v>
      </c>
      <c r="H1652" s="20">
        <v>44302</v>
      </c>
      <c r="L1652" s="6">
        <v>8092879226</v>
      </c>
      <c r="N1652" s="16"/>
      <c r="O1652" s="7"/>
      <c r="P1652" s="17"/>
    </row>
    <row r="1653" spans="1:16" ht="14.25" customHeight="1">
      <c r="A1653" s="5" t="s">
        <v>0</v>
      </c>
      <c r="B1653" s="5" t="str">
        <f t="shared" si="11"/>
        <v>Y</v>
      </c>
      <c r="C1653" s="18" t="s">
        <v>5279</v>
      </c>
      <c r="D1653" s="18"/>
      <c r="E1653" s="6" t="s">
        <v>5280</v>
      </c>
      <c r="F1653" s="19" t="s">
        <v>5281</v>
      </c>
      <c r="G1653" s="19" t="s">
        <v>5282</v>
      </c>
      <c r="H1653" s="20">
        <v>44302</v>
      </c>
      <c r="L1653" s="6">
        <v>6204695739</v>
      </c>
      <c r="N1653" s="16"/>
      <c r="O1653" s="7"/>
      <c r="P1653" s="17"/>
    </row>
    <row r="1654" spans="1:16" ht="14.25" customHeight="1">
      <c r="A1654" s="5" t="s">
        <v>0</v>
      </c>
      <c r="B1654" s="5" t="str">
        <f t="shared" si="11"/>
        <v>Y</v>
      </c>
      <c r="C1654" s="18" t="s">
        <v>5283</v>
      </c>
      <c r="D1654" s="18"/>
      <c r="E1654" s="6" t="s">
        <v>5284</v>
      </c>
      <c r="F1654" s="19" t="s">
        <v>5155</v>
      </c>
      <c r="G1654" s="19" t="s">
        <v>5285</v>
      </c>
      <c r="H1654" s="20">
        <v>44303</v>
      </c>
      <c r="L1654" s="6">
        <v>9934184483</v>
      </c>
      <c r="N1654" s="16"/>
      <c r="O1654" s="7"/>
      <c r="P1654" s="17"/>
    </row>
    <row r="1655" spans="1:16" ht="14.25" customHeight="1">
      <c r="A1655" s="5" t="s">
        <v>0</v>
      </c>
      <c r="B1655" s="5" t="str">
        <f t="shared" si="11"/>
        <v>Y</v>
      </c>
      <c r="C1655" s="18" t="s">
        <v>5286</v>
      </c>
      <c r="D1655" s="18"/>
      <c r="E1655" s="6" t="s">
        <v>5287</v>
      </c>
      <c r="F1655" s="19" t="s">
        <v>5288</v>
      </c>
      <c r="G1655" s="19" t="s">
        <v>5285</v>
      </c>
      <c r="H1655" s="20">
        <v>44303</v>
      </c>
      <c r="L1655" s="6">
        <v>8170085152</v>
      </c>
      <c r="N1655" s="16"/>
      <c r="O1655" s="7"/>
      <c r="P1655" s="17"/>
    </row>
    <row r="1656" spans="1:16" ht="14.25" customHeight="1">
      <c r="A1656" s="5" t="s">
        <v>0</v>
      </c>
      <c r="B1656" s="5" t="str">
        <f t="shared" si="11"/>
        <v>Y</v>
      </c>
      <c r="C1656" s="18" t="s">
        <v>5289</v>
      </c>
      <c r="D1656" s="18"/>
      <c r="E1656" s="6" t="s">
        <v>5290</v>
      </c>
      <c r="F1656" s="19" t="s">
        <v>3216</v>
      </c>
      <c r="G1656" s="19" t="s">
        <v>5285</v>
      </c>
      <c r="H1656" s="20">
        <v>44303</v>
      </c>
      <c r="L1656" s="6">
        <v>7484022282</v>
      </c>
      <c r="N1656" s="16"/>
      <c r="O1656" s="7"/>
      <c r="P1656" s="17"/>
    </row>
    <row r="1657" spans="1:16" ht="14.25" customHeight="1">
      <c r="A1657" s="5" t="s">
        <v>0</v>
      </c>
      <c r="B1657" s="5" t="str">
        <f t="shared" si="11"/>
        <v>Y</v>
      </c>
      <c r="C1657" s="18" t="s">
        <v>5291</v>
      </c>
      <c r="D1657" s="18"/>
      <c r="E1657" s="6" t="s">
        <v>5292</v>
      </c>
      <c r="F1657" s="19" t="s">
        <v>5293</v>
      </c>
      <c r="G1657" s="19" t="s">
        <v>5294</v>
      </c>
      <c r="H1657" s="20">
        <v>44305</v>
      </c>
      <c r="L1657" s="6">
        <v>9708754999</v>
      </c>
      <c r="N1657" s="16"/>
      <c r="O1657" s="7"/>
      <c r="P1657" s="17"/>
    </row>
    <row r="1658" spans="1:16" ht="14.25" customHeight="1">
      <c r="A1658" s="5" t="s">
        <v>0</v>
      </c>
      <c r="B1658" s="5" t="str">
        <f t="shared" si="11"/>
        <v>Y</v>
      </c>
      <c r="C1658" s="18" t="s">
        <v>5295</v>
      </c>
      <c r="D1658" s="18"/>
      <c r="E1658" s="6" t="s">
        <v>5296</v>
      </c>
      <c r="F1658" s="19" t="s">
        <v>5293</v>
      </c>
      <c r="G1658" s="19" t="s">
        <v>5294</v>
      </c>
      <c r="H1658" s="20">
        <v>44305</v>
      </c>
      <c r="L1658" s="6">
        <v>7633970466</v>
      </c>
      <c r="N1658" s="16"/>
      <c r="O1658" s="7"/>
      <c r="P1658" s="17"/>
    </row>
    <row r="1659" spans="1:16" ht="14.25" customHeight="1">
      <c r="A1659" s="5" t="s">
        <v>0</v>
      </c>
      <c r="B1659" s="5" t="str">
        <f t="shared" si="11"/>
        <v>Y</v>
      </c>
      <c r="C1659" s="18" t="s">
        <v>5297</v>
      </c>
      <c r="D1659" s="18"/>
      <c r="E1659" s="6" t="s">
        <v>5298</v>
      </c>
      <c r="F1659" s="19" t="s">
        <v>5299</v>
      </c>
      <c r="G1659" s="19" t="s">
        <v>5294</v>
      </c>
      <c r="H1659" s="20">
        <v>44305</v>
      </c>
      <c r="L1659" s="6">
        <v>7631189721</v>
      </c>
      <c r="N1659" s="16"/>
      <c r="O1659" s="7"/>
      <c r="P1659" s="17"/>
    </row>
    <row r="1660" spans="1:16" ht="14.25" customHeight="1">
      <c r="A1660" s="5" t="s">
        <v>0</v>
      </c>
      <c r="B1660" s="5" t="str">
        <f t="shared" si="11"/>
        <v>Y</v>
      </c>
      <c r="C1660" s="18" t="s">
        <v>5300</v>
      </c>
      <c r="D1660" s="18"/>
      <c r="E1660" s="6" t="s">
        <v>5301</v>
      </c>
      <c r="F1660" s="19" t="s">
        <v>5302</v>
      </c>
      <c r="G1660" s="19" t="s">
        <v>5303</v>
      </c>
      <c r="H1660" s="20">
        <v>44307</v>
      </c>
      <c r="K1660" s="6" t="s">
        <v>5304</v>
      </c>
      <c r="L1660" s="6">
        <v>8002590678</v>
      </c>
      <c r="N1660" s="16"/>
      <c r="O1660" s="7"/>
      <c r="P1660" s="17"/>
    </row>
    <row r="1661" spans="1:16" ht="14.25" customHeight="1">
      <c r="A1661" s="5" t="s">
        <v>0</v>
      </c>
      <c r="B1661" s="5" t="str">
        <f t="shared" si="11"/>
        <v>Y</v>
      </c>
      <c r="C1661" s="18" t="s">
        <v>5305</v>
      </c>
      <c r="D1661" s="18"/>
      <c r="E1661" s="6" t="s">
        <v>5306</v>
      </c>
      <c r="F1661" s="19" t="s">
        <v>2885</v>
      </c>
      <c r="G1661" s="19" t="s">
        <v>5307</v>
      </c>
      <c r="H1661" s="20">
        <v>44308</v>
      </c>
      <c r="K1661" s="6" t="s">
        <v>5308</v>
      </c>
      <c r="L1661" s="6">
        <v>9031080123</v>
      </c>
      <c r="N1661" s="16"/>
      <c r="O1661" s="7"/>
      <c r="P1661" s="17"/>
    </row>
    <row r="1662" spans="1:16" ht="14.25" customHeight="1">
      <c r="A1662" s="5" t="s">
        <v>0</v>
      </c>
      <c r="B1662" s="5" t="str">
        <f t="shared" si="11"/>
        <v>Y</v>
      </c>
      <c r="C1662" s="18" t="s">
        <v>5309</v>
      </c>
      <c r="D1662" s="18"/>
      <c r="E1662" s="6" t="s">
        <v>5310</v>
      </c>
      <c r="F1662" s="19" t="s">
        <v>5311</v>
      </c>
      <c r="G1662" s="19" t="s">
        <v>5312</v>
      </c>
      <c r="H1662" s="20">
        <v>44309</v>
      </c>
      <c r="K1662" s="6" t="s">
        <v>5313</v>
      </c>
      <c r="L1662" s="6">
        <v>8987864098</v>
      </c>
      <c r="N1662" s="16"/>
      <c r="O1662" s="7"/>
      <c r="P1662" s="17"/>
    </row>
    <row r="1663" spans="1:16" ht="14.25" customHeight="1">
      <c r="A1663" s="5" t="s">
        <v>0</v>
      </c>
      <c r="B1663" s="5" t="str">
        <f t="shared" si="11"/>
        <v>Y</v>
      </c>
      <c r="C1663" s="18" t="s">
        <v>5314</v>
      </c>
      <c r="D1663" s="18"/>
      <c r="E1663" s="6" t="s">
        <v>5315</v>
      </c>
      <c r="F1663" s="19" t="s">
        <v>5316</v>
      </c>
      <c r="G1663" s="19" t="s">
        <v>5317</v>
      </c>
      <c r="H1663" s="20">
        <v>44312</v>
      </c>
      <c r="K1663" s="6" t="s">
        <v>5318</v>
      </c>
      <c r="L1663" s="6">
        <v>9931739797</v>
      </c>
      <c r="N1663" s="16"/>
      <c r="O1663" s="7"/>
      <c r="P1663" s="17"/>
    </row>
    <row r="1664" spans="1:16" ht="14.25" customHeight="1">
      <c r="A1664" s="5" t="s">
        <v>0</v>
      </c>
      <c r="B1664" s="5" t="str">
        <f t="shared" si="11"/>
        <v>Y</v>
      </c>
      <c r="C1664" s="18" t="s">
        <v>5319</v>
      </c>
      <c r="D1664" s="18"/>
      <c r="E1664" s="6" t="s">
        <v>5320</v>
      </c>
      <c r="F1664" s="19" t="s">
        <v>2425</v>
      </c>
      <c r="G1664" s="19" t="s">
        <v>5321</v>
      </c>
      <c r="H1664" s="20">
        <v>44314</v>
      </c>
      <c r="K1664" s="6" t="s">
        <v>5322</v>
      </c>
      <c r="L1664" s="6">
        <v>6207119076</v>
      </c>
      <c r="N1664" s="16"/>
      <c r="O1664" s="7"/>
      <c r="P1664" s="17"/>
    </row>
    <row r="1665" spans="1:16" ht="14.25" customHeight="1">
      <c r="A1665" s="5" t="s">
        <v>0</v>
      </c>
      <c r="B1665" s="5" t="str">
        <f t="shared" si="11"/>
        <v>Y</v>
      </c>
      <c r="C1665" s="18" t="s">
        <v>5323</v>
      </c>
      <c r="D1665" s="18"/>
      <c r="E1665" s="6" t="s">
        <v>5272</v>
      </c>
      <c r="F1665" s="19" t="s">
        <v>5324</v>
      </c>
      <c r="G1665" s="19" t="s">
        <v>5325</v>
      </c>
      <c r="H1665" s="20">
        <v>44318</v>
      </c>
      <c r="K1665" s="6" t="s">
        <v>5326</v>
      </c>
      <c r="L1665" s="6">
        <v>6202059598</v>
      </c>
      <c r="N1665" s="16"/>
      <c r="O1665" s="7"/>
      <c r="P1665" s="17"/>
    </row>
    <row r="1666" spans="1:16" ht="14.25" customHeight="1">
      <c r="A1666" s="5" t="s">
        <v>0</v>
      </c>
      <c r="B1666" s="5" t="str">
        <f t="shared" si="11"/>
        <v>Y</v>
      </c>
      <c r="C1666" s="18" t="s">
        <v>5327</v>
      </c>
      <c r="D1666" s="18"/>
      <c r="E1666" s="6" t="s">
        <v>5296</v>
      </c>
      <c r="F1666" s="19" t="s">
        <v>5328</v>
      </c>
      <c r="G1666" s="19" t="s">
        <v>5329</v>
      </c>
      <c r="H1666" s="20">
        <v>44318</v>
      </c>
      <c r="K1666" s="6" t="s">
        <v>4698</v>
      </c>
      <c r="L1666" s="6">
        <v>7633970466</v>
      </c>
      <c r="N1666" s="16"/>
      <c r="O1666" s="7"/>
      <c r="P1666" s="17"/>
    </row>
    <row r="1667" spans="1:16" ht="14.25" customHeight="1">
      <c r="A1667" s="5" t="s">
        <v>0</v>
      </c>
      <c r="B1667" s="5" t="str">
        <f t="shared" si="11"/>
        <v>Y</v>
      </c>
      <c r="C1667" s="18" t="s">
        <v>5330</v>
      </c>
      <c r="D1667" s="18"/>
      <c r="E1667" s="6" t="s">
        <v>5331</v>
      </c>
      <c r="F1667" s="19" t="s">
        <v>5332</v>
      </c>
      <c r="G1667" s="19" t="s">
        <v>5329</v>
      </c>
      <c r="H1667" s="20">
        <v>44319</v>
      </c>
      <c r="L1667" s="6">
        <v>9608466563</v>
      </c>
      <c r="N1667" s="16"/>
      <c r="O1667" s="7"/>
      <c r="P1667" s="17"/>
    </row>
    <row r="1668" spans="1:16" ht="14.25" customHeight="1">
      <c r="A1668" s="5" t="s">
        <v>0</v>
      </c>
      <c r="B1668" s="5" t="str">
        <f t="shared" si="11"/>
        <v>Y</v>
      </c>
      <c r="C1668" s="18" t="s">
        <v>5333</v>
      </c>
      <c r="D1668" s="18"/>
      <c r="E1668" s="6" t="s">
        <v>695</v>
      </c>
      <c r="F1668" s="19" t="s">
        <v>5334</v>
      </c>
      <c r="G1668" s="19" t="s">
        <v>5335</v>
      </c>
      <c r="H1668" s="20">
        <v>44319</v>
      </c>
      <c r="K1668" s="6" t="s">
        <v>4698</v>
      </c>
      <c r="L1668" s="6">
        <v>7209420095</v>
      </c>
      <c r="N1668" s="16"/>
      <c r="O1668" s="7"/>
      <c r="P1668" s="17"/>
    </row>
    <row r="1669" spans="1:16" ht="14.25" customHeight="1">
      <c r="A1669" s="5" t="s">
        <v>0</v>
      </c>
      <c r="B1669" s="5" t="str">
        <f t="shared" si="11"/>
        <v>Y</v>
      </c>
      <c r="C1669" s="18" t="s">
        <v>5336</v>
      </c>
      <c r="D1669" s="18"/>
      <c r="E1669" s="6" t="s">
        <v>5337</v>
      </c>
      <c r="F1669" s="19" t="s">
        <v>5338</v>
      </c>
      <c r="G1669" s="19" t="s">
        <v>5339</v>
      </c>
      <c r="H1669" s="19" t="s">
        <v>5339</v>
      </c>
      <c r="L1669" s="6">
        <v>8210150023</v>
      </c>
      <c r="N1669" s="16"/>
      <c r="O1669" s="7"/>
      <c r="P1669" s="17"/>
    </row>
    <row r="1670" spans="1:16" ht="14.25" customHeight="1">
      <c r="A1670" s="5" t="s">
        <v>0</v>
      </c>
      <c r="B1670" s="5" t="str">
        <f t="shared" si="11"/>
        <v>Y</v>
      </c>
      <c r="C1670" s="18" t="s">
        <v>5340</v>
      </c>
      <c r="D1670" s="18"/>
      <c r="E1670" s="6" t="s">
        <v>5341</v>
      </c>
      <c r="F1670" s="19" t="s">
        <v>5342</v>
      </c>
      <c r="G1670" s="19" t="s">
        <v>5339</v>
      </c>
      <c r="H1670" s="19" t="s">
        <v>5339</v>
      </c>
      <c r="L1670" s="6">
        <v>9031530022</v>
      </c>
      <c r="N1670" s="16"/>
      <c r="O1670" s="7"/>
      <c r="P1670" s="17"/>
    </row>
    <row r="1671" spans="1:16" ht="14.25" customHeight="1">
      <c r="A1671" s="5" t="s">
        <v>0</v>
      </c>
      <c r="B1671" s="5" t="str">
        <f t="shared" si="11"/>
        <v>Y</v>
      </c>
      <c r="C1671" s="18" t="s">
        <v>5343</v>
      </c>
      <c r="D1671" s="18"/>
      <c r="E1671" s="6" t="s">
        <v>5344</v>
      </c>
      <c r="F1671" s="19" t="s">
        <v>5345</v>
      </c>
      <c r="G1671" s="19" t="s">
        <v>5346</v>
      </c>
      <c r="H1671" s="20">
        <v>44322</v>
      </c>
      <c r="K1671" s="6" t="s">
        <v>5347</v>
      </c>
      <c r="L1671" s="6">
        <v>6299869955</v>
      </c>
      <c r="N1671" s="16"/>
      <c r="O1671" s="7"/>
      <c r="P1671" s="17"/>
    </row>
    <row r="1672" spans="1:16" ht="14.25" customHeight="1">
      <c r="A1672" s="5" t="s">
        <v>0</v>
      </c>
      <c r="B1672" s="5" t="str">
        <f t="shared" si="11"/>
        <v>Y</v>
      </c>
      <c r="C1672" s="18" t="s">
        <v>5348</v>
      </c>
      <c r="D1672" s="18"/>
      <c r="E1672" s="6" t="s">
        <v>426</v>
      </c>
      <c r="F1672" s="19" t="s">
        <v>5349</v>
      </c>
      <c r="G1672" s="19" t="s">
        <v>5350</v>
      </c>
      <c r="H1672" s="20">
        <v>44324</v>
      </c>
      <c r="L1672" s="6">
        <v>947099151</v>
      </c>
      <c r="N1672" s="16"/>
      <c r="O1672" s="7"/>
      <c r="P1672" s="17"/>
    </row>
    <row r="1673" spans="1:16" ht="14.25" customHeight="1">
      <c r="A1673" s="5" t="s">
        <v>0</v>
      </c>
      <c r="B1673" s="5" t="str">
        <f t="shared" si="11"/>
        <v>Y</v>
      </c>
      <c r="C1673" s="18" t="s">
        <v>5351</v>
      </c>
      <c r="D1673" s="18"/>
      <c r="E1673" s="6" t="s">
        <v>5352</v>
      </c>
      <c r="F1673" s="19" t="s">
        <v>5353</v>
      </c>
      <c r="G1673" s="19" t="s">
        <v>5354</v>
      </c>
      <c r="H1673" s="20">
        <v>44326</v>
      </c>
      <c r="K1673" s="6" t="s">
        <v>5355</v>
      </c>
      <c r="L1673" s="6">
        <v>6207695039</v>
      </c>
      <c r="N1673" s="16"/>
      <c r="O1673" s="7"/>
      <c r="P1673" s="17"/>
    </row>
    <row r="1674" spans="1:16" ht="14.25" customHeight="1">
      <c r="A1674" s="5" t="s">
        <v>0</v>
      </c>
      <c r="B1674" s="5" t="str">
        <f t="shared" si="11"/>
        <v>N</v>
      </c>
      <c r="C1674" s="18" t="s">
        <v>5356</v>
      </c>
      <c r="D1674" s="18"/>
      <c r="E1674" s="6" t="s">
        <v>5357</v>
      </c>
      <c r="F1674" s="19" t="s">
        <v>5358</v>
      </c>
      <c r="G1674" s="19" t="s">
        <v>5359</v>
      </c>
      <c r="H1674" s="5"/>
      <c r="L1674" s="6">
        <v>6203945117</v>
      </c>
      <c r="N1674" s="16"/>
      <c r="O1674" s="7"/>
      <c r="P1674" s="17"/>
    </row>
    <row r="1675" spans="1:16" ht="14.25" customHeight="1">
      <c r="A1675" s="5" t="s">
        <v>0</v>
      </c>
      <c r="B1675" s="5" t="str">
        <f t="shared" si="11"/>
        <v>Y</v>
      </c>
      <c r="C1675" s="18" t="s">
        <v>5360</v>
      </c>
      <c r="D1675" s="18"/>
      <c r="E1675" s="6" t="s">
        <v>5361</v>
      </c>
      <c r="F1675" s="19" t="s">
        <v>5362</v>
      </c>
      <c r="G1675" s="19" t="s">
        <v>5359</v>
      </c>
      <c r="H1675" s="19" t="s">
        <v>5359</v>
      </c>
      <c r="L1675" s="6">
        <v>9905555736</v>
      </c>
      <c r="N1675" s="16"/>
      <c r="O1675" s="7"/>
      <c r="P1675" s="17"/>
    </row>
    <row r="1676" spans="1:16" ht="14.25" customHeight="1">
      <c r="A1676" s="5" t="s">
        <v>0</v>
      </c>
      <c r="B1676" s="5" t="str">
        <f t="shared" si="11"/>
        <v>Y</v>
      </c>
      <c r="C1676" s="18" t="s">
        <v>5363</v>
      </c>
      <c r="D1676" s="18"/>
      <c r="E1676" s="6" t="s">
        <v>5364</v>
      </c>
      <c r="F1676" s="19" t="s">
        <v>3424</v>
      </c>
      <c r="G1676" s="19" t="s">
        <v>5359</v>
      </c>
      <c r="H1676" s="19" t="s">
        <v>5359</v>
      </c>
      <c r="L1676" s="6">
        <v>9931316895</v>
      </c>
      <c r="N1676" s="16"/>
      <c r="O1676" s="7"/>
      <c r="P1676" s="17"/>
    </row>
    <row r="1677" spans="1:16" ht="14.25" customHeight="1">
      <c r="A1677" s="5" t="s">
        <v>0</v>
      </c>
      <c r="B1677" s="5" t="str">
        <f t="shared" si="11"/>
        <v>Y</v>
      </c>
      <c r="C1677" s="18" t="s">
        <v>5365</v>
      </c>
      <c r="D1677" s="18"/>
      <c r="E1677" s="6" t="s">
        <v>4674</v>
      </c>
      <c r="F1677" s="19" t="s">
        <v>4675</v>
      </c>
      <c r="G1677" s="19" t="s">
        <v>5359</v>
      </c>
      <c r="H1677" s="19" t="s">
        <v>5359</v>
      </c>
      <c r="L1677" s="6">
        <v>9110089485</v>
      </c>
      <c r="N1677" s="16"/>
      <c r="O1677" s="7"/>
      <c r="P1677" s="17"/>
    </row>
    <row r="1678" spans="1:16" ht="14.25" customHeight="1">
      <c r="A1678" s="5" t="s">
        <v>0</v>
      </c>
      <c r="B1678" s="5" t="str">
        <f t="shared" si="11"/>
        <v>Y</v>
      </c>
      <c r="C1678" s="18" t="s">
        <v>5366</v>
      </c>
      <c r="D1678" s="18"/>
      <c r="E1678" s="6" t="s">
        <v>5367</v>
      </c>
      <c r="F1678" s="19" t="s">
        <v>5368</v>
      </c>
      <c r="G1678" s="19" t="s">
        <v>5369</v>
      </c>
      <c r="H1678" s="20">
        <v>44329</v>
      </c>
      <c r="K1678" s="6" t="s">
        <v>5370</v>
      </c>
      <c r="L1678" s="6">
        <v>8539905171</v>
      </c>
      <c r="N1678" s="16"/>
      <c r="O1678" s="7"/>
      <c r="P1678" s="17"/>
    </row>
    <row r="1679" spans="1:16" ht="14.25" customHeight="1">
      <c r="A1679" s="5" t="s">
        <v>0</v>
      </c>
      <c r="B1679" s="5" t="str">
        <f t="shared" si="11"/>
        <v>Y</v>
      </c>
      <c r="C1679" s="18" t="s">
        <v>5371</v>
      </c>
      <c r="D1679" s="18"/>
      <c r="E1679" s="6" t="s">
        <v>5372</v>
      </c>
      <c r="F1679" s="19" t="s">
        <v>5373</v>
      </c>
      <c r="G1679" s="19" t="s">
        <v>5374</v>
      </c>
      <c r="H1679" s="20">
        <v>44332</v>
      </c>
      <c r="L1679" s="6">
        <v>7543942761</v>
      </c>
      <c r="N1679" s="16"/>
      <c r="O1679" s="7"/>
      <c r="P1679" s="17"/>
    </row>
    <row r="1680" spans="1:16" ht="14.25" customHeight="1">
      <c r="A1680" s="5" t="s">
        <v>0</v>
      </c>
      <c r="B1680" s="5" t="str">
        <f t="shared" si="11"/>
        <v>Y</v>
      </c>
      <c r="C1680" s="18" t="s">
        <v>5375</v>
      </c>
      <c r="D1680" s="18"/>
      <c r="E1680" s="6" t="s">
        <v>5376</v>
      </c>
      <c r="F1680" s="19" t="s">
        <v>5377</v>
      </c>
      <c r="G1680" s="19" t="s">
        <v>5378</v>
      </c>
      <c r="H1680" s="20">
        <v>44332</v>
      </c>
      <c r="K1680" s="6" t="s">
        <v>5379</v>
      </c>
      <c r="L1680" s="6">
        <v>9304439240</v>
      </c>
      <c r="N1680" s="16"/>
      <c r="O1680" s="7"/>
      <c r="P1680" s="17"/>
    </row>
    <row r="1681" spans="1:16" ht="14.25" customHeight="1">
      <c r="A1681" s="5" t="s">
        <v>0</v>
      </c>
      <c r="B1681" s="5" t="str">
        <f t="shared" si="11"/>
        <v>Y</v>
      </c>
      <c r="C1681" s="18" t="s">
        <v>5380</v>
      </c>
      <c r="D1681" s="18"/>
      <c r="E1681" s="6" t="s">
        <v>5381</v>
      </c>
      <c r="F1681" s="19" t="s">
        <v>5382</v>
      </c>
      <c r="G1681" s="19" t="s">
        <v>5383</v>
      </c>
      <c r="H1681" s="20">
        <v>44332</v>
      </c>
      <c r="N1681" s="16"/>
      <c r="O1681" s="7"/>
      <c r="P1681" s="17"/>
    </row>
    <row r="1682" spans="1:16" ht="14.25" customHeight="1">
      <c r="A1682" s="5" t="s">
        <v>0</v>
      </c>
      <c r="B1682" s="5" t="str">
        <f t="shared" si="11"/>
        <v>Y</v>
      </c>
      <c r="C1682" s="18" t="s">
        <v>5384</v>
      </c>
      <c r="D1682" s="18"/>
      <c r="E1682" s="6" t="s">
        <v>5385</v>
      </c>
      <c r="F1682" s="19" t="s">
        <v>5386</v>
      </c>
      <c r="G1682" s="19" t="s">
        <v>5387</v>
      </c>
      <c r="H1682" s="20">
        <v>44335</v>
      </c>
      <c r="K1682" s="6" t="s">
        <v>4698</v>
      </c>
      <c r="L1682" s="6">
        <v>8809193673</v>
      </c>
      <c r="N1682" s="16"/>
      <c r="O1682" s="7"/>
      <c r="P1682" s="17"/>
    </row>
    <row r="1683" spans="1:16" ht="14.25" customHeight="1">
      <c r="A1683" s="5" t="s">
        <v>0</v>
      </c>
      <c r="B1683" s="5" t="str">
        <f t="shared" si="11"/>
        <v>Y</v>
      </c>
      <c r="C1683" s="18" t="s">
        <v>5388</v>
      </c>
      <c r="D1683" s="18"/>
      <c r="E1683" s="6" t="s">
        <v>5389</v>
      </c>
      <c r="F1683" s="19" t="s">
        <v>4348</v>
      </c>
      <c r="G1683" s="19" t="s">
        <v>5390</v>
      </c>
      <c r="H1683" s="20">
        <v>44337</v>
      </c>
      <c r="K1683" s="6" t="s">
        <v>4698</v>
      </c>
      <c r="L1683" s="6">
        <v>9110972377</v>
      </c>
      <c r="N1683" s="16"/>
      <c r="O1683" s="7"/>
      <c r="P1683" s="17"/>
    </row>
    <row r="1684" spans="1:16" ht="14.25" customHeight="1">
      <c r="A1684" s="5" t="s">
        <v>0</v>
      </c>
      <c r="B1684" s="5" t="str">
        <f t="shared" si="11"/>
        <v>Y</v>
      </c>
      <c r="C1684" s="18" t="s">
        <v>5391</v>
      </c>
      <c r="D1684" s="18"/>
      <c r="E1684" s="6" t="s">
        <v>5392</v>
      </c>
      <c r="F1684" s="19" t="s">
        <v>5393</v>
      </c>
      <c r="G1684" s="19" t="s">
        <v>5390</v>
      </c>
      <c r="H1684" s="20">
        <v>44337</v>
      </c>
      <c r="K1684" s="6" t="s">
        <v>5394</v>
      </c>
      <c r="L1684" s="6">
        <v>9234751843</v>
      </c>
      <c r="N1684" s="16"/>
      <c r="O1684" s="7"/>
      <c r="P1684" s="17"/>
    </row>
    <row r="1685" spans="1:16" ht="14.25" customHeight="1">
      <c r="A1685" s="5" t="s">
        <v>0</v>
      </c>
      <c r="B1685" s="5" t="str">
        <f t="shared" si="11"/>
        <v>Y</v>
      </c>
      <c r="C1685" s="18" t="s">
        <v>5395</v>
      </c>
      <c r="D1685" s="18"/>
      <c r="E1685" s="6" t="s">
        <v>5396</v>
      </c>
      <c r="F1685" s="19" t="s">
        <v>5397</v>
      </c>
      <c r="G1685" s="19" t="s">
        <v>5390</v>
      </c>
      <c r="H1685" s="20">
        <v>44337</v>
      </c>
      <c r="K1685" s="6" t="s">
        <v>5394</v>
      </c>
      <c r="L1685" s="6">
        <v>9334491765</v>
      </c>
      <c r="N1685" s="16"/>
      <c r="O1685" s="7"/>
      <c r="P1685" s="17"/>
    </row>
    <row r="1686" spans="1:16" ht="14.25" customHeight="1">
      <c r="A1686" s="5" t="s">
        <v>0</v>
      </c>
      <c r="B1686" s="5" t="str">
        <f t="shared" si="11"/>
        <v>Y</v>
      </c>
      <c r="C1686" s="18" t="s">
        <v>5398</v>
      </c>
      <c r="D1686" s="18"/>
      <c r="E1686" s="6" t="s">
        <v>5399</v>
      </c>
      <c r="F1686" s="19" t="s">
        <v>5400</v>
      </c>
      <c r="G1686" s="19" t="s">
        <v>5390</v>
      </c>
      <c r="H1686" s="20">
        <v>44337</v>
      </c>
      <c r="K1686" s="6" t="s">
        <v>4698</v>
      </c>
      <c r="L1686" s="6">
        <v>9708588342</v>
      </c>
      <c r="N1686" s="16"/>
      <c r="O1686" s="7"/>
      <c r="P1686" s="17"/>
    </row>
    <row r="1687" spans="1:16" ht="14.25" customHeight="1">
      <c r="A1687" s="5" t="s">
        <v>0</v>
      </c>
      <c r="B1687" s="5" t="str">
        <f t="shared" si="11"/>
        <v>Y</v>
      </c>
      <c r="C1687" s="18" t="s">
        <v>5401</v>
      </c>
      <c r="D1687" s="18"/>
      <c r="E1687" s="6" t="s">
        <v>5402</v>
      </c>
      <c r="F1687" s="19" t="s">
        <v>5403</v>
      </c>
      <c r="G1687" s="19" t="s">
        <v>5390</v>
      </c>
      <c r="H1687" s="20">
        <v>44337</v>
      </c>
      <c r="K1687" s="6" t="s">
        <v>5394</v>
      </c>
      <c r="L1687" s="6">
        <v>9939863292</v>
      </c>
      <c r="N1687" s="16"/>
      <c r="O1687" s="7"/>
      <c r="P1687" s="17"/>
    </row>
    <row r="1688" spans="1:16" ht="14.25" customHeight="1">
      <c r="A1688" s="5" t="s">
        <v>0</v>
      </c>
      <c r="B1688" s="5" t="str">
        <f t="shared" si="11"/>
        <v>Y</v>
      </c>
      <c r="C1688" s="18" t="s">
        <v>5404</v>
      </c>
      <c r="D1688" s="18"/>
      <c r="E1688" s="6" t="s">
        <v>5405</v>
      </c>
      <c r="F1688" s="19" t="s">
        <v>5406</v>
      </c>
      <c r="G1688" s="19" t="s">
        <v>5390</v>
      </c>
      <c r="H1688" s="20">
        <v>44337</v>
      </c>
      <c r="K1688" s="6" t="s">
        <v>5394</v>
      </c>
      <c r="L1688" s="6">
        <v>9970041561</v>
      </c>
      <c r="N1688" s="16"/>
      <c r="O1688" s="7"/>
      <c r="P1688" s="17"/>
    </row>
    <row r="1689" spans="1:16" ht="14.25" customHeight="1">
      <c r="A1689" s="5" t="s">
        <v>0</v>
      </c>
      <c r="B1689" s="5" t="str">
        <f t="shared" si="11"/>
        <v>Y</v>
      </c>
      <c r="C1689" s="18" t="s">
        <v>5407</v>
      </c>
      <c r="D1689" s="18"/>
      <c r="E1689" s="6" t="s">
        <v>5408</v>
      </c>
      <c r="F1689" s="19" t="s">
        <v>5409</v>
      </c>
      <c r="G1689" s="19" t="s">
        <v>5390</v>
      </c>
      <c r="H1689" s="20">
        <v>44337</v>
      </c>
      <c r="K1689" s="6" t="s">
        <v>5394</v>
      </c>
      <c r="L1689" s="6">
        <v>9263480637</v>
      </c>
      <c r="N1689" s="16"/>
      <c r="O1689" s="7"/>
      <c r="P1689" s="17"/>
    </row>
    <row r="1690" spans="1:16" ht="14.25" customHeight="1">
      <c r="A1690" s="5" t="s">
        <v>0</v>
      </c>
      <c r="B1690" s="5" t="str">
        <f t="shared" si="11"/>
        <v>Y</v>
      </c>
      <c r="C1690" s="18" t="s">
        <v>5410</v>
      </c>
      <c r="D1690" s="18"/>
      <c r="E1690" s="6" t="s">
        <v>5411</v>
      </c>
      <c r="F1690" s="19" t="s">
        <v>5412</v>
      </c>
      <c r="G1690" s="19" t="s">
        <v>5390</v>
      </c>
      <c r="H1690" s="20">
        <v>44337</v>
      </c>
      <c r="K1690" s="6" t="s">
        <v>5394</v>
      </c>
      <c r="L1690" s="6">
        <v>7276960194</v>
      </c>
      <c r="N1690" s="16"/>
      <c r="O1690" s="7"/>
      <c r="P1690" s="17"/>
    </row>
    <row r="1691" spans="1:16" ht="14.25" customHeight="1">
      <c r="A1691" s="5" t="s">
        <v>0</v>
      </c>
      <c r="B1691" s="5" t="str">
        <f t="shared" si="11"/>
        <v>Y</v>
      </c>
      <c r="C1691" s="18" t="s">
        <v>5413</v>
      </c>
      <c r="D1691" s="18"/>
      <c r="E1691" s="6" t="s">
        <v>5414</v>
      </c>
      <c r="F1691" s="19" t="s">
        <v>5415</v>
      </c>
      <c r="G1691" s="19" t="s">
        <v>5390</v>
      </c>
      <c r="H1691" s="20">
        <v>44337</v>
      </c>
      <c r="K1691" s="6" t="s">
        <v>5394</v>
      </c>
      <c r="L1691" s="6">
        <v>8210720367</v>
      </c>
      <c r="N1691" s="16"/>
      <c r="O1691" s="7"/>
      <c r="P1691" s="17"/>
    </row>
    <row r="1692" spans="1:16" ht="14.25" customHeight="1">
      <c r="A1692" s="5" t="s">
        <v>0</v>
      </c>
      <c r="B1692" s="5" t="str">
        <f t="shared" si="11"/>
        <v>Y</v>
      </c>
      <c r="C1692" s="18" t="s">
        <v>5416</v>
      </c>
      <c r="D1692" s="18"/>
      <c r="E1692" s="6" t="s">
        <v>5417</v>
      </c>
      <c r="F1692" s="19" t="s">
        <v>5418</v>
      </c>
      <c r="G1692" s="19" t="s">
        <v>5419</v>
      </c>
      <c r="H1692" s="19" t="s">
        <v>5419</v>
      </c>
      <c r="L1692" s="6">
        <v>6206550719</v>
      </c>
      <c r="N1692" s="16"/>
      <c r="O1692" s="7"/>
      <c r="P1692" s="17"/>
    </row>
    <row r="1693" spans="1:16" ht="14.25" customHeight="1">
      <c r="A1693" s="5" t="s">
        <v>0</v>
      </c>
      <c r="B1693" s="5" t="str">
        <f t="shared" si="11"/>
        <v>Y</v>
      </c>
      <c r="C1693" s="18" t="s">
        <v>5420</v>
      </c>
      <c r="D1693" s="18"/>
      <c r="E1693" s="6" t="s">
        <v>5421</v>
      </c>
      <c r="F1693" s="19" t="s">
        <v>5422</v>
      </c>
      <c r="G1693" s="19" t="s">
        <v>5423</v>
      </c>
      <c r="H1693" s="20">
        <v>44339</v>
      </c>
      <c r="K1693" s="6" t="s">
        <v>5394</v>
      </c>
      <c r="N1693" s="16"/>
      <c r="O1693" s="7"/>
      <c r="P1693" s="17"/>
    </row>
    <row r="1694" spans="1:16" ht="14.25" customHeight="1">
      <c r="A1694" s="5" t="s">
        <v>0</v>
      </c>
      <c r="B1694" s="5" t="str">
        <f t="shared" si="11"/>
        <v>Y</v>
      </c>
      <c r="C1694" s="18" t="s">
        <v>5424</v>
      </c>
      <c r="D1694" s="18"/>
      <c r="E1694" s="6" t="s">
        <v>2528</v>
      </c>
      <c r="F1694" s="19" t="s">
        <v>5425</v>
      </c>
      <c r="G1694" s="19" t="s">
        <v>5426</v>
      </c>
      <c r="H1694" s="20">
        <v>44350</v>
      </c>
      <c r="L1694" s="6">
        <v>7004966234</v>
      </c>
      <c r="N1694" s="16"/>
      <c r="O1694" s="7"/>
      <c r="P1694" s="17"/>
    </row>
    <row r="1695" spans="1:16" ht="14.25" customHeight="1">
      <c r="A1695" s="5" t="s">
        <v>0</v>
      </c>
      <c r="B1695" s="5" t="str">
        <f t="shared" si="11"/>
        <v>Y</v>
      </c>
      <c r="C1695" s="18" t="s">
        <v>5427</v>
      </c>
      <c r="D1695" s="18"/>
      <c r="E1695" s="6" t="s">
        <v>5428</v>
      </c>
      <c r="F1695" s="19" t="s">
        <v>5429</v>
      </c>
      <c r="G1695" s="19" t="s">
        <v>5430</v>
      </c>
      <c r="H1695" s="19" t="s">
        <v>5430</v>
      </c>
      <c r="L1695" s="6">
        <v>7739841572</v>
      </c>
      <c r="N1695" s="16"/>
      <c r="O1695" s="7"/>
      <c r="P1695" s="17"/>
    </row>
    <row r="1696" spans="1:16" ht="14.25" customHeight="1">
      <c r="A1696" s="5" t="s">
        <v>0</v>
      </c>
      <c r="B1696" s="5" t="str">
        <f t="shared" si="11"/>
        <v>Y</v>
      </c>
      <c r="C1696" s="18" t="s">
        <v>5431</v>
      </c>
      <c r="D1696" s="18"/>
      <c r="E1696" s="6" t="s">
        <v>5432</v>
      </c>
      <c r="F1696" s="19" t="s">
        <v>5433</v>
      </c>
      <c r="G1696" s="19" t="s">
        <v>5430</v>
      </c>
      <c r="H1696" s="19" t="s">
        <v>5430</v>
      </c>
      <c r="L1696" s="6">
        <v>8146946417</v>
      </c>
      <c r="N1696" s="16"/>
      <c r="O1696" s="7"/>
      <c r="P1696" s="17"/>
    </row>
    <row r="1697" spans="1:16" ht="14.25" customHeight="1">
      <c r="A1697" s="5" t="s">
        <v>0</v>
      </c>
      <c r="B1697" s="5" t="str">
        <f t="shared" si="11"/>
        <v>Y</v>
      </c>
      <c r="C1697" s="18" t="s">
        <v>5434</v>
      </c>
      <c r="D1697" s="18"/>
      <c r="E1697" s="6" t="s">
        <v>5435</v>
      </c>
      <c r="F1697" s="19" t="s">
        <v>5436</v>
      </c>
      <c r="G1697" s="19" t="s">
        <v>5430</v>
      </c>
      <c r="H1697" s="20">
        <v>44350</v>
      </c>
      <c r="J1697" s="6" t="s">
        <v>5437</v>
      </c>
      <c r="K1697" s="6" t="s">
        <v>4698</v>
      </c>
      <c r="L1697" s="6">
        <v>9031505181</v>
      </c>
      <c r="N1697" s="16"/>
      <c r="O1697" s="7"/>
      <c r="P1697" s="17"/>
    </row>
    <row r="1698" spans="1:16" ht="14.25" customHeight="1">
      <c r="A1698" s="5" t="s">
        <v>0</v>
      </c>
      <c r="B1698" s="5" t="str">
        <f t="shared" si="11"/>
        <v>Y</v>
      </c>
      <c r="C1698" s="18" t="s">
        <v>5438</v>
      </c>
      <c r="D1698" s="18"/>
      <c r="E1698" s="6" t="s">
        <v>5439</v>
      </c>
      <c r="F1698" s="19" t="s">
        <v>5440</v>
      </c>
      <c r="G1698" s="19" t="s">
        <v>5441</v>
      </c>
      <c r="H1698" s="19" t="s">
        <v>5441</v>
      </c>
      <c r="L1698" s="6">
        <v>8789429193</v>
      </c>
      <c r="N1698" s="16"/>
      <c r="O1698" s="7"/>
      <c r="P1698" s="17"/>
    </row>
    <row r="1699" spans="1:16" ht="14.25" customHeight="1">
      <c r="A1699" s="5" t="s">
        <v>0</v>
      </c>
      <c r="B1699" s="5" t="str">
        <f t="shared" si="11"/>
        <v>Y</v>
      </c>
      <c r="C1699" s="18" t="s">
        <v>5442</v>
      </c>
      <c r="D1699" s="18"/>
      <c r="E1699" s="6" t="s">
        <v>5443</v>
      </c>
      <c r="F1699" s="19" t="s">
        <v>3110</v>
      </c>
      <c r="G1699" s="19" t="s">
        <v>5441</v>
      </c>
      <c r="H1699" s="19" t="s">
        <v>5441</v>
      </c>
      <c r="L1699" s="6">
        <v>6207645251</v>
      </c>
      <c r="N1699" s="16"/>
      <c r="O1699" s="7"/>
      <c r="P1699" s="17"/>
    </row>
    <row r="1700" spans="1:16" ht="14.25" customHeight="1">
      <c r="A1700" s="5" t="s">
        <v>0</v>
      </c>
      <c r="B1700" s="5" t="str">
        <f t="shared" si="11"/>
        <v>Y</v>
      </c>
      <c r="C1700" s="18" t="s">
        <v>5444</v>
      </c>
      <c r="D1700" s="18"/>
      <c r="E1700" s="6" t="s">
        <v>5445</v>
      </c>
      <c r="F1700" s="19" t="s">
        <v>5446</v>
      </c>
      <c r="G1700" s="19" t="s">
        <v>5447</v>
      </c>
      <c r="H1700" s="20">
        <v>44357</v>
      </c>
      <c r="L1700" s="6">
        <v>9060503831</v>
      </c>
      <c r="N1700" s="16"/>
      <c r="O1700" s="7"/>
      <c r="P1700" s="17"/>
    </row>
    <row r="1701" spans="1:16" ht="14.25" customHeight="1">
      <c r="A1701" s="5" t="s">
        <v>0</v>
      </c>
      <c r="B1701" s="5" t="str">
        <f t="shared" si="11"/>
        <v>Y</v>
      </c>
      <c r="C1701" s="18" t="s">
        <v>5448</v>
      </c>
      <c r="D1701" s="18"/>
      <c r="E1701" s="6" t="s">
        <v>5449</v>
      </c>
      <c r="F1701" s="19" t="s">
        <v>5450</v>
      </c>
      <c r="G1701" s="19" t="s">
        <v>5447</v>
      </c>
      <c r="H1701" s="20">
        <v>44357</v>
      </c>
      <c r="L1701" s="6">
        <v>7870335212</v>
      </c>
      <c r="N1701" s="16"/>
      <c r="O1701" s="7"/>
      <c r="P1701" s="17"/>
    </row>
    <row r="1702" spans="1:16" ht="14.25" customHeight="1">
      <c r="A1702" s="5" t="s">
        <v>0</v>
      </c>
      <c r="B1702" s="5" t="str">
        <f t="shared" si="11"/>
        <v>Y</v>
      </c>
      <c r="C1702" s="18" t="s">
        <v>5451</v>
      </c>
      <c r="D1702" s="18"/>
      <c r="E1702" s="6" t="s">
        <v>5452</v>
      </c>
      <c r="F1702" s="19" t="s">
        <v>5453</v>
      </c>
      <c r="G1702" s="19" t="s">
        <v>5447</v>
      </c>
      <c r="H1702" s="20">
        <v>44357</v>
      </c>
      <c r="L1702" s="6">
        <v>7050410077</v>
      </c>
      <c r="N1702" s="16"/>
      <c r="O1702" s="7"/>
      <c r="P1702" s="17"/>
    </row>
    <row r="1703" spans="1:16" ht="14.25" customHeight="1">
      <c r="A1703" s="5" t="s">
        <v>0</v>
      </c>
      <c r="B1703" s="5" t="str">
        <f t="shared" si="11"/>
        <v>Y</v>
      </c>
      <c r="C1703" s="18" t="s">
        <v>5454</v>
      </c>
      <c r="D1703" s="18"/>
      <c r="E1703" s="6" t="s">
        <v>5455</v>
      </c>
      <c r="F1703" s="19" t="s">
        <v>5456</v>
      </c>
      <c r="G1703" s="19" t="s">
        <v>5457</v>
      </c>
      <c r="H1703" s="20">
        <v>44358</v>
      </c>
      <c r="L1703" s="6">
        <v>9534082315</v>
      </c>
      <c r="N1703" s="16"/>
      <c r="O1703" s="7"/>
      <c r="P1703" s="17"/>
    </row>
    <row r="1704" spans="1:16" ht="14.25" customHeight="1">
      <c r="A1704" s="5" t="s">
        <v>0</v>
      </c>
      <c r="B1704" s="5" t="str">
        <f t="shared" si="11"/>
        <v>Y</v>
      </c>
      <c r="C1704" s="18" t="s">
        <v>5458</v>
      </c>
      <c r="D1704" s="18"/>
      <c r="E1704" s="6" t="s">
        <v>5459</v>
      </c>
      <c r="F1704" s="19" t="s">
        <v>5460</v>
      </c>
      <c r="G1704" s="19" t="s">
        <v>5461</v>
      </c>
      <c r="H1704" s="19" t="s">
        <v>5461</v>
      </c>
      <c r="L1704" s="6">
        <v>9304745183</v>
      </c>
      <c r="N1704" s="16"/>
      <c r="O1704" s="7"/>
      <c r="P1704" s="17"/>
    </row>
    <row r="1705" spans="1:16" ht="14.25" customHeight="1">
      <c r="A1705" s="5" t="s">
        <v>0</v>
      </c>
      <c r="B1705" s="5" t="str">
        <f t="shared" si="11"/>
        <v>Y</v>
      </c>
      <c r="C1705" s="18" t="s">
        <v>5462</v>
      </c>
      <c r="D1705" s="18"/>
      <c r="E1705" s="6" t="s">
        <v>5463</v>
      </c>
      <c r="F1705" s="19" t="s">
        <v>5464</v>
      </c>
      <c r="G1705" s="19" t="s">
        <v>5461</v>
      </c>
      <c r="H1705" s="19" t="s">
        <v>5461</v>
      </c>
      <c r="L1705" s="6">
        <v>9234567019</v>
      </c>
      <c r="N1705" s="16"/>
      <c r="O1705" s="7"/>
      <c r="P1705" s="17"/>
    </row>
    <row r="1706" spans="1:16" ht="14.25" customHeight="1">
      <c r="A1706" s="5" t="s">
        <v>0</v>
      </c>
      <c r="B1706" s="5" t="str">
        <f t="shared" si="11"/>
        <v>Y</v>
      </c>
      <c r="C1706" s="18" t="s">
        <v>5465</v>
      </c>
      <c r="D1706" s="18"/>
      <c r="E1706" s="6" t="s">
        <v>5466</v>
      </c>
      <c r="F1706" s="19" t="s">
        <v>5467</v>
      </c>
      <c r="G1706" s="19" t="s">
        <v>5461</v>
      </c>
      <c r="H1706" s="19" t="s">
        <v>5461</v>
      </c>
      <c r="L1706" s="6">
        <v>8210763386</v>
      </c>
      <c r="N1706" s="16"/>
      <c r="O1706" s="7"/>
      <c r="P1706" s="17"/>
    </row>
    <row r="1707" spans="1:16" ht="14.25" customHeight="1">
      <c r="A1707" s="5" t="s">
        <v>0</v>
      </c>
      <c r="B1707" s="5" t="str">
        <f t="shared" si="11"/>
        <v>Y</v>
      </c>
      <c r="C1707" s="80" t="s">
        <v>5468</v>
      </c>
      <c r="D1707" s="80"/>
      <c r="E1707" s="6" t="s">
        <v>5469</v>
      </c>
      <c r="F1707" s="19" t="s">
        <v>3037</v>
      </c>
      <c r="G1707" s="19" t="s">
        <v>5470</v>
      </c>
      <c r="H1707" s="20">
        <v>44376</v>
      </c>
      <c r="I1707" s="76" t="s">
        <v>5471</v>
      </c>
      <c r="L1707" s="6">
        <v>8757785271</v>
      </c>
      <c r="N1707" s="16"/>
      <c r="O1707" s="7"/>
      <c r="P1707" s="17"/>
    </row>
    <row r="1708" spans="1:16" ht="14.25" customHeight="1">
      <c r="A1708" s="5" t="s">
        <v>0</v>
      </c>
      <c r="B1708" s="5" t="str">
        <f t="shared" si="11"/>
        <v>N</v>
      </c>
      <c r="C1708" s="18" t="s">
        <v>5472</v>
      </c>
      <c r="D1708" s="18"/>
      <c r="E1708" s="6" t="s">
        <v>1717</v>
      </c>
      <c r="F1708" s="19" t="s">
        <v>5473</v>
      </c>
      <c r="G1708" s="19" t="s">
        <v>5474</v>
      </c>
      <c r="H1708" s="5"/>
      <c r="L1708" s="6">
        <v>6203949369</v>
      </c>
      <c r="N1708" s="16"/>
      <c r="O1708" s="7"/>
      <c r="P1708" s="17"/>
    </row>
    <row r="1709" spans="1:16" ht="14.25" customHeight="1">
      <c r="A1709" s="5" t="s">
        <v>0</v>
      </c>
      <c r="B1709" s="5" t="str">
        <f t="shared" si="11"/>
        <v>Y</v>
      </c>
      <c r="C1709" s="18" t="s">
        <v>5475</v>
      </c>
      <c r="D1709" s="18"/>
      <c r="E1709" s="6" t="s">
        <v>5476</v>
      </c>
      <c r="F1709" s="19" t="s">
        <v>5477</v>
      </c>
      <c r="G1709" s="19" t="s">
        <v>5474</v>
      </c>
      <c r="H1709" s="19" t="s">
        <v>5474</v>
      </c>
      <c r="L1709" s="6">
        <v>7050404455</v>
      </c>
      <c r="N1709" s="16"/>
      <c r="O1709" s="7"/>
      <c r="P1709" s="17"/>
    </row>
    <row r="1710" spans="1:16" ht="14.25" customHeight="1">
      <c r="A1710" s="5" t="s">
        <v>0</v>
      </c>
      <c r="B1710" s="5" t="str">
        <f t="shared" si="11"/>
        <v>Y</v>
      </c>
      <c r="C1710" s="18" t="s">
        <v>5478</v>
      </c>
      <c r="D1710" s="18"/>
      <c r="E1710" s="6" t="s">
        <v>5479</v>
      </c>
      <c r="F1710" s="19" t="s">
        <v>5480</v>
      </c>
      <c r="G1710" s="19" t="s">
        <v>5481</v>
      </c>
      <c r="H1710" s="20">
        <v>44362</v>
      </c>
      <c r="K1710" s="6" t="s">
        <v>4698</v>
      </c>
      <c r="L1710" s="6">
        <v>6201773469</v>
      </c>
      <c r="N1710" s="16"/>
      <c r="O1710" s="7"/>
      <c r="P1710" s="17"/>
    </row>
    <row r="1711" spans="1:16" ht="14.25" customHeight="1">
      <c r="A1711" s="5" t="s">
        <v>0</v>
      </c>
      <c r="B1711" s="5" t="str">
        <f t="shared" si="11"/>
        <v>Y</v>
      </c>
      <c r="C1711" s="18" t="s">
        <v>5472</v>
      </c>
      <c r="D1711" s="18"/>
      <c r="E1711" s="6" t="s">
        <v>1717</v>
      </c>
      <c r="F1711" s="19" t="s">
        <v>5482</v>
      </c>
      <c r="G1711" s="19" t="s">
        <v>5481</v>
      </c>
      <c r="H1711" s="20">
        <v>44362</v>
      </c>
      <c r="K1711" s="6" t="s">
        <v>4698</v>
      </c>
      <c r="L1711" s="6">
        <v>6203949369</v>
      </c>
      <c r="N1711" s="16"/>
      <c r="O1711" s="7"/>
      <c r="P1711" s="17"/>
    </row>
    <row r="1712" spans="1:16" ht="14.25" customHeight="1">
      <c r="A1712" s="5" t="s">
        <v>0</v>
      </c>
      <c r="B1712" s="5" t="str">
        <f t="shared" si="11"/>
        <v>Y</v>
      </c>
      <c r="C1712" s="18" t="s">
        <v>5483</v>
      </c>
      <c r="D1712" s="18"/>
      <c r="E1712" s="6" t="s">
        <v>5484</v>
      </c>
      <c r="F1712" s="19" t="s">
        <v>5485</v>
      </c>
      <c r="G1712" s="19" t="s">
        <v>5481</v>
      </c>
      <c r="H1712" s="20">
        <v>44362</v>
      </c>
      <c r="K1712" s="6" t="s">
        <v>4698</v>
      </c>
      <c r="L1712" s="6">
        <v>6202723116</v>
      </c>
      <c r="N1712" s="16"/>
      <c r="O1712" s="7"/>
      <c r="P1712" s="17"/>
    </row>
    <row r="1713" spans="1:16" ht="14.25" customHeight="1">
      <c r="A1713" s="5" t="s">
        <v>0</v>
      </c>
      <c r="B1713" s="5" t="str">
        <f t="shared" si="11"/>
        <v>N</v>
      </c>
      <c r="C1713" s="18" t="s">
        <v>5486</v>
      </c>
      <c r="D1713" s="18"/>
      <c r="E1713" s="6" t="s">
        <v>5487</v>
      </c>
      <c r="F1713" s="19" t="s">
        <v>5488</v>
      </c>
      <c r="G1713" s="19" t="s">
        <v>5489</v>
      </c>
      <c r="H1713" s="19"/>
      <c r="L1713" s="6">
        <v>9955494023</v>
      </c>
      <c r="N1713" s="16"/>
      <c r="O1713" s="7"/>
      <c r="P1713" s="17"/>
    </row>
    <row r="1714" spans="1:16" ht="14.25" customHeight="1">
      <c r="A1714" s="5" t="s">
        <v>0</v>
      </c>
      <c r="B1714" s="5" t="str">
        <f t="shared" si="11"/>
        <v>N</v>
      </c>
      <c r="C1714" s="18" t="s">
        <v>5490</v>
      </c>
      <c r="D1714" s="18"/>
      <c r="E1714" s="6" t="s">
        <v>5491</v>
      </c>
      <c r="F1714" s="19" t="s">
        <v>5210</v>
      </c>
      <c r="G1714" s="19" t="s">
        <v>5489</v>
      </c>
      <c r="H1714" s="5"/>
      <c r="L1714" s="6">
        <v>8825280038</v>
      </c>
      <c r="N1714" s="16"/>
      <c r="O1714" s="7"/>
      <c r="P1714" s="17"/>
    </row>
    <row r="1715" spans="1:16" ht="14.25" customHeight="1">
      <c r="A1715" s="5" t="s">
        <v>0</v>
      </c>
      <c r="B1715" s="5" t="str">
        <f t="shared" si="11"/>
        <v>Y</v>
      </c>
      <c r="C1715" s="18" t="s">
        <v>5492</v>
      </c>
      <c r="D1715" s="18"/>
      <c r="E1715" s="6" t="s">
        <v>5493</v>
      </c>
      <c r="F1715" s="19" t="s">
        <v>3584</v>
      </c>
      <c r="G1715" s="19" t="s">
        <v>5494</v>
      </c>
      <c r="H1715" s="19" t="s">
        <v>5494</v>
      </c>
      <c r="L1715" s="6">
        <v>6206785378</v>
      </c>
      <c r="N1715" s="16"/>
      <c r="O1715" s="7"/>
      <c r="P1715" s="17"/>
    </row>
    <row r="1716" spans="1:16" ht="14.25" customHeight="1">
      <c r="A1716" s="5" t="s">
        <v>0</v>
      </c>
      <c r="B1716" s="5" t="str">
        <f t="shared" si="11"/>
        <v>Y</v>
      </c>
      <c r="C1716" s="18" t="s">
        <v>5495</v>
      </c>
      <c r="D1716" s="18"/>
      <c r="E1716" s="6" t="s">
        <v>5496</v>
      </c>
      <c r="F1716" s="19" t="s">
        <v>5497</v>
      </c>
      <c r="G1716" s="19" t="s">
        <v>5494</v>
      </c>
      <c r="H1716" s="19" t="s">
        <v>5494</v>
      </c>
      <c r="L1716" s="6">
        <v>9801438094</v>
      </c>
      <c r="N1716" s="16"/>
      <c r="O1716" s="7"/>
      <c r="P1716" s="17"/>
    </row>
    <row r="1717" spans="1:16" ht="14.25" customHeight="1">
      <c r="A1717" s="5" t="s">
        <v>0</v>
      </c>
      <c r="B1717" s="5" t="str">
        <f t="shared" si="11"/>
        <v>Y</v>
      </c>
      <c r="C1717" s="18" t="s">
        <v>5498</v>
      </c>
      <c r="D1717" s="18"/>
      <c r="E1717" s="6" t="s">
        <v>5499</v>
      </c>
      <c r="F1717" s="19" t="s">
        <v>5500</v>
      </c>
      <c r="G1717" s="19" t="s">
        <v>5501</v>
      </c>
      <c r="H1717" s="20">
        <v>44398</v>
      </c>
      <c r="L1717" s="6">
        <v>6200205239</v>
      </c>
      <c r="N1717" s="16"/>
      <c r="O1717" s="7"/>
      <c r="P1717" s="17"/>
    </row>
    <row r="1718" spans="1:16" ht="14.25" customHeight="1">
      <c r="A1718" s="5" t="s">
        <v>0</v>
      </c>
      <c r="B1718" s="5" t="str">
        <f t="shared" si="11"/>
        <v>Y</v>
      </c>
      <c r="C1718" s="18" t="s">
        <v>5502</v>
      </c>
      <c r="D1718" s="18"/>
      <c r="E1718" s="6" t="s">
        <v>5503</v>
      </c>
      <c r="F1718" s="19" t="s">
        <v>5504</v>
      </c>
      <c r="G1718" s="19" t="s">
        <v>5505</v>
      </c>
      <c r="H1718" s="19" t="s">
        <v>5505</v>
      </c>
      <c r="L1718" s="6">
        <v>6204196083</v>
      </c>
      <c r="N1718" s="16"/>
      <c r="O1718" s="7"/>
      <c r="P1718" s="17"/>
    </row>
    <row r="1719" spans="1:16" ht="14.25" customHeight="1">
      <c r="A1719" s="5" t="s">
        <v>0</v>
      </c>
      <c r="B1719" s="5" t="str">
        <f t="shared" si="11"/>
        <v>Y</v>
      </c>
      <c r="C1719" s="18" t="s">
        <v>5506</v>
      </c>
      <c r="D1719" s="18"/>
      <c r="E1719" s="6" t="s">
        <v>5507</v>
      </c>
      <c r="F1719" s="19" t="s">
        <v>5508</v>
      </c>
      <c r="G1719" s="19" t="s">
        <v>5505</v>
      </c>
      <c r="H1719" s="19" t="s">
        <v>5505</v>
      </c>
      <c r="L1719" s="6">
        <v>9931939505</v>
      </c>
      <c r="N1719" s="16"/>
      <c r="O1719" s="7"/>
      <c r="P1719" s="17"/>
    </row>
    <row r="1720" spans="1:16" ht="14.25" customHeight="1">
      <c r="A1720" s="5" t="s">
        <v>0</v>
      </c>
      <c r="B1720" s="5" t="str">
        <f t="shared" si="11"/>
        <v>Y</v>
      </c>
      <c r="C1720" s="18" t="s">
        <v>5509</v>
      </c>
      <c r="D1720" s="18"/>
      <c r="E1720" s="6" t="s">
        <v>5510</v>
      </c>
      <c r="F1720" s="19" t="s">
        <v>4111</v>
      </c>
      <c r="G1720" s="19" t="s">
        <v>5505</v>
      </c>
      <c r="H1720" s="19" t="s">
        <v>5505</v>
      </c>
      <c r="N1720" s="16"/>
      <c r="O1720" s="7"/>
      <c r="P1720" s="17"/>
    </row>
    <row r="1721" spans="1:16" ht="14.25" customHeight="1">
      <c r="A1721" s="5" t="s">
        <v>0</v>
      </c>
      <c r="B1721" s="5" t="str">
        <f t="shared" si="11"/>
        <v>Y</v>
      </c>
      <c r="C1721" s="18" t="s">
        <v>5511</v>
      </c>
      <c r="D1721" s="18"/>
      <c r="E1721" s="6" t="s">
        <v>5512</v>
      </c>
      <c r="F1721" s="19" t="s">
        <v>5513</v>
      </c>
      <c r="G1721" s="19" t="s">
        <v>5505</v>
      </c>
      <c r="H1721" s="19" t="s">
        <v>5505</v>
      </c>
      <c r="N1721" s="16"/>
      <c r="O1721" s="7"/>
      <c r="P1721" s="17"/>
    </row>
    <row r="1722" spans="1:16" ht="14.25" customHeight="1">
      <c r="A1722" s="5" t="s">
        <v>0</v>
      </c>
      <c r="B1722" s="5" t="str">
        <f t="shared" si="11"/>
        <v>Y</v>
      </c>
      <c r="C1722" s="18" t="s">
        <v>5514</v>
      </c>
      <c r="D1722" s="18"/>
      <c r="E1722" s="6" t="s">
        <v>5515</v>
      </c>
      <c r="F1722" s="19" t="s">
        <v>5516</v>
      </c>
      <c r="G1722" s="19" t="s">
        <v>5505</v>
      </c>
      <c r="H1722" s="19" t="s">
        <v>5505</v>
      </c>
      <c r="L1722" s="6">
        <v>8271062895</v>
      </c>
      <c r="N1722" s="16"/>
      <c r="O1722" s="7"/>
      <c r="P1722" s="17"/>
    </row>
    <row r="1723" spans="1:16" ht="14.25" customHeight="1">
      <c r="A1723" s="5" t="s">
        <v>0</v>
      </c>
      <c r="B1723" s="5" t="str">
        <f t="shared" si="11"/>
        <v>Y</v>
      </c>
      <c r="C1723" s="18" t="s">
        <v>5517</v>
      </c>
      <c r="D1723" s="18"/>
      <c r="E1723" s="6" t="s">
        <v>5518</v>
      </c>
      <c r="F1723" s="19" t="s">
        <v>4403</v>
      </c>
      <c r="G1723" s="19" t="s">
        <v>5505</v>
      </c>
      <c r="H1723" s="19" t="s">
        <v>5505</v>
      </c>
      <c r="L1723" s="6">
        <v>6206914065</v>
      </c>
      <c r="N1723" s="16"/>
      <c r="O1723" s="7"/>
      <c r="P1723" s="17"/>
    </row>
    <row r="1724" spans="1:16" ht="14.25" customHeight="1">
      <c r="A1724" s="5" t="s">
        <v>0</v>
      </c>
      <c r="B1724" s="5" t="str">
        <f t="shared" si="11"/>
        <v>Y</v>
      </c>
      <c r="C1724" s="18" t="s">
        <v>5519</v>
      </c>
      <c r="D1724" s="18"/>
      <c r="E1724" s="6" t="s">
        <v>5520</v>
      </c>
      <c r="F1724" s="19" t="s">
        <v>5521</v>
      </c>
      <c r="G1724" s="19" t="s">
        <v>5505</v>
      </c>
      <c r="H1724" s="19" t="s">
        <v>5505</v>
      </c>
      <c r="L1724" s="6">
        <v>9337758393</v>
      </c>
      <c r="N1724" s="16"/>
      <c r="O1724" s="7"/>
      <c r="P1724" s="17"/>
    </row>
    <row r="1725" spans="1:16" ht="14.25" customHeight="1">
      <c r="A1725" s="5" t="s">
        <v>0</v>
      </c>
      <c r="B1725" s="5" t="str">
        <f t="shared" si="11"/>
        <v>Y</v>
      </c>
      <c r="C1725" s="18" t="s">
        <v>5522</v>
      </c>
      <c r="D1725" s="18"/>
      <c r="E1725" s="6" t="s">
        <v>5523</v>
      </c>
      <c r="F1725" s="19" t="s">
        <v>5524</v>
      </c>
      <c r="G1725" s="19" t="s">
        <v>5505</v>
      </c>
      <c r="H1725" s="19" t="s">
        <v>5505</v>
      </c>
      <c r="L1725" s="6">
        <v>7209788895</v>
      </c>
      <c r="N1725" s="16"/>
      <c r="O1725" s="7"/>
      <c r="P1725" s="17"/>
    </row>
    <row r="1726" spans="1:16" ht="14.25" customHeight="1">
      <c r="A1726" s="5" t="s">
        <v>0</v>
      </c>
      <c r="B1726" s="5" t="str">
        <f t="shared" si="11"/>
        <v>Y</v>
      </c>
      <c r="C1726" s="18" t="s">
        <v>5525</v>
      </c>
      <c r="D1726" s="18"/>
      <c r="E1726" s="11" t="s">
        <v>5526</v>
      </c>
      <c r="F1726" s="19" t="s">
        <v>5527</v>
      </c>
      <c r="G1726" s="19" t="s">
        <v>5505</v>
      </c>
      <c r="H1726" s="19" t="s">
        <v>5505</v>
      </c>
      <c r="L1726" s="6">
        <v>8092369713</v>
      </c>
      <c r="N1726" s="16"/>
      <c r="O1726" s="7"/>
      <c r="P1726" s="17"/>
    </row>
    <row r="1727" spans="1:16" ht="14.25" customHeight="1">
      <c r="A1727" s="5" t="s">
        <v>0</v>
      </c>
      <c r="B1727" s="5" t="str">
        <f t="shared" si="11"/>
        <v>Y</v>
      </c>
      <c r="C1727" s="18" t="s">
        <v>5528</v>
      </c>
      <c r="D1727" s="18"/>
      <c r="E1727" s="11" t="s">
        <v>5529</v>
      </c>
      <c r="F1727" s="19" t="s">
        <v>5530</v>
      </c>
      <c r="G1727" s="19" t="s">
        <v>5531</v>
      </c>
      <c r="H1727" s="19" t="s">
        <v>5531</v>
      </c>
      <c r="L1727" s="6">
        <v>7360940943</v>
      </c>
      <c r="N1727" s="16"/>
      <c r="O1727" s="7"/>
      <c r="P1727" s="17"/>
    </row>
    <row r="1728" spans="1:16" ht="14.25" customHeight="1">
      <c r="A1728" s="5" t="s">
        <v>0</v>
      </c>
      <c r="B1728" s="5" t="str">
        <f t="shared" si="11"/>
        <v>Y</v>
      </c>
      <c r="C1728" s="18" t="s">
        <v>5532</v>
      </c>
      <c r="D1728" s="18"/>
      <c r="E1728" s="6" t="s">
        <v>5533</v>
      </c>
      <c r="F1728" s="19" t="s">
        <v>5534</v>
      </c>
      <c r="G1728" s="19" t="s">
        <v>5531</v>
      </c>
      <c r="H1728" s="19" t="s">
        <v>5531</v>
      </c>
      <c r="L1728" s="6">
        <v>6200593142</v>
      </c>
      <c r="N1728" s="16"/>
      <c r="O1728" s="7"/>
      <c r="P1728" s="17"/>
    </row>
    <row r="1729" spans="1:16" ht="14.25" customHeight="1">
      <c r="A1729" s="5" t="s">
        <v>0</v>
      </c>
      <c r="B1729" s="5" t="str">
        <f t="shared" si="11"/>
        <v>Y</v>
      </c>
      <c r="C1729" s="18" t="s">
        <v>5535</v>
      </c>
      <c r="D1729" s="18"/>
      <c r="E1729" s="11" t="s">
        <v>5536</v>
      </c>
      <c r="F1729" s="19" t="s">
        <v>5537</v>
      </c>
      <c r="G1729" s="19" t="s">
        <v>5538</v>
      </c>
      <c r="H1729" s="20">
        <v>44372</v>
      </c>
      <c r="K1729" s="6" t="s">
        <v>5539</v>
      </c>
      <c r="L1729" s="6">
        <v>8235452199</v>
      </c>
      <c r="N1729" s="16"/>
      <c r="O1729" s="7"/>
      <c r="P1729" s="17"/>
    </row>
    <row r="1730" spans="1:16" ht="14.25" customHeight="1">
      <c r="A1730" s="5" t="s">
        <v>0</v>
      </c>
      <c r="B1730" s="5" t="str">
        <f t="shared" si="11"/>
        <v>Y</v>
      </c>
      <c r="C1730" s="18" t="s">
        <v>5540</v>
      </c>
      <c r="D1730" s="18"/>
      <c r="E1730" s="6" t="s">
        <v>5541</v>
      </c>
      <c r="F1730" s="19" t="s">
        <v>5542</v>
      </c>
      <c r="G1730" s="19" t="s">
        <v>5543</v>
      </c>
      <c r="H1730" s="20">
        <v>44376</v>
      </c>
      <c r="N1730" s="16"/>
      <c r="O1730" s="7"/>
      <c r="P1730" s="17"/>
    </row>
    <row r="1731" spans="1:16" ht="14.25" customHeight="1">
      <c r="A1731" s="5" t="s">
        <v>0</v>
      </c>
      <c r="B1731" s="5" t="str">
        <f t="shared" si="11"/>
        <v>Y</v>
      </c>
      <c r="C1731" s="18" t="s">
        <v>5544</v>
      </c>
      <c r="D1731" s="18"/>
      <c r="E1731" s="6" t="s">
        <v>5545</v>
      </c>
      <c r="F1731" s="19" t="s">
        <v>5196</v>
      </c>
      <c r="G1731" s="19" t="s">
        <v>5546</v>
      </c>
      <c r="H1731" s="19" t="s">
        <v>5546</v>
      </c>
      <c r="L1731" s="6">
        <v>6205639097</v>
      </c>
      <c r="N1731" s="16"/>
      <c r="O1731" s="7"/>
      <c r="P1731" s="17"/>
    </row>
    <row r="1732" spans="1:16" ht="14.25" customHeight="1">
      <c r="A1732" s="5" t="s">
        <v>0</v>
      </c>
      <c r="B1732" s="5" t="str">
        <f t="shared" si="11"/>
        <v>Y</v>
      </c>
      <c r="C1732" s="18" t="s">
        <v>5547</v>
      </c>
      <c r="D1732" s="18"/>
      <c r="E1732" s="6" t="s">
        <v>5548</v>
      </c>
      <c r="F1732" s="19" t="s">
        <v>4386</v>
      </c>
      <c r="G1732" s="19" t="s">
        <v>5546</v>
      </c>
      <c r="H1732" s="19" t="s">
        <v>5546</v>
      </c>
      <c r="L1732" s="6">
        <v>8235232511</v>
      </c>
      <c r="N1732" s="16"/>
      <c r="O1732" s="7"/>
      <c r="P1732" s="17"/>
    </row>
    <row r="1733" spans="1:16" ht="14.25" customHeight="1">
      <c r="A1733" s="5" t="s">
        <v>0</v>
      </c>
      <c r="B1733" s="5" t="str">
        <f t="shared" si="11"/>
        <v>Y</v>
      </c>
      <c r="C1733" s="18" t="s">
        <v>5549</v>
      </c>
      <c r="D1733" s="18"/>
      <c r="E1733" s="11" t="s">
        <v>5550</v>
      </c>
      <c r="F1733" s="86" t="s">
        <v>5551</v>
      </c>
      <c r="G1733" s="86" t="s">
        <v>5546</v>
      </c>
      <c r="H1733" s="86" t="s">
        <v>5546</v>
      </c>
      <c r="I1733" s="11"/>
      <c r="J1733" s="11"/>
      <c r="K1733" s="86" t="s">
        <v>4698</v>
      </c>
      <c r="L1733" s="6">
        <v>6206914065</v>
      </c>
      <c r="N1733" s="16"/>
      <c r="O1733" s="7"/>
      <c r="P1733" s="17"/>
    </row>
    <row r="1734" spans="1:16" ht="14.25" customHeight="1">
      <c r="A1734" s="5" t="s">
        <v>0</v>
      </c>
      <c r="B1734" s="5" t="str">
        <f t="shared" si="11"/>
        <v>Y</v>
      </c>
      <c r="C1734" s="18" t="s">
        <v>5552</v>
      </c>
      <c r="D1734" s="18"/>
      <c r="E1734" s="6" t="s">
        <v>5553</v>
      </c>
      <c r="F1734" s="19" t="s">
        <v>5554</v>
      </c>
      <c r="G1734" s="19" t="s">
        <v>5546</v>
      </c>
      <c r="H1734" s="19" t="s">
        <v>5546</v>
      </c>
      <c r="L1734" s="6">
        <v>7319894811</v>
      </c>
      <c r="N1734" s="16"/>
      <c r="O1734" s="7"/>
      <c r="P1734" s="17"/>
    </row>
    <row r="1735" spans="1:16" ht="14.25" customHeight="1">
      <c r="A1735" s="5" t="s">
        <v>0</v>
      </c>
      <c r="B1735" s="5" t="str">
        <f t="shared" si="11"/>
        <v>Y</v>
      </c>
      <c r="C1735" s="18" t="s">
        <v>5555</v>
      </c>
      <c r="D1735" s="18"/>
      <c r="E1735" s="11" t="s">
        <v>5556</v>
      </c>
      <c r="F1735" s="19" t="s">
        <v>5557</v>
      </c>
      <c r="G1735" s="19" t="s">
        <v>5558</v>
      </c>
      <c r="H1735" s="20">
        <v>44377</v>
      </c>
      <c r="N1735" s="16"/>
      <c r="O1735" s="7"/>
      <c r="P1735" s="17"/>
    </row>
    <row r="1736" spans="1:16" ht="14.25" customHeight="1">
      <c r="A1736" s="5" t="s">
        <v>0</v>
      </c>
      <c r="B1736" s="5" t="str">
        <f t="shared" si="11"/>
        <v>Y</v>
      </c>
      <c r="C1736" s="18" t="s">
        <v>5559</v>
      </c>
      <c r="D1736" s="18"/>
      <c r="E1736" s="6" t="s">
        <v>5560</v>
      </c>
      <c r="F1736" s="19" t="s">
        <v>5561</v>
      </c>
      <c r="G1736" s="19" t="s">
        <v>5558</v>
      </c>
      <c r="H1736" s="20">
        <v>44377</v>
      </c>
      <c r="N1736" s="16"/>
      <c r="O1736" s="7"/>
      <c r="P1736" s="17"/>
    </row>
    <row r="1737" spans="1:16" ht="14.25" customHeight="1">
      <c r="A1737" s="5" t="s">
        <v>0</v>
      </c>
      <c r="B1737" s="5" t="str">
        <f t="shared" si="11"/>
        <v>Y</v>
      </c>
      <c r="C1737" s="18" t="s">
        <v>5562</v>
      </c>
      <c r="D1737" s="18"/>
      <c r="E1737" s="6" t="s">
        <v>5563</v>
      </c>
      <c r="F1737" s="19" t="s">
        <v>5564</v>
      </c>
      <c r="G1737" s="19" t="s">
        <v>5558</v>
      </c>
      <c r="H1737" s="20">
        <v>44377</v>
      </c>
      <c r="N1737" s="16"/>
      <c r="O1737" s="7"/>
      <c r="P1737" s="17"/>
    </row>
    <row r="1738" spans="1:16" ht="14.25" customHeight="1">
      <c r="A1738" s="5" t="s">
        <v>0</v>
      </c>
      <c r="B1738" s="5" t="str">
        <f t="shared" si="11"/>
        <v>Y</v>
      </c>
      <c r="C1738" s="18" t="s">
        <v>5547</v>
      </c>
      <c r="D1738" s="18"/>
      <c r="E1738" s="6" t="s">
        <v>5548</v>
      </c>
      <c r="F1738" s="19" t="s">
        <v>2425</v>
      </c>
      <c r="G1738" s="19" t="s">
        <v>5565</v>
      </c>
      <c r="H1738" s="20">
        <v>44378</v>
      </c>
      <c r="N1738" s="16"/>
      <c r="O1738" s="7"/>
      <c r="P1738" s="17"/>
    </row>
    <row r="1739" spans="1:16" ht="14.25" customHeight="1">
      <c r="A1739" s="5" t="s">
        <v>0</v>
      </c>
      <c r="B1739" s="5" t="str">
        <f t="shared" si="11"/>
        <v>N</v>
      </c>
      <c r="C1739" s="18" t="s">
        <v>5566</v>
      </c>
      <c r="D1739" s="18"/>
      <c r="E1739" s="6" t="s">
        <v>5567</v>
      </c>
      <c r="F1739" s="19" t="s">
        <v>5568</v>
      </c>
      <c r="G1739" s="19" t="s">
        <v>5565</v>
      </c>
      <c r="H1739" s="5"/>
      <c r="L1739" s="6">
        <v>7903741774</v>
      </c>
      <c r="N1739" s="16"/>
      <c r="O1739" s="7"/>
      <c r="P1739" s="17"/>
    </row>
    <row r="1740" spans="1:16" ht="14.25" customHeight="1">
      <c r="A1740" s="5" t="s">
        <v>0</v>
      </c>
      <c r="B1740" s="5" t="str">
        <f t="shared" si="11"/>
        <v>Y</v>
      </c>
      <c r="C1740" s="18" t="s">
        <v>5569</v>
      </c>
      <c r="D1740" s="18"/>
      <c r="E1740" s="6" t="s">
        <v>5570</v>
      </c>
      <c r="F1740" s="19" t="s">
        <v>5571</v>
      </c>
      <c r="G1740" s="19" t="s">
        <v>5572</v>
      </c>
      <c r="H1740" s="19" t="s">
        <v>5572</v>
      </c>
      <c r="L1740" s="6">
        <v>8271860170</v>
      </c>
      <c r="N1740" s="16"/>
      <c r="O1740" s="7"/>
      <c r="P1740" s="17"/>
    </row>
    <row r="1741" spans="1:16" ht="14.25" customHeight="1">
      <c r="A1741" s="5" t="s">
        <v>0</v>
      </c>
      <c r="B1741" s="5" t="str">
        <f t="shared" si="11"/>
        <v>Y</v>
      </c>
      <c r="C1741" s="18" t="s">
        <v>5573</v>
      </c>
      <c r="D1741" s="18"/>
      <c r="E1741" s="6" t="s">
        <v>5574</v>
      </c>
      <c r="F1741" s="19" t="s">
        <v>5575</v>
      </c>
      <c r="G1741" s="19" t="s">
        <v>5572</v>
      </c>
      <c r="H1741" s="19" t="s">
        <v>5572</v>
      </c>
      <c r="L1741" s="6">
        <v>9304211167</v>
      </c>
      <c r="N1741" s="16"/>
      <c r="O1741" s="7"/>
      <c r="P1741" s="17"/>
    </row>
    <row r="1742" spans="1:16" ht="14.25" customHeight="1">
      <c r="A1742" s="65" t="s">
        <v>0</v>
      </c>
      <c r="B1742" s="65" t="str">
        <f>IF(H1740="","N","Y")</f>
        <v>Y</v>
      </c>
      <c r="C1742" s="62" t="s">
        <v>5576</v>
      </c>
      <c r="D1742" s="62"/>
      <c r="E1742" s="47" t="s">
        <v>5577</v>
      </c>
      <c r="F1742" s="63" t="s">
        <v>5578</v>
      </c>
      <c r="G1742" s="63" t="s">
        <v>5572</v>
      </c>
      <c r="H1742" s="5"/>
      <c r="L1742" s="6">
        <v>8340796124</v>
      </c>
      <c r="N1742" s="16"/>
      <c r="O1742" s="7"/>
      <c r="P1742" s="17"/>
    </row>
    <row r="1743" spans="1:16" ht="14.25" customHeight="1">
      <c r="A1743" s="5" t="s">
        <v>0</v>
      </c>
      <c r="B1743" s="5" t="str">
        <f t="shared" ref="B1743:B1997" si="12">IF(H1743="","N","Y")</f>
        <v>N</v>
      </c>
      <c r="C1743" s="18"/>
      <c r="D1743" s="18"/>
      <c r="E1743" s="6" t="s">
        <v>5579</v>
      </c>
      <c r="F1743" s="19" t="s">
        <v>4403</v>
      </c>
      <c r="G1743" s="19" t="s">
        <v>5572</v>
      </c>
      <c r="H1743" s="5"/>
      <c r="L1743" s="6">
        <v>8210030360</v>
      </c>
      <c r="N1743" s="16"/>
      <c r="O1743" s="7"/>
      <c r="P1743" s="17"/>
    </row>
    <row r="1744" spans="1:16" ht="14.25" customHeight="1">
      <c r="A1744" s="5" t="s">
        <v>0</v>
      </c>
      <c r="B1744" s="5" t="str">
        <f t="shared" si="12"/>
        <v>Y</v>
      </c>
      <c r="C1744" s="18" t="s">
        <v>5580</v>
      </c>
      <c r="D1744" s="18"/>
      <c r="E1744" s="6" t="s">
        <v>5581</v>
      </c>
      <c r="F1744" s="19" t="s">
        <v>5582</v>
      </c>
      <c r="G1744" s="19" t="s">
        <v>5583</v>
      </c>
      <c r="H1744" s="20">
        <v>44382</v>
      </c>
      <c r="L1744" s="6">
        <v>6369740206</v>
      </c>
      <c r="N1744" s="16"/>
      <c r="O1744" s="7"/>
      <c r="P1744" s="17"/>
    </row>
    <row r="1745" spans="1:16" ht="14.25" customHeight="1">
      <c r="A1745" s="5" t="s">
        <v>0</v>
      </c>
      <c r="B1745" s="5" t="str">
        <f t="shared" si="12"/>
        <v>Y</v>
      </c>
      <c r="C1745" s="18" t="s">
        <v>5584</v>
      </c>
      <c r="D1745" s="18"/>
      <c r="E1745" s="6" t="s">
        <v>5585</v>
      </c>
      <c r="F1745" s="19" t="s">
        <v>5586</v>
      </c>
      <c r="G1745" s="19" t="s">
        <v>5583</v>
      </c>
      <c r="H1745" s="20">
        <v>44382</v>
      </c>
      <c r="L1745" s="6">
        <v>8603992840</v>
      </c>
      <c r="N1745" s="16"/>
      <c r="O1745" s="7"/>
      <c r="P1745" s="17"/>
    </row>
    <row r="1746" spans="1:16" ht="14.25" customHeight="1">
      <c r="A1746" s="5" t="s">
        <v>0</v>
      </c>
      <c r="B1746" s="5" t="str">
        <f t="shared" si="12"/>
        <v>Y</v>
      </c>
      <c r="C1746" s="18" t="s">
        <v>5587</v>
      </c>
      <c r="D1746" s="18"/>
      <c r="E1746" s="6" t="s">
        <v>5579</v>
      </c>
      <c r="F1746" s="19" t="s">
        <v>4403</v>
      </c>
      <c r="G1746" s="19" t="s">
        <v>5583</v>
      </c>
      <c r="H1746" s="20">
        <v>44382</v>
      </c>
      <c r="L1746" s="6">
        <v>8210030360</v>
      </c>
      <c r="N1746" s="16"/>
      <c r="O1746" s="7"/>
      <c r="P1746" s="17"/>
    </row>
    <row r="1747" spans="1:16" ht="14.25" customHeight="1">
      <c r="A1747" s="5" t="s">
        <v>0</v>
      </c>
      <c r="B1747" s="5" t="str">
        <f t="shared" si="12"/>
        <v>Y</v>
      </c>
      <c r="C1747" s="62" t="s">
        <v>5588</v>
      </c>
      <c r="D1747" s="62"/>
      <c r="E1747" s="47" t="s">
        <v>5177</v>
      </c>
      <c r="F1747" s="63" t="s">
        <v>5178</v>
      </c>
      <c r="G1747" s="63" t="s">
        <v>5583</v>
      </c>
      <c r="H1747" s="64">
        <v>44382</v>
      </c>
      <c r="I1747" s="47" t="s">
        <v>5589</v>
      </c>
      <c r="L1747" s="6">
        <v>6202888188</v>
      </c>
      <c r="N1747" s="16"/>
      <c r="O1747" s="7"/>
      <c r="P1747" s="17"/>
    </row>
    <row r="1748" spans="1:16" ht="14.25" customHeight="1">
      <c r="A1748" s="5" t="s">
        <v>0</v>
      </c>
      <c r="B1748" s="5" t="str">
        <f t="shared" si="12"/>
        <v>N</v>
      </c>
      <c r="C1748" s="18" t="s">
        <v>5590</v>
      </c>
      <c r="D1748" s="18"/>
      <c r="E1748" s="6" t="s">
        <v>5591</v>
      </c>
      <c r="F1748" s="19" t="s">
        <v>5592</v>
      </c>
      <c r="G1748" s="19" t="s">
        <v>5583</v>
      </c>
      <c r="H1748" s="5"/>
      <c r="L1748" s="6">
        <v>9199853347</v>
      </c>
      <c r="N1748" s="16"/>
      <c r="O1748" s="7"/>
      <c r="P1748" s="17"/>
    </row>
    <row r="1749" spans="1:16" ht="14.25" customHeight="1">
      <c r="A1749" s="5" t="s">
        <v>0</v>
      </c>
      <c r="B1749" s="5" t="str">
        <f t="shared" si="12"/>
        <v>N</v>
      </c>
      <c r="C1749" s="18" t="s">
        <v>5593</v>
      </c>
      <c r="D1749" s="18"/>
      <c r="E1749" s="6" t="s">
        <v>5594</v>
      </c>
      <c r="F1749" s="19" t="s">
        <v>5595</v>
      </c>
      <c r="G1749" s="19" t="s">
        <v>5596</v>
      </c>
      <c r="H1749" s="5"/>
      <c r="L1749" s="6">
        <v>8797459577</v>
      </c>
      <c r="N1749" s="16"/>
      <c r="O1749" s="7"/>
      <c r="P1749" s="17"/>
    </row>
    <row r="1750" spans="1:16" ht="14.25" customHeight="1">
      <c r="A1750" s="5" t="s">
        <v>0</v>
      </c>
      <c r="B1750" s="5" t="str">
        <f t="shared" si="12"/>
        <v>N</v>
      </c>
      <c r="C1750" s="18" t="s">
        <v>5597</v>
      </c>
      <c r="D1750" s="18"/>
      <c r="E1750" s="6" t="s">
        <v>5598</v>
      </c>
      <c r="F1750" s="19" t="s">
        <v>5599</v>
      </c>
      <c r="G1750" s="19" t="s">
        <v>5596</v>
      </c>
      <c r="H1750" s="5"/>
      <c r="L1750" s="6">
        <v>7295914524</v>
      </c>
      <c r="N1750" s="16"/>
      <c r="O1750" s="7"/>
      <c r="P1750" s="17"/>
    </row>
    <row r="1751" spans="1:16" ht="14.25" customHeight="1">
      <c r="A1751" s="5" t="s">
        <v>0</v>
      </c>
      <c r="B1751" s="5" t="str">
        <f t="shared" si="12"/>
        <v>N</v>
      </c>
      <c r="C1751" s="18" t="s">
        <v>5600</v>
      </c>
      <c r="D1751" s="18"/>
      <c r="E1751" s="6" t="s">
        <v>5520</v>
      </c>
      <c r="F1751" s="19" t="s">
        <v>5521</v>
      </c>
      <c r="G1751" s="19" t="s">
        <v>5596</v>
      </c>
      <c r="H1751" s="5"/>
      <c r="L1751" s="6">
        <v>9337758393</v>
      </c>
      <c r="N1751" s="16"/>
      <c r="O1751" s="7"/>
      <c r="P1751" s="17"/>
    </row>
    <row r="1752" spans="1:16" ht="14.25" customHeight="1">
      <c r="A1752" s="5" t="s">
        <v>0</v>
      </c>
      <c r="B1752" s="5" t="str">
        <f t="shared" si="12"/>
        <v>Y</v>
      </c>
      <c r="C1752" s="18" t="s">
        <v>5601</v>
      </c>
      <c r="D1752" s="18"/>
      <c r="E1752" s="6" t="s">
        <v>5602</v>
      </c>
      <c r="F1752" s="19" t="s">
        <v>5603</v>
      </c>
      <c r="G1752" s="19" t="s">
        <v>5604</v>
      </c>
      <c r="H1752" s="19" t="s">
        <v>5604</v>
      </c>
      <c r="L1752" s="6">
        <v>6204337110</v>
      </c>
      <c r="N1752" s="16"/>
      <c r="O1752" s="7"/>
      <c r="P1752" s="17"/>
    </row>
    <row r="1753" spans="1:16" ht="14.25" customHeight="1">
      <c r="A1753" s="5" t="s">
        <v>0</v>
      </c>
      <c r="B1753" s="5" t="str">
        <f t="shared" si="12"/>
        <v>Y</v>
      </c>
      <c r="C1753" s="18" t="s">
        <v>5605</v>
      </c>
      <c r="D1753" s="18"/>
      <c r="E1753" s="6" t="s">
        <v>5606</v>
      </c>
      <c r="F1753" s="19" t="s">
        <v>5607</v>
      </c>
      <c r="G1753" s="19" t="s">
        <v>5604</v>
      </c>
      <c r="H1753" s="19" t="s">
        <v>5604</v>
      </c>
      <c r="L1753" s="6">
        <v>9341203331</v>
      </c>
      <c r="N1753" s="16"/>
      <c r="O1753" s="7"/>
      <c r="P1753" s="17"/>
    </row>
    <row r="1754" spans="1:16" ht="14.25" customHeight="1">
      <c r="A1754" s="5" t="s">
        <v>0</v>
      </c>
      <c r="B1754" s="5" t="str">
        <f t="shared" si="12"/>
        <v>Y</v>
      </c>
      <c r="C1754" s="18" t="s">
        <v>5608</v>
      </c>
      <c r="D1754" s="18"/>
      <c r="E1754" s="6" t="s">
        <v>5609</v>
      </c>
      <c r="F1754" s="19" t="s">
        <v>5610</v>
      </c>
      <c r="G1754" s="19" t="s">
        <v>5604</v>
      </c>
      <c r="H1754" s="19" t="s">
        <v>5604</v>
      </c>
      <c r="L1754" s="6">
        <v>9693998481</v>
      </c>
      <c r="N1754" s="16"/>
      <c r="O1754" s="7"/>
      <c r="P1754" s="17"/>
    </row>
    <row r="1755" spans="1:16" ht="14.25" customHeight="1">
      <c r="A1755" s="5" t="s">
        <v>0</v>
      </c>
      <c r="B1755" s="5" t="str">
        <f t="shared" si="12"/>
        <v>Y</v>
      </c>
      <c r="C1755" s="18" t="s">
        <v>5611</v>
      </c>
      <c r="D1755" s="18"/>
      <c r="E1755" s="6" t="s">
        <v>1751</v>
      </c>
      <c r="F1755" s="19" t="s">
        <v>5513</v>
      </c>
      <c r="G1755" s="19" t="s">
        <v>5612</v>
      </c>
      <c r="H1755" s="19" t="s">
        <v>5612</v>
      </c>
      <c r="L1755" s="6">
        <v>9162230307</v>
      </c>
      <c r="N1755" s="16"/>
      <c r="O1755" s="7"/>
      <c r="P1755" s="17"/>
    </row>
    <row r="1756" spans="1:16" ht="14.25" customHeight="1">
      <c r="A1756" s="5" t="s">
        <v>0</v>
      </c>
      <c r="B1756" s="5" t="str">
        <f t="shared" si="12"/>
        <v>Y</v>
      </c>
      <c r="C1756" s="18" t="s">
        <v>5613</v>
      </c>
      <c r="D1756" s="18"/>
      <c r="E1756" s="6" t="s">
        <v>5614</v>
      </c>
      <c r="F1756" s="19" t="s">
        <v>5615</v>
      </c>
      <c r="G1756" s="19" t="s">
        <v>5612</v>
      </c>
      <c r="H1756" s="19" t="s">
        <v>5612</v>
      </c>
      <c r="L1756" s="6">
        <v>7488275963</v>
      </c>
      <c r="N1756" s="16"/>
      <c r="O1756" s="7"/>
      <c r="P1756" s="17"/>
    </row>
    <row r="1757" spans="1:16" ht="14.25" customHeight="1">
      <c r="A1757" s="5" t="s">
        <v>0</v>
      </c>
      <c r="B1757" s="5" t="str">
        <f t="shared" si="12"/>
        <v>Y</v>
      </c>
      <c r="C1757" s="18" t="s">
        <v>5616</v>
      </c>
      <c r="D1757" s="18"/>
      <c r="E1757" s="6" t="s">
        <v>5617</v>
      </c>
      <c r="F1757" s="19" t="s">
        <v>5618</v>
      </c>
      <c r="G1757" s="19" t="s">
        <v>5619</v>
      </c>
      <c r="H1757" s="19" t="s">
        <v>5619</v>
      </c>
      <c r="L1757" s="6">
        <v>7033777730</v>
      </c>
      <c r="N1757" s="16"/>
      <c r="O1757" s="7"/>
      <c r="P1757" s="17"/>
    </row>
    <row r="1758" spans="1:16" ht="14.25" customHeight="1">
      <c r="A1758" s="5" t="s">
        <v>0</v>
      </c>
      <c r="B1758" s="5" t="str">
        <f t="shared" si="12"/>
        <v>Y</v>
      </c>
      <c r="C1758" s="18" t="s">
        <v>5620</v>
      </c>
      <c r="D1758" s="18"/>
      <c r="E1758" s="6" t="s">
        <v>5621</v>
      </c>
      <c r="F1758" s="19" t="s">
        <v>5622</v>
      </c>
      <c r="G1758" s="19" t="s">
        <v>5623</v>
      </c>
      <c r="H1758" s="20">
        <v>44390</v>
      </c>
      <c r="K1758" s="6" t="s">
        <v>5624</v>
      </c>
      <c r="L1758" s="6">
        <v>669449247831</v>
      </c>
      <c r="N1758" s="16"/>
      <c r="O1758" s="7"/>
      <c r="P1758" s="17"/>
    </row>
    <row r="1759" spans="1:16" ht="14.25" customHeight="1">
      <c r="A1759" s="65" t="s">
        <v>0</v>
      </c>
      <c r="B1759" s="65" t="str">
        <f t="shared" si="12"/>
        <v>Y</v>
      </c>
      <c r="C1759" s="62" t="s">
        <v>5625</v>
      </c>
      <c r="D1759" s="62"/>
      <c r="E1759" s="47" t="s">
        <v>5577</v>
      </c>
      <c r="F1759" s="63" t="s">
        <v>5578</v>
      </c>
      <c r="G1759" s="63" t="s">
        <v>5623</v>
      </c>
      <c r="H1759" s="63" t="s">
        <v>5623</v>
      </c>
      <c r="L1759" s="6">
        <v>8340796124</v>
      </c>
      <c r="N1759" s="16"/>
      <c r="O1759" s="7"/>
      <c r="P1759" s="17"/>
    </row>
    <row r="1760" spans="1:16" ht="14.25" customHeight="1">
      <c r="A1760" s="5" t="s">
        <v>0</v>
      </c>
      <c r="B1760" s="5" t="str">
        <f t="shared" si="12"/>
        <v>Y</v>
      </c>
      <c r="C1760" s="18" t="s">
        <v>5626</v>
      </c>
      <c r="D1760" s="18"/>
      <c r="E1760" s="6" t="s">
        <v>5627</v>
      </c>
      <c r="F1760" s="19" t="s">
        <v>5521</v>
      </c>
      <c r="G1760" s="19" t="s">
        <v>5623</v>
      </c>
      <c r="H1760" s="19" t="s">
        <v>5623</v>
      </c>
      <c r="L1760" s="6">
        <v>9337758393</v>
      </c>
      <c r="N1760" s="16"/>
      <c r="O1760" s="7"/>
      <c r="P1760" s="17"/>
    </row>
    <row r="1761" spans="1:16" ht="14.25" customHeight="1">
      <c r="A1761" s="5" t="s">
        <v>0</v>
      </c>
      <c r="B1761" s="5" t="str">
        <f t="shared" si="12"/>
        <v>Y</v>
      </c>
      <c r="C1761" s="18" t="s">
        <v>5628</v>
      </c>
      <c r="D1761" s="18"/>
      <c r="E1761" s="6" t="s">
        <v>5629</v>
      </c>
      <c r="F1761" s="19" t="s">
        <v>5630</v>
      </c>
      <c r="G1761" s="19" t="s">
        <v>5623</v>
      </c>
      <c r="H1761" s="19" t="s">
        <v>5623</v>
      </c>
      <c r="L1761" s="6">
        <v>9102011530</v>
      </c>
      <c r="N1761" s="16"/>
      <c r="O1761" s="7"/>
      <c r="P1761" s="17"/>
    </row>
    <row r="1762" spans="1:16" ht="14.25" customHeight="1">
      <c r="A1762" s="5" t="s">
        <v>0</v>
      </c>
      <c r="B1762" s="5" t="str">
        <f t="shared" si="12"/>
        <v>Y</v>
      </c>
      <c r="C1762" s="18" t="s">
        <v>5631</v>
      </c>
      <c r="D1762" s="18"/>
      <c r="E1762" s="6" t="s">
        <v>5632</v>
      </c>
      <c r="F1762" s="19" t="s">
        <v>5633</v>
      </c>
      <c r="G1762" s="19" t="s">
        <v>5623</v>
      </c>
      <c r="H1762" s="5" t="s">
        <v>5623</v>
      </c>
      <c r="L1762" s="6">
        <v>8797140476</v>
      </c>
      <c r="N1762" s="16"/>
      <c r="O1762" s="7"/>
      <c r="P1762" s="17"/>
    </row>
    <row r="1763" spans="1:16" ht="14.25" customHeight="1">
      <c r="A1763" s="5"/>
      <c r="B1763" s="5" t="str">
        <f t="shared" si="12"/>
        <v>N</v>
      </c>
      <c r="C1763" s="18"/>
      <c r="D1763" s="18"/>
      <c r="E1763" s="6" t="s">
        <v>5634</v>
      </c>
      <c r="F1763" s="19" t="s">
        <v>4264</v>
      </c>
      <c r="G1763" s="19"/>
      <c r="H1763" s="19"/>
      <c r="L1763" s="6">
        <v>6361113127</v>
      </c>
      <c r="N1763" s="16"/>
      <c r="O1763" s="7"/>
      <c r="P1763" s="17"/>
    </row>
    <row r="1764" spans="1:16" ht="14.25" customHeight="1">
      <c r="A1764" s="5" t="s">
        <v>0</v>
      </c>
      <c r="B1764" s="5" t="str">
        <f t="shared" si="12"/>
        <v>Y</v>
      </c>
      <c r="C1764" s="18" t="s">
        <v>5635</v>
      </c>
      <c r="D1764" s="18"/>
      <c r="E1764" s="6" t="s">
        <v>5636</v>
      </c>
      <c r="F1764" s="19" t="s">
        <v>5637</v>
      </c>
      <c r="G1764" s="19" t="s">
        <v>5623</v>
      </c>
      <c r="H1764" s="19" t="s">
        <v>5623</v>
      </c>
      <c r="L1764" s="6">
        <v>8603862702</v>
      </c>
      <c r="N1764" s="16"/>
      <c r="O1764" s="7"/>
      <c r="P1764" s="17"/>
    </row>
    <row r="1765" spans="1:16" ht="14.25" customHeight="1">
      <c r="A1765" s="5" t="s">
        <v>0</v>
      </c>
      <c r="B1765" s="5" t="str">
        <f t="shared" si="12"/>
        <v>Y</v>
      </c>
      <c r="C1765" s="18" t="s">
        <v>3568</v>
      </c>
      <c r="D1765" s="18"/>
      <c r="E1765" s="6" t="s">
        <v>5638</v>
      </c>
      <c r="F1765" s="19" t="s">
        <v>5639</v>
      </c>
      <c r="G1765" s="19" t="s">
        <v>5623</v>
      </c>
      <c r="H1765" s="19" t="s">
        <v>5640</v>
      </c>
      <c r="L1765" s="6">
        <v>9576180661</v>
      </c>
      <c r="N1765" s="16"/>
      <c r="O1765" s="7"/>
      <c r="P1765" s="17"/>
    </row>
    <row r="1766" spans="1:16" ht="14.25" customHeight="1">
      <c r="A1766" s="5" t="s">
        <v>0</v>
      </c>
      <c r="B1766" s="5" t="str">
        <f t="shared" si="12"/>
        <v>Y</v>
      </c>
      <c r="C1766" s="18" t="s">
        <v>5641</v>
      </c>
      <c r="D1766" s="18"/>
      <c r="E1766" s="6" t="s">
        <v>5642</v>
      </c>
      <c r="F1766" s="19" t="s">
        <v>5643</v>
      </c>
      <c r="G1766" s="19" t="s">
        <v>5644</v>
      </c>
      <c r="H1766" s="20">
        <v>44393</v>
      </c>
      <c r="L1766" s="6">
        <v>8580351530</v>
      </c>
      <c r="N1766" s="16"/>
      <c r="O1766" s="7"/>
      <c r="P1766" s="17"/>
    </row>
    <row r="1767" spans="1:16" ht="14.25" customHeight="1">
      <c r="A1767" s="5" t="s">
        <v>0</v>
      </c>
      <c r="B1767" s="5" t="str">
        <f t="shared" si="12"/>
        <v>Y</v>
      </c>
      <c r="C1767" s="18" t="s">
        <v>5645</v>
      </c>
      <c r="D1767" s="18"/>
      <c r="E1767" s="6" t="s">
        <v>5646</v>
      </c>
      <c r="F1767" s="19" t="s">
        <v>5647</v>
      </c>
      <c r="G1767" s="19" t="s">
        <v>5640</v>
      </c>
      <c r="H1767" s="20">
        <v>44392</v>
      </c>
      <c r="N1767" s="16"/>
      <c r="O1767" s="7"/>
      <c r="P1767" s="17"/>
    </row>
    <row r="1768" spans="1:16" ht="14.25" customHeight="1">
      <c r="A1768" s="5" t="s">
        <v>0</v>
      </c>
      <c r="B1768" s="5" t="str">
        <f t="shared" si="12"/>
        <v>Y</v>
      </c>
      <c r="C1768" s="18" t="s">
        <v>5648</v>
      </c>
      <c r="D1768" s="18"/>
      <c r="E1768" s="6" t="s">
        <v>5649</v>
      </c>
      <c r="F1768" s="19" t="s">
        <v>2928</v>
      </c>
      <c r="G1768" s="19" t="s">
        <v>5644</v>
      </c>
      <c r="H1768" s="19" t="s">
        <v>5644</v>
      </c>
      <c r="L1768" s="6">
        <v>9696428033</v>
      </c>
      <c r="N1768" s="16"/>
      <c r="O1768" s="7"/>
      <c r="P1768" s="17"/>
    </row>
    <row r="1769" spans="1:16" ht="14.25" customHeight="1">
      <c r="A1769" s="5" t="s">
        <v>0</v>
      </c>
      <c r="B1769" s="5" t="str">
        <f t="shared" si="12"/>
        <v>Y</v>
      </c>
      <c r="C1769" s="18" t="s">
        <v>5650</v>
      </c>
      <c r="D1769" s="18"/>
      <c r="E1769" s="6" t="s">
        <v>5651</v>
      </c>
      <c r="F1769" s="19" t="s">
        <v>5652</v>
      </c>
      <c r="G1769" s="19" t="s">
        <v>5644</v>
      </c>
      <c r="H1769" s="19" t="s">
        <v>5644</v>
      </c>
      <c r="L1769" s="6">
        <v>8969726404</v>
      </c>
      <c r="N1769" s="16"/>
      <c r="O1769" s="7"/>
      <c r="P1769" s="17"/>
    </row>
    <row r="1770" spans="1:16" ht="14.25" customHeight="1">
      <c r="A1770" s="5" t="s">
        <v>0</v>
      </c>
      <c r="B1770" s="5" t="str">
        <f t="shared" si="12"/>
        <v>Y</v>
      </c>
      <c r="C1770" s="18" t="s">
        <v>5653</v>
      </c>
      <c r="D1770" s="18"/>
      <c r="E1770" s="6" t="s">
        <v>5654</v>
      </c>
      <c r="F1770" s="19" t="s">
        <v>5655</v>
      </c>
      <c r="G1770" s="19" t="s">
        <v>5644</v>
      </c>
      <c r="H1770" s="19" t="s">
        <v>5644</v>
      </c>
      <c r="L1770" s="6">
        <v>9740438605</v>
      </c>
      <c r="N1770" s="16"/>
      <c r="O1770" s="7"/>
      <c r="P1770" s="17"/>
    </row>
    <row r="1771" spans="1:16" ht="14.25" customHeight="1">
      <c r="A1771" s="5" t="s">
        <v>0</v>
      </c>
      <c r="B1771" s="5" t="str">
        <f t="shared" si="12"/>
        <v>Y</v>
      </c>
      <c r="C1771" s="18" t="s">
        <v>5656</v>
      </c>
      <c r="D1771" s="18"/>
      <c r="E1771" s="6" t="s">
        <v>5657</v>
      </c>
      <c r="F1771" s="19" t="s">
        <v>5658</v>
      </c>
      <c r="G1771" s="19" t="s">
        <v>5659</v>
      </c>
      <c r="H1771" s="20">
        <v>44394</v>
      </c>
      <c r="K1771" s="6" t="s">
        <v>4698</v>
      </c>
      <c r="L1771" s="6">
        <v>9264202291</v>
      </c>
      <c r="N1771" s="16"/>
      <c r="O1771" s="7"/>
      <c r="P1771" s="17"/>
    </row>
    <row r="1772" spans="1:16" ht="14.25" customHeight="1">
      <c r="A1772" s="5" t="s">
        <v>0</v>
      </c>
      <c r="B1772" s="5" t="str">
        <f t="shared" si="12"/>
        <v>Y</v>
      </c>
      <c r="C1772" s="18" t="s">
        <v>5660</v>
      </c>
      <c r="D1772" s="18"/>
      <c r="E1772" s="6" t="s">
        <v>5661</v>
      </c>
      <c r="F1772" s="19" t="s">
        <v>5662</v>
      </c>
      <c r="G1772" s="19" t="s">
        <v>5659</v>
      </c>
      <c r="H1772" s="20">
        <v>44394</v>
      </c>
      <c r="K1772" s="6" t="s">
        <v>5663</v>
      </c>
      <c r="L1772" s="6">
        <v>7909044681</v>
      </c>
      <c r="N1772" s="16"/>
      <c r="O1772" s="7"/>
      <c r="P1772" s="17"/>
    </row>
    <row r="1773" spans="1:16" ht="14.25" customHeight="1">
      <c r="A1773" s="5" t="s">
        <v>0</v>
      </c>
      <c r="B1773" s="5" t="str">
        <f t="shared" si="12"/>
        <v>Y</v>
      </c>
      <c r="C1773" s="18" t="s">
        <v>5664</v>
      </c>
      <c r="D1773" s="18"/>
      <c r="E1773" s="6" t="s">
        <v>5665</v>
      </c>
      <c r="F1773" s="19" t="s">
        <v>5666</v>
      </c>
      <c r="G1773" s="19" t="s">
        <v>5667</v>
      </c>
      <c r="H1773" s="19" t="s">
        <v>5667</v>
      </c>
      <c r="L1773" s="6">
        <v>9204356780</v>
      </c>
      <c r="N1773" s="16"/>
      <c r="O1773" s="7"/>
      <c r="P1773" s="17"/>
    </row>
    <row r="1774" spans="1:16" ht="14.25" customHeight="1">
      <c r="A1774" s="5" t="s">
        <v>0</v>
      </c>
      <c r="B1774" s="5" t="str">
        <f t="shared" si="12"/>
        <v>Y</v>
      </c>
      <c r="C1774" s="18" t="s">
        <v>5668</v>
      </c>
      <c r="D1774" s="18"/>
      <c r="E1774" s="6" t="s">
        <v>5669</v>
      </c>
      <c r="F1774" s="19" t="s">
        <v>5670</v>
      </c>
      <c r="G1774" s="19" t="s">
        <v>5671</v>
      </c>
      <c r="H1774" s="19" t="s">
        <v>5671</v>
      </c>
      <c r="L1774" s="6">
        <v>9167797569</v>
      </c>
      <c r="N1774" s="16"/>
      <c r="O1774" s="7"/>
      <c r="P1774" s="17"/>
    </row>
    <row r="1775" spans="1:16" ht="14.25" customHeight="1">
      <c r="A1775" s="5" t="s">
        <v>0</v>
      </c>
      <c r="B1775" s="5" t="str">
        <f t="shared" si="12"/>
        <v>Y</v>
      </c>
      <c r="C1775" s="18" t="s">
        <v>5672</v>
      </c>
      <c r="D1775" s="18"/>
      <c r="E1775" s="6" t="s">
        <v>5673</v>
      </c>
      <c r="F1775" s="19" t="s">
        <v>5674</v>
      </c>
      <c r="G1775" s="19" t="s">
        <v>5671</v>
      </c>
      <c r="H1775" s="19" t="s">
        <v>5671</v>
      </c>
      <c r="L1775" s="6">
        <v>7979785742</v>
      </c>
      <c r="N1775" s="16"/>
      <c r="O1775" s="7"/>
      <c r="P1775" s="17"/>
    </row>
    <row r="1776" spans="1:16" ht="14.25" customHeight="1">
      <c r="A1776" s="5" t="s">
        <v>0</v>
      </c>
      <c r="B1776" s="5" t="str">
        <f t="shared" si="12"/>
        <v>Y</v>
      </c>
      <c r="C1776" s="18" t="s">
        <v>5675</v>
      </c>
      <c r="D1776" s="18"/>
      <c r="E1776" s="6" t="s">
        <v>5676</v>
      </c>
      <c r="F1776" s="19" t="s">
        <v>5677</v>
      </c>
      <c r="G1776" s="19" t="s">
        <v>5678</v>
      </c>
      <c r="H1776" s="19" t="s">
        <v>5678</v>
      </c>
      <c r="L1776" s="6">
        <v>9939247670</v>
      </c>
      <c r="N1776" s="16"/>
      <c r="O1776" s="7"/>
      <c r="P1776" s="17"/>
    </row>
    <row r="1777" spans="1:16" ht="14.25" customHeight="1">
      <c r="A1777" s="5" t="s">
        <v>0</v>
      </c>
      <c r="B1777" s="5" t="str">
        <f t="shared" si="12"/>
        <v>Y</v>
      </c>
      <c r="C1777" s="18" t="s">
        <v>5679</v>
      </c>
      <c r="D1777" s="18"/>
      <c r="E1777" s="6" t="s">
        <v>5680</v>
      </c>
      <c r="F1777" s="19" t="s">
        <v>3099</v>
      </c>
      <c r="G1777" s="19" t="s">
        <v>5681</v>
      </c>
      <c r="H1777" s="19" t="s">
        <v>5681</v>
      </c>
      <c r="L1777" s="6">
        <v>9572932726</v>
      </c>
      <c r="N1777" s="16"/>
      <c r="O1777" s="7"/>
      <c r="P1777" s="17"/>
    </row>
    <row r="1778" spans="1:16" ht="14.25" customHeight="1">
      <c r="A1778" s="5" t="s">
        <v>0</v>
      </c>
      <c r="B1778" s="5" t="str">
        <f t="shared" si="12"/>
        <v>Y</v>
      </c>
      <c r="C1778" s="18" t="s">
        <v>5682</v>
      </c>
      <c r="D1778" s="18"/>
      <c r="E1778" s="6" t="s">
        <v>5683</v>
      </c>
      <c r="F1778" s="19" t="s">
        <v>5684</v>
      </c>
      <c r="G1778" s="19" t="s">
        <v>5685</v>
      </c>
      <c r="H1778" s="19" t="s">
        <v>5685</v>
      </c>
      <c r="L1778" s="6">
        <v>7273136937</v>
      </c>
      <c r="N1778" s="16"/>
      <c r="O1778" s="7"/>
      <c r="P1778" s="17"/>
    </row>
    <row r="1779" spans="1:16" ht="14.25" customHeight="1">
      <c r="A1779" s="5" t="s">
        <v>0</v>
      </c>
      <c r="B1779" s="5" t="str">
        <f t="shared" si="12"/>
        <v>Y</v>
      </c>
      <c r="C1779" s="18" t="s">
        <v>5686</v>
      </c>
      <c r="D1779" s="18"/>
      <c r="E1779" s="6" t="s">
        <v>5687</v>
      </c>
      <c r="F1779" s="19" t="s">
        <v>5688</v>
      </c>
      <c r="G1779" s="19" t="s">
        <v>5685</v>
      </c>
      <c r="H1779" s="19" t="s">
        <v>5685</v>
      </c>
      <c r="L1779" s="6">
        <v>7277136937</v>
      </c>
      <c r="N1779" s="16"/>
      <c r="O1779" s="7"/>
      <c r="P1779" s="17"/>
    </row>
    <row r="1780" spans="1:16" ht="14.25" customHeight="1">
      <c r="A1780" s="5" t="s">
        <v>0</v>
      </c>
      <c r="B1780" s="5" t="str">
        <f t="shared" si="12"/>
        <v>Y</v>
      </c>
      <c r="C1780" s="18" t="s">
        <v>5689</v>
      </c>
      <c r="D1780" s="18"/>
      <c r="E1780" s="6" t="s">
        <v>5690</v>
      </c>
      <c r="F1780" s="19" t="s">
        <v>5691</v>
      </c>
      <c r="G1780" s="19" t="s">
        <v>5667</v>
      </c>
      <c r="H1780" s="19" t="s">
        <v>5667</v>
      </c>
      <c r="L1780" s="6">
        <v>9911266727</v>
      </c>
      <c r="N1780" s="16"/>
      <c r="O1780" s="7"/>
      <c r="P1780" s="17"/>
    </row>
    <row r="1781" spans="1:16" ht="14.25" customHeight="1">
      <c r="A1781" s="5" t="s">
        <v>0</v>
      </c>
      <c r="B1781" s="5" t="str">
        <f t="shared" si="12"/>
        <v>Y</v>
      </c>
      <c r="C1781" s="18" t="s">
        <v>5692</v>
      </c>
      <c r="D1781" s="18"/>
      <c r="E1781" s="6" t="s">
        <v>5693</v>
      </c>
      <c r="F1781" s="19" t="s">
        <v>5694</v>
      </c>
      <c r="G1781" s="19" t="s">
        <v>5695</v>
      </c>
      <c r="H1781" s="20">
        <v>44404</v>
      </c>
      <c r="L1781" s="6">
        <v>7979868465</v>
      </c>
      <c r="N1781" s="16"/>
      <c r="O1781" s="7"/>
      <c r="P1781" s="17"/>
    </row>
    <row r="1782" spans="1:16" ht="14.25" customHeight="1">
      <c r="A1782" s="5" t="s">
        <v>0</v>
      </c>
      <c r="B1782" s="5" t="str">
        <f t="shared" si="12"/>
        <v>Y</v>
      </c>
      <c r="C1782" s="18" t="s">
        <v>5696</v>
      </c>
      <c r="D1782" s="18"/>
      <c r="E1782" s="6" t="s">
        <v>5697</v>
      </c>
      <c r="F1782" s="19" t="s">
        <v>5698</v>
      </c>
      <c r="G1782" s="19" t="s">
        <v>5695</v>
      </c>
      <c r="H1782" s="20">
        <v>44404</v>
      </c>
      <c r="L1782" s="6">
        <v>9693906003</v>
      </c>
      <c r="N1782" s="16"/>
      <c r="O1782" s="7"/>
      <c r="P1782" s="17"/>
    </row>
    <row r="1783" spans="1:16" ht="14.25" customHeight="1">
      <c r="A1783" s="5" t="s">
        <v>0</v>
      </c>
      <c r="B1783" s="5" t="str">
        <f t="shared" si="12"/>
        <v>Y</v>
      </c>
      <c r="C1783" s="18" t="s">
        <v>5699</v>
      </c>
      <c r="D1783" s="18"/>
      <c r="E1783" s="6" t="s">
        <v>5700</v>
      </c>
      <c r="F1783" s="19" t="s">
        <v>5701</v>
      </c>
      <c r="G1783" s="19" t="s">
        <v>5695</v>
      </c>
      <c r="H1783" s="20">
        <v>44404</v>
      </c>
      <c r="L1783" s="6">
        <v>6200593142</v>
      </c>
      <c r="N1783" s="16"/>
      <c r="O1783" s="7"/>
      <c r="P1783" s="17"/>
    </row>
    <row r="1784" spans="1:16" ht="14.25" customHeight="1">
      <c r="A1784" s="5" t="s">
        <v>0</v>
      </c>
      <c r="B1784" s="5" t="str">
        <f t="shared" si="12"/>
        <v>Y</v>
      </c>
      <c r="C1784" s="18" t="s">
        <v>5702</v>
      </c>
      <c r="D1784" s="18"/>
      <c r="E1784" s="6" t="s">
        <v>5703</v>
      </c>
      <c r="F1784" s="19" t="s">
        <v>5704</v>
      </c>
      <c r="G1784" s="20">
        <v>44404</v>
      </c>
      <c r="H1784" s="20">
        <v>44404</v>
      </c>
      <c r="L1784" s="6">
        <v>7488095011</v>
      </c>
      <c r="N1784" s="16"/>
      <c r="O1784" s="7"/>
      <c r="P1784" s="17"/>
    </row>
    <row r="1785" spans="1:16" ht="14.25" customHeight="1">
      <c r="A1785" s="5" t="s">
        <v>0</v>
      </c>
      <c r="B1785" s="5" t="str">
        <f t="shared" si="12"/>
        <v>Y</v>
      </c>
      <c r="C1785" s="18" t="s">
        <v>5705</v>
      </c>
      <c r="D1785" s="18"/>
      <c r="E1785" s="6" t="s">
        <v>5706</v>
      </c>
      <c r="F1785" s="19" t="s">
        <v>3081</v>
      </c>
      <c r="G1785" s="20">
        <v>44404</v>
      </c>
      <c r="H1785" s="20">
        <v>44404</v>
      </c>
      <c r="L1785" s="6">
        <v>8235947992</v>
      </c>
      <c r="N1785" s="16"/>
      <c r="O1785" s="7"/>
      <c r="P1785" s="17"/>
    </row>
    <row r="1786" spans="1:16" ht="14.25" customHeight="1">
      <c r="A1786" s="5" t="s">
        <v>0</v>
      </c>
      <c r="B1786" s="5" t="str">
        <f t="shared" si="12"/>
        <v>Y</v>
      </c>
      <c r="C1786" s="18" t="s">
        <v>5707</v>
      </c>
      <c r="D1786" s="18"/>
      <c r="E1786" s="6" t="s">
        <v>5708</v>
      </c>
      <c r="F1786" s="19" t="s">
        <v>3099</v>
      </c>
      <c r="G1786" s="20">
        <v>44404</v>
      </c>
      <c r="H1786" s="20">
        <v>44404</v>
      </c>
      <c r="L1786" s="6">
        <v>9572662800</v>
      </c>
      <c r="N1786" s="16"/>
      <c r="O1786" s="7"/>
      <c r="P1786" s="17"/>
    </row>
    <row r="1787" spans="1:16" ht="14.25" customHeight="1">
      <c r="A1787" s="5" t="s">
        <v>0</v>
      </c>
      <c r="B1787" s="5" t="str">
        <f t="shared" si="12"/>
        <v>Y</v>
      </c>
      <c r="C1787" s="18" t="s">
        <v>5709</v>
      </c>
      <c r="D1787" s="18"/>
      <c r="E1787" s="6" t="s">
        <v>5710</v>
      </c>
      <c r="F1787" s="19" t="s">
        <v>5711</v>
      </c>
      <c r="G1787" s="20">
        <v>44404</v>
      </c>
      <c r="H1787" s="20">
        <v>44404</v>
      </c>
      <c r="L1787" s="6">
        <v>9162186480</v>
      </c>
      <c r="N1787" s="16"/>
      <c r="O1787" s="7"/>
      <c r="P1787" s="17"/>
    </row>
    <row r="1788" spans="1:16" ht="14.25" customHeight="1">
      <c r="A1788" s="5" t="s">
        <v>0</v>
      </c>
      <c r="B1788" s="5" t="str">
        <f t="shared" si="12"/>
        <v>Y</v>
      </c>
      <c r="C1788" s="18" t="s">
        <v>5712</v>
      </c>
      <c r="D1788" s="18"/>
      <c r="E1788" s="6" t="s">
        <v>5713</v>
      </c>
      <c r="F1788" s="19" t="s">
        <v>5714</v>
      </c>
      <c r="G1788" s="19" t="s">
        <v>5715</v>
      </c>
      <c r="H1788" s="19" t="s">
        <v>5715</v>
      </c>
      <c r="L1788" s="6">
        <v>8252764834</v>
      </c>
      <c r="N1788" s="16"/>
      <c r="O1788" s="7"/>
      <c r="P1788" s="17"/>
    </row>
    <row r="1789" spans="1:16" ht="14.25" customHeight="1">
      <c r="A1789" s="5" t="s">
        <v>0</v>
      </c>
      <c r="B1789" s="5" t="str">
        <f t="shared" si="12"/>
        <v>Y</v>
      </c>
      <c r="C1789" s="18" t="s">
        <v>5716</v>
      </c>
      <c r="D1789" s="18"/>
      <c r="E1789" s="6" t="s">
        <v>5717</v>
      </c>
      <c r="F1789" s="19" t="s">
        <v>5718</v>
      </c>
      <c r="G1789" s="19" t="s">
        <v>5719</v>
      </c>
      <c r="H1789" s="19" t="s">
        <v>5719</v>
      </c>
      <c r="L1789" s="6">
        <v>9693700957</v>
      </c>
      <c r="N1789" s="16"/>
      <c r="O1789" s="7"/>
      <c r="P1789" s="17"/>
    </row>
    <row r="1790" spans="1:16" ht="14.25" customHeight="1">
      <c r="A1790" s="65" t="s">
        <v>0</v>
      </c>
      <c r="B1790" s="65" t="str">
        <f t="shared" si="12"/>
        <v>Y</v>
      </c>
      <c r="C1790" s="62" t="s">
        <v>5720</v>
      </c>
      <c r="D1790" s="62"/>
      <c r="E1790" s="47" t="s">
        <v>5577</v>
      </c>
      <c r="F1790" s="63" t="s">
        <v>5578</v>
      </c>
      <c r="G1790" s="63" t="s">
        <v>5721</v>
      </c>
      <c r="H1790" s="63" t="s">
        <v>5721</v>
      </c>
      <c r="L1790" s="6">
        <v>8340796124</v>
      </c>
      <c r="N1790" s="16"/>
      <c r="O1790" s="7"/>
      <c r="P1790" s="17"/>
    </row>
    <row r="1791" spans="1:16" ht="14.25" customHeight="1">
      <c r="A1791" s="5" t="s">
        <v>0</v>
      </c>
      <c r="B1791" s="5" t="str">
        <f t="shared" si="12"/>
        <v>Y</v>
      </c>
      <c r="C1791" s="18" t="s">
        <v>5722</v>
      </c>
      <c r="D1791" s="18"/>
      <c r="E1791" s="6" t="s">
        <v>5723</v>
      </c>
      <c r="F1791" s="19" t="s">
        <v>5724</v>
      </c>
      <c r="G1791" s="19" t="s">
        <v>5721</v>
      </c>
      <c r="H1791" s="19" t="s">
        <v>5721</v>
      </c>
      <c r="L1791" s="6">
        <v>6203561614</v>
      </c>
      <c r="N1791" s="16"/>
      <c r="O1791" s="7"/>
      <c r="P1791" s="17"/>
    </row>
    <row r="1792" spans="1:16" ht="14.25" customHeight="1">
      <c r="A1792" s="5" t="s">
        <v>0</v>
      </c>
      <c r="B1792" s="5" t="str">
        <f t="shared" si="12"/>
        <v>Y</v>
      </c>
      <c r="C1792" s="18" t="s">
        <v>5725</v>
      </c>
      <c r="D1792" s="18"/>
      <c r="E1792" s="6" t="s">
        <v>5726</v>
      </c>
      <c r="F1792" s="19" t="s">
        <v>4949</v>
      </c>
      <c r="G1792" s="19" t="s">
        <v>5721</v>
      </c>
      <c r="H1792" s="19" t="s">
        <v>5721</v>
      </c>
      <c r="L1792" s="6">
        <v>9798746438</v>
      </c>
      <c r="N1792" s="16"/>
      <c r="O1792" s="7"/>
      <c r="P1792" s="17"/>
    </row>
    <row r="1793" spans="1:16" ht="14.25" customHeight="1">
      <c r="A1793" s="5" t="s">
        <v>0</v>
      </c>
      <c r="B1793" s="5" t="str">
        <f t="shared" si="12"/>
        <v>Y</v>
      </c>
      <c r="C1793" s="18" t="s">
        <v>5727</v>
      </c>
      <c r="D1793" s="18"/>
      <c r="E1793" s="6" t="s">
        <v>4929</v>
      </c>
      <c r="F1793" s="19" t="s">
        <v>4930</v>
      </c>
      <c r="G1793" s="19" t="s">
        <v>5721</v>
      </c>
      <c r="H1793" s="19" t="s">
        <v>5721</v>
      </c>
      <c r="L1793" s="6">
        <v>7520223549</v>
      </c>
      <c r="N1793" s="16"/>
      <c r="O1793" s="7"/>
      <c r="P1793" s="17"/>
    </row>
    <row r="1794" spans="1:16" ht="14.25" customHeight="1">
      <c r="A1794" s="5" t="s">
        <v>0</v>
      </c>
      <c r="B1794" s="5" t="str">
        <f t="shared" si="12"/>
        <v>Y</v>
      </c>
      <c r="C1794" s="18" t="s">
        <v>5728</v>
      </c>
      <c r="D1794" s="18"/>
      <c r="E1794" s="6" t="s">
        <v>5729</v>
      </c>
      <c r="F1794" s="19" t="s">
        <v>5730</v>
      </c>
      <c r="G1794" s="19" t="s">
        <v>5731</v>
      </c>
      <c r="H1794" s="20">
        <v>44407</v>
      </c>
      <c r="N1794" s="16"/>
      <c r="O1794" s="7"/>
      <c r="P1794" s="17"/>
    </row>
    <row r="1795" spans="1:16" ht="14.25" customHeight="1">
      <c r="A1795" s="5" t="s">
        <v>0</v>
      </c>
      <c r="B1795" s="5" t="str">
        <f t="shared" si="12"/>
        <v>Y</v>
      </c>
      <c r="C1795" s="18" t="s">
        <v>5732</v>
      </c>
      <c r="D1795" s="18"/>
      <c r="E1795" s="6" t="s">
        <v>5733</v>
      </c>
      <c r="F1795" s="19" t="s">
        <v>5734</v>
      </c>
      <c r="G1795" s="19" t="s">
        <v>5735</v>
      </c>
      <c r="H1795" s="20">
        <v>44411</v>
      </c>
      <c r="L1795" s="19" t="s">
        <v>5736</v>
      </c>
      <c r="N1795" s="16"/>
      <c r="O1795" s="7"/>
      <c r="P1795" s="17"/>
    </row>
    <row r="1796" spans="1:16" ht="14.25" customHeight="1">
      <c r="A1796" s="5" t="s">
        <v>0</v>
      </c>
      <c r="B1796" s="5" t="str">
        <f t="shared" si="12"/>
        <v>Y</v>
      </c>
      <c r="C1796" s="18" t="s">
        <v>5737</v>
      </c>
      <c r="D1796" s="18"/>
      <c r="E1796" s="6" t="s">
        <v>5738</v>
      </c>
      <c r="F1796" s="19" t="s">
        <v>5739</v>
      </c>
      <c r="G1796" s="19" t="s">
        <v>5572</v>
      </c>
      <c r="H1796" s="20">
        <v>44411</v>
      </c>
      <c r="L1796" s="6">
        <v>9934301876</v>
      </c>
      <c r="N1796" s="16"/>
      <c r="O1796" s="7"/>
      <c r="P1796" s="17"/>
    </row>
    <row r="1797" spans="1:16" ht="14.25" customHeight="1">
      <c r="A1797" s="5" t="s">
        <v>0</v>
      </c>
      <c r="B1797" s="5" t="str">
        <f t="shared" si="12"/>
        <v>Y</v>
      </c>
      <c r="C1797" s="18" t="s">
        <v>5740</v>
      </c>
      <c r="D1797" s="18"/>
      <c r="E1797" s="6" t="s">
        <v>5741</v>
      </c>
      <c r="F1797" s="19" t="s">
        <v>5742</v>
      </c>
      <c r="G1797" s="19" t="s">
        <v>5735</v>
      </c>
      <c r="H1797" s="20">
        <v>44411</v>
      </c>
      <c r="L1797" s="6">
        <v>8092706355</v>
      </c>
      <c r="N1797" s="16"/>
      <c r="O1797" s="7"/>
      <c r="P1797" s="17"/>
    </row>
    <row r="1798" spans="1:16" ht="14.25" customHeight="1">
      <c r="A1798" s="5" t="s">
        <v>0</v>
      </c>
      <c r="B1798" s="5" t="str">
        <f t="shared" si="12"/>
        <v>Y</v>
      </c>
      <c r="C1798" s="18" t="s">
        <v>5743</v>
      </c>
      <c r="D1798" s="18"/>
      <c r="E1798" s="6" t="s">
        <v>5744</v>
      </c>
      <c r="F1798" s="19" t="s">
        <v>5745</v>
      </c>
      <c r="G1798" s="19" t="s">
        <v>5746</v>
      </c>
      <c r="H1798" s="20">
        <v>44411</v>
      </c>
      <c r="L1798" s="6">
        <v>7294188341</v>
      </c>
      <c r="N1798" s="16"/>
      <c r="O1798" s="7"/>
      <c r="P1798" s="17"/>
    </row>
    <row r="1799" spans="1:16" ht="14.25" customHeight="1">
      <c r="A1799" s="5" t="s">
        <v>0</v>
      </c>
      <c r="B1799" s="5" t="str">
        <f t="shared" si="12"/>
        <v>Y</v>
      </c>
      <c r="C1799" s="18" t="s">
        <v>5747</v>
      </c>
      <c r="D1799" s="18"/>
      <c r="E1799" s="6" t="s">
        <v>5748</v>
      </c>
      <c r="F1799" s="19" t="s">
        <v>5749</v>
      </c>
      <c r="G1799" s="19" t="s">
        <v>5750</v>
      </c>
      <c r="H1799" s="19" t="s">
        <v>5750</v>
      </c>
      <c r="L1799" s="6">
        <v>6204737840</v>
      </c>
      <c r="N1799" s="16"/>
      <c r="O1799" s="7"/>
      <c r="P1799" s="17"/>
    </row>
    <row r="1800" spans="1:16" ht="14.25" customHeight="1">
      <c r="A1800" s="5" t="s">
        <v>0</v>
      </c>
      <c r="B1800" s="5" t="str">
        <f t="shared" si="12"/>
        <v>Y</v>
      </c>
      <c r="C1800" s="18" t="s">
        <v>5751</v>
      </c>
      <c r="D1800" s="18"/>
      <c r="E1800" s="6" t="s">
        <v>5752</v>
      </c>
      <c r="F1800" s="19" t="s">
        <v>5753</v>
      </c>
      <c r="G1800" s="19" t="s">
        <v>5746</v>
      </c>
      <c r="H1800" s="20">
        <v>44411</v>
      </c>
      <c r="L1800" s="6">
        <v>8210532188</v>
      </c>
      <c r="N1800" s="16"/>
      <c r="O1800" s="7"/>
      <c r="P1800" s="17"/>
    </row>
    <row r="1801" spans="1:16" ht="14.25" customHeight="1">
      <c r="A1801" s="5" t="s">
        <v>0</v>
      </c>
      <c r="B1801" s="5" t="str">
        <f t="shared" si="12"/>
        <v>Y</v>
      </c>
      <c r="C1801" s="18" t="s">
        <v>5754</v>
      </c>
      <c r="D1801" s="18"/>
      <c r="E1801" s="6" t="s">
        <v>5755</v>
      </c>
      <c r="F1801" s="19" t="s">
        <v>5756</v>
      </c>
      <c r="G1801" s="19" t="s">
        <v>5746</v>
      </c>
      <c r="H1801" s="20">
        <v>44411</v>
      </c>
      <c r="L1801" s="6">
        <v>9934301876</v>
      </c>
      <c r="N1801" s="16"/>
      <c r="O1801" s="7"/>
      <c r="P1801" s="17"/>
    </row>
    <row r="1802" spans="1:16" ht="14.25" customHeight="1">
      <c r="A1802" s="5" t="s">
        <v>0</v>
      </c>
      <c r="B1802" s="5" t="str">
        <f t="shared" si="12"/>
        <v>Y</v>
      </c>
      <c r="C1802" s="18" t="s">
        <v>5757</v>
      </c>
      <c r="D1802" s="18"/>
      <c r="E1802" s="6" t="s">
        <v>5758</v>
      </c>
      <c r="F1802" s="19" t="s">
        <v>5759</v>
      </c>
      <c r="G1802" s="19" t="s">
        <v>5746</v>
      </c>
      <c r="H1802" s="20">
        <v>44411</v>
      </c>
      <c r="L1802" s="6">
        <v>9572016850</v>
      </c>
      <c r="N1802" s="16"/>
      <c r="O1802" s="7"/>
      <c r="P1802" s="17"/>
    </row>
    <row r="1803" spans="1:16" ht="14.25" customHeight="1">
      <c r="A1803" s="5" t="s">
        <v>0</v>
      </c>
      <c r="B1803" s="5" t="str">
        <f t="shared" si="12"/>
        <v>Y</v>
      </c>
      <c r="C1803" s="18" t="s">
        <v>5760</v>
      </c>
      <c r="D1803" s="18"/>
      <c r="E1803" s="6" t="s">
        <v>5761</v>
      </c>
      <c r="F1803" s="19" t="s">
        <v>5762</v>
      </c>
      <c r="G1803" s="19" t="s">
        <v>5746</v>
      </c>
      <c r="H1803" s="20">
        <v>44411</v>
      </c>
      <c r="L1803" s="6">
        <v>7857097388</v>
      </c>
      <c r="N1803" s="16"/>
      <c r="O1803" s="7"/>
      <c r="P1803" s="17"/>
    </row>
    <row r="1804" spans="1:16" ht="14.25" customHeight="1">
      <c r="A1804" s="5" t="s">
        <v>0</v>
      </c>
      <c r="B1804" s="5" t="str">
        <f t="shared" si="12"/>
        <v>Y</v>
      </c>
      <c r="C1804" s="18" t="s">
        <v>5763</v>
      </c>
      <c r="D1804" s="18"/>
      <c r="E1804" s="6" t="s">
        <v>5764</v>
      </c>
      <c r="F1804" s="19" t="s">
        <v>5765</v>
      </c>
      <c r="G1804" s="19" t="s">
        <v>5746</v>
      </c>
      <c r="H1804" s="20">
        <v>44411</v>
      </c>
      <c r="L1804" s="6">
        <v>7679611761</v>
      </c>
      <c r="N1804" s="16"/>
      <c r="O1804" s="7"/>
      <c r="P1804" s="17"/>
    </row>
    <row r="1805" spans="1:16" ht="14.25" customHeight="1">
      <c r="A1805" s="5" t="s">
        <v>0</v>
      </c>
      <c r="B1805" s="5" t="str">
        <f t="shared" si="12"/>
        <v>Y</v>
      </c>
      <c r="C1805" s="18" t="s">
        <v>5766</v>
      </c>
      <c r="D1805" s="18"/>
      <c r="E1805" s="6" t="s">
        <v>5744</v>
      </c>
      <c r="F1805" s="19" t="s">
        <v>5767</v>
      </c>
      <c r="G1805" s="19" t="s">
        <v>5768</v>
      </c>
      <c r="H1805" s="20">
        <v>44413</v>
      </c>
      <c r="L1805" s="6">
        <v>7294188341</v>
      </c>
      <c r="N1805" s="16"/>
      <c r="O1805" s="7"/>
      <c r="P1805" s="17"/>
    </row>
    <row r="1806" spans="1:16" ht="14.25" customHeight="1">
      <c r="A1806" s="5" t="s">
        <v>0</v>
      </c>
      <c r="B1806" s="5" t="str">
        <f t="shared" si="12"/>
        <v>Y</v>
      </c>
      <c r="C1806" s="18" t="s">
        <v>5769</v>
      </c>
      <c r="D1806" s="18"/>
      <c r="E1806" s="6" t="s">
        <v>5770</v>
      </c>
      <c r="F1806" s="19" t="s">
        <v>5771</v>
      </c>
      <c r="G1806" s="19" t="s">
        <v>5768</v>
      </c>
      <c r="H1806" s="20">
        <v>44413</v>
      </c>
      <c r="L1806" s="6">
        <v>9572793190</v>
      </c>
      <c r="N1806" s="16"/>
      <c r="O1806" s="7"/>
      <c r="P1806" s="17"/>
    </row>
    <row r="1807" spans="1:16" ht="14.25" customHeight="1">
      <c r="A1807" s="5" t="s">
        <v>0</v>
      </c>
      <c r="B1807" s="5" t="str">
        <f t="shared" si="12"/>
        <v>Y</v>
      </c>
      <c r="C1807" s="18" t="s">
        <v>5772</v>
      </c>
      <c r="D1807" s="18"/>
      <c r="E1807" s="6" t="s">
        <v>5773</v>
      </c>
      <c r="F1807" s="19" t="s">
        <v>5774</v>
      </c>
      <c r="G1807" s="19" t="s">
        <v>5775</v>
      </c>
      <c r="H1807" s="19" t="s">
        <v>5775</v>
      </c>
      <c r="L1807" s="6">
        <v>9934859402</v>
      </c>
      <c r="N1807" s="16"/>
      <c r="O1807" s="7"/>
      <c r="P1807" s="17"/>
    </row>
    <row r="1808" spans="1:16" ht="14.25" customHeight="1">
      <c r="A1808" s="5" t="s">
        <v>0</v>
      </c>
      <c r="B1808" s="5" t="str">
        <f t="shared" si="12"/>
        <v>Y</v>
      </c>
      <c r="C1808" s="18" t="s">
        <v>5776</v>
      </c>
      <c r="D1808" s="18"/>
      <c r="E1808" s="6" t="s">
        <v>5777</v>
      </c>
      <c r="F1808" s="19" t="s">
        <v>5778</v>
      </c>
      <c r="G1808" s="19" t="s">
        <v>5775</v>
      </c>
      <c r="H1808" s="19" t="s">
        <v>5775</v>
      </c>
      <c r="L1808" s="6">
        <v>7367970918</v>
      </c>
      <c r="N1808" s="16"/>
      <c r="O1808" s="7"/>
      <c r="P1808" s="17"/>
    </row>
    <row r="1809" spans="1:16" ht="14.25" customHeight="1">
      <c r="A1809" s="5" t="s">
        <v>0</v>
      </c>
      <c r="B1809" s="5" t="str">
        <f t="shared" si="12"/>
        <v>Y</v>
      </c>
      <c r="C1809" s="18" t="s">
        <v>5779</v>
      </c>
      <c r="D1809" s="18"/>
      <c r="E1809" s="6" t="s">
        <v>5780</v>
      </c>
      <c r="F1809" s="19" t="s">
        <v>5781</v>
      </c>
      <c r="G1809" s="19" t="s">
        <v>5775</v>
      </c>
      <c r="H1809" s="19" t="s">
        <v>5775</v>
      </c>
      <c r="L1809" s="6">
        <v>8235673074</v>
      </c>
      <c r="N1809" s="16"/>
      <c r="O1809" s="7"/>
      <c r="P1809" s="17"/>
    </row>
    <row r="1810" spans="1:16" ht="14.25" customHeight="1">
      <c r="A1810" s="5" t="s">
        <v>0</v>
      </c>
      <c r="B1810" s="5" t="str">
        <f t="shared" si="12"/>
        <v>Y</v>
      </c>
      <c r="C1810" s="18" t="s">
        <v>5782</v>
      </c>
      <c r="D1810" s="18"/>
      <c r="E1810" s="6" t="s">
        <v>5783</v>
      </c>
      <c r="F1810" s="19" t="s">
        <v>5784</v>
      </c>
      <c r="G1810" s="19" t="s">
        <v>5775</v>
      </c>
      <c r="H1810" s="19" t="s">
        <v>5775</v>
      </c>
      <c r="L1810" s="6">
        <v>9264269982</v>
      </c>
      <c r="N1810" s="16"/>
      <c r="O1810" s="7"/>
      <c r="P1810" s="17"/>
    </row>
    <row r="1811" spans="1:16" ht="14.25" customHeight="1">
      <c r="A1811" s="5" t="s">
        <v>0</v>
      </c>
      <c r="B1811" s="5" t="str">
        <f t="shared" si="12"/>
        <v>Y</v>
      </c>
      <c r="C1811" s="18" t="s">
        <v>5785</v>
      </c>
      <c r="D1811" s="18"/>
      <c r="E1811" s="6" t="s">
        <v>5786</v>
      </c>
      <c r="F1811" s="19" t="s">
        <v>5787</v>
      </c>
      <c r="G1811" s="19" t="s">
        <v>5775</v>
      </c>
      <c r="H1811" s="19" t="s">
        <v>5788</v>
      </c>
      <c r="L1811" s="6">
        <v>9304009761</v>
      </c>
      <c r="N1811" s="16"/>
      <c r="O1811" s="7"/>
      <c r="P1811" s="17"/>
    </row>
    <row r="1812" spans="1:16" ht="14.25" customHeight="1">
      <c r="A1812" s="5" t="s">
        <v>0</v>
      </c>
      <c r="B1812" s="5" t="str">
        <f t="shared" si="12"/>
        <v>Y</v>
      </c>
      <c r="C1812" s="18" t="s">
        <v>5789</v>
      </c>
      <c r="D1812" s="18"/>
      <c r="E1812" s="6" t="s">
        <v>5790</v>
      </c>
      <c r="F1812" s="19" t="s">
        <v>5791</v>
      </c>
      <c r="G1812" s="19" t="s">
        <v>5792</v>
      </c>
      <c r="H1812" s="19" t="s">
        <v>5792</v>
      </c>
      <c r="L1812" s="6">
        <v>8709613164</v>
      </c>
      <c r="N1812" s="16"/>
      <c r="O1812" s="7"/>
      <c r="P1812" s="17"/>
    </row>
    <row r="1813" spans="1:16" ht="14.25" customHeight="1">
      <c r="A1813" s="5" t="s">
        <v>0</v>
      </c>
      <c r="B1813" s="5" t="str">
        <f t="shared" si="12"/>
        <v>Y</v>
      </c>
      <c r="C1813" s="18" t="s">
        <v>5793</v>
      </c>
      <c r="D1813" s="18"/>
      <c r="E1813" s="6" t="s">
        <v>5794</v>
      </c>
      <c r="F1813" s="19" t="s">
        <v>5795</v>
      </c>
      <c r="G1813" s="19" t="s">
        <v>5792</v>
      </c>
      <c r="H1813" s="19" t="s">
        <v>5792</v>
      </c>
      <c r="L1813" s="6">
        <v>8969272502</v>
      </c>
      <c r="N1813" s="16"/>
      <c r="O1813" s="7"/>
      <c r="P1813" s="17"/>
    </row>
    <row r="1814" spans="1:16" ht="14.25" customHeight="1">
      <c r="A1814" s="5" t="s">
        <v>0</v>
      </c>
      <c r="B1814" s="5" t="str">
        <f t="shared" si="12"/>
        <v>Y</v>
      </c>
      <c r="C1814" s="18" t="s">
        <v>5796</v>
      </c>
      <c r="D1814" s="18"/>
      <c r="E1814" s="6" t="s">
        <v>5797</v>
      </c>
      <c r="F1814" s="19" t="s">
        <v>5798</v>
      </c>
      <c r="G1814" s="19" t="s">
        <v>5792</v>
      </c>
      <c r="H1814" s="19" t="s">
        <v>5792</v>
      </c>
      <c r="L1814" s="6">
        <v>8272047002</v>
      </c>
      <c r="N1814" s="16"/>
      <c r="O1814" s="7"/>
      <c r="P1814" s="17"/>
    </row>
    <row r="1815" spans="1:16" ht="14.25" customHeight="1">
      <c r="A1815" s="5" t="s">
        <v>0</v>
      </c>
      <c r="B1815" s="5" t="str">
        <f t="shared" si="12"/>
        <v>Y</v>
      </c>
      <c r="C1815" s="18" t="s">
        <v>5785</v>
      </c>
      <c r="D1815" s="18"/>
      <c r="E1815" s="6" t="s">
        <v>5799</v>
      </c>
      <c r="F1815" s="19" t="s">
        <v>5787</v>
      </c>
      <c r="G1815" s="19" t="s">
        <v>5792</v>
      </c>
      <c r="H1815" s="19" t="s">
        <v>5792</v>
      </c>
      <c r="L1815" s="6">
        <v>9304009761</v>
      </c>
      <c r="N1815" s="16"/>
      <c r="O1815" s="7"/>
      <c r="P1815" s="17"/>
    </row>
    <row r="1816" spans="1:16" ht="14.25" customHeight="1">
      <c r="A1816" s="5" t="s">
        <v>0</v>
      </c>
      <c r="B1816" s="5" t="str">
        <f t="shared" si="12"/>
        <v>Y</v>
      </c>
      <c r="C1816" s="18" t="s">
        <v>5800</v>
      </c>
      <c r="D1816" s="18"/>
      <c r="E1816" s="6" t="s">
        <v>5801</v>
      </c>
      <c r="F1816" s="19" t="s">
        <v>5802</v>
      </c>
      <c r="G1816" s="19" t="s">
        <v>5792</v>
      </c>
      <c r="H1816" s="19" t="s">
        <v>5792</v>
      </c>
      <c r="L1816" s="6">
        <v>8709613164</v>
      </c>
      <c r="N1816" s="16"/>
      <c r="O1816" s="7"/>
      <c r="P1816" s="17"/>
    </row>
    <row r="1817" spans="1:16" ht="14.25" customHeight="1">
      <c r="A1817" s="5" t="s">
        <v>0</v>
      </c>
      <c r="B1817" s="5" t="str">
        <f t="shared" si="12"/>
        <v>Y</v>
      </c>
      <c r="C1817" s="18" t="s">
        <v>5803</v>
      </c>
      <c r="D1817" s="18"/>
      <c r="E1817" s="6" t="s">
        <v>5804</v>
      </c>
      <c r="F1817" s="19" t="s">
        <v>5805</v>
      </c>
      <c r="G1817" s="19" t="s">
        <v>5792</v>
      </c>
      <c r="H1817" s="19" t="s">
        <v>5792</v>
      </c>
      <c r="L1817" s="6">
        <v>6202006560</v>
      </c>
      <c r="N1817" s="16"/>
      <c r="O1817" s="7"/>
      <c r="P1817" s="17"/>
    </row>
    <row r="1818" spans="1:16" ht="14.25" customHeight="1">
      <c r="A1818" s="5" t="s">
        <v>0</v>
      </c>
      <c r="B1818" s="5" t="str">
        <f t="shared" si="12"/>
        <v>Y</v>
      </c>
      <c r="C1818" s="18" t="s">
        <v>5806</v>
      </c>
      <c r="D1818" s="18"/>
      <c r="E1818" s="6" t="s">
        <v>5807</v>
      </c>
      <c r="F1818" s="19" t="s">
        <v>5808</v>
      </c>
      <c r="G1818" s="19" t="s">
        <v>5809</v>
      </c>
      <c r="H1818" s="19" t="s">
        <v>5809</v>
      </c>
      <c r="L1818" s="6">
        <v>8709494870</v>
      </c>
      <c r="N1818" s="16"/>
      <c r="O1818" s="7"/>
      <c r="P1818" s="17"/>
    </row>
    <row r="1819" spans="1:16" ht="14.25" customHeight="1">
      <c r="A1819" s="5" t="s">
        <v>0</v>
      </c>
      <c r="B1819" s="5" t="str">
        <f t="shared" si="12"/>
        <v>Y</v>
      </c>
      <c r="C1819" s="18" t="s">
        <v>5810</v>
      </c>
      <c r="D1819" s="18"/>
      <c r="E1819" s="6" t="s">
        <v>3313</v>
      </c>
      <c r="F1819" s="19" t="s">
        <v>3516</v>
      </c>
      <c r="G1819" s="19" t="s">
        <v>5811</v>
      </c>
      <c r="H1819" s="20">
        <v>44419</v>
      </c>
      <c r="L1819" s="6">
        <v>8789524053</v>
      </c>
      <c r="N1819" s="16"/>
      <c r="O1819" s="7"/>
      <c r="P1819" s="17"/>
    </row>
    <row r="1820" spans="1:16" ht="14.25" customHeight="1">
      <c r="A1820" s="5" t="s">
        <v>0</v>
      </c>
      <c r="B1820" s="5" t="str">
        <f t="shared" si="12"/>
        <v>Y</v>
      </c>
      <c r="C1820" s="18" t="s">
        <v>5812</v>
      </c>
      <c r="D1820" s="18"/>
      <c r="E1820" s="6" t="s">
        <v>5813</v>
      </c>
      <c r="F1820" s="19" t="s">
        <v>5814</v>
      </c>
      <c r="G1820" s="19" t="s">
        <v>5815</v>
      </c>
      <c r="H1820" s="20">
        <v>44420</v>
      </c>
      <c r="K1820" s="6" t="s">
        <v>5816</v>
      </c>
      <c r="L1820" s="6">
        <v>9546276597</v>
      </c>
      <c r="N1820" s="16"/>
      <c r="O1820" s="7"/>
      <c r="P1820" s="17"/>
    </row>
    <row r="1821" spans="1:16" ht="14.25" customHeight="1">
      <c r="A1821" s="5" t="s">
        <v>0</v>
      </c>
      <c r="B1821" s="5" t="str">
        <f t="shared" si="12"/>
        <v>Y</v>
      </c>
      <c r="C1821" s="18" t="s">
        <v>5817</v>
      </c>
      <c r="D1821" s="18"/>
      <c r="E1821" s="6" t="s">
        <v>5818</v>
      </c>
      <c r="F1821" s="19" t="s">
        <v>5819</v>
      </c>
      <c r="G1821" s="19" t="s">
        <v>5815</v>
      </c>
      <c r="H1821" s="20">
        <v>44420</v>
      </c>
      <c r="K1821" s="6" t="s">
        <v>4698</v>
      </c>
      <c r="L1821" s="6">
        <v>7870995741</v>
      </c>
      <c r="N1821" s="16"/>
      <c r="O1821" s="7"/>
      <c r="P1821" s="17"/>
    </row>
    <row r="1822" spans="1:16" ht="14.25" customHeight="1">
      <c r="A1822" s="5" t="s">
        <v>0</v>
      </c>
      <c r="B1822" s="5" t="str">
        <f t="shared" si="12"/>
        <v>Y</v>
      </c>
      <c r="C1822" s="18" t="s">
        <v>5820</v>
      </c>
      <c r="D1822" s="18"/>
      <c r="E1822" s="6" t="s">
        <v>5821</v>
      </c>
      <c r="F1822" s="19" t="s">
        <v>5822</v>
      </c>
      <c r="G1822" s="19" t="s">
        <v>5815</v>
      </c>
      <c r="H1822" s="20">
        <v>44420</v>
      </c>
      <c r="K1822" s="6" t="s">
        <v>5823</v>
      </c>
      <c r="L1822" s="6">
        <v>6203717099</v>
      </c>
      <c r="N1822" s="16"/>
      <c r="O1822" s="7"/>
      <c r="P1822" s="17"/>
    </row>
    <row r="1823" spans="1:16" ht="14.25" customHeight="1">
      <c r="A1823" s="5" t="s">
        <v>0</v>
      </c>
      <c r="B1823" s="5" t="str">
        <f t="shared" si="12"/>
        <v>Y</v>
      </c>
      <c r="C1823" s="18" t="s">
        <v>5824</v>
      </c>
      <c r="D1823" s="18"/>
      <c r="E1823" s="6" t="s">
        <v>5825</v>
      </c>
      <c r="F1823" s="19" t="s">
        <v>5826</v>
      </c>
      <c r="G1823" s="19" t="s">
        <v>5815</v>
      </c>
      <c r="H1823" s="20">
        <v>44420</v>
      </c>
      <c r="K1823" s="6" t="s">
        <v>4698</v>
      </c>
      <c r="L1823" s="6">
        <v>7766913546</v>
      </c>
      <c r="N1823" s="16"/>
      <c r="O1823" s="7"/>
      <c r="P1823" s="17"/>
    </row>
    <row r="1824" spans="1:16" ht="14.25" customHeight="1">
      <c r="A1824" s="5" t="s">
        <v>0</v>
      </c>
      <c r="B1824" s="5" t="str">
        <f t="shared" si="12"/>
        <v>Y</v>
      </c>
      <c r="C1824" s="18" t="s">
        <v>5827</v>
      </c>
      <c r="D1824" s="18"/>
      <c r="E1824" s="6" t="s">
        <v>5828</v>
      </c>
      <c r="F1824" s="19" t="s">
        <v>5829</v>
      </c>
      <c r="G1824" s="19" t="s">
        <v>5830</v>
      </c>
      <c r="H1824" s="20">
        <v>44422</v>
      </c>
      <c r="K1824" s="6" t="s">
        <v>5831</v>
      </c>
      <c r="L1824" s="6">
        <v>8210634750</v>
      </c>
      <c r="N1824" s="16"/>
      <c r="O1824" s="7"/>
      <c r="P1824" s="17"/>
    </row>
    <row r="1825" spans="1:16" ht="14.25" customHeight="1">
      <c r="A1825" s="5" t="s">
        <v>0</v>
      </c>
      <c r="B1825" s="5" t="str">
        <f t="shared" si="12"/>
        <v>Y</v>
      </c>
      <c r="C1825" s="18" t="s">
        <v>5827</v>
      </c>
      <c r="D1825" s="18"/>
      <c r="E1825" s="6" t="s">
        <v>5832</v>
      </c>
      <c r="F1825" s="19" t="s">
        <v>5833</v>
      </c>
      <c r="G1825" s="19" t="s">
        <v>5815</v>
      </c>
      <c r="H1825" s="20">
        <v>44420</v>
      </c>
      <c r="K1825" s="6" t="s">
        <v>5834</v>
      </c>
      <c r="L1825" s="6">
        <v>7763887012</v>
      </c>
      <c r="N1825" s="16"/>
      <c r="O1825" s="7"/>
      <c r="P1825" s="17"/>
    </row>
    <row r="1826" spans="1:16" ht="14.25" customHeight="1">
      <c r="A1826" s="5" t="s">
        <v>0</v>
      </c>
      <c r="B1826" s="5" t="str">
        <f t="shared" si="12"/>
        <v>Y</v>
      </c>
      <c r="C1826" s="18" t="s">
        <v>5835</v>
      </c>
      <c r="D1826" s="18"/>
      <c r="E1826" s="6" t="s">
        <v>5836</v>
      </c>
      <c r="F1826" s="19" t="s">
        <v>4705</v>
      </c>
      <c r="G1826" s="19" t="s">
        <v>5830</v>
      </c>
      <c r="H1826" s="20">
        <v>44422</v>
      </c>
      <c r="K1826" s="6" t="s">
        <v>5837</v>
      </c>
      <c r="L1826" s="6">
        <v>7903741198</v>
      </c>
      <c r="N1826" s="16"/>
      <c r="O1826" s="7"/>
      <c r="P1826" s="17"/>
    </row>
    <row r="1827" spans="1:16" ht="14.25" customHeight="1">
      <c r="A1827" s="5" t="s">
        <v>0</v>
      </c>
      <c r="B1827" s="5" t="str">
        <f t="shared" si="12"/>
        <v>Y</v>
      </c>
      <c r="C1827" s="18" t="s">
        <v>5838</v>
      </c>
      <c r="D1827" s="18"/>
      <c r="E1827" s="6" t="s">
        <v>5839</v>
      </c>
      <c r="F1827" s="19" t="s">
        <v>5840</v>
      </c>
      <c r="G1827" s="19" t="s">
        <v>5830</v>
      </c>
      <c r="H1827" s="20">
        <v>44422</v>
      </c>
      <c r="K1827" s="6" t="s">
        <v>5841</v>
      </c>
      <c r="L1827" s="6">
        <v>6299160006</v>
      </c>
      <c r="N1827" s="16"/>
      <c r="O1827" s="7"/>
      <c r="P1827" s="17"/>
    </row>
    <row r="1828" spans="1:16" ht="14.25" customHeight="1">
      <c r="A1828" s="5" t="s">
        <v>0</v>
      </c>
      <c r="B1828" s="5" t="str">
        <f t="shared" si="12"/>
        <v>N</v>
      </c>
      <c r="C1828" s="18" t="s">
        <v>5842</v>
      </c>
      <c r="D1828" s="18"/>
      <c r="E1828" s="6" t="s">
        <v>5843</v>
      </c>
      <c r="F1828" s="19" t="s">
        <v>5844</v>
      </c>
      <c r="G1828" s="19" t="s">
        <v>5845</v>
      </c>
      <c r="H1828" s="5"/>
      <c r="L1828" s="6">
        <v>9471388995</v>
      </c>
      <c r="N1828" s="16"/>
      <c r="O1828" s="7"/>
      <c r="P1828" s="17"/>
    </row>
    <row r="1829" spans="1:16" ht="14.25" customHeight="1">
      <c r="A1829" s="5" t="s">
        <v>0</v>
      </c>
      <c r="B1829" s="5" t="str">
        <f t="shared" si="12"/>
        <v>Y</v>
      </c>
      <c r="C1829" s="18" t="s">
        <v>5846</v>
      </c>
      <c r="D1829" s="18"/>
      <c r="E1829" s="6" t="s">
        <v>5847</v>
      </c>
      <c r="F1829" s="19" t="s">
        <v>5848</v>
      </c>
      <c r="G1829" s="19" t="s">
        <v>5849</v>
      </c>
      <c r="H1829" s="19" t="s">
        <v>5849</v>
      </c>
      <c r="L1829" s="6">
        <v>6202147708</v>
      </c>
      <c r="N1829" s="16"/>
      <c r="O1829" s="7"/>
      <c r="P1829" s="17"/>
    </row>
    <row r="1830" spans="1:16" ht="14.25" customHeight="1">
      <c r="A1830" s="5" t="s">
        <v>0</v>
      </c>
      <c r="B1830" s="5" t="str">
        <f t="shared" si="12"/>
        <v>Y</v>
      </c>
      <c r="C1830" s="18" t="s">
        <v>5850</v>
      </c>
      <c r="D1830" s="18"/>
      <c r="E1830" s="6" t="s">
        <v>5851</v>
      </c>
      <c r="F1830" s="19" t="s">
        <v>5852</v>
      </c>
      <c r="G1830" s="19" t="s">
        <v>5849</v>
      </c>
      <c r="H1830" s="19" t="s">
        <v>5849</v>
      </c>
      <c r="L1830" s="6">
        <v>9204215411</v>
      </c>
      <c r="N1830" s="16"/>
      <c r="O1830" s="7"/>
      <c r="P1830" s="17"/>
    </row>
    <row r="1831" spans="1:16" ht="14.25" customHeight="1">
      <c r="A1831" s="5" t="s">
        <v>0</v>
      </c>
      <c r="B1831" s="5" t="str">
        <f t="shared" si="12"/>
        <v>Y</v>
      </c>
      <c r="C1831" s="18" t="s">
        <v>5853</v>
      </c>
      <c r="D1831" s="18"/>
      <c r="E1831" s="6" t="s">
        <v>5854</v>
      </c>
      <c r="F1831" s="19" t="s">
        <v>5855</v>
      </c>
      <c r="G1831" s="19" t="s">
        <v>5849</v>
      </c>
      <c r="H1831" s="19" t="s">
        <v>5849</v>
      </c>
      <c r="L1831" s="6">
        <v>9204311494</v>
      </c>
      <c r="N1831" s="16"/>
      <c r="O1831" s="7"/>
      <c r="P1831" s="17"/>
    </row>
    <row r="1832" spans="1:16" ht="14.25" customHeight="1">
      <c r="A1832" s="5" t="s">
        <v>0</v>
      </c>
      <c r="B1832" s="5" t="str">
        <f t="shared" si="12"/>
        <v>Y</v>
      </c>
      <c r="C1832" s="18" t="s">
        <v>5856</v>
      </c>
      <c r="D1832" s="18"/>
      <c r="E1832" s="6" t="s">
        <v>5857</v>
      </c>
      <c r="F1832" s="19" t="s">
        <v>5858</v>
      </c>
      <c r="G1832" s="19" t="s">
        <v>5849</v>
      </c>
      <c r="H1832" s="19" t="s">
        <v>5849</v>
      </c>
      <c r="L1832" s="6">
        <v>6201444476</v>
      </c>
      <c r="N1832" s="16"/>
      <c r="O1832" s="7"/>
      <c r="P1832" s="17"/>
    </row>
    <row r="1833" spans="1:16" ht="14.25" customHeight="1">
      <c r="A1833" s="5" t="s">
        <v>0</v>
      </c>
      <c r="B1833" s="5" t="str">
        <f t="shared" si="12"/>
        <v>Y</v>
      </c>
      <c r="C1833" s="18" t="s">
        <v>5859</v>
      </c>
      <c r="D1833" s="18"/>
      <c r="E1833" s="6" t="s">
        <v>5860</v>
      </c>
      <c r="F1833" s="19" t="s">
        <v>5861</v>
      </c>
      <c r="G1833" s="19" t="s">
        <v>5862</v>
      </c>
      <c r="H1833" s="20">
        <v>44426</v>
      </c>
      <c r="K1833" s="6" t="s">
        <v>5863</v>
      </c>
      <c r="L1833" s="6">
        <v>6372755041</v>
      </c>
      <c r="N1833" s="16"/>
      <c r="O1833" s="7"/>
      <c r="P1833" s="17"/>
    </row>
    <row r="1834" spans="1:16" ht="14.25" customHeight="1">
      <c r="A1834" s="5" t="s">
        <v>0</v>
      </c>
      <c r="B1834" s="5" t="str">
        <f t="shared" si="12"/>
        <v>Y</v>
      </c>
      <c r="C1834" s="18" t="s">
        <v>5864</v>
      </c>
      <c r="D1834" s="18"/>
      <c r="E1834" s="6" t="s">
        <v>5865</v>
      </c>
      <c r="F1834" s="19" t="s">
        <v>5866</v>
      </c>
      <c r="G1834" s="19" t="s">
        <v>5867</v>
      </c>
      <c r="H1834" s="19" t="s">
        <v>5867</v>
      </c>
      <c r="L1834" s="6">
        <v>8789584229</v>
      </c>
      <c r="N1834" s="16"/>
      <c r="O1834" s="7"/>
      <c r="P1834" s="17"/>
    </row>
    <row r="1835" spans="1:16" ht="14.25" customHeight="1">
      <c r="A1835" s="5" t="s">
        <v>0</v>
      </c>
      <c r="B1835" s="5" t="str">
        <f t="shared" si="12"/>
        <v>Y</v>
      </c>
      <c r="C1835" s="18" t="s">
        <v>5868</v>
      </c>
      <c r="D1835" s="18"/>
      <c r="E1835" s="6" t="s">
        <v>5869</v>
      </c>
      <c r="F1835" s="19" t="s">
        <v>5870</v>
      </c>
      <c r="G1835" s="19" t="s">
        <v>5867</v>
      </c>
      <c r="H1835" s="19" t="s">
        <v>5867</v>
      </c>
      <c r="L1835" s="6">
        <v>9771219893</v>
      </c>
      <c r="N1835" s="16"/>
      <c r="O1835" s="7"/>
      <c r="P1835" s="17"/>
    </row>
    <row r="1836" spans="1:16" ht="14.25" customHeight="1">
      <c r="A1836" s="5" t="s">
        <v>0</v>
      </c>
      <c r="B1836" s="5" t="str">
        <f t="shared" si="12"/>
        <v>Y</v>
      </c>
      <c r="C1836" s="18" t="s">
        <v>5871</v>
      </c>
      <c r="D1836" s="18"/>
      <c r="E1836" s="6" t="s">
        <v>5872</v>
      </c>
      <c r="F1836" s="19" t="s">
        <v>5873</v>
      </c>
      <c r="G1836" s="19" t="s">
        <v>5867</v>
      </c>
      <c r="H1836" s="19" t="s">
        <v>5867</v>
      </c>
      <c r="L1836" s="6">
        <v>9263972498</v>
      </c>
      <c r="N1836" s="16"/>
      <c r="O1836" s="7"/>
      <c r="P1836" s="17"/>
    </row>
    <row r="1837" spans="1:16" ht="14.25" customHeight="1">
      <c r="A1837" s="5" t="s">
        <v>0</v>
      </c>
      <c r="B1837" s="5" t="str">
        <f t="shared" si="12"/>
        <v>Y</v>
      </c>
      <c r="C1837" s="18" t="s">
        <v>5874</v>
      </c>
      <c r="D1837" s="18"/>
      <c r="E1837" s="6" t="s">
        <v>5875</v>
      </c>
      <c r="F1837" s="19" t="s">
        <v>5876</v>
      </c>
      <c r="G1837" s="19" t="s">
        <v>5867</v>
      </c>
      <c r="H1837" s="19" t="s">
        <v>5867</v>
      </c>
      <c r="L1837" s="6">
        <v>8809859813</v>
      </c>
      <c r="N1837" s="16"/>
      <c r="O1837" s="7"/>
      <c r="P1837" s="17"/>
    </row>
    <row r="1838" spans="1:16" ht="14.25" customHeight="1">
      <c r="A1838" s="5" t="s">
        <v>0</v>
      </c>
      <c r="B1838" s="5" t="str">
        <f t="shared" si="12"/>
        <v>Y</v>
      </c>
      <c r="C1838" s="18" t="s">
        <v>5877</v>
      </c>
      <c r="D1838" s="18"/>
      <c r="E1838" s="6" t="s">
        <v>5878</v>
      </c>
      <c r="F1838" s="19" t="s">
        <v>5879</v>
      </c>
      <c r="G1838" s="19" t="s">
        <v>5867</v>
      </c>
      <c r="H1838" s="19" t="s">
        <v>5867</v>
      </c>
      <c r="L1838" s="6">
        <v>7488841312</v>
      </c>
      <c r="N1838" s="16"/>
      <c r="O1838" s="7"/>
      <c r="P1838" s="17"/>
    </row>
    <row r="1839" spans="1:16" ht="14.25" customHeight="1">
      <c r="A1839" s="5" t="s">
        <v>0</v>
      </c>
      <c r="B1839" s="5" t="str">
        <f t="shared" si="12"/>
        <v>Y</v>
      </c>
      <c r="C1839" s="18" t="s">
        <v>5880</v>
      </c>
      <c r="D1839" s="18"/>
      <c r="E1839" s="6" t="s">
        <v>5881</v>
      </c>
      <c r="F1839" s="19" t="s">
        <v>5882</v>
      </c>
      <c r="G1839" s="19" t="s">
        <v>5867</v>
      </c>
      <c r="H1839" s="19" t="s">
        <v>5867</v>
      </c>
      <c r="L1839" s="6">
        <v>8674893875</v>
      </c>
      <c r="N1839" s="16"/>
      <c r="O1839" s="7"/>
      <c r="P1839" s="17"/>
    </row>
    <row r="1840" spans="1:16" ht="14.25" customHeight="1">
      <c r="A1840" s="5" t="s">
        <v>0</v>
      </c>
      <c r="B1840" s="5" t="str">
        <f t="shared" si="12"/>
        <v>Y</v>
      </c>
      <c r="C1840" s="18" t="s">
        <v>5883</v>
      </c>
      <c r="D1840" s="18"/>
      <c r="E1840" s="6" t="s">
        <v>5884</v>
      </c>
      <c r="F1840" s="19" t="s">
        <v>5885</v>
      </c>
      <c r="G1840" s="19" t="s">
        <v>5886</v>
      </c>
      <c r="H1840" s="19" t="s">
        <v>5886</v>
      </c>
      <c r="L1840" s="6">
        <v>8092880132</v>
      </c>
      <c r="N1840" s="16"/>
      <c r="O1840" s="7"/>
      <c r="P1840" s="17"/>
    </row>
    <row r="1841" spans="1:16" ht="14.25" customHeight="1">
      <c r="A1841" s="5" t="s">
        <v>0</v>
      </c>
      <c r="B1841" s="5" t="str">
        <f t="shared" si="12"/>
        <v>Y</v>
      </c>
      <c r="C1841" s="81" t="s">
        <v>5887</v>
      </c>
      <c r="D1841" s="81"/>
      <c r="E1841" s="6" t="s">
        <v>5888</v>
      </c>
      <c r="F1841" s="19" t="s">
        <v>5889</v>
      </c>
      <c r="G1841" s="19" t="s">
        <v>5886</v>
      </c>
      <c r="H1841" s="19" t="s">
        <v>5886</v>
      </c>
      <c r="L1841" s="6">
        <v>8797063077</v>
      </c>
      <c r="N1841" s="16"/>
      <c r="O1841" s="7"/>
      <c r="P1841" s="17"/>
    </row>
    <row r="1842" spans="1:16" ht="14.25" customHeight="1">
      <c r="A1842" s="5" t="s">
        <v>1</v>
      </c>
      <c r="B1842" s="5" t="str">
        <f t="shared" si="12"/>
        <v>N</v>
      </c>
      <c r="C1842" s="18" t="s">
        <v>5890</v>
      </c>
      <c r="D1842" s="18"/>
      <c r="E1842" s="6" t="s">
        <v>4474</v>
      </c>
      <c r="F1842" s="19" t="s">
        <v>5891</v>
      </c>
      <c r="G1842" s="19" t="s">
        <v>5892</v>
      </c>
      <c r="H1842" s="5"/>
      <c r="L1842" s="6">
        <v>9546276597</v>
      </c>
      <c r="N1842" s="16"/>
      <c r="O1842" s="7"/>
      <c r="P1842" s="17"/>
    </row>
    <row r="1843" spans="1:16" ht="14.25" customHeight="1">
      <c r="A1843" s="5" t="s">
        <v>0</v>
      </c>
      <c r="B1843" s="5" t="str">
        <f t="shared" si="12"/>
        <v>Y</v>
      </c>
      <c r="C1843" s="18" t="s">
        <v>5893</v>
      </c>
      <c r="D1843" s="18"/>
      <c r="E1843" s="6" t="s">
        <v>5894</v>
      </c>
      <c r="F1843" s="19" t="s">
        <v>5895</v>
      </c>
      <c r="G1843" s="19" t="s">
        <v>5892</v>
      </c>
      <c r="H1843" s="19" t="s">
        <v>5892</v>
      </c>
      <c r="L1843" s="6">
        <v>6299522927</v>
      </c>
      <c r="N1843" s="16"/>
      <c r="O1843" s="7"/>
      <c r="P1843" s="17"/>
    </row>
    <row r="1844" spans="1:16" ht="14.25" customHeight="1">
      <c r="A1844" s="5" t="s">
        <v>0</v>
      </c>
      <c r="B1844" s="5" t="str">
        <f t="shared" si="12"/>
        <v>Y</v>
      </c>
      <c r="C1844" s="18" t="s">
        <v>5896</v>
      </c>
      <c r="D1844" s="18"/>
      <c r="E1844" s="6" t="s">
        <v>1823</v>
      </c>
      <c r="F1844" s="19" t="s">
        <v>5897</v>
      </c>
      <c r="G1844" s="19" t="s">
        <v>5892</v>
      </c>
      <c r="H1844" s="19" t="s">
        <v>5892</v>
      </c>
      <c r="L1844" s="6">
        <v>9006576522</v>
      </c>
      <c r="N1844" s="16"/>
      <c r="O1844" s="7"/>
      <c r="P1844" s="17"/>
    </row>
    <row r="1845" spans="1:16" ht="14.25" customHeight="1">
      <c r="A1845" s="5" t="s">
        <v>0</v>
      </c>
      <c r="B1845" s="5" t="str">
        <f t="shared" si="12"/>
        <v>Y</v>
      </c>
      <c r="C1845" s="18" t="s">
        <v>5898</v>
      </c>
      <c r="D1845" s="18"/>
      <c r="E1845" s="6" t="s">
        <v>5899</v>
      </c>
      <c r="F1845" s="19" t="s">
        <v>5900</v>
      </c>
      <c r="G1845" s="19" t="s">
        <v>5892</v>
      </c>
      <c r="H1845" s="19" t="s">
        <v>5892</v>
      </c>
      <c r="L1845" s="6">
        <v>7549173297</v>
      </c>
      <c r="N1845" s="16"/>
      <c r="O1845" s="7"/>
      <c r="P1845" s="17"/>
    </row>
    <row r="1846" spans="1:16" ht="14.25" customHeight="1">
      <c r="A1846" s="5" t="s">
        <v>0</v>
      </c>
      <c r="B1846" s="5" t="str">
        <f t="shared" si="12"/>
        <v>Y</v>
      </c>
      <c r="C1846" s="18" t="s">
        <v>5901</v>
      </c>
      <c r="D1846" s="18"/>
      <c r="E1846" s="6" t="s">
        <v>5902</v>
      </c>
      <c r="F1846" s="19" t="s">
        <v>4611</v>
      </c>
      <c r="G1846" s="19" t="s">
        <v>5892</v>
      </c>
      <c r="H1846" s="19" t="s">
        <v>5892</v>
      </c>
      <c r="L1846" s="6">
        <v>7004991156</v>
      </c>
      <c r="N1846" s="16"/>
      <c r="O1846" s="7"/>
      <c r="P1846" s="17"/>
    </row>
    <row r="1847" spans="1:16" ht="14.25" customHeight="1">
      <c r="A1847" s="5" t="s">
        <v>0</v>
      </c>
      <c r="B1847" s="5" t="str">
        <f t="shared" si="12"/>
        <v>Y</v>
      </c>
      <c r="C1847" s="18" t="s">
        <v>5903</v>
      </c>
      <c r="D1847" s="18"/>
      <c r="E1847" s="6" t="s">
        <v>5904</v>
      </c>
      <c r="F1847" s="19" t="s">
        <v>5905</v>
      </c>
      <c r="G1847" s="19" t="s">
        <v>5892</v>
      </c>
      <c r="H1847" s="19" t="s">
        <v>5892</v>
      </c>
      <c r="L1847" s="6">
        <v>7320801098</v>
      </c>
      <c r="N1847" s="16"/>
      <c r="O1847" s="7"/>
      <c r="P1847" s="17"/>
    </row>
    <row r="1848" spans="1:16" ht="14.25" customHeight="1">
      <c r="A1848" s="5" t="s">
        <v>0</v>
      </c>
      <c r="B1848" s="5" t="str">
        <f t="shared" si="12"/>
        <v>Y</v>
      </c>
      <c r="C1848" s="18" t="s">
        <v>5906</v>
      </c>
      <c r="D1848" s="18"/>
      <c r="E1848" s="6" t="s">
        <v>5907</v>
      </c>
      <c r="F1848" s="19" t="s">
        <v>5908</v>
      </c>
      <c r="G1848" s="19" t="s">
        <v>5909</v>
      </c>
      <c r="H1848" s="19" t="s">
        <v>5909</v>
      </c>
      <c r="L1848" s="6">
        <v>8050255157</v>
      </c>
      <c r="N1848" s="16"/>
      <c r="O1848" s="7"/>
      <c r="P1848" s="17"/>
    </row>
    <row r="1849" spans="1:16" ht="14.25" customHeight="1">
      <c r="A1849" s="5" t="s">
        <v>0</v>
      </c>
      <c r="B1849" s="5" t="str">
        <f t="shared" si="12"/>
        <v>Y</v>
      </c>
      <c r="C1849" s="18" t="s">
        <v>5910</v>
      </c>
      <c r="D1849" s="18"/>
      <c r="E1849" s="6" t="s">
        <v>5911</v>
      </c>
      <c r="F1849" s="19" t="s">
        <v>5912</v>
      </c>
      <c r="G1849" s="19" t="s">
        <v>5909</v>
      </c>
      <c r="H1849" s="19" t="s">
        <v>5909</v>
      </c>
      <c r="L1849" s="6">
        <v>9304328448</v>
      </c>
      <c r="N1849" s="16"/>
      <c r="O1849" s="7"/>
      <c r="P1849" s="17"/>
    </row>
    <row r="1850" spans="1:16" ht="14.25" customHeight="1">
      <c r="A1850" s="5" t="s">
        <v>0</v>
      </c>
      <c r="B1850" s="5" t="str">
        <f t="shared" si="12"/>
        <v>Y</v>
      </c>
      <c r="C1850" s="18" t="s">
        <v>5913</v>
      </c>
      <c r="D1850" s="18"/>
      <c r="E1850" s="6" t="s">
        <v>5914</v>
      </c>
      <c r="F1850" s="19" t="s">
        <v>5915</v>
      </c>
      <c r="G1850" s="19" t="s">
        <v>5909</v>
      </c>
      <c r="H1850" s="19" t="s">
        <v>5909</v>
      </c>
      <c r="L1850" s="6">
        <v>8603101558</v>
      </c>
      <c r="N1850" s="16"/>
      <c r="O1850" s="7"/>
      <c r="P1850" s="17"/>
    </row>
    <row r="1851" spans="1:16" ht="14.25" customHeight="1">
      <c r="A1851" s="5" t="s">
        <v>0</v>
      </c>
      <c r="B1851" s="5" t="str">
        <f t="shared" si="12"/>
        <v>Y</v>
      </c>
      <c r="C1851" s="18" t="s">
        <v>5916</v>
      </c>
      <c r="D1851" s="18"/>
      <c r="E1851" s="6" t="s">
        <v>5917</v>
      </c>
      <c r="F1851" s="19" t="s">
        <v>5918</v>
      </c>
      <c r="G1851" s="19" t="s">
        <v>5909</v>
      </c>
      <c r="H1851" s="19" t="s">
        <v>5909</v>
      </c>
      <c r="L1851" s="6">
        <v>8797065348</v>
      </c>
      <c r="N1851" s="16"/>
      <c r="O1851" s="7"/>
      <c r="P1851" s="17"/>
    </row>
    <row r="1852" spans="1:16" ht="14.25" customHeight="1">
      <c r="A1852" s="5" t="s">
        <v>0</v>
      </c>
      <c r="B1852" s="5" t="str">
        <f t="shared" si="12"/>
        <v>Y</v>
      </c>
      <c r="C1852" s="18" t="s">
        <v>5919</v>
      </c>
      <c r="D1852" s="18"/>
      <c r="E1852" s="6" t="s">
        <v>5920</v>
      </c>
      <c r="F1852" s="19" t="s">
        <v>5921</v>
      </c>
      <c r="G1852" s="19" t="s">
        <v>5922</v>
      </c>
      <c r="H1852" s="19" t="s">
        <v>5922</v>
      </c>
      <c r="L1852" s="6">
        <v>9955495683</v>
      </c>
      <c r="N1852" s="16"/>
      <c r="O1852" s="7"/>
      <c r="P1852" s="17"/>
    </row>
    <row r="1853" spans="1:16" ht="14.25" customHeight="1">
      <c r="A1853" s="5" t="s">
        <v>0</v>
      </c>
      <c r="B1853" s="5" t="str">
        <f t="shared" si="12"/>
        <v>Y</v>
      </c>
      <c r="C1853" s="18" t="s">
        <v>5923</v>
      </c>
      <c r="D1853" s="18"/>
      <c r="E1853" s="6" t="s">
        <v>2639</v>
      </c>
      <c r="F1853" s="19" t="s">
        <v>5924</v>
      </c>
      <c r="G1853" s="19" t="s">
        <v>5922</v>
      </c>
      <c r="H1853" s="19" t="s">
        <v>5922</v>
      </c>
      <c r="I1853" s="19" t="s">
        <v>5925</v>
      </c>
      <c r="J1853" s="19" t="s">
        <v>5926</v>
      </c>
      <c r="L1853" s="6">
        <v>8210435528</v>
      </c>
      <c r="N1853" s="16"/>
      <c r="O1853" s="7"/>
      <c r="P1853" s="17"/>
    </row>
    <row r="1854" spans="1:16" ht="14.25" customHeight="1">
      <c r="A1854" s="5" t="s">
        <v>0</v>
      </c>
      <c r="B1854" s="5" t="str">
        <f t="shared" si="12"/>
        <v>Y</v>
      </c>
      <c r="C1854" s="18" t="s">
        <v>5927</v>
      </c>
      <c r="D1854" s="18"/>
      <c r="E1854" s="6" t="s">
        <v>5928</v>
      </c>
      <c r="F1854" s="19" t="s">
        <v>5929</v>
      </c>
      <c r="G1854" s="19" t="s">
        <v>5930</v>
      </c>
      <c r="H1854" s="19" t="s">
        <v>5930</v>
      </c>
      <c r="L1854" s="6">
        <v>9572217676</v>
      </c>
      <c r="N1854" s="16"/>
      <c r="O1854" s="7"/>
      <c r="P1854" s="17"/>
    </row>
    <row r="1855" spans="1:16" ht="14.25" customHeight="1">
      <c r="A1855" s="5" t="s">
        <v>0</v>
      </c>
      <c r="B1855" s="5" t="str">
        <f t="shared" si="12"/>
        <v>Y</v>
      </c>
      <c r="C1855" s="18" t="s">
        <v>5931</v>
      </c>
      <c r="D1855" s="18"/>
      <c r="E1855" s="6" t="s">
        <v>5932</v>
      </c>
      <c r="F1855" s="19" t="s">
        <v>5933</v>
      </c>
      <c r="G1855" s="19" t="s">
        <v>5930</v>
      </c>
      <c r="H1855" s="19" t="s">
        <v>5930</v>
      </c>
      <c r="L1855" s="6">
        <v>6206171344</v>
      </c>
      <c r="N1855" s="16"/>
      <c r="O1855" s="7"/>
      <c r="P1855" s="17"/>
    </row>
    <row r="1856" spans="1:16" ht="14.25" customHeight="1">
      <c r="A1856" s="5" t="s">
        <v>0</v>
      </c>
      <c r="B1856" s="5" t="str">
        <f t="shared" si="12"/>
        <v>Y</v>
      </c>
      <c r="C1856" s="18" t="s">
        <v>5934</v>
      </c>
      <c r="D1856" s="18"/>
      <c r="E1856" s="6" t="s">
        <v>5935</v>
      </c>
      <c r="F1856" s="19" t="s">
        <v>5052</v>
      </c>
      <c r="G1856" s="19" t="s">
        <v>5930</v>
      </c>
      <c r="H1856" s="19" t="s">
        <v>5930</v>
      </c>
      <c r="L1856" s="6">
        <v>9155422053</v>
      </c>
      <c r="N1856" s="16"/>
      <c r="O1856" s="7"/>
      <c r="P1856" s="17"/>
    </row>
    <row r="1857" spans="1:16" ht="14.25" customHeight="1">
      <c r="A1857" s="5" t="s">
        <v>0</v>
      </c>
      <c r="B1857" s="5" t="str">
        <f t="shared" si="12"/>
        <v>Y</v>
      </c>
      <c r="C1857" s="18" t="s">
        <v>5590</v>
      </c>
      <c r="D1857" s="18"/>
      <c r="E1857" s="6" t="s">
        <v>5936</v>
      </c>
      <c r="F1857" s="19" t="s">
        <v>5592</v>
      </c>
      <c r="G1857" s="19" t="s">
        <v>5930</v>
      </c>
      <c r="H1857" s="19" t="s">
        <v>5930</v>
      </c>
      <c r="L1857" s="6">
        <v>9199853347</v>
      </c>
      <c r="N1857" s="16"/>
      <c r="O1857" s="7"/>
      <c r="P1857" s="17"/>
    </row>
    <row r="1858" spans="1:16" ht="14.25" customHeight="1">
      <c r="A1858" s="5" t="s">
        <v>0</v>
      </c>
      <c r="B1858" s="5" t="str">
        <f t="shared" si="12"/>
        <v>Y</v>
      </c>
      <c r="C1858" s="18" t="s">
        <v>5937</v>
      </c>
      <c r="D1858" s="18"/>
      <c r="E1858" s="6" t="s">
        <v>5938</v>
      </c>
      <c r="F1858" s="19" t="s">
        <v>5939</v>
      </c>
      <c r="G1858" s="19" t="s">
        <v>5930</v>
      </c>
      <c r="H1858" s="19" t="s">
        <v>5930</v>
      </c>
      <c r="L1858" s="6">
        <v>6206873944</v>
      </c>
      <c r="N1858" s="16"/>
      <c r="O1858" s="7"/>
      <c r="P1858" s="17"/>
    </row>
    <row r="1859" spans="1:16" ht="14.25" customHeight="1">
      <c r="A1859" s="5" t="s">
        <v>0</v>
      </c>
      <c r="B1859" s="5" t="str">
        <f t="shared" si="12"/>
        <v>Y</v>
      </c>
      <c r="C1859" s="18" t="s">
        <v>5940</v>
      </c>
      <c r="D1859" s="18"/>
      <c r="E1859" s="6" t="s">
        <v>712</v>
      </c>
      <c r="F1859" s="19" t="s">
        <v>5941</v>
      </c>
      <c r="G1859" s="19" t="s">
        <v>5942</v>
      </c>
      <c r="H1859" s="19" t="s">
        <v>5942</v>
      </c>
      <c r="L1859" s="6">
        <v>9771322115</v>
      </c>
      <c r="N1859" s="16"/>
      <c r="O1859" s="7"/>
      <c r="P1859" s="17"/>
    </row>
    <row r="1860" spans="1:16" ht="14.25" customHeight="1">
      <c r="A1860" s="5" t="s">
        <v>0</v>
      </c>
      <c r="B1860" s="5" t="str">
        <f t="shared" si="12"/>
        <v>N</v>
      </c>
      <c r="C1860" s="18" t="s">
        <v>5943</v>
      </c>
      <c r="D1860" s="18"/>
      <c r="E1860" s="6" t="s">
        <v>5944</v>
      </c>
      <c r="F1860" s="19" t="s">
        <v>5497</v>
      </c>
      <c r="G1860" s="19" t="s">
        <v>5945</v>
      </c>
      <c r="H1860" s="19"/>
      <c r="L1860" s="6">
        <v>9031137819</v>
      </c>
      <c r="N1860" s="16"/>
      <c r="O1860" s="7"/>
      <c r="P1860" s="17"/>
    </row>
    <row r="1861" spans="1:16" ht="14.25" customHeight="1">
      <c r="A1861" s="5" t="s">
        <v>0</v>
      </c>
      <c r="B1861" s="5" t="str">
        <f t="shared" si="12"/>
        <v>N</v>
      </c>
      <c r="C1861" s="18" t="s">
        <v>5946</v>
      </c>
      <c r="D1861" s="18"/>
      <c r="E1861" s="6" t="s">
        <v>5947</v>
      </c>
      <c r="F1861" s="19" t="s">
        <v>3513</v>
      </c>
      <c r="G1861" s="19" t="s">
        <v>5945</v>
      </c>
      <c r="H1861" s="19"/>
      <c r="L1861" s="6">
        <v>7091734445</v>
      </c>
      <c r="N1861" s="16"/>
      <c r="O1861" s="7"/>
      <c r="P1861" s="17"/>
    </row>
    <row r="1862" spans="1:16" ht="14.25" customHeight="1">
      <c r="A1862" s="5" t="s">
        <v>0</v>
      </c>
      <c r="B1862" s="5" t="str">
        <f t="shared" si="12"/>
        <v>N</v>
      </c>
      <c r="C1862" s="18" t="s">
        <v>5948</v>
      </c>
      <c r="D1862" s="18"/>
      <c r="E1862" s="6" t="s">
        <v>5949</v>
      </c>
      <c r="F1862" s="19" t="s">
        <v>5950</v>
      </c>
      <c r="G1862" s="19" t="s">
        <v>5945</v>
      </c>
      <c r="H1862" s="5"/>
      <c r="L1862" s="6">
        <v>7070138646</v>
      </c>
      <c r="N1862" s="16"/>
      <c r="O1862" s="7"/>
      <c r="P1862" s="17"/>
    </row>
    <row r="1863" spans="1:16" ht="14.25" customHeight="1">
      <c r="A1863" s="5" t="s">
        <v>0</v>
      </c>
      <c r="B1863" s="5" t="str">
        <f t="shared" si="12"/>
        <v>N</v>
      </c>
      <c r="C1863" s="18" t="s">
        <v>5951</v>
      </c>
      <c r="D1863" s="18"/>
      <c r="E1863" s="6" t="s">
        <v>5952</v>
      </c>
      <c r="F1863" s="19" t="s">
        <v>5749</v>
      </c>
      <c r="G1863" s="19" t="s">
        <v>5945</v>
      </c>
      <c r="H1863" s="5"/>
      <c r="L1863" s="6">
        <v>6204737840</v>
      </c>
      <c r="N1863" s="16"/>
      <c r="O1863" s="7"/>
      <c r="P1863" s="17"/>
    </row>
    <row r="1864" spans="1:16" ht="14.25" customHeight="1">
      <c r="A1864" s="5" t="s">
        <v>0</v>
      </c>
      <c r="B1864" s="5" t="str">
        <f t="shared" si="12"/>
        <v>Y</v>
      </c>
      <c r="C1864" s="18" t="s">
        <v>5953</v>
      </c>
      <c r="D1864" s="18"/>
      <c r="E1864" s="6" t="s">
        <v>5954</v>
      </c>
      <c r="F1864" s="19" t="s">
        <v>5955</v>
      </c>
      <c r="G1864" s="19" t="s">
        <v>5956</v>
      </c>
      <c r="H1864" s="19" t="s">
        <v>5956</v>
      </c>
      <c r="L1864" s="6">
        <v>7260064549</v>
      </c>
      <c r="N1864" s="16"/>
      <c r="O1864" s="7"/>
      <c r="P1864" s="17"/>
    </row>
    <row r="1865" spans="1:16" ht="14.25" customHeight="1">
      <c r="A1865" s="5" t="s">
        <v>0</v>
      </c>
      <c r="B1865" s="5" t="str">
        <f t="shared" si="12"/>
        <v>N</v>
      </c>
      <c r="C1865" s="18" t="s">
        <v>5957</v>
      </c>
      <c r="D1865" s="18"/>
      <c r="E1865" s="6" t="s">
        <v>5958</v>
      </c>
      <c r="F1865" s="19" t="s">
        <v>5959</v>
      </c>
      <c r="G1865" s="19" t="s">
        <v>5956</v>
      </c>
      <c r="H1865" s="5"/>
      <c r="L1865" s="6">
        <v>6202909827</v>
      </c>
      <c r="N1865" s="16"/>
      <c r="O1865" s="7"/>
      <c r="P1865" s="17"/>
    </row>
    <row r="1866" spans="1:16" ht="14.25" customHeight="1">
      <c r="A1866" s="5" t="s">
        <v>0</v>
      </c>
      <c r="B1866" s="5" t="str">
        <f t="shared" si="12"/>
        <v>N</v>
      </c>
      <c r="C1866" s="18" t="s">
        <v>5946</v>
      </c>
      <c r="D1866" s="18"/>
      <c r="E1866" s="6" t="s">
        <v>5960</v>
      </c>
      <c r="F1866" s="19" t="s">
        <v>5961</v>
      </c>
      <c r="G1866" s="19" t="s">
        <v>5956</v>
      </c>
      <c r="H1866" s="5"/>
      <c r="L1866" s="6">
        <v>7091734445</v>
      </c>
      <c r="N1866" s="16"/>
      <c r="O1866" s="7"/>
      <c r="P1866" s="17"/>
    </row>
    <row r="1867" spans="1:16" ht="14.25" customHeight="1">
      <c r="A1867" s="5" t="s">
        <v>0</v>
      </c>
      <c r="B1867" s="5" t="str">
        <f t="shared" si="12"/>
        <v>N</v>
      </c>
      <c r="C1867" s="18" t="s">
        <v>5943</v>
      </c>
      <c r="D1867" s="18"/>
      <c r="E1867" s="6" t="s">
        <v>5944</v>
      </c>
      <c r="F1867" s="19" t="s">
        <v>5497</v>
      </c>
      <c r="G1867" s="19" t="s">
        <v>5956</v>
      </c>
      <c r="H1867" s="5"/>
      <c r="L1867" s="6">
        <v>9031137819</v>
      </c>
      <c r="N1867" s="16"/>
      <c r="O1867" s="7"/>
      <c r="P1867" s="17"/>
    </row>
    <row r="1868" spans="1:16" ht="14.25" customHeight="1">
      <c r="A1868" s="5" t="s">
        <v>0</v>
      </c>
      <c r="B1868" s="5" t="str">
        <f t="shared" si="12"/>
        <v>N</v>
      </c>
      <c r="C1868" s="18" t="s">
        <v>5948</v>
      </c>
      <c r="D1868" s="18"/>
      <c r="E1868" s="6" t="s">
        <v>5949</v>
      </c>
      <c r="F1868" s="19" t="s">
        <v>5950</v>
      </c>
      <c r="G1868" s="19" t="s">
        <v>5956</v>
      </c>
      <c r="H1868" s="5"/>
      <c r="L1868" s="6">
        <v>7070138646</v>
      </c>
      <c r="N1868" s="16"/>
      <c r="O1868" s="7"/>
      <c r="P1868" s="17"/>
    </row>
    <row r="1869" spans="1:16" ht="14.25" customHeight="1">
      <c r="A1869" s="5" t="s">
        <v>0</v>
      </c>
      <c r="B1869" s="5" t="str">
        <f t="shared" si="12"/>
        <v>N</v>
      </c>
      <c r="C1869" s="18" t="s">
        <v>5962</v>
      </c>
      <c r="D1869" s="18"/>
      <c r="E1869" s="6" t="s">
        <v>5963</v>
      </c>
      <c r="F1869" s="19" t="s">
        <v>5964</v>
      </c>
      <c r="G1869" s="19" t="s">
        <v>5956</v>
      </c>
      <c r="H1869" s="5"/>
      <c r="L1869" s="6">
        <v>9576147629</v>
      </c>
      <c r="N1869" s="16"/>
      <c r="O1869" s="7"/>
      <c r="P1869" s="17"/>
    </row>
    <row r="1870" spans="1:16" ht="14.25" customHeight="1">
      <c r="A1870" s="5" t="s">
        <v>0</v>
      </c>
      <c r="B1870" s="5" t="str">
        <f t="shared" si="12"/>
        <v>N</v>
      </c>
      <c r="C1870" s="143" t="s">
        <v>5965</v>
      </c>
      <c r="D1870" s="143"/>
      <c r="E1870" s="144" t="s">
        <v>5966</v>
      </c>
      <c r="F1870" s="145" t="s">
        <v>5967</v>
      </c>
      <c r="G1870" s="145" t="s">
        <v>5956</v>
      </c>
      <c r="H1870" s="146"/>
      <c r="I1870" s="144"/>
      <c r="J1870" s="144"/>
      <c r="K1870" s="144"/>
      <c r="L1870" s="144">
        <v>7250799928</v>
      </c>
      <c r="N1870" s="16"/>
      <c r="O1870" s="7"/>
      <c r="P1870" s="17"/>
    </row>
    <row r="1871" spans="1:16" ht="14.25" customHeight="1">
      <c r="A1871" s="5" t="s">
        <v>0</v>
      </c>
      <c r="B1871" s="5" t="str">
        <f t="shared" si="12"/>
        <v>N</v>
      </c>
      <c r="C1871" s="18" t="s">
        <v>5968</v>
      </c>
      <c r="D1871" s="18"/>
      <c r="E1871" s="6" t="s">
        <v>5969</v>
      </c>
      <c r="F1871" s="19" t="s">
        <v>5970</v>
      </c>
      <c r="G1871" s="19" t="s">
        <v>5956</v>
      </c>
      <c r="H1871" s="5"/>
      <c r="L1871" s="6">
        <v>8002816859</v>
      </c>
      <c r="N1871" s="16"/>
      <c r="O1871" s="7"/>
      <c r="P1871" s="17"/>
    </row>
    <row r="1872" spans="1:16" ht="14.25" customHeight="1">
      <c r="A1872" s="5" t="s">
        <v>0</v>
      </c>
      <c r="B1872" s="5" t="str">
        <f t="shared" si="12"/>
        <v>N</v>
      </c>
      <c r="C1872" s="18" t="s">
        <v>5971</v>
      </c>
      <c r="D1872" s="18"/>
      <c r="E1872" s="6" t="s">
        <v>5972</v>
      </c>
      <c r="F1872" s="19" t="s">
        <v>5973</v>
      </c>
      <c r="G1872" s="19" t="s">
        <v>5974</v>
      </c>
      <c r="H1872" s="5"/>
      <c r="L1872" s="6">
        <v>6206007660</v>
      </c>
      <c r="N1872" s="16"/>
      <c r="O1872" s="7"/>
      <c r="P1872" s="17"/>
    </row>
    <row r="1873" spans="1:16" ht="14.25" customHeight="1">
      <c r="A1873" s="5" t="s">
        <v>0</v>
      </c>
      <c r="B1873" s="5" t="str">
        <f t="shared" si="12"/>
        <v>N</v>
      </c>
      <c r="C1873" s="18"/>
      <c r="D1873" s="18"/>
      <c r="E1873" s="6" t="s">
        <v>5975</v>
      </c>
      <c r="F1873" s="19" t="s">
        <v>5976</v>
      </c>
      <c r="G1873" s="19" t="s">
        <v>5977</v>
      </c>
      <c r="H1873" s="5"/>
      <c r="N1873" s="16"/>
      <c r="O1873" s="7"/>
      <c r="P1873" s="17"/>
    </row>
    <row r="1874" spans="1:16" ht="14.25" customHeight="1">
      <c r="A1874" s="5" t="s">
        <v>0</v>
      </c>
      <c r="B1874" s="5" t="str">
        <f t="shared" si="12"/>
        <v>Y</v>
      </c>
      <c r="C1874" s="18" t="s">
        <v>5978</v>
      </c>
      <c r="D1874" s="18"/>
      <c r="E1874" s="6" t="s">
        <v>5979</v>
      </c>
      <c r="F1874" s="19" t="s">
        <v>5980</v>
      </c>
      <c r="G1874" s="19" t="s">
        <v>5977</v>
      </c>
      <c r="H1874" s="19" t="s">
        <v>5977</v>
      </c>
      <c r="L1874" s="6">
        <v>9060267461</v>
      </c>
      <c r="N1874" s="16"/>
      <c r="O1874" s="7"/>
      <c r="P1874" s="17"/>
    </row>
    <row r="1875" spans="1:16" ht="14.25" customHeight="1">
      <c r="A1875" s="5" t="s">
        <v>0</v>
      </c>
      <c r="B1875" s="5" t="str">
        <f t="shared" si="12"/>
        <v>Y</v>
      </c>
      <c r="C1875" s="18" t="s">
        <v>5981</v>
      </c>
      <c r="D1875" s="18"/>
      <c r="E1875" s="6" t="s">
        <v>5982</v>
      </c>
      <c r="F1875" s="19" t="s">
        <v>3421</v>
      </c>
      <c r="G1875" s="19" t="s">
        <v>5977</v>
      </c>
      <c r="H1875" s="19" t="s">
        <v>5977</v>
      </c>
      <c r="L1875" s="6">
        <v>9835340719</v>
      </c>
      <c r="N1875" s="16"/>
      <c r="O1875" s="7"/>
      <c r="P1875" s="17"/>
    </row>
    <row r="1876" spans="1:16" ht="14.25" customHeight="1">
      <c r="A1876" s="5" t="s">
        <v>0</v>
      </c>
      <c r="B1876" s="5" t="str">
        <f t="shared" si="12"/>
        <v>Y</v>
      </c>
      <c r="C1876" s="18" t="s">
        <v>5983</v>
      </c>
      <c r="D1876" s="18"/>
      <c r="E1876" s="6" t="s">
        <v>5975</v>
      </c>
      <c r="F1876" s="19" t="s">
        <v>5984</v>
      </c>
      <c r="G1876" s="19" t="s">
        <v>5977</v>
      </c>
      <c r="H1876" s="19" t="s">
        <v>5977</v>
      </c>
      <c r="L1876" s="6">
        <v>9234501981</v>
      </c>
      <c r="N1876" s="16"/>
      <c r="O1876" s="7"/>
      <c r="P1876" s="17"/>
    </row>
    <row r="1877" spans="1:16" ht="14.25" customHeight="1">
      <c r="A1877" s="5" t="s">
        <v>0</v>
      </c>
      <c r="B1877" s="5" t="str">
        <f t="shared" si="12"/>
        <v>Y</v>
      </c>
      <c r="C1877" s="18" t="s">
        <v>5985</v>
      </c>
      <c r="D1877" s="18"/>
      <c r="E1877" s="6" t="s">
        <v>5986</v>
      </c>
      <c r="F1877" s="19" t="s">
        <v>5987</v>
      </c>
      <c r="G1877" s="19" t="s">
        <v>5977</v>
      </c>
      <c r="H1877" s="19" t="s">
        <v>5977</v>
      </c>
      <c r="L1877" s="6">
        <v>9304084119</v>
      </c>
      <c r="N1877" s="16"/>
      <c r="O1877" s="7"/>
      <c r="P1877" s="17"/>
    </row>
    <row r="1878" spans="1:16" ht="14.25" customHeight="1">
      <c r="A1878" s="5" t="s">
        <v>0</v>
      </c>
      <c r="B1878" s="5" t="str">
        <f t="shared" si="12"/>
        <v>Y</v>
      </c>
      <c r="C1878" s="18" t="s">
        <v>5988</v>
      </c>
      <c r="D1878" s="18"/>
      <c r="E1878" s="6" t="s">
        <v>5989</v>
      </c>
      <c r="F1878" s="19" t="s">
        <v>5990</v>
      </c>
      <c r="G1878" s="19" t="s">
        <v>5977</v>
      </c>
      <c r="H1878" s="19" t="s">
        <v>5977</v>
      </c>
      <c r="L1878" s="6">
        <v>9905496614</v>
      </c>
      <c r="N1878" s="16"/>
      <c r="O1878" s="7"/>
      <c r="P1878" s="17"/>
    </row>
    <row r="1879" spans="1:16" ht="14.25" customHeight="1">
      <c r="A1879" s="5" t="s">
        <v>0</v>
      </c>
      <c r="B1879" s="5" t="str">
        <f t="shared" si="12"/>
        <v>Y</v>
      </c>
      <c r="C1879" s="18" t="s">
        <v>5991</v>
      </c>
      <c r="D1879" s="18"/>
      <c r="E1879" s="6" t="s">
        <v>5992</v>
      </c>
      <c r="F1879" s="19" t="s">
        <v>5993</v>
      </c>
      <c r="G1879" s="19" t="s">
        <v>5977</v>
      </c>
      <c r="H1879" s="19" t="s">
        <v>5977</v>
      </c>
      <c r="L1879" s="6">
        <v>9661705679</v>
      </c>
      <c r="N1879" s="16"/>
      <c r="O1879" s="7"/>
      <c r="P1879" s="17"/>
    </row>
    <row r="1880" spans="1:16" ht="14.25" customHeight="1">
      <c r="A1880" s="5" t="s">
        <v>0</v>
      </c>
      <c r="B1880" s="5" t="str">
        <f t="shared" si="12"/>
        <v>Y</v>
      </c>
      <c r="C1880" s="18"/>
      <c r="D1880" s="18"/>
      <c r="E1880" s="6" t="s">
        <v>5994</v>
      </c>
      <c r="F1880" s="19" t="s">
        <v>5995</v>
      </c>
      <c r="G1880" s="19" t="s">
        <v>5996</v>
      </c>
      <c r="H1880" s="19" t="s">
        <v>5996</v>
      </c>
      <c r="L1880" s="6">
        <v>8897632377</v>
      </c>
      <c r="N1880" s="16"/>
      <c r="O1880" s="7"/>
      <c r="P1880" s="17"/>
    </row>
    <row r="1881" spans="1:16" ht="14.25" customHeight="1">
      <c r="A1881" s="5" t="s">
        <v>0</v>
      </c>
      <c r="B1881" s="5" t="str">
        <f t="shared" si="12"/>
        <v>Y</v>
      </c>
      <c r="C1881" s="18" t="s">
        <v>5997</v>
      </c>
      <c r="D1881" s="18"/>
      <c r="E1881" s="6" t="s">
        <v>5998</v>
      </c>
      <c r="F1881" s="19" t="s">
        <v>5999</v>
      </c>
      <c r="G1881" s="19" t="s">
        <v>5996</v>
      </c>
      <c r="H1881" s="19" t="s">
        <v>5996</v>
      </c>
      <c r="L1881" s="6">
        <v>8877176143</v>
      </c>
      <c r="N1881" s="16"/>
      <c r="O1881" s="7"/>
      <c r="P1881" s="17"/>
    </row>
    <row r="1882" spans="1:16" ht="14.25" customHeight="1">
      <c r="A1882" s="5" t="s">
        <v>0</v>
      </c>
      <c r="B1882" s="5" t="str">
        <f t="shared" si="12"/>
        <v>Y</v>
      </c>
      <c r="C1882" s="18" t="s">
        <v>6000</v>
      </c>
      <c r="D1882" s="18"/>
      <c r="E1882" s="6" t="s">
        <v>6001</v>
      </c>
      <c r="F1882" s="19" t="s">
        <v>6002</v>
      </c>
      <c r="G1882" s="19" t="s">
        <v>5996</v>
      </c>
      <c r="H1882" s="19" t="s">
        <v>5996</v>
      </c>
      <c r="L1882" s="6">
        <v>7654742087</v>
      </c>
      <c r="N1882" s="16"/>
      <c r="O1882" s="7"/>
      <c r="P1882" s="17"/>
    </row>
    <row r="1883" spans="1:16" ht="14.25" customHeight="1">
      <c r="A1883" s="5" t="s">
        <v>0</v>
      </c>
      <c r="B1883" s="5" t="str">
        <f t="shared" si="12"/>
        <v>Y</v>
      </c>
      <c r="C1883" s="18" t="s">
        <v>6003</v>
      </c>
      <c r="D1883" s="18"/>
      <c r="E1883" s="6" t="s">
        <v>6004</v>
      </c>
      <c r="F1883" s="19" t="s">
        <v>6005</v>
      </c>
      <c r="G1883" s="19" t="s">
        <v>5996</v>
      </c>
      <c r="H1883" s="19" t="s">
        <v>5996</v>
      </c>
      <c r="L1883" s="6">
        <v>9031969879</v>
      </c>
      <c r="N1883" s="16"/>
      <c r="O1883" s="7"/>
      <c r="P1883" s="17"/>
    </row>
    <row r="1884" spans="1:16" ht="14.25" customHeight="1">
      <c r="A1884" s="5" t="s">
        <v>0</v>
      </c>
      <c r="B1884" s="5" t="str">
        <f t="shared" si="12"/>
        <v>Y</v>
      </c>
      <c r="C1884" s="18" t="s">
        <v>6006</v>
      </c>
      <c r="D1884" s="18"/>
      <c r="E1884" s="6" t="s">
        <v>6007</v>
      </c>
      <c r="F1884" s="19" t="s">
        <v>5004</v>
      </c>
      <c r="G1884" s="19" t="s">
        <v>5996</v>
      </c>
      <c r="H1884" s="19" t="s">
        <v>5996</v>
      </c>
      <c r="L1884" s="6">
        <v>9508293697</v>
      </c>
      <c r="N1884" s="16"/>
      <c r="O1884" s="7"/>
      <c r="P1884" s="17"/>
    </row>
    <row r="1885" spans="1:16" ht="14.25" customHeight="1">
      <c r="A1885" s="5" t="s">
        <v>0</v>
      </c>
      <c r="B1885" s="5" t="str">
        <f t="shared" si="12"/>
        <v>Y</v>
      </c>
      <c r="C1885" s="18" t="s">
        <v>6008</v>
      </c>
      <c r="D1885" s="18"/>
      <c r="E1885" s="6" t="s">
        <v>6009</v>
      </c>
      <c r="F1885" s="19" t="s">
        <v>6010</v>
      </c>
      <c r="G1885" s="19" t="s">
        <v>5996</v>
      </c>
      <c r="H1885" s="19" t="s">
        <v>5996</v>
      </c>
      <c r="L1885" s="6">
        <v>6209918966</v>
      </c>
      <c r="N1885" s="16"/>
      <c r="O1885" s="7"/>
      <c r="P1885" s="17"/>
    </row>
    <row r="1886" spans="1:16" ht="14.25" customHeight="1">
      <c r="A1886" s="5" t="s">
        <v>0</v>
      </c>
      <c r="B1886" s="5" t="str">
        <f t="shared" si="12"/>
        <v>Y</v>
      </c>
      <c r="C1886" s="18" t="s">
        <v>6011</v>
      </c>
      <c r="D1886" s="18"/>
      <c r="E1886" s="6" t="s">
        <v>6012</v>
      </c>
      <c r="F1886" s="19" t="s">
        <v>6013</v>
      </c>
      <c r="G1886" s="19" t="s">
        <v>5996</v>
      </c>
      <c r="H1886" s="19" t="s">
        <v>5996</v>
      </c>
      <c r="L1886" s="6">
        <v>8235662596</v>
      </c>
      <c r="N1886" s="16"/>
      <c r="O1886" s="7"/>
      <c r="P1886" s="17"/>
    </row>
    <row r="1887" spans="1:16" ht="14.25" customHeight="1">
      <c r="A1887" s="5" t="s">
        <v>0</v>
      </c>
      <c r="B1887" s="5" t="str">
        <f t="shared" si="12"/>
        <v>Y</v>
      </c>
      <c r="C1887" s="18" t="s">
        <v>6014</v>
      </c>
      <c r="D1887" s="18"/>
      <c r="E1887" s="6" t="s">
        <v>6015</v>
      </c>
      <c r="F1887" s="19" t="s">
        <v>6016</v>
      </c>
      <c r="G1887" s="19" t="s">
        <v>5996</v>
      </c>
      <c r="H1887" s="19" t="s">
        <v>5996</v>
      </c>
      <c r="L1887" s="6">
        <v>7654742087</v>
      </c>
      <c r="N1887" s="16"/>
      <c r="O1887" s="7"/>
      <c r="P1887" s="17"/>
    </row>
    <row r="1888" spans="1:16" ht="14.25" customHeight="1">
      <c r="A1888" s="5" t="s">
        <v>0</v>
      </c>
      <c r="B1888" s="5" t="str">
        <f t="shared" si="12"/>
        <v>Y</v>
      </c>
      <c r="C1888" s="18" t="s">
        <v>6017</v>
      </c>
      <c r="D1888" s="18"/>
      <c r="E1888" s="6" t="s">
        <v>6018</v>
      </c>
      <c r="F1888" s="19" t="s">
        <v>6019</v>
      </c>
      <c r="G1888" s="19" t="s">
        <v>6020</v>
      </c>
      <c r="H1888" s="19" t="s">
        <v>6020</v>
      </c>
      <c r="L1888" s="6">
        <v>9204494792</v>
      </c>
      <c r="N1888" s="16"/>
      <c r="O1888" s="7"/>
      <c r="P1888" s="17"/>
    </row>
    <row r="1889" spans="1:16" ht="14.25" customHeight="1">
      <c r="A1889" s="5" t="s">
        <v>0</v>
      </c>
      <c r="B1889" s="5" t="str">
        <f t="shared" si="12"/>
        <v>Y</v>
      </c>
      <c r="C1889" s="18" t="s">
        <v>6021</v>
      </c>
      <c r="D1889" s="18"/>
      <c r="E1889" s="6" t="s">
        <v>6022</v>
      </c>
      <c r="F1889" s="19" t="s">
        <v>6023</v>
      </c>
      <c r="G1889" s="19" t="s">
        <v>6020</v>
      </c>
      <c r="H1889" s="19" t="s">
        <v>6020</v>
      </c>
      <c r="L1889" s="6">
        <v>9931375284</v>
      </c>
      <c r="N1889" s="16"/>
      <c r="O1889" s="7"/>
      <c r="P1889" s="17"/>
    </row>
    <row r="1890" spans="1:16" ht="14.25" customHeight="1">
      <c r="A1890" s="5" t="s">
        <v>0</v>
      </c>
      <c r="B1890" s="5" t="str">
        <f t="shared" si="12"/>
        <v>Y</v>
      </c>
      <c r="C1890" s="18" t="s">
        <v>6024</v>
      </c>
      <c r="D1890" s="18"/>
      <c r="E1890" s="6" t="s">
        <v>4012</v>
      </c>
      <c r="F1890" s="19" t="s">
        <v>4880</v>
      </c>
      <c r="G1890" s="19" t="s">
        <v>6020</v>
      </c>
      <c r="H1890" s="19" t="s">
        <v>6020</v>
      </c>
      <c r="L1890" s="6">
        <v>9234661318</v>
      </c>
      <c r="N1890" s="16"/>
      <c r="O1890" s="7"/>
      <c r="P1890" s="17"/>
    </row>
    <row r="1891" spans="1:16" ht="14.25" customHeight="1">
      <c r="A1891" s="5" t="s">
        <v>0</v>
      </c>
      <c r="B1891" s="5" t="str">
        <f t="shared" si="12"/>
        <v>Y</v>
      </c>
      <c r="C1891" s="18" t="s">
        <v>6025</v>
      </c>
      <c r="D1891" s="18"/>
      <c r="E1891" s="6" t="s">
        <v>5894</v>
      </c>
      <c r="F1891" s="19" t="s">
        <v>5895</v>
      </c>
      <c r="G1891" s="19" t="s">
        <v>6020</v>
      </c>
      <c r="H1891" s="19" t="s">
        <v>6020</v>
      </c>
      <c r="L1891" s="6">
        <v>6299522927</v>
      </c>
      <c r="N1891" s="16"/>
      <c r="O1891" s="7"/>
      <c r="P1891" s="17"/>
    </row>
    <row r="1892" spans="1:16" ht="14.25" customHeight="1">
      <c r="A1892" s="5" t="s">
        <v>0</v>
      </c>
      <c r="B1892" s="5" t="str">
        <f t="shared" si="12"/>
        <v>Y</v>
      </c>
      <c r="C1892" s="18" t="s">
        <v>6026</v>
      </c>
      <c r="D1892" s="18"/>
      <c r="E1892" s="6" t="s">
        <v>6027</v>
      </c>
      <c r="F1892" s="19" t="s">
        <v>6028</v>
      </c>
      <c r="G1892" s="19" t="s">
        <v>6020</v>
      </c>
      <c r="H1892" s="19" t="s">
        <v>6020</v>
      </c>
      <c r="L1892" s="6">
        <v>8092334285</v>
      </c>
      <c r="N1892" s="16"/>
      <c r="O1892" s="7"/>
      <c r="P1892" s="17"/>
    </row>
    <row r="1893" spans="1:16" ht="14.25" customHeight="1">
      <c r="A1893" s="5" t="s">
        <v>0</v>
      </c>
      <c r="B1893" s="5" t="str">
        <f t="shared" si="12"/>
        <v>Y</v>
      </c>
      <c r="C1893" s="18" t="s">
        <v>6029</v>
      </c>
      <c r="D1893" s="18"/>
      <c r="E1893" s="6" t="s">
        <v>6030</v>
      </c>
      <c r="F1893" s="19" t="s">
        <v>6031</v>
      </c>
      <c r="G1893" s="19" t="s">
        <v>6020</v>
      </c>
      <c r="H1893" s="19" t="s">
        <v>6020</v>
      </c>
      <c r="L1893" s="6">
        <v>9955495638</v>
      </c>
      <c r="N1893" s="16"/>
      <c r="O1893" s="7"/>
      <c r="P1893" s="17"/>
    </row>
    <row r="1894" spans="1:16" ht="14.25" customHeight="1">
      <c r="A1894" s="5" t="s">
        <v>0</v>
      </c>
      <c r="B1894" s="5" t="str">
        <f t="shared" si="12"/>
        <v>Y</v>
      </c>
      <c r="C1894" s="18" t="s">
        <v>6032</v>
      </c>
      <c r="D1894" s="18"/>
      <c r="E1894" s="6" t="s">
        <v>6033</v>
      </c>
      <c r="F1894" s="19" t="s">
        <v>6034</v>
      </c>
      <c r="G1894" s="19" t="s">
        <v>6020</v>
      </c>
      <c r="H1894" s="19" t="s">
        <v>6020</v>
      </c>
      <c r="L1894" s="6">
        <v>9031739904</v>
      </c>
      <c r="N1894" s="16"/>
      <c r="O1894" s="7"/>
      <c r="P1894" s="17"/>
    </row>
    <row r="1895" spans="1:16" ht="14.25" customHeight="1">
      <c r="A1895" s="5" t="s">
        <v>0</v>
      </c>
      <c r="B1895" s="5" t="str">
        <f t="shared" si="12"/>
        <v>Y</v>
      </c>
      <c r="C1895" s="18" t="s">
        <v>6035</v>
      </c>
      <c r="D1895" s="18"/>
      <c r="E1895" s="6" t="s">
        <v>6036</v>
      </c>
      <c r="F1895" s="19" t="s">
        <v>6037</v>
      </c>
      <c r="G1895" s="19" t="s">
        <v>6038</v>
      </c>
      <c r="H1895" s="19" t="s">
        <v>6038</v>
      </c>
      <c r="L1895" s="6">
        <v>9693707408</v>
      </c>
      <c r="N1895" s="16"/>
      <c r="O1895" s="7"/>
      <c r="P1895" s="17"/>
    </row>
    <row r="1896" spans="1:16" ht="14.25" customHeight="1">
      <c r="A1896" s="5" t="s">
        <v>0</v>
      </c>
      <c r="B1896" s="5" t="str">
        <f t="shared" si="12"/>
        <v>Y</v>
      </c>
      <c r="C1896" s="18" t="s">
        <v>6039</v>
      </c>
      <c r="D1896" s="18"/>
      <c r="E1896" s="6" t="s">
        <v>6040</v>
      </c>
      <c r="F1896" s="19" t="s">
        <v>6041</v>
      </c>
      <c r="G1896" s="19" t="s">
        <v>6038</v>
      </c>
      <c r="H1896" s="19" t="s">
        <v>6038</v>
      </c>
      <c r="L1896" s="6">
        <v>7070995547</v>
      </c>
      <c r="N1896" s="16"/>
      <c r="O1896" s="7"/>
      <c r="P1896" s="17"/>
    </row>
    <row r="1897" spans="1:16" ht="14.25" customHeight="1">
      <c r="A1897" s="5" t="s">
        <v>0</v>
      </c>
      <c r="B1897" s="5" t="str">
        <f t="shared" si="12"/>
        <v>Y</v>
      </c>
      <c r="C1897" s="18" t="s">
        <v>6042</v>
      </c>
      <c r="D1897" s="18"/>
      <c r="E1897" s="6" t="s">
        <v>6043</v>
      </c>
      <c r="F1897" s="19" t="s">
        <v>6044</v>
      </c>
      <c r="G1897" s="19" t="s">
        <v>6038</v>
      </c>
      <c r="H1897" s="19" t="s">
        <v>6038</v>
      </c>
      <c r="L1897" s="6">
        <v>9955133517</v>
      </c>
      <c r="N1897" s="16"/>
      <c r="O1897" s="7"/>
      <c r="P1897" s="17"/>
    </row>
    <row r="1898" spans="1:16" ht="14.25" customHeight="1">
      <c r="A1898" s="5" t="s">
        <v>0</v>
      </c>
      <c r="B1898" s="5" t="str">
        <f t="shared" si="12"/>
        <v>Y</v>
      </c>
      <c r="C1898" s="18" t="s">
        <v>6045</v>
      </c>
      <c r="D1898" s="18"/>
      <c r="E1898" s="6" t="s">
        <v>6046</v>
      </c>
      <c r="F1898" s="19" t="s">
        <v>6047</v>
      </c>
      <c r="G1898" s="19" t="s">
        <v>6038</v>
      </c>
      <c r="H1898" s="19" t="s">
        <v>6038</v>
      </c>
      <c r="L1898" s="6">
        <v>9693262640</v>
      </c>
      <c r="N1898" s="16"/>
      <c r="O1898" s="7"/>
      <c r="P1898" s="17"/>
    </row>
    <row r="1899" spans="1:16" ht="14.25" customHeight="1">
      <c r="A1899" s="5" t="s">
        <v>0</v>
      </c>
      <c r="B1899" s="5" t="str">
        <f t="shared" si="12"/>
        <v>Y</v>
      </c>
      <c r="C1899" s="18" t="s">
        <v>6048</v>
      </c>
      <c r="D1899" s="18"/>
      <c r="E1899" s="6" t="s">
        <v>6049</v>
      </c>
      <c r="F1899" s="19" t="s">
        <v>6050</v>
      </c>
      <c r="G1899" s="19" t="s">
        <v>6038</v>
      </c>
      <c r="H1899" s="19" t="s">
        <v>6038</v>
      </c>
      <c r="L1899" s="6">
        <v>7857824801</v>
      </c>
      <c r="N1899" s="16"/>
      <c r="O1899" s="7"/>
      <c r="P1899" s="17"/>
    </row>
    <row r="1900" spans="1:16" ht="14.25" customHeight="1">
      <c r="A1900" s="5" t="s">
        <v>0</v>
      </c>
      <c r="B1900" s="5" t="str">
        <f t="shared" si="12"/>
        <v>Y</v>
      </c>
      <c r="C1900" s="18" t="s">
        <v>6051</v>
      </c>
      <c r="D1900" s="18"/>
      <c r="E1900" s="6" t="s">
        <v>1460</v>
      </c>
      <c r="F1900" s="19" t="s">
        <v>3037</v>
      </c>
      <c r="G1900" s="19" t="s">
        <v>6038</v>
      </c>
      <c r="H1900" s="19" t="s">
        <v>6038</v>
      </c>
      <c r="L1900" s="6">
        <v>9234860472</v>
      </c>
      <c r="N1900" s="16"/>
      <c r="O1900" s="7"/>
      <c r="P1900" s="17"/>
    </row>
    <row r="1901" spans="1:16" ht="14.25" customHeight="1">
      <c r="A1901" s="5" t="s">
        <v>0</v>
      </c>
      <c r="B1901" s="5" t="str">
        <f t="shared" si="12"/>
        <v>Y</v>
      </c>
      <c r="C1901" s="18" t="s">
        <v>6052</v>
      </c>
      <c r="D1901" s="18"/>
      <c r="E1901" s="6" t="s">
        <v>6053</v>
      </c>
      <c r="F1901" s="19" t="s">
        <v>6054</v>
      </c>
      <c r="G1901" s="19" t="s">
        <v>6038</v>
      </c>
      <c r="H1901" s="19" t="s">
        <v>6038</v>
      </c>
      <c r="L1901" s="6">
        <v>7070614071</v>
      </c>
      <c r="N1901" s="16"/>
      <c r="O1901" s="7"/>
      <c r="P1901" s="17"/>
    </row>
    <row r="1902" spans="1:16" ht="14.25" customHeight="1">
      <c r="A1902" s="5" t="s">
        <v>0</v>
      </c>
      <c r="B1902" s="5" t="str">
        <f t="shared" si="12"/>
        <v>Y</v>
      </c>
      <c r="C1902" s="18" t="s">
        <v>6055</v>
      </c>
      <c r="D1902" s="18"/>
      <c r="E1902" s="6" t="s">
        <v>6056</v>
      </c>
      <c r="F1902" s="19" t="s">
        <v>6057</v>
      </c>
      <c r="G1902" s="19" t="s">
        <v>6038</v>
      </c>
      <c r="H1902" s="19" t="s">
        <v>6038</v>
      </c>
      <c r="L1902" s="6">
        <v>7209996668</v>
      </c>
      <c r="N1902" s="16"/>
      <c r="O1902" s="7"/>
      <c r="P1902" s="17"/>
    </row>
    <row r="1903" spans="1:16" ht="14.25" customHeight="1">
      <c r="A1903" s="5" t="s">
        <v>0</v>
      </c>
      <c r="B1903" s="5" t="str">
        <f t="shared" si="12"/>
        <v>Y</v>
      </c>
      <c r="C1903" s="18" t="s">
        <v>6058</v>
      </c>
      <c r="D1903" s="18"/>
      <c r="E1903" s="6" t="s">
        <v>6015</v>
      </c>
      <c r="F1903" s="19" t="s">
        <v>6059</v>
      </c>
      <c r="G1903" s="19" t="s">
        <v>6060</v>
      </c>
      <c r="H1903" s="20">
        <v>44452</v>
      </c>
      <c r="L1903" s="6">
        <v>8825287507</v>
      </c>
      <c r="N1903" s="16"/>
      <c r="O1903" s="7"/>
      <c r="P1903" s="17"/>
    </row>
    <row r="1904" spans="1:16" ht="14.25" customHeight="1">
      <c r="A1904" s="5" t="s">
        <v>0</v>
      </c>
      <c r="B1904" s="5" t="str">
        <f t="shared" si="12"/>
        <v>Y</v>
      </c>
      <c r="C1904" s="18" t="s">
        <v>6061</v>
      </c>
      <c r="D1904" s="18"/>
      <c r="E1904" s="6" t="s">
        <v>6062</v>
      </c>
      <c r="F1904" s="19" t="s">
        <v>2500</v>
      </c>
      <c r="G1904" s="19" t="s">
        <v>6060</v>
      </c>
      <c r="H1904" s="20">
        <v>44452</v>
      </c>
      <c r="L1904" s="6">
        <v>8340656020</v>
      </c>
      <c r="N1904" s="16"/>
      <c r="O1904" s="7"/>
      <c r="P1904" s="17"/>
    </row>
    <row r="1905" spans="1:16" ht="14.25" customHeight="1">
      <c r="A1905" s="5" t="s">
        <v>0</v>
      </c>
      <c r="B1905" s="5" t="str">
        <f t="shared" si="12"/>
        <v>Y</v>
      </c>
      <c r="C1905" s="18" t="s">
        <v>6063</v>
      </c>
      <c r="D1905" s="18"/>
      <c r="E1905" s="6" t="s">
        <v>6064</v>
      </c>
      <c r="F1905" s="19" t="s">
        <v>6065</v>
      </c>
      <c r="G1905" s="19" t="s">
        <v>6060</v>
      </c>
      <c r="H1905" s="20">
        <v>44452</v>
      </c>
      <c r="L1905" s="6">
        <v>7667052027</v>
      </c>
      <c r="N1905" s="16"/>
      <c r="O1905" s="7"/>
      <c r="P1905" s="17"/>
    </row>
    <row r="1906" spans="1:16" ht="14.25" customHeight="1">
      <c r="A1906" s="5" t="s">
        <v>0</v>
      </c>
      <c r="B1906" s="5" t="str">
        <f t="shared" si="12"/>
        <v>Y</v>
      </c>
      <c r="C1906" s="18" t="s">
        <v>6066</v>
      </c>
      <c r="D1906" s="18"/>
      <c r="E1906" s="6" t="s">
        <v>6067</v>
      </c>
      <c r="F1906" s="19" t="s">
        <v>6068</v>
      </c>
      <c r="G1906" s="19" t="s">
        <v>6069</v>
      </c>
      <c r="H1906" s="19" t="s">
        <v>6069</v>
      </c>
      <c r="L1906" s="6">
        <v>8092881615</v>
      </c>
      <c r="N1906" s="16"/>
      <c r="O1906" s="7"/>
      <c r="P1906" s="17"/>
    </row>
    <row r="1907" spans="1:16" ht="14.25" customHeight="1">
      <c r="A1907" s="5" t="s">
        <v>0</v>
      </c>
      <c r="B1907" s="5" t="str">
        <f t="shared" si="12"/>
        <v>Y</v>
      </c>
      <c r="C1907" s="18" t="s">
        <v>6070</v>
      </c>
      <c r="D1907" s="18"/>
      <c r="E1907" s="6" t="s">
        <v>2102</v>
      </c>
      <c r="F1907" s="19" t="s">
        <v>6071</v>
      </c>
      <c r="G1907" s="19" t="s">
        <v>6069</v>
      </c>
      <c r="H1907" s="19" t="s">
        <v>6069</v>
      </c>
      <c r="L1907" s="6">
        <v>8210630511</v>
      </c>
      <c r="N1907" s="16"/>
      <c r="O1907" s="7"/>
      <c r="P1907" s="17"/>
    </row>
    <row r="1908" spans="1:16" ht="14.25" customHeight="1">
      <c r="A1908" s="5" t="s">
        <v>0</v>
      </c>
      <c r="B1908" s="5" t="str">
        <f t="shared" si="12"/>
        <v>Y</v>
      </c>
      <c r="C1908" s="18" t="s">
        <v>6072</v>
      </c>
      <c r="D1908" s="18"/>
      <c r="E1908" s="6" t="s">
        <v>6073</v>
      </c>
      <c r="F1908" s="19" t="s">
        <v>6074</v>
      </c>
      <c r="G1908" s="19" t="s">
        <v>6075</v>
      </c>
      <c r="H1908" s="19" t="s">
        <v>6075</v>
      </c>
      <c r="K1908" s="19" t="s">
        <v>4698</v>
      </c>
      <c r="L1908" s="6">
        <v>9031389686</v>
      </c>
      <c r="N1908" s="16"/>
      <c r="O1908" s="7"/>
      <c r="P1908" s="17"/>
    </row>
    <row r="1909" spans="1:16" ht="14.25" customHeight="1">
      <c r="A1909" s="5" t="s">
        <v>0</v>
      </c>
      <c r="B1909" s="5" t="str">
        <f t="shared" si="12"/>
        <v>Y</v>
      </c>
      <c r="C1909" s="18" t="s">
        <v>6076</v>
      </c>
      <c r="D1909" s="18"/>
      <c r="E1909" s="6" t="s">
        <v>6077</v>
      </c>
      <c r="F1909" s="19" t="s">
        <v>6078</v>
      </c>
      <c r="G1909" s="19" t="s">
        <v>6075</v>
      </c>
      <c r="H1909" s="19" t="s">
        <v>6075</v>
      </c>
      <c r="K1909" s="19" t="s">
        <v>4698</v>
      </c>
      <c r="L1909" s="6">
        <v>799228754</v>
      </c>
      <c r="N1909" s="16"/>
      <c r="O1909" s="7"/>
      <c r="P1909" s="17"/>
    </row>
    <row r="1910" spans="1:16" ht="14.25" customHeight="1">
      <c r="A1910" s="5" t="s">
        <v>0</v>
      </c>
      <c r="B1910" s="5" t="str">
        <f t="shared" si="12"/>
        <v>Y</v>
      </c>
      <c r="C1910" s="18" t="s">
        <v>6076</v>
      </c>
      <c r="D1910" s="18"/>
      <c r="E1910" s="6" t="s">
        <v>6077</v>
      </c>
      <c r="F1910" s="19" t="s">
        <v>6078</v>
      </c>
      <c r="G1910" s="19" t="s">
        <v>6079</v>
      </c>
      <c r="H1910" s="19" t="s">
        <v>6079</v>
      </c>
      <c r="L1910" s="6">
        <v>7992287054</v>
      </c>
      <c r="N1910" s="16"/>
      <c r="O1910" s="7"/>
      <c r="P1910" s="17"/>
    </row>
    <row r="1911" spans="1:16" ht="14.25" customHeight="1">
      <c r="A1911" s="5" t="s">
        <v>0</v>
      </c>
      <c r="B1911" s="5" t="str">
        <f t="shared" si="12"/>
        <v>Y</v>
      </c>
      <c r="C1911" s="18" t="s">
        <v>6080</v>
      </c>
      <c r="D1911" s="18"/>
      <c r="E1911" s="6" t="s">
        <v>6081</v>
      </c>
      <c r="F1911" s="19" t="s">
        <v>6082</v>
      </c>
      <c r="G1911" s="19" t="s">
        <v>6079</v>
      </c>
      <c r="H1911" s="19" t="s">
        <v>6079</v>
      </c>
      <c r="L1911" s="6">
        <v>9341947692</v>
      </c>
      <c r="N1911" s="16"/>
      <c r="O1911" s="7"/>
      <c r="P1911" s="17"/>
    </row>
    <row r="1912" spans="1:16" ht="14.25" customHeight="1">
      <c r="A1912" s="5" t="s">
        <v>0</v>
      </c>
      <c r="B1912" s="5" t="str">
        <f t="shared" si="12"/>
        <v>Y</v>
      </c>
      <c r="C1912" s="18" t="s">
        <v>6083</v>
      </c>
      <c r="D1912" s="18"/>
      <c r="E1912" s="6" t="s">
        <v>6084</v>
      </c>
      <c r="F1912" s="19" t="s">
        <v>6085</v>
      </c>
      <c r="G1912" s="19" t="s">
        <v>6079</v>
      </c>
      <c r="H1912" s="19" t="s">
        <v>6079</v>
      </c>
      <c r="L1912" s="6">
        <v>7070944430</v>
      </c>
      <c r="N1912" s="16"/>
      <c r="O1912" s="7"/>
      <c r="P1912" s="17"/>
    </row>
    <row r="1913" spans="1:16" ht="14.25" customHeight="1">
      <c r="A1913" s="5" t="s">
        <v>0</v>
      </c>
      <c r="B1913" s="5" t="str">
        <f t="shared" si="12"/>
        <v>Y</v>
      </c>
      <c r="C1913" s="18" t="s">
        <v>6086</v>
      </c>
      <c r="D1913" s="18"/>
      <c r="E1913" s="6" t="s">
        <v>6087</v>
      </c>
      <c r="F1913" s="19" t="s">
        <v>2998</v>
      </c>
      <c r="G1913" s="19" t="s">
        <v>6079</v>
      </c>
      <c r="H1913" s="19" t="s">
        <v>6079</v>
      </c>
      <c r="L1913" s="6">
        <v>6204096548</v>
      </c>
      <c r="N1913" s="16"/>
      <c r="O1913" s="7"/>
      <c r="P1913" s="17"/>
    </row>
    <row r="1914" spans="1:16" ht="14.25" customHeight="1">
      <c r="A1914" s="5" t="s">
        <v>0</v>
      </c>
      <c r="B1914" s="5" t="str">
        <f t="shared" si="12"/>
        <v>Y</v>
      </c>
      <c r="C1914" s="18" t="s">
        <v>6088</v>
      </c>
      <c r="D1914" s="18"/>
      <c r="E1914" s="6" t="s">
        <v>6089</v>
      </c>
      <c r="F1914" s="19" t="s">
        <v>6090</v>
      </c>
      <c r="G1914" s="19" t="s">
        <v>6079</v>
      </c>
      <c r="H1914" s="19" t="s">
        <v>6079</v>
      </c>
      <c r="L1914" s="6">
        <v>8825195700</v>
      </c>
      <c r="N1914" s="16"/>
      <c r="O1914" s="7"/>
      <c r="P1914" s="17"/>
    </row>
    <row r="1915" spans="1:16" ht="14.25" customHeight="1">
      <c r="A1915" s="5" t="s">
        <v>0</v>
      </c>
      <c r="B1915" s="5" t="str">
        <f t="shared" si="12"/>
        <v>Y</v>
      </c>
      <c r="C1915" s="18" t="s">
        <v>6091</v>
      </c>
      <c r="D1915" s="18"/>
      <c r="E1915" s="6" t="s">
        <v>6092</v>
      </c>
      <c r="F1915" s="19" t="s">
        <v>5196</v>
      </c>
      <c r="G1915" s="19" t="s">
        <v>6079</v>
      </c>
      <c r="H1915" s="19" t="s">
        <v>6079</v>
      </c>
      <c r="L1915" s="6">
        <v>9572686173</v>
      </c>
      <c r="N1915" s="16"/>
      <c r="O1915" s="7"/>
      <c r="P1915" s="17"/>
    </row>
    <row r="1916" spans="1:16" ht="14.25" customHeight="1">
      <c r="A1916" s="5" t="s">
        <v>0</v>
      </c>
      <c r="B1916" s="5" t="str">
        <f t="shared" si="12"/>
        <v>Y</v>
      </c>
      <c r="C1916" s="18" t="s">
        <v>6093</v>
      </c>
      <c r="D1916" s="18"/>
      <c r="E1916" s="6" t="s">
        <v>5634</v>
      </c>
      <c r="F1916" s="19" t="s">
        <v>6094</v>
      </c>
      <c r="G1916" s="19" t="s">
        <v>6079</v>
      </c>
      <c r="H1916" s="19" t="s">
        <v>6079</v>
      </c>
      <c r="L1916" s="6">
        <v>6361113127</v>
      </c>
      <c r="N1916" s="16"/>
      <c r="O1916" s="7"/>
      <c r="P1916" s="17"/>
    </row>
    <row r="1917" spans="1:16" ht="14.25" customHeight="1">
      <c r="A1917" s="5" t="s">
        <v>0</v>
      </c>
      <c r="B1917" s="5" t="str">
        <f t="shared" si="12"/>
        <v>Y</v>
      </c>
      <c r="C1917" s="18" t="s">
        <v>6095</v>
      </c>
      <c r="D1917" s="18"/>
      <c r="E1917" s="6" t="s">
        <v>6096</v>
      </c>
      <c r="F1917" s="19" t="s">
        <v>6097</v>
      </c>
      <c r="G1917" s="19" t="s">
        <v>6079</v>
      </c>
      <c r="H1917" s="19" t="s">
        <v>6079</v>
      </c>
      <c r="K1917" s="19" t="s">
        <v>6098</v>
      </c>
      <c r="L1917" s="6">
        <v>7979864912</v>
      </c>
      <c r="N1917" s="16"/>
      <c r="O1917" s="7"/>
      <c r="P1917" s="17"/>
    </row>
    <row r="1918" spans="1:16" ht="14.25" customHeight="1">
      <c r="A1918" s="5" t="s">
        <v>0</v>
      </c>
      <c r="B1918" s="5" t="str">
        <f t="shared" si="12"/>
        <v>Y</v>
      </c>
      <c r="C1918" s="18" t="s">
        <v>6099</v>
      </c>
      <c r="D1918" s="18"/>
      <c r="E1918" s="6" t="s">
        <v>3537</v>
      </c>
      <c r="F1918" s="19" t="s">
        <v>6100</v>
      </c>
      <c r="G1918" s="19" t="s">
        <v>6079</v>
      </c>
      <c r="H1918" s="19" t="s">
        <v>6079</v>
      </c>
      <c r="K1918" s="19" t="s">
        <v>6101</v>
      </c>
      <c r="L1918" s="6">
        <v>6202342522</v>
      </c>
      <c r="N1918" s="16"/>
      <c r="O1918" s="7"/>
      <c r="P1918" s="17"/>
    </row>
    <row r="1919" spans="1:16" ht="14.25" customHeight="1">
      <c r="A1919" s="5" t="s">
        <v>0</v>
      </c>
      <c r="B1919" s="5" t="str">
        <f t="shared" si="12"/>
        <v>Y</v>
      </c>
      <c r="C1919" s="18" t="s">
        <v>6102</v>
      </c>
      <c r="D1919" s="18"/>
      <c r="E1919" s="6" t="s">
        <v>6103</v>
      </c>
      <c r="F1919" s="19" t="s">
        <v>6104</v>
      </c>
      <c r="G1919" s="19" t="s">
        <v>6079</v>
      </c>
      <c r="H1919" s="19" t="s">
        <v>6079</v>
      </c>
      <c r="L1919" s="6">
        <v>6207140331</v>
      </c>
      <c r="N1919" s="16"/>
      <c r="O1919" s="7"/>
      <c r="P1919" s="17"/>
    </row>
    <row r="1920" spans="1:16" ht="14.25" customHeight="1">
      <c r="A1920" s="5" t="s">
        <v>0</v>
      </c>
      <c r="B1920" s="5" t="str">
        <f t="shared" si="12"/>
        <v>Y</v>
      </c>
      <c r="C1920" s="18" t="s">
        <v>6105</v>
      </c>
      <c r="D1920" s="18"/>
      <c r="E1920" s="6" t="s">
        <v>6106</v>
      </c>
      <c r="F1920" s="19" t="s">
        <v>6107</v>
      </c>
      <c r="G1920" s="19" t="s">
        <v>6079</v>
      </c>
      <c r="H1920" s="19" t="s">
        <v>6079</v>
      </c>
      <c r="L1920" s="6">
        <v>9117809614</v>
      </c>
      <c r="N1920" s="16"/>
      <c r="O1920" s="7"/>
      <c r="P1920" s="17"/>
    </row>
    <row r="1921" spans="1:16" ht="14.25" customHeight="1">
      <c r="A1921" s="5" t="s">
        <v>0</v>
      </c>
      <c r="B1921" s="5" t="str">
        <f t="shared" si="12"/>
        <v>Y</v>
      </c>
      <c r="C1921" s="18" t="s">
        <v>6108</v>
      </c>
      <c r="D1921" s="18"/>
      <c r="E1921" s="6" t="s">
        <v>6109</v>
      </c>
      <c r="F1921" s="19" t="s">
        <v>6110</v>
      </c>
      <c r="G1921" s="19" t="s">
        <v>6079</v>
      </c>
      <c r="H1921" s="19" t="s">
        <v>6079</v>
      </c>
      <c r="L1921" s="6">
        <v>9771219893</v>
      </c>
      <c r="N1921" s="16"/>
      <c r="O1921" s="7"/>
      <c r="P1921" s="17"/>
    </row>
    <row r="1922" spans="1:16" ht="14.25" customHeight="1">
      <c r="A1922" s="5" t="s">
        <v>0</v>
      </c>
      <c r="B1922" s="5" t="str">
        <f t="shared" si="12"/>
        <v>Y</v>
      </c>
      <c r="C1922" s="18" t="s">
        <v>6111</v>
      </c>
      <c r="D1922" s="18"/>
      <c r="E1922" s="6" t="s">
        <v>6112</v>
      </c>
      <c r="F1922" s="19" t="s">
        <v>6113</v>
      </c>
      <c r="G1922" s="19" t="s">
        <v>6114</v>
      </c>
      <c r="H1922" s="19" t="s">
        <v>6114</v>
      </c>
      <c r="L1922" s="6">
        <v>9162891972</v>
      </c>
      <c r="N1922" s="16"/>
      <c r="O1922" s="7"/>
      <c r="P1922" s="17"/>
    </row>
    <row r="1923" spans="1:16" ht="14.25" customHeight="1">
      <c r="A1923" s="5" t="s">
        <v>0</v>
      </c>
      <c r="B1923" s="5" t="str">
        <f t="shared" si="12"/>
        <v>Y</v>
      </c>
      <c r="C1923" s="18" t="s">
        <v>6115</v>
      </c>
      <c r="D1923" s="18"/>
      <c r="E1923" s="6" t="s">
        <v>6116</v>
      </c>
      <c r="F1923" s="19" t="s">
        <v>6117</v>
      </c>
      <c r="G1923" s="19" t="s">
        <v>6114</v>
      </c>
      <c r="H1923" s="19" t="s">
        <v>6114</v>
      </c>
      <c r="L1923" s="6">
        <v>8409949983</v>
      </c>
      <c r="N1923" s="16"/>
      <c r="O1923" s="7"/>
      <c r="P1923" s="17"/>
    </row>
    <row r="1924" spans="1:16" ht="14.25" customHeight="1">
      <c r="A1924" s="5" t="s">
        <v>0</v>
      </c>
      <c r="B1924" s="5" t="str">
        <f t="shared" si="12"/>
        <v>Y</v>
      </c>
      <c r="C1924" s="18" t="s">
        <v>6118</v>
      </c>
      <c r="D1924" s="18"/>
      <c r="E1924" s="6" t="s">
        <v>6119</v>
      </c>
      <c r="F1924" s="19" t="s">
        <v>6120</v>
      </c>
      <c r="G1924" s="19" t="s">
        <v>6121</v>
      </c>
      <c r="H1924" s="19" t="s">
        <v>6121</v>
      </c>
      <c r="L1924" s="6">
        <v>6205763019</v>
      </c>
      <c r="N1924" s="16"/>
      <c r="O1924" s="7"/>
      <c r="P1924" s="17"/>
    </row>
    <row r="1925" spans="1:16" ht="14.25" customHeight="1">
      <c r="A1925" s="5" t="s">
        <v>0</v>
      </c>
      <c r="B1925" s="5" t="str">
        <f t="shared" si="12"/>
        <v>Y</v>
      </c>
      <c r="C1925" s="18" t="s">
        <v>6122</v>
      </c>
      <c r="D1925" s="18"/>
      <c r="E1925" s="6" t="s">
        <v>6123</v>
      </c>
      <c r="F1925" s="19" t="s">
        <v>6124</v>
      </c>
      <c r="G1925" s="19" t="s">
        <v>6121</v>
      </c>
      <c r="H1925" s="19" t="s">
        <v>6121</v>
      </c>
      <c r="L1925" s="6">
        <v>9142977266</v>
      </c>
      <c r="N1925" s="16"/>
      <c r="O1925" s="7"/>
      <c r="P1925" s="17"/>
    </row>
    <row r="1926" spans="1:16" ht="14.25" customHeight="1">
      <c r="A1926" s="5" t="s">
        <v>0</v>
      </c>
      <c r="B1926" s="5" t="str">
        <f t="shared" si="12"/>
        <v>Y</v>
      </c>
      <c r="C1926" s="18" t="s">
        <v>6125</v>
      </c>
      <c r="D1926" s="18"/>
      <c r="E1926" s="6" t="s">
        <v>6126</v>
      </c>
      <c r="F1926" s="19" t="s">
        <v>6127</v>
      </c>
      <c r="G1926" s="19" t="s">
        <v>6121</v>
      </c>
      <c r="H1926" s="19" t="s">
        <v>6121</v>
      </c>
      <c r="L1926" s="6">
        <v>7870460215</v>
      </c>
      <c r="N1926" s="16"/>
      <c r="O1926" s="7"/>
      <c r="P1926" s="17"/>
    </row>
    <row r="1927" spans="1:16" ht="14.25" customHeight="1">
      <c r="A1927" s="5" t="s">
        <v>0</v>
      </c>
      <c r="B1927" s="5" t="str">
        <f t="shared" si="12"/>
        <v>Y</v>
      </c>
      <c r="C1927" s="18" t="s">
        <v>6128</v>
      </c>
      <c r="D1927" s="18"/>
      <c r="E1927" s="6" t="s">
        <v>6129</v>
      </c>
      <c r="F1927" s="19" t="s">
        <v>6130</v>
      </c>
      <c r="G1927" s="19" t="s">
        <v>6131</v>
      </c>
      <c r="H1927" s="19" t="s">
        <v>6131</v>
      </c>
      <c r="L1927" s="6">
        <v>6203562187</v>
      </c>
      <c r="N1927" s="16"/>
      <c r="O1927" s="7"/>
      <c r="P1927" s="17"/>
    </row>
    <row r="1928" spans="1:16" ht="14.25" customHeight="1">
      <c r="A1928" s="5" t="s">
        <v>0</v>
      </c>
      <c r="B1928" s="5" t="str">
        <f t="shared" si="12"/>
        <v>Y</v>
      </c>
      <c r="C1928" s="18" t="s">
        <v>6132</v>
      </c>
      <c r="D1928" s="18"/>
      <c r="E1928" s="6" t="s">
        <v>6133</v>
      </c>
      <c r="F1928" s="19" t="s">
        <v>6134</v>
      </c>
      <c r="G1928" s="19" t="s">
        <v>6131</v>
      </c>
      <c r="H1928" s="19" t="s">
        <v>6131</v>
      </c>
      <c r="L1928" s="6">
        <v>9122942220</v>
      </c>
      <c r="N1928" s="16"/>
      <c r="O1928" s="7"/>
      <c r="P1928" s="17"/>
    </row>
    <row r="1929" spans="1:16" ht="14.25" customHeight="1">
      <c r="A1929" s="5" t="s">
        <v>0</v>
      </c>
      <c r="B1929" s="5" t="str">
        <f t="shared" si="12"/>
        <v>N</v>
      </c>
      <c r="C1929" s="18" t="s">
        <v>6135</v>
      </c>
      <c r="D1929" s="18"/>
      <c r="E1929" s="80" t="s">
        <v>6136</v>
      </c>
      <c r="F1929" s="19" t="s">
        <v>6137</v>
      </c>
      <c r="G1929" s="19" t="s">
        <v>6138</v>
      </c>
      <c r="H1929" s="5"/>
      <c r="L1929" s="6">
        <v>8539040194</v>
      </c>
      <c r="N1929" s="16"/>
      <c r="O1929" s="7"/>
      <c r="P1929" s="17"/>
    </row>
    <row r="1930" spans="1:16" ht="14.25" customHeight="1">
      <c r="A1930" s="5" t="s">
        <v>0</v>
      </c>
      <c r="B1930" s="5" t="str">
        <f t="shared" si="12"/>
        <v>Y</v>
      </c>
      <c r="C1930" s="18" t="s">
        <v>6139</v>
      </c>
      <c r="D1930" s="18"/>
      <c r="E1930" s="6" t="s">
        <v>6140</v>
      </c>
      <c r="F1930" s="19" t="s">
        <v>4348</v>
      </c>
      <c r="G1930" s="19" t="s">
        <v>6141</v>
      </c>
      <c r="H1930" s="19" t="s">
        <v>6141</v>
      </c>
      <c r="L1930" s="6">
        <v>8340656020</v>
      </c>
      <c r="N1930" s="16"/>
      <c r="O1930" s="7"/>
      <c r="P1930" s="17"/>
    </row>
    <row r="1931" spans="1:16" ht="14.25" customHeight="1">
      <c r="A1931" s="5" t="s">
        <v>0</v>
      </c>
      <c r="B1931" s="5" t="str">
        <f t="shared" si="12"/>
        <v>Y</v>
      </c>
      <c r="C1931" s="18" t="s">
        <v>6135</v>
      </c>
      <c r="D1931" s="18"/>
      <c r="E1931" s="6" t="s">
        <v>6142</v>
      </c>
      <c r="F1931" s="19" t="s">
        <v>6137</v>
      </c>
      <c r="G1931" s="19" t="s">
        <v>6141</v>
      </c>
      <c r="H1931" s="19" t="s">
        <v>6141</v>
      </c>
      <c r="L1931" s="6">
        <v>8539040194</v>
      </c>
      <c r="N1931" s="16"/>
      <c r="O1931" s="7"/>
      <c r="P1931" s="17"/>
    </row>
    <row r="1932" spans="1:16" ht="14.25" customHeight="1">
      <c r="A1932" s="5" t="s">
        <v>0</v>
      </c>
      <c r="B1932" s="5" t="str">
        <f t="shared" si="12"/>
        <v>N</v>
      </c>
      <c r="C1932" s="18" t="s">
        <v>6143</v>
      </c>
      <c r="D1932" s="18"/>
      <c r="E1932" s="6" t="s">
        <v>6144</v>
      </c>
      <c r="F1932" s="19" t="s">
        <v>6145</v>
      </c>
      <c r="G1932" s="19" t="s">
        <v>6141</v>
      </c>
      <c r="H1932" s="5"/>
      <c r="I1932" s="6" t="s">
        <v>6146</v>
      </c>
      <c r="L1932" s="6">
        <v>9264202291</v>
      </c>
      <c r="N1932" s="16"/>
      <c r="O1932" s="7"/>
      <c r="P1932" s="17"/>
    </row>
    <row r="1933" spans="1:16" ht="14.25" customHeight="1">
      <c r="A1933" s="5" t="s">
        <v>0</v>
      </c>
      <c r="B1933" s="5" t="str">
        <f t="shared" si="12"/>
        <v>N</v>
      </c>
      <c r="C1933" s="62"/>
      <c r="D1933" s="62"/>
      <c r="E1933" s="47" t="s">
        <v>6147</v>
      </c>
      <c r="F1933" s="63" t="s">
        <v>3040</v>
      </c>
      <c r="G1933" s="63" t="s">
        <v>6141</v>
      </c>
      <c r="H1933" s="65"/>
      <c r="I1933" s="47" t="s">
        <v>6148</v>
      </c>
      <c r="J1933" s="47"/>
      <c r="K1933" s="47"/>
      <c r="L1933" s="47">
        <v>8651354845</v>
      </c>
      <c r="N1933" s="16"/>
      <c r="O1933" s="7"/>
      <c r="P1933" s="17"/>
    </row>
    <row r="1934" spans="1:16" ht="14.25" customHeight="1">
      <c r="A1934" s="5" t="s">
        <v>0</v>
      </c>
      <c r="B1934" s="5" t="str">
        <f t="shared" si="12"/>
        <v>Y</v>
      </c>
      <c r="C1934" s="18" t="s">
        <v>6149</v>
      </c>
      <c r="D1934" s="18"/>
      <c r="E1934" s="6" t="s">
        <v>6150</v>
      </c>
      <c r="F1934" s="19" t="s">
        <v>6151</v>
      </c>
      <c r="G1934" s="19" t="s">
        <v>6141</v>
      </c>
      <c r="H1934" s="19" t="s">
        <v>6141</v>
      </c>
      <c r="L1934" s="6">
        <v>9431758161</v>
      </c>
      <c r="N1934" s="16"/>
      <c r="O1934" s="7"/>
      <c r="P1934" s="17"/>
    </row>
    <row r="1935" spans="1:16" ht="14.25" customHeight="1">
      <c r="A1935" s="5" t="s">
        <v>0</v>
      </c>
      <c r="B1935" s="5" t="str">
        <f t="shared" si="12"/>
        <v>Y</v>
      </c>
      <c r="C1935" s="18" t="s">
        <v>6143</v>
      </c>
      <c r="D1935" s="18"/>
      <c r="E1935" s="6" t="s">
        <v>6152</v>
      </c>
      <c r="F1935" s="19" t="s">
        <v>6153</v>
      </c>
      <c r="G1935" s="19" t="s">
        <v>6141</v>
      </c>
      <c r="H1935" s="19" t="s">
        <v>6141</v>
      </c>
      <c r="L1935" s="6">
        <v>9264202291</v>
      </c>
      <c r="N1935" s="16"/>
      <c r="O1935" s="7"/>
      <c r="P1935" s="17"/>
    </row>
    <row r="1936" spans="1:16" ht="14.25" customHeight="1">
      <c r="A1936" s="5" t="s">
        <v>0</v>
      </c>
      <c r="B1936" s="5" t="str">
        <f t="shared" si="12"/>
        <v>Y</v>
      </c>
      <c r="C1936" s="18" t="s">
        <v>6154</v>
      </c>
      <c r="D1936" s="18"/>
      <c r="E1936" s="6" t="s">
        <v>6155</v>
      </c>
      <c r="F1936" s="19" t="s">
        <v>6156</v>
      </c>
      <c r="G1936" s="19" t="s">
        <v>6157</v>
      </c>
      <c r="H1936" s="20">
        <v>44466</v>
      </c>
      <c r="L1936" s="6">
        <v>8235229224</v>
      </c>
      <c r="N1936" s="16"/>
      <c r="O1936" s="7"/>
      <c r="P1936" s="17"/>
    </row>
    <row r="1937" spans="1:16" ht="14.25" customHeight="1">
      <c r="A1937" s="5" t="s">
        <v>0</v>
      </c>
      <c r="B1937" s="5" t="str">
        <f t="shared" si="12"/>
        <v>Y</v>
      </c>
      <c r="C1937" s="18" t="s">
        <v>6158</v>
      </c>
      <c r="D1937" s="18"/>
      <c r="E1937" s="6" t="s">
        <v>6159</v>
      </c>
      <c r="F1937" s="19" t="s">
        <v>6160</v>
      </c>
      <c r="G1937" s="19" t="s">
        <v>6157</v>
      </c>
      <c r="H1937" s="20">
        <v>44466</v>
      </c>
      <c r="L1937" s="6">
        <v>7870942124</v>
      </c>
      <c r="N1937" s="16"/>
      <c r="O1937" s="7"/>
      <c r="P1937" s="17"/>
    </row>
    <row r="1938" spans="1:16" ht="14.25" customHeight="1">
      <c r="A1938" s="5" t="s">
        <v>0</v>
      </c>
      <c r="B1938" s="5" t="str">
        <f t="shared" si="12"/>
        <v>Y</v>
      </c>
      <c r="C1938" s="18" t="s">
        <v>6161</v>
      </c>
      <c r="D1938" s="18"/>
      <c r="E1938" s="6" t="s">
        <v>2745</v>
      </c>
      <c r="F1938" s="19" t="s">
        <v>3653</v>
      </c>
      <c r="G1938" s="19" t="s">
        <v>6157</v>
      </c>
      <c r="H1938" s="20">
        <v>44466</v>
      </c>
      <c r="L1938" s="6">
        <v>9934962414</v>
      </c>
      <c r="N1938" s="16"/>
      <c r="O1938" s="7"/>
      <c r="P1938" s="17"/>
    </row>
    <row r="1939" spans="1:16" ht="14.25" customHeight="1">
      <c r="A1939" s="5" t="s">
        <v>0</v>
      </c>
      <c r="B1939" s="5" t="str">
        <f t="shared" si="12"/>
        <v>Y</v>
      </c>
      <c r="C1939" s="6" t="s">
        <v>6162</v>
      </c>
      <c r="D1939" s="6"/>
      <c r="E1939" s="6" t="s">
        <v>1526</v>
      </c>
      <c r="F1939" s="19" t="s">
        <v>6163</v>
      </c>
      <c r="G1939" s="19" t="s">
        <v>6164</v>
      </c>
      <c r="H1939" s="5" t="s">
        <v>6165</v>
      </c>
      <c r="L1939" s="6">
        <v>9771187933</v>
      </c>
      <c r="N1939" s="16"/>
      <c r="O1939" s="7"/>
      <c r="P1939" s="17"/>
    </row>
    <row r="1940" spans="1:16" ht="14.25" customHeight="1">
      <c r="A1940" s="5" t="s">
        <v>0</v>
      </c>
      <c r="B1940" s="5" t="str">
        <f t="shared" si="12"/>
        <v>Y</v>
      </c>
      <c r="C1940" s="18" t="s">
        <v>6166</v>
      </c>
      <c r="D1940" s="18"/>
      <c r="E1940" s="6" t="s">
        <v>6167</v>
      </c>
      <c r="F1940" s="19" t="s">
        <v>3293</v>
      </c>
      <c r="G1940" s="19" t="s">
        <v>6164</v>
      </c>
      <c r="H1940" s="20">
        <v>44467</v>
      </c>
      <c r="L1940" s="6">
        <v>8340406670</v>
      </c>
      <c r="N1940" s="16"/>
      <c r="O1940" s="7"/>
      <c r="P1940" s="17"/>
    </row>
    <row r="1941" spans="1:16" ht="14.25" customHeight="1">
      <c r="A1941" s="5" t="s">
        <v>0</v>
      </c>
      <c r="B1941" s="5" t="str">
        <f t="shared" si="12"/>
        <v>Y</v>
      </c>
      <c r="C1941" s="18" t="s">
        <v>6168</v>
      </c>
      <c r="D1941" s="18"/>
      <c r="E1941" s="6" t="s">
        <v>6169</v>
      </c>
      <c r="F1941" s="19" t="s">
        <v>6170</v>
      </c>
      <c r="G1941" s="19" t="s">
        <v>6164</v>
      </c>
      <c r="H1941" s="20">
        <v>44467</v>
      </c>
      <c r="L1941" s="6">
        <v>8235001989</v>
      </c>
      <c r="N1941" s="16"/>
      <c r="O1941" s="7"/>
      <c r="P1941" s="17"/>
    </row>
    <row r="1942" spans="1:16" ht="14.25" customHeight="1">
      <c r="A1942" s="5" t="s">
        <v>0</v>
      </c>
      <c r="B1942" s="5" t="str">
        <f t="shared" si="12"/>
        <v>Y</v>
      </c>
      <c r="C1942" s="18" t="s">
        <v>6171</v>
      </c>
      <c r="D1942" s="18"/>
      <c r="E1942" s="6" t="s">
        <v>6147</v>
      </c>
      <c r="F1942" s="19" t="s">
        <v>3040</v>
      </c>
      <c r="G1942" s="19" t="s">
        <v>6172</v>
      </c>
      <c r="H1942" s="19" t="s">
        <v>6172</v>
      </c>
      <c r="L1942" s="6">
        <v>8651354845</v>
      </c>
      <c r="N1942" s="16"/>
      <c r="O1942" s="7"/>
      <c r="P1942" s="17"/>
    </row>
    <row r="1943" spans="1:16" ht="14.25" customHeight="1">
      <c r="A1943" s="5" t="s">
        <v>0</v>
      </c>
      <c r="B1943" s="5" t="str">
        <f t="shared" si="12"/>
        <v>Y</v>
      </c>
      <c r="C1943" s="18" t="s">
        <v>6173</v>
      </c>
      <c r="D1943" s="18"/>
      <c r="E1943" s="6" t="s">
        <v>6174</v>
      </c>
      <c r="F1943" s="19" t="s">
        <v>3054</v>
      </c>
      <c r="G1943" s="19" t="s">
        <v>6172</v>
      </c>
      <c r="H1943" s="19" t="s">
        <v>6172</v>
      </c>
      <c r="L1943" s="6">
        <v>9334971380</v>
      </c>
      <c r="N1943" s="16"/>
      <c r="O1943" s="7"/>
      <c r="P1943" s="17"/>
    </row>
    <row r="1944" spans="1:16" ht="14.25" customHeight="1">
      <c r="A1944" s="5" t="s">
        <v>0</v>
      </c>
      <c r="B1944" s="5" t="str">
        <f t="shared" si="12"/>
        <v>N</v>
      </c>
      <c r="C1944" s="18" t="s">
        <v>6175</v>
      </c>
      <c r="D1944" s="18"/>
      <c r="F1944" s="19"/>
      <c r="G1944" s="19"/>
      <c r="H1944" s="5"/>
      <c r="N1944" s="16"/>
      <c r="O1944" s="7"/>
      <c r="P1944" s="17"/>
    </row>
    <row r="1945" spans="1:16" ht="14.25" customHeight="1">
      <c r="A1945" s="5" t="s">
        <v>0</v>
      </c>
      <c r="B1945" s="5" t="str">
        <f t="shared" si="12"/>
        <v>Y</v>
      </c>
      <c r="C1945" s="18" t="s">
        <v>6176</v>
      </c>
      <c r="D1945" s="18"/>
      <c r="E1945" s="6" t="s">
        <v>6177</v>
      </c>
      <c r="F1945" s="19" t="s">
        <v>6178</v>
      </c>
      <c r="G1945" s="19" t="s">
        <v>6179</v>
      </c>
      <c r="H1945" s="19" t="s">
        <v>6179</v>
      </c>
      <c r="L1945" s="6">
        <v>7667020625</v>
      </c>
      <c r="N1945" s="16"/>
      <c r="O1945" s="7"/>
      <c r="P1945" s="17"/>
    </row>
    <row r="1946" spans="1:16" ht="14.25" customHeight="1">
      <c r="A1946" s="5" t="s">
        <v>0</v>
      </c>
      <c r="B1946" s="5" t="str">
        <f t="shared" si="12"/>
        <v>Y</v>
      </c>
      <c r="C1946" s="18" t="s">
        <v>6180</v>
      </c>
      <c r="D1946" s="18"/>
      <c r="E1946" s="6" t="s">
        <v>6181</v>
      </c>
      <c r="F1946" s="19" t="s">
        <v>6182</v>
      </c>
      <c r="G1946" s="19" t="s">
        <v>6179</v>
      </c>
      <c r="H1946" s="19" t="s">
        <v>6179</v>
      </c>
      <c r="L1946" s="6">
        <v>9835880996</v>
      </c>
      <c r="N1946" s="16"/>
      <c r="O1946" s="7"/>
      <c r="P1946" s="17"/>
    </row>
    <row r="1947" spans="1:16" ht="14.25" customHeight="1">
      <c r="A1947" s="5" t="s">
        <v>0</v>
      </c>
      <c r="B1947" s="5" t="str">
        <f t="shared" si="12"/>
        <v>Y</v>
      </c>
      <c r="C1947" s="18" t="s">
        <v>6183</v>
      </c>
      <c r="D1947" s="18"/>
      <c r="E1947" s="6" t="s">
        <v>6184</v>
      </c>
      <c r="F1947" s="19" t="s">
        <v>6185</v>
      </c>
      <c r="G1947" s="19" t="s">
        <v>6179</v>
      </c>
      <c r="H1947" s="19" t="s">
        <v>6179</v>
      </c>
      <c r="L1947" s="6">
        <v>9931412861</v>
      </c>
      <c r="N1947" s="16"/>
      <c r="O1947" s="7"/>
      <c r="P1947" s="17"/>
    </row>
    <row r="1948" spans="1:16" ht="14.25" customHeight="1">
      <c r="A1948" s="5" t="s">
        <v>0</v>
      </c>
      <c r="B1948" s="5" t="str">
        <f t="shared" si="12"/>
        <v>Y</v>
      </c>
      <c r="C1948" s="18" t="s">
        <v>6186</v>
      </c>
      <c r="D1948" s="18"/>
      <c r="E1948" s="6" t="s">
        <v>6187</v>
      </c>
      <c r="F1948" s="19" t="s">
        <v>3383</v>
      </c>
      <c r="G1948" s="19" t="s">
        <v>6188</v>
      </c>
      <c r="H1948" s="20">
        <v>44471</v>
      </c>
      <c r="L1948" s="6">
        <v>8507370682</v>
      </c>
      <c r="N1948" s="16"/>
      <c r="O1948" s="7"/>
      <c r="P1948" s="17"/>
    </row>
    <row r="1949" spans="1:16" ht="14.25" customHeight="1">
      <c r="A1949" s="5" t="s">
        <v>0</v>
      </c>
      <c r="B1949" s="5" t="str">
        <f t="shared" si="12"/>
        <v>Y</v>
      </c>
      <c r="C1949" s="18" t="s">
        <v>6189</v>
      </c>
      <c r="D1949" s="18"/>
      <c r="E1949" s="6" t="s">
        <v>6190</v>
      </c>
      <c r="F1949" s="19" t="s">
        <v>6191</v>
      </c>
      <c r="G1949" s="19" t="s">
        <v>6192</v>
      </c>
      <c r="H1949" s="20">
        <v>44471</v>
      </c>
      <c r="L1949" s="6">
        <v>8292370370</v>
      </c>
      <c r="N1949" s="16"/>
      <c r="O1949" s="7"/>
      <c r="P1949" s="17"/>
    </row>
    <row r="1950" spans="1:16" ht="14.25" customHeight="1">
      <c r="A1950" s="5" t="s">
        <v>0</v>
      </c>
      <c r="B1950" s="5" t="str">
        <f t="shared" si="12"/>
        <v>Y</v>
      </c>
      <c r="C1950" s="18" t="s">
        <v>6193</v>
      </c>
      <c r="D1950" s="18"/>
      <c r="E1950" s="6" t="s">
        <v>6194</v>
      </c>
      <c r="F1950" s="19" t="s">
        <v>6195</v>
      </c>
      <c r="G1950" s="19" t="s">
        <v>6196</v>
      </c>
      <c r="H1950" s="20">
        <v>44475</v>
      </c>
      <c r="L1950" s="6">
        <v>9939784715</v>
      </c>
      <c r="N1950" s="16"/>
      <c r="O1950" s="7"/>
      <c r="P1950" s="17"/>
    </row>
    <row r="1951" spans="1:16" ht="14.25" customHeight="1">
      <c r="A1951" s="5" t="s">
        <v>0</v>
      </c>
      <c r="B1951" s="5" t="str">
        <f t="shared" si="12"/>
        <v>Y</v>
      </c>
      <c r="C1951" s="18" t="s">
        <v>6197</v>
      </c>
      <c r="D1951" s="18"/>
      <c r="E1951" s="6" t="s">
        <v>6198</v>
      </c>
      <c r="F1951" s="19" t="s">
        <v>6199</v>
      </c>
      <c r="G1951" s="19" t="s">
        <v>6196</v>
      </c>
      <c r="H1951" s="20">
        <v>44478</v>
      </c>
      <c r="L1951" s="6">
        <v>9431757249</v>
      </c>
      <c r="N1951" s="16"/>
      <c r="O1951" s="7"/>
      <c r="P1951" s="17"/>
    </row>
    <row r="1952" spans="1:16" ht="14.25" customHeight="1">
      <c r="A1952" s="5" t="s">
        <v>0</v>
      </c>
      <c r="B1952" s="5" t="str">
        <f t="shared" si="12"/>
        <v>Y</v>
      </c>
      <c r="C1952" s="18" t="s">
        <v>6200</v>
      </c>
      <c r="D1952" s="18"/>
      <c r="E1952" s="6" t="s">
        <v>5636</v>
      </c>
      <c r="F1952" s="19" t="s">
        <v>6201</v>
      </c>
      <c r="G1952" s="19" t="s">
        <v>6196</v>
      </c>
      <c r="H1952" s="20">
        <v>44473</v>
      </c>
      <c r="L1952" s="6">
        <v>8603862702</v>
      </c>
      <c r="N1952" s="16"/>
      <c r="O1952" s="7"/>
      <c r="P1952" s="17"/>
    </row>
    <row r="1953" spans="1:16" ht="14.25" customHeight="1">
      <c r="A1953" s="5" t="s">
        <v>0</v>
      </c>
      <c r="B1953" s="5" t="str">
        <f t="shared" si="12"/>
        <v>Y</v>
      </c>
      <c r="C1953" s="18" t="s">
        <v>6202</v>
      </c>
      <c r="D1953" s="18"/>
      <c r="E1953" s="6" t="s">
        <v>6203</v>
      </c>
      <c r="F1953" s="19" t="s">
        <v>6204</v>
      </c>
      <c r="G1953" s="19" t="s">
        <v>6196</v>
      </c>
      <c r="H1953" s="20">
        <v>44477</v>
      </c>
      <c r="K1953" s="6" t="s">
        <v>6205</v>
      </c>
      <c r="L1953" s="6">
        <v>8797023235</v>
      </c>
      <c r="N1953" s="16"/>
      <c r="O1953" s="7"/>
      <c r="P1953" s="17"/>
    </row>
    <row r="1954" spans="1:16" ht="14.25" customHeight="1">
      <c r="A1954" s="5" t="s">
        <v>0</v>
      </c>
      <c r="B1954" s="5" t="str">
        <f t="shared" si="12"/>
        <v>Y</v>
      </c>
      <c r="C1954" s="18" t="s">
        <v>6206</v>
      </c>
      <c r="D1954" s="18"/>
      <c r="E1954" s="6" t="s">
        <v>6207</v>
      </c>
      <c r="F1954" s="19" t="s">
        <v>6208</v>
      </c>
      <c r="G1954" s="19" t="s">
        <v>6196</v>
      </c>
      <c r="H1954" s="19" t="s">
        <v>6196</v>
      </c>
      <c r="I1954" s="6" t="s">
        <v>6209</v>
      </c>
      <c r="L1954" s="6">
        <v>9304510518</v>
      </c>
      <c r="N1954" s="16"/>
      <c r="O1954" s="7"/>
      <c r="P1954" s="17"/>
    </row>
    <row r="1955" spans="1:16" ht="14.25" customHeight="1">
      <c r="A1955" s="5" t="s">
        <v>0</v>
      </c>
      <c r="B1955" s="5" t="str">
        <f t="shared" si="12"/>
        <v>Y</v>
      </c>
      <c r="C1955" s="18" t="s">
        <v>6210</v>
      </c>
      <c r="D1955" s="18"/>
      <c r="E1955" s="6" t="s">
        <v>2084</v>
      </c>
      <c r="F1955" s="19" t="s">
        <v>6211</v>
      </c>
      <c r="G1955" s="19" t="s">
        <v>6196</v>
      </c>
      <c r="H1955" s="19" t="s">
        <v>6196</v>
      </c>
      <c r="L1955" s="6">
        <v>6206343766</v>
      </c>
      <c r="N1955" s="16"/>
      <c r="O1955" s="7"/>
      <c r="P1955" s="17"/>
    </row>
    <row r="1956" spans="1:16" ht="14.25" customHeight="1">
      <c r="A1956" s="5" t="s">
        <v>0</v>
      </c>
      <c r="B1956" s="5" t="str">
        <f t="shared" si="12"/>
        <v>Y</v>
      </c>
      <c r="C1956" s="18" t="s">
        <v>6212</v>
      </c>
      <c r="D1956" s="18"/>
      <c r="E1956" s="6" t="s">
        <v>6213</v>
      </c>
      <c r="F1956" s="19" t="s">
        <v>6214</v>
      </c>
      <c r="G1956" s="19" t="s">
        <v>6196</v>
      </c>
      <c r="H1956" s="19" t="s">
        <v>6196</v>
      </c>
      <c r="L1956" s="6">
        <v>9693292225</v>
      </c>
      <c r="N1956" s="16"/>
      <c r="O1956" s="7"/>
      <c r="P1956" s="17"/>
    </row>
    <row r="1957" spans="1:16" ht="14.25" customHeight="1">
      <c r="A1957" s="5" t="s">
        <v>0</v>
      </c>
      <c r="B1957" s="5" t="str">
        <f t="shared" si="12"/>
        <v>Y</v>
      </c>
      <c r="C1957" s="18" t="s">
        <v>6215</v>
      </c>
      <c r="D1957" s="18"/>
      <c r="E1957" s="6" t="s">
        <v>6216</v>
      </c>
      <c r="F1957" s="19" t="s">
        <v>6217</v>
      </c>
      <c r="G1957" s="19" t="s">
        <v>6196</v>
      </c>
      <c r="H1957" s="19" t="s">
        <v>6196</v>
      </c>
      <c r="L1957" s="6">
        <v>9234885977</v>
      </c>
      <c r="N1957" s="16"/>
      <c r="O1957" s="7"/>
      <c r="P1957" s="17"/>
    </row>
    <row r="1958" spans="1:16" ht="14.25" customHeight="1">
      <c r="A1958" s="5" t="s">
        <v>0</v>
      </c>
      <c r="B1958" s="5" t="str">
        <f t="shared" si="12"/>
        <v>Y</v>
      </c>
      <c r="C1958" s="18" t="s">
        <v>6218</v>
      </c>
      <c r="D1958" s="18"/>
      <c r="E1958" s="6" t="s">
        <v>6219</v>
      </c>
      <c r="F1958" s="19" t="s">
        <v>6220</v>
      </c>
      <c r="G1958" s="19" t="s">
        <v>6196</v>
      </c>
      <c r="H1958" s="19" t="s">
        <v>6196</v>
      </c>
      <c r="L1958" s="6">
        <v>9031399584</v>
      </c>
      <c r="N1958" s="16"/>
      <c r="O1958" s="7"/>
      <c r="P1958" s="17"/>
    </row>
    <row r="1959" spans="1:16" ht="14.25" customHeight="1">
      <c r="A1959" s="5" t="s">
        <v>0</v>
      </c>
      <c r="B1959" s="5" t="str">
        <f t="shared" si="12"/>
        <v>Y</v>
      </c>
      <c r="C1959" s="18" t="s">
        <v>6221</v>
      </c>
      <c r="D1959" s="18"/>
      <c r="E1959" s="6" t="s">
        <v>6222</v>
      </c>
      <c r="F1959" s="19" t="s">
        <v>6223</v>
      </c>
      <c r="G1959" s="19" t="s">
        <v>6224</v>
      </c>
      <c r="H1959" s="20">
        <v>44477</v>
      </c>
      <c r="L1959" s="6">
        <v>7667844528</v>
      </c>
      <c r="N1959" s="16"/>
      <c r="O1959" s="7"/>
      <c r="P1959" s="17"/>
    </row>
    <row r="1960" spans="1:16" ht="14.25" customHeight="1">
      <c r="A1960" s="5" t="s">
        <v>0</v>
      </c>
      <c r="B1960" s="5" t="str">
        <f t="shared" si="12"/>
        <v>Y</v>
      </c>
      <c r="C1960" s="18" t="s">
        <v>6225</v>
      </c>
      <c r="D1960" s="18"/>
      <c r="E1960" s="6" t="s">
        <v>1719</v>
      </c>
      <c r="F1960" s="19" t="s">
        <v>6226</v>
      </c>
      <c r="G1960" s="19" t="s">
        <v>6227</v>
      </c>
      <c r="H1960" s="20">
        <v>44476</v>
      </c>
      <c r="L1960" s="6">
        <v>7633828174</v>
      </c>
      <c r="N1960" s="16"/>
      <c r="O1960" s="7"/>
      <c r="P1960" s="17"/>
    </row>
    <row r="1961" spans="1:16" ht="14.25" customHeight="1">
      <c r="A1961" s="5" t="s">
        <v>0</v>
      </c>
      <c r="B1961" s="5" t="str">
        <f t="shared" si="12"/>
        <v>Y</v>
      </c>
      <c r="C1961" s="18" t="s">
        <v>6228</v>
      </c>
      <c r="D1961" s="18"/>
      <c r="E1961" s="6" t="s">
        <v>1613</v>
      </c>
      <c r="F1961" s="19" t="s">
        <v>6229</v>
      </c>
      <c r="G1961" s="19" t="s">
        <v>6227</v>
      </c>
      <c r="H1961" s="20">
        <v>44476</v>
      </c>
      <c r="K1961" s="6">
        <v>0</v>
      </c>
      <c r="L1961" s="6">
        <v>7488261673</v>
      </c>
      <c r="N1961" s="16"/>
      <c r="O1961" s="7"/>
      <c r="P1961" s="17"/>
    </row>
    <row r="1962" spans="1:16" ht="14.25" customHeight="1">
      <c r="A1962" s="5" t="s">
        <v>0</v>
      </c>
      <c r="B1962" s="5" t="str">
        <f t="shared" si="12"/>
        <v>Y</v>
      </c>
      <c r="C1962" s="18" t="s">
        <v>6230</v>
      </c>
      <c r="D1962" s="18"/>
      <c r="E1962" s="6" t="s">
        <v>6231</v>
      </c>
      <c r="F1962" s="19" t="s">
        <v>4737</v>
      </c>
      <c r="G1962" s="19" t="s">
        <v>6227</v>
      </c>
      <c r="H1962" s="20">
        <v>44478</v>
      </c>
      <c r="L1962" s="6">
        <v>92343383328</v>
      </c>
      <c r="N1962" s="16"/>
      <c r="O1962" s="7"/>
      <c r="P1962" s="17"/>
    </row>
    <row r="1963" spans="1:16" ht="14.25" customHeight="1">
      <c r="A1963" s="5" t="s">
        <v>0</v>
      </c>
      <c r="B1963" s="5" t="str">
        <f t="shared" si="12"/>
        <v>Y</v>
      </c>
      <c r="C1963" s="18" t="s">
        <v>6232</v>
      </c>
      <c r="D1963" s="18"/>
      <c r="E1963" s="6" t="s">
        <v>6233</v>
      </c>
      <c r="F1963" s="19" t="s">
        <v>6234</v>
      </c>
      <c r="G1963" s="19" t="s">
        <v>6235</v>
      </c>
      <c r="H1963" s="20">
        <v>37173</v>
      </c>
      <c r="L1963" s="6">
        <v>7061902749</v>
      </c>
      <c r="N1963" s="16"/>
      <c r="O1963" s="7"/>
      <c r="P1963" s="17"/>
    </row>
    <row r="1964" spans="1:16" ht="14.25" customHeight="1">
      <c r="A1964" s="5" t="s">
        <v>0</v>
      </c>
      <c r="B1964" s="5" t="str">
        <f t="shared" si="12"/>
        <v>Y</v>
      </c>
      <c r="C1964" s="18" t="s">
        <v>6236</v>
      </c>
      <c r="D1964" s="18"/>
      <c r="E1964" s="6" t="s">
        <v>6237</v>
      </c>
      <c r="F1964" s="19" t="s">
        <v>3424</v>
      </c>
      <c r="G1964" s="19" t="s">
        <v>6238</v>
      </c>
      <c r="H1964" s="19" t="s">
        <v>6238</v>
      </c>
      <c r="L1964" s="6">
        <v>7643004150</v>
      </c>
      <c r="N1964" s="16"/>
      <c r="O1964" s="7"/>
      <c r="P1964" s="17"/>
    </row>
    <row r="1965" spans="1:16" ht="14.25" customHeight="1">
      <c r="A1965" s="5" t="s">
        <v>0</v>
      </c>
      <c r="B1965" s="5" t="str">
        <f t="shared" si="12"/>
        <v>Y</v>
      </c>
      <c r="C1965" s="18" t="s">
        <v>6239</v>
      </c>
      <c r="D1965" s="18"/>
      <c r="E1965" s="6" t="s">
        <v>6240</v>
      </c>
      <c r="F1965" s="19" t="s">
        <v>6241</v>
      </c>
      <c r="G1965" s="19" t="s">
        <v>6238</v>
      </c>
      <c r="H1965" s="19" t="s">
        <v>6238</v>
      </c>
      <c r="L1965" s="6">
        <v>9162996835</v>
      </c>
      <c r="N1965" s="16"/>
      <c r="O1965" s="7"/>
      <c r="P1965" s="17"/>
    </row>
    <row r="1966" spans="1:16" ht="14.25" customHeight="1">
      <c r="A1966" s="5" t="s">
        <v>0</v>
      </c>
      <c r="B1966" s="5" t="str">
        <f t="shared" si="12"/>
        <v>Y</v>
      </c>
      <c r="C1966" s="18" t="s">
        <v>6242</v>
      </c>
      <c r="D1966" s="18"/>
      <c r="E1966" s="6" t="s">
        <v>6243</v>
      </c>
      <c r="F1966" s="19" t="s">
        <v>6244</v>
      </c>
      <c r="G1966" s="19" t="s">
        <v>6245</v>
      </c>
      <c r="H1966" s="20">
        <v>44481</v>
      </c>
      <c r="K1966" s="6" t="s">
        <v>4698</v>
      </c>
      <c r="L1966" s="6">
        <v>8651404662</v>
      </c>
      <c r="N1966" s="16"/>
      <c r="O1966" s="7"/>
      <c r="P1966" s="17"/>
    </row>
    <row r="1967" spans="1:16" ht="14.25" customHeight="1">
      <c r="A1967" s="5" t="s">
        <v>0</v>
      </c>
      <c r="B1967" s="5" t="str">
        <f t="shared" si="12"/>
        <v>Y</v>
      </c>
      <c r="C1967" s="18" t="s">
        <v>6246</v>
      </c>
      <c r="D1967" s="18"/>
      <c r="E1967" s="6" t="s">
        <v>6247</v>
      </c>
      <c r="F1967" s="19" t="s">
        <v>6248</v>
      </c>
      <c r="G1967" s="19" t="s">
        <v>6249</v>
      </c>
      <c r="H1967" s="20">
        <v>44482</v>
      </c>
      <c r="K1967" s="6" t="s">
        <v>4698</v>
      </c>
      <c r="L1967" s="6">
        <v>9155372668</v>
      </c>
      <c r="N1967" s="16"/>
      <c r="O1967" s="7"/>
      <c r="P1967" s="17"/>
    </row>
    <row r="1968" spans="1:16" ht="14.25" customHeight="1">
      <c r="A1968" s="5" t="s">
        <v>0</v>
      </c>
      <c r="B1968" s="5" t="str">
        <f t="shared" si="12"/>
        <v>Y</v>
      </c>
      <c r="C1968" s="18" t="s">
        <v>6250</v>
      </c>
      <c r="D1968" s="18"/>
      <c r="E1968" s="6" t="s">
        <v>1991</v>
      </c>
      <c r="F1968" s="19" t="s">
        <v>6251</v>
      </c>
      <c r="G1968" s="19" t="s">
        <v>6249</v>
      </c>
      <c r="H1968" s="20">
        <v>44482</v>
      </c>
      <c r="K1968" s="6" t="s">
        <v>4698</v>
      </c>
      <c r="L1968" s="6">
        <v>9279498642</v>
      </c>
      <c r="N1968" s="16"/>
      <c r="O1968" s="7"/>
      <c r="P1968" s="17"/>
    </row>
    <row r="1969" spans="1:16" ht="14.25" customHeight="1">
      <c r="A1969" s="5" t="s">
        <v>0</v>
      </c>
      <c r="B1969" s="5" t="str">
        <f t="shared" si="12"/>
        <v>Y</v>
      </c>
      <c r="C1969" s="18" t="s">
        <v>6252</v>
      </c>
      <c r="D1969" s="18"/>
      <c r="E1969" s="6" t="s">
        <v>6253</v>
      </c>
      <c r="F1969" s="19" t="s">
        <v>6254</v>
      </c>
      <c r="G1969" s="19" t="s">
        <v>6249</v>
      </c>
      <c r="H1969" s="19" t="s">
        <v>6249</v>
      </c>
      <c r="L1969" s="6">
        <v>6207494859</v>
      </c>
      <c r="N1969" s="16"/>
      <c r="O1969" s="7"/>
      <c r="P1969" s="17"/>
    </row>
    <row r="1970" spans="1:16" ht="14.25" customHeight="1">
      <c r="A1970" s="5" t="s">
        <v>0</v>
      </c>
      <c r="B1970" s="5" t="str">
        <f t="shared" si="12"/>
        <v>Y</v>
      </c>
      <c r="C1970" s="18" t="s">
        <v>6255</v>
      </c>
      <c r="D1970" s="18"/>
      <c r="E1970" s="6" t="s">
        <v>6256</v>
      </c>
      <c r="F1970" s="19" t="s">
        <v>6257</v>
      </c>
      <c r="G1970" s="19" t="s">
        <v>6249</v>
      </c>
      <c r="H1970" s="19" t="s">
        <v>6249</v>
      </c>
      <c r="L1970" s="6">
        <v>8092546072</v>
      </c>
      <c r="N1970" s="16"/>
      <c r="O1970" s="7"/>
      <c r="P1970" s="17"/>
    </row>
    <row r="1971" spans="1:16" ht="14.25" customHeight="1">
      <c r="A1971" s="5"/>
      <c r="B1971" s="5" t="str">
        <f t="shared" si="12"/>
        <v>N</v>
      </c>
      <c r="C1971" s="18" t="s">
        <v>6258</v>
      </c>
      <c r="D1971" s="18"/>
      <c r="E1971" s="6" t="s">
        <v>6259</v>
      </c>
      <c r="F1971" s="19" t="s">
        <v>6260</v>
      </c>
      <c r="G1971" s="19" t="s">
        <v>6261</v>
      </c>
      <c r="H1971" s="5"/>
      <c r="L1971" s="6">
        <v>9835723607</v>
      </c>
      <c r="N1971" s="16"/>
      <c r="O1971" s="7"/>
      <c r="P1971" s="17"/>
    </row>
    <row r="1972" spans="1:16" ht="14.25" customHeight="1">
      <c r="A1972" s="5" t="s">
        <v>0</v>
      </c>
      <c r="B1972" s="5" t="str">
        <f t="shared" si="12"/>
        <v>Y</v>
      </c>
      <c r="C1972" s="18" t="s">
        <v>6262</v>
      </c>
      <c r="D1972" s="18"/>
      <c r="E1972" s="6" t="s">
        <v>6263</v>
      </c>
      <c r="F1972" s="19" t="s">
        <v>5334</v>
      </c>
      <c r="G1972" s="19" t="s">
        <v>6264</v>
      </c>
      <c r="H1972" s="20">
        <v>44485</v>
      </c>
      <c r="K1972" s="6" t="s">
        <v>4698</v>
      </c>
      <c r="L1972" s="6">
        <v>8969400181</v>
      </c>
      <c r="N1972" s="16"/>
      <c r="O1972" s="7"/>
      <c r="P1972" s="17"/>
    </row>
    <row r="1973" spans="1:16" ht="14.25" customHeight="1">
      <c r="A1973" s="5" t="s">
        <v>0</v>
      </c>
      <c r="B1973" s="5" t="str">
        <f t="shared" si="12"/>
        <v>Y</v>
      </c>
      <c r="C1973" s="18" t="s">
        <v>6265</v>
      </c>
      <c r="D1973" s="18"/>
      <c r="E1973" s="6" t="s">
        <v>6266</v>
      </c>
      <c r="F1973" s="19" t="s">
        <v>6267</v>
      </c>
      <c r="G1973" s="19" t="s">
        <v>6264</v>
      </c>
      <c r="H1973" s="20">
        <v>44485</v>
      </c>
      <c r="N1973" s="16"/>
      <c r="O1973" s="7"/>
      <c r="P1973" s="17"/>
    </row>
    <row r="1974" spans="1:16" ht="14.25" customHeight="1">
      <c r="A1974" s="5" t="s">
        <v>0</v>
      </c>
      <c r="B1974" s="5" t="str">
        <f t="shared" si="12"/>
        <v>Y</v>
      </c>
      <c r="C1974" s="18" t="s">
        <v>6268</v>
      </c>
      <c r="D1974" s="18"/>
      <c r="E1974" s="6" t="s">
        <v>6269</v>
      </c>
      <c r="F1974" s="19" t="s">
        <v>4264</v>
      </c>
      <c r="G1974" s="19" t="s">
        <v>6270</v>
      </c>
      <c r="H1974" s="19" t="s">
        <v>6270</v>
      </c>
      <c r="K1974" s="19" t="s">
        <v>4698</v>
      </c>
      <c r="L1974" s="6">
        <v>7903478291</v>
      </c>
      <c r="N1974" s="16"/>
      <c r="O1974" s="7">
        <f>70*2.5</f>
        <v>175</v>
      </c>
      <c r="P1974" s="17"/>
    </row>
    <row r="1975" spans="1:16" ht="14.25" customHeight="1">
      <c r="A1975" s="5" t="s">
        <v>0</v>
      </c>
      <c r="B1975" s="5" t="str">
        <f t="shared" si="12"/>
        <v>Y</v>
      </c>
      <c r="C1975" s="18" t="s">
        <v>6271</v>
      </c>
      <c r="D1975" s="18"/>
      <c r="E1975" s="6" t="s">
        <v>6272</v>
      </c>
      <c r="F1975" s="19" t="s">
        <v>6273</v>
      </c>
      <c r="G1975" s="19" t="s">
        <v>6274</v>
      </c>
      <c r="H1975" s="20">
        <v>44487</v>
      </c>
      <c r="K1975" s="6" t="s">
        <v>6275</v>
      </c>
      <c r="L1975" s="6">
        <v>9931800794</v>
      </c>
      <c r="N1975" s="16"/>
      <c r="O1975" s="7"/>
      <c r="P1975" s="17"/>
    </row>
    <row r="1976" spans="1:16" ht="14.25" customHeight="1">
      <c r="A1976" s="5" t="s">
        <v>0</v>
      </c>
      <c r="B1976" s="5" t="str">
        <f t="shared" si="12"/>
        <v>Y</v>
      </c>
      <c r="C1976" s="18" t="s">
        <v>6276</v>
      </c>
      <c r="D1976" s="18"/>
      <c r="E1976" s="6" t="s">
        <v>6277</v>
      </c>
      <c r="F1976" s="19" t="s">
        <v>3194</v>
      </c>
      <c r="G1976" s="19" t="s">
        <v>6274</v>
      </c>
      <c r="H1976" s="20">
        <v>44487</v>
      </c>
      <c r="L1976" s="6">
        <v>6202022975</v>
      </c>
      <c r="N1976" s="16"/>
      <c r="O1976" s="7"/>
      <c r="P1976" s="17"/>
    </row>
    <row r="1977" spans="1:16" ht="14.25" customHeight="1">
      <c r="A1977" s="5" t="s">
        <v>0</v>
      </c>
      <c r="B1977" s="5" t="str">
        <f t="shared" si="12"/>
        <v>Y</v>
      </c>
      <c r="C1977" s="18" t="s">
        <v>6278</v>
      </c>
      <c r="D1977" s="18"/>
      <c r="E1977" s="6" t="s">
        <v>6279</v>
      </c>
      <c r="F1977" s="19" t="s">
        <v>3776</v>
      </c>
      <c r="G1977" s="19" t="s">
        <v>6274</v>
      </c>
      <c r="H1977" s="20">
        <v>44487</v>
      </c>
      <c r="L1977" s="6">
        <v>6202022975</v>
      </c>
      <c r="N1977" s="16"/>
      <c r="O1977" s="7"/>
      <c r="P1977" s="17"/>
    </row>
    <row r="1978" spans="1:16" ht="14.25" customHeight="1">
      <c r="A1978" s="5" t="s">
        <v>0</v>
      </c>
      <c r="B1978" s="5" t="str">
        <f t="shared" si="12"/>
        <v>Y</v>
      </c>
      <c r="C1978" s="18" t="s">
        <v>6280</v>
      </c>
      <c r="D1978" s="18"/>
      <c r="E1978" s="6" t="s">
        <v>6281</v>
      </c>
      <c r="F1978" s="19" t="s">
        <v>6282</v>
      </c>
      <c r="G1978" s="19" t="s">
        <v>6274</v>
      </c>
      <c r="H1978" s="20">
        <v>44487</v>
      </c>
      <c r="L1978" s="6">
        <v>8986792201</v>
      </c>
      <c r="N1978" s="16"/>
      <c r="O1978" s="7"/>
      <c r="P1978" s="17"/>
    </row>
    <row r="1979" spans="1:16" ht="14.25" customHeight="1">
      <c r="A1979" s="5" t="s">
        <v>0</v>
      </c>
      <c r="B1979" s="5" t="str">
        <f t="shared" si="12"/>
        <v>Y</v>
      </c>
      <c r="C1979" s="18" t="s">
        <v>6283</v>
      </c>
      <c r="D1979" s="18"/>
      <c r="E1979" s="6" t="s">
        <v>6284</v>
      </c>
      <c r="F1979" s="19" t="s">
        <v>6285</v>
      </c>
      <c r="G1979" s="19" t="s">
        <v>6274</v>
      </c>
      <c r="H1979" s="20">
        <v>44487</v>
      </c>
      <c r="L1979" s="6">
        <v>7908054183</v>
      </c>
      <c r="N1979" s="16"/>
      <c r="O1979" s="7"/>
      <c r="P1979" s="17"/>
    </row>
    <row r="1980" spans="1:16" ht="14.25" customHeight="1">
      <c r="A1980" s="5" t="s">
        <v>0</v>
      </c>
      <c r="B1980" s="5" t="str">
        <f t="shared" si="12"/>
        <v>Y</v>
      </c>
      <c r="C1980" s="18" t="s">
        <v>6286</v>
      </c>
      <c r="D1980" s="18"/>
      <c r="E1980" s="6" t="s">
        <v>6287</v>
      </c>
      <c r="F1980" s="19" t="s">
        <v>2961</v>
      </c>
      <c r="G1980" s="19" t="s">
        <v>6288</v>
      </c>
      <c r="H1980" s="20">
        <v>44488</v>
      </c>
      <c r="K1980" s="6" t="s">
        <v>6289</v>
      </c>
      <c r="L1980" s="6">
        <v>9631534643</v>
      </c>
      <c r="N1980" s="16"/>
      <c r="O1980" s="7"/>
      <c r="P1980" s="17"/>
    </row>
    <row r="1981" spans="1:16" ht="14.25" customHeight="1">
      <c r="A1981" s="5" t="s">
        <v>0</v>
      </c>
      <c r="B1981" s="5" t="str">
        <f t="shared" si="12"/>
        <v>Y</v>
      </c>
      <c r="C1981" s="18" t="s">
        <v>6290</v>
      </c>
      <c r="D1981" s="18"/>
      <c r="E1981" s="6" t="s">
        <v>6291</v>
      </c>
      <c r="F1981" s="19" t="s">
        <v>6292</v>
      </c>
      <c r="G1981" s="19" t="s">
        <v>6288</v>
      </c>
      <c r="H1981" s="20">
        <v>44488</v>
      </c>
      <c r="K1981" s="6" t="s">
        <v>4698</v>
      </c>
      <c r="L1981" s="6">
        <v>9204692426</v>
      </c>
      <c r="N1981" s="16"/>
      <c r="O1981" s="7"/>
      <c r="P1981" s="17"/>
    </row>
    <row r="1982" spans="1:16" ht="14.25" customHeight="1">
      <c r="A1982" s="5" t="s">
        <v>0</v>
      </c>
      <c r="B1982" s="5" t="str">
        <f t="shared" si="12"/>
        <v>Y</v>
      </c>
      <c r="C1982" s="18" t="s">
        <v>6293</v>
      </c>
      <c r="D1982" s="18"/>
      <c r="E1982" s="6" t="s">
        <v>6294</v>
      </c>
      <c r="F1982" s="19" t="s">
        <v>6295</v>
      </c>
      <c r="G1982" s="19" t="s">
        <v>6288</v>
      </c>
      <c r="H1982" s="20">
        <v>44488</v>
      </c>
      <c r="K1982" s="6" t="s">
        <v>6296</v>
      </c>
      <c r="L1982" s="6">
        <v>9835714120</v>
      </c>
      <c r="N1982" s="16"/>
      <c r="O1982" s="7"/>
      <c r="P1982" s="17"/>
    </row>
    <row r="1983" spans="1:16" ht="14.25" customHeight="1">
      <c r="A1983" s="5" t="s">
        <v>0</v>
      </c>
      <c r="B1983" s="5" t="str">
        <f t="shared" si="12"/>
        <v>Y</v>
      </c>
      <c r="C1983" s="18" t="s">
        <v>6297</v>
      </c>
      <c r="D1983" s="18"/>
      <c r="E1983" s="6" t="s">
        <v>6298</v>
      </c>
      <c r="F1983" s="19" t="s">
        <v>6299</v>
      </c>
      <c r="G1983" s="19" t="s">
        <v>6288</v>
      </c>
      <c r="H1983" s="20">
        <v>44488</v>
      </c>
      <c r="K1983" s="6" t="s">
        <v>6300</v>
      </c>
      <c r="L1983" s="6">
        <v>7209000816</v>
      </c>
      <c r="N1983" s="16"/>
      <c r="O1983" s="7"/>
      <c r="P1983" s="17"/>
    </row>
    <row r="1984" spans="1:16" ht="14.25" customHeight="1">
      <c r="A1984" s="5" t="s">
        <v>0</v>
      </c>
      <c r="B1984" s="5" t="str">
        <f t="shared" si="12"/>
        <v>Y</v>
      </c>
      <c r="C1984" s="18" t="s">
        <v>6301</v>
      </c>
      <c r="D1984" s="18"/>
      <c r="E1984" s="6" t="s">
        <v>6302</v>
      </c>
      <c r="F1984" s="19" t="s">
        <v>6303</v>
      </c>
      <c r="G1984" s="19" t="s">
        <v>6288</v>
      </c>
      <c r="H1984" s="20">
        <v>44488</v>
      </c>
      <c r="K1984" s="6" t="s">
        <v>6304</v>
      </c>
      <c r="L1984" s="6">
        <v>8092524722</v>
      </c>
      <c r="N1984" s="16"/>
      <c r="O1984" s="7"/>
      <c r="P1984" s="17"/>
    </row>
    <row r="1985" spans="1:16" ht="14.25" customHeight="1">
      <c r="A1985" s="5" t="s">
        <v>0</v>
      </c>
      <c r="B1985" s="5" t="str">
        <f t="shared" si="12"/>
        <v>Y</v>
      </c>
      <c r="C1985" s="18" t="s">
        <v>6305</v>
      </c>
      <c r="D1985" s="18"/>
      <c r="E1985" s="6" t="s">
        <v>6306</v>
      </c>
      <c r="F1985" s="19" t="s">
        <v>2469</v>
      </c>
      <c r="G1985" s="19" t="s">
        <v>6288</v>
      </c>
      <c r="H1985" s="20">
        <v>44488</v>
      </c>
      <c r="K1985" s="6" t="s">
        <v>6307</v>
      </c>
      <c r="L1985" s="6">
        <v>8789212442</v>
      </c>
      <c r="N1985" s="16"/>
      <c r="O1985" s="7"/>
      <c r="P1985" s="17"/>
    </row>
    <row r="1986" spans="1:16" ht="14.25" customHeight="1">
      <c r="A1986" s="5" t="s">
        <v>0</v>
      </c>
      <c r="B1986" s="5" t="str">
        <f t="shared" si="12"/>
        <v>Y</v>
      </c>
      <c r="C1986" s="18" t="s">
        <v>6308</v>
      </c>
      <c r="D1986" s="18"/>
      <c r="E1986" s="6" t="s">
        <v>6309</v>
      </c>
      <c r="F1986" s="19" t="s">
        <v>6310</v>
      </c>
      <c r="G1986" s="19" t="s">
        <v>6311</v>
      </c>
      <c r="H1986" s="20">
        <v>44490</v>
      </c>
      <c r="K1986" s="6" t="s">
        <v>6312</v>
      </c>
      <c r="L1986" s="6">
        <v>7209753657</v>
      </c>
      <c r="N1986" s="16"/>
      <c r="O1986" s="7"/>
      <c r="P1986" s="17"/>
    </row>
    <row r="1987" spans="1:16" ht="14.25" customHeight="1">
      <c r="A1987" s="5" t="s">
        <v>0</v>
      </c>
      <c r="B1987" s="5" t="str">
        <f t="shared" si="12"/>
        <v>Y</v>
      </c>
      <c r="C1987" s="18" t="s">
        <v>6313</v>
      </c>
      <c r="D1987" s="18"/>
      <c r="E1987" s="6" t="s">
        <v>6314</v>
      </c>
      <c r="F1987" s="19" t="s">
        <v>6315</v>
      </c>
      <c r="G1987" s="19" t="s">
        <v>6316</v>
      </c>
      <c r="H1987" s="20">
        <v>44491</v>
      </c>
      <c r="L1987" s="6">
        <v>7488053279</v>
      </c>
      <c r="N1987" s="16"/>
      <c r="O1987" s="7"/>
      <c r="P1987" s="17"/>
    </row>
    <row r="1988" spans="1:16" ht="14.25" customHeight="1">
      <c r="A1988" s="5" t="s">
        <v>0</v>
      </c>
      <c r="B1988" s="5" t="str">
        <f t="shared" si="12"/>
        <v>Y</v>
      </c>
      <c r="C1988" s="18" t="s">
        <v>6317</v>
      </c>
      <c r="D1988" s="18"/>
      <c r="E1988" s="6" t="s">
        <v>5381</v>
      </c>
      <c r="F1988" s="19" t="s">
        <v>6318</v>
      </c>
      <c r="G1988" s="19" t="s">
        <v>6316</v>
      </c>
      <c r="H1988" s="20">
        <v>44491</v>
      </c>
      <c r="L1988" s="6">
        <v>8797579335</v>
      </c>
      <c r="N1988" s="16"/>
      <c r="O1988" s="7"/>
      <c r="P1988" s="17"/>
    </row>
    <row r="1989" spans="1:16" ht="14.25" customHeight="1">
      <c r="A1989" s="5" t="s">
        <v>0</v>
      </c>
      <c r="B1989" s="5" t="str">
        <f t="shared" si="12"/>
        <v>Y</v>
      </c>
      <c r="C1989" s="18" t="s">
        <v>6319</v>
      </c>
      <c r="D1989" s="18"/>
      <c r="E1989" s="6" t="s">
        <v>1526</v>
      </c>
      <c r="F1989" s="19" t="s">
        <v>6320</v>
      </c>
      <c r="G1989" s="19" t="s">
        <v>6316</v>
      </c>
      <c r="H1989" s="20">
        <v>44491</v>
      </c>
      <c r="L1989" s="6">
        <v>9771187933</v>
      </c>
      <c r="N1989" s="16"/>
      <c r="O1989" s="7"/>
      <c r="P1989" s="17"/>
    </row>
    <row r="1990" spans="1:16" ht="14.25" customHeight="1">
      <c r="A1990" s="5" t="s">
        <v>0</v>
      </c>
      <c r="B1990" s="5" t="str">
        <f t="shared" si="12"/>
        <v>Y</v>
      </c>
      <c r="C1990" s="18" t="s">
        <v>6321</v>
      </c>
      <c r="D1990" s="18"/>
      <c r="E1990" s="6" t="s">
        <v>6322</v>
      </c>
      <c r="F1990" s="19" t="s">
        <v>6323</v>
      </c>
      <c r="G1990" s="19" t="s">
        <v>6316</v>
      </c>
      <c r="H1990" s="20">
        <v>44491</v>
      </c>
      <c r="L1990" s="6">
        <v>7061902060</v>
      </c>
      <c r="N1990" s="16"/>
      <c r="O1990" s="7"/>
      <c r="P1990" s="17"/>
    </row>
    <row r="1991" spans="1:16" ht="14.25" customHeight="1">
      <c r="A1991" s="5" t="s">
        <v>0</v>
      </c>
      <c r="B1991" s="5" t="str">
        <f t="shared" si="12"/>
        <v>Y</v>
      </c>
      <c r="C1991" s="18" t="s">
        <v>6324</v>
      </c>
      <c r="D1991" s="18"/>
      <c r="E1991" s="6" t="s">
        <v>6325</v>
      </c>
      <c r="F1991" s="19" t="s">
        <v>6326</v>
      </c>
      <c r="G1991" s="19" t="s">
        <v>6316</v>
      </c>
      <c r="H1991" s="20">
        <v>44491</v>
      </c>
      <c r="L1991" s="6">
        <v>8002522444</v>
      </c>
      <c r="N1991" s="16"/>
      <c r="O1991" s="7"/>
      <c r="P1991" s="17"/>
    </row>
    <row r="1992" spans="1:16" ht="14.25" customHeight="1">
      <c r="A1992" s="5" t="s">
        <v>0</v>
      </c>
      <c r="B1992" s="5" t="str">
        <f t="shared" si="12"/>
        <v>Y</v>
      </c>
      <c r="C1992" s="18" t="s">
        <v>6327</v>
      </c>
      <c r="D1992" s="18"/>
      <c r="E1992" s="6" t="s">
        <v>6328</v>
      </c>
      <c r="F1992" s="19" t="s">
        <v>6329</v>
      </c>
      <c r="G1992" s="19" t="s">
        <v>6316</v>
      </c>
      <c r="H1992" s="20">
        <v>44491</v>
      </c>
      <c r="L1992" s="6">
        <v>8434730329</v>
      </c>
      <c r="N1992" s="16"/>
      <c r="O1992" s="7"/>
      <c r="P1992" s="17"/>
    </row>
    <row r="1993" spans="1:16" ht="14.25" customHeight="1">
      <c r="A1993" s="5" t="s">
        <v>0</v>
      </c>
      <c r="B1993" s="5" t="str">
        <f t="shared" si="12"/>
        <v>Y</v>
      </c>
      <c r="C1993" s="18" t="s">
        <v>6330</v>
      </c>
      <c r="D1993" s="18"/>
      <c r="E1993" s="6" t="s">
        <v>6331</v>
      </c>
      <c r="F1993" s="19" t="s">
        <v>2778</v>
      </c>
      <c r="G1993" s="19" t="s">
        <v>6316</v>
      </c>
      <c r="H1993" s="20">
        <v>44491</v>
      </c>
      <c r="L1993" s="6">
        <v>9156996148</v>
      </c>
      <c r="N1993" s="16"/>
      <c r="O1993" s="7"/>
      <c r="P1993" s="17"/>
    </row>
    <row r="1994" spans="1:16" ht="14.25" customHeight="1">
      <c r="A1994" s="5" t="s">
        <v>0</v>
      </c>
      <c r="B1994" s="5" t="str">
        <f t="shared" si="12"/>
        <v>Y</v>
      </c>
      <c r="C1994" s="18" t="s">
        <v>6332</v>
      </c>
      <c r="D1994" s="18"/>
      <c r="E1994" s="6" t="s">
        <v>6333</v>
      </c>
      <c r="F1994" s="19" t="s">
        <v>6334</v>
      </c>
      <c r="G1994" s="19" t="s">
        <v>6311</v>
      </c>
      <c r="H1994" s="20">
        <v>44490</v>
      </c>
      <c r="L1994" s="6">
        <v>7631197987</v>
      </c>
      <c r="N1994" s="16"/>
      <c r="O1994" s="7"/>
      <c r="P1994" s="17"/>
    </row>
    <row r="1995" spans="1:16" ht="14.25" customHeight="1">
      <c r="A1995" s="5" t="s">
        <v>0</v>
      </c>
      <c r="B1995" s="5" t="str">
        <f t="shared" si="12"/>
        <v>Y</v>
      </c>
      <c r="C1995" s="18" t="s">
        <v>6335</v>
      </c>
      <c r="D1995" s="18"/>
      <c r="E1995" s="6" t="s">
        <v>6336</v>
      </c>
      <c r="F1995" s="19" t="s">
        <v>6337</v>
      </c>
      <c r="G1995" s="19" t="s">
        <v>6311</v>
      </c>
      <c r="H1995" s="20">
        <v>44490</v>
      </c>
      <c r="L1995" s="6">
        <v>7004415813</v>
      </c>
      <c r="N1995" s="16"/>
      <c r="O1995" s="7"/>
      <c r="P1995" s="17"/>
    </row>
    <row r="1996" spans="1:16" ht="14.25" customHeight="1">
      <c r="A1996" s="5" t="s">
        <v>0</v>
      </c>
      <c r="B1996" s="5" t="str">
        <f t="shared" si="12"/>
        <v>Y</v>
      </c>
      <c r="C1996" s="18" t="s">
        <v>6338</v>
      </c>
      <c r="D1996" s="18"/>
      <c r="E1996" s="6" t="s">
        <v>6339</v>
      </c>
      <c r="F1996" s="19" t="s">
        <v>6340</v>
      </c>
      <c r="G1996" s="19" t="s">
        <v>6311</v>
      </c>
      <c r="H1996" s="20">
        <v>44490</v>
      </c>
      <c r="L1996" s="6">
        <v>7250853006</v>
      </c>
      <c r="N1996" s="16"/>
      <c r="O1996" s="7"/>
      <c r="P1996" s="17"/>
    </row>
    <row r="1997" spans="1:16" ht="14.25" customHeight="1">
      <c r="A1997" s="5" t="s">
        <v>0</v>
      </c>
      <c r="B1997" s="5" t="str">
        <f t="shared" si="12"/>
        <v>Y</v>
      </c>
      <c r="C1997" s="18" t="s">
        <v>6341</v>
      </c>
      <c r="D1997" s="18"/>
      <c r="E1997" s="6" t="s">
        <v>6342</v>
      </c>
      <c r="F1997" s="19" t="s">
        <v>6343</v>
      </c>
      <c r="G1997" s="19" t="s">
        <v>6344</v>
      </c>
      <c r="H1997" s="20">
        <v>44494</v>
      </c>
      <c r="K1997" s="6" t="s">
        <v>4698</v>
      </c>
      <c r="L1997" s="6">
        <v>8603237181</v>
      </c>
      <c r="N1997" s="16"/>
      <c r="O1997" s="7"/>
      <c r="P1997" s="17"/>
    </row>
    <row r="1998" spans="1:16" ht="14.25" customHeight="1">
      <c r="A1998" s="5" t="s">
        <v>0</v>
      </c>
      <c r="B1998" s="5" t="str">
        <f t="shared" ref="B1998:B2055" si="13">IF(H1998="","N","Y")</f>
        <v>Y</v>
      </c>
      <c r="C1998" s="18" t="s">
        <v>6345</v>
      </c>
      <c r="D1998" s="18"/>
      <c r="E1998" s="6" t="s">
        <v>6346</v>
      </c>
      <c r="F1998" s="19" t="s">
        <v>6347</v>
      </c>
      <c r="G1998" s="19" t="s">
        <v>6344</v>
      </c>
      <c r="H1998" s="20">
        <v>44494</v>
      </c>
      <c r="K1998" s="6" t="s">
        <v>4698</v>
      </c>
      <c r="L1998" s="6">
        <v>7761823396</v>
      </c>
      <c r="N1998" s="16"/>
      <c r="O1998" s="7"/>
      <c r="P1998" s="17"/>
    </row>
    <row r="1999" spans="1:16" ht="14.25" customHeight="1">
      <c r="A1999" s="5" t="s">
        <v>0</v>
      </c>
      <c r="B1999" s="5" t="str">
        <f t="shared" si="13"/>
        <v>Y</v>
      </c>
      <c r="C1999" s="18" t="s">
        <v>6348</v>
      </c>
      <c r="D1999" s="18"/>
      <c r="E1999" s="6" t="s">
        <v>6349</v>
      </c>
      <c r="F1999" s="19" t="s">
        <v>6350</v>
      </c>
      <c r="G1999" s="19" t="s">
        <v>6344</v>
      </c>
      <c r="H1999" s="20">
        <v>44494</v>
      </c>
      <c r="K1999" s="6" t="s">
        <v>4698</v>
      </c>
      <c r="L1999" s="6">
        <v>8210178746</v>
      </c>
      <c r="N1999" s="16"/>
      <c r="O1999" s="7"/>
      <c r="P1999" s="17"/>
    </row>
    <row r="2000" spans="1:16" ht="14.25" customHeight="1">
      <c r="A2000" s="5" t="s">
        <v>0</v>
      </c>
      <c r="B2000" s="5" t="str">
        <f t="shared" si="13"/>
        <v>Y</v>
      </c>
      <c r="C2000" s="18" t="s">
        <v>6351</v>
      </c>
      <c r="D2000" s="18"/>
      <c r="E2000" s="6" t="s">
        <v>6352</v>
      </c>
      <c r="F2000" s="19" t="s">
        <v>6353</v>
      </c>
      <c r="G2000" s="19" t="s">
        <v>6354</v>
      </c>
      <c r="H2000" s="19" t="s">
        <v>6354</v>
      </c>
      <c r="L2000" s="6">
        <v>6202304685</v>
      </c>
      <c r="N2000" s="16"/>
      <c r="O2000" s="7"/>
      <c r="P2000" s="17"/>
    </row>
    <row r="2001" spans="1:16" ht="14.25" customHeight="1">
      <c r="A2001" s="5" t="s">
        <v>0</v>
      </c>
      <c r="B2001" s="5" t="str">
        <f t="shared" si="13"/>
        <v>Y</v>
      </c>
      <c r="C2001" s="18" t="s">
        <v>6293</v>
      </c>
      <c r="D2001" s="18"/>
      <c r="E2001" s="6" t="s">
        <v>6355</v>
      </c>
      <c r="F2001" s="19" t="s">
        <v>6356</v>
      </c>
      <c r="G2001" s="19" t="s">
        <v>6354</v>
      </c>
      <c r="H2001" s="19" t="s">
        <v>6354</v>
      </c>
      <c r="N2001" s="16"/>
      <c r="O2001" s="7"/>
      <c r="P2001" s="17"/>
    </row>
    <row r="2002" spans="1:16" ht="14.25" customHeight="1">
      <c r="A2002" s="5" t="s">
        <v>0</v>
      </c>
      <c r="B2002" s="5" t="str">
        <f t="shared" si="13"/>
        <v>Y</v>
      </c>
      <c r="C2002" s="18" t="s">
        <v>6357</v>
      </c>
      <c r="D2002" s="18"/>
      <c r="E2002" s="6" t="s">
        <v>6358</v>
      </c>
      <c r="F2002" s="19" t="s">
        <v>3037</v>
      </c>
      <c r="G2002" s="19" t="s">
        <v>6359</v>
      </c>
      <c r="H2002" s="20">
        <v>44498</v>
      </c>
      <c r="L2002" s="6">
        <v>9234860472</v>
      </c>
      <c r="N2002" s="16"/>
      <c r="O2002" s="7"/>
      <c r="P2002" s="17"/>
    </row>
    <row r="2003" spans="1:16" ht="14.25" customHeight="1">
      <c r="A2003" s="5" t="s">
        <v>0</v>
      </c>
      <c r="B2003" s="5" t="str">
        <f t="shared" si="13"/>
        <v>Y</v>
      </c>
      <c r="C2003" s="18" t="s">
        <v>6360</v>
      </c>
      <c r="D2003" s="18"/>
      <c r="E2003" s="6" t="s">
        <v>6361</v>
      </c>
      <c r="F2003" s="19" t="s">
        <v>6362</v>
      </c>
      <c r="G2003" s="19" t="s">
        <v>6359</v>
      </c>
      <c r="H2003" s="19" t="s">
        <v>6359</v>
      </c>
      <c r="L2003" s="6">
        <v>9006771557</v>
      </c>
      <c r="N2003" s="16"/>
      <c r="O2003" s="7"/>
      <c r="P2003" s="17"/>
    </row>
    <row r="2004" spans="1:16" ht="14.25" customHeight="1">
      <c r="A2004" s="5" t="s">
        <v>0</v>
      </c>
      <c r="B2004" s="5" t="str">
        <f t="shared" si="13"/>
        <v>Y</v>
      </c>
      <c r="C2004" s="18" t="s">
        <v>6363</v>
      </c>
      <c r="D2004" s="18"/>
      <c r="E2004" s="6" t="s">
        <v>6364</v>
      </c>
      <c r="F2004" s="19" t="s">
        <v>6365</v>
      </c>
      <c r="G2004" s="19" t="s">
        <v>6359</v>
      </c>
      <c r="H2004" s="20">
        <v>44498</v>
      </c>
      <c r="L2004" s="6">
        <v>6201997261</v>
      </c>
      <c r="N2004" s="16"/>
      <c r="O2004" s="7"/>
      <c r="P2004" s="17"/>
    </row>
    <row r="2005" spans="1:16" ht="14.25" customHeight="1">
      <c r="A2005" s="5" t="s">
        <v>0</v>
      </c>
      <c r="B2005" s="5" t="str">
        <f t="shared" si="13"/>
        <v>Y</v>
      </c>
      <c r="C2005" s="18" t="s">
        <v>6366</v>
      </c>
      <c r="D2005" s="18"/>
      <c r="E2005" s="6" t="s">
        <v>2946</v>
      </c>
      <c r="F2005" s="19" t="s">
        <v>6367</v>
      </c>
      <c r="G2005" s="19" t="s">
        <v>6359</v>
      </c>
      <c r="H2005" s="20">
        <v>44498</v>
      </c>
      <c r="L2005" s="6">
        <v>8083545153</v>
      </c>
      <c r="N2005" s="16"/>
      <c r="O2005" s="7"/>
      <c r="P2005" s="17"/>
    </row>
    <row r="2006" spans="1:16" ht="14.25" customHeight="1">
      <c r="A2006" s="5" t="s">
        <v>0</v>
      </c>
      <c r="B2006" s="5" t="str">
        <f t="shared" si="13"/>
        <v>Y</v>
      </c>
      <c r="C2006" s="18" t="s">
        <v>6368</v>
      </c>
      <c r="D2006" s="18"/>
      <c r="E2006" s="6" t="s">
        <v>6369</v>
      </c>
      <c r="F2006" s="19" t="s">
        <v>6370</v>
      </c>
      <c r="G2006" s="19" t="s">
        <v>6359</v>
      </c>
      <c r="H2006" s="20">
        <v>44498</v>
      </c>
      <c r="L2006" s="6">
        <v>9113305845</v>
      </c>
      <c r="N2006" s="16"/>
      <c r="O2006" s="7"/>
      <c r="P2006" s="17"/>
    </row>
    <row r="2007" spans="1:16" ht="14.25" customHeight="1">
      <c r="A2007" s="5" t="s">
        <v>0</v>
      </c>
      <c r="B2007" s="5" t="str">
        <f t="shared" si="13"/>
        <v>Y</v>
      </c>
      <c r="C2007" s="18" t="s">
        <v>6290</v>
      </c>
      <c r="D2007" s="18"/>
      <c r="E2007" s="6" t="s">
        <v>6371</v>
      </c>
      <c r="F2007" s="19" t="s">
        <v>6372</v>
      </c>
      <c r="G2007" s="19" t="s">
        <v>6359</v>
      </c>
      <c r="H2007" s="20">
        <v>44498</v>
      </c>
      <c r="L2007" s="6">
        <v>9204692426</v>
      </c>
      <c r="N2007" s="16"/>
      <c r="O2007" s="7"/>
      <c r="P2007" s="17"/>
    </row>
    <row r="2008" spans="1:16" ht="14.25" customHeight="1">
      <c r="A2008" s="5" t="s">
        <v>0</v>
      </c>
      <c r="B2008" s="5" t="str">
        <f t="shared" si="13"/>
        <v>Y</v>
      </c>
      <c r="C2008" s="18" t="s">
        <v>6373</v>
      </c>
      <c r="D2008" s="18"/>
      <c r="E2008" s="6" t="s">
        <v>6374</v>
      </c>
      <c r="F2008" s="19" t="s">
        <v>6375</v>
      </c>
      <c r="G2008" s="19" t="s">
        <v>6359</v>
      </c>
      <c r="H2008" s="20">
        <v>44498</v>
      </c>
      <c r="L2008" s="6">
        <v>9031905779</v>
      </c>
      <c r="N2008" s="16"/>
      <c r="O2008" s="7"/>
      <c r="P2008" s="17"/>
    </row>
    <row r="2009" spans="1:16" ht="14.25" customHeight="1">
      <c r="A2009" s="5" t="s">
        <v>0</v>
      </c>
      <c r="B2009" s="5" t="str">
        <f t="shared" si="13"/>
        <v>Y</v>
      </c>
      <c r="C2009" s="18" t="s">
        <v>6376</v>
      </c>
      <c r="D2009" s="18"/>
      <c r="E2009" s="6" t="s">
        <v>6377</v>
      </c>
      <c r="F2009" s="19" t="s">
        <v>4210</v>
      </c>
      <c r="G2009" s="19" t="s">
        <v>6359</v>
      </c>
      <c r="H2009" s="20">
        <v>44498</v>
      </c>
      <c r="L2009" s="6">
        <v>8797303563</v>
      </c>
      <c r="N2009" s="16"/>
      <c r="O2009" s="7"/>
      <c r="P2009" s="17"/>
    </row>
    <row r="2010" spans="1:16" ht="14.25" customHeight="1">
      <c r="A2010" s="5" t="s">
        <v>0</v>
      </c>
      <c r="B2010" s="5" t="str">
        <f t="shared" si="13"/>
        <v>Y</v>
      </c>
      <c r="C2010" s="18" t="s">
        <v>6378</v>
      </c>
      <c r="D2010" s="18"/>
      <c r="E2010" s="6" t="s">
        <v>6379</v>
      </c>
      <c r="F2010" s="19" t="s">
        <v>6380</v>
      </c>
      <c r="G2010" s="19" t="s">
        <v>6359</v>
      </c>
      <c r="H2010" s="20">
        <v>44498</v>
      </c>
      <c r="L2010" s="6">
        <v>7761972059</v>
      </c>
      <c r="N2010" s="16"/>
      <c r="O2010" s="7"/>
      <c r="P2010" s="17"/>
    </row>
    <row r="2011" spans="1:16" ht="14.25" customHeight="1">
      <c r="A2011" s="5" t="s">
        <v>0</v>
      </c>
      <c r="B2011" s="5" t="str">
        <f t="shared" si="13"/>
        <v>Y</v>
      </c>
      <c r="C2011" s="18" t="s">
        <v>6381</v>
      </c>
      <c r="D2011" s="18"/>
      <c r="E2011" s="6" t="s">
        <v>6382</v>
      </c>
      <c r="F2011" s="19" t="s">
        <v>6383</v>
      </c>
      <c r="G2011" s="19" t="s">
        <v>6384</v>
      </c>
      <c r="H2011" s="19" t="s">
        <v>6384</v>
      </c>
      <c r="L2011" s="6">
        <v>8271097982</v>
      </c>
      <c r="N2011" s="16"/>
      <c r="O2011" s="7"/>
      <c r="P2011" s="17"/>
    </row>
    <row r="2012" spans="1:16" ht="14.25" customHeight="1">
      <c r="A2012" s="5" t="s">
        <v>0</v>
      </c>
      <c r="B2012" s="5" t="str">
        <f t="shared" si="13"/>
        <v>Y</v>
      </c>
      <c r="C2012" s="18" t="s">
        <v>6385</v>
      </c>
      <c r="D2012" s="18"/>
      <c r="E2012" s="6" t="s">
        <v>6386</v>
      </c>
      <c r="F2012" s="19" t="s">
        <v>6387</v>
      </c>
      <c r="G2012" s="19" t="s">
        <v>6384</v>
      </c>
      <c r="H2012" s="19" t="s">
        <v>6384</v>
      </c>
      <c r="L2012" s="6">
        <v>7209000326</v>
      </c>
      <c r="N2012" s="16"/>
      <c r="O2012" s="7"/>
      <c r="P2012" s="17"/>
    </row>
    <row r="2013" spans="1:16" ht="14.25" customHeight="1">
      <c r="A2013" s="5" t="s">
        <v>0</v>
      </c>
      <c r="B2013" s="5" t="str">
        <f t="shared" si="13"/>
        <v>Y</v>
      </c>
      <c r="C2013" s="18" t="s">
        <v>6388</v>
      </c>
      <c r="D2013" s="18"/>
      <c r="E2013" s="6" t="s">
        <v>6389</v>
      </c>
      <c r="F2013" s="19" t="s">
        <v>6390</v>
      </c>
      <c r="G2013" s="19" t="s">
        <v>6384</v>
      </c>
      <c r="H2013" s="19" t="s">
        <v>6384</v>
      </c>
      <c r="L2013" s="6">
        <v>7209244744</v>
      </c>
      <c r="N2013" s="16"/>
      <c r="O2013" s="7"/>
      <c r="P2013" s="17"/>
    </row>
    <row r="2014" spans="1:16" ht="14.25" customHeight="1">
      <c r="A2014" s="5" t="s">
        <v>0</v>
      </c>
      <c r="B2014" s="5" t="str">
        <f t="shared" si="13"/>
        <v>Y</v>
      </c>
      <c r="C2014" s="18" t="s">
        <v>6391</v>
      </c>
      <c r="D2014" s="18"/>
      <c r="E2014" s="6" t="s">
        <v>6392</v>
      </c>
      <c r="F2014" s="19" t="s">
        <v>6393</v>
      </c>
      <c r="G2014" s="19" t="s">
        <v>6384</v>
      </c>
      <c r="H2014" s="19" t="s">
        <v>6384</v>
      </c>
      <c r="L2014" s="6">
        <v>9939316042</v>
      </c>
      <c r="N2014" s="16"/>
      <c r="O2014" s="7"/>
      <c r="P2014" s="17"/>
    </row>
    <row r="2015" spans="1:16" ht="14.25" customHeight="1">
      <c r="A2015" s="5" t="s">
        <v>0</v>
      </c>
      <c r="B2015" s="5" t="str">
        <f t="shared" si="13"/>
        <v>Y</v>
      </c>
      <c r="C2015" s="18" t="s">
        <v>6394</v>
      </c>
      <c r="D2015" s="18"/>
      <c r="E2015" s="6" t="s">
        <v>6395</v>
      </c>
      <c r="F2015" s="19" t="s">
        <v>6396</v>
      </c>
      <c r="G2015" s="19" t="s">
        <v>6384</v>
      </c>
      <c r="H2015" s="19" t="s">
        <v>6384</v>
      </c>
      <c r="L2015" s="6">
        <v>8670634337</v>
      </c>
      <c r="N2015" s="16"/>
      <c r="O2015" s="7"/>
      <c r="P2015" s="17"/>
    </row>
    <row r="2016" spans="1:16" ht="14.25" customHeight="1">
      <c r="A2016" s="5" t="s">
        <v>0</v>
      </c>
      <c r="B2016" s="5" t="str">
        <f t="shared" si="13"/>
        <v>Y</v>
      </c>
      <c r="C2016" s="18" t="s">
        <v>6397</v>
      </c>
      <c r="D2016" s="18"/>
      <c r="E2016" s="6" t="s">
        <v>6398</v>
      </c>
      <c r="F2016" s="19" t="s">
        <v>6329</v>
      </c>
      <c r="G2016" s="19" t="s">
        <v>6384</v>
      </c>
      <c r="H2016" s="19" t="s">
        <v>6384</v>
      </c>
      <c r="L2016" s="6">
        <v>8434730329</v>
      </c>
      <c r="N2016" s="16"/>
      <c r="O2016" s="7"/>
      <c r="P2016" s="17"/>
    </row>
    <row r="2017" spans="1:16" ht="14.25" customHeight="1">
      <c r="A2017" s="5" t="s">
        <v>0</v>
      </c>
      <c r="B2017" s="5" t="str">
        <f t="shared" si="13"/>
        <v>Y</v>
      </c>
      <c r="C2017" s="18" t="s">
        <v>6399</v>
      </c>
      <c r="D2017" s="18"/>
      <c r="E2017" s="6" t="s">
        <v>6400</v>
      </c>
      <c r="F2017" s="19" t="s">
        <v>6401</v>
      </c>
      <c r="G2017" s="19" t="s">
        <v>6384</v>
      </c>
      <c r="H2017" s="19" t="s">
        <v>6384</v>
      </c>
      <c r="L2017" s="6">
        <v>6209604922</v>
      </c>
      <c r="N2017" s="16"/>
      <c r="O2017" s="7"/>
      <c r="P2017" s="17"/>
    </row>
    <row r="2018" spans="1:16" ht="14.25" customHeight="1">
      <c r="A2018" s="5" t="s">
        <v>0</v>
      </c>
      <c r="B2018" s="5" t="str">
        <f t="shared" si="13"/>
        <v>Y</v>
      </c>
      <c r="C2018" s="18" t="s">
        <v>6402</v>
      </c>
      <c r="D2018" s="18"/>
      <c r="E2018" s="6" t="s">
        <v>6403</v>
      </c>
      <c r="F2018" s="19" t="s">
        <v>6404</v>
      </c>
      <c r="G2018" s="19" t="s">
        <v>6384</v>
      </c>
      <c r="H2018" s="19" t="s">
        <v>6384</v>
      </c>
      <c r="K2018" s="19" t="s">
        <v>6405</v>
      </c>
      <c r="L2018" s="6">
        <v>8603849912</v>
      </c>
      <c r="N2018" s="16"/>
      <c r="O2018" s="7"/>
      <c r="P2018" s="17"/>
    </row>
    <row r="2019" spans="1:16" ht="14.25" customHeight="1">
      <c r="A2019" s="5" t="s">
        <v>0</v>
      </c>
      <c r="B2019" s="5" t="str">
        <f t="shared" si="13"/>
        <v>Y</v>
      </c>
      <c r="C2019" s="18" t="s">
        <v>6406</v>
      </c>
      <c r="D2019" s="18"/>
      <c r="E2019" s="6" t="s">
        <v>6407</v>
      </c>
      <c r="F2019" s="19" t="s">
        <v>6408</v>
      </c>
      <c r="G2019" s="19" t="s">
        <v>6384</v>
      </c>
      <c r="H2019" s="19" t="s">
        <v>6384</v>
      </c>
      <c r="K2019" s="19" t="s">
        <v>4698</v>
      </c>
      <c r="L2019" s="6">
        <v>8210673510</v>
      </c>
      <c r="N2019" s="16"/>
      <c r="O2019" s="7"/>
      <c r="P2019" s="17"/>
    </row>
    <row r="2020" spans="1:16" ht="14.25" customHeight="1">
      <c r="A2020" s="5" t="s">
        <v>0</v>
      </c>
      <c r="B2020" s="5" t="str">
        <f t="shared" si="13"/>
        <v>Y</v>
      </c>
      <c r="C2020" s="18" t="s">
        <v>6409</v>
      </c>
      <c r="D2020" s="18"/>
      <c r="E2020" s="6" t="s">
        <v>6410</v>
      </c>
      <c r="F2020" s="19" t="s">
        <v>6411</v>
      </c>
      <c r="G2020" s="19" t="s">
        <v>6384</v>
      </c>
      <c r="H2020" s="19" t="s">
        <v>6384</v>
      </c>
      <c r="K2020" s="19" t="s">
        <v>6412</v>
      </c>
      <c r="L2020" s="6">
        <v>7488581509</v>
      </c>
      <c r="N2020" s="16"/>
      <c r="O2020" s="7"/>
      <c r="P2020" s="17"/>
    </row>
    <row r="2021" spans="1:16" ht="14.25" customHeight="1">
      <c r="A2021" s="5" t="s">
        <v>0</v>
      </c>
      <c r="B2021" s="5" t="str">
        <f t="shared" si="13"/>
        <v>Y</v>
      </c>
      <c r="C2021" s="18" t="s">
        <v>6413</v>
      </c>
      <c r="D2021" s="18"/>
      <c r="E2021" s="6" t="s">
        <v>6414</v>
      </c>
      <c r="F2021" s="19" t="s">
        <v>4111</v>
      </c>
      <c r="G2021" s="19" t="s">
        <v>6415</v>
      </c>
      <c r="H2021" s="19" t="s">
        <v>6415</v>
      </c>
      <c r="L2021" s="6">
        <v>6203494847</v>
      </c>
      <c r="N2021" s="16"/>
      <c r="O2021" s="7"/>
      <c r="P2021" s="17"/>
    </row>
    <row r="2022" spans="1:16" ht="14.25" customHeight="1">
      <c r="A2022" s="5" t="s">
        <v>0</v>
      </c>
      <c r="B2022" s="5" t="str">
        <f t="shared" si="13"/>
        <v>Y</v>
      </c>
      <c r="C2022" s="18" t="s">
        <v>6416</v>
      </c>
      <c r="D2022" s="18"/>
      <c r="E2022" s="6" t="s">
        <v>5825</v>
      </c>
      <c r="F2022" s="19" t="s">
        <v>5826</v>
      </c>
      <c r="G2022" s="19" t="s">
        <v>6417</v>
      </c>
      <c r="H2022" s="19" t="s">
        <v>6417</v>
      </c>
      <c r="L2022" s="6">
        <v>9931110559</v>
      </c>
      <c r="N2022" s="16"/>
      <c r="O2022" s="7"/>
      <c r="P2022" s="17"/>
    </row>
    <row r="2023" spans="1:16" ht="14.25" customHeight="1">
      <c r="A2023" s="5" t="s">
        <v>0</v>
      </c>
      <c r="B2023" s="5" t="str">
        <f t="shared" si="13"/>
        <v>Y</v>
      </c>
      <c r="C2023" s="18" t="s">
        <v>6418</v>
      </c>
      <c r="D2023" s="18"/>
      <c r="E2023" s="6" t="s">
        <v>6419</v>
      </c>
      <c r="F2023" s="19" t="s">
        <v>6420</v>
      </c>
      <c r="G2023" s="19" t="s">
        <v>6417</v>
      </c>
      <c r="H2023" s="19" t="s">
        <v>6417</v>
      </c>
      <c r="L2023" s="6">
        <v>9523096842</v>
      </c>
      <c r="N2023" s="16"/>
      <c r="O2023" s="7"/>
      <c r="P2023" s="17"/>
    </row>
    <row r="2024" spans="1:16" ht="14.25" customHeight="1">
      <c r="A2024" s="5" t="s">
        <v>0</v>
      </c>
      <c r="B2024" s="5" t="str">
        <f t="shared" si="13"/>
        <v>Y</v>
      </c>
      <c r="C2024" s="18" t="s">
        <v>6421</v>
      </c>
      <c r="D2024" s="18"/>
      <c r="E2024" s="6" t="s">
        <v>1266</v>
      </c>
      <c r="F2024" s="19" t="s">
        <v>6422</v>
      </c>
      <c r="G2024" s="19" t="s">
        <v>6417</v>
      </c>
      <c r="H2024" s="19" t="s">
        <v>6417</v>
      </c>
      <c r="L2024" s="6">
        <v>6200390433</v>
      </c>
      <c r="N2024" s="16"/>
      <c r="O2024" s="7"/>
      <c r="P2024" s="17"/>
    </row>
    <row r="2025" spans="1:16" ht="14.25" customHeight="1">
      <c r="A2025" s="5" t="s">
        <v>0</v>
      </c>
      <c r="B2025" s="5" t="str">
        <f t="shared" si="13"/>
        <v>Y</v>
      </c>
      <c r="C2025" s="18" t="s">
        <v>6423</v>
      </c>
      <c r="D2025" s="18"/>
      <c r="E2025" s="6" t="s">
        <v>6424</v>
      </c>
      <c r="F2025" s="19" t="s">
        <v>6425</v>
      </c>
      <c r="G2025" s="19" t="s">
        <v>6426</v>
      </c>
      <c r="H2025" s="20">
        <v>44503</v>
      </c>
      <c r="L2025" s="6">
        <v>8918935800</v>
      </c>
      <c r="N2025" s="16"/>
      <c r="O2025" s="7"/>
      <c r="P2025" s="17"/>
    </row>
    <row r="2026" spans="1:16" ht="14.25" customHeight="1">
      <c r="A2026" s="5" t="s">
        <v>0</v>
      </c>
      <c r="B2026" s="5" t="str">
        <f t="shared" si="13"/>
        <v>Y</v>
      </c>
      <c r="C2026" s="18" t="s">
        <v>6427</v>
      </c>
      <c r="D2026" s="18"/>
      <c r="E2026" s="6" t="s">
        <v>6428</v>
      </c>
      <c r="F2026" s="19" t="s">
        <v>6429</v>
      </c>
      <c r="G2026" s="19" t="s">
        <v>6426</v>
      </c>
      <c r="H2026" s="20">
        <v>44503</v>
      </c>
      <c r="L2026" s="6">
        <v>8873396369</v>
      </c>
      <c r="N2026" s="16"/>
      <c r="O2026" s="7"/>
      <c r="P2026" s="17"/>
    </row>
    <row r="2027" spans="1:16" ht="14.25" customHeight="1">
      <c r="A2027" s="5" t="s">
        <v>0</v>
      </c>
      <c r="B2027" s="5" t="str">
        <f t="shared" si="13"/>
        <v>Y</v>
      </c>
      <c r="C2027" s="18" t="s">
        <v>6430</v>
      </c>
      <c r="D2027" s="18"/>
      <c r="E2027" s="6" t="s">
        <v>6431</v>
      </c>
      <c r="F2027" s="19" t="s">
        <v>6432</v>
      </c>
      <c r="G2027" s="19" t="s">
        <v>6433</v>
      </c>
      <c r="H2027" s="20">
        <v>44504</v>
      </c>
      <c r="K2027" s="6" t="s">
        <v>6434</v>
      </c>
      <c r="L2027" s="6">
        <v>8797023406</v>
      </c>
      <c r="N2027" s="16"/>
      <c r="O2027" s="7"/>
      <c r="P2027" s="17"/>
    </row>
    <row r="2028" spans="1:16" ht="14.25" customHeight="1">
      <c r="A2028" s="5" t="s">
        <v>0</v>
      </c>
      <c r="B2028" s="5" t="str">
        <f t="shared" si="13"/>
        <v>Y</v>
      </c>
      <c r="C2028" s="18" t="s">
        <v>6435</v>
      </c>
      <c r="D2028" s="18"/>
      <c r="E2028" s="6" t="s">
        <v>4446</v>
      </c>
      <c r="F2028" s="19" t="s">
        <v>6436</v>
      </c>
      <c r="G2028" s="19" t="s">
        <v>6437</v>
      </c>
      <c r="H2028" s="19" t="s">
        <v>6437</v>
      </c>
      <c r="L2028" s="6">
        <v>6204221939</v>
      </c>
      <c r="N2028" s="16"/>
      <c r="O2028" s="7"/>
      <c r="P2028" s="17"/>
    </row>
    <row r="2029" spans="1:16" ht="14.25" customHeight="1">
      <c r="A2029" s="5" t="s">
        <v>0</v>
      </c>
      <c r="B2029" s="5" t="str">
        <f t="shared" si="13"/>
        <v>Y</v>
      </c>
      <c r="C2029" s="18" t="s">
        <v>6438</v>
      </c>
      <c r="D2029" s="18"/>
      <c r="E2029" s="6" t="s">
        <v>6439</v>
      </c>
      <c r="F2029" s="19" t="s">
        <v>6440</v>
      </c>
      <c r="G2029" s="19" t="s">
        <v>6437</v>
      </c>
      <c r="H2029" s="19" t="s">
        <v>6437</v>
      </c>
      <c r="L2029" s="6">
        <v>7992476235</v>
      </c>
      <c r="N2029" s="16"/>
      <c r="O2029" s="7"/>
      <c r="P2029" s="17"/>
    </row>
    <row r="2030" spans="1:16" ht="14.25" customHeight="1">
      <c r="A2030" s="5" t="s">
        <v>0</v>
      </c>
      <c r="B2030" s="5" t="str">
        <f t="shared" si="13"/>
        <v>Y</v>
      </c>
      <c r="C2030" s="18" t="s">
        <v>6441</v>
      </c>
      <c r="D2030" s="18"/>
      <c r="E2030" s="6" t="s">
        <v>6442</v>
      </c>
      <c r="F2030" s="19" t="s">
        <v>6443</v>
      </c>
      <c r="G2030" s="19" t="s">
        <v>6437</v>
      </c>
      <c r="H2030" s="19" t="s">
        <v>6437</v>
      </c>
      <c r="L2030" s="6">
        <v>9204940486</v>
      </c>
      <c r="N2030" s="16"/>
      <c r="O2030" s="7"/>
      <c r="P2030" s="17"/>
    </row>
    <row r="2031" spans="1:16" ht="14.25" customHeight="1">
      <c r="A2031" s="5" t="s">
        <v>0</v>
      </c>
      <c r="B2031" s="5" t="str">
        <f t="shared" si="13"/>
        <v>Y</v>
      </c>
      <c r="C2031" s="18" t="s">
        <v>6444</v>
      </c>
      <c r="D2031" s="18"/>
      <c r="E2031" s="6" t="s">
        <v>6445</v>
      </c>
      <c r="F2031" s="19" t="s">
        <v>6446</v>
      </c>
      <c r="G2031" s="19" t="s">
        <v>6437</v>
      </c>
      <c r="H2031" s="19" t="s">
        <v>6437</v>
      </c>
      <c r="L2031" s="6">
        <v>7250799928</v>
      </c>
      <c r="N2031" s="16"/>
      <c r="O2031" s="7"/>
      <c r="P2031" s="17"/>
    </row>
    <row r="2032" spans="1:16" ht="14.25" customHeight="1">
      <c r="A2032" s="5" t="s">
        <v>0</v>
      </c>
      <c r="B2032" s="5" t="str">
        <f t="shared" si="13"/>
        <v>Y</v>
      </c>
      <c r="C2032" s="18" t="s">
        <v>6447</v>
      </c>
      <c r="D2032" s="18"/>
      <c r="E2032" s="6" t="s">
        <v>6448</v>
      </c>
      <c r="F2032" s="19" t="s">
        <v>6449</v>
      </c>
      <c r="G2032" s="19" t="s">
        <v>6437</v>
      </c>
      <c r="H2032" s="19" t="s">
        <v>6437</v>
      </c>
      <c r="L2032" s="6">
        <v>6202996851</v>
      </c>
      <c r="N2032" s="16"/>
      <c r="O2032" s="7"/>
      <c r="P2032" s="17"/>
    </row>
    <row r="2033" spans="1:16" ht="14.25" customHeight="1">
      <c r="A2033" s="5" t="s">
        <v>0</v>
      </c>
      <c r="B2033" s="5" t="str">
        <f t="shared" si="13"/>
        <v>Y</v>
      </c>
      <c r="C2033" s="18" t="s">
        <v>6450</v>
      </c>
      <c r="D2033" s="18"/>
      <c r="E2033" s="6" t="s">
        <v>6451</v>
      </c>
      <c r="F2033" s="19" t="s">
        <v>6452</v>
      </c>
      <c r="G2033" s="19" t="s">
        <v>6453</v>
      </c>
      <c r="H2033" s="20">
        <v>44509</v>
      </c>
      <c r="K2033" s="6" t="s">
        <v>6454</v>
      </c>
      <c r="L2033" s="6">
        <v>9703654662</v>
      </c>
      <c r="N2033" s="16"/>
      <c r="O2033" s="7"/>
      <c r="P2033" s="17"/>
    </row>
    <row r="2034" spans="1:16" ht="14.25" customHeight="1">
      <c r="A2034" s="5" t="s">
        <v>0</v>
      </c>
      <c r="B2034" s="5" t="str">
        <f t="shared" si="13"/>
        <v>Y</v>
      </c>
      <c r="C2034" s="18" t="s">
        <v>6455</v>
      </c>
      <c r="D2034" s="18"/>
      <c r="E2034" s="6" t="s">
        <v>6456</v>
      </c>
      <c r="F2034" s="19" t="s">
        <v>6457</v>
      </c>
      <c r="G2034" s="19" t="s">
        <v>6453</v>
      </c>
      <c r="H2034" s="20">
        <v>44509</v>
      </c>
      <c r="K2034" s="6" t="s">
        <v>4698</v>
      </c>
      <c r="L2034" s="6">
        <v>9931126284</v>
      </c>
      <c r="N2034" s="16"/>
      <c r="O2034" s="7"/>
      <c r="P2034" s="17"/>
    </row>
    <row r="2035" spans="1:16" ht="14.25" customHeight="1">
      <c r="A2035" s="5" t="s">
        <v>0</v>
      </c>
      <c r="B2035" s="5" t="str">
        <f t="shared" si="13"/>
        <v>Y</v>
      </c>
      <c r="C2035" s="18" t="s">
        <v>6458</v>
      </c>
      <c r="D2035" s="18"/>
      <c r="E2035" s="6" t="s">
        <v>6459</v>
      </c>
      <c r="F2035" s="19" t="s">
        <v>2731</v>
      </c>
      <c r="G2035" s="19" t="s">
        <v>6453</v>
      </c>
      <c r="H2035" s="20">
        <v>44509</v>
      </c>
      <c r="K2035" s="6" t="s">
        <v>6460</v>
      </c>
      <c r="L2035" s="6">
        <v>9709284847</v>
      </c>
      <c r="N2035" s="16"/>
      <c r="O2035" s="7"/>
      <c r="P2035" s="17"/>
    </row>
    <row r="2036" spans="1:16" ht="14.25" customHeight="1">
      <c r="A2036" s="5" t="s">
        <v>0</v>
      </c>
      <c r="B2036" s="5" t="str">
        <f t="shared" si="13"/>
        <v>Y</v>
      </c>
      <c r="C2036" s="18" t="s">
        <v>6461</v>
      </c>
      <c r="D2036" s="18"/>
      <c r="E2036" s="6" t="s">
        <v>6462</v>
      </c>
      <c r="F2036" s="19" t="s">
        <v>2735</v>
      </c>
      <c r="G2036" s="19" t="s">
        <v>6453</v>
      </c>
      <c r="H2036" s="20">
        <v>44509</v>
      </c>
      <c r="K2036" s="6" t="s">
        <v>4698</v>
      </c>
      <c r="L2036" s="6">
        <v>8084045287</v>
      </c>
      <c r="N2036" s="16"/>
      <c r="O2036" s="7"/>
      <c r="P2036" s="17"/>
    </row>
    <row r="2037" spans="1:16" ht="14.25" customHeight="1">
      <c r="A2037" s="5" t="s">
        <v>0</v>
      </c>
      <c r="B2037" s="5" t="str">
        <f t="shared" si="13"/>
        <v>Y</v>
      </c>
      <c r="C2037" s="18" t="s">
        <v>6463</v>
      </c>
      <c r="D2037" s="18"/>
      <c r="E2037" s="6" t="s">
        <v>6464</v>
      </c>
      <c r="F2037" s="19" t="s">
        <v>6465</v>
      </c>
      <c r="G2037" s="19" t="s">
        <v>6453</v>
      </c>
      <c r="H2037" s="20">
        <v>44509</v>
      </c>
      <c r="K2037" s="6" t="s">
        <v>4698</v>
      </c>
      <c r="L2037" s="6">
        <v>9142617014</v>
      </c>
      <c r="N2037" s="16"/>
      <c r="O2037" s="7"/>
      <c r="P2037" s="17"/>
    </row>
    <row r="2038" spans="1:16" ht="14.25" customHeight="1">
      <c r="A2038" s="5" t="s">
        <v>0</v>
      </c>
      <c r="B2038" s="5" t="str">
        <f t="shared" si="13"/>
        <v>Y</v>
      </c>
      <c r="C2038" s="18" t="s">
        <v>6466</v>
      </c>
      <c r="D2038" s="18"/>
      <c r="E2038" s="6" t="s">
        <v>6467</v>
      </c>
      <c r="F2038" s="19" t="s">
        <v>6468</v>
      </c>
      <c r="G2038" s="19" t="s">
        <v>6453</v>
      </c>
      <c r="H2038" s="20">
        <v>44509</v>
      </c>
      <c r="K2038" s="6" t="s">
        <v>4698</v>
      </c>
      <c r="L2038" s="6">
        <v>9771232832</v>
      </c>
      <c r="N2038" s="16"/>
      <c r="O2038" s="7"/>
      <c r="P2038" s="17"/>
    </row>
    <row r="2039" spans="1:16" ht="14.25" customHeight="1">
      <c r="A2039" s="5" t="s">
        <v>0</v>
      </c>
      <c r="B2039" s="5" t="str">
        <f t="shared" si="13"/>
        <v>Y</v>
      </c>
      <c r="C2039" s="18" t="s">
        <v>6469</v>
      </c>
      <c r="D2039" s="18"/>
      <c r="E2039" s="6" t="s">
        <v>6470</v>
      </c>
      <c r="F2039" s="19" t="s">
        <v>6471</v>
      </c>
      <c r="G2039" s="19" t="s">
        <v>6472</v>
      </c>
      <c r="H2039" s="20">
        <v>44512</v>
      </c>
      <c r="K2039" s="6" t="s">
        <v>4698</v>
      </c>
      <c r="L2039" s="6">
        <v>8252679991</v>
      </c>
      <c r="N2039" s="16"/>
      <c r="O2039" s="7"/>
      <c r="P2039" s="17"/>
    </row>
    <row r="2040" spans="1:16" ht="14.25" customHeight="1">
      <c r="A2040" s="5" t="s">
        <v>0</v>
      </c>
      <c r="B2040" s="5" t="str">
        <f t="shared" si="13"/>
        <v>Y</v>
      </c>
      <c r="C2040" s="18" t="s">
        <v>6473</v>
      </c>
      <c r="D2040" s="18"/>
      <c r="E2040" s="6" t="s">
        <v>6474</v>
      </c>
      <c r="F2040" s="19" t="s">
        <v>6475</v>
      </c>
      <c r="G2040" s="19" t="s">
        <v>6476</v>
      </c>
      <c r="H2040" s="20">
        <v>44510</v>
      </c>
      <c r="K2040" s="6" t="s">
        <v>6477</v>
      </c>
      <c r="L2040" s="6">
        <v>7488286939</v>
      </c>
      <c r="N2040" s="16"/>
      <c r="O2040" s="7"/>
      <c r="P2040" s="17"/>
    </row>
    <row r="2041" spans="1:16" ht="14.25" customHeight="1">
      <c r="A2041" s="5" t="s">
        <v>0</v>
      </c>
      <c r="B2041" s="5" t="str">
        <f t="shared" si="13"/>
        <v>Y</v>
      </c>
      <c r="C2041" s="18" t="s">
        <v>6478</v>
      </c>
      <c r="D2041" s="18"/>
      <c r="E2041" s="6" t="s">
        <v>6479</v>
      </c>
      <c r="F2041" s="19" t="s">
        <v>6480</v>
      </c>
      <c r="G2041" s="19" t="s">
        <v>6476</v>
      </c>
      <c r="H2041" s="20">
        <v>44510</v>
      </c>
      <c r="K2041" s="6" t="s">
        <v>4698</v>
      </c>
      <c r="L2041" s="6">
        <v>7739713367</v>
      </c>
      <c r="N2041" s="16"/>
      <c r="O2041" s="7"/>
      <c r="P2041" s="17"/>
    </row>
    <row r="2042" spans="1:16" ht="14.25" customHeight="1">
      <c r="A2042" s="5" t="s">
        <v>0</v>
      </c>
      <c r="B2042" s="5" t="str">
        <f t="shared" si="13"/>
        <v>Y</v>
      </c>
      <c r="C2042" s="18" t="s">
        <v>6481</v>
      </c>
      <c r="D2042" s="18"/>
      <c r="E2042" s="6" t="s">
        <v>6482</v>
      </c>
      <c r="F2042" s="19" t="s">
        <v>6483</v>
      </c>
      <c r="G2042" s="19" t="s">
        <v>6484</v>
      </c>
      <c r="H2042" s="19" t="s">
        <v>6484</v>
      </c>
      <c r="L2042" s="6">
        <v>7209714088</v>
      </c>
      <c r="N2042" s="16"/>
      <c r="O2042" s="7"/>
      <c r="P2042" s="17"/>
    </row>
    <row r="2043" spans="1:16" ht="14.25" customHeight="1">
      <c r="A2043" s="5" t="s">
        <v>0</v>
      </c>
      <c r="B2043" s="5" t="str">
        <f t="shared" si="13"/>
        <v>Y</v>
      </c>
      <c r="C2043" s="18" t="s">
        <v>6485</v>
      </c>
      <c r="D2043" s="18"/>
      <c r="E2043" s="6" t="s">
        <v>6486</v>
      </c>
      <c r="F2043" s="19" t="s">
        <v>2500</v>
      </c>
      <c r="G2043" s="19" t="s">
        <v>6484</v>
      </c>
      <c r="H2043" s="19" t="s">
        <v>6484</v>
      </c>
      <c r="L2043" s="6">
        <v>8757698312</v>
      </c>
      <c r="N2043" s="16"/>
      <c r="O2043" s="7"/>
      <c r="P2043" s="17"/>
    </row>
    <row r="2044" spans="1:16" ht="14.25" customHeight="1">
      <c r="A2044" s="5" t="s">
        <v>0</v>
      </c>
      <c r="B2044" s="5" t="str">
        <f t="shared" si="13"/>
        <v>Y</v>
      </c>
      <c r="C2044" s="18" t="s">
        <v>6487</v>
      </c>
      <c r="D2044" s="18"/>
      <c r="E2044" s="6" t="s">
        <v>6488</v>
      </c>
      <c r="F2044" s="19" t="s">
        <v>6489</v>
      </c>
      <c r="G2044" s="19" t="s">
        <v>6484</v>
      </c>
      <c r="H2044" s="19" t="s">
        <v>6484</v>
      </c>
      <c r="L2044" s="6">
        <v>7481829465</v>
      </c>
      <c r="N2044" s="16"/>
      <c r="O2044" s="7"/>
      <c r="P2044" s="17"/>
    </row>
    <row r="2045" spans="1:16" ht="14.25" customHeight="1">
      <c r="A2045" s="5" t="s">
        <v>0</v>
      </c>
      <c r="B2045" s="5" t="str">
        <f t="shared" si="13"/>
        <v>Y</v>
      </c>
      <c r="C2045" s="18" t="s">
        <v>6490</v>
      </c>
      <c r="D2045" s="18"/>
      <c r="E2045" s="6" t="s">
        <v>6491</v>
      </c>
      <c r="F2045" s="19" t="s">
        <v>6492</v>
      </c>
      <c r="G2045" s="19" t="s">
        <v>6493</v>
      </c>
      <c r="H2045" s="20">
        <v>44517</v>
      </c>
      <c r="I2045" s="6" t="s">
        <v>6494</v>
      </c>
      <c r="K2045" s="6" t="s">
        <v>6495</v>
      </c>
      <c r="L2045" s="6">
        <v>8984170532</v>
      </c>
      <c r="N2045" s="16"/>
      <c r="O2045" s="7"/>
      <c r="P2045" s="17"/>
    </row>
    <row r="2046" spans="1:16" ht="14.25" customHeight="1">
      <c r="A2046" s="5" t="s">
        <v>0</v>
      </c>
      <c r="B2046" s="5" t="str">
        <f t="shared" si="13"/>
        <v>Y</v>
      </c>
      <c r="C2046" s="18" t="s">
        <v>6496</v>
      </c>
      <c r="D2046" s="18"/>
      <c r="E2046" s="6" t="s">
        <v>6497</v>
      </c>
      <c r="F2046" s="19" t="s">
        <v>6498</v>
      </c>
      <c r="G2046" s="19" t="s">
        <v>6499</v>
      </c>
      <c r="H2046" s="20">
        <v>44517</v>
      </c>
      <c r="K2046" s="6" t="s">
        <v>6500</v>
      </c>
      <c r="L2046" s="6">
        <v>8252975346</v>
      </c>
      <c r="N2046" s="16"/>
      <c r="O2046" s="7"/>
      <c r="P2046" s="17"/>
    </row>
    <row r="2047" spans="1:16" ht="14.25" customHeight="1">
      <c r="A2047" s="5" t="s">
        <v>0</v>
      </c>
      <c r="B2047" s="5" t="str">
        <f t="shared" si="13"/>
        <v>Y</v>
      </c>
      <c r="C2047" s="18" t="s">
        <v>6501</v>
      </c>
      <c r="D2047" s="18"/>
      <c r="E2047" s="6" t="s">
        <v>6502</v>
      </c>
      <c r="F2047" s="19" t="s">
        <v>6503</v>
      </c>
      <c r="G2047" s="19" t="s">
        <v>6499</v>
      </c>
      <c r="H2047" s="20">
        <v>44517</v>
      </c>
      <c r="K2047" s="6" t="s">
        <v>6504</v>
      </c>
      <c r="L2047" s="6">
        <v>9835932956</v>
      </c>
      <c r="N2047" s="16"/>
      <c r="O2047" s="7"/>
      <c r="P2047" s="17"/>
    </row>
    <row r="2048" spans="1:16" ht="14.25" customHeight="1">
      <c r="A2048" s="5" t="s">
        <v>0</v>
      </c>
      <c r="B2048" s="5" t="str">
        <f t="shared" si="13"/>
        <v>Y</v>
      </c>
      <c r="C2048" s="18" t="s">
        <v>6505</v>
      </c>
      <c r="D2048" s="18"/>
      <c r="E2048" s="6" t="s">
        <v>6506</v>
      </c>
      <c r="F2048" s="19" t="s">
        <v>6507</v>
      </c>
      <c r="G2048" s="19" t="s">
        <v>6499</v>
      </c>
      <c r="H2048" s="20">
        <v>44517</v>
      </c>
      <c r="K2048" s="6" t="s">
        <v>6508</v>
      </c>
      <c r="L2048" s="6">
        <v>9204788203</v>
      </c>
      <c r="N2048" s="16"/>
      <c r="O2048" s="7"/>
      <c r="P2048" s="17"/>
    </row>
    <row r="2049" spans="1:16" ht="14.25" customHeight="1">
      <c r="A2049" s="5" t="s">
        <v>0</v>
      </c>
      <c r="B2049" s="5" t="str">
        <f t="shared" si="13"/>
        <v>Y</v>
      </c>
      <c r="C2049" s="18" t="s">
        <v>6509</v>
      </c>
      <c r="D2049" s="18"/>
      <c r="E2049" s="6" t="s">
        <v>6510</v>
      </c>
      <c r="F2049" s="19" t="s">
        <v>6511</v>
      </c>
      <c r="G2049" s="19" t="s">
        <v>6493</v>
      </c>
      <c r="H2049" s="20">
        <v>44516</v>
      </c>
      <c r="K2049" s="6" t="s">
        <v>6512</v>
      </c>
      <c r="L2049" s="6">
        <v>7903741198</v>
      </c>
      <c r="N2049" s="16"/>
      <c r="O2049" s="7"/>
      <c r="P2049" s="17"/>
    </row>
    <row r="2050" spans="1:16" ht="14.25" customHeight="1">
      <c r="A2050" s="5" t="s">
        <v>0</v>
      </c>
      <c r="B2050" s="5" t="str">
        <f t="shared" si="13"/>
        <v>Y</v>
      </c>
      <c r="C2050" s="18" t="s">
        <v>6513</v>
      </c>
      <c r="D2050" s="18"/>
      <c r="E2050" s="6" t="s">
        <v>5577</v>
      </c>
      <c r="F2050" s="19" t="s">
        <v>4710</v>
      </c>
      <c r="G2050" s="19" t="s">
        <v>6493</v>
      </c>
      <c r="H2050" s="20">
        <v>44517</v>
      </c>
      <c r="K2050" s="6" t="s">
        <v>6514</v>
      </c>
      <c r="L2050" s="6">
        <v>8340796124</v>
      </c>
      <c r="N2050" s="16"/>
      <c r="O2050" s="7"/>
      <c r="P2050" s="17"/>
    </row>
    <row r="2051" spans="1:16" ht="14.25" customHeight="1">
      <c r="A2051" s="5" t="s">
        <v>0</v>
      </c>
      <c r="B2051" s="5" t="str">
        <f t="shared" si="13"/>
        <v>Y</v>
      </c>
      <c r="C2051" s="18" t="s">
        <v>6515</v>
      </c>
      <c r="D2051" s="18"/>
      <c r="E2051" s="6" t="s">
        <v>6516</v>
      </c>
      <c r="F2051" s="19" t="s">
        <v>6517</v>
      </c>
      <c r="G2051" s="19" t="s">
        <v>6518</v>
      </c>
      <c r="H2051" s="20">
        <v>44548</v>
      </c>
      <c r="K2051" s="6" t="s">
        <v>6519</v>
      </c>
      <c r="L2051" s="6">
        <v>7909041876</v>
      </c>
      <c r="N2051" s="16"/>
      <c r="O2051" s="7"/>
      <c r="P2051" s="17"/>
    </row>
    <row r="2052" spans="1:16" ht="14.25" customHeight="1">
      <c r="A2052" s="5" t="s">
        <v>0</v>
      </c>
      <c r="B2052" s="5" t="str">
        <f t="shared" si="13"/>
        <v>Y</v>
      </c>
      <c r="C2052" s="18" t="s">
        <v>6520</v>
      </c>
      <c r="D2052" s="18"/>
      <c r="E2052" s="6" t="s">
        <v>6521</v>
      </c>
      <c r="F2052" s="19" t="s">
        <v>6522</v>
      </c>
      <c r="G2052" s="19" t="s">
        <v>6518</v>
      </c>
      <c r="H2052" s="20">
        <v>44548</v>
      </c>
      <c r="K2052" s="6" t="s">
        <v>6523</v>
      </c>
      <c r="L2052" s="6">
        <v>8873091684</v>
      </c>
      <c r="N2052" s="16"/>
      <c r="O2052" s="7"/>
      <c r="P2052" s="17"/>
    </row>
    <row r="2053" spans="1:16" ht="14.25" customHeight="1">
      <c r="A2053" s="5" t="s">
        <v>0</v>
      </c>
      <c r="B2053" s="5" t="str">
        <f t="shared" si="13"/>
        <v>Y</v>
      </c>
      <c r="C2053" s="18" t="s">
        <v>6524</v>
      </c>
      <c r="D2053" s="18"/>
      <c r="E2053" s="6" t="s">
        <v>6525</v>
      </c>
      <c r="F2053" s="19" t="s">
        <v>6526</v>
      </c>
      <c r="G2053" s="19" t="s">
        <v>6527</v>
      </c>
      <c r="H2053" s="20">
        <v>44517</v>
      </c>
      <c r="K2053" s="6" t="s">
        <v>6528</v>
      </c>
      <c r="L2053" s="6">
        <v>7903956275</v>
      </c>
      <c r="N2053" s="16"/>
      <c r="O2053" s="7"/>
      <c r="P2053" s="17"/>
    </row>
    <row r="2054" spans="1:16" ht="14.25" customHeight="1">
      <c r="A2054" s="5" t="s">
        <v>0</v>
      </c>
      <c r="B2054" s="5" t="str">
        <f t="shared" si="13"/>
        <v>Y</v>
      </c>
      <c r="C2054" s="18" t="s">
        <v>6529</v>
      </c>
      <c r="D2054" s="18"/>
      <c r="E2054" s="6" t="s">
        <v>6530</v>
      </c>
      <c r="F2054" s="19" t="s">
        <v>6531</v>
      </c>
      <c r="G2054" s="20">
        <v>44517</v>
      </c>
      <c r="H2054" s="20">
        <v>44517</v>
      </c>
      <c r="L2054" s="6">
        <v>8092895603</v>
      </c>
      <c r="N2054" s="16"/>
      <c r="O2054" s="7"/>
      <c r="P2054" s="17"/>
    </row>
    <row r="2055" spans="1:16" ht="14.25" customHeight="1">
      <c r="A2055" s="5" t="s">
        <v>0</v>
      </c>
      <c r="B2055" s="5" t="str">
        <f t="shared" si="13"/>
        <v>Y</v>
      </c>
      <c r="C2055" s="18" t="s">
        <v>6532</v>
      </c>
      <c r="D2055" s="18"/>
      <c r="E2055" s="6" t="s">
        <v>6533</v>
      </c>
      <c r="F2055" s="19" t="s">
        <v>2423</v>
      </c>
      <c r="G2055" s="20">
        <v>44517</v>
      </c>
      <c r="H2055" s="20">
        <v>44517</v>
      </c>
      <c r="L2055" s="6">
        <v>9523373389</v>
      </c>
      <c r="N2055" s="16"/>
      <c r="O2055" s="7"/>
      <c r="P2055" s="17"/>
    </row>
    <row r="2056" spans="1:16" ht="14.25" customHeight="1">
      <c r="A2056" s="5" t="s">
        <v>0</v>
      </c>
      <c r="B2056" s="5" t="str">
        <f>IF(H2051="","N","Y")</f>
        <v>Y</v>
      </c>
      <c r="C2056" s="6" t="s">
        <v>6534</v>
      </c>
      <c r="D2056" s="6"/>
      <c r="E2056" s="6" t="s">
        <v>6535</v>
      </c>
      <c r="F2056" s="19" t="s">
        <v>6536</v>
      </c>
      <c r="G2056" s="19" t="s">
        <v>6518</v>
      </c>
      <c r="H2056" s="20">
        <v>44518</v>
      </c>
      <c r="K2056" s="6" t="s">
        <v>6537</v>
      </c>
      <c r="L2056" s="6">
        <v>9471716530</v>
      </c>
      <c r="N2056" s="16"/>
      <c r="O2056" s="7"/>
      <c r="P2056" s="17"/>
    </row>
    <row r="2057" spans="1:16" ht="14.25" customHeight="1">
      <c r="A2057" s="5" t="s">
        <v>0</v>
      </c>
      <c r="B2057" s="5" t="str">
        <f t="shared" ref="B2057:B2090" si="14">IF(H2057="","N","Y")</f>
        <v>Y</v>
      </c>
      <c r="C2057" s="18" t="s">
        <v>6538</v>
      </c>
      <c r="D2057" s="18"/>
      <c r="E2057" s="6" t="s">
        <v>6539</v>
      </c>
      <c r="F2057" s="19" t="s">
        <v>6540</v>
      </c>
      <c r="G2057" s="19" t="s">
        <v>6518</v>
      </c>
      <c r="H2057" s="20">
        <v>44518</v>
      </c>
      <c r="K2057" s="6" t="s">
        <v>6541</v>
      </c>
      <c r="L2057" s="6">
        <v>7540013017</v>
      </c>
      <c r="N2057" s="16"/>
      <c r="O2057" s="7"/>
      <c r="P2057" s="17"/>
    </row>
    <row r="2058" spans="1:16" ht="14.25" customHeight="1">
      <c r="A2058" s="5" t="s">
        <v>0</v>
      </c>
      <c r="B2058" s="5" t="str">
        <f t="shared" si="14"/>
        <v>Y</v>
      </c>
      <c r="C2058" s="18" t="s">
        <v>6542</v>
      </c>
      <c r="D2058" s="18"/>
      <c r="E2058" s="6" t="s">
        <v>6543</v>
      </c>
      <c r="F2058" s="19" t="s">
        <v>6544</v>
      </c>
      <c r="G2058" s="19" t="s">
        <v>6518</v>
      </c>
      <c r="H2058" s="20">
        <v>44518</v>
      </c>
      <c r="N2058" s="16"/>
      <c r="O2058" s="7"/>
      <c r="P2058" s="17"/>
    </row>
    <row r="2059" spans="1:16" ht="14.25" customHeight="1">
      <c r="A2059" s="5" t="s">
        <v>0</v>
      </c>
      <c r="B2059" s="5" t="str">
        <f t="shared" si="14"/>
        <v>Y</v>
      </c>
      <c r="C2059" s="18" t="s">
        <v>6545</v>
      </c>
      <c r="D2059" s="18"/>
      <c r="E2059" s="6" t="s">
        <v>6546</v>
      </c>
      <c r="F2059" s="19" t="s">
        <v>6547</v>
      </c>
      <c r="G2059" s="19" t="s">
        <v>6548</v>
      </c>
      <c r="H2059" s="20">
        <v>44519</v>
      </c>
      <c r="K2059" s="6" t="s">
        <v>6549</v>
      </c>
      <c r="L2059" s="6">
        <v>9113402363</v>
      </c>
      <c r="N2059" s="16"/>
      <c r="O2059" s="7"/>
      <c r="P2059" s="17"/>
    </row>
    <row r="2060" spans="1:16" ht="14.25" customHeight="1">
      <c r="A2060" s="5" t="s">
        <v>0</v>
      </c>
      <c r="B2060" s="5" t="str">
        <f t="shared" si="14"/>
        <v>Y</v>
      </c>
      <c r="C2060" s="18" t="s">
        <v>6550</v>
      </c>
      <c r="D2060" s="18"/>
      <c r="E2060" s="6" t="s">
        <v>6198</v>
      </c>
      <c r="F2060" s="19" t="s">
        <v>6199</v>
      </c>
      <c r="G2060" s="19" t="s">
        <v>6548</v>
      </c>
      <c r="H2060" s="20">
        <v>44519</v>
      </c>
      <c r="K2060" s="6" t="s">
        <v>6549</v>
      </c>
      <c r="L2060" s="6">
        <v>9431757249</v>
      </c>
      <c r="N2060" s="16"/>
      <c r="O2060" s="7"/>
      <c r="P2060" s="17"/>
    </row>
    <row r="2061" spans="1:16" ht="14.25" customHeight="1">
      <c r="A2061" s="5" t="s">
        <v>0</v>
      </c>
      <c r="B2061" s="5" t="str">
        <f t="shared" si="14"/>
        <v>Y</v>
      </c>
      <c r="C2061" s="18" t="s">
        <v>6551</v>
      </c>
      <c r="D2061" s="18"/>
      <c r="E2061" s="6" t="s">
        <v>6552</v>
      </c>
      <c r="F2061" s="19" t="s">
        <v>6553</v>
      </c>
      <c r="G2061" s="19" t="s">
        <v>6554</v>
      </c>
      <c r="H2061" s="20">
        <v>44523</v>
      </c>
      <c r="K2061" s="6" t="s">
        <v>6549</v>
      </c>
      <c r="L2061" s="6">
        <v>999250421</v>
      </c>
      <c r="N2061" s="16"/>
      <c r="O2061" s="7"/>
      <c r="P2061" s="17"/>
    </row>
    <row r="2062" spans="1:16" ht="14.25" customHeight="1">
      <c r="A2062" s="5" t="s">
        <v>0</v>
      </c>
      <c r="B2062" s="5" t="str">
        <f t="shared" si="14"/>
        <v>Y</v>
      </c>
      <c r="C2062" s="18" t="s">
        <v>6555</v>
      </c>
      <c r="D2062" s="18"/>
      <c r="E2062" s="6" t="s">
        <v>6556</v>
      </c>
      <c r="F2062" s="19" t="s">
        <v>2778</v>
      </c>
      <c r="G2062" s="19" t="s">
        <v>6554</v>
      </c>
      <c r="H2062" s="20">
        <v>44523</v>
      </c>
      <c r="K2062" s="6" t="s">
        <v>6549</v>
      </c>
      <c r="L2062" s="6">
        <v>9934326791</v>
      </c>
      <c r="N2062" s="16"/>
      <c r="O2062" s="7"/>
      <c r="P2062" s="17"/>
    </row>
    <row r="2063" spans="1:16" ht="14.25" customHeight="1">
      <c r="A2063" s="5" t="s">
        <v>0</v>
      </c>
      <c r="B2063" s="5" t="str">
        <f t="shared" si="14"/>
        <v>Y</v>
      </c>
      <c r="C2063" s="18" t="s">
        <v>6557</v>
      </c>
      <c r="D2063" s="18"/>
      <c r="E2063" s="6" t="s">
        <v>6558</v>
      </c>
      <c r="F2063" s="19" t="s">
        <v>6559</v>
      </c>
      <c r="G2063" s="19" t="s">
        <v>6554</v>
      </c>
      <c r="H2063" s="20">
        <v>44523</v>
      </c>
      <c r="K2063" s="6" t="s">
        <v>6560</v>
      </c>
      <c r="L2063" s="6">
        <v>9304884867</v>
      </c>
      <c r="N2063" s="16"/>
      <c r="O2063" s="7"/>
      <c r="P2063" s="17"/>
    </row>
    <row r="2064" spans="1:16" ht="14.25" customHeight="1">
      <c r="A2064" s="5" t="s">
        <v>0</v>
      </c>
      <c r="B2064" s="5" t="str">
        <f t="shared" si="14"/>
        <v>Y</v>
      </c>
      <c r="C2064" s="18" t="s">
        <v>6561</v>
      </c>
      <c r="D2064" s="18"/>
      <c r="E2064" s="6" t="s">
        <v>6562</v>
      </c>
      <c r="F2064" s="19" t="s">
        <v>2472</v>
      </c>
      <c r="G2064" s="19" t="s">
        <v>6554</v>
      </c>
      <c r="H2064" s="20">
        <v>44523</v>
      </c>
      <c r="K2064" s="6" t="s">
        <v>6549</v>
      </c>
      <c r="L2064" s="6">
        <v>7209168480</v>
      </c>
      <c r="N2064" s="16"/>
      <c r="O2064" s="7"/>
      <c r="P2064" s="17"/>
    </row>
    <row r="2065" spans="1:16" ht="14.25" customHeight="1">
      <c r="A2065" s="5" t="s">
        <v>0</v>
      </c>
      <c r="B2065" s="5" t="str">
        <f t="shared" si="14"/>
        <v>Y</v>
      </c>
      <c r="C2065" s="18" t="s">
        <v>6563</v>
      </c>
      <c r="D2065" s="18"/>
      <c r="E2065" s="6" t="s">
        <v>6564</v>
      </c>
      <c r="F2065" s="19" t="s">
        <v>6565</v>
      </c>
      <c r="G2065" s="19" t="s">
        <v>6554</v>
      </c>
      <c r="H2065" s="20">
        <v>44523</v>
      </c>
      <c r="K2065" s="6" t="s">
        <v>6566</v>
      </c>
      <c r="L2065" s="6">
        <v>775997233</v>
      </c>
      <c r="N2065" s="16"/>
      <c r="O2065" s="7"/>
      <c r="P2065" s="17"/>
    </row>
    <row r="2066" spans="1:16" ht="14.25" customHeight="1">
      <c r="A2066" s="5" t="s">
        <v>0</v>
      </c>
      <c r="B2066" s="5" t="str">
        <f t="shared" si="14"/>
        <v>Y</v>
      </c>
      <c r="C2066" s="18" t="s">
        <v>6567</v>
      </c>
      <c r="D2066" s="18"/>
      <c r="E2066" s="6" t="s">
        <v>2104</v>
      </c>
      <c r="F2066" s="19" t="s">
        <v>6568</v>
      </c>
      <c r="G2066" s="19" t="s">
        <v>6554</v>
      </c>
      <c r="H2066" s="20">
        <v>44523</v>
      </c>
      <c r="K2066" s="6" t="s">
        <v>6569</v>
      </c>
      <c r="L2066" s="6">
        <v>7479983750</v>
      </c>
      <c r="N2066" s="16"/>
      <c r="O2066" s="7"/>
      <c r="P2066" s="17"/>
    </row>
    <row r="2067" spans="1:16" ht="14.25" customHeight="1">
      <c r="A2067" s="5" t="s">
        <v>0</v>
      </c>
      <c r="B2067" s="5" t="str">
        <f t="shared" si="14"/>
        <v>Y</v>
      </c>
      <c r="C2067" s="18" t="s">
        <v>6570</v>
      </c>
      <c r="D2067" s="18"/>
      <c r="E2067" s="6" t="s">
        <v>6571</v>
      </c>
      <c r="F2067" s="19" t="s">
        <v>4337</v>
      </c>
      <c r="G2067" s="19" t="s">
        <v>6554</v>
      </c>
      <c r="H2067" s="19" t="s">
        <v>6554</v>
      </c>
      <c r="N2067" s="16"/>
      <c r="O2067" s="7"/>
      <c r="P2067" s="17"/>
    </row>
    <row r="2068" spans="1:16" ht="14.25" customHeight="1">
      <c r="A2068" s="5" t="s">
        <v>0</v>
      </c>
      <c r="B2068" s="5" t="str">
        <f t="shared" si="14"/>
        <v>Y</v>
      </c>
      <c r="C2068" s="18" t="s">
        <v>6572</v>
      </c>
      <c r="D2068" s="18"/>
      <c r="E2068" s="6" t="s">
        <v>6573</v>
      </c>
      <c r="F2068" s="19" t="s">
        <v>6574</v>
      </c>
      <c r="G2068" s="19" t="s">
        <v>6575</v>
      </c>
      <c r="H2068" s="20">
        <v>44524</v>
      </c>
      <c r="L2068" s="6">
        <v>8092429960</v>
      </c>
      <c r="N2068" s="16"/>
      <c r="O2068" s="7"/>
      <c r="P2068" s="17"/>
    </row>
    <row r="2069" spans="1:16" ht="14.25" customHeight="1">
      <c r="A2069" s="5" t="s">
        <v>0</v>
      </c>
      <c r="B2069" s="5" t="str">
        <f t="shared" si="14"/>
        <v>Y</v>
      </c>
      <c r="C2069" s="18" t="s">
        <v>6576</v>
      </c>
      <c r="D2069" s="18"/>
      <c r="E2069" s="147" t="s">
        <v>6577</v>
      </c>
      <c r="F2069" s="19" t="s">
        <v>6578</v>
      </c>
      <c r="G2069" s="19" t="s">
        <v>6575</v>
      </c>
      <c r="H2069" s="20">
        <v>44524</v>
      </c>
      <c r="L2069" s="6">
        <v>8340422421</v>
      </c>
      <c r="N2069" s="16"/>
      <c r="O2069" s="7"/>
      <c r="P2069" s="17"/>
    </row>
    <row r="2070" spans="1:16" ht="14.25" customHeight="1">
      <c r="A2070" s="5" t="s">
        <v>0</v>
      </c>
      <c r="B2070" s="5" t="str">
        <f t="shared" si="14"/>
        <v>Y</v>
      </c>
      <c r="C2070" s="18" t="s">
        <v>6579</v>
      </c>
      <c r="D2070" s="18"/>
      <c r="E2070" s="6" t="s">
        <v>6580</v>
      </c>
      <c r="F2070" s="19" t="s">
        <v>4010</v>
      </c>
      <c r="G2070" s="19" t="s">
        <v>6581</v>
      </c>
      <c r="H2070" s="20">
        <v>44527</v>
      </c>
      <c r="L2070" s="6">
        <v>7250369019</v>
      </c>
      <c r="N2070" s="16"/>
      <c r="O2070" s="7"/>
      <c r="P2070" s="17"/>
    </row>
    <row r="2071" spans="1:16" ht="14.25" customHeight="1">
      <c r="A2071" s="5" t="s">
        <v>0</v>
      </c>
      <c r="B2071" s="5" t="str">
        <f t="shared" si="14"/>
        <v>Y</v>
      </c>
      <c r="C2071" s="18" t="s">
        <v>6582</v>
      </c>
      <c r="D2071" s="18"/>
      <c r="E2071" s="6" t="s">
        <v>6583</v>
      </c>
      <c r="F2071" s="19" t="s">
        <v>6584</v>
      </c>
      <c r="G2071" s="19" t="s">
        <v>6581</v>
      </c>
      <c r="H2071" s="20">
        <v>44527</v>
      </c>
      <c r="L2071" s="6">
        <v>9204280126</v>
      </c>
      <c r="N2071" s="16"/>
      <c r="O2071" s="7"/>
      <c r="P2071" s="17"/>
    </row>
    <row r="2072" spans="1:16" ht="14.25" customHeight="1">
      <c r="A2072" s="5" t="s">
        <v>0</v>
      </c>
      <c r="B2072" s="5" t="str">
        <f t="shared" si="14"/>
        <v>Y</v>
      </c>
      <c r="C2072" s="18" t="s">
        <v>6585</v>
      </c>
      <c r="D2072" s="18"/>
      <c r="E2072" s="6" t="s">
        <v>6586</v>
      </c>
      <c r="F2072" s="19" t="s">
        <v>3871</v>
      </c>
      <c r="G2072" s="19" t="s">
        <v>6581</v>
      </c>
      <c r="H2072" s="20">
        <v>44527</v>
      </c>
      <c r="L2072" s="6">
        <v>6207392944</v>
      </c>
      <c r="N2072" s="16"/>
      <c r="O2072" s="7"/>
      <c r="P2072" s="17"/>
    </row>
    <row r="2073" spans="1:16" ht="14.25" customHeight="1">
      <c r="A2073" s="5" t="s">
        <v>0</v>
      </c>
      <c r="B2073" s="5" t="str">
        <f t="shared" si="14"/>
        <v>Y</v>
      </c>
      <c r="C2073" s="18" t="s">
        <v>6585</v>
      </c>
      <c r="D2073" s="18"/>
      <c r="E2073" s="6" t="s">
        <v>5825</v>
      </c>
      <c r="F2073" s="19" t="s">
        <v>5826</v>
      </c>
      <c r="G2073" s="19" t="s">
        <v>6581</v>
      </c>
      <c r="H2073" s="20">
        <v>44527</v>
      </c>
      <c r="L2073" s="6">
        <v>9931110559</v>
      </c>
      <c r="N2073" s="16"/>
      <c r="O2073" s="7"/>
      <c r="P2073" s="17"/>
    </row>
    <row r="2074" spans="1:16" ht="14.25" customHeight="1">
      <c r="A2074" s="5" t="s">
        <v>0</v>
      </c>
      <c r="B2074" s="5" t="str">
        <f t="shared" si="14"/>
        <v>Y</v>
      </c>
      <c r="C2074" s="18" t="s">
        <v>6587</v>
      </c>
      <c r="D2074" s="18"/>
      <c r="E2074" s="6" t="s">
        <v>6588</v>
      </c>
      <c r="F2074" s="19" t="s">
        <v>3040</v>
      </c>
      <c r="G2074" s="19" t="s">
        <v>6581</v>
      </c>
      <c r="H2074" s="20">
        <v>44527</v>
      </c>
      <c r="L2074" s="6">
        <v>7209928492</v>
      </c>
      <c r="N2074" s="16"/>
      <c r="O2074" s="7"/>
      <c r="P2074" s="17"/>
    </row>
    <row r="2075" spans="1:16" ht="14.25" customHeight="1">
      <c r="A2075" s="5" t="s">
        <v>0</v>
      </c>
      <c r="B2075" s="5" t="str">
        <f t="shared" si="14"/>
        <v>Y</v>
      </c>
      <c r="C2075" s="18" t="s">
        <v>6589</v>
      </c>
      <c r="D2075" s="18"/>
      <c r="E2075" s="6" t="s">
        <v>6590</v>
      </c>
      <c r="F2075" s="19" t="s">
        <v>6591</v>
      </c>
      <c r="G2075" s="19" t="s">
        <v>6592</v>
      </c>
      <c r="H2075" s="20">
        <v>44528</v>
      </c>
      <c r="K2075" s="6" t="s">
        <v>6593</v>
      </c>
      <c r="L2075" s="6">
        <v>7004663761</v>
      </c>
      <c r="N2075" s="16"/>
      <c r="O2075" s="7"/>
      <c r="P2075" s="17"/>
    </row>
    <row r="2076" spans="1:16" ht="14.25" customHeight="1">
      <c r="A2076" s="5" t="s">
        <v>0</v>
      </c>
      <c r="B2076" s="5" t="str">
        <f t="shared" si="14"/>
        <v>N</v>
      </c>
      <c r="C2076" s="60" t="s">
        <v>6594</v>
      </c>
      <c r="D2076" s="60"/>
      <c r="E2076" s="6" t="s">
        <v>6595</v>
      </c>
      <c r="F2076" s="19" t="s">
        <v>6596</v>
      </c>
      <c r="G2076" s="19" t="s">
        <v>6164</v>
      </c>
      <c r="H2076" s="5"/>
      <c r="N2076" s="16"/>
      <c r="O2076" s="7"/>
      <c r="P2076" s="17"/>
    </row>
    <row r="2077" spans="1:16" ht="14.25" customHeight="1">
      <c r="A2077" s="5" t="s">
        <v>0</v>
      </c>
      <c r="B2077" s="5" t="str">
        <f t="shared" si="14"/>
        <v>N</v>
      </c>
      <c r="C2077" s="18" t="s">
        <v>6597</v>
      </c>
      <c r="D2077" s="18"/>
      <c r="E2077" s="6" t="s">
        <v>6598</v>
      </c>
      <c r="F2077" s="19" t="s">
        <v>6599</v>
      </c>
      <c r="G2077" s="19" t="s">
        <v>6600</v>
      </c>
      <c r="H2077" s="5"/>
      <c r="L2077" s="6">
        <v>9339075692</v>
      </c>
      <c r="N2077" s="16"/>
      <c r="O2077" s="7"/>
      <c r="P2077" s="17"/>
    </row>
    <row r="2078" spans="1:16" ht="14.25" customHeight="1">
      <c r="A2078" s="5" t="s">
        <v>0</v>
      </c>
      <c r="B2078" s="5" t="str">
        <f t="shared" si="14"/>
        <v>N</v>
      </c>
      <c r="C2078" s="18" t="s">
        <v>6601</v>
      </c>
      <c r="D2078" s="18"/>
      <c r="E2078" s="6" t="s">
        <v>6602</v>
      </c>
      <c r="F2078" s="19" t="s">
        <v>6603</v>
      </c>
      <c r="G2078" s="19" t="s">
        <v>6600</v>
      </c>
      <c r="H2078" s="5"/>
      <c r="L2078" s="6">
        <v>7488320253</v>
      </c>
      <c r="N2078" s="16"/>
      <c r="O2078" s="7"/>
      <c r="P2078" s="17"/>
    </row>
    <row r="2079" spans="1:16" ht="14.25" customHeight="1">
      <c r="A2079" s="5" t="s">
        <v>0</v>
      </c>
      <c r="B2079" s="5" t="str">
        <f t="shared" si="14"/>
        <v>N</v>
      </c>
      <c r="C2079" s="18" t="s">
        <v>6604</v>
      </c>
      <c r="D2079" s="18"/>
      <c r="E2079" s="6" t="s">
        <v>6605</v>
      </c>
      <c r="F2079" s="19" t="s">
        <v>6606</v>
      </c>
      <c r="G2079" s="19" t="s">
        <v>6600</v>
      </c>
      <c r="H2079" s="5"/>
      <c r="L2079" s="6">
        <v>8709605789</v>
      </c>
      <c r="N2079" s="16"/>
      <c r="O2079" s="7"/>
      <c r="P2079" s="17"/>
    </row>
    <row r="2080" spans="1:16" ht="14.25" customHeight="1">
      <c r="A2080" s="5" t="s">
        <v>0</v>
      </c>
      <c r="B2080" s="5" t="str">
        <f t="shared" si="14"/>
        <v>N</v>
      </c>
      <c r="C2080" s="18" t="s">
        <v>6607</v>
      </c>
      <c r="D2080" s="18"/>
      <c r="E2080" s="6" t="s">
        <v>6608</v>
      </c>
      <c r="F2080" s="19" t="s">
        <v>6010</v>
      </c>
      <c r="G2080" s="19" t="s">
        <v>6600</v>
      </c>
      <c r="H2080" s="5"/>
      <c r="L2080" s="6">
        <v>9693201882</v>
      </c>
      <c r="N2080" s="16"/>
      <c r="O2080" s="7"/>
      <c r="P2080" s="17"/>
    </row>
    <row r="2081" spans="1:16" ht="14.25" customHeight="1">
      <c r="A2081" s="5" t="s">
        <v>0</v>
      </c>
      <c r="B2081" s="5" t="str">
        <f t="shared" si="14"/>
        <v>N</v>
      </c>
      <c r="C2081" s="18"/>
      <c r="D2081" s="18"/>
      <c r="E2081" s="6" t="s">
        <v>6609</v>
      </c>
      <c r="F2081" s="19" t="s">
        <v>3666</v>
      </c>
      <c r="G2081" s="19" t="s">
        <v>6600</v>
      </c>
      <c r="H2081" s="5"/>
      <c r="L2081" s="6">
        <v>7633972325</v>
      </c>
      <c r="N2081" s="16"/>
      <c r="O2081" s="7"/>
      <c r="P2081" s="17"/>
    </row>
    <row r="2082" spans="1:16" ht="14.25" customHeight="1">
      <c r="A2082" s="5" t="s">
        <v>0</v>
      </c>
      <c r="B2082" s="5" t="str">
        <f t="shared" si="14"/>
        <v>Y</v>
      </c>
      <c r="C2082" s="18" t="s">
        <v>6610</v>
      </c>
      <c r="D2082" s="18"/>
      <c r="E2082" s="6" t="s">
        <v>6611</v>
      </c>
      <c r="F2082" s="19" t="s">
        <v>6612</v>
      </c>
      <c r="G2082" s="19" t="s">
        <v>6613</v>
      </c>
      <c r="H2082" s="20">
        <v>44538</v>
      </c>
      <c r="K2082" s="6" t="s">
        <v>6614</v>
      </c>
      <c r="L2082" s="6">
        <v>8797466112</v>
      </c>
      <c r="N2082" s="16"/>
      <c r="O2082" s="7"/>
      <c r="P2082" s="17"/>
    </row>
    <row r="2083" spans="1:16" ht="14.25" customHeight="1">
      <c r="A2083" s="5" t="s">
        <v>0</v>
      </c>
      <c r="B2083" s="5" t="str">
        <f t="shared" si="14"/>
        <v>Y</v>
      </c>
      <c r="C2083" s="18" t="s">
        <v>6615</v>
      </c>
      <c r="D2083" s="18"/>
      <c r="E2083" s="6" t="s">
        <v>6616</v>
      </c>
      <c r="F2083" s="19" t="s">
        <v>3293</v>
      </c>
      <c r="G2083" s="19" t="s">
        <v>6617</v>
      </c>
      <c r="H2083" s="20">
        <v>44534</v>
      </c>
      <c r="L2083" s="6">
        <v>8827836277</v>
      </c>
      <c r="N2083" s="16"/>
      <c r="O2083" s="7"/>
      <c r="P2083" s="17"/>
    </row>
    <row r="2084" spans="1:16" ht="14.25" customHeight="1">
      <c r="A2084" s="5" t="s">
        <v>0</v>
      </c>
      <c r="B2084" s="5" t="str">
        <f t="shared" si="14"/>
        <v>Y</v>
      </c>
      <c r="C2084" s="18" t="s">
        <v>6618</v>
      </c>
      <c r="D2084" s="18"/>
      <c r="E2084" s="6" t="s">
        <v>6619</v>
      </c>
      <c r="F2084" s="19" t="s">
        <v>6620</v>
      </c>
      <c r="G2084" s="19" t="s">
        <v>6617</v>
      </c>
      <c r="H2084" s="20">
        <v>44534</v>
      </c>
      <c r="L2084" s="6">
        <v>6201916498</v>
      </c>
      <c r="N2084" s="16"/>
      <c r="O2084" s="7"/>
      <c r="P2084" s="17"/>
    </row>
    <row r="2085" spans="1:16" ht="14.25" customHeight="1">
      <c r="A2085" s="5" t="s">
        <v>0</v>
      </c>
      <c r="B2085" s="5" t="str">
        <f t="shared" si="14"/>
        <v>Y</v>
      </c>
      <c r="C2085" s="18" t="s">
        <v>6621</v>
      </c>
      <c r="D2085" s="18"/>
      <c r="E2085" s="6" t="s">
        <v>6622</v>
      </c>
      <c r="F2085" s="19" t="s">
        <v>6623</v>
      </c>
      <c r="G2085" s="19" t="s">
        <v>6617</v>
      </c>
      <c r="H2085" s="20">
        <v>44534</v>
      </c>
      <c r="K2085" s="6" t="s">
        <v>6624</v>
      </c>
      <c r="L2085" s="6">
        <v>7091483625</v>
      </c>
      <c r="N2085" s="16"/>
      <c r="O2085" s="7"/>
      <c r="P2085" s="17"/>
    </row>
    <row r="2086" spans="1:16" ht="14.25" customHeight="1">
      <c r="A2086" s="5" t="s">
        <v>0</v>
      </c>
      <c r="B2086" s="5" t="str">
        <f t="shared" si="14"/>
        <v>N</v>
      </c>
      <c r="C2086" s="18" t="s">
        <v>6625</v>
      </c>
      <c r="D2086" s="18"/>
      <c r="E2086" s="6" t="s">
        <v>6626</v>
      </c>
      <c r="F2086" s="19" t="s">
        <v>6627</v>
      </c>
      <c r="G2086" s="19" t="s">
        <v>6613</v>
      </c>
      <c r="H2086" s="5"/>
      <c r="K2086" s="6" t="s">
        <v>6628</v>
      </c>
      <c r="L2086" s="6">
        <v>9798633482</v>
      </c>
      <c r="N2086" s="16"/>
      <c r="O2086" s="7"/>
      <c r="P2086" s="17"/>
    </row>
    <row r="2087" spans="1:16" ht="14.25" customHeight="1">
      <c r="A2087" s="5" t="s">
        <v>0</v>
      </c>
      <c r="B2087" s="5" t="str">
        <f t="shared" si="14"/>
        <v>Y</v>
      </c>
      <c r="C2087" s="18" t="s">
        <v>6629</v>
      </c>
      <c r="D2087" s="18"/>
      <c r="E2087" s="6" t="s">
        <v>6630</v>
      </c>
      <c r="F2087" s="19" t="s">
        <v>3099</v>
      </c>
      <c r="G2087" s="19" t="s">
        <v>6613</v>
      </c>
      <c r="H2087" s="20">
        <v>44538</v>
      </c>
      <c r="K2087" s="6" t="s">
        <v>4698</v>
      </c>
      <c r="L2087" s="6">
        <v>7091114102</v>
      </c>
      <c r="N2087" s="16"/>
      <c r="O2087" s="7"/>
      <c r="P2087" s="17"/>
    </row>
    <row r="2088" spans="1:16" ht="14.25" customHeight="1">
      <c r="A2088" s="5" t="s">
        <v>0</v>
      </c>
      <c r="B2088" s="5" t="str">
        <f t="shared" si="14"/>
        <v>Y</v>
      </c>
      <c r="C2088" s="18"/>
      <c r="D2088" s="18"/>
      <c r="E2088" s="6" t="s">
        <v>6631</v>
      </c>
      <c r="F2088" s="19" t="s">
        <v>5542</v>
      </c>
      <c r="G2088" s="19" t="s">
        <v>6613</v>
      </c>
      <c r="H2088" s="20">
        <v>44538</v>
      </c>
      <c r="N2088" s="16"/>
      <c r="O2088" s="7"/>
      <c r="P2088" s="17"/>
    </row>
    <row r="2089" spans="1:16" ht="14.25" customHeight="1">
      <c r="A2089" s="5" t="s">
        <v>0</v>
      </c>
      <c r="B2089" s="5" t="str">
        <f t="shared" si="14"/>
        <v>Y</v>
      </c>
      <c r="C2089" s="18" t="s">
        <v>6632</v>
      </c>
      <c r="D2089" s="18"/>
      <c r="E2089" s="6" t="s">
        <v>2612</v>
      </c>
      <c r="F2089" s="19" t="s">
        <v>6633</v>
      </c>
      <c r="G2089" s="19" t="s">
        <v>6613</v>
      </c>
      <c r="H2089" s="20">
        <v>44538</v>
      </c>
      <c r="K2089" s="6" t="s">
        <v>6634</v>
      </c>
      <c r="L2089" s="6">
        <v>9472011464</v>
      </c>
      <c r="N2089" s="16"/>
      <c r="O2089" s="7"/>
      <c r="P2089" s="17"/>
    </row>
    <row r="2090" spans="1:16" ht="14.25" customHeight="1">
      <c r="A2090" s="5" t="s">
        <v>0</v>
      </c>
      <c r="B2090" s="5" t="str">
        <f t="shared" si="14"/>
        <v>Y</v>
      </c>
      <c r="C2090" s="18" t="s">
        <v>6635</v>
      </c>
      <c r="D2090" s="18"/>
      <c r="E2090" s="6" t="s">
        <v>6636</v>
      </c>
      <c r="F2090" s="19" t="s">
        <v>6637</v>
      </c>
      <c r="G2090" s="19" t="s">
        <v>6613</v>
      </c>
      <c r="H2090" s="20">
        <v>44538</v>
      </c>
      <c r="K2090" s="6" t="s">
        <v>6638</v>
      </c>
      <c r="L2090" s="6">
        <v>6205635652</v>
      </c>
      <c r="N2090" s="16"/>
      <c r="O2090" s="7"/>
      <c r="P2090" s="17"/>
    </row>
    <row r="2091" spans="1:16" ht="14.25" customHeight="1">
      <c r="A2091" s="5" t="s">
        <v>0</v>
      </c>
      <c r="B2091" s="5" t="str">
        <f t="shared" ref="B2091:B2092" si="15">IF(H2107="","N","Y")</f>
        <v>Y</v>
      </c>
      <c r="C2091" s="18" t="s">
        <v>6639</v>
      </c>
      <c r="D2091" s="18"/>
      <c r="E2091" s="6" t="s">
        <v>6640</v>
      </c>
      <c r="F2091" s="19" t="s">
        <v>6641</v>
      </c>
      <c r="G2091" s="19" t="s">
        <v>6642</v>
      </c>
      <c r="H2091" s="20">
        <v>44540</v>
      </c>
      <c r="K2091" s="6" t="s">
        <v>6643</v>
      </c>
      <c r="L2091" s="6">
        <v>6287750955</v>
      </c>
      <c r="N2091" s="16"/>
      <c r="O2091" s="7"/>
      <c r="P2091" s="17"/>
    </row>
    <row r="2092" spans="1:16" ht="14.25" customHeight="1">
      <c r="A2092" s="5" t="s">
        <v>0</v>
      </c>
      <c r="B2092" s="5" t="str">
        <f t="shared" si="15"/>
        <v>Y</v>
      </c>
      <c r="C2092" s="18" t="s">
        <v>6644</v>
      </c>
      <c r="D2092" s="18"/>
      <c r="E2092" s="6" t="s">
        <v>6645</v>
      </c>
      <c r="F2092" s="19" t="s">
        <v>6646</v>
      </c>
      <c r="G2092" s="19" t="s">
        <v>6642</v>
      </c>
      <c r="H2092" s="20">
        <v>44540</v>
      </c>
      <c r="K2092" s="6" t="s">
        <v>6634</v>
      </c>
      <c r="L2092" s="6">
        <v>9939221082</v>
      </c>
      <c r="N2092" s="16"/>
      <c r="O2092" s="7"/>
      <c r="P2092" s="17"/>
    </row>
    <row r="2093" spans="1:16" ht="14.25" customHeight="1">
      <c r="A2093" s="5" t="s">
        <v>0</v>
      </c>
      <c r="B2093" s="5" t="str">
        <f t="shared" ref="B2093:B2094" si="16">IF(H2091="","N","Y")</f>
        <v>Y</v>
      </c>
      <c r="C2093" s="18" t="s">
        <v>6647</v>
      </c>
      <c r="D2093" s="18"/>
      <c r="E2093" s="6" t="s">
        <v>6648</v>
      </c>
      <c r="F2093" s="19" t="s">
        <v>6649</v>
      </c>
      <c r="G2093" s="19" t="s">
        <v>6642</v>
      </c>
      <c r="H2093" s="20">
        <v>44540</v>
      </c>
      <c r="K2093" s="6" t="s">
        <v>6650</v>
      </c>
      <c r="L2093" s="6">
        <v>9113734487</v>
      </c>
      <c r="N2093" s="16"/>
      <c r="O2093" s="7"/>
      <c r="P2093" s="17"/>
    </row>
    <row r="2094" spans="1:16" ht="14.25" customHeight="1">
      <c r="A2094" s="5" t="s">
        <v>0</v>
      </c>
      <c r="B2094" s="5" t="str">
        <f t="shared" si="16"/>
        <v>Y</v>
      </c>
      <c r="C2094" s="18" t="s">
        <v>6651</v>
      </c>
      <c r="D2094" s="18"/>
      <c r="E2094" s="6" t="s">
        <v>6652</v>
      </c>
      <c r="F2094" s="19" t="s">
        <v>6653</v>
      </c>
      <c r="G2094" s="19"/>
      <c r="H2094" s="5"/>
      <c r="L2094" s="6">
        <v>7542903127</v>
      </c>
      <c r="N2094" s="16"/>
      <c r="O2094" s="7"/>
      <c r="P2094" s="17"/>
    </row>
    <row r="2095" spans="1:16" ht="14.25" customHeight="1">
      <c r="A2095" s="5" t="s">
        <v>0</v>
      </c>
      <c r="B2095" s="5" t="str">
        <f t="shared" ref="B2095:B2126" si="17">IF(H2095="","N","Y")</f>
        <v>Y</v>
      </c>
      <c r="C2095" s="6" t="s">
        <v>6654</v>
      </c>
      <c r="D2095" s="6"/>
      <c r="E2095" s="6" t="s">
        <v>6655</v>
      </c>
      <c r="F2095" s="19" t="s">
        <v>6120</v>
      </c>
      <c r="G2095" s="19" t="s">
        <v>6656</v>
      </c>
      <c r="H2095" s="19" t="s">
        <v>6656</v>
      </c>
      <c r="L2095" s="6">
        <v>9668002629</v>
      </c>
      <c r="N2095" s="16"/>
      <c r="O2095" s="7"/>
      <c r="P2095" s="17"/>
    </row>
    <row r="2096" spans="1:16" ht="14.25" customHeight="1">
      <c r="A2096" s="5" t="s">
        <v>0</v>
      </c>
      <c r="B2096" s="5" t="str">
        <f t="shared" si="17"/>
        <v>N</v>
      </c>
      <c r="C2096" s="18" t="s">
        <v>6657</v>
      </c>
      <c r="D2096" s="18"/>
      <c r="E2096" s="6" t="s">
        <v>6658</v>
      </c>
      <c r="F2096" s="19" t="s">
        <v>6659</v>
      </c>
      <c r="G2096" s="19"/>
      <c r="H2096" s="5"/>
      <c r="L2096" s="6">
        <v>8292866460</v>
      </c>
      <c r="N2096" s="16"/>
      <c r="O2096" s="7"/>
      <c r="P2096" s="17"/>
    </row>
    <row r="2097" spans="1:16" ht="14.25" customHeight="1">
      <c r="A2097" s="5" t="s">
        <v>0</v>
      </c>
      <c r="B2097" s="5" t="str">
        <f t="shared" si="17"/>
        <v>Y</v>
      </c>
      <c r="C2097" s="6" t="s">
        <v>6660</v>
      </c>
      <c r="D2097" s="6"/>
      <c r="E2097" s="70" t="s">
        <v>6661</v>
      </c>
      <c r="F2097" s="71" t="s">
        <v>6662</v>
      </c>
      <c r="G2097" s="71"/>
      <c r="H2097" s="69" t="s">
        <v>6663</v>
      </c>
      <c r="L2097" s="6">
        <v>9934587315</v>
      </c>
      <c r="N2097" s="16"/>
      <c r="O2097" s="7"/>
      <c r="P2097" s="17"/>
    </row>
    <row r="2098" spans="1:16" ht="14.25" customHeight="1">
      <c r="A2098" s="5" t="s">
        <v>0</v>
      </c>
      <c r="B2098" s="5" t="str">
        <f t="shared" si="17"/>
        <v>Y</v>
      </c>
      <c r="C2098" s="18" t="s">
        <v>6664</v>
      </c>
      <c r="D2098" s="18"/>
      <c r="E2098" s="6" t="s">
        <v>6665</v>
      </c>
      <c r="F2098" s="19" t="s">
        <v>6666</v>
      </c>
      <c r="G2098" s="19" t="s">
        <v>6667</v>
      </c>
      <c r="H2098" s="19" t="s">
        <v>6668</v>
      </c>
      <c r="L2098" s="6">
        <v>6206852720</v>
      </c>
      <c r="N2098" s="16"/>
      <c r="O2098" s="7"/>
      <c r="P2098" s="17"/>
    </row>
    <row r="2099" spans="1:16" ht="14.25" customHeight="1">
      <c r="A2099" s="5" t="s">
        <v>0</v>
      </c>
      <c r="B2099" s="5" t="str">
        <f t="shared" si="17"/>
        <v>Y</v>
      </c>
      <c r="C2099" s="18" t="s">
        <v>6669</v>
      </c>
      <c r="D2099" s="18"/>
      <c r="E2099" s="6" t="s">
        <v>6670</v>
      </c>
      <c r="F2099" s="19" t="s">
        <v>6671</v>
      </c>
      <c r="G2099" s="19" t="s">
        <v>6667</v>
      </c>
      <c r="H2099" s="19" t="s">
        <v>6668</v>
      </c>
      <c r="L2099" s="6">
        <v>9057631400</v>
      </c>
      <c r="N2099" s="16"/>
      <c r="O2099" s="7"/>
      <c r="P2099" s="17"/>
    </row>
    <row r="2100" spans="1:16" ht="14.25" customHeight="1">
      <c r="A2100" s="5" t="s">
        <v>0</v>
      </c>
      <c r="B2100" s="5" t="str">
        <f t="shared" si="17"/>
        <v>Y</v>
      </c>
      <c r="C2100" s="18" t="s">
        <v>6654</v>
      </c>
      <c r="D2100" s="18"/>
      <c r="E2100" s="6" t="s">
        <v>6655</v>
      </c>
      <c r="F2100" s="19" t="s">
        <v>6672</v>
      </c>
      <c r="G2100" s="19" t="s">
        <v>6667</v>
      </c>
      <c r="H2100" s="19" t="s">
        <v>6668</v>
      </c>
      <c r="L2100" s="6">
        <v>9668002629</v>
      </c>
      <c r="N2100" s="16"/>
      <c r="O2100" s="7"/>
      <c r="P2100" s="17"/>
    </row>
    <row r="2101" spans="1:16" ht="14.25" customHeight="1">
      <c r="A2101" s="5" t="s">
        <v>0</v>
      </c>
      <c r="B2101" s="5" t="str">
        <f t="shared" si="17"/>
        <v>Y</v>
      </c>
      <c r="C2101" s="18" t="s">
        <v>6673</v>
      </c>
      <c r="D2101" s="18"/>
      <c r="E2101" s="6" t="s">
        <v>6674</v>
      </c>
      <c r="F2101" s="19" t="s">
        <v>6675</v>
      </c>
      <c r="G2101" s="19" t="s">
        <v>6667</v>
      </c>
      <c r="H2101" s="19" t="s">
        <v>6668</v>
      </c>
      <c r="L2101" s="6">
        <v>7764983318</v>
      </c>
      <c r="N2101" s="16"/>
      <c r="O2101" s="7"/>
      <c r="P2101" s="17"/>
    </row>
    <row r="2102" spans="1:16" ht="14.25" customHeight="1">
      <c r="A2102" s="5" t="s">
        <v>0</v>
      </c>
      <c r="B2102" s="5" t="str">
        <f t="shared" si="17"/>
        <v>Y</v>
      </c>
      <c r="C2102" s="18" t="s">
        <v>6676</v>
      </c>
      <c r="D2102" s="18"/>
      <c r="E2102" s="6" t="s">
        <v>6677</v>
      </c>
      <c r="F2102" s="19" t="s">
        <v>6678</v>
      </c>
      <c r="G2102" s="19" t="s">
        <v>6667</v>
      </c>
      <c r="H2102" s="19" t="s">
        <v>6668</v>
      </c>
      <c r="L2102" s="6">
        <v>9386297857</v>
      </c>
      <c r="N2102" s="16"/>
      <c r="O2102" s="7"/>
      <c r="P2102" s="17"/>
    </row>
    <row r="2103" spans="1:16" ht="14.25" customHeight="1">
      <c r="A2103" s="5" t="s">
        <v>0</v>
      </c>
      <c r="B2103" s="5" t="str">
        <f t="shared" si="17"/>
        <v>Y</v>
      </c>
      <c r="C2103" s="18" t="s">
        <v>6679</v>
      </c>
      <c r="D2103" s="18"/>
      <c r="E2103" s="6" t="s">
        <v>6680</v>
      </c>
      <c r="F2103" s="19" t="s">
        <v>2428</v>
      </c>
      <c r="G2103" s="19" t="s">
        <v>6667</v>
      </c>
      <c r="H2103" s="19" t="s">
        <v>6668</v>
      </c>
      <c r="L2103" s="6">
        <v>9631515447</v>
      </c>
      <c r="N2103" s="16"/>
      <c r="O2103" s="7"/>
      <c r="P2103" s="17"/>
    </row>
    <row r="2104" spans="1:16" ht="14.25" customHeight="1">
      <c r="A2104" s="5" t="s">
        <v>0</v>
      </c>
      <c r="B2104" s="5" t="str">
        <f t="shared" si="17"/>
        <v>Y</v>
      </c>
      <c r="C2104" s="18" t="s">
        <v>6681</v>
      </c>
      <c r="D2104" s="18"/>
      <c r="E2104" s="6" t="s">
        <v>6682</v>
      </c>
      <c r="F2104" s="19" t="s">
        <v>6683</v>
      </c>
      <c r="G2104" s="19" t="s">
        <v>6667</v>
      </c>
      <c r="H2104" s="19" t="s">
        <v>6668</v>
      </c>
      <c r="L2104" s="6">
        <v>7856886204</v>
      </c>
      <c r="N2104" s="16"/>
      <c r="O2104" s="7"/>
      <c r="P2104" s="17"/>
    </row>
    <row r="2105" spans="1:16" ht="14.25" customHeight="1">
      <c r="A2105" s="5" t="s">
        <v>0</v>
      </c>
      <c r="B2105" s="5" t="str">
        <f t="shared" si="17"/>
        <v>Y</v>
      </c>
      <c r="C2105" s="18" t="s">
        <v>6684</v>
      </c>
      <c r="D2105" s="18"/>
      <c r="E2105" s="6" t="s">
        <v>6685</v>
      </c>
      <c r="F2105" s="19" t="s">
        <v>6686</v>
      </c>
      <c r="G2105" s="19" t="s">
        <v>6667</v>
      </c>
      <c r="H2105" s="19" t="s">
        <v>6668</v>
      </c>
      <c r="L2105" s="6">
        <v>7070361149</v>
      </c>
      <c r="N2105" s="16"/>
      <c r="O2105" s="7"/>
      <c r="P2105" s="17"/>
    </row>
    <row r="2106" spans="1:16" ht="14.25" customHeight="1">
      <c r="A2106" s="5" t="s">
        <v>0</v>
      </c>
      <c r="B2106" s="5" t="str">
        <f t="shared" si="17"/>
        <v>Y</v>
      </c>
      <c r="C2106" s="18" t="s">
        <v>6687</v>
      </c>
      <c r="D2106" s="18"/>
      <c r="E2106" s="6" t="s">
        <v>6688</v>
      </c>
      <c r="F2106" s="19" t="s">
        <v>6689</v>
      </c>
      <c r="G2106" s="19" t="s">
        <v>6667</v>
      </c>
      <c r="H2106" s="19" t="s">
        <v>6668</v>
      </c>
      <c r="L2106" s="6">
        <v>8863800125</v>
      </c>
      <c r="N2106" s="16"/>
      <c r="O2106" s="7"/>
      <c r="P2106" s="17"/>
    </row>
    <row r="2107" spans="1:16" ht="14.25" customHeight="1">
      <c r="A2107" s="5" t="s">
        <v>0</v>
      </c>
      <c r="B2107" s="5" t="str">
        <f t="shared" si="17"/>
        <v>Y</v>
      </c>
      <c r="C2107" s="18" t="s">
        <v>6660</v>
      </c>
      <c r="D2107" s="18"/>
      <c r="E2107" s="6" t="s">
        <v>6690</v>
      </c>
      <c r="F2107" s="19" t="s">
        <v>6691</v>
      </c>
      <c r="G2107" s="19" t="s">
        <v>6667</v>
      </c>
      <c r="H2107" s="19" t="s">
        <v>6668</v>
      </c>
      <c r="L2107" s="6">
        <v>9934587315</v>
      </c>
      <c r="N2107" s="16"/>
      <c r="O2107" s="7"/>
      <c r="P2107" s="17"/>
    </row>
    <row r="2108" spans="1:16" ht="14.25" customHeight="1">
      <c r="A2108" s="5" t="s">
        <v>0</v>
      </c>
      <c r="B2108" s="5" t="str">
        <f t="shared" si="17"/>
        <v>Y</v>
      </c>
      <c r="C2108" s="6" t="s">
        <v>6692</v>
      </c>
      <c r="D2108" s="6"/>
      <c r="E2108" s="6" t="s">
        <v>6693</v>
      </c>
      <c r="F2108" s="19" t="s">
        <v>6694</v>
      </c>
      <c r="G2108" s="19" t="s">
        <v>6667</v>
      </c>
      <c r="H2108" s="20">
        <v>44544</v>
      </c>
      <c r="L2108" s="6">
        <v>9204024742</v>
      </c>
      <c r="N2108" s="16"/>
      <c r="O2108" s="7"/>
      <c r="P2108" s="17"/>
    </row>
    <row r="2109" spans="1:16" ht="14.25" customHeight="1">
      <c r="A2109" s="5" t="s">
        <v>0</v>
      </c>
      <c r="B2109" s="5" t="str">
        <f t="shared" si="17"/>
        <v>Y</v>
      </c>
      <c r="C2109" s="18" t="s">
        <v>6695</v>
      </c>
      <c r="D2109" s="18"/>
      <c r="E2109" s="6" t="s">
        <v>6696</v>
      </c>
      <c r="F2109" s="19" t="s">
        <v>6697</v>
      </c>
      <c r="G2109" s="19" t="s">
        <v>6668</v>
      </c>
      <c r="H2109" s="19" t="s">
        <v>6668</v>
      </c>
      <c r="L2109" s="6">
        <v>9606231827</v>
      </c>
      <c r="N2109" s="16"/>
      <c r="O2109" s="7"/>
      <c r="P2109" s="17"/>
    </row>
    <row r="2110" spans="1:16" ht="14.25" customHeight="1">
      <c r="A2110" s="5" t="s">
        <v>0</v>
      </c>
      <c r="B2110" s="5" t="str">
        <f t="shared" si="17"/>
        <v>Y</v>
      </c>
      <c r="C2110" s="18" t="s">
        <v>6698</v>
      </c>
      <c r="D2110" s="18"/>
      <c r="E2110" s="6" t="s">
        <v>6699</v>
      </c>
      <c r="F2110" s="19" t="s">
        <v>6700</v>
      </c>
      <c r="G2110" s="19" t="s">
        <v>6668</v>
      </c>
      <c r="H2110" s="19" t="s">
        <v>6668</v>
      </c>
      <c r="L2110" s="6">
        <v>6287750955</v>
      </c>
      <c r="N2110" s="16"/>
      <c r="O2110" s="7"/>
      <c r="P2110" s="17"/>
    </row>
    <row r="2111" spans="1:16" ht="14.25" customHeight="1">
      <c r="A2111" s="5" t="s">
        <v>0</v>
      </c>
      <c r="B2111" s="5" t="str">
        <f t="shared" si="17"/>
        <v>Y</v>
      </c>
      <c r="C2111" s="18" t="s">
        <v>6701</v>
      </c>
      <c r="D2111" s="18"/>
      <c r="E2111" s="6" t="s">
        <v>6702</v>
      </c>
      <c r="F2111" s="19" t="s">
        <v>6703</v>
      </c>
      <c r="G2111" s="19" t="s">
        <v>6264</v>
      </c>
      <c r="H2111" s="20">
        <v>44485</v>
      </c>
      <c r="L2111" s="6">
        <v>9661274078</v>
      </c>
      <c r="N2111" s="16"/>
      <c r="O2111" s="7"/>
      <c r="P2111" s="17"/>
    </row>
    <row r="2112" spans="1:16" ht="14.25" customHeight="1">
      <c r="A2112" s="5" t="s">
        <v>0</v>
      </c>
      <c r="B2112" s="5" t="str">
        <f t="shared" si="17"/>
        <v>Y</v>
      </c>
      <c r="C2112" s="18" t="s">
        <v>6704</v>
      </c>
      <c r="D2112" s="18"/>
      <c r="E2112" s="6" t="s">
        <v>6705</v>
      </c>
      <c r="F2112" s="19" t="s">
        <v>6706</v>
      </c>
      <c r="G2112" s="19" t="s">
        <v>6264</v>
      </c>
      <c r="H2112" s="20">
        <v>44485</v>
      </c>
      <c r="L2112" s="6">
        <v>8797019439</v>
      </c>
      <c r="N2112" s="16"/>
      <c r="O2112" s="7"/>
      <c r="P2112" s="17"/>
    </row>
    <row r="2113" spans="1:16" ht="14.25" customHeight="1">
      <c r="A2113" s="5" t="s">
        <v>0</v>
      </c>
      <c r="B2113" s="5" t="str">
        <f t="shared" si="17"/>
        <v>Y</v>
      </c>
      <c r="C2113" s="18" t="s">
        <v>6707</v>
      </c>
      <c r="D2113" s="18"/>
      <c r="E2113" s="6" t="s">
        <v>6708</v>
      </c>
      <c r="F2113" s="19" t="s">
        <v>4906</v>
      </c>
      <c r="G2113" s="19" t="s">
        <v>6709</v>
      </c>
      <c r="H2113" s="19" t="s">
        <v>6709</v>
      </c>
      <c r="L2113" s="6">
        <v>9279343538</v>
      </c>
      <c r="N2113" s="16"/>
      <c r="O2113" s="7"/>
      <c r="P2113" s="17"/>
    </row>
    <row r="2114" spans="1:16" ht="14.25" customHeight="1">
      <c r="A2114" s="5" t="s">
        <v>0</v>
      </c>
      <c r="B2114" s="5" t="str">
        <f t="shared" si="17"/>
        <v>Y</v>
      </c>
      <c r="C2114" s="18" t="s">
        <v>6710</v>
      </c>
      <c r="D2114" s="18"/>
      <c r="E2114" s="6" t="s">
        <v>6711</v>
      </c>
      <c r="F2114" s="19" t="s">
        <v>6712</v>
      </c>
      <c r="G2114" s="19" t="s">
        <v>6709</v>
      </c>
      <c r="H2114" s="19" t="s">
        <v>6709</v>
      </c>
      <c r="L2114" s="6">
        <v>9279343538</v>
      </c>
      <c r="N2114" s="16"/>
      <c r="O2114" s="7"/>
      <c r="P2114" s="17"/>
    </row>
    <row r="2115" spans="1:16" ht="14.25" customHeight="1">
      <c r="A2115" s="5" t="s">
        <v>0</v>
      </c>
      <c r="B2115" s="5" t="str">
        <f t="shared" si="17"/>
        <v>Y</v>
      </c>
      <c r="C2115" s="18" t="s">
        <v>6713</v>
      </c>
      <c r="D2115" s="18"/>
      <c r="E2115" s="6" t="s">
        <v>6714</v>
      </c>
      <c r="F2115" s="19" t="s">
        <v>3383</v>
      </c>
      <c r="G2115" s="19" t="s">
        <v>6709</v>
      </c>
      <c r="H2115" s="19" t="s">
        <v>6709</v>
      </c>
      <c r="L2115" s="6">
        <v>6200073337</v>
      </c>
      <c r="N2115" s="16"/>
      <c r="O2115" s="7"/>
      <c r="P2115" s="17"/>
    </row>
    <row r="2116" spans="1:16" ht="14.25" customHeight="1">
      <c r="A2116" s="5" t="s">
        <v>0</v>
      </c>
      <c r="B2116" s="5" t="str">
        <f t="shared" si="17"/>
        <v>Y</v>
      </c>
      <c r="C2116" s="18" t="s">
        <v>6715</v>
      </c>
      <c r="D2116" s="18"/>
      <c r="E2116" s="6" t="s">
        <v>6716</v>
      </c>
      <c r="F2116" s="19" t="s">
        <v>6717</v>
      </c>
      <c r="G2116" s="19" t="s">
        <v>6656</v>
      </c>
      <c r="H2116" s="20">
        <v>44548</v>
      </c>
      <c r="L2116" s="6">
        <v>8825230298</v>
      </c>
      <c r="N2116" s="16"/>
      <c r="O2116" s="7"/>
      <c r="P2116" s="17"/>
    </row>
    <row r="2117" spans="1:16" ht="14.25" customHeight="1">
      <c r="A2117" s="5" t="s">
        <v>0</v>
      </c>
      <c r="B2117" s="5" t="str">
        <f t="shared" si="17"/>
        <v>Y</v>
      </c>
      <c r="C2117" s="18" t="s">
        <v>6718</v>
      </c>
      <c r="D2117" s="18"/>
      <c r="E2117" s="6" t="s">
        <v>6719</v>
      </c>
      <c r="F2117" s="19" t="s">
        <v>6720</v>
      </c>
      <c r="G2117" s="19" t="s">
        <v>6721</v>
      </c>
      <c r="H2117" s="20">
        <v>44547</v>
      </c>
      <c r="L2117" s="6">
        <v>9835316634</v>
      </c>
      <c r="N2117" s="16"/>
      <c r="O2117" s="7"/>
      <c r="P2117" s="17"/>
    </row>
    <row r="2118" spans="1:16" ht="14.25" customHeight="1">
      <c r="A2118" s="5" t="s">
        <v>0</v>
      </c>
      <c r="B2118" s="5" t="str">
        <f t="shared" si="17"/>
        <v>Y</v>
      </c>
      <c r="C2118" s="18" t="s">
        <v>6722</v>
      </c>
      <c r="D2118" s="18"/>
      <c r="E2118" s="6" t="s">
        <v>6723</v>
      </c>
      <c r="F2118" s="19" t="s">
        <v>6724</v>
      </c>
      <c r="G2118" s="19" t="s">
        <v>6656</v>
      </c>
      <c r="H2118" s="20">
        <v>44548</v>
      </c>
      <c r="L2118" s="6">
        <v>9263212433</v>
      </c>
      <c r="N2118" s="16"/>
      <c r="O2118" s="7"/>
      <c r="P2118" s="17"/>
    </row>
    <row r="2119" spans="1:16" ht="14.25" customHeight="1">
      <c r="A2119" s="5" t="s">
        <v>0</v>
      </c>
      <c r="B2119" s="5" t="str">
        <f t="shared" si="17"/>
        <v>Y</v>
      </c>
      <c r="C2119" s="18" t="s">
        <v>6725</v>
      </c>
      <c r="D2119" s="18"/>
      <c r="E2119" s="6" t="s">
        <v>6726</v>
      </c>
      <c r="F2119" s="19" t="s">
        <v>6727</v>
      </c>
      <c r="G2119" s="19" t="s">
        <v>6656</v>
      </c>
      <c r="H2119" s="20">
        <v>44548</v>
      </c>
      <c r="L2119" s="6">
        <v>9234528685</v>
      </c>
      <c r="N2119" s="16"/>
      <c r="O2119" s="7"/>
      <c r="P2119" s="17"/>
    </row>
    <row r="2120" spans="1:16" ht="14.25" customHeight="1">
      <c r="A2120" s="5" t="s">
        <v>0</v>
      </c>
      <c r="B2120" s="5" t="str">
        <f t="shared" si="17"/>
        <v>N</v>
      </c>
      <c r="C2120" s="18" t="s">
        <v>6728</v>
      </c>
      <c r="D2120" s="18"/>
      <c r="E2120" s="6" t="s">
        <v>6729</v>
      </c>
      <c r="F2120" s="19"/>
      <c r="G2120" s="19"/>
      <c r="H2120" s="5"/>
      <c r="I2120" s="6" t="s">
        <v>6730</v>
      </c>
      <c r="L2120" s="6">
        <v>6203881156</v>
      </c>
      <c r="N2120" s="16"/>
      <c r="O2120" s="7"/>
      <c r="P2120" s="17"/>
    </row>
    <row r="2121" spans="1:16" ht="14.25" customHeight="1">
      <c r="A2121" s="5" t="s">
        <v>0</v>
      </c>
      <c r="B2121" s="5" t="str">
        <f t="shared" si="17"/>
        <v>Y</v>
      </c>
      <c r="C2121" s="18" t="s">
        <v>6731</v>
      </c>
      <c r="D2121" s="18"/>
      <c r="E2121" s="6" t="s">
        <v>6732</v>
      </c>
      <c r="F2121" s="19" t="s">
        <v>6733</v>
      </c>
      <c r="G2121" s="19" t="s">
        <v>6734</v>
      </c>
      <c r="H2121" s="19" t="s">
        <v>6734</v>
      </c>
      <c r="L2121" s="6">
        <v>9204389679</v>
      </c>
      <c r="N2121" s="16"/>
      <c r="O2121" s="7"/>
      <c r="P2121" s="17"/>
    </row>
    <row r="2122" spans="1:16" ht="14.25" customHeight="1">
      <c r="A2122" s="5" t="s">
        <v>0</v>
      </c>
      <c r="B2122" s="5" t="str">
        <f t="shared" si="17"/>
        <v>N</v>
      </c>
      <c r="C2122" s="18" t="s">
        <v>6728</v>
      </c>
      <c r="D2122" s="18"/>
      <c r="E2122" s="6" t="s">
        <v>6735</v>
      </c>
      <c r="F2122" s="19" t="s">
        <v>6736</v>
      </c>
      <c r="G2122" s="19"/>
      <c r="H2122" s="5"/>
      <c r="L2122" s="6">
        <v>7440184882</v>
      </c>
      <c r="N2122" s="16"/>
      <c r="O2122" s="7"/>
      <c r="P2122" s="17"/>
    </row>
    <row r="2123" spans="1:16" ht="14.25" customHeight="1">
      <c r="A2123" s="5" t="s">
        <v>0</v>
      </c>
      <c r="B2123" s="5" t="str">
        <f t="shared" si="17"/>
        <v>Y</v>
      </c>
      <c r="C2123" s="18" t="s">
        <v>6657</v>
      </c>
      <c r="D2123" s="18"/>
      <c r="E2123" s="6" t="s">
        <v>6737</v>
      </c>
      <c r="F2123" s="19" t="s">
        <v>2500</v>
      </c>
      <c r="G2123" s="19" t="s">
        <v>6738</v>
      </c>
      <c r="H2123" s="20">
        <v>44550</v>
      </c>
      <c r="L2123" s="6">
        <v>8292860460</v>
      </c>
      <c r="N2123" s="16"/>
      <c r="O2123" s="7"/>
      <c r="P2123" s="17"/>
    </row>
    <row r="2124" spans="1:16" ht="14.25" customHeight="1">
      <c r="A2124" s="5" t="s">
        <v>0</v>
      </c>
      <c r="B2124" s="5" t="str">
        <f t="shared" si="17"/>
        <v>Y</v>
      </c>
      <c r="C2124" s="18" t="s">
        <v>6739</v>
      </c>
      <c r="D2124" s="18"/>
      <c r="E2124" s="6" t="s">
        <v>6740</v>
      </c>
      <c r="F2124" s="19" t="s">
        <v>6741</v>
      </c>
      <c r="G2124" s="19" t="s">
        <v>6734</v>
      </c>
      <c r="H2124" s="19" t="s">
        <v>6734</v>
      </c>
      <c r="L2124" s="6">
        <v>9308356571</v>
      </c>
      <c r="N2124" s="16"/>
      <c r="O2124" s="7"/>
      <c r="P2124" s="17"/>
    </row>
    <row r="2125" spans="1:16" ht="14.25" customHeight="1">
      <c r="A2125" s="5" t="s">
        <v>0</v>
      </c>
      <c r="B2125" s="5" t="str">
        <f t="shared" si="17"/>
        <v>Y</v>
      </c>
      <c r="C2125" s="18" t="s">
        <v>6742</v>
      </c>
      <c r="D2125" s="18"/>
      <c r="E2125" s="6" t="s">
        <v>6743</v>
      </c>
      <c r="F2125" s="19" t="s">
        <v>6744</v>
      </c>
      <c r="G2125" s="19" t="s">
        <v>6734</v>
      </c>
      <c r="H2125" s="19" t="s">
        <v>6734</v>
      </c>
      <c r="L2125" s="6">
        <v>9304403372</v>
      </c>
      <c r="N2125" s="16"/>
      <c r="O2125" s="7"/>
      <c r="P2125" s="17"/>
    </row>
    <row r="2126" spans="1:16" ht="14.25" customHeight="1">
      <c r="A2126" s="5" t="s">
        <v>0</v>
      </c>
      <c r="B2126" s="5" t="str">
        <f t="shared" si="17"/>
        <v>Y</v>
      </c>
      <c r="C2126" s="18" t="s">
        <v>6745</v>
      </c>
      <c r="D2126" s="18"/>
      <c r="E2126" s="6" t="s">
        <v>6746</v>
      </c>
      <c r="F2126" s="19" t="s">
        <v>6747</v>
      </c>
      <c r="G2126" s="19" t="s">
        <v>6734</v>
      </c>
      <c r="H2126" s="19" t="s">
        <v>6734</v>
      </c>
      <c r="L2126" s="6">
        <v>8864025864</v>
      </c>
      <c r="N2126" s="16"/>
      <c r="O2126" s="7"/>
      <c r="P2126" s="17"/>
    </row>
    <row r="2127" spans="1:16" ht="14.25" customHeight="1">
      <c r="A2127" s="5" t="s">
        <v>0</v>
      </c>
      <c r="B2127" s="5" t="str">
        <f>IF(H2116="","N","Y")</f>
        <v>Y</v>
      </c>
      <c r="C2127" s="18" t="s">
        <v>6748</v>
      </c>
      <c r="D2127" s="18"/>
      <c r="E2127" s="6" t="s">
        <v>6749</v>
      </c>
      <c r="F2127" s="19" t="s">
        <v>6750</v>
      </c>
      <c r="G2127" s="19" t="s">
        <v>6751</v>
      </c>
      <c r="H2127" s="19" t="s">
        <v>6751</v>
      </c>
      <c r="L2127" s="6">
        <v>9835104748</v>
      </c>
      <c r="N2127" s="16"/>
      <c r="O2127" s="7"/>
      <c r="P2127" s="17"/>
    </row>
    <row r="2128" spans="1:16" ht="14.25" customHeight="1">
      <c r="A2128" s="5" t="s">
        <v>0</v>
      </c>
      <c r="B2128" s="5" t="str">
        <f t="shared" ref="B2128:B2381" si="18">IF(H2128="","N","Y")</f>
        <v>Y</v>
      </c>
      <c r="C2128" s="18" t="s">
        <v>6752</v>
      </c>
      <c r="D2128" s="18"/>
      <c r="E2128" s="6" t="s">
        <v>6753</v>
      </c>
      <c r="F2128" s="19" t="s">
        <v>6754</v>
      </c>
      <c r="G2128" s="19" t="s">
        <v>6751</v>
      </c>
      <c r="H2128" s="19" t="s">
        <v>6751</v>
      </c>
      <c r="L2128" s="6">
        <v>7070360954</v>
      </c>
      <c r="N2128" s="16"/>
      <c r="O2128" s="7"/>
      <c r="P2128" s="17"/>
    </row>
    <row r="2129" spans="1:16" ht="14.25" customHeight="1">
      <c r="A2129" s="5" t="s">
        <v>0</v>
      </c>
      <c r="B2129" s="5" t="str">
        <f t="shared" si="18"/>
        <v>Y</v>
      </c>
      <c r="C2129" s="18" t="s">
        <v>6755</v>
      </c>
      <c r="D2129" s="18"/>
      <c r="E2129" s="6" t="s">
        <v>6756</v>
      </c>
      <c r="F2129" s="19" t="s">
        <v>6757</v>
      </c>
      <c r="G2129" s="19" t="s">
        <v>6751</v>
      </c>
      <c r="H2129" s="19" t="s">
        <v>6751</v>
      </c>
      <c r="L2129" s="6">
        <v>9431569365</v>
      </c>
      <c r="N2129" s="16"/>
      <c r="O2129" s="7"/>
      <c r="P2129" s="17"/>
    </row>
    <row r="2130" spans="1:16" ht="14.25" customHeight="1">
      <c r="A2130" s="5" t="s">
        <v>0</v>
      </c>
      <c r="B2130" s="5" t="str">
        <f t="shared" si="18"/>
        <v>Y</v>
      </c>
      <c r="C2130" s="18" t="s">
        <v>6758</v>
      </c>
      <c r="D2130" s="18"/>
      <c r="E2130" s="6" t="s">
        <v>6759</v>
      </c>
      <c r="F2130" s="19" t="s">
        <v>6760</v>
      </c>
      <c r="G2130" s="19" t="s">
        <v>6751</v>
      </c>
      <c r="H2130" s="19" t="s">
        <v>6751</v>
      </c>
      <c r="L2130" s="6">
        <v>8409714684</v>
      </c>
      <c r="N2130" s="16"/>
      <c r="O2130" s="7"/>
      <c r="P2130" s="17"/>
    </row>
    <row r="2131" spans="1:16" ht="14.25" customHeight="1">
      <c r="A2131" s="5" t="s">
        <v>0</v>
      </c>
      <c r="B2131" s="5" t="str">
        <f t="shared" si="18"/>
        <v>Y</v>
      </c>
      <c r="C2131" s="18" t="s">
        <v>6761</v>
      </c>
      <c r="D2131" s="18"/>
      <c r="E2131" s="6" t="s">
        <v>6762</v>
      </c>
      <c r="F2131" s="19" t="s">
        <v>6763</v>
      </c>
      <c r="G2131" s="19" t="s">
        <v>6751</v>
      </c>
      <c r="H2131" s="19" t="s">
        <v>6751</v>
      </c>
      <c r="L2131" s="6">
        <v>9905551780</v>
      </c>
      <c r="N2131" s="16"/>
      <c r="O2131" s="7"/>
      <c r="P2131" s="17"/>
    </row>
    <row r="2132" spans="1:16" ht="14.25" customHeight="1">
      <c r="A2132" s="5" t="s">
        <v>0</v>
      </c>
      <c r="B2132" s="5" t="str">
        <f t="shared" si="18"/>
        <v>Y</v>
      </c>
      <c r="C2132" s="18" t="s">
        <v>6764</v>
      </c>
      <c r="D2132" s="18"/>
      <c r="E2132" s="6" t="s">
        <v>1266</v>
      </c>
      <c r="F2132" s="19" t="s">
        <v>6765</v>
      </c>
      <c r="G2132" s="19" t="s">
        <v>6751</v>
      </c>
      <c r="H2132" s="19" t="s">
        <v>6751</v>
      </c>
      <c r="L2132" s="6">
        <v>7488058507</v>
      </c>
      <c r="N2132" s="16"/>
      <c r="O2132" s="7"/>
      <c r="P2132" s="17"/>
    </row>
    <row r="2133" spans="1:16" ht="14.25" customHeight="1">
      <c r="A2133" s="5" t="s">
        <v>0</v>
      </c>
      <c r="B2133" s="5" t="str">
        <f t="shared" si="18"/>
        <v>Y</v>
      </c>
      <c r="C2133" s="18" t="s">
        <v>6766</v>
      </c>
      <c r="D2133" s="18"/>
      <c r="E2133" s="6" t="s">
        <v>6767</v>
      </c>
      <c r="F2133" s="19" t="s">
        <v>6768</v>
      </c>
      <c r="G2133" s="19" t="s">
        <v>6751</v>
      </c>
      <c r="H2133" s="19" t="s">
        <v>6751</v>
      </c>
      <c r="L2133" s="6">
        <v>8340522556</v>
      </c>
      <c r="N2133" s="16"/>
      <c r="O2133" s="7"/>
      <c r="P2133" s="17"/>
    </row>
    <row r="2134" spans="1:16" ht="14.25" customHeight="1">
      <c r="A2134" s="5" t="s">
        <v>0</v>
      </c>
      <c r="B2134" s="5" t="str">
        <f t="shared" si="18"/>
        <v>Y</v>
      </c>
      <c r="C2134" s="18" t="s">
        <v>6769</v>
      </c>
      <c r="D2134" s="18"/>
      <c r="E2134" s="6" t="s">
        <v>6770</v>
      </c>
      <c r="F2134" s="19" t="s">
        <v>6771</v>
      </c>
      <c r="G2134" s="19" t="s">
        <v>6772</v>
      </c>
      <c r="H2134" s="20">
        <v>44556</v>
      </c>
      <c r="K2134" s="6" t="s">
        <v>6634</v>
      </c>
      <c r="L2134" s="6">
        <v>8235429760</v>
      </c>
      <c r="N2134" s="16"/>
      <c r="O2134" s="7"/>
      <c r="P2134" s="17"/>
    </row>
    <row r="2135" spans="1:16" ht="14.25" customHeight="1">
      <c r="A2135" s="5" t="s">
        <v>0</v>
      </c>
      <c r="B2135" s="5" t="str">
        <f t="shared" si="18"/>
        <v>Y</v>
      </c>
      <c r="C2135" s="18" t="s">
        <v>6773</v>
      </c>
      <c r="D2135" s="18"/>
      <c r="E2135" s="6" t="s">
        <v>6774</v>
      </c>
      <c r="F2135" s="19" t="s">
        <v>6775</v>
      </c>
      <c r="G2135" s="19" t="s">
        <v>6776</v>
      </c>
      <c r="H2135" s="20">
        <v>44556</v>
      </c>
      <c r="K2135" s="6" t="s">
        <v>6777</v>
      </c>
      <c r="L2135" s="6">
        <v>9102272553</v>
      </c>
      <c r="N2135" s="16"/>
      <c r="O2135" s="7"/>
      <c r="P2135" s="17"/>
    </row>
    <row r="2136" spans="1:16" ht="14.25" customHeight="1">
      <c r="A2136" s="5" t="s">
        <v>0</v>
      </c>
      <c r="B2136" s="5" t="str">
        <f t="shared" si="18"/>
        <v>Y</v>
      </c>
      <c r="C2136" s="18" t="s">
        <v>6778</v>
      </c>
      <c r="D2136" s="18"/>
      <c r="E2136" s="6" t="s">
        <v>6779</v>
      </c>
      <c r="F2136" s="19" t="s">
        <v>6780</v>
      </c>
      <c r="G2136" s="19" t="s">
        <v>6776</v>
      </c>
      <c r="H2136" s="20">
        <v>44556</v>
      </c>
      <c r="K2136" s="6" t="s">
        <v>6634</v>
      </c>
      <c r="L2136" s="6">
        <v>7091702924</v>
      </c>
      <c r="N2136" s="16"/>
      <c r="O2136" s="7"/>
      <c r="P2136" s="17"/>
    </row>
    <row r="2137" spans="1:16" ht="14.25" customHeight="1">
      <c r="A2137" s="5" t="s">
        <v>0</v>
      </c>
      <c r="B2137" s="5" t="str">
        <f t="shared" si="18"/>
        <v>Y</v>
      </c>
      <c r="C2137" s="18" t="s">
        <v>6781</v>
      </c>
      <c r="D2137" s="18"/>
      <c r="E2137" s="6" t="s">
        <v>6782</v>
      </c>
      <c r="F2137" s="19" t="s">
        <v>6783</v>
      </c>
      <c r="G2137" s="19" t="s">
        <v>6776</v>
      </c>
      <c r="H2137" s="20">
        <v>44556</v>
      </c>
      <c r="K2137" s="6" t="s">
        <v>6634</v>
      </c>
      <c r="L2137" s="6">
        <v>6090424035</v>
      </c>
      <c r="N2137" s="16"/>
      <c r="O2137" s="7"/>
      <c r="P2137" s="17"/>
    </row>
    <row r="2138" spans="1:16" ht="14.25" customHeight="1">
      <c r="A2138" s="5" t="s">
        <v>0</v>
      </c>
      <c r="B2138" s="5" t="str">
        <f t="shared" si="18"/>
        <v>Y</v>
      </c>
      <c r="C2138" s="18" t="s">
        <v>6784</v>
      </c>
      <c r="D2138" s="18"/>
      <c r="E2138" s="6" t="s">
        <v>6785</v>
      </c>
      <c r="F2138" s="19" t="s">
        <v>2860</v>
      </c>
      <c r="G2138" s="19" t="s">
        <v>6776</v>
      </c>
      <c r="H2138" s="20">
        <v>44556</v>
      </c>
      <c r="K2138" s="6" t="s">
        <v>6786</v>
      </c>
      <c r="L2138" s="6">
        <v>7029236763</v>
      </c>
      <c r="N2138" s="16"/>
      <c r="O2138" s="7"/>
      <c r="P2138" s="17"/>
    </row>
    <row r="2139" spans="1:16" ht="14.25" customHeight="1">
      <c r="A2139" s="5" t="s">
        <v>0</v>
      </c>
      <c r="B2139" s="5" t="str">
        <f t="shared" si="18"/>
        <v>Y</v>
      </c>
      <c r="C2139" s="18" t="s">
        <v>6787</v>
      </c>
      <c r="D2139" s="18"/>
      <c r="E2139" s="6" t="s">
        <v>6788</v>
      </c>
      <c r="F2139" s="19" t="s">
        <v>6789</v>
      </c>
      <c r="G2139" s="19" t="s">
        <v>6776</v>
      </c>
      <c r="H2139" s="19" t="s">
        <v>6776</v>
      </c>
      <c r="K2139" s="6" t="s">
        <v>6790</v>
      </c>
      <c r="L2139" s="6">
        <v>8210923124</v>
      </c>
      <c r="N2139" s="16"/>
      <c r="O2139" s="7"/>
      <c r="P2139" s="17"/>
    </row>
    <row r="2140" spans="1:16" ht="14.25" customHeight="1">
      <c r="A2140" s="5" t="s">
        <v>0</v>
      </c>
      <c r="B2140" s="5" t="str">
        <f t="shared" si="18"/>
        <v>Y</v>
      </c>
      <c r="C2140" s="18" t="s">
        <v>6791</v>
      </c>
      <c r="D2140" s="18"/>
      <c r="E2140" s="6" t="s">
        <v>6792</v>
      </c>
      <c r="F2140" s="19" t="s">
        <v>6793</v>
      </c>
      <c r="G2140" s="19" t="s">
        <v>6772</v>
      </c>
      <c r="H2140" s="20">
        <v>44554</v>
      </c>
      <c r="K2140" s="6" t="s">
        <v>6794</v>
      </c>
      <c r="L2140" s="6">
        <v>9835933076</v>
      </c>
      <c r="N2140" s="16"/>
      <c r="O2140" s="7"/>
      <c r="P2140" s="17"/>
    </row>
    <row r="2141" spans="1:16" ht="14.25" customHeight="1">
      <c r="A2141" s="5" t="s">
        <v>0</v>
      </c>
      <c r="B2141" s="5" t="str">
        <f t="shared" si="18"/>
        <v>Y</v>
      </c>
      <c r="C2141" s="18" t="s">
        <v>6795</v>
      </c>
      <c r="D2141" s="18"/>
      <c r="E2141" s="6" t="s">
        <v>6796</v>
      </c>
      <c r="F2141" s="19" t="s">
        <v>6797</v>
      </c>
      <c r="G2141" s="19" t="s">
        <v>6798</v>
      </c>
      <c r="H2141" s="19" t="s">
        <v>6798</v>
      </c>
      <c r="L2141" s="6">
        <v>7857083119</v>
      </c>
      <c r="N2141" s="16"/>
      <c r="O2141" s="7"/>
      <c r="P2141" s="17"/>
    </row>
    <row r="2142" spans="1:16" ht="14.25" customHeight="1">
      <c r="A2142" s="5" t="s">
        <v>0</v>
      </c>
      <c r="B2142" s="5" t="str">
        <f t="shared" si="18"/>
        <v>Y</v>
      </c>
      <c r="C2142" s="18" t="s">
        <v>6799</v>
      </c>
      <c r="D2142" s="18"/>
      <c r="E2142" s="6" t="s">
        <v>6800</v>
      </c>
      <c r="F2142" s="19" t="s">
        <v>6801</v>
      </c>
      <c r="G2142" s="19" t="s">
        <v>6798</v>
      </c>
      <c r="H2142" s="19" t="s">
        <v>6798</v>
      </c>
      <c r="L2142" s="6">
        <v>9304144107</v>
      </c>
      <c r="N2142" s="16"/>
      <c r="O2142" s="7"/>
      <c r="P2142" s="17"/>
    </row>
    <row r="2143" spans="1:16" ht="14.25" customHeight="1">
      <c r="A2143" s="5" t="s">
        <v>0</v>
      </c>
      <c r="B2143" s="5" t="str">
        <f t="shared" si="18"/>
        <v>Y</v>
      </c>
      <c r="C2143" s="18" t="s">
        <v>6802</v>
      </c>
      <c r="D2143" s="18"/>
      <c r="E2143" s="6" t="s">
        <v>6803</v>
      </c>
      <c r="F2143" s="19" t="s">
        <v>6804</v>
      </c>
      <c r="G2143" s="19" t="s">
        <v>6798</v>
      </c>
      <c r="H2143" s="19" t="s">
        <v>6798</v>
      </c>
      <c r="L2143" s="6">
        <v>7870798092</v>
      </c>
      <c r="N2143" s="16"/>
      <c r="O2143" s="7"/>
      <c r="P2143" s="17"/>
    </row>
    <row r="2144" spans="1:16" ht="14.25" customHeight="1">
      <c r="A2144" s="5" t="s">
        <v>0</v>
      </c>
      <c r="B2144" s="5" t="str">
        <f t="shared" si="18"/>
        <v>Y</v>
      </c>
      <c r="C2144" s="18" t="s">
        <v>6805</v>
      </c>
      <c r="D2144" s="18"/>
      <c r="E2144" s="6" t="s">
        <v>6806</v>
      </c>
      <c r="F2144" s="19" t="s">
        <v>6807</v>
      </c>
      <c r="G2144" s="19" t="s">
        <v>6798</v>
      </c>
      <c r="H2144" s="20">
        <v>44558</v>
      </c>
      <c r="L2144" s="6">
        <v>8227051040</v>
      </c>
      <c r="N2144" s="16"/>
      <c r="O2144" s="7"/>
      <c r="P2144" s="17"/>
    </row>
    <row r="2145" spans="1:16" ht="14.25" customHeight="1">
      <c r="A2145" s="5" t="s">
        <v>0</v>
      </c>
      <c r="B2145" s="5" t="str">
        <f t="shared" si="18"/>
        <v>Y</v>
      </c>
      <c r="C2145" s="18" t="s">
        <v>6808</v>
      </c>
      <c r="D2145" s="18"/>
      <c r="E2145" s="6" t="s">
        <v>6809</v>
      </c>
      <c r="F2145" s="19" t="s">
        <v>6810</v>
      </c>
      <c r="G2145" s="19" t="s">
        <v>6798</v>
      </c>
      <c r="H2145" s="20">
        <v>44558</v>
      </c>
      <c r="L2145" s="6">
        <v>9065839974</v>
      </c>
      <c r="N2145" s="16"/>
      <c r="O2145" s="7"/>
      <c r="P2145" s="17"/>
    </row>
    <row r="2146" spans="1:16" ht="14.25" customHeight="1">
      <c r="A2146" s="5" t="s">
        <v>0</v>
      </c>
      <c r="B2146" s="5" t="str">
        <f t="shared" si="18"/>
        <v>Y</v>
      </c>
      <c r="C2146" s="18" t="s">
        <v>6811</v>
      </c>
      <c r="D2146" s="18"/>
      <c r="E2146" s="6" t="s">
        <v>6812</v>
      </c>
      <c r="F2146" s="19" t="s">
        <v>6813</v>
      </c>
      <c r="G2146" s="19" t="s">
        <v>6798</v>
      </c>
      <c r="H2146" s="20">
        <v>44558</v>
      </c>
      <c r="J2146" s="6" t="s">
        <v>6814</v>
      </c>
      <c r="K2146" s="6" t="s">
        <v>6634</v>
      </c>
      <c r="L2146" s="6">
        <v>9142435515</v>
      </c>
      <c r="N2146" s="16"/>
      <c r="O2146" s="7"/>
      <c r="P2146" s="17"/>
    </row>
    <row r="2147" spans="1:16" ht="14.25" customHeight="1">
      <c r="A2147" s="5" t="s">
        <v>0</v>
      </c>
      <c r="B2147" s="5" t="str">
        <f t="shared" si="18"/>
        <v>Y</v>
      </c>
      <c r="C2147" s="18" t="s">
        <v>6815</v>
      </c>
      <c r="D2147" s="18"/>
      <c r="E2147" s="6" t="s">
        <v>6816</v>
      </c>
      <c r="F2147" s="19" t="s">
        <v>2778</v>
      </c>
      <c r="G2147" s="19" t="s">
        <v>6817</v>
      </c>
      <c r="H2147" s="20">
        <v>44559</v>
      </c>
      <c r="K2147" s="6" t="s">
        <v>6634</v>
      </c>
      <c r="L2147" s="6">
        <v>8603120995</v>
      </c>
      <c r="N2147" s="16"/>
      <c r="O2147" s="7"/>
      <c r="P2147" s="17"/>
    </row>
    <row r="2148" spans="1:16" ht="14.25" customHeight="1">
      <c r="A2148" s="5" t="s">
        <v>0</v>
      </c>
      <c r="B2148" s="5" t="str">
        <f t="shared" si="18"/>
        <v>Y</v>
      </c>
      <c r="C2148" s="18" t="s">
        <v>6818</v>
      </c>
      <c r="D2148" s="18"/>
      <c r="E2148" s="6" t="s">
        <v>6819</v>
      </c>
      <c r="F2148" s="19" t="s">
        <v>6820</v>
      </c>
      <c r="G2148" s="19" t="s">
        <v>6817</v>
      </c>
      <c r="H2148" s="20">
        <v>44559</v>
      </c>
      <c r="K2148" s="6" t="s">
        <v>6634</v>
      </c>
      <c r="L2148" s="6">
        <v>9031389808</v>
      </c>
      <c r="N2148" s="16"/>
      <c r="O2148" s="7"/>
      <c r="P2148" s="17"/>
    </row>
    <row r="2149" spans="1:16" ht="14.25" customHeight="1">
      <c r="A2149" s="5" t="s">
        <v>0</v>
      </c>
      <c r="B2149" s="5" t="str">
        <f t="shared" si="18"/>
        <v>Y</v>
      </c>
      <c r="C2149" s="18" t="s">
        <v>6821</v>
      </c>
      <c r="D2149" s="18"/>
      <c r="E2149" s="6" t="s">
        <v>6822</v>
      </c>
      <c r="F2149" s="19" t="s">
        <v>6823</v>
      </c>
      <c r="G2149" s="19" t="s">
        <v>6824</v>
      </c>
      <c r="H2149" s="19" t="s">
        <v>6824</v>
      </c>
      <c r="L2149" s="6">
        <v>8797020272</v>
      </c>
      <c r="N2149" s="16"/>
      <c r="O2149" s="7"/>
      <c r="P2149" s="17"/>
    </row>
    <row r="2150" spans="1:16" ht="14.25" customHeight="1">
      <c r="A2150" s="5" t="s">
        <v>0</v>
      </c>
      <c r="B2150" s="5" t="str">
        <f t="shared" si="18"/>
        <v>Y</v>
      </c>
      <c r="C2150" s="18" t="s">
        <v>6825</v>
      </c>
      <c r="D2150" s="18"/>
      <c r="E2150" s="6" t="s">
        <v>6826</v>
      </c>
      <c r="F2150" s="19" t="s">
        <v>6827</v>
      </c>
      <c r="G2150" s="19" t="s">
        <v>6824</v>
      </c>
      <c r="H2150" s="19" t="s">
        <v>6824</v>
      </c>
      <c r="L2150" s="6">
        <v>9234259682</v>
      </c>
      <c r="N2150" s="16"/>
      <c r="O2150" s="7"/>
      <c r="P2150" s="17"/>
    </row>
    <row r="2151" spans="1:16" ht="14.25" customHeight="1">
      <c r="A2151" s="5" t="s">
        <v>0</v>
      </c>
      <c r="B2151" s="5" t="str">
        <f t="shared" si="18"/>
        <v>Y</v>
      </c>
      <c r="C2151" s="18" t="s">
        <v>6828</v>
      </c>
      <c r="D2151" s="18"/>
      <c r="E2151" s="6" t="s">
        <v>6829</v>
      </c>
      <c r="F2151" s="19" t="s">
        <v>6830</v>
      </c>
      <c r="G2151" s="19" t="s">
        <v>6824</v>
      </c>
      <c r="H2151" s="19" t="s">
        <v>6824</v>
      </c>
      <c r="L2151" s="6">
        <v>7563061743</v>
      </c>
      <c r="N2151" s="16"/>
      <c r="O2151" s="7"/>
      <c r="P2151" s="17"/>
    </row>
    <row r="2152" spans="1:16" ht="14.25" customHeight="1">
      <c r="A2152" s="5" t="s">
        <v>0</v>
      </c>
      <c r="B2152" s="5" t="str">
        <f t="shared" si="18"/>
        <v>Y</v>
      </c>
      <c r="C2152" s="18" t="s">
        <v>6831</v>
      </c>
      <c r="D2152" s="18"/>
      <c r="E2152" s="6" t="s">
        <v>6832</v>
      </c>
      <c r="F2152" s="19" t="s">
        <v>5422</v>
      </c>
      <c r="G2152" s="19" t="s">
        <v>6824</v>
      </c>
      <c r="H2152" s="19" t="s">
        <v>6824</v>
      </c>
      <c r="L2152" s="6">
        <v>9204018409</v>
      </c>
      <c r="N2152" s="16"/>
      <c r="O2152" s="7"/>
      <c r="P2152" s="17"/>
    </row>
    <row r="2153" spans="1:16" ht="14.25" customHeight="1">
      <c r="A2153" s="5" t="s">
        <v>0</v>
      </c>
      <c r="B2153" s="5" t="str">
        <f t="shared" si="18"/>
        <v>Y</v>
      </c>
      <c r="C2153" s="18" t="s">
        <v>6833</v>
      </c>
      <c r="D2153" s="18"/>
      <c r="E2153" s="6" t="s">
        <v>6834</v>
      </c>
      <c r="F2153" s="19" t="s">
        <v>6835</v>
      </c>
      <c r="G2153" s="19" t="s">
        <v>6824</v>
      </c>
      <c r="H2153" s="19" t="s">
        <v>6824</v>
      </c>
      <c r="L2153" s="6">
        <v>8377017501</v>
      </c>
      <c r="N2153" s="16"/>
      <c r="O2153" s="7"/>
      <c r="P2153" s="17"/>
    </row>
    <row r="2154" spans="1:16" ht="14.25" customHeight="1">
      <c r="A2154" s="5" t="s">
        <v>0</v>
      </c>
      <c r="B2154" s="5" t="str">
        <f t="shared" si="18"/>
        <v>Y</v>
      </c>
      <c r="C2154" s="18" t="s">
        <v>6836</v>
      </c>
      <c r="D2154" s="18"/>
      <c r="E2154" s="6" t="s">
        <v>911</v>
      </c>
      <c r="F2154" s="19" t="s">
        <v>6837</v>
      </c>
      <c r="G2154" s="19" t="s">
        <v>6824</v>
      </c>
      <c r="H2154" s="19" t="s">
        <v>6824</v>
      </c>
      <c r="K2154" s="19" t="s">
        <v>6838</v>
      </c>
      <c r="L2154" s="6">
        <v>9955188113</v>
      </c>
      <c r="N2154" s="16"/>
      <c r="O2154" s="7"/>
      <c r="P2154" s="17"/>
    </row>
    <row r="2155" spans="1:16" ht="14.25" customHeight="1">
      <c r="A2155" s="5" t="s">
        <v>0</v>
      </c>
      <c r="B2155" s="5" t="str">
        <f t="shared" si="18"/>
        <v>Y</v>
      </c>
      <c r="C2155" s="18" t="s">
        <v>6839</v>
      </c>
      <c r="D2155" s="18"/>
      <c r="E2155" s="6" t="s">
        <v>6840</v>
      </c>
      <c r="F2155" s="19" t="s">
        <v>6841</v>
      </c>
      <c r="G2155" s="19" t="s">
        <v>4729</v>
      </c>
      <c r="H2155" s="19" t="s">
        <v>4729</v>
      </c>
      <c r="L2155" s="6">
        <v>7061751774</v>
      </c>
      <c r="N2155" s="16"/>
      <c r="O2155" s="7"/>
      <c r="P2155" s="17"/>
    </row>
    <row r="2156" spans="1:16" ht="14.25" customHeight="1">
      <c r="A2156" s="5" t="s">
        <v>0</v>
      </c>
      <c r="B2156" s="5" t="str">
        <f t="shared" si="18"/>
        <v>Y</v>
      </c>
      <c r="C2156" s="18" t="s">
        <v>6842</v>
      </c>
      <c r="D2156" s="18"/>
      <c r="E2156" s="6" t="s">
        <v>6843</v>
      </c>
      <c r="F2156" s="19" t="s">
        <v>2525</v>
      </c>
      <c r="G2156" s="19" t="s">
        <v>4729</v>
      </c>
      <c r="H2156" s="19" t="s">
        <v>4729</v>
      </c>
      <c r="L2156" s="6">
        <v>8804259165</v>
      </c>
      <c r="N2156" s="16"/>
      <c r="O2156" s="7"/>
      <c r="P2156" s="17"/>
    </row>
    <row r="2157" spans="1:16" ht="14.25" customHeight="1">
      <c r="A2157" s="5" t="s">
        <v>0</v>
      </c>
      <c r="B2157" s="5" t="str">
        <f t="shared" si="18"/>
        <v>Y</v>
      </c>
      <c r="C2157" s="18" t="s">
        <v>6844</v>
      </c>
      <c r="D2157" s="18"/>
      <c r="E2157" s="6" t="s">
        <v>6845</v>
      </c>
      <c r="F2157" s="19" t="s">
        <v>6846</v>
      </c>
      <c r="G2157" s="19" t="s">
        <v>6847</v>
      </c>
      <c r="H2157" s="19" t="s">
        <v>6847</v>
      </c>
      <c r="L2157" s="6">
        <v>7760159544</v>
      </c>
      <c r="N2157" s="16"/>
      <c r="O2157" s="7"/>
      <c r="P2157" s="17"/>
    </row>
    <row r="2158" spans="1:16" ht="14.25" customHeight="1">
      <c r="A2158" s="5" t="s">
        <v>0</v>
      </c>
      <c r="B2158" s="5" t="str">
        <f t="shared" si="18"/>
        <v>Y</v>
      </c>
      <c r="C2158" s="18" t="s">
        <v>6848</v>
      </c>
      <c r="D2158" s="18"/>
      <c r="E2158" s="6" t="s">
        <v>6849</v>
      </c>
      <c r="F2158" s="19" t="s">
        <v>6850</v>
      </c>
      <c r="G2158" s="19" t="s">
        <v>6847</v>
      </c>
      <c r="H2158" s="19" t="s">
        <v>6847</v>
      </c>
      <c r="L2158" s="6">
        <v>6204721067</v>
      </c>
      <c r="N2158" s="16"/>
      <c r="O2158" s="7"/>
      <c r="P2158" s="17"/>
    </row>
    <row r="2159" spans="1:16" ht="14.25" customHeight="1">
      <c r="A2159" s="5" t="s">
        <v>0</v>
      </c>
      <c r="B2159" s="5" t="str">
        <f t="shared" si="18"/>
        <v>Y</v>
      </c>
      <c r="C2159" s="18" t="s">
        <v>6851</v>
      </c>
      <c r="D2159" s="18"/>
      <c r="E2159" s="6" t="s">
        <v>1526</v>
      </c>
      <c r="F2159" s="19" t="s">
        <v>6852</v>
      </c>
      <c r="G2159" s="19" t="s">
        <v>6847</v>
      </c>
      <c r="H2159" s="19" t="s">
        <v>6847</v>
      </c>
      <c r="L2159" s="6">
        <v>9525293301</v>
      </c>
      <c r="N2159" s="16"/>
      <c r="O2159" s="7"/>
      <c r="P2159" s="17"/>
    </row>
    <row r="2160" spans="1:16" ht="14.25" customHeight="1">
      <c r="A2160" s="5" t="s">
        <v>0</v>
      </c>
      <c r="B2160" s="5" t="str">
        <f t="shared" si="18"/>
        <v>Y</v>
      </c>
      <c r="C2160" s="18" t="s">
        <v>6853</v>
      </c>
      <c r="D2160" s="18"/>
      <c r="E2160" s="6" t="s">
        <v>6854</v>
      </c>
      <c r="F2160" s="19" t="s">
        <v>4433</v>
      </c>
      <c r="G2160" s="19" t="s">
        <v>6847</v>
      </c>
      <c r="H2160" s="19" t="s">
        <v>6847</v>
      </c>
      <c r="L2160" s="6">
        <v>8210088708</v>
      </c>
      <c r="N2160" s="16"/>
      <c r="O2160" s="7"/>
      <c r="P2160" s="17"/>
    </row>
    <row r="2161" spans="1:16" ht="14.25" customHeight="1">
      <c r="A2161" s="5" t="s">
        <v>0</v>
      </c>
      <c r="B2161" s="5" t="str">
        <f t="shared" si="18"/>
        <v>Y</v>
      </c>
      <c r="C2161" s="18" t="s">
        <v>6855</v>
      </c>
      <c r="D2161" s="18"/>
      <c r="E2161" s="6" t="s">
        <v>6856</v>
      </c>
      <c r="F2161" s="19" t="s">
        <v>2778</v>
      </c>
      <c r="G2161" s="19" t="s">
        <v>6847</v>
      </c>
      <c r="H2161" s="19" t="s">
        <v>6847</v>
      </c>
      <c r="L2161" s="6">
        <v>6206157574</v>
      </c>
      <c r="N2161" s="16"/>
      <c r="O2161" s="7"/>
      <c r="P2161" s="17"/>
    </row>
    <row r="2162" spans="1:16" ht="14.25" customHeight="1">
      <c r="A2162" s="5" t="s">
        <v>0</v>
      </c>
      <c r="B2162" s="5" t="str">
        <f t="shared" si="18"/>
        <v>Y</v>
      </c>
      <c r="C2162" s="18" t="s">
        <v>6857</v>
      </c>
      <c r="D2162" s="18"/>
      <c r="E2162" s="6" t="s">
        <v>6858</v>
      </c>
      <c r="F2162" s="19" t="s">
        <v>6859</v>
      </c>
      <c r="G2162" s="19" t="s">
        <v>6860</v>
      </c>
      <c r="H2162" s="19" t="s">
        <v>6861</v>
      </c>
      <c r="L2162" s="6">
        <v>9123103264</v>
      </c>
      <c r="N2162" s="16"/>
      <c r="O2162" s="7"/>
      <c r="P2162" s="17"/>
    </row>
    <row r="2163" spans="1:16" ht="14.25" customHeight="1">
      <c r="A2163" s="5" t="s">
        <v>0</v>
      </c>
      <c r="B2163" s="5" t="str">
        <f t="shared" si="18"/>
        <v>Y</v>
      </c>
      <c r="C2163" s="18" t="s">
        <v>6862</v>
      </c>
      <c r="D2163" s="18"/>
      <c r="E2163" s="6" t="s">
        <v>6863</v>
      </c>
      <c r="F2163" s="19" t="s">
        <v>6864</v>
      </c>
      <c r="G2163" s="19" t="s">
        <v>6860</v>
      </c>
      <c r="H2163" s="19" t="s">
        <v>6860</v>
      </c>
      <c r="L2163" s="6">
        <v>7488684311</v>
      </c>
      <c r="N2163" s="16"/>
      <c r="O2163" s="7"/>
      <c r="P2163" s="17"/>
    </row>
    <row r="2164" spans="1:16" ht="14.25" customHeight="1">
      <c r="A2164" s="5" t="s">
        <v>0</v>
      </c>
      <c r="B2164" s="5" t="str">
        <f t="shared" si="18"/>
        <v>Y</v>
      </c>
      <c r="C2164" s="18" t="s">
        <v>6865</v>
      </c>
      <c r="D2164" s="18"/>
      <c r="E2164" s="6" t="s">
        <v>6866</v>
      </c>
      <c r="F2164" s="19" t="s">
        <v>2500</v>
      </c>
      <c r="G2164" s="19" t="s">
        <v>6860</v>
      </c>
      <c r="H2164" s="19" t="s">
        <v>6860</v>
      </c>
      <c r="L2164" s="6">
        <v>8227078770</v>
      </c>
      <c r="N2164" s="16"/>
      <c r="O2164" s="7"/>
      <c r="P2164" s="17"/>
    </row>
    <row r="2165" spans="1:16" ht="14.25" customHeight="1">
      <c r="A2165" s="5" t="s">
        <v>0</v>
      </c>
      <c r="B2165" s="5" t="str">
        <f t="shared" si="18"/>
        <v>Y</v>
      </c>
      <c r="C2165" s="6" t="s">
        <v>6867</v>
      </c>
      <c r="D2165" s="6"/>
      <c r="E2165" s="6" t="s">
        <v>6868</v>
      </c>
      <c r="F2165" s="19" t="s">
        <v>6869</v>
      </c>
      <c r="G2165" s="19" t="s">
        <v>6860</v>
      </c>
      <c r="H2165" s="19" t="s">
        <v>6860</v>
      </c>
      <c r="L2165" s="6">
        <v>6205206308</v>
      </c>
      <c r="N2165" s="16"/>
      <c r="O2165" s="7"/>
      <c r="P2165" s="17"/>
    </row>
    <row r="2166" spans="1:16" ht="14.25" customHeight="1">
      <c r="A2166" s="5" t="s">
        <v>0</v>
      </c>
      <c r="B2166" s="5" t="str">
        <f t="shared" si="18"/>
        <v>Y</v>
      </c>
      <c r="C2166" s="18" t="s">
        <v>6870</v>
      </c>
      <c r="D2166" s="18"/>
      <c r="E2166" s="6" t="s">
        <v>6871</v>
      </c>
      <c r="F2166" s="19" t="s">
        <v>6872</v>
      </c>
      <c r="G2166" s="19" t="s">
        <v>6861</v>
      </c>
      <c r="H2166" s="19" t="s">
        <v>6861</v>
      </c>
      <c r="L2166" s="6">
        <v>9204204783</v>
      </c>
      <c r="N2166" s="16"/>
      <c r="O2166" s="7"/>
      <c r="P2166" s="17"/>
    </row>
    <row r="2167" spans="1:16" ht="14.25" customHeight="1">
      <c r="A2167" s="5" t="s">
        <v>0</v>
      </c>
      <c r="B2167" s="5" t="str">
        <f t="shared" si="18"/>
        <v>Y</v>
      </c>
      <c r="C2167" s="18" t="s">
        <v>6873</v>
      </c>
      <c r="D2167" s="18"/>
      <c r="E2167" s="6" t="s">
        <v>6874</v>
      </c>
      <c r="F2167" s="19" t="s">
        <v>6875</v>
      </c>
      <c r="G2167" s="19" t="s">
        <v>6876</v>
      </c>
      <c r="H2167" s="19" t="s">
        <v>6876</v>
      </c>
      <c r="L2167" s="6">
        <v>8987576190</v>
      </c>
      <c r="N2167" s="16"/>
      <c r="O2167" s="7"/>
      <c r="P2167" s="17"/>
    </row>
    <row r="2168" spans="1:16" ht="14.25" customHeight="1">
      <c r="A2168" s="5" t="s">
        <v>0</v>
      </c>
      <c r="B2168" s="5" t="str">
        <f t="shared" si="18"/>
        <v>Y</v>
      </c>
      <c r="C2168" s="18" t="s">
        <v>6877</v>
      </c>
      <c r="D2168" s="18"/>
      <c r="E2168" s="6" t="s">
        <v>6878</v>
      </c>
      <c r="F2168" s="19" t="s">
        <v>6879</v>
      </c>
      <c r="G2168" s="19" t="s">
        <v>6876</v>
      </c>
      <c r="H2168" s="19" t="s">
        <v>6876</v>
      </c>
      <c r="L2168" s="6">
        <v>9973911355</v>
      </c>
      <c r="N2168" s="16"/>
      <c r="O2168" s="7"/>
      <c r="P2168" s="17"/>
    </row>
    <row r="2169" spans="1:16" ht="14.25" customHeight="1">
      <c r="A2169" s="5" t="s">
        <v>0</v>
      </c>
      <c r="B2169" s="5" t="str">
        <f t="shared" si="18"/>
        <v>Y</v>
      </c>
      <c r="C2169" s="18" t="s">
        <v>6880</v>
      </c>
      <c r="D2169" s="18"/>
      <c r="E2169" s="6" t="s">
        <v>6881</v>
      </c>
      <c r="F2169" s="19" t="s">
        <v>6882</v>
      </c>
      <c r="G2169" s="19" t="s">
        <v>6876</v>
      </c>
      <c r="H2169" s="19" t="s">
        <v>6876</v>
      </c>
      <c r="L2169" s="6">
        <v>6205330995</v>
      </c>
      <c r="N2169" s="16"/>
      <c r="O2169" s="7"/>
      <c r="P2169" s="17"/>
    </row>
    <row r="2170" spans="1:16" ht="14.25" customHeight="1">
      <c r="A2170" s="5" t="s">
        <v>0</v>
      </c>
      <c r="B2170" s="5" t="str">
        <f t="shared" si="18"/>
        <v>Y</v>
      </c>
      <c r="C2170" s="18" t="s">
        <v>6883</v>
      </c>
      <c r="D2170" s="18"/>
      <c r="E2170" s="6" t="s">
        <v>6884</v>
      </c>
      <c r="F2170" s="19" t="s">
        <v>6885</v>
      </c>
      <c r="G2170" s="19" t="s">
        <v>6876</v>
      </c>
      <c r="H2170" s="19" t="s">
        <v>6876</v>
      </c>
      <c r="L2170" s="6">
        <v>6206699251</v>
      </c>
      <c r="N2170" s="16"/>
      <c r="O2170" s="7"/>
      <c r="P2170" s="17"/>
    </row>
    <row r="2171" spans="1:16" ht="14.25" customHeight="1">
      <c r="A2171" s="5" t="s">
        <v>0</v>
      </c>
      <c r="B2171" s="5" t="str">
        <f t="shared" si="18"/>
        <v>Y</v>
      </c>
      <c r="C2171" s="18" t="s">
        <v>6886</v>
      </c>
      <c r="D2171" s="18"/>
      <c r="E2171" s="6" t="s">
        <v>6887</v>
      </c>
      <c r="F2171" s="19" t="s">
        <v>6888</v>
      </c>
      <c r="G2171" s="19" t="s">
        <v>6876</v>
      </c>
      <c r="H2171" s="19" t="s">
        <v>6876</v>
      </c>
      <c r="L2171" s="6">
        <v>9955130251</v>
      </c>
      <c r="N2171" s="16"/>
      <c r="O2171" s="7"/>
      <c r="P2171" s="17"/>
    </row>
    <row r="2172" spans="1:16" ht="14.25" customHeight="1">
      <c r="A2172" s="5" t="s">
        <v>0</v>
      </c>
      <c r="B2172" s="5" t="str">
        <f t="shared" si="18"/>
        <v>Y</v>
      </c>
      <c r="C2172" s="18" t="s">
        <v>6889</v>
      </c>
      <c r="D2172" s="18"/>
      <c r="E2172" s="6" t="s">
        <v>6890</v>
      </c>
      <c r="F2172" s="19" t="s">
        <v>6891</v>
      </c>
      <c r="G2172" s="19" t="s">
        <v>6892</v>
      </c>
      <c r="H2172" s="19" t="s">
        <v>6892</v>
      </c>
      <c r="L2172" s="6">
        <v>8252405063</v>
      </c>
      <c r="N2172" s="16"/>
      <c r="O2172" s="7"/>
      <c r="P2172" s="17"/>
    </row>
    <row r="2173" spans="1:16" ht="14.25" customHeight="1">
      <c r="A2173" s="5" t="s">
        <v>0</v>
      </c>
      <c r="B2173" s="5" t="str">
        <f t="shared" si="18"/>
        <v>Y</v>
      </c>
      <c r="C2173" s="18" t="s">
        <v>6893</v>
      </c>
      <c r="D2173" s="18"/>
      <c r="E2173" s="6" t="s">
        <v>6894</v>
      </c>
      <c r="F2173" s="19" t="s">
        <v>6895</v>
      </c>
      <c r="G2173" s="19" t="s">
        <v>6892</v>
      </c>
      <c r="H2173" s="19" t="s">
        <v>6892</v>
      </c>
      <c r="L2173" s="6">
        <v>6202562579</v>
      </c>
      <c r="N2173" s="16"/>
      <c r="O2173" s="7"/>
      <c r="P2173" s="17"/>
    </row>
    <row r="2174" spans="1:16" ht="14.25" customHeight="1">
      <c r="A2174" s="5" t="s">
        <v>0</v>
      </c>
      <c r="B2174" s="5" t="str">
        <f t="shared" si="18"/>
        <v>Y</v>
      </c>
      <c r="C2174" s="18" t="s">
        <v>6896</v>
      </c>
      <c r="D2174" s="18"/>
      <c r="E2174" s="6" t="s">
        <v>6897</v>
      </c>
      <c r="F2174" s="19" t="s">
        <v>6898</v>
      </c>
      <c r="G2174" s="19" t="s">
        <v>6892</v>
      </c>
      <c r="H2174" s="19" t="s">
        <v>6892</v>
      </c>
      <c r="L2174" s="6">
        <v>7070194532</v>
      </c>
      <c r="N2174" s="16"/>
      <c r="O2174" s="7"/>
      <c r="P2174" s="17"/>
    </row>
    <row r="2175" spans="1:16" ht="14.25" customHeight="1">
      <c r="A2175" s="5" t="s">
        <v>0</v>
      </c>
      <c r="B2175" s="5" t="str">
        <f t="shared" si="18"/>
        <v>Y</v>
      </c>
      <c r="C2175" s="18" t="s">
        <v>6899</v>
      </c>
      <c r="D2175" s="18"/>
      <c r="E2175" s="6" t="s">
        <v>6900</v>
      </c>
      <c r="F2175" s="19" t="s">
        <v>6901</v>
      </c>
      <c r="G2175" s="19" t="s">
        <v>6892</v>
      </c>
      <c r="H2175" s="19" t="s">
        <v>6892</v>
      </c>
      <c r="K2175" s="19" t="s">
        <v>6902</v>
      </c>
      <c r="L2175" s="6">
        <v>9708589026</v>
      </c>
      <c r="N2175" s="16"/>
      <c r="O2175" s="7"/>
      <c r="P2175" s="17"/>
    </row>
    <row r="2176" spans="1:16" ht="14.25" customHeight="1">
      <c r="A2176" s="5" t="s">
        <v>0</v>
      </c>
      <c r="B2176" s="5" t="str">
        <f t="shared" si="18"/>
        <v>Y</v>
      </c>
      <c r="C2176" s="18" t="s">
        <v>6903</v>
      </c>
      <c r="D2176" s="18"/>
      <c r="E2176" s="6" t="s">
        <v>6904</v>
      </c>
      <c r="F2176" s="19" t="s">
        <v>6905</v>
      </c>
      <c r="G2176" s="19" t="s">
        <v>6892</v>
      </c>
      <c r="H2176" s="19" t="s">
        <v>6892</v>
      </c>
      <c r="L2176" s="6">
        <v>9835189579</v>
      </c>
      <c r="N2176" s="16"/>
      <c r="O2176" s="7"/>
      <c r="P2176" s="17"/>
    </row>
    <row r="2177" spans="1:16" ht="14.25" customHeight="1">
      <c r="A2177" s="5" t="s">
        <v>0</v>
      </c>
      <c r="B2177" s="5" t="str">
        <f t="shared" si="18"/>
        <v>Y</v>
      </c>
      <c r="C2177" s="18" t="s">
        <v>6906</v>
      </c>
      <c r="D2177" s="18"/>
      <c r="E2177" s="6" t="s">
        <v>6907</v>
      </c>
      <c r="F2177" s="19" t="s">
        <v>6908</v>
      </c>
      <c r="G2177" s="19" t="s">
        <v>6909</v>
      </c>
      <c r="H2177" s="19" t="s">
        <v>6909</v>
      </c>
      <c r="L2177" s="6">
        <v>8056758990</v>
      </c>
      <c r="N2177" s="16"/>
      <c r="O2177" s="7"/>
      <c r="P2177" s="17"/>
    </row>
    <row r="2178" spans="1:16" ht="14.25" customHeight="1">
      <c r="A2178" s="5" t="s">
        <v>0</v>
      </c>
      <c r="B2178" s="5" t="str">
        <f t="shared" si="18"/>
        <v>Y</v>
      </c>
      <c r="C2178" s="18" t="s">
        <v>6910</v>
      </c>
      <c r="D2178" s="18"/>
      <c r="E2178" s="6" t="s">
        <v>1751</v>
      </c>
      <c r="F2178" s="19" t="s">
        <v>6911</v>
      </c>
      <c r="G2178" s="19" t="s">
        <v>6912</v>
      </c>
      <c r="H2178" s="20">
        <v>44573</v>
      </c>
      <c r="K2178" s="6" t="s">
        <v>4698</v>
      </c>
      <c r="L2178" s="6">
        <v>8102216446</v>
      </c>
      <c r="N2178" s="16"/>
      <c r="O2178" s="7"/>
      <c r="P2178" s="17"/>
    </row>
    <row r="2179" spans="1:16" ht="14.25" customHeight="1">
      <c r="A2179" s="5" t="s">
        <v>0</v>
      </c>
      <c r="B2179" s="5" t="str">
        <f t="shared" si="18"/>
        <v>Y</v>
      </c>
      <c r="C2179" s="18" t="s">
        <v>6913</v>
      </c>
      <c r="D2179" s="18"/>
      <c r="E2179" s="6" t="s">
        <v>4817</v>
      </c>
      <c r="F2179" s="19" t="s">
        <v>6914</v>
      </c>
      <c r="G2179" s="19" t="s">
        <v>6912</v>
      </c>
      <c r="H2179" s="20">
        <v>44573</v>
      </c>
      <c r="K2179" s="6" t="s">
        <v>4698</v>
      </c>
      <c r="L2179" s="6">
        <v>9973050543</v>
      </c>
      <c r="N2179" s="16"/>
      <c r="O2179" s="7"/>
      <c r="P2179" s="17"/>
    </row>
    <row r="2180" spans="1:16" ht="14.25" customHeight="1">
      <c r="A2180" s="5" t="s">
        <v>0</v>
      </c>
      <c r="B2180" s="5" t="str">
        <f t="shared" si="18"/>
        <v>Y</v>
      </c>
      <c r="C2180" s="18" t="s">
        <v>6915</v>
      </c>
      <c r="D2180" s="18"/>
      <c r="E2180" s="6" t="s">
        <v>6916</v>
      </c>
      <c r="F2180" s="19" t="s">
        <v>6917</v>
      </c>
      <c r="G2180" s="19" t="s">
        <v>6918</v>
      </c>
      <c r="H2180" s="20">
        <v>44574</v>
      </c>
      <c r="K2180" s="6" t="s">
        <v>6919</v>
      </c>
      <c r="L2180" s="6">
        <v>9955564564</v>
      </c>
      <c r="N2180" s="16"/>
      <c r="O2180" s="7"/>
      <c r="P2180" s="17"/>
    </row>
    <row r="2181" spans="1:16" ht="14.25" customHeight="1">
      <c r="A2181" s="5" t="s">
        <v>0</v>
      </c>
      <c r="B2181" s="5" t="str">
        <f t="shared" si="18"/>
        <v>Y</v>
      </c>
      <c r="C2181" s="18" t="s">
        <v>6920</v>
      </c>
      <c r="D2181" s="18"/>
      <c r="E2181" s="6" t="s">
        <v>6921</v>
      </c>
      <c r="F2181" s="19" t="s">
        <v>6922</v>
      </c>
      <c r="G2181" s="19" t="s">
        <v>6923</v>
      </c>
      <c r="H2181" s="20">
        <v>44575</v>
      </c>
      <c r="K2181" s="6" t="s">
        <v>6924</v>
      </c>
      <c r="L2181" s="6">
        <v>9108589779</v>
      </c>
      <c r="N2181" s="16"/>
      <c r="O2181" s="7"/>
      <c r="P2181" s="17"/>
    </row>
    <row r="2182" spans="1:16" ht="14.25" customHeight="1">
      <c r="A2182" s="5" t="s">
        <v>0</v>
      </c>
      <c r="B2182" s="5" t="str">
        <f t="shared" si="18"/>
        <v>N</v>
      </c>
      <c r="C2182" s="18" t="s">
        <v>6925</v>
      </c>
      <c r="D2182" s="18"/>
      <c r="E2182" s="6" t="s">
        <v>6926</v>
      </c>
      <c r="F2182" s="19" t="s">
        <v>6927</v>
      </c>
      <c r="G2182" s="19" t="s">
        <v>6923</v>
      </c>
      <c r="H2182" s="20"/>
      <c r="L2182" s="6">
        <v>8340646564</v>
      </c>
      <c r="N2182" s="16"/>
      <c r="O2182" s="7"/>
      <c r="P2182" s="17"/>
    </row>
    <row r="2183" spans="1:16" ht="14.25" customHeight="1">
      <c r="A2183" s="5" t="s">
        <v>0</v>
      </c>
      <c r="B2183" s="5" t="str">
        <f t="shared" si="18"/>
        <v>Y</v>
      </c>
      <c r="C2183" s="18" t="s">
        <v>6928</v>
      </c>
      <c r="D2183" s="18"/>
      <c r="E2183" s="6" t="s">
        <v>6929</v>
      </c>
      <c r="F2183" s="19" t="s">
        <v>2688</v>
      </c>
      <c r="G2183" s="19" t="s">
        <v>6923</v>
      </c>
      <c r="H2183" s="20">
        <v>44576</v>
      </c>
      <c r="K2183" s="6" t="s">
        <v>4698</v>
      </c>
      <c r="L2183" s="6">
        <v>9693700957</v>
      </c>
      <c r="N2183" s="16"/>
      <c r="O2183" s="7"/>
      <c r="P2183" s="17"/>
    </row>
    <row r="2184" spans="1:16" ht="14.25" customHeight="1">
      <c r="A2184" s="5" t="s">
        <v>0</v>
      </c>
      <c r="B2184" s="5" t="str">
        <f t="shared" si="18"/>
        <v>Y</v>
      </c>
      <c r="C2184" s="18" t="s">
        <v>6930</v>
      </c>
      <c r="D2184" s="18"/>
      <c r="E2184" s="6" t="s">
        <v>6931</v>
      </c>
      <c r="F2184" s="19" t="s">
        <v>6932</v>
      </c>
      <c r="G2184" s="19" t="s">
        <v>6933</v>
      </c>
      <c r="H2184" s="20">
        <v>44576</v>
      </c>
      <c r="K2184" s="6" t="s">
        <v>6934</v>
      </c>
      <c r="L2184" s="6">
        <v>8009437372</v>
      </c>
      <c r="N2184" s="16"/>
      <c r="O2184" s="7"/>
      <c r="P2184" s="17"/>
    </row>
    <row r="2185" spans="1:16" ht="14.25" customHeight="1">
      <c r="A2185" s="5" t="s">
        <v>0</v>
      </c>
      <c r="B2185" s="5" t="str">
        <f t="shared" si="18"/>
        <v>Y</v>
      </c>
      <c r="C2185" s="18" t="s">
        <v>6935</v>
      </c>
      <c r="D2185" s="18"/>
      <c r="E2185" s="6" t="s">
        <v>6936</v>
      </c>
      <c r="F2185" s="19" t="s">
        <v>6937</v>
      </c>
      <c r="G2185" s="19" t="s">
        <v>6923</v>
      </c>
      <c r="H2185" s="20">
        <v>44577</v>
      </c>
      <c r="K2185" s="6" t="s">
        <v>6938</v>
      </c>
      <c r="L2185" s="6">
        <v>8987819206</v>
      </c>
      <c r="N2185" s="16"/>
      <c r="O2185" s="7"/>
      <c r="P2185" s="17"/>
    </row>
    <row r="2186" spans="1:16" ht="14.25" customHeight="1">
      <c r="A2186" s="5" t="s">
        <v>0</v>
      </c>
      <c r="B2186" s="5" t="str">
        <f t="shared" si="18"/>
        <v>Y</v>
      </c>
      <c r="C2186" s="18" t="s">
        <v>6939</v>
      </c>
      <c r="D2186" s="18"/>
      <c r="E2186" s="6" t="s">
        <v>6940</v>
      </c>
      <c r="F2186" s="19" t="s">
        <v>6941</v>
      </c>
      <c r="G2186" s="19" t="s">
        <v>6942</v>
      </c>
      <c r="H2186" s="20">
        <v>44577</v>
      </c>
      <c r="K2186" s="6" t="s">
        <v>6943</v>
      </c>
      <c r="L2186" s="6">
        <v>8210189796</v>
      </c>
      <c r="N2186" s="16"/>
      <c r="O2186" s="7"/>
      <c r="P2186" s="17"/>
    </row>
    <row r="2187" spans="1:16" ht="14.25" customHeight="1">
      <c r="A2187" s="5" t="s">
        <v>0</v>
      </c>
      <c r="B2187" s="5" t="str">
        <f t="shared" si="18"/>
        <v>Y</v>
      </c>
      <c r="C2187" s="18" t="s">
        <v>6944</v>
      </c>
      <c r="D2187" s="18"/>
      <c r="E2187" s="6" t="s">
        <v>6945</v>
      </c>
      <c r="F2187" s="19" t="s">
        <v>5858</v>
      </c>
      <c r="G2187" s="19" t="s">
        <v>6942</v>
      </c>
      <c r="H2187" s="20">
        <v>44577</v>
      </c>
      <c r="K2187" s="6" t="s">
        <v>4698</v>
      </c>
      <c r="L2187" s="6">
        <v>9162563228</v>
      </c>
      <c r="N2187" s="16"/>
      <c r="O2187" s="7"/>
      <c r="P2187" s="17"/>
    </row>
    <row r="2188" spans="1:16" ht="14.25" customHeight="1">
      <c r="A2188" s="5" t="s">
        <v>0</v>
      </c>
      <c r="B2188" s="5" t="str">
        <f t="shared" si="18"/>
        <v>Y</v>
      </c>
      <c r="C2188" s="18" t="s">
        <v>6946</v>
      </c>
      <c r="D2188" s="18"/>
      <c r="E2188" s="6" t="s">
        <v>6947</v>
      </c>
      <c r="F2188" s="19" t="s">
        <v>6948</v>
      </c>
      <c r="G2188" s="19" t="s">
        <v>6949</v>
      </c>
      <c r="H2188" s="20">
        <v>44578</v>
      </c>
      <c r="K2188" s="6" t="s">
        <v>4698</v>
      </c>
      <c r="L2188" s="6">
        <v>7209994300</v>
      </c>
      <c r="N2188" s="16"/>
      <c r="O2188" s="7"/>
      <c r="P2188" s="17"/>
    </row>
    <row r="2189" spans="1:16" ht="14.25" customHeight="1">
      <c r="A2189" s="5" t="s">
        <v>0</v>
      </c>
      <c r="B2189" s="5" t="str">
        <f t="shared" si="18"/>
        <v>Y</v>
      </c>
      <c r="C2189" s="18" t="s">
        <v>6950</v>
      </c>
      <c r="D2189" s="18"/>
      <c r="E2189" s="6" t="s">
        <v>6951</v>
      </c>
      <c r="F2189" s="19" t="s">
        <v>6952</v>
      </c>
      <c r="G2189" s="19" t="s">
        <v>6949</v>
      </c>
      <c r="H2189" s="20">
        <v>44578</v>
      </c>
      <c r="K2189" s="6" t="s">
        <v>6953</v>
      </c>
      <c r="L2189" s="6">
        <v>9801596221</v>
      </c>
      <c r="N2189" s="16"/>
      <c r="O2189" s="7"/>
      <c r="P2189" s="17"/>
    </row>
    <row r="2190" spans="1:16" ht="14.25" customHeight="1">
      <c r="A2190" s="5" t="s">
        <v>0</v>
      </c>
      <c r="B2190" s="5" t="str">
        <f t="shared" si="18"/>
        <v>Y</v>
      </c>
      <c r="C2190" s="18" t="s">
        <v>6954</v>
      </c>
      <c r="D2190" s="18"/>
      <c r="E2190" s="6" t="s">
        <v>6955</v>
      </c>
      <c r="F2190" s="19" t="s">
        <v>6956</v>
      </c>
      <c r="G2190" s="19" t="s">
        <v>6949</v>
      </c>
      <c r="H2190" s="20">
        <v>44578</v>
      </c>
      <c r="K2190" s="6" t="s">
        <v>6957</v>
      </c>
      <c r="L2190" s="6">
        <v>7870279468</v>
      </c>
      <c r="N2190" s="16"/>
      <c r="O2190" s="7"/>
      <c r="P2190" s="17"/>
    </row>
    <row r="2191" spans="1:16" ht="14.25" customHeight="1">
      <c r="A2191" s="5" t="s">
        <v>0</v>
      </c>
      <c r="B2191" s="5" t="str">
        <f t="shared" si="18"/>
        <v>Y</v>
      </c>
      <c r="C2191" s="18" t="s">
        <v>6958</v>
      </c>
      <c r="D2191" s="18"/>
      <c r="E2191" s="6" t="s">
        <v>2084</v>
      </c>
      <c r="F2191" s="19" t="s">
        <v>6959</v>
      </c>
      <c r="G2191" s="19" t="s">
        <v>6949</v>
      </c>
      <c r="H2191" s="20">
        <v>44578</v>
      </c>
      <c r="K2191" s="6" t="s">
        <v>6960</v>
      </c>
      <c r="L2191" s="6">
        <v>7870798092</v>
      </c>
      <c r="N2191" s="16"/>
      <c r="O2191" s="7"/>
      <c r="P2191" s="17"/>
    </row>
    <row r="2192" spans="1:16" ht="14.25" customHeight="1">
      <c r="A2192" s="5" t="s">
        <v>0</v>
      </c>
      <c r="B2192" s="5" t="str">
        <f t="shared" si="18"/>
        <v>Y</v>
      </c>
      <c r="C2192" s="18" t="s">
        <v>6961</v>
      </c>
      <c r="D2192" s="18"/>
      <c r="E2192" s="6" t="s">
        <v>6962</v>
      </c>
      <c r="F2192" s="19" t="s">
        <v>2746</v>
      </c>
      <c r="G2192" s="19" t="s">
        <v>6949</v>
      </c>
      <c r="H2192" s="20">
        <v>44578</v>
      </c>
      <c r="K2192" s="6" t="s">
        <v>4698</v>
      </c>
      <c r="L2192" s="6">
        <v>9199239989</v>
      </c>
      <c r="N2192" s="16"/>
      <c r="O2192" s="7"/>
      <c r="P2192" s="17"/>
    </row>
    <row r="2193" spans="1:16" ht="14.25" customHeight="1">
      <c r="A2193" s="5" t="s">
        <v>0</v>
      </c>
      <c r="B2193" s="5" t="str">
        <f t="shared" si="18"/>
        <v>Y</v>
      </c>
      <c r="C2193" s="18" t="s">
        <v>6963</v>
      </c>
      <c r="D2193" s="18"/>
      <c r="E2193" s="6" t="s">
        <v>6964</v>
      </c>
      <c r="F2193" s="19" t="s">
        <v>6965</v>
      </c>
      <c r="G2193" s="19" t="s">
        <v>6966</v>
      </c>
      <c r="H2193" s="20">
        <v>44579</v>
      </c>
      <c r="L2193" s="6">
        <v>6379946732</v>
      </c>
      <c r="N2193" s="16"/>
      <c r="O2193" s="7"/>
      <c r="P2193" s="17"/>
    </row>
    <row r="2194" spans="1:16" ht="14.25" customHeight="1">
      <c r="A2194" s="5" t="s">
        <v>0</v>
      </c>
      <c r="B2194" s="5" t="str">
        <f t="shared" si="18"/>
        <v>Y</v>
      </c>
      <c r="C2194" s="18" t="s">
        <v>6967</v>
      </c>
      <c r="D2194" s="18"/>
      <c r="E2194" s="6" t="s">
        <v>6968</v>
      </c>
      <c r="F2194" s="19" t="s">
        <v>6969</v>
      </c>
      <c r="G2194" s="19" t="s">
        <v>6970</v>
      </c>
      <c r="H2194" s="20">
        <v>44580</v>
      </c>
      <c r="K2194" s="6" t="s">
        <v>6971</v>
      </c>
      <c r="L2194" s="6">
        <v>7903958489</v>
      </c>
      <c r="N2194" s="16"/>
      <c r="O2194" s="7"/>
      <c r="P2194" s="17"/>
    </row>
    <row r="2195" spans="1:16" ht="14.25" customHeight="1">
      <c r="A2195" s="5" t="s">
        <v>0</v>
      </c>
      <c r="B2195" s="5" t="str">
        <f t="shared" si="18"/>
        <v>Y</v>
      </c>
      <c r="C2195" s="24" t="s">
        <v>6972</v>
      </c>
      <c r="D2195" s="24"/>
      <c r="E2195" s="6" t="s">
        <v>6973</v>
      </c>
      <c r="F2195" s="19" t="s">
        <v>6974</v>
      </c>
      <c r="G2195" s="19" t="s">
        <v>6970</v>
      </c>
      <c r="H2195" s="20">
        <v>44580</v>
      </c>
      <c r="K2195" s="6" t="s">
        <v>4698</v>
      </c>
      <c r="L2195" s="6">
        <v>9204112156</v>
      </c>
      <c r="N2195" s="16"/>
      <c r="O2195" s="7"/>
      <c r="P2195" s="17"/>
    </row>
    <row r="2196" spans="1:16" ht="14.25" customHeight="1">
      <c r="A2196" s="5" t="s">
        <v>0</v>
      </c>
      <c r="B2196" s="5" t="str">
        <f t="shared" si="18"/>
        <v>Y</v>
      </c>
      <c r="C2196" s="18" t="s">
        <v>6975</v>
      </c>
      <c r="D2196" s="18"/>
      <c r="E2196" s="6" t="s">
        <v>6976</v>
      </c>
      <c r="F2196" s="19" t="s">
        <v>6977</v>
      </c>
      <c r="G2196" s="19" t="s">
        <v>6978</v>
      </c>
      <c r="H2196" s="20">
        <v>44581</v>
      </c>
      <c r="K2196" s="6" t="s">
        <v>4698</v>
      </c>
      <c r="L2196" s="6">
        <v>8603717388</v>
      </c>
      <c r="N2196" s="16"/>
      <c r="O2196" s="7"/>
      <c r="P2196" s="17"/>
    </row>
    <row r="2197" spans="1:16" ht="14.25" customHeight="1">
      <c r="A2197" s="5" t="s">
        <v>0</v>
      </c>
      <c r="B2197" s="5" t="str">
        <f t="shared" si="18"/>
        <v>Y</v>
      </c>
      <c r="C2197" s="18" t="s">
        <v>6979</v>
      </c>
      <c r="D2197" s="18"/>
      <c r="E2197" s="6" t="s">
        <v>6980</v>
      </c>
      <c r="F2197" s="19" t="s">
        <v>6981</v>
      </c>
      <c r="G2197" s="19" t="s">
        <v>6982</v>
      </c>
      <c r="H2197" s="19" t="s">
        <v>6982</v>
      </c>
      <c r="L2197" s="6">
        <v>8235430052</v>
      </c>
      <c r="N2197" s="16"/>
      <c r="O2197" s="7"/>
      <c r="P2197" s="17"/>
    </row>
    <row r="2198" spans="1:16" ht="14.25" customHeight="1">
      <c r="A2198" s="5" t="s">
        <v>0</v>
      </c>
      <c r="B2198" s="5" t="str">
        <f t="shared" si="18"/>
        <v>Y</v>
      </c>
      <c r="C2198" s="18" t="s">
        <v>6983</v>
      </c>
      <c r="D2198" s="18"/>
      <c r="E2198" s="6" t="s">
        <v>6984</v>
      </c>
      <c r="F2198" s="19" t="s">
        <v>6985</v>
      </c>
      <c r="G2198" s="19" t="s">
        <v>6982</v>
      </c>
      <c r="H2198" s="19" t="s">
        <v>6982</v>
      </c>
      <c r="L2198" s="6">
        <v>7979928624</v>
      </c>
      <c r="N2198" s="16"/>
      <c r="O2198" s="7"/>
      <c r="P2198" s="17"/>
    </row>
    <row r="2199" spans="1:16" ht="14.25" customHeight="1">
      <c r="A2199" s="5" t="s">
        <v>0</v>
      </c>
      <c r="B2199" s="5" t="str">
        <f t="shared" si="18"/>
        <v>Y</v>
      </c>
      <c r="C2199" s="18" t="s">
        <v>6986</v>
      </c>
      <c r="D2199" s="18"/>
      <c r="E2199" s="6" t="s">
        <v>6987</v>
      </c>
      <c r="F2199" s="19" t="s">
        <v>6988</v>
      </c>
      <c r="G2199" s="19" t="s">
        <v>6982</v>
      </c>
      <c r="H2199" s="19" t="s">
        <v>6982</v>
      </c>
      <c r="L2199" s="6">
        <v>8092125081</v>
      </c>
      <c r="N2199" s="16"/>
      <c r="O2199" s="7"/>
      <c r="P2199" s="17"/>
    </row>
    <row r="2200" spans="1:16" ht="14.25" customHeight="1">
      <c r="A2200" s="5" t="s">
        <v>0</v>
      </c>
      <c r="B2200" s="5" t="str">
        <f t="shared" si="18"/>
        <v>Y</v>
      </c>
      <c r="C2200" s="18" t="s">
        <v>6989</v>
      </c>
      <c r="D2200" s="18"/>
      <c r="E2200" s="6" t="s">
        <v>6990</v>
      </c>
      <c r="F2200" s="19" t="s">
        <v>6991</v>
      </c>
      <c r="G2200" s="19" t="s">
        <v>6982</v>
      </c>
      <c r="H2200" s="19" t="s">
        <v>6982</v>
      </c>
      <c r="L2200" s="6">
        <v>9934515935</v>
      </c>
      <c r="N2200" s="16"/>
      <c r="O2200" s="7"/>
      <c r="P2200" s="17"/>
    </row>
    <row r="2201" spans="1:16" ht="14.25" customHeight="1">
      <c r="A2201" s="5" t="s">
        <v>0</v>
      </c>
      <c r="B2201" s="5" t="str">
        <f t="shared" si="18"/>
        <v>Y</v>
      </c>
      <c r="C2201" s="18" t="s">
        <v>6992</v>
      </c>
      <c r="D2201" s="18"/>
      <c r="E2201" s="6" t="s">
        <v>6993</v>
      </c>
      <c r="F2201" s="19" t="s">
        <v>6994</v>
      </c>
      <c r="G2201" s="19" t="s">
        <v>6995</v>
      </c>
      <c r="H2201" s="20">
        <v>44583</v>
      </c>
      <c r="K2201" s="6" t="s">
        <v>6996</v>
      </c>
      <c r="L2201" s="6">
        <v>8540942753</v>
      </c>
      <c r="N2201" s="16"/>
      <c r="O2201" s="7"/>
      <c r="P2201" s="17"/>
    </row>
    <row r="2202" spans="1:16" ht="14.25" customHeight="1">
      <c r="A2202" s="5" t="s">
        <v>0</v>
      </c>
      <c r="B2202" s="5" t="str">
        <f t="shared" si="18"/>
        <v>Y</v>
      </c>
      <c r="C2202" s="18" t="s">
        <v>6997</v>
      </c>
      <c r="D2202" s="18"/>
      <c r="E2202" s="6" t="s">
        <v>5717</v>
      </c>
      <c r="F2202" s="19" t="s">
        <v>6998</v>
      </c>
      <c r="G2202" s="19" t="s">
        <v>6923</v>
      </c>
      <c r="H2202" s="20">
        <v>44583</v>
      </c>
      <c r="L2202" s="6">
        <v>9693700957</v>
      </c>
      <c r="N2202" s="16"/>
      <c r="O2202" s="7"/>
      <c r="P2202" s="17"/>
    </row>
    <row r="2203" spans="1:16" ht="14.25" customHeight="1">
      <c r="A2203" s="5" t="s">
        <v>0</v>
      </c>
      <c r="B2203" s="5" t="str">
        <f t="shared" si="18"/>
        <v>Y</v>
      </c>
      <c r="C2203" s="18" t="s">
        <v>6999</v>
      </c>
      <c r="D2203" s="18"/>
      <c r="E2203" s="6" t="s">
        <v>6926</v>
      </c>
      <c r="F2203" s="19" t="s">
        <v>6927</v>
      </c>
      <c r="G2203" s="19" t="s">
        <v>6923</v>
      </c>
      <c r="H2203" s="20">
        <v>44583</v>
      </c>
      <c r="L2203" s="6">
        <v>8340646564</v>
      </c>
      <c r="N2203" s="16"/>
      <c r="O2203" s="7"/>
      <c r="P2203" s="17"/>
    </row>
    <row r="2204" spans="1:16" ht="14.25" customHeight="1">
      <c r="A2204" s="5" t="s">
        <v>0</v>
      </c>
      <c r="B2204" s="5" t="str">
        <f t="shared" si="18"/>
        <v>Y</v>
      </c>
      <c r="C2204" s="18" t="s">
        <v>7000</v>
      </c>
      <c r="D2204" s="18"/>
      <c r="E2204" s="6" t="s">
        <v>7001</v>
      </c>
      <c r="F2204" s="19" t="s">
        <v>7002</v>
      </c>
      <c r="G2204" s="19" t="s">
        <v>7003</v>
      </c>
      <c r="H2204" s="20">
        <v>44585</v>
      </c>
      <c r="K2204" s="6" t="s">
        <v>7004</v>
      </c>
      <c r="L2204" s="6">
        <v>9341346050</v>
      </c>
      <c r="N2204" s="16"/>
      <c r="O2204" s="7"/>
      <c r="P2204" s="17"/>
    </row>
    <row r="2205" spans="1:16" ht="14.25" customHeight="1">
      <c r="A2205" s="5" t="s">
        <v>0</v>
      </c>
      <c r="B2205" s="5" t="str">
        <f t="shared" si="18"/>
        <v>Y</v>
      </c>
      <c r="C2205" s="18" t="s">
        <v>7005</v>
      </c>
      <c r="D2205" s="18"/>
      <c r="E2205" s="6" t="s">
        <v>7006</v>
      </c>
      <c r="F2205" s="19" t="s">
        <v>7007</v>
      </c>
      <c r="G2205" s="19" t="s">
        <v>7003</v>
      </c>
      <c r="H2205" s="20">
        <v>44585</v>
      </c>
      <c r="L2205" s="6">
        <v>7667701055</v>
      </c>
      <c r="N2205" s="16"/>
      <c r="O2205" s="7"/>
      <c r="P2205" s="17"/>
    </row>
    <row r="2206" spans="1:16" ht="14.25" customHeight="1">
      <c r="A2206" s="5" t="s">
        <v>0</v>
      </c>
      <c r="B2206" s="5" t="str">
        <f t="shared" si="18"/>
        <v>Y</v>
      </c>
      <c r="C2206" s="18" t="s">
        <v>7008</v>
      </c>
      <c r="D2206" s="18"/>
      <c r="E2206" s="6" t="s">
        <v>7009</v>
      </c>
      <c r="F2206" s="19" t="s">
        <v>7010</v>
      </c>
      <c r="G2206" s="19" t="s">
        <v>7003</v>
      </c>
      <c r="H2206" s="20">
        <v>44585</v>
      </c>
      <c r="L2206" s="6">
        <v>8340157050</v>
      </c>
      <c r="N2206" s="16"/>
      <c r="O2206" s="7"/>
      <c r="P2206" s="17"/>
    </row>
    <row r="2207" spans="1:16" ht="14.25" customHeight="1">
      <c r="A2207" s="5" t="s">
        <v>0</v>
      </c>
      <c r="B2207" s="5" t="str">
        <f t="shared" si="18"/>
        <v>Y</v>
      </c>
      <c r="C2207" s="18" t="s">
        <v>7011</v>
      </c>
      <c r="D2207" s="18"/>
      <c r="E2207" s="6" t="s">
        <v>7012</v>
      </c>
      <c r="F2207" s="19" t="s">
        <v>7013</v>
      </c>
      <c r="G2207" s="19" t="s">
        <v>7014</v>
      </c>
      <c r="H2207" s="20">
        <v>44587</v>
      </c>
      <c r="L2207" s="6">
        <v>9534053089</v>
      </c>
      <c r="N2207" s="16"/>
      <c r="O2207" s="7"/>
      <c r="P2207" s="17"/>
    </row>
    <row r="2208" spans="1:16" ht="14.25" customHeight="1">
      <c r="A2208" s="5" t="s">
        <v>0</v>
      </c>
      <c r="B2208" s="5" t="str">
        <f t="shared" si="18"/>
        <v>Y</v>
      </c>
      <c r="C2208" s="18" t="s">
        <v>7015</v>
      </c>
      <c r="D2208" s="18"/>
      <c r="E2208" s="6" t="s">
        <v>7016</v>
      </c>
      <c r="F2208" s="19" t="s">
        <v>7017</v>
      </c>
      <c r="G2208" s="19" t="s">
        <v>7014</v>
      </c>
      <c r="H2208" s="20">
        <v>44587</v>
      </c>
      <c r="L2208" s="6">
        <v>9234418119</v>
      </c>
      <c r="N2208" s="16"/>
      <c r="O2208" s="7"/>
      <c r="P2208" s="17"/>
    </row>
    <row r="2209" spans="1:16" ht="14.25" customHeight="1">
      <c r="A2209" s="5" t="s">
        <v>0</v>
      </c>
      <c r="B2209" s="5" t="str">
        <f t="shared" si="18"/>
        <v>Y</v>
      </c>
      <c r="C2209" s="18" t="s">
        <v>7018</v>
      </c>
      <c r="D2209" s="18"/>
      <c r="E2209" s="6" t="s">
        <v>7019</v>
      </c>
      <c r="F2209" s="19" t="s">
        <v>7020</v>
      </c>
      <c r="G2209" s="19" t="s">
        <v>7021</v>
      </c>
      <c r="H2209" s="20">
        <v>44589</v>
      </c>
      <c r="L2209" s="6">
        <v>9304730054</v>
      </c>
      <c r="N2209" s="16"/>
      <c r="O2209" s="7"/>
      <c r="P2209" s="17"/>
    </row>
    <row r="2210" spans="1:16" ht="14.25" customHeight="1">
      <c r="A2210" s="5" t="s">
        <v>0</v>
      </c>
      <c r="B2210" s="5" t="str">
        <f t="shared" si="18"/>
        <v>Y</v>
      </c>
      <c r="C2210" s="18" t="s">
        <v>7022</v>
      </c>
      <c r="D2210" s="18"/>
      <c r="E2210" s="6" t="s">
        <v>7023</v>
      </c>
      <c r="F2210" s="19" t="s">
        <v>7024</v>
      </c>
      <c r="G2210" s="19" t="s">
        <v>7021</v>
      </c>
      <c r="H2210" s="20">
        <v>44589</v>
      </c>
      <c r="L2210" s="6">
        <v>9304730054</v>
      </c>
      <c r="N2210" s="16"/>
      <c r="O2210" s="7"/>
      <c r="P2210" s="17"/>
    </row>
    <row r="2211" spans="1:16" ht="14.25" customHeight="1">
      <c r="A2211" s="5" t="s">
        <v>0</v>
      </c>
      <c r="B2211" s="5" t="str">
        <f t="shared" si="18"/>
        <v>Y</v>
      </c>
      <c r="C2211" s="18" t="s">
        <v>7025</v>
      </c>
      <c r="D2211" s="18"/>
      <c r="E2211" s="6" t="s">
        <v>6333</v>
      </c>
      <c r="F2211" s="19" t="s">
        <v>7026</v>
      </c>
      <c r="G2211" s="19" t="s">
        <v>7021</v>
      </c>
      <c r="H2211" s="20">
        <v>44589</v>
      </c>
      <c r="L2211" s="6">
        <v>9304730054</v>
      </c>
      <c r="N2211" s="16"/>
      <c r="O2211" s="7"/>
      <c r="P2211" s="17"/>
    </row>
    <row r="2212" spans="1:16" ht="14.25" customHeight="1">
      <c r="A2212" s="5" t="s">
        <v>0</v>
      </c>
      <c r="B2212" s="5" t="str">
        <f t="shared" si="18"/>
        <v>Y</v>
      </c>
      <c r="C2212" s="18" t="s">
        <v>7027</v>
      </c>
      <c r="D2212" s="18"/>
      <c r="E2212" s="6" t="s">
        <v>1266</v>
      </c>
      <c r="F2212" s="19" t="s">
        <v>7028</v>
      </c>
      <c r="G2212" s="19" t="s">
        <v>7021</v>
      </c>
      <c r="H2212" s="20">
        <v>44589</v>
      </c>
      <c r="L2212" s="6">
        <v>7766899243</v>
      </c>
      <c r="N2212" s="16"/>
      <c r="O2212" s="7"/>
      <c r="P2212" s="17"/>
    </row>
    <row r="2213" spans="1:16" ht="14.25" customHeight="1">
      <c r="A2213" s="5" t="s">
        <v>0</v>
      </c>
      <c r="B2213" s="5" t="str">
        <f t="shared" si="18"/>
        <v>Y</v>
      </c>
      <c r="C2213" s="18" t="s">
        <v>7029</v>
      </c>
      <c r="D2213" s="18"/>
      <c r="E2213" s="6" t="s">
        <v>7030</v>
      </c>
      <c r="F2213" s="19" t="s">
        <v>7031</v>
      </c>
      <c r="G2213" s="19" t="s">
        <v>7032</v>
      </c>
      <c r="H2213" s="20">
        <v>44590</v>
      </c>
      <c r="L2213" s="6">
        <v>9304730054</v>
      </c>
      <c r="N2213" s="16"/>
      <c r="O2213" s="7"/>
      <c r="P2213" s="17"/>
    </row>
    <row r="2214" spans="1:16" ht="14.25" customHeight="1">
      <c r="A2214" s="5" t="s">
        <v>0</v>
      </c>
      <c r="B2214" s="5" t="str">
        <f t="shared" si="18"/>
        <v>Y</v>
      </c>
      <c r="C2214" s="18" t="s">
        <v>7033</v>
      </c>
      <c r="D2214" s="18"/>
      <c r="E2214" s="24" t="s">
        <v>7034</v>
      </c>
      <c r="F2214" s="459">
        <v>16630</v>
      </c>
      <c r="G2214" s="19" t="s">
        <v>7035</v>
      </c>
      <c r="H2214" s="20">
        <v>44541</v>
      </c>
      <c r="L2214" s="24">
        <v>9955354932</v>
      </c>
      <c r="N2214" s="16"/>
      <c r="O2214" s="7"/>
      <c r="P2214" s="17"/>
    </row>
    <row r="2215" spans="1:16" ht="14.25" customHeight="1">
      <c r="A2215" s="5" t="s">
        <v>0</v>
      </c>
      <c r="B2215" s="5" t="str">
        <f t="shared" si="18"/>
        <v>Y</v>
      </c>
      <c r="C2215" s="18" t="s">
        <v>7036</v>
      </c>
      <c r="D2215" s="18"/>
      <c r="E2215" s="6" t="s">
        <v>7037</v>
      </c>
      <c r="F2215" s="19" t="s">
        <v>2835</v>
      </c>
      <c r="G2215" s="19" t="s">
        <v>7038</v>
      </c>
      <c r="H2215" s="20">
        <v>44592</v>
      </c>
      <c r="L2215" s="6">
        <v>9262824950</v>
      </c>
      <c r="N2215" s="16"/>
      <c r="O2215" s="7"/>
      <c r="P2215" s="17"/>
    </row>
    <row r="2216" spans="1:16" ht="14.25" customHeight="1">
      <c r="A2216" s="5" t="s">
        <v>0</v>
      </c>
      <c r="B2216" s="5" t="str">
        <f t="shared" si="18"/>
        <v>Y</v>
      </c>
      <c r="C2216" s="18" t="s">
        <v>7039</v>
      </c>
      <c r="D2216" s="18"/>
      <c r="E2216" s="6" t="s">
        <v>7040</v>
      </c>
      <c r="F2216" s="19" t="s">
        <v>7041</v>
      </c>
      <c r="G2216" s="19" t="s">
        <v>7042</v>
      </c>
      <c r="H2216" s="20">
        <v>44593</v>
      </c>
      <c r="K2216" s="6" t="s">
        <v>4698</v>
      </c>
      <c r="L2216" s="6">
        <v>6200740164</v>
      </c>
      <c r="N2216" s="16"/>
      <c r="O2216" s="7"/>
      <c r="P2216" s="17"/>
    </row>
    <row r="2217" spans="1:16" ht="14.25" customHeight="1">
      <c r="A2217" s="5" t="s">
        <v>0</v>
      </c>
      <c r="B2217" s="5" t="str">
        <f t="shared" si="18"/>
        <v>Y</v>
      </c>
      <c r="C2217" s="18" t="s">
        <v>7043</v>
      </c>
      <c r="D2217" s="18"/>
      <c r="E2217" s="6" t="s">
        <v>7044</v>
      </c>
      <c r="F2217" s="19" t="s">
        <v>7045</v>
      </c>
      <c r="G2217" s="19" t="s">
        <v>7046</v>
      </c>
      <c r="H2217" s="20">
        <v>44594</v>
      </c>
      <c r="I2217" s="6" t="s">
        <v>7047</v>
      </c>
      <c r="K2217" s="6" t="s">
        <v>4698</v>
      </c>
      <c r="L2217" s="6">
        <v>8797902509</v>
      </c>
      <c r="N2217" s="16"/>
      <c r="O2217" s="7"/>
      <c r="P2217" s="17"/>
    </row>
    <row r="2218" spans="1:16" ht="14.25" customHeight="1">
      <c r="A2218" s="5" t="s">
        <v>0</v>
      </c>
      <c r="B2218" s="5" t="str">
        <f t="shared" si="18"/>
        <v>Y</v>
      </c>
      <c r="C2218" s="18" t="s">
        <v>7048</v>
      </c>
      <c r="D2218" s="18"/>
      <c r="E2218" s="6" t="s">
        <v>7049</v>
      </c>
      <c r="F2218" s="19" t="s">
        <v>7050</v>
      </c>
      <c r="G2218" s="19" t="s">
        <v>7046</v>
      </c>
      <c r="H2218" s="20">
        <v>44594</v>
      </c>
      <c r="L2218" s="6">
        <v>7209262406</v>
      </c>
      <c r="N2218" s="16"/>
      <c r="O2218" s="7"/>
      <c r="P2218" s="17"/>
    </row>
    <row r="2219" spans="1:16" ht="14.25" customHeight="1">
      <c r="A2219" s="5" t="s">
        <v>0</v>
      </c>
      <c r="B2219" s="5" t="str">
        <f t="shared" si="18"/>
        <v>Y</v>
      </c>
      <c r="C2219" s="18" t="s">
        <v>7051</v>
      </c>
      <c r="D2219" s="18"/>
      <c r="E2219" s="6" t="s">
        <v>7052</v>
      </c>
      <c r="F2219" s="19" t="s">
        <v>7053</v>
      </c>
      <c r="G2219" s="19" t="s">
        <v>7054</v>
      </c>
      <c r="H2219" s="20">
        <v>44596</v>
      </c>
      <c r="L2219" s="6">
        <v>9304881883</v>
      </c>
      <c r="N2219" s="16"/>
      <c r="O2219" s="7"/>
      <c r="P2219" s="17"/>
    </row>
    <row r="2220" spans="1:16" ht="14.25" customHeight="1">
      <c r="A2220" s="5" t="s">
        <v>0</v>
      </c>
      <c r="B2220" s="5" t="str">
        <f t="shared" si="18"/>
        <v>Y</v>
      </c>
      <c r="C2220" s="18" t="s">
        <v>7055</v>
      </c>
      <c r="D2220" s="18"/>
      <c r="E2220" s="6" t="s">
        <v>7056</v>
      </c>
      <c r="F2220" s="19" t="s">
        <v>7057</v>
      </c>
      <c r="G2220" s="19" t="s">
        <v>7058</v>
      </c>
      <c r="H2220" s="20">
        <v>44598</v>
      </c>
      <c r="I2220" s="6" t="s">
        <v>7059</v>
      </c>
      <c r="L2220" s="6">
        <v>6206035278</v>
      </c>
      <c r="N2220" s="16"/>
      <c r="O2220" s="7"/>
      <c r="P2220" s="17"/>
    </row>
    <row r="2221" spans="1:16" ht="14.25" customHeight="1">
      <c r="A2221" s="5" t="s">
        <v>0</v>
      </c>
      <c r="B2221" s="5" t="str">
        <f t="shared" si="18"/>
        <v>Y</v>
      </c>
      <c r="C2221" s="18" t="s">
        <v>7060</v>
      </c>
      <c r="D2221" s="18"/>
      <c r="E2221" s="6" t="s">
        <v>5680</v>
      </c>
      <c r="F2221" s="19" t="s">
        <v>7061</v>
      </c>
      <c r="G2221" s="19" t="s">
        <v>7062</v>
      </c>
      <c r="H2221" s="20">
        <v>44599</v>
      </c>
      <c r="K2221" s="6" t="s">
        <v>4698</v>
      </c>
      <c r="L2221" s="6">
        <v>9315919318</v>
      </c>
      <c r="N2221" s="16"/>
      <c r="O2221" s="7"/>
      <c r="P2221" s="17"/>
    </row>
    <row r="2222" spans="1:16" ht="14.25" customHeight="1">
      <c r="A2222" s="5" t="s">
        <v>0</v>
      </c>
      <c r="B2222" s="5" t="str">
        <f t="shared" si="18"/>
        <v>Y</v>
      </c>
      <c r="C2222" s="18" t="s">
        <v>7063</v>
      </c>
      <c r="D2222" s="18"/>
      <c r="E2222" s="6" t="s">
        <v>7064</v>
      </c>
      <c r="F2222" s="19" t="s">
        <v>7065</v>
      </c>
      <c r="G2222" s="19" t="s">
        <v>7066</v>
      </c>
      <c r="H2222" s="20">
        <v>44601</v>
      </c>
      <c r="L2222" s="6">
        <v>7004910010</v>
      </c>
      <c r="N2222" s="16"/>
      <c r="O2222" s="7"/>
      <c r="P2222" s="17"/>
    </row>
    <row r="2223" spans="1:16" ht="14.25" customHeight="1">
      <c r="A2223" s="5" t="s">
        <v>0</v>
      </c>
      <c r="B2223" s="5" t="str">
        <f t="shared" si="18"/>
        <v>Y</v>
      </c>
      <c r="C2223" s="18" t="s">
        <v>7067</v>
      </c>
      <c r="D2223" s="18"/>
      <c r="E2223" s="6" t="s">
        <v>7068</v>
      </c>
      <c r="F2223" s="19" t="s">
        <v>7069</v>
      </c>
      <c r="G2223" s="19" t="s">
        <v>7070</v>
      </c>
      <c r="H2223" s="5" t="s">
        <v>7071</v>
      </c>
      <c r="L2223" s="6">
        <v>9031487438</v>
      </c>
      <c r="N2223" s="16"/>
      <c r="O2223" s="7"/>
      <c r="P2223" s="17"/>
    </row>
    <row r="2224" spans="1:16" ht="14.25" customHeight="1">
      <c r="A2224" s="5" t="s">
        <v>0</v>
      </c>
      <c r="B2224" s="5" t="str">
        <f t="shared" si="18"/>
        <v>Y</v>
      </c>
      <c r="C2224" s="18" t="s">
        <v>7072</v>
      </c>
      <c r="D2224" s="18"/>
      <c r="E2224" s="6" t="s">
        <v>7073</v>
      </c>
      <c r="F2224" s="19" t="s">
        <v>7074</v>
      </c>
      <c r="G2224" s="19" t="s">
        <v>7070</v>
      </c>
      <c r="H2224" s="5" t="s">
        <v>7071</v>
      </c>
      <c r="I2224" s="6" t="s">
        <v>7059</v>
      </c>
      <c r="L2224" s="6">
        <v>6200687157</v>
      </c>
      <c r="N2224" s="16"/>
      <c r="O2224" s="7"/>
      <c r="P2224" s="17"/>
    </row>
    <row r="2225" spans="1:16" ht="14.25" customHeight="1">
      <c r="A2225" s="5" t="s">
        <v>0</v>
      </c>
      <c r="B2225" s="5" t="str">
        <f t="shared" si="18"/>
        <v>Y</v>
      </c>
      <c r="C2225" s="18" t="s">
        <v>7075</v>
      </c>
      <c r="D2225" s="18"/>
      <c r="E2225" s="6" t="s">
        <v>7076</v>
      </c>
      <c r="F2225" s="19" t="s">
        <v>7077</v>
      </c>
      <c r="G2225" s="19" t="s">
        <v>7070</v>
      </c>
      <c r="H2225" s="5" t="s">
        <v>7071</v>
      </c>
      <c r="L2225" s="6">
        <v>9031487438</v>
      </c>
      <c r="N2225" s="16"/>
      <c r="O2225" s="7"/>
      <c r="P2225" s="17"/>
    </row>
    <row r="2226" spans="1:16" ht="14.25" customHeight="1">
      <c r="A2226" s="5" t="s">
        <v>0</v>
      </c>
      <c r="B2226" s="5" t="str">
        <f t="shared" si="18"/>
        <v>Y</v>
      </c>
      <c r="C2226" s="18" t="s">
        <v>7078</v>
      </c>
      <c r="D2226" s="18"/>
      <c r="E2226" s="6" t="s">
        <v>7079</v>
      </c>
      <c r="F2226" s="19" t="s">
        <v>7080</v>
      </c>
      <c r="G2226" s="19" t="s">
        <v>7070</v>
      </c>
      <c r="H2226" s="5" t="s">
        <v>7071</v>
      </c>
      <c r="L2226" s="6">
        <v>9199785912</v>
      </c>
      <c r="N2226" s="16"/>
      <c r="O2226" s="7"/>
      <c r="P2226" s="17"/>
    </row>
    <row r="2227" spans="1:16" ht="14.25" customHeight="1">
      <c r="A2227" s="5" t="s">
        <v>0</v>
      </c>
      <c r="B2227" s="5" t="str">
        <f t="shared" si="18"/>
        <v>Y</v>
      </c>
      <c r="C2227" s="18" t="s">
        <v>7081</v>
      </c>
      <c r="D2227" s="18"/>
      <c r="E2227" s="6" t="s">
        <v>7082</v>
      </c>
      <c r="F2227" s="19" t="s">
        <v>7083</v>
      </c>
      <c r="G2227" s="19" t="s">
        <v>7070</v>
      </c>
      <c r="H2227" s="5" t="s">
        <v>7071</v>
      </c>
      <c r="L2227" s="6">
        <v>9472726525</v>
      </c>
      <c r="N2227" s="16"/>
      <c r="O2227" s="7"/>
      <c r="P2227" s="17"/>
    </row>
    <row r="2228" spans="1:16" ht="14.25" customHeight="1">
      <c r="A2228" s="5" t="s">
        <v>0</v>
      </c>
      <c r="B2228" s="5" t="str">
        <f t="shared" si="18"/>
        <v>Y</v>
      </c>
      <c r="C2228" s="18" t="s">
        <v>7084</v>
      </c>
      <c r="D2228" s="18"/>
      <c r="E2228" s="6" t="s">
        <v>7085</v>
      </c>
      <c r="F2228" s="19" t="s">
        <v>6852</v>
      </c>
      <c r="G2228" s="19" t="s">
        <v>7086</v>
      </c>
      <c r="H2228" s="20">
        <v>44603</v>
      </c>
      <c r="L2228" s="6">
        <v>6202256763</v>
      </c>
      <c r="N2228" s="16"/>
      <c r="O2228" s="7"/>
      <c r="P2228" s="17"/>
    </row>
    <row r="2229" spans="1:16" ht="14.25" customHeight="1">
      <c r="A2229" s="5" t="s">
        <v>0</v>
      </c>
      <c r="B2229" s="5" t="str">
        <f t="shared" si="18"/>
        <v>Y</v>
      </c>
      <c r="C2229" s="18" t="s">
        <v>7087</v>
      </c>
      <c r="D2229" s="18"/>
      <c r="E2229" s="6" t="s">
        <v>7088</v>
      </c>
      <c r="F2229" s="19" t="s">
        <v>7089</v>
      </c>
      <c r="G2229" s="19" t="s">
        <v>7086</v>
      </c>
      <c r="H2229" s="20">
        <v>44603</v>
      </c>
      <c r="L2229" s="6">
        <v>8140916252</v>
      </c>
      <c r="N2229" s="16"/>
      <c r="O2229" s="7"/>
      <c r="P2229" s="17"/>
    </row>
    <row r="2230" spans="1:16" ht="14.25" customHeight="1">
      <c r="A2230" s="5" t="s">
        <v>0</v>
      </c>
      <c r="B2230" s="5" t="str">
        <f t="shared" si="18"/>
        <v>Y</v>
      </c>
      <c r="C2230" s="18" t="s">
        <v>7090</v>
      </c>
      <c r="D2230" s="18"/>
      <c r="E2230" s="6" t="s">
        <v>7091</v>
      </c>
      <c r="F2230" s="19" t="s">
        <v>7092</v>
      </c>
      <c r="G2230" s="19" t="s">
        <v>7086</v>
      </c>
      <c r="H2230" s="20">
        <v>44603</v>
      </c>
      <c r="L2230" s="6">
        <v>6203532580</v>
      </c>
      <c r="N2230" s="16"/>
      <c r="O2230" s="7"/>
      <c r="P2230" s="17"/>
    </row>
    <row r="2231" spans="1:16" ht="14.25" customHeight="1">
      <c r="A2231" s="5" t="s">
        <v>0</v>
      </c>
      <c r="B2231" s="5" t="str">
        <f t="shared" si="18"/>
        <v>Y</v>
      </c>
      <c r="C2231" s="18" t="s">
        <v>7093</v>
      </c>
      <c r="D2231" s="18"/>
      <c r="E2231" s="6" t="s">
        <v>7094</v>
      </c>
      <c r="F2231" s="19" t="s">
        <v>7095</v>
      </c>
      <c r="G2231" s="19" t="s">
        <v>7096</v>
      </c>
      <c r="H2231" s="20">
        <v>44604</v>
      </c>
      <c r="L2231" s="6">
        <v>6206068897</v>
      </c>
      <c r="N2231" s="16"/>
      <c r="O2231" s="7"/>
      <c r="P2231" s="17"/>
    </row>
    <row r="2232" spans="1:16" ht="14.25" customHeight="1">
      <c r="A2232" s="5" t="s">
        <v>0</v>
      </c>
      <c r="B2232" s="5" t="str">
        <f t="shared" si="18"/>
        <v>Y</v>
      </c>
      <c r="C2232" s="18" t="s">
        <v>7097</v>
      </c>
      <c r="D2232" s="18"/>
      <c r="E2232" s="6" t="s">
        <v>7098</v>
      </c>
      <c r="F2232" s="19" t="s">
        <v>7099</v>
      </c>
      <c r="G2232" s="19" t="s">
        <v>7100</v>
      </c>
      <c r="H2232" s="20">
        <v>44606</v>
      </c>
      <c r="L2232" s="6">
        <v>9953394677</v>
      </c>
      <c r="N2232" s="16"/>
      <c r="O2232" s="7"/>
      <c r="P2232" s="17"/>
    </row>
    <row r="2233" spans="1:16" ht="14.25" customHeight="1">
      <c r="A2233" s="5" t="s">
        <v>0</v>
      </c>
      <c r="B2233" s="5" t="str">
        <f t="shared" si="18"/>
        <v>Y</v>
      </c>
      <c r="C2233" s="18" t="s">
        <v>7101</v>
      </c>
      <c r="D2233" s="18"/>
      <c r="E2233" s="6" t="s">
        <v>7102</v>
      </c>
      <c r="F2233" s="19" t="s">
        <v>7103</v>
      </c>
      <c r="G2233" s="19" t="s">
        <v>7100</v>
      </c>
      <c r="H2233" s="20">
        <v>44606</v>
      </c>
      <c r="L2233" s="6">
        <v>9905162366</v>
      </c>
      <c r="N2233" s="16"/>
      <c r="O2233" s="7"/>
      <c r="P2233" s="17"/>
    </row>
    <row r="2234" spans="1:16" ht="14.25" customHeight="1">
      <c r="A2234" s="5" t="s">
        <v>0</v>
      </c>
      <c r="B2234" s="5" t="str">
        <f t="shared" si="18"/>
        <v>Y</v>
      </c>
      <c r="C2234" s="18" t="s">
        <v>7104</v>
      </c>
      <c r="D2234" s="18"/>
      <c r="E2234" s="6" t="s">
        <v>7105</v>
      </c>
      <c r="F2234" s="19" t="s">
        <v>7106</v>
      </c>
      <c r="G2234" s="19" t="s">
        <v>7100</v>
      </c>
      <c r="H2234" s="20">
        <v>44606</v>
      </c>
      <c r="L2234" s="6">
        <v>9315125609</v>
      </c>
      <c r="N2234" s="16"/>
      <c r="O2234" s="7"/>
      <c r="P2234" s="17"/>
    </row>
    <row r="2235" spans="1:16" ht="14.25" customHeight="1">
      <c r="A2235" s="5" t="s">
        <v>0</v>
      </c>
      <c r="B2235" s="5" t="str">
        <f t="shared" si="18"/>
        <v>Y</v>
      </c>
      <c r="C2235" s="18" t="s">
        <v>7107</v>
      </c>
      <c r="D2235" s="18"/>
      <c r="E2235" s="6" t="s">
        <v>7108</v>
      </c>
      <c r="F2235" s="19" t="s">
        <v>2484</v>
      </c>
      <c r="G2235" s="19" t="s">
        <v>7109</v>
      </c>
      <c r="H2235" s="20">
        <v>44607</v>
      </c>
      <c r="L2235" s="6">
        <v>8092806634</v>
      </c>
      <c r="N2235" s="16"/>
      <c r="O2235" s="7"/>
      <c r="P2235" s="17"/>
    </row>
    <row r="2236" spans="1:16" ht="14.25" customHeight="1">
      <c r="A2236" s="5" t="s">
        <v>0</v>
      </c>
      <c r="B2236" s="5" t="str">
        <f t="shared" si="18"/>
        <v>Y</v>
      </c>
      <c r="C2236" s="18" t="s">
        <v>7110</v>
      </c>
      <c r="D2236" s="18"/>
      <c r="E2236" s="6" t="s">
        <v>7111</v>
      </c>
      <c r="F2236" s="19" t="s">
        <v>7112</v>
      </c>
      <c r="G2236" s="19" t="s">
        <v>7109</v>
      </c>
      <c r="H2236" s="20">
        <v>44607</v>
      </c>
      <c r="L2236" s="6">
        <v>7488883630</v>
      </c>
      <c r="N2236" s="16"/>
      <c r="O2236" s="7"/>
      <c r="P2236" s="17"/>
    </row>
    <row r="2237" spans="1:16" ht="14.25" customHeight="1">
      <c r="A2237" s="5" t="s">
        <v>0</v>
      </c>
      <c r="B2237" s="5" t="str">
        <f t="shared" si="18"/>
        <v>Y</v>
      </c>
      <c r="C2237" s="18" t="s">
        <v>7113</v>
      </c>
      <c r="D2237" s="18"/>
      <c r="E2237" s="6" t="s">
        <v>7114</v>
      </c>
      <c r="F2237" s="19" t="s">
        <v>7115</v>
      </c>
      <c r="G2237" s="19" t="s">
        <v>7109</v>
      </c>
      <c r="H2237" s="20">
        <v>44607</v>
      </c>
      <c r="L2237" s="6">
        <v>8542958757</v>
      </c>
      <c r="N2237" s="16"/>
      <c r="O2237" s="7"/>
      <c r="P2237" s="17"/>
    </row>
    <row r="2238" spans="1:16" ht="14.25" customHeight="1">
      <c r="A2238" s="5" t="s">
        <v>0</v>
      </c>
      <c r="B2238" s="5" t="str">
        <f t="shared" si="18"/>
        <v>Y</v>
      </c>
      <c r="C2238" s="18" t="s">
        <v>7116</v>
      </c>
      <c r="D2238" s="18"/>
      <c r="E2238" s="6" t="s">
        <v>7117</v>
      </c>
      <c r="F2238" s="19" t="s">
        <v>5158</v>
      </c>
      <c r="G2238" s="19" t="s">
        <v>7109</v>
      </c>
      <c r="H2238" s="20">
        <v>44607</v>
      </c>
      <c r="L2238" s="6">
        <v>6200368178</v>
      </c>
      <c r="N2238" s="16"/>
      <c r="O2238" s="7"/>
      <c r="P2238" s="17"/>
    </row>
    <row r="2239" spans="1:16" ht="14.25" customHeight="1">
      <c r="A2239" s="5" t="s">
        <v>0</v>
      </c>
      <c r="B2239" s="5" t="str">
        <f t="shared" si="18"/>
        <v>Y</v>
      </c>
      <c r="C2239" s="7" t="s">
        <v>7118</v>
      </c>
      <c r="D2239" s="7"/>
      <c r="E2239" s="6" t="s">
        <v>7119</v>
      </c>
      <c r="F2239" s="19" t="s">
        <v>7120</v>
      </c>
      <c r="G2239" s="19" t="s">
        <v>7121</v>
      </c>
      <c r="H2239" s="20">
        <v>44608</v>
      </c>
      <c r="L2239" s="6">
        <v>9470934439</v>
      </c>
      <c r="N2239" s="16"/>
      <c r="O2239" s="7"/>
      <c r="P2239" s="17"/>
    </row>
    <row r="2240" spans="1:16" ht="14.25" customHeight="1">
      <c r="A2240" s="5" t="s">
        <v>0</v>
      </c>
      <c r="B2240" s="5" t="str">
        <f t="shared" si="18"/>
        <v>Y</v>
      </c>
      <c r="C2240" s="6" t="s">
        <v>7122</v>
      </c>
      <c r="D2240" s="6"/>
      <c r="E2240" s="6" t="s">
        <v>7123</v>
      </c>
      <c r="F2240" s="19" t="s">
        <v>7124</v>
      </c>
      <c r="G2240" s="19" t="s">
        <v>7125</v>
      </c>
      <c r="H2240" s="20">
        <v>44609</v>
      </c>
      <c r="L2240" s="6">
        <v>9525956082</v>
      </c>
      <c r="N2240" s="16"/>
      <c r="O2240" s="7"/>
      <c r="P2240" s="17"/>
    </row>
    <row r="2241" spans="1:16" ht="14.25" customHeight="1">
      <c r="A2241" s="5" t="s">
        <v>0</v>
      </c>
      <c r="B2241" s="5" t="str">
        <f t="shared" si="18"/>
        <v>Y</v>
      </c>
      <c r="C2241" s="6" t="s">
        <v>7126</v>
      </c>
      <c r="D2241" s="6"/>
      <c r="E2241" s="6" t="s">
        <v>7127</v>
      </c>
      <c r="F2241" s="19" t="s">
        <v>7128</v>
      </c>
      <c r="G2241" s="19" t="s">
        <v>7125</v>
      </c>
      <c r="H2241" s="20">
        <v>44609</v>
      </c>
      <c r="L2241" s="6">
        <v>9508931642</v>
      </c>
      <c r="N2241" s="16"/>
      <c r="O2241" s="7"/>
      <c r="P2241" s="17"/>
    </row>
    <row r="2242" spans="1:16" ht="14.25" customHeight="1">
      <c r="A2242" s="5" t="s">
        <v>0</v>
      </c>
      <c r="B2242" s="5" t="str">
        <f t="shared" si="18"/>
        <v>Y</v>
      </c>
      <c r="C2242" s="18" t="s">
        <v>7129</v>
      </c>
      <c r="D2242" s="18"/>
      <c r="E2242" s="6" t="s">
        <v>7130</v>
      </c>
      <c r="F2242" s="19" t="s">
        <v>2735</v>
      </c>
      <c r="G2242" s="19" t="s">
        <v>7125</v>
      </c>
      <c r="H2242" s="20">
        <v>44609</v>
      </c>
      <c r="L2242" s="6">
        <v>2280722</v>
      </c>
      <c r="N2242" s="16"/>
      <c r="O2242" s="7"/>
      <c r="P2242" s="17"/>
    </row>
    <row r="2243" spans="1:16" ht="14.25" customHeight="1">
      <c r="A2243" s="5" t="s">
        <v>0</v>
      </c>
      <c r="B2243" s="5" t="str">
        <f t="shared" si="18"/>
        <v>Y</v>
      </c>
      <c r="C2243" s="18" t="s">
        <v>7131</v>
      </c>
      <c r="D2243" s="18"/>
      <c r="E2243" s="6" t="s">
        <v>7132</v>
      </c>
      <c r="F2243" s="19" t="s">
        <v>7133</v>
      </c>
      <c r="G2243" s="19" t="s">
        <v>7125</v>
      </c>
      <c r="H2243" s="20">
        <v>44609</v>
      </c>
      <c r="L2243" s="6">
        <v>7257992909</v>
      </c>
      <c r="N2243" s="16"/>
      <c r="O2243" s="7"/>
      <c r="P2243" s="17"/>
    </row>
    <row r="2244" spans="1:16" ht="14.25" customHeight="1">
      <c r="A2244" s="5" t="s">
        <v>0</v>
      </c>
      <c r="B2244" s="5" t="str">
        <f t="shared" si="18"/>
        <v>Y</v>
      </c>
      <c r="C2244" s="18" t="s">
        <v>7134</v>
      </c>
      <c r="D2244" s="18"/>
      <c r="E2244" s="6" t="s">
        <v>7135</v>
      </c>
      <c r="F2244" s="19" t="s">
        <v>7136</v>
      </c>
      <c r="G2244" s="19" t="s">
        <v>7137</v>
      </c>
      <c r="H2244" s="20">
        <v>44610</v>
      </c>
      <c r="K2244" s="6" t="s">
        <v>7138</v>
      </c>
      <c r="L2244" s="6">
        <v>7488812695</v>
      </c>
      <c r="N2244" s="16"/>
      <c r="O2244" s="7"/>
      <c r="P2244" s="17"/>
    </row>
    <row r="2245" spans="1:16" ht="14.25" customHeight="1">
      <c r="A2245" s="5" t="s">
        <v>0</v>
      </c>
      <c r="B2245" s="5" t="str">
        <f t="shared" si="18"/>
        <v>Y</v>
      </c>
      <c r="C2245" s="18" t="s">
        <v>7139</v>
      </c>
      <c r="D2245" s="18"/>
      <c r="E2245" s="6" t="s">
        <v>3841</v>
      </c>
      <c r="F2245" s="19" t="s">
        <v>7140</v>
      </c>
      <c r="G2245" s="19" t="s">
        <v>7137</v>
      </c>
      <c r="H2245" s="20">
        <v>44610</v>
      </c>
      <c r="L2245" s="6">
        <v>9162329618</v>
      </c>
      <c r="N2245" s="16"/>
      <c r="O2245" s="7"/>
      <c r="P2245" s="17"/>
    </row>
    <row r="2246" spans="1:16" ht="14.25" customHeight="1">
      <c r="A2246" s="5" t="s">
        <v>0</v>
      </c>
      <c r="B2246" s="5" t="str">
        <f t="shared" si="18"/>
        <v>Y</v>
      </c>
      <c r="C2246" s="18" t="s">
        <v>7141</v>
      </c>
      <c r="D2246" s="18"/>
      <c r="E2246" s="6" t="s">
        <v>7142</v>
      </c>
      <c r="F2246" s="19" t="s">
        <v>7143</v>
      </c>
      <c r="G2246" s="19" t="s">
        <v>7137</v>
      </c>
      <c r="H2246" s="20">
        <v>44610</v>
      </c>
      <c r="L2246" s="6">
        <v>9031487438</v>
      </c>
      <c r="N2246" s="16"/>
      <c r="O2246" s="7"/>
      <c r="P2246" s="17"/>
    </row>
    <row r="2247" spans="1:16" ht="14.25" customHeight="1">
      <c r="A2247" s="5" t="s">
        <v>0</v>
      </c>
      <c r="B2247" s="5" t="str">
        <f t="shared" si="18"/>
        <v>Y</v>
      </c>
      <c r="C2247" s="18" t="s">
        <v>7144</v>
      </c>
      <c r="D2247" s="18"/>
      <c r="E2247" s="18" t="s">
        <v>7145</v>
      </c>
      <c r="F2247" s="19" t="s">
        <v>7146</v>
      </c>
      <c r="G2247" s="19" t="s">
        <v>7137</v>
      </c>
      <c r="H2247" s="20">
        <v>44610</v>
      </c>
      <c r="L2247" s="6">
        <v>9508771225</v>
      </c>
      <c r="N2247" s="16"/>
      <c r="O2247" s="7"/>
      <c r="P2247" s="17"/>
    </row>
    <row r="2248" spans="1:16" ht="14.25" customHeight="1">
      <c r="A2248" s="5" t="s">
        <v>0</v>
      </c>
      <c r="B2248" s="5" t="str">
        <f t="shared" si="18"/>
        <v>Y</v>
      </c>
      <c r="C2248" s="18" t="s">
        <v>7147</v>
      </c>
      <c r="D2248" s="18"/>
      <c r="E2248" s="6" t="s">
        <v>7148</v>
      </c>
      <c r="F2248" s="19" t="s">
        <v>7149</v>
      </c>
      <c r="G2248" s="19" t="s">
        <v>7137</v>
      </c>
      <c r="H2248" s="20">
        <v>44610</v>
      </c>
      <c r="K2248" s="6" t="s">
        <v>7138</v>
      </c>
      <c r="L2248" s="6">
        <v>9771844025</v>
      </c>
      <c r="N2248" s="16"/>
      <c r="O2248" s="7"/>
      <c r="P2248" s="17"/>
    </row>
    <row r="2249" spans="1:16" ht="14.25" customHeight="1">
      <c r="A2249" s="5" t="s">
        <v>0</v>
      </c>
      <c r="B2249" s="5" t="str">
        <f t="shared" si="18"/>
        <v>Y</v>
      </c>
      <c r="C2249" s="18" t="s">
        <v>7150</v>
      </c>
      <c r="D2249" s="18"/>
      <c r="E2249" s="6" t="s">
        <v>7151</v>
      </c>
      <c r="F2249" s="19" t="s">
        <v>2500</v>
      </c>
      <c r="G2249" s="19" t="s">
        <v>7137</v>
      </c>
      <c r="H2249" s="20">
        <v>44610</v>
      </c>
      <c r="K2249" s="6" t="s">
        <v>7138</v>
      </c>
      <c r="L2249" s="6">
        <v>9771844025</v>
      </c>
      <c r="N2249" s="16"/>
      <c r="O2249" s="7"/>
      <c r="P2249" s="17"/>
    </row>
    <row r="2250" spans="1:16" ht="14.25" customHeight="1">
      <c r="A2250" s="5" t="s">
        <v>0</v>
      </c>
      <c r="B2250" s="5" t="str">
        <f t="shared" si="18"/>
        <v>Y</v>
      </c>
      <c r="C2250" s="18" t="s">
        <v>7152</v>
      </c>
      <c r="D2250" s="18"/>
      <c r="E2250" s="6" t="s">
        <v>7153</v>
      </c>
      <c r="F2250" s="19" t="s">
        <v>2500</v>
      </c>
      <c r="G2250" s="19" t="s">
        <v>7154</v>
      </c>
      <c r="H2250" s="20">
        <v>44611</v>
      </c>
      <c r="K2250" s="6" t="s">
        <v>7138</v>
      </c>
      <c r="L2250" s="6">
        <v>7368998288</v>
      </c>
      <c r="N2250" s="16"/>
      <c r="O2250" s="7"/>
      <c r="P2250" s="17"/>
    </row>
    <row r="2251" spans="1:16" ht="14.25" customHeight="1">
      <c r="A2251" s="5" t="s">
        <v>0</v>
      </c>
      <c r="B2251" s="5" t="str">
        <f t="shared" si="18"/>
        <v>Y</v>
      </c>
      <c r="C2251" s="18" t="s">
        <v>7155</v>
      </c>
      <c r="D2251" s="18"/>
      <c r="E2251" s="6" t="s">
        <v>6826</v>
      </c>
      <c r="F2251" s="19" t="s">
        <v>7156</v>
      </c>
      <c r="G2251" s="19" t="s">
        <v>7157</v>
      </c>
      <c r="H2251" s="20">
        <v>44612</v>
      </c>
      <c r="L2251" s="6">
        <v>9234697587</v>
      </c>
      <c r="N2251" s="16"/>
      <c r="O2251" s="7"/>
      <c r="P2251" s="17"/>
    </row>
    <row r="2252" spans="1:16" ht="14.25" customHeight="1">
      <c r="A2252" s="5" t="s">
        <v>0</v>
      </c>
      <c r="B2252" s="5" t="str">
        <f t="shared" si="18"/>
        <v>Y</v>
      </c>
      <c r="C2252" s="18" t="s">
        <v>7158</v>
      </c>
      <c r="D2252" s="18"/>
      <c r="E2252" s="6" t="s">
        <v>7159</v>
      </c>
      <c r="F2252" s="19" t="s">
        <v>7160</v>
      </c>
      <c r="G2252" s="19" t="s">
        <v>7157</v>
      </c>
      <c r="H2252" s="20">
        <v>44612</v>
      </c>
      <c r="L2252" s="6">
        <v>6203335874</v>
      </c>
      <c r="N2252" s="16"/>
      <c r="O2252" s="7"/>
      <c r="P2252" s="17"/>
    </row>
    <row r="2253" spans="1:16" ht="14.25" customHeight="1">
      <c r="A2253" s="5" t="s">
        <v>0</v>
      </c>
      <c r="B2253" s="5" t="str">
        <f t="shared" si="18"/>
        <v>Y</v>
      </c>
      <c r="C2253" s="18" t="s">
        <v>7161</v>
      </c>
      <c r="D2253" s="18"/>
      <c r="E2253" s="6" t="s">
        <v>2190</v>
      </c>
      <c r="F2253" s="19" t="s">
        <v>7162</v>
      </c>
      <c r="G2253" s="19" t="s">
        <v>7163</v>
      </c>
      <c r="H2253" s="19" t="s">
        <v>7163</v>
      </c>
      <c r="L2253" s="6">
        <v>6207618309</v>
      </c>
      <c r="N2253" s="16"/>
      <c r="O2253" s="7"/>
      <c r="P2253" s="17"/>
    </row>
    <row r="2254" spans="1:16" ht="14.25" customHeight="1">
      <c r="A2254" s="5" t="s">
        <v>0</v>
      </c>
      <c r="B2254" s="5" t="str">
        <f t="shared" si="18"/>
        <v>Y</v>
      </c>
      <c r="C2254" s="18" t="s">
        <v>7164</v>
      </c>
      <c r="D2254" s="18"/>
      <c r="E2254" s="6" t="s">
        <v>7165</v>
      </c>
      <c r="F2254" s="19" t="s">
        <v>7166</v>
      </c>
      <c r="G2254" s="19" t="s">
        <v>7167</v>
      </c>
      <c r="H2254" s="20">
        <v>44615</v>
      </c>
      <c r="L2254" s="6">
        <v>8804311903</v>
      </c>
      <c r="N2254" s="16"/>
      <c r="O2254" s="7"/>
      <c r="P2254" s="17"/>
    </row>
    <row r="2255" spans="1:16" ht="14.25" customHeight="1">
      <c r="A2255" s="5" t="s">
        <v>0</v>
      </c>
      <c r="B2255" s="5" t="str">
        <f t="shared" si="18"/>
        <v>Y</v>
      </c>
      <c r="C2255" s="18" t="s">
        <v>7168</v>
      </c>
      <c r="D2255" s="18"/>
      <c r="E2255" s="6" t="s">
        <v>2396</v>
      </c>
      <c r="F2255" s="19" t="s">
        <v>7169</v>
      </c>
      <c r="G2255" s="19" t="s">
        <v>7167</v>
      </c>
      <c r="H2255" s="20">
        <v>44615</v>
      </c>
      <c r="L2255" s="6">
        <v>7488644971</v>
      </c>
      <c r="N2255" s="16"/>
      <c r="O2255" s="7"/>
      <c r="P2255" s="17"/>
    </row>
    <row r="2256" spans="1:16" ht="14.25" customHeight="1">
      <c r="A2256" s="5" t="s">
        <v>0</v>
      </c>
      <c r="B2256" s="5" t="str">
        <f t="shared" si="18"/>
        <v>Y</v>
      </c>
      <c r="C2256" s="18" t="s">
        <v>7170</v>
      </c>
      <c r="D2256" s="18"/>
      <c r="E2256" s="6" t="s">
        <v>7171</v>
      </c>
      <c r="F2256" s="19" t="s">
        <v>6736</v>
      </c>
      <c r="G2256" s="19" t="s">
        <v>7172</v>
      </c>
      <c r="H2256" s="20">
        <v>44616</v>
      </c>
      <c r="L2256" s="6">
        <v>7440184882</v>
      </c>
      <c r="N2256" s="16"/>
      <c r="O2256" s="7"/>
      <c r="P2256" s="17"/>
    </row>
    <row r="2257" spans="1:16" ht="14.25" customHeight="1">
      <c r="A2257" s="5" t="s">
        <v>0</v>
      </c>
      <c r="B2257" s="5" t="str">
        <f t="shared" si="18"/>
        <v>Y</v>
      </c>
      <c r="C2257" s="18" t="s">
        <v>7173</v>
      </c>
      <c r="D2257" s="18"/>
      <c r="E2257" s="6" t="s">
        <v>7174</v>
      </c>
      <c r="F2257" s="19" t="s">
        <v>2500</v>
      </c>
      <c r="G2257" s="19" t="s">
        <v>7172</v>
      </c>
      <c r="H2257" s="20">
        <v>44616</v>
      </c>
      <c r="L2257" s="6">
        <v>6209313818</v>
      </c>
      <c r="N2257" s="16"/>
      <c r="O2257" s="7"/>
      <c r="P2257" s="17"/>
    </row>
    <row r="2258" spans="1:16" ht="14.25" customHeight="1">
      <c r="A2258" s="5" t="s">
        <v>0</v>
      </c>
      <c r="B2258" s="5" t="str">
        <f t="shared" si="18"/>
        <v>Y</v>
      </c>
      <c r="C2258" s="18" t="s">
        <v>7175</v>
      </c>
      <c r="D2258" s="18"/>
      <c r="E2258" s="6" t="s">
        <v>7176</v>
      </c>
      <c r="F2258" s="19" t="s">
        <v>7045</v>
      </c>
      <c r="G2258" s="19" t="s">
        <v>7172</v>
      </c>
      <c r="H2258" s="20">
        <v>44616</v>
      </c>
      <c r="I2258" s="6" t="s">
        <v>7059</v>
      </c>
      <c r="L2258" s="6">
        <v>8092309658</v>
      </c>
      <c r="N2258" s="16"/>
      <c r="O2258" s="7"/>
      <c r="P2258" s="17"/>
    </row>
    <row r="2259" spans="1:16" ht="14.25" customHeight="1">
      <c r="A2259" s="5" t="s">
        <v>0</v>
      </c>
      <c r="B2259" s="5" t="str">
        <f t="shared" si="18"/>
        <v>Y</v>
      </c>
      <c r="C2259" s="18" t="s">
        <v>7177</v>
      </c>
      <c r="D2259" s="18"/>
      <c r="E2259" s="6" t="s">
        <v>7178</v>
      </c>
      <c r="F2259" s="19" t="s">
        <v>7179</v>
      </c>
      <c r="G2259" s="19" t="s">
        <v>7172</v>
      </c>
      <c r="H2259" s="20">
        <v>44616</v>
      </c>
      <c r="L2259" s="6">
        <v>8651423567</v>
      </c>
      <c r="N2259" s="16"/>
      <c r="O2259" s="7"/>
      <c r="P2259" s="17"/>
    </row>
    <row r="2260" spans="1:16" ht="14.25" customHeight="1">
      <c r="A2260" s="5" t="s">
        <v>0</v>
      </c>
      <c r="B2260" s="5" t="str">
        <f t="shared" si="18"/>
        <v>Y</v>
      </c>
      <c r="C2260" s="18" t="s">
        <v>7180</v>
      </c>
      <c r="D2260" s="18"/>
      <c r="E2260" s="6" t="s">
        <v>7181</v>
      </c>
      <c r="F2260" s="19" t="s">
        <v>2477</v>
      </c>
      <c r="G2260" s="19" t="s">
        <v>7182</v>
      </c>
      <c r="H2260" s="20">
        <v>44617</v>
      </c>
      <c r="L2260" s="6">
        <v>9835130552</v>
      </c>
      <c r="N2260" s="16"/>
      <c r="O2260" s="7"/>
      <c r="P2260" s="17"/>
    </row>
    <row r="2261" spans="1:16" ht="14.25" customHeight="1">
      <c r="A2261" s="5" t="s">
        <v>0</v>
      </c>
      <c r="B2261" s="5" t="str">
        <f t="shared" si="18"/>
        <v>Y</v>
      </c>
      <c r="C2261" s="18" t="s">
        <v>7183</v>
      </c>
      <c r="D2261" s="18"/>
      <c r="E2261" s="6" t="s">
        <v>7184</v>
      </c>
      <c r="F2261" s="19" t="s">
        <v>7185</v>
      </c>
      <c r="G2261" s="19" t="s">
        <v>7186</v>
      </c>
      <c r="H2261" s="20">
        <v>44618</v>
      </c>
      <c r="L2261" s="6">
        <v>8092875516</v>
      </c>
      <c r="N2261" s="16"/>
      <c r="O2261" s="7"/>
      <c r="P2261" s="17"/>
    </row>
    <row r="2262" spans="1:16" ht="14.25" customHeight="1">
      <c r="A2262" s="5" t="s">
        <v>0</v>
      </c>
      <c r="B2262" s="5" t="str">
        <f t="shared" si="18"/>
        <v>Y</v>
      </c>
      <c r="C2262" s="18" t="s">
        <v>7187</v>
      </c>
      <c r="D2262" s="18"/>
      <c r="E2262" s="6" t="s">
        <v>7188</v>
      </c>
      <c r="F2262" s="19" t="s">
        <v>7189</v>
      </c>
      <c r="G2262" s="19" t="s">
        <v>7186</v>
      </c>
      <c r="H2262" s="20">
        <v>44618</v>
      </c>
      <c r="L2262" s="6">
        <v>8235430669</v>
      </c>
      <c r="N2262" s="16"/>
      <c r="O2262" s="7"/>
      <c r="P2262" s="17"/>
    </row>
    <row r="2263" spans="1:16" ht="14.25" customHeight="1">
      <c r="A2263" s="5" t="s">
        <v>0</v>
      </c>
      <c r="B2263" s="5" t="str">
        <f t="shared" si="18"/>
        <v>Y</v>
      </c>
      <c r="C2263" s="18" t="s">
        <v>7190</v>
      </c>
      <c r="D2263" s="18"/>
      <c r="E2263" s="6" t="s">
        <v>1253</v>
      </c>
      <c r="F2263" s="19" t="s">
        <v>7191</v>
      </c>
      <c r="G2263" s="19" t="s">
        <v>7186</v>
      </c>
      <c r="H2263" s="20">
        <v>44618</v>
      </c>
      <c r="L2263" s="6">
        <v>7782018835</v>
      </c>
      <c r="N2263" s="16"/>
      <c r="O2263" s="7"/>
      <c r="P2263" s="17"/>
    </row>
    <row r="2264" spans="1:16" ht="14.25" customHeight="1">
      <c r="A2264" s="5" t="s">
        <v>0</v>
      </c>
      <c r="B2264" s="5" t="str">
        <f t="shared" si="18"/>
        <v>Y</v>
      </c>
      <c r="C2264" s="18" t="s">
        <v>7192</v>
      </c>
      <c r="D2264" s="18"/>
      <c r="E2264" s="6" t="s">
        <v>7193</v>
      </c>
      <c r="F2264" s="19" t="s">
        <v>7194</v>
      </c>
      <c r="G2264" s="19" t="s">
        <v>7195</v>
      </c>
      <c r="H2264" s="20">
        <v>44619</v>
      </c>
      <c r="L2264" s="6">
        <v>8867993015</v>
      </c>
      <c r="N2264" s="16"/>
      <c r="O2264" s="7"/>
      <c r="P2264" s="17"/>
    </row>
    <row r="2265" spans="1:16" ht="14.25" customHeight="1">
      <c r="A2265" s="5" t="s">
        <v>0</v>
      </c>
      <c r="B2265" s="5" t="str">
        <f t="shared" si="18"/>
        <v>Y</v>
      </c>
      <c r="C2265" s="18" t="s">
        <v>7196</v>
      </c>
      <c r="D2265" s="18"/>
      <c r="E2265" s="6" t="s">
        <v>7197</v>
      </c>
      <c r="F2265" s="19" t="s">
        <v>7198</v>
      </c>
      <c r="G2265" s="19" t="s">
        <v>7195</v>
      </c>
      <c r="H2265" s="20">
        <v>44619</v>
      </c>
      <c r="L2265" s="6">
        <v>9110953808</v>
      </c>
      <c r="N2265" s="16"/>
      <c r="O2265" s="7"/>
      <c r="P2265" s="17"/>
    </row>
    <row r="2266" spans="1:16" ht="14.25" customHeight="1">
      <c r="A2266" s="5" t="s">
        <v>0</v>
      </c>
      <c r="B2266" s="5" t="str">
        <f t="shared" si="18"/>
        <v>Y</v>
      </c>
      <c r="C2266" s="18" t="s">
        <v>7199</v>
      </c>
      <c r="D2266" s="18"/>
      <c r="E2266" s="6" t="s">
        <v>7200</v>
      </c>
      <c r="F2266" s="19" t="s">
        <v>7201</v>
      </c>
      <c r="G2266" s="19" t="s">
        <v>7195</v>
      </c>
      <c r="H2266" s="20">
        <v>44619</v>
      </c>
      <c r="L2266" s="6">
        <v>6205162092</v>
      </c>
      <c r="N2266" s="16"/>
      <c r="O2266" s="7"/>
      <c r="P2266" s="17"/>
    </row>
    <row r="2267" spans="1:16" ht="14.25" customHeight="1">
      <c r="A2267" s="5" t="s">
        <v>0</v>
      </c>
      <c r="B2267" s="5" t="str">
        <f t="shared" si="18"/>
        <v>Y</v>
      </c>
      <c r="C2267" s="18" t="s">
        <v>7202</v>
      </c>
      <c r="D2267" s="18"/>
      <c r="E2267" s="6" t="s">
        <v>7203</v>
      </c>
      <c r="F2267" s="19" t="s">
        <v>7204</v>
      </c>
      <c r="G2267" s="19" t="s">
        <v>7195</v>
      </c>
      <c r="H2267" s="20">
        <v>44619</v>
      </c>
      <c r="L2267" s="6">
        <v>8863032106</v>
      </c>
      <c r="N2267" s="16"/>
      <c r="O2267" s="7"/>
      <c r="P2267" s="17"/>
    </row>
    <row r="2268" spans="1:16" ht="14.25" customHeight="1">
      <c r="A2268" s="5" t="s">
        <v>0</v>
      </c>
      <c r="B2268" s="5" t="str">
        <f t="shared" si="18"/>
        <v>Y</v>
      </c>
      <c r="C2268" s="18" t="s">
        <v>7205</v>
      </c>
      <c r="D2268" s="18"/>
      <c r="E2268" s="6" t="s">
        <v>7206</v>
      </c>
      <c r="F2268" s="19" t="s">
        <v>7207</v>
      </c>
      <c r="G2268" s="19" t="s">
        <v>7208</v>
      </c>
      <c r="H2268" s="20">
        <v>44623</v>
      </c>
      <c r="L2268" s="6">
        <v>9939247670</v>
      </c>
      <c r="N2268" s="16"/>
      <c r="O2268" s="7"/>
      <c r="P2268" s="17"/>
    </row>
    <row r="2269" spans="1:16" ht="14.25" customHeight="1">
      <c r="A2269" s="5" t="s">
        <v>0</v>
      </c>
      <c r="B2269" s="5" t="str">
        <f t="shared" si="18"/>
        <v>Y</v>
      </c>
      <c r="C2269" s="18" t="s">
        <v>7209</v>
      </c>
      <c r="D2269" s="18"/>
      <c r="E2269" s="6" t="s">
        <v>7210</v>
      </c>
      <c r="F2269" s="19" t="s">
        <v>7211</v>
      </c>
      <c r="G2269" s="19" t="s">
        <v>7212</v>
      </c>
      <c r="H2269" s="20">
        <v>44624</v>
      </c>
      <c r="L2269" s="6">
        <v>8102415604</v>
      </c>
      <c r="N2269" s="16"/>
      <c r="O2269" s="7"/>
      <c r="P2269" s="17"/>
    </row>
    <row r="2270" spans="1:16" ht="14.25" customHeight="1">
      <c r="A2270" s="5" t="s">
        <v>0</v>
      </c>
      <c r="B2270" s="5" t="str">
        <f t="shared" si="18"/>
        <v>Y</v>
      </c>
      <c r="C2270" s="18" t="s">
        <v>7213</v>
      </c>
      <c r="D2270" s="18"/>
      <c r="E2270" s="6" t="s">
        <v>7214</v>
      </c>
      <c r="F2270" s="19" t="s">
        <v>7215</v>
      </c>
      <c r="G2270" s="19" t="s">
        <v>7212</v>
      </c>
      <c r="H2270" s="20">
        <v>44624</v>
      </c>
      <c r="L2270" s="6">
        <v>8102415604</v>
      </c>
      <c r="N2270" s="16"/>
      <c r="O2270" s="7"/>
      <c r="P2270" s="17"/>
    </row>
    <row r="2271" spans="1:16" ht="14.25" customHeight="1">
      <c r="A2271" s="5" t="s">
        <v>0</v>
      </c>
      <c r="B2271" s="5" t="str">
        <f t="shared" si="18"/>
        <v>Y</v>
      </c>
      <c r="C2271" s="18" t="s">
        <v>7216</v>
      </c>
      <c r="D2271" s="18"/>
      <c r="E2271" s="6" t="s">
        <v>7217</v>
      </c>
      <c r="F2271" s="19" t="s">
        <v>7218</v>
      </c>
      <c r="G2271" s="19" t="s">
        <v>7219</v>
      </c>
      <c r="H2271" s="20">
        <v>44625</v>
      </c>
      <c r="L2271" s="6">
        <v>9932543601</v>
      </c>
      <c r="N2271" s="16"/>
      <c r="O2271" s="7"/>
      <c r="P2271" s="17"/>
    </row>
    <row r="2272" spans="1:16" ht="14.25" customHeight="1">
      <c r="A2272" s="5" t="s">
        <v>0</v>
      </c>
      <c r="B2272" s="5" t="str">
        <f t="shared" si="18"/>
        <v>Y</v>
      </c>
      <c r="C2272" s="18" t="s">
        <v>7220</v>
      </c>
      <c r="D2272" s="18"/>
      <c r="E2272" s="6" t="s">
        <v>7221</v>
      </c>
      <c r="F2272" s="19" t="s">
        <v>7222</v>
      </c>
      <c r="G2272" s="19" t="s">
        <v>7223</v>
      </c>
      <c r="H2272" s="20">
        <v>44627</v>
      </c>
      <c r="L2272" s="6">
        <v>9234548272</v>
      </c>
      <c r="N2272" s="16"/>
      <c r="O2272" s="7"/>
      <c r="P2272" s="17"/>
    </row>
    <row r="2273" spans="1:16" ht="14.25" customHeight="1">
      <c r="A2273" s="5" t="s">
        <v>0</v>
      </c>
      <c r="B2273" s="5" t="str">
        <f t="shared" si="18"/>
        <v>Y</v>
      </c>
      <c r="C2273" s="18" t="s">
        <v>7224</v>
      </c>
      <c r="D2273" s="18"/>
      <c r="E2273" s="6" t="s">
        <v>7225</v>
      </c>
      <c r="F2273" s="19" t="s">
        <v>7226</v>
      </c>
      <c r="G2273" s="19" t="s">
        <v>7223</v>
      </c>
      <c r="H2273" s="20">
        <v>44627</v>
      </c>
      <c r="L2273" s="6">
        <v>8969421774</v>
      </c>
      <c r="N2273" s="16"/>
      <c r="O2273" s="7"/>
      <c r="P2273" s="17"/>
    </row>
    <row r="2274" spans="1:16" ht="14.25" customHeight="1">
      <c r="A2274" s="5" t="s">
        <v>0</v>
      </c>
      <c r="B2274" s="5" t="str">
        <f t="shared" si="18"/>
        <v>Y</v>
      </c>
      <c r="C2274" s="18" t="s">
        <v>7227</v>
      </c>
      <c r="D2274" s="18"/>
      <c r="E2274" s="6" t="s">
        <v>7228</v>
      </c>
      <c r="F2274" s="19" t="s">
        <v>7229</v>
      </c>
      <c r="G2274" s="19" t="s">
        <v>7230</v>
      </c>
      <c r="H2274" s="19" t="s">
        <v>7230</v>
      </c>
      <c r="L2274" s="6">
        <v>7022107199</v>
      </c>
      <c r="N2274" s="16"/>
      <c r="O2274" s="7"/>
      <c r="P2274" s="17"/>
    </row>
    <row r="2275" spans="1:16" ht="14.25" customHeight="1">
      <c r="A2275" s="5" t="s">
        <v>0</v>
      </c>
      <c r="B2275" s="5" t="str">
        <f t="shared" si="18"/>
        <v>Y</v>
      </c>
      <c r="C2275" s="18" t="s">
        <v>7231</v>
      </c>
      <c r="D2275" s="18"/>
      <c r="E2275" s="6" t="s">
        <v>7232</v>
      </c>
      <c r="F2275" s="19" t="s">
        <v>7233</v>
      </c>
      <c r="G2275" s="19" t="s">
        <v>7230</v>
      </c>
      <c r="H2275" s="19" t="s">
        <v>7230</v>
      </c>
      <c r="L2275" s="6">
        <v>8434705387</v>
      </c>
      <c r="N2275" s="16"/>
      <c r="O2275" s="7"/>
      <c r="P2275" s="17"/>
    </row>
    <row r="2276" spans="1:16" ht="14.25" customHeight="1">
      <c r="A2276" s="5" t="s">
        <v>0</v>
      </c>
      <c r="B2276" s="5" t="str">
        <f t="shared" si="18"/>
        <v>Y</v>
      </c>
      <c r="C2276" s="18" t="s">
        <v>7234</v>
      </c>
      <c r="D2276" s="18"/>
      <c r="E2276" s="6" t="s">
        <v>7235</v>
      </c>
      <c r="F2276" s="19" t="s">
        <v>7236</v>
      </c>
      <c r="G2276" s="19" t="s">
        <v>7230</v>
      </c>
      <c r="H2276" s="19" t="s">
        <v>7230</v>
      </c>
      <c r="L2276" s="6">
        <v>9334817717</v>
      </c>
      <c r="N2276" s="16"/>
      <c r="O2276" s="7"/>
      <c r="P2276" s="17"/>
    </row>
    <row r="2277" spans="1:16" ht="14.25" customHeight="1">
      <c r="A2277" s="5" t="s">
        <v>0</v>
      </c>
      <c r="B2277" s="5" t="str">
        <f t="shared" si="18"/>
        <v>Y</v>
      </c>
      <c r="C2277" s="62" t="s">
        <v>7237</v>
      </c>
      <c r="D2277" s="62"/>
      <c r="E2277" s="47" t="s">
        <v>7238</v>
      </c>
      <c r="F2277" s="63" t="s">
        <v>7239</v>
      </c>
      <c r="G2277" s="63" t="s">
        <v>7240</v>
      </c>
      <c r="H2277" s="64">
        <v>44629</v>
      </c>
      <c r="K2277">
        <v>9148078842</v>
      </c>
      <c r="L2277" s="6">
        <v>9308092456</v>
      </c>
      <c r="N2277" s="66" t="s">
        <v>12298</v>
      </c>
      <c r="O2277" s="7"/>
      <c r="P2277" s="17"/>
    </row>
    <row r="2278" spans="1:16" ht="14.25" customHeight="1">
      <c r="A2278" s="5" t="s">
        <v>0</v>
      </c>
      <c r="B2278" s="5" t="str">
        <f t="shared" si="18"/>
        <v>Y</v>
      </c>
      <c r="C2278" s="18" t="s">
        <v>7241</v>
      </c>
      <c r="D2278" s="18"/>
      <c r="E2278" s="6" t="s">
        <v>7242</v>
      </c>
      <c r="F2278" s="19" t="s">
        <v>5106</v>
      </c>
      <c r="G2278" s="19" t="s">
        <v>7240</v>
      </c>
      <c r="H2278" s="20">
        <v>44629</v>
      </c>
      <c r="L2278" s="148">
        <v>7294147152</v>
      </c>
      <c r="N2278" s="16"/>
      <c r="O2278" s="7"/>
      <c r="P2278" s="17"/>
    </row>
    <row r="2279" spans="1:16" ht="14.25" customHeight="1">
      <c r="A2279" s="5" t="s">
        <v>0</v>
      </c>
      <c r="B2279" s="5" t="str">
        <f t="shared" si="18"/>
        <v>Y</v>
      </c>
      <c r="C2279" s="18" t="s">
        <v>7243</v>
      </c>
      <c r="D2279" s="18"/>
      <c r="E2279" s="6" t="s">
        <v>7244</v>
      </c>
      <c r="F2279" s="19" t="s">
        <v>7245</v>
      </c>
      <c r="G2279" s="19" t="s">
        <v>7246</v>
      </c>
      <c r="H2279" s="20">
        <v>44631</v>
      </c>
      <c r="L2279" s="148">
        <v>9204525109</v>
      </c>
      <c r="N2279" s="16"/>
      <c r="O2279" s="7"/>
      <c r="P2279" s="17"/>
    </row>
    <row r="2280" spans="1:16" ht="14.25" customHeight="1">
      <c r="A2280" s="5" t="s">
        <v>0</v>
      </c>
      <c r="B2280" s="5" t="str">
        <f t="shared" si="18"/>
        <v>Y</v>
      </c>
      <c r="C2280" s="18" t="s">
        <v>7247</v>
      </c>
      <c r="D2280" s="18"/>
      <c r="E2280" s="6" t="s">
        <v>7248</v>
      </c>
      <c r="F2280" s="19" t="s">
        <v>7249</v>
      </c>
      <c r="G2280" s="19" t="s">
        <v>7246</v>
      </c>
      <c r="H2280" s="20">
        <v>44631</v>
      </c>
      <c r="L2280" s="148">
        <v>9431378313</v>
      </c>
      <c r="N2280" s="16"/>
      <c r="O2280" s="7"/>
      <c r="P2280" s="17"/>
    </row>
    <row r="2281" spans="1:16" ht="14.25" customHeight="1">
      <c r="A2281" s="5" t="s">
        <v>0</v>
      </c>
      <c r="B2281" s="5" t="str">
        <f t="shared" si="18"/>
        <v>Y</v>
      </c>
      <c r="C2281" s="18" t="s">
        <v>7250</v>
      </c>
      <c r="D2281" s="18"/>
      <c r="E2281" s="6" t="s">
        <v>7251</v>
      </c>
      <c r="F2281" s="19" t="s">
        <v>7252</v>
      </c>
      <c r="G2281" s="19" t="s">
        <v>7253</v>
      </c>
      <c r="H2281" s="20">
        <v>44630</v>
      </c>
      <c r="L2281" s="148">
        <v>6201255409</v>
      </c>
      <c r="N2281" s="16"/>
      <c r="O2281" s="7"/>
      <c r="P2281" s="17"/>
    </row>
    <row r="2282" spans="1:16" ht="14.25" customHeight="1">
      <c r="A2282" s="5" t="s">
        <v>0</v>
      </c>
      <c r="B2282" s="5" t="str">
        <f t="shared" si="18"/>
        <v>Y</v>
      </c>
      <c r="C2282" s="18" t="s">
        <v>7254</v>
      </c>
      <c r="D2282" s="18"/>
      <c r="E2282" s="6" t="s">
        <v>7255</v>
      </c>
      <c r="F2282" s="19" t="s">
        <v>7256</v>
      </c>
      <c r="G2282" s="19" t="s">
        <v>7253</v>
      </c>
      <c r="H2282" s="20">
        <v>44632</v>
      </c>
      <c r="L2282" s="148">
        <v>9835550587</v>
      </c>
      <c r="N2282" s="16"/>
      <c r="O2282" s="7"/>
      <c r="P2282" s="17"/>
    </row>
    <row r="2283" spans="1:16" ht="14.25" customHeight="1">
      <c r="A2283" s="5" t="s">
        <v>0</v>
      </c>
      <c r="B2283" s="5" t="str">
        <f t="shared" si="18"/>
        <v>Y</v>
      </c>
      <c r="C2283" s="18" t="s">
        <v>7257</v>
      </c>
      <c r="D2283" s="18"/>
      <c r="E2283" s="18" t="s">
        <v>7258</v>
      </c>
      <c r="F2283" s="19" t="s">
        <v>7259</v>
      </c>
      <c r="G2283" s="19" t="s">
        <v>7260</v>
      </c>
      <c r="H2283" s="20">
        <v>44634</v>
      </c>
      <c r="L2283" s="148">
        <v>9643491568</v>
      </c>
      <c r="N2283" s="16"/>
      <c r="O2283" s="7"/>
      <c r="P2283" s="17"/>
    </row>
    <row r="2284" spans="1:16" ht="14.25" customHeight="1">
      <c r="A2284" s="5" t="s">
        <v>0</v>
      </c>
      <c r="B2284" s="5" t="str">
        <f t="shared" si="18"/>
        <v>Y</v>
      </c>
      <c r="C2284" s="18" t="s">
        <v>7261</v>
      </c>
      <c r="D2284" s="18"/>
      <c r="E2284" s="6" t="s">
        <v>7262</v>
      </c>
      <c r="F2284" s="19" t="s">
        <v>7263</v>
      </c>
      <c r="G2284" s="19" t="s">
        <v>7260</v>
      </c>
      <c r="H2284" s="20">
        <v>44634</v>
      </c>
      <c r="L2284" s="148">
        <v>8521231409</v>
      </c>
      <c r="N2284" s="16"/>
      <c r="O2284" s="7"/>
      <c r="P2284" s="17"/>
    </row>
    <row r="2285" spans="1:16" ht="14.25" customHeight="1">
      <c r="A2285" s="5" t="s">
        <v>0</v>
      </c>
      <c r="B2285" s="5" t="str">
        <f t="shared" si="18"/>
        <v>Y</v>
      </c>
      <c r="C2285" s="18" t="s">
        <v>7264</v>
      </c>
      <c r="D2285" s="18"/>
      <c r="E2285" s="6" t="s">
        <v>7265</v>
      </c>
      <c r="F2285" s="19" t="s">
        <v>7266</v>
      </c>
      <c r="G2285" s="19" t="s">
        <v>7260</v>
      </c>
      <c r="H2285" s="20">
        <v>44634</v>
      </c>
      <c r="L2285" s="148">
        <v>7856884062</v>
      </c>
      <c r="N2285" s="16"/>
      <c r="O2285" s="7"/>
      <c r="P2285" s="17"/>
    </row>
    <row r="2286" spans="1:16" ht="14.25" customHeight="1">
      <c r="A2286" s="5" t="s">
        <v>0</v>
      </c>
      <c r="B2286" s="5" t="str">
        <f t="shared" si="18"/>
        <v>Y</v>
      </c>
      <c r="C2286" s="18" t="s">
        <v>7267</v>
      </c>
      <c r="D2286" s="18"/>
      <c r="E2286" s="6" t="s">
        <v>7268</v>
      </c>
      <c r="F2286" s="19" t="s">
        <v>7269</v>
      </c>
      <c r="G2286" s="19" t="s">
        <v>7260</v>
      </c>
      <c r="H2286" s="20">
        <v>44634</v>
      </c>
      <c r="L2286" s="148">
        <v>7050190975</v>
      </c>
      <c r="N2286" s="16"/>
      <c r="O2286" s="7"/>
      <c r="P2286" s="17"/>
    </row>
    <row r="2287" spans="1:16" ht="14.25" customHeight="1">
      <c r="A2287" s="5" t="s">
        <v>0</v>
      </c>
      <c r="B2287" s="5" t="str">
        <f t="shared" si="18"/>
        <v>Y</v>
      </c>
      <c r="C2287" s="18" t="s">
        <v>7270</v>
      </c>
      <c r="D2287" s="18"/>
      <c r="E2287" s="6" t="s">
        <v>7271</v>
      </c>
      <c r="F2287" s="19" t="s">
        <v>7272</v>
      </c>
      <c r="G2287" s="19" t="s">
        <v>7260</v>
      </c>
      <c r="H2287" s="20">
        <v>44634</v>
      </c>
      <c r="L2287" s="148">
        <v>9608053913</v>
      </c>
      <c r="N2287" s="16"/>
      <c r="O2287" s="7"/>
      <c r="P2287" s="17"/>
    </row>
    <row r="2288" spans="1:16" ht="14.25" customHeight="1">
      <c r="A2288" s="5" t="s">
        <v>0</v>
      </c>
      <c r="B2288" s="5" t="str">
        <f t="shared" si="18"/>
        <v>Y</v>
      </c>
      <c r="C2288" s="18" t="s">
        <v>7273</v>
      </c>
      <c r="D2288" s="18"/>
      <c r="E2288" s="6" t="s">
        <v>7274</v>
      </c>
      <c r="F2288" s="19" t="s">
        <v>7275</v>
      </c>
      <c r="G2288" s="19" t="s">
        <v>7260</v>
      </c>
      <c r="H2288" s="20">
        <v>44634</v>
      </c>
      <c r="L2288" s="148">
        <v>9508571719</v>
      </c>
      <c r="N2288" s="16"/>
      <c r="O2288" s="7"/>
      <c r="P2288" s="17"/>
    </row>
    <row r="2289" spans="1:16" ht="14.25" customHeight="1">
      <c r="A2289" s="5" t="s">
        <v>0</v>
      </c>
      <c r="B2289" s="5" t="str">
        <f t="shared" si="18"/>
        <v>Y</v>
      </c>
      <c r="C2289" s="18" t="s">
        <v>7276</v>
      </c>
      <c r="D2289" s="18"/>
      <c r="E2289" s="6" t="s">
        <v>7277</v>
      </c>
      <c r="F2289" s="19" t="s">
        <v>7278</v>
      </c>
      <c r="G2289" s="19" t="s">
        <v>7279</v>
      </c>
      <c r="H2289" s="20">
        <v>44638</v>
      </c>
      <c r="L2289" s="148">
        <v>9771602259</v>
      </c>
      <c r="N2289" s="16"/>
      <c r="O2289" s="7"/>
      <c r="P2289" s="17"/>
    </row>
    <row r="2290" spans="1:16" ht="14.25" customHeight="1">
      <c r="A2290" s="5" t="s">
        <v>0</v>
      </c>
      <c r="B2290" s="5" t="str">
        <f t="shared" si="18"/>
        <v>Y</v>
      </c>
      <c r="C2290" s="18" t="s">
        <v>7280</v>
      </c>
      <c r="D2290" s="18"/>
      <c r="E2290" s="6" t="s">
        <v>7281</v>
      </c>
      <c r="F2290" s="19" t="s">
        <v>7282</v>
      </c>
      <c r="G2290" s="19" t="s">
        <v>7283</v>
      </c>
      <c r="H2290" s="5" t="s">
        <v>7283</v>
      </c>
      <c r="L2290" s="148">
        <v>8409954513</v>
      </c>
      <c r="N2290" s="16"/>
      <c r="O2290" s="7"/>
      <c r="P2290" s="17"/>
    </row>
    <row r="2291" spans="1:16" ht="14.25" customHeight="1">
      <c r="A2291" s="5" t="s">
        <v>0</v>
      </c>
      <c r="B2291" s="5" t="str">
        <f t="shared" si="18"/>
        <v>Y</v>
      </c>
      <c r="C2291" s="18" t="s">
        <v>7284</v>
      </c>
      <c r="D2291" s="18"/>
      <c r="E2291" s="6" t="s">
        <v>7285</v>
      </c>
      <c r="F2291" s="19" t="s">
        <v>7286</v>
      </c>
      <c r="G2291" s="19" t="s">
        <v>7287</v>
      </c>
      <c r="H2291" s="20">
        <v>44642</v>
      </c>
      <c r="L2291" s="148">
        <v>8102013654</v>
      </c>
      <c r="N2291" s="16"/>
      <c r="O2291" s="7"/>
      <c r="P2291" s="17"/>
    </row>
    <row r="2292" spans="1:16" ht="14.25" customHeight="1">
      <c r="A2292" s="5" t="s">
        <v>0</v>
      </c>
      <c r="B2292" s="5" t="str">
        <f t="shared" si="18"/>
        <v>Y</v>
      </c>
      <c r="C2292" s="18" t="s">
        <v>7288</v>
      </c>
      <c r="D2292" s="18"/>
      <c r="E2292" s="6" t="s">
        <v>7289</v>
      </c>
      <c r="F2292" s="19" t="s">
        <v>7290</v>
      </c>
      <c r="G2292" s="19" t="s">
        <v>7279</v>
      </c>
      <c r="H2292" s="20">
        <v>44638</v>
      </c>
      <c r="L2292" s="148">
        <v>9234611974</v>
      </c>
      <c r="N2292" s="16"/>
      <c r="O2292" s="7"/>
      <c r="P2292" s="17"/>
    </row>
    <row r="2293" spans="1:16" ht="14.25" customHeight="1">
      <c r="A2293" s="5" t="s">
        <v>0</v>
      </c>
      <c r="B2293" s="5" t="str">
        <f t="shared" si="18"/>
        <v>Y</v>
      </c>
      <c r="C2293" s="18" t="s">
        <v>7291</v>
      </c>
      <c r="D2293" s="18"/>
      <c r="E2293" s="6" t="s">
        <v>7292</v>
      </c>
      <c r="F2293" s="19" t="s">
        <v>7293</v>
      </c>
      <c r="G2293" s="19" t="s">
        <v>7279</v>
      </c>
      <c r="H2293" s="20">
        <v>44638</v>
      </c>
      <c r="L2293" s="148">
        <v>9534035940</v>
      </c>
      <c r="N2293" s="16"/>
      <c r="O2293" s="7"/>
      <c r="P2293" s="17"/>
    </row>
    <row r="2294" spans="1:16" ht="14.25" customHeight="1">
      <c r="A2294" s="5" t="s">
        <v>0</v>
      </c>
      <c r="B2294" s="5" t="str">
        <f t="shared" si="18"/>
        <v>Y</v>
      </c>
      <c r="C2294" s="18" t="s">
        <v>12195</v>
      </c>
      <c r="D2294" s="18"/>
      <c r="E2294" s="6" t="s">
        <v>12196</v>
      </c>
      <c r="F2294" s="19" t="s">
        <v>12197</v>
      </c>
      <c r="G2294" s="19" t="s">
        <v>7287</v>
      </c>
      <c r="H2294" s="20">
        <v>44642</v>
      </c>
      <c r="L2294">
        <v>8092191457</v>
      </c>
      <c r="N2294" s="16"/>
      <c r="O2294" s="7"/>
      <c r="P2294" s="17"/>
    </row>
    <row r="2295" spans="1:16" ht="14.25" customHeight="1">
      <c r="A2295" s="5" t="s">
        <v>0</v>
      </c>
      <c r="B2295" s="5" t="str">
        <f t="shared" si="18"/>
        <v>Y</v>
      </c>
      <c r="C2295" s="18" t="s">
        <v>12198</v>
      </c>
      <c r="D2295" s="18"/>
      <c r="E2295" s="6" t="s">
        <v>12199</v>
      </c>
      <c r="F2295" s="19" t="s">
        <v>2835</v>
      </c>
      <c r="G2295" s="19" t="s">
        <v>12200</v>
      </c>
      <c r="H2295" s="20">
        <v>44643</v>
      </c>
      <c r="L2295">
        <v>8709586745</v>
      </c>
      <c r="N2295" s="16"/>
      <c r="O2295" s="7"/>
      <c r="P2295" s="17"/>
    </row>
    <row r="2296" spans="1:16" ht="14.25" customHeight="1">
      <c r="A2296" s="5" t="s">
        <v>0</v>
      </c>
      <c r="B2296" s="5" t="str">
        <f t="shared" si="18"/>
        <v>Y</v>
      </c>
      <c r="C2296" s="18" t="s">
        <v>12203</v>
      </c>
      <c r="D2296" s="18"/>
      <c r="E2296" s="6" t="s">
        <v>12202</v>
      </c>
      <c r="F2296" s="19" t="s">
        <v>12201</v>
      </c>
      <c r="G2296" s="19" t="s">
        <v>12200</v>
      </c>
      <c r="H2296" s="20">
        <v>44643</v>
      </c>
      <c r="L2296">
        <v>8709586745</v>
      </c>
      <c r="N2296" s="16"/>
      <c r="O2296" s="7"/>
      <c r="P2296" s="17"/>
    </row>
    <row r="2297" spans="1:16" ht="14.25" customHeight="1">
      <c r="A2297" s="5" t="s">
        <v>0</v>
      </c>
      <c r="B2297" s="5" t="str">
        <f t="shared" si="18"/>
        <v>Y</v>
      </c>
      <c r="C2297" s="18" t="s">
        <v>12204</v>
      </c>
      <c r="D2297" s="18"/>
      <c r="E2297" s="6" t="s">
        <v>12205</v>
      </c>
      <c r="F2297" s="19" t="s">
        <v>12206</v>
      </c>
      <c r="G2297" s="19" t="s">
        <v>12200</v>
      </c>
      <c r="H2297" s="20">
        <v>44643</v>
      </c>
      <c r="L2297">
        <v>9508404871</v>
      </c>
      <c r="N2297" s="16"/>
      <c r="O2297" s="7"/>
      <c r="P2297" s="17"/>
    </row>
    <row r="2298" spans="1:16" ht="14.25" customHeight="1">
      <c r="A2298" s="5" t="s">
        <v>0</v>
      </c>
      <c r="B2298" s="5" t="str">
        <f t="shared" si="18"/>
        <v>Y</v>
      </c>
      <c r="C2298" s="381" t="s">
        <v>12213</v>
      </c>
      <c r="D2298" s="381"/>
      <c r="E2298" s="6" t="s">
        <v>12207</v>
      </c>
      <c r="F2298" s="19" t="s">
        <v>12208</v>
      </c>
      <c r="G2298" s="380" t="s">
        <v>12211</v>
      </c>
      <c r="H2298" s="20">
        <v>44644</v>
      </c>
      <c r="K2298" t="s">
        <v>12209</v>
      </c>
      <c r="L2298">
        <v>8278874426</v>
      </c>
      <c r="N2298" s="16"/>
      <c r="O2298" s="7"/>
      <c r="P2298" s="17"/>
    </row>
    <row r="2299" spans="1:16" ht="14.25" customHeight="1">
      <c r="A2299" s="5" t="s">
        <v>0</v>
      </c>
      <c r="B2299" s="5" t="str">
        <f t="shared" si="18"/>
        <v>Y</v>
      </c>
      <c r="C2299" s="381" t="s">
        <v>12212</v>
      </c>
      <c r="D2299" s="381"/>
      <c r="E2299" s="379" t="s">
        <v>12210</v>
      </c>
      <c r="F2299" s="380" t="s">
        <v>2425</v>
      </c>
      <c r="G2299" s="380" t="s">
        <v>12211</v>
      </c>
      <c r="H2299" s="20">
        <v>44644</v>
      </c>
      <c r="L2299">
        <v>7206587049</v>
      </c>
      <c r="N2299" s="16"/>
      <c r="O2299" s="7"/>
      <c r="P2299" s="17"/>
    </row>
    <row r="2300" spans="1:16" ht="14.25" customHeight="1">
      <c r="A2300" s="5" t="s">
        <v>0</v>
      </c>
      <c r="B2300" s="5" t="str">
        <f t="shared" si="18"/>
        <v>Y</v>
      </c>
      <c r="C2300" s="18" t="s">
        <v>12214</v>
      </c>
      <c r="D2300" s="18"/>
      <c r="E2300" s="379" t="s">
        <v>11883</v>
      </c>
      <c r="F2300" s="19" t="s">
        <v>12215</v>
      </c>
      <c r="G2300" s="380" t="s">
        <v>12211</v>
      </c>
      <c r="H2300" s="20">
        <v>44644</v>
      </c>
      <c r="L2300">
        <v>6207420722</v>
      </c>
      <c r="N2300" s="16"/>
      <c r="O2300" s="7"/>
      <c r="P2300" s="17"/>
    </row>
    <row r="2301" spans="1:16" ht="14.25" customHeight="1">
      <c r="A2301" s="5" t="s">
        <v>0</v>
      </c>
      <c r="B2301" s="5" t="str">
        <f t="shared" si="18"/>
        <v>Y</v>
      </c>
      <c r="C2301" s="18" t="s">
        <v>12216</v>
      </c>
      <c r="D2301" s="18"/>
      <c r="E2301" s="379" t="s">
        <v>12217</v>
      </c>
      <c r="F2301" s="19" t="s">
        <v>12218</v>
      </c>
      <c r="G2301" s="19" t="s">
        <v>12219</v>
      </c>
      <c r="H2301" s="20">
        <v>44645</v>
      </c>
      <c r="K2301" t="s">
        <v>7138</v>
      </c>
      <c r="L2301">
        <v>9122801657</v>
      </c>
      <c r="N2301" s="16"/>
      <c r="O2301" s="7"/>
      <c r="P2301" s="17"/>
    </row>
    <row r="2302" spans="1:16" ht="14.25" customHeight="1">
      <c r="A2302" s="5" t="s">
        <v>0</v>
      </c>
      <c r="B2302" s="5" t="str">
        <f t="shared" si="18"/>
        <v>Y</v>
      </c>
      <c r="C2302" s="382" t="s">
        <v>12221</v>
      </c>
      <c r="D2302" s="382"/>
      <c r="E2302" s="379" t="s">
        <v>12222</v>
      </c>
      <c r="F2302" s="19" t="s">
        <v>12224</v>
      </c>
      <c r="G2302" s="19" t="s">
        <v>12223</v>
      </c>
      <c r="H2302" s="20">
        <v>44646</v>
      </c>
      <c r="K2302" t="s">
        <v>7138</v>
      </c>
      <c r="L2302">
        <v>9334356754</v>
      </c>
      <c r="N2302" s="16"/>
      <c r="O2302" s="7"/>
      <c r="P2302" s="17"/>
    </row>
    <row r="2303" spans="1:16" ht="14.25" customHeight="1">
      <c r="A2303" s="5" t="s">
        <v>0</v>
      </c>
      <c r="B2303" s="5" t="str">
        <f t="shared" si="18"/>
        <v>Y</v>
      </c>
      <c r="C2303" s="381" t="s">
        <v>12228</v>
      </c>
      <c r="D2303" s="381"/>
      <c r="E2303" s="379" t="s">
        <v>12229</v>
      </c>
      <c r="F2303" s="380" t="s">
        <v>12230</v>
      </c>
      <c r="G2303" s="380" t="s">
        <v>12223</v>
      </c>
      <c r="H2303" s="20">
        <v>44648</v>
      </c>
      <c r="K2303" t="s">
        <v>7138</v>
      </c>
      <c r="L2303">
        <v>9113106364</v>
      </c>
      <c r="N2303" s="16"/>
      <c r="O2303" s="7"/>
      <c r="P2303" s="17"/>
    </row>
    <row r="2304" spans="1:16" ht="14.25" customHeight="1">
      <c r="A2304" s="5" t="s">
        <v>0</v>
      </c>
      <c r="B2304" s="5" t="str">
        <f t="shared" si="18"/>
        <v>Y</v>
      </c>
      <c r="C2304" s="18" t="s">
        <v>12231</v>
      </c>
      <c r="D2304" s="18"/>
      <c r="E2304" s="6" t="s">
        <v>12232</v>
      </c>
      <c r="F2304" s="19" t="s">
        <v>12233</v>
      </c>
      <c r="G2304" s="380" t="s">
        <v>12223</v>
      </c>
      <c r="H2304" s="20">
        <v>44646</v>
      </c>
      <c r="L2304">
        <v>7858926890</v>
      </c>
      <c r="N2304" s="16"/>
      <c r="O2304" s="7"/>
      <c r="P2304" s="17"/>
    </row>
    <row r="2305" spans="1:16" ht="14.25" customHeight="1">
      <c r="A2305" s="5" t="s">
        <v>0</v>
      </c>
      <c r="B2305" s="5" t="str">
        <f t="shared" si="18"/>
        <v>Y</v>
      </c>
      <c r="C2305" s="18" t="s">
        <v>12234</v>
      </c>
      <c r="D2305" s="18"/>
      <c r="E2305" s="6" t="s">
        <v>12235</v>
      </c>
      <c r="F2305" s="19" t="s">
        <v>12236</v>
      </c>
      <c r="G2305" s="19" t="s">
        <v>12237</v>
      </c>
      <c r="H2305" s="20">
        <v>44647</v>
      </c>
      <c r="L2305">
        <v>9708378746</v>
      </c>
      <c r="N2305" s="16"/>
      <c r="O2305" s="7"/>
      <c r="P2305" s="17"/>
    </row>
    <row r="2306" spans="1:16" ht="14.25" customHeight="1">
      <c r="A2306" s="5" t="s">
        <v>0</v>
      </c>
      <c r="B2306" s="5" t="str">
        <f t="shared" si="18"/>
        <v>Y</v>
      </c>
      <c r="C2306" s="18" t="s">
        <v>12244</v>
      </c>
      <c r="D2306" s="18"/>
      <c r="E2306" s="6" t="s">
        <v>12240</v>
      </c>
      <c r="F2306" s="19" t="s">
        <v>12241</v>
      </c>
      <c r="G2306" s="19" t="s">
        <v>12242</v>
      </c>
      <c r="H2306" s="20">
        <v>44649</v>
      </c>
      <c r="L2306">
        <v>9431147662</v>
      </c>
      <c r="N2306" s="16"/>
      <c r="O2306" s="7"/>
      <c r="P2306" s="17"/>
    </row>
    <row r="2307" spans="1:16" ht="14.25" customHeight="1">
      <c r="A2307" s="5" t="s">
        <v>0</v>
      </c>
      <c r="B2307" s="5" t="str">
        <f t="shared" si="18"/>
        <v>Y</v>
      </c>
      <c r="C2307" s="18" t="s">
        <v>12243</v>
      </c>
      <c r="D2307" s="18"/>
      <c r="E2307" s="6" t="s">
        <v>2663</v>
      </c>
      <c r="F2307" s="19" t="s">
        <v>2664</v>
      </c>
      <c r="G2307" s="19" t="s">
        <v>12245</v>
      </c>
      <c r="H2307" s="20">
        <v>44649</v>
      </c>
      <c r="L2307">
        <v>7761054651</v>
      </c>
      <c r="N2307" s="16"/>
      <c r="O2307" s="7"/>
      <c r="P2307" s="17"/>
    </row>
    <row r="2308" spans="1:16" ht="14.25" customHeight="1">
      <c r="A2308" s="5" t="s">
        <v>0</v>
      </c>
      <c r="B2308" s="5" t="str">
        <f t="shared" si="18"/>
        <v>Y</v>
      </c>
      <c r="C2308" s="18" t="s">
        <v>12246</v>
      </c>
      <c r="D2308" s="18"/>
      <c r="E2308" s="6" t="s">
        <v>12247</v>
      </c>
      <c r="F2308" s="19" t="s">
        <v>12248</v>
      </c>
      <c r="G2308" s="19" t="s">
        <v>12242</v>
      </c>
      <c r="H2308" s="20">
        <v>44649</v>
      </c>
      <c r="L2308">
        <v>8092307725</v>
      </c>
      <c r="N2308" s="16"/>
      <c r="O2308" s="7"/>
      <c r="P2308" s="17"/>
    </row>
    <row r="2309" spans="1:16" ht="14.25" customHeight="1">
      <c r="A2309" s="5" t="s">
        <v>0</v>
      </c>
      <c r="B2309" s="5" t="str">
        <f t="shared" si="18"/>
        <v>Y</v>
      </c>
      <c r="C2309" s="18" t="s">
        <v>12249</v>
      </c>
      <c r="D2309" s="18"/>
      <c r="E2309" s="6" t="s">
        <v>5602</v>
      </c>
      <c r="F2309" s="19" t="s">
        <v>12250</v>
      </c>
      <c r="G2309" s="19" t="s">
        <v>12245</v>
      </c>
      <c r="H2309" s="20">
        <v>44649</v>
      </c>
      <c r="L2309">
        <v>6202231619</v>
      </c>
      <c r="N2309" s="16"/>
      <c r="O2309" s="7"/>
      <c r="P2309" s="17"/>
    </row>
    <row r="2310" spans="1:16" ht="14.25" customHeight="1">
      <c r="A2310" s="5" t="s">
        <v>0</v>
      </c>
      <c r="B2310" s="5" t="str">
        <f t="shared" si="18"/>
        <v>Y</v>
      </c>
      <c r="C2310" s="18" t="s">
        <v>12251</v>
      </c>
      <c r="D2310" s="18"/>
      <c r="E2310" s="6" t="s">
        <v>12252</v>
      </c>
      <c r="F2310" s="19" t="s">
        <v>12253</v>
      </c>
      <c r="G2310" s="19" t="s">
        <v>12245</v>
      </c>
      <c r="H2310" s="19" t="s">
        <v>12245</v>
      </c>
      <c r="L2310">
        <v>9031992319</v>
      </c>
      <c r="N2310" s="16"/>
      <c r="O2310" s="7"/>
      <c r="P2310" s="17"/>
    </row>
    <row r="2311" spans="1:16" ht="14.25" customHeight="1">
      <c r="A2311" s="5" t="s">
        <v>0</v>
      </c>
      <c r="B2311" s="5" t="str">
        <f t="shared" si="18"/>
        <v>Y</v>
      </c>
      <c r="C2311" s="18" t="s">
        <v>12254</v>
      </c>
      <c r="D2311" s="18"/>
      <c r="E2311" s="6" t="s">
        <v>12255</v>
      </c>
      <c r="F2311" s="19" t="s">
        <v>3293</v>
      </c>
      <c r="G2311" s="19" t="s">
        <v>12245</v>
      </c>
      <c r="H2311" s="19" t="s">
        <v>12245</v>
      </c>
      <c r="I2311" s="19" t="s">
        <v>12299</v>
      </c>
      <c r="L2311">
        <v>9905030846</v>
      </c>
      <c r="N2311" s="16"/>
      <c r="O2311" s="7"/>
      <c r="P2311" s="17"/>
    </row>
    <row r="2312" spans="1:16" ht="14.25" customHeight="1">
      <c r="A2312" s="5" t="s">
        <v>0</v>
      </c>
      <c r="B2312" s="5" t="str">
        <f t="shared" si="18"/>
        <v>Y</v>
      </c>
      <c r="C2312" s="18" t="s">
        <v>12256</v>
      </c>
      <c r="D2312" s="18"/>
      <c r="E2312" s="6" t="s">
        <v>12257</v>
      </c>
      <c r="F2312" s="19" t="s">
        <v>12258</v>
      </c>
      <c r="G2312" s="19" t="s">
        <v>12245</v>
      </c>
      <c r="H2312" s="19" t="s">
        <v>12245</v>
      </c>
      <c r="L2312">
        <v>9031992319</v>
      </c>
      <c r="N2312" s="16"/>
      <c r="O2312" s="7"/>
      <c r="P2312" s="17"/>
    </row>
    <row r="2313" spans="1:16" ht="14.25" customHeight="1">
      <c r="A2313" s="5" t="s">
        <v>0</v>
      </c>
      <c r="B2313" s="5" t="str">
        <f t="shared" si="18"/>
        <v>Y</v>
      </c>
      <c r="C2313" s="18" t="s">
        <v>12259</v>
      </c>
      <c r="D2313" s="18"/>
      <c r="E2313" s="6" t="s">
        <v>12260</v>
      </c>
      <c r="F2313" s="19" t="s">
        <v>12261</v>
      </c>
      <c r="G2313" s="19" t="s">
        <v>12262</v>
      </c>
      <c r="H2313" s="19" t="s">
        <v>12304</v>
      </c>
      <c r="L2313">
        <v>9771757255</v>
      </c>
      <c r="N2313" s="16"/>
      <c r="O2313" s="7"/>
      <c r="P2313" s="17"/>
    </row>
    <row r="2314" spans="1:16" ht="14.25" customHeight="1">
      <c r="A2314" s="5" t="s">
        <v>0</v>
      </c>
      <c r="B2314" s="5" t="str">
        <f t="shared" si="18"/>
        <v>Y</v>
      </c>
      <c r="C2314" s="18" t="s">
        <v>12264</v>
      </c>
      <c r="D2314" s="18"/>
      <c r="E2314" s="6" t="s">
        <v>12265</v>
      </c>
      <c r="F2314" s="19" t="s">
        <v>12266</v>
      </c>
      <c r="G2314" s="19" t="s">
        <v>7208</v>
      </c>
      <c r="H2314" s="20">
        <v>44654</v>
      </c>
      <c r="L2314">
        <v>7979945210</v>
      </c>
      <c r="N2314" s="16"/>
      <c r="O2314" s="7"/>
      <c r="P2314" s="17"/>
    </row>
    <row r="2315" spans="1:16" ht="14.25" customHeight="1">
      <c r="A2315" s="5" t="s">
        <v>0</v>
      </c>
      <c r="B2315" s="5" t="str">
        <f t="shared" si="18"/>
        <v>Y</v>
      </c>
      <c r="C2315" s="18" t="s">
        <v>12267</v>
      </c>
      <c r="D2315" s="18"/>
      <c r="E2315" s="6" t="s">
        <v>12268</v>
      </c>
      <c r="F2315" s="19" t="s">
        <v>12269</v>
      </c>
      <c r="G2315" s="19" t="s">
        <v>7208</v>
      </c>
      <c r="H2315" s="20">
        <v>44654</v>
      </c>
      <c r="L2315">
        <v>9546960022</v>
      </c>
      <c r="N2315" s="16"/>
      <c r="O2315" s="7"/>
      <c r="P2315" s="17"/>
    </row>
    <row r="2316" spans="1:16" ht="14.25" customHeight="1">
      <c r="A2316" s="5" t="s">
        <v>0</v>
      </c>
      <c r="B2316" s="5" t="str">
        <f t="shared" si="18"/>
        <v>Y</v>
      </c>
      <c r="C2316" s="18" t="s">
        <v>12270</v>
      </c>
      <c r="D2316" s="18"/>
      <c r="E2316" s="6" t="s">
        <v>12176</v>
      </c>
      <c r="F2316" s="19" t="s">
        <v>12275</v>
      </c>
      <c r="G2316" s="19" t="s">
        <v>7208</v>
      </c>
      <c r="H2316" s="20">
        <v>44654</v>
      </c>
      <c r="L2316">
        <v>7209361246</v>
      </c>
      <c r="N2316" s="16"/>
      <c r="O2316" s="7"/>
      <c r="P2316" s="17"/>
    </row>
    <row r="2317" spans="1:16" ht="14.25" customHeight="1">
      <c r="A2317" s="5" t="s">
        <v>0</v>
      </c>
      <c r="B2317" s="5" t="str">
        <f t="shared" si="18"/>
        <v>Y</v>
      </c>
      <c r="C2317" s="392" t="s">
        <v>12271</v>
      </c>
      <c r="D2317" s="392"/>
      <c r="E2317" s="6" t="s">
        <v>12272</v>
      </c>
      <c r="F2317" s="19" t="s">
        <v>12274</v>
      </c>
      <c r="G2317" s="19" t="s">
        <v>12273</v>
      </c>
      <c r="H2317" s="20">
        <v>44655</v>
      </c>
      <c r="K2317" t="s">
        <v>7138</v>
      </c>
      <c r="L2317" s="392">
        <v>9955660083</v>
      </c>
      <c r="N2317" s="16"/>
      <c r="O2317" s="7"/>
      <c r="P2317" s="17"/>
    </row>
    <row r="2318" spans="1:16" ht="14.25" customHeight="1">
      <c r="A2318" s="5" t="s">
        <v>0</v>
      </c>
      <c r="B2318" s="5" t="str">
        <f t="shared" si="18"/>
        <v>Y</v>
      </c>
      <c r="C2318" s="18" t="s">
        <v>12277</v>
      </c>
      <c r="D2318" s="18"/>
      <c r="E2318" s="6" t="s">
        <v>6580</v>
      </c>
      <c r="F2318" s="19" t="s">
        <v>12278</v>
      </c>
      <c r="G2318" s="19" t="s">
        <v>12273</v>
      </c>
      <c r="H2318" s="19" t="s">
        <v>12273</v>
      </c>
      <c r="L2318">
        <v>7091702924</v>
      </c>
      <c r="N2318" s="16"/>
      <c r="O2318" s="7"/>
      <c r="P2318" s="17"/>
    </row>
    <row r="2319" spans="1:16" ht="14.25" customHeight="1">
      <c r="A2319" s="5" t="s">
        <v>0</v>
      </c>
      <c r="B2319" s="5" t="str">
        <f t="shared" si="18"/>
        <v>Y</v>
      </c>
      <c r="C2319" s="18" t="s">
        <v>12281</v>
      </c>
      <c r="D2319" s="18"/>
      <c r="E2319" s="6" t="s">
        <v>12280</v>
      </c>
      <c r="F2319" s="19" t="s">
        <v>12279</v>
      </c>
      <c r="G2319" s="19" t="s">
        <v>12273</v>
      </c>
      <c r="H2319" s="19" t="s">
        <v>12273</v>
      </c>
      <c r="L2319">
        <v>8235356207</v>
      </c>
      <c r="N2319" s="16"/>
      <c r="O2319" s="7"/>
      <c r="P2319" s="17"/>
    </row>
    <row r="2320" spans="1:16" ht="14.25" customHeight="1">
      <c r="A2320" s="5" t="s">
        <v>0</v>
      </c>
      <c r="B2320" s="5" t="str">
        <f t="shared" si="18"/>
        <v>Y</v>
      </c>
      <c r="C2320" s="18" t="s">
        <v>12282</v>
      </c>
      <c r="D2320" s="18"/>
      <c r="E2320" s="6" t="s">
        <v>12283</v>
      </c>
      <c r="F2320" s="19" t="s">
        <v>12284</v>
      </c>
      <c r="G2320" s="19" t="s">
        <v>12285</v>
      </c>
      <c r="H2320" s="20">
        <v>44657</v>
      </c>
      <c r="L2320">
        <v>8521896442</v>
      </c>
      <c r="N2320" s="16"/>
      <c r="O2320" s="7"/>
      <c r="P2320" s="17"/>
    </row>
    <row r="2321" spans="1:16" ht="14.25" customHeight="1">
      <c r="A2321" s="5" t="s">
        <v>0</v>
      </c>
      <c r="B2321" s="5" t="str">
        <f t="shared" si="18"/>
        <v>Y</v>
      </c>
      <c r="C2321" s="18" t="s">
        <v>12286</v>
      </c>
      <c r="D2321" s="18"/>
      <c r="E2321" t="s">
        <v>12287</v>
      </c>
      <c r="F2321" s="19" t="s">
        <v>12288</v>
      </c>
      <c r="G2321" s="19" t="s">
        <v>12289</v>
      </c>
      <c r="H2321" s="20">
        <v>44657</v>
      </c>
      <c r="J2321" t="s">
        <v>12290</v>
      </c>
      <c r="L2321">
        <v>6202947861</v>
      </c>
      <c r="N2321" s="16"/>
      <c r="O2321" s="7"/>
      <c r="P2321" s="17"/>
    </row>
    <row r="2322" spans="1:16" ht="14.25" customHeight="1">
      <c r="A2322" s="5" t="s">
        <v>0</v>
      </c>
      <c r="B2322" s="5" t="str">
        <f t="shared" si="18"/>
        <v>Y</v>
      </c>
      <c r="C2322" s="18" t="s">
        <v>12292</v>
      </c>
      <c r="D2322" s="18"/>
      <c r="E2322" t="s">
        <v>12293</v>
      </c>
      <c r="F2322" s="19" t="s">
        <v>12294</v>
      </c>
      <c r="G2322" s="19" t="s">
        <v>12295</v>
      </c>
      <c r="H2322" s="19" t="s">
        <v>12295</v>
      </c>
      <c r="L2322">
        <v>6202061213</v>
      </c>
      <c r="N2322" s="16"/>
      <c r="O2322" s="7"/>
      <c r="P2322" s="17"/>
    </row>
    <row r="2323" spans="1:16" ht="14.25" customHeight="1">
      <c r="A2323" s="5" t="s">
        <v>0</v>
      </c>
      <c r="B2323" s="5" t="str">
        <f t="shared" si="18"/>
        <v>Y</v>
      </c>
      <c r="C2323" s="18" t="s">
        <v>12296</v>
      </c>
      <c r="D2323" s="18"/>
      <c r="E2323" t="s">
        <v>1156</v>
      </c>
      <c r="F2323" s="19" t="s">
        <v>12297</v>
      </c>
      <c r="G2323" s="19" t="s">
        <v>12295</v>
      </c>
      <c r="H2323" s="19" t="s">
        <v>12295</v>
      </c>
      <c r="L2323">
        <v>8292066730</v>
      </c>
      <c r="N2323" s="16"/>
      <c r="O2323" s="7"/>
      <c r="P2323" s="17"/>
    </row>
    <row r="2324" spans="1:16" ht="14.25" customHeight="1">
      <c r="A2324" s="5" t="s">
        <v>0</v>
      </c>
      <c r="B2324" s="5" t="str">
        <f t="shared" si="18"/>
        <v>Y</v>
      </c>
      <c r="C2324" s="18" t="s">
        <v>12300</v>
      </c>
      <c r="D2324" s="18"/>
      <c r="E2324" t="s">
        <v>12301</v>
      </c>
      <c r="F2324" s="19" t="s">
        <v>12302</v>
      </c>
      <c r="G2324" s="19" t="s">
        <v>12303</v>
      </c>
      <c r="H2324" s="20">
        <v>44661</v>
      </c>
      <c r="L2324">
        <v>8210030362</v>
      </c>
      <c r="N2324" s="16"/>
      <c r="O2324" s="7"/>
      <c r="P2324" s="17"/>
    </row>
    <row r="2325" spans="1:16" ht="14.25" customHeight="1">
      <c r="A2325" s="5" t="s">
        <v>0</v>
      </c>
      <c r="B2325" s="5" t="str">
        <f t="shared" si="18"/>
        <v>Y</v>
      </c>
      <c r="C2325" s="18" t="s">
        <v>12305</v>
      </c>
      <c r="D2325" s="18"/>
      <c r="E2325" s="396" t="s">
        <v>6007</v>
      </c>
      <c r="F2325" s="19" t="s">
        <v>12306</v>
      </c>
      <c r="G2325" s="19" t="s">
        <v>12304</v>
      </c>
      <c r="H2325" s="20">
        <v>44664</v>
      </c>
      <c r="L2325">
        <v>9508293697</v>
      </c>
      <c r="N2325" s="16"/>
      <c r="O2325" s="7"/>
      <c r="P2325" s="17"/>
    </row>
    <row r="2326" spans="1:16" ht="14.25" customHeight="1">
      <c r="A2326" s="5" t="s">
        <v>0</v>
      </c>
      <c r="B2326" s="5" t="str">
        <f t="shared" si="18"/>
        <v>Y</v>
      </c>
      <c r="C2326" s="18" t="s">
        <v>12307</v>
      </c>
      <c r="D2326" s="18"/>
      <c r="E2326" s="397" t="s">
        <v>12308</v>
      </c>
      <c r="F2326" s="19" t="s">
        <v>12309</v>
      </c>
      <c r="G2326" s="19" t="s">
        <v>12310</v>
      </c>
      <c r="H2326" s="20">
        <v>44667</v>
      </c>
      <c r="K2326" s="397" t="s">
        <v>7138</v>
      </c>
      <c r="L2326">
        <v>7543993976</v>
      </c>
      <c r="N2326" s="16"/>
      <c r="O2326" s="7"/>
      <c r="P2326" s="17"/>
    </row>
    <row r="2327" spans="1:16" ht="14.25" customHeight="1">
      <c r="A2327" s="5" t="s">
        <v>0</v>
      </c>
      <c r="B2327" s="5" t="str">
        <f t="shared" si="18"/>
        <v>Y</v>
      </c>
      <c r="C2327" s="18" t="s">
        <v>12312</v>
      </c>
      <c r="D2327" s="18"/>
      <c r="E2327" s="398" t="s">
        <v>12311</v>
      </c>
      <c r="F2327" s="19" t="s">
        <v>12313</v>
      </c>
      <c r="G2327" s="19" t="s">
        <v>12310</v>
      </c>
      <c r="H2327" s="20">
        <v>44667</v>
      </c>
      <c r="L2327">
        <v>6203388492</v>
      </c>
      <c r="N2327" s="16"/>
      <c r="O2327" s="7"/>
      <c r="P2327" s="17"/>
    </row>
    <row r="2328" spans="1:16" ht="14.25" customHeight="1">
      <c r="A2328" s="5" t="s">
        <v>0</v>
      </c>
      <c r="B2328" s="5" t="str">
        <f t="shared" si="18"/>
        <v>Y</v>
      </c>
      <c r="C2328" s="18" t="s">
        <v>12315</v>
      </c>
      <c r="D2328" s="18"/>
      <c r="E2328" s="399" t="s">
        <v>12316</v>
      </c>
      <c r="F2328" s="19" t="s">
        <v>12317</v>
      </c>
      <c r="G2328" s="19" t="s">
        <v>12318</v>
      </c>
      <c r="H2328" s="20">
        <v>44669</v>
      </c>
      <c r="K2328" t="s">
        <v>7138</v>
      </c>
      <c r="L2328">
        <v>9431300122</v>
      </c>
      <c r="N2328" s="16"/>
      <c r="O2328" s="7"/>
      <c r="P2328" s="17"/>
    </row>
    <row r="2329" spans="1:16" ht="14.25" customHeight="1">
      <c r="A2329" s="5" t="s">
        <v>0</v>
      </c>
      <c r="B2329" s="5" t="str">
        <f t="shared" si="18"/>
        <v>Y</v>
      </c>
      <c r="C2329" s="18" t="s">
        <v>12319</v>
      </c>
      <c r="D2329" s="18"/>
      <c r="E2329" s="400" t="s">
        <v>353</v>
      </c>
      <c r="F2329" s="19" t="s">
        <v>12320</v>
      </c>
      <c r="G2329" s="19" t="s">
        <v>6978</v>
      </c>
      <c r="H2329" s="20">
        <v>44671</v>
      </c>
      <c r="L2329">
        <v>6205539692</v>
      </c>
      <c r="N2329" s="16"/>
      <c r="O2329" s="7"/>
      <c r="P2329" s="17"/>
    </row>
    <row r="2330" spans="1:16" ht="14.25" customHeight="1">
      <c r="A2330" s="5" t="s">
        <v>0</v>
      </c>
      <c r="B2330" s="5" t="str">
        <f t="shared" si="18"/>
        <v>Y</v>
      </c>
      <c r="C2330" s="18" t="s">
        <v>12322</v>
      </c>
      <c r="D2330" s="18"/>
      <c r="E2330" s="401" t="s">
        <v>12323</v>
      </c>
      <c r="F2330" s="19" t="s">
        <v>12324</v>
      </c>
      <c r="G2330" s="19" t="s">
        <v>12325</v>
      </c>
      <c r="H2330" s="20">
        <v>44678</v>
      </c>
      <c r="K2330" t="s">
        <v>7138</v>
      </c>
      <c r="L2330">
        <v>9939746083</v>
      </c>
      <c r="N2330" s="16"/>
      <c r="O2330" s="7"/>
      <c r="P2330" s="17"/>
    </row>
    <row r="2331" spans="1:16" ht="14.25" customHeight="1">
      <c r="A2331" s="5" t="s">
        <v>0</v>
      </c>
      <c r="B2331" s="5" t="str">
        <f t="shared" si="18"/>
        <v>Y</v>
      </c>
      <c r="C2331" s="18" t="s">
        <v>12328</v>
      </c>
      <c r="D2331" s="18"/>
      <c r="E2331" s="401" t="s">
        <v>12327</v>
      </c>
      <c r="F2331" s="19" t="s">
        <v>12329</v>
      </c>
      <c r="G2331" s="19" t="s">
        <v>12326</v>
      </c>
      <c r="H2331" s="20">
        <v>44768</v>
      </c>
      <c r="L2331">
        <v>6287857552</v>
      </c>
      <c r="N2331" s="16"/>
      <c r="O2331" s="7"/>
      <c r="P2331" s="17"/>
    </row>
    <row r="2332" spans="1:16" ht="14.25" customHeight="1">
      <c r="A2332" s="5" t="s">
        <v>0</v>
      </c>
      <c r="B2332" s="5" t="str">
        <f t="shared" si="18"/>
        <v>Y</v>
      </c>
      <c r="C2332" s="18" t="s">
        <v>12331</v>
      </c>
      <c r="D2332" s="18"/>
      <c r="E2332" s="402" t="s">
        <v>12330</v>
      </c>
      <c r="F2332" s="19" t="s">
        <v>12332</v>
      </c>
      <c r="G2332" s="19" t="s">
        <v>12333</v>
      </c>
      <c r="H2332" s="19" t="s">
        <v>12333</v>
      </c>
      <c r="L2332">
        <v>9123435076</v>
      </c>
      <c r="N2332" s="16"/>
      <c r="O2332" s="7"/>
      <c r="P2332" s="17"/>
    </row>
    <row r="2333" spans="1:16" ht="14.25" customHeight="1">
      <c r="A2333" s="5" t="s">
        <v>0</v>
      </c>
      <c r="B2333" s="5" t="str">
        <f t="shared" si="18"/>
        <v>Y</v>
      </c>
      <c r="C2333" s="18" t="s">
        <v>12337</v>
      </c>
      <c r="D2333" s="18"/>
      <c r="E2333" s="403" t="s">
        <v>12334</v>
      </c>
      <c r="F2333" s="19" t="s">
        <v>12335</v>
      </c>
      <c r="G2333" s="19" t="s">
        <v>12336</v>
      </c>
      <c r="H2333" s="20">
        <v>44680</v>
      </c>
      <c r="L2333">
        <v>8539080892</v>
      </c>
      <c r="N2333" s="16"/>
      <c r="O2333" s="7"/>
      <c r="P2333" s="17"/>
    </row>
    <row r="2334" spans="1:16" ht="14.25" customHeight="1">
      <c r="A2334" s="5" t="s">
        <v>0</v>
      </c>
      <c r="B2334" s="5" t="str">
        <f t="shared" si="18"/>
        <v>Y</v>
      </c>
      <c r="C2334" s="18" t="s">
        <v>12338</v>
      </c>
      <c r="D2334" s="18"/>
      <c r="E2334" s="404" t="s">
        <v>12339</v>
      </c>
      <c r="F2334" s="19" t="s">
        <v>12340</v>
      </c>
      <c r="G2334" s="19" t="s">
        <v>12341</v>
      </c>
      <c r="H2334" s="20">
        <v>44681</v>
      </c>
      <c r="L2334">
        <v>9470154622</v>
      </c>
      <c r="N2334" s="16"/>
      <c r="O2334" s="7"/>
      <c r="P2334" s="17"/>
    </row>
    <row r="2335" spans="1:16" ht="14.25" customHeight="1">
      <c r="A2335" s="5" t="s">
        <v>0</v>
      </c>
      <c r="B2335" s="5" t="str">
        <f t="shared" si="18"/>
        <v>Y</v>
      </c>
      <c r="C2335" s="18" t="s">
        <v>12488</v>
      </c>
      <c r="D2335" s="18"/>
      <c r="E2335" s="405" t="s">
        <v>12489</v>
      </c>
      <c r="F2335" s="19" t="s">
        <v>12490</v>
      </c>
      <c r="G2335" s="19" t="s">
        <v>12491</v>
      </c>
      <c r="H2335" s="20">
        <v>44683</v>
      </c>
      <c r="L2335">
        <v>8235430589</v>
      </c>
      <c r="N2335" s="16"/>
      <c r="O2335" s="7"/>
      <c r="P2335" s="17"/>
    </row>
    <row r="2336" spans="1:16" ht="14.25" customHeight="1">
      <c r="A2336" s="5" t="s">
        <v>0</v>
      </c>
      <c r="B2336" s="5" t="str">
        <f t="shared" si="18"/>
        <v>Y</v>
      </c>
      <c r="C2336" s="18" t="s">
        <v>12492</v>
      </c>
      <c r="D2336" s="18"/>
      <c r="E2336" s="406" t="s">
        <v>12493</v>
      </c>
      <c r="F2336" s="19" t="s">
        <v>4555</v>
      </c>
      <c r="G2336" s="19" t="s">
        <v>12491</v>
      </c>
      <c r="H2336" s="20">
        <v>44685</v>
      </c>
      <c r="L2336">
        <v>6207588490</v>
      </c>
      <c r="N2336" s="16"/>
      <c r="O2336" s="7"/>
      <c r="P2336" s="17"/>
    </row>
    <row r="2337" spans="1:16" ht="14.25" customHeight="1">
      <c r="A2337" s="5" t="s">
        <v>0</v>
      </c>
      <c r="B2337" s="5" t="str">
        <f t="shared" si="18"/>
        <v>Y</v>
      </c>
      <c r="C2337" s="18" t="s">
        <v>12494</v>
      </c>
      <c r="D2337" s="18"/>
      <c r="E2337" s="407" t="s">
        <v>12495</v>
      </c>
      <c r="F2337" s="19" t="s">
        <v>2420</v>
      </c>
      <c r="G2337" s="19" t="s">
        <v>12491</v>
      </c>
      <c r="H2337" s="20">
        <v>44683</v>
      </c>
      <c r="L2337">
        <v>8581836962</v>
      </c>
      <c r="N2337" s="16"/>
      <c r="O2337" s="7"/>
      <c r="P2337" s="17"/>
    </row>
    <row r="2338" spans="1:16" ht="14.25" customHeight="1">
      <c r="A2338" s="5" t="s">
        <v>0</v>
      </c>
      <c r="B2338" s="5" t="str">
        <f t="shared" si="18"/>
        <v>Y</v>
      </c>
      <c r="C2338" t="s">
        <v>12500</v>
      </c>
      <c r="E2338" s="409" t="s">
        <v>12501</v>
      </c>
      <c r="F2338" s="19" t="s">
        <v>12502</v>
      </c>
      <c r="G2338" s="19" t="s">
        <v>12503</v>
      </c>
      <c r="H2338" s="20">
        <v>44685</v>
      </c>
      <c r="K2338" t="s">
        <v>7138</v>
      </c>
      <c r="L2338">
        <v>8789147017</v>
      </c>
      <c r="N2338" s="16"/>
      <c r="O2338" s="7"/>
      <c r="P2338" s="17"/>
    </row>
    <row r="2339" spans="1:16" ht="14.25" customHeight="1">
      <c r="A2339" s="5" t="s">
        <v>0</v>
      </c>
      <c r="B2339" s="5" t="str">
        <f t="shared" si="18"/>
        <v>Y</v>
      </c>
      <c r="C2339" s="18" t="s">
        <v>12504</v>
      </c>
      <c r="D2339" s="18"/>
      <c r="E2339" s="410" t="s">
        <v>12505</v>
      </c>
      <c r="F2339" s="19" t="s">
        <v>2583</v>
      </c>
      <c r="G2339" s="19" t="s">
        <v>12506</v>
      </c>
      <c r="H2339" s="20">
        <v>44687</v>
      </c>
      <c r="K2339" t="s">
        <v>7138</v>
      </c>
      <c r="L2339">
        <v>9693859539</v>
      </c>
      <c r="N2339" s="16"/>
      <c r="O2339" s="7"/>
      <c r="P2339" s="17"/>
    </row>
    <row r="2340" spans="1:16" ht="14.25" customHeight="1">
      <c r="A2340" s="5" t="s">
        <v>0</v>
      </c>
      <c r="B2340" s="5" t="str">
        <f t="shared" si="18"/>
        <v>Y</v>
      </c>
      <c r="C2340" s="18" t="s">
        <v>12507</v>
      </c>
      <c r="D2340" s="18"/>
      <c r="E2340" s="411" t="s">
        <v>12508</v>
      </c>
      <c r="F2340" s="19" t="s">
        <v>12509</v>
      </c>
      <c r="G2340" s="19" t="s">
        <v>12510</v>
      </c>
      <c r="H2340" s="20">
        <v>44687</v>
      </c>
      <c r="L2340">
        <v>6025988928</v>
      </c>
      <c r="N2340" s="16"/>
      <c r="O2340" s="7"/>
      <c r="P2340" s="17"/>
    </row>
    <row r="2341" spans="1:16" ht="14.25" customHeight="1">
      <c r="A2341" s="5" t="s">
        <v>0</v>
      </c>
      <c r="B2341" s="5" t="str">
        <f t="shared" si="18"/>
        <v>Y</v>
      </c>
      <c r="C2341" s="18" t="s">
        <v>12511</v>
      </c>
      <c r="D2341" s="18"/>
      <c r="E2341" s="412" t="s">
        <v>12512</v>
      </c>
      <c r="F2341" s="19" t="s">
        <v>12513</v>
      </c>
      <c r="G2341" s="19" t="s">
        <v>12514</v>
      </c>
      <c r="H2341" s="20">
        <v>44690</v>
      </c>
      <c r="K2341" t="s">
        <v>7138</v>
      </c>
      <c r="L2341">
        <v>9540846631</v>
      </c>
      <c r="N2341" s="16"/>
      <c r="O2341" s="7"/>
      <c r="P2341" s="17"/>
    </row>
    <row r="2342" spans="1:16" ht="14.25" customHeight="1">
      <c r="A2342" s="5" t="s">
        <v>0</v>
      </c>
      <c r="B2342" s="5" t="str">
        <f t="shared" si="18"/>
        <v>Y</v>
      </c>
      <c r="C2342" s="18" t="s">
        <v>12515</v>
      </c>
      <c r="D2342" s="18"/>
      <c r="E2342" s="413" t="s">
        <v>12516</v>
      </c>
      <c r="F2342" s="19" t="s">
        <v>12517</v>
      </c>
      <c r="G2342" s="19" t="s">
        <v>12518</v>
      </c>
      <c r="H2342" s="20">
        <v>44691</v>
      </c>
      <c r="L2342">
        <v>8102699465</v>
      </c>
      <c r="N2342" s="16"/>
      <c r="O2342" s="7"/>
      <c r="P2342" s="17"/>
    </row>
    <row r="2343" spans="1:16" ht="14.25" customHeight="1">
      <c r="A2343" s="5" t="s">
        <v>0</v>
      </c>
      <c r="B2343" s="5" t="str">
        <f t="shared" si="18"/>
        <v>Y</v>
      </c>
      <c r="C2343" s="18" t="s">
        <v>12504</v>
      </c>
      <c r="D2343" s="18"/>
      <c r="E2343" s="414" t="s">
        <v>12505</v>
      </c>
      <c r="F2343" s="19" t="s">
        <v>2583</v>
      </c>
      <c r="G2343" s="19" t="s">
        <v>12520</v>
      </c>
      <c r="H2343" s="19" t="s">
        <v>12520</v>
      </c>
      <c r="L2343">
        <v>9693859539</v>
      </c>
      <c r="N2343" s="16"/>
      <c r="O2343" s="7"/>
      <c r="P2343" s="17"/>
    </row>
    <row r="2344" spans="1:16" ht="14.25" customHeight="1">
      <c r="A2344" s="5" t="s">
        <v>0</v>
      </c>
      <c r="B2344" s="5" t="str">
        <f t="shared" si="18"/>
        <v>Y</v>
      </c>
      <c r="C2344" s="18" t="s">
        <v>12522</v>
      </c>
      <c r="D2344" s="18"/>
      <c r="E2344" s="414" t="s">
        <v>12523</v>
      </c>
      <c r="F2344" s="19" t="s">
        <v>12521</v>
      </c>
      <c r="G2344" s="19" t="s">
        <v>12520</v>
      </c>
      <c r="H2344" s="19" t="s">
        <v>12520</v>
      </c>
      <c r="L2344">
        <v>8987579171</v>
      </c>
      <c r="N2344" s="16"/>
      <c r="O2344" s="7"/>
      <c r="P2344" s="17"/>
    </row>
    <row r="2345" spans="1:16" ht="14.25" customHeight="1">
      <c r="A2345" s="5" t="s">
        <v>0</v>
      </c>
      <c r="B2345" s="5" t="str">
        <f t="shared" si="18"/>
        <v>Y</v>
      </c>
      <c r="C2345" s="18" t="s">
        <v>12524</v>
      </c>
      <c r="D2345" s="18"/>
      <c r="E2345" s="414" t="s">
        <v>12525</v>
      </c>
      <c r="F2345" s="19" t="s">
        <v>7185</v>
      </c>
      <c r="G2345" s="19" t="s">
        <v>12520</v>
      </c>
      <c r="H2345" s="19" t="s">
        <v>12520</v>
      </c>
      <c r="L2345">
        <v>9905594438</v>
      </c>
      <c r="N2345" s="16"/>
      <c r="O2345" s="7"/>
      <c r="P2345" s="17"/>
    </row>
    <row r="2346" spans="1:16" ht="14.25" customHeight="1">
      <c r="A2346" s="5" t="s">
        <v>0</v>
      </c>
      <c r="B2346" s="5" t="str">
        <f t="shared" si="18"/>
        <v>Y</v>
      </c>
      <c r="C2346" s="18" t="s">
        <v>12526</v>
      </c>
      <c r="D2346" s="18"/>
      <c r="E2346" s="415" t="s">
        <v>12527</v>
      </c>
      <c r="F2346" s="19" t="s">
        <v>12528</v>
      </c>
      <c r="G2346" s="19" t="s">
        <v>12520</v>
      </c>
      <c r="H2346" s="19" t="s">
        <v>12520</v>
      </c>
      <c r="K2346" s="415" t="s">
        <v>7138</v>
      </c>
      <c r="L2346">
        <v>9504904399</v>
      </c>
      <c r="N2346" s="16"/>
      <c r="O2346" s="7"/>
      <c r="P2346" s="17"/>
    </row>
    <row r="2347" spans="1:16" ht="14.25" customHeight="1">
      <c r="A2347" s="5" t="s">
        <v>0</v>
      </c>
      <c r="B2347" s="5" t="str">
        <f t="shared" si="18"/>
        <v>Y</v>
      </c>
      <c r="C2347" s="18" t="s">
        <v>12532</v>
      </c>
      <c r="D2347" s="18"/>
      <c r="E2347" s="416" t="s">
        <v>12531</v>
      </c>
      <c r="F2347" s="19" t="s">
        <v>12533</v>
      </c>
      <c r="G2347" s="19" t="s">
        <v>12534</v>
      </c>
      <c r="H2347" s="20">
        <v>44693</v>
      </c>
      <c r="L2347">
        <v>8797739843</v>
      </c>
      <c r="N2347" s="16"/>
      <c r="O2347" s="7"/>
      <c r="P2347" s="17"/>
    </row>
    <row r="2348" spans="1:16" ht="14.25" customHeight="1">
      <c r="A2348" s="5" t="s">
        <v>0</v>
      </c>
      <c r="B2348" s="5" t="str">
        <f t="shared" si="18"/>
        <v>Y</v>
      </c>
      <c r="C2348" s="18" t="s">
        <v>12539</v>
      </c>
      <c r="D2348" s="18"/>
      <c r="E2348" s="417" t="s">
        <v>11676</v>
      </c>
      <c r="F2348" s="19" t="s">
        <v>12540</v>
      </c>
      <c r="G2348" s="19" t="s">
        <v>12538</v>
      </c>
      <c r="H2348" s="20">
        <v>44696</v>
      </c>
      <c r="L2348">
        <v>8797705090</v>
      </c>
      <c r="N2348" s="16"/>
      <c r="O2348" s="7"/>
      <c r="P2348" s="17"/>
    </row>
    <row r="2349" spans="1:16" ht="14.25" customHeight="1">
      <c r="A2349" s="5" t="s">
        <v>0</v>
      </c>
      <c r="B2349" s="5" t="str">
        <f t="shared" si="18"/>
        <v>Y</v>
      </c>
      <c r="C2349" s="18" t="s">
        <v>12535</v>
      </c>
      <c r="D2349" s="18"/>
      <c r="E2349" t="s">
        <v>12536</v>
      </c>
      <c r="F2349" s="19" t="s">
        <v>12537</v>
      </c>
      <c r="G2349" s="19" t="s">
        <v>12538</v>
      </c>
      <c r="H2349" s="20">
        <v>44696</v>
      </c>
      <c r="K2349" s="391"/>
      <c r="L2349">
        <v>8809202678</v>
      </c>
      <c r="N2349" s="16"/>
      <c r="O2349" s="7"/>
      <c r="P2349" s="17"/>
    </row>
    <row r="2350" spans="1:16" ht="14.25" customHeight="1">
      <c r="A2350" s="5" t="s">
        <v>0</v>
      </c>
      <c r="B2350" s="5" t="str">
        <f t="shared" si="18"/>
        <v>Y</v>
      </c>
      <c r="C2350" s="18" t="s">
        <v>12541</v>
      </c>
      <c r="D2350" s="18"/>
      <c r="E2350" s="417" t="s">
        <v>12542</v>
      </c>
      <c r="F2350" s="19" t="s">
        <v>5858</v>
      </c>
      <c r="G2350" s="19" t="s">
        <v>12543</v>
      </c>
      <c r="H2350" s="20">
        <v>44697</v>
      </c>
      <c r="L2350">
        <v>9905322403</v>
      </c>
      <c r="N2350" s="16"/>
      <c r="O2350" s="7"/>
      <c r="P2350" s="17"/>
    </row>
    <row r="2351" spans="1:16" ht="14.25" customHeight="1">
      <c r="A2351" s="5" t="s">
        <v>0</v>
      </c>
      <c r="B2351" s="5" t="str">
        <f t="shared" si="18"/>
        <v>Y</v>
      </c>
      <c r="C2351" s="18" t="s">
        <v>12544</v>
      </c>
      <c r="D2351" s="18"/>
      <c r="E2351" s="418" t="s">
        <v>1078</v>
      </c>
      <c r="F2351" s="19" t="s">
        <v>12545</v>
      </c>
      <c r="G2351" s="19" t="s">
        <v>12546</v>
      </c>
      <c r="H2351" s="20">
        <v>44699</v>
      </c>
      <c r="L2351">
        <v>9771002449</v>
      </c>
      <c r="N2351" s="16"/>
      <c r="O2351" s="7"/>
      <c r="P2351" s="17"/>
    </row>
    <row r="2352" spans="1:16" ht="14.25" customHeight="1">
      <c r="A2352" s="5" t="s">
        <v>0</v>
      </c>
      <c r="B2352" s="5" t="str">
        <f t="shared" si="18"/>
        <v>Y</v>
      </c>
      <c r="C2352" s="18" t="s">
        <v>12547</v>
      </c>
      <c r="D2352" s="18"/>
      <c r="E2352" s="419" t="s">
        <v>12548</v>
      </c>
      <c r="F2352" s="19" t="s">
        <v>12549</v>
      </c>
      <c r="G2352" s="19" t="s">
        <v>12546</v>
      </c>
      <c r="H2352" s="20">
        <v>44699</v>
      </c>
      <c r="L2352">
        <v>7295014961</v>
      </c>
      <c r="N2352" s="16"/>
      <c r="O2352" s="7"/>
      <c r="P2352" s="17"/>
    </row>
    <row r="2353" spans="1:16" ht="14.25" customHeight="1">
      <c r="A2353" s="5" t="s">
        <v>0</v>
      </c>
      <c r="B2353" s="5" t="str">
        <f t="shared" si="18"/>
        <v>Y</v>
      </c>
      <c r="C2353" s="18" t="s">
        <v>12550</v>
      </c>
      <c r="D2353" s="18"/>
      <c r="E2353" s="420" t="s">
        <v>12551</v>
      </c>
      <c r="F2353" s="19" t="s">
        <v>12552</v>
      </c>
      <c r="G2353" s="19" t="s">
        <v>12553</v>
      </c>
      <c r="H2353" s="20">
        <v>44701</v>
      </c>
      <c r="L2353">
        <v>9279250587</v>
      </c>
      <c r="N2353" s="16"/>
      <c r="O2353" s="7"/>
      <c r="P2353" s="17"/>
    </row>
    <row r="2354" spans="1:16" ht="14.25" customHeight="1">
      <c r="A2354" s="5" t="s">
        <v>0</v>
      </c>
      <c r="B2354" s="5" t="str">
        <f t="shared" si="18"/>
        <v>Y</v>
      </c>
      <c r="C2354" s="18" t="s">
        <v>12554</v>
      </c>
      <c r="D2354" s="18"/>
      <c r="E2354" s="421" t="s">
        <v>12555</v>
      </c>
      <c r="F2354" s="19" t="s">
        <v>12556</v>
      </c>
      <c r="G2354" s="19" t="s">
        <v>12557</v>
      </c>
      <c r="H2354" s="20">
        <v>44703</v>
      </c>
      <c r="L2354">
        <v>9031433143</v>
      </c>
      <c r="N2354" s="16"/>
      <c r="O2354" s="7"/>
      <c r="P2354" s="17"/>
    </row>
    <row r="2355" spans="1:16" ht="14.25" customHeight="1">
      <c r="A2355" s="5" t="s">
        <v>0</v>
      </c>
      <c r="B2355" s="5" t="str">
        <f t="shared" si="18"/>
        <v>Y</v>
      </c>
      <c r="C2355" s="18" t="s">
        <v>12558</v>
      </c>
      <c r="D2355" s="18"/>
      <c r="E2355" s="421" t="s">
        <v>12559</v>
      </c>
      <c r="F2355" s="19" t="s">
        <v>6443</v>
      </c>
      <c r="G2355" s="19" t="s">
        <v>12557</v>
      </c>
      <c r="H2355" s="20">
        <v>44703</v>
      </c>
      <c r="L2355">
        <v>8102600572</v>
      </c>
      <c r="N2355" s="16"/>
      <c r="O2355" s="7"/>
      <c r="P2355" s="17"/>
    </row>
    <row r="2356" spans="1:16" ht="14.25" customHeight="1">
      <c r="A2356" s="5" t="s">
        <v>0</v>
      </c>
      <c r="B2356" s="5" t="str">
        <f t="shared" si="18"/>
        <v>Y</v>
      </c>
      <c r="C2356" s="18" t="s">
        <v>12560</v>
      </c>
      <c r="D2356" s="18"/>
      <c r="E2356" s="421" t="s">
        <v>2088</v>
      </c>
      <c r="F2356" s="19" t="s">
        <v>12561</v>
      </c>
      <c r="G2356" s="19" t="s">
        <v>12562</v>
      </c>
      <c r="H2356" s="20">
        <v>45069</v>
      </c>
      <c r="L2356">
        <v>8789569504</v>
      </c>
      <c r="N2356" s="16"/>
      <c r="O2356" s="7"/>
      <c r="P2356" s="17"/>
    </row>
    <row r="2357" spans="1:16" ht="14.25" customHeight="1">
      <c r="A2357" s="5" t="s">
        <v>0</v>
      </c>
      <c r="B2357" s="5" t="str">
        <f t="shared" si="18"/>
        <v>Y</v>
      </c>
      <c r="C2357" s="18" t="s">
        <v>12563</v>
      </c>
      <c r="D2357" s="18"/>
      <c r="E2357" s="422" t="s">
        <v>12564</v>
      </c>
      <c r="F2357" s="19" t="s">
        <v>12565</v>
      </c>
      <c r="G2357" s="19" t="s">
        <v>12566</v>
      </c>
      <c r="H2357" s="20">
        <v>44705</v>
      </c>
      <c r="L2357">
        <v>8292116770</v>
      </c>
      <c r="N2357" s="16"/>
      <c r="O2357" s="7"/>
      <c r="P2357" s="17"/>
    </row>
    <row r="2358" spans="1:16" ht="14.25" customHeight="1">
      <c r="A2358" s="5" t="s">
        <v>0</v>
      </c>
      <c r="B2358" s="5" t="str">
        <f t="shared" ref="B2358" si="19">IF(H2358="","N","Y")</f>
        <v>Y</v>
      </c>
      <c r="C2358" s="18" t="s">
        <v>12567</v>
      </c>
      <c r="D2358" s="18"/>
      <c r="E2358" s="422" t="s">
        <v>12568</v>
      </c>
      <c r="F2358" s="19" t="s">
        <v>12569</v>
      </c>
      <c r="G2358" s="19" t="s">
        <v>12566</v>
      </c>
      <c r="H2358" s="20">
        <v>44705</v>
      </c>
      <c r="L2358">
        <v>9430735308</v>
      </c>
      <c r="N2358" s="16"/>
      <c r="O2358" s="7"/>
      <c r="P2358" s="17"/>
    </row>
    <row r="2359" spans="1:16" ht="14.25" customHeight="1">
      <c r="A2359" s="5" t="s">
        <v>0</v>
      </c>
      <c r="B2359" s="5" t="str">
        <f t="shared" si="18"/>
        <v>Y</v>
      </c>
      <c r="C2359" s="18" t="s">
        <v>12570</v>
      </c>
      <c r="D2359" s="18"/>
      <c r="E2359" s="422" t="s">
        <v>5598</v>
      </c>
      <c r="F2359" s="19" t="s">
        <v>12571</v>
      </c>
      <c r="G2359" s="19" t="s">
        <v>12572</v>
      </c>
      <c r="H2359" s="20">
        <v>44706</v>
      </c>
      <c r="L2359">
        <v>7295914524</v>
      </c>
      <c r="N2359" s="16"/>
      <c r="O2359" s="7"/>
      <c r="P2359" s="17"/>
    </row>
    <row r="2360" spans="1:16" ht="14.25" customHeight="1">
      <c r="A2360" s="5" t="s">
        <v>0</v>
      </c>
      <c r="B2360" s="5" t="str">
        <f t="shared" si="18"/>
        <v>Y</v>
      </c>
      <c r="C2360" s="18" t="s">
        <v>12573</v>
      </c>
      <c r="D2360" s="18"/>
      <c r="E2360" s="422" t="s">
        <v>12574</v>
      </c>
      <c r="F2360" s="19" t="s">
        <v>12575</v>
      </c>
      <c r="G2360" s="19" t="s">
        <v>12572</v>
      </c>
      <c r="H2360" s="20">
        <v>44706</v>
      </c>
      <c r="L2360">
        <v>8797589258</v>
      </c>
      <c r="N2360" s="16"/>
      <c r="O2360" s="7"/>
      <c r="P2360" s="17"/>
    </row>
    <row r="2361" spans="1:16" ht="14.25" customHeight="1">
      <c r="A2361" s="5" t="s">
        <v>0</v>
      </c>
      <c r="B2361" s="5" t="str">
        <f t="shared" si="18"/>
        <v>Y</v>
      </c>
      <c r="C2361" s="18" t="s">
        <v>12576</v>
      </c>
      <c r="D2361" s="18"/>
      <c r="E2361" s="422" t="s">
        <v>12577</v>
      </c>
      <c r="F2361" s="19" t="s">
        <v>12578</v>
      </c>
      <c r="G2361" s="19" t="s">
        <v>12572</v>
      </c>
      <c r="H2361" s="20">
        <v>44706</v>
      </c>
      <c r="L2361">
        <v>6205597726</v>
      </c>
      <c r="N2361" s="16"/>
      <c r="O2361" s="7"/>
      <c r="P2361" s="17"/>
    </row>
    <row r="2362" spans="1:16" ht="14.25" customHeight="1">
      <c r="A2362" s="5" t="s">
        <v>0</v>
      </c>
      <c r="B2362" s="5" t="str">
        <f t="shared" si="18"/>
        <v>Y</v>
      </c>
      <c r="C2362" s="18" t="s">
        <v>12580</v>
      </c>
      <c r="D2362" s="18"/>
      <c r="E2362" s="423" t="s">
        <v>12581</v>
      </c>
      <c r="F2362" s="19" t="s">
        <v>12582</v>
      </c>
      <c r="G2362" s="19" t="s">
        <v>12583</v>
      </c>
      <c r="H2362" s="20">
        <v>44708</v>
      </c>
      <c r="L2362">
        <v>8210479964</v>
      </c>
      <c r="N2362" s="16"/>
      <c r="O2362" s="7"/>
      <c r="P2362" s="17"/>
    </row>
    <row r="2363" spans="1:16" ht="14.25" customHeight="1">
      <c r="A2363" s="5" t="s">
        <v>0</v>
      </c>
      <c r="B2363" s="5" t="str">
        <f t="shared" si="18"/>
        <v>Y</v>
      </c>
      <c r="C2363" s="18" t="s">
        <v>12588</v>
      </c>
      <c r="D2363" s="18"/>
      <c r="E2363" s="424" t="s">
        <v>12584</v>
      </c>
      <c r="F2363" s="19" t="s">
        <v>12585</v>
      </c>
      <c r="G2363" s="19" t="s">
        <v>12590</v>
      </c>
      <c r="H2363" s="20">
        <v>44709</v>
      </c>
      <c r="L2363">
        <v>9708588342</v>
      </c>
      <c r="N2363" s="16"/>
      <c r="O2363" s="7"/>
      <c r="P2363" s="17"/>
    </row>
    <row r="2364" spans="1:16" ht="14.25" customHeight="1">
      <c r="A2364" s="5" t="s">
        <v>0</v>
      </c>
      <c r="B2364" s="5" t="str">
        <f t="shared" si="18"/>
        <v>Y</v>
      </c>
      <c r="C2364" s="18" t="s">
        <v>12589</v>
      </c>
      <c r="D2364" s="18"/>
      <c r="E2364" s="424" t="s">
        <v>12587</v>
      </c>
      <c r="F2364" s="19" t="s">
        <v>12586</v>
      </c>
      <c r="G2364" s="19" t="s">
        <v>12590</v>
      </c>
      <c r="H2364" s="20">
        <v>44709</v>
      </c>
      <c r="L2364">
        <v>9708588342</v>
      </c>
      <c r="N2364" s="16"/>
      <c r="O2364" s="7"/>
      <c r="P2364" s="17"/>
    </row>
    <row r="2365" spans="1:16" ht="14.25" customHeight="1">
      <c r="A2365" s="5" t="s">
        <v>0</v>
      </c>
      <c r="B2365" s="5" t="str">
        <f t="shared" si="18"/>
        <v>Y</v>
      </c>
      <c r="C2365" s="18" t="s">
        <v>12591</v>
      </c>
      <c r="D2365" s="18"/>
      <c r="E2365" s="425" t="s">
        <v>6611</v>
      </c>
      <c r="F2365" s="19" t="s">
        <v>12592</v>
      </c>
      <c r="G2365" s="19" t="s">
        <v>12590</v>
      </c>
      <c r="H2365" s="20">
        <v>44709</v>
      </c>
      <c r="L2365">
        <v>9304540858</v>
      </c>
      <c r="N2365" s="16"/>
      <c r="O2365" s="7"/>
      <c r="P2365" s="17"/>
    </row>
    <row r="2366" spans="1:16" ht="14.25" customHeight="1">
      <c r="A2366" s="5" t="s">
        <v>0</v>
      </c>
      <c r="B2366" s="5" t="str">
        <f t="shared" si="18"/>
        <v>Y</v>
      </c>
      <c r="C2366" s="18" t="s">
        <v>12593</v>
      </c>
      <c r="D2366" s="18"/>
      <c r="E2366" s="426" t="s">
        <v>12594</v>
      </c>
      <c r="F2366" s="19" t="s">
        <v>7045</v>
      </c>
      <c r="G2366" s="19" t="s">
        <v>12595</v>
      </c>
      <c r="H2366" s="20">
        <v>44710</v>
      </c>
      <c r="L2366">
        <v>6287749978</v>
      </c>
      <c r="N2366" s="16"/>
      <c r="O2366" s="7"/>
      <c r="P2366" s="17"/>
    </row>
    <row r="2367" spans="1:16" ht="14.25" customHeight="1">
      <c r="A2367" s="5" t="s">
        <v>0</v>
      </c>
      <c r="B2367" s="5" t="str">
        <f t="shared" si="18"/>
        <v>Y</v>
      </c>
      <c r="C2367" s="18" t="s">
        <v>12596</v>
      </c>
      <c r="D2367" s="18"/>
      <c r="E2367" s="427" t="s">
        <v>12597</v>
      </c>
      <c r="F2367" s="19" t="s">
        <v>2525</v>
      </c>
      <c r="G2367" s="19" t="s">
        <v>12598</v>
      </c>
      <c r="H2367" s="20">
        <v>44711</v>
      </c>
      <c r="N2367" s="16"/>
      <c r="O2367" s="7"/>
      <c r="P2367" s="17"/>
    </row>
    <row r="2368" spans="1:16" ht="14.25" customHeight="1">
      <c r="A2368" s="5" t="s">
        <v>0</v>
      </c>
      <c r="B2368" s="5" t="str">
        <f t="shared" si="18"/>
        <v>Y</v>
      </c>
      <c r="C2368" s="18" t="s">
        <v>12599</v>
      </c>
      <c r="D2368" s="18"/>
      <c r="E2368" s="429" t="s">
        <v>12600</v>
      </c>
      <c r="F2368" s="19" t="s">
        <v>12601</v>
      </c>
      <c r="G2368" s="19" t="s">
        <v>12602</v>
      </c>
      <c r="H2368" s="19" t="s">
        <v>12602</v>
      </c>
      <c r="J2368" s="19" t="s">
        <v>12614</v>
      </c>
      <c r="L2368">
        <v>8294448737</v>
      </c>
      <c r="N2368" s="16"/>
      <c r="O2368" s="7"/>
      <c r="P2368" s="17"/>
    </row>
    <row r="2369" spans="1:16" ht="14.25" customHeight="1">
      <c r="A2369" s="5" t="s">
        <v>0</v>
      </c>
      <c r="B2369" s="5" t="str">
        <f t="shared" si="18"/>
        <v>Y</v>
      </c>
      <c r="C2369" s="18" t="s">
        <v>12603</v>
      </c>
      <c r="D2369" s="18"/>
      <c r="E2369" s="430" t="s">
        <v>12604</v>
      </c>
      <c r="F2369" s="19" t="s">
        <v>12605</v>
      </c>
      <c r="G2369" s="19" t="s">
        <v>12606</v>
      </c>
      <c r="H2369" s="19" t="s">
        <v>12606</v>
      </c>
      <c r="L2369">
        <v>7079786513</v>
      </c>
      <c r="N2369" s="16"/>
      <c r="O2369" s="7"/>
      <c r="P2369" s="17"/>
    </row>
    <row r="2370" spans="1:16" ht="14.25" customHeight="1">
      <c r="A2370" s="5" t="s">
        <v>0</v>
      </c>
      <c r="B2370" s="5" t="str">
        <f t="shared" si="18"/>
        <v>Y</v>
      </c>
      <c r="C2370" s="18" t="s">
        <v>12609</v>
      </c>
      <c r="D2370" s="18"/>
      <c r="E2370" s="431" t="s">
        <v>12610</v>
      </c>
      <c r="F2370" s="19" t="s">
        <v>2525</v>
      </c>
      <c r="G2370" s="19" t="s">
        <v>12606</v>
      </c>
      <c r="H2370" s="19" t="s">
        <v>12606</v>
      </c>
      <c r="L2370">
        <v>9204389675</v>
      </c>
      <c r="N2370" s="16"/>
      <c r="O2370" s="7"/>
      <c r="P2370" s="17"/>
    </row>
    <row r="2371" spans="1:16" ht="14.25" customHeight="1">
      <c r="A2371" s="5" t="s">
        <v>0</v>
      </c>
      <c r="B2371" s="5" t="str">
        <f t="shared" si="18"/>
        <v>Y</v>
      </c>
      <c r="C2371" s="18" t="s">
        <v>12611</v>
      </c>
      <c r="D2371" s="18"/>
      <c r="E2371" s="432" t="s">
        <v>12612</v>
      </c>
      <c r="F2371" s="19" t="s">
        <v>12613</v>
      </c>
      <c r="G2371" s="19" t="s">
        <v>12606</v>
      </c>
      <c r="H2371" s="19" t="s">
        <v>12606</v>
      </c>
      <c r="L2371">
        <v>6372755041</v>
      </c>
      <c r="N2371" s="16"/>
      <c r="O2371" s="7"/>
      <c r="P2371" s="17"/>
    </row>
    <row r="2372" spans="1:16" ht="14.25" customHeight="1">
      <c r="A2372" s="434" t="s">
        <v>1</v>
      </c>
      <c r="B2372" s="434" t="str">
        <f t="shared" si="18"/>
        <v>Y</v>
      </c>
      <c r="C2372" s="18" t="s">
        <v>12620</v>
      </c>
      <c r="D2372" s="18"/>
      <c r="E2372" s="462" t="s">
        <v>1213</v>
      </c>
      <c r="F2372" s="19" t="s">
        <v>12618</v>
      </c>
      <c r="G2372" s="19" t="s">
        <v>12619</v>
      </c>
      <c r="H2372" s="19" t="s">
        <v>12619</v>
      </c>
      <c r="I2372" s="463"/>
      <c r="L2372">
        <v>9031723901</v>
      </c>
      <c r="N2372" s="16"/>
      <c r="O2372" s="7"/>
      <c r="P2372" s="17"/>
    </row>
    <row r="2373" spans="1:16" ht="14.25" customHeight="1">
      <c r="A2373" s="5" t="s">
        <v>0</v>
      </c>
      <c r="B2373" s="5" t="str">
        <f t="shared" si="18"/>
        <v>Y</v>
      </c>
      <c r="C2373" s="18" t="s">
        <v>12623</v>
      </c>
      <c r="D2373" s="18"/>
      <c r="E2373" s="437" t="s">
        <v>12621</v>
      </c>
      <c r="F2373" s="19" t="s">
        <v>6584</v>
      </c>
      <c r="G2373" s="19" t="s">
        <v>12622</v>
      </c>
      <c r="H2373" s="19" t="s">
        <v>12622</v>
      </c>
      <c r="L2373">
        <v>9263445537</v>
      </c>
      <c r="N2373" s="16"/>
      <c r="O2373" s="7"/>
      <c r="P2373" s="17"/>
    </row>
    <row r="2374" spans="1:16" ht="14.25" customHeight="1">
      <c r="A2374" s="5" t="s">
        <v>0</v>
      </c>
      <c r="B2374" s="5" t="str">
        <f t="shared" si="18"/>
        <v>Y</v>
      </c>
      <c r="C2374" s="18" t="s">
        <v>12625</v>
      </c>
      <c r="D2374" s="18"/>
      <c r="E2374" s="449" t="s">
        <v>12626</v>
      </c>
      <c r="F2374" s="19" t="s">
        <v>12627</v>
      </c>
      <c r="G2374" s="19" t="s">
        <v>12628</v>
      </c>
      <c r="H2374" s="19" t="s">
        <v>12628</v>
      </c>
      <c r="L2374">
        <v>6200494858</v>
      </c>
      <c r="N2374" s="16"/>
      <c r="O2374" s="7"/>
      <c r="P2374" s="17"/>
    </row>
    <row r="2375" spans="1:16" ht="14.25" customHeight="1">
      <c r="A2375" s="5" t="s">
        <v>0</v>
      </c>
      <c r="B2375" s="5" t="str">
        <f t="shared" si="18"/>
        <v>Y</v>
      </c>
      <c r="C2375" s="18" t="s">
        <v>12631</v>
      </c>
      <c r="D2375" s="18"/>
      <c r="E2375" s="449" t="s">
        <v>12629</v>
      </c>
      <c r="F2375" s="19" t="s">
        <v>12630</v>
      </c>
      <c r="G2375" s="19" t="s">
        <v>12628</v>
      </c>
      <c r="H2375" s="19" t="s">
        <v>12628</v>
      </c>
      <c r="L2375">
        <v>9135415936</v>
      </c>
      <c r="N2375" s="16"/>
      <c r="O2375" s="7"/>
      <c r="P2375" s="17"/>
    </row>
    <row r="2376" spans="1:16" ht="14.25" customHeight="1">
      <c r="A2376" s="5" t="s">
        <v>0</v>
      </c>
      <c r="B2376" s="5" t="str">
        <f t="shared" si="18"/>
        <v>Y</v>
      </c>
      <c r="C2376" s="18" t="s">
        <v>12634</v>
      </c>
      <c r="D2376" s="18"/>
      <c r="E2376" s="450" t="s">
        <v>12635</v>
      </c>
      <c r="F2376" s="451">
        <v>35797</v>
      </c>
      <c r="G2376" s="19" t="s">
        <v>12636</v>
      </c>
      <c r="H2376" s="19" t="s">
        <v>12637</v>
      </c>
      <c r="L2376">
        <v>6287877833</v>
      </c>
      <c r="N2376" s="16"/>
      <c r="O2376" s="7"/>
      <c r="P2376" s="17"/>
    </row>
    <row r="2377" spans="1:16" ht="14.25" customHeight="1">
      <c r="A2377" s="5" t="s">
        <v>0</v>
      </c>
      <c r="B2377" s="5" t="str">
        <f t="shared" si="18"/>
        <v>Y</v>
      </c>
      <c r="C2377" s="18" t="s">
        <v>12638</v>
      </c>
      <c r="D2377" s="18"/>
      <c r="E2377" s="461" t="s">
        <v>12667</v>
      </c>
      <c r="F2377" s="19" t="s">
        <v>12632</v>
      </c>
      <c r="G2377" s="19" t="s">
        <v>12637</v>
      </c>
      <c r="H2377" s="19" t="s">
        <v>12637</v>
      </c>
      <c r="L2377">
        <v>9931828453</v>
      </c>
      <c r="N2377" s="16"/>
      <c r="O2377" s="7"/>
      <c r="P2377" s="17"/>
    </row>
    <row r="2378" spans="1:16" ht="14.25" customHeight="1">
      <c r="A2378" s="5" t="s">
        <v>0</v>
      </c>
      <c r="B2378" s="5" t="str">
        <f t="shared" si="18"/>
        <v>Y</v>
      </c>
      <c r="C2378" s="18" t="s">
        <v>12639</v>
      </c>
      <c r="D2378" s="18"/>
      <c r="E2378" s="450" t="s">
        <v>12640</v>
      </c>
      <c r="F2378" s="19" t="s">
        <v>12641</v>
      </c>
      <c r="G2378" s="19" t="s">
        <v>12637</v>
      </c>
      <c r="H2378" s="19" t="s">
        <v>12637</v>
      </c>
      <c r="L2378">
        <v>7631036950</v>
      </c>
      <c r="N2378" s="16"/>
      <c r="O2378" s="7"/>
      <c r="P2378" s="17"/>
    </row>
    <row r="2379" spans="1:16" ht="14.25" customHeight="1">
      <c r="A2379" s="5" t="s">
        <v>0</v>
      </c>
      <c r="B2379" s="5" t="str">
        <f t="shared" si="18"/>
        <v>Y</v>
      </c>
      <c r="C2379" s="18" t="s">
        <v>12642</v>
      </c>
      <c r="D2379" s="18"/>
      <c r="E2379" s="452" t="s">
        <v>8121</v>
      </c>
      <c r="F2379" s="19" t="s">
        <v>12643</v>
      </c>
      <c r="G2379" s="19" t="s">
        <v>12644</v>
      </c>
      <c r="H2379" s="19" t="s">
        <v>12644</v>
      </c>
      <c r="L2379">
        <v>9709082054</v>
      </c>
      <c r="N2379" s="16"/>
      <c r="O2379" s="7"/>
      <c r="P2379" s="17"/>
    </row>
    <row r="2380" spans="1:16" ht="14.25" customHeight="1">
      <c r="A2380" s="5" t="s">
        <v>0</v>
      </c>
      <c r="B2380" s="5" t="str">
        <f t="shared" si="18"/>
        <v>Y</v>
      </c>
      <c r="C2380" s="18" t="s">
        <v>12645</v>
      </c>
      <c r="D2380" s="18"/>
      <c r="E2380" s="453" t="s">
        <v>2636</v>
      </c>
      <c r="F2380" s="19" t="s">
        <v>12646</v>
      </c>
      <c r="G2380" s="19" t="s">
        <v>12647</v>
      </c>
      <c r="H2380" s="19" t="s">
        <v>12647</v>
      </c>
      <c r="L2380">
        <v>7903170630</v>
      </c>
      <c r="N2380" s="16"/>
      <c r="O2380" s="7"/>
      <c r="P2380" s="17"/>
    </row>
    <row r="2381" spans="1:16" ht="14.25" customHeight="1">
      <c r="A2381" s="5" t="s">
        <v>0</v>
      </c>
      <c r="B2381" s="5" t="str">
        <f t="shared" si="18"/>
        <v>N</v>
      </c>
      <c r="C2381" s="18" t="s">
        <v>6143</v>
      </c>
      <c r="D2381" s="18"/>
      <c r="E2381" s="454" t="s">
        <v>6152</v>
      </c>
      <c r="F2381" s="19" t="s">
        <v>12649</v>
      </c>
      <c r="G2381" s="19"/>
      <c r="H2381" s="5"/>
      <c r="L2381">
        <v>9264202291</v>
      </c>
      <c r="N2381" s="16"/>
      <c r="O2381" s="7"/>
      <c r="P2381" s="17"/>
    </row>
    <row r="2382" spans="1:16" ht="14.25" customHeight="1">
      <c r="A2382" s="5" t="s">
        <v>0</v>
      </c>
      <c r="B2382" s="5" t="str">
        <f>IF(I2382="","N","Y")</f>
        <v>Y</v>
      </c>
      <c r="C2382" s="18" t="s">
        <v>12692</v>
      </c>
      <c r="D2382" s="18"/>
      <c r="E2382" s="454" t="s">
        <v>9268</v>
      </c>
      <c r="F2382" s="19" t="s">
        <v>12650</v>
      </c>
      <c r="G2382" s="19" t="s">
        <v>12654</v>
      </c>
      <c r="I2382" s="65" t="s">
        <v>12815</v>
      </c>
      <c r="J2382" s="499">
        <v>44744</v>
      </c>
      <c r="L2382">
        <v>9525543579</v>
      </c>
      <c r="N2382" s="16"/>
      <c r="O2382" s="7"/>
      <c r="P2382" s="17"/>
    </row>
    <row r="2383" spans="1:16" ht="14.25" customHeight="1">
      <c r="A2383" s="5" t="s">
        <v>0</v>
      </c>
      <c r="B2383" s="5" t="str">
        <f>IF(I2383="","N","Y")</f>
        <v>Y</v>
      </c>
      <c r="C2383" s="18" t="s">
        <v>12693</v>
      </c>
      <c r="D2383" s="18"/>
      <c r="E2383" s="454" t="s">
        <v>12652</v>
      </c>
      <c r="F2383" s="19" t="s">
        <v>12651</v>
      </c>
      <c r="G2383" s="19" t="s">
        <v>12654</v>
      </c>
      <c r="I2383" s="65" t="s">
        <v>12815</v>
      </c>
      <c r="J2383" s="499">
        <v>44744</v>
      </c>
      <c r="L2383">
        <v>8210274646</v>
      </c>
      <c r="N2383" s="16"/>
      <c r="O2383" s="7"/>
      <c r="P2383" s="17"/>
    </row>
    <row r="2384" spans="1:16" ht="14.25" customHeight="1">
      <c r="A2384" s="5" t="s">
        <v>0</v>
      </c>
      <c r="B2384" s="434" t="str">
        <f t="shared" ref="B2384:B2447" si="20">IF(H2384="","N","Y")</f>
        <v>Y</v>
      </c>
      <c r="C2384" s="455" t="s">
        <v>12712</v>
      </c>
      <c r="D2384" s="455"/>
      <c r="E2384" s="456" t="s">
        <v>12653</v>
      </c>
      <c r="F2384" s="460">
        <v>16803</v>
      </c>
      <c r="G2384" s="435" t="s">
        <v>12654</v>
      </c>
      <c r="H2384" s="600">
        <v>44726</v>
      </c>
      <c r="I2384" s="436"/>
      <c r="J2384" s="436"/>
      <c r="K2384" s="436"/>
      <c r="L2384" s="436">
        <v>9234950455</v>
      </c>
      <c r="M2384" s="436"/>
      <c r="N2384" s="16"/>
      <c r="O2384" s="7"/>
      <c r="P2384" s="17"/>
    </row>
    <row r="2385" spans="1:16" ht="14.25" customHeight="1">
      <c r="A2385" s="5" t="s">
        <v>0</v>
      </c>
      <c r="B2385" s="5" t="str">
        <f t="shared" si="20"/>
        <v>Y</v>
      </c>
      <c r="C2385" s="18" t="s">
        <v>12664</v>
      </c>
      <c r="D2385" s="18"/>
      <c r="E2385" s="454" t="s">
        <v>10328</v>
      </c>
      <c r="F2385" s="19" t="s">
        <v>12665</v>
      </c>
      <c r="G2385" s="19" t="s">
        <v>12654</v>
      </c>
      <c r="H2385" s="20">
        <v>44726</v>
      </c>
      <c r="L2385">
        <v>9955037555</v>
      </c>
      <c r="N2385" s="16"/>
      <c r="O2385" s="7"/>
      <c r="P2385" s="17"/>
    </row>
    <row r="2386" spans="1:16" ht="14.25" customHeight="1">
      <c r="A2386" s="5" t="s">
        <v>0</v>
      </c>
      <c r="B2386" s="5" t="str">
        <f t="shared" si="20"/>
        <v>Y</v>
      </c>
      <c r="C2386" s="18" t="s">
        <v>12666</v>
      </c>
      <c r="D2386" s="18"/>
      <c r="E2386" s="454" t="s">
        <v>12655</v>
      </c>
      <c r="F2386" s="19" t="s">
        <v>5133</v>
      </c>
      <c r="G2386" s="19" t="s">
        <v>12654</v>
      </c>
      <c r="H2386" s="20">
        <v>44726</v>
      </c>
      <c r="I2386" t="s">
        <v>7059</v>
      </c>
      <c r="L2386">
        <v>8210987790</v>
      </c>
      <c r="N2386" s="16"/>
      <c r="O2386" s="7"/>
      <c r="P2386" s="17"/>
    </row>
    <row r="2387" spans="1:16" ht="14.25" customHeight="1">
      <c r="A2387" s="5" t="s">
        <v>0</v>
      </c>
      <c r="B2387" s="5" t="str">
        <f>IF(I2387="","N","Y")</f>
        <v>Y</v>
      </c>
      <c r="C2387" s="18" t="s">
        <v>12691</v>
      </c>
      <c r="D2387" s="18"/>
      <c r="E2387" s="461" t="s">
        <v>12668</v>
      </c>
      <c r="F2387" s="19" t="s">
        <v>12669</v>
      </c>
      <c r="G2387" s="19" t="s">
        <v>12654</v>
      </c>
      <c r="I2387" s="65" t="s">
        <v>12815</v>
      </c>
      <c r="J2387" s="499">
        <v>44744</v>
      </c>
      <c r="L2387">
        <v>6431374015</v>
      </c>
      <c r="N2387" s="16"/>
      <c r="O2387" s="7"/>
      <c r="P2387" s="17"/>
    </row>
    <row r="2388" spans="1:16" ht="14.25" customHeight="1">
      <c r="A2388" s="5" t="s">
        <v>0</v>
      </c>
      <c r="B2388" s="5" t="str">
        <f t="shared" si="20"/>
        <v>Y</v>
      </c>
      <c r="C2388" s="464">
        <v>881036288839490</v>
      </c>
      <c r="D2388" s="464"/>
      <c r="E2388" s="465" t="s">
        <v>12670</v>
      </c>
      <c r="F2388" s="19"/>
      <c r="G2388" s="19" t="s">
        <v>12671</v>
      </c>
      <c r="H2388" s="20">
        <v>44727</v>
      </c>
      <c r="I2388" s="467" t="s">
        <v>12681</v>
      </c>
      <c r="J2388" t="s">
        <v>12772</v>
      </c>
      <c r="N2388" s="16"/>
      <c r="O2388" s="7"/>
      <c r="P2388" s="17"/>
    </row>
    <row r="2389" spans="1:16" ht="14.25" customHeight="1">
      <c r="A2389" s="5" t="s">
        <v>0</v>
      </c>
      <c r="B2389" s="5" t="str">
        <f t="shared" si="20"/>
        <v>N</v>
      </c>
      <c r="C2389" s="18" t="s">
        <v>12672</v>
      </c>
      <c r="D2389" s="18"/>
      <c r="E2389" s="465" t="s">
        <v>12673</v>
      </c>
      <c r="F2389" s="19" t="s">
        <v>12674</v>
      </c>
      <c r="G2389" s="19" t="s">
        <v>12671</v>
      </c>
      <c r="H2389" s="5"/>
      <c r="L2389">
        <v>7061141569</v>
      </c>
      <c r="N2389" s="16"/>
      <c r="O2389" s="7"/>
      <c r="P2389" s="17"/>
    </row>
    <row r="2390" spans="1:16" ht="14.25" customHeight="1">
      <c r="A2390" s="5" t="s">
        <v>0</v>
      </c>
      <c r="B2390" s="5" t="str">
        <f t="shared" si="20"/>
        <v>Y</v>
      </c>
      <c r="C2390" s="18" t="s">
        <v>12677</v>
      </c>
      <c r="D2390" s="18"/>
      <c r="E2390" s="467" t="s">
        <v>12678</v>
      </c>
      <c r="F2390" s="19" t="s">
        <v>12679</v>
      </c>
      <c r="G2390" s="19" t="s">
        <v>12680</v>
      </c>
      <c r="H2390" s="20">
        <v>44728</v>
      </c>
      <c r="I2390" s="467" t="s">
        <v>12681</v>
      </c>
      <c r="J2390" t="s">
        <v>12772</v>
      </c>
      <c r="L2390">
        <v>7294139995</v>
      </c>
      <c r="N2390" s="16"/>
      <c r="O2390" s="7"/>
      <c r="P2390" s="17"/>
    </row>
    <row r="2391" spans="1:16" ht="14.25" customHeight="1">
      <c r="A2391" s="5" t="s">
        <v>0</v>
      </c>
      <c r="B2391" s="5" t="str">
        <f t="shared" si="20"/>
        <v>Y</v>
      </c>
      <c r="C2391" s="18" t="s">
        <v>12685</v>
      </c>
      <c r="D2391" s="18"/>
      <c r="E2391" s="468" t="s">
        <v>12686</v>
      </c>
      <c r="F2391" s="19" t="s">
        <v>12601</v>
      </c>
      <c r="G2391" s="19" t="s">
        <v>12687</v>
      </c>
      <c r="H2391" s="20" t="s">
        <v>12702</v>
      </c>
      <c r="L2391">
        <v>6203982297</v>
      </c>
      <c r="N2391" s="16"/>
      <c r="O2391" s="7"/>
      <c r="P2391" s="17"/>
    </row>
    <row r="2392" spans="1:16" ht="14.25" customHeight="1">
      <c r="A2392" s="5" t="s">
        <v>0</v>
      </c>
      <c r="B2392" s="5" t="str">
        <f t="shared" si="20"/>
        <v>Y</v>
      </c>
      <c r="C2392" s="18" t="s">
        <v>12688</v>
      </c>
      <c r="D2392" s="18"/>
      <c r="E2392" s="468" t="s">
        <v>12689</v>
      </c>
      <c r="F2392" s="19" t="s">
        <v>12690</v>
      </c>
      <c r="G2392" s="19" t="s">
        <v>12687</v>
      </c>
      <c r="H2392" s="20" t="s">
        <v>12702</v>
      </c>
      <c r="L2392">
        <v>7488423659</v>
      </c>
      <c r="N2392" s="16"/>
      <c r="O2392" s="7"/>
      <c r="P2392" s="17"/>
    </row>
    <row r="2393" spans="1:16" ht="14.25" customHeight="1">
      <c r="A2393" s="5" t="s">
        <v>0</v>
      </c>
      <c r="B2393" s="5" t="str">
        <f t="shared" si="20"/>
        <v>Y</v>
      </c>
      <c r="C2393" s="18" t="s">
        <v>12698</v>
      </c>
      <c r="D2393" s="18"/>
      <c r="E2393" s="469" t="s">
        <v>12699</v>
      </c>
      <c r="F2393" s="19" t="s">
        <v>12700</v>
      </c>
      <c r="G2393" s="19" t="s">
        <v>12701</v>
      </c>
      <c r="H2393" s="20">
        <v>44731</v>
      </c>
      <c r="L2393">
        <v>9204018409</v>
      </c>
      <c r="N2393" s="16"/>
      <c r="O2393" s="7"/>
      <c r="P2393" s="17"/>
    </row>
    <row r="2394" spans="1:16" ht="14.25" customHeight="1">
      <c r="A2394" s="5" t="s">
        <v>0</v>
      </c>
      <c r="B2394" s="5" t="str">
        <f t="shared" si="20"/>
        <v>Y</v>
      </c>
      <c r="C2394" s="18" t="s">
        <v>12704</v>
      </c>
      <c r="D2394" s="18"/>
      <c r="E2394" s="470" t="s">
        <v>12703</v>
      </c>
      <c r="F2394" s="19" t="s">
        <v>12705</v>
      </c>
      <c r="G2394" s="19" t="s">
        <v>12687</v>
      </c>
      <c r="H2394" s="20">
        <v>44744</v>
      </c>
      <c r="L2394">
        <v>7077100712</v>
      </c>
      <c r="N2394" s="16"/>
      <c r="O2394" s="7"/>
      <c r="P2394" s="17"/>
    </row>
    <row r="2395" spans="1:16" ht="14.25" customHeight="1">
      <c r="A2395" s="5" t="s">
        <v>0</v>
      </c>
      <c r="B2395" s="5" t="str">
        <f t="shared" si="20"/>
        <v>Y</v>
      </c>
      <c r="C2395" s="18" t="s">
        <v>12709</v>
      </c>
      <c r="D2395" s="18"/>
      <c r="E2395" s="471" t="s">
        <v>12706</v>
      </c>
      <c r="F2395" s="19" t="s">
        <v>12707</v>
      </c>
      <c r="G2395" s="19" t="s">
        <v>12708</v>
      </c>
      <c r="H2395" s="20">
        <v>44732</v>
      </c>
      <c r="L2395">
        <v>7257992526</v>
      </c>
      <c r="N2395" s="16"/>
      <c r="O2395" s="7"/>
      <c r="P2395" s="17"/>
    </row>
    <row r="2396" spans="1:16" ht="14.25" customHeight="1">
      <c r="A2396" s="5" t="s">
        <v>0</v>
      </c>
      <c r="B2396" s="5" t="str">
        <f t="shared" si="20"/>
        <v>Y</v>
      </c>
      <c r="C2396" s="18" t="s">
        <v>12710</v>
      </c>
      <c r="D2396" s="18"/>
      <c r="E2396" s="471" t="s">
        <v>5361</v>
      </c>
      <c r="F2396" s="19" t="s">
        <v>12711</v>
      </c>
      <c r="G2396" s="19" t="s">
        <v>12708</v>
      </c>
      <c r="H2396" s="20">
        <v>44732</v>
      </c>
      <c r="L2396">
        <v>7209932800</v>
      </c>
      <c r="N2396" s="16"/>
      <c r="O2396" s="7"/>
      <c r="P2396" s="17"/>
    </row>
    <row r="2397" spans="1:16" ht="14.25" customHeight="1">
      <c r="A2397" s="5" t="s">
        <v>0</v>
      </c>
      <c r="B2397" s="5" t="str">
        <f t="shared" si="20"/>
        <v>Y</v>
      </c>
      <c r="C2397" s="18" t="s">
        <v>12718</v>
      </c>
      <c r="D2397" s="18"/>
      <c r="E2397" s="474" t="s">
        <v>12719</v>
      </c>
      <c r="F2397" s="19" t="s">
        <v>12537</v>
      </c>
      <c r="G2397" s="19" t="s">
        <v>12720</v>
      </c>
      <c r="H2397" s="19" t="s">
        <v>12720</v>
      </c>
      <c r="L2397">
        <v>8809202678</v>
      </c>
      <c r="N2397" s="16"/>
      <c r="O2397" s="7"/>
      <c r="P2397" s="17"/>
    </row>
    <row r="2398" spans="1:16" ht="14.25" customHeight="1">
      <c r="A2398" s="5" t="s">
        <v>0</v>
      </c>
      <c r="B2398" s="5" t="str">
        <f t="shared" si="20"/>
        <v>Y</v>
      </c>
      <c r="C2398" s="495" t="s">
        <v>12723</v>
      </c>
      <c r="D2398" s="495"/>
      <c r="E2398" s="496" t="s">
        <v>12722</v>
      </c>
      <c r="F2398" s="497" t="s">
        <v>12721</v>
      </c>
      <c r="G2398" s="497" t="s">
        <v>12720</v>
      </c>
      <c r="H2398" s="497" t="s">
        <v>12720</v>
      </c>
      <c r="I2398" s="496" t="s">
        <v>12885</v>
      </c>
      <c r="J2398" s="496"/>
      <c r="K2398" s="496"/>
      <c r="L2398" s="496">
        <v>7903095072</v>
      </c>
      <c r="N2398" s="16"/>
      <c r="O2398" s="7"/>
      <c r="P2398" s="17"/>
    </row>
    <row r="2399" spans="1:16" ht="14.25" customHeight="1">
      <c r="A2399" s="494" t="s">
        <v>0</v>
      </c>
      <c r="B2399" s="494" t="str">
        <f t="shared" si="20"/>
        <v>Y</v>
      </c>
      <c r="C2399" s="495" t="s">
        <v>12726</v>
      </c>
      <c r="D2399" s="495"/>
      <c r="E2399" s="496" t="s">
        <v>12727</v>
      </c>
      <c r="F2399" s="497" t="s">
        <v>12728</v>
      </c>
      <c r="G2399" s="497" t="s">
        <v>12729</v>
      </c>
      <c r="H2399" s="497" t="s">
        <v>12729</v>
      </c>
      <c r="I2399" s="496" t="s">
        <v>12808</v>
      </c>
      <c r="J2399" s="496"/>
      <c r="K2399" s="496"/>
      <c r="L2399" s="496">
        <v>7008218699</v>
      </c>
      <c r="N2399" s="16"/>
      <c r="O2399" s="7"/>
      <c r="P2399" s="17"/>
    </row>
    <row r="2400" spans="1:16" ht="14.25" customHeight="1">
      <c r="A2400" s="5" t="s">
        <v>0</v>
      </c>
      <c r="B2400" s="5" t="str">
        <f t="shared" si="20"/>
        <v>N</v>
      </c>
      <c r="C2400" s="18"/>
      <c r="D2400" s="18"/>
      <c r="E2400" s="475" t="s">
        <v>12730</v>
      </c>
      <c r="F2400" s="19" t="s">
        <v>12731</v>
      </c>
      <c r="G2400" s="19"/>
      <c r="H2400" s="5"/>
      <c r="L2400">
        <v>9709253717</v>
      </c>
      <c r="N2400" s="16"/>
      <c r="O2400" s="7"/>
      <c r="P2400" s="17"/>
    </row>
    <row r="2401" spans="1:16" ht="14.25" customHeight="1">
      <c r="A2401" s="5" t="s">
        <v>0</v>
      </c>
      <c r="B2401" s="5" t="str">
        <f t="shared" si="20"/>
        <v>Y</v>
      </c>
      <c r="C2401" s="18" t="s">
        <v>12734</v>
      </c>
      <c r="D2401" s="18"/>
      <c r="E2401" s="478" t="s">
        <v>12732</v>
      </c>
      <c r="F2401" s="19" t="s">
        <v>12733</v>
      </c>
      <c r="G2401" s="19" t="s">
        <v>12729</v>
      </c>
      <c r="H2401" s="20">
        <v>44734</v>
      </c>
      <c r="I2401" s="478" t="s">
        <v>12681</v>
      </c>
      <c r="J2401" s="65" t="s">
        <v>12816</v>
      </c>
      <c r="K2401" s="499">
        <v>44744</v>
      </c>
      <c r="L2401">
        <v>7631036950</v>
      </c>
      <c r="N2401" s="16"/>
      <c r="O2401" s="7"/>
      <c r="P2401" s="17"/>
    </row>
    <row r="2402" spans="1:16" ht="14.25" customHeight="1">
      <c r="A2402" s="5" t="s">
        <v>0</v>
      </c>
      <c r="B2402" s="5" t="str">
        <f t="shared" si="20"/>
        <v>N</v>
      </c>
      <c r="C2402" s="476" t="s">
        <v>12740</v>
      </c>
      <c r="D2402" s="476"/>
      <c r="E2402" s="479" t="s">
        <v>12741</v>
      </c>
      <c r="F2402" s="19" t="s">
        <v>12742</v>
      </c>
      <c r="G2402" s="19" t="s">
        <v>12743</v>
      </c>
      <c r="H2402" s="5"/>
      <c r="L2402">
        <v>7033287048</v>
      </c>
      <c r="N2402" s="16"/>
      <c r="O2402" s="7"/>
      <c r="P2402" s="17"/>
    </row>
    <row r="2403" spans="1:16" ht="14.25" customHeight="1">
      <c r="A2403" s="5" t="s">
        <v>0</v>
      </c>
      <c r="B2403" s="5" t="str">
        <f t="shared" si="20"/>
        <v>Y</v>
      </c>
      <c r="C2403" s="477" t="s">
        <v>12744</v>
      </c>
      <c r="D2403" s="477"/>
      <c r="E2403" s="480" t="s">
        <v>12745</v>
      </c>
      <c r="F2403" s="19" t="s">
        <v>12746</v>
      </c>
      <c r="G2403" s="19" t="s">
        <v>12747</v>
      </c>
      <c r="H2403" s="20">
        <v>44738</v>
      </c>
      <c r="L2403">
        <v>9534168330</v>
      </c>
      <c r="N2403" s="16"/>
      <c r="O2403" s="7"/>
      <c r="P2403" s="17"/>
    </row>
    <row r="2404" spans="1:16" ht="14.25" customHeight="1">
      <c r="A2404" s="5" t="s">
        <v>0</v>
      </c>
      <c r="B2404" s="5" t="str">
        <f t="shared" si="20"/>
        <v>Y</v>
      </c>
      <c r="C2404" s="477" t="s">
        <v>12748</v>
      </c>
      <c r="D2404" s="477"/>
      <c r="E2404" s="481" t="s">
        <v>12749</v>
      </c>
      <c r="F2404" s="19" t="s">
        <v>12750</v>
      </c>
      <c r="G2404" s="19" t="s">
        <v>12751</v>
      </c>
      <c r="H2404" s="20">
        <v>44739</v>
      </c>
      <c r="L2404">
        <v>9905171031</v>
      </c>
      <c r="N2404" s="16"/>
      <c r="O2404" s="7"/>
      <c r="P2404" s="17"/>
    </row>
    <row r="2405" spans="1:16" ht="14.25" customHeight="1">
      <c r="A2405" s="5" t="s">
        <v>0</v>
      </c>
      <c r="B2405" s="5" t="str">
        <f t="shared" si="20"/>
        <v>Y</v>
      </c>
      <c r="C2405" s="476" t="s">
        <v>12766</v>
      </c>
      <c r="D2405" s="476"/>
      <c r="E2405" s="491" t="s">
        <v>12767</v>
      </c>
      <c r="F2405" s="19" t="s">
        <v>12768</v>
      </c>
      <c r="G2405" s="19" t="s">
        <v>12769</v>
      </c>
      <c r="H2405" s="20">
        <v>44741</v>
      </c>
      <c r="L2405">
        <v>8797741034</v>
      </c>
      <c r="N2405" s="16"/>
      <c r="O2405" s="7"/>
      <c r="P2405" s="17"/>
    </row>
    <row r="2406" spans="1:16" ht="14.25" customHeight="1">
      <c r="A2406" s="5" t="s">
        <v>0</v>
      </c>
      <c r="B2406" s="5" t="str">
        <f t="shared" si="20"/>
        <v>Y</v>
      </c>
      <c r="C2406" s="476" t="s">
        <v>12770</v>
      </c>
      <c r="D2406" s="476"/>
      <c r="E2406" s="491" t="s">
        <v>12765</v>
      </c>
      <c r="F2406" s="19" t="s">
        <v>12771</v>
      </c>
      <c r="G2406" s="19" t="s">
        <v>12769</v>
      </c>
      <c r="H2406" s="20">
        <v>44741</v>
      </c>
      <c r="L2406">
        <v>9905408913</v>
      </c>
      <c r="N2406" s="16"/>
      <c r="O2406" s="7"/>
      <c r="P2406" s="17"/>
    </row>
    <row r="2407" spans="1:16" ht="14.25" customHeight="1">
      <c r="A2407" s="5" t="s">
        <v>0</v>
      </c>
      <c r="B2407" s="5" t="str">
        <f t="shared" si="20"/>
        <v>Y</v>
      </c>
      <c r="C2407" s="476" t="s">
        <v>12773</v>
      </c>
      <c r="D2407" s="476"/>
      <c r="E2407" s="491" t="s">
        <v>2190</v>
      </c>
      <c r="F2407" s="19" t="s">
        <v>12774</v>
      </c>
      <c r="G2407" s="19" t="s">
        <v>12775</v>
      </c>
      <c r="H2407" s="20">
        <v>44742</v>
      </c>
      <c r="L2407">
        <v>8789587330</v>
      </c>
      <c r="N2407" s="16"/>
      <c r="O2407" s="7"/>
      <c r="P2407" s="17"/>
    </row>
    <row r="2408" spans="1:16" ht="14.25" customHeight="1">
      <c r="A2408" s="5" t="s">
        <v>0</v>
      </c>
      <c r="B2408" s="5" t="str">
        <f t="shared" si="20"/>
        <v>Y</v>
      </c>
      <c r="C2408" s="476" t="s">
        <v>12776</v>
      </c>
      <c r="D2408" s="476"/>
      <c r="E2408" s="491" t="s">
        <v>12777</v>
      </c>
      <c r="F2408" s="19" t="s">
        <v>12778</v>
      </c>
      <c r="G2408" s="19" t="s">
        <v>12775</v>
      </c>
      <c r="H2408" s="20">
        <v>44742</v>
      </c>
      <c r="L2408">
        <v>8709866299</v>
      </c>
      <c r="N2408" s="16"/>
      <c r="O2408" s="7"/>
      <c r="P2408" s="17"/>
    </row>
    <row r="2409" spans="1:16" ht="14.25" customHeight="1">
      <c r="A2409" s="5" t="s">
        <v>0</v>
      </c>
      <c r="B2409" s="5" t="str">
        <f t="shared" si="20"/>
        <v>Y</v>
      </c>
      <c r="C2409" s="476" t="s">
        <v>12782</v>
      </c>
      <c r="D2409" s="476"/>
      <c r="E2409" s="491" t="s">
        <v>12784</v>
      </c>
      <c r="F2409" s="19" t="s">
        <v>12783</v>
      </c>
      <c r="G2409" s="19" t="s">
        <v>12775</v>
      </c>
      <c r="H2409" s="19" t="s">
        <v>12775</v>
      </c>
      <c r="L2409">
        <v>8092215523</v>
      </c>
      <c r="N2409" s="16"/>
      <c r="O2409" s="7"/>
      <c r="P2409" s="17"/>
    </row>
    <row r="2410" spans="1:16" ht="14.25" customHeight="1">
      <c r="A2410" s="5" t="s">
        <v>0</v>
      </c>
      <c r="B2410" s="5" t="str">
        <f t="shared" si="20"/>
        <v>Y</v>
      </c>
      <c r="C2410" s="476" t="s">
        <v>12791</v>
      </c>
      <c r="D2410" s="476"/>
      <c r="E2410" s="491" t="s">
        <v>12785</v>
      </c>
      <c r="F2410" s="19" t="s">
        <v>12786</v>
      </c>
      <c r="G2410" s="19" t="s">
        <v>12775</v>
      </c>
      <c r="H2410" s="20">
        <v>44743</v>
      </c>
      <c r="L2410">
        <v>8434104984</v>
      </c>
      <c r="N2410" s="16"/>
      <c r="O2410" s="7"/>
      <c r="P2410" s="17"/>
    </row>
    <row r="2411" spans="1:16" ht="14.25" customHeight="1">
      <c r="A2411" s="5" t="s">
        <v>0</v>
      </c>
      <c r="B2411" s="5" t="str">
        <f t="shared" si="20"/>
        <v>Y</v>
      </c>
      <c r="C2411" s="476" t="s">
        <v>12792</v>
      </c>
      <c r="D2411" s="476"/>
      <c r="E2411" s="493" t="s">
        <v>3586</v>
      </c>
      <c r="F2411" s="19" t="s">
        <v>12793</v>
      </c>
      <c r="G2411" s="19" t="s">
        <v>12794</v>
      </c>
      <c r="H2411" s="20">
        <v>44743</v>
      </c>
      <c r="L2411">
        <v>8709581482</v>
      </c>
      <c r="N2411" s="16"/>
      <c r="O2411" s="7"/>
      <c r="P2411" s="17"/>
    </row>
    <row r="2412" spans="1:16" ht="14.25" customHeight="1">
      <c r="A2412" s="5" t="s">
        <v>0</v>
      </c>
      <c r="B2412" s="5" t="str">
        <f t="shared" si="20"/>
        <v>Y</v>
      </c>
      <c r="C2412" s="476" t="s">
        <v>12795</v>
      </c>
      <c r="D2412" s="476"/>
      <c r="E2412" s="493" t="s">
        <v>12796</v>
      </c>
      <c r="F2412" s="19" t="s">
        <v>5332</v>
      </c>
      <c r="G2412" s="19" t="s">
        <v>12794</v>
      </c>
      <c r="H2412" s="20">
        <v>44743</v>
      </c>
      <c r="L2412">
        <v>9693728457</v>
      </c>
      <c r="N2412" s="16"/>
      <c r="O2412" s="7"/>
      <c r="P2412" s="17"/>
    </row>
    <row r="2413" spans="1:16" ht="14.25" customHeight="1">
      <c r="A2413" s="5" t="s">
        <v>0</v>
      </c>
      <c r="B2413" s="5" t="str">
        <f t="shared" si="20"/>
        <v>Y</v>
      </c>
      <c r="C2413" s="476" t="s">
        <v>12797</v>
      </c>
      <c r="D2413" s="476"/>
      <c r="E2413" s="493" t="s">
        <v>12798</v>
      </c>
      <c r="F2413" s="19" t="s">
        <v>12799</v>
      </c>
      <c r="G2413" s="19" t="s">
        <v>12794</v>
      </c>
      <c r="H2413" s="20">
        <v>44743</v>
      </c>
      <c r="L2413">
        <v>9123265217</v>
      </c>
      <c r="N2413" s="16"/>
      <c r="O2413" s="7"/>
      <c r="P2413" s="17"/>
    </row>
    <row r="2414" spans="1:16" ht="14.25" customHeight="1">
      <c r="A2414" s="5" t="s">
        <v>0</v>
      </c>
      <c r="B2414" s="5" t="str">
        <f t="shared" si="20"/>
        <v>Y</v>
      </c>
      <c r="C2414" s="476" t="s">
        <v>12806</v>
      </c>
      <c r="D2414" s="476"/>
      <c r="E2414" t="s">
        <v>12803</v>
      </c>
      <c r="F2414" s="19" t="s">
        <v>12804</v>
      </c>
      <c r="G2414" s="19" t="s">
        <v>12794</v>
      </c>
      <c r="H2414" s="19" t="s">
        <v>12805</v>
      </c>
      <c r="L2414">
        <v>8539086878</v>
      </c>
      <c r="N2414" s="16"/>
      <c r="O2414" s="7"/>
      <c r="P2414" s="17"/>
    </row>
    <row r="2415" spans="1:16" ht="14.25" customHeight="1">
      <c r="A2415" s="5" t="s">
        <v>0</v>
      </c>
      <c r="B2415" s="5" t="str">
        <f t="shared" si="20"/>
        <v>Y</v>
      </c>
      <c r="C2415" s="476" t="s">
        <v>12807</v>
      </c>
      <c r="D2415" s="476"/>
      <c r="E2415" t="s">
        <v>3394</v>
      </c>
      <c r="F2415" s="19" t="s">
        <v>3395</v>
      </c>
      <c r="G2415" s="19" t="s">
        <v>12794</v>
      </c>
      <c r="H2415" s="19" t="s">
        <v>12805</v>
      </c>
      <c r="L2415">
        <v>9709202101</v>
      </c>
      <c r="N2415" s="16"/>
      <c r="O2415" s="7"/>
      <c r="P2415" s="17"/>
    </row>
    <row r="2416" spans="1:16" ht="14.25" customHeight="1">
      <c r="A2416" s="5" t="s">
        <v>0</v>
      </c>
      <c r="B2416" s="5" t="str">
        <f t="shared" si="20"/>
        <v>Y</v>
      </c>
      <c r="C2416" s="18" t="s">
        <v>12813</v>
      </c>
      <c r="D2416" s="18"/>
      <c r="E2416" t="s">
        <v>12176</v>
      </c>
      <c r="F2416" s="19" t="s">
        <v>12812</v>
      </c>
      <c r="G2416" s="19" t="s">
        <v>12805</v>
      </c>
      <c r="H2416" s="20">
        <v>44744</v>
      </c>
      <c r="I2416" t="s">
        <v>12814</v>
      </c>
      <c r="L2416">
        <v>9852391148</v>
      </c>
      <c r="N2416" s="16"/>
      <c r="O2416" s="7"/>
      <c r="P2416" s="17"/>
    </row>
    <row r="2417" spans="1:16" ht="14.25" customHeight="1">
      <c r="A2417" s="5" t="s">
        <v>0</v>
      </c>
      <c r="B2417" s="5" t="str">
        <f t="shared" si="20"/>
        <v>Y</v>
      </c>
      <c r="C2417" s="476" t="s">
        <v>12817</v>
      </c>
      <c r="D2417" s="476"/>
      <c r="E2417" t="s">
        <v>12818</v>
      </c>
      <c r="F2417" s="19" t="s">
        <v>12819</v>
      </c>
      <c r="G2417" s="19" t="s">
        <v>12820</v>
      </c>
      <c r="H2417" s="20">
        <v>44745</v>
      </c>
      <c r="L2417">
        <v>6205885977</v>
      </c>
      <c r="N2417" s="16"/>
      <c r="O2417" s="7"/>
      <c r="P2417" s="17"/>
    </row>
    <row r="2418" spans="1:16" ht="14.25" customHeight="1">
      <c r="A2418" s="5" t="s">
        <v>0</v>
      </c>
      <c r="B2418" s="5" t="str">
        <f t="shared" si="20"/>
        <v>Y</v>
      </c>
      <c r="C2418" s="476" t="s">
        <v>12828</v>
      </c>
      <c r="D2418" s="476"/>
      <c r="E2418" t="s">
        <v>12829</v>
      </c>
      <c r="F2418" s="19" t="s">
        <v>12830</v>
      </c>
      <c r="G2418" s="19" t="s">
        <v>12831</v>
      </c>
      <c r="H2418" s="19" t="s">
        <v>12831</v>
      </c>
      <c r="L2418">
        <v>9960924795</v>
      </c>
      <c r="N2418" s="16"/>
      <c r="O2418" s="7"/>
      <c r="P2418" s="17"/>
    </row>
    <row r="2419" spans="1:16" ht="14.25" customHeight="1">
      <c r="A2419" s="5" t="s">
        <v>0</v>
      </c>
      <c r="B2419" s="5" t="str">
        <f t="shared" si="20"/>
        <v>Y</v>
      </c>
      <c r="C2419" s="18" t="s">
        <v>12832</v>
      </c>
      <c r="D2419" s="18"/>
      <c r="E2419" t="s">
        <v>12833</v>
      </c>
      <c r="F2419" s="19" t="s">
        <v>12835</v>
      </c>
      <c r="G2419" s="19" t="s">
        <v>12834</v>
      </c>
      <c r="H2419" s="19" t="s">
        <v>12834</v>
      </c>
      <c r="L2419">
        <v>9835932956</v>
      </c>
      <c r="N2419" s="16"/>
      <c r="O2419" s="7"/>
      <c r="P2419" s="17"/>
    </row>
    <row r="2420" spans="1:16" ht="14.25" customHeight="1">
      <c r="A2420" s="5" t="s">
        <v>0</v>
      </c>
      <c r="B2420" s="5" t="str">
        <f t="shared" si="20"/>
        <v>Y</v>
      </c>
      <c r="C2420" s="18" t="s">
        <v>12836</v>
      </c>
      <c r="D2420" s="18"/>
      <c r="E2420" s="506" t="s">
        <v>12837</v>
      </c>
      <c r="F2420" s="19" t="s">
        <v>12838</v>
      </c>
      <c r="G2420" s="19" t="s">
        <v>12834</v>
      </c>
      <c r="H2420" s="20">
        <v>44749</v>
      </c>
      <c r="L2420">
        <v>6202090809</v>
      </c>
      <c r="N2420" s="16"/>
      <c r="O2420" s="7"/>
      <c r="P2420" s="17"/>
    </row>
    <row r="2421" spans="1:16" ht="14.25" customHeight="1">
      <c r="A2421" s="5" t="s">
        <v>0</v>
      </c>
      <c r="B2421" s="5" t="str">
        <f t="shared" si="20"/>
        <v>Y</v>
      </c>
      <c r="C2421" s="18" t="s">
        <v>12839</v>
      </c>
      <c r="D2421" s="18"/>
      <c r="E2421" s="507" t="s">
        <v>12840</v>
      </c>
      <c r="F2421" s="19" t="s">
        <v>12841</v>
      </c>
      <c r="G2421" s="19" t="s">
        <v>12842</v>
      </c>
      <c r="H2421" s="19" t="s">
        <v>12842</v>
      </c>
      <c r="L2421">
        <v>7632026945</v>
      </c>
      <c r="N2421" s="16"/>
      <c r="O2421" s="7"/>
      <c r="P2421" s="17"/>
    </row>
    <row r="2422" spans="1:16" ht="14.25" customHeight="1">
      <c r="A2422" s="5" t="s">
        <v>0</v>
      </c>
      <c r="B2422" s="5" t="str">
        <f t="shared" si="20"/>
        <v>Y</v>
      </c>
      <c r="C2422" s="18" t="s">
        <v>12843</v>
      </c>
      <c r="D2422" s="18"/>
      <c r="E2422" s="507" t="s">
        <v>12844</v>
      </c>
      <c r="F2422" s="19" t="s">
        <v>12845</v>
      </c>
      <c r="G2422" s="19" t="s">
        <v>12842</v>
      </c>
      <c r="H2422" s="19" t="s">
        <v>12842</v>
      </c>
      <c r="L2422">
        <v>7979738994</v>
      </c>
      <c r="N2422" s="16"/>
      <c r="O2422" s="7"/>
      <c r="P2422" s="17"/>
    </row>
    <row r="2423" spans="1:16" ht="14.25" customHeight="1">
      <c r="A2423" s="5" t="s">
        <v>0</v>
      </c>
      <c r="B2423" s="5" t="str">
        <f t="shared" si="20"/>
        <v>Y</v>
      </c>
      <c r="C2423" s="18" t="s">
        <v>12847</v>
      </c>
      <c r="D2423" s="18"/>
      <c r="E2423" s="509" t="s">
        <v>12848</v>
      </c>
      <c r="F2423" s="19" t="s">
        <v>12849</v>
      </c>
      <c r="G2423" s="19" t="s">
        <v>12842</v>
      </c>
      <c r="H2423" s="20">
        <v>44751</v>
      </c>
      <c r="L2423">
        <v>7004499156</v>
      </c>
      <c r="N2423" s="16"/>
      <c r="O2423" s="7"/>
      <c r="P2423" s="17"/>
    </row>
    <row r="2424" spans="1:16" ht="14.25" customHeight="1">
      <c r="A2424" s="5" t="s">
        <v>0</v>
      </c>
      <c r="B2424" s="5" t="str">
        <f t="shared" si="20"/>
        <v>Y</v>
      </c>
      <c r="C2424" s="18" t="s">
        <v>12692</v>
      </c>
      <c r="D2424" s="18"/>
      <c r="E2424" s="510" t="s">
        <v>2528</v>
      </c>
      <c r="F2424" s="19" t="s">
        <v>12850</v>
      </c>
      <c r="G2424" s="19" t="s">
        <v>12853</v>
      </c>
      <c r="H2424" s="20">
        <v>44751</v>
      </c>
      <c r="I2424" t="s">
        <v>12851</v>
      </c>
      <c r="L2424">
        <v>7061979825</v>
      </c>
      <c r="M2424" t="s">
        <v>12852</v>
      </c>
      <c r="N2424" s="16"/>
      <c r="O2424" s="7"/>
      <c r="P2424" s="17"/>
    </row>
    <row r="2425" spans="1:16" ht="14.25" customHeight="1">
      <c r="A2425" s="5" t="s">
        <v>0</v>
      </c>
      <c r="B2425" s="5" t="str">
        <f t="shared" si="20"/>
        <v>Y</v>
      </c>
      <c r="C2425" s="18" t="s">
        <v>12854</v>
      </c>
      <c r="D2425" s="18"/>
      <c r="E2425" s="511" t="s">
        <v>3537</v>
      </c>
      <c r="F2425" s="19" t="s">
        <v>12855</v>
      </c>
      <c r="G2425" s="19" t="s">
        <v>12856</v>
      </c>
      <c r="H2425" s="20">
        <v>44753</v>
      </c>
      <c r="L2425">
        <v>8789189448</v>
      </c>
      <c r="N2425" s="16"/>
      <c r="O2425" s="7"/>
      <c r="P2425" s="17"/>
    </row>
    <row r="2426" spans="1:16" ht="14.25" customHeight="1">
      <c r="A2426" s="5" t="s">
        <v>0</v>
      </c>
      <c r="B2426" s="5" t="str">
        <f t="shared" si="20"/>
        <v>Y</v>
      </c>
      <c r="C2426" s="18" t="s">
        <v>12859</v>
      </c>
      <c r="D2426" s="18"/>
      <c r="E2426" s="513" t="s">
        <v>12860</v>
      </c>
      <c r="F2426" s="19" t="s">
        <v>12861</v>
      </c>
      <c r="G2426" s="19" t="s">
        <v>12861</v>
      </c>
      <c r="H2426" s="19" t="s">
        <v>12861</v>
      </c>
      <c r="L2426">
        <v>7667474506</v>
      </c>
      <c r="N2426" s="16"/>
      <c r="O2426" s="7"/>
      <c r="P2426" s="17"/>
    </row>
    <row r="2427" spans="1:16" ht="14.25" customHeight="1">
      <c r="A2427" s="5" t="s">
        <v>0</v>
      </c>
      <c r="B2427" s="5" t="str">
        <f t="shared" si="20"/>
        <v>Y</v>
      </c>
      <c r="C2427" s="18" t="s">
        <v>12870</v>
      </c>
      <c r="D2427" s="18"/>
      <c r="E2427" s="515" t="s">
        <v>12871</v>
      </c>
      <c r="F2427" s="19" t="s">
        <v>12872</v>
      </c>
      <c r="G2427" s="19" t="s">
        <v>12873</v>
      </c>
      <c r="H2427" s="19" t="s">
        <v>12873</v>
      </c>
      <c r="L2427">
        <v>6204821642</v>
      </c>
      <c r="N2427" s="16"/>
      <c r="O2427" s="7"/>
      <c r="P2427" s="17"/>
    </row>
    <row r="2428" spans="1:16" ht="14.25" customHeight="1">
      <c r="A2428" s="5" t="s">
        <v>0</v>
      </c>
      <c r="B2428" s="5" t="str">
        <f t="shared" si="20"/>
        <v>Y</v>
      </c>
      <c r="C2428" s="18" t="s">
        <v>12875</v>
      </c>
      <c r="D2428" s="18"/>
      <c r="E2428" s="515" t="s">
        <v>3841</v>
      </c>
      <c r="F2428" s="19" t="s">
        <v>12874</v>
      </c>
      <c r="G2428" s="19" t="s">
        <v>12873</v>
      </c>
      <c r="H2428" s="19" t="s">
        <v>12873</v>
      </c>
      <c r="L2428">
        <v>7480987422</v>
      </c>
      <c r="N2428" s="16"/>
      <c r="O2428" s="7"/>
      <c r="P2428" s="17"/>
    </row>
    <row r="2429" spans="1:16" ht="14.25" customHeight="1">
      <c r="A2429" s="5" t="s">
        <v>0</v>
      </c>
      <c r="B2429" s="5" t="str">
        <f t="shared" si="20"/>
        <v>Y</v>
      </c>
      <c r="C2429" s="18" t="s">
        <v>12876</v>
      </c>
      <c r="D2429" s="18"/>
      <c r="E2429" s="516" t="s">
        <v>12877</v>
      </c>
      <c r="F2429" s="19" t="s">
        <v>12878</v>
      </c>
      <c r="G2429" s="19" t="s">
        <v>12879</v>
      </c>
      <c r="H2429" s="19" t="s">
        <v>12879</v>
      </c>
      <c r="L2429">
        <v>7209980122</v>
      </c>
      <c r="N2429" s="16"/>
      <c r="O2429" s="7"/>
      <c r="P2429" s="17"/>
    </row>
    <row r="2430" spans="1:16" ht="14.25" customHeight="1">
      <c r="A2430" s="5" t="s">
        <v>0</v>
      </c>
      <c r="B2430" s="5" t="str">
        <f t="shared" si="20"/>
        <v>Y</v>
      </c>
      <c r="C2430" s="18" t="s">
        <v>12881</v>
      </c>
      <c r="D2430" s="18"/>
      <c r="E2430" s="517" t="s">
        <v>12882</v>
      </c>
      <c r="F2430" s="19" t="s">
        <v>12883</v>
      </c>
      <c r="G2430" s="19" t="s">
        <v>12884</v>
      </c>
      <c r="H2430" s="19" t="s">
        <v>12884</v>
      </c>
      <c r="L2430">
        <v>7079200424</v>
      </c>
      <c r="N2430" s="16"/>
      <c r="O2430" s="7"/>
      <c r="P2430" s="17"/>
    </row>
    <row r="2431" spans="1:16" ht="14.25" customHeight="1">
      <c r="A2431" s="5" t="s">
        <v>0</v>
      </c>
      <c r="B2431" s="5" t="str">
        <f t="shared" si="20"/>
        <v>Y</v>
      </c>
      <c r="C2431" s="18" t="s">
        <v>12886</v>
      </c>
      <c r="D2431" s="18"/>
      <c r="E2431" s="517" t="s">
        <v>12887</v>
      </c>
      <c r="F2431" s="19" t="s">
        <v>12888</v>
      </c>
      <c r="G2431" s="19" t="s">
        <v>12884</v>
      </c>
      <c r="H2431" s="19" t="s">
        <v>12884</v>
      </c>
      <c r="L2431">
        <v>8825141379</v>
      </c>
      <c r="N2431" s="16"/>
      <c r="O2431" s="7"/>
      <c r="P2431" s="17"/>
    </row>
    <row r="2432" spans="1:16" ht="14.25" customHeight="1">
      <c r="A2432" s="5" t="s">
        <v>0</v>
      </c>
      <c r="B2432" s="5" t="str">
        <f t="shared" si="20"/>
        <v>Y</v>
      </c>
      <c r="C2432" s="18" t="s">
        <v>12902</v>
      </c>
      <c r="D2432" s="18"/>
      <c r="E2432" s="519" t="s">
        <v>12901</v>
      </c>
      <c r="F2432" s="19" t="s">
        <v>12903</v>
      </c>
      <c r="G2432" s="19" t="s">
        <v>12904</v>
      </c>
      <c r="H2432" s="19" t="s">
        <v>12904</v>
      </c>
      <c r="L2432">
        <v>6207231017</v>
      </c>
      <c r="N2432" s="16"/>
      <c r="O2432" s="7"/>
      <c r="P2432" s="17"/>
    </row>
    <row r="2433" spans="1:16" ht="14.25" customHeight="1">
      <c r="A2433" s="5" t="s">
        <v>0</v>
      </c>
      <c r="B2433" s="5" t="str">
        <f t="shared" si="20"/>
        <v>Y</v>
      </c>
      <c r="C2433" s="18" t="s">
        <v>12906</v>
      </c>
      <c r="D2433" s="18"/>
      <c r="E2433" s="519" t="s">
        <v>12905</v>
      </c>
      <c r="F2433" s="19" t="s">
        <v>12903</v>
      </c>
      <c r="G2433" s="19" t="s">
        <v>12904</v>
      </c>
      <c r="H2433" s="19" t="s">
        <v>12904</v>
      </c>
      <c r="L2433">
        <v>6207231017</v>
      </c>
      <c r="N2433" s="16"/>
      <c r="O2433" s="7"/>
      <c r="P2433" s="17"/>
    </row>
    <row r="2434" spans="1:16" ht="14.25" customHeight="1">
      <c r="A2434" s="5" t="s">
        <v>0</v>
      </c>
      <c r="B2434" s="5" t="str">
        <f t="shared" si="20"/>
        <v>Y</v>
      </c>
      <c r="C2434" s="18" t="s">
        <v>12907</v>
      </c>
      <c r="D2434" s="18"/>
      <c r="E2434" s="519" t="s">
        <v>12908</v>
      </c>
      <c r="F2434" s="19" t="s">
        <v>12909</v>
      </c>
      <c r="G2434" s="19" t="s">
        <v>12904</v>
      </c>
      <c r="H2434" s="19" t="s">
        <v>12904</v>
      </c>
      <c r="L2434">
        <v>9546262171</v>
      </c>
      <c r="N2434" s="16"/>
      <c r="O2434" s="7"/>
      <c r="P2434" s="17"/>
    </row>
    <row r="2435" spans="1:16" ht="14.25" customHeight="1">
      <c r="A2435" s="5" t="s">
        <v>0</v>
      </c>
      <c r="B2435" s="5" t="str">
        <f t="shared" si="20"/>
        <v>Y</v>
      </c>
      <c r="C2435" s="18" t="s">
        <v>12912</v>
      </c>
      <c r="D2435" s="18"/>
      <c r="E2435" s="519" t="s">
        <v>12911</v>
      </c>
      <c r="F2435" s="19" t="s">
        <v>12910</v>
      </c>
      <c r="G2435" s="19" t="s">
        <v>12904</v>
      </c>
      <c r="H2435" s="19" t="s">
        <v>12904</v>
      </c>
      <c r="L2435">
        <v>8797022852</v>
      </c>
      <c r="N2435" s="16"/>
      <c r="O2435" s="7"/>
      <c r="P2435" s="17"/>
    </row>
    <row r="2436" spans="1:16" ht="14.25" customHeight="1">
      <c r="A2436" s="5" t="s">
        <v>0</v>
      </c>
      <c r="B2436" s="5" t="str">
        <f t="shared" si="20"/>
        <v>Y</v>
      </c>
      <c r="C2436" s="18" t="s">
        <v>12913</v>
      </c>
      <c r="D2436" s="18"/>
      <c r="E2436" s="519" t="s">
        <v>12914</v>
      </c>
      <c r="F2436" s="19" t="s">
        <v>12915</v>
      </c>
      <c r="G2436" s="19" t="s">
        <v>12904</v>
      </c>
      <c r="H2436" s="19" t="s">
        <v>12904</v>
      </c>
      <c r="L2436">
        <v>6206925891</v>
      </c>
      <c r="N2436" s="16"/>
      <c r="O2436" s="7"/>
      <c r="P2436" s="17"/>
    </row>
    <row r="2437" spans="1:16" ht="14.25" customHeight="1">
      <c r="A2437" s="5" t="s">
        <v>0</v>
      </c>
      <c r="B2437" s="5" t="str">
        <f t="shared" si="20"/>
        <v>Y</v>
      </c>
      <c r="C2437" s="18" t="s">
        <v>12918</v>
      </c>
      <c r="D2437" s="18"/>
      <c r="E2437" s="520" t="s">
        <v>12919</v>
      </c>
      <c r="F2437" s="19" t="s">
        <v>12920</v>
      </c>
      <c r="G2437" s="19" t="s">
        <v>12921</v>
      </c>
      <c r="H2437" s="19" t="s">
        <v>12921</v>
      </c>
      <c r="L2437">
        <v>7645971013</v>
      </c>
      <c r="N2437" s="16"/>
      <c r="O2437" s="7"/>
      <c r="P2437" s="17"/>
    </row>
    <row r="2438" spans="1:16" ht="14.25" customHeight="1">
      <c r="A2438" s="5" t="s">
        <v>0</v>
      </c>
      <c r="B2438" s="5" t="str">
        <f t="shared" si="20"/>
        <v>Y</v>
      </c>
      <c r="C2438" s="18" t="s">
        <v>12922</v>
      </c>
      <c r="D2438" s="18"/>
      <c r="E2438" s="520" t="s">
        <v>12923</v>
      </c>
      <c r="F2438" s="19" t="s">
        <v>12924</v>
      </c>
      <c r="G2438" s="19" t="s">
        <v>12921</v>
      </c>
      <c r="H2438" s="19" t="s">
        <v>12921</v>
      </c>
      <c r="L2438">
        <v>8235442291</v>
      </c>
      <c r="N2438" s="16"/>
      <c r="O2438" s="7"/>
      <c r="P2438" s="17"/>
    </row>
    <row r="2439" spans="1:16" ht="14.25" customHeight="1">
      <c r="A2439" s="5" t="s">
        <v>0</v>
      </c>
      <c r="B2439" s="5" t="str">
        <f t="shared" si="20"/>
        <v>Y</v>
      </c>
      <c r="C2439" s="18" t="s">
        <v>12926</v>
      </c>
      <c r="D2439" s="18"/>
      <c r="E2439" s="520" t="s">
        <v>12927</v>
      </c>
      <c r="F2439" s="19" t="s">
        <v>12925</v>
      </c>
      <c r="G2439" s="19" t="s">
        <v>12921</v>
      </c>
      <c r="H2439" s="19" t="s">
        <v>12921</v>
      </c>
      <c r="L2439">
        <v>7493969202</v>
      </c>
      <c r="N2439" s="16"/>
      <c r="O2439" s="7"/>
      <c r="P2439" s="17"/>
    </row>
    <row r="2440" spans="1:16" ht="14.25" customHeight="1">
      <c r="A2440" s="5" t="s">
        <v>0</v>
      </c>
      <c r="B2440" s="5" t="str">
        <f t="shared" si="20"/>
        <v>Y</v>
      </c>
      <c r="C2440" s="18" t="s">
        <v>12928</v>
      </c>
      <c r="D2440" s="18"/>
      <c r="E2440" s="520" t="s">
        <v>12929</v>
      </c>
      <c r="F2440" s="19" t="s">
        <v>12930</v>
      </c>
      <c r="G2440" s="19" t="s">
        <v>12921</v>
      </c>
      <c r="H2440" s="19" t="s">
        <v>12921</v>
      </c>
      <c r="L2440">
        <v>7033533868</v>
      </c>
      <c r="N2440" s="16"/>
      <c r="O2440" s="7"/>
      <c r="P2440" s="17"/>
    </row>
    <row r="2441" spans="1:16" ht="14.25" customHeight="1">
      <c r="A2441" s="5" t="s">
        <v>0</v>
      </c>
      <c r="B2441" s="5" t="str">
        <f t="shared" si="20"/>
        <v>Y</v>
      </c>
      <c r="C2441" s="18" t="s">
        <v>12931</v>
      </c>
      <c r="D2441" s="18"/>
      <c r="E2441" s="520" t="s">
        <v>12932</v>
      </c>
      <c r="F2441" s="19" t="s">
        <v>12933</v>
      </c>
      <c r="G2441" s="19" t="s">
        <v>12921</v>
      </c>
      <c r="H2441" s="19" t="s">
        <v>12921</v>
      </c>
      <c r="L2441">
        <v>9162518427</v>
      </c>
      <c r="N2441" s="16"/>
      <c r="O2441" s="7"/>
      <c r="P2441" s="17"/>
    </row>
    <row r="2442" spans="1:16" ht="14.25" customHeight="1">
      <c r="A2442" s="5" t="s">
        <v>0</v>
      </c>
      <c r="B2442" s="5" t="str">
        <f t="shared" si="20"/>
        <v>Y</v>
      </c>
      <c r="C2442" s="18" t="s">
        <v>12934</v>
      </c>
      <c r="D2442" s="18"/>
      <c r="E2442" s="520" t="s">
        <v>12935</v>
      </c>
      <c r="F2442" s="19" t="s">
        <v>12936</v>
      </c>
      <c r="G2442" s="19" t="s">
        <v>12921</v>
      </c>
      <c r="H2442" s="19" t="s">
        <v>12921</v>
      </c>
      <c r="L2442">
        <v>8092612623</v>
      </c>
      <c r="N2442" s="16"/>
      <c r="O2442" s="7"/>
      <c r="P2442" s="17"/>
    </row>
    <row r="2443" spans="1:16" ht="14.25" customHeight="1">
      <c r="A2443" s="5" t="s">
        <v>0</v>
      </c>
      <c r="B2443" s="5" t="str">
        <f t="shared" si="20"/>
        <v>Y</v>
      </c>
      <c r="C2443" s="18" t="s">
        <v>12945</v>
      </c>
      <c r="D2443" s="18"/>
      <c r="E2443" s="524" t="s">
        <v>12946</v>
      </c>
      <c r="F2443" s="19" t="s">
        <v>12947</v>
      </c>
      <c r="G2443" s="19" t="s">
        <v>12948</v>
      </c>
      <c r="H2443" s="20">
        <v>44765</v>
      </c>
      <c r="L2443">
        <v>9031212369</v>
      </c>
      <c r="N2443" s="16"/>
      <c r="O2443" s="7"/>
      <c r="P2443" s="17"/>
    </row>
    <row r="2444" spans="1:16" ht="14.25" customHeight="1">
      <c r="A2444" s="5" t="s">
        <v>0</v>
      </c>
      <c r="B2444" s="5" t="str">
        <f t="shared" si="20"/>
        <v>Y</v>
      </c>
      <c r="C2444" s="18" t="s">
        <v>12949</v>
      </c>
      <c r="D2444" s="18"/>
      <c r="E2444" s="524" t="s">
        <v>12950</v>
      </c>
      <c r="F2444" s="19" t="s">
        <v>12951</v>
      </c>
      <c r="G2444" s="19" t="s">
        <v>12948</v>
      </c>
      <c r="H2444" s="20">
        <v>44765</v>
      </c>
      <c r="L2444">
        <v>9304769459</v>
      </c>
      <c r="N2444" s="16"/>
      <c r="O2444" s="7"/>
      <c r="P2444" s="17"/>
    </row>
    <row r="2445" spans="1:16" ht="14.25" customHeight="1">
      <c r="A2445" s="5" t="s">
        <v>0</v>
      </c>
      <c r="B2445" s="5" t="str">
        <f t="shared" si="20"/>
        <v>Y</v>
      </c>
      <c r="C2445" s="18" t="s">
        <v>12955</v>
      </c>
      <c r="D2445" s="18"/>
      <c r="E2445" s="525" t="s">
        <v>12956</v>
      </c>
      <c r="F2445" s="19" t="s">
        <v>12957</v>
      </c>
      <c r="G2445" s="19" t="s">
        <v>12948</v>
      </c>
      <c r="H2445" s="20">
        <v>44765</v>
      </c>
      <c r="L2445">
        <v>7261812342</v>
      </c>
      <c r="N2445" s="16"/>
      <c r="O2445" s="7"/>
      <c r="P2445" s="17"/>
    </row>
    <row r="2446" spans="1:16" ht="14.25" customHeight="1">
      <c r="A2446" s="5" t="s">
        <v>0</v>
      </c>
      <c r="B2446" s="5" t="str">
        <f t="shared" si="20"/>
        <v>Y</v>
      </c>
      <c r="C2446" s="18" t="s">
        <v>12960</v>
      </c>
      <c r="D2446" s="18"/>
      <c r="E2446" s="525" t="s">
        <v>12958</v>
      </c>
      <c r="F2446" s="19" t="s">
        <v>12959</v>
      </c>
      <c r="G2446" s="19" t="s">
        <v>12948</v>
      </c>
      <c r="H2446" s="20">
        <v>44768</v>
      </c>
      <c r="L2446">
        <v>7250980141</v>
      </c>
      <c r="N2446" s="16"/>
      <c r="O2446" s="7"/>
      <c r="P2446" s="17"/>
    </row>
    <row r="2447" spans="1:16" ht="14.25" customHeight="1">
      <c r="A2447" s="5" t="s">
        <v>0</v>
      </c>
      <c r="B2447" s="5" t="str">
        <f t="shared" si="20"/>
        <v>Y</v>
      </c>
      <c r="C2447" s="18" t="s">
        <v>12962</v>
      </c>
      <c r="D2447" s="18"/>
      <c r="E2447" s="526" t="s">
        <v>12963</v>
      </c>
      <c r="F2447" s="19" t="s">
        <v>12964</v>
      </c>
      <c r="G2447" s="19" t="s">
        <v>12965</v>
      </c>
      <c r="H2447" s="19" t="s">
        <v>12965</v>
      </c>
      <c r="L2447">
        <v>8877044383</v>
      </c>
      <c r="N2447" s="16"/>
      <c r="O2447" s="7"/>
      <c r="P2447" s="17"/>
    </row>
    <row r="2448" spans="1:16" ht="15" customHeight="1">
      <c r="A2448" s="5" t="s">
        <v>0</v>
      </c>
      <c r="B2448" s="5" t="str">
        <f t="shared" ref="B2448" si="21">IF(H2448="","N","Y")</f>
        <v>Y</v>
      </c>
      <c r="C2448" s="18" t="s">
        <v>12984</v>
      </c>
      <c r="D2448" s="18"/>
      <c r="E2448" s="529" t="s">
        <v>12985</v>
      </c>
      <c r="F2448" s="451">
        <v>35454</v>
      </c>
      <c r="G2448" s="386">
        <v>44768</v>
      </c>
      <c r="H2448" s="386">
        <v>44768</v>
      </c>
      <c r="L2448">
        <v>8235282393</v>
      </c>
    </row>
    <row r="2449" spans="1:12" ht="15" customHeight="1">
      <c r="A2449" s="5" t="s">
        <v>0</v>
      </c>
      <c r="B2449" s="5" t="str">
        <f t="shared" ref="B2449:B2453" si="22">IF(H2449="","N","Y")</f>
        <v>Y</v>
      </c>
      <c r="C2449" s="18" t="s">
        <v>13008</v>
      </c>
      <c r="D2449" s="18"/>
      <c r="E2449" s="532" t="s">
        <v>3995</v>
      </c>
      <c r="F2449" s="451">
        <v>32014</v>
      </c>
      <c r="G2449" s="386">
        <v>44769</v>
      </c>
      <c r="H2449" s="386">
        <v>44769</v>
      </c>
      <c r="L2449">
        <v>9113120575</v>
      </c>
    </row>
    <row r="2450" spans="1:12" ht="15" customHeight="1">
      <c r="A2450" s="5" t="s">
        <v>0</v>
      </c>
      <c r="B2450" s="5" t="str">
        <f t="shared" si="22"/>
        <v>Y</v>
      </c>
      <c r="C2450" s="18" t="s">
        <v>13009</v>
      </c>
      <c r="D2450" s="18"/>
      <c r="E2450" s="532" t="s">
        <v>13010</v>
      </c>
      <c r="F2450" s="451">
        <v>37887</v>
      </c>
      <c r="G2450" s="386">
        <v>44769</v>
      </c>
      <c r="H2450" s="386">
        <v>44769</v>
      </c>
      <c r="L2450">
        <v>8603865392</v>
      </c>
    </row>
    <row r="2451" spans="1:12" ht="15" customHeight="1">
      <c r="A2451" s="5" t="s">
        <v>0</v>
      </c>
      <c r="B2451" s="5" t="str">
        <f t="shared" si="22"/>
        <v>Y</v>
      </c>
      <c r="C2451" s="18" t="s">
        <v>13011</v>
      </c>
      <c r="D2451" s="18"/>
      <c r="E2451" s="532" t="s">
        <v>13012</v>
      </c>
      <c r="F2451" s="451">
        <v>37821</v>
      </c>
      <c r="G2451" s="386">
        <v>44769</v>
      </c>
      <c r="H2451" s="386">
        <v>44769</v>
      </c>
      <c r="L2451">
        <v>9142823992</v>
      </c>
    </row>
    <row r="2452" spans="1:12" ht="15" customHeight="1">
      <c r="A2452" s="5" t="s">
        <v>0</v>
      </c>
      <c r="B2452" s="5" t="str">
        <f t="shared" si="22"/>
        <v>Y</v>
      </c>
      <c r="C2452" s="18" t="s">
        <v>13013</v>
      </c>
      <c r="D2452" s="18"/>
      <c r="E2452" s="532" t="s">
        <v>13014</v>
      </c>
      <c r="F2452" s="451">
        <v>38049</v>
      </c>
      <c r="G2452" s="386">
        <v>44769</v>
      </c>
      <c r="H2452" s="386">
        <v>44769</v>
      </c>
      <c r="L2452">
        <v>9031721398</v>
      </c>
    </row>
    <row r="2453" spans="1:12" ht="15" customHeight="1">
      <c r="A2453" s="5" t="s">
        <v>0</v>
      </c>
      <c r="B2453" s="5" t="str">
        <f t="shared" si="22"/>
        <v>Y</v>
      </c>
      <c r="C2453" s="18" t="s">
        <v>13036</v>
      </c>
      <c r="D2453" s="18"/>
      <c r="E2453" s="536" t="s">
        <v>13037</v>
      </c>
      <c r="F2453" s="451">
        <v>26130</v>
      </c>
      <c r="G2453" s="386">
        <v>44771</v>
      </c>
      <c r="H2453" s="386">
        <v>44771</v>
      </c>
      <c r="L2453">
        <v>7209482417</v>
      </c>
    </row>
    <row r="2454" spans="1:12" ht="15" customHeight="1">
      <c r="A2454" s="5" t="s">
        <v>0</v>
      </c>
      <c r="B2454" s="5" t="str">
        <f t="shared" ref="B2454:B2479" si="23">IF(H2454="","N","Y")</f>
        <v>Y</v>
      </c>
      <c r="C2454" s="18" t="s">
        <v>13038</v>
      </c>
      <c r="D2454" s="18"/>
      <c r="E2454" s="536" t="s">
        <v>13039</v>
      </c>
      <c r="F2454" s="451">
        <v>28365</v>
      </c>
      <c r="G2454" s="386">
        <v>44771</v>
      </c>
      <c r="H2454" s="386">
        <v>44771</v>
      </c>
      <c r="L2454">
        <v>9771219893</v>
      </c>
    </row>
    <row r="2455" spans="1:12" ht="15" customHeight="1">
      <c r="A2455" s="5" t="s">
        <v>0</v>
      </c>
      <c r="B2455" s="5" t="str">
        <f t="shared" si="23"/>
        <v>Y</v>
      </c>
      <c r="C2455" s="18" t="s">
        <v>13040</v>
      </c>
      <c r="D2455" s="18"/>
      <c r="E2455" s="536" t="s">
        <v>13041</v>
      </c>
      <c r="F2455" s="451">
        <v>37978</v>
      </c>
      <c r="G2455" s="386">
        <v>44771</v>
      </c>
      <c r="H2455" s="386">
        <v>44771</v>
      </c>
      <c r="L2455">
        <v>7633972778</v>
      </c>
    </row>
    <row r="2456" spans="1:12" ht="15" customHeight="1">
      <c r="A2456" s="5" t="s">
        <v>0</v>
      </c>
      <c r="B2456" s="5" t="str">
        <f t="shared" si="23"/>
        <v>Y</v>
      </c>
      <c r="C2456" s="18" t="s">
        <v>13049</v>
      </c>
      <c r="D2456" s="18"/>
      <c r="E2456" s="537" t="s">
        <v>7265</v>
      </c>
      <c r="F2456" s="451">
        <v>37808</v>
      </c>
      <c r="G2456" s="386">
        <v>44772</v>
      </c>
      <c r="H2456" s="386">
        <v>44773</v>
      </c>
      <c r="L2456">
        <v>7859884062</v>
      </c>
    </row>
    <row r="2457" spans="1:12" ht="15" customHeight="1">
      <c r="A2457" s="5" t="s">
        <v>0</v>
      </c>
      <c r="B2457" s="5" t="str">
        <f t="shared" si="23"/>
        <v>Y</v>
      </c>
      <c r="C2457" s="18" t="s">
        <v>13071</v>
      </c>
      <c r="D2457" s="18"/>
      <c r="E2457" s="540" t="s">
        <v>7019</v>
      </c>
      <c r="F2457" s="451">
        <v>24141</v>
      </c>
      <c r="G2457" s="386">
        <v>44776</v>
      </c>
      <c r="H2457" s="386">
        <v>44776</v>
      </c>
      <c r="L2457">
        <v>7091596028</v>
      </c>
    </row>
    <row r="2458" spans="1:12" ht="15" customHeight="1">
      <c r="A2458" s="5" t="s">
        <v>0</v>
      </c>
      <c r="B2458" s="5" t="str">
        <f t="shared" si="23"/>
        <v>Y</v>
      </c>
      <c r="C2458" s="18" t="s">
        <v>13073</v>
      </c>
      <c r="D2458" s="18"/>
      <c r="E2458" s="541" t="s">
        <v>13074</v>
      </c>
      <c r="F2458" s="451">
        <v>31612</v>
      </c>
      <c r="G2458" s="386">
        <v>44776</v>
      </c>
      <c r="H2458" s="386">
        <v>44776</v>
      </c>
      <c r="L2458">
        <v>6201315865</v>
      </c>
    </row>
    <row r="2459" spans="1:12" ht="15" customHeight="1">
      <c r="A2459" s="5" t="s">
        <v>0</v>
      </c>
      <c r="B2459" s="5" t="str">
        <f t="shared" si="23"/>
        <v>Y</v>
      </c>
      <c r="C2459" s="18" t="s">
        <v>13075</v>
      </c>
      <c r="D2459" s="18"/>
      <c r="E2459" s="541" t="s">
        <v>13076</v>
      </c>
      <c r="F2459" s="451">
        <v>37841</v>
      </c>
      <c r="G2459" s="386">
        <v>44776</v>
      </c>
      <c r="H2459" s="386">
        <v>44776</v>
      </c>
      <c r="L2459">
        <v>6209332003</v>
      </c>
    </row>
    <row r="2460" spans="1:12" ht="15" customHeight="1">
      <c r="A2460" s="5" t="s">
        <v>0</v>
      </c>
      <c r="B2460" s="5" t="str">
        <f t="shared" si="23"/>
        <v>Y</v>
      </c>
      <c r="C2460" s="18" t="s">
        <v>13077</v>
      </c>
      <c r="D2460" s="18"/>
      <c r="E2460" s="541" t="s">
        <v>12653</v>
      </c>
      <c r="F2460" s="451">
        <v>16803</v>
      </c>
      <c r="G2460" s="386">
        <v>44776</v>
      </c>
      <c r="H2460" s="386">
        <v>44776</v>
      </c>
      <c r="L2460">
        <v>9263733011</v>
      </c>
    </row>
    <row r="2461" spans="1:12" ht="15" customHeight="1">
      <c r="A2461" s="5" t="s">
        <v>0</v>
      </c>
      <c r="B2461" s="5" t="str">
        <f t="shared" si="23"/>
        <v>Y</v>
      </c>
      <c r="C2461" s="18" t="s">
        <v>13079</v>
      </c>
      <c r="D2461" s="18"/>
      <c r="E2461" s="542" t="s">
        <v>1684</v>
      </c>
      <c r="F2461" s="451">
        <v>30225</v>
      </c>
      <c r="G2461" s="386">
        <v>44778</v>
      </c>
      <c r="H2461" s="386">
        <v>44778</v>
      </c>
      <c r="L2461">
        <v>9534223592</v>
      </c>
    </row>
    <row r="2462" spans="1:12" ht="15" customHeight="1">
      <c r="A2462" s="5" t="s">
        <v>0</v>
      </c>
      <c r="B2462" s="5" t="str">
        <f t="shared" si="23"/>
        <v>Y</v>
      </c>
      <c r="C2462" s="18" t="s">
        <v>13082</v>
      </c>
      <c r="D2462" s="18"/>
      <c r="E2462" s="543" t="s">
        <v>13083</v>
      </c>
      <c r="F2462" s="451">
        <v>37521</v>
      </c>
      <c r="G2462" s="386">
        <v>44778</v>
      </c>
      <c r="H2462" s="386">
        <v>44778</v>
      </c>
      <c r="L2462">
        <v>9939939409</v>
      </c>
    </row>
    <row r="2463" spans="1:12" ht="15" customHeight="1">
      <c r="A2463" s="5" t="s">
        <v>0</v>
      </c>
      <c r="B2463" s="5" t="str">
        <f t="shared" si="23"/>
        <v>Y</v>
      </c>
      <c r="C2463" s="18" t="s">
        <v>13085</v>
      </c>
      <c r="D2463" s="18"/>
      <c r="E2463" s="543" t="s">
        <v>13084</v>
      </c>
      <c r="F2463" s="451">
        <v>29986</v>
      </c>
      <c r="G2463" s="386">
        <v>44779</v>
      </c>
      <c r="H2463" s="386">
        <v>44779</v>
      </c>
      <c r="L2463">
        <v>9709202101</v>
      </c>
    </row>
    <row r="2464" spans="1:12" ht="15" customHeight="1">
      <c r="A2464" s="5" t="s">
        <v>0</v>
      </c>
      <c r="B2464" s="5" t="str">
        <f t="shared" si="23"/>
        <v>Y</v>
      </c>
      <c r="C2464" s="18" t="s">
        <v>13088</v>
      </c>
      <c r="D2464" s="18"/>
      <c r="E2464" s="544" t="s">
        <v>13089</v>
      </c>
      <c r="F2464" s="451">
        <v>38134</v>
      </c>
      <c r="G2464" s="386">
        <v>44781</v>
      </c>
      <c r="H2464" s="386">
        <v>44781</v>
      </c>
      <c r="L2464">
        <v>8873665581</v>
      </c>
    </row>
    <row r="2465" spans="1:12" ht="15" customHeight="1">
      <c r="A2465" s="5" t="s">
        <v>0</v>
      </c>
      <c r="B2465" s="5" t="str">
        <f t="shared" si="23"/>
        <v>Y</v>
      </c>
      <c r="C2465" s="18" t="s">
        <v>13090</v>
      </c>
      <c r="D2465" s="18"/>
      <c r="E2465" s="544" t="s">
        <v>13091</v>
      </c>
      <c r="F2465" s="451">
        <v>31214</v>
      </c>
      <c r="G2465" s="386">
        <v>44781</v>
      </c>
      <c r="H2465" s="386">
        <v>44781</v>
      </c>
      <c r="L2465">
        <v>6209661708</v>
      </c>
    </row>
    <row r="2466" spans="1:12" ht="15" customHeight="1">
      <c r="A2466" s="5" t="s">
        <v>0</v>
      </c>
      <c r="B2466" s="5" t="str">
        <f t="shared" si="23"/>
        <v>Y</v>
      </c>
      <c r="C2466" s="18" t="s">
        <v>13092</v>
      </c>
      <c r="D2466" s="18"/>
      <c r="E2466" s="545" t="s">
        <v>13093</v>
      </c>
      <c r="F2466" s="451">
        <v>37855</v>
      </c>
      <c r="G2466" s="386">
        <v>44782</v>
      </c>
      <c r="H2466" s="386">
        <v>44782</v>
      </c>
      <c r="L2466">
        <v>7367015228</v>
      </c>
    </row>
    <row r="2467" spans="1:12" ht="15" customHeight="1">
      <c r="A2467" s="5" t="s">
        <v>0</v>
      </c>
      <c r="B2467" s="5" t="str">
        <f t="shared" si="23"/>
        <v>Y</v>
      </c>
      <c r="C2467" s="18" t="s">
        <v>13094</v>
      </c>
      <c r="D2467" s="18"/>
      <c r="E2467" s="545" t="s">
        <v>13095</v>
      </c>
      <c r="F2467" s="451">
        <v>38127</v>
      </c>
      <c r="G2467" s="386">
        <v>44782</v>
      </c>
      <c r="H2467" s="386">
        <v>44782</v>
      </c>
      <c r="L2467">
        <v>8797020818</v>
      </c>
    </row>
    <row r="2468" spans="1:12" ht="15" customHeight="1">
      <c r="A2468" s="5" t="s">
        <v>0</v>
      </c>
      <c r="B2468" s="5" t="str">
        <f t="shared" si="23"/>
        <v>Y</v>
      </c>
      <c r="C2468" s="18" t="s">
        <v>13096</v>
      </c>
      <c r="D2468" s="18"/>
      <c r="E2468" s="545" t="s">
        <v>13097</v>
      </c>
      <c r="F2468" s="451">
        <v>31118</v>
      </c>
      <c r="G2468" s="386">
        <v>44782</v>
      </c>
      <c r="H2468" s="386">
        <v>44782</v>
      </c>
      <c r="L2468">
        <v>8674876145</v>
      </c>
    </row>
    <row r="2469" spans="1:12" ht="15" customHeight="1">
      <c r="A2469" s="5" t="s">
        <v>0</v>
      </c>
      <c r="B2469" s="5" t="str">
        <f t="shared" si="23"/>
        <v>Y</v>
      </c>
      <c r="C2469" s="18" t="s">
        <v>13098</v>
      </c>
      <c r="D2469" s="18"/>
      <c r="E2469" s="545" t="s">
        <v>13099</v>
      </c>
      <c r="F2469" s="451">
        <v>31943</v>
      </c>
      <c r="G2469" s="386">
        <v>44782</v>
      </c>
      <c r="H2469" s="386">
        <v>44782</v>
      </c>
      <c r="L2469">
        <v>6287919009</v>
      </c>
    </row>
    <row r="2470" spans="1:12" ht="15" customHeight="1">
      <c r="A2470" s="5" t="s">
        <v>0</v>
      </c>
      <c r="B2470" s="5" t="str">
        <f t="shared" si="23"/>
        <v>Y</v>
      </c>
      <c r="C2470" s="18" t="s">
        <v>13100</v>
      </c>
      <c r="D2470" s="18"/>
      <c r="E2470" s="546" t="s">
        <v>13101</v>
      </c>
      <c r="F2470" s="451">
        <v>37622</v>
      </c>
      <c r="G2470" s="386">
        <v>44783</v>
      </c>
      <c r="H2470" s="386">
        <v>44783</v>
      </c>
      <c r="L2470">
        <v>7482099135</v>
      </c>
    </row>
    <row r="2471" spans="1:12" ht="15" customHeight="1">
      <c r="A2471" s="5" t="s">
        <v>0</v>
      </c>
      <c r="B2471" s="5" t="str">
        <f t="shared" si="23"/>
        <v>Y</v>
      </c>
      <c r="C2471" s="18" t="s">
        <v>13102</v>
      </c>
      <c r="D2471" s="18"/>
      <c r="E2471" s="547" t="s">
        <v>13103</v>
      </c>
      <c r="F2471" s="451">
        <v>29194</v>
      </c>
      <c r="G2471" s="386">
        <v>44784</v>
      </c>
      <c r="H2471" s="386">
        <v>44784</v>
      </c>
      <c r="L2471">
        <v>6364599211</v>
      </c>
    </row>
    <row r="2472" spans="1:12" ht="15" customHeight="1">
      <c r="A2472" s="5" t="s">
        <v>0</v>
      </c>
      <c r="B2472" s="5" t="str">
        <f t="shared" si="23"/>
        <v>Y</v>
      </c>
      <c r="C2472" s="18" t="s">
        <v>13104</v>
      </c>
      <c r="D2472" s="18"/>
      <c r="E2472" s="547" t="s">
        <v>13105</v>
      </c>
      <c r="F2472" s="451">
        <v>33970</v>
      </c>
      <c r="G2472" s="386">
        <v>44783</v>
      </c>
      <c r="H2472" s="386">
        <v>44783</v>
      </c>
      <c r="L2472">
        <v>9334879350</v>
      </c>
    </row>
    <row r="2473" spans="1:12" ht="15" customHeight="1">
      <c r="A2473" s="5" t="s">
        <v>0</v>
      </c>
      <c r="B2473" s="5" t="str">
        <f t="shared" si="23"/>
        <v>Y</v>
      </c>
      <c r="C2473" s="18" t="s">
        <v>13106</v>
      </c>
      <c r="D2473" s="18"/>
      <c r="E2473" s="547" t="s">
        <v>13107</v>
      </c>
      <c r="F2473" s="451">
        <v>37475</v>
      </c>
      <c r="G2473" s="386">
        <v>44783</v>
      </c>
      <c r="H2473" s="386">
        <v>44783</v>
      </c>
      <c r="L2473">
        <v>9334879350</v>
      </c>
    </row>
    <row r="2474" spans="1:12" ht="15" customHeight="1">
      <c r="A2474" s="5" t="s">
        <v>0</v>
      </c>
      <c r="B2474" s="5" t="str">
        <f t="shared" si="23"/>
        <v>Y</v>
      </c>
      <c r="C2474" s="18" t="s">
        <v>13108</v>
      </c>
      <c r="D2474" s="18"/>
      <c r="E2474" s="548" t="s">
        <v>13109</v>
      </c>
      <c r="F2474" s="451">
        <v>38197</v>
      </c>
      <c r="G2474" s="386">
        <v>44785</v>
      </c>
      <c r="H2474" s="386">
        <v>44785</v>
      </c>
      <c r="L2474">
        <v>7903746691</v>
      </c>
    </row>
    <row r="2475" spans="1:12" ht="15" customHeight="1">
      <c r="A2475" s="5" t="s">
        <v>0</v>
      </c>
      <c r="B2475" s="5" t="str">
        <f t="shared" si="23"/>
        <v>Y</v>
      </c>
      <c r="C2475" s="18" t="s">
        <v>13112</v>
      </c>
      <c r="D2475" s="18"/>
      <c r="E2475" s="549" t="s">
        <v>13113</v>
      </c>
      <c r="F2475" s="451">
        <v>38199</v>
      </c>
      <c r="G2475" s="386">
        <v>44789</v>
      </c>
      <c r="H2475" s="386">
        <v>44789</v>
      </c>
      <c r="L2475">
        <v>7209500514</v>
      </c>
    </row>
    <row r="2476" spans="1:12" ht="15" customHeight="1">
      <c r="A2476" s="5" t="s">
        <v>0</v>
      </c>
      <c r="B2476" s="5" t="str">
        <f t="shared" si="23"/>
        <v>Y</v>
      </c>
      <c r="C2476" s="18" t="s">
        <v>13114</v>
      </c>
      <c r="D2476" s="18"/>
      <c r="E2476" s="549" t="s">
        <v>13115</v>
      </c>
      <c r="F2476" s="451">
        <v>37785</v>
      </c>
      <c r="G2476" s="386">
        <v>44789</v>
      </c>
      <c r="H2476" s="386">
        <v>44789</v>
      </c>
      <c r="L2476">
        <v>7488944494</v>
      </c>
    </row>
    <row r="2477" spans="1:12" ht="15" customHeight="1">
      <c r="A2477" s="5" t="s">
        <v>0</v>
      </c>
      <c r="B2477" s="5" t="str">
        <f t="shared" si="23"/>
        <v>Y</v>
      </c>
      <c r="C2477" s="18" t="s">
        <v>13119</v>
      </c>
      <c r="D2477" s="18"/>
      <c r="E2477" s="550" t="s">
        <v>13120</v>
      </c>
      <c r="F2477" s="451">
        <v>17311</v>
      </c>
      <c r="G2477" s="386">
        <v>44790</v>
      </c>
      <c r="H2477" s="386">
        <v>44792</v>
      </c>
      <c r="L2477">
        <v>9334180744</v>
      </c>
    </row>
    <row r="2478" spans="1:12" ht="15" customHeight="1">
      <c r="A2478" s="5" t="s">
        <v>0</v>
      </c>
      <c r="B2478" s="5" t="str">
        <f t="shared" si="23"/>
        <v>Y</v>
      </c>
      <c r="C2478" s="18" t="s">
        <v>13128</v>
      </c>
      <c r="D2478" s="18"/>
      <c r="E2478" s="551" t="s">
        <v>13129</v>
      </c>
      <c r="F2478" s="451">
        <v>34821</v>
      </c>
      <c r="G2478" s="386">
        <v>44790</v>
      </c>
      <c r="H2478" s="386">
        <v>44792</v>
      </c>
      <c r="L2478">
        <v>9934326791</v>
      </c>
    </row>
    <row r="2479" spans="1:12" ht="15" customHeight="1">
      <c r="A2479" s="5" t="s">
        <v>0</v>
      </c>
      <c r="B2479" s="5" t="str">
        <f t="shared" si="23"/>
        <v>Y</v>
      </c>
      <c r="C2479" s="18" t="s">
        <v>13133</v>
      </c>
      <c r="D2479" s="18"/>
      <c r="E2479" s="552" t="s">
        <v>2152</v>
      </c>
      <c r="F2479" s="451">
        <v>38091</v>
      </c>
      <c r="G2479" s="386">
        <v>44792</v>
      </c>
      <c r="H2479" s="386">
        <v>44792</v>
      </c>
      <c r="J2479" s="552" t="s">
        <v>13132</v>
      </c>
      <c r="L2479">
        <v>8002227980</v>
      </c>
    </row>
    <row r="2480" spans="1:12" ht="15" customHeight="1">
      <c r="A2480" s="5" t="s">
        <v>0</v>
      </c>
      <c r="B2480" s="5" t="str">
        <f t="shared" ref="B2480:B2501" si="24">IF(H2480="","N","Y")</f>
        <v>Y</v>
      </c>
      <c r="C2480" s="18" t="s">
        <v>13134</v>
      </c>
      <c r="D2480" s="18"/>
      <c r="E2480" s="553" t="s">
        <v>13135</v>
      </c>
      <c r="F2480" s="451">
        <v>36731</v>
      </c>
      <c r="G2480" s="386">
        <v>44792</v>
      </c>
      <c r="H2480" s="386">
        <v>44792</v>
      </c>
      <c r="L2480">
        <v>6203939934</v>
      </c>
    </row>
    <row r="2481" spans="1:12" ht="15" customHeight="1">
      <c r="A2481" s="5" t="s">
        <v>0</v>
      </c>
      <c r="B2481" s="5" t="str">
        <f t="shared" si="24"/>
        <v>Y</v>
      </c>
      <c r="C2481" s="18" t="s">
        <v>13136</v>
      </c>
      <c r="D2481" s="18"/>
      <c r="E2481" s="553" t="s">
        <v>13137</v>
      </c>
      <c r="F2481" s="451">
        <v>36989</v>
      </c>
      <c r="G2481" s="386">
        <v>44792</v>
      </c>
      <c r="H2481" s="386">
        <v>44793</v>
      </c>
      <c r="L2481">
        <v>7667440759</v>
      </c>
    </row>
    <row r="2482" spans="1:12" ht="15" customHeight="1">
      <c r="A2482" s="5" t="s">
        <v>0</v>
      </c>
      <c r="B2482" s="5" t="str">
        <f t="shared" si="24"/>
        <v>Y</v>
      </c>
      <c r="C2482" s="18" t="s">
        <v>13138</v>
      </c>
      <c r="D2482" s="18"/>
      <c r="E2482" s="553" t="s">
        <v>848</v>
      </c>
      <c r="F2482" s="451">
        <v>35734</v>
      </c>
      <c r="G2482" s="386">
        <v>44793</v>
      </c>
      <c r="H2482" s="386">
        <v>44793</v>
      </c>
      <c r="L2482">
        <v>7209812759</v>
      </c>
    </row>
    <row r="2483" spans="1:12" ht="15" customHeight="1">
      <c r="A2483" s="5" t="s">
        <v>0</v>
      </c>
      <c r="B2483" s="5" t="str">
        <f t="shared" si="24"/>
        <v>Y</v>
      </c>
      <c r="C2483" s="18" t="s">
        <v>13140</v>
      </c>
      <c r="D2483" s="18"/>
      <c r="E2483" s="18" t="s">
        <v>13139</v>
      </c>
      <c r="F2483" s="451">
        <v>36488</v>
      </c>
      <c r="G2483" s="386">
        <v>44793</v>
      </c>
      <c r="H2483" s="386">
        <v>44793</v>
      </c>
      <c r="L2483">
        <v>9693950967</v>
      </c>
    </row>
    <row r="2484" spans="1:12" ht="15" customHeight="1">
      <c r="A2484" s="5" t="s">
        <v>0</v>
      </c>
      <c r="B2484" s="5" t="str">
        <f t="shared" si="24"/>
        <v>Y</v>
      </c>
      <c r="C2484" s="18" t="s">
        <v>13141</v>
      </c>
      <c r="D2484" s="18"/>
      <c r="E2484" s="553" t="s">
        <v>13103</v>
      </c>
      <c r="F2484" s="451">
        <v>29194</v>
      </c>
      <c r="G2484" s="386">
        <v>44793</v>
      </c>
      <c r="H2484" s="386">
        <v>44793</v>
      </c>
      <c r="L2484">
        <v>6364599211</v>
      </c>
    </row>
    <row r="2485" spans="1:12" ht="15" customHeight="1">
      <c r="A2485" s="5" t="s">
        <v>0</v>
      </c>
      <c r="B2485" s="5" t="str">
        <f t="shared" si="24"/>
        <v>Y</v>
      </c>
      <c r="C2485" s="18" t="s">
        <v>13145</v>
      </c>
      <c r="D2485" s="18"/>
      <c r="E2485" s="554" t="s">
        <v>13146</v>
      </c>
      <c r="F2485" s="451">
        <v>29343</v>
      </c>
      <c r="G2485" s="386">
        <v>29456</v>
      </c>
      <c r="H2485" s="386">
        <v>29456</v>
      </c>
      <c r="L2485">
        <v>7762040139</v>
      </c>
    </row>
    <row r="2486" spans="1:12" ht="15" customHeight="1">
      <c r="A2486" s="5" t="s">
        <v>0</v>
      </c>
      <c r="B2486" s="5" t="str">
        <f t="shared" si="24"/>
        <v>Y</v>
      </c>
      <c r="C2486" s="18" t="s">
        <v>13147</v>
      </c>
      <c r="D2486" s="18"/>
      <c r="E2486" s="554" t="s">
        <v>13148</v>
      </c>
      <c r="F2486" s="451">
        <v>35713</v>
      </c>
      <c r="G2486" s="386">
        <v>29456</v>
      </c>
      <c r="H2486" s="386">
        <v>29456</v>
      </c>
      <c r="L2486">
        <v>9155210717</v>
      </c>
    </row>
    <row r="2487" spans="1:12" ht="15" customHeight="1">
      <c r="A2487" s="5" t="s">
        <v>0</v>
      </c>
      <c r="B2487" s="5" t="str">
        <f t="shared" si="24"/>
        <v>Y</v>
      </c>
      <c r="C2487" s="81" t="s">
        <v>13150</v>
      </c>
      <c r="D2487" s="81"/>
      <c r="E2487" s="555" t="s">
        <v>13149</v>
      </c>
      <c r="F2487" s="451">
        <v>38215</v>
      </c>
      <c r="G2487" s="386">
        <v>29456</v>
      </c>
      <c r="H2487" s="386">
        <v>29456</v>
      </c>
      <c r="L2487">
        <v>9700489392</v>
      </c>
    </row>
    <row r="2488" spans="1:12" ht="15" customHeight="1">
      <c r="A2488" s="5" t="s">
        <v>0</v>
      </c>
      <c r="B2488" s="5" t="str">
        <f t="shared" si="24"/>
        <v>Y</v>
      </c>
      <c r="C2488" s="18" t="s">
        <v>13176</v>
      </c>
      <c r="D2488" s="18"/>
      <c r="E2488" s="557" t="s">
        <v>13156</v>
      </c>
      <c r="F2488" s="451">
        <v>38061</v>
      </c>
      <c r="G2488" s="386">
        <v>44800</v>
      </c>
      <c r="H2488" s="386">
        <v>44800</v>
      </c>
      <c r="L2488">
        <v>9471707800</v>
      </c>
    </row>
    <row r="2489" spans="1:12" ht="15" customHeight="1">
      <c r="A2489" s="5" t="s">
        <v>0</v>
      </c>
      <c r="B2489" s="5" t="str">
        <f t="shared" si="24"/>
        <v>Y</v>
      </c>
      <c r="C2489" s="18" t="s">
        <v>13166</v>
      </c>
      <c r="D2489" s="18"/>
      <c r="E2489" s="557" t="s">
        <v>13157</v>
      </c>
      <c r="F2489" s="451">
        <v>37860</v>
      </c>
      <c r="G2489" s="386">
        <v>44799</v>
      </c>
      <c r="H2489" s="386">
        <v>44799</v>
      </c>
      <c r="L2489" s="555">
        <v>8789700341</v>
      </c>
    </row>
    <row r="2490" spans="1:12" ht="15" customHeight="1">
      <c r="A2490" s="5" t="s">
        <v>0</v>
      </c>
      <c r="B2490" s="5" t="str">
        <f t="shared" si="24"/>
        <v>Y</v>
      </c>
      <c r="C2490" s="558" t="s">
        <v>13164</v>
      </c>
      <c r="D2490" s="558"/>
      <c r="E2490" s="557" t="s">
        <v>13158</v>
      </c>
      <c r="F2490" s="451">
        <v>21916</v>
      </c>
      <c r="G2490" s="386">
        <v>44799</v>
      </c>
      <c r="H2490" s="386">
        <v>44799</v>
      </c>
      <c r="L2490" s="558">
        <v>9060062082</v>
      </c>
    </row>
    <row r="2491" spans="1:12" ht="15" customHeight="1">
      <c r="A2491" s="5" t="s">
        <v>0</v>
      </c>
      <c r="B2491" s="5" t="str">
        <f t="shared" si="24"/>
        <v>Y</v>
      </c>
      <c r="C2491" s="558" t="s">
        <v>13160</v>
      </c>
      <c r="D2491" s="558"/>
      <c r="E2491" s="558" t="s">
        <v>13159</v>
      </c>
      <c r="F2491" s="451">
        <v>25569</v>
      </c>
      <c r="G2491" s="386">
        <v>44799</v>
      </c>
      <c r="H2491" s="386">
        <v>44799</v>
      </c>
      <c r="L2491">
        <v>9334291530</v>
      </c>
    </row>
    <row r="2492" spans="1:12" ht="15" customHeight="1">
      <c r="A2492" s="5" t="s">
        <v>0</v>
      </c>
      <c r="B2492" s="5" t="str">
        <f t="shared" si="24"/>
        <v>Y</v>
      </c>
      <c r="C2492" s="558" t="s">
        <v>13161</v>
      </c>
      <c r="D2492" s="558"/>
      <c r="E2492" s="558" t="s">
        <v>1877</v>
      </c>
      <c r="F2492" s="451">
        <v>28671</v>
      </c>
      <c r="G2492" s="386">
        <v>44799</v>
      </c>
      <c r="H2492" s="386">
        <v>44799</v>
      </c>
      <c r="L2492">
        <v>6206343766</v>
      </c>
    </row>
    <row r="2493" spans="1:12" ht="15" customHeight="1">
      <c r="A2493" s="5" t="s">
        <v>0</v>
      </c>
      <c r="B2493" s="5" t="str">
        <f t="shared" si="24"/>
        <v>Y</v>
      </c>
      <c r="C2493" s="558" t="s">
        <v>13162</v>
      </c>
      <c r="D2493" s="558"/>
      <c r="E2493" s="558" t="s">
        <v>13163</v>
      </c>
      <c r="F2493" s="451">
        <v>38029</v>
      </c>
      <c r="G2493" s="386">
        <v>44799</v>
      </c>
      <c r="H2493" s="386">
        <v>44799</v>
      </c>
      <c r="L2493">
        <v>7004240116</v>
      </c>
    </row>
    <row r="2494" spans="1:12" ht="15" customHeight="1">
      <c r="A2494" s="5" t="s">
        <v>0</v>
      </c>
      <c r="B2494" s="5" t="str">
        <f>IF(H2490="","N","Y")</f>
        <v>Y</v>
      </c>
      <c r="C2494" s="558" t="s">
        <v>13165</v>
      </c>
      <c r="D2494" s="558"/>
      <c r="E2494" s="558" t="s">
        <v>7117</v>
      </c>
      <c r="F2494" s="451">
        <v>38080</v>
      </c>
      <c r="G2494" s="386">
        <v>44799</v>
      </c>
      <c r="H2494" s="386">
        <v>44799</v>
      </c>
      <c r="L2494">
        <v>7992434964</v>
      </c>
    </row>
    <row r="2495" spans="1:12" ht="15" customHeight="1">
      <c r="A2495" s="5" t="s">
        <v>0</v>
      </c>
      <c r="B2495" s="5" t="str">
        <f t="shared" si="24"/>
        <v>Y</v>
      </c>
      <c r="C2495" s="558" t="s">
        <v>13167</v>
      </c>
      <c r="D2495" s="558"/>
      <c r="E2495" s="558" t="s">
        <v>5337</v>
      </c>
      <c r="F2495" s="451">
        <v>38188</v>
      </c>
      <c r="G2495" s="386">
        <v>44799</v>
      </c>
      <c r="H2495" s="386">
        <v>44799</v>
      </c>
      <c r="L2495">
        <v>8210150023</v>
      </c>
    </row>
    <row r="2496" spans="1:12" ht="15" customHeight="1">
      <c r="A2496" s="5" t="s">
        <v>0</v>
      </c>
      <c r="B2496" s="5" t="str">
        <f t="shared" si="24"/>
        <v>Y</v>
      </c>
      <c r="C2496" s="558" t="s">
        <v>13168</v>
      </c>
      <c r="D2496" s="558"/>
      <c r="E2496" s="558" t="s">
        <v>13169</v>
      </c>
      <c r="F2496" s="451">
        <v>21916</v>
      </c>
      <c r="G2496" s="386">
        <v>44799</v>
      </c>
      <c r="H2496" s="386">
        <v>44799</v>
      </c>
      <c r="L2496">
        <v>8409000157</v>
      </c>
    </row>
    <row r="2497" spans="1:12" ht="15" customHeight="1">
      <c r="A2497" s="5" t="s">
        <v>0</v>
      </c>
      <c r="B2497" s="5" t="str">
        <f t="shared" si="24"/>
        <v>Y</v>
      </c>
      <c r="C2497" s="559" t="s">
        <v>13170</v>
      </c>
      <c r="D2497" s="559"/>
      <c r="E2497" s="559" t="s">
        <v>13171</v>
      </c>
      <c r="F2497" s="451">
        <v>23947</v>
      </c>
      <c r="G2497" s="386">
        <v>44800</v>
      </c>
      <c r="H2497" s="386">
        <v>44800</v>
      </c>
      <c r="L2497">
        <v>9905027773</v>
      </c>
    </row>
    <row r="2498" spans="1:12" ht="15" customHeight="1">
      <c r="A2498" s="5" t="s">
        <v>0</v>
      </c>
      <c r="B2498" s="5" t="str">
        <f t="shared" si="24"/>
        <v>Y</v>
      </c>
      <c r="C2498" s="559" t="s">
        <v>13172</v>
      </c>
      <c r="D2498" s="559"/>
      <c r="E2498" s="559" t="s">
        <v>13173</v>
      </c>
      <c r="F2498" s="451">
        <v>27409</v>
      </c>
      <c r="G2498" s="386">
        <v>44800</v>
      </c>
      <c r="H2498" s="386">
        <v>44800</v>
      </c>
      <c r="L2498">
        <v>9031787872</v>
      </c>
    </row>
    <row r="2499" spans="1:12" ht="15" customHeight="1">
      <c r="A2499" s="5" t="s">
        <v>0</v>
      </c>
      <c r="B2499" s="5" t="str">
        <f t="shared" si="24"/>
        <v>Y</v>
      </c>
      <c r="C2499" s="559" t="s">
        <v>13174</v>
      </c>
      <c r="D2499" s="559"/>
      <c r="E2499" s="559" t="s">
        <v>13175</v>
      </c>
      <c r="F2499" s="451">
        <v>38129</v>
      </c>
      <c r="G2499" s="386">
        <v>44800</v>
      </c>
      <c r="H2499" s="386">
        <v>44800</v>
      </c>
      <c r="L2499">
        <v>7781064241</v>
      </c>
    </row>
    <row r="2500" spans="1:12" ht="15" customHeight="1">
      <c r="A2500" s="5" t="s">
        <v>0</v>
      </c>
      <c r="B2500" s="5" t="str">
        <f t="shared" si="24"/>
        <v>Y</v>
      </c>
      <c r="C2500" s="559" t="s">
        <v>13176</v>
      </c>
      <c r="D2500" s="559"/>
      <c r="E2500" s="559" t="s">
        <v>13156</v>
      </c>
      <c r="F2500" s="451">
        <v>38061</v>
      </c>
      <c r="G2500" s="386">
        <v>44800</v>
      </c>
      <c r="H2500" s="386">
        <v>44800</v>
      </c>
      <c r="L2500">
        <v>9471707800</v>
      </c>
    </row>
    <row r="2501" spans="1:12" ht="15" customHeight="1">
      <c r="A2501" s="5" t="s">
        <v>0</v>
      </c>
      <c r="B2501" s="5" t="str">
        <f t="shared" si="24"/>
        <v>Y</v>
      </c>
      <c r="C2501" s="560" t="s">
        <v>13180</v>
      </c>
      <c r="D2501" s="560"/>
      <c r="E2501" s="560" t="s">
        <v>13179</v>
      </c>
      <c r="F2501" s="451">
        <v>31479</v>
      </c>
      <c r="G2501" s="386">
        <v>44803</v>
      </c>
      <c r="H2501" s="386">
        <v>44803</v>
      </c>
      <c r="L2501">
        <v>8409000157</v>
      </c>
    </row>
    <row r="2502" spans="1:12" ht="15" customHeight="1">
      <c r="A2502" s="5" t="s">
        <v>0</v>
      </c>
      <c r="B2502" s="5" t="str">
        <f t="shared" ref="B2502:B2565" si="25">IF(H2502="","N","Y")</f>
        <v>Y</v>
      </c>
      <c r="C2502" s="463" t="s">
        <v>13182</v>
      </c>
      <c r="D2502" s="463"/>
      <c r="E2502" s="463" t="s">
        <v>13183</v>
      </c>
      <c r="F2502" s="451">
        <v>17898</v>
      </c>
      <c r="G2502" s="386">
        <v>44804</v>
      </c>
      <c r="H2502" s="386">
        <v>44804</v>
      </c>
      <c r="L2502">
        <v>9142892501</v>
      </c>
    </row>
    <row r="2503" spans="1:12" ht="15" customHeight="1">
      <c r="A2503" s="5" t="s">
        <v>0</v>
      </c>
      <c r="B2503" s="5" t="str">
        <f t="shared" si="25"/>
        <v>Y</v>
      </c>
      <c r="C2503" s="561" t="s">
        <v>13185</v>
      </c>
      <c r="D2503" s="561"/>
      <c r="E2503" s="561" t="s">
        <v>13186</v>
      </c>
      <c r="F2503" s="451">
        <v>38076</v>
      </c>
      <c r="G2503" s="386">
        <v>44805</v>
      </c>
      <c r="H2503" s="386">
        <v>44805</v>
      </c>
      <c r="L2503">
        <v>9204663527</v>
      </c>
    </row>
    <row r="2504" spans="1:12" ht="15" customHeight="1">
      <c r="A2504" s="5" t="s">
        <v>0</v>
      </c>
      <c r="B2504" s="5" t="str">
        <f t="shared" si="25"/>
        <v>Y</v>
      </c>
      <c r="C2504" s="561" t="s">
        <v>13188</v>
      </c>
      <c r="D2504" s="561"/>
      <c r="E2504" s="561" t="s">
        <v>13187</v>
      </c>
      <c r="F2504" s="451">
        <v>32554</v>
      </c>
      <c r="G2504" s="386">
        <v>44805</v>
      </c>
      <c r="H2504" s="386">
        <v>44805</v>
      </c>
      <c r="L2504">
        <v>6204771608</v>
      </c>
    </row>
    <row r="2505" spans="1:12" ht="15" customHeight="1">
      <c r="A2505" s="5" t="s">
        <v>0</v>
      </c>
      <c r="B2505" s="5" t="str">
        <f t="shared" si="25"/>
        <v>Y</v>
      </c>
      <c r="C2505" s="562" t="s">
        <v>13189</v>
      </c>
      <c r="D2505" s="562"/>
      <c r="E2505" s="562" t="s">
        <v>13190</v>
      </c>
      <c r="F2505" s="451">
        <v>31870</v>
      </c>
      <c r="G2505" s="386">
        <v>44805</v>
      </c>
      <c r="H2505" s="386">
        <v>44805</v>
      </c>
      <c r="L2505">
        <v>9234737216</v>
      </c>
    </row>
    <row r="2506" spans="1:12" ht="15" customHeight="1">
      <c r="A2506" s="5" t="s">
        <v>0</v>
      </c>
      <c r="B2506" s="5" t="str">
        <f t="shared" si="25"/>
        <v>Y</v>
      </c>
      <c r="C2506" s="565" t="s">
        <v>13201</v>
      </c>
      <c r="D2506" s="565"/>
      <c r="E2506" s="564" t="s">
        <v>13194</v>
      </c>
      <c r="F2506" s="451">
        <v>27916</v>
      </c>
      <c r="G2506" s="386">
        <v>44807</v>
      </c>
      <c r="H2506" s="386">
        <v>44807</v>
      </c>
    </row>
    <row r="2507" spans="1:12" ht="15" customHeight="1">
      <c r="A2507" s="5" t="s">
        <v>0</v>
      </c>
      <c r="B2507" s="5" t="str">
        <f t="shared" si="25"/>
        <v>Y</v>
      </c>
      <c r="C2507" s="566" t="s">
        <v>13202</v>
      </c>
      <c r="D2507" s="566"/>
      <c r="E2507" s="566" t="s">
        <v>13203</v>
      </c>
      <c r="F2507" s="451">
        <v>31266</v>
      </c>
      <c r="G2507" s="386">
        <v>44807</v>
      </c>
      <c r="H2507" s="386">
        <v>44807</v>
      </c>
      <c r="L2507">
        <v>9608598860</v>
      </c>
    </row>
    <row r="2508" spans="1:12" ht="15" customHeight="1">
      <c r="A2508" s="5" t="s">
        <v>0</v>
      </c>
      <c r="B2508" s="5" t="str">
        <f t="shared" si="25"/>
        <v>Y</v>
      </c>
      <c r="C2508" s="567" t="s">
        <v>13204</v>
      </c>
      <c r="D2508" s="567"/>
      <c r="E2508" s="567" t="s">
        <v>13205</v>
      </c>
      <c r="F2508" s="460">
        <v>41359</v>
      </c>
      <c r="G2508" s="568">
        <v>44807</v>
      </c>
      <c r="H2508" s="568">
        <v>44807</v>
      </c>
      <c r="I2508" s="436"/>
      <c r="J2508" s="436" t="s">
        <v>13206</v>
      </c>
      <c r="K2508" s="436"/>
      <c r="L2508" s="436">
        <v>8002484625</v>
      </c>
    </row>
    <row r="2509" spans="1:12" ht="15" customHeight="1">
      <c r="A2509" s="5" t="s">
        <v>0</v>
      </c>
      <c r="B2509" s="5" t="str">
        <f t="shared" si="25"/>
        <v>Y</v>
      </c>
      <c r="C2509" s="569" t="s">
        <v>13207</v>
      </c>
      <c r="D2509" s="569"/>
      <c r="E2509" s="569" t="s">
        <v>13208</v>
      </c>
      <c r="F2509" s="451">
        <v>32465</v>
      </c>
      <c r="G2509" s="386">
        <v>44807</v>
      </c>
      <c r="H2509" s="386">
        <v>44807</v>
      </c>
      <c r="L2509">
        <v>7488361901</v>
      </c>
    </row>
    <row r="2510" spans="1:12" ht="15" customHeight="1">
      <c r="A2510" s="5" t="s">
        <v>0</v>
      </c>
      <c r="B2510" s="5" t="str">
        <f t="shared" si="25"/>
        <v>Y</v>
      </c>
      <c r="C2510" s="570" t="s">
        <v>13209</v>
      </c>
      <c r="D2510" s="570"/>
      <c r="E2510" s="570" t="s">
        <v>13210</v>
      </c>
      <c r="F2510" s="451">
        <v>34709</v>
      </c>
      <c r="G2510" s="386">
        <v>44808</v>
      </c>
      <c r="H2510" s="386">
        <v>44808</v>
      </c>
      <c r="L2510">
        <v>8581051866</v>
      </c>
    </row>
    <row r="2511" spans="1:12" ht="15" customHeight="1">
      <c r="A2511" s="5" t="s">
        <v>0</v>
      </c>
      <c r="B2511" s="5" t="str">
        <f t="shared" si="25"/>
        <v>Y</v>
      </c>
      <c r="C2511" s="571" t="s">
        <v>13211</v>
      </c>
      <c r="D2511" s="571"/>
      <c r="E2511" s="571" t="s">
        <v>12837</v>
      </c>
      <c r="F2511" s="451">
        <v>38214</v>
      </c>
      <c r="G2511" s="386">
        <v>44808</v>
      </c>
      <c r="H2511" s="386">
        <v>44808</v>
      </c>
      <c r="L2511">
        <v>6202090809</v>
      </c>
    </row>
    <row r="2512" spans="1:12" ht="15" customHeight="1">
      <c r="A2512" s="5" t="s">
        <v>0</v>
      </c>
      <c r="B2512" s="5" t="str">
        <f t="shared" si="25"/>
        <v>Y</v>
      </c>
      <c r="C2512" s="573" t="s">
        <v>13219</v>
      </c>
      <c r="D2512" s="573"/>
      <c r="E2512" s="573" t="s">
        <v>12029</v>
      </c>
      <c r="F2512" s="451">
        <v>29354</v>
      </c>
      <c r="G2512" s="386">
        <v>44810</v>
      </c>
      <c r="H2512" s="386">
        <v>44810</v>
      </c>
      <c r="L2512">
        <v>7677842838</v>
      </c>
    </row>
    <row r="2513" spans="1:12" ht="15" customHeight="1">
      <c r="A2513" s="5" t="s">
        <v>0</v>
      </c>
      <c r="B2513" s="5" t="str">
        <f t="shared" si="25"/>
        <v>Y</v>
      </c>
      <c r="C2513" s="573" t="s">
        <v>13221</v>
      </c>
      <c r="D2513" s="573"/>
      <c r="E2513" s="573" t="s">
        <v>13220</v>
      </c>
      <c r="F2513" s="451">
        <v>27556</v>
      </c>
      <c r="G2513" s="386">
        <v>44810</v>
      </c>
      <c r="H2513" s="386">
        <v>44810</v>
      </c>
      <c r="L2513">
        <v>7903048652</v>
      </c>
    </row>
    <row r="2514" spans="1:12" ht="15" customHeight="1">
      <c r="A2514" s="5" t="s">
        <v>0</v>
      </c>
      <c r="B2514" s="5" t="str">
        <f t="shared" si="25"/>
        <v>Y</v>
      </c>
      <c r="C2514" s="573" t="s">
        <v>13222</v>
      </c>
      <c r="D2514" s="573"/>
      <c r="E2514" s="573" t="s">
        <v>13223</v>
      </c>
      <c r="F2514" s="451">
        <v>37875</v>
      </c>
      <c r="G2514" s="386">
        <v>44810</v>
      </c>
      <c r="H2514" s="386">
        <v>44810</v>
      </c>
      <c r="L2514">
        <v>7903048652</v>
      </c>
    </row>
    <row r="2515" spans="1:12" ht="15" customHeight="1">
      <c r="A2515" s="5" t="s">
        <v>0</v>
      </c>
      <c r="B2515" s="5" t="str">
        <f t="shared" si="25"/>
        <v>Y</v>
      </c>
      <c r="C2515" s="573" t="s">
        <v>13224</v>
      </c>
      <c r="D2515" s="573"/>
      <c r="E2515" s="573" t="s">
        <v>13225</v>
      </c>
      <c r="F2515" s="451">
        <v>27668</v>
      </c>
      <c r="G2515" s="386">
        <v>44810</v>
      </c>
      <c r="H2515" s="386">
        <v>44810</v>
      </c>
      <c r="L2515">
        <v>7667364613</v>
      </c>
    </row>
    <row r="2516" spans="1:12" ht="15" customHeight="1">
      <c r="A2516" s="5" t="s">
        <v>0</v>
      </c>
      <c r="B2516" s="5" t="str">
        <f t="shared" si="25"/>
        <v>Y</v>
      </c>
      <c r="C2516" s="573" t="s">
        <v>13226</v>
      </c>
      <c r="D2516" s="573"/>
      <c r="E2516" s="573" t="s">
        <v>13227</v>
      </c>
      <c r="F2516" s="451">
        <v>23346</v>
      </c>
      <c r="G2516" s="386">
        <v>44810</v>
      </c>
      <c r="H2516" s="386">
        <v>44810</v>
      </c>
      <c r="L2516">
        <v>9162524706</v>
      </c>
    </row>
    <row r="2517" spans="1:12" ht="15" customHeight="1">
      <c r="A2517" s="5" t="s">
        <v>0</v>
      </c>
      <c r="B2517" s="5" t="str">
        <f t="shared" si="25"/>
        <v>Y</v>
      </c>
      <c r="C2517" s="573" t="s">
        <v>13228</v>
      </c>
      <c r="D2517" s="573"/>
      <c r="E2517" s="573" t="s">
        <v>13214</v>
      </c>
      <c r="F2517" s="451">
        <v>27509</v>
      </c>
      <c r="G2517" s="386">
        <v>44810</v>
      </c>
      <c r="H2517" s="386">
        <v>44810</v>
      </c>
      <c r="L2517">
        <v>7677842838</v>
      </c>
    </row>
    <row r="2518" spans="1:12" ht="15" customHeight="1">
      <c r="A2518" s="5" t="s">
        <v>0</v>
      </c>
      <c r="B2518" s="5" t="str">
        <f t="shared" si="25"/>
        <v>Y</v>
      </c>
      <c r="C2518" s="573" t="s">
        <v>13229</v>
      </c>
      <c r="D2518" s="573"/>
      <c r="E2518" s="573" t="s">
        <v>13230</v>
      </c>
      <c r="F2518" s="451">
        <v>27943</v>
      </c>
      <c r="G2518" s="386">
        <v>44811</v>
      </c>
      <c r="H2518" s="386">
        <v>44811</v>
      </c>
      <c r="L2518">
        <v>9835376769</v>
      </c>
    </row>
    <row r="2519" spans="1:12" ht="15" customHeight="1">
      <c r="A2519" s="5" t="s">
        <v>0</v>
      </c>
      <c r="B2519" s="5" t="str">
        <f t="shared" si="25"/>
        <v>Y</v>
      </c>
      <c r="C2519" s="574" t="s">
        <v>13231</v>
      </c>
      <c r="D2519" s="574"/>
      <c r="E2519" s="574" t="s">
        <v>13232</v>
      </c>
      <c r="F2519" s="451">
        <v>29222</v>
      </c>
      <c r="G2519" s="386">
        <v>44812</v>
      </c>
      <c r="H2519" s="386">
        <v>44812</v>
      </c>
      <c r="L2519">
        <v>7033534521</v>
      </c>
    </row>
    <row r="2520" spans="1:12" ht="15" customHeight="1">
      <c r="A2520" s="5" t="s">
        <v>0</v>
      </c>
      <c r="B2520" s="5" t="str">
        <f t="shared" si="25"/>
        <v>Y</v>
      </c>
      <c r="C2520" s="575" t="s">
        <v>13233</v>
      </c>
      <c r="D2520" s="575"/>
      <c r="E2520" s="575" t="s">
        <v>13234</v>
      </c>
      <c r="F2520" s="451">
        <v>38003</v>
      </c>
      <c r="G2520" s="386">
        <v>44813</v>
      </c>
      <c r="H2520" s="386">
        <v>44813</v>
      </c>
      <c r="L2520">
        <v>9508019311</v>
      </c>
    </row>
    <row r="2521" spans="1:12" ht="15" customHeight="1">
      <c r="A2521" s="5" t="s">
        <v>0</v>
      </c>
      <c r="B2521" s="5" t="str">
        <f t="shared" si="25"/>
        <v>Y</v>
      </c>
      <c r="C2521" s="575" t="s">
        <v>13235</v>
      </c>
      <c r="D2521" s="575"/>
      <c r="E2521" s="575" t="s">
        <v>13236</v>
      </c>
      <c r="F2521" s="451">
        <v>37378</v>
      </c>
      <c r="G2521" s="386">
        <v>44813</v>
      </c>
      <c r="H2521" s="386">
        <v>44813</v>
      </c>
      <c r="L2521">
        <v>9065303022</v>
      </c>
    </row>
    <row r="2522" spans="1:12" ht="15" customHeight="1">
      <c r="A2522" s="5" t="s">
        <v>0</v>
      </c>
      <c r="B2522" s="5" t="str">
        <f t="shared" si="25"/>
        <v>Y</v>
      </c>
      <c r="C2522" s="577" t="s">
        <v>13243</v>
      </c>
      <c r="D2522" s="577"/>
      <c r="E2522" s="575" t="s">
        <v>13237</v>
      </c>
      <c r="F2522" s="451">
        <v>34620</v>
      </c>
      <c r="G2522" s="386">
        <v>44815</v>
      </c>
      <c r="H2522" s="386">
        <v>44815</v>
      </c>
      <c r="L2522">
        <v>8092422083</v>
      </c>
    </row>
    <row r="2523" spans="1:12" ht="15" customHeight="1">
      <c r="A2523" s="5" t="s">
        <v>0</v>
      </c>
      <c r="B2523" s="5" t="str">
        <f t="shared" si="25"/>
        <v>Y</v>
      </c>
      <c r="C2523" t="s">
        <v>13239</v>
      </c>
      <c r="E2523" s="576" t="s">
        <v>13240</v>
      </c>
      <c r="F2523" s="451">
        <v>38568</v>
      </c>
      <c r="G2523" s="386">
        <v>44814</v>
      </c>
      <c r="H2523" s="386">
        <v>44814</v>
      </c>
      <c r="L2523">
        <v>9334230780</v>
      </c>
    </row>
    <row r="2524" spans="1:12" ht="15" customHeight="1">
      <c r="A2524" s="5" t="s">
        <v>0</v>
      </c>
      <c r="B2524" s="5" t="str">
        <f t="shared" si="25"/>
        <v>Y</v>
      </c>
      <c r="C2524" t="s">
        <v>13241</v>
      </c>
      <c r="E2524" s="576" t="s">
        <v>13242</v>
      </c>
      <c r="F2524" s="451">
        <v>37633</v>
      </c>
      <c r="G2524" s="386">
        <v>44814</v>
      </c>
      <c r="H2524" s="386">
        <v>44814</v>
      </c>
      <c r="L2524">
        <v>9386616869</v>
      </c>
    </row>
    <row r="2525" spans="1:12" ht="15" customHeight="1">
      <c r="A2525" s="5" t="s">
        <v>0</v>
      </c>
      <c r="B2525" s="5" t="str">
        <f t="shared" si="25"/>
        <v>Y</v>
      </c>
      <c r="C2525" s="578" t="s">
        <v>13248</v>
      </c>
      <c r="D2525" s="578"/>
      <c r="E2525" s="578" t="s">
        <v>13249</v>
      </c>
      <c r="F2525" s="451">
        <v>38215</v>
      </c>
      <c r="G2525" s="386">
        <v>44816</v>
      </c>
      <c r="H2525" s="386">
        <v>44816</v>
      </c>
      <c r="L2525">
        <v>9700489392</v>
      </c>
    </row>
    <row r="2526" spans="1:12" ht="15" customHeight="1">
      <c r="A2526" s="5" t="s">
        <v>0</v>
      </c>
      <c r="B2526" s="5" t="str">
        <f t="shared" si="25"/>
        <v>Y</v>
      </c>
      <c r="C2526" s="580" t="s">
        <v>13251</v>
      </c>
      <c r="D2526" s="580"/>
      <c r="E2526" s="580" t="s">
        <v>13250</v>
      </c>
      <c r="F2526" s="451">
        <v>38114</v>
      </c>
      <c r="G2526" s="386">
        <v>44817</v>
      </c>
      <c r="H2526" s="386">
        <v>44817</v>
      </c>
      <c r="L2526">
        <v>6209656635</v>
      </c>
    </row>
    <row r="2527" spans="1:12" ht="15" customHeight="1">
      <c r="A2527" s="5" t="s">
        <v>0</v>
      </c>
      <c r="B2527" s="5" t="str">
        <f t="shared" si="25"/>
        <v>Y</v>
      </c>
      <c r="C2527" s="581" t="s">
        <v>13255</v>
      </c>
      <c r="D2527" s="581"/>
      <c r="E2527" s="581" t="s">
        <v>13256</v>
      </c>
      <c r="F2527" s="451">
        <v>26330</v>
      </c>
      <c r="G2527" s="386">
        <v>44817</v>
      </c>
      <c r="H2527" s="386">
        <v>44817</v>
      </c>
      <c r="L2527">
        <v>9204582509</v>
      </c>
    </row>
    <row r="2528" spans="1:12" ht="15" customHeight="1">
      <c r="A2528" s="5" t="s">
        <v>0</v>
      </c>
      <c r="B2528" s="5" t="str">
        <f t="shared" si="25"/>
        <v>Y</v>
      </c>
      <c r="C2528" s="581" t="s">
        <v>13257</v>
      </c>
      <c r="D2528" s="581"/>
      <c r="E2528" s="581" t="s">
        <v>13258</v>
      </c>
      <c r="F2528" s="451">
        <v>22342</v>
      </c>
      <c r="G2528" s="386">
        <v>44817</v>
      </c>
      <c r="H2528" s="386">
        <v>44817</v>
      </c>
      <c r="L2528">
        <v>9204582509</v>
      </c>
    </row>
    <row r="2529" spans="1:12" ht="15" customHeight="1">
      <c r="A2529" s="5" t="s">
        <v>0</v>
      </c>
      <c r="B2529" s="5" t="str">
        <f t="shared" si="25"/>
        <v>Y</v>
      </c>
      <c r="C2529" s="586" t="s">
        <v>13270</v>
      </c>
      <c r="D2529" s="586"/>
      <c r="E2529" s="586" t="s">
        <v>13271</v>
      </c>
      <c r="F2529" s="451">
        <v>37014</v>
      </c>
      <c r="G2529" s="386">
        <v>44818</v>
      </c>
      <c r="H2529" s="386">
        <v>44818</v>
      </c>
      <c r="L2529">
        <v>7667031876</v>
      </c>
    </row>
    <row r="2530" spans="1:12" ht="15" customHeight="1">
      <c r="A2530" s="5" t="s">
        <v>0</v>
      </c>
      <c r="B2530" s="5" t="str">
        <f t="shared" si="25"/>
        <v>Y</v>
      </c>
      <c r="C2530" s="587" t="s">
        <v>13273</v>
      </c>
      <c r="D2530" s="587"/>
      <c r="E2530" s="587" t="s">
        <v>13272</v>
      </c>
      <c r="F2530" s="451">
        <v>25203</v>
      </c>
      <c r="G2530" s="386">
        <v>44820</v>
      </c>
      <c r="H2530" s="386">
        <v>44820</v>
      </c>
      <c r="L2530">
        <v>7488361901</v>
      </c>
    </row>
    <row r="2531" spans="1:12" ht="15" customHeight="1">
      <c r="A2531" s="5" t="s">
        <v>0</v>
      </c>
      <c r="B2531" s="5" t="str">
        <f t="shared" si="25"/>
        <v>Y</v>
      </c>
      <c r="C2531" s="589" t="s">
        <v>13283</v>
      </c>
      <c r="D2531" s="589"/>
      <c r="E2531" s="589" t="s">
        <v>13282</v>
      </c>
      <c r="F2531" s="451">
        <v>39488</v>
      </c>
      <c r="G2531" s="386">
        <v>44821</v>
      </c>
      <c r="H2531" s="386">
        <v>44821</v>
      </c>
      <c r="L2531">
        <v>7543917665</v>
      </c>
    </row>
    <row r="2532" spans="1:12" ht="15" customHeight="1">
      <c r="A2532" s="5" t="s">
        <v>0</v>
      </c>
      <c r="B2532" s="5" t="str">
        <f t="shared" si="25"/>
        <v>Y</v>
      </c>
      <c r="C2532" s="590" t="s">
        <v>13284</v>
      </c>
      <c r="D2532" s="590"/>
      <c r="E2532" s="590" t="s">
        <v>13285</v>
      </c>
      <c r="F2532" s="451">
        <v>32277</v>
      </c>
      <c r="G2532" s="386">
        <v>44824</v>
      </c>
      <c r="H2532" s="386">
        <v>44825</v>
      </c>
      <c r="L2532">
        <v>9102722183</v>
      </c>
    </row>
    <row r="2533" spans="1:12" ht="15" customHeight="1">
      <c r="A2533" s="5" t="s">
        <v>0</v>
      </c>
      <c r="B2533" s="5" t="str">
        <f t="shared" si="25"/>
        <v>Y</v>
      </c>
      <c r="C2533" s="590" t="s">
        <v>13287</v>
      </c>
      <c r="D2533" s="590"/>
      <c r="E2533" s="590" t="s">
        <v>13286</v>
      </c>
      <c r="F2533" s="451">
        <v>38185</v>
      </c>
      <c r="G2533" s="386">
        <v>44825</v>
      </c>
      <c r="H2533" s="386">
        <v>44825</v>
      </c>
      <c r="L2533">
        <v>8210360960</v>
      </c>
    </row>
    <row r="2534" spans="1:12" ht="15" customHeight="1">
      <c r="A2534" s="5" t="s">
        <v>0</v>
      </c>
      <c r="B2534" s="5" t="str">
        <f t="shared" si="25"/>
        <v>Y</v>
      </c>
      <c r="C2534" s="590" t="s">
        <v>13288</v>
      </c>
      <c r="D2534" s="590"/>
      <c r="E2534" s="590" t="s">
        <v>13289</v>
      </c>
      <c r="F2534" s="451">
        <v>27618</v>
      </c>
      <c r="G2534" s="386">
        <v>44825</v>
      </c>
      <c r="H2534" s="386">
        <v>44825</v>
      </c>
      <c r="L2534">
        <v>8092872669</v>
      </c>
    </row>
    <row r="2535" spans="1:12" ht="15" customHeight="1">
      <c r="A2535" s="5" t="s">
        <v>0</v>
      </c>
      <c r="B2535" s="5" t="str">
        <f t="shared" si="25"/>
        <v>Y</v>
      </c>
      <c r="C2535" s="591" t="s">
        <v>13290</v>
      </c>
      <c r="D2535" s="591"/>
      <c r="E2535" s="591" t="s">
        <v>2946</v>
      </c>
      <c r="F2535" s="451">
        <v>36152</v>
      </c>
      <c r="G2535" s="386">
        <v>44826</v>
      </c>
      <c r="H2535" s="386">
        <v>44826</v>
      </c>
      <c r="L2535">
        <v>9534201612</v>
      </c>
    </row>
    <row r="2536" spans="1:12" ht="15" customHeight="1">
      <c r="A2536" s="5" t="s">
        <v>0</v>
      </c>
      <c r="B2536" s="5" t="str">
        <f t="shared" si="25"/>
        <v>Y</v>
      </c>
      <c r="C2536" s="592" t="s">
        <v>13292</v>
      </c>
      <c r="D2536" s="592"/>
      <c r="E2536" s="592" t="s">
        <v>13293</v>
      </c>
      <c r="F2536" s="451">
        <v>32119</v>
      </c>
      <c r="G2536" s="386">
        <v>44828</v>
      </c>
      <c r="H2536" s="386">
        <v>44828</v>
      </c>
      <c r="L2536">
        <v>9572200620</v>
      </c>
    </row>
    <row r="2537" spans="1:12" ht="15" customHeight="1">
      <c r="A2537" s="5" t="s">
        <v>0</v>
      </c>
      <c r="B2537" s="5" t="str">
        <f t="shared" si="25"/>
        <v>Y</v>
      </c>
      <c r="C2537" s="592" t="s">
        <v>13294</v>
      </c>
      <c r="D2537" s="592"/>
      <c r="E2537" s="592" t="s">
        <v>10020</v>
      </c>
      <c r="F2537" s="451">
        <v>27023</v>
      </c>
      <c r="G2537" s="386">
        <v>44828</v>
      </c>
      <c r="H2537" s="386">
        <v>44829</v>
      </c>
      <c r="L2537">
        <v>9334046531</v>
      </c>
    </row>
    <row r="2538" spans="1:12" ht="15" customHeight="1">
      <c r="A2538" s="5" t="s">
        <v>0</v>
      </c>
      <c r="B2538" s="5" t="str">
        <f t="shared" si="25"/>
        <v>Y</v>
      </c>
      <c r="C2538" s="594" t="s">
        <v>13304</v>
      </c>
      <c r="D2538" s="594"/>
      <c r="E2538" s="594" t="s">
        <v>13305</v>
      </c>
      <c r="F2538" s="451">
        <v>30584</v>
      </c>
      <c r="G2538" s="386">
        <v>44830</v>
      </c>
      <c r="H2538" s="386">
        <v>44830</v>
      </c>
      <c r="L2538">
        <v>7739015099</v>
      </c>
    </row>
    <row r="2539" spans="1:12" ht="15" customHeight="1">
      <c r="A2539" s="5" t="s">
        <v>0</v>
      </c>
      <c r="B2539" s="5" t="str">
        <f t="shared" si="25"/>
        <v>Y</v>
      </c>
      <c r="C2539" s="595" t="s">
        <v>13308</v>
      </c>
      <c r="D2539" s="595"/>
      <c r="E2539" s="595" t="s">
        <v>13309</v>
      </c>
      <c r="F2539" s="451">
        <v>37687</v>
      </c>
      <c r="G2539" s="386">
        <v>44833</v>
      </c>
      <c r="H2539" s="386">
        <v>44833</v>
      </c>
      <c r="L2539">
        <v>9534316305</v>
      </c>
    </row>
    <row r="2540" spans="1:12" ht="15" customHeight="1">
      <c r="A2540" s="5" t="s">
        <v>0</v>
      </c>
      <c r="B2540" s="5" t="str">
        <f t="shared" si="25"/>
        <v>Y</v>
      </c>
      <c r="C2540" t="s">
        <v>13306</v>
      </c>
      <c r="E2540" t="s">
        <v>13307</v>
      </c>
      <c r="F2540" s="451">
        <v>37677</v>
      </c>
      <c r="G2540" s="386">
        <v>44833</v>
      </c>
      <c r="H2540" s="386">
        <v>44833</v>
      </c>
      <c r="L2540">
        <v>7667031876</v>
      </c>
    </row>
    <row r="2541" spans="1:12" ht="15" customHeight="1">
      <c r="A2541" s="5" t="s">
        <v>0</v>
      </c>
      <c r="B2541" s="5" t="str">
        <f t="shared" si="25"/>
        <v>Y</v>
      </c>
      <c r="C2541" t="s">
        <v>13310</v>
      </c>
      <c r="E2541" t="s">
        <v>7085</v>
      </c>
      <c r="F2541" s="451">
        <v>35720</v>
      </c>
      <c r="G2541" s="386">
        <v>44833</v>
      </c>
      <c r="H2541" s="386">
        <v>44833</v>
      </c>
      <c r="L2541">
        <v>9199916336</v>
      </c>
    </row>
    <row r="2542" spans="1:12" ht="15" customHeight="1">
      <c r="A2542" s="5" t="s">
        <v>0</v>
      </c>
      <c r="B2542" s="5" t="str">
        <f t="shared" si="25"/>
        <v>Y</v>
      </c>
      <c r="C2542" t="s">
        <v>13311</v>
      </c>
      <c r="E2542" t="s">
        <v>13312</v>
      </c>
      <c r="F2542" s="451">
        <v>27030</v>
      </c>
      <c r="G2542" s="386">
        <v>44833</v>
      </c>
      <c r="H2542" s="386">
        <v>44833</v>
      </c>
      <c r="L2542">
        <v>9709352920</v>
      </c>
    </row>
    <row r="2543" spans="1:12" ht="15" customHeight="1">
      <c r="A2543" s="5" t="s">
        <v>0</v>
      </c>
      <c r="B2543" s="5" t="str">
        <f t="shared" si="25"/>
        <v>Y</v>
      </c>
      <c r="C2543" t="s">
        <v>13316</v>
      </c>
      <c r="E2543" s="596" t="s">
        <v>13313</v>
      </c>
      <c r="F2543" s="451">
        <v>38075</v>
      </c>
      <c r="G2543" s="386">
        <v>44834</v>
      </c>
      <c r="H2543" s="386">
        <v>44834</v>
      </c>
      <c r="L2543">
        <v>7209499262</v>
      </c>
    </row>
    <row r="2544" spans="1:12" ht="15" customHeight="1">
      <c r="A2544" s="5" t="s">
        <v>0</v>
      </c>
      <c r="B2544" s="5" t="str">
        <f t="shared" si="25"/>
        <v>Y</v>
      </c>
      <c r="C2544" t="s">
        <v>13315</v>
      </c>
      <c r="E2544" s="596" t="s">
        <v>13314</v>
      </c>
      <c r="F2544" s="451">
        <v>25569</v>
      </c>
      <c r="G2544" s="386">
        <v>44834</v>
      </c>
      <c r="H2544" s="386">
        <v>44834</v>
      </c>
      <c r="L2544">
        <v>9204388778</v>
      </c>
    </row>
    <row r="2545" spans="1:13" ht="15" customHeight="1">
      <c r="A2545" s="5" t="s">
        <v>0</v>
      </c>
      <c r="B2545" s="5" t="str">
        <f t="shared" si="25"/>
        <v>Y</v>
      </c>
      <c r="C2545" t="s">
        <v>13317</v>
      </c>
      <c r="E2545" s="597" t="s">
        <v>4350</v>
      </c>
      <c r="F2545" s="451">
        <v>37290</v>
      </c>
      <c r="G2545" s="386">
        <v>44835</v>
      </c>
      <c r="H2545" s="386">
        <v>44835</v>
      </c>
      <c r="L2545">
        <v>7847064206</v>
      </c>
    </row>
    <row r="2546" spans="1:13" ht="15" customHeight="1">
      <c r="A2546" s="5" t="s">
        <v>0</v>
      </c>
      <c r="B2546" s="5" t="str">
        <f t="shared" si="25"/>
        <v>Y</v>
      </c>
      <c r="C2546" t="s">
        <v>13318</v>
      </c>
      <c r="E2546" s="598" t="s">
        <v>13319</v>
      </c>
      <c r="F2546" s="451">
        <v>33239</v>
      </c>
      <c r="G2546" s="386">
        <v>44836</v>
      </c>
      <c r="H2546" s="386">
        <v>44837</v>
      </c>
      <c r="L2546">
        <v>9693126562</v>
      </c>
    </row>
    <row r="2547" spans="1:13" ht="15" customHeight="1">
      <c r="A2547" s="5" t="s">
        <v>0</v>
      </c>
      <c r="B2547" s="5" t="str">
        <f t="shared" si="25"/>
        <v>Y</v>
      </c>
      <c r="C2547" t="s">
        <v>13320</v>
      </c>
      <c r="E2547" s="598" t="s">
        <v>13321</v>
      </c>
      <c r="F2547" s="451">
        <v>28184</v>
      </c>
      <c r="G2547" s="386">
        <v>44836</v>
      </c>
      <c r="H2547" s="386">
        <v>44836</v>
      </c>
      <c r="L2547">
        <v>9682504080</v>
      </c>
    </row>
    <row r="2548" spans="1:13" ht="15" customHeight="1">
      <c r="A2548" s="5" t="s">
        <v>0</v>
      </c>
      <c r="B2548" s="5" t="str">
        <f t="shared" si="25"/>
        <v>Y</v>
      </c>
      <c r="C2548" s="599" t="s">
        <v>13322</v>
      </c>
      <c r="D2548" s="599"/>
      <c r="E2548" s="599" t="s">
        <v>13323</v>
      </c>
      <c r="F2548" s="451">
        <v>36161</v>
      </c>
      <c r="G2548" s="386">
        <v>44837</v>
      </c>
      <c r="H2548" s="386">
        <v>44837</v>
      </c>
      <c r="L2548">
        <v>8294274410</v>
      </c>
    </row>
    <row r="2549" spans="1:13" ht="15" customHeight="1">
      <c r="A2549" s="5" t="s">
        <v>0</v>
      </c>
      <c r="B2549" s="5" t="str">
        <f t="shared" si="25"/>
        <v>Y</v>
      </c>
      <c r="C2549" s="601" t="s">
        <v>13326</v>
      </c>
      <c r="D2549" s="601"/>
      <c r="E2549" s="601" t="s">
        <v>13327</v>
      </c>
      <c r="F2549" s="451">
        <v>31280</v>
      </c>
      <c r="G2549" s="386">
        <v>44840</v>
      </c>
      <c r="H2549" s="386">
        <v>44840</v>
      </c>
      <c r="L2549">
        <v>9031212369</v>
      </c>
    </row>
    <row r="2550" spans="1:13" ht="15" customHeight="1">
      <c r="A2550" s="5" t="s">
        <v>0</v>
      </c>
      <c r="B2550" s="5" t="str">
        <f t="shared" si="25"/>
        <v>Y</v>
      </c>
      <c r="C2550" s="602" t="s">
        <v>13329</v>
      </c>
      <c r="D2550" s="602"/>
      <c r="E2550" s="602" t="s">
        <v>13328</v>
      </c>
      <c r="F2550" s="451">
        <v>36278</v>
      </c>
      <c r="G2550" s="386">
        <v>44841</v>
      </c>
      <c r="H2550" s="386">
        <v>44842</v>
      </c>
      <c r="L2550">
        <v>6207979522</v>
      </c>
    </row>
    <row r="2551" spans="1:13" ht="15" customHeight="1">
      <c r="A2551" s="5" t="s">
        <v>0</v>
      </c>
      <c r="B2551" s="5" t="str">
        <f t="shared" si="25"/>
        <v>Y</v>
      </c>
      <c r="C2551" s="603" t="s">
        <v>13330</v>
      </c>
      <c r="D2551" s="603"/>
      <c r="E2551" s="603" t="s">
        <v>13331</v>
      </c>
      <c r="F2551" s="451">
        <v>38218</v>
      </c>
      <c r="G2551" s="386">
        <v>44843</v>
      </c>
      <c r="H2551" s="386">
        <v>44843</v>
      </c>
      <c r="L2551">
        <v>8102842265</v>
      </c>
    </row>
    <row r="2552" spans="1:13" ht="15" customHeight="1">
      <c r="A2552" s="5" t="s">
        <v>0</v>
      </c>
      <c r="B2552" s="5" t="str">
        <f t="shared" si="25"/>
        <v>Y</v>
      </c>
      <c r="C2552" s="604" t="s">
        <v>13335</v>
      </c>
      <c r="D2552" s="604"/>
      <c r="E2552" s="604" t="s">
        <v>1991</v>
      </c>
      <c r="F2552" s="451">
        <v>31779</v>
      </c>
      <c r="G2552" s="386">
        <v>44845</v>
      </c>
      <c r="H2552" s="386">
        <v>44845</v>
      </c>
      <c r="L2552">
        <v>8877697042</v>
      </c>
    </row>
    <row r="2553" spans="1:13" ht="15" customHeight="1">
      <c r="A2553" s="5" t="s">
        <v>0</v>
      </c>
      <c r="B2553" s="5" t="str">
        <f t="shared" si="25"/>
        <v>Y</v>
      </c>
      <c r="C2553" s="604" t="s">
        <v>13336</v>
      </c>
      <c r="D2553" s="604"/>
      <c r="E2553" s="604" t="s">
        <v>2706</v>
      </c>
      <c r="F2553" s="451">
        <v>38229</v>
      </c>
      <c r="G2553" s="386">
        <v>44844</v>
      </c>
      <c r="H2553" s="386">
        <v>44845</v>
      </c>
      <c r="L2553">
        <v>9523990898</v>
      </c>
    </row>
    <row r="2554" spans="1:13" ht="15" customHeight="1">
      <c r="A2554" s="5" t="s">
        <v>0</v>
      </c>
      <c r="B2554" s="5" t="str">
        <f t="shared" si="25"/>
        <v>Y</v>
      </c>
      <c r="C2554" s="605" t="s">
        <v>13337</v>
      </c>
      <c r="D2554" s="605"/>
      <c r="E2554" s="605" t="s">
        <v>13338</v>
      </c>
      <c r="F2554" s="451">
        <v>37753</v>
      </c>
      <c r="G2554" s="386">
        <v>44846</v>
      </c>
      <c r="H2554" s="386">
        <v>44846</v>
      </c>
      <c r="L2554">
        <v>8969365061</v>
      </c>
    </row>
    <row r="2555" spans="1:13" ht="15" customHeight="1">
      <c r="A2555" s="5" t="s">
        <v>0</v>
      </c>
      <c r="B2555" s="5" t="str">
        <f t="shared" si="25"/>
        <v>Y</v>
      </c>
      <c r="C2555" s="605" t="s">
        <v>13339</v>
      </c>
      <c r="D2555" s="605"/>
      <c r="E2555" s="605" t="s">
        <v>13340</v>
      </c>
      <c r="F2555" s="451">
        <v>38080</v>
      </c>
      <c r="G2555" s="386">
        <v>44846</v>
      </c>
      <c r="H2555" s="386">
        <v>44846</v>
      </c>
      <c r="L2555">
        <v>9905385179</v>
      </c>
    </row>
    <row r="2556" spans="1:13" ht="15" customHeight="1">
      <c r="A2556" s="5" t="s">
        <v>0</v>
      </c>
      <c r="B2556" s="5" t="str">
        <f t="shared" si="25"/>
        <v>Y</v>
      </c>
      <c r="C2556" s="607" t="s">
        <v>13341</v>
      </c>
      <c r="D2556" s="607"/>
      <c r="E2556" s="607" t="s">
        <v>13342</v>
      </c>
      <c r="F2556" s="451">
        <v>31274</v>
      </c>
      <c r="G2556" s="386">
        <v>44848</v>
      </c>
      <c r="H2556" s="386">
        <v>44848</v>
      </c>
      <c r="K2556" t="s">
        <v>7138</v>
      </c>
      <c r="L2556">
        <v>8210151305</v>
      </c>
    </row>
    <row r="2557" spans="1:13" ht="15" customHeight="1">
      <c r="A2557" s="5" t="s">
        <v>0</v>
      </c>
      <c r="B2557" s="5" t="str">
        <f t="shared" si="25"/>
        <v>Y</v>
      </c>
      <c r="C2557" s="607" t="s">
        <v>13343</v>
      </c>
      <c r="D2557" s="607"/>
      <c r="E2557" s="607" t="s">
        <v>13344</v>
      </c>
      <c r="F2557" s="451">
        <v>29550</v>
      </c>
      <c r="G2557" s="386">
        <v>44848</v>
      </c>
      <c r="H2557" s="386">
        <v>44848</v>
      </c>
      <c r="K2557" t="s">
        <v>7138</v>
      </c>
      <c r="L2557">
        <v>8210151305</v>
      </c>
    </row>
    <row r="2558" spans="1:13" ht="15" customHeight="1">
      <c r="A2558" s="5" t="s">
        <v>0</v>
      </c>
      <c r="B2558" s="5" t="str">
        <f t="shared" si="25"/>
        <v>Y</v>
      </c>
      <c r="C2558" s="608" t="s">
        <v>13345</v>
      </c>
      <c r="D2558" s="608"/>
      <c r="E2558" s="608" t="s">
        <v>13346</v>
      </c>
      <c r="F2558" s="451">
        <v>37109</v>
      </c>
      <c r="G2558" s="386">
        <v>44850</v>
      </c>
      <c r="H2558" s="386">
        <v>44850</v>
      </c>
      <c r="L2558">
        <v>9304116523</v>
      </c>
    </row>
    <row r="2559" spans="1:13" ht="15" customHeight="1">
      <c r="A2559" s="5" t="s">
        <v>0</v>
      </c>
      <c r="B2559" s="5" t="str">
        <f t="shared" si="25"/>
        <v>Y</v>
      </c>
      <c r="C2559" s="610" t="s">
        <v>13350</v>
      </c>
      <c r="D2559" s="610"/>
      <c r="E2559" s="609" t="s">
        <v>13347</v>
      </c>
      <c r="F2559" s="451">
        <v>34767</v>
      </c>
      <c r="G2559" s="386">
        <v>44850</v>
      </c>
      <c r="H2559" s="386">
        <v>44850</v>
      </c>
      <c r="I2559" t="s">
        <v>13348</v>
      </c>
      <c r="L2559">
        <v>7209788135</v>
      </c>
      <c r="M2559" t="s">
        <v>13349</v>
      </c>
    </row>
    <row r="2560" spans="1:13" ht="15" customHeight="1">
      <c r="A2560" s="5" t="s">
        <v>0</v>
      </c>
      <c r="B2560" s="5" t="str">
        <f t="shared" si="25"/>
        <v>Y</v>
      </c>
      <c r="C2560" s="611" t="s">
        <v>13351</v>
      </c>
      <c r="D2560" s="611"/>
      <c r="E2560" s="611" t="s">
        <v>13352</v>
      </c>
      <c r="F2560" s="386">
        <v>36908</v>
      </c>
      <c r="G2560" s="386">
        <v>44851</v>
      </c>
      <c r="H2560" s="386">
        <v>44851</v>
      </c>
      <c r="L2560">
        <v>7209980870</v>
      </c>
      <c r="M2560" t="s">
        <v>934</v>
      </c>
    </row>
    <row r="2561" spans="1:12" ht="15" customHeight="1">
      <c r="A2561" s="5" t="s">
        <v>0</v>
      </c>
      <c r="B2561" s="5" t="str">
        <f t="shared" si="25"/>
        <v>Y</v>
      </c>
      <c r="C2561" s="612" t="s">
        <v>13355</v>
      </c>
      <c r="D2561" s="612"/>
      <c r="E2561" s="612" t="s">
        <v>13356</v>
      </c>
      <c r="F2561" s="451">
        <v>32367</v>
      </c>
      <c r="G2561" s="386">
        <v>44855</v>
      </c>
      <c r="H2561" s="386">
        <v>44855</v>
      </c>
      <c r="L2561">
        <v>9693556648</v>
      </c>
    </row>
    <row r="2562" spans="1:12" ht="15" customHeight="1">
      <c r="A2562" s="5" t="s">
        <v>0</v>
      </c>
      <c r="B2562" s="5" t="str">
        <f t="shared" si="25"/>
        <v>Y</v>
      </c>
      <c r="C2562" s="613" t="s">
        <v>13359</v>
      </c>
      <c r="D2562" s="613"/>
      <c r="E2562" s="613" t="s">
        <v>13358</v>
      </c>
      <c r="F2562" s="451">
        <v>36600</v>
      </c>
      <c r="G2562" s="386">
        <v>44855</v>
      </c>
      <c r="H2562" s="386">
        <v>44855</v>
      </c>
      <c r="L2562">
        <v>7319734057</v>
      </c>
    </row>
    <row r="2563" spans="1:12" ht="15" customHeight="1">
      <c r="A2563" s="5" t="s">
        <v>0</v>
      </c>
      <c r="B2563" s="5" t="str">
        <f t="shared" si="25"/>
        <v>Y</v>
      </c>
      <c r="C2563" s="613" t="s">
        <v>13360</v>
      </c>
      <c r="D2563" s="613"/>
      <c r="E2563" s="613" t="s">
        <v>2639</v>
      </c>
      <c r="F2563" s="451">
        <v>36494</v>
      </c>
      <c r="G2563" s="386">
        <v>44855</v>
      </c>
      <c r="H2563" s="386">
        <v>44855</v>
      </c>
      <c r="L2563">
        <v>6299816631</v>
      </c>
    </row>
    <row r="2564" spans="1:12" ht="15" customHeight="1">
      <c r="A2564" s="5" t="s">
        <v>0</v>
      </c>
      <c r="B2564" s="5" t="str">
        <f t="shared" si="25"/>
        <v>Y</v>
      </c>
      <c r="C2564" s="614" t="s">
        <v>13361</v>
      </c>
      <c r="D2564" s="614"/>
      <c r="E2564" s="614" t="s">
        <v>13362</v>
      </c>
      <c r="F2564" s="451">
        <v>38245</v>
      </c>
      <c r="G2564" s="386">
        <v>44858</v>
      </c>
      <c r="H2564" s="386">
        <v>44858</v>
      </c>
      <c r="L2564">
        <v>7700898057</v>
      </c>
    </row>
    <row r="2565" spans="1:12" ht="15" customHeight="1">
      <c r="A2565" s="5" t="s">
        <v>0</v>
      </c>
      <c r="B2565" s="5" t="str">
        <f t="shared" si="25"/>
        <v>Y</v>
      </c>
      <c r="C2565" s="615" t="s">
        <v>13363</v>
      </c>
      <c r="D2565" s="615"/>
      <c r="E2565" s="615" t="s">
        <v>13364</v>
      </c>
      <c r="F2565" s="451">
        <v>38270</v>
      </c>
      <c r="G2565" s="386">
        <v>44860</v>
      </c>
      <c r="H2565" s="386">
        <v>44861</v>
      </c>
      <c r="L2565">
        <v>7004422570</v>
      </c>
    </row>
    <row r="2566" spans="1:12" ht="15" customHeight="1">
      <c r="A2566" s="5" t="s">
        <v>0</v>
      </c>
      <c r="B2566" s="5" t="str">
        <f t="shared" ref="B2566:B2629" si="26">IF(H2566="","N","Y")</f>
        <v>Y</v>
      </c>
      <c r="C2566" s="616" t="s">
        <v>13365</v>
      </c>
      <c r="D2566" s="616"/>
      <c r="E2566" s="616" t="s">
        <v>13366</v>
      </c>
      <c r="F2566" s="451">
        <v>37791</v>
      </c>
      <c r="G2566" s="386">
        <v>44861</v>
      </c>
      <c r="H2566" s="386">
        <v>44861</v>
      </c>
      <c r="L2566">
        <v>8936099641</v>
      </c>
    </row>
    <row r="2567" spans="1:12" ht="15" customHeight="1">
      <c r="A2567" s="5" t="s">
        <v>0</v>
      </c>
      <c r="B2567" s="5" t="str">
        <f t="shared" si="26"/>
        <v>Y</v>
      </c>
      <c r="C2567" s="616" t="s">
        <v>13367</v>
      </c>
      <c r="D2567" s="616"/>
      <c r="E2567" s="616" t="s">
        <v>13368</v>
      </c>
      <c r="F2567" s="451">
        <v>35879</v>
      </c>
      <c r="G2567" s="386">
        <v>44861</v>
      </c>
      <c r="H2567" s="386">
        <v>44861</v>
      </c>
      <c r="L2567">
        <v>8651029950</v>
      </c>
    </row>
    <row r="2568" spans="1:12" ht="15" customHeight="1">
      <c r="A2568" s="5" t="s">
        <v>0</v>
      </c>
      <c r="B2568" s="5" t="str">
        <f t="shared" si="26"/>
        <v>Y</v>
      </c>
      <c r="C2568" s="616" t="s">
        <v>13370</v>
      </c>
      <c r="D2568" s="616"/>
      <c r="E2568" s="616" t="s">
        <v>13371</v>
      </c>
      <c r="F2568" s="451">
        <v>36387</v>
      </c>
      <c r="G2568" s="386">
        <v>44861</v>
      </c>
      <c r="H2568" s="386">
        <v>44861</v>
      </c>
      <c r="L2568">
        <v>6202416129</v>
      </c>
    </row>
    <row r="2569" spans="1:12" ht="15" customHeight="1">
      <c r="A2569" s="5" t="s">
        <v>0</v>
      </c>
      <c r="B2569" s="5" t="str">
        <f t="shared" si="26"/>
        <v>Y</v>
      </c>
      <c r="C2569" s="617" t="s">
        <v>13374</v>
      </c>
      <c r="D2569" s="617"/>
      <c r="E2569" s="617" t="s">
        <v>13375</v>
      </c>
      <c r="F2569" s="451">
        <v>36987</v>
      </c>
      <c r="G2569" s="386">
        <v>44862</v>
      </c>
      <c r="H2569" s="386">
        <v>44862</v>
      </c>
      <c r="L2569">
        <v>9110124364</v>
      </c>
    </row>
    <row r="2570" spans="1:12" ht="15" customHeight="1">
      <c r="A2570" s="5" t="s">
        <v>0</v>
      </c>
      <c r="B2570" s="5" t="str">
        <f t="shared" si="26"/>
        <v>Y</v>
      </c>
      <c r="C2570" t="s">
        <v>13378</v>
      </c>
      <c r="E2570" s="618" t="s">
        <v>353</v>
      </c>
      <c r="F2570" s="451">
        <v>38263</v>
      </c>
      <c r="G2570" s="451">
        <v>44865</v>
      </c>
      <c r="H2570" s="451">
        <v>44865</v>
      </c>
      <c r="K2570" t="s">
        <v>13396</v>
      </c>
      <c r="L2570">
        <v>9931335705</v>
      </c>
    </row>
    <row r="2571" spans="1:12" ht="15" customHeight="1">
      <c r="A2571" s="5" t="s">
        <v>0</v>
      </c>
      <c r="B2571" s="5" t="str">
        <f t="shared" si="26"/>
        <v>Y</v>
      </c>
      <c r="C2571" t="s">
        <v>13380</v>
      </c>
      <c r="E2571" s="619" t="s">
        <v>712</v>
      </c>
      <c r="F2571" s="451">
        <v>30317</v>
      </c>
      <c r="G2571" s="386">
        <v>44867</v>
      </c>
      <c r="H2571" s="386">
        <v>44867</v>
      </c>
      <c r="L2571">
        <v>7970743490</v>
      </c>
    </row>
    <row r="2572" spans="1:12" ht="15" customHeight="1">
      <c r="A2572" s="5" t="s">
        <v>0</v>
      </c>
      <c r="B2572" s="5" t="str">
        <f t="shared" si="26"/>
        <v>Y</v>
      </c>
      <c r="C2572" t="s">
        <v>13381</v>
      </c>
      <c r="E2572" s="619" t="s">
        <v>13382</v>
      </c>
      <c r="F2572" s="451">
        <v>24839</v>
      </c>
      <c r="G2572" s="386">
        <v>44867</v>
      </c>
      <c r="H2572" s="386">
        <v>44867</v>
      </c>
      <c r="L2572">
        <v>7209617670</v>
      </c>
    </row>
    <row r="2573" spans="1:12" ht="15" customHeight="1">
      <c r="A2573" s="5" t="s">
        <v>0</v>
      </c>
      <c r="B2573" s="5" t="str">
        <f t="shared" si="26"/>
        <v>Y</v>
      </c>
      <c r="C2573" t="s">
        <v>13384</v>
      </c>
      <c r="E2573" s="620" t="s">
        <v>13385</v>
      </c>
      <c r="F2573" s="451">
        <v>29407</v>
      </c>
      <c r="G2573" s="386">
        <v>44868</v>
      </c>
      <c r="H2573" s="386">
        <v>44868</v>
      </c>
      <c r="L2573">
        <v>8002706703</v>
      </c>
    </row>
    <row r="2574" spans="1:12" ht="15" customHeight="1">
      <c r="A2574" s="5" t="s">
        <v>0</v>
      </c>
      <c r="B2574" s="5" t="str">
        <f t="shared" si="26"/>
        <v>Y</v>
      </c>
      <c r="C2574" t="s">
        <v>13386</v>
      </c>
      <c r="E2574" s="621" t="s">
        <v>13387</v>
      </c>
      <c r="F2574" s="451">
        <v>37396</v>
      </c>
      <c r="G2574" s="386">
        <v>44869</v>
      </c>
      <c r="H2574" s="386">
        <v>44869</v>
      </c>
      <c r="L2574">
        <v>8092666346</v>
      </c>
    </row>
    <row r="2575" spans="1:12" ht="15" customHeight="1">
      <c r="A2575" s="5" t="s">
        <v>0</v>
      </c>
      <c r="B2575" s="5" t="str">
        <f t="shared" si="26"/>
        <v>Y</v>
      </c>
      <c r="C2575" t="s">
        <v>13388</v>
      </c>
      <c r="E2575" s="622" t="s">
        <v>13389</v>
      </c>
      <c r="F2575" s="451">
        <v>37566</v>
      </c>
      <c r="G2575" s="386">
        <v>44869</v>
      </c>
      <c r="H2575" s="386">
        <v>44869</v>
      </c>
      <c r="L2575">
        <v>9523289823</v>
      </c>
    </row>
    <row r="2576" spans="1:12" ht="15" customHeight="1">
      <c r="A2576" s="5" t="s">
        <v>0</v>
      </c>
      <c r="B2576" s="5" t="str">
        <f t="shared" si="26"/>
        <v>Y</v>
      </c>
      <c r="C2576" t="s">
        <v>13390</v>
      </c>
      <c r="E2576" s="623" t="s">
        <v>13391</v>
      </c>
      <c r="F2576" s="451">
        <v>38240</v>
      </c>
      <c r="G2576" s="386">
        <v>44870</v>
      </c>
      <c r="H2576" s="386">
        <v>44870</v>
      </c>
      <c r="L2576">
        <v>9608956144</v>
      </c>
    </row>
    <row r="2577" spans="1:13" ht="15" customHeight="1">
      <c r="A2577" s="5" t="s">
        <v>0</v>
      </c>
      <c r="B2577" s="5" t="str">
        <f t="shared" si="26"/>
        <v>Y</v>
      </c>
      <c r="C2577" t="s">
        <v>13392</v>
      </c>
      <c r="E2577" s="624" t="s">
        <v>13393</v>
      </c>
      <c r="F2577" s="451">
        <v>37944</v>
      </c>
      <c r="G2577" s="386">
        <v>44871</v>
      </c>
      <c r="H2577" s="386">
        <v>44871</v>
      </c>
      <c r="L2577">
        <v>8709902698</v>
      </c>
    </row>
    <row r="2578" spans="1:13" ht="15" customHeight="1">
      <c r="A2578" s="5" t="s">
        <v>0</v>
      </c>
      <c r="B2578" s="5" t="str">
        <f t="shared" si="26"/>
        <v>Y</v>
      </c>
      <c r="C2578" t="s">
        <v>13394</v>
      </c>
      <c r="E2578" s="625" t="s">
        <v>13395</v>
      </c>
      <c r="F2578" s="451">
        <v>36991</v>
      </c>
      <c r="G2578" s="386">
        <v>44872</v>
      </c>
      <c r="H2578" s="386">
        <v>44872</v>
      </c>
      <c r="L2578">
        <v>9142999575</v>
      </c>
    </row>
    <row r="2579" spans="1:13" ht="15" customHeight="1">
      <c r="A2579" s="5" t="s">
        <v>0</v>
      </c>
      <c r="B2579" s="5" t="str">
        <f t="shared" si="26"/>
        <v>Y</v>
      </c>
      <c r="C2579" t="s">
        <v>13397</v>
      </c>
      <c r="E2579" s="626" t="s">
        <v>13398</v>
      </c>
      <c r="F2579" s="451">
        <v>37433</v>
      </c>
      <c r="G2579" s="386">
        <v>44873</v>
      </c>
      <c r="H2579" s="386">
        <v>44873</v>
      </c>
      <c r="L2579">
        <v>6201120241</v>
      </c>
    </row>
    <row r="2580" spans="1:13" ht="15" customHeight="1">
      <c r="A2580" s="5" t="s">
        <v>0</v>
      </c>
      <c r="B2580" s="5" t="str">
        <f t="shared" si="26"/>
        <v>Y</v>
      </c>
      <c r="C2580" t="s">
        <v>13399</v>
      </c>
      <c r="E2580" s="627" t="s">
        <v>13400</v>
      </c>
      <c r="F2580" s="451">
        <v>25333</v>
      </c>
      <c r="G2580" s="386">
        <v>44874</v>
      </c>
      <c r="H2580" s="386">
        <v>44874</v>
      </c>
      <c r="L2580">
        <v>7070429745</v>
      </c>
    </row>
    <row r="2581" spans="1:13" ht="15" customHeight="1">
      <c r="A2581" s="5" t="s">
        <v>0</v>
      </c>
      <c r="B2581" s="5" t="str">
        <f t="shared" si="26"/>
        <v>Y</v>
      </c>
      <c r="C2581" t="s">
        <v>13401</v>
      </c>
      <c r="E2581" s="627" t="s">
        <v>13402</v>
      </c>
      <c r="F2581" s="451">
        <v>25333</v>
      </c>
      <c r="G2581" s="386">
        <v>44874</v>
      </c>
      <c r="H2581" s="386">
        <v>44874</v>
      </c>
      <c r="L2581">
        <v>9572488078</v>
      </c>
    </row>
    <row r="2582" spans="1:13" ht="15" customHeight="1">
      <c r="A2582" s="5" t="s">
        <v>0</v>
      </c>
      <c r="B2582" s="5" t="str">
        <f t="shared" si="26"/>
        <v>Y</v>
      </c>
      <c r="C2582" t="s">
        <v>13403</v>
      </c>
      <c r="E2582" s="627" t="s">
        <v>10667</v>
      </c>
      <c r="F2582" s="451">
        <v>20528</v>
      </c>
      <c r="G2582" s="386">
        <v>44874</v>
      </c>
      <c r="H2582" s="386">
        <v>44874</v>
      </c>
      <c r="L2582">
        <v>8873091684</v>
      </c>
    </row>
    <row r="2583" spans="1:13" ht="15" customHeight="1">
      <c r="A2583" s="5" t="s">
        <v>0</v>
      </c>
      <c r="B2583" s="5" t="str">
        <f t="shared" si="26"/>
        <v>Y</v>
      </c>
      <c r="C2583" t="s">
        <v>13404</v>
      </c>
      <c r="E2583" s="627" t="s">
        <v>13405</v>
      </c>
      <c r="F2583" s="451">
        <v>22068</v>
      </c>
      <c r="G2583" s="386">
        <v>44874</v>
      </c>
      <c r="H2583" s="386">
        <v>44875</v>
      </c>
      <c r="L2583">
        <v>8603858014</v>
      </c>
    </row>
    <row r="2584" spans="1:13" ht="15" customHeight="1">
      <c r="A2584" s="5" t="s">
        <v>0</v>
      </c>
      <c r="B2584" s="5" t="str">
        <f t="shared" si="26"/>
        <v>Y</v>
      </c>
      <c r="C2584" t="s">
        <v>13409</v>
      </c>
      <c r="E2584" s="628" t="s">
        <v>13410</v>
      </c>
      <c r="F2584" s="451">
        <v>21186</v>
      </c>
      <c r="G2584" s="386">
        <v>44874</v>
      </c>
      <c r="H2584" s="386">
        <v>44876</v>
      </c>
      <c r="K2584" t="s">
        <v>7138</v>
      </c>
      <c r="L2584">
        <v>7050060933</v>
      </c>
    </row>
    <row r="2585" spans="1:13" ht="15" customHeight="1">
      <c r="A2585" s="5" t="s">
        <v>0</v>
      </c>
      <c r="B2585" s="5" t="str">
        <f t="shared" si="26"/>
        <v>Y</v>
      </c>
      <c r="C2585" t="s">
        <v>13413</v>
      </c>
      <c r="E2585" s="629" t="s">
        <v>13414</v>
      </c>
      <c r="F2585" s="451">
        <v>21916</v>
      </c>
      <c r="G2585" s="386">
        <v>44874</v>
      </c>
      <c r="H2585" s="386">
        <v>44877</v>
      </c>
      <c r="K2585" t="s">
        <v>7138</v>
      </c>
      <c r="L2585">
        <v>7050060933</v>
      </c>
    </row>
    <row r="2586" spans="1:13" ht="15" customHeight="1">
      <c r="A2586" s="5" t="s">
        <v>0</v>
      </c>
      <c r="B2586" s="5" t="str">
        <f t="shared" si="26"/>
        <v>Y</v>
      </c>
      <c r="C2586" t="s">
        <v>13406</v>
      </c>
      <c r="E2586" t="s">
        <v>13407</v>
      </c>
      <c r="F2586" s="451">
        <v>37664</v>
      </c>
      <c r="G2586" s="386">
        <v>44875</v>
      </c>
      <c r="H2586" s="386">
        <v>44875</v>
      </c>
      <c r="L2586">
        <v>8797592416</v>
      </c>
    </row>
    <row r="2587" spans="1:13" ht="15" customHeight="1">
      <c r="A2587" s="5" t="s">
        <v>0</v>
      </c>
      <c r="B2587" s="5" t="str">
        <f t="shared" si="26"/>
        <v>Y</v>
      </c>
      <c r="C2587" t="s">
        <v>13408</v>
      </c>
      <c r="E2587" t="s">
        <v>12727</v>
      </c>
      <c r="F2587" s="451">
        <v>30141</v>
      </c>
      <c r="G2587" s="386">
        <v>44875</v>
      </c>
      <c r="H2587" s="386">
        <v>44875</v>
      </c>
      <c r="L2587">
        <v>7008218699</v>
      </c>
    </row>
    <row r="2588" spans="1:13" ht="15" customHeight="1">
      <c r="A2588" s="5" t="s">
        <v>0</v>
      </c>
      <c r="B2588" s="5" t="str">
        <f t="shared" si="26"/>
        <v>Y</v>
      </c>
      <c r="C2588" t="s">
        <v>13411</v>
      </c>
      <c r="E2588" t="s">
        <v>13412</v>
      </c>
      <c r="F2588" s="451">
        <v>34745</v>
      </c>
      <c r="G2588" s="386">
        <v>44876</v>
      </c>
      <c r="H2588" s="386">
        <v>44876</v>
      </c>
      <c r="L2588">
        <v>9204401811</v>
      </c>
    </row>
    <row r="2589" spans="1:13" ht="15" customHeight="1">
      <c r="A2589" s="5" t="s">
        <v>0</v>
      </c>
      <c r="B2589" s="5" t="str">
        <f t="shared" si="26"/>
        <v>Y</v>
      </c>
      <c r="C2589" t="s">
        <v>13415</v>
      </c>
      <c r="E2589" t="s">
        <v>12257</v>
      </c>
      <c r="F2589" s="451">
        <v>37970</v>
      </c>
      <c r="G2589" s="386">
        <v>44877</v>
      </c>
      <c r="H2589" s="386">
        <v>44877</v>
      </c>
      <c r="J2589" t="s">
        <v>13464</v>
      </c>
      <c r="L2589">
        <v>9508598711</v>
      </c>
      <c r="M2589" s="386">
        <v>44895</v>
      </c>
    </row>
    <row r="2590" spans="1:13" ht="15" customHeight="1">
      <c r="A2590" s="5" t="s">
        <v>0</v>
      </c>
      <c r="B2590" s="5" t="str">
        <f t="shared" si="26"/>
        <v>Y</v>
      </c>
      <c r="C2590" t="s">
        <v>13416</v>
      </c>
      <c r="E2590" t="s">
        <v>13417</v>
      </c>
      <c r="F2590" s="451">
        <v>32257</v>
      </c>
      <c r="G2590" s="386">
        <v>44877</v>
      </c>
      <c r="H2590" s="386">
        <v>44877</v>
      </c>
      <c r="L2590">
        <v>8252084450</v>
      </c>
    </row>
    <row r="2591" spans="1:13" ht="15" customHeight="1">
      <c r="A2591" s="5" t="s">
        <v>0</v>
      </c>
      <c r="B2591" s="5" t="str">
        <f t="shared" si="26"/>
        <v>Y</v>
      </c>
      <c r="C2591" t="s">
        <v>13418</v>
      </c>
      <c r="E2591" t="s">
        <v>13419</v>
      </c>
      <c r="F2591" s="451">
        <v>29638</v>
      </c>
      <c r="G2591" s="386">
        <v>44878</v>
      </c>
      <c r="H2591" s="386">
        <v>44878</v>
      </c>
      <c r="L2591">
        <v>9717302721</v>
      </c>
      <c r="M2591" s="463" t="s">
        <v>13431</v>
      </c>
    </row>
    <row r="2592" spans="1:13" ht="15" customHeight="1">
      <c r="A2592" s="5" t="s">
        <v>0</v>
      </c>
      <c r="B2592" s="5" t="str">
        <f t="shared" si="26"/>
        <v>Y</v>
      </c>
      <c r="C2592" t="s">
        <v>13420</v>
      </c>
      <c r="E2592" t="s">
        <v>13421</v>
      </c>
      <c r="F2592" s="451">
        <v>36892</v>
      </c>
      <c r="G2592" s="386">
        <v>44878</v>
      </c>
      <c r="H2592" s="386">
        <v>44878</v>
      </c>
      <c r="K2592" t="s">
        <v>7138</v>
      </c>
      <c r="L2592">
        <v>8294477190</v>
      </c>
    </row>
    <row r="2593" spans="1:12" ht="15" customHeight="1">
      <c r="A2593" s="5" t="s">
        <v>0</v>
      </c>
      <c r="B2593" s="5" t="str">
        <f t="shared" si="26"/>
        <v>Y</v>
      </c>
      <c r="C2593" t="s">
        <v>13422</v>
      </c>
      <c r="E2593" t="s">
        <v>6611</v>
      </c>
      <c r="F2593" s="451">
        <v>41900</v>
      </c>
      <c r="G2593" s="386">
        <v>44882</v>
      </c>
      <c r="H2593" s="386">
        <v>44882</v>
      </c>
      <c r="L2593">
        <v>9341907853</v>
      </c>
    </row>
    <row r="2594" spans="1:12" ht="15" customHeight="1">
      <c r="A2594" s="5" t="s">
        <v>0</v>
      </c>
      <c r="B2594" s="5" t="str">
        <f t="shared" si="26"/>
        <v>Y</v>
      </c>
      <c r="C2594" t="s">
        <v>13423</v>
      </c>
      <c r="E2594" t="s">
        <v>13424</v>
      </c>
      <c r="F2594" s="451">
        <v>29221</v>
      </c>
      <c r="G2594" s="386">
        <v>44882</v>
      </c>
      <c r="H2594" s="386">
        <v>44882</v>
      </c>
      <c r="L2594">
        <v>821195850</v>
      </c>
    </row>
    <row r="2595" spans="1:12" ht="15" customHeight="1">
      <c r="A2595" s="5" t="s">
        <v>0</v>
      </c>
      <c r="B2595" s="5" t="str">
        <f t="shared" si="26"/>
        <v>Y</v>
      </c>
      <c r="C2595" t="s">
        <v>13425</v>
      </c>
      <c r="E2595" t="s">
        <v>13426</v>
      </c>
      <c r="F2595" s="451">
        <v>29447</v>
      </c>
      <c r="G2595" s="386">
        <v>44882</v>
      </c>
      <c r="H2595" s="386">
        <v>44882</v>
      </c>
      <c r="L2595">
        <v>9835732829</v>
      </c>
    </row>
    <row r="2596" spans="1:12" ht="15" customHeight="1">
      <c r="A2596" s="5" t="s">
        <v>0</v>
      </c>
      <c r="B2596" s="5" t="str">
        <f t="shared" si="26"/>
        <v>Y</v>
      </c>
      <c r="C2596" t="s">
        <v>13427</v>
      </c>
      <c r="E2596" t="s">
        <v>13428</v>
      </c>
      <c r="F2596" s="451">
        <v>19793</v>
      </c>
      <c r="G2596" s="386">
        <v>44884</v>
      </c>
      <c r="H2596" s="386">
        <v>44884</v>
      </c>
      <c r="L2596">
        <v>7047916103</v>
      </c>
    </row>
    <row r="2597" spans="1:12" ht="15" customHeight="1">
      <c r="A2597" s="5" t="s">
        <v>0</v>
      </c>
      <c r="B2597" s="5" t="str">
        <f t="shared" si="26"/>
        <v>Y</v>
      </c>
      <c r="C2597" t="s">
        <v>13429</v>
      </c>
      <c r="E2597" t="s">
        <v>13430</v>
      </c>
      <c r="F2597" s="451">
        <v>35828</v>
      </c>
      <c r="G2597" s="386">
        <v>44884</v>
      </c>
      <c r="H2597" s="386">
        <v>44884</v>
      </c>
      <c r="L2597">
        <v>9386005926</v>
      </c>
    </row>
    <row r="2598" spans="1:12" ht="15" customHeight="1">
      <c r="A2598" s="5" t="s">
        <v>0</v>
      </c>
      <c r="B2598" s="5" t="str">
        <f t="shared" si="26"/>
        <v>Y</v>
      </c>
      <c r="C2598" s="630" t="s">
        <v>13435</v>
      </c>
      <c r="D2598" s="630"/>
      <c r="E2598" s="630" t="s">
        <v>13436</v>
      </c>
      <c r="F2598" s="451">
        <v>32247</v>
      </c>
      <c r="G2598" s="386">
        <v>44887</v>
      </c>
      <c r="H2598" s="386">
        <v>44887</v>
      </c>
      <c r="L2598">
        <v>7319880786</v>
      </c>
    </row>
    <row r="2599" spans="1:12" ht="15" customHeight="1">
      <c r="A2599" s="5" t="s">
        <v>0</v>
      </c>
      <c r="B2599" s="5" t="str">
        <f t="shared" si="26"/>
        <v>Y</v>
      </c>
      <c r="C2599" s="630" t="s">
        <v>13437</v>
      </c>
      <c r="D2599" s="630"/>
      <c r="E2599" s="630" t="s">
        <v>13438</v>
      </c>
      <c r="F2599" s="451">
        <v>25773</v>
      </c>
      <c r="G2599" s="386">
        <v>44887</v>
      </c>
      <c r="H2599" s="386">
        <v>44887</v>
      </c>
      <c r="L2599">
        <v>9905103786</v>
      </c>
    </row>
    <row r="2600" spans="1:12" ht="15" customHeight="1">
      <c r="A2600" s="5" t="s">
        <v>0</v>
      </c>
      <c r="B2600" s="5" t="str">
        <f t="shared" si="26"/>
        <v>Y</v>
      </c>
      <c r="C2600" s="631" t="s">
        <v>13441</v>
      </c>
      <c r="D2600" s="631"/>
      <c r="E2600" s="631" t="s">
        <v>13442</v>
      </c>
      <c r="F2600" s="451">
        <v>38099</v>
      </c>
      <c r="G2600" s="386">
        <v>44888</v>
      </c>
      <c r="H2600" s="386">
        <v>44889</v>
      </c>
      <c r="L2600">
        <v>6202996851</v>
      </c>
    </row>
    <row r="2601" spans="1:12" ht="15" customHeight="1">
      <c r="A2601" s="5" t="s">
        <v>0</v>
      </c>
      <c r="B2601" s="5" t="str">
        <f t="shared" si="26"/>
        <v>Y</v>
      </c>
      <c r="C2601" s="632" t="s">
        <v>13443</v>
      </c>
      <c r="D2601" s="632"/>
      <c r="E2601" s="632" t="s">
        <v>13444</v>
      </c>
      <c r="F2601" s="451">
        <v>33800</v>
      </c>
      <c r="G2601" s="386">
        <v>44890</v>
      </c>
      <c r="H2601" s="386">
        <v>44890</v>
      </c>
      <c r="L2601">
        <v>8002807660</v>
      </c>
    </row>
    <row r="2602" spans="1:12" ht="15" customHeight="1">
      <c r="A2602" s="5" t="s">
        <v>0</v>
      </c>
      <c r="B2602" s="5" t="str">
        <f t="shared" si="26"/>
        <v>Y</v>
      </c>
      <c r="C2602" s="632" t="s">
        <v>13445</v>
      </c>
      <c r="D2602" s="632"/>
      <c r="E2602" s="632" t="s">
        <v>13385</v>
      </c>
      <c r="F2602" s="451">
        <v>29407</v>
      </c>
      <c r="G2602" s="386">
        <v>44890</v>
      </c>
      <c r="H2602" s="386">
        <v>44890</v>
      </c>
      <c r="L2602">
        <v>8002706703</v>
      </c>
    </row>
    <row r="2603" spans="1:12" ht="15" customHeight="1">
      <c r="A2603" s="5" t="s">
        <v>0</v>
      </c>
      <c r="B2603" s="5" t="str">
        <f t="shared" si="26"/>
        <v>Y</v>
      </c>
      <c r="C2603" s="634" t="s">
        <v>13456</v>
      </c>
      <c r="D2603" s="634"/>
      <c r="E2603" s="634" t="s">
        <v>13457</v>
      </c>
      <c r="F2603" s="451">
        <v>38317</v>
      </c>
      <c r="G2603" s="386">
        <v>44892</v>
      </c>
      <c r="H2603" s="386">
        <v>44892</v>
      </c>
      <c r="J2603" t="s">
        <v>12614</v>
      </c>
      <c r="L2603">
        <v>9471723554</v>
      </c>
    </row>
    <row r="2604" spans="1:12" ht="15" customHeight="1">
      <c r="A2604" s="5" t="s">
        <v>0</v>
      </c>
      <c r="B2604" s="5" t="str">
        <f t="shared" si="26"/>
        <v>Y</v>
      </c>
      <c r="C2604" s="635" t="s">
        <v>13458</v>
      </c>
      <c r="D2604" s="635"/>
      <c r="E2604" s="635" t="s">
        <v>13459</v>
      </c>
      <c r="F2604" s="451">
        <v>37943</v>
      </c>
      <c r="G2604" s="386">
        <v>44893</v>
      </c>
      <c r="H2604" s="386">
        <v>44893</v>
      </c>
      <c r="L2604">
        <v>8580014450</v>
      </c>
    </row>
    <row r="2605" spans="1:12" ht="15" customHeight="1">
      <c r="A2605" s="5" t="s">
        <v>0</v>
      </c>
      <c r="B2605" s="5" t="str">
        <f t="shared" si="26"/>
        <v>Y</v>
      </c>
      <c r="C2605" s="635" t="s">
        <v>13460</v>
      </c>
      <c r="D2605" s="635"/>
      <c r="E2605" s="635" t="s">
        <v>13461</v>
      </c>
      <c r="F2605" s="451">
        <v>20214</v>
      </c>
      <c r="G2605" s="386">
        <v>44893</v>
      </c>
      <c r="H2605" s="386">
        <v>44893</v>
      </c>
      <c r="L2605">
        <v>7209379559</v>
      </c>
    </row>
    <row r="2606" spans="1:12" ht="15" customHeight="1">
      <c r="A2606" s="5" t="s">
        <v>0</v>
      </c>
      <c r="B2606" s="5" t="str">
        <f t="shared" si="26"/>
        <v>Y</v>
      </c>
      <c r="C2606" s="635" t="s">
        <v>13462</v>
      </c>
      <c r="D2606" s="635"/>
      <c r="E2606" s="635" t="s">
        <v>8876</v>
      </c>
      <c r="F2606" s="451">
        <v>38313</v>
      </c>
      <c r="G2606" s="386">
        <v>44894</v>
      </c>
      <c r="H2606" s="386">
        <v>44894</v>
      </c>
      <c r="L2606">
        <v>8092876763</v>
      </c>
    </row>
    <row r="2607" spans="1:12" ht="15" customHeight="1">
      <c r="A2607" s="5" t="s">
        <v>0</v>
      </c>
      <c r="B2607" s="5" t="str">
        <f t="shared" si="26"/>
        <v>Y</v>
      </c>
      <c r="C2607" s="636" t="s">
        <v>13465</v>
      </c>
      <c r="D2607" s="636"/>
      <c r="E2607" s="636" t="s">
        <v>13466</v>
      </c>
      <c r="F2607" s="451">
        <v>35972</v>
      </c>
      <c r="G2607" s="386">
        <v>44896</v>
      </c>
      <c r="H2607" s="386">
        <v>44896</v>
      </c>
      <c r="K2607" t="s">
        <v>7138</v>
      </c>
      <c r="L2607">
        <v>7050492415</v>
      </c>
    </row>
    <row r="2608" spans="1:12" ht="15" customHeight="1">
      <c r="A2608" s="5" t="s">
        <v>0</v>
      </c>
      <c r="B2608" s="5" t="str">
        <f t="shared" si="26"/>
        <v>Y</v>
      </c>
      <c r="C2608" s="637" t="s">
        <v>13468</v>
      </c>
      <c r="D2608" s="637"/>
      <c r="E2608" s="637" t="s">
        <v>13469</v>
      </c>
      <c r="F2608" s="451">
        <v>36001</v>
      </c>
      <c r="G2608" s="386">
        <v>44898</v>
      </c>
      <c r="H2608" s="386">
        <v>44898</v>
      </c>
      <c r="L2608">
        <v>7209875530</v>
      </c>
    </row>
    <row r="2609" spans="1:13" ht="15" customHeight="1">
      <c r="A2609" s="5" t="s">
        <v>0</v>
      </c>
      <c r="B2609" s="5" t="str">
        <f t="shared" si="26"/>
        <v>Y</v>
      </c>
      <c r="C2609" s="637" t="s">
        <v>13470</v>
      </c>
      <c r="D2609" s="637"/>
      <c r="E2609" s="637" t="s">
        <v>13471</v>
      </c>
      <c r="F2609" s="451">
        <v>25492</v>
      </c>
      <c r="G2609" s="386">
        <v>44898</v>
      </c>
      <c r="H2609" s="386">
        <v>44898</v>
      </c>
      <c r="K2609" t="s">
        <v>7138</v>
      </c>
      <c r="L2609">
        <v>7004933735</v>
      </c>
      <c r="M2609" s="386" t="s">
        <v>13472</v>
      </c>
    </row>
    <row r="2610" spans="1:13" ht="15" customHeight="1">
      <c r="A2610" s="5" t="s">
        <v>0</v>
      </c>
      <c r="B2610" s="5" t="str">
        <f t="shared" si="26"/>
        <v>Y</v>
      </c>
      <c r="C2610" s="638" t="s">
        <v>13473</v>
      </c>
      <c r="D2610" s="638"/>
      <c r="E2610" s="638" t="s">
        <v>13474</v>
      </c>
      <c r="F2610" s="451">
        <v>24474</v>
      </c>
      <c r="G2610" s="386">
        <v>44900</v>
      </c>
      <c r="H2610" s="386">
        <v>44900</v>
      </c>
      <c r="L2610">
        <v>9430775684</v>
      </c>
    </row>
    <row r="2611" spans="1:13" ht="15" customHeight="1">
      <c r="A2611" s="5" t="s">
        <v>0</v>
      </c>
      <c r="B2611" s="5" t="str">
        <f t="shared" si="26"/>
        <v>Y</v>
      </c>
      <c r="C2611" s="638" t="s">
        <v>13475</v>
      </c>
      <c r="D2611" s="638"/>
      <c r="E2611" s="638" t="s">
        <v>13476</v>
      </c>
      <c r="F2611" s="451">
        <v>26718</v>
      </c>
      <c r="G2611" s="386">
        <v>44900</v>
      </c>
      <c r="H2611" s="386">
        <v>44900</v>
      </c>
      <c r="L2611">
        <v>9430775684</v>
      </c>
    </row>
    <row r="2612" spans="1:13" ht="15" customHeight="1">
      <c r="A2612" s="5" t="s">
        <v>0</v>
      </c>
      <c r="B2612" s="5" t="str">
        <f t="shared" si="26"/>
        <v>Y</v>
      </c>
      <c r="C2612" s="639" t="s">
        <v>13477</v>
      </c>
      <c r="D2612" s="639"/>
      <c r="E2612" s="639" t="s">
        <v>2612</v>
      </c>
      <c r="F2612" s="451">
        <v>32310</v>
      </c>
      <c r="G2612" s="386">
        <v>44901</v>
      </c>
      <c r="H2612" s="386">
        <v>44901</v>
      </c>
      <c r="L2612">
        <v>9771219893</v>
      </c>
    </row>
    <row r="2613" spans="1:13" ht="15" customHeight="1">
      <c r="A2613" s="5" t="s">
        <v>0</v>
      </c>
      <c r="B2613" s="5" t="str">
        <f t="shared" si="26"/>
        <v>Y</v>
      </c>
      <c r="C2613" s="640" t="s">
        <v>13479</v>
      </c>
      <c r="D2613" s="640"/>
      <c r="E2613" s="640" t="s">
        <v>10215</v>
      </c>
      <c r="F2613" s="451">
        <v>33726</v>
      </c>
      <c r="G2613" s="386">
        <v>44903</v>
      </c>
      <c r="H2613" s="386">
        <v>44903</v>
      </c>
      <c r="L2613">
        <v>8434118520</v>
      </c>
    </row>
    <row r="2614" spans="1:13" ht="15" customHeight="1">
      <c r="A2614" s="5" t="s">
        <v>0</v>
      </c>
      <c r="B2614" s="5" t="str">
        <f t="shared" si="26"/>
        <v>Y</v>
      </c>
      <c r="C2614" s="640" t="s">
        <v>13480</v>
      </c>
      <c r="D2614" s="640"/>
      <c r="E2614" s="640" t="s">
        <v>13481</v>
      </c>
      <c r="F2614" s="451">
        <v>25689</v>
      </c>
      <c r="G2614" s="386">
        <v>44903</v>
      </c>
      <c r="H2614" s="386">
        <v>44904</v>
      </c>
      <c r="L2614">
        <v>7209860478</v>
      </c>
    </row>
    <row r="2615" spans="1:13" ht="15" customHeight="1">
      <c r="A2615" s="5" t="s">
        <v>0</v>
      </c>
      <c r="B2615" s="5" t="str">
        <f t="shared" si="26"/>
        <v>Y</v>
      </c>
      <c r="C2615" s="641" t="s">
        <v>13484</v>
      </c>
      <c r="D2615" s="641"/>
      <c r="E2615" s="641" t="s">
        <v>13485</v>
      </c>
      <c r="F2615" s="451">
        <v>38205</v>
      </c>
      <c r="G2615" s="386">
        <v>44907</v>
      </c>
      <c r="H2615" s="386">
        <v>44907</v>
      </c>
      <c r="L2615">
        <v>8709981527</v>
      </c>
    </row>
    <row r="2616" spans="1:13" ht="15" customHeight="1">
      <c r="A2616" s="5" t="s">
        <v>0</v>
      </c>
      <c r="B2616" s="5" t="str">
        <f t="shared" si="26"/>
        <v>Y</v>
      </c>
      <c r="C2616" s="642" t="s">
        <v>13486</v>
      </c>
      <c r="D2616" s="642"/>
      <c r="E2616" s="643" t="s">
        <v>13487</v>
      </c>
      <c r="F2616" s="451">
        <v>38576</v>
      </c>
      <c r="G2616" s="386">
        <v>44908</v>
      </c>
      <c r="H2616" s="386">
        <v>44908</v>
      </c>
      <c r="L2616">
        <v>9430721023</v>
      </c>
    </row>
    <row r="2617" spans="1:13" ht="15" customHeight="1">
      <c r="A2617" s="5" t="s">
        <v>0</v>
      </c>
      <c r="B2617" s="5" t="str">
        <f t="shared" si="26"/>
        <v>Y</v>
      </c>
      <c r="C2617" s="644" t="s">
        <v>13488</v>
      </c>
      <c r="D2617" s="644"/>
      <c r="E2617" s="644" t="s">
        <v>13489</v>
      </c>
      <c r="F2617" s="451">
        <v>38109</v>
      </c>
      <c r="G2617" s="386">
        <v>44909</v>
      </c>
      <c r="H2617" s="386">
        <v>44909</v>
      </c>
      <c r="L2617">
        <v>9297700151</v>
      </c>
    </row>
    <row r="2618" spans="1:13" ht="15" customHeight="1">
      <c r="A2618" s="5" t="s">
        <v>0</v>
      </c>
      <c r="B2618" s="5" t="str">
        <f t="shared" si="26"/>
        <v>Y</v>
      </c>
      <c r="C2618" s="644" t="s">
        <v>13490</v>
      </c>
      <c r="D2618" s="644"/>
      <c r="E2618" s="644" t="s">
        <v>13491</v>
      </c>
      <c r="F2618" s="451">
        <v>27226</v>
      </c>
      <c r="G2618" s="386">
        <v>44909</v>
      </c>
      <c r="H2618" s="386">
        <v>44909</v>
      </c>
      <c r="L2618">
        <v>7250252838</v>
      </c>
    </row>
    <row r="2619" spans="1:13" ht="15" customHeight="1">
      <c r="A2619" s="5" t="s">
        <v>0</v>
      </c>
      <c r="B2619" s="5" t="str">
        <f t="shared" si="26"/>
        <v>Y</v>
      </c>
      <c r="C2619" s="645" t="s">
        <v>13495</v>
      </c>
      <c r="D2619" s="645"/>
      <c r="E2619" s="645" t="s">
        <v>1684</v>
      </c>
      <c r="F2619" s="451">
        <v>38287</v>
      </c>
      <c r="G2619" s="386">
        <v>44913</v>
      </c>
      <c r="H2619" s="386">
        <v>44913</v>
      </c>
      <c r="L2619">
        <v>6205145978</v>
      </c>
    </row>
    <row r="2620" spans="1:13" ht="15" customHeight="1">
      <c r="A2620" s="5" t="s">
        <v>0</v>
      </c>
      <c r="B2620" s="5" t="str">
        <f t="shared" si="26"/>
        <v>Y</v>
      </c>
      <c r="C2620" s="647" t="s">
        <v>13497</v>
      </c>
      <c r="D2620" s="647"/>
      <c r="E2620" s="647" t="s">
        <v>13498</v>
      </c>
      <c r="F2620" s="451">
        <v>33635</v>
      </c>
      <c r="G2620" s="386">
        <v>44913</v>
      </c>
      <c r="H2620" s="386">
        <v>44913</v>
      </c>
      <c r="L2620">
        <v>9234266546</v>
      </c>
    </row>
    <row r="2621" spans="1:13" ht="15" customHeight="1">
      <c r="A2621" s="5" t="s">
        <v>0</v>
      </c>
      <c r="B2621" s="5" t="str">
        <f t="shared" si="26"/>
        <v>Y</v>
      </c>
      <c r="C2621" s="648" t="s">
        <v>13499</v>
      </c>
      <c r="D2621" s="648"/>
      <c r="E2621" s="648" t="s">
        <v>13500</v>
      </c>
      <c r="F2621" s="451">
        <v>38324</v>
      </c>
      <c r="G2621" s="386">
        <v>44914</v>
      </c>
      <c r="H2621" s="386">
        <v>44914</v>
      </c>
      <c r="L2621">
        <v>9065339419</v>
      </c>
    </row>
    <row r="2622" spans="1:13" ht="15" customHeight="1">
      <c r="A2622" s="5" t="s">
        <v>0</v>
      </c>
      <c r="B2622" s="5" t="str">
        <f t="shared" si="26"/>
        <v>Y</v>
      </c>
      <c r="C2622" s="648" t="s">
        <v>13502</v>
      </c>
      <c r="D2622" s="648"/>
      <c r="E2622" s="648" t="s">
        <v>13501</v>
      </c>
      <c r="F2622" s="451">
        <v>33011</v>
      </c>
      <c r="G2622" s="386">
        <v>44914</v>
      </c>
      <c r="H2622" s="386">
        <v>44914</v>
      </c>
      <c r="L2622">
        <v>8235245624</v>
      </c>
    </row>
    <row r="2623" spans="1:13" ht="15" customHeight="1">
      <c r="A2623" s="5" t="s">
        <v>0</v>
      </c>
      <c r="B2623" s="5" t="str">
        <f t="shared" si="26"/>
        <v>Y</v>
      </c>
      <c r="C2623" s="648" t="s">
        <v>13503</v>
      </c>
      <c r="D2623" s="648"/>
      <c r="E2623" s="648" t="s">
        <v>13504</v>
      </c>
      <c r="F2623" s="451">
        <v>38216</v>
      </c>
      <c r="G2623" s="386">
        <v>44914</v>
      </c>
      <c r="H2623" s="386">
        <v>44914</v>
      </c>
      <c r="L2623">
        <v>9905281132</v>
      </c>
    </row>
    <row r="2624" spans="1:13" ht="15" customHeight="1">
      <c r="A2624" s="5" t="s">
        <v>0</v>
      </c>
      <c r="B2624" s="5" t="str">
        <f t="shared" si="26"/>
        <v>Y</v>
      </c>
      <c r="C2624" s="649" t="s">
        <v>13508</v>
      </c>
      <c r="D2624" s="649"/>
      <c r="E2624" s="649" t="s">
        <v>13509</v>
      </c>
      <c r="F2624" s="451">
        <v>38671</v>
      </c>
      <c r="G2624" s="386">
        <v>44916</v>
      </c>
      <c r="H2624" s="386">
        <v>44917</v>
      </c>
      <c r="L2624">
        <v>9934389995</v>
      </c>
    </row>
    <row r="2625" spans="1:15" ht="15" customHeight="1">
      <c r="A2625" s="5" t="s">
        <v>0</v>
      </c>
      <c r="B2625" s="5" t="str">
        <f t="shared" si="26"/>
        <v>Y</v>
      </c>
      <c r="C2625" s="7" t="s">
        <v>13510</v>
      </c>
      <c r="D2625" s="7"/>
      <c r="E2625" s="649" t="s">
        <v>13511</v>
      </c>
      <c r="F2625" s="451">
        <v>38293</v>
      </c>
      <c r="G2625" s="386">
        <v>44917</v>
      </c>
      <c r="H2625" s="386">
        <v>44917</v>
      </c>
      <c r="L2625">
        <v>9234611866</v>
      </c>
    </row>
    <row r="2626" spans="1:15" ht="15" customHeight="1">
      <c r="A2626" s="5" t="s">
        <v>0</v>
      </c>
      <c r="B2626" s="5" t="str">
        <f t="shared" si="26"/>
        <v>Y</v>
      </c>
      <c r="C2626" s="650" t="s">
        <v>13512</v>
      </c>
      <c r="D2626" s="650"/>
      <c r="E2626" s="650" t="s">
        <v>13513</v>
      </c>
      <c r="F2626" s="451">
        <v>37199</v>
      </c>
      <c r="G2626" s="386">
        <v>44918</v>
      </c>
      <c r="H2626" s="386">
        <v>44918</v>
      </c>
      <c r="L2626">
        <v>7903746472</v>
      </c>
    </row>
    <row r="2627" spans="1:15" ht="15" customHeight="1">
      <c r="A2627" s="5" t="s">
        <v>0</v>
      </c>
      <c r="B2627" s="5" t="str">
        <f t="shared" si="26"/>
        <v>Y</v>
      </c>
      <c r="C2627" s="651" t="s">
        <v>13515</v>
      </c>
      <c r="D2627" s="651"/>
      <c r="E2627" s="651" t="s">
        <v>13516</v>
      </c>
      <c r="F2627" s="451">
        <v>31626</v>
      </c>
      <c r="G2627" s="386">
        <v>44920</v>
      </c>
      <c r="H2627" s="386">
        <v>44921</v>
      </c>
      <c r="L2627">
        <v>7873880348</v>
      </c>
    </row>
    <row r="2628" spans="1:15" ht="15" customHeight="1">
      <c r="A2628" s="5" t="s">
        <v>0</v>
      </c>
      <c r="B2628" s="5" t="str">
        <f t="shared" ref="B2628" si="27">IF(H2628="","N","Y")</f>
        <v>Y</v>
      </c>
      <c r="C2628" s="650" t="s">
        <v>13514</v>
      </c>
      <c r="D2628" s="650"/>
      <c r="E2628" s="651" t="s">
        <v>13012</v>
      </c>
      <c r="F2628" s="451">
        <v>37849</v>
      </c>
      <c r="G2628" s="386">
        <v>44921</v>
      </c>
      <c r="H2628" s="386">
        <v>44921</v>
      </c>
      <c r="L2628">
        <v>6200452210</v>
      </c>
    </row>
    <row r="2629" spans="1:15" ht="15" customHeight="1">
      <c r="A2629" s="5" t="s">
        <v>0</v>
      </c>
      <c r="B2629" s="5" t="str">
        <f t="shared" si="26"/>
        <v>Y</v>
      </c>
      <c r="C2629" s="651" t="s">
        <v>13519</v>
      </c>
      <c r="D2629" s="651"/>
      <c r="E2629" s="651" t="s">
        <v>13520</v>
      </c>
      <c r="F2629" s="451">
        <v>38140</v>
      </c>
      <c r="G2629" s="386">
        <v>44921</v>
      </c>
      <c r="H2629" s="386">
        <v>44921</v>
      </c>
      <c r="L2629">
        <v>7903329698</v>
      </c>
    </row>
    <row r="2630" spans="1:15" ht="15" customHeight="1">
      <c r="A2630" s="5" t="s">
        <v>0</v>
      </c>
      <c r="B2630" s="5" t="str">
        <f t="shared" ref="B2630:B2647" si="28">IF(H2630="","N","Y")</f>
        <v>Y</v>
      </c>
      <c r="C2630" s="651" t="s">
        <v>13521</v>
      </c>
      <c r="D2630" s="651"/>
      <c r="E2630" s="651" t="s">
        <v>2396</v>
      </c>
      <c r="F2630" s="451">
        <v>37696</v>
      </c>
      <c r="G2630" s="386">
        <v>44921</v>
      </c>
      <c r="H2630" s="386">
        <v>44921</v>
      </c>
      <c r="L2630">
        <v>9279376571</v>
      </c>
    </row>
    <row r="2631" spans="1:15" ht="15" customHeight="1">
      <c r="A2631" s="5" t="s">
        <v>0</v>
      </c>
      <c r="B2631" s="5" t="str">
        <f t="shared" si="28"/>
        <v>Y</v>
      </c>
      <c r="C2631" s="652" t="s">
        <v>13522</v>
      </c>
      <c r="D2631" s="652"/>
      <c r="E2631" s="652" t="s">
        <v>13523</v>
      </c>
      <c r="F2631" s="451">
        <v>38223</v>
      </c>
      <c r="G2631" s="386">
        <v>44922</v>
      </c>
      <c r="H2631" s="386">
        <v>44922</v>
      </c>
      <c r="L2631">
        <v>9155719254</v>
      </c>
    </row>
    <row r="2632" spans="1:15" ht="15" customHeight="1">
      <c r="A2632" s="5" t="s">
        <v>0</v>
      </c>
      <c r="B2632" s="5" t="str">
        <f t="shared" si="28"/>
        <v>Y</v>
      </c>
      <c r="C2632" s="654" t="s">
        <v>13524</v>
      </c>
      <c r="D2632" s="654"/>
      <c r="E2632" s="654" t="s">
        <v>13525</v>
      </c>
      <c r="F2632" s="451">
        <v>22697</v>
      </c>
      <c r="G2632" s="386">
        <v>44923</v>
      </c>
      <c r="H2632" s="386">
        <v>44923</v>
      </c>
      <c r="L2632">
        <v>8797319767</v>
      </c>
    </row>
    <row r="2633" spans="1:15" ht="15" customHeight="1">
      <c r="A2633" s="5" t="s">
        <v>0</v>
      </c>
      <c r="B2633" s="5" t="str">
        <f t="shared" si="28"/>
        <v>Y</v>
      </c>
      <c r="C2633" s="655" t="s">
        <v>13526</v>
      </c>
      <c r="D2633" s="655"/>
      <c r="E2633" s="655" t="s">
        <v>13527</v>
      </c>
      <c r="F2633" s="451">
        <v>37358</v>
      </c>
      <c r="G2633" s="386">
        <v>44933</v>
      </c>
      <c r="H2633" s="386">
        <v>44933</v>
      </c>
      <c r="L2633">
        <v>6207421103</v>
      </c>
    </row>
    <row r="2634" spans="1:15" ht="15" customHeight="1">
      <c r="A2634" s="5" t="s">
        <v>0</v>
      </c>
      <c r="B2634" s="5" t="str">
        <f t="shared" si="28"/>
        <v>Y</v>
      </c>
      <c r="C2634" s="463" t="s">
        <v>13528</v>
      </c>
      <c r="D2634" s="463"/>
      <c r="E2634" s="463" t="s">
        <v>13529</v>
      </c>
      <c r="F2634" s="659">
        <v>37933</v>
      </c>
      <c r="G2634" s="499">
        <v>44933</v>
      </c>
      <c r="H2634" s="499">
        <v>44933</v>
      </c>
      <c r="I2634" s="463"/>
      <c r="J2634" s="463"/>
      <c r="K2634" s="463"/>
      <c r="L2634" s="463">
        <v>9835757469</v>
      </c>
      <c r="M2634" s="463"/>
      <c r="N2634" s="463" t="s">
        <v>13548</v>
      </c>
      <c r="O2634" s="463"/>
    </row>
    <row r="2635" spans="1:15" ht="15" customHeight="1">
      <c r="A2635" s="5" t="s">
        <v>0</v>
      </c>
      <c r="B2635" s="5" t="str">
        <f t="shared" si="28"/>
        <v>Y</v>
      </c>
      <c r="C2635" s="655" t="s">
        <v>13531</v>
      </c>
      <c r="D2635" s="655"/>
      <c r="E2635" s="655" t="s">
        <v>13530</v>
      </c>
      <c r="F2635" s="451">
        <v>15799</v>
      </c>
      <c r="G2635" s="386">
        <v>44933</v>
      </c>
      <c r="H2635" s="386">
        <v>44933</v>
      </c>
      <c r="L2635">
        <v>9199832637</v>
      </c>
    </row>
    <row r="2636" spans="1:15" ht="15" customHeight="1">
      <c r="A2636" s="5" t="s">
        <v>0</v>
      </c>
      <c r="B2636" s="5" t="str">
        <f t="shared" si="28"/>
        <v>Y</v>
      </c>
      <c r="C2636" s="656" t="s">
        <v>13532</v>
      </c>
      <c r="D2636" s="656"/>
      <c r="E2636" s="656" t="s">
        <v>13533</v>
      </c>
      <c r="F2636" s="451">
        <v>37486</v>
      </c>
      <c r="G2636" s="386">
        <v>44934</v>
      </c>
      <c r="H2636" s="386">
        <v>44934</v>
      </c>
      <c r="L2636">
        <v>7061417806</v>
      </c>
    </row>
    <row r="2637" spans="1:15" ht="15" customHeight="1">
      <c r="A2637" s="5" t="s">
        <v>0</v>
      </c>
      <c r="B2637" s="5" t="str">
        <f t="shared" si="28"/>
        <v>Y</v>
      </c>
      <c r="C2637" s="656" t="s">
        <v>13534</v>
      </c>
      <c r="D2637" s="656"/>
      <c r="E2637" s="656" t="s">
        <v>13535</v>
      </c>
      <c r="F2637" s="451">
        <v>28342</v>
      </c>
      <c r="G2637" s="386">
        <v>44934</v>
      </c>
      <c r="H2637" s="386">
        <v>44934</v>
      </c>
      <c r="L2637">
        <v>8987407906</v>
      </c>
    </row>
    <row r="2638" spans="1:15" ht="15" customHeight="1">
      <c r="A2638" s="5" t="s">
        <v>0</v>
      </c>
      <c r="B2638" s="5" t="str">
        <f t="shared" si="28"/>
        <v>Y</v>
      </c>
      <c r="C2638" s="656" t="s">
        <v>13536</v>
      </c>
      <c r="D2638" s="656"/>
      <c r="E2638" s="656" t="s">
        <v>13537</v>
      </c>
      <c r="F2638" s="451">
        <v>36982</v>
      </c>
      <c r="G2638" s="386">
        <v>44934</v>
      </c>
      <c r="H2638" s="386">
        <v>44934</v>
      </c>
      <c r="L2638">
        <v>7004112429</v>
      </c>
    </row>
    <row r="2639" spans="1:15" ht="15" customHeight="1">
      <c r="A2639" s="5" t="s">
        <v>0</v>
      </c>
      <c r="B2639" s="5" t="str">
        <f t="shared" si="28"/>
        <v>Y</v>
      </c>
      <c r="C2639" s="658" t="s">
        <v>13541</v>
      </c>
      <c r="D2639" s="658"/>
      <c r="E2639" s="658" t="s">
        <v>13542</v>
      </c>
      <c r="F2639" s="451">
        <v>27287</v>
      </c>
      <c r="G2639" s="386">
        <v>44936</v>
      </c>
      <c r="H2639" s="386">
        <v>44937</v>
      </c>
      <c r="L2639">
        <v>9304060077</v>
      </c>
    </row>
    <row r="2640" spans="1:15" ht="15" customHeight="1">
      <c r="A2640" s="5" t="s">
        <v>0</v>
      </c>
      <c r="B2640" s="5" t="str">
        <f t="shared" si="28"/>
        <v>Y</v>
      </c>
      <c r="C2640" s="658" t="s">
        <v>13543</v>
      </c>
      <c r="D2640" s="658"/>
      <c r="E2640" s="658" t="s">
        <v>13544</v>
      </c>
      <c r="F2640" s="451">
        <v>26886</v>
      </c>
      <c r="G2640" s="386">
        <v>44936</v>
      </c>
      <c r="H2640" s="386">
        <v>44937</v>
      </c>
      <c r="L2640">
        <v>9709251299</v>
      </c>
    </row>
    <row r="2641" spans="1:12" ht="15" customHeight="1">
      <c r="A2641" s="5" t="s">
        <v>0</v>
      </c>
      <c r="B2641" s="5" t="str">
        <f t="shared" si="28"/>
        <v>Y</v>
      </c>
      <c r="C2641" s="658" t="s">
        <v>13545</v>
      </c>
      <c r="D2641" s="658"/>
      <c r="E2641" s="658" t="s">
        <v>13546</v>
      </c>
      <c r="F2641" s="451">
        <v>37963</v>
      </c>
      <c r="G2641" s="386">
        <v>44936</v>
      </c>
      <c r="H2641" s="386">
        <v>44937</v>
      </c>
      <c r="L2641">
        <v>7781807945</v>
      </c>
    </row>
    <row r="2642" spans="1:12" ht="15" customHeight="1">
      <c r="A2642" s="5" t="s">
        <v>0</v>
      </c>
      <c r="B2642" s="5" t="str">
        <f t="shared" si="28"/>
        <v>Y</v>
      </c>
      <c r="C2642" s="658" t="s">
        <v>13547</v>
      </c>
      <c r="D2642" s="658"/>
      <c r="E2642" s="658" t="s">
        <v>2745</v>
      </c>
      <c r="F2642" s="451">
        <v>27621</v>
      </c>
      <c r="G2642" s="386">
        <v>44936</v>
      </c>
      <c r="H2642" s="386">
        <v>44937</v>
      </c>
      <c r="L2642">
        <v>9142824065</v>
      </c>
    </row>
    <row r="2643" spans="1:12" ht="15" customHeight="1">
      <c r="A2643" s="5" t="s">
        <v>0</v>
      </c>
      <c r="B2643" s="5" t="str">
        <f t="shared" si="28"/>
        <v>Y</v>
      </c>
      <c r="C2643" s="660" t="s">
        <v>13550</v>
      </c>
      <c r="D2643" s="660"/>
      <c r="E2643" s="660" t="s">
        <v>13549</v>
      </c>
      <c r="F2643" s="451">
        <v>26841</v>
      </c>
      <c r="G2643" s="386">
        <v>44938</v>
      </c>
      <c r="H2643" s="386">
        <v>44938</v>
      </c>
      <c r="L2643">
        <v>8877044383</v>
      </c>
    </row>
    <row r="2644" spans="1:12" ht="15" customHeight="1">
      <c r="A2644" s="5" t="s">
        <v>0</v>
      </c>
      <c r="B2644" s="5" t="str">
        <f t="shared" si="28"/>
        <v>Y</v>
      </c>
      <c r="C2644" s="660" t="s">
        <v>13551</v>
      </c>
      <c r="D2644" s="660"/>
      <c r="E2644" s="660" t="s">
        <v>13529</v>
      </c>
      <c r="F2644" s="451">
        <v>37933</v>
      </c>
      <c r="G2644" s="386">
        <v>44938</v>
      </c>
      <c r="H2644" s="386">
        <v>44938</v>
      </c>
      <c r="L2644">
        <v>9835757469</v>
      </c>
    </row>
    <row r="2645" spans="1:12" ht="15" customHeight="1">
      <c r="A2645" s="5" t="s">
        <v>0</v>
      </c>
      <c r="B2645" s="5" t="str">
        <f t="shared" si="28"/>
        <v>Y</v>
      </c>
      <c r="C2645" s="661" t="s">
        <v>13552</v>
      </c>
      <c r="D2645" s="661"/>
      <c r="E2645" s="661" t="s">
        <v>13553</v>
      </c>
      <c r="F2645" s="451">
        <v>31018</v>
      </c>
      <c r="G2645" s="386">
        <v>44939</v>
      </c>
      <c r="H2645" s="386">
        <v>44939</v>
      </c>
      <c r="L2645">
        <v>9031202577</v>
      </c>
    </row>
    <row r="2646" spans="1:12" ht="15" customHeight="1">
      <c r="A2646" s="5" t="s">
        <v>0</v>
      </c>
      <c r="B2646" s="5" t="str">
        <f t="shared" si="28"/>
        <v>Y</v>
      </c>
      <c r="C2646" s="661" t="s">
        <v>13554</v>
      </c>
      <c r="D2646" s="661"/>
      <c r="E2646" s="661" t="s">
        <v>13555</v>
      </c>
      <c r="F2646" s="451">
        <v>27972</v>
      </c>
      <c r="G2646" s="386">
        <v>44939</v>
      </c>
      <c r="H2646" s="386">
        <v>44939</v>
      </c>
      <c r="L2646">
        <v>9162207525</v>
      </c>
    </row>
    <row r="2647" spans="1:12" ht="15" customHeight="1">
      <c r="A2647" s="5" t="s">
        <v>0</v>
      </c>
      <c r="B2647" s="5" t="str">
        <f t="shared" si="28"/>
        <v>Y</v>
      </c>
      <c r="C2647" s="662" t="s">
        <v>13559</v>
      </c>
      <c r="D2647" s="662"/>
      <c r="E2647" s="662" t="s">
        <v>13558</v>
      </c>
      <c r="F2647" s="451">
        <v>20305</v>
      </c>
      <c r="G2647" s="386">
        <v>44940</v>
      </c>
      <c r="H2647" s="386">
        <v>44940</v>
      </c>
      <c r="L2647">
        <v>8457406434</v>
      </c>
    </row>
    <row r="2648" spans="1:12" ht="15" customHeight="1">
      <c r="A2648" s="5" t="s">
        <v>0</v>
      </c>
      <c r="B2648" s="5" t="str">
        <f t="shared" ref="B2648:B2657" si="29">IF(H2648="","N","Y")</f>
        <v>Y</v>
      </c>
      <c r="C2648" s="662" t="s">
        <v>13560</v>
      </c>
      <c r="D2648" s="662"/>
      <c r="E2648" s="662" t="s">
        <v>13561</v>
      </c>
      <c r="F2648" s="451">
        <v>19011</v>
      </c>
      <c r="G2648" s="386">
        <v>44940</v>
      </c>
      <c r="H2648" s="386">
        <v>44940</v>
      </c>
      <c r="L2648">
        <v>9709286558</v>
      </c>
    </row>
    <row r="2649" spans="1:12" ht="15" customHeight="1">
      <c r="A2649" s="5" t="s">
        <v>0</v>
      </c>
      <c r="B2649" s="5" t="str">
        <f t="shared" si="29"/>
        <v>Y</v>
      </c>
      <c r="C2649" s="663" t="s">
        <v>13563</v>
      </c>
      <c r="D2649" s="663"/>
      <c r="E2649" s="663" t="s">
        <v>13562</v>
      </c>
      <c r="F2649" s="451">
        <v>37707</v>
      </c>
      <c r="G2649" s="386">
        <v>44941</v>
      </c>
      <c r="H2649" s="386">
        <v>44941</v>
      </c>
      <c r="L2649">
        <v>7296094266</v>
      </c>
    </row>
    <row r="2650" spans="1:12" ht="15" customHeight="1">
      <c r="A2650" s="5" t="s">
        <v>0</v>
      </c>
      <c r="B2650" s="5" t="str">
        <f t="shared" si="29"/>
        <v>Y</v>
      </c>
      <c r="C2650" s="665" t="s">
        <v>13572</v>
      </c>
      <c r="D2650" s="665"/>
      <c r="E2650" s="665" t="s">
        <v>13569</v>
      </c>
      <c r="F2650" s="451">
        <v>29215</v>
      </c>
      <c r="G2650" s="386">
        <v>44944</v>
      </c>
      <c r="H2650" s="386">
        <v>44944</v>
      </c>
      <c r="L2650">
        <v>7909084923</v>
      </c>
    </row>
    <row r="2651" spans="1:12" ht="15" customHeight="1">
      <c r="A2651" s="5" t="s">
        <v>0</v>
      </c>
      <c r="B2651" s="5" t="str">
        <f t="shared" si="29"/>
        <v>Y</v>
      </c>
      <c r="C2651" s="665" t="s">
        <v>13570</v>
      </c>
      <c r="D2651" s="665"/>
      <c r="E2651" s="665" t="s">
        <v>13571</v>
      </c>
      <c r="F2651" s="451">
        <v>30958</v>
      </c>
      <c r="G2651" s="386">
        <v>44946</v>
      </c>
      <c r="H2651" s="386">
        <v>44946</v>
      </c>
      <c r="L2651">
        <v>9304400243</v>
      </c>
    </row>
    <row r="2652" spans="1:12" ht="15" customHeight="1">
      <c r="A2652" s="5" t="s">
        <v>0</v>
      </c>
      <c r="B2652" s="5" t="str">
        <f t="shared" si="29"/>
        <v>Y</v>
      </c>
      <c r="C2652" s="666" t="s">
        <v>13573</v>
      </c>
      <c r="D2652" s="666"/>
      <c r="E2652" s="666" t="s">
        <v>3039</v>
      </c>
      <c r="F2652" s="451">
        <v>28856</v>
      </c>
      <c r="G2652" s="386">
        <v>44947</v>
      </c>
      <c r="H2652" s="386">
        <v>44947</v>
      </c>
      <c r="L2652">
        <v>7479423761</v>
      </c>
    </row>
    <row r="2653" spans="1:12" ht="15" customHeight="1">
      <c r="A2653" s="5" t="s">
        <v>0</v>
      </c>
      <c r="B2653" s="5" t="str">
        <f t="shared" si="29"/>
        <v>Y</v>
      </c>
      <c r="C2653" s="667" t="s">
        <v>13577</v>
      </c>
      <c r="D2653" s="667"/>
      <c r="E2653" s="667" t="s">
        <v>13578</v>
      </c>
      <c r="F2653" s="451">
        <v>27410</v>
      </c>
      <c r="G2653" s="386">
        <v>44950</v>
      </c>
      <c r="H2653" s="386">
        <v>44950</v>
      </c>
      <c r="L2653">
        <v>8540000342</v>
      </c>
    </row>
    <row r="2654" spans="1:12" ht="15" customHeight="1">
      <c r="A2654" s="5" t="s">
        <v>0</v>
      </c>
      <c r="B2654" s="5" t="str">
        <f t="shared" si="29"/>
        <v>Y</v>
      </c>
      <c r="C2654" t="s">
        <v>13576</v>
      </c>
      <c r="E2654" t="s">
        <v>13313</v>
      </c>
      <c r="F2654" s="451">
        <v>33344</v>
      </c>
      <c r="G2654" s="386">
        <v>44950</v>
      </c>
      <c r="H2654" s="386">
        <v>44950</v>
      </c>
      <c r="L2654">
        <v>6206024395</v>
      </c>
    </row>
    <row r="2655" spans="1:12" ht="15" customHeight="1">
      <c r="A2655" s="5" t="s">
        <v>0</v>
      </c>
      <c r="B2655" s="5" t="str">
        <f t="shared" si="29"/>
        <v>Y</v>
      </c>
      <c r="C2655" t="s">
        <v>13575</v>
      </c>
      <c r="E2655" t="s">
        <v>13579</v>
      </c>
      <c r="F2655" s="451">
        <v>44940</v>
      </c>
      <c r="G2655" s="386">
        <v>44951</v>
      </c>
      <c r="H2655" s="386">
        <v>44951</v>
      </c>
      <c r="L2655">
        <v>7295023154</v>
      </c>
    </row>
    <row r="2656" spans="1:12" ht="15" customHeight="1">
      <c r="A2656" s="5" t="s">
        <v>0</v>
      </c>
      <c r="B2656" s="5" t="str">
        <f t="shared" si="29"/>
        <v>Y</v>
      </c>
      <c r="C2656" t="s">
        <v>13581</v>
      </c>
      <c r="E2656" t="s">
        <v>3363</v>
      </c>
      <c r="F2656" s="451">
        <v>33800</v>
      </c>
      <c r="G2656" s="386">
        <v>44954</v>
      </c>
      <c r="H2656" s="386">
        <v>44954</v>
      </c>
      <c r="L2656">
        <v>8235922144</v>
      </c>
    </row>
    <row r="2657" spans="1:13" ht="15" customHeight="1">
      <c r="A2657" s="5" t="s">
        <v>0</v>
      </c>
      <c r="B2657" s="5" t="str">
        <f t="shared" si="29"/>
        <v>Y</v>
      </c>
      <c r="C2657" s="669" t="s">
        <v>13585</v>
      </c>
      <c r="D2657" s="669"/>
      <c r="E2657" s="669" t="s">
        <v>13506</v>
      </c>
      <c r="F2657" s="451">
        <v>35820</v>
      </c>
      <c r="G2657" s="386">
        <v>44956</v>
      </c>
      <c r="H2657" s="386">
        <v>44956</v>
      </c>
      <c r="L2657">
        <v>7488095011</v>
      </c>
    </row>
    <row r="2658" spans="1:13" ht="15" customHeight="1">
      <c r="A2658" s="5" t="s">
        <v>0</v>
      </c>
      <c r="B2658" s="5" t="str">
        <f t="shared" ref="B2658:B2663" si="30">IF(H2658="","N","Y")</f>
        <v>Y</v>
      </c>
      <c r="C2658" s="669" t="s">
        <v>13586</v>
      </c>
      <c r="D2658" s="669"/>
      <c r="E2658" s="664" t="s">
        <v>12629</v>
      </c>
      <c r="F2658" s="451">
        <v>23238</v>
      </c>
      <c r="G2658" s="386">
        <v>44958</v>
      </c>
      <c r="H2658" s="386">
        <v>44958</v>
      </c>
      <c r="L2658">
        <v>9135415936</v>
      </c>
    </row>
    <row r="2659" spans="1:13" ht="15" customHeight="1">
      <c r="A2659" s="5" t="s">
        <v>0</v>
      </c>
      <c r="B2659" s="5" t="str">
        <f t="shared" si="30"/>
        <v>Y</v>
      </c>
      <c r="C2659" s="669" t="s">
        <v>13587</v>
      </c>
      <c r="D2659" s="669"/>
      <c r="E2659" s="669" t="s">
        <v>13588</v>
      </c>
      <c r="F2659" s="451">
        <v>38334</v>
      </c>
      <c r="G2659" s="386">
        <v>44959</v>
      </c>
      <c r="H2659" s="386">
        <v>44959</v>
      </c>
      <c r="L2659">
        <v>9234866692</v>
      </c>
    </row>
    <row r="2660" spans="1:13" ht="15" customHeight="1">
      <c r="A2660" s="5" t="s">
        <v>0</v>
      </c>
      <c r="B2660" s="5" t="str">
        <f t="shared" si="30"/>
        <v>Y</v>
      </c>
      <c r="C2660" s="670" t="s">
        <v>13589</v>
      </c>
      <c r="D2660" s="670"/>
      <c r="E2660" s="670" t="s">
        <v>13590</v>
      </c>
      <c r="F2660" s="451">
        <v>28856</v>
      </c>
      <c r="G2660" s="386">
        <v>44961</v>
      </c>
      <c r="H2660" s="386">
        <v>44961</v>
      </c>
      <c r="L2660">
        <v>9934860701</v>
      </c>
    </row>
    <row r="2661" spans="1:13" ht="15" customHeight="1">
      <c r="A2661" s="5" t="s">
        <v>0</v>
      </c>
      <c r="B2661" s="5" t="str">
        <f t="shared" si="30"/>
        <v>Y</v>
      </c>
      <c r="C2661" s="670" t="s">
        <v>13591</v>
      </c>
      <c r="D2661" s="670"/>
      <c r="E2661" s="670" t="s">
        <v>2114</v>
      </c>
      <c r="F2661" s="451">
        <v>35658</v>
      </c>
      <c r="G2661" s="386">
        <v>44961</v>
      </c>
      <c r="H2661" s="386">
        <v>44961</v>
      </c>
      <c r="L2661">
        <v>8292116770</v>
      </c>
    </row>
    <row r="2662" spans="1:13" ht="15" customHeight="1">
      <c r="A2662" s="5" t="s">
        <v>0</v>
      </c>
      <c r="B2662" s="5" t="str">
        <f t="shared" si="30"/>
        <v>Y</v>
      </c>
      <c r="C2662" s="671" t="s">
        <v>13598</v>
      </c>
      <c r="D2662" s="671"/>
      <c r="E2662" s="671" t="s">
        <v>13599</v>
      </c>
      <c r="F2662" s="451">
        <v>40398</v>
      </c>
      <c r="G2662" s="386">
        <v>44964</v>
      </c>
      <c r="H2662" s="386">
        <v>44964</v>
      </c>
      <c r="L2662">
        <v>7209603087</v>
      </c>
    </row>
    <row r="2663" spans="1:13" ht="15" customHeight="1">
      <c r="A2663" s="5" t="s">
        <v>0</v>
      </c>
      <c r="B2663" s="5" t="str">
        <f t="shared" si="30"/>
        <v>Y</v>
      </c>
      <c r="C2663" s="671" t="s">
        <v>13600</v>
      </c>
      <c r="D2663" s="671"/>
      <c r="E2663" s="671" t="s">
        <v>13601</v>
      </c>
      <c r="F2663" s="451">
        <v>31646</v>
      </c>
      <c r="G2663" s="386">
        <v>44965</v>
      </c>
      <c r="H2663" s="386">
        <v>44965</v>
      </c>
      <c r="L2663">
        <v>7408072170</v>
      </c>
    </row>
    <row r="2664" spans="1:13" ht="15" customHeight="1">
      <c r="A2664" s="5" t="s">
        <v>0</v>
      </c>
      <c r="B2664" s="5" t="str">
        <f t="shared" ref="B2664:B2665" si="31">IF(H2664="","N","Y")</f>
        <v>Y</v>
      </c>
      <c r="C2664" s="672" t="s">
        <v>13605</v>
      </c>
      <c r="D2664" s="672"/>
      <c r="E2664" s="672" t="s">
        <v>13606</v>
      </c>
      <c r="F2664" s="451">
        <v>36528</v>
      </c>
      <c r="G2664" s="386">
        <v>44966</v>
      </c>
      <c r="H2664" s="386">
        <v>44966</v>
      </c>
      <c r="L2664">
        <v>6294210932</v>
      </c>
    </row>
    <row r="2665" spans="1:13" ht="15" customHeight="1">
      <c r="A2665" s="5" t="s">
        <v>0</v>
      </c>
      <c r="B2665" s="5" t="str">
        <f t="shared" si="31"/>
        <v>Y</v>
      </c>
      <c r="C2665" s="673" t="s">
        <v>13607</v>
      </c>
      <c r="D2665" s="673"/>
      <c r="E2665" s="673" t="s">
        <v>13608</v>
      </c>
      <c r="F2665" s="451">
        <v>30888</v>
      </c>
      <c r="G2665" s="386">
        <v>44966</v>
      </c>
      <c r="H2665" s="386">
        <v>44966</v>
      </c>
      <c r="L2665">
        <v>9204096253</v>
      </c>
    </row>
    <row r="2666" spans="1:13" ht="15" customHeight="1">
      <c r="A2666" s="5" t="s">
        <v>0</v>
      </c>
      <c r="B2666" s="5" t="str">
        <f t="shared" ref="B2666:B2729" si="32">IF(H2666="","N","Y")</f>
        <v>Y</v>
      </c>
      <c r="C2666" s="674" t="s">
        <v>13610</v>
      </c>
      <c r="D2666" s="674"/>
      <c r="E2666" s="674" t="s">
        <v>13611</v>
      </c>
      <c r="F2666" s="451">
        <v>28329</v>
      </c>
      <c r="G2666" s="386">
        <v>44967</v>
      </c>
      <c r="H2666" s="386">
        <v>44967</v>
      </c>
      <c r="L2666">
        <v>8789608867</v>
      </c>
    </row>
    <row r="2667" spans="1:13" ht="15" customHeight="1">
      <c r="A2667" s="5" t="s">
        <v>0</v>
      </c>
      <c r="B2667" s="5" t="str">
        <f t="shared" si="32"/>
        <v>Y</v>
      </c>
      <c r="C2667" s="675" t="s">
        <v>13613</v>
      </c>
      <c r="D2667" s="675"/>
      <c r="E2667" s="675" t="s">
        <v>13614</v>
      </c>
      <c r="F2667" s="451">
        <v>37665</v>
      </c>
      <c r="G2667" s="386">
        <v>44968</v>
      </c>
      <c r="H2667" s="386">
        <v>44968</v>
      </c>
      <c r="L2667">
        <v>9341314370</v>
      </c>
    </row>
    <row r="2668" spans="1:13" ht="15" customHeight="1">
      <c r="A2668" s="5" t="s">
        <v>0</v>
      </c>
      <c r="B2668" s="5" t="str">
        <f t="shared" si="32"/>
        <v>N</v>
      </c>
      <c r="C2668" s="676" t="s">
        <v>13615</v>
      </c>
      <c r="D2668" s="676"/>
      <c r="E2668" s="676" t="s">
        <v>13616</v>
      </c>
      <c r="F2668" s="451">
        <v>26830</v>
      </c>
      <c r="G2668" s="386">
        <v>44969</v>
      </c>
      <c r="J2668" t="s">
        <v>13617</v>
      </c>
      <c r="L2668">
        <v>9973450727</v>
      </c>
      <c r="M2668">
        <v>300</v>
      </c>
    </row>
    <row r="2669" spans="1:13" ht="15" customHeight="1">
      <c r="A2669" s="5" t="s">
        <v>0</v>
      </c>
      <c r="B2669" s="5" t="str">
        <f t="shared" si="32"/>
        <v>Y</v>
      </c>
      <c r="C2669" s="677" t="s">
        <v>13620</v>
      </c>
      <c r="D2669" s="677"/>
      <c r="E2669" s="677" t="s">
        <v>13621</v>
      </c>
      <c r="F2669" s="451">
        <v>37993</v>
      </c>
      <c r="G2669" s="386">
        <v>44972</v>
      </c>
      <c r="H2669" s="386">
        <v>44972</v>
      </c>
      <c r="L2669">
        <v>7992288069</v>
      </c>
    </row>
    <row r="2670" spans="1:13" ht="15" customHeight="1">
      <c r="A2670" s="5" t="s">
        <v>0</v>
      </c>
      <c r="B2670" s="5" t="str">
        <f t="shared" si="32"/>
        <v>Y</v>
      </c>
      <c r="C2670" s="677" t="s">
        <v>13622</v>
      </c>
      <c r="D2670" s="677"/>
      <c r="E2670" s="677" t="s">
        <v>13623</v>
      </c>
      <c r="F2670" s="451">
        <v>29616</v>
      </c>
      <c r="G2670" s="386">
        <v>44972</v>
      </c>
      <c r="H2670" s="386">
        <v>44972</v>
      </c>
      <c r="L2670">
        <v>7992288069</v>
      </c>
    </row>
    <row r="2671" spans="1:13" ht="15" customHeight="1">
      <c r="A2671" s="5" t="s">
        <v>0</v>
      </c>
      <c r="B2671" s="5" t="str">
        <f t="shared" si="32"/>
        <v>Y</v>
      </c>
      <c r="C2671" s="678" t="s">
        <v>13624</v>
      </c>
      <c r="D2671" s="678"/>
      <c r="E2671" s="678" t="s">
        <v>13625</v>
      </c>
      <c r="F2671" s="451">
        <v>37257</v>
      </c>
      <c r="G2671" s="386">
        <v>44973</v>
      </c>
      <c r="H2671" s="386">
        <v>44973</v>
      </c>
      <c r="L2671">
        <v>785790899</v>
      </c>
    </row>
    <row r="2672" spans="1:13" ht="15" customHeight="1">
      <c r="A2672" s="5" t="s">
        <v>0</v>
      </c>
      <c r="B2672" s="5" t="str">
        <f t="shared" si="32"/>
        <v>Y</v>
      </c>
      <c r="C2672" s="679" t="s">
        <v>13627</v>
      </c>
      <c r="D2672" s="679"/>
      <c r="E2672" s="679" t="s">
        <v>13628</v>
      </c>
      <c r="F2672" s="451">
        <v>23224</v>
      </c>
      <c r="G2672" s="386">
        <v>44976</v>
      </c>
      <c r="H2672" s="386">
        <v>44976</v>
      </c>
      <c r="L2672">
        <v>9304793596</v>
      </c>
    </row>
    <row r="2673" spans="1:12" ht="15" customHeight="1">
      <c r="A2673" s="5" t="s">
        <v>0</v>
      </c>
      <c r="B2673" s="5" t="str">
        <f t="shared" si="32"/>
        <v>Y</v>
      </c>
      <c r="C2673" s="689" t="s">
        <v>13671</v>
      </c>
      <c r="D2673" s="689"/>
      <c r="E2673" s="680" t="s">
        <v>13629</v>
      </c>
      <c r="F2673" s="451">
        <v>28488</v>
      </c>
      <c r="G2673" s="386">
        <v>44977</v>
      </c>
      <c r="H2673" s="386">
        <v>44977</v>
      </c>
      <c r="L2673">
        <v>9608147384</v>
      </c>
    </row>
    <row r="2674" spans="1:12" ht="15" customHeight="1">
      <c r="A2674" s="5" t="s">
        <v>0</v>
      </c>
      <c r="B2674" s="5" t="str">
        <f t="shared" si="32"/>
        <v>Y</v>
      </c>
      <c r="C2674" t="s">
        <v>13631</v>
      </c>
      <c r="E2674" s="680" t="s">
        <v>13630</v>
      </c>
      <c r="F2674" s="451">
        <v>37333</v>
      </c>
      <c r="G2674" s="386">
        <v>44977</v>
      </c>
      <c r="H2674" s="386">
        <v>44977</v>
      </c>
      <c r="L2674">
        <v>9608147384</v>
      </c>
    </row>
    <row r="2675" spans="1:12" ht="15" customHeight="1">
      <c r="A2675" s="5" t="s">
        <v>0</v>
      </c>
      <c r="B2675" s="5" t="str">
        <f t="shared" si="32"/>
        <v>Y</v>
      </c>
      <c r="C2675" t="s">
        <v>13632</v>
      </c>
      <c r="E2675" s="681" t="s">
        <v>13633</v>
      </c>
      <c r="F2675" s="451">
        <v>26299</v>
      </c>
      <c r="G2675" s="386">
        <v>44978</v>
      </c>
      <c r="H2675" s="386">
        <v>44978</v>
      </c>
      <c r="L2675">
        <v>7209787688</v>
      </c>
    </row>
    <row r="2676" spans="1:12" ht="15" customHeight="1">
      <c r="A2676" s="5" t="s">
        <v>0</v>
      </c>
      <c r="B2676" s="5" t="str">
        <f t="shared" si="32"/>
        <v>Y</v>
      </c>
      <c r="C2676" s="682" t="s">
        <v>13639</v>
      </c>
      <c r="D2676" s="682"/>
      <c r="E2676" s="682" t="s">
        <v>13640</v>
      </c>
      <c r="F2676" s="451">
        <v>25934</v>
      </c>
      <c r="G2676" s="386">
        <v>44980</v>
      </c>
      <c r="H2676" s="386">
        <v>44980</v>
      </c>
      <c r="L2676">
        <v>9955577052</v>
      </c>
    </row>
    <row r="2677" spans="1:12" ht="15" customHeight="1">
      <c r="A2677" s="5" t="s">
        <v>0</v>
      </c>
      <c r="B2677" s="5" t="str">
        <f t="shared" si="32"/>
        <v>Y</v>
      </c>
      <c r="C2677" s="682" t="s">
        <v>13641</v>
      </c>
      <c r="D2677" s="682"/>
      <c r="E2677" s="682" t="s">
        <v>3730</v>
      </c>
      <c r="F2677" s="451">
        <v>25569</v>
      </c>
      <c r="G2677" s="386">
        <v>44980</v>
      </c>
      <c r="H2677" s="386">
        <v>44980</v>
      </c>
      <c r="L2677">
        <v>9835566129</v>
      </c>
    </row>
    <row r="2678" spans="1:12" ht="15" customHeight="1">
      <c r="A2678" s="5" t="s">
        <v>0</v>
      </c>
      <c r="B2678" s="5" t="str">
        <f t="shared" si="32"/>
        <v>Y</v>
      </c>
      <c r="C2678" s="682" t="s">
        <v>13642</v>
      </c>
      <c r="D2678" s="682"/>
      <c r="E2678" s="682" t="s">
        <v>13643</v>
      </c>
      <c r="F2678" s="451">
        <v>36896</v>
      </c>
      <c r="G2678" s="386">
        <v>44980</v>
      </c>
      <c r="H2678" s="386">
        <v>44980</v>
      </c>
      <c r="L2678">
        <v>6201243383</v>
      </c>
    </row>
    <row r="2679" spans="1:12" ht="15" customHeight="1">
      <c r="A2679" s="5" t="s">
        <v>0</v>
      </c>
      <c r="B2679" s="5" t="str">
        <f t="shared" si="32"/>
        <v>Y</v>
      </c>
      <c r="C2679" s="683" t="s">
        <v>13644</v>
      </c>
      <c r="D2679" s="683"/>
      <c r="E2679" s="683" t="s">
        <v>13645</v>
      </c>
      <c r="F2679" s="451">
        <v>20098</v>
      </c>
      <c r="G2679" s="386">
        <v>44984</v>
      </c>
      <c r="H2679" s="386">
        <v>44984</v>
      </c>
      <c r="L2679">
        <v>9955284282</v>
      </c>
    </row>
    <row r="2680" spans="1:12" ht="15" customHeight="1">
      <c r="A2680" s="5" t="s">
        <v>0</v>
      </c>
      <c r="B2680" s="5" t="str">
        <f t="shared" si="32"/>
        <v>Y</v>
      </c>
      <c r="C2680" s="683" t="s">
        <v>13646</v>
      </c>
      <c r="D2680" s="683"/>
      <c r="E2680" s="683" t="s">
        <v>10999</v>
      </c>
      <c r="F2680" s="451">
        <v>19749</v>
      </c>
      <c r="G2680" s="386">
        <v>44984</v>
      </c>
      <c r="H2680" s="386">
        <v>44984</v>
      </c>
      <c r="L2680">
        <v>9234554933</v>
      </c>
    </row>
    <row r="2681" spans="1:12" ht="15" customHeight="1">
      <c r="A2681" s="5" t="s">
        <v>0</v>
      </c>
      <c r="B2681" s="5" t="str">
        <f t="shared" si="32"/>
        <v>Y</v>
      </c>
      <c r="C2681" s="684" t="s">
        <v>13649</v>
      </c>
      <c r="D2681" s="684"/>
      <c r="E2681" s="684" t="s">
        <v>712</v>
      </c>
      <c r="F2681" s="451">
        <v>31048</v>
      </c>
      <c r="G2681" s="386">
        <v>44986</v>
      </c>
      <c r="H2681" s="386">
        <v>44986</v>
      </c>
      <c r="L2681">
        <v>9065612745</v>
      </c>
    </row>
    <row r="2682" spans="1:12" ht="15" customHeight="1">
      <c r="A2682" s="5" t="s">
        <v>0</v>
      </c>
      <c r="B2682" s="5" t="str">
        <f t="shared" si="32"/>
        <v>Y</v>
      </c>
      <c r="C2682" s="684" t="s">
        <v>13650</v>
      </c>
      <c r="D2682" s="684"/>
      <c r="E2682" s="684" t="s">
        <v>13651</v>
      </c>
      <c r="F2682" s="451">
        <v>38084</v>
      </c>
      <c r="G2682" s="386">
        <v>44986</v>
      </c>
      <c r="H2682" s="386">
        <v>44986</v>
      </c>
      <c r="L2682">
        <v>7965081664</v>
      </c>
    </row>
    <row r="2683" spans="1:12" ht="15" customHeight="1">
      <c r="A2683" s="5" t="s">
        <v>0</v>
      </c>
      <c r="B2683" s="5" t="str">
        <f t="shared" si="32"/>
        <v>Y</v>
      </c>
      <c r="C2683" s="684" t="s">
        <v>13652</v>
      </c>
      <c r="D2683" s="684"/>
      <c r="E2683" s="684" t="s">
        <v>11169</v>
      </c>
      <c r="F2683" s="451">
        <v>31413</v>
      </c>
      <c r="G2683" s="386">
        <v>44986</v>
      </c>
      <c r="H2683" s="386">
        <v>44987</v>
      </c>
      <c r="L2683">
        <v>6294364810</v>
      </c>
    </row>
    <row r="2684" spans="1:12" ht="15" customHeight="1">
      <c r="A2684" s="5" t="s">
        <v>0</v>
      </c>
      <c r="B2684" s="5" t="str">
        <f t="shared" si="32"/>
        <v>Y</v>
      </c>
      <c r="C2684" s="684" t="s">
        <v>13653</v>
      </c>
      <c r="D2684" s="684"/>
      <c r="E2684" s="684" t="s">
        <v>13654</v>
      </c>
      <c r="F2684" s="451">
        <v>34700</v>
      </c>
      <c r="G2684" s="386">
        <v>44986</v>
      </c>
      <c r="H2684" s="386">
        <v>44986</v>
      </c>
      <c r="L2684">
        <v>7379583291</v>
      </c>
    </row>
    <row r="2685" spans="1:12" ht="15" customHeight="1">
      <c r="A2685" s="5" t="s">
        <v>0</v>
      </c>
      <c r="B2685" s="5" t="str">
        <f t="shared" si="32"/>
        <v>Y</v>
      </c>
      <c r="C2685" s="685" t="s">
        <v>13655</v>
      </c>
      <c r="D2685" s="685"/>
      <c r="E2685" s="685" t="s">
        <v>13656</v>
      </c>
      <c r="F2685" s="451">
        <v>36081</v>
      </c>
      <c r="G2685" s="386">
        <v>44987</v>
      </c>
      <c r="H2685" s="386">
        <v>44987</v>
      </c>
      <c r="L2685">
        <v>6202567241</v>
      </c>
    </row>
    <row r="2686" spans="1:12" ht="15" customHeight="1">
      <c r="A2686" s="5" t="s">
        <v>0</v>
      </c>
      <c r="B2686" s="5" t="str">
        <f t="shared" si="32"/>
        <v>Y</v>
      </c>
      <c r="C2686" s="686" t="s">
        <v>13657</v>
      </c>
      <c r="D2686" s="686"/>
      <c r="E2686" s="686" t="s">
        <v>13658</v>
      </c>
      <c r="F2686" s="451">
        <v>31208</v>
      </c>
      <c r="G2686" s="386">
        <v>44988</v>
      </c>
      <c r="H2686" s="386">
        <v>44988</v>
      </c>
      <c r="L2686">
        <v>7209226277</v>
      </c>
    </row>
    <row r="2687" spans="1:12" ht="15" customHeight="1">
      <c r="A2687" s="5" t="s">
        <v>0</v>
      </c>
      <c r="B2687" s="5" t="str">
        <f t="shared" si="32"/>
        <v>Y</v>
      </c>
      <c r="C2687" s="687" t="s">
        <v>13659</v>
      </c>
      <c r="D2687" s="687"/>
      <c r="E2687" s="687" t="s">
        <v>13660</v>
      </c>
      <c r="F2687" s="451">
        <v>31506</v>
      </c>
      <c r="G2687" s="386">
        <v>44989</v>
      </c>
      <c r="H2687" s="386">
        <v>44989</v>
      </c>
      <c r="L2687">
        <v>9199056294</v>
      </c>
    </row>
    <row r="2688" spans="1:12" ht="15" customHeight="1">
      <c r="A2688" s="5" t="s">
        <v>0</v>
      </c>
      <c r="B2688" s="5" t="str">
        <f t="shared" si="32"/>
        <v>Y</v>
      </c>
      <c r="C2688" s="687" t="s">
        <v>13661</v>
      </c>
      <c r="D2688" s="687"/>
      <c r="E2688" s="687" t="s">
        <v>13662</v>
      </c>
      <c r="F2688" s="451">
        <v>30901</v>
      </c>
      <c r="G2688" s="386">
        <v>44989</v>
      </c>
      <c r="H2688" s="386">
        <v>44989</v>
      </c>
      <c r="L2688">
        <v>8210439912</v>
      </c>
    </row>
    <row r="2689" spans="1:12" ht="15" customHeight="1">
      <c r="A2689" s="5" t="s">
        <v>0</v>
      </c>
      <c r="B2689" s="5" t="str">
        <f t="shared" si="32"/>
        <v>Y</v>
      </c>
      <c r="C2689" s="688" t="s">
        <v>13663</v>
      </c>
      <c r="D2689" s="688"/>
      <c r="E2689" s="688" t="s">
        <v>13664</v>
      </c>
      <c r="F2689" s="451">
        <v>38275</v>
      </c>
      <c r="G2689" s="386">
        <v>44989</v>
      </c>
      <c r="H2689" s="386">
        <v>44989</v>
      </c>
      <c r="L2689">
        <v>9798489461</v>
      </c>
    </row>
    <row r="2690" spans="1:12" ht="15" customHeight="1">
      <c r="B2690" s="5" t="str">
        <f t="shared" si="32"/>
        <v>Y</v>
      </c>
      <c r="C2690" s="688" t="s">
        <v>13665</v>
      </c>
      <c r="D2690" s="688"/>
      <c r="E2690" s="688" t="s">
        <v>13666</v>
      </c>
      <c r="F2690" s="451">
        <v>38209</v>
      </c>
      <c r="G2690" s="386">
        <v>44989</v>
      </c>
      <c r="H2690" s="386">
        <v>44989</v>
      </c>
      <c r="I2690" t="s">
        <v>13667</v>
      </c>
      <c r="L2690">
        <v>9142880824</v>
      </c>
    </row>
    <row r="2691" spans="1:12" ht="15" customHeight="1">
      <c r="A2691" s="5" t="s">
        <v>0</v>
      </c>
      <c r="B2691" s="5" t="str">
        <f t="shared" si="32"/>
        <v>Y</v>
      </c>
      <c r="C2691" s="688" t="s">
        <v>13668</v>
      </c>
      <c r="D2691" s="688"/>
      <c r="E2691" s="688" t="s">
        <v>1188</v>
      </c>
      <c r="F2691" s="451">
        <v>38275</v>
      </c>
      <c r="G2691" s="386">
        <v>44989</v>
      </c>
      <c r="H2691" s="386">
        <v>44989</v>
      </c>
      <c r="L2691">
        <v>9504948760</v>
      </c>
    </row>
    <row r="2692" spans="1:12" ht="15" customHeight="1">
      <c r="A2692" s="5" t="s">
        <v>0</v>
      </c>
      <c r="B2692" s="5" t="str">
        <f t="shared" si="32"/>
        <v>Y</v>
      </c>
      <c r="C2692" s="688" t="s">
        <v>13669</v>
      </c>
      <c r="D2692" s="688"/>
      <c r="E2692" s="688" t="s">
        <v>13670</v>
      </c>
      <c r="F2692" s="451">
        <v>33725</v>
      </c>
      <c r="G2692" s="386">
        <v>44989</v>
      </c>
      <c r="H2692" s="386">
        <v>44989</v>
      </c>
      <c r="L2692">
        <v>8147353515</v>
      </c>
    </row>
    <row r="2693" spans="1:12" ht="15" customHeight="1">
      <c r="A2693" s="5" t="s">
        <v>0</v>
      </c>
      <c r="B2693" s="5" t="str">
        <f t="shared" si="32"/>
        <v>Y</v>
      </c>
      <c r="C2693" s="690" t="s">
        <v>13672</v>
      </c>
      <c r="D2693" s="690"/>
      <c r="E2693" s="690" t="s">
        <v>13673</v>
      </c>
      <c r="F2693" s="451">
        <v>35941</v>
      </c>
      <c r="G2693" s="386">
        <v>44995</v>
      </c>
      <c r="H2693" s="386">
        <v>44995</v>
      </c>
      <c r="L2693">
        <v>7808812344</v>
      </c>
    </row>
    <row r="2694" spans="1:12" ht="15" customHeight="1">
      <c r="A2694" s="5" t="s">
        <v>0</v>
      </c>
      <c r="B2694" s="5" t="str">
        <f t="shared" si="32"/>
        <v>Y</v>
      </c>
      <c r="C2694" s="690" t="s">
        <v>13675</v>
      </c>
      <c r="D2694" s="690"/>
      <c r="E2694" s="690" t="s">
        <v>13676</v>
      </c>
      <c r="F2694" s="451">
        <v>38416</v>
      </c>
      <c r="G2694" s="386">
        <v>44995</v>
      </c>
      <c r="H2694" s="386">
        <v>44995</v>
      </c>
      <c r="L2694">
        <v>7488909882</v>
      </c>
    </row>
    <row r="2695" spans="1:12" ht="15" customHeight="1">
      <c r="A2695" s="5" t="s">
        <v>0</v>
      </c>
      <c r="B2695" s="5" t="str">
        <f t="shared" si="32"/>
        <v>Y</v>
      </c>
      <c r="C2695" s="691" t="s">
        <v>13677</v>
      </c>
      <c r="D2695" s="691"/>
      <c r="E2695" s="691" t="s">
        <v>13678</v>
      </c>
      <c r="F2695" s="451">
        <v>37452</v>
      </c>
      <c r="G2695" s="386">
        <v>44996</v>
      </c>
      <c r="H2695" s="386">
        <v>44996</v>
      </c>
      <c r="L2695">
        <v>8797402843</v>
      </c>
    </row>
    <row r="2696" spans="1:12" ht="15" customHeight="1">
      <c r="A2696" s="5" t="s">
        <v>0</v>
      </c>
      <c r="B2696" s="5" t="str">
        <f t="shared" si="32"/>
        <v>Y</v>
      </c>
      <c r="C2696" s="692" t="s">
        <v>13679</v>
      </c>
      <c r="D2696" s="692"/>
      <c r="E2696" s="692" t="s">
        <v>13680</v>
      </c>
      <c r="F2696" s="451">
        <v>37557</v>
      </c>
      <c r="G2696" s="386">
        <v>44996</v>
      </c>
      <c r="H2696" s="386">
        <v>44996</v>
      </c>
      <c r="L2696">
        <v>6299342505</v>
      </c>
    </row>
    <row r="2697" spans="1:12" ht="15" customHeight="1">
      <c r="A2697" s="5" t="s">
        <v>0</v>
      </c>
      <c r="B2697" s="5" t="str">
        <f t="shared" si="32"/>
        <v>Y</v>
      </c>
      <c r="C2697" s="692" t="s">
        <v>13681</v>
      </c>
      <c r="D2697" s="692"/>
      <c r="E2697" s="692" t="s">
        <v>12199</v>
      </c>
      <c r="F2697" s="451">
        <v>29444</v>
      </c>
      <c r="G2697" s="386">
        <v>44996</v>
      </c>
      <c r="H2697" s="386">
        <v>44996</v>
      </c>
      <c r="L2697">
        <v>7294059301</v>
      </c>
    </row>
    <row r="2698" spans="1:12" ht="15" customHeight="1">
      <c r="A2698" s="5" t="s">
        <v>0</v>
      </c>
      <c r="B2698" s="5" t="str">
        <f t="shared" si="32"/>
        <v>Y</v>
      </c>
      <c r="C2698" s="693" t="s">
        <v>13682</v>
      </c>
      <c r="D2698" s="693"/>
      <c r="E2698" s="693" t="s">
        <v>13683</v>
      </c>
      <c r="F2698" s="451">
        <v>35182</v>
      </c>
      <c r="G2698" s="386">
        <v>44997</v>
      </c>
      <c r="H2698" s="386">
        <v>44997</v>
      </c>
      <c r="L2698">
        <v>7903406608</v>
      </c>
    </row>
    <row r="2699" spans="1:12" ht="15" customHeight="1">
      <c r="A2699" s="5" t="s">
        <v>0</v>
      </c>
      <c r="B2699" s="5" t="str">
        <f t="shared" si="32"/>
        <v>Y</v>
      </c>
      <c r="C2699" s="693" t="s">
        <v>13685</v>
      </c>
      <c r="D2699" s="693"/>
      <c r="E2699" s="693" t="s">
        <v>13684</v>
      </c>
      <c r="F2699" s="451">
        <v>25612</v>
      </c>
      <c r="G2699" s="386">
        <v>44997</v>
      </c>
      <c r="H2699" s="386">
        <v>44997</v>
      </c>
      <c r="L2699">
        <v>8235235876</v>
      </c>
    </row>
    <row r="2700" spans="1:12" ht="15" customHeight="1">
      <c r="A2700" s="5" t="s">
        <v>0</v>
      </c>
      <c r="B2700" s="5" t="str">
        <f t="shared" si="32"/>
        <v>Y</v>
      </c>
      <c r="C2700" s="694" t="s">
        <v>13686</v>
      </c>
      <c r="D2700" s="694"/>
      <c r="E2700" s="694" t="s">
        <v>13687</v>
      </c>
      <c r="F2700" s="451">
        <v>38107</v>
      </c>
      <c r="G2700" s="386">
        <v>44998</v>
      </c>
      <c r="H2700" s="386">
        <v>44998</v>
      </c>
      <c r="L2700">
        <v>7979819496</v>
      </c>
    </row>
    <row r="2701" spans="1:12" ht="15" customHeight="1">
      <c r="A2701" s="5" t="s">
        <v>0</v>
      </c>
      <c r="B2701" s="5" t="str">
        <f t="shared" si="32"/>
        <v>Y</v>
      </c>
      <c r="C2701" s="694" t="s">
        <v>13689</v>
      </c>
      <c r="D2701" s="694"/>
      <c r="E2701" s="694" t="s">
        <v>13688</v>
      </c>
      <c r="F2701" s="451">
        <v>38192</v>
      </c>
      <c r="G2701" s="386">
        <v>44998</v>
      </c>
      <c r="H2701" s="386">
        <v>44998</v>
      </c>
      <c r="L2701">
        <v>9142422618</v>
      </c>
    </row>
    <row r="2702" spans="1:12" ht="15" customHeight="1">
      <c r="A2702" s="5" t="s">
        <v>0</v>
      </c>
      <c r="B2702" s="5" t="str">
        <f t="shared" si="32"/>
        <v>Y</v>
      </c>
      <c r="C2702" s="694" t="s">
        <v>13690</v>
      </c>
      <c r="D2702" s="694"/>
      <c r="E2702" s="694" t="s">
        <v>13691</v>
      </c>
      <c r="F2702" s="451">
        <v>21222</v>
      </c>
      <c r="G2702" s="386">
        <v>44998</v>
      </c>
      <c r="H2702" s="386">
        <v>44998</v>
      </c>
      <c r="L2702">
        <v>9308309351</v>
      </c>
    </row>
    <row r="2703" spans="1:12" ht="15" customHeight="1">
      <c r="A2703" s="5" t="s">
        <v>0</v>
      </c>
      <c r="B2703" s="5" t="str">
        <f t="shared" si="32"/>
        <v>Y</v>
      </c>
      <c r="C2703" s="695" t="s">
        <v>13692</v>
      </c>
      <c r="D2703" s="695"/>
      <c r="E2703" s="695" t="s">
        <v>13693</v>
      </c>
      <c r="F2703" s="451">
        <v>28127</v>
      </c>
      <c r="G2703" s="386">
        <v>44998</v>
      </c>
      <c r="H2703" s="386">
        <v>44999</v>
      </c>
      <c r="L2703">
        <v>6297365569</v>
      </c>
    </row>
    <row r="2704" spans="1:12" ht="15" customHeight="1">
      <c r="A2704" s="5" t="s">
        <v>0</v>
      </c>
      <c r="B2704" s="5" t="str">
        <f t="shared" si="32"/>
        <v>Y</v>
      </c>
      <c r="C2704" s="695" t="s">
        <v>13694</v>
      </c>
      <c r="D2704" s="695"/>
      <c r="E2704" s="695" t="s">
        <v>10404</v>
      </c>
      <c r="F2704" s="451">
        <v>24025</v>
      </c>
      <c r="G2704" s="386">
        <v>44999</v>
      </c>
      <c r="H2704" s="386">
        <v>44999</v>
      </c>
      <c r="L2704">
        <v>7294164978</v>
      </c>
    </row>
    <row r="2705" spans="1:12" ht="15" customHeight="1">
      <c r="A2705" s="5" t="s">
        <v>0</v>
      </c>
      <c r="B2705" s="5" t="str">
        <f t="shared" si="32"/>
        <v>Y</v>
      </c>
      <c r="C2705" s="695" t="s">
        <v>13695</v>
      </c>
      <c r="D2705" s="695"/>
      <c r="E2705" s="695" t="s">
        <v>13696</v>
      </c>
      <c r="F2705" s="451">
        <v>30064</v>
      </c>
      <c r="G2705" s="386">
        <v>44999</v>
      </c>
      <c r="H2705" s="386">
        <v>44999</v>
      </c>
      <c r="L2705">
        <v>8987711953</v>
      </c>
    </row>
    <row r="2706" spans="1:12" ht="15" customHeight="1">
      <c r="A2706" s="5" t="s">
        <v>0</v>
      </c>
      <c r="B2706" s="5" t="str">
        <f t="shared" si="32"/>
        <v>Y</v>
      </c>
      <c r="C2706" s="696" t="s">
        <v>13697</v>
      </c>
      <c r="D2706" s="696"/>
      <c r="E2706" s="696" t="s">
        <v>13698</v>
      </c>
      <c r="F2706" s="451">
        <v>31278</v>
      </c>
      <c r="G2706" s="386">
        <v>45001</v>
      </c>
      <c r="H2706" s="386">
        <v>45001</v>
      </c>
      <c r="L2706">
        <v>9910549285</v>
      </c>
    </row>
    <row r="2707" spans="1:12" ht="15" customHeight="1">
      <c r="A2707" s="5" t="s">
        <v>0</v>
      </c>
      <c r="B2707" s="5" t="str">
        <f t="shared" si="32"/>
        <v>Y</v>
      </c>
      <c r="C2707" s="696" t="s">
        <v>13701</v>
      </c>
      <c r="D2707" s="696"/>
      <c r="E2707" s="696" t="s">
        <v>13702</v>
      </c>
      <c r="F2707" s="451">
        <v>30566</v>
      </c>
      <c r="G2707" s="386">
        <v>45002</v>
      </c>
      <c r="H2707" s="386">
        <v>45003</v>
      </c>
      <c r="L2707">
        <v>8797224159</v>
      </c>
    </row>
    <row r="2708" spans="1:12" ht="15" customHeight="1">
      <c r="A2708" s="5" t="s">
        <v>0</v>
      </c>
      <c r="B2708" s="5" t="str">
        <f t="shared" si="32"/>
        <v>Y</v>
      </c>
      <c r="C2708" s="697" t="s">
        <v>13703</v>
      </c>
      <c r="D2708" s="697"/>
      <c r="E2708" s="697" t="s">
        <v>13704</v>
      </c>
      <c r="F2708" s="451">
        <v>37339</v>
      </c>
      <c r="G2708" s="386">
        <v>45002</v>
      </c>
      <c r="H2708" s="386">
        <v>45003</v>
      </c>
      <c r="L2708">
        <v>7379583291</v>
      </c>
    </row>
    <row r="2709" spans="1:12" ht="15" customHeight="1">
      <c r="A2709" s="5" t="s">
        <v>0</v>
      </c>
      <c r="B2709" s="5" t="str">
        <f t="shared" si="32"/>
        <v>Y</v>
      </c>
      <c r="C2709" t="s">
        <v>13699</v>
      </c>
      <c r="E2709" t="s">
        <v>13700</v>
      </c>
      <c r="F2709" s="451">
        <v>18264</v>
      </c>
      <c r="G2709" s="386">
        <v>45002</v>
      </c>
      <c r="H2709" s="386">
        <v>45003</v>
      </c>
      <c r="L2709">
        <v>9204739821</v>
      </c>
    </row>
    <row r="2710" spans="1:12" ht="15" customHeight="1">
      <c r="A2710" s="5" t="s">
        <v>0</v>
      </c>
      <c r="B2710" s="5" t="str">
        <f t="shared" si="32"/>
        <v>Y</v>
      </c>
      <c r="C2710" t="s">
        <v>13708</v>
      </c>
      <c r="E2710" t="s">
        <v>13709</v>
      </c>
      <c r="F2710" s="451">
        <v>32104</v>
      </c>
      <c r="G2710" s="386">
        <v>45003</v>
      </c>
      <c r="H2710" s="386">
        <v>45003</v>
      </c>
      <c r="L2710">
        <v>8235425126</v>
      </c>
    </row>
    <row r="2711" spans="1:12" ht="15" customHeight="1">
      <c r="A2711" s="5" t="s">
        <v>0</v>
      </c>
      <c r="B2711" s="5" t="str">
        <f t="shared" si="32"/>
        <v>Y</v>
      </c>
      <c r="C2711" t="s">
        <v>13711</v>
      </c>
      <c r="E2711" t="s">
        <v>13710</v>
      </c>
      <c r="F2711" s="451">
        <v>27458</v>
      </c>
      <c r="G2711" s="386">
        <v>45003</v>
      </c>
      <c r="H2711" s="386">
        <v>45003</v>
      </c>
      <c r="L2711">
        <v>9234660445</v>
      </c>
    </row>
    <row r="2712" spans="1:12" ht="15" customHeight="1">
      <c r="A2712" s="5" t="s">
        <v>0</v>
      </c>
      <c r="B2712" s="5" t="str">
        <f t="shared" si="32"/>
        <v>Y</v>
      </c>
      <c r="C2712" t="s">
        <v>13712</v>
      </c>
      <c r="E2712" t="s">
        <v>13713</v>
      </c>
      <c r="F2712" s="451">
        <v>36878</v>
      </c>
      <c r="G2712" s="386">
        <v>45004</v>
      </c>
      <c r="H2712" s="386">
        <v>45004</v>
      </c>
      <c r="L2712">
        <v>6204245041</v>
      </c>
    </row>
    <row r="2713" spans="1:12" ht="15" customHeight="1">
      <c r="A2713" s="5" t="s">
        <v>0</v>
      </c>
      <c r="B2713" s="5" t="str">
        <f t="shared" si="32"/>
        <v>Y</v>
      </c>
      <c r="C2713" t="s">
        <v>13715</v>
      </c>
      <c r="E2713" t="s">
        <v>13714</v>
      </c>
      <c r="F2713" s="451">
        <v>36579</v>
      </c>
      <c r="G2713" s="386">
        <v>45004</v>
      </c>
      <c r="H2713" s="386">
        <v>45004</v>
      </c>
      <c r="L2713">
        <v>8235324405</v>
      </c>
    </row>
    <row r="2714" spans="1:12" ht="15" customHeight="1">
      <c r="A2714" s="5" t="s">
        <v>0</v>
      </c>
      <c r="B2714" s="5" t="str">
        <f t="shared" si="32"/>
        <v>Y</v>
      </c>
      <c r="C2714" s="698" t="s">
        <v>13717</v>
      </c>
      <c r="D2714" s="698"/>
      <c r="E2714" s="698" t="s">
        <v>13718</v>
      </c>
      <c r="F2714" s="451">
        <v>22232</v>
      </c>
      <c r="G2714" s="386">
        <v>45005</v>
      </c>
      <c r="H2714" s="386">
        <v>45005</v>
      </c>
      <c r="L2714">
        <v>8603210602</v>
      </c>
    </row>
    <row r="2715" spans="1:12" ht="15" customHeight="1">
      <c r="A2715" s="5" t="s">
        <v>0</v>
      </c>
      <c r="B2715" s="5" t="str">
        <f t="shared" si="32"/>
        <v>Y</v>
      </c>
      <c r="C2715" s="980" t="s">
        <v>13719</v>
      </c>
      <c r="D2715" s="698"/>
      <c r="E2715" s="698" t="s">
        <v>4009</v>
      </c>
      <c r="F2715" s="451">
        <v>38285</v>
      </c>
      <c r="G2715" s="386">
        <v>45005</v>
      </c>
      <c r="H2715" s="386">
        <v>45005</v>
      </c>
      <c r="L2715">
        <v>7969767479</v>
      </c>
    </row>
    <row r="2716" spans="1:12" ht="15" customHeight="1">
      <c r="A2716" s="5" t="s">
        <v>0</v>
      </c>
      <c r="B2716" s="5" t="str">
        <f t="shared" si="32"/>
        <v>Y</v>
      </c>
      <c r="C2716" s="81" t="s">
        <v>13716</v>
      </c>
      <c r="D2716" s="81"/>
      <c r="E2716" s="698" t="s">
        <v>13720</v>
      </c>
      <c r="F2716" s="451">
        <v>18383</v>
      </c>
      <c r="G2716" s="386">
        <v>45005</v>
      </c>
      <c r="H2716" s="386">
        <v>45005</v>
      </c>
      <c r="L2716">
        <v>9279132738</v>
      </c>
    </row>
    <row r="2717" spans="1:12" ht="15" customHeight="1">
      <c r="A2717" s="5" t="s">
        <v>0</v>
      </c>
      <c r="B2717" s="5" t="str">
        <f t="shared" si="32"/>
        <v>Y</v>
      </c>
      <c r="C2717" s="699" t="s">
        <v>13721</v>
      </c>
      <c r="D2717" s="699"/>
      <c r="E2717" s="699" t="s">
        <v>13722</v>
      </c>
      <c r="F2717" s="451">
        <v>27900</v>
      </c>
      <c r="G2717" s="386">
        <v>45006</v>
      </c>
      <c r="H2717" s="386">
        <v>45006</v>
      </c>
      <c r="L2717">
        <v>6209176585</v>
      </c>
    </row>
    <row r="2718" spans="1:12" ht="15" customHeight="1">
      <c r="A2718" s="5" t="s">
        <v>0</v>
      </c>
      <c r="B2718" s="5" t="str">
        <f t="shared" si="32"/>
        <v>Y</v>
      </c>
      <c r="C2718" s="699" t="s">
        <v>13723</v>
      </c>
      <c r="D2718" s="699"/>
      <c r="E2718" s="699" t="s">
        <v>13724</v>
      </c>
      <c r="F2718" s="451">
        <v>29009</v>
      </c>
      <c r="G2718" s="386">
        <v>45006</v>
      </c>
      <c r="H2718" s="386">
        <v>45006</v>
      </c>
      <c r="L2718">
        <v>8210168181</v>
      </c>
    </row>
    <row r="2719" spans="1:12" ht="15" customHeight="1">
      <c r="A2719" s="5" t="s">
        <v>0</v>
      </c>
      <c r="B2719" s="5" t="str">
        <f t="shared" si="32"/>
        <v>Y</v>
      </c>
      <c r="C2719" t="s">
        <v>13725</v>
      </c>
      <c r="E2719" s="700" t="s">
        <v>13726</v>
      </c>
      <c r="F2719" s="451">
        <v>33557</v>
      </c>
      <c r="G2719" s="386">
        <v>45007</v>
      </c>
      <c r="H2719" s="386">
        <v>45007</v>
      </c>
      <c r="L2719">
        <v>8757538254</v>
      </c>
    </row>
    <row r="2720" spans="1:12" ht="15" customHeight="1">
      <c r="A2720" s="5" t="s">
        <v>0</v>
      </c>
      <c r="B2720" s="5" t="str">
        <f t="shared" si="32"/>
        <v>Y</v>
      </c>
      <c r="C2720" t="s">
        <v>13728</v>
      </c>
      <c r="E2720" s="701" t="s">
        <v>13729</v>
      </c>
      <c r="F2720" s="451">
        <v>32215</v>
      </c>
      <c r="G2720" s="386">
        <v>45007</v>
      </c>
      <c r="H2720" s="386">
        <v>45007</v>
      </c>
      <c r="L2720">
        <v>8434027032</v>
      </c>
    </row>
    <row r="2721" spans="1:12" ht="15" customHeight="1">
      <c r="A2721" s="5" t="s">
        <v>0</v>
      </c>
      <c r="B2721" s="5" t="str">
        <f t="shared" si="32"/>
        <v>Y</v>
      </c>
      <c r="C2721" t="s">
        <v>13730</v>
      </c>
      <c r="E2721" s="702" t="s">
        <v>13731</v>
      </c>
      <c r="F2721" s="451">
        <v>31413</v>
      </c>
      <c r="G2721" s="386">
        <v>45008</v>
      </c>
      <c r="H2721" s="386">
        <v>45008</v>
      </c>
      <c r="L2721">
        <v>9204739821</v>
      </c>
    </row>
    <row r="2722" spans="1:12" ht="15" customHeight="1">
      <c r="A2722" s="5" t="s">
        <v>0</v>
      </c>
      <c r="B2722" s="5" t="str">
        <f t="shared" si="32"/>
        <v>Y</v>
      </c>
      <c r="C2722" t="s">
        <v>13732</v>
      </c>
      <c r="E2722" s="702" t="s">
        <v>13733</v>
      </c>
      <c r="F2722" s="451">
        <v>18629</v>
      </c>
      <c r="G2722" s="386">
        <v>45008</v>
      </c>
      <c r="H2722" s="386">
        <v>45008</v>
      </c>
      <c r="L2722">
        <v>8789300498</v>
      </c>
    </row>
    <row r="2723" spans="1:12" ht="15" customHeight="1">
      <c r="A2723" s="5" t="s">
        <v>0</v>
      </c>
      <c r="B2723" s="5" t="str">
        <f t="shared" si="32"/>
        <v>Y</v>
      </c>
      <c r="C2723" t="s">
        <v>13734</v>
      </c>
      <c r="E2723" s="703" t="s">
        <v>13735</v>
      </c>
      <c r="F2723" s="451">
        <v>25118</v>
      </c>
      <c r="G2723" s="386">
        <v>45009</v>
      </c>
      <c r="H2723" s="386">
        <v>45009</v>
      </c>
      <c r="L2723">
        <v>8292268797</v>
      </c>
    </row>
    <row r="2724" spans="1:12" ht="15" customHeight="1">
      <c r="A2724" s="5" t="s">
        <v>0</v>
      </c>
      <c r="B2724" s="5" t="str">
        <f t="shared" si="32"/>
        <v>Y</v>
      </c>
      <c r="C2724" t="s">
        <v>13736</v>
      </c>
      <c r="E2724" s="704" t="s">
        <v>13737</v>
      </c>
      <c r="F2724" s="451">
        <v>16381</v>
      </c>
      <c r="G2724" s="386">
        <v>45010</v>
      </c>
      <c r="H2724" s="386">
        <v>45010</v>
      </c>
      <c r="L2724">
        <v>8797826309</v>
      </c>
    </row>
    <row r="2725" spans="1:12" ht="15" customHeight="1">
      <c r="A2725" s="5" t="s">
        <v>0</v>
      </c>
      <c r="B2725" s="5" t="str">
        <f t="shared" si="32"/>
        <v>Y</v>
      </c>
      <c r="C2725" t="s">
        <v>13738</v>
      </c>
      <c r="E2725" s="704" t="s">
        <v>13739</v>
      </c>
      <c r="F2725" s="451">
        <v>33770</v>
      </c>
      <c r="G2725" s="386">
        <v>45010</v>
      </c>
      <c r="H2725" s="386">
        <v>45010</v>
      </c>
      <c r="L2725">
        <v>7764035556</v>
      </c>
    </row>
    <row r="2726" spans="1:12" ht="15" customHeight="1">
      <c r="A2726" s="5" t="s">
        <v>0</v>
      </c>
      <c r="B2726" s="5" t="str">
        <f t="shared" si="32"/>
        <v>Y</v>
      </c>
      <c r="C2726" t="s">
        <v>13740</v>
      </c>
      <c r="E2726" s="704" t="s">
        <v>13741</v>
      </c>
      <c r="F2726" s="451">
        <v>28956</v>
      </c>
      <c r="G2726" s="386">
        <v>45010</v>
      </c>
      <c r="H2726" s="386">
        <v>45010</v>
      </c>
      <c r="L2726">
        <v>9204739821</v>
      </c>
    </row>
    <row r="2727" spans="1:12" ht="15" customHeight="1">
      <c r="A2727" s="5" t="s">
        <v>0</v>
      </c>
      <c r="B2727" s="5" t="str">
        <f t="shared" si="32"/>
        <v>Y</v>
      </c>
      <c r="C2727" t="s">
        <v>13742</v>
      </c>
      <c r="E2727" s="704" t="s">
        <v>13743</v>
      </c>
      <c r="F2727" s="451">
        <v>33239</v>
      </c>
      <c r="G2727" s="386">
        <v>45010</v>
      </c>
      <c r="H2727" s="386">
        <v>45010</v>
      </c>
      <c r="L2727">
        <v>8538973840</v>
      </c>
    </row>
    <row r="2728" spans="1:12" ht="15" customHeight="1">
      <c r="A2728" s="5" t="s">
        <v>0</v>
      </c>
      <c r="B2728" s="5" t="str">
        <f t="shared" si="32"/>
        <v>Y</v>
      </c>
      <c r="C2728" t="s">
        <v>13744</v>
      </c>
      <c r="E2728" s="704" t="s">
        <v>13745</v>
      </c>
      <c r="F2728" s="451">
        <v>26665</v>
      </c>
      <c r="G2728" s="386">
        <v>45010</v>
      </c>
      <c r="H2728" s="386">
        <v>45010</v>
      </c>
      <c r="L2728">
        <v>9162478021</v>
      </c>
    </row>
    <row r="2729" spans="1:12" ht="15" customHeight="1">
      <c r="A2729" s="5" t="s">
        <v>0</v>
      </c>
      <c r="B2729" s="5" t="str">
        <f t="shared" si="32"/>
        <v>Y</v>
      </c>
      <c r="C2729" t="s">
        <v>13746</v>
      </c>
      <c r="E2729" s="704" t="s">
        <v>12199</v>
      </c>
      <c r="F2729" s="451">
        <v>27760</v>
      </c>
      <c r="G2729" s="386">
        <v>45010</v>
      </c>
      <c r="H2729" s="386">
        <v>45010</v>
      </c>
      <c r="L2729">
        <v>9234469231</v>
      </c>
    </row>
    <row r="2730" spans="1:12" ht="15" customHeight="1">
      <c r="A2730" s="5" t="s">
        <v>0</v>
      </c>
      <c r="B2730" s="5" t="str">
        <f t="shared" ref="B2730:B2793" si="33">IF(H2730="","N","Y")</f>
        <v>Y</v>
      </c>
      <c r="C2730" t="s">
        <v>13747</v>
      </c>
      <c r="E2730" s="704" t="s">
        <v>13748</v>
      </c>
      <c r="F2730" s="451">
        <v>12785</v>
      </c>
      <c r="G2730" s="386">
        <v>45010</v>
      </c>
      <c r="H2730" s="386">
        <v>45010</v>
      </c>
      <c r="L2730">
        <v>7654926556</v>
      </c>
    </row>
    <row r="2731" spans="1:12" ht="15" customHeight="1">
      <c r="A2731" s="5" t="s">
        <v>0</v>
      </c>
      <c r="B2731" s="5" t="str">
        <f t="shared" si="33"/>
        <v>Y</v>
      </c>
      <c r="C2731" t="s">
        <v>13749</v>
      </c>
      <c r="E2731" s="704" t="s">
        <v>13750</v>
      </c>
      <c r="F2731" s="451">
        <v>31447</v>
      </c>
      <c r="G2731" s="386">
        <v>45010</v>
      </c>
      <c r="H2731" s="386">
        <v>45010</v>
      </c>
      <c r="L2731">
        <v>8084293941</v>
      </c>
    </row>
    <row r="2732" spans="1:12" ht="15" customHeight="1">
      <c r="A2732" s="5" t="s">
        <v>0</v>
      </c>
      <c r="B2732" s="5" t="str">
        <f t="shared" si="33"/>
        <v>Y</v>
      </c>
      <c r="C2732" s="705" t="s">
        <v>13753</v>
      </c>
      <c r="D2732" s="705"/>
      <c r="E2732" s="705" t="s">
        <v>13754</v>
      </c>
      <c r="F2732" s="451">
        <v>33658</v>
      </c>
      <c r="G2732" s="386">
        <v>45011</v>
      </c>
      <c r="H2732" s="386">
        <v>45011</v>
      </c>
      <c r="L2732">
        <v>8987964956</v>
      </c>
    </row>
    <row r="2733" spans="1:12" ht="15" customHeight="1">
      <c r="A2733" s="5" t="s">
        <v>0</v>
      </c>
      <c r="B2733" s="5" t="str">
        <f t="shared" si="33"/>
        <v>Y</v>
      </c>
      <c r="C2733" s="705" t="s">
        <v>13755</v>
      </c>
      <c r="D2733" s="705"/>
      <c r="E2733" s="705" t="s">
        <v>13578</v>
      </c>
      <c r="F2733" s="451">
        <v>27410</v>
      </c>
      <c r="G2733" s="386">
        <v>45011</v>
      </c>
      <c r="H2733" s="386">
        <v>45011</v>
      </c>
      <c r="L2733">
        <v>6201644132</v>
      </c>
    </row>
    <row r="2734" spans="1:12" ht="15" customHeight="1">
      <c r="A2734" s="5" t="s">
        <v>0</v>
      </c>
      <c r="B2734" s="5" t="str">
        <f t="shared" si="33"/>
        <v>Y</v>
      </c>
      <c r="C2734" s="738" t="s">
        <v>13756</v>
      </c>
      <c r="D2734" s="738"/>
      <c r="E2734" s="705" t="s">
        <v>13757</v>
      </c>
      <c r="F2734" s="451">
        <v>20180</v>
      </c>
      <c r="G2734" s="386">
        <v>45011</v>
      </c>
      <c r="H2734" s="386">
        <v>45011</v>
      </c>
      <c r="L2734">
        <v>7366980501</v>
      </c>
    </row>
    <row r="2735" spans="1:12" ht="15" customHeight="1">
      <c r="A2735" s="5" t="s">
        <v>0</v>
      </c>
      <c r="B2735" s="5" t="str">
        <f t="shared" si="33"/>
        <v>Y</v>
      </c>
      <c r="C2735" s="738" t="s">
        <v>13759</v>
      </c>
      <c r="D2735" s="738"/>
      <c r="E2735" s="705" t="s">
        <v>13758</v>
      </c>
      <c r="F2735" s="451">
        <v>33415</v>
      </c>
      <c r="G2735" s="386">
        <v>45011</v>
      </c>
      <c r="H2735" s="386">
        <v>45011</v>
      </c>
      <c r="L2735">
        <v>7209690813</v>
      </c>
    </row>
    <row r="2736" spans="1:12" ht="15" customHeight="1">
      <c r="A2736" s="5" t="s">
        <v>0</v>
      </c>
      <c r="B2736" s="5" t="str">
        <f t="shared" si="33"/>
        <v>Y</v>
      </c>
      <c r="C2736" s="705" t="s">
        <v>13760</v>
      </c>
      <c r="D2736" s="705"/>
      <c r="E2736" s="705" t="s">
        <v>13731</v>
      </c>
      <c r="F2736" s="451">
        <v>36325</v>
      </c>
      <c r="G2736" s="386">
        <v>45011</v>
      </c>
      <c r="H2736" s="386">
        <v>45011</v>
      </c>
      <c r="L2736">
        <v>9939060680</v>
      </c>
    </row>
    <row r="2737" spans="1:12" ht="15" customHeight="1">
      <c r="A2737" s="5" t="s">
        <v>0</v>
      </c>
      <c r="B2737" s="5" t="str">
        <f t="shared" si="33"/>
        <v>Y</v>
      </c>
      <c r="C2737" s="705" t="s">
        <v>13762</v>
      </c>
      <c r="D2737" s="705"/>
      <c r="E2737" s="705" t="s">
        <v>13761</v>
      </c>
      <c r="F2737" s="451">
        <v>38339</v>
      </c>
      <c r="G2737" s="386">
        <v>45011</v>
      </c>
      <c r="H2737" s="386">
        <v>45011</v>
      </c>
      <c r="L2737">
        <v>7488859052</v>
      </c>
    </row>
    <row r="2738" spans="1:12" ht="15" customHeight="1">
      <c r="A2738" s="5" t="s">
        <v>0</v>
      </c>
      <c r="B2738" s="5" t="str">
        <f t="shared" si="33"/>
        <v>Y</v>
      </c>
      <c r="C2738" s="705" t="s">
        <v>13763</v>
      </c>
      <c r="D2738" s="705"/>
      <c r="E2738" s="705" t="s">
        <v>13764</v>
      </c>
      <c r="F2738" s="451">
        <v>26439</v>
      </c>
      <c r="G2738" s="386">
        <v>45011</v>
      </c>
      <c r="H2738" s="386">
        <v>45011</v>
      </c>
      <c r="L2738">
        <v>8084099458</v>
      </c>
    </row>
    <row r="2739" spans="1:12" ht="15" customHeight="1">
      <c r="A2739" s="5" t="s">
        <v>0</v>
      </c>
      <c r="B2739" s="5" t="str">
        <f t="shared" si="33"/>
        <v>Y</v>
      </c>
      <c r="C2739" s="705" t="s">
        <v>13766</v>
      </c>
      <c r="D2739" s="705"/>
      <c r="E2739" s="705" t="s">
        <v>13765</v>
      </c>
      <c r="F2739" s="451">
        <v>26299</v>
      </c>
      <c r="G2739" s="386">
        <v>45011</v>
      </c>
      <c r="H2739" s="386">
        <v>45011</v>
      </c>
      <c r="L2739">
        <v>6207448209</v>
      </c>
    </row>
    <row r="2740" spans="1:12" ht="15" customHeight="1">
      <c r="A2740" s="5" t="s">
        <v>0</v>
      </c>
      <c r="B2740" s="5" t="str">
        <f t="shared" si="33"/>
        <v>Y</v>
      </c>
      <c r="C2740" s="705" t="s">
        <v>13767</v>
      </c>
      <c r="D2740" s="705"/>
      <c r="E2740" s="705" t="s">
        <v>13768</v>
      </c>
      <c r="F2740" s="451">
        <v>21186</v>
      </c>
      <c r="G2740" s="386">
        <v>45011</v>
      </c>
      <c r="H2740" s="386">
        <v>45011</v>
      </c>
      <c r="L2740">
        <v>9162962621</v>
      </c>
    </row>
    <row r="2741" spans="1:12" ht="15" customHeight="1">
      <c r="A2741" s="5" t="s">
        <v>0</v>
      </c>
      <c r="B2741" s="5" t="str">
        <f t="shared" si="33"/>
        <v>Y</v>
      </c>
      <c r="C2741" s="706" t="s">
        <v>13769</v>
      </c>
      <c r="D2741" s="706"/>
      <c r="E2741" s="706" t="s">
        <v>13770</v>
      </c>
      <c r="F2741" s="451">
        <v>21916</v>
      </c>
      <c r="G2741" s="386">
        <v>45012</v>
      </c>
      <c r="H2741" s="386">
        <v>45012</v>
      </c>
      <c r="L2741">
        <v>9263299453</v>
      </c>
    </row>
    <row r="2742" spans="1:12" ht="15" customHeight="1">
      <c r="A2742" s="5" t="s">
        <v>0</v>
      </c>
      <c r="B2742" s="5" t="str">
        <f t="shared" si="33"/>
        <v>Y</v>
      </c>
      <c r="C2742" s="707" t="s">
        <v>13771</v>
      </c>
      <c r="D2742" s="707"/>
      <c r="E2742" s="707" t="s">
        <v>13772</v>
      </c>
      <c r="F2742" s="451">
        <v>30321</v>
      </c>
      <c r="G2742" s="386">
        <v>45013</v>
      </c>
      <c r="H2742" s="386">
        <v>45014</v>
      </c>
      <c r="L2742">
        <v>9234531669</v>
      </c>
    </row>
    <row r="2743" spans="1:12" ht="15" customHeight="1">
      <c r="A2743" s="5" t="s">
        <v>0</v>
      </c>
      <c r="B2743" s="5" t="str">
        <f t="shared" si="33"/>
        <v>Y</v>
      </c>
      <c r="C2743" s="707" t="s">
        <v>13774</v>
      </c>
      <c r="D2743" s="707"/>
      <c r="E2743" s="707" t="s">
        <v>13773</v>
      </c>
      <c r="F2743" s="451">
        <v>17558</v>
      </c>
      <c r="G2743" s="386">
        <v>45013</v>
      </c>
      <c r="H2743" s="386">
        <v>45014</v>
      </c>
      <c r="L2743">
        <v>9199056303</v>
      </c>
    </row>
    <row r="2744" spans="1:12" ht="15" customHeight="1">
      <c r="A2744" s="5" t="s">
        <v>0</v>
      </c>
      <c r="B2744" s="5" t="str">
        <f t="shared" si="33"/>
        <v>Y</v>
      </c>
      <c r="C2744" s="707" t="s">
        <v>13775</v>
      </c>
      <c r="D2744" s="707"/>
      <c r="E2744" s="707" t="s">
        <v>13776</v>
      </c>
      <c r="F2744" s="451">
        <v>38435</v>
      </c>
      <c r="G2744" s="386">
        <v>45013</v>
      </c>
      <c r="H2744" s="386">
        <v>45014</v>
      </c>
      <c r="L2744">
        <v>9060437982</v>
      </c>
    </row>
    <row r="2745" spans="1:12" ht="15" customHeight="1">
      <c r="A2745" s="5" t="s">
        <v>0</v>
      </c>
      <c r="B2745" s="5" t="str">
        <f t="shared" si="33"/>
        <v>Y</v>
      </c>
      <c r="C2745" s="707" t="s">
        <v>13778</v>
      </c>
      <c r="D2745" s="707"/>
      <c r="E2745" s="707" t="s">
        <v>13777</v>
      </c>
      <c r="F2745" s="451">
        <v>29497</v>
      </c>
      <c r="G2745" s="386">
        <v>45013</v>
      </c>
      <c r="H2745" s="386">
        <v>45014</v>
      </c>
      <c r="L2745">
        <v>8434130542</v>
      </c>
    </row>
    <row r="2746" spans="1:12" ht="15" customHeight="1">
      <c r="A2746" s="5" t="s">
        <v>0</v>
      </c>
      <c r="B2746" s="5" t="str">
        <f t="shared" si="33"/>
        <v>Y</v>
      </c>
      <c r="C2746" s="707" t="s">
        <v>13779</v>
      </c>
      <c r="D2746" s="707"/>
      <c r="E2746" s="707" t="s">
        <v>13780</v>
      </c>
      <c r="F2746" s="451">
        <v>32143</v>
      </c>
      <c r="G2746" s="386">
        <v>45013</v>
      </c>
      <c r="H2746" s="386">
        <v>45014</v>
      </c>
      <c r="L2746">
        <v>6202971793</v>
      </c>
    </row>
    <row r="2747" spans="1:12" ht="15" customHeight="1">
      <c r="A2747" s="5" t="s">
        <v>0</v>
      </c>
      <c r="B2747" s="5" t="str">
        <f t="shared" si="33"/>
        <v>Y</v>
      </c>
      <c r="C2747" s="707" t="s">
        <v>13781</v>
      </c>
      <c r="D2747" s="707"/>
      <c r="E2747" s="707" t="s">
        <v>13782</v>
      </c>
      <c r="F2747" s="451">
        <v>38084</v>
      </c>
      <c r="G2747" s="386">
        <v>45014</v>
      </c>
      <c r="H2747" s="386">
        <v>45014</v>
      </c>
      <c r="L2747">
        <v>7209441354</v>
      </c>
    </row>
    <row r="2748" spans="1:12" ht="15" customHeight="1">
      <c r="A2748" s="5" t="s">
        <v>0</v>
      </c>
      <c r="B2748" s="5" t="str">
        <f t="shared" si="33"/>
        <v>Y</v>
      </c>
      <c r="C2748" s="707" t="s">
        <v>13783</v>
      </c>
      <c r="D2748" s="707"/>
      <c r="E2748" s="707" t="s">
        <v>7181</v>
      </c>
      <c r="F2748" s="451">
        <v>23743</v>
      </c>
      <c r="G2748" s="386">
        <v>45014</v>
      </c>
      <c r="H2748" s="386">
        <v>45014</v>
      </c>
      <c r="L2748">
        <v>6202524306</v>
      </c>
    </row>
    <row r="2749" spans="1:12" ht="15" customHeight="1">
      <c r="A2749" s="5" t="s">
        <v>0</v>
      </c>
      <c r="B2749" s="5" t="str">
        <f t="shared" si="33"/>
        <v>Y</v>
      </c>
      <c r="C2749" s="708" t="s">
        <v>13775</v>
      </c>
      <c r="D2749" s="708"/>
      <c r="E2749" s="708" t="s">
        <v>13776</v>
      </c>
      <c r="F2749" s="451">
        <v>38435</v>
      </c>
      <c r="G2749" s="386">
        <v>45013</v>
      </c>
      <c r="H2749" s="386">
        <v>45015</v>
      </c>
      <c r="L2749">
        <v>9060437982</v>
      </c>
    </row>
    <row r="2750" spans="1:12" ht="15" customHeight="1">
      <c r="A2750" s="5" t="s">
        <v>0</v>
      </c>
      <c r="B2750" s="5" t="str">
        <f t="shared" si="33"/>
        <v>Y</v>
      </c>
      <c r="C2750" s="708" t="s">
        <v>13784</v>
      </c>
      <c r="D2750" s="708"/>
      <c r="E2750" s="708" t="s">
        <v>13785</v>
      </c>
      <c r="F2750" s="451">
        <v>36954</v>
      </c>
      <c r="G2750" s="386">
        <v>45014</v>
      </c>
      <c r="H2750" s="386">
        <v>45015</v>
      </c>
      <c r="L2750">
        <v>8210981753</v>
      </c>
    </row>
    <row r="2751" spans="1:12" ht="15" customHeight="1">
      <c r="A2751" s="5" t="s">
        <v>0</v>
      </c>
      <c r="B2751" s="5" t="str">
        <f t="shared" si="33"/>
        <v>Y</v>
      </c>
      <c r="C2751" s="708" t="s">
        <v>13786</v>
      </c>
      <c r="D2751" s="708"/>
      <c r="E2751" s="708" t="s">
        <v>1478</v>
      </c>
      <c r="F2751" s="451">
        <v>18629</v>
      </c>
      <c r="G2751" s="386">
        <v>45014</v>
      </c>
      <c r="H2751" s="386">
        <v>45015</v>
      </c>
      <c r="L2751">
        <v>9430775488</v>
      </c>
    </row>
    <row r="2752" spans="1:12" ht="15" customHeight="1">
      <c r="A2752" s="5" t="s">
        <v>0</v>
      </c>
      <c r="B2752" s="5" t="str">
        <f t="shared" si="33"/>
        <v>Y</v>
      </c>
      <c r="C2752" s="708" t="s">
        <v>13809</v>
      </c>
      <c r="D2752" s="708"/>
      <c r="E2752" s="708" t="s">
        <v>13787</v>
      </c>
      <c r="F2752" s="451">
        <v>37581</v>
      </c>
      <c r="G2752" s="386">
        <v>45015</v>
      </c>
      <c r="H2752" s="386">
        <v>45015</v>
      </c>
      <c r="L2752">
        <v>6287885003</v>
      </c>
    </row>
    <row r="2753" spans="1:12" ht="15" customHeight="1">
      <c r="A2753" s="5" t="s">
        <v>0</v>
      </c>
      <c r="B2753" s="5" t="str">
        <f t="shared" si="33"/>
        <v>Y</v>
      </c>
      <c r="C2753" s="708" t="s">
        <v>13791</v>
      </c>
      <c r="D2753" s="708"/>
      <c r="E2753" s="708" t="s">
        <v>13792</v>
      </c>
      <c r="F2753" s="451">
        <v>36947</v>
      </c>
      <c r="G2753" s="386">
        <v>45015</v>
      </c>
      <c r="H2753" s="386">
        <v>45015</v>
      </c>
      <c r="L2753">
        <v>7717770563</v>
      </c>
    </row>
    <row r="2754" spans="1:12" ht="15" customHeight="1">
      <c r="A2754" s="5" t="s">
        <v>0</v>
      </c>
      <c r="B2754" s="5" t="str">
        <f t="shared" si="33"/>
        <v>Y</v>
      </c>
      <c r="C2754" s="721" t="s">
        <v>13788</v>
      </c>
      <c r="D2754" s="721"/>
      <c r="E2754" s="708" t="s">
        <v>1788</v>
      </c>
      <c r="F2754" s="451">
        <v>28508</v>
      </c>
      <c r="G2754" s="386">
        <v>45015</v>
      </c>
      <c r="H2754" s="386">
        <v>45015</v>
      </c>
      <c r="L2754">
        <v>6201626006</v>
      </c>
    </row>
    <row r="2755" spans="1:12" ht="15" customHeight="1">
      <c r="A2755" s="5" t="s">
        <v>0</v>
      </c>
      <c r="B2755" s="5" t="str">
        <f t="shared" si="33"/>
        <v>Y</v>
      </c>
      <c r="C2755" s="708" t="s">
        <v>13790</v>
      </c>
      <c r="D2755" s="708"/>
      <c r="E2755" s="708" t="s">
        <v>13789</v>
      </c>
      <c r="F2755" s="451">
        <v>27863</v>
      </c>
      <c r="G2755" s="386">
        <v>45015</v>
      </c>
      <c r="H2755" s="386">
        <v>45015</v>
      </c>
      <c r="L2755">
        <v>6201626006</v>
      </c>
    </row>
    <row r="2756" spans="1:12" ht="15" customHeight="1">
      <c r="A2756" s="5" t="s">
        <v>0</v>
      </c>
      <c r="B2756" s="5" t="str">
        <f t="shared" si="33"/>
        <v>Y</v>
      </c>
      <c r="C2756" s="735" t="s">
        <v>13793</v>
      </c>
      <c r="D2756" s="735"/>
      <c r="E2756" s="708" t="s">
        <v>13794</v>
      </c>
      <c r="F2756" s="451">
        <v>27183</v>
      </c>
      <c r="G2756" s="386">
        <v>45015</v>
      </c>
      <c r="H2756" s="386">
        <v>45015</v>
      </c>
      <c r="L2756">
        <v>7739634455</v>
      </c>
    </row>
    <row r="2757" spans="1:12" ht="15" customHeight="1">
      <c r="A2757" s="5" t="s">
        <v>0</v>
      </c>
      <c r="B2757" s="5" t="str">
        <f t="shared" si="33"/>
        <v>Y</v>
      </c>
      <c r="C2757" s="709" t="s">
        <v>13796</v>
      </c>
      <c r="D2757" s="709"/>
      <c r="E2757" s="709" t="s">
        <v>13795</v>
      </c>
      <c r="F2757" s="451">
        <v>31264</v>
      </c>
      <c r="G2757" s="386">
        <v>45016</v>
      </c>
      <c r="H2757" s="386">
        <v>45016</v>
      </c>
      <c r="L2757">
        <v>9031133640</v>
      </c>
    </row>
    <row r="2758" spans="1:12" ht="15" customHeight="1">
      <c r="A2758" s="5" t="s">
        <v>0</v>
      </c>
      <c r="B2758" s="5" t="str">
        <f t="shared" si="33"/>
        <v>Y</v>
      </c>
      <c r="C2758" s="709" t="s">
        <v>13798</v>
      </c>
      <c r="D2758" s="709"/>
      <c r="E2758" s="709" t="s">
        <v>13797</v>
      </c>
      <c r="F2758" s="451">
        <v>34998</v>
      </c>
      <c r="G2758" s="386">
        <v>45016</v>
      </c>
      <c r="H2758" s="386">
        <v>45016</v>
      </c>
      <c r="L2758">
        <v>8801235004</v>
      </c>
    </row>
    <row r="2759" spans="1:12" ht="15" customHeight="1">
      <c r="A2759" s="5" t="s">
        <v>0</v>
      </c>
      <c r="B2759" s="5" t="str">
        <f t="shared" si="33"/>
        <v>Y</v>
      </c>
      <c r="C2759" s="710" t="s">
        <v>13799</v>
      </c>
      <c r="D2759" s="710"/>
      <c r="E2759" s="710" t="s">
        <v>3249</v>
      </c>
      <c r="F2759" s="451">
        <v>23391</v>
      </c>
      <c r="G2759" s="386">
        <v>45017</v>
      </c>
      <c r="H2759" s="386">
        <v>45017</v>
      </c>
      <c r="L2759">
        <v>9031398477</v>
      </c>
    </row>
    <row r="2760" spans="1:12" ht="15" customHeight="1">
      <c r="A2760" s="5" t="s">
        <v>0</v>
      </c>
      <c r="B2760" s="5" t="str">
        <f t="shared" si="33"/>
        <v>Y</v>
      </c>
      <c r="C2760" s="711" t="s">
        <v>13802</v>
      </c>
      <c r="D2760" s="711"/>
      <c r="E2760" s="710" t="s">
        <v>13278</v>
      </c>
      <c r="F2760" s="451">
        <v>30252</v>
      </c>
      <c r="G2760" s="386">
        <v>45017</v>
      </c>
      <c r="H2760" s="386">
        <v>45017</v>
      </c>
      <c r="L2760">
        <v>9031212413</v>
      </c>
    </row>
    <row r="2761" spans="1:12" ht="15" customHeight="1">
      <c r="A2761" s="5" t="s">
        <v>0</v>
      </c>
      <c r="B2761" s="5" t="str">
        <f t="shared" si="33"/>
        <v>Y</v>
      </c>
      <c r="C2761" s="710" t="s">
        <v>13800</v>
      </c>
      <c r="D2761" s="710"/>
      <c r="E2761" s="710" t="s">
        <v>13801</v>
      </c>
      <c r="F2761" s="451">
        <v>26665</v>
      </c>
      <c r="G2761" s="386">
        <v>45017</v>
      </c>
      <c r="H2761" s="386">
        <v>45017</v>
      </c>
      <c r="L2761">
        <v>6202148848</v>
      </c>
    </row>
    <row r="2762" spans="1:12" ht="15" customHeight="1">
      <c r="A2762" s="5" t="s">
        <v>0</v>
      </c>
      <c r="B2762" s="5" t="str">
        <f t="shared" si="33"/>
        <v>Y</v>
      </c>
      <c r="C2762" s="760" t="s">
        <v>13803</v>
      </c>
      <c r="D2762" s="760"/>
      <c r="E2762" s="711" t="s">
        <v>13804</v>
      </c>
      <c r="F2762" s="451">
        <v>31870</v>
      </c>
      <c r="G2762" s="386">
        <v>45017</v>
      </c>
      <c r="H2762" s="386">
        <v>45017</v>
      </c>
      <c r="L2762">
        <v>7004220301</v>
      </c>
    </row>
    <row r="2763" spans="1:12" ht="15" customHeight="1">
      <c r="A2763" s="5" t="s">
        <v>0</v>
      </c>
      <c r="B2763" s="5" t="str">
        <f t="shared" si="33"/>
        <v>Y</v>
      </c>
      <c r="C2763" s="711" t="s">
        <v>13805</v>
      </c>
      <c r="D2763" s="711"/>
      <c r="E2763" s="711" t="s">
        <v>10223</v>
      </c>
      <c r="F2763" s="451">
        <v>35597</v>
      </c>
      <c r="G2763" s="386">
        <v>45017</v>
      </c>
      <c r="H2763" s="386">
        <v>45017</v>
      </c>
      <c r="L2763">
        <v>9430393494</v>
      </c>
    </row>
    <row r="2764" spans="1:12" ht="15" customHeight="1">
      <c r="A2764" s="5" t="s">
        <v>0</v>
      </c>
      <c r="B2764" s="5" t="str">
        <f t="shared" si="33"/>
        <v>Y</v>
      </c>
      <c r="C2764" s="712" t="s">
        <v>13806</v>
      </c>
      <c r="D2764" s="712"/>
      <c r="E2764" s="712" t="s">
        <v>3130</v>
      </c>
      <c r="F2764" s="451">
        <v>28491</v>
      </c>
      <c r="G2764" s="386">
        <v>45018</v>
      </c>
      <c r="H2764" s="386">
        <v>45018</v>
      </c>
      <c r="L2764">
        <v>9939402224</v>
      </c>
    </row>
    <row r="2765" spans="1:12" ht="15" customHeight="1">
      <c r="A2765" s="5" t="s">
        <v>0</v>
      </c>
      <c r="B2765" s="5" t="str">
        <f t="shared" si="33"/>
        <v>Y</v>
      </c>
      <c r="C2765" s="712" t="s">
        <v>13807</v>
      </c>
      <c r="D2765" s="712"/>
      <c r="E2765" s="712" t="s">
        <v>13808</v>
      </c>
      <c r="F2765" s="451">
        <v>29952</v>
      </c>
      <c r="G2765" s="386">
        <v>45018</v>
      </c>
      <c r="H2765" s="386">
        <v>45018</v>
      </c>
      <c r="L2765">
        <v>7209512860</v>
      </c>
    </row>
    <row r="2766" spans="1:12" ht="15" customHeight="1">
      <c r="A2766" s="5" t="s">
        <v>0</v>
      </c>
      <c r="B2766" s="5" t="str">
        <f t="shared" si="33"/>
        <v>Y</v>
      </c>
      <c r="C2766" s="713" t="s">
        <v>13810</v>
      </c>
      <c r="D2766" s="713"/>
      <c r="E2766" s="713" t="s">
        <v>13811</v>
      </c>
      <c r="F2766" s="451">
        <v>28088</v>
      </c>
      <c r="G2766" s="386">
        <v>45019</v>
      </c>
      <c r="H2766" s="386">
        <v>45019</v>
      </c>
      <c r="L2766">
        <v>9470391390</v>
      </c>
    </row>
    <row r="2767" spans="1:12" ht="15" customHeight="1">
      <c r="A2767" s="5" t="s">
        <v>0</v>
      </c>
      <c r="B2767" s="5" t="str">
        <f t="shared" si="33"/>
        <v>Y</v>
      </c>
      <c r="C2767" s="713" t="s">
        <v>13812</v>
      </c>
      <c r="D2767" s="713"/>
      <c r="E2767" s="713" t="s">
        <v>1650</v>
      </c>
      <c r="F2767" s="451">
        <v>34282</v>
      </c>
      <c r="G2767" s="386">
        <v>45019</v>
      </c>
      <c r="H2767" s="386">
        <v>45019</v>
      </c>
      <c r="L2767">
        <v>7366980501</v>
      </c>
    </row>
    <row r="2768" spans="1:12" ht="15" customHeight="1">
      <c r="A2768" s="5" t="s">
        <v>0</v>
      </c>
      <c r="B2768" s="5" t="str">
        <f t="shared" si="33"/>
        <v>Y</v>
      </c>
      <c r="C2768" s="713" t="s">
        <v>13813</v>
      </c>
      <c r="D2768" s="713"/>
      <c r="E2768" s="713" t="s">
        <v>13814</v>
      </c>
      <c r="F2768" s="451">
        <v>36192</v>
      </c>
      <c r="G2768" s="386">
        <v>45019</v>
      </c>
      <c r="H2768" s="386">
        <v>45019</v>
      </c>
      <c r="L2768">
        <v>9939319563</v>
      </c>
    </row>
    <row r="2769" spans="1:12" ht="15" customHeight="1">
      <c r="A2769" s="5" t="s">
        <v>0</v>
      </c>
      <c r="B2769" s="5" t="str">
        <f t="shared" si="33"/>
        <v>Y</v>
      </c>
      <c r="C2769" s="713" t="s">
        <v>13819</v>
      </c>
      <c r="D2769" s="713"/>
      <c r="E2769" s="713" t="s">
        <v>13820</v>
      </c>
      <c r="F2769" s="451">
        <v>29650</v>
      </c>
      <c r="G2769" s="386">
        <v>45020</v>
      </c>
      <c r="H2769" s="386">
        <v>45020</v>
      </c>
      <c r="L2769">
        <v>6204468133</v>
      </c>
    </row>
    <row r="2770" spans="1:12" ht="15" customHeight="1">
      <c r="A2770" s="5" t="s">
        <v>0</v>
      </c>
      <c r="B2770" s="5" t="str">
        <f t="shared" si="33"/>
        <v>Y</v>
      </c>
      <c r="C2770" s="713" t="s">
        <v>13821</v>
      </c>
      <c r="D2770" s="713"/>
      <c r="E2770" s="713" t="s">
        <v>13822</v>
      </c>
      <c r="F2770" s="451">
        <v>31459</v>
      </c>
      <c r="G2770" s="386">
        <v>45020</v>
      </c>
      <c r="H2770" s="386">
        <v>45020</v>
      </c>
      <c r="L2770">
        <v>8340128996</v>
      </c>
    </row>
    <row r="2771" spans="1:12" ht="15" customHeight="1">
      <c r="A2771" s="5" t="s">
        <v>0</v>
      </c>
      <c r="B2771" s="5" t="str">
        <f t="shared" si="33"/>
        <v>Y</v>
      </c>
      <c r="C2771" s="714" t="s">
        <v>13823</v>
      </c>
      <c r="D2771" s="714"/>
      <c r="E2771" s="714" t="s">
        <v>13824</v>
      </c>
      <c r="F2771" s="451">
        <v>31699</v>
      </c>
      <c r="G2771" s="386">
        <v>45021</v>
      </c>
      <c r="H2771" s="386">
        <v>45022</v>
      </c>
      <c r="L2771">
        <v>8340752408</v>
      </c>
    </row>
    <row r="2772" spans="1:12" ht="15" customHeight="1">
      <c r="A2772" s="5" t="s">
        <v>0</v>
      </c>
      <c r="B2772" s="5" t="str">
        <f t="shared" si="33"/>
        <v>Y</v>
      </c>
      <c r="C2772" s="714" t="s">
        <v>13825</v>
      </c>
      <c r="D2772" s="714"/>
      <c r="E2772" s="714" t="s">
        <v>3586</v>
      </c>
      <c r="F2772" s="451">
        <v>38442</v>
      </c>
      <c r="G2772" s="386">
        <v>45021</v>
      </c>
      <c r="H2772" s="386">
        <v>45022</v>
      </c>
      <c r="L2772">
        <v>8809887336</v>
      </c>
    </row>
    <row r="2773" spans="1:12" ht="15" customHeight="1">
      <c r="A2773" s="5" t="s">
        <v>0</v>
      </c>
      <c r="B2773" s="5" t="str">
        <f t="shared" si="33"/>
        <v>Y</v>
      </c>
      <c r="C2773" s="715" t="s">
        <v>13832</v>
      </c>
      <c r="D2773" s="715"/>
      <c r="E2773" s="715" t="s">
        <v>13831</v>
      </c>
      <c r="F2773" s="451">
        <v>19360</v>
      </c>
      <c r="G2773" s="386">
        <v>45022</v>
      </c>
      <c r="H2773" s="386">
        <v>45022</v>
      </c>
      <c r="L2773">
        <v>9234753433</v>
      </c>
    </row>
    <row r="2774" spans="1:12" ht="15" customHeight="1">
      <c r="A2774" s="5" t="s">
        <v>0</v>
      </c>
      <c r="B2774" s="5" t="str">
        <f t="shared" si="33"/>
        <v>Y</v>
      </c>
      <c r="C2774" s="716" t="s">
        <v>13833</v>
      </c>
      <c r="D2774" s="716"/>
      <c r="E2774" s="716" t="s">
        <v>13834</v>
      </c>
      <c r="F2774" s="451">
        <v>29194</v>
      </c>
      <c r="G2774" s="386">
        <v>45023</v>
      </c>
      <c r="H2774" s="386">
        <v>45023</v>
      </c>
      <c r="L2774">
        <v>9031967169</v>
      </c>
    </row>
    <row r="2775" spans="1:12" ht="15" customHeight="1">
      <c r="A2775" s="5" t="s">
        <v>0</v>
      </c>
      <c r="B2775" s="5" t="str">
        <f t="shared" si="33"/>
        <v>Y</v>
      </c>
      <c r="C2775" s="716" t="s">
        <v>13835</v>
      </c>
      <c r="D2775" s="716"/>
      <c r="E2775" s="716" t="s">
        <v>13836</v>
      </c>
      <c r="F2775" s="451">
        <v>27395</v>
      </c>
      <c r="G2775" s="386">
        <v>45023</v>
      </c>
      <c r="H2775" s="386">
        <v>45023</v>
      </c>
      <c r="L2775">
        <v>8797592416</v>
      </c>
    </row>
    <row r="2776" spans="1:12" ht="15" customHeight="1">
      <c r="A2776" s="5" t="s">
        <v>0</v>
      </c>
      <c r="B2776" s="5" t="str">
        <f t="shared" si="33"/>
        <v>Y</v>
      </c>
      <c r="C2776" s="716" t="s">
        <v>13837</v>
      </c>
      <c r="D2776" s="716"/>
      <c r="E2776" s="716" t="s">
        <v>7153</v>
      </c>
      <c r="F2776" s="451">
        <v>28491</v>
      </c>
      <c r="G2776" s="386">
        <v>45023</v>
      </c>
      <c r="H2776" s="386">
        <v>45023</v>
      </c>
      <c r="L2776">
        <v>8797592416</v>
      </c>
    </row>
    <row r="2777" spans="1:12" ht="15" customHeight="1">
      <c r="A2777" s="5" t="s">
        <v>0</v>
      </c>
      <c r="B2777" s="5" t="str">
        <f t="shared" si="33"/>
        <v>Y</v>
      </c>
      <c r="C2777" s="722" t="s">
        <v>13844</v>
      </c>
      <c r="D2777" s="722"/>
      <c r="E2777" s="722" t="s">
        <v>13845</v>
      </c>
      <c r="F2777" s="451">
        <v>36149</v>
      </c>
      <c r="G2777" s="386">
        <v>45025</v>
      </c>
      <c r="H2777" s="386">
        <v>45025</v>
      </c>
      <c r="L2777">
        <v>8709942219</v>
      </c>
    </row>
    <row r="2778" spans="1:12" ht="15" customHeight="1">
      <c r="A2778" s="5" t="s">
        <v>0</v>
      </c>
      <c r="B2778" s="5" t="str">
        <f t="shared" si="33"/>
        <v>Y</v>
      </c>
      <c r="C2778" s="722" t="s">
        <v>13846</v>
      </c>
      <c r="D2778" s="722"/>
      <c r="E2778" s="722" t="s">
        <v>13847</v>
      </c>
      <c r="F2778" s="451">
        <v>19849</v>
      </c>
      <c r="G2778" s="386">
        <v>45025</v>
      </c>
      <c r="H2778" s="386">
        <v>45025</v>
      </c>
      <c r="L2778">
        <v>9431149598</v>
      </c>
    </row>
    <row r="2779" spans="1:12" ht="15" customHeight="1">
      <c r="A2779" s="5" t="s">
        <v>0</v>
      </c>
      <c r="B2779" s="5" t="str">
        <f t="shared" si="33"/>
        <v>Y</v>
      </c>
      <c r="C2779" s="722" t="s">
        <v>13848</v>
      </c>
      <c r="D2779" s="722"/>
      <c r="E2779" s="722" t="s">
        <v>13849</v>
      </c>
      <c r="F2779" s="451">
        <v>17714</v>
      </c>
      <c r="G2779" s="386">
        <v>45025</v>
      </c>
      <c r="H2779" s="386">
        <v>45025</v>
      </c>
      <c r="L2779">
        <v>9470392611</v>
      </c>
    </row>
    <row r="2780" spans="1:12" ht="15" customHeight="1">
      <c r="A2780" s="5" t="s">
        <v>0</v>
      </c>
      <c r="B2780" s="5" t="str">
        <f t="shared" si="33"/>
        <v>Y</v>
      </c>
      <c r="C2780" s="723" t="s">
        <v>13850</v>
      </c>
      <c r="D2780" s="723"/>
      <c r="E2780" s="723" t="s">
        <v>13851</v>
      </c>
      <c r="F2780" s="451">
        <v>38410</v>
      </c>
      <c r="G2780" s="386">
        <v>45025</v>
      </c>
      <c r="H2780" s="386">
        <v>45025</v>
      </c>
      <c r="L2780">
        <v>6204535811</v>
      </c>
    </row>
    <row r="2781" spans="1:12" ht="15" customHeight="1">
      <c r="A2781" s="5" t="s">
        <v>0</v>
      </c>
      <c r="B2781" s="5" t="str">
        <f t="shared" si="33"/>
        <v>Y</v>
      </c>
      <c r="C2781" s="723" t="s">
        <v>13852</v>
      </c>
      <c r="D2781" s="723"/>
      <c r="E2781" s="724" t="s">
        <v>13853</v>
      </c>
      <c r="F2781" s="451">
        <v>27395</v>
      </c>
      <c r="G2781" s="386">
        <v>45026</v>
      </c>
      <c r="H2781" s="386">
        <v>45026</v>
      </c>
      <c r="L2781">
        <v>7209603651</v>
      </c>
    </row>
    <row r="2782" spans="1:12" ht="15" customHeight="1">
      <c r="A2782" s="5" t="s">
        <v>0</v>
      </c>
      <c r="B2782" s="5" t="str">
        <f t="shared" si="33"/>
        <v>Y</v>
      </c>
      <c r="C2782" s="725" t="s">
        <v>13854</v>
      </c>
      <c r="D2782" s="725"/>
      <c r="E2782" s="725" t="s">
        <v>13855</v>
      </c>
      <c r="F2782" s="451">
        <v>30091</v>
      </c>
      <c r="G2782" s="386">
        <v>45027</v>
      </c>
      <c r="H2782" s="386">
        <v>45027</v>
      </c>
      <c r="L2782">
        <v>8252468625</v>
      </c>
    </row>
    <row r="2783" spans="1:12" ht="15" customHeight="1">
      <c r="A2783" s="5" t="s">
        <v>0</v>
      </c>
      <c r="B2783" s="5" t="str">
        <f t="shared" si="33"/>
        <v>Y</v>
      </c>
      <c r="C2783" s="725" t="s">
        <v>13856</v>
      </c>
      <c r="D2783" s="725"/>
      <c r="E2783" s="725" t="s">
        <v>7358</v>
      </c>
      <c r="F2783" s="451">
        <v>38383</v>
      </c>
      <c r="G2783" s="386">
        <v>45027</v>
      </c>
      <c r="H2783" s="386">
        <v>45027</v>
      </c>
      <c r="L2783">
        <v>7480074982</v>
      </c>
    </row>
    <row r="2784" spans="1:12" ht="15" customHeight="1">
      <c r="A2784" s="5" t="s">
        <v>0</v>
      </c>
      <c r="B2784" s="5" t="str">
        <f t="shared" si="33"/>
        <v>Y</v>
      </c>
      <c r="C2784" s="726" t="s">
        <v>13857</v>
      </c>
      <c r="D2784" s="726"/>
      <c r="E2784" s="726" t="s">
        <v>13858</v>
      </c>
      <c r="F2784" s="451">
        <v>20018</v>
      </c>
      <c r="G2784" s="386">
        <v>45028</v>
      </c>
      <c r="H2784" s="386">
        <v>45028</v>
      </c>
      <c r="L2784">
        <v>7209975679</v>
      </c>
    </row>
    <row r="2785" spans="1:12" ht="15" customHeight="1">
      <c r="A2785" s="5" t="s">
        <v>0</v>
      </c>
      <c r="B2785" s="5" t="str">
        <f t="shared" si="33"/>
        <v>Y</v>
      </c>
      <c r="C2785" s="727" t="s">
        <v>13859</v>
      </c>
      <c r="D2785" s="727"/>
      <c r="E2785" s="727" t="s">
        <v>13860</v>
      </c>
      <c r="F2785" s="451">
        <v>23934</v>
      </c>
      <c r="G2785" s="386">
        <v>45028</v>
      </c>
      <c r="H2785" s="386">
        <v>45028</v>
      </c>
      <c r="L2785">
        <v>9955197837</v>
      </c>
    </row>
    <row r="2786" spans="1:12" ht="15" customHeight="1">
      <c r="A2786" s="5" t="s">
        <v>0</v>
      </c>
      <c r="B2786" s="5" t="str">
        <f t="shared" si="33"/>
        <v>Y</v>
      </c>
      <c r="C2786" s="727" t="s">
        <v>13861</v>
      </c>
      <c r="D2786" s="727"/>
      <c r="E2786" s="727" t="s">
        <v>13862</v>
      </c>
      <c r="F2786" s="451">
        <v>24594</v>
      </c>
      <c r="G2786" s="386">
        <v>45029</v>
      </c>
      <c r="H2786" s="386">
        <v>45029</v>
      </c>
      <c r="K2786" t="s">
        <v>7138</v>
      </c>
      <c r="L2786">
        <v>7488022742</v>
      </c>
    </row>
    <row r="2787" spans="1:12" ht="15" customHeight="1">
      <c r="A2787" s="5" t="s">
        <v>0</v>
      </c>
      <c r="B2787" s="5" t="str">
        <f t="shared" si="33"/>
        <v>Y</v>
      </c>
      <c r="C2787" s="727" t="s">
        <v>13863</v>
      </c>
      <c r="D2787" s="727"/>
      <c r="E2787" s="727" t="s">
        <v>13862</v>
      </c>
      <c r="F2787" s="451">
        <v>32126</v>
      </c>
      <c r="G2787" s="386">
        <v>45029</v>
      </c>
      <c r="H2787" s="386">
        <v>45029</v>
      </c>
      <c r="K2787" t="s">
        <v>7138</v>
      </c>
      <c r="L2787">
        <v>7488022742</v>
      </c>
    </row>
    <row r="2788" spans="1:12" ht="15" customHeight="1">
      <c r="A2788" s="5" t="s">
        <v>0</v>
      </c>
      <c r="B2788" s="5" t="str">
        <f t="shared" si="33"/>
        <v>Y</v>
      </c>
      <c r="C2788" s="729" t="s">
        <v>13865</v>
      </c>
      <c r="D2788" s="729"/>
      <c r="E2788" s="728" t="s">
        <v>13864</v>
      </c>
      <c r="F2788" s="451">
        <v>37629</v>
      </c>
      <c r="G2788" s="386">
        <v>45032</v>
      </c>
      <c r="H2788" s="386">
        <v>45032</v>
      </c>
      <c r="L2788">
        <v>9113703448</v>
      </c>
    </row>
    <row r="2789" spans="1:12" ht="15" customHeight="1">
      <c r="A2789" s="5" t="s">
        <v>0</v>
      </c>
      <c r="B2789" s="5" t="str">
        <f t="shared" si="33"/>
        <v>Y</v>
      </c>
      <c r="C2789" s="729" t="s">
        <v>13866</v>
      </c>
      <c r="D2789" s="729"/>
      <c r="E2789" s="729" t="s">
        <v>13867</v>
      </c>
      <c r="F2789" s="451">
        <v>28126</v>
      </c>
      <c r="G2789" s="386">
        <v>45032</v>
      </c>
      <c r="H2789" s="386">
        <v>45032</v>
      </c>
      <c r="L2789">
        <v>9031967169</v>
      </c>
    </row>
    <row r="2790" spans="1:12" ht="15" customHeight="1">
      <c r="A2790" s="5" t="s">
        <v>0</v>
      </c>
      <c r="B2790" s="5" t="str">
        <f t="shared" si="33"/>
        <v>Y</v>
      </c>
      <c r="C2790" s="730" t="s">
        <v>13868</v>
      </c>
      <c r="D2790" s="730"/>
      <c r="E2790" s="730" t="s">
        <v>13869</v>
      </c>
      <c r="F2790" s="451">
        <v>31218</v>
      </c>
      <c r="G2790" s="386">
        <v>45033</v>
      </c>
      <c r="H2790" s="386">
        <v>45033</v>
      </c>
      <c r="L2790">
        <v>9162186389</v>
      </c>
    </row>
    <row r="2791" spans="1:12" ht="15" customHeight="1">
      <c r="A2791" s="5" t="s">
        <v>0</v>
      </c>
      <c r="B2791" s="5" t="str">
        <f t="shared" si="33"/>
        <v>Y</v>
      </c>
      <c r="C2791" s="730" t="s">
        <v>13870</v>
      </c>
      <c r="D2791" s="730"/>
      <c r="E2791" s="730" t="s">
        <v>13871</v>
      </c>
      <c r="F2791" s="451">
        <v>38205</v>
      </c>
      <c r="G2791" s="386">
        <v>45033</v>
      </c>
      <c r="H2791" s="386">
        <v>45033</v>
      </c>
      <c r="L2791">
        <v>8603223960</v>
      </c>
    </row>
    <row r="2792" spans="1:12" ht="15" customHeight="1">
      <c r="A2792" s="5" t="s">
        <v>0</v>
      </c>
      <c r="B2792" s="5" t="str">
        <f t="shared" si="33"/>
        <v>Y</v>
      </c>
      <c r="C2792" s="730" t="s">
        <v>13873</v>
      </c>
      <c r="D2792" s="730"/>
      <c r="E2792" s="730" t="s">
        <v>13874</v>
      </c>
      <c r="F2792" s="451">
        <v>27543</v>
      </c>
      <c r="G2792" s="386">
        <v>45033</v>
      </c>
      <c r="H2792" s="386">
        <v>45033</v>
      </c>
      <c r="L2792">
        <v>9204136852</v>
      </c>
    </row>
    <row r="2793" spans="1:12" ht="15" customHeight="1">
      <c r="A2793" s="5" t="s">
        <v>0</v>
      </c>
      <c r="B2793" s="5" t="str">
        <f t="shared" si="33"/>
        <v>Y</v>
      </c>
      <c r="C2793" s="731" t="s">
        <v>13875</v>
      </c>
      <c r="D2793" s="731"/>
      <c r="E2793" s="731" t="s">
        <v>13876</v>
      </c>
      <c r="F2793" s="451">
        <v>27760</v>
      </c>
      <c r="G2793" s="386">
        <v>45034</v>
      </c>
      <c r="H2793" s="386">
        <v>45034</v>
      </c>
      <c r="L2793">
        <v>7061385303</v>
      </c>
    </row>
    <row r="2794" spans="1:12" ht="15" customHeight="1">
      <c r="A2794" s="5" t="s">
        <v>0</v>
      </c>
      <c r="B2794" s="5" t="str">
        <f t="shared" ref="B2794:B2857" si="34">IF(H2794="","N","Y")</f>
        <v>Y</v>
      </c>
      <c r="C2794" s="731" t="s">
        <v>13877</v>
      </c>
      <c r="D2794" s="731"/>
      <c r="E2794" s="731" t="s">
        <v>13878</v>
      </c>
      <c r="F2794" s="451">
        <v>26538</v>
      </c>
      <c r="G2794" s="386">
        <v>45034</v>
      </c>
      <c r="H2794" s="386">
        <v>45034</v>
      </c>
      <c r="L2794">
        <v>8797946237</v>
      </c>
    </row>
    <row r="2795" spans="1:12" ht="15" customHeight="1">
      <c r="A2795" s="5" t="s">
        <v>0</v>
      </c>
      <c r="B2795" s="5" t="str">
        <f t="shared" si="34"/>
        <v>Y</v>
      </c>
      <c r="C2795" s="731" t="s">
        <v>13879</v>
      </c>
      <c r="D2795" s="731"/>
      <c r="E2795" s="731" t="s">
        <v>13880</v>
      </c>
      <c r="F2795" s="451">
        <v>25547</v>
      </c>
      <c r="G2795" s="386">
        <v>45034</v>
      </c>
      <c r="H2795" s="386">
        <v>45034</v>
      </c>
      <c r="L2795">
        <v>8797595220</v>
      </c>
    </row>
    <row r="2796" spans="1:12" ht="15" customHeight="1">
      <c r="A2796" s="5" t="s">
        <v>0</v>
      </c>
      <c r="B2796" s="5" t="str">
        <f t="shared" si="34"/>
        <v>Y</v>
      </c>
      <c r="C2796" s="731" t="s">
        <v>13881</v>
      </c>
      <c r="D2796" s="731"/>
      <c r="E2796" s="731" t="s">
        <v>6580</v>
      </c>
      <c r="F2796" s="451">
        <v>21551</v>
      </c>
      <c r="G2796" s="386">
        <v>45034</v>
      </c>
      <c r="H2796" s="386">
        <v>45034</v>
      </c>
      <c r="L2796">
        <v>9798660879</v>
      </c>
    </row>
    <row r="2797" spans="1:12" ht="15" customHeight="1">
      <c r="A2797" s="5" t="s">
        <v>0</v>
      </c>
      <c r="B2797" s="5" t="str">
        <f t="shared" si="34"/>
        <v>Y</v>
      </c>
      <c r="C2797" s="731" t="s">
        <v>13882</v>
      </c>
      <c r="D2797" s="731"/>
      <c r="E2797" s="731" t="s">
        <v>13883</v>
      </c>
      <c r="F2797" s="451">
        <v>25934</v>
      </c>
      <c r="G2797" s="386">
        <v>45034</v>
      </c>
      <c r="H2797" s="386">
        <v>45034</v>
      </c>
      <c r="L2797">
        <v>7070420840</v>
      </c>
    </row>
    <row r="2798" spans="1:12" ht="15" customHeight="1">
      <c r="A2798" s="5" t="s">
        <v>0</v>
      </c>
      <c r="B2798" s="5" t="str">
        <f t="shared" si="34"/>
        <v>Y</v>
      </c>
      <c r="C2798" s="731" t="s">
        <v>13884</v>
      </c>
      <c r="D2798" s="731"/>
      <c r="E2798" s="731" t="s">
        <v>13885</v>
      </c>
      <c r="F2798" s="451">
        <v>38427</v>
      </c>
      <c r="G2798" s="386">
        <v>45034</v>
      </c>
      <c r="H2798" s="386">
        <v>45034</v>
      </c>
      <c r="L2798">
        <v>7377842838</v>
      </c>
    </row>
    <row r="2799" spans="1:12" ht="15" customHeight="1">
      <c r="A2799" s="5" t="s">
        <v>0</v>
      </c>
      <c r="B2799" s="5" t="str">
        <f t="shared" si="34"/>
        <v>Y</v>
      </c>
      <c r="C2799" s="732" t="s">
        <v>13887</v>
      </c>
      <c r="D2799" s="732"/>
      <c r="E2799" s="732" t="s">
        <v>13888</v>
      </c>
      <c r="F2799" s="451">
        <v>22790</v>
      </c>
      <c r="G2799" s="386">
        <v>45035</v>
      </c>
      <c r="H2799" s="386">
        <v>45035</v>
      </c>
      <c r="L2799">
        <v>9204314196</v>
      </c>
    </row>
    <row r="2800" spans="1:12" ht="15" customHeight="1">
      <c r="A2800" s="5" t="s">
        <v>0</v>
      </c>
      <c r="B2800" s="5" t="str">
        <f t="shared" si="34"/>
        <v>Y</v>
      </c>
      <c r="C2800" s="732" t="s">
        <v>13889</v>
      </c>
      <c r="D2800" s="732"/>
      <c r="E2800" s="732" t="s">
        <v>1613</v>
      </c>
      <c r="F2800" s="451">
        <v>30317</v>
      </c>
      <c r="G2800" s="386">
        <v>45035</v>
      </c>
      <c r="H2800" s="386">
        <v>45035</v>
      </c>
      <c r="L2800">
        <v>9508495838</v>
      </c>
    </row>
    <row r="2801" spans="1:12" ht="15" customHeight="1">
      <c r="A2801" s="5" t="s">
        <v>0</v>
      </c>
      <c r="B2801" s="5" t="str">
        <f t="shared" si="34"/>
        <v>Y</v>
      </c>
      <c r="C2801" s="733" t="s">
        <v>13890</v>
      </c>
      <c r="D2801" s="733"/>
      <c r="E2801" s="733" t="s">
        <v>13891</v>
      </c>
      <c r="F2801" s="451">
        <v>28445</v>
      </c>
      <c r="G2801" s="386">
        <v>45035</v>
      </c>
      <c r="H2801" s="386">
        <v>45035</v>
      </c>
      <c r="L2801">
        <v>9031902182</v>
      </c>
    </row>
    <row r="2802" spans="1:12" ht="15" customHeight="1">
      <c r="A2802" s="5" t="s">
        <v>0</v>
      </c>
      <c r="B2802" s="5" t="str">
        <f t="shared" si="34"/>
        <v>Y</v>
      </c>
      <c r="C2802" s="734" t="s">
        <v>13892</v>
      </c>
      <c r="D2802" s="734"/>
      <c r="E2802" s="734" t="s">
        <v>13893</v>
      </c>
      <c r="F2802" s="451">
        <v>31413</v>
      </c>
      <c r="G2802" s="386">
        <v>45036</v>
      </c>
      <c r="H2802" s="386">
        <v>45037</v>
      </c>
      <c r="L2802">
        <v>6299285261</v>
      </c>
    </row>
    <row r="2803" spans="1:12" ht="15" customHeight="1">
      <c r="A2803" s="5" t="s">
        <v>0</v>
      </c>
      <c r="B2803" s="5" t="str">
        <f t="shared" si="34"/>
        <v>Y</v>
      </c>
      <c r="C2803" s="734" t="s">
        <v>13894</v>
      </c>
      <c r="D2803" s="734"/>
      <c r="E2803" s="734" t="s">
        <v>13895</v>
      </c>
      <c r="F2803" s="451">
        <v>27458</v>
      </c>
      <c r="G2803" s="386">
        <v>45037</v>
      </c>
      <c r="H2803" s="386">
        <v>45037</v>
      </c>
      <c r="L2803">
        <v>8235230872</v>
      </c>
    </row>
    <row r="2804" spans="1:12" ht="15" customHeight="1">
      <c r="A2804" s="5" t="s">
        <v>0</v>
      </c>
      <c r="B2804" s="5" t="str">
        <f t="shared" si="34"/>
        <v>Y</v>
      </c>
      <c r="C2804" s="734" t="s">
        <v>13896</v>
      </c>
      <c r="D2804" s="734"/>
      <c r="E2804" s="734" t="s">
        <v>13897</v>
      </c>
      <c r="F2804" s="451">
        <v>29362</v>
      </c>
      <c r="G2804" s="386">
        <v>45037</v>
      </c>
      <c r="H2804" s="386">
        <v>45037</v>
      </c>
      <c r="L2804">
        <v>7033380989</v>
      </c>
    </row>
    <row r="2805" spans="1:12" ht="15" customHeight="1">
      <c r="A2805" s="5" t="s">
        <v>0</v>
      </c>
      <c r="B2805" s="5" t="str">
        <f t="shared" si="34"/>
        <v>Y</v>
      </c>
      <c r="C2805" s="736" t="s">
        <v>13900</v>
      </c>
      <c r="D2805" s="736"/>
      <c r="E2805" s="736" t="s">
        <v>13901</v>
      </c>
      <c r="F2805" s="451">
        <v>38447</v>
      </c>
      <c r="G2805" s="386">
        <v>45041</v>
      </c>
      <c r="H2805" s="386">
        <v>45041</v>
      </c>
      <c r="L2805">
        <v>9525194586</v>
      </c>
    </row>
    <row r="2806" spans="1:12" ht="15" customHeight="1">
      <c r="A2806" s="5" t="s">
        <v>0</v>
      </c>
      <c r="B2806" s="5" t="str">
        <f t="shared" si="34"/>
        <v>Y</v>
      </c>
      <c r="C2806" s="736" t="s">
        <v>13902</v>
      </c>
      <c r="D2806" s="736"/>
      <c r="E2806" s="736" t="s">
        <v>13739</v>
      </c>
      <c r="F2806" s="451">
        <v>33770</v>
      </c>
      <c r="G2806" s="386">
        <v>45041</v>
      </c>
      <c r="H2806" s="386">
        <v>45041</v>
      </c>
      <c r="L2806">
        <v>7764035556</v>
      </c>
    </row>
    <row r="2807" spans="1:12" ht="15" customHeight="1">
      <c r="A2807" s="5" t="s">
        <v>0</v>
      </c>
      <c r="B2807" s="5" t="str">
        <f t="shared" si="34"/>
        <v>Y</v>
      </c>
      <c r="C2807" s="737" t="s">
        <v>13903</v>
      </c>
      <c r="D2807" s="737"/>
      <c r="E2807" s="737" t="s">
        <v>13904</v>
      </c>
      <c r="F2807" s="451">
        <v>37465</v>
      </c>
      <c r="G2807" s="386">
        <v>45041</v>
      </c>
      <c r="H2807" s="386">
        <v>45041</v>
      </c>
      <c r="L2807">
        <v>9973515780</v>
      </c>
    </row>
    <row r="2808" spans="1:12" ht="15" customHeight="1">
      <c r="A2808" s="5" t="s">
        <v>0</v>
      </c>
      <c r="B2808" s="5" t="str">
        <f t="shared" si="34"/>
        <v>Y</v>
      </c>
      <c r="C2808" t="s">
        <v>13906</v>
      </c>
      <c r="E2808" s="737" t="s">
        <v>13254</v>
      </c>
      <c r="F2808" s="451">
        <v>24890</v>
      </c>
      <c r="G2808" s="386">
        <v>45042</v>
      </c>
      <c r="H2808" s="386">
        <v>45042</v>
      </c>
      <c r="L2808">
        <v>7667899862</v>
      </c>
    </row>
    <row r="2809" spans="1:12" ht="15" customHeight="1">
      <c r="A2809" s="5" t="s">
        <v>0</v>
      </c>
      <c r="B2809" s="5" t="str">
        <f t="shared" si="34"/>
        <v>Y</v>
      </c>
      <c r="C2809" t="s">
        <v>13905</v>
      </c>
      <c r="E2809" t="s">
        <v>13907</v>
      </c>
      <c r="F2809" s="451">
        <v>31778</v>
      </c>
      <c r="G2809" s="386">
        <v>45042</v>
      </c>
      <c r="H2809" s="386">
        <v>45042</v>
      </c>
      <c r="L2809">
        <v>7209479109</v>
      </c>
    </row>
    <row r="2810" spans="1:12" ht="15" customHeight="1">
      <c r="A2810" s="5" t="s">
        <v>0</v>
      </c>
      <c r="B2810" s="5" t="str">
        <f t="shared" si="34"/>
        <v>Y</v>
      </c>
      <c r="C2810" t="s">
        <v>13908</v>
      </c>
      <c r="E2810" s="737" t="s">
        <v>1613</v>
      </c>
      <c r="F2810" s="451">
        <v>32874</v>
      </c>
      <c r="G2810" s="386">
        <v>45012</v>
      </c>
      <c r="H2810" s="386">
        <v>45043</v>
      </c>
      <c r="L2810">
        <v>7903121089</v>
      </c>
    </row>
    <row r="2811" spans="1:12" ht="15" customHeight="1">
      <c r="A2811" s="5" t="s">
        <v>0</v>
      </c>
      <c r="B2811" s="5" t="str">
        <f t="shared" si="34"/>
        <v>Y</v>
      </c>
      <c r="C2811" t="s">
        <v>13909</v>
      </c>
      <c r="E2811" s="739" t="s">
        <v>13910</v>
      </c>
      <c r="F2811" s="451">
        <v>38369</v>
      </c>
      <c r="G2811" s="386">
        <v>45044</v>
      </c>
      <c r="H2811" s="386">
        <v>45044</v>
      </c>
      <c r="L2811">
        <v>9142791828</v>
      </c>
    </row>
    <row r="2812" spans="1:12" ht="15" customHeight="1">
      <c r="A2812" s="5" t="s">
        <v>0</v>
      </c>
      <c r="B2812" s="5" t="str">
        <f t="shared" si="34"/>
        <v>Y</v>
      </c>
      <c r="C2812" t="s">
        <v>13911</v>
      </c>
      <c r="E2812" s="739" t="s">
        <v>9336</v>
      </c>
      <c r="F2812" s="451">
        <v>32509</v>
      </c>
      <c r="G2812" s="386">
        <v>45044</v>
      </c>
      <c r="H2812" s="386">
        <v>45044</v>
      </c>
      <c r="L2812">
        <v>7061527287</v>
      </c>
    </row>
    <row r="2813" spans="1:12" ht="15" customHeight="1">
      <c r="A2813" s="5" t="s">
        <v>0</v>
      </c>
      <c r="B2813" s="5" t="str">
        <f t="shared" si="34"/>
        <v>Y</v>
      </c>
      <c r="C2813" t="s">
        <v>13913</v>
      </c>
      <c r="E2813" s="740" t="s">
        <v>13914</v>
      </c>
      <c r="F2813" s="451">
        <v>28491</v>
      </c>
      <c r="G2813" s="386">
        <v>45047</v>
      </c>
      <c r="H2813" s="386">
        <v>45047</v>
      </c>
      <c r="L2813">
        <v>9835629729</v>
      </c>
    </row>
    <row r="2814" spans="1:12" ht="15" customHeight="1">
      <c r="A2814" s="5" t="s">
        <v>0</v>
      </c>
      <c r="B2814" s="5" t="str">
        <f t="shared" si="34"/>
        <v>Y</v>
      </c>
      <c r="C2814" t="s">
        <v>13915</v>
      </c>
      <c r="E2814" s="740" t="s">
        <v>13916</v>
      </c>
      <c r="F2814" s="451">
        <v>38373</v>
      </c>
      <c r="G2814" s="386">
        <v>45047</v>
      </c>
      <c r="H2814" s="386">
        <v>45047</v>
      </c>
      <c r="L2814">
        <v>9835629729</v>
      </c>
    </row>
    <row r="2815" spans="1:12" ht="15" customHeight="1">
      <c r="A2815" s="5" t="s">
        <v>0</v>
      </c>
      <c r="B2815" s="5" t="str">
        <f t="shared" si="34"/>
        <v>Y</v>
      </c>
      <c r="C2815" t="s">
        <v>13917</v>
      </c>
      <c r="E2815" s="740" t="s">
        <v>1870</v>
      </c>
      <c r="F2815" s="451">
        <v>37661</v>
      </c>
      <c r="G2815" s="386">
        <v>45047</v>
      </c>
      <c r="H2815" s="386">
        <v>45047</v>
      </c>
      <c r="L2815">
        <v>9201626006</v>
      </c>
    </row>
    <row r="2816" spans="1:12" ht="15" customHeight="1">
      <c r="A2816" s="5" t="s">
        <v>0</v>
      </c>
      <c r="B2816" s="5" t="str">
        <f t="shared" si="34"/>
        <v>Y</v>
      </c>
      <c r="C2816" t="s">
        <v>13918</v>
      </c>
      <c r="E2816" s="740" t="s">
        <v>13919</v>
      </c>
      <c r="F2816" s="451">
        <v>24051</v>
      </c>
      <c r="G2816" s="386">
        <v>45047</v>
      </c>
      <c r="H2816" s="386">
        <v>45047</v>
      </c>
      <c r="L2816">
        <v>9693098475</v>
      </c>
    </row>
    <row r="2817" spans="1:12" ht="15" customHeight="1">
      <c r="A2817" s="5" t="s">
        <v>0</v>
      </c>
      <c r="B2817" s="5" t="str">
        <f t="shared" si="34"/>
        <v>Y</v>
      </c>
      <c r="C2817" t="s">
        <v>13921</v>
      </c>
      <c r="E2817" s="741" t="s">
        <v>13922</v>
      </c>
      <c r="F2817" s="451">
        <v>38257</v>
      </c>
      <c r="G2817" s="386">
        <v>45049</v>
      </c>
      <c r="H2817" s="386">
        <v>45049</v>
      </c>
      <c r="L2817">
        <v>7070355133</v>
      </c>
    </row>
    <row r="2818" spans="1:12" ht="15" customHeight="1">
      <c r="A2818" s="5" t="s">
        <v>0</v>
      </c>
      <c r="B2818" s="5" t="str">
        <f t="shared" ref="B2818" si="35">IF(H2818="","N","Y")</f>
        <v>Y</v>
      </c>
      <c r="C2818" t="s">
        <v>13924</v>
      </c>
      <c r="E2818" s="739" t="s">
        <v>13912</v>
      </c>
      <c r="F2818" s="451">
        <v>32296</v>
      </c>
      <c r="G2818" s="386">
        <v>45049</v>
      </c>
      <c r="H2818" s="386">
        <v>45051</v>
      </c>
      <c r="L2818">
        <v>7209603087</v>
      </c>
    </row>
    <row r="2819" spans="1:12" ht="15" customHeight="1">
      <c r="A2819" s="5" t="s">
        <v>0</v>
      </c>
      <c r="B2819" s="5" t="str">
        <f t="shared" ref="B2819" si="36">IF(H2819="","N","Y")</f>
        <v>Y</v>
      </c>
      <c r="C2819" s="742" t="s">
        <v>13927</v>
      </c>
      <c r="D2819" s="742"/>
      <c r="E2819" s="740" t="s">
        <v>2394</v>
      </c>
      <c r="F2819" s="451">
        <v>33612</v>
      </c>
      <c r="G2819" s="386">
        <v>45050</v>
      </c>
      <c r="H2819" s="386">
        <v>45050</v>
      </c>
      <c r="L2819">
        <v>8292295772</v>
      </c>
    </row>
    <row r="2820" spans="1:12" ht="15" customHeight="1">
      <c r="A2820" s="5" t="s">
        <v>0</v>
      </c>
      <c r="B2820" s="5" t="str">
        <f t="shared" si="34"/>
        <v>Y</v>
      </c>
      <c r="C2820" t="s">
        <v>13926</v>
      </c>
      <c r="E2820" s="741" t="s">
        <v>13923</v>
      </c>
      <c r="F2820" s="451">
        <v>36043</v>
      </c>
      <c r="G2820" s="386">
        <v>45050</v>
      </c>
      <c r="H2820" s="386">
        <v>45050</v>
      </c>
      <c r="L2820">
        <v>6202200570</v>
      </c>
    </row>
    <row r="2821" spans="1:12" ht="15" customHeight="1">
      <c r="A2821" s="5" t="s">
        <v>0</v>
      </c>
      <c r="B2821" s="5" t="str">
        <f t="shared" si="34"/>
        <v>Y</v>
      </c>
      <c r="C2821" s="463" t="s">
        <v>13928</v>
      </c>
      <c r="D2821" s="463"/>
      <c r="E2821" s="463" t="s">
        <v>2684</v>
      </c>
      <c r="F2821" s="659">
        <v>38228</v>
      </c>
      <c r="G2821" s="499">
        <v>45051</v>
      </c>
      <c r="H2821" s="499">
        <v>45052</v>
      </c>
      <c r="I2821" s="809" t="s">
        <v>14277</v>
      </c>
      <c r="L2821">
        <v>6205987848</v>
      </c>
    </row>
    <row r="2822" spans="1:12" ht="15" customHeight="1">
      <c r="A2822" s="5" t="s">
        <v>0</v>
      </c>
      <c r="B2822" s="5" t="str">
        <f t="shared" si="34"/>
        <v>Y</v>
      </c>
      <c r="C2822" t="s">
        <v>13929</v>
      </c>
      <c r="E2822" s="743" t="s">
        <v>13930</v>
      </c>
      <c r="F2822" s="451">
        <v>38995</v>
      </c>
      <c r="G2822" s="386">
        <v>45051</v>
      </c>
      <c r="H2822" s="386">
        <v>45082</v>
      </c>
      <c r="L2822">
        <v>8674893552</v>
      </c>
    </row>
    <row r="2823" spans="1:12" ht="15" customHeight="1">
      <c r="A2823" s="5" t="s">
        <v>0</v>
      </c>
      <c r="B2823" s="5" t="str">
        <f t="shared" si="34"/>
        <v>Y</v>
      </c>
      <c r="C2823" t="s">
        <v>13933</v>
      </c>
      <c r="E2823" s="743" t="s">
        <v>13934</v>
      </c>
      <c r="F2823" s="451">
        <v>32866</v>
      </c>
      <c r="G2823" s="386">
        <v>45051</v>
      </c>
      <c r="H2823" s="386">
        <v>46148</v>
      </c>
      <c r="L2823">
        <v>8434685937</v>
      </c>
    </row>
    <row r="2824" spans="1:12" ht="15" customHeight="1">
      <c r="A2824" s="5" t="s">
        <v>0</v>
      </c>
      <c r="B2824" s="5" t="str">
        <f t="shared" ref="B2824" si="37">IF(H2824="","N","Y")</f>
        <v>Y</v>
      </c>
      <c r="C2824" t="s">
        <v>13931</v>
      </c>
      <c r="E2824" s="743" t="s">
        <v>13932</v>
      </c>
      <c r="F2824" s="451">
        <v>32143</v>
      </c>
      <c r="G2824" s="386">
        <v>45052</v>
      </c>
      <c r="H2824" s="386">
        <v>46148</v>
      </c>
      <c r="L2824">
        <v>8434685937</v>
      </c>
    </row>
    <row r="2825" spans="1:12" ht="15" customHeight="1">
      <c r="A2825" s="5" t="s">
        <v>0</v>
      </c>
      <c r="B2825" s="5" t="str">
        <f t="shared" si="34"/>
        <v>Y</v>
      </c>
      <c r="C2825" t="s">
        <v>13935</v>
      </c>
      <c r="E2825" s="744" t="s">
        <v>13936</v>
      </c>
      <c r="F2825" s="451">
        <v>22542</v>
      </c>
      <c r="G2825" s="386">
        <v>45052</v>
      </c>
      <c r="H2825" s="386">
        <v>45052</v>
      </c>
      <c r="L2825">
        <v>9931144677</v>
      </c>
    </row>
    <row r="2826" spans="1:12" ht="15" customHeight="1">
      <c r="A2826" s="5" t="s">
        <v>0</v>
      </c>
      <c r="B2826" s="5" t="str">
        <f t="shared" si="34"/>
        <v>Y</v>
      </c>
      <c r="C2826" t="s">
        <v>13937</v>
      </c>
      <c r="E2826" s="744" t="s">
        <v>13938</v>
      </c>
      <c r="F2826" s="451">
        <v>24824</v>
      </c>
      <c r="G2826" s="386">
        <v>45052</v>
      </c>
      <c r="H2826" s="386">
        <v>45052</v>
      </c>
      <c r="L2826">
        <v>7209392713</v>
      </c>
    </row>
    <row r="2827" spans="1:12" ht="15" customHeight="1">
      <c r="A2827" s="5" t="s">
        <v>0</v>
      </c>
      <c r="B2827" s="5" t="str">
        <f t="shared" si="34"/>
        <v>Y</v>
      </c>
      <c r="C2827" t="s">
        <v>13942</v>
      </c>
      <c r="E2827" s="744" t="s">
        <v>13939</v>
      </c>
      <c r="F2827" s="451">
        <v>34725</v>
      </c>
      <c r="G2827" s="386">
        <v>45052</v>
      </c>
      <c r="H2827" s="386">
        <v>45052</v>
      </c>
      <c r="L2827">
        <v>7865081664</v>
      </c>
    </row>
    <row r="2828" spans="1:12" ht="15" customHeight="1">
      <c r="A2828" s="5" t="s">
        <v>0</v>
      </c>
      <c r="B2828" s="5" t="str">
        <f t="shared" si="34"/>
        <v>Y</v>
      </c>
      <c r="C2828" t="s">
        <v>13940</v>
      </c>
      <c r="E2828" s="744" t="s">
        <v>13941</v>
      </c>
      <c r="F2828" s="451">
        <v>38130</v>
      </c>
      <c r="G2828" s="386">
        <v>45052</v>
      </c>
      <c r="H2828" s="386">
        <v>45052</v>
      </c>
      <c r="L2828">
        <v>8521755282</v>
      </c>
    </row>
    <row r="2829" spans="1:12" ht="15" customHeight="1">
      <c r="A2829" s="5" t="s">
        <v>0</v>
      </c>
      <c r="B2829" s="5" t="str">
        <f t="shared" si="34"/>
        <v>Y</v>
      </c>
      <c r="C2829" t="s">
        <v>13944</v>
      </c>
      <c r="E2829" s="745" t="s">
        <v>13943</v>
      </c>
      <c r="F2829" s="451">
        <v>25861</v>
      </c>
      <c r="G2829" s="386">
        <v>45053</v>
      </c>
      <c r="H2829" s="386">
        <v>45053</v>
      </c>
      <c r="L2829">
        <v>9931502725</v>
      </c>
    </row>
    <row r="2830" spans="1:12" ht="15" customHeight="1">
      <c r="A2830" s="5" t="s">
        <v>0</v>
      </c>
      <c r="B2830" s="5" t="str">
        <f t="shared" si="34"/>
        <v>Y</v>
      </c>
      <c r="C2830" t="s">
        <v>13945</v>
      </c>
      <c r="E2830" s="746" t="s">
        <v>3784</v>
      </c>
      <c r="F2830" s="451">
        <v>19642</v>
      </c>
      <c r="G2830" s="386">
        <v>45053</v>
      </c>
      <c r="H2830" s="386">
        <v>45053</v>
      </c>
      <c r="L2830">
        <v>7903032064</v>
      </c>
    </row>
    <row r="2831" spans="1:12" ht="15" customHeight="1">
      <c r="A2831" s="5" t="s">
        <v>0</v>
      </c>
      <c r="B2831" s="5" t="str">
        <f t="shared" si="34"/>
        <v>Y</v>
      </c>
      <c r="C2831" t="s">
        <v>13946</v>
      </c>
      <c r="E2831" s="747" t="s">
        <v>13947</v>
      </c>
      <c r="F2831" s="451">
        <v>28130</v>
      </c>
      <c r="G2831" s="386">
        <v>45054</v>
      </c>
      <c r="H2831" s="386">
        <v>45054</v>
      </c>
      <c r="L2831">
        <v>7903948022</v>
      </c>
    </row>
    <row r="2832" spans="1:12" ht="15" customHeight="1">
      <c r="A2832" s="5" t="s">
        <v>0</v>
      </c>
      <c r="B2832" s="5" t="str">
        <f t="shared" si="34"/>
        <v>Y</v>
      </c>
      <c r="C2832" t="s">
        <v>13948</v>
      </c>
      <c r="E2832" s="748" t="s">
        <v>2084</v>
      </c>
      <c r="F2832" s="451">
        <v>32177</v>
      </c>
      <c r="G2832" s="386">
        <v>45055</v>
      </c>
      <c r="H2832" s="386">
        <v>45055</v>
      </c>
      <c r="L2832">
        <v>9945517402</v>
      </c>
    </row>
    <row r="2833" spans="1:12" ht="15" customHeight="1">
      <c r="A2833" s="5" t="s">
        <v>0</v>
      </c>
      <c r="B2833" s="5" t="str">
        <f t="shared" si="34"/>
        <v>Y</v>
      </c>
      <c r="C2833" t="s">
        <v>13949</v>
      </c>
      <c r="E2833" s="748" t="s">
        <v>13950</v>
      </c>
      <c r="F2833" s="451">
        <v>25093</v>
      </c>
      <c r="G2833" s="386">
        <v>45056</v>
      </c>
      <c r="H2833" s="386">
        <v>45056</v>
      </c>
      <c r="L2833">
        <v>9031392165</v>
      </c>
    </row>
    <row r="2834" spans="1:12" ht="15" customHeight="1">
      <c r="A2834" s="5" t="s">
        <v>0</v>
      </c>
      <c r="B2834" s="5" t="str">
        <f t="shared" si="34"/>
        <v>Y</v>
      </c>
      <c r="C2834" s="749" t="s">
        <v>13951</v>
      </c>
      <c r="D2834" s="749"/>
      <c r="E2834" s="749" t="s">
        <v>13952</v>
      </c>
      <c r="F2834" s="451">
        <v>28422</v>
      </c>
      <c r="G2834" s="386">
        <v>45056</v>
      </c>
      <c r="H2834" s="386">
        <v>45056</v>
      </c>
      <c r="L2834">
        <v>9934587029</v>
      </c>
    </row>
    <row r="2835" spans="1:12" ht="15" customHeight="1">
      <c r="A2835" s="5" t="s">
        <v>0</v>
      </c>
      <c r="B2835" s="5" t="str">
        <f t="shared" si="34"/>
        <v>Y</v>
      </c>
      <c r="C2835" s="749" t="s">
        <v>13953</v>
      </c>
      <c r="D2835" s="749"/>
      <c r="E2835" s="749" t="s">
        <v>3113</v>
      </c>
      <c r="F2835" s="451">
        <v>26669</v>
      </c>
      <c r="G2835" s="386">
        <v>45056</v>
      </c>
      <c r="H2835" s="386">
        <v>45056</v>
      </c>
      <c r="L2835">
        <v>9304952804</v>
      </c>
    </row>
    <row r="2836" spans="1:12" ht="15" customHeight="1">
      <c r="A2836" s="5" t="s">
        <v>0</v>
      </c>
      <c r="B2836" s="5" t="str">
        <f t="shared" si="34"/>
        <v>Y</v>
      </c>
      <c r="C2836" s="749" t="s">
        <v>13954</v>
      </c>
      <c r="D2836" s="749"/>
      <c r="E2836" s="749" t="s">
        <v>4258</v>
      </c>
      <c r="F2836" s="451">
        <v>25932</v>
      </c>
      <c r="G2836" s="386">
        <v>45056</v>
      </c>
      <c r="H2836" s="386">
        <v>45056</v>
      </c>
      <c r="L2836">
        <v>8797874220</v>
      </c>
    </row>
    <row r="2837" spans="1:12" ht="15" customHeight="1">
      <c r="A2837" s="5" t="s">
        <v>0</v>
      </c>
      <c r="B2837" s="5" t="str">
        <f t="shared" si="34"/>
        <v>Y</v>
      </c>
      <c r="C2837" s="749" t="s">
        <v>13955</v>
      </c>
      <c r="D2837" s="749"/>
      <c r="E2837" s="749" t="s">
        <v>13956</v>
      </c>
      <c r="F2837" s="451">
        <v>38445</v>
      </c>
      <c r="G2837" s="386">
        <v>45056</v>
      </c>
      <c r="H2837" s="386">
        <v>45056</v>
      </c>
      <c r="L2837">
        <v>7462037466</v>
      </c>
    </row>
    <row r="2838" spans="1:12" ht="15" customHeight="1">
      <c r="A2838" s="5" t="s">
        <v>0</v>
      </c>
      <c r="B2838" s="5" t="str">
        <f t="shared" si="34"/>
        <v>Y</v>
      </c>
      <c r="C2838" s="750" t="s">
        <v>13957</v>
      </c>
      <c r="D2838" s="750"/>
      <c r="E2838" s="750" t="s">
        <v>13958</v>
      </c>
      <c r="F2838" s="451">
        <v>38408</v>
      </c>
      <c r="G2838" s="386">
        <v>45056</v>
      </c>
      <c r="H2838" s="386">
        <v>45056</v>
      </c>
      <c r="L2838">
        <v>9835549514</v>
      </c>
    </row>
    <row r="2839" spans="1:12" ht="15" customHeight="1">
      <c r="A2839" s="5" t="s">
        <v>0</v>
      </c>
      <c r="B2839" s="5" t="str">
        <f t="shared" si="34"/>
        <v>Y</v>
      </c>
      <c r="C2839" s="751" t="s">
        <v>13959</v>
      </c>
      <c r="D2839" s="751"/>
      <c r="E2839" s="751" t="s">
        <v>13960</v>
      </c>
      <c r="F2839" s="451">
        <v>38471</v>
      </c>
      <c r="G2839" s="386">
        <v>45057</v>
      </c>
      <c r="H2839" s="386">
        <v>45058</v>
      </c>
      <c r="L2839">
        <v>7004062939</v>
      </c>
    </row>
    <row r="2840" spans="1:12" ht="15" customHeight="1">
      <c r="A2840" s="5" t="s">
        <v>0</v>
      </c>
      <c r="B2840" s="5" t="str">
        <f t="shared" si="34"/>
        <v>Y</v>
      </c>
      <c r="C2840" s="751" t="s">
        <v>13962</v>
      </c>
      <c r="D2840" s="751"/>
      <c r="E2840" s="751" t="s">
        <v>13961</v>
      </c>
      <c r="F2840" s="451">
        <v>26730</v>
      </c>
      <c r="G2840" s="386">
        <v>45057</v>
      </c>
      <c r="H2840" s="386">
        <v>45057</v>
      </c>
      <c r="L2840">
        <v>8797943124</v>
      </c>
    </row>
    <row r="2841" spans="1:12" ht="15" customHeight="1">
      <c r="A2841" s="5" t="s">
        <v>0</v>
      </c>
      <c r="B2841" s="5" t="str">
        <f t="shared" si="34"/>
        <v>Y</v>
      </c>
      <c r="C2841" s="752" t="s">
        <v>13963</v>
      </c>
      <c r="D2841" s="752"/>
      <c r="E2841" s="752" t="s">
        <v>13964</v>
      </c>
      <c r="F2841" s="451">
        <v>38727</v>
      </c>
      <c r="G2841" s="386">
        <v>45057</v>
      </c>
      <c r="H2841" s="386">
        <v>45058</v>
      </c>
      <c r="L2841">
        <v>7033537313</v>
      </c>
    </row>
    <row r="2842" spans="1:12" ht="15" customHeight="1">
      <c r="A2842" s="5" t="s">
        <v>0</v>
      </c>
      <c r="B2842" s="5" t="str">
        <f t="shared" si="34"/>
        <v>Y</v>
      </c>
      <c r="C2842" s="786" t="s">
        <v>13966</v>
      </c>
      <c r="D2842" s="786"/>
      <c r="E2842" s="752" t="s">
        <v>13965</v>
      </c>
      <c r="F2842" s="451">
        <v>25980</v>
      </c>
      <c r="G2842" s="386">
        <v>45057</v>
      </c>
      <c r="H2842" s="386">
        <v>45057</v>
      </c>
      <c r="L2842">
        <v>9835364078</v>
      </c>
    </row>
    <row r="2843" spans="1:12" ht="15" customHeight="1">
      <c r="A2843" s="5" t="s">
        <v>0</v>
      </c>
      <c r="B2843" s="5" t="str">
        <f t="shared" si="34"/>
        <v>Y</v>
      </c>
      <c r="C2843" s="755" t="s">
        <v>13967</v>
      </c>
      <c r="D2843" s="755"/>
      <c r="E2843" s="752" t="s">
        <v>13968</v>
      </c>
      <c r="F2843" s="451">
        <v>35479</v>
      </c>
      <c r="G2843" s="386">
        <v>45057</v>
      </c>
      <c r="H2843" s="386">
        <v>45058</v>
      </c>
      <c r="L2843">
        <v>9771899159</v>
      </c>
    </row>
    <row r="2844" spans="1:12" ht="15" customHeight="1">
      <c r="A2844" s="5" t="s">
        <v>0</v>
      </c>
      <c r="B2844" s="5" t="str">
        <f t="shared" si="34"/>
        <v>Y</v>
      </c>
      <c r="C2844" s="752" t="s">
        <v>13969</v>
      </c>
      <c r="D2844" s="752"/>
      <c r="E2844" s="752" t="s">
        <v>13616</v>
      </c>
      <c r="F2844" s="451">
        <v>30273</v>
      </c>
      <c r="G2844" s="386">
        <v>45058</v>
      </c>
      <c r="H2844" s="386">
        <v>45058</v>
      </c>
      <c r="L2844">
        <v>8235411520</v>
      </c>
    </row>
    <row r="2845" spans="1:12" ht="15" customHeight="1">
      <c r="A2845" s="5" t="s">
        <v>0</v>
      </c>
      <c r="B2845" s="5" t="str">
        <f t="shared" si="34"/>
        <v>Y</v>
      </c>
      <c r="C2845" s="753" t="s">
        <v>13970</v>
      </c>
      <c r="D2845" s="753"/>
      <c r="E2845" s="753" t="s">
        <v>13971</v>
      </c>
      <c r="F2845" s="451">
        <v>24716</v>
      </c>
      <c r="G2845" s="386">
        <v>45059</v>
      </c>
      <c r="H2845" s="386">
        <v>45059</v>
      </c>
      <c r="L2845">
        <v>9234544362</v>
      </c>
    </row>
    <row r="2846" spans="1:12" ht="15" customHeight="1">
      <c r="A2846" s="5" t="s">
        <v>0</v>
      </c>
      <c r="B2846" s="5" t="str">
        <f t="shared" si="34"/>
        <v>Y</v>
      </c>
      <c r="C2846" s="753" t="s">
        <v>13972</v>
      </c>
      <c r="D2846" s="753"/>
      <c r="E2846" s="753" t="s">
        <v>13973</v>
      </c>
      <c r="F2846" s="451">
        <v>38280</v>
      </c>
      <c r="G2846" s="386">
        <v>45059</v>
      </c>
      <c r="H2846" s="386">
        <v>45059</v>
      </c>
      <c r="L2846">
        <v>6207798868</v>
      </c>
    </row>
    <row r="2847" spans="1:12" ht="15" customHeight="1">
      <c r="A2847" s="5" t="s">
        <v>0</v>
      </c>
      <c r="B2847" s="5" t="str">
        <f t="shared" si="34"/>
        <v>Y</v>
      </c>
      <c r="C2847" s="754" t="s">
        <v>13975</v>
      </c>
      <c r="D2847" s="754"/>
      <c r="E2847" s="753" t="s">
        <v>13974</v>
      </c>
      <c r="F2847" s="451">
        <v>28831</v>
      </c>
      <c r="G2847" s="386">
        <v>45059</v>
      </c>
      <c r="H2847" s="386">
        <v>45059</v>
      </c>
      <c r="L2847">
        <v>9097315644</v>
      </c>
    </row>
    <row r="2848" spans="1:12" ht="15" customHeight="1">
      <c r="A2848" s="5" t="s">
        <v>0</v>
      </c>
      <c r="B2848" s="5" t="str">
        <f t="shared" si="34"/>
        <v>Y</v>
      </c>
      <c r="C2848" s="756" t="s">
        <v>13977</v>
      </c>
      <c r="D2848" s="756"/>
      <c r="E2848" s="756" t="s">
        <v>13978</v>
      </c>
      <c r="F2848" s="451">
        <v>38239</v>
      </c>
      <c r="G2848" s="386">
        <v>45061</v>
      </c>
      <c r="H2848" s="386">
        <v>45061</v>
      </c>
      <c r="L2848">
        <v>9934538514</v>
      </c>
    </row>
    <row r="2849" spans="1:12" ht="15" customHeight="1">
      <c r="A2849" s="5" t="s">
        <v>0</v>
      </c>
      <c r="B2849" s="5" t="str">
        <f t="shared" si="34"/>
        <v>Y</v>
      </c>
      <c r="C2849" s="756" t="s">
        <v>13979</v>
      </c>
      <c r="D2849" s="756"/>
      <c r="E2849" s="756" t="s">
        <v>13980</v>
      </c>
      <c r="F2849" s="451">
        <v>28764</v>
      </c>
      <c r="G2849" s="386">
        <v>45061</v>
      </c>
      <c r="H2849" s="386">
        <v>45062</v>
      </c>
      <c r="L2849">
        <v>9709031820</v>
      </c>
    </row>
    <row r="2850" spans="1:12" ht="15" customHeight="1">
      <c r="A2850" s="5" t="s">
        <v>0</v>
      </c>
      <c r="B2850" s="5" t="str">
        <f t="shared" si="34"/>
        <v>Y</v>
      </c>
      <c r="C2850" s="757" t="s">
        <v>13981</v>
      </c>
      <c r="D2850" s="757"/>
      <c r="E2850" s="757" t="s">
        <v>13982</v>
      </c>
      <c r="F2850" s="451">
        <v>23655</v>
      </c>
      <c r="G2850" s="386">
        <v>45041</v>
      </c>
      <c r="H2850" s="386">
        <v>45041</v>
      </c>
      <c r="L2850">
        <v>8092802361</v>
      </c>
    </row>
    <row r="2851" spans="1:12" ht="15" customHeight="1">
      <c r="A2851" s="5" t="s">
        <v>0</v>
      </c>
      <c r="B2851" s="5" t="str">
        <f t="shared" si="34"/>
        <v>Y</v>
      </c>
      <c r="C2851" s="758" t="s">
        <v>13983</v>
      </c>
      <c r="D2851" s="758"/>
      <c r="E2851" s="758" t="s">
        <v>13984</v>
      </c>
      <c r="F2851" s="451">
        <v>18376</v>
      </c>
      <c r="G2851" s="386">
        <v>45062</v>
      </c>
      <c r="H2851" s="386">
        <v>45062</v>
      </c>
      <c r="L2851">
        <v>9204419332</v>
      </c>
    </row>
    <row r="2852" spans="1:12" ht="15" customHeight="1">
      <c r="A2852" s="5" t="s">
        <v>0</v>
      </c>
      <c r="B2852" s="5" t="str">
        <f t="shared" si="34"/>
        <v>Y</v>
      </c>
      <c r="C2852" s="760" t="s">
        <v>13985</v>
      </c>
      <c r="D2852" s="760"/>
      <c r="E2852" s="759" t="s">
        <v>13478</v>
      </c>
      <c r="F2852" s="451">
        <v>29209</v>
      </c>
      <c r="G2852" s="386">
        <v>45063</v>
      </c>
      <c r="H2852" s="386">
        <v>45063</v>
      </c>
      <c r="L2852">
        <v>9031353035</v>
      </c>
    </row>
    <row r="2853" spans="1:12" ht="15" customHeight="1">
      <c r="A2853" s="5" t="s">
        <v>0</v>
      </c>
      <c r="B2853" s="5" t="str">
        <f t="shared" si="34"/>
        <v>Y</v>
      </c>
      <c r="C2853" s="760" t="s">
        <v>13987</v>
      </c>
      <c r="D2853" s="760"/>
      <c r="E2853" s="760" t="s">
        <v>13986</v>
      </c>
      <c r="F2853" s="451">
        <v>38472</v>
      </c>
      <c r="G2853" s="386">
        <v>45063</v>
      </c>
      <c r="H2853" s="386">
        <v>45063</v>
      </c>
      <c r="L2853">
        <v>8210368449</v>
      </c>
    </row>
    <row r="2854" spans="1:12" ht="15" customHeight="1">
      <c r="A2854" s="5" t="s">
        <v>0</v>
      </c>
      <c r="B2854" s="5" t="str">
        <f t="shared" si="34"/>
        <v>Y</v>
      </c>
      <c r="C2854" s="760" t="s">
        <v>13988</v>
      </c>
      <c r="D2854" s="760"/>
      <c r="E2854" s="760" t="s">
        <v>13989</v>
      </c>
      <c r="F2854" s="451">
        <v>23696</v>
      </c>
      <c r="G2854" s="386">
        <v>45063</v>
      </c>
      <c r="H2854" s="386">
        <v>45063</v>
      </c>
      <c r="L2854">
        <v>9334623776</v>
      </c>
    </row>
    <row r="2855" spans="1:12" ht="15" customHeight="1">
      <c r="A2855" s="5" t="s">
        <v>0</v>
      </c>
      <c r="B2855" s="5" t="str">
        <f t="shared" si="34"/>
        <v>Y</v>
      </c>
      <c r="C2855" s="761" t="s">
        <v>13990</v>
      </c>
      <c r="D2855" s="761"/>
      <c r="E2855" s="761" t="s">
        <v>4344</v>
      </c>
      <c r="F2855" s="451">
        <v>36212</v>
      </c>
      <c r="G2855" s="386">
        <v>45064</v>
      </c>
      <c r="H2855" s="386">
        <v>45064</v>
      </c>
      <c r="L2855">
        <v>8877215999</v>
      </c>
    </row>
    <row r="2856" spans="1:12" ht="15" customHeight="1">
      <c r="A2856" s="5" t="s">
        <v>0</v>
      </c>
      <c r="B2856" s="5" t="str">
        <f t="shared" si="34"/>
        <v>Y</v>
      </c>
      <c r="C2856" s="761" t="s">
        <v>13991</v>
      </c>
      <c r="D2856" s="761"/>
      <c r="E2856" s="761" t="s">
        <v>13992</v>
      </c>
      <c r="F2856" s="451">
        <v>38254</v>
      </c>
      <c r="G2856" s="386">
        <v>45064</v>
      </c>
      <c r="H2856" s="386">
        <v>45064</v>
      </c>
      <c r="L2856">
        <v>8797051223</v>
      </c>
    </row>
    <row r="2857" spans="1:12" ht="15" customHeight="1">
      <c r="A2857" s="5" t="s">
        <v>0</v>
      </c>
      <c r="B2857" s="5" t="str">
        <f t="shared" si="34"/>
        <v>Y</v>
      </c>
      <c r="C2857" s="761" t="s">
        <v>13993</v>
      </c>
      <c r="D2857" s="761"/>
      <c r="E2857" s="761" t="s">
        <v>13994</v>
      </c>
      <c r="F2857" s="451">
        <v>26068</v>
      </c>
      <c r="G2857" s="386">
        <v>45064</v>
      </c>
      <c r="H2857" s="386">
        <v>45064</v>
      </c>
      <c r="L2857">
        <v>8986813228</v>
      </c>
    </row>
    <row r="2858" spans="1:12" ht="15" customHeight="1">
      <c r="A2858" s="5" t="s">
        <v>0</v>
      </c>
      <c r="B2858" s="5" t="str">
        <f t="shared" ref="B2858:B2919" si="38">IF(H2858="","N","Y")</f>
        <v>Y</v>
      </c>
      <c r="C2858" s="762" t="s">
        <v>13995</v>
      </c>
      <c r="D2858" s="762"/>
      <c r="E2858" s="762" t="s">
        <v>13996</v>
      </c>
      <c r="F2858" s="451">
        <v>24461</v>
      </c>
      <c r="G2858" s="386">
        <v>45064</v>
      </c>
      <c r="H2858" s="386">
        <v>45064</v>
      </c>
      <c r="L2858">
        <v>9031380645</v>
      </c>
    </row>
    <row r="2859" spans="1:12" ht="15" customHeight="1">
      <c r="A2859" s="5" t="s">
        <v>0</v>
      </c>
      <c r="B2859" s="5" t="str">
        <f t="shared" si="38"/>
        <v>Y</v>
      </c>
      <c r="C2859" s="762" t="s">
        <v>13997</v>
      </c>
      <c r="D2859" s="762"/>
      <c r="E2859" s="762" t="s">
        <v>13998</v>
      </c>
      <c r="F2859" s="451">
        <v>24263</v>
      </c>
      <c r="G2859" s="386">
        <v>45064</v>
      </c>
      <c r="H2859" s="386">
        <v>45064</v>
      </c>
      <c r="L2859">
        <v>9263492156</v>
      </c>
    </row>
    <row r="2860" spans="1:12" ht="15" customHeight="1">
      <c r="A2860" s="5" t="s">
        <v>0</v>
      </c>
      <c r="B2860" s="5" t="str">
        <f t="shared" si="38"/>
        <v>Y</v>
      </c>
      <c r="C2860" s="763" t="s">
        <v>13999</v>
      </c>
      <c r="D2860" s="763"/>
      <c r="E2860" s="763" t="s">
        <v>14000</v>
      </c>
      <c r="F2860" s="451">
        <v>29676</v>
      </c>
      <c r="G2860" s="386">
        <v>45065</v>
      </c>
      <c r="H2860" s="386">
        <v>45065</v>
      </c>
      <c r="L2860">
        <v>9798041138</v>
      </c>
    </row>
    <row r="2861" spans="1:12" ht="15" customHeight="1">
      <c r="A2861" s="5" t="s">
        <v>0</v>
      </c>
      <c r="B2861" s="5" t="str">
        <f t="shared" si="38"/>
        <v>Y</v>
      </c>
      <c r="C2861" s="763" t="s">
        <v>14001</v>
      </c>
      <c r="D2861" s="763"/>
      <c r="E2861" s="763" t="s">
        <v>14002</v>
      </c>
      <c r="F2861" s="451">
        <v>35896</v>
      </c>
      <c r="G2861" s="386">
        <v>45065</v>
      </c>
      <c r="H2861" s="386">
        <v>45065</v>
      </c>
      <c r="L2861">
        <v>7091644700</v>
      </c>
    </row>
    <row r="2862" spans="1:12" ht="15" customHeight="1">
      <c r="A2862" s="5" t="s">
        <v>0</v>
      </c>
      <c r="B2862" s="5" t="str">
        <f t="shared" si="38"/>
        <v>Y</v>
      </c>
      <c r="C2862" s="763" t="s">
        <v>14006</v>
      </c>
      <c r="D2862" s="763"/>
      <c r="E2862" s="765" t="s">
        <v>14007</v>
      </c>
      <c r="F2862" s="451">
        <v>28195</v>
      </c>
      <c r="G2862" s="386">
        <v>45066</v>
      </c>
      <c r="H2862" s="386">
        <v>45066</v>
      </c>
      <c r="L2862">
        <v>8797605742</v>
      </c>
    </row>
    <row r="2863" spans="1:12" ht="15" customHeight="1">
      <c r="A2863" s="5" t="s">
        <v>0</v>
      </c>
      <c r="B2863" s="5" t="str">
        <f t="shared" si="38"/>
        <v>Y</v>
      </c>
      <c r="C2863" s="765" t="s">
        <v>14008</v>
      </c>
      <c r="D2863" s="765"/>
      <c r="E2863" s="765" t="s">
        <v>14009</v>
      </c>
      <c r="F2863" s="451">
        <v>38444</v>
      </c>
      <c r="G2863" s="386">
        <v>45066</v>
      </c>
      <c r="H2863" s="386">
        <v>45066</v>
      </c>
      <c r="L2863">
        <v>9031111911</v>
      </c>
    </row>
    <row r="2864" spans="1:12" ht="15" customHeight="1">
      <c r="A2864" s="5" t="s">
        <v>0</v>
      </c>
      <c r="B2864" s="5" t="str">
        <f t="shared" si="38"/>
        <v>Y</v>
      </c>
      <c r="C2864" s="765" t="s">
        <v>14010</v>
      </c>
      <c r="D2864" s="765"/>
      <c r="E2864" s="765" t="s">
        <v>14011</v>
      </c>
      <c r="F2864" s="451">
        <v>27169</v>
      </c>
      <c r="G2864" s="386">
        <v>45065</v>
      </c>
      <c r="H2864" s="386">
        <v>45065</v>
      </c>
      <c r="L2864">
        <v>9031166423</v>
      </c>
    </row>
    <row r="2865" spans="1:12" ht="15" customHeight="1">
      <c r="A2865" s="5" t="s">
        <v>0</v>
      </c>
      <c r="B2865" s="5" t="str">
        <f t="shared" si="38"/>
        <v>Y</v>
      </c>
      <c r="C2865" s="766" t="s">
        <v>14012</v>
      </c>
      <c r="D2865" s="766"/>
      <c r="E2865" s="766" t="s">
        <v>5253</v>
      </c>
      <c r="F2865" s="451">
        <v>30682</v>
      </c>
      <c r="G2865" s="386">
        <v>45066</v>
      </c>
      <c r="H2865" s="386">
        <v>45066</v>
      </c>
      <c r="L2865">
        <v>8603814661</v>
      </c>
    </row>
    <row r="2866" spans="1:12" ht="15" customHeight="1">
      <c r="A2866" s="5" t="s">
        <v>0</v>
      </c>
      <c r="B2866" s="5" t="str">
        <f t="shared" si="38"/>
        <v>Y</v>
      </c>
      <c r="C2866" s="767" t="s">
        <v>14013</v>
      </c>
      <c r="D2866" s="767"/>
      <c r="E2866" s="767" t="s">
        <v>14014</v>
      </c>
      <c r="F2866" s="451">
        <v>25065</v>
      </c>
      <c r="G2866" s="386">
        <v>45066</v>
      </c>
      <c r="H2866" s="386">
        <v>45066</v>
      </c>
      <c r="L2866">
        <v>8674977761</v>
      </c>
    </row>
    <row r="2867" spans="1:12" ht="15" customHeight="1">
      <c r="A2867" s="5" t="s">
        <v>0</v>
      </c>
      <c r="B2867" s="5" t="str">
        <f t="shared" si="38"/>
        <v>Y</v>
      </c>
      <c r="C2867" s="768" t="s">
        <v>14016</v>
      </c>
      <c r="D2867" s="768"/>
      <c r="E2867" s="768" t="s">
        <v>14017</v>
      </c>
      <c r="F2867" s="451">
        <v>31778</v>
      </c>
      <c r="G2867" s="386">
        <v>45068</v>
      </c>
      <c r="H2867" s="386">
        <v>45068</v>
      </c>
      <c r="L2867">
        <v>7319866971</v>
      </c>
    </row>
    <row r="2868" spans="1:12" ht="15" customHeight="1">
      <c r="A2868" s="5" t="s">
        <v>0</v>
      </c>
      <c r="B2868" s="5" t="str">
        <f t="shared" si="38"/>
        <v>Y</v>
      </c>
      <c r="C2868" s="768" t="s">
        <v>14018</v>
      </c>
      <c r="D2868" s="768"/>
      <c r="E2868" s="768" t="s">
        <v>14019</v>
      </c>
      <c r="F2868" s="451">
        <v>29596</v>
      </c>
      <c r="G2868" s="386">
        <v>45068</v>
      </c>
      <c r="H2868" s="386">
        <v>45068</v>
      </c>
      <c r="L2868">
        <v>9204025651</v>
      </c>
    </row>
    <row r="2869" spans="1:12" ht="15" customHeight="1">
      <c r="A2869" s="5" t="s">
        <v>0</v>
      </c>
      <c r="B2869" s="5" t="str">
        <f t="shared" si="38"/>
        <v>Y</v>
      </c>
      <c r="C2869" s="768" t="s">
        <v>14020</v>
      </c>
      <c r="D2869" s="768"/>
      <c r="E2869" s="768" t="s">
        <v>14021</v>
      </c>
      <c r="F2869" s="451">
        <v>29000</v>
      </c>
      <c r="G2869" s="386">
        <v>45068</v>
      </c>
      <c r="H2869" s="386">
        <v>45068</v>
      </c>
      <c r="L2869">
        <v>6201977708</v>
      </c>
    </row>
    <row r="2870" spans="1:12" ht="15" customHeight="1">
      <c r="A2870" s="5" t="s">
        <v>0</v>
      </c>
      <c r="B2870" s="5" t="str">
        <f t="shared" si="38"/>
        <v>Y</v>
      </c>
      <c r="C2870" s="463" t="s">
        <v>14023</v>
      </c>
      <c r="D2870" s="463"/>
      <c r="E2870" s="463" t="s">
        <v>14024</v>
      </c>
      <c r="F2870" s="659">
        <v>30641</v>
      </c>
      <c r="G2870" s="499">
        <v>45068</v>
      </c>
      <c r="H2870" s="499">
        <v>45068</v>
      </c>
      <c r="I2870" s="809" t="s">
        <v>14277</v>
      </c>
      <c r="L2870">
        <v>7277361220</v>
      </c>
    </row>
    <row r="2871" spans="1:12" ht="15" customHeight="1">
      <c r="A2871" s="5" t="s">
        <v>0</v>
      </c>
      <c r="B2871" s="5" t="str">
        <f t="shared" si="38"/>
        <v>Y</v>
      </c>
      <c r="C2871" s="770" t="s">
        <v>14028</v>
      </c>
      <c r="D2871" s="770"/>
      <c r="E2871" s="769" t="s">
        <v>14025</v>
      </c>
      <c r="F2871" s="451">
        <v>36161</v>
      </c>
      <c r="G2871" s="386">
        <v>45069</v>
      </c>
      <c r="H2871" s="451">
        <v>45069</v>
      </c>
      <c r="L2871">
        <v>6203359628</v>
      </c>
    </row>
    <row r="2872" spans="1:12" ht="15" customHeight="1">
      <c r="A2872" s="5" t="s">
        <v>0</v>
      </c>
      <c r="B2872" s="5" t="str">
        <f t="shared" si="38"/>
        <v>Y</v>
      </c>
      <c r="C2872" t="s">
        <v>14026</v>
      </c>
      <c r="E2872" s="770" t="s">
        <v>14027</v>
      </c>
      <c r="F2872" s="451">
        <v>23430</v>
      </c>
      <c r="G2872" s="451">
        <v>45069</v>
      </c>
      <c r="H2872" s="451">
        <v>45069</v>
      </c>
      <c r="L2872">
        <v>9939377196</v>
      </c>
    </row>
    <row r="2873" spans="1:12" ht="15" customHeight="1">
      <c r="A2873" s="5" t="s">
        <v>0</v>
      </c>
      <c r="B2873" s="5" t="str">
        <f t="shared" si="38"/>
        <v>Y</v>
      </c>
      <c r="C2873" t="s">
        <v>14030</v>
      </c>
      <c r="E2873" s="771" t="s">
        <v>14029</v>
      </c>
      <c r="F2873" s="451">
        <v>38144</v>
      </c>
      <c r="G2873" s="386">
        <v>45070</v>
      </c>
      <c r="H2873" s="386">
        <v>45070</v>
      </c>
      <c r="L2873">
        <v>6200442490</v>
      </c>
    </row>
    <row r="2874" spans="1:12" ht="15" customHeight="1">
      <c r="A2874" s="5" t="s">
        <v>0</v>
      </c>
      <c r="B2874" s="5" t="str">
        <f t="shared" si="38"/>
        <v>Y</v>
      </c>
      <c r="C2874" s="787" t="s">
        <v>14031</v>
      </c>
      <c r="D2874" s="787"/>
      <c r="E2874" s="772" t="s">
        <v>14032</v>
      </c>
      <c r="F2874" s="451">
        <v>24661</v>
      </c>
      <c r="G2874" s="386">
        <v>45070</v>
      </c>
      <c r="H2874" s="386">
        <v>45070</v>
      </c>
      <c r="L2874">
        <v>7209666015</v>
      </c>
    </row>
    <row r="2875" spans="1:12" ht="15" customHeight="1">
      <c r="A2875" s="5" t="s">
        <v>0</v>
      </c>
      <c r="B2875" s="5" t="str">
        <f t="shared" si="38"/>
        <v>Y</v>
      </c>
      <c r="C2875" t="s">
        <v>14033</v>
      </c>
      <c r="E2875" s="772" t="s">
        <v>14034</v>
      </c>
      <c r="F2875" s="451">
        <v>38453</v>
      </c>
      <c r="G2875" s="386">
        <v>45070</v>
      </c>
      <c r="H2875" s="386">
        <v>45070</v>
      </c>
      <c r="L2875">
        <v>9204495036</v>
      </c>
    </row>
    <row r="2876" spans="1:12" ht="15" customHeight="1">
      <c r="A2876" s="5" t="s">
        <v>0</v>
      </c>
      <c r="B2876" s="5" t="str">
        <f t="shared" si="38"/>
        <v>Y</v>
      </c>
      <c r="C2876" t="s">
        <v>14035</v>
      </c>
      <c r="E2876" s="773" t="s">
        <v>14036</v>
      </c>
      <c r="F2876" s="451">
        <v>37541</v>
      </c>
      <c r="G2876" s="386">
        <v>45071</v>
      </c>
      <c r="H2876" s="386">
        <v>45071</v>
      </c>
      <c r="L2876">
        <v>7061279362</v>
      </c>
    </row>
    <row r="2877" spans="1:12" ht="15" customHeight="1">
      <c r="A2877" s="5" t="s">
        <v>0</v>
      </c>
      <c r="B2877" s="5" t="str">
        <f t="shared" si="38"/>
        <v>Y</v>
      </c>
      <c r="C2877" t="s">
        <v>14037</v>
      </c>
      <c r="E2877" s="774" t="s">
        <v>14038</v>
      </c>
      <c r="F2877" s="451">
        <v>38436</v>
      </c>
      <c r="G2877" s="386">
        <v>45071</v>
      </c>
      <c r="H2877" s="386">
        <v>45071</v>
      </c>
      <c r="L2877">
        <v>8340507926</v>
      </c>
    </row>
    <row r="2878" spans="1:12" ht="15" customHeight="1">
      <c r="A2878" s="5" t="s">
        <v>0</v>
      </c>
      <c r="B2878" s="5" t="str">
        <f t="shared" si="38"/>
        <v>Y</v>
      </c>
      <c r="C2878" s="787" t="s">
        <v>14040</v>
      </c>
      <c r="D2878" s="787"/>
      <c r="E2878" s="775" t="s">
        <v>14039</v>
      </c>
      <c r="F2878" s="451">
        <v>35706</v>
      </c>
      <c r="G2878" s="386">
        <v>45073</v>
      </c>
      <c r="H2878" s="386">
        <v>45073</v>
      </c>
      <c r="L2878">
        <v>7292939602</v>
      </c>
    </row>
    <row r="2879" spans="1:12" ht="15" customHeight="1">
      <c r="A2879" s="5" t="s">
        <v>0</v>
      </c>
      <c r="B2879" s="5" t="str">
        <f t="shared" si="38"/>
        <v>Y</v>
      </c>
      <c r="C2879" s="787" t="s">
        <v>14041</v>
      </c>
      <c r="D2879" s="787"/>
      <c r="E2879" s="775" t="s">
        <v>14042</v>
      </c>
      <c r="F2879" s="451">
        <v>24742</v>
      </c>
      <c r="G2879" s="386">
        <v>45073</v>
      </c>
      <c r="H2879" s="386">
        <v>45073</v>
      </c>
      <c r="L2879">
        <v>9546096776</v>
      </c>
    </row>
    <row r="2880" spans="1:12" ht="15" customHeight="1">
      <c r="A2880" s="5" t="s">
        <v>0</v>
      </c>
      <c r="B2880" s="5" t="str">
        <f t="shared" si="38"/>
        <v>N</v>
      </c>
      <c r="C2880" t="s">
        <v>14043</v>
      </c>
      <c r="E2880" s="775" t="s">
        <v>14044</v>
      </c>
      <c r="F2880" s="451">
        <v>29996</v>
      </c>
      <c r="G2880" s="386">
        <v>45073</v>
      </c>
      <c r="L2880">
        <v>7046014083</v>
      </c>
    </row>
    <row r="2881" spans="1:12" ht="15" customHeight="1">
      <c r="A2881" s="5" t="s">
        <v>0</v>
      </c>
      <c r="B2881" s="5" t="str">
        <f t="shared" si="38"/>
        <v>Y</v>
      </c>
      <c r="C2881" t="s">
        <v>14045</v>
      </c>
      <c r="E2881" s="775" t="s">
        <v>14046</v>
      </c>
      <c r="F2881" s="451">
        <v>38172</v>
      </c>
      <c r="G2881" s="386">
        <v>45073</v>
      </c>
      <c r="H2881" s="386">
        <v>45073</v>
      </c>
      <c r="L2881">
        <v>6204582092</v>
      </c>
    </row>
    <row r="2882" spans="1:12" ht="15" customHeight="1">
      <c r="A2882" s="5" t="s">
        <v>0</v>
      </c>
      <c r="B2882" s="5" t="str">
        <f t="shared" si="38"/>
        <v>Y</v>
      </c>
      <c r="C2882" s="787" t="s">
        <v>14048</v>
      </c>
      <c r="D2882" s="787"/>
      <c r="E2882" s="777" t="s">
        <v>14049</v>
      </c>
      <c r="F2882" s="451">
        <v>32088</v>
      </c>
      <c r="G2882" s="386">
        <v>45074</v>
      </c>
      <c r="H2882" s="386">
        <v>45074</v>
      </c>
      <c r="L2882">
        <v>6206761096</v>
      </c>
    </row>
    <row r="2883" spans="1:12" ht="15" customHeight="1">
      <c r="A2883" s="5" t="s">
        <v>0</v>
      </c>
      <c r="B2883" s="5" t="str">
        <f t="shared" si="38"/>
        <v>Y</v>
      </c>
      <c r="C2883" s="787" t="s">
        <v>14050</v>
      </c>
      <c r="D2883" s="787"/>
      <c r="E2883" s="776" t="s">
        <v>14047</v>
      </c>
      <c r="F2883" s="451">
        <v>28965</v>
      </c>
      <c r="G2883" s="386">
        <v>45075</v>
      </c>
      <c r="H2883" s="386">
        <v>45075</v>
      </c>
      <c r="L2883">
        <v>8825145586</v>
      </c>
    </row>
    <row r="2884" spans="1:12" ht="15" customHeight="1">
      <c r="A2884" s="5" t="s">
        <v>0</v>
      </c>
      <c r="B2884" s="5" t="str">
        <f t="shared" si="38"/>
        <v>Y</v>
      </c>
      <c r="C2884" s="787" t="s">
        <v>14051</v>
      </c>
      <c r="D2884" s="787"/>
      <c r="E2884" s="778" t="s">
        <v>14052</v>
      </c>
      <c r="F2884" s="451">
        <v>27708</v>
      </c>
      <c r="G2884" s="386">
        <v>45075</v>
      </c>
      <c r="H2884" s="386">
        <v>45075</v>
      </c>
      <c r="L2884">
        <v>9122730822</v>
      </c>
    </row>
    <row r="2885" spans="1:12" ht="15" customHeight="1">
      <c r="A2885" s="5" t="s">
        <v>0</v>
      </c>
      <c r="B2885" s="5" t="str">
        <f t="shared" si="38"/>
        <v>Y</v>
      </c>
      <c r="C2885" s="778" t="s">
        <v>14053</v>
      </c>
      <c r="D2885" s="778"/>
      <c r="E2885" s="778" t="s">
        <v>14054</v>
      </c>
      <c r="F2885" s="451">
        <v>38454</v>
      </c>
      <c r="G2885" s="386">
        <v>45075</v>
      </c>
      <c r="H2885" s="386">
        <v>45075</v>
      </c>
      <c r="L2885">
        <v>7004420764</v>
      </c>
    </row>
    <row r="2886" spans="1:12" ht="15" customHeight="1">
      <c r="A2886" s="5" t="s">
        <v>0</v>
      </c>
      <c r="B2886" s="5" t="str">
        <f t="shared" ref="B2886" si="39">IF(H2886="","N","Y")</f>
        <v>N</v>
      </c>
      <c r="C2886" s="787" t="s">
        <v>14089</v>
      </c>
      <c r="D2886" s="787"/>
      <c r="E2886" s="788" t="s">
        <v>10741</v>
      </c>
      <c r="F2886" s="451"/>
      <c r="G2886" s="386"/>
      <c r="H2886" s="386"/>
    </row>
    <row r="2887" spans="1:12" ht="15" customHeight="1">
      <c r="A2887" s="5" t="s">
        <v>0</v>
      </c>
      <c r="B2887" s="5" t="str">
        <f t="shared" si="38"/>
        <v>Y</v>
      </c>
      <c r="C2887" s="780" t="s">
        <v>14055</v>
      </c>
      <c r="D2887" s="780"/>
      <c r="E2887" s="780" t="s">
        <v>14056</v>
      </c>
      <c r="F2887" s="451">
        <v>25513</v>
      </c>
      <c r="G2887" s="386">
        <v>45076</v>
      </c>
      <c r="H2887" s="386">
        <v>45076</v>
      </c>
      <c r="L2887">
        <v>9279280641</v>
      </c>
    </row>
    <row r="2888" spans="1:12" ht="15" customHeight="1">
      <c r="A2888" s="5" t="s">
        <v>0</v>
      </c>
      <c r="B2888" s="5" t="str">
        <f t="shared" si="38"/>
        <v>Y</v>
      </c>
      <c r="C2888" s="781" t="s">
        <v>14058</v>
      </c>
      <c r="D2888" s="781"/>
      <c r="E2888" s="781" t="s">
        <v>14059</v>
      </c>
      <c r="F2888" s="451">
        <v>38619</v>
      </c>
      <c r="G2888" s="386">
        <v>45077</v>
      </c>
      <c r="H2888" s="386">
        <v>45077</v>
      </c>
      <c r="L2888">
        <v>9523994179</v>
      </c>
    </row>
    <row r="2889" spans="1:12" ht="15" customHeight="1">
      <c r="A2889" s="5" t="s">
        <v>0</v>
      </c>
      <c r="B2889" s="5" t="str">
        <f t="shared" si="38"/>
        <v>Y</v>
      </c>
      <c r="C2889" s="782" t="s">
        <v>14067</v>
      </c>
      <c r="D2889" s="782"/>
      <c r="E2889" s="782" t="s">
        <v>14068</v>
      </c>
      <c r="F2889" s="451">
        <v>29992</v>
      </c>
      <c r="G2889" s="386">
        <v>45078</v>
      </c>
      <c r="H2889" s="386">
        <v>45078</v>
      </c>
      <c r="L2889">
        <v>9097492994</v>
      </c>
    </row>
    <row r="2890" spans="1:12" ht="15" customHeight="1">
      <c r="A2890" s="5" t="s">
        <v>0</v>
      </c>
      <c r="B2890" s="5" t="str">
        <f t="shared" si="38"/>
        <v>Y</v>
      </c>
      <c r="C2890" s="782" t="s">
        <v>14070</v>
      </c>
      <c r="D2890" s="782"/>
      <c r="E2890" s="782" t="s">
        <v>14071</v>
      </c>
      <c r="F2890" s="451">
        <v>29992</v>
      </c>
      <c r="G2890" s="386">
        <v>45078</v>
      </c>
      <c r="H2890" s="386">
        <v>45078</v>
      </c>
      <c r="L2890">
        <v>6204746424</v>
      </c>
    </row>
    <row r="2891" spans="1:12" ht="15" customHeight="1">
      <c r="A2891" s="5" t="s">
        <v>0</v>
      </c>
      <c r="B2891" s="5" t="str">
        <f t="shared" si="38"/>
        <v>Y</v>
      </c>
      <c r="C2891" s="783" t="s">
        <v>14072</v>
      </c>
      <c r="D2891" s="783"/>
      <c r="E2891" s="783" t="s">
        <v>14073</v>
      </c>
      <c r="F2891" s="451">
        <v>34285</v>
      </c>
      <c r="G2891" s="386">
        <v>45078</v>
      </c>
      <c r="H2891" s="386">
        <v>45078</v>
      </c>
      <c r="L2891">
        <v>9508618711</v>
      </c>
    </row>
    <row r="2892" spans="1:12" ht="15" customHeight="1">
      <c r="A2892" s="5" t="s">
        <v>0</v>
      </c>
      <c r="B2892" s="5" t="str">
        <f t="shared" si="38"/>
        <v>Y</v>
      </c>
      <c r="C2892" s="784" t="s">
        <v>14077</v>
      </c>
      <c r="D2892" s="784"/>
      <c r="E2892" s="784" t="s">
        <v>14078</v>
      </c>
      <c r="F2892" s="451">
        <v>29028</v>
      </c>
      <c r="G2892" s="386">
        <v>45079</v>
      </c>
      <c r="H2892" s="386">
        <v>45080</v>
      </c>
      <c r="L2892">
        <v>9430305668</v>
      </c>
    </row>
    <row r="2893" spans="1:12" ht="15" customHeight="1">
      <c r="A2893" s="5" t="s">
        <v>0</v>
      </c>
      <c r="B2893" s="5" t="str">
        <f t="shared" si="38"/>
        <v>Y</v>
      </c>
      <c r="C2893" s="784" t="s">
        <v>14079</v>
      </c>
      <c r="D2893" s="784"/>
      <c r="E2893" s="784" t="s">
        <v>14080</v>
      </c>
      <c r="F2893" s="451">
        <v>19372</v>
      </c>
      <c r="G2893" s="386">
        <v>45079</v>
      </c>
      <c r="H2893" s="386">
        <v>45080</v>
      </c>
      <c r="L2893">
        <v>9472784570</v>
      </c>
    </row>
    <row r="2894" spans="1:12" ht="15" customHeight="1">
      <c r="A2894" s="5" t="s">
        <v>0</v>
      </c>
      <c r="B2894" s="5" t="str">
        <f t="shared" si="38"/>
        <v>Y</v>
      </c>
      <c r="C2894" s="784" t="s">
        <v>14081</v>
      </c>
      <c r="D2894" s="784"/>
      <c r="E2894" s="784" t="s">
        <v>14082</v>
      </c>
      <c r="F2894" s="451">
        <v>31622</v>
      </c>
      <c r="G2894" s="386">
        <v>45080</v>
      </c>
      <c r="H2894" s="386">
        <v>45080</v>
      </c>
      <c r="L2894">
        <v>9304017251</v>
      </c>
    </row>
    <row r="2895" spans="1:12" ht="15" customHeight="1">
      <c r="A2895" s="5" t="s">
        <v>0</v>
      </c>
      <c r="B2895" s="5" t="str">
        <f t="shared" si="38"/>
        <v>Y</v>
      </c>
      <c r="C2895" s="785" t="s">
        <v>14086</v>
      </c>
      <c r="D2895" s="785"/>
      <c r="E2895" s="785" t="s">
        <v>14087</v>
      </c>
      <c r="F2895" s="451">
        <v>27256</v>
      </c>
      <c r="G2895" s="386">
        <v>45081</v>
      </c>
      <c r="H2895" s="386">
        <v>45081</v>
      </c>
      <c r="L2895">
        <v>9234259682</v>
      </c>
    </row>
    <row r="2896" spans="1:12" ht="15" customHeight="1">
      <c r="A2896" s="5" t="s">
        <v>0</v>
      </c>
      <c r="B2896" s="5" t="str">
        <f t="shared" si="38"/>
        <v>Y</v>
      </c>
      <c r="C2896" s="790" t="s">
        <v>14091</v>
      </c>
      <c r="D2896" s="790"/>
      <c r="E2896" s="790" t="s">
        <v>7019</v>
      </c>
      <c r="F2896" s="451">
        <v>25933</v>
      </c>
      <c r="G2896" s="386">
        <v>45083</v>
      </c>
      <c r="H2896" s="386">
        <v>45083</v>
      </c>
      <c r="L2896">
        <v>9570121221</v>
      </c>
    </row>
    <row r="2897" spans="1:13" ht="15" customHeight="1">
      <c r="A2897" s="5" t="s">
        <v>0</v>
      </c>
      <c r="B2897" s="5" t="str">
        <f t="shared" si="38"/>
        <v>Y</v>
      </c>
      <c r="C2897" s="791" t="s">
        <v>14092</v>
      </c>
      <c r="D2897" s="791"/>
      <c r="E2897" s="791" t="s">
        <v>14093</v>
      </c>
      <c r="F2897" s="451">
        <v>38109</v>
      </c>
      <c r="G2897" s="386">
        <v>45084</v>
      </c>
      <c r="H2897" s="386">
        <v>45084</v>
      </c>
      <c r="L2897">
        <v>9263149738</v>
      </c>
    </row>
    <row r="2898" spans="1:13" ht="15" customHeight="1">
      <c r="A2898" s="5" t="s">
        <v>0</v>
      </c>
      <c r="B2898" s="5" t="str">
        <f t="shared" si="38"/>
        <v>Y</v>
      </c>
      <c r="C2898" s="791" t="s">
        <v>14096</v>
      </c>
      <c r="D2898" s="791"/>
      <c r="E2898" s="791" t="s">
        <v>14094</v>
      </c>
      <c r="F2898" s="451">
        <v>37901</v>
      </c>
      <c r="G2898" s="386">
        <v>45084</v>
      </c>
      <c r="H2898" s="386">
        <v>45084</v>
      </c>
      <c r="L2898">
        <v>9304480185</v>
      </c>
    </row>
    <row r="2899" spans="1:13" ht="15" customHeight="1">
      <c r="A2899" s="5" t="s">
        <v>0</v>
      </c>
      <c r="B2899" s="5" t="str">
        <f t="shared" si="38"/>
        <v>Y</v>
      </c>
      <c r="C2899" t="s">
        <v>14098</v>
      </c>
      <c r="E2899" s="791" t="s">
        <v>14095</v>
      </c>
      <c r="F2899" s="451">
        <v>24838</v>
      </c>
      <c r="G2899" s="386">
        <v>45084</v>
      </c>
      <c r="H2899" s="386">
        <v>45084</v>
      </c>
      <c r="L2899">
        <v>6200811791</v>
      </c>
    </row>
    <row r="2900" spans="1:13" ht="15" customHeight="1">
      <c r="A2900" s="5" t="s">
        <v>0</v>
      </c>
      <c r="B2900" s="5" t="str">
        <f t="shared" si="38"/>
        <v>Y</v>
      </c>
      <c r="C2900" t="s">
        <v>14099</v>
      </c>
      <c r="E2900" s="791" t="s">
        <v>14097</v>
      </c>
      <c r="F2900" s="451">
        <v>33187</v>
      </c>
      <c r="G2900" s="386">
        <v>45085</v>
      </c>
      <c r="H2900" s="386">
        <v>45085</v>
      </c>
      <c r="L2900">
        <v>8210705724</v>
      </c>
    </row>
    <row r="2901" spans="1:13" ht="15" customHeight="1">
      <c r="A2901" s="5" t="s">
        <v>0</v>
      </c>
      <c r="B2901" s="5" t="str">
        <f t="shared" si="38"/>
        <v>Y</v>
      </c>
      <c r="C2901" t="s">
        <v>14103</v>
      </c>
      <c r="E2901" s="792" t="s">
        <v>14102</v>
      </c>
      <c r="F2901" s="451">
        <v>24146</v>
      </c>
      <c r="G2901" s="386">
        <v>45085</v>
      </c>
      <c r="H2901" s="386">
        <v>45085</v>
      </c>
      <c r="L2901">
        <v>9608576427</v>
      </c>
    </row>
    <row r="2902" spans="1:13" ht="15" customHeight="1">
      <c r="A2902" s="5" t="s">
        <v>0</v>
      </c>
      <c r="B2902" s="5" t="str">
        <f t="shared" si="38"/>
        <v>Y</v>
      </c>
      <c r="C2902" t="s">
        <v>14104</v>
      </c>
      <c r="E2902" s="793" t="s">
        <v>10330</v>
      </c>
      <c r="F2902" s="451">
        <v>38493</v>
      </c>
      <c r="G2902" s="386">
        <v>45085</v>
      </c>
      <c r="H2902" s="386">
        <v>45085</v>
      </c>
      <c r="L2902">
        <v>8434040389</v>
      </c>
    </row>
    <row r="2903" spans="1:13" ht="15" customHeight="1">
      <c r="A2903" s="5" t="s">
        <v>0</v>
      </c>
      <c r="B2903" s="5" t="str">
        <f t="shared" si="38"/>
        <v>Y</v>
      </c>
      <c r="C2903" t="s">
        <v>14106</v>
      </c>
      <c r="E2903" s="794" t="s">
        <v>14107</v>
      </c>
      <c r="F2903" s="451">
        <v>37346</v>
      </c>
      <c r="G2903" s="386">
        <v>45085</v>
      </c>
      <c r="H2903" s="386">
        <v>45085</v>
      </c>
      <c r="L2903">
        <v>8340727892</v>
      </c>
    </row>
    <row r="2904" spans="1:13" ht="15" customHeight="1">
      <c r="A2904" s="5" t="s">
        <v>0</v>
      </c>
      <c r="B2904" s="5" t="str">
        <f t="shared" si="38"/>
        <v>Y</v>
      </c>
      <c r="C2904" t="s">
        <v>14111</v>
      </c>
      <c r="E2904" s="795" t="s">
        <v>14112</v>
      </c>
      <c r="F2904" s="451">
        <v>26364</v>
      </c>
      <c r="G2904" s="386">
        <v>45086</v>
      </c>
      <c r="H2904" s="386">
        <v>45087</v>
      </c>
      <c r="L2904">
        <v>9031961008</v>
      </c>
    </row>
    <row r="2905" spans="1:13" ht="15" customHeight="1">
      <c r="A2905" s="5" t="s">
        <v>0</v>
      </c>
      <c r="B2905" s="5" t="str">
        <f t="shared" si="38"/>
        <v>Y</v>
      </c>
      <c r="C2905" t="s">
        <v>14115</v>
      </c>
      <c r="E2905" s="796" t="s">
        <v>14114</v>
      </c>
      <c r="F2905" s="451">
        <v>23735</v>
      </c>
      <c r="G2905" s="386">
        <v>45087</v>
      </c>
      <c r="H2905" s="386">
        <v>44995</v>
      </c>
      <c r="L2905">
        <v>9234413453</v>
      </c>
    </row>
    <row r="2906" spans="1:13" ht="15" customHeight="1">
      <c r="A2906" s="5" t="s">
        <v>0</v>
      </c>
      <c r="B2906" s="5" t="str">
        <f t="shared" si="38"/>
        <v>Y</v>
      </c>
      <c r="C2906" t="s">
        <v>14117</v>
      </c>
      <c r="E2906" s="796" t="s">
        <v>14116</v>
      </c>
      <c r="F2906" s="451">
        <v>21916</v>
      </c>
      <c r="G2906" s="386">
        <v>45087</v>
      </c>
      <c r="H2906" s="386">
        <v>44995</v>
      </c>
      <c r="K2906" s="492" t="s">
        <v>14118</v>
      </c>
      <c r="L2906">
        <v>9266610763</v>
      </c>
    </row>
    <row r="2907" spans="1:13" ht="15" customHeight="1">
      <c r="A2907" s="5" t="s">
        <v>0</v>
      </c>
      <c r="B2907" s="5" t="str">
        <f t="shared" si="38"/>
        <v>Y</v>
      </c>
      <c r="C2907" t="s">
        <v>14130</v>
      </c>
      <c r="E2907" s="799" t="s">
        <v>14131</v>
      </c>
      <c r="F2907" s="451">
        <v>38405</v>
      </c>
      <c r="G2907" s="386">
        <v>45089</v>
      </c>
      <c r="H2907" s="386">
        <v>45089</v>
      </c>
      <c r="L2907">
        <v>9102660083</v>
      </c>
    </row>
    <row r="2908" spans="1:13" ht="15" customHeight="1">
      <c r="A2908" s="5" t="s">
        <v>0</v>
      </c>
      <c r="B2908" s="5" t="str">
        <f t="shared" si="38"/>
        <v>Y</v>
      </c>
      <c r="C2908" t="s">
        <v>14132</v>
      </c>
      <c r="E2908" s="799" t="s">
        <v>14133</v>
      </c>
      <c r="F2908" s="451">
        <v>37354</v>
      </c>
      <c r="G2908" s="386">
        <v>45089</v>
      </c>
      <c r="H2908" s="386">
        <v>45089</v>
      </c>
      <c r="L2908">
        <v>7667117711</v>
      </c>
    </row>
    <row r="2909" spans="1:13" ht="15" customHeight="1">
      <c r="A2909" s="5" t="s">
        <v>0</v>
      </c>
      <c r="B2909" s="5" t="str">
        <f t="shared" si="38"/>
        <v>Y</v>
      </c>
      <c r="C2909" t="s">
        <v>14134</v>
      </c>
      <c r="E2909" s="799" t="s">
        <v>4106</v>
      </c>
      <c r="F2909" s="451">
        <v>23713</v>
      </c>
      <c r="G2909" s="386">
        <v>45089</v>
      </c>
      <c r="H2909" s="386">
        <v>45089</v>
      </c>
      <c r="L2909">
        <v>9279252812</v>
      </c>
    </row>
    <row r="2910" spans="1:13" ht="15" customHeight="1">
      <c r="A2910" s="5" t="s">
        <v>0</v>
      </c>
      <c r="B2910" s="5" t="str">
        <f t="shared" si="38"/>
        <v>Y</v>
      </c>
      <c r="C2910" t="s">
        <v>14136</v>
      </c>
      <c r="E2910" s="799" t="s">
        <v>14137</v>
      </c>
      <c r="F2910" s="451">
        <v>38442</v>
      </c>
      <c r="G2910" s="386">
        <v>45089</v>
      </c>
      <c r="H2910" s="386">
        <v>45089</v>
      </c>
      <c r="L2910">
        <v>9546276597</v>
      </c>
      <c r="M2910" t="s">
        <v>14138</v>
      </c>
    </row>
    <row r="2911" spans="1:13" ht="15" customHeight="1">
      <c r="A2911" s="5" t="s">
        <v>0</v>
      </c>
      <c r="B2911" s="5" t="str">
        <f t="shared" si="38"/>
        <v>Y</v>
      </c>
      <c r="C2911" t="s">
        <v>14139</v>
      </c>
      <c r="E2911" s="799" t="s">
        <v>14140</v>
      </c>
      <c r="F2911" s="451">
        <v>22647</v>
      </c>
      <c r="G2911" s="386">
        <v>45089</v>
      </c>
      <c r="H2911" s="386">
        <v>45089</v>
      </c>
      <c r="L2911">
        <v>7979056651</v>
      </c>
    </row>
    <row r="2912" spans="1:13" ht="15" customHeight="1">
      <c r="A2912" s="5" t="s">
        <v>0</v>
      </c>
      <c r="B2912" s="5" t="str">
        <f t="shared" si="38"/>
        <v>Y</v>
      </c>
      <c r="C2912" t="s">
        <v>14148</v>
      </c>
      <c r="E2912" t="s">
        <v>14135</v>
      </c>
      <c r="F2912" s="451">
        <v>37277</v>
      </c>
      <c r="G2912" s="386">
        <v>45090</v>
      </c>
      <c r="H2912" s="386">
        <v>44998</v>
      </c>
      <c r="L2912">
        <v>9031249805</v>
      </c>
    </row>
    <row r="2913" spans="1:12" ht="15" customHeight="1">
      <c r="A2913" s="5" t="s">
        <v>0</v>
      </c>
      <c r="B2913" s="5" t="str">
        <f t="shared" si="38"/>
        <v>Y</v>
      </c>
      <c r="C2913" t="s">
        <v>14156</v>
      </c>
      <c r="E2913" t="s">
        <v>14157</v>
      </c>
      <c r="F2913" s="451">
        <v>37332</v>
      </c>
      <c r="G2913" s="386">
        <v>37786</v>
      </c>
      <c r="H2913" s="386">
        <v>45091</v>
      </c>
      <c r="L2913">
        <v>9065106520</v>
      </c>
    </row>
    <row r="2914" spans="1:12" ht="15" customHeight="1">
      <c r="A2914" s="5" t="s">
        <v>0</v>
      </c>
      <c r="B2914" s="5" t="str">
        <f t="shared" si="38"/>
        <v>Y</v>
      </c>
      <c r="C2914" t="s">
        <v>14158</v>
      </c>
      <c r="E2914" t="s">
        <v>14159</v>
      </c>
      <c r="F2914" s="451">
        <v>27821</v>
      </c>
      <c r="G2914" s="386">
        <v>37786</v>
      </c>
      <c r="H2914" s="386">
        <v>45091</v>
      </c>
      <c r="L2914">
        <v>9934766601</v>
      </c>
    </row>
    <row r="2915" spans="1:12" ht="15" customHeight="1">
      <c r="A2915" s="5" t="s">
        <v>0</v>
      </c>
      <c r="B2915" s="5" t="str">
        <f t="shared" si="38"/>
        <v>Y</v>
      </c>
      <c r="C2915" t="s">
        <v>14161</v>
      </c>
      <c r="E2915" t="s">
        <v>14162</v>
      </c>
      <c r="F2915" s="451">
        <v>31290</v>
      </c>
      <c r="G2915" s="386">
        <v>45092</v>
      </c>
      <c r="H2915" s="386">
        <v>45092</v>
      </c>
      <c r="L2915">
        <v>8235430124</v>
      </c>
    </row>
    <row r="2916" spans="1:12" ht="15" customHeight="1">
      <c r="A2916" s="5" t="s">
        <v>0</v>
      </c>
      <c r="B2916" s="5" t="str">
        <f t="shared" si="38"/>
        <v>Y</v>
      </c>
      <c r="C2916" t="s">
        <v>14173</v>
      </c>
      <c r="E2916" t="s">
        <v>5636</v>
      </c>
      <c r="F2916" s="451">
        <v>24956</v>
      </c>
      <c r="G2916" s="386">
        <v>45096</v>
      </c>
      <c r="H2916" s="386">
        <v>45096</v>
      </c>
      <c r="L2916">
        <v>8603862702</v>
      </c>
    </row>
    <row r="2917" spans="1:12" ht="15" customHeight="1">
      <c r="A2917" s="5" t="s">
        <v>0</v>
      </c>
      <c r="B2917" s="5" t="str">
        <f t="shared" si="38"/>
        <v>Y</v>
      </c>
      <c r="C2917" t="s">
        <v>14175</v>
      </c>
      <c r="E2917" t="s">
        <v>14174</v>
      </c>
      <c r="F2917" s="451">
        <v>20821</v>
      </c>
      <c r="G2917" s="386">
        <v>45096</v>
      </c>
      <c r="H2917" s="386">
        <v>45096</v>
      </c>
      <c r="L2917">
        <v>9523933822</v>
      </c>
    </row>
    <row r="2918" spans="1:12" ht="15" customHeight="1">
      <c r="A2918" s="5" t="s">
        <v>0</v>
      </c>
      <c r="B2918" s="5" t="str">
        <f t="shared" si="38"/>
        <v>Y</v>
      </c>
      <c r="C2918" t="s">
        <v>14187</v>
      </c>
      <c r="E2918" t="s">
        <v>14188</v>
      </c>
      <c r="F2918" s="451">
        <v>23194</v>
      </c>
      <c r="G2918" s="386">
        <v>45098</v>
      </c>
      <c r="H2918" s="386">
        <v>45098</v>
      </c>
      <c r="L2918">
        <v>8797146653</v>
      </c>
    </row>
    <row r="2919" spans="1:12" ht="15" customHeight="1">
      <c r="A2919" s="5" t="s">
        <v>0</v>
      </c>
      <c r="B2919" s="5" t="str">
        <f t="shared" si="38"/>
        <v>Y</v>
      </c>
      <c r="C2919" s="802" t="s">
        <v>14189</v>
      </c>
      <c r="E2919" s="802" t="s">
        <v>14190</v>
      </c>
      <c r="F2919" s="451">
        <v>31418</v>
      </c>
      <c r="G2919" s="386">
        <v>45099</v>
      </c>
      <c r="H2919" s="386">
        <v>45099</v>
      </c>
      <c r="L2919">
        <v>9142868117</v>
      </c>
    </row>
    <row r="2920" spans="1:12" ht="15" customHeight="1">
      <c r="A2920" s="5" t="s">
        <v>0</v>
      </c>
      <c r="B2920" s="5" t="str">
        <f t="shared" ref="B2920:B2923" si="40">IF(H2920="","N","Y")</f>
        <v>Y</v>
      </c>
      <c r="C2920" s="803" t="s">
        <v>14198</v>
      </c>
      <c r="E2920" s="803" t="s">
        <v>14199</v>
      </c>
      <c r="F2920" s="451">
        <v>23150</v>
      </c>
      <c r="G2920" s="386">
        <v>45100</v>
      </c>
      <c r="H2920" s="386">
        <v>45100</v>
      </c>
      <c r="L2920">
        <v>7004508950</v>
      </c>
    </row>
    <row r="2921" spans="1:12" ht="15" customHeight="1">
      <c r="A2921" s="5" t="s">
        <v>0</v>
      </c>
      <c r="B2921" s="5" t="str">
        <f t="shared" si="40"/>
        <v>Y</v>
      </c>
      <c r="C2921" s="463" t="s">
        <v>14200</v>
      </c>
      <c r="D2921" s="463"/>
      <c r="E2921" s="463" t="s">
        <v>14201</v>
      </c>
      <c r="F2921" s="659">
        <v>25461</v>
      </c>
      <c r="G2921" s="499">
        <v>45100</v>
      </c>
      <c r="H2921" s="499">
        <v>45100</v>
      </c>
      <c r="I2921" s="463"/>
      <c r="J2921" s="463"/>
      <c r="K2921" s="463"/>
      <c r="L2921" s="463">
        <v>8292574194</v>
      </c>
    </row>
    <row r="2922" spans="1:12" ht="15" customHeight="1">
      <c r="A2922" s="5" t="s">
        <v>0</v>
      </c>
      <c r="B2922" s="5" t="str">
        <f t="shared" si="40"/>
        <v>Y</v>
      </c>
      <c r="C2922" s="803" t="s">
        <v>14202</v>
      </c>
      <c r="E2922" s="803" t="s">
        <v>14203</v>
      </c>
      <c r="F2922" s="451">
        <v>30769</v>
      </c>
      <c r="G2922" s="386">
        <v>45100</v>
      </c>
      <c r="H2922" s="386">
        <v>45100</v>
      </c>
      <c r="L2922">
        <v>9661504877</v>
      </c>
    </row>
    <row r="2923" spans="1:12" ht="15" customHeight="1">
      <c r="A2923" s="5" t="s">
        <v>0</v>
      </c>
      <c r="B2923" s="5" t="str">
        <f t="shared" si="40"/>
        <v>Y</v>
      </c>
      <c r="C2923" s="463" t="s">
        <v>14204</v>
      </c>
      <c r="D2923" s="463"/>
      <c r="E2923" s="463" t="s">
        <v>14205</v>
      </c>
      <c r="F2923" s="659">
        <v>25569</v>
      </c>
      <c r="G2923" s="499">
        <v>45100</v>
      </c>
      <c r="H2923" s="499">
        <v>45100</v>
      </c>
      <c r="I2923" s="809" t="s">
        <v>14277</v>
      </c>
      <c r="L2923">
        <v>9931335903</v>
      </c>
    </row>
    <row r="2924" spans="1:12" ht="15" customHeight="1">
      <c r="A2924" s="5" t="s">
        <v>0</v>
      </c>
      <c r="B2924" s="5" t="str">
        <f t="shared" ref="B2924:B2932" si="41">IF(H2924="","N","Y")</f>
        <v>Y</v>
      </c>
      <c r="C2924" s="803" t="s">
        <v>14206</v>
      </c>
      <c r="E2924" s="803" t="s">
        <v>14207</v>
      </c>
      <c r="F2924" s="451">
        <v>19872</v>
      </c>
      <c r="G2924" s="386">
        <v>45100</v>
      </c>
      <c r="H2924" s="386">
        <v>45100</v>
      </c>
      <c r="L2924">
        <v>8084025896</v>
      </c>
    </row>
    <row r="2925" spans="1:12" ht="15" customHeight="1">
      <c r="A2925" s="5" t="s">
        <v>0</v>
      </c>
      <c r="B2925" s="5" t="str">
        <f t="shared" si="41"/>
        <v>Y</v>
      </c>
      <c r="C2925" s="804" t="s">
        <v>14211</v>
      </c>
      <c r="E2925" s="804" t="s">
        <v>14212</v>
      </c>
      <c r="F2925" s="451">
        <v>28504</v>
      </c>
      <c r="G2925" s="386">
        <v>45100</v>
      </c>
      <c r="H2925" s="386">
        <v>45100</v>
      </c>
      <c r="L2925">
        <v>9263162318</v>
      </c>
    </row>
    <row r="2926" spans="1:12" ht="15" customHeight="1">
      <c r="A2926" s="5" t="s">
        <v>0</v>
      </c>
      <c r="B2926" s="5" t="str">
        <f t="shared" si="41"/>
        <v>Y</v>
      </c>
      <c r="C2926" s="805" t="s">
        <v>14215</v>
      </c>
      <c r="E2926" s="805" t="s">
        <v>14216</v>
      </c>
      <c r="F2926" s="451">
        <v>32545</v>
      </c>
      <c r="G2926" s="386">
        <v>45101</v>
      </c>
      <c r="H2926" s="386">
        <v>45101</v>
      </c>
      <c r="L2926">
        <v>9304570313</v>
      </c>
    </row>
    <row r="2927" spans="1:12" ht="15" customHeight="1">
      <c r="A2927" s="5" t="s">
        <v>0</v>
      </c>
      <c r="B2927" s="5" t="str">
        <f t="shared" si="41"/>
        <v>Y</v>
      </c>
      <c r="C2927" s="81" t="s">
        <v>14213</v>
      </c>
      <c r="E2927" s="805" t="s">
        <v>13039</v>
      </c>
      <c r="F2927" s="451">
        <v>25034</v>
      </c>
      <c r="G2927" s="386">
        <v>45101</v>
      </c>
      <c r="H2927" s="386">
        <v>45101</v>
      </c>
      <c r="K2927" s="492" t="s">
        <v>14118</v>
      </c>
      <c r="L2927">
        <v>8581099244</v>
      </c>
    </row>
    <row r="2928" spans="1:12" ht="15" customHeight="1">
      <c r="A2928" s="5" t="s">
        <v>0</v>
      </c>
      <c r="B2928" s="5" t="str">
        <f t="shared" si="41"/>
        <v>Y</v>
      </c>
      <c r="C2928" t="s">
        <v>14217</v>
      </c>
      <c r="E2928" t="s">
        <v>14218</v>
      </c>
      <c r="F2928" s="451">
        <v>29622</v>
      </c>
      <c r="G2928" s="451">
        <v>45101</v>
      </c>
      <c r="H2928" s="386">
        <v>45101</v>
      </c>
      <c r="L2928">
        <v>7870122245</v>
      </c>
    </row>
    <row r="2929" spans="1:12" ht="15" customHeight="1">
      <c r="A2929" s="5" t="s">
        <v>0</v>
      </c>
      <c r="B2929" s="5" t="str">
        <f t="shared" si="41"/>
        <v>Y</v>
      </c>
      <c r="C2929" t="s">
        <v>14219</v>
      </c>
      <c r="E2929" t="s">
        <v>766</v>
      </c>
      <c r="F2929" s="451">
        <v>37318</v>
      </c>
      <c r="G2929" s="386">
        <v>45101</v>
      </c>
      <c r="H2929" s="386">
        <v>45101</v>
      </c>
      <c r="L2929">
        <v>9122730822</v>
      </c>
    </row>
    <row r="2930" spans="1:12" ht="15" customHeight="1">
      <c r="A2930" s="5" t="s">
        <v>0</v>
      </c>
      <c r="B2930" s="5" t="str">
        <f t="shared" si="41"/>
        <v>Y</v>
      </c>
      <c r="C2930" t="s">
        <v>14220</v>
      </c>
      <c r="E2930" t="s">
        <v>14221</v>
      </c>
      <c r="F2930" s="451">
        <v>23867</v>
      </c>
      <c r="G2930" s="386">
        <v>45101</v>
      </c>
      <c r="H2930" s="386">
        <v>45101</v>
      </c>
      <c r="L2930">
        <v>9204704899</v>
      </c>
    </row>
    <row r="2931" spans="1:12" ht="15" customHeight="1">
      <c r="A2931" s="5" t="s">
        <v>0</v>
      </c>
      <c r="B2931" s="5" t="str">
        <f t="shared" si="41"/>
        <v>Y</v>
      </c>
      <c r="C2931" t="s">
        <v>14214</v>
      </c>
      <c r="E2931" t="s">
        <v>14222</v>
      </c>
      <c r="F2931" s="451">
        <v>38429</v>
      </c>
      <c r="G2931" s="386">
        <v>45101</v>
      </c>
      <c r="H2931" s="386">
        <v>45101</v>
      </c>
      <c r="L2931">
        <v>9693418411</v>
      </c>
    </row>
    <row r="2932" spans="1:12" ht="15" customHeight="1">
      <c r="A2932" s="5" t="s">
        <v>0</v>
      </c>
      <c r="B2932" s="5" t="str">
        <f t="shared" si="41"/>
        <v>Y</v>
      </c>
      <c r="C2932" t="s">
        <v>14223</v>
      </c>
      <c r="E2932" t="s">
        <v>14224</v>
      </c>
      <c r="F2932" s="451">
        <v>21915</v>
      </c>
      <c r="G2932" s="386">
        <v>45102</v>
      </c>
      <c r="H2932" s="386">
        <v>45102</v>
      </c>
      <c r="L2932">
        <v>7761055334</v>
      </c>
    </row>
    <row r="2933" spans="1:12" ht="15" customHeight="1">
      <c r="A2933" s="5" t="s">
        <v>0</v>
      </c>
      <c r="B2933" s="5" t="str">
        <f t="shared" ref="B2933" si="42">IF(H2933="","N","Y")</f>
        <v>Y</v>
      </c>
      <c r="C2933" t="s">
        <v>14228</v>
      </c>
      <c r="E2933" t="s">
        <v>14229</v>
      </c>
      <c r="F2933" s="451">
        <v>28171</v>
      </c>
      <c r="G2933" s="386">
        <v>45102</v>
      </c>
      <c r="H2933" s="386">
        <v>45102</v>
      </c>
      <c r="L2933">
        <v>8092701481</v>
      </c>
    </row>
    <row r="2934" spans="1:12" ht="15" customHeight="1">
      <c r="A2934" s="5" t="s">
        <v>0</v>
      </c>
      <c r="B2934" s="5" t="str">
        <f t="shared" ref="B2934:B2962" si="43">IF(H2934="","N","Y")</f>
        <v>Y</v>
      </c>
      <c r="C2934" t="s">
        <v>14230</v>
      </c>
      <c r="E2934" t="s">
        <v>14231</v>
      </c>
      <c r="F2934" s="451">
        <v>38439</v>
      </c>
      <c r="G2934" s="386">
        <v>45104</v>
      </c>
      <c r="H2934" s="386">
        <v>45104</v>
      </c>
      <c r="K2934" s="492" t="s">
        <v>14118</v>
      </c>
      <c r="L2934">
        <v>9934921032</v>
      </c>
    </row>
    <row r="2935" spans="1:12" ht="15" customHeight="1">
      <c r="A2935" s="5" t="s">
        <v>0</v>
      </c>
      <c r="B2935" s="5" t="str">
        <f t="shared" si="43"/>
        <v>Y</v>
      </c>
      <c r="C2935" t="s">
        <v>14239</v>
      </c>
      <c r="E2935" t="s">
        <v>14240</v>
      </c>
      <c r="F2935" s="451">
        <v>20271</v>
      </c>
      <c r="G2935" s="386">
        <v>45104</v>
      </c>
      <c r="H2935" s="386">
        <v>45104</v>
      </c>
      <c r="L2935">
        <v>9570166368</v>
      </c>
    </row>
    <row r="2936" spans="1:12" ht="15" customHeight="1">
      <c r="A2936" s="5" t="s">
        <v>0</v>
      </c>
      <c r="B2936" s="5" t="str">
        <f t="shared" si="43"/>
        <v>Y</v>
      </c>
      <c r="C2936" t="s">
        <v>14241</v>
      </c>
      <c r="E2936" t="s">
        <v>14242</v>
      </c>
      <c r="F2936" s="451">
        <v>22982</v>
      </c>
      <c r="G2936" s="386">
        <v>45106</v>
      </c>
      <c r="H2936" s="386">
        <v>45106</v>
      </c>
      <c r="L2936">
        <v>8521895601</v>
      </c>
    </row>
    <row r="2937" spans="1:12" ht="15" customHeight="1">
      <c r="A2937" s="5" t="s">
        <v>0</v>
      </c>
      <c r="B2937" s="5" t="str">
        <f t="shared" si="43"/>
        <v>Y</v>
      </c>
      <c r="C2937" t="s">
        <v>14243</v>
      </c>
      <c r="E2937" t="s">
        <v>14244</v>
      </c>
      <c r="F2937" s="451">
        <v>25800</v>
      </c>
      <c r="G2937" s="386">
        <v>45106</v>
      </c>
      <c r="H2937" s="386">
        <v>45106</v>
      </c>
      <c r="L2937">
        <v>8603210602</v>
      </c>
    </row>
    <row r="2938" spans="1:12" ht="15" customHeight="1">
      <c r="A2938" s="5" t="s">
        <v>0</v>
      </c>
      <c r="B2938" s="5" t="str">
        <f t="shared" si="43"/>
        <v>Y</v>
      </c>
      <c r="C2938" t="s">
        <v>14245</v>
      </c>
      <c r="E2938" t="s">
        <v>14246</v>
      </c>
      <c r="F2938" s="451">
        <v>27546</v>
      </c>
      <c r="G2938" s="386">
        <v>45106</v>
      </c>
      <c r="H2938" s="386">
        <v>45106</v>
      </c>
      <c r="L2938">
        <v>8603505617</v>
      </c>
    </row>
    <row r="2939" spans="1:12" ht="15" customHeight="1">
      <c r="A2939" s="5" t="s">
        <v>0</v>
      </c>
      <c r="B2939" s="5" t="str">
        <f t="shared" si="43"/>
        <v>N</v>
      </c>
      <c r="C2939" t="s">
        <v>14247</v>
      </c>
      <c r="E2939" t="s">
        <v>14248</v>
      </c>
      <c r="F2939" s="451">
        <v>31413</v>
      </c>
      <c r="L2939">
        <v>9031786105</v>
      </c>
    </row>
    <row r="2940" spans="1:12" ht="15" customHeight="1">
      <c r="A2940" s="5" t="s">
        <v>0</v>
      </c>
      <c r="B2940" s="5" t="str">
        <f t="shared" si="43"/>
        <v>N</v>
      </c>
      <c r="C2940" t="s">
        <v>14250</v>
      </c>
      <c r="E2940" t="s">
        <v>14249</v>
      </c>
      <c r="F2940" s="451">
        <v>22773</v>
      </c>
      <c r="L2940">
        <v>9334189375</v>
      </c>
    </row>
    <row r="2941" spans="1:12" ht="15" customHeight="1">
      <c r="A2941" s="5" t="s">
        <v>0</v>
      </c>
      <c r="B2941" s="5" t="str">
        <f t="shared" si="43"/>
        <v>Y</v>
      </c>
      <c r="C2941" s="463" t="s">
        <v>14251</v>
      </c>
      <c r="D2941" s="463"/>
      <c r="E2941" s="463" t="s">
        <v>14252</v>
      </c>
      <c r="F2941" s="659">
        <v>31671</v>
      </c>
      <c r="G2941" s="499">
        <v>45108</v>
      </c>
      <c r="H2941" s="499">
        <v>45108</v>
      </c>
      <c r="I2941" s="463" t="s">
        <v>14277</v>
      </c>
      <c r="L2941">
        <v>9031136569</v>
      </c>
    </row>
    <row r="2942" spans="1:12" ht="15" customHeight="1">
      <c r="A2942" s="5" t="s">
        <v>0</v>
      </c>
      <c r="B2942" s="5" t="str">
        <f t="shared" si="43"/>
        <v>Y</v>
      </c>
      <c r="C2942" t="s">
        <v>14253</v>
      </c>
      <c r="E2942" t="s">
        <v>5246</v>
      </c>
      <c r="F2942" s="451">
        <v>33495</v>
      </c>
      <c r="G2942" s="386">
        <v>45108</v>
      </c>
      <c r="H2942" s="386">
        <v>45108</v>
      </c>
      <c r="L2942">
        <v>9199515792</v>
      </c>
    </row>
    <row r="2943" spans="1:12" ht="15" customHeight="1">
      <c r="A2943" s="5" t="s">
        <v>0</v>
      </c>
      <c r="B2943" s="5" t="str">
        <f t="shared" si="43"/>
        <v>Y</v>
      </c>
      <c r="C2943" t="s">
        <v>14254</v>
      </c>
      <c r="E2943" t="s">
        <v>14255</v>
      </c>
      <c r="F2943" s="451">
        <v>19360</v>
      </c>
      <c r="G2943" s="386">
        <v>45108</v>
      </c>
      <c r="H2943" s="386">
        <v>45108</v>
      </c>
      <c r="L2943">
        <v>7209177524</v>
      </c>
    </row>
    <row r="2944" spans="1:12" ht="15" customHeight="1">
      <c r="A2944" s="5" t="s">
        <v>0</v>
      </c>
      <c r="B2944" s="5" t="str">
        <f t="shared" si="43"/>
        <v>Y</v>
      </c>
      <c r="C2944" s="24" t="s">
        <v>3984</v>
      </c>
      <c r="D2944" s="24"/>
      <c r="E2944" s="126" t="s">
        <v>3985</v>
      </c>
      <c r="F2944" s="19" t="s">
        <v>3986</v>
      </c>
      <c r="G2944" s="386">
        <v>45108</v>
      </c>
      <c r="H2944" s="386">
        <v>45108</v>
      </c>
      <c r="K2944" s="24" t="s">
        <v>3988</v>
      </c>
      <c r="L2944" s="24">
        <v>6202698226</v>
      </c>
    </row>
    <row r="2945" spans="1:12" ht="15" customHeight="1">
      <c r="A2945" s="5" t="s">
        <v>0</v>
      </c>
      <c r="B2945" s="5" t="str">
        <f t="shared" si="43"/>
        <v>Y</v>
      </c>
      <c r="C2945" s="806" t="s">
        <v>14256</v>
      </c>
      <c r="E2945" s="806" t="s">
        <v>14257</v>
      </c>
      <c r="F2945" s="451">
        <v>23527</v>
      </c>
      <c r="G2945" s="386">
        <v>45108</v>
      </c>
      <c r="H2945" s="386">
        <v>45108</v>
      </c>
      <c r="L2945">
        <v>8102002356</v>
      </c>
    </row>
    <row r="2946" spans="1:12" ht="15" customHeight="1">
      <c r="A2946" s="5" t="s">
        <v>0</v>
      </c>
      <c r="B2946" s="5" t="str">
        <f t="shared" si="43"/>
        <v>Y</v>
      </c>
      <c r="C2946" s="807" t="s">
        <v>14258</v>
      </c>
      <c r="E2946" s="807" t="s">
        <v>14259</v>
      </c>
      <c r="F2946" s="451">
        <v>27323</v>
      </c>
      <c r="G2946" s="386">
        <v>45108</v>
      </c>
      <c r="H2946" s="386">
        <v>45108</v>
      </c>
      <c r="L2946">
        <v>7277346150</v>
      </c>
    </row>
    <row r="2947" spans="1:12" ht="15" customHeight="1">
      <c r="A2947" s="5" t="s">
        <v>0</v>
      </c>
      <c r="B2947" s="5" t="str">
        <f t="shared" si="43"/>
        <v>Y</v>
      </c>
      <c r="C2947" s="807" t="s">
        <v>14260</v>
      </c>
      <c r="E2947" s="807" t="s">
        <v>14261</v>
      </c>
      <c r="F2947" s="451">
        <v>20455</v>
      </c>
      <c r="G2947" s="386">
        <v>45108</v>
      </c>
      <c r="H2947" s="386">
        <v>45108</v>
      </c>
      <c r="L2947">
        <v>9304587735</v>
      </c>
    </row>
    <row r="2948" spans="1:12" ht="15" customHeight="1">
      <c r="A2948" s="5" t="s">
        <v>0</v>
      </c>
      <c r="B2948" s="5" t="str">
        <f t="shared" si="43"/>
        <v>Y</v>
      </c>
      <c r="C2948" s="808" t="s">
        <v>14262</v>
      </c>
      <c r="E2948" s="808" t="s">
        <v>14263</v>
      </c>
      <c r="F2948" s="451">
        <v>34031</v>
      </c>
      <c r="G2948" s="386">
        <v>45109</v>
      </c>
      <c r="H2948" s="386">
        <v>45109</v>
      </c>
      <c r="L2948">
        <v>8294368497</v>
      </c>
    </row>
    <row r="2949" spans="1:12" ht="15" customHeight="1">
      <c r="A2949" s="5" t="s">
        <v>0</v>
      </c>
      <c r="B2949" s="5" t="str">
        <f t="shared" si="43"/>
        <v>Y</v>
      </c>
      <c r="C2949" s="808" t="s">
        <v>14264</v>
      </c>
      <c r="E2949" s="808" t="s">
        <v>14265</v>
      </c>
      <c r="F2949" s="451">
        <v>27395</v>
      </c>
      <c r="G2949" s="386">
        <v>45109</v>
      </c>
      <c r="H2949" s="386">
        <v>45109</v>
      </c>
      <c r="L2949">
        <v>9572218116</v>
      </c>
    </row>
    <row r="2950" spans="1:12" ht="15" customHeight="1">
      <c r="A2950" s="5" t="s">
        <v>0</v>
      </c>
      <c r="B2950" s="5" t="str">
        <f t="shared" si="43"/>
        <v>Y</v>
      </c>
      <c r="C2950" s="808" t="s">
        <v>14266</v>
      </c>
      <c r="E2950" s="808" t="s">
        <v>7019</v>
      </c>
      <c r="F2950" s="451">
        <v>25202</v>
      </c>
      <c r="G2950" s="386">
        <v>45109</v>
      </c>
      <c r="H2950" s="386">
        <v>45109</v>
      </c>
      <c r="L2950">
        <v>8987605475</v>
      </c>
    </row>
    <row r="2951" spans="1:12" ht="15" customHeight="1">
      <c r="A2951" s="5" t="s">
        <v>0</v>
      </c>
      <c r="B2951" s="5" t="str">
        <f t="shared" si="43"/>
        <v>Y</v>
      </c>
      <c r="C2951" s="808" t="s">
        <v>14267</v>
      </c>
      <c r="E2951" s="808" t="s">
        <v>1862</v>
      </c>
      <c r="F2951" s="451">
        <v>35809</v>
      </c>
      <c r="G2951" s="386">
        <v>45109</v>
      </c>
      <c r="H2951" s="386">
        <v>45109</v>
      </c>
      <c r="L2951">
        <v>8789477875</v>
      </c>
    </row>
    <row r="2952" spans="1:12" ht="15" customHeight="1">
      <c r="A2952" s="5" t="s">
        <v>0</v>
      </c>
      <c r="B2952" s="5" t="str">
        <f t="shared" si="43"/>
        <v>Y</v>
      </c>
      <c r="C2952" s="809" t="s">
        <v>14271</v>
      </c>
      <c r="E2952" s="809" t="s">
        <v>14272</v>
      </c>
      <c r="F2952" s="451">
        <v>19725</v>
      </c>
      <c r="G2952" s="386">
        <v>45112</v>
      </c>
      <c r="H2952" s="386">
        <v>45112</v>
      </c>
      <c r="L2952">
        <v>8863826939</v>
      </c>
    </row>
    <row r="2953" spans="1:12" ht="15" customHeight="1">
      <c r="A2953" s="5" t="s">
        <v>0</v>
      </c>
      <c r="B2953" s="5" t="str">
        <f t="shared" si="43"/>
        <v>Y</v>
      </c>
      <c r="C2953" s="809" t="s">
        <v>14274</v>
      </c>
      <c r="E2953" s="809" t="s">
        <v>14273</v>
      </c>
      <c r="F2953" s="451">
        <v>27677</v>
      </c>
      <c r="G2953" s="386">
        <v>45112</v>
      </c>
      <c r="H2953" s="386">
        <v>45112</v>
      </c>
      <c r="L2953">
        <v>9931719913</v>
      </c>
    </row>
    <row r="2954" spans="1:12" ht="15" customHeight="1">
      <c r="A2954" s="5" t="s">
        <v>0</v>
      </c>
      <c r="B2954" s="5" t="str">
        <f t="shared" si="43"/>
        <v>Y</v>
      </c>
      <c r="C2954" s="809" t="s">
        <v>14275</v>
      </c>
      <c r="E2954" s="809" t="s">
        <v>14276</v>
      </c>
      <c r="F2954" s="451">
        <v>37535</v>
      </c>
      <c r="G2954" s="386">
        <v>45112</v>
      </c>
      <c r="H2954" s="386">
        <v>45112</v>
      </c>
      <c r="L2954">
        <v>8235430517</v>
      </c>
    </row>
    <row r="2955" spans="1:12" ht="15" customHeight="1">
      <c r="A2955" s="5" t="s">
        <v>0</v>
      </c>
      <c r="B2955" s="5" t="str">
        <f t="shared" si="43"/>
        <v>Y</v>
      </c>
      <c r="C2955" s="810" t="s">
        <v>14278</v>
      </c>
      <c r="E2955" s="810" t="s">
        <v>14279</v>
      </c>
      <c r="F2955" s="451">
        <v>30946</v>
      </c>
      <c r="G2955" s="386">
        <v>45113</v>
      </c>
      <c r="H2955" s="386">
        <v>45113</v>
      </c>
      <c r="L2955">
        <v>9835378505</v>
      </c>
    </row>
    <row r="2956" spans="1:12" ht="15" customHeight="1">
      <c r="A2956" s="5" t="s">
        <v>0</v>
      </c>
      <c r="B2956" s="5" t="str">
        <f t="shared" si="43"/>
        <v>Y</v>
      </c>
      <c r="C2956" s="811" t="s">
        <v>14280</v>
      </c>
      <c r="E2956" s="811" t="s">
        <v>14281</v>
      </c>
      <c r="F2956" s="451">
        <v>24763</v>
      </c>
      <c r="G2956" s="386">
        <v>45113</v>
      </c>
      <c r="H2956" s="386">
        <v>45113</v>
      </c>
      <c r="L2956">
        <v>9113321267</v>
      </c>
    </row>
    <row r="2957" spans="1:12" ht="15" customHeight="1">
      <c r="A2957" s="5" t="s">
        <v>0</v>
      </c>
      <c r="B2957" s="5" t="str">
        <f t="shared" si="43"/>
        <v>Y</v>
      </c>
      <c r="C2957" s="811" t="s">
        <v>14283</v>
      </c>
      <c r="E2957" s="811" t="s">
        <v>14282</v>
      </c>
      <c r="F2957" s="451">
        <v>25334</v>
      </c>
      <c r="G2957" s="386">
        <v>45113</v>
      </c>
      <c r="H2957" s="386">
        <v>45113</v>
      </c>
      <c r="L2957">
        <v>9709010060</v>
      </c>
    </row>
    <row r="2958" spans="1:12" ht="15" customHeight="1">
      <c r="A2958" s="5" t="s">
        <v>0</v>
      </c>
      <c r="B2958" s="5" t="str">
        <f t="shared" si="43"/>
        <v>Y</v>
      </c>
      <c r="C2958" s="811" t="s">
        <v>14284</v>
      </c>
      <c r="E2958" s="811" t="s">
        <v>14285</v>
      </c>
      <c r="F2958" s="451">
        <v>28783</v>
      </c>
      <c r="G2958" s="386">
        <v>45113</v>
      </c>
      <c r="H2958" s="386">
        <v>45113</v>
      </c>
      <c r="L2958">
        <v>8873341331</v>
      </c>
    </row>
    <row r="2959" spans="1:12" ht="15" customHeight="1">
      <c r="A2959" s="5" t="s">
        <v>0</v>
      </c>
      <c r="B2959" s="5" t="str">
        <f t="shared" si="43"/>
        <v>Y</v>
      </c>
      <c r="C2959" s="812" t="s">
        <v>14286</v>
      </c>
      <c r="E2959" s="812" t="s">
        <v>14287</v>
      </c>
      <c r="F2959" s="451">
        <v>25564</v>
      </c>
      <c r="G2959" s="386">
        <v>45114</v>
      </c>
      <c r="H2959" s="386">
        <v>45115</v>
      </c>
      <c r="L2959">
        <v>8084430529</v>
      </c>
    </row>
    <row r="2960" spans="1:12" ht="15" customHeight="1">
      <c r="A2960" s="5" t="s">
        <v>0</v>
      </c>
      <c r="B2960" s="5" t="str">
        <f t="shared" si="43"/>
        <v>Y</v>
      </c>
      <c r="C2960" s="813" t="s">
        <v>14289</v>
      </c>
      <c r="E2960" s="813" t="s">
        <v>14290</v>
      </c>
      <c r="F2960" s="451">
        <v>20962</v>
      </c>
      <c r="G2960" s="386">
        <v>45115</v>
      </c>
      <c r="H2960" s="386">
        <v>45115</v>
      </c>
      <c r="L2960">
        <v>9031133640</v>
      </c>
    </row>
    <row r="2961" spans="1:12" ht="15" customHeight="1">
      <c r="A2961" s="5" t="s">
        <v>0</v>
      </c>
      <c r="B2961" s="5" t="str">
        <f t="shared" si="43"/>
        <v>Y</v>
      </c>
      <c r="C2961" s="814" t="s">
        <v>14292</v>
      </c>
      <c r="D2961" t="s">
        <v>7411</v>
      </c>
      <c r="E2961" s="814" t="s">
        <v>14293</v>
      </c>
      <c r="F2961" s="451">
        <v>38083</v>
      </c>
      <c r="G2961" s="386">
        <v>45116</v>
      </c>
      <c r="H2961" s="386">
        <v>45116</v>
      </c>
      <c r="L2961">
        <v>8797020249</v>
      </c>
    </row>
    <row r="2962" spans="1:12" ht="15" customHeight="1">
      <c r="A2962" s="5" t="s">
        <v>0</v>
      </c>
      <c r="B2962" s="5" t="str">
        <f t="shared" si="43"/>
        <v>Y</v>
      </c>
      <c r="C2962" s="820" t="s">
        <v>14313</v>
      </c>
      <c r="D2962" t="s">
        <v>274</v>
      </c>
      <c r="E2962" s="814" t="s">
        <v>14294</v>
      </c>
      <c r="F2962" s="451">
        <v>26665</v>
      </c>
      <c r="G2962" s="386">
        <v>45117</v>
      </c>
      <c r="H2962" s="386">
        <v>45117</v>
      </c>
      <c r="L2962">
        <v>6206146749</v>
      </c>
    </row>
    <row r="2963" spans="1:12" ht="15" customHeight="1">
      <c r="A2963" s="5" t="s">
        <v>0</v>
      </c>
      <c r="B2963" s="5" t="str">
        <f t="shared" ref="B2963" si="44">IF(H2963="","N","Y")</f>
        <v>Y</v>
      </c>
      <c r="C2963" s="820" t="s">
        <v>14314</v>
      </c>
      <c r="E2963" s="820" t="s">
        <v>14315</v>
      </c>
      <c r="F2963" s="451">
        <v>38105</v>
      </c>
      <c r="G2963" s="386">
        <v>45117</v>
      </c>
      <c r="H2963" s="386">
        <v>45117</v>
      </c>
      <c r="L2963">
        <v>9931265377</v>
      </c>
    </row>
    <row r="2964" spans="1:12" ht="15" customHeight="1">
      <c r="A2964" s="5" t="s">
        <v>0</v>
      </c>
      <c r="B2964" s="5" t="str">
        <f t="shared" ref="B2964:B2976" si="45">IF(H2964="","N","Y")</f>
        <v>Y</v>
      </c>
      <c r="C2964" s="820" t="s">
        <v>14316</v>
      </c>
      <c r="D2964" s="820" t="s">
        <v>274</v>
      </c>
      <c r="E2964" s="820" t="s">
        <v>14317</v>
      </c>
      <c r="F2964" s="451">
        <v>25039</v>
      </c>
      <c r="G2964" s="386">
        <v>45117</v>
      </c>
      <c r="H2964" s="386">
        <v>45117</v>
      </c>
      <c r="L2964" s="821">
        <v>8797587471</v>
      </c>
    </row>
    <row r="2965" spans="1:12" ht="15" customHeight="1">
      <c r="A2965" s="5" t="s">
        <v>0</v>
      </c>
      <c r="B2965" s="5" t="str">
        <f t="shared" si="45"/>
        <v>Y</v>
      </c>
      <c r="C2965" s="820" t="s">
        <v>14318</v>
      </c>
      <c r="E2965" s="820" t="s">
        <v>14319</v>
      </c>
      <c r="F2965" s="451">
        <v>38275</v>
      </c>
      <c r="G2965" s="386">
        <v>45118</v>
      </c>
      <c r="H2965" s="386">
        <v>45118</v>
      </c>
      <c r="L2965">
        <v>7992430628</v>
      </c>
    </row>
    <row r="2966" spans="1:12" ht="15" customHeight="1">
      <c r="A2966" s="5" t="s">
        <v>0</v>
      </c>
      <c r="B2966" s="5" t="str">
        <f t="shared" si="45"/>
        <v>Y</v>
      </c>
      <c r="C2966" s="814" t="s">
        <v>14312</v>
      </c>
      <c r="E2966" s="820" t="s">
        <v>1460</v>
      </c>
      <c r="F2966" s="451">
        <v>38238</v>
      </c>
      <c r="G2966" s="386">
        <v>45118</v>
      </c>
      <c r="H2966" s="386">
        <v>45118</v>
      </c>
      <c r="L2966">
        <v>9142908515</v>
      </c>
    </row>
    <row r="2967" spans="1:12" ht="15" customHeight="1">
      <c r="A2967" s="5" t="s">
        <v>0</v>
      </c>
      <c r="B2967" s="5" t="str">
        <f t="shared" si="45"/>
        <v>Y</v>
      </c>
      <c r="C2967" s="820" t="s">
        <v>14321</v>
      </c>
      <c r="E2967" s="820" t="s">
        <v>14322</v>
      </c>
      <c r="F2967" s="451">
        <v>37059</v>
      </c>
      <c r="G2967" s="386">
        <v>45118</v>
      </c>
      <c r="H2967" s="386">
        <v>45118</v>
      </c>
      <c r="L2967">
        <v>8210698924</v>
      </c>
    </row>
    <row r="2968" spans="1:12" ht="15" customHeight="1">
      <c r="A2968" s="5" t="s">
        <v>0</v>
      </c>
      <c r="B2968" s="5" t="str">
        <f t="shared" si="45"/>
        <v>Y</v>
      </c>
      <c r="C2968" s="786" t="s">
        <v>14325</v>
      </c>
      <c r="E2968" s="820" t="s">
        <v>4012</v>
      </c>
      <c r="F2968" s="451">
        <v>38081</v>
      </c>
      <c r="G2968" s="386">
        <v>45119</v>
      </c>
      <c r="H2968" s="386">
        <v>45119</v>
      </c>
      <c r="L2968">
        <v>6205604678</v>
      </c>
    </row>
    <row r="2969" spans="1:12" ht="15" customHeight="1">
      <c r="A2969" s="5" t="s">
        <v>0</v>
      </c>
      <c r="B2969" s="5" t="str">
        <f t="shared" si="45"/>
        <v>Y</v>
      </c>
      <c r="C2969" s="822" t="s">
        <v>14339</v>
      </c>
      <c r="E2969" s="822" t="s">
        <v>14340</v>
      </c>
      <c r="F2969" s="451">
        <v>34114</v>
      </c>
      <c r="G2969" s="386">
        <v>45119</v>
      </c>
      <c r="H2969" s="386">
        <v>45119</v>
      </c>
      <c r="L2969">
        <v>8895075210</v>
      </c>
    </row>
    <row r="2970" spans="1:12" ht="15" customHeight="1">
      <c r="A2970" s="5" t="s">
        <v>0</v>
      </c>
      <c r="B2970" s="5" t="str">
        <f t="shared" si="45"/>
        <v>Y</v>
      </c>
      <c r="C2970" s="786" t="s">
        <v>14341</v>
      </c>
      <c r="E2970" s="822" t="s">
        <v>14342</v>
      </c>
      <c r="F2970" s="451">
        <v>17168</v>
      </c>
      <c r="G2970" s="386">
        <v>45119</v>
      </c>
      <c r="H2970" s="386">
        <v>45119</v>
      </c>
      <c r="L2970">
        <v>7366980501</v>
      </c>
    </row>
    <row r="2971" spans="1:12" ht="15" customHeight="1">
      <c r="A2971" s="5" t="s">
        <v>0</v>
      </c>
      <c r="B2971" s="5" t="str">
        <f t="shared" si="45"/>
        <v>Y</v>
      </c>
      <c r="C2971" s="786" t="s">
        <v>14343</v>
      </c>
      <c r="E2971" s="822" t="s">
        <v>14344</v>
      </c>
      <c r="F2971" s="451">
        <v>20608</v>
      </c>
      <c r="G2971" s="386">
        <v>45119</v>
      </c>
      <c r="H2971" s="386">
        <v>45119</v>
      </c>
      <c r="L2971">
        <v>9279279566</v>
      </c>
    </row>
    <row r="2972" spans="1:12" ht="15" customHeight="1">
      <c r="A2972" s="5" t="s">
        <v>0</v>
      </c>
      <c r="B2972" s="5" t="str">
        <f t="shared" si="45"/>
        <v>Y</v>
      </c>
      <c r="C2972" s="786" t="s">
        <v>14345</v>
      </c>
      <c r="D2972" t="s">
        <v>7654</v>
      </c>
      <c r="E2972" s="822" t="s">
        <v>1823</v>
      </c>
      <c r="F2972" s="451">
        <v>26121</v>
      </c>
      <c r="G2972" s="386">
        <v>45120</v>
      </c>
      <c r="H2972" s="386">
        <v>45120</v>
      </c>
      <c r="L2972">
        <v>7004114264</v>
      </c>
    </row>
    <row r="2973" spans="1:12" ht="15" customHeight="1">
      <c r="A2973" s="5" t="s">
        <v>0</v>
      </c>
      <c r="B2973" s="5" t="str">
        <f t="shared" si="45"/>
        <v>Y</v>
      </c>
      <c r="C2973" s="786" t="s">
        <v>14346</v>
      </c>
      <c r="D2973" t="s">
        <v>14347</v>
      </c>
      <c r="E2973" s="822" t="s">
        <v>14348</v>
      </c>
      <c r="F2973" s="451">
        <v>20121</v>
      </c>
      <c r="G2973" s="386">
        <v>45120</v>
      </c>
      <c r="H2973" s="386">
        <v>45120</v>
      </c>
      <c r="L2973">
        <v>7209603087</v>
      </c>
    </row>
    <row r="2974" spans="1:12" ht="15" customHeight="1">
      <c r="A2974" s="5" t="s">
        <v>0</v>
      </c>
      <c r="B2974" s="5" t="str">
        <f t="shared" si="45"/>
        <v>Y</v>
      </c>
      <c r="C2974" s="786" t="s">
        <v>14362</v>
      </c>
      <c r="D2974" t="s">
        <v>10036</v>
      </c>
      <c r="E2974" s="830" t="s">
        <v>14363</v>
      </c>
      <c r="F2974" s="451">
        <v>18994</v>
      </c>
      <c r="G2974" s="386">
        <v>45123</v>
      </c>
      <c r="H2974" s="386">
        <v>45123</v>
      </c>
      <c r="L2974">
        <v>8757605605</v>
      </c>
    </row>
    <row r="2975" spans="1:12" ht="15" customHeight="1">
      <c r="A2975" s="5" t="s">
        <v>0</v>
      </c>
      <c r="B2975" s="5" t="str">
        <f t="shared" si="45"/>
        <v>Y</v>
      </c>
      <c r="C2975" s="786" t="s">
        <v>14364</v>
      </c>
      <c r="E2975" s="830" t="s">
        <v>14365</v>
      </c>
      <c r="F2975" s="451">
        <v>34335</v>
      </c>
      <c r="G2975" s="386">
        <v>45123</v>
      </c>
      <c r="H2975" s="386">
        <v>45123</v>
      </c>
      <c r="L2975">
        <v>8235201253</v>
      </c>
    </row>
    <row r="2976" spans="1:12" ht="15" customHeight="1">
      <c r="A2976" s="5" t="s">
        <v>0</v>
      </c>
      <c r="B2976" s="5" t="str">
        <f t="shared" si="45"/>
        <v>Y</v>
      </c>
      <c r="C2976" s="786" t="s">
        <v>14366</v>
      </c>
      <c r="E2976" s="830" t="s">
        <v>14367</v>
      </c>
      <c r="F2976" s="451">
        <v>35431</v>
      </c>
      <c r="G2976" s="386">
        <v>45123</v>
      </c>
      <c r="H2976" s="386">
        <v>45123</v>
      </c>
      <c r="L2976">
        <v>8797020253</v>
      </c>
    </row>
    <row r="2977" spans="1:12" ht="15" customHeight="1">
      <c r="A2977" s="5" t="s">
        <v>0</v>
      </c>
      <c r="B2977" s="5" t="str">
        <f t="shared" ref="B2977:B3003" si="46">IF(H2977="","N","Y")</f>
        <v>Y</v>
      </c>
      <c r="C2977" s="786" t="s">
        <v>14368</v>
      </c>
      <c r="D2977" t="s">
        <v>14347</v>
      </c>
      <c r="E2977" s="830" t="s">
        <v>14369</v>
      </c>
      <c r="F2977" s="451">
        <v>30326</v>
      </c>
      <c r="G2977" s="386">
        <v>45123</v>
      </c>
      <c r="H2977" s="386">
        <v>45123</v>
      </c>
      <c r="L2977">
        <v>8304735995</v>
      </c>
    </row>
    <row r="2978" spans="1:12" ht="15" customHeight="1">
      <c r="A2978" s="5" t="s">
        <v>0</v>
      </c>
      <c r="B2978" s="5" t="str">
        <f t="shared" si="46"/>
        <v>Y</v>
      </c>
      <c r="C2978" s="786" t="s">
        <v>14370</v>
      </c>
      <c r="D2978" t="s">
        <v>14371</v>
      </c>
      <c r="E2978" s="830" t="s">
        <v>2932</v>
      </c>
      <c r="F2978" s="451">
        <v>37554</v>
      </c>
      <c r="G2978" s="386">
        <v>45123</v>
      </c>
      <c r="H2978" s="386">
        <v>45123</v>
      </c>
      <c r="L2978">
        <v>9508987998</v>
      </c>
    </row>
    <row r="2979" spans="1:12" ht="15" customHeight="1">
      <c r="A2979" s="5" t="s">
        <v>0</v>
      </c>
      <c r="B2979" s="5" t="str">
        <f t="shared" si="46"/>
        <v>Y</v>
      </c>
      <c r="C2979" s="786" t="s">
        <v>14372</v>
      </c>
      <c r="D2979" t="s">
        <v>14373</v>
      </c>
      <c r="E2979" s="830" t="s">
        <v>14374</v>
      </c>
      <c r="F2979" s="451">
        <v>27028</v>
      </c>
      <c r="G2979" s="386">
        <v>45123</v>
      </c>
      <c r="H2979" s="386">
        <v>45123</v>
      </c>
      <c r="L2979">
        <v>9031080124</v>
      </c>
    </row>
    <row r="2980" spans="1:12" ht="15" customHeight="1">
      <c r="A2980" s="5" t="s">
        <v>0</v>
      </c>
      <c r="B2980" s="5" t="str">
        <f t="shared" si="46"/>
        <v>Y</v>
      </c>
      <c r="C2980" s="786" t="s">
        <v>14375</v>
      </c>
      <c r="D2980" t="s">
        <v>9014</v>
      </c>
      <c r="E2980" s="830" t="s">
        <v>14376</v>
      </c>
      <c r="F2980" s="451">
        <v>23757</v>
      </c>
      <c r="G2980" s="386">
        <v>45123</v>
      </c>
      <c r="H2980" s="386">
        <v>45006</v>
      </c>
      <c r="L2980">
        <v>7763818271</v>
      </c>
    </row>
    <row r="2981" spans="1:12" ht="15" customHeight="1">
      <c r="A2981" s="5" t="s">
        <v>0</v>
      </c>
      <c r="B2981" s="5" t="str">
        <f t="shared" si="46"/>
        <v>Y</v>
      </c>
      <c r="C2981" s="463" t="s">
        <v>14389</v>
      </c>
      <c r="D2981" s="463"/>
      <c r="E2981" s="463" t="s">
        <v>14390</v>
      </c>
      <c r="F2981" s="659">
        <v>31413</v>
      </c>
      <c r="G2981" s="499">
        <v>45124</v>
      </c>
      <c r="H2981" s="499">
        <v>45124</v>
      </c>
      <c r="I2981" s="838" t="s">
        <v>14441</v>
      </c>
      <c r="L2981">
        <v>6363892780</v>
      </c>
    </row>
    <row r="2982" spans="1:12" ht="15" customHeight="1">
      <c r="A2982" s="5" t="s">
        <v>0</v>
      </c>
      <c r="B2982" s="5" t="str">
        <f t="shared" si="46"/>
        <v>Y</v>
      </c>
      <c r="C2982" s="463" t="s">
        <v>14391</v>
      </c>
      <c r="D2982" s="463"/>
      <c r="E2982" s="463" t="s">
        <v>1788</v>
      </c>
      <c r="F2982" s="659">
        <v>25569</v>
      </c>
      <c r="G2982" s="499">
        <v>45124</v>
      </c>
      <c r="H2982" s="499">
        <v>45124</v>
      </c>
      <c r="I2982" s="838" t="s">
        <v>14441</v>
      </c>
      <c r="L2982">
        <v>8825253828</v>
      </c>
    </row>
    <row r="2983" spans="1:12" ht="15" customHeight="1">
      <c r="A2983" s="5" t="s">
        <v>0</v>
      </c>
      <c r="B2983" s="5" t="str">
        <f t="shared" si="46"/>
        <v>Y</v>
      </c>
      <c r="C2983" s="786" t="s">
        <v>14399</v>
      </c>
      <c r="D2983" s="833" t="s">
        <v>274</v>
      </c>
      <c r="E2983" s="833" t="s">
        <v>14400</v>
      </c>
      <c r="F2983" s="451">
        <v>31236</v>
      </c>
      <c r="G2983" s="386">
        <v>45125</v>
      </c>
      <c r="H2983" s="386">
        <v>45126</v>
      </c>
    </row>
    <row r="2984" spans="1:12" ht="15" customHeight="1">
      <c r="A2984" s="5" t="s">
        <v>0</v>
      </c>
      <c r="B2984" s="5" t="str">
        <f t="shared" si="46"/>
        <v>Y</v>
      </c>
      <c r="C2984" s="786" t="s">
        <v>14408</v>
      </c>
      <c r="D2984" s="831" t="s">
        <v>8441</v>
      </c>
      <c r="E2984" s="831" t="s">
        <v>14388</v>
      </c>
      <c r="F2984" s="451">
        <v>28949</v>
      </c>
      <c r="G2984" s="386">
        <v>45126</v>
      </c>
      <c r="H2984" s="386">
        <v>45126</v>
      </c>
      <c r="L2984">
        <v>7004359335</v>
      </c>
    </row>
    <row r="2985" spans="1:12" ht="15" customHeight="1">
      <c r="A2985" s="5" t="s">
        <v>0</v>
      </c>
      <c r="B2985" s="5" t="str">
        <f t="shared" si="46"/>
        <v>Y</v>
      </c>
      <c r="C2985" s="786" t="s">
        <v>14409</v>
      </c>
      <c r="E2985" s="831" t="s">
        <v>14392</v>
      </c>
      <c r="F2985" s="451">
        <v>25208</v>
      </c>
      <c r="G2985" s="386">
        <v>45126</v>
      </c>
      <c r="H2985" s="386">
        <v>45126</v>
      </c>
      <c r="L2985">
        <v>8292641900</v>
      </c>
    </row>
    <row r="2986" spans="1:12" ht="15" customHeight="1">
      <c r="A2986" s="5" t="s">
        <v>0</v>
      </c>
      <c r="B2986" s="5" t="str">
        <f t="shared" si="46"/>
        <v>Y</v>
      </c>
      <c r="C2986" s="786" t="s">
        <v>14411</v>
      </c>
      <c r="D2986" s="835" t="s">
        <v>274</v>
      </c>
      <c r="E2986" s="835" t="s">
        <v>14410</v>
      </c>
      <c r="F2986" s="451">
        <v>23284</v>
      </c>
      <c r="G2986" s="386">
        <v>45126</v>
      </c>
      <c r="H2986" s="386">
        <v>45126</v>
      </c>
      <c r="L2986">
        <v>8252453237</v>
      </c>
    </row>
    <row r="2987" spans="1:12" ht="15" customHeight="1">
      <c r="A2987" s="5" t="s">
        <v>0</v>
      </c>
      <c r="B2987" s="5" t="str">
        <f t="shared" si="46"/>
        <v>Y</v>
      </c>
      <c r="C2987" s="786" t="s">
        <v>14412</v>
      </c>
      <c r="E2987" s="831" t="s">
        <v>4576</v>
      </c>
      <c r="F2987" s="451">
        <v>27514</v>
      </c>
      <c r="G2987" s="386">
        <v>45126</v>
      </c>
      <c r="H2987" s="386">
        <v>45126</v>
      </c>
      <c r="L2987">
        <v>9204359913</v>
      </c>
    </row>
    <row r="2988" spans="1:12" ht="15" customHeight="1">
      <c r="A2988" s="5" t="s">
        <v>0</v>
      </c>
      <c r="B2988" s="5" t="str">
        <f t="shared" si="46"/>
        <v>Y</v>
      </c>
      <c r="C2988" s="786" t="s">
        <v>14415</v>
      </c>
      <c r="E2988" s="831" t="s">
        <v>14393</v>
      </c>
      <c r="F2988" s="451">
        <v>33005</v>
      </c>
      <c r="G2988" s="386">
        <v>45126</v>
      </c>
      <c r="H2988" s="386">
        <v>45126</v>
      </c>
      <c r="L2988">
        <v>7367965496</v>
      </c>
    </row>
    <row r="2989" spans="1:12" ht="15" customHeight="1">
      <c r="A2989" s="5" t="s">
        <v>0</v>
      </c>
      <c r="B2989" s="5" t="str">
        <f t="shared" si="46"/>
        <v>Y</v>
      </c>
      <c r="C2989" s="786" t="s">
        <v>14423</v>
      </c>
      <c r="E2989" s="831" t="s">
        <v>14394</v>
      </c>
      <c r="F2989" s="451">
        <v>38037</v>
      </c>
      <c r="G2989" s="386">
        <v>45127</v>
      </c>
      <c r="H2989" s="386">
        <v>45127</v>
      </c>
      <c r="L2989">
        <v>8797944745</v>
      </c>
    </row>
    <row r="2990" spans="1:12" ht="15" customHeight="1">
      <c r="A2990" s="5" t="s">
        <v>0</v>
      </c>
      <c r="B2990" s="5" t="str">
        <f t="shared" si="46"/>
        <v>Y</v>
      </c>
      <c r="C2990" s="786" t="s">
        <v>14424</v>
      </c>
      <c r="E2990" s="831" t="s">
        <v>14395</v>
      </c>
      <c r="F2990" s="451">
        <v>38393</v>
      </c>
      <c r="G2990" s="386">
        <v>45127</v>
      </c>
      <c r="H2990" s="386">
        <v>45127</v>
      </c>
      <c r="L2990">
        <v>8797944745</v>
      </c>
    </row>
    <row r="2991" spans="1:12" ht="15" customHeight="1">
      <c r="A2991" s="5" t="s">
        <v>0</v>
      </c>
      <c r="B2991" s="5" t="str">
        <f t="shared" si="46"/>
        <v>Y</v>
      </c>
      <c r="C2991" s="786" t="s">
        <v>14425</v>
      </c>
      <c r="E2991" s="838" t="s">
        <v>14435</v>
      </c>
      <c r="F2991" s="451">
        <v>38296</v>
      </c>
      <c r="G2991" s="386">
        <v>45127</v>
      </c>
      <c r="H2991" s="386">
        <v>45127</v>
      </c>
    </row>
    <row r="2992" spans="1:12" ht="15" customHeight="1">
      <c r="A2992" s="5" t="s">
        <v>0</v>
      </c>
      <c r="B2992" s="5" t="str">
        <f t="shared" si="46"/>
        <v>Y</v>
      </c>
      <c r="C2992" s="463" t="s">
        <v>14436</v>
      </c>
      <c r="D2992" t="s">
        <v>14437</v>
      </c>
      <c r="E2992" s="838" t="s">
        <v>9651</v>
      </c>
      <c r="F2992" s="451">
        <v>31848</v>
      </c>
      <c r="G2992" s="386">
        <v>45127</v>
      </c>
      <c r="H2992" s="386">
        <v>45128</v>
      </c>
      <c r="L2992">
        <v>9835223645</v>
      </c>
    </row>
    <row r="2993" spans="1:12" ht="15" customHeight="1">
      <c r="A2993" s="5" t="s">
        <v>0</v>
      </c>
      <c r="B2993" s="5" t="str">
        <f t="shared" si="46"/>
        <v>Y</v>
      </c>
      <c r="C2993" s="786" t="s">
        <v>14438</v>
      </c>
      <c r="D2993" t="s">
        <v>14437</v>
      </c>
      <c r="E2993" s="838" t="s">
        <v>14439</v>
      </c>
      <c r="F2993" s="451">
        <v>17304</v>
      </c>
      <c r="G2993" s="386">
        <v>45127</v>
      </c>
      <c r="H2993" s="386">
        <v>45128</v>
      </c>
      <c r="L2993">
        <v>8789947194</v>
      </c>
    </row>
    <row r="2994" spans="1:12" ht="15" customHeight="1">
      <c r="A2994" s="5" t="s">
        <v>0</v>
      </c>
      <c r="B2994" s="5" t="str">
        <f t="shared" si="46"/>
        <v>Y</v>
      </c>
      <c r="C2994" s="786" t="s">
        <v>14440</v>
      </c>
      <c r="E2994" s="838" t="s">
        <v>4628</v>
      </c>
      <c r="F2994" s="451">
        <v>38266</v>
      </c>
      <c r="G2994" s="386">
        <v>45127</v>
      </c>
      <c r="H2994" s="386">
        <v>45128</v>
      </c>
      <c r="L2994">
        <v>6205577299</v>
      </c>
    </row>
    <row r="2995" spans="1:12" ht="15" customHeight="1">
      <c r="A2995" s="5" t="s">
        <v>0</v>
      </c>
      <c r="B2995" s="5" t="str">
        <f t="shared" si="46"/>
        <v>Y</v>
      </c>
      <c r="C2995" s="786" t="s">
        <v>14449</v>
      </c>
      <c r="E2995" s="840" t="s">
        <v>14450</v>
      </c>
      <c r="F2995" s="451">
        <v>38180</v>
      </c>
      <c r="G2995" s="386">
        <v>45130</v>
      </c>
      <c r="H2995" s="386">
        <v>45130</v>
      </c>
      <c r="L2995">
        <v>6206761096</v>
      </c>
    </row>
    <row r="2996" spans="1:12" ht="15" customHeight="1">
      <c r="A2996" s="5" t="s">
        <v>0</v>
      </c>
      <c r="B2996" s="5" t="str">
        <f t="shared" si="46"/>
        <v>Y</v>
      </c>
      <c r="C2996" s="786" t="s">
        <v>14452</v>
      </c>
      <c r="E2996" s="841" t="s">
        <v>14453</v>
      </c>
      <c r="F2996" s="451">
        <v>38472</v>
      </c>
      <c r="G2996" s="386">
        <v>45130</v>
      </c>
      <c r="H2996" s="386">
        <v>45130</v>
      </c>
      <c r="L2996">
        <v>8709748924</v>
      </c>
    </row>
    <row r="2997" spans="1:12" ht="15" customHeight="1">
      <c r="A2997" s="5" t="s">
        <v>0</v>
      </c>
      <c r="B2997" s="5" t="str">
        <f t="shared" si="46"/>
        <v>Y</v>
      </c>
      <c r="C2997" s="848" t="s">
        <v>14455</v>
      </c>
      <c r="E2997" s="848" t="s">
        <v>10416</v>
      </c>
      <c r="F2997" s="451">
        <v>32058</v>
      </c>
      <c r="G2997" s="386">
        <v>45131</v>
      </c>
      <c r="H2997" s="386">
        <v>45132</v>
      </c>
      <c r="L2997">
        <v>9934176726</v>
      </c>
    </row>
    <row r="2998" spans="1:12" ht="15" customHeight="1">
      <c r="A2998" s="5" t="s">
        <v>0</v>
      </c>
      <c r="B2998" s="5" t="str">
        <f t="shared" si="46"/>
        <v>Y</v>
      </c>
      <c r="C2998" s="849" t="s">
        <v>14467</v>
      </c>
      <c r="E2998" s="849" t="s">
        <v>4183</v>
      </c>
      <c r="F2998" s="451">
        <v>18314</v>
      </c>
      <c r="G2998" s="386">
        <v>45134</v>
      </c>
      <c r="H2998" s="386">
        <v>45134</v>
      </c>
      <c r="L2998">
        <v>9334076703</v>
      </c>
    </row>
    <row r="2999" spans="1:12" ht="15" customHeight="1">
      <c r="A2999" s="5" t="s">
        <v>0</v>
      </c>
      <c r="B2999" s="5" t="str">
        <f t="shared" si="46"/>
        <v>Y</v>
      </c>
      <c r="C2999" s="849" t="s">
        <v>14468</v>
      </c>
      <c r="E2999" s="849" t="s">
        <v>14469</v>
      </c>
      <c r="F2999" s="451">
        <v>39159</v>
      </c>
      <c r="G2999" s="386">
        <v>45134</v>
      </c>
      <c r="H2999" s="386">
        <v>45134</v>
      </c>
      <c r="L2999">
        <v>9334536985</v>
      </c>
    </row>
    <row r="3000" spans="1:12" ht="15" customHeight="1">
      <c r="A3000" s="5" t="s">
        <v>0</v>
      </c>
      <c r="B3000" s="5" t="str">
        <f t="shared" si="46"/>
        <v>Y</v>
      </c>
      <c r="C3000" s="849" t="s">
        <v>14470</v>
      </c>
      <c r="E3000" s="849" t="s">
        <v>14471</v>
      </c>
      <c r="F3000" s="451">
        <v>20222</v>
      </c>
      <c r="G3000" s="386">
        <v>45134</v>
      </c>
      <c r="H3000" s="386">
        <v>45134</v>
      </c>
      <c r="L3000">
        <v>7209311096</v>
      </c>
    </row>
    <row r="3001" spans="1:12" ht="15" customHeight="1">
      <c r="A3001" s="5" t="s">
        <v>0</v>
      </c>
      <c r="B3001" s="5" t="str">
        <f t="shared" si="46"/>
        <v>Y</v>
      </c>
      <c r="C3001" s="849" t="s">
        <v>14472</v>
      </c>
      <c r="E3001" s="849" t="s">
        <v>14473</v>
      </c>
      <c r="F3001" s="451">
        <v>23012</v>
      </c>
      <c r="G3001" s="386">
        <v>45134</v>
      </c>
      <c r="H3001" s="386">
        <v>45134</v>
      </c>
      <c r="L3001">
        <v>9162526792</v>
      </c>
    </row>
    <row r="3002" spans="1:12" ht="15" customHeight="1">
      <c r="A3002" s="5" t="s">
        <v>0</v>
      </c>
      <c r="B3002" s="5" t="str">
        <f t="shared" si="46"/>
        <v>Y</v>
      </c>
      <c r="C3002" s="849" t="s">
        <v>14474</v>
      </c>
      <c r="E3002" s="849" t="s">
        <v>14475</v>
      </c>
      <c r="F3002" s="451">
        <v>37149</v>
      </c>
      <c r="G3002" s="386">
        <v>45134</v>
      </c>
      <c r="H3002" s="386">
        <v>45134</v>
      </c>
      <c r="L3002">
        <v>8825391073</v>
      </c>
    </row>
    <row r="3003" spans="1:12" ht="15" customHeight="1">
      <c r="A3003" s="5" t="s">
        <v>0</v>
      </c>
      <c r="B3003" s="5" t="str">
        <f t="shared" si="46"/>
        <v>Y</v>
      </c>
      <c r="C3003" s="849" t="s">
        <v>14480</v>
      </c>
      <c r="E3003" s="849" t="s">
        <v>14481</v>
      </c>
      <c r="F3003" s="850" t="s">
        <v>14482</v>
      </c>
      <c r="G3003" s="386">
        <v>45134</v>
      </c>
      <c r="H3003" s="386">
        <v>45134</v>
      </c>
      <c r="L3003">
        <v>6299974745</v>
      </c>
    </row>
    <row r="3004" spans="1:12" ht="15" customHeight="1">
      <c r="A3004">
        <v>100</v>
      </c>
      <c r="B3004" s="5" t="str">
        <f>IF(H3004="","N","Y")</f>
        <v>Y</v>
      </c>
      <c r="C3004" s="851" t="s">
        <v>14486</v>
      </c>
      <c r="E3004" s="849" t="s">
        <v>3806</v>
      </c>
      <c r="F3004" s="451">
        <v>32754</v>
      </c>
      <c r="G3004" s="386">
        <v>45135</v>
      </c>
      <c r="H3004" s="386">
        <v>45135</v>
      </c>
      <c r="L3004">
        <v>8877801664</v>
      </c>
    </row>
    <row r="3005" spans="1:12" ht="15" customHeight="1">
      <c r="A3005" s="5" t="s">
        <v>0</v>
      </c>
      <c r="B3005" s="5" t="str">
        <f t="shared" ref="B3005:B3012" si="47">IF(H3005="","N","Y")</f>
        <v>Y</v>
      </c>
      <c r="C3005" s="852" t="s">
        <v>14493</v>
      </c>
      <c r="E3005" s="852" t="s">
        <v>14494</v>
      </c>
      <c r="F3005" s="451">
        <v>38903</v>
      </c>
      <c r="G3005" s="386">
        <v>45136</v>
      </c>
      <c r="H3005" s="386">
        <v>45136</v>
      </c>
      <c r="L3005">
        <v>7320020105</v>
      </c>
    </row>
    <row r="3006" spans="1:12" ht="15" customHeight="1">
      <c r="A3006" s="5" t="s">
        <v>0</v>
      </c>
      <c r="B3006" s="5" t="str">
        <f t="shared" si="47"/>
        <v>Y</v>
      </c>
      <c r="C3006" s="854" t="s">
        <v>14486</v>
      </c>
      <c r="E3006" s="854" t="s">
        <v>14498</v>
      </c>
      <c r="G3006" s="386">
        <v>45138</v>
      </c>
      <c r="H3006" s="386">
        <v>45138</v>
      </c>
      <c r="K3006" t="s">
        <v>14505</v>
      </c>
    </row>
    <row r="3007" spans="1:12" ht="15" customHeight="1">
      <c r="A3007" s="5" t="s">
        <v>0</v>
      </c>
      <c r="B3007" s="5" t="str">
        <f t="shared" si="47"/>
        <v>Y</v>
      </c>
      <c r="C3007" s="855" t="s">
        <v>14502</v>
      </c>
      <c r="E3007" s="855" t="s">
        <v>14380</v>
      </c>
      <c r="F3007" s="451">
        <v>16498</v>
      </c>
      <c r="G3007" s="386">
        <v>45138</v>
      </c>
      <c r="H3007" s="386">
        <v>45138</v>
      </c>
      <c r="L3007">
        <v>9835931837</v>
      </c>
    </row>
    <row r="3008" spans="1:12" ht="15" customHeight="1">
      <c r="A3008" s="5" t="s">
        <v>0</v>
      </c>
      <c r="B3008" s="5" t="str">
        <f t="shared" si="47"/>
        <v>Y</v>
      </c>
      <c r="C3008" s="855" t="s">
        <v>14504</v>
      </c>
      <c r="E3008" s="855" t="s">
        <v>14503</v>
      </c>
      <c r="F3008" s="451">
        <v>36687</v>
      </c>
      <c r="G3008" s="386">
        <v>45138</v>
      </c>
      <c r="H3008" s="386">
        <v>45138</v>
      </c>
      <c r="L3008">
        <v>6205438660</v>
      </c>
    </row>
    <row r="3009" spans="1:14" ht="15" customHeight="1">
      <c r="A3009" s="5" t="s">
        <v>0</v>
      </c>
      <c r="B3009" s="5" t="str">
        <f t="shared" si="47"/>
        <v>Y</v>
      </c>
      <c r="C3009" s="856" t="s">
        <v>14508</v>
      </c>
      <c r="D3009" s="856" t="s">
        <v>9162</v>
      </c>
      <c r="E3009" s="856" t="s">
        <v>12104</v>
      </c>
      <c r="F3009" s="451">
        <v>23747</v>
      </c>
      <c r="G3009" s="386">
        <v>45139</v>
      </c>
      <c r="H3009" s="386">
        <v>45139</v>
      </c>
      <c r="L3009">
        <v>9835566462</v>
      </c>
    </row>
    <row r="3010" spans="1:14" ht="15" customHeight="1">
      <c r="A3010" s="5" t="s">
        <v>0</v>
      </c>
      <c r="B3010" s="5" t="str">
        <f t="shared" si="47"/>
        <v>Y</v>
      </c>
      <c r="C3010" s="856" t="s">
        <v>14509</v>
      </c>
      <c r="D3010" s="856" t="s">
        <v>274</v>
      </c>
      <c r="E3010" s="856" t="s">
        <v>14510</v>
      </c>
      <c r="F3010" s="451">
        <v>28488</v>
      </c>
      <c r="G3010" s="386">
        <v>45139</v>
      </c>
      <c r="H3010" s="386">
        <v>45139</v>
      </c>
      <c r="L3010">
        <v>8873480469</v>
      </c>
    </row>
    <row r="3011" spans="1:14" ht="15" customHeight="1">
      <c r="A3011" s="5" t="s">
        <v>0</v>
      </c>
      <c r="B3011" s="5" t="str">
        <f t="shared" si="47"/>
        <v>Y</v>
      </c>
      <c r="C3011" s="856" t="s">
        <v>14513</v>
      </c>
      <c r="D3011" s="856" t="s">
        <v>14512</v>
      </c>
      <c r="E3011" s="856" t="s">
        <v>14511</v>
      </c>
      <c r="F3011" s="451">
        <v>19678</v>
      </c>
      <c r="G3011" s="386">
        <v>45139</v>
      </c>
      <c r="H3011" s="386">
        <v>45139</v>
      </c>
      <c r="L3011">
        <v>8092202921</v>
      </c>
    </row>
    <row r="3012" spans="1:14" ht="15" customHeight="1">
      <c r="A3012" s="5" t="s">
        <v>0</v>
      </c>
      <c r="B3012" s="5" t="str">
        <f t="shared" si="47"/>
        <v>Y</v>
      </c>
      <c r="C3012" s="858" t="s">
        <v>14516</v>
      </c>
      <c r="E3012" s="858" t="s">
        <v>14517</v>
      </c>
      <c r="F3012" s="451">
        <v>31413</v>
      </c>
      <c r="G3012" s="386">
        <v>45140</v>
      </c>
      <c r="H3012" s="386">
        <v>45140</v>
      </c>
      <c r="L3012">
        <v>7320055973</v>
      </c>
    </row>
    <row r="3013" spans="1:14" ht="15" customHeight="1">
      <c r="A3013" s="5" t="s">
        <v>0</v>
      </c>
      <c r="B3013" s="5" t="str">
        <f t="shared" ref="B3013:B3018" si="48">IF(H3013="","N","Y")</f>
        <v>Y</v>
      </c>
      <c r="C3013" s="859" t="s">
        <v>14519</v>
      </c>
      <c r="D3013" t="s">
        <v>14512</v>
      </c>
      <c r="E3013" s="859" t="s">
        <v>14520</v>
      </c>
      <c r="F3013" s="451">
        <v>33874</v>
      </c>
      <c r="G3013" s="386">
        <v>45141</v>
      </c>
      <c r="H3013" s="386">
        <v>45141</v>
      </c>
      <c r="L3013">
        <v>9608686379</v>
      </c>
    </row>
    <row r="3014" spans="1:14" ht="15" customHeight="1">
      <c r="A3014" s="5" t="s">
        <v>0</v>
      </c>
      <c r="B3014" s="5" t="str">
        <f t="shared" si="48"/>
        <v>Y</v>
      </c>
      <c r="C3014" s="859" t="s">
        <v>14521</v>
      </c>
      <c r="E3014" s="859" t="s">
        <v>14522</v>
      </c>
      <c r="F3014" s="451">
        <v>38050</v>
      </c>
      <c r="G3014" s="386">
        <v>45141</v>
      </c>
      <c r="H3014" s="386">
        <v>45141</v>
      </c>
      <c r="L3014">
        <v>9234581787</v>
      </c>
    </row>
    <row r="3015" spans="1:14" ht="15" customHeight="1">
      <c r="A3015" s="434" t="s">
        <v>0</v>
      </c>
      <c r="B3015" s="434" t="str">
        <f t="shared" si="48"/>
        <v>N</v>
      </c>
      <c r="C3015" s="869" t="s">
        <v>14523</v>
      </c>
      <c r="D3015" s="436"/>
      <c r="E3015" s="862" t="s">
        <v>7085</v>
      </c>
      <c r="F3015" s="460">
        <v>37286</v>
      </c>
      <c r="G3015" s="568">
        <v>45141</v>
      </c>
      <c r="H3015" s="568"/>
      <c r="I3015" s="436"/>
      <c r="J3015" s="436"/>
      <c r="K3015" s="436"/>
      <c r="L3015" s="436">
        <v>8603602266</v>
      </c>
      <c r="M3015" t="s">
        <v>14536</v>
      </c>
      <c r="N3015" s="386">
        <v>45143</v>
      </c>
    </row>
    <row r="3016" spans="1:14" ht="15" customHeight="1">
      <c r="A3016" s="5" t="s">
        <v>0</v>
      </c>
      <c r="B3016" s="5" t="str">
        <f t="shared" si="48"/>
        <v>Y</v>
      </c>
      <c r="C3016" s="859" t="s">
        <v>14524</v>
      </c>
      <c r="E3016" s="859" t="s">
        <v>14525</v>
      </c>
      <c r="F3016" s="451">
        <v>28856</v>
      </c>
      <c r="G3016" s="386">
        <v>45141</v>
      </c>
      <c r="H3016" s="386">
        <v>45141</v>
      </c>
      <c r="L3016">
        <v>8102503670</v>
      </c>
    </row>
    <row r="3017" spans="1:14" ht="15" customHeight="1">
      <c r="A3017" s="5" t="s">
        <v>0</v>
      </c>
      <c r="B3017" s="5" t="str">
        <f t="shared" si="48"/>
        <v>Y</v>
      </c>
      <c r="C3017" s="859" t="s">
        <v>14527</v>
      </c>
      <c r="E3017" s="859" t="s">
        <v>14526</v>
      </c>
      <c r="F3017" s="451">
        <v>28491</v>
      </c>
      <c r="G3017" s="386">
        <v>45141</v>
      </c>
      <c r="H3017" s="386">
        <v>45141</v>
      </c>
      <c r="L3017">
        <v>9955198702</v>
      </c>
    </row>
    <row r="3018" spans="1:14" ht="15" customHeight="1">
      <c r="A3018" s="5" t="s">
        <v>0</v>
      </c>
      <c r="B3018" s="5" t="str">
        <f t="shared" si="48"/>
        <v>Y</v>
      </c>
      <c r="C3018" s="81" t="s">
        <v>14528</v>
      </c>
      <c r="E3018" s="859" t="s">
        <v>14529</v>
      </c>
      <c r="F3018" s="451">
        <v>36892</v>
      </c>
      <c r="G3018" s="386">
        <v>45141</v>
      </c>
      <c r="H3018" s="386">
        <v>45141</v>
      </c>
      <c r="L3018">
        <v>8235429981</v>
      </c>
    </row>
    <row r="3019" spans="1:14" ht="15" customHeight="1">
      <c r="A3019" s="5" t="s">
        <v>0</v>
      </c>
      <c r="B3019" s="5" t="str">
        <f t="shared" ref="B3019:B3082" si="49">IF(H3019="","N","Y")</f>
        <v>Y</v>
      </c>
      <c r="C3019" s="860" t="s">
        <v>14530</v>
      </c>
      <c r="D3019" s="860" t="s">
        <v>274</v>
      </c>
      <c r="E3019" s="860" t="s">
        <v>14531</v>
      </c>
      <c r="F3019" s="451">
        <v>26479</v>
      </c>
      <c r="G3019" s="386">
        <v>45142</v>
      </c>
      <c r="H3019" s="386">
        <v>45142</v>
      </c>
      <c r="L3019">
        <v>8986640405</v>
      </c>
    </row>
    <row r="3020" spans="1:14" ht="15" customHeight="1">
      <c r="A3020" s="5" t="s">
        <v>0</v>
      </c>
      <c r="B3020" s="5" t="str">
        <f t="shared" si="49"/>
        <v>Y</v>
      </c>
      <c r="C3020" s="860" t="s">
        <v>14532</v>
      </c>
      <c r="E3020" s="860" t="s">
        <v>14533</v>
      </c>
      <c r="F3020" s="451">
        <v>37431</v>
      </c>
      <c r="G3020" s="386">
        <v>45142</v>
      </c>
      <c r="H3020" s="386">
        <v>45142</v>
      </c>
      <c r="L3020">
        <v>9693473566</v>
      </c>
    </row>
    <row r="3021" spans="1:14" ht="15" customHeight="1">
      <c r="A3021" s="5" t="s">
        <v>0</v>
      </c>
      <c r="B3021" s="5" t="str">
        <f t="shared" si="49"/>
        <v>Y</v>
      </c>
      <c r="C3021" s="861" t="s">
        <v>14534</v>
      </c>
      <c r="E3021" s="861" t="s">
        <v>14535</v>
      </c>
      <c r="F3021" s="451">
        <v>17899</v>
      </c>
      <c r="G3021" s="386">
        <v>45128</v>
      </c>
      <c r="H3021" s="386">
        <v>45143</v>
      </c>
      <c r="L3021">
        <v>9334636033</v>
      </c>
    </row>
    <row r="3022" spans="1:14" ht="15" customHeight="1">
      <c r="A3022" s="5" t="s">
        <v>0</v>
      </c>
      <c r="B3022" s="5" t="str">
        <f t="shared" si="49"/>
        <v>Y</v>
      </c>
      <c r="C3022" s="861" t="s">
        <v>14537</v>
      </c>
      <c r="E3022" s="861" t="s">
        <v>14369</v>
      </c>
      <c r="F3022" s="451">
        <v>36654</v>
      </c>
      <c r="G3022" s="386">
        <v>45143</v>
      </c>
      <c r="H3022" s="386">
        <v>45143</v>
      </c>
      <c r="L3022">
        <v>7091536650</v>
      </c>
    </row>
    <row r="3023" spans="1:14" ht="15" customHeight="1">
      <c r="A3023" s="5" t="s">
        <v>0</v>
      </c>
      <c r="B3023" s="5" t="str">
        <f t="shared" si="49"/>
        <v>Y</v>
      </c>
      <c r="C3023" s="861" t="s">
        <v>14538</v>
      </c>
      <c r="E3023" s="861" t="s">
        <v>14539</v>
      </c>
      <c r="F3023" s="451">
        <v>38495</v>
      </c>
      <c r="G3023" s="386">
        <v>45143</v>
      </c>
      <c r="H3023" s="386">
        <v>45143</v>
      </c>
      <c r="L3023">
        <v>8252152920</v>
      </c>
    </row>
    <row r="3024" spans="1:14" ht="15" customHeight="1">
      <c r="A3024" s="5" t="s">
        <v>0</v>
      </c>
      <c r="B3024" s="5" t="str">
        <f t="shared" si="49"/>
        <v>Y</v>
      </c>
      <c r="C3024" s="863" t="s">
        <v>14540</v>
      </c>
      <c r="E3024" s="863" t="s">
        <v>14541</v>
      </c>
      <c r="F3024" s="451">
        <v>21748</v>
      </c>
      <c r="G3024" s="386">
        <v>45143</v>
      </c>
      <c r="H3024" s="386">
        <v>45143</v>
      </c>
      <c r="L3024">
        <v>9431761645</v>
      </c>
    </row>
    <row r="3025" spans="1:12" ht="15" customHeight="1">
      <c r="A3025" s="5" t="s">
        <v>0</v>
      </c>
      <c r="B3025" s="5" t="str">
        <f t="shared" si="49"/>
        <v>Y</v>
      </c>
      <c r="C3025" s="864" t="s">
        <v>14542</v>
      </c>
      <c r="E3025" s="864" t="s">
        <v>14543</v>
      </c>
      <c r="F3025" s="451">
        <v>19406</v>
      </c>
      <c r="G3025" s="386">
        <v>45143</v>
      </c>
      <c r="H3025" s="386">
        <v>45143</v>
      </c>
      <c r="L3025">
        <v>7546962475</v>
      </c>
    </row>
    <row r="3026" spans="1:12" ht="15" customHeight="1">
      <c r="A3026" s="5" t="s">
        <v>0</v>
      </c>
      <c r="B3026" s="5" t="str">
        <f t="shared" si="49"/>
        <v>Y</v>
      </c>
      <c r="C3026" s="866" t="s">
        <v>14547</v>
      </c>
      <c r="E3026" s="866" t="s">
        <v>14548</v>
      </c>
      <c r="F3026" s="451">
        <v>29246</v>
      </c>
      <c r="G3026" s="386">
        <v>45147</v>
      </c>
      <c r="H3026" s="386">
        <v>45147</v>
      </c>
      <c r="L3026">
        <v>6370690748</v>
      </c>
    </row>
    <row r="3027" spans="1:12" ht="15" customHeight="1">
      <c r="A3027" s="5" t="s">
        <v>0</v>
      </c>
      <c r="B3027" s="5" t="str">
        <f t="shared" si="49"/>
        <v>Y</v>
      </c>
      <c r="C3027" s="866" t="s">
        <v>14549</v>
      </c>
      <c r="E3027" s="866" t="s">
        <v>14550</v>
      </c>
      <c r="F3027" s="451">
        <v>28856</v>
      </c>
      <c r="G3027" s="386">
        <v>45147</v>
      </c>
      <c r="H3027" s="386">
        <v>45147</v>
      </c>
      <c r="L3027">
        <v>9308383695</v>
      </c>
    </row>
    <row r="3028" spans="1:12" ht="15" customHeight="1">
      <c r="A3028" s="5" t="s">
        <v>0</v>
      </c>
      <c r="B3028" s="5" t="str">
        <f t="shared" si="49"/>
        <v>Y</v>
      </c>
      <c r="C3028" s="866" t="s">
        <v>14552</v>
      </c>
      <c r="E3028" s="866" t="s">
        <v>14551</v>
      </c>
      <c r="F3028" s="451">
        <v>27761</v>
      </c>
      <c r="G3028" s="386">
        <v>45147</v>
      </c>
      <c r="H3028" s="386">
        <v>45147</v>
      </c>
      <c r="L3028">
        <v>9031392638</v>
      </c>
    </row>
    <row r="3029" spans="1:12" ht="15" customHeight="1">
      <c r="A3029" s="5" t="s">
        <v>0</v>
      </c>
      <c r="B3029" s="5" t="str">
        <f t="shared" si="49"/>
        <v>Y</v>
      </c>
      <c r="C3029" s="867" t="s">
        <v>14553</v>
      </c>
      <c r="E3029" s="867" t="s">
        <v>14554</v>
      </c>
      <c r="F3029" s="451">
        <v>38063</v>
      </c>
      <c r="G3029" s="386">
        <v>45148</v>
      </c>
      <c r="H3029" s="386">
        <v>45148</v>
      </c>
      <c r="L3029">
        <v>6204821642</v>
      </c>
    </row>
    <row r="3030" spans="1:12" ht="15" customHeight="1">
      <c r="A3030" s="5" t="s">
        <v>0</v>
      </c>
      <c r="B3030" s="5" t="str">
        <f t="shared" si="49"/>
        <v>Y</v>
      </c>
      <c r="C3030" s="867" t="s">
        <v>14556</v>
      </c>
      <c r="E3030" s="867" t="s">
        <v>14555</v>
      </c>
      <c r="F3030" s="451">
        <v>22169</v>
      </c>
      <c r="G3030" s="386">
        <v>45148</v>
      </c>
      <c r="H3030" s="386">
        <v>45148</v>
      </c>
      <c r="L3030">
        <v>9334168746</v>
      </c>
    </row>
    <row r="3031" spans="1:12" ht="15" customHeight="1">
      <c r="A3031" s="5" t="s">
        <v>0</v>
      </c>
      <c r="B3031" s="5" t="str">
        <f t="shared" si="49"/>
        <v>Y</v>
      </c>
      <c r="C3031" s="868" t="s">
        <v>14560</v>
      </c>
      <c r="E3031" s="868" t="s">
        <v>13487</v>
      </c>
      <c r="F3031" s="451">
        <v>38576</v>
      </c>
      <c r="G3031" s="386">
        <v>45150</v>
      </c>
      <c r="H3031" s="386">
        <v>45150</v>
      </c>
      <c r="L3031">
        <v>8092315528</v>
      </c>
    </row>
    <row r="3032" spans="1:12" ht="15" customHeight="1">
      <c r="A3032" s="5" t="s">
        <v>0</v>
      </c>
      <c r="B3032" s="5" t="str">
        <f t="shared" si="49"/>
        <v>Y</v>
      </c>
      <c r="C3032" s="868" t="s">
        <v>14561</v>
      </c>
      <c r="E3032" s="868" t="s">
        <v>7085</v>
      </c>
      <c r="F3032" s="451">
        <v>37286</v>
      </c>
      <c r="G3032" s="386">
        <v>45150</v>
      </c>
      <c r="H3032" s="386">
        <v>45150</v>
      </c>
      <c r="L3032">
        <v>8603602266</v>
      </c>
    </row>
    <row r="3033" spans="1:12" ht="15" customHeight="1">
      <c r="A3033" s="5" t="s">
        <v>0</v>
      </c>
      <c r="B3033" s="5" t="str">
        <f t="shared" si="49"/>
        <v>Y</v>
      </c>
      <c r="C3033" s="870" t="s">
        <v>14564</v>
      </c>
      <c r="E3033" s="870" t="s">
        <v>14565</v>
      </c>
      <c r="F3033" s="451">
        <v>31351</v>
      </c>
      <c r="G3033" s="386">
        <v>45156</v>
      </c>
      <c r="H3033" s="386">
        <v>45156</v>
      </c>
      <c r="L3033">
        <v>8409996022</v>
      </c>
    </row>
    <row r="3034" spans="1:12" ht="15" customHeight="1">
      <c r="A3034" s="5" t="s">
        <v>0</v>
      </c>
      <c r="B3034" s="5" t="str">
        <f t="shared" si="49"/>
        <v>Y</v>
      </c>
      <c r="C3034" s="870" t="s">
        <v>14566</v>
      </c>
      <c r="E3034" s="870" t="s">
        <v>14567</v>
      </c>
      <c r="F3034" s="451">
        <v>24841</v>
      </c>
      <c r="G3034" s="386">
        <v>45156</v>
      </c>
      <c r="H3034" s="386">
        <v>45156</v>
      </c>
      <c r="L3034">
        <v>8092238686</v>
      </c>
    </row>
    <row r="3035" spans="1:12" ht="15" customHeight="1">
      <c r="A3035" s="5" t="s">
        <v>0</v>
      </c>
      <c r="B3035" s="5" t="str">
        <f t="shared" si="49"/>
        <v>Y</v>
      </c>
      <c r="C3035" s="870" t="s">
        <v>14568</v>
      </c>
      <c r="E3035" s="870" t="s">
        <v>14569</v>
      </c>
      <c r="F3035" s="451">
        <v>38568</v>
      </c>
      <c r="G3035" s="386">
        <v>45156</v>
      </c>
      <c r="H3035" s="386">
        <v>45156</v>
      </c>
      <c r="L3035">
        <v>7764070581</v>
      </c>
    </row>
    <row r="3036" spans="1:12" ht="15" customHeight="1">
      <c r="A3036" s="5" t="s">
        <v>0</v>
      </c>
      <c r="B3036" s="5" t="str">
        <f t="shared" si="49"/>
        <v>Y</v>
      </c>
      <c r="C3036" s="871" t="s">
        <v>14572</v>
      </c>
      <c r="E3036" s="871" t="s">
        <v>14573</v>
      </c>
      <c r="F3036" s="451">
        <v>27395</v>
      </c>
      <c r="G3036" s="386">
        <v>45161</v>
      </c>
      <c r="H3036" s="386">
        <v>45161</v>
      </c>
      <c r="L3036">
        <v>9204002174</v>
      </c>
    </row>
    <row r="3037" spans="1:12" ht="15" customHeight="1">
      <c r="A3037" s="5" t="s">
        <v>0</v>
      </c>
      <c r="B3037" s="5" t="str">
        <f t="shared" si="49"/>
        <v>Y</v>
      </c>
      <c r="C3037" s="871" t="s">
        <v>14574</v>
      </c>
      <c r="E3037" s="871" t="s">
        <v>14575</v>
      </c>
      <c r="F3037" s="451">
        <v>33392</v>
      </c>
      <c r="G3037" s="386">
        <v>45157</v>
      </c>
      <c r="H3037" s="386">
        <v>45161</v>
      </c>
      <c r="L3037">
        <v>9334315773</v>
      </c>
    </row>
    <row r="3038" spans="1:12" ht="15" customHeight="1">
      <c r="A3038" s="5" t="s">
        <v>0</v>
      </c>
      <c r="B3038" s="5" t="str">
        <f t="shared" si="49"/>
        <v>Y</v>
      </c>
      <c r="C3038" s="871" t="s">
        <v>14576</v>
      </c>
      <c r="E3038" s="871" t="s">
        <v>14577</v>
      </c>
      <c r="F3038" s="451">
        <v>38328</v>
      </c>
      <c r="G3038" s="386">
        <v>45157</v>
      </c>
      <c r="H3038" s="386">
        <v>45161</v>
      </c>
      <c r="L3038">
        <v>9059496075</v>
      </c>
    </row>
    <row r="3039" spans="1:12" ht="15" customHeight="1">
      <c r="A3039" s="5" t="s">
        <v>0</v>
      </c>
      <c r="B3039" s="5" t="str">
        <f t="shared" si="49"/>
        <v>Y</v>
      </c>
      <c r="C3039" s="872" t="s">
        <v>14578</v>
      </c>
      <c r="E3039" s="872" t="s">
        <v>14579</v>
      </c>
      <c r="F3039" s="451">
        <v>45275</v>
      </c>
      <c r="G3039" s="386">
        <v>45161</v>
      </c>
      <c r="H3039" s="386">
        <v>45161</v>
      </c>
      <c r="L3039">
        <v>9153187978</v>
      </c>
    </row>
    <row r="3040" spans="1:12" ht="15" customHeight="1">
      <c r="A3040" s="5" t="s">
        <v>0</v>
      </c>
      <c r="B3040" s="5" t="str">
        <f t="shared" si="49"/>
        <v>Y</v>
      </c>
      <c r="C3040" s="873" t="s">
        <v>14580</v>
      </c>
      <c r="E3040" s="873" t="s">
        <v>14581</v>
      </c>
      <c r="F3040" s="451">
        <v>39240</v>
      </c>
      <c r="G3040" s="386">
        <v>45161</v>
      </c>
      <c r="H3040" s="386">
        <v>45161</v>
      </c>
      <c r="L3040">
        <v>9031902182</v>
      </c>
    </row>
    <row r="3041" spans="1:12" ht="15" customHeight="1">
      <c r="A3041" s="5" t="s">
        <v>0</v>
      </c>
      <c r="B3041" s="5" t="str">
        <f t="shared" si="49"/>
        <v>Y</v>
      </c>
      <c r="C3041" s="874" t="s">
        <v>14582</v>
      </c>
      <c r="D3041" s="820"/>
      <c r="E3041" s="820" t="s">
        <v>14320</v>
      </c>
      <c r="F3041" s="451">
        <v>38584</v>
      </c>
      <c r="G3041" s="386">
        <v>45161</v>
      </c>
      <c r="H3041" s="386">
        <v>45161</v>
      </c>
      <c r="L3041">
        <v>9065272105</v>
      </c>
    </row>
    <row r="3042" spans="1:12" ht="15" customHeight="1">
      <c r="A3042" s="5" t="s">
        <v>0</v>
      </c>
      <c r="B3042" s="5" t="str">
        <f t="shared" si="49"/>
        <v>Y</v>
      </c>
      <c r="C3042" s="874" t="s">
        <v>14583</v>
      </c>
      <c r="E3042" s="874" t="s">
        <v>10153</v>
      </c>
      <c r="F3042" s="451">
        <v>27346</v>
      </c>
      <c r="G3042" s="386">
        <v>45161</v>
      </c>
      <c r="H3042" s="386">
        <v>45161</v>
      </c>
      <c r="L3042">
        <v>9955531822</v>
      </c>
    </row>
    <row r="3043" spans="1:12" ht="15" customHeight="1">
      <c r="A3043" s="5" t="s">
        <v>0</v>
      </c>
      <c r="B3043" s="5" t="str">
        <f t="shared" si="49"/>
        <v>Y</v>
      </c>
      <c r="C3043" s="875" t="s">
        <v>14585</v>
      </c>
      <c r="E3043" s="875" t="s">
        <v>14584</v>
      </c>
      <c r="F3043" s="451">
        <v>27395</v>
      </c>
      <c r="G3043" s="386">
        <v>45162</v>
      </c>
      <c r="H3043" s="386">
        <v>45162</v>
      </c>
      <c r="L3043">
        <v>7209824304</v>
      </c>
    </row>
    <row r="3044" spans="1:12" ht="15" customHeight="1">
      <c r="A3044" s="5" t="s">
        <v>0</v>
      </c>
      <c r="B3044" s="5" t="str">
        <f t="shared" si="49"/>
        <v>Y</v>
      </c>
      <c r="C3044" s="875" t="s">
        <v>14586</v>
      </c>
      <c r="E3044" s="875" t="s">
        <v>14587</v>
      </c>
      <c r="F3044" s="451">
        <v>37974</v>
      </c>
      <c r="G3044" s="386">
        <v>45162</v>
      </c>
      <c r="H3044" s="386">
        <v>45162</v>
      </c>
      <c r="L3044">
        <v>6204367455</v>
      </c>
    </row>
    <row r="3045" spans="1:12" ht="15" customHeight="1">
      <c r="A3045" s="5" t="s">
        <v>0</v>
      </c>
      <c r="B3045" s="5" t="str">
        <f t="shared" si="49"/>
        <v>Y</v>
      </c>
      <c r="C3045" s="876" t="s">
        <v>14589</v>
      </c>
      <c r="E3045" s="875" t="s">
        <v>14588</v>
      </c>
      <c r="F3045" s="451">
        <v>28643</v>
      </c>
      <c r="G3045" s="386">
        <v>45162</v>
      </c>
      <c r="H3045" s="386">
        <v>45162</v>
      </c>
      <c r="L3045">
        <v>8294477190</v>
      </c>
    </row>
    <row r="3046" spans="1:12" ht="15" customHeight="1">
      <c r="A3046" s="5" t="s">
        <v>0</v>
      </c>
      <c r="B3046" s="5" t="str">
        <f t="shared" si="49"/>
        <v>Y</v>
      </c>
      <c r="C3046" s="877" t="s">
        <v>14590</v>
      </c>
      <c r="E3046" s="877" t="s">
        <v>14591</v>
      </c>
      <c r="F3046" s="451">
        <v>24473</v>
      </c>
      <c r="G3046" s="386">
        <v>45163</v>
      </c>
      <c r="H3046" s="386">
        <v>45163</v>
      </c>
      <c r="L3046">
        <v>6206781309</v>
      </c>
    </row>
    <row r="3047" spans="1:12" ht="15" customHeight="1">
      <c r="A3047" s="5" t="s">
        <v>0</v>
      </c>
      <c r="B3047" s="5" t="str">
        <f t="shared" si="49"/>
        <v>Y</v>
      </c>
      <c r="C3047" s="879" t="s">
        <v>14592</v>
      </c>
      <c r="E3047" s="879" t="s">
        <v>14593</v>
      </c>
      <c r="F3047" s="386">
        <v>21337</v>
      </c>
      <c r="G3047" s="451">
        <v>45164</v>
      </c>
      <c r="H3047" s="451">
        <v>45164</v>
      </c>
      <c r="L3047">
        <v>9523678106</v>
      </c>
    </row>
    <row r="3048" spans="1:12" ht="14.25" customHeight="1">
      <c r="A3048" s="5" t="s">
        <v>0</v>
      </c>
      <c r="B3048" s="5" t="str">
        <f t="shared" si="49"/>
        <v>Y</v>
      </c>
      <c r="C3048" s="879" t="s">
        <v>14594</v>
      </c>
      <c r="E3048" s="879" t="s">
        <v>9329</v>
      </c>
      <c r="F3048" s="451">
        <v>30840</v>
      </c>
      <c r="G3048" s="451">
        <v>45164</v>
      </c>
      <c r="H3048" s="451">
        <v>45164</v>
      </c>
      <c r="L3048">
        <v>9523678106</v>
      </c>
    </row>
    <row r="3049" spans="1:12" ht="15" customHeight="1">
      <c r="A3049" s="5" t="s">
        <v>0</v>
      </c>
      <c r="B3049" s="5" t="str">
        <f t="shared" si="49"/>
        <v>Y</v>
      </c>
      <c r="C3049" s="880" t="s">
        <v>14595</v>
      </c>
      <c r="E3049" s="880" t="s">
        <v>14596</v>
      </c>
      <c r="F3049" s="451">
        <v>33232</v>
      </c>
      <c r="G3049" s="451">
        <v>45164</v>
      </c>
      <c r="H3049" s="451">
        <v>45164</v>
      </c>
      <c r="L3049">
        <v>7909087348</v>
      </c>
    </row>
    <row r="3050" spans="1:12" ht="15" customHeight="1">
      <c r="A3050" s="5" t="s">
        <v>0</v>
      </c>
      <c r="B3050" s="5" t="str">
        <f t="shared" si="49"/>
        <v>Y</v>
      </c>
      <c r="C3050" s="881" t="s">
        <v>14597</v>
      </c>
      <c r="E3050" s="881" t="s">
        <v>14598</v>
      </c>
      <c r="F3050" s="451">
        <v>45165</v>
      </c>
      <c r="G3050" s="386">
        <v>45165</v>
      </c>
      <c r="H3050" s="386">
        <v>45165</v>
      </c>
      <c r="L3050">
        <v>9031903050</v>
      </c>
    </row>
    <row r="3051" spans="1:12" ht="15" customHeight="1">
      <c r="A3051" s="5" t="s">
        <v>0</v>
      </c>
      <c r="B3051" s="5" t="str">
        <f t="shared" si="49"/>
        <v>Y</v>
      </c>
      <c r="C3051" s="882" t="s">
        <v>14600</v>
      </c>
      <c r="E3051" s="881" t="s">
        <v>14599</v>
      </c>
      <c r="F3051" s="451">
        <v>36161</v>
      </c>
      <c r="G3051" s="386">
        <v>45166</v>
      </c>
      <c r="H3051" s="386">
        <v>45166</v>
      </c>
      <c r="L3051">
        <v>9263849454</v>
      </c>
    </row>
    <row r="3052" spans="1:12" ht="15" customHeight="1">
      <c r="A3052" s="5" t="s">
        <v>0</v>
      </c>
      <c r="B3052" s="5" t="str">
        <f t="shared" si="49"/>
        <v>Y</v>
      </c>
      <c r="C3052" s="882" t="s">
        <v>14601</v>
      </c>
      <c r="E3052" s="882" t="s">
        <v>14602</v>
      </c>
      <c r="F3052" s="451">
        <v>31530</v>
      </c>
      <c r="G3052" s="386">
        <v>45166</v>
      </c>
      <c r="H3052" s="386">
        <v>45166</v>
      </c>
      <c r="L3052">
        <v>9608606579</v>
      </c>
    </row>
    <row r="3053" spans="1:12" ht="15" customHeight="1">
      <c r="A3053" s="5" t="s">
        <v>0</v>
      </c>
      <c r="B3053" s="5" t="str">
        <f t="shared" si="49"/>
        <v>Y</v>
      </c>
      <c r="C3053" s="882" t="s">
        <v>14603</v>
      </c>
      <c r="E3053" s="882" t="s">
        <v>12107</v>
      </c>
      <c r="F3053" s="451">
        <v>33732</v>
      </c>
      <c r="G3053" s="386">
        <v>45166</v>
      </c>
      <c r="H3053" s="386">
        <v>45166</v>
      </c>
      <c r="L3053">
        <v>6202827901</v>
      </c>
    </row>
    <row r="3054" spans="1:12" ht="15" customHeight="1">
      <c r="A3054" s="5" t="s">
        <v>0</v>
      </c>
      <c r="B3054" s="5" t="str">
        <f t="shared" si="49"/>
        <v>Y</v>
      </c>
      <c r="C3054" s="882" t="s">
        <v>14604</v>
      </c>
      <c r="E3054" s="882" t="s">
        <v>14605</v>
      </c>
      <c r="F3054" s="451">
        <v>25198</v>
      </c>
      <c r="G3054" s="386">
        <v>45166</v>
      </c>
      <c r="H3054" s="386">
        <v>45166</v>
      </c>
      <c r="L3054">
        <v>8709558967</v>
      </c>
    </row>
    <row r="3055" spans="1:12" ht="15" customHeight="1">
      <c r="A3055" s="5" t="s">
        <v>0</v>
      </c>
      <c r="B3055" s="5" t="str">
        <f t="shared" si="49"/>
        <v>Y</v>
      </c>
      <c r="C3055" s="882" t="s">
        <v>14606</v>
      </c>
      <c r="E3055" s="882" t="s">
        <v>14607</v>
      </c>
      <c r="F3055" s="451">
        <v>31405</v>
      </c>
      <c r="G3055" s="386">
        <v>45166</v>
      </c>
      <c r="H3055" s="386">
        <v>45166</v>
      </c>
      <c r="L3055">
        <v>8757864446</v>
      </c>
    </row>
    <row r="3056" spans="1:12" ht="15" customHeight="1">
      <c r="A3056" s="5" t="s">
        <v>0</v>
      </c>
      <c r="B3056" s="5" t="str">
        <f t="shared" si="49"/>
        <v>Y</v>
      </c>
      <c r="C3056" s="882" t="s">
        <v>14609</v>
      </c>
      <c r="E3056" s="882" t="s">
        <v>14608</v>
      </c>
      <c r="F3056" s="451">
        <v>38049</v>
      </c>
      <c r="G3056" s="386">
        <v>45166</v>
      </c>
      <c r="H3056" s="386">
        <v>45166</v>
      </c>
      <c r="L3056">
        <v>9835439093</v>
      </c>
    </row>
    <row r="3057" spans="1:12" ht="15" customHeight="1">
      <c r="A3057" s="5" t="s">
        <v>0</v>
      </c>
      <c r="B3057" s="5" t="str">
        <f t="shared" si="49"/>
        <v>Y</v>
      </c>
      <c r="C3057" s="883" t="s">
        <v>14610</v>
      </c>
      <c r="E3057" s="883" t="s">
        <v>14611</v>
      </c>
      <c r="F3057" s="451">
        <v>37154</v>
      </c>
      <c r="G3057" s="386">
        <v>45167</v>
      </c>
      <c r="H3057" s="386">
        <v>45167</v>
      </c>
      <c r="L3057">
        <v>8877224772</v>
      </c>
    </row>
    <row r="3058" spans="1:12" ht="15" customHeight="1">
      <c r="A3058" s="5" t="s">
        <v>0</v>
      </c>
      <c r="B3058" s="5" t="str">
        <f t="shared" si="49"/>
        <v>Y</v>
      </c>
      <c r="C3058" s="883" t="s">
        <v>14613</v>
      </c>
      <c r="E3058" s="883" t="s">
        <v>14612</v>
      </c>
      <c r="F3058" s="451">
        <v>27602</v>
      </c>
      <c r="G3058" s="386">
        <v>45167</v>
      </c>
      <c r="H3058" s="386">
        <v>45167</v>
      </c>
      <c r="L3058">
        <v>8651775827</v>
      </c>
    </row>
    <row r="3059" spans="1:12" ht="15" customHeight="1">
      <c r="A3059" s="5" t="s">
        <v>0</v>
      </c>
      <c r="B3059" s="5" t="str">
        <f t="shared" si="49"/>
        <v>Y</v>
      </c>
      <c r="C3059" s="884" t="s">
        <v>14614</v>
      </c>
      <c r="E3059" s="884" t="s">
        <v>14615</v>
      </c>
      <c r="F3059" s="451">
        <v>38594</v>
      </c>
      <c r="G3059" s="386">
        <v>45168</v>
      </c>
      <c r="H3059" s="386">
        <v>45168</v>
      </c>
      <c r="L3059">
        <v>6206655957</v>
      </c>
    </row>
    <row r="3060" spans="1:12" ht="15" customHeight="1">
      <c r="A3060" s="5" t="s">
        <v>0</v>
      </c>
      <c r="B3060" s="5" t="str">
        <f t="shared" si="49"/>
        <v>Y</v>
      </c>
      <c r="C3060" s="884" t="s">
        <v>14616</v>
      </c>
      <c r="E3060" s="885" t="s">
        <v>14617</v>
      </c>
      <c r="F3060" s="451">
        <v>27526</v>
      </c>
      <c r="G3060" s="386">
        <v>45174</v>
      </c>
      <c r="H3060" s="386">
        <v>45175</v>
      </c>
      <c r="L3060" s="141">
        <v>9006144360</v>
      </c>
    </row>
    <row r="3061" spans="1:12" ht="15" customHeight="1">
      <c r="A3061" s="5" t="s">
        <v>0</v>
      </c>
      <c r="B3061" s="5" t="str">
        <f t="shared" si="49"/>
        <v>Y</v>
      </c>
      <c r="C3061" s="887" t="s">
        <v>14621</v>
      </c>
      <c r="E3061" s="887" t="s">
        <v>14619</v>
      </c>
      <c r="F3061" s="451">
        <v>25011</v>
      </c>
      <c r="G3061" s="386">
        <v>45175</v>
      </c>
      <c r="H3061" s="386">
        <v>45175</v>
      </c>
      <c r="L3061">
        <v>9931127803</v>
      </c>
    </row>
    <row r="3062" spans="1:12" ht="15" customHeight="1">
      <c r="A3062" s="5" t="s">
        <v>0</v>
      </c>
      <c r="B3062" s="5" t="str">
        <f t="shared" si="49"/>
        <v>Y</v>
      </c>
      <c r="C3062" s="887" t="s">
        <v>14620</v>
      </c>
      <c r="E3062" s="887" t="s">
        <v>14622</v>
      </c>
      <c r="F3062" s="451">
        <v>28126</v>
      </c>
      <c r="G3062" s="386">
        <v>45175</v>
      </c>
      <c r="H3062" s="386">
        <v>45175</v>
      </c>
      <c r="L3062">
        <v>7667080892</v>
      </c>
    </row>
    <row r="3063" spans="1:12" ht="15" customHeight="1">
      <c r="A3063" s="5" t="s">
        <v>0</v>
      </c>
      <c r="B3063" s="5" t="str">
        <f t="shared" si="49"/>
        <v>Y</v>
      </c>
      <c r="C3063" s="892" t="s">
        <v>14625</v>
      </c>
      <c r="D3063" s="888" t="s">
        <v>14623</v>
      </c>
      <c r="E3063" s="888" t="s">
        <v>14624</v>
      </c>
      <c r="F3063" s="451">
        <v>29213</v>
      </c>
      <c r="G3063" s="386">
        <v>45177</v>
      </c>
      <c r="H3063" s="386">
        <v>45177</v>
      </c>
      <c r="L3063">
        <v>7631027857</v>
      </c>
    </row>
    <row r="3064" spans="1:12" ht="15" customHeight="1">
      <c r="A3064" s="5" t="s">
        <v>0</v>
      </c>
      <c r="B3064" s="5" t="str">
        <f t="shared" si="49"/>
        <v>Y</v>
      </c>
      <c r="C3064" s="889" t="s">
        <v>14627</v>
      </c>
      <c r="D3064" t="s">
        <v>14512</v>
      </c>
      <c r="E3064" s="889" t="s">
        <v>14628</v>
      </c>
      <c r="F3064" s="451">
        <v>25133</v>
      </c>
      <c r="G3064" s="386">
        <v>45182</v>
      </c>
      <c r="H3064" s="386">
        <v>45182</v>
      </c>
      <c r="L3064">
        <v>9204002174</v>
      </c>
    </row>
    <row r="3065" spans="1:12" ht="15" customHeight="1">
      <c r="A3065" s="5" t="s">
        <v>0</v>
      </c>
      <c r="B3065" s="5" t="str">
        <f t="shared" si="49"/>
        <v>Y</v>
      </c>
      <c r="C3065" s="889" t="s">
        <v>14629</v>
      </c>
      <c r="E3065" s="889" t="s">
        <v>13731</v>
      </c>
      <c r="F3065" s="451">
        <v>37110</v>
      </c>
      <c r="G3065" s="386">
        <v>45179</v>
      </c>
      <c r="H3065" s="386">
        <v>45179</v>
      </c>
      <c r="L3065">
        <v>9835319979</v>
      </c>
    </row>
    <row r="3066" spans="1:12" ht="15" customHeight="1">
      <c r="A3066" s="5" t="s">
        <v>0</v>
      </c>
      <c r="B3066" s="5" t="str">
        <f t="shared" si="49"/>
        <v>Y</v>
      </c>
      <c r="C3066" t="s">
        <v>14630</v>
      </c>
      <c r="D3066" t="s">
        <v>273</v>
      </c>
      <c r="E3066" t="s">
        <v>14631</v>
      </c>
      <c r="F3066" s="451">
        <v>16311</v>
      </c>
      <c r="G3066" s="386">
        <v>45183</v>
      </c>
      <c r="H3066" s="386">
        <v>45183</v>
      </c>
      <c r="L3066">
        <v>8969393989</v>
      </c>
    </row>
    <row r="3067" spans="1:12" ht="15" customHeight="1">
      <c r="A3067" s="5" t="s">
        <v>0</v>
      </c>
      <c r="B3067" s="5" t="str">
        <f t="shared" si="49"/>
        <v>Y</v>
      </c>
      <c r="C3067" t="s">
        <v>14632</v>
      </c>
      <c r="D3067" s="890" t="s">
        <v>274</v>
      </c>
      <c r="E3067" s="890" t="s">
        <v>14633</v>
      </c>
      <c r="F3067" s="451">
        <v>19516</v>
      </c>
      <c r="G3067" s="386">
        <v>45187</v>
      </c>
      <c r="H3067" s="386">
        <v>45190</v>
      </c>
      <c r="L3067">
        <v>9386909611</v>
      </c>
    </row>
    <row r="3068" spans="1:12" ht="15" customHeight="1">
      <c r="A3068" s="5" t="s">
        <v>0</v>
      </c>
      <c r="B3068" s="5" t="str">
        <f t="shared" si="49"/>
        <v>Y</v>
      </c>
      <c r="C3068" t="s">
        <v>14640</v>
      </c>
      <c r="D3068" s="892" t="s">
        <v>7411</v>
      </c>
      <c r="E3068" t="s">
        <v>14639</v>
      </c>
      <c r="F3068" s="451">
        <v>37656</v>
      </c>
      <c r="G3068" s="386">
        <v>45189</v>
      </c>
      <c r="H3068" s="386">
        <v>45189</v>
      </c>
      <c r="L3068">
        <v>9142520394</v>
      </c>
    </row>
    <row r="3069" spans="1:12" ht="15" customHeight="1">
      <c r="A3069" s="5" t="s">
        <v>0</v>
      </c>
      <c r="B3069" s="5" t="str">
        <f t="shared" si="49"/>
        <v>Y</v>
      </c>
      <c r="C3069" t="s">
        <v>14642</v>
      </c>
      <c r="D3069" t="s">
        <v>14645</v>
      </c>
      <c r="E3069" t="s">
        <v>14641</v>
      </c>
      <c r="F3069" s="451">
        <v>34949</v>
      </c>
      <c r="G3069" s="386">
        <v>45191</v>
      </c>
      <c r="H3069" s="386">
        <v>45191</v>
      </c>
      <c r="L3069">
        <v>6260447345</v>
      </c>
    </row>
    <row r="3070" spans="1:12" ht="15" customHeight="1">
      <c r="A3070" s="5" t="s">
        <v>0</v>
      </c>
      <c r="B3070" s="5" t="str">
        <f t="shared" si="49"/>
        <v>Y</v>
      </c>
      <c r="C3070" t="s">
        <v>14644</v>
      </c>
      <c r="D3070" t="s">
        <v>14645</v>
      </c>
      <c r="E3070" t="s">
        <v>14643</v>
      </c>
      <c r="F3070" s="451">
        <v>32037</v>
      </c>
      <c r="G3070" s="386">
        <v>45191</v>
      </c>
      <c r="H3070" s="386">
        <v>45191</v>
      </c>
      <c r="L3070">
        <v>9973784433</v>
      </c>
    </row>
    <row r="3071" spans="1:12" ht="15" customHeight="1">
      <c r="A3071" s="5" t="s">
        <v>0</v>
      </c>
      <c r="B3071" s="5" t="str">
        <f t="shared" si="49"/>
        <v>Y</v>
      </c>
      <c r="C3071" t="s">
        <v>14648</v>
      </c>
      <c r="D3071" t="s">
        <v>14645</v>
      </c>
      <c r="E3071" s="898" t="s">
        <v>14649</v>
      </c>
      <c r="F3071" s="451">
        <v>37464</v>
      </c>
      <c r="G3071" s="386">
        <v>45193</v>
      </c>
      <c r="H3071" s="386">
        <v>45193</v>
      </c>
      <c r="L3071">
        <v>7479401278</v>
      </c>
    </row>
    <row r="3072" spans="1:12" ht="15" customHeight="1">
      <c r="A3072" s="5" t="s">
        <v>0</v>
      </c>
      <c r="B3072" s="5" t="str">
        <f t="shared" si="49"/>
        <v>Y</v>
      </c>
      <c r="C3072" s="899" t="s">
        <v>14650</v>
      </c>
      <c r="D3072" s="899" t="s">
        <v>274</v>
      </c>
      <c r="E3072" s="899" t="s">
        <v>14651</v>
      </c>
      <c r="F3072" s="451">
        <v>25777</v>
      </c>
      <c r="G3072" s="386">
        <v>45194</v>
      </c>
      <c r="H3072" s="386">
        <v>45194</v>
      </c>
      <c r="L3072">
        <v>7903342103</v>
      </c>
    </row>
    <row r="3073" spans="1:12" ht="15" customHeight="1">
      <c r="A3073" s="5" t="s">
        <v>0</v>
      </c>
      <c r="B3073" s="5" t="str">
        <f t="shared" si="49"/>
        <v>Y</v>
      </c>
      <c r="C3073" s="899" t="s">
        <v>14652</v>
      </c>
      <c r="D3073" s="899" t="s">
        <v>9162</v>
      </c>
      <c r="E3073" s="899" t="s">
        <v>14653</v>
      </c>
      <c r="F3073" s="451">
        <v>27148</v>
      </c>
      <c r="G3073" s="386">
        <v>45194</v>
      </c>
      <c r="H3073" s="386">
        <v>45194</v>
      </c>
      <c r="L3073">
        <v>9905310732</v>
      </c>
    </row>
    <row r="3074" spans="1:12" ht="15" customHeight="1">
      <c r="A3074" s="5" t="s">
        <v>0</v>
      </c>
      <c r="B3074" s="5" t="str">
        <f t="shared" si="49"/>
        <v>Y</v>
      </c>
      <c r="C3074" s="899" t="s">
        <v>14654</v>
      </c>
      <c r="E3074" s="899" t="s">
        <v>14655</v>
      </c>
      <c r="F3074" s="451">
        <v>37505</v>
      </c>
      <c r="G3074" s="386">
        <v>45194</v>
      </c>
      <c r="H3074" s="386">
        <v>45194</v>
      </c>
      <c r="L3074">
        <v>6287334421</v>
      </c>
    </row>
    <row r="3075" spans="1:12" ht="15" customHeight="1">
      <c r="A3075" s="5" t="s">
        <v>0</v>
      </c>
      <c r="B3075" s="5" t="str">
        <f t="shared" si="49"/>
        <v>Y</v>
      </c>
      <c r="C3075" s="900" t="s">
        <v>14656</v>
      </c>
      <c r="E3075" s="900" t="s">
        <v>14657</v>
      </c>
      <c r="F3075" s="451">
        <v>38588</v>
      </c>
      <c r="G3075" s="386">
        <v>45195</v>
      </c>
      <c r="H3075" s="386">
        <v>45195</v>
      </c>
      <c r="L3075">
        <v>7858009846</v>
      </c>
    </row>
    <row r="3076" spans="1:12" ht="15" customHeight="1">
      <c r="A3076" s="5" t="s">
        <v>0</v>
      </c>
      <c r="B3076" s="5" t="str">
        <f t="shared" si="49"/>
        <v>Y</v>
      </c>
      <c r="C3076" s="900" t="s">
        <v>14658</v>
      </c>
      <c r="E3076" s="900" t="s">
        <v>14659</v>
      </c>
      <c r="F3076" s="451">
        <v>31076</v>
      </c>
      <c r="G3076" s="386">
        <v>45195</v>
      </c>
      <c r="H3076" s="386">
        <v>45195</v>
      </c>
      <c r="L3076">
        <v>7488641595</v>
      </c>
    </row>
    <row r="3077" spans="1:12" ht="15" customHeight="1">
      <c r="A3077" s="5" t="s">
        <v>0</v>
      </c>
      <c r="B3077" s="5" t="str">
        <f t="shared" si="49"/>
        <v>Y</v>
      </c>
      <c r="C3077" s="901" t="s">
        <v>14660</v>
      </c>
      <c r="D3077" s="901" t="s">
        <v>14661</v>
      </c>
      <c r="E3077" s="901" t="s">
        <v>14662</v>
      </c>
      <c r="F3077" s="451">
        <v>18396</v>
      </c>
      <c r="G3077" s="386">
        <v>45195</v>
      </c>
      <c r="H3077" s="386">
        <v>45196</v>
      </c>
      <c r="L3077">
        <v>7321094574</v>
      </c>
    </row>
    <row r="3078" spans="1:12" ht="15" customHeight="1">
      <c r="A3078" s="5" t="s">
        <v>0</v>
      </c>
      <c r="B3078" s="5" t="str">
        <f t="shared" si="49"/>
        <v>Y</v>
      </c>
      <c r="C3078" s="902" t="s">
        <v>14667</v>
      </c>
      <c r="E3078" s="901" t="s">
        <v>14666</v>
      </c>
      <c r="F3078" s="451">
        <v>36112</v>
      </c>
      <c r="G3078" s="386">
        <v>47326</v>
      </c>
      <c r="H3078" s="386">
        <v>45196</v>
      </c>
      <c r="L3078">
        <v>8969154650</v>
      </c>
    </row>
    <row r="3079" spans="1:12" ht="15" customHeight="1">
      <c r="A3079" s="5" t="s">
        <v>0</v>
      </c>
      <c r="B3079" s="5" t="str">
        <f t="shared" si="49"/>
        <v>Y</v>
      </c>
      <c r="C3079" s="903" t="s">
        <v>14669</v>
      </c>
      <c r="D3079" t="s">
        <v>14668</v>
      </c>
      <c r="E3079" s="903" t="s">
        <v>14670</v>
      </c>
      <c r="F3079" s="451">
        <v>34505</v>
      </c>
      <c r="G3079" s="386">
        <v>47326</v>
      </c>
      <c r="H3079" s="386">
        <v>45196</v>
      </c>
      <c r="L3079">
        <v>9304413308</v>
      </c>
    </row>
    <row r="3080" spans="1:12" ht="15" customHeight="1">
      <c r="A3080" s="5" t="s">
        <v>0</v>
      </c>
      <c r="B3080" s="5" t="str">
        <f t="shared" si="49"/>
        <v>Y</v>
      </c>
      <c r="C3080" s="903" t="s">
        <v>14672</v>
      </c>
      <c r="D3080" t="s">
        <v>274</v>
      </c>
      <c r="E3080" s="903" t="s">
        <v>14671</v>
      </c>
      <c r="F3080" s="451">
        <v>23743</v>
      </c>
      <c r="G3080" s="386">
        <v>45197</v>
      </c>
      <c r="H3080" s="386">
        <v>45197</v>
      </c>
      <c r="L3080">
        <v>9122434016</v>
      </c>
    </row>
    <row r="3081" spans="1:12" ht="15" customHeight="1">
      <c r="A3081" s="5" t="s">
        <v>0</v>
      </c>
      <c r="B3081" s="5" t="str">
        <f t="shared" si="49"/>
        <v>Y</v>
      </c>
      <c r="C3081" s="904" t="s">
        <v>14673</v>
      </c>
      <c r="D3081" t="s">
        <v>274</v>
      </c>
      <c r="E3081" s="904" t="s">
        <v>14674</v>
      </c>
      <c r="F3081" s="451">
        <v>33604</v>
      </c>
      <c r="G3081" s="386">
        <v>45198</v>
      </c>
      <c r="H3081" s="386">
        <v>45198</v>
      </c>
      <c r="L3081">
        <v>9031136569</v>
      </c>
    </row>
    <row r="3082" spans="1:12" ht="15" customHeight="1">
      <c r="A3082" s="5" t="s">
        <v>0</v>
      </c>
      <c r="B3082" s="5" t="str">
        <f t="shared" si="49"/>
        <v>Y</v>
      </c>
      <c r="C3082" s="905" t="s">
        <v>14675</v>
      </c>
      <c r="E3082" s="905" t="s">
        <v>11445</v>
      </c>
      <c r="F3082" s="451">
        <v>35854</v>
      </c>
      <c r="G3082" s="386">
        <v>45200</v>
      </c>
      <c r="H3082" s="386">
        <v>45200</v>
      </c>
      <c r="L3082">
        <v>9934977558</v>
      </c>
    </row>
    <row r="3083" spans="1:12" ht="15" customHeight="1">
      <c r="A3083" s="5" t="s">
        <v>0</v>
      </c>
      <c r="B3083" s="5" t="str">
        <f t="shared" ref="B3083:B3086" si="50">IF(H3083="","N","Y")</f>
        <v>N</v>
      </c>
      <c r="C3083" s="463" t="s">
        <v>14677</v>
      </c>
      <c r="D3083" s="463"/>
      <c r="E3083" s="463" t="s">
        <v>14678</v>
      </c>
      <c r="F3083" s="659">
        <v>37816</v>
      </c>
      <c r="G3083" s="907" t="s">
        <v>14679</v>
      </c>
      <c r="H3083" s="906"/>
    </row>
    <row r="3084" spans="1:12" ht="15" customHeight="1">
      <c r="A3084" s="5" t="s">
        <v>0</v>
      </c>
      <c r="B3084" s="5" t="str">
        <f t="shared" si="50"/>
        <v>Y</v>
      </c>
      <c r="C3084" t="s">
        <v>14676</v>
      </c>
      <c r="E3084" s="906" t="s">
        <v>14678</v>
      </c>
      <c r="F3084" s="451">
        <v>37817</v>
      </c>
      <c r="G3084" s="386">
        <v>45201</v>
      </c>
      <c r="H3084" s="386">
        <v>45201</v>
      </c>
      <c r="L3084">
        <v>6205526910</v>
      </c>
    </row>
    <row r="3085" spans="1:12" ht="15" customHeight="1">
      <c r="A3085" s="5" t="s">
        <v>0</v>
      </c>
      <c r="B3085" s="5" t="str">
        <f t="shared" si="50"/>
        <v>Y</v>
      </c>
      <c r="C3085" t="s">
        <v>14681</v>
      </c>
      <c r="D3085" t="s">
        <v>274</v>
      </c>
      <c r="E3085" s="909" t="s">
        <v>14682</v>
      </c>
      <c r="F3085" s="451">
        <v>32298</v>
      </c>
      <c r="G3085" s="386">
        <v>45203</v>
      </c>
      <c r="H3085" s="386">
        <v>45203</v>
      </c>
      <c r="L3085">
        <v>7209947596</v>
      </c>
    </row>
    <row r="3086" spans="1:12" ht="15" customHeight="1">
      <c r="A3086" s="5" t="s">
        <v>0</v>
      </c>
      <c r="B3086" s="5" t="str">
        <f t="shared" si="50"/>
        <v>Y</v>
      </c>
      <c r="C3086" t="s">
        <v>14684</v>
      </c>
      <c r="E3086" s="910" t="s">
        <v>14685</v>
      </c>
      <c r="F3086" s="451">
        <v>19055</v>
      </c>
      <c r="G3086" s="386">
        <v>45206</v>
      </c>
      <c r="H3086" s="386">
        <v>45206</v>
      </c>
      <c r="L3086">
        <v>6206699134</v>
      </c>
    </row>
    <row r="3087" spans="1:12" ht="15" customHeight="1">
      <c r="A3087" s="5" t="s">
        <v>0</v>
      </c>
      <c r="B3087" s="5" t="str">
        <f t="shared" ref="B3087:B3145" si="51">IF(H3087="","N","Y")</f>
        <v>Y</v>
      </c>
      <c r="C3087" t="s">
        <v>14689</v>
      </c>
      <c r="E3087" s="912" t="s">
        <v>14688</v>
      </c>
      <c r="F3087" s="451">
        <v>20112</v>
      </c>
      <c r="G3087" s="386">
        <v>45209</v>
      </c>
      <c r="H3087" s="386">
        <v>45211</v>
      </c>
      <c r="L3087">
        <v>7479711530</v>
      </c>
    </row>
    <row r="3088" spans="1:12" ht="15" customHeight="1">
      <c r="A3088" s="5" t="s">
        <v>0</v>
      </c>
      <c r="B3088" s="5" t="str">
        <f t="shared" si="51"/>
        <v>Y</v>
      </c>
      <c r="C3088" t="s">
        <v>14690</v>
      </c>
      <c r="D3088" t="s">
        <v>11969</v>
      </c>
      <c r="E3088" s="912" t="s">
        <v>14691</v>
      </c>
      <c r="F3088" s="451">
        <v>38633</v>
      </c>
      <c r="G3088" s="386">
        <v>45209</v>
      </c>
      <c r="H3088" s="386">
        <v>45209</v>
      </c>
      <c r="L3088">
        <v>9334895011</v>
      </c>
    </row>
    <row r="3089" spans="1:12" ht="15" customHeight="1">
      <c r="A3089" s="5" t="s">
        <v>0</v>
      </c>
      <c r="B3089" s="5" t="str">
        <f t="shared" si="51"/>
        <v>Y</v>
      </c>
      <c r="C3089" t="s">
        <v>14695</v>
      </c>
      <c r="D3089" t="s">
        <v>274</v>
      </c>
      <c r="E3089" s="912" t="s">
        <v>11883</v>
      </c>
      <c r="F3089" s="451">
        <v>19218</v>
      </c>
      <c r="G3089" s="386">
        <v>45209</v>
      </c>
      <c r="H3089" s="386">
        <v>45209</v>
      </c>
      <c r="L3089">
        <v>9199847410</v>
      </c>
    </row>
    <row r="3090" spans="1:12" ht="15" customHeight="1">
      <c r="A3090" s="5" t="s">
        <v>0</v>
      </c>
      <c r="B3090" s="5" t="str">
        <f t="shared" si="51"/>
        <v>Y</v>
      </c>
      <c r="C3090" t="s">
        <v>14696</v>
      </c>
      <c r="D3090" t="s">
        <v>11969</v>
      </c>
      <c r="E3090" s="913" t="s">
        <v>14697</v>
      </c>
      <c r="F3090" s="451">
        <v>31374</v>
      </c>
      <c r="G3090" s="386">
        <v>45209</v>
      </c>
      <c r="H3090" s="386">
        <v>45209</v>
      </c>
      <c r="L3090">
        <v>8603290632</v>
      </c>
    </row>
    <row r="3091" spans="1:12" ht="15" customHeight="1">
      <c r="A3091" s="5" t="s">
        <v>0</v>
      </c>
      <c r="B3091" s="5" t="str">
        <f t="shared" si="51"/>
        <v>Y</v>
      </c>
      <c r="C3091" t="s">
        <v>14698</v>
      </c>
      <c r="D3091" t="s">
        <v>273</v>
      </c>
      <c r="E3091" s="913" t="s">
        <v>13175</v>
      </c>
      <c r="F3091" s="451">
        <v>30665</v>
      </c>
      <c r="G3091" s="386">
        <v>45209</v>
      </c>
      <c r="H3091" s="386">
        <v>45209</v>
      </c>
      <c r="L3091">
        <v>9263801745</v>
      </c>
    </row>
    <row r="3092" spans="1:12" ht="15" customHeight="1">
      <c r="A3092" s="5" t="s">
        <v>0</v>
      </c>
      <c r="B3092" s="5" t="str">
        <f t="shared" si="51"/>
        <v>Y</v>
      </c>
      <c r="C3092" s="913" t="s">
        <v>14699</v>
      </c>
      <c r="E3092" s="913" t="s">
        <v>3586</v>
      </c>
      <c r="F3092" s="451">
        <v>38353</v>
      </c>
      <c r="G3092" s="386">
        <v>45210</v>
      </c>
      <c r="H3092" s="386">
        <v>45209</v>
      </c>
      <c r="L3092">
        <v>8092331833</v>
      </c>
    </row>
    <row r="3093" spans="1:12" ht="15" customHeight="1">
      <c r="A3093" s="5" t="s">
        <v>0</v>
      </c>
      <c r="B3093" s="5" t="str">
        <f t="shared" si="51"/>
        <v>Y</v>
      </c>
      <c r="C3093" s="915" t="s">
        <v>14704</v>
      </c>
      <c r="D3093" s="915" t="s">
        <v>274</v>
      </c>
      <c r="E3093" s="915" t="s">
        <v>14705</v>
      </c>
      <c r="F3093" s="451">
        <v>32932</v>
      </c>
      <c r="G3093" s="386">
        <v>45212</v>
      </c>
      <c r="H3093" s="386">
        <v>45212</v>
      </c>
      <c r="L3093">
        <v>9334248482</v>
      </c>
    </row>
    <row r="3094" spans="1:12" ht="15" customHeight="1">
      <c r="A3094" s="5" t="s">
        <v>0</v>
      </c>
      <c r="B3094" s="5" t="str">
        <f t="shared" si="51"/>
        <v>Y</v>
      </c>
      <c r="C3094" s="918" t="s">
        <v>14707</v>
      </c>
      <c r="E3094" s="918" t="s">
        <v>3334</v>
      </c>
      <c r="F3094" s="451">
        <v>35698</v>
      </c>
      <c r="G3094" s="386">
        <v>45214</v>
      </c>
      <c r="H3094" s="386">
        <v>45214</v>
      </c>
      <c r="L3094">
        <v>7209992580</v>
      </c>
    </row>
    <row r="3095" spans="1:12" ht="15" customHeight="1">
      <c r="A3095" s="5" t="s">
        <v>0</v>
      </c>
      <c r="B3095" s="5" t="str">
        <f t="shared" si="51"/>
        <v>Y</v>
      </c>
      <c r="C3095" s="925" t="s">
        <v>14711</v>
      </c>
      <c r="D3095" t="s">
        <v>273</v>
      </c>
      <c r="E3095" s="920" t="s">
        <v>14712</v>
      </c>
      <c r="F3095" s="451">
        <v>34900</v>
      </c>
      <c r="G3095" s="386">
        <v>45216</v>
      </c>
      <c r="H3095" s="386">
        <v>45216</v>
      </c>
      <c r="L3095">
        <v>8329085498</v>
      </c>
    </row>
    <row r="3096" spans="1:12" ht="15" customHeight="1">
      <c r="A3096" s="5" t="s">
        <v>0</v>
      </c>
      <c r="B3096" s="5" t="str">
        <f t="shared" si="51"/>
        <v>Y</v>
      </c>
      <c r="C3096" s="920" t="s">
        <v>14713</v>
      </c>
      <c r="E3096" s="920" t="s">
        <v>14714</v>
      </c>
      <c r="F3096" s="451">
        <v>20090</v>
      </c>
      <c r="G3096" s="386">
        <v>45216</v>
      </c>
      <c r="H3096" s="386">
        <v>45216</v>
      </c>
      <c r="L3096">
        <v>6207131207</v>
      </c>
    </row>
    <row r="3097" spans="1:12" ht="15" customHeight="1">
      <c r="A3097" s="5" t="s">
        <v>0</v>
      </c>
      <c r="B3097" s="5" t="str">
        <f t="shared" si="51"/>
        <v>Y</v>
      </c>
      <c r="C3097" s="921" t="s">
        <v>14716</v>
      </c>
      <c r="D3097" s="921" t="s">
        <v>14718</v>
      </c>
      <c r="E3097" s="921" t="s">
        <v>14717</v>
      </c>
      <c r="F3097" s="451">
        <v>37585</v>
      </c>
      <c r="G3097" s="386">
        <v>45217</v>
      </c>
      <c r="H3097" s="386">
        <v>45217</v>
      </c>
      <c r="L3097">
        <v>7667218880</v>
      </c>
    </row>
    <row r="3098" spans="1:12" ht="15" customHeight="1">
      <c r="A3098" s="5" t="s">
        <v>0</v>
      </c>
      <c r="B3098" s="5" t="str">
        <f t="shared" si="51"/>
        <v>Y</v>
      </c>
      <c r="C3098" s="922" t="s">
        <v>14719</v>
      </c>
      <c r="E3098" s="922" t="s">
        <v>14720</v>
      </c>
      <c r="F3098" s="451">
        <v>32525</v>
      </c>
      <c r="G3098" s="386">
        <v>45222</v>
      </c>
      <c r="H3098" s="386">
        <v>45222</v>
      </c>
      <c r="L3098">
        <v>7870225410</v>
      </c>
    </row>
    <row r="3099" spans="1:12" ht="15" customHeight="1">
      <c r="A3099" s="5" t="s">
        <v>0</v>
      </c>
      <c r="B3099" s="5" t="str">
        <f t="shared" si="51"/>
        <v>Y</v>
      </c>
      <c r="C3099" s="921" t="s">
        <v>14721</v>
      </c>
      <c r="D3099" s="923" t="s">
        <v>9162</v>
      </c>
      <c r="E3099" s="923" t="s">
        <v>14722</v>
      </c>
      <c r="F3099" s="451">
        <v>23877</v>
      </c>
      <c r="G3099" s="386">
        <v>45225</v>
      </c>
      <c r="H3099" s="386">
        <v>46321</v>
      </c>
      <c r="L3099">
        <v>9431568317</v>
      </c>
    </row>
    <row r="3100" spans="1:12" ht="15" customHeight="1">
      <c r="A3100" s="5" t="s">
        <v>0</v>
      </c>
      <c r="B3100" s="5" t="str">
        <f t="shared" si="51"/>
        <v>Y</v>
      </c>
      <c r="C3100" s="923" t="s">
        <v>14727</v>
      </c>
      <c r="E3100" s="923" t="s">
        <v>14723</v>
      </c>
      <c r="F3100" s="451">
        <v>27822</v>
      </c>
      <c r="G3100" s="386">
        <v>45225</v>
      </c>
      <c r="H3100" s="386">
        <v>46321</v>
      </c>
      <c r="L3100">
        <v>7366982903</v>
      </c>
    </row>
    <row r="3101" spans="1:12" ht="15" customHeight="1">
      <c r="A3101" s="5" t="s">
        <v>0</v>
      </c>
      <c r="B3101" s="5" t="str">
        <f t="shared" si="51"/>
        <v>Y</v>
      </c>
      <c r="C3101" s="923" t="s">
        <v>14728</v>
      </c>
      <c r="E3101" s="923" t="s">
        <v>14724</v>
      </c>
      <c r="F3101" s="451">
        <v>25934</v>
      </c>
      <c r="G3101" s="386">
        <v>45225</v>
      </c>
      <c r="H3101" s="386">
        <v>46321</v>
      </c>
      <c r="L3101">
        <v>7366982903</v>
      </c>
    </row>
    <row r="3102" spans="1:12" ht="15" customHeight="1">
      <c r="A3102" s="5" t="s">
        <v>0</v>
      </c>
      <c r="B3102" s="5" t="str">
        <f t="shared" si="51"/>
        <v>Y</v>
      </c>
      <c r="C3102" s="923" t="s">
        <v>14731</v>
      </c>
      <c r="D3102" t="s">
        <v>9162</v>
      </c>
      <c r="E3102" s="923" t="s">
        <v>14732</v>
      </c>
      <c r="F3102" s="451">
        <v>23049</v>
      </c>
      <c r="G3102" s="386">
        <v>45225</v>
      </c>
      <c r="H3102" s="386">
        <v>46321</v>
      </c>
      <c r="L3102">
        <v>7070948914</v>
      </c>
    </row>
    <row r="3103" spans="1:12" ht="15" customHeight="1">
      <c r="A3103" s="5" t="s">
        <v>0</v>
      </c>
      <c r="B3103" s="5" t="str">
        <f t="shared" si="51"/>
        <v>Y</v>
      </c>
      <c r="C3103" s="926" t="s">
        <v>14734</v>
      </c>
      <c r="D3103" s="926" t="s">
        <v>8266</v>
      </c>
      <c r="E3103" s="926" t="s">
        <v>14733</v>
      </c>
      <c r="F3103" s="451">
        <v>17562</v>
      </c>
      <c r="G3103" s="386">
        <v>45225</v>
      </c>
      <c r="H3103" s="386">
        <v>46321</v>
      </c>
      <c r="L3103">
        <v>9263870905</v>
      </c>
    </row>
    <row r="3104" spans="1:12" ht="15" customHeight="1">
      <c r="A3104" s="5" t="s">
        <v>0</v>
      </c>
      <c r="B3104" s="5" t="str">
        <f t="shared" si="51"/>
        <v>Y</v>
      </c>
      <c r="C3104" s="927" t="s">
        <v>14735</v>
      </c>
      <c r="E3104" s="927" t="s">
        <v>14736</v>
      </c>
      <c r="F3104" s="451">
        <v>38606</v>
      </c>
      <c r="G3104" s="386">
        <v>45228</v>
      </c>
      <c r="H3104" s="386">
        <v>45228</v>
      </c>
      <c r="L3104">
        <v>7352462202</v>
      </c>
    </row>
    <row r="3105" spans="1:14" ht="15" customHeight="1">
      <c r="A3105" s="5" t="s">
        <v>0</v>
      </c>
      <c r="B3105" s="5" t="str">
        <f t="shared" si="51"/>
        <v>Y</v>
      </c>
      <c r="C3105" s="930" t="s">
        <v>14743</v>
      </c>
      <c r="D3105" s="930" t="s">
        <v>274</v>
      </c>
      <c r="E3105" s="930" t="s">
        <v>14744</v>
      </c>
      <c r="F3105" s="451">
        <v>24058</v>
      </c>
      <c r="G3105" s="386">
        <v>45231</v>
      </c>
      <c r="H3105" s="386">
        <v>45231</v>
      </c>
      <c r="L3105">
        <v>7903342103</v>
      </c>
    </row>
    <row r="3106" spans="1:14" ht="15" customHeight="1">
      <c r="A3106" s="5" t="s">
        <v>0</v>
      </c>
      <c r="B3106" s="5" t="str">
        <f t="shared" si="51"/>
        <v>Y</v>
      </c>
      <c r="C3106" s="930" t="s">
        <v>14745</v>
      </c>
      <c r="E3106" s="930" t="s">
        <v>14746</v>
      </c>
      <c r="F3106" s="451">
        <v>30592</v>
      </c>
      <c r="G3106" s="386">
        <v>45231</v>
      </c>
      <c r="H3106" s="386">
        <v>45231</v>
      </c>
      <c r="L3106">
        <v>7763956666</v>
      </c>
    </row>
    <row r="3107" spans="1:14" ht="15" customHeight="1">
      <c r="A3107" s="5" t="s">
        <v>0</v>
      </c>
      <c r="B3107" s="5" t="str">
        <f t="shared" si="51"/>
        <v>Y</v>
      </c>
      <c r="C3107" s="931" t="s">
        <v>14747</v>
      </c>
      <c r="D3107" t="s">
        <v>14645</v>
      </c>
      <c r="E3107" s="931" t="s">
        <v>14748</v>
      </c>
      <c r="F3107" s="451">
        <v>32217</v>
      </c>
      <c r="G3107" s="386">
        <v>45234</v>
      </c>
      <c r="H3107" s="386">
        <v>45234</v>
      </c>
      <c r="L3107">
        <v>8521755669</v>
      </c>
    </row>
    <row r="3108" spans="1:14" ht="15" customHeight="1">
      <c r="A3108" s="5" t="s">
        <v>0</v>
      </c>
      <c r="B3108" s="5" t="str">
        <f t="shared" si="51"/>
        <v>Y</v>
      </c>
      <c r="C3108" s="932" t="s">
        <v>14749</v>
      </c>
      <c r="D3108" t="s">
        <v>14645</v>
      </c>
      <c r="E3108" s="932" t="s">
        <v>14750</v>
      </c>
      <c r="F3108" s="451">
        <v>27810</v>
      </c>
      <c r="G3108" s="386">
        <v>45235</v>
      </c>
      <c r="H3108" s="386">
        <v>45235</v>
      </c>
      <c r="L3108">
        <v>8709575404</v>
      </c>
    </row>
    <row r="3109" spans="1:14" ht="15" customHeight="1">
      <c r="A3109" s="5" t="s">
        <v>0</v>
      </c>
      <c r="B3109" s="5" t="str">
        <f t="shared" si="51"/>
        <v>Y</v>
      </c>
      <c r="C3109" s="933" t="s">
        <v>14751</v>
      </c>
      <c r="D3109" t="s">
        <v>273</v>
      </c>
      <c r="E3109" s="933" t="s">
        <v>14752</v>
      </c>
      <c r="F3109" s="451">
        <v>19998</v>
      </c>
      <c r="G3109" s="386">
        <v>45236</v>
      </c>
      <c r="H3109" s="386">
        <v>45236</v>
      </c>
      <c r="L3109">
        <v>8863826939</v>
      </c>
    </row>
    <row r="3110" spans="1:14" ht="15" customHeight="1">
      <c r="A3110" s="5" t="s">
        <v>0</v>
      </c>
      <c r="B3110" s="5" t="str">
        <f t="shared" si="51"/>
        <v>Y</v>
      </c>
      <c r="C3110" s="934" t="s">
        <v>14755</v>
      </c>
      <c r="E3110" s="934" t="s">
        <v>7085</v>
      </c>
      <c r="F3110" s="451">
        <v>37096</v>
      </c>
      <c r="G3110" s="386">
        <v>45237</v>
      </c>
      <c r="H3110" s="386">
        <v>45237</v>
      </c>
      <c r="L3110">
        <v>8709132540</v>
      </c>
    </row>
    <row r="3111" spans="1:14" ht="15" customHeight="1">
      <c r="A3111" s="5" t="s">
        <v>0</v>
      </c>
      <c r="B3111" s="5" t="str">
        <f t="shared" si="51"/>
        <v>Y</v>
      </c>
      <c r="C3111" s="934" t="s">
        <v>14754</v>
      </c>
      <c r="D3111" t="s">
        <v>273</v>
      </c>
      <c r="E3111" s="934" t="s">
        <v>14753</v>
      </c>
      <c r="F3111" s="451">
        <v>28311</v>
      </c>
      <c r="G3111" s="386">
        <v>45237</v>
      </c>
      <c r="H3111" s="386">
        <v>45237</v>
      </c>
      <c r="L3111">
        <v>9007079191</v>
      </c>
    </row>
    <row r="3112" spans="1:14" ht="15" customHeight="1">
      <c r="A3112" s="5" t="s">
        <v>0</v>
      </c>
      <c r="B3112" s="5" t="str">
        <f t="shared" si="51"/>
        <v>Y</v>
      </c>
      <c r="C3112" s="969" t="s">
        <v>14757</v>
      </c>
      <c r="D3112">
        <v>6796380</v>
      </c>
      <c r="E3112" s="935" t="s">
        <v>14758</v>
      </c>
      <c r="F3112" s="451">
        <v>38600</v>
      </c>
      <c r="G3112" s="386">
        <v>45239</v>
      </c>
      <c r="H3112" s="386">
        <v>45239</v>
      </c>
      <c r="L3112">
        <v>8434302877</v>
      </c>
      <c r="N3112" t="s">
        <v>14816</v>
      </c>
    </row>
    <row r="3113" spans="1:14" ht="15" customHeight="1">
      <c r="A3113" s="5" t="s">
        <v>0</v>
      </c>
      <c r="B3113" s="5" t="str">
        <f t="shared" si="51"/>
        <v>Y</v>
      </c>
      <c r="C3113" s="936" t="s">
        <v>14760</v>
      </c>
      <c r="E3113" s="936" t="s">
        <v>14759</v>
      </c>
      <c r="F3113" s="451">
        <v>36560</v>
      </c>
      <c r="G3113" s="386">
        <v>45244</v>
      </c>
      <c r="H3113" s="386">
        <v>45244</v>
      </c>
      <c r="L3113">
        <v>8969249995</v>
      </c>
    </row>
    <row r="3114" spans="1:14" ht="15" customHeight="1">
      <c r="A3114" s="5" t="s">
        <v>0</v>
      </c>
      <c r="B3114" s="5" t="str">
        <f t="shared" si="51"/>
        <v>Y</v>
      </c>
      <c r="C3114" s="936" t="s">
        <v>14761</v>
      </c>
      <c r="D3114" t="s">
        <v>7559</v>
      </c>
      <c r="E3114" s="936" t="s">
        <v>14762</v>
      </c>
      <c r="F3114" s="451">
        <v>20089</v>
      </c>
      <c r="G3114" s="386">
        <v>45244</v>
      </c>
      <c r="H3114" s="386">
        <v>45244</v>
      </c>
      <c r="L3114">
        <v>9162776583</v>
      </c>
    </row>
    <row r="3115" spans="1:14" ht="15" customHeight="1">
      <c r="A3115" s="5" t="s">
        <v>0</v>
      </c>
      <c r="B3115" s="5" t="str">
        <f t="shared" si="51"/>
        <v>Y</v>
      </c>
      <c r="C3115" s="936" t="s">
        <v>14763</v>
      </c>
      <c r="D3115" s="937" t="s">
        <v>274</v>
      </c>
      <c r="E3115" s="937" t="s">
        <v>14764</v>
      </c>
      <c r="F3115" s="451">
        <v>32014</v>
      </c>
      <c r="G3115" s="386">
        <v>45245</v>
      </c>
      <c r="H3115" s="386">
        <v>45245</v>
      </c>
      <c r="L3115">
        <v>7461805958</v>
      </c>
    </row>
    <row r="3116" spans="1:14" ht="15" customHeight="1">
      <c r="A3116" s="5" t="s">
        <v>0</v>
      </c>
      <c r="B3116" s="5" t="str">
        <f t="shared" si="51"/>
        <v>Y</v>
      </c>
      <c r="C3116" s="939" t="s">
        <v>14766</v>
      </c>
      <c r="E3116" s="939" t="s">
        <v>14767</v>
      </c>
      <c r="F3116" s="451">
        <v>41027</v>
      </c>
      <c r="G3116" s="386">
        <v>45248</v>
      </c>
      <c r="H3116" s="386">
        <v>45248</v>
      </c>
      <c r="L3116">
        <v>9546338230</v>
      </c>
    </row>
    <row r="3117" spans="1:14" ht="15" customHeight="1">
      <c r="A3117" s="5" t="s">
        <v>0</v>
      </c>
      <c r="B3117" s="5" t="str">
        <f t="shared" si="51"/>
        <v>Y</v>
      </c>
      <c r="C3117" s="939" t="s">
        <v>14769</v>
      </c>
      <c r="E3117" s="939" t="s">
        <v>14768</v>
      </c>
      <c r="F3117" s="451">
        <v>40197</v>
      </c>
      <c r="G3117" s="386">
        <v>45248</v>
      </c>
      <c r="H3117" s="386">
        <v>45248</v>
      </c>
      <c r="L3117">
        <v>9546338230</v>
      </c>
    </row>
    <row r="3118" spans="1:14" ht="15" customHeight="1">
      <c r="A3118" s="5" t="s">
        <v>0</v>
      </c>
      <c r="B3118" s="5" t="str">
        <f t="shared" si="51"/>
        <v>Y</v>
      </c>
      <c r="C3118" s="940" t="s">
        <v>14770</v>
      </c>
      <c r="E3118" s="940" t="s">
        <v>14771</v>
      </c>
      <c r="F3118" s="451">
        <v>28949</v>
      </c>
      <c r="G3118" s="386">
        <v>45249</v>
      </c>
      <c r="H3118" s="386">
        <v>45249</v>
      </c>
      <c r="L3118">
        <v>8235434402</v>
      </c>
    </row>
    <row r="3119" spans="1:14" ht="15" customHeight="1">
      <c r="A3119" s="5" t="s">
        <v>0</v>
      </c>
      <c r="B3119" s="5" t="str">
        <f t="shared" si="51"/>
        <v>Y</v>
      </c>
      <c r="C3119" s="959" t="s">
        <v>14772</v>
      </c>
      <c r="D3119" t="s">
        <v>14773</v>
      </c>
      <c r="E3119" s="959" t="s">
        <v>14774</v>
      </c>
      <c r="F3119" s="451">
        <v>36078</v>
      </c>
      <c r="G3119" s="386">
        <v>45251</v>
      </c>
      <c r="H3119" s="386">
        <v>45251</v>
      </c>
      <c r="L3119">
        <v>7011479117</v>
      </c>
    </row>
    <row r="3120" spans="1:14" ht="15" customHeight="1">
      <c r="A3120" s="5" t="s">
        <v>0</v>
      </c>
      <c r="B3120" s="5" t="str">
        <f t="shared" si="51"/>
        <v>Y</v>
      </c>
      <c r="C3120" s="959" t="s">
        <v>14776</v>
      </c>
      <c r="D3120" s="960" t="s">
        <v>11969</v>
      </c>
      <c r="E3120" s="960" t="s">
        <v>11223</v>
      </c>
      <c r="F3120" s="451">
        <v>31119</v>
      </c>
      <c r="G3120" s="386">
        <v>45253</v>
      </c>
      <c r="H3120" s="386">
        <v>45253</v>
      </c>
      <c r="L3120">
        <v>8603237181</v>
      </c>
    </row>
    <row r="3121" spans="1:12" ht="15" customHeight="1">
      <c r="A3121" s="5" t="s">
        <v>0</v>
      </c>
      <c r="B3121" s="5" t="str">
        <f t="shared" si="51"/>
        <v>Y</v>
      </c>
      <c r="C3121" s="960" t="s">
        <v>14779</v>
      </c>
      <c r="E3121" s="960" t="s">
        <v>6832</v>
      </c>
      <c r="F3121" s="451">
        <v>38579</v>
      </c>
      <c r="G3121" s="386">
        <v>45253</v>
      </c>
      <c r="H3121" s="386">
        <v>45253</v>
      </c>
      <c r="L3121">
        <v>7004404804</v>
      </c>
    </row>
    <row r="3122" spans="1:12" ht="15" customHeight="1">
      <c r="A3122" s="5" t="s">
        <v>0</v>
      </c>
      <c r="B3122" s="5" t="str">
        <f t="shared" si="51"/>
        <v>Y</v>
      </c>
      <c r="C3122" s="961" t="s">
        <v>14780</v>
      </c>
      <c r="E3122" s="961" t="s">
        <v>4659</v>
      </c>
      <c r="F3122" s="451">
        <v>37247</v>
      </c>
      <c r="G3122" s="386">
        <v>45255</v>
      </c>
      <c r="H3122" s="386">
        <v>45255</v>
      </c>
      <c r="L3122">
        <v>9142936576</v>
      </c>
    </row>
    <row r="3123" spans="1:12" ht="15" customHeight="1">
      <c r="A3123" s="5" t="s">
        <v>0</v>
      </c>
      <c r="B3123" s="5" t="str">
        <f t="shared" si="51"/>
        <v>Y</v>
      </c>
      <c r="C3123" t="s">
        <v>14781</v>
      </c>
      <c r="E3123" s="961" t="s">
        <v>4075</v>
      </c>
      <c r="F3123" s="451">
        <v>38019</v>
      </c>
      <c r="G3123" s="386">
        <v>45255</v>
      </c>
      <c r="H3123" s="386">
        <v>45255</v>
      </c>
      <c r="L3123">
        <v>9608127395</v>
      </c>
    </row>
    <row r="3124" spans="1:12" ht="15" customHeight="1">
      <c r="A3124" s="5" t="s">
        <v>0</v>
      </c>
      <c r="B3124" s="5" t="str">
        <f t="shared" si="51"/>
        <v>Y</v>
      </c>
      <c r="C3124" s="961" t="s">
        <v>14784</v>
      </c>
      <c r="D3124" t="s">
        <v>9162</v>
      </c>
      <c r="E3124" s="961" t="s">
        <v>14783</v>
      </c>
      <c r="F3124" s="451">
        <v>36924</v>
      </c>
      <c r="G3124" s="386">
        <v>45255</v>
      </c>
      <c r="H3124" s="386">
        <v>45255</v>
      </c>
      <c r="L3124">
        <v>6202410165</v>
      </c>
    </row>
    <row r="3125" spans="1:12" ht="15" customHeight="1">
      <c r="A3125" s="5" t="s">
        <v>0</v>
      </c>
      <c r="B3125" s="5" t="str">
        <f t="shared" si="51"/>
        <v>Y</v>
      </c>
      <c r="C3125" s="961" t="s">
        <v>14785</v>
      </c>
      <c r="E3125" t="s">
        <v>14782</v>
      </c>
      <c r="F3125" s="451">
        <v>36587</v>
      </c>
      <c r="G3125" s="386">
        <v>45255</v>
      </c>
      <c r="H3125" s="386">
        <v>45256</v>
      </c>
    </row>
    <row r="3126" spans="1:12" ht="15" customHeight="1">
      <c r="A3126" s="5" t="s">
        <v>0</v>
      </c>
      <c r="B3126" s="5" t="str">
        <f t="shared" si="51"/>
        <v>Y</v>
      </c>
      <c r="C3126" s="962" t="s">
        <v>14786</v>
      </c>
      <c r="E3126" t="s">
        <v>4628</v>
      </c>
      <c r="F3126" s="451">
        <v>38629</v>
      </c>
      <c r="G3126" s="386">
        <v>45256</v>
      </c>
      <c r="H3126" s="386">
        <v>45256</v>
      </c>
      <c r="L3126">
        <v>9508495838</v>
      </c>
    </row>
    <row r="3127" spans="1:12" ht="15" customHeight="1">
      <c r="A3127" s="5" t="s">
        <v>0</v>
      </c>
      <c r="B3127" s="5" t="str">
        <f t="shared" si="51"/>
        <v>Y</v>
      </c>
      <c r="C3127" s="963" t="s">
        <v>14787</v>
      </c>
      <c r="E3127" t="s">
        <v>14788</v>
      </c>
      <c r="F3127" s="451">
        <v>38659</v>
      </c>
      <c r="G3127" s="386">
        <v>45257</v>
      </c>
      <c r="H3127" s="386">
        <v>45257</v>
      </c>
      <c r="L3127">
        <v>8986839909</v>
      </c>
    </row>
    <row r="3128" spans="1:12" ht="15" customHeight="1">
      <c r="A3128" s="5" t="s">
        <v>0</v>
      </c>
      <c r="B3128" s="5" t="str">
        <f t="shared" si="51"/>
        <v>Y</v>
      </c>
      <c r="C3128" s="963" t="s">
        <v>14789</v>
      </c>
      <c r="D3128" t="s">
        <v>9162</v>
      </c>
      <c r="E3128" t="s">
        <v>14790</v>
      </c>
      <c r="F3128" s="451">
        <v>29480</v>
      </c>
      <c r="G3128" s="386">
        <v>45257</v>
      </c>
      <c r="H3128" s="386">
        <v>45257</v>
      </c>
      <c r="L3128">
        <v>9234663543</v>
      </c>
    </row>
    <row r="3129" spans="1:12" ht="15" customHeight="1">
      <c r="A3129" s="5" t="s">
        <v>0</v>
      </c>
      <c r="B3129" s="5" t="str">
        <f t="shared" si="51"/>
        <v>Y</v>
      </c>
      <c r="C3129" t="s">
        <v>14791</v>
      </c>
      <c r="D3129" t="s">
        <v>274</v>
      </c>
      <c r="E3129" t="s">
        <v>14792</v>
      </c>
      <c r="F3129" s="451">
        <v>18628</v>
      </c>
      <c r="G3129" s="386">
        <v>45257</v>
      </c>
      <c r="H3129" s="386">
        <v>45257</v>
      </c>
      <c r="L3129">
        <v>7007364242</v>
      </c>
    </row>
    <row r="3130" spans="1:12" ht="15" customHeight="1">
      <c r="A3130" s="5" t="s">
        <v>0</v>
      </c>
      <c r="B3130" s="5" t="str">
        <f t="shared" si="51"/>
        <v>Y</v>
      </c>
      <c r="C3130" t="s">
        <v>14793</v>
      </c>
      <c r="E3130" t="s">
        <v>14794</v>
      </c>
      <c r="F3130" s="451">
        <v>36520</v>
      </c>
      <c r="G3130" s="386">
        <v>45258</v>
      </c>
      <c r="H3130" s="386">
        <v>45258</v>
      </c>
      <c r="L3130">
        <v>7717779854</v>
      </c>
    </row>
    <row r="3131" spans="1:12" ht="15" customHeight="1">
      <c r="A3131" s="5" t="s">
        <v>0</v>
      </c>
      <c r="B3131" s="5" t="str">
        <f t="shared" si="51"/>
        <v>Y</v>
      </c>
      <c r="C3131" t="s">
        <v>14795</v>
      </c>
      <c r="D3131" t="s">
        <v>14512</v>
      </c>
      <c r="E3131" t="s">
        <v>14796</v>
      </c>
      <c r="F3131" s="451">
        <v>37399</v>
      </c>
      <c r="G3131" s="386">
        <v>45258</v>
      </c>
      <c r="H3131" s="386">
        <v>45258</v>
      </c>
      <c r="L3131">
        <v>6204609589</v>
      </c>
    </row>
    <row r="3132" spans="1:12" ht="15" customHeight="1">
      <c r="A3132" s="5" t="s">
        <v>0</v>
      </c>
      <c r="B3132" s="5" t="str">
        <f t="shared" si="51"/>
        <v>Y</v>
      </c>
      <c r="C3132" t="s">
        <v>14797</v>
      </c>
      <c r="E3132" t="s">
        <v>14798</v>
      </c>
      <c r="F3132" s="451">
        <v>31778</v>
      </c>
      <c r="G3132" s="386">
        <v>45259</v>
      </c>
      <c r="H3132" s="386">
        <v>45259</v>
      </c>
      <c r="L3132">
        <v>6201827110</v>
      </c>
    </row>
    <row r="3133" spans="1:12" ht="15" customHeight="1">
      <c r="A3133" s="5" t="s">
        <v>0</v>
      </c>
      <c r="B3133" s="5" t="str">
        <f t="shared" si="51"/>
        <v>Y</v>
      </c>
      <c r="C3133" t="s">
        <v>14799</v>
      </c>
      <c r="D3133" t="s">
        <v>14512</v>
      </c>
      <c r="E3133" t="s">
        <v>14800</v>
      </c>
      <c r="F3133" s="451">
        <v>29017</v>
      </c>
      <c r="G3133" s="386">
        <v>45260</v>
      </c>
      <c r="H3133" s="386">
        <v>45260</v>
      </c>
      <c r="L3133">
        <v>9934186445</v>
      </c>
    </row>
    <row r="3134" spans="1:12" ht="15" customHeight="1">
      <c r="A3134" s="5" t="s">
        <v>0</v>
      </c>
      <c r="B3134" s="5" t="str">
        <f t="shared" si="51"/>
        <v>Y</v>
      </c>
      <c r="C3134" s="964" t="s">
        <v>14801</v>
      </c>
      <c r="E3134" s="964" t="s">
        <v>14802</v>
      </c>
      <c r="F3134" s="451">
        <v>33161</v>
      </c>
      <c r="G3134" s="386">
        <v>45261</v>
      </c>
      <c r="H3134" s="386">
        <v>45261</v>
      </c>
      <c r="L3134">
        <v>9065709249</v>
      </c>
    </row>
    <row r="3135" spans="1:12" ht="15" customHeight="1">
      <c r="A3135" s="5" t="s">
        <v>0</v>
      </c>
      <c r="B3135" s="5" t="str">
        <f t="shared" si="51"/>
        <v>Y</v>
      </c>
      <c r="C3135" s="964" t="s">
        <v>14803</v>
      </c>
      <c r="D3135" s="964" t="s">
        <v>14512</v>
      </c>
      <c r="E3135" s="964" t="s">
        <v>14804</v>
      </c>
      <c r="F3135" s="451">
        <v>35651</v>
      </c>
      <c r="G3135" s="386">
        <v>45261</v>
      </c>
      <c r="H3135" s="386">
        <v>45261</v>
      </c>
      <c r="L3135">
        <v>9572660463</v>
      </c>
    </row>
    <row r="3136" spans="1:12" ht="15" customHeight="1">
      <c r="A3136" s="5" t="s">
        <v>0</v>
      </c>
      <c r="B3136" s="5" t="str">
        <f t="shared" si="51"/>
        <v>Y</v>
      </c>
      <c r="C3136" s="964" t="s">
        <v>14805</v>
      </c>
      <c r="D3136" s="964" t="s">
        <v>14807</v>
      </c>
      <c r="E3136" s="964" t="s">
        <v>14806</v>
      </c>
      <c r="F3136" s="451">
        <v>31019</v>
      </c>
      <c r="G3136" s="386">
        <v>45261</v>
      </c>
      <c r="H3136" s="386">
        <v>45261</v>
      </c>
      <c r="L3136">
        <v>8334822775</v>
      </c>
    </row>
    <row r="3137" spans="1:12" ht="15" customHeight="1">
      <c r="A3137" s="5" t="s">
        <v>0</v>
      </c>
      <c r="B3137" s="5" t="str">
        <f t="shared" si="51"/>
        <v>Y</v>
      </c>
      <c r="C3137" s="964" t="s">
        <v>14808</v>
      </c>
      <c r="D3137" s="964" t="s">
        <v>273</v>
      </c>
      <c r="E3137" s="964" t="s">
        <v>14809</v>
      </c>
      <c r="F3137" s="451">
        <v>33693</v>
      </c>
      <c r="G3137" s="386">
        <v>45261</v>
      </c>
      <c r="H3137" s="386">
        <v>45261</v>
      </c>
      <c r="L3137">
        <v>9263807615</v>
      </c>
    </row>
    <row r="3138" spans="1:12" ht="15" customHeight="1">
      <c r="A3138" s="5" t="s">
        <v>0</v>
      </c>
      <c r="B3138" s="5" t="str">
        <f t="shared" si="51"/>
        <v>Y</v>
      </c>
      <c r="C3138" s="965" t="s">
        <v>14812</v>
      </c>
      <c r="E3138" s="965" t="s">
        <v>14813</v>
      </c>
      <c r="F3138" s="451">
        <v>38661</v>
      </c>
      <c r="G3138" s="386">
        <v>45262</v>
      </c>
      <c r="H3138" s="386">
        <v>45262</v>
      </c>
      <c r="L3138">
        <v>8340260501</v>
      </c>
    </row>
    <row r="3139" spans="1:12" ht="15" customHeight="1">
      <c r="A3139" s="5" t="s">
        <v>0</v>
      </c>
      <c r="B3139" s="5" t="str">
        <f t="shared" si="51"/>
        <v>Y</v>
      </c>
      <c r="C3139" s="967" t="s">
        <v>14815</v>
      </c>
      <c r="E3139" s="967" t="s">
        <v>7085</v>
      </c>
      <c r="F3139" s="451">
        <v>37599</v>
      </c>
      <c r="G3139" s="386">
        <v>45266</v>
      </c>
      <c r="H3139" s="386">
        <v>45266</v>
      </c>
      <c r="L3139">
        <v>6203359628</v>
      </c>
    </row>
    <row r="3140" spans="1:12" ht="15" customHeight="1">
      <c r="A3140" s="5" t="s">
        <v>0</v>
      </c>
      <c r="B3140" s="5" t="str">
        <f t="shared" si="51"/>
        <v>Y</v>
      </c>
      <c r="C3140" s="973" t="s">
        <v>14828</v>
      </c>
      <c r="E3140" s="973" t="s">
        <v>14829</v>
      </c>
      <c r="F3140" s="451">
        <v>38643</v>
      </c>
      <c r="G3140" s="386">
        <v>45271</v>
      </c>
      <c r="H3140" s="386">
        <v>45271</v>
      </c>
      <c r="L3140">
        <v>8434671734</v>
      </c>
    </row>
    <row r="3141" spans="1:12" ht="15" customHeight="1">
      <c r="A3141" s="5" t="s">
        <v>0</v>
      </c>
      <c r="B3141" s="5" t="str">
        <f t="shared" si="51"/>
        <v>Y</v>
      </c>
      <c r="C3141" s="973" t="s">
        <v>14830</v>
      </c>
      <c r="D3141" t="s">
        <v>14831</v>
      </c>
      <c r="E3141" s="973" t="s">
        <v>7127</v>
      </c>
      <c r="F3141" s="451">
        <v>29620</v>
      </c>
      <c r="G3141" s="386">
        <v>45271</v>
      </c>
      <c r="H3141" s="386">
        <v>45271</v>
      </c>
      <c r="L3141">
        <v>8797595759</v>
      </c>
    </row>
    <row r="3142" spans="1:12" ht="15" customHeight="1">
      <c r="A3142" s="5" t="s">
        <v>0</v>
      </c>
      <c r="B3142" s="5" t="str">
        <f t="shared" si="51"/>
        <v>Y</v>
      </c>
      <c r="C3142" s="973" t="s">
        <v>14832</v>
      </c>
      <c r="D3142" s="973" t="s">
        <v>274</v>
      </c>
      <c r="E3142" s="973" t="s">
        <v>14517</v>
      </c>
      <c r="F3142" s="451">
        <v>20090</v>
      </c>
      <c r="G3142" s="386">
        <v>45271</v>
      </c>
      <c r="H3142" s="386">
        <v>45271</v>
      </c>
      <c r="L3142">
        <v>6204289257</v>
      </c>
    </row>
    <row r="3143" spans="1:12" ht="15" customHeight="1">
      <c r="A3143" s="5" t="s">
        <v>0</v>
      </c>
      <c r="B3143" s="5" t="str">
        <f t="shared" si="51"/>
        <v>Y</v>
      </c>
      <c r="C3143" s="975" t="s">
        <v>14835</v>
      </c>
      <c r="D3143" t="s">
        <v>273</v>
      </c>
      <c r="E3143" s="975" t="s">
        <v>10461</v>
      </c>
      <c r="F3143" s="451">
        <v>32857</v>
      </c>
      <c r="G3143" s="386">
        <v>45272</v>
      </c>
      <c r="H3143" s="386">
        <v>45272</v>
      </c>
      <c r="L3143">
        <v>9507221434</v>
      </c>
    </row>
    <row r="3144" spans="1:12" ht="15" customHeight="1">
      <c r="A3144" s="5" t="s">
        <v>0</v>
      </c>
      <c r="B3144" s="5" t="str">
        <f t="shared" si="51"/>
        <v>Y</v>
      </c>
      <c r="C3144" s="975" t="s">
        <v>14837</v>
      </c>
      <c r="D3144" t="s">
        <v>274</v>
      </c>
      <c r="E3144" s="975" t="s">
        <v>14836</v>
      </c>
      <c r="F3144" s="451">
        <v>20821</v>
      </c>
      <c r="G3144" s="386">
        <v>45272</v>
      </c>
      <c r="H3144" s="386">
        <v>45272</v>
      </c>
      <c r="L3144">
        <v>7761823449</v>
      </c>
    </row>
    <row r="3145" spans="1:12" ht="15" customHeight="1">
      <c r="A3145" s="5" t="s">
        <v>0</v>
      </c>
      <c r="B3145" s="5" t="str">
        <f t="shared" si="51"/>
        <v>Y</v>
      </c>
      <c r="C3145" s="976" t="s">
        <v>14839</v>
      </c>
      <c r="D3145" t="s">
        <v>273</v>
      </c>
      <c r="E3145" s="976" t="s">
        <v>14840</v>
      </c>
      <c r="F3145" s="451">
        <v>33433</v>
      </c>
      <c r="G3145" s="386">
        <v>45273</v>
      </c>
      <c r="H3145" s="386">
        <v>45273</v>
      </c>
      <c r="L3145">
        <v>9661947920</v>
      </c>
    </row>
    <row r="3146" spans="1:12" ht="15" customHeight="1">
      <c r="A3146" s="5" t="s">
        <v>0</v>
      </c>
      <c r="B3146" s="5" t="str">
        <f t="shared" ref="B3146:B3208" si="52">IF(H3146="","N","Y")</f>
        <v>Y</v>
      </c>
      <c r="C3146" s="977" t="s">
        <v>14841</v>
      </c>
      <c r="D3146" s="977" t="s">
        <v>14512</v>
      </c>
      <c r="E3146" s="977" t="s">
        <v>1989</v>
      </c>
      <c r="F3146" s="451">
        <v>28730</v>
      </c>
      <c r="G3146" s="386">
        <v>45275</v>
      </c>
      <c r="H3146" s="386">
        <v>45275</v>
      </c>
      <c r="L3146">
        <v>9234844299</v>
      </c>
    </row>
    <row r="3147" spans="1:12" ht="15" customHeight="1">
      <c r="A3147" s="5" t="s">
        <v>0</v>
      </c>
      <c r="B3147" s="5" t="str">
        <f t="shared" si="52"/>
        <v>Y</v>
      </c>
      <c r="C3147" s="977" t="s">
        <v>14842</v>
      </c>
      <c r="D3147" s="977" t="s">
        <v>7411</v>
      </c>
      <c r="E3147" s="977" t="s">
        <v>14843</v>
      </c>
      <c r="F3147" s="451">
        <v>36880</v>
      </c>
      <c r="G3147" s="386">
        <v>45275</v>
      </c>
      <c r="H3147" s="386">
        <v>45275</v>
      </c>
      <c r="L3147">
        <v>6202213773</v>
      </c>
    </row>
    <row r="3148" spans="1:12" ht="15" customHeight="1">
      <c r="A3148" s="5" t="s">
        <v>0</v>
      </c>
      <c r="B3148" s="5" t="str">
        <f t="shared" si="52"/>
        <v>Y</v>
      </c>
      <c r="C3148" s="979" t="s">
        <v>14849</v>
      </c>
      <c r="D3148" s="977" t="s">
        <v>7411</v>
      </c>
      <c r="E3148" s="979" t="s">
        <v>14850</v>
      </c>
      <c r="F3148" s="451">
        <v>38610</v>
      </c>
      <c r="G3148" s="386">
        <v>45277</v>
      </c>
      <c r="H3148" s="386">
        <v>45277</v>
      </c>
      <c r="L3148">
        <v>8207755181</v>
      </c>
    </row>
    <row r="3149" spans="1:12" ht="15" customHeight="1">
      <c r="A3149" s="5" t="s">
        <v>0</v>
      </c>
      <c r="B3149" s="5" t="str">
        <f t="shared" si="52"/>
        <v>Y</v>
      </c>
      <c r="C3149" s="980" t="s">
        <v>14851</v>
      </c>
      <c r="D3149" s="980" t="s">
        <v>11573</v>
      </c>
      <c r="E3149" s="980" t="s">
        <v>14853</v>
      </c>
      <c r="F3149" s="451">
        <v>23924</v>
      </c>
      <c r="G3149" s="386">
        <v>45278</v>
      </c>
      <c r="H3149" s="386">
        <v>45278</v>
      </c>
      <c r="L3149">
        <v>9263024641</v>
      </c>
    </row>
    <row r="3150" spans="1:12" ht="15" customHeight="1">
      <c r="A3150" s="5" t="s">
        <v>0</v>
      </c>
      <c r="B3150" s="5" t="str">
        <f t="shared" si="52"/>
        <v>Y</v>
      </c>
      <c r="C3150" s="980" t="s">
        <v>14852</v>
      </c>
      <c r="D3150" s="980" t="s">
        <v>7406</v>
      </c>
      <c r="E3150" s="980" t="s">
        <v>14854</v>
      </c>
      <c r="F3150" s="451">
        <v>27244</v>
      </c>
      <c r="G3150" s="386">
        <v>45278</v>
      </c>
      <c r="H3150" s="386">
        <v>45278</v>
      </c>
      <c r="L3150">
        <v>9263024641</v>
      </c>
    </row>
    <row r="3151" spans="1:12" ht="15" customHeight="1">
      <c r="A3151" s="5" t="s">
        <v>0</v>
      </c>
      <c r="B3151" s="5" t="str">
        <f t="shared" si="52"/>
        <v>Y</v>
      </c>
      <c r="C3151" s="997" t="s">
        <v>14856</v>
      </c>
      <c r="D3151" s="982" t="s">
        <v>7411</v>
      </c>
      <c r="E3151" s="982" t="s">
        <v>14858</v>
      </c>
      <c r="F3151" s="451">
        <v>26587</v>
      </c>
      <c r="G3151" s="386">
        <v>45280</v>
      </c>
      <c r="H3151" s="386">
        <v>45280</v>
      </c>
      <c r="L3151">
        <v>7209281949</v>
      </c>
    </row>
    <row r="3152" spans="1:12" ht="15" customHeight="1">
      <c r="A3152" s="5" t="s">
        <v>0</v>
      </c>
      <c r="B3152" s="5" t="str">
        <f t="shared" si="52"/>
        <v>Y</v>
      </c>
      <c r="C3152" s="983" t="s">
        <v>14859</v>
      </c>
      <c r="D3152" s="983" t="s">
        <v>273</v>
      </c>
      <c r="E3152" s="983" t="s">
        <v>14860</v>
      </c>
      <c r="F3152" s="451">
        <v>27412</v>
      </c>
      <c r="G3152" s="386">
        <v>45280</v>
      </c>
      <c r="H3152" s="386">
        <v>45280</v>
      </c>
      <c r="L3152">
        <v>9771338527</v>
      </c>
    </row>
    <row r="3153" spans="1:12" ht="15" customHeight="1">
      <c r="A3153" s="5" t="s">
        <v>0</v>
      </c>
      <c r="B3153" s="5" t="str">
        <f t="shared" si="52"/>
        <v>Y</v>
      </c>
      <c r="C3153" s="983" t="s">
        <v>14861</v>
      </c>
      <c r="D3153" s="983" t="s">
        <v>7411</v>
      </c>
      <c r="E3153" s="983" t="s">
        <v>14862</v>
      </c>
      <c r="F3153" s="451">
        <v>31413</v>
      </c>
      <c r="G3153" s="386">
        <v>45280</v>
      </c>
      <c r="H3153" s="386">
        <v>45280</v>
      </c>
      <c r="L3153">
        <v>9234531213</v>
      </c>
    </row>
    <row r="3154" spans="1:12" ht="15" customHeight="1">
      <c r="A3154" s="5" t="s">
        <v>0</v>
      </c>
      <c r="B3154" s="5" t="str">
        <f t="shared" si="52"/>
        <v>Y</v>
      </c>
      <c r="C3154" s="988" t="s">
        <v>14863</v>
      </c>
      <c r="D3154" s="988" t="s">
        <v>9162</v>
      </c>
      <c r="E3154" s="988" t="s">
        <v>10925</v>
      </c>
      <c r="F3154" s="451">
        <v>23468</v>
      </c>
      <c r="G3154" s="386">
        <v>45281</v>
      </c>
      <c r="H3154" s="386">
        <v>45281</v>
      </c>
      <c r="L3154">
        <v>9304439234</v>
      </c>
    </row>
    <row r="3155" spans="1:12" ht="15" customHeight="1">
      <c r="A3155" s="5" t="s">
        <v>0</v>
      </c>
      <c r="B3155" s="5" t="str">
        <f t="shared" si="52"/>
        <v>Y</v>
      </c>
      <c r="C3155" s="989" t="s">
        <v>14864</v>
      </c>
      <c r="D3155" s="989" t="s">
        <v>7411</v>
      </c>
      <c r="E3155" s="989" t="s">
        <v>14865</v>
      </c>
      <c r="F3155" s="451">
        <v>33677</v>
      </c>
      <c r="G3155" s="990">
        <v>45282</v>
      </c>
      <c r="H3155" s="386">
        <v>45282</v>
      </c>
      <c r="L3155">
        <v>9559938884</v>
      </c>
    </row>
    <row r="3156" spans="1:12" ht="15" customHeight="1">
      <c r="A3156" s="5" t="s">
        <v>0</v>
      </c>
      <c r="B3156" s="5" t="str">
        <f t="shared" si="52"/>
        <v>Y</v>
      </c>
      <c r="C3156" s="991" t="s">
        <v>14869</v>
      </c>
      <c r="D3156" t="s">
        <v>9014</v>
      </c>
      <c r="E3156" s="989" t="s">
        <v>14868</v>
      </c>
      <c r="F3156" s="451">
        <v>34993</v>
      </c>
      <c r="G3156" s="451">
        <v>45283</v>
      </c>
      <c r="H3156" s="451">
        <v>45283</v>
      </c>
      <c r="L3156">
        <v>9168736263</v>
      </c>
    </row>
    <row r="3157" spans="1:12" ht="15" customHeight="1">
      <c r="A3157" s="5" t="s">
        <v>0</v>
      </c>
      <c r="B3157" s="5" t="str">
        <f t="shared" si="52"/>
        <v>Y</v>
      </c>
      <c r="C3157" s="996" t="s">
        <v>14872</v>
      </c>
      <c r="D3157" t="s">
        <v>274</v>
      </c>
      <c r="E3157" s="996" t="s">
        <v>6973</v>
      </c>
      <c r="F3157" s="451">
        <v>30822</v>
      </c>
      <c r="G3157" s="451">
        <v>45284</v>
      </c>
      <c r="H3157" s="451">
        <v>45284</v>
      </c>
      <c r="L3157">
        <v>6201836758</v>
      </c>
    </row>
    <row r="3158" spans="1:12" ht="15" customHeight="1">
      <c r="A3158" s="5" t="s">
        <v>0</v>
      </c>
      <c r="B3158" s="5" t="str">
        <f t="shared" si="52"/>
        <v>Y</v>
      </c>
      <c r="C3158" s="998" t="s">
        <v>14876</v>
      </c>
      <c r="D3158" t="s">
        <v>7411</v>
      </c>
      <c r="E3158" s="998" t="s">
        <v>14877</v>
      </c>
      <c r="F3158" s="451">
        <v>38204</v>
      </c>
      <c r="G3158" s="451">
        <v>45286</v>
      </c>
      <c r="H3158" s="451">
        <v>45286</v>
      </c>
      <c r="L3158">
        <v>9065979878</v>
      </c>
    </row>
    <row r="3159" spans="1:12" ht="15" customHeight="1">
      <c r="A3159" s="5" t="s">
        <v>0</v>
      </c>
      <c r="B3159" s="5" t="str">
        <f t="shared" si="52"/>
        <v>Y</v>
      </c>
      <c r="C3159" s="999" t="s">
        <v>14878</v>
      </c>
      <c r="E3159" s="999" t="s">
        <v>14879</v>
      </c>
      <c r="F3159" s="451">
        <v>37092</v>
      </c>
      <c r="G3159" s="451">
        <v>45286</v>
      </c>
      <c r="H3159" s="451">
        <v>45286</v>
      </c>
      <c r="L3159">
        <v>8789289780</v>
      </c>
    </row>
    <row r="3160" spans="1:12" ht="15" customHeight="1">
      <c r="A3160" s="5" t="s">
        <v>0</v>
      </c>
      <c r="B3160" s="5" t="str">
        <f t="shared" si="52"/>
        <v>Y</v>
      </c>
      <c r="C3160" s="999" t="s">
        <v>14880</v>
      </c>
      <c r="D3160" t="s">
        <v>274</v>
      </c>
      <c r="E3160" s="999" t="s">
        <v>14881</v>
      </c>
      <c r="F3160" s="451">
        <v>24473</v>
      </c>
      <c r="G3160" s="451">
        <v>45287</v>
      </c>
      <c r="H3160" s="451">
        <v>45287</v>
      </c>
      <c r="L3160">
        <v>7209442958</v>
      </c>
    </row>
    <row r="3161" spans="1:12" ht="15" customHeight="1">
      <c r="A3161" s="5" t="s">
        <v>0</v>
      </c>
      <c r="B3161" s="5" t="str">
        <f t="shared" si="52"/>
        <v>Y</v>
      </c>
      <c r="C3161" s="999" t="s">
        <v>14882</v>
      </c>
      <c r="D3161" t="s">
        <v>14437</v>
      </c>
      <c r="E3161" s="999" t="s">
        <v>14883</v>
      </c>
      <c r="F3161" s="451">
        <v>32143</v>
      </c>
      <c r="G3161" s="451">
        <v>45287</v>
      </c>
      <c r="H3161" s="451">
        <v>45287</v>
      </c>
      <c r="L3161">
        <v>7408742678</v>
      </c>
    </row>
    <row r="3162" spans="1:12" ht="15" customHeight="1">
      <c r="A3162" s="5" t="s">
        <v>0</v>
      </c>
      <c r="B3162" s="5" t="str">
        <f t="shared" si="52"/>
        <v>Y</v>
      </c>
      <c r="C3162" s="999" t="s">
        <v>14885</v>
      </c>
      <c r="D3162" t="s">
        <v>130</v>
      </c>
      <c r="E3162" s="999" t="s">
        <v>14884</v>
      </c>
      <c r="F3162" s="451">
        <v>37506</v>
      </c>
      <c r="G3162" s="451">
        <v>45287</v>
      </c>
      <c r="H3162" s="451">
        <v>45287</v>
      </c>
      <c r="L3162">
        <v>7667118964</v>
      </c>
    </row>
    <row r="3163" spans="1:12" ht="15" customHeight="1">
      <c r="A3163" s="5" t="s">
        <v>0</v>
      </c>
      <c r="B3163" s="5" t="str">
        <f t="shared" si="52"/>
        <v>Y</v>
      </c>
      <c r="C3163" s="1001" t="s">
        <v>14888</v>
      </c>
      <c r="D3163" t="s">
        <v>7654</v>
      </c>
      <c r="E3163" s="1001" t="s">
        <v>14889</v>
      </c>
      <c r="F3163" s="451">
        <v>18879</v>
      </c>
      <c r="G3163" s="451">
        <v>45287</v>
      </c>
      <c r="H3163" s="451">
        <v>45287</v>
      </c>
      <c r="L3163">
        <v>7903577546</v>
      </c>
    </row>
    <row r="3164" spans="1:12" ht="15" customHeight="1">
      <c r="A3164" s="5" t="s">
        <v>0</v>
      </c>
      <c r="B3164" s="5" t="str">
        <f t="shared" si="52"/>
        <v>Y</v>
      </c>
      <c r="C3164" s="1002" t="s">
        <v>14891</v>
      </c>
      <c r="D3164" s="1002"/>
      <c r="E3164" s="1002" t="s">
        <v>14892</v>
      </c>
      <c r="F3164" s="451">
        <v>21551</v>
      </c>
      <c r="G3164" s="451">
        <v>45290</v>
      </c>
      <c r="H3164" s="451">
        <v>45290</v>
      </c>
      <c r="L3164">
        <v>9199847410</v>
      </c>
    </row>
    <row r="3165" spans="1:12" ht="15" customHeight="1">
      <c r="A3165" s="5" t="s">
        <v>0</v>
      </c>
      <c r="B3165" s="5" t="str">
        <f t="shared" si="52"/>
        <v>Y</v>
      </c>
      <c r="C3165" s="1002" t="s">
        <v>14893</v>
      </c>
      <c r="E3165" s="1002" t="s">
        <v>14894</v>
      </c>
      <c r="F3165" s="451">
        <v>20455</v>
      </c>
      <c r="G3165" s="451">
        <v>45290</v>
      </c>
      <c r="H3165" s="451">
        <v>45290</v>
      </c>
      <c r="L3165">
        <v>7209938465</v>
      </c>
    </row>
    <row r="3166" spans="1:12" ht="15" customHeight="1">
      <c r="A3166" s="5" t="s">
        <v>0</v>
      </c>
      <c r="B3166" s="5" t="str">
        <f t="shared" si="52"/>
        <v>Y</v>
      </c>
      <c r="C3166" s="1003" t="s">
        <v>14895</v>
      </c>
      <c r="E3166" s="1003" t="s">
        <v>14896</v>
      </c>
      <c r="F3166" s="451">
        <v>38597</v>
      </c>
      <c r="G3166" s="451">
        <v>45290</v>
      </c>
      <c r="H3166" s="451">
        <v>45290</v>
      </c>
      <c r="L3166">
        <v>7463843058</v>
      </c>
    </row>
    <row r="3167" spans="1:12" ht="15" customHeight="1">
      <c r="A3167" s="5" t="s">
        <v>0</v>
      </c>
      <c r="B3167" s="5" t="str">
        <f t="shared" si="52"/>
        <v>Y</v>
      </c>
      <c r="C3167" s="1005" t="s">
        <v>14902</v>
      </c>
      <c r="E3167" s="1005" t="s">
        <v>6543</v>
      </c>
      <c r="F3167" s="451">
        <v>38805</v>
      </c>
      <c r="G3167" s="451">
        <v>45295</v>
      </c>
      <c r="H3167" s="451">
        <v>45295</v>
      </c>
      <c r="L3167">
        <v>9939257327</v>
      </c>
    </row>
    <row r="3168" spans="1:12" ht="15" customHeight="1">
      <c r="A3168" s="5" t="s">
        <v>0</v>
      </c>
      <c r="B3168" s="5" t="str">
        <f t="shared" si="52"/>
        <v>Y</v>
      </c>
      <c r="C3168" s="1005" t="s">
        <v>14900</v>
      </c>
      <c r="E3168" s="1005" t="s">
        <v>14901</v>
      </c>
      <c r="F3168" s="451">
        <v>39305</v>
      </c>
      <c r="G3168" s="451">
        <v>45295</v>
      </c>
      <c r="H3168" s="451">
        <v>45295</v>
      </c>
      <c r="L3168">
        <v>8825316633</v>
      </c>
    </row>
    <row r="3169" spans="1:15" ht="15" customHeight="1">
      <c r="A3169" s="5" t="s">
        <v>0</v>
      </c>
      <c r="B3169" s="5" t="str">
        <f t="shared" si="52"/>
        <v>Y</v>
      </c>
      <c r="C3169" s="1006" t="s">
        <v>14903</v>
      </c>
      <c r="E3169" s="1006" t="s">
        <v>14904</v>
      </c>
      <c r="F3169" s="451">
        <v>30317</v>
      </c>
      <c r="G3169" s="386">
        <v>45296</v>
      </c>
      <c r="H3169" s="451">
        <v>45296</v>
      </c>
      <c r="L3169">
        <v>7033989059</v>
      </c>
    </row>
    <row r="3170" spans="1:15" ht="15" customHeight="1">
      <c r="A3170" s="5" t="s">
        <v>0</v>
      </c>
      <c r="B3170" s="5" t="str">
        <f t="shared" si="52"/>
        <v>Y</v>
      </c>
      <c r="C3170" s="1006" t="s">
        <v>14905</v>
      </c>
      <c r="E3170" s="1006" t="s">
        <v>14906</v>
      </c>
      <c r="F3170" s="451">
        <v>38353</v>
      </c>
      <c r="G3170" s="386">
        <v>45296</v>
      </c>
      <c r="H3170" s="451">
        <v>45296</v>
      </c>
      <c r="L3170">
        <v>9155131218</v>
      </c>
    </row>
    <row r="3171" spans="1:15" ht="15" customHeight="1">
      <c r="A3171" s="5" t="s">
        <v>0</v>
      </c>
      <c r="B3171" s="5" t="str">
        <f t="shared" si="52"/>
        <v>Y</v>
      </c>
      <c r="C3171" s="1007" t="s">
        <v>14907</v>
      </c>
      <c r="E3171" s="1007" t="s">
        <v>14908</v>
      </c>
      <c r="F3171" s="451">
        <v>38658</v>
      </c>
      <c r="G3171" s="386">
        <v>45296</v>
      </c>
      <c r="H3171" s="386">
        <v>45296</v>
      </c>
      <c r="L3171">
        <v>7857879936</v>
      </c>
    </row>
    <row r="3172" spans="1:15" ht="15" customHeight="1">
      <c r="A3172" s="5" t="s">
        <v>0</v>
      </c>
      <c r="B3172" s="5" t="str">
        <f t="shared" si="52"/>
        <v>Y</v>
      </c>
      <c r="C3172" s="1008" t="s">
        <v>14909</v>
      </c>
      <c r="E3172" s="1008" t="s">
        <v>749</v>
      </c>
      <c r="F3172" s="451">
        <v>33242</v>
      </c>
      <c r="G3172" s="386">
        <v>45297</v>
      </c>
      <c r="H3172" s="386">
        <v>45297</v>
      </c>
      <c r="L3172">
        <v>7295914300</v>
      </c>
    </row>
    <row r="3173" spans="1:15" ht="15" customHeight="1">
      <c r="A3173" s="5" t="s">
        <v>0</v>
      </c>
      <c r="B3173" s="5" t="str">
        <f t="shared" si="52"/>
        <v>Y</v>
      </c>
      <c r="C3173" s="1009" t="s">
        <v>14910</v>
      </c>
      <c r="D3173" s="1008" t="s">
        <v>14437</v>
      </c>
      <c r="E3173" s="1009" t="s">
        <v>14911</v>
      </c>
      <c r="F3173" s="451">
        <v>33604</v>
      </c>
      <c r="G3173" s="386">
        <v>45297</v>
      </c>
      <c r="H3173" s="386">
        <v>45297</v>
      </c>
      <c r="L3173">
        <v>8092877146</v>
      </c>
    </row>
    <row r="3174" spans="1:15" ht="15" customHeight="1">
      <c r="A3174" s="5" t="s">
        <v>0</v>
      </c>
      <c r="B3174" s="5" t="str">
        <f t="shared" si="52"/>
        <v>Y</v>
      </c>
      <c r="C3174" s="1010" t="s">
        <v>14915</v>
      </c>
      <c r="E3174" s="1010" t="s">
        <v>353</v>
      </c>
      <c r="F3174" s="451">
        <v>38636</v>
      </c>
      <c r="G3174" s="386">
        <v>45298</v>
      </c>
      <c r="H3174" s="386">
        <v>45298</v>
      </c>
      <c r="L3174">
        <v>9931096336</v>
      </c>
    </row>
    <row r="3175" spans="1:15" ht="15" customHeight="1">
      <c r="A3175" s="5" t="s">
        <v>0</v>
      </c>
      <c r="B3175" s="5" t="str">
        <f t="shared" si="52"/>
        <v>Y</v>
      </c>
      <c r="C3175" s="1010" t="s">
        <v>14916</v>
      </c>
      <c r="E3175" s="1010" t="s">
        <v>14917</v>
      </c>
      <c r="F3175" s="451">
        <v>38362</v>
      </c>
      <c r="G3175" s="386">
        <v>45298</v>
      </c>
      <c r="H3175" s="386">
        <v>45298</v>
      </c>
      <c r="L3175">
        <v>8210758937</v>
      </c>
    </row>
    <row r="3176" spans="1:15" ht="15" customHeight="1">
      <c r="A3176" s="5" t="s">
        <v>0</v>
      </c>
      <c r="B3176" s="5" t="str">
        <f t="shared" si="52"/>
        <v>Y</v>
      </c>
      <c r="C3176" s="1010" t="s">
        <v>14919</v>
      </c>
      <c r="E3176" s="1010" t="s">
        <v>14918</v>
      </c>
      <c r="F3176" s="451">
        <v>37279</v>
      </c>
      <c r="G3176" s="386">
        <v>45298</v>
      </c>
      <c r="H3176" s="386">
        <v>45298</v>
      </c>
      <c r="L3176">
        <v>9065022441</v>
      </c>
    </row>
    <row r="3177" spans="1:15" ht="15" customHeight="1">
      <c r="A3177" s="5" t="s">
        <v>0</v>
      </c>
      <c r="B3177" s="5" t="str">
        <f t="shared" si="52"/>
        <v>Y</v>
      </c>
      <c r="C3177" s="1011" t="s">
        <v>14922</v>
      </c>
      <c r="E3177" s="1011" t="s">
        <v>14920</v>
      </c>
      <c r="F3177" s="451">
        <v>38275</v>
      </c>
      <c r="G3177" s="386">
        <v>45299</v>
      </c>
      <c r="H3177" s="386">
        <v>45299</v>
      </c>
      <c r="L3177">
        <v>6203318409</v>
      </c>
      <c r="O3177">
        <f>145*2*1.5+25+20</f>
        <v>480</v>
      </c>
    </row>
    <row r="3178" spans="1:15" ht="15" customHeight="1">
      <c r="A3178" s="5" t="s">
        <v>0</v>
      </c>
      <c r="B3178" s="5" t="str">
        <f t="shared" si="52"/>
        <v>Y</v>
      </c>
      <c r="C3178" s="1011" t="s">
        <v>14923</v>
      </c>
      <c r="E3178" s="1011" t="s">
        <v>14924</v>
      </c>
      <c r="F3178" s="451">
        <v>37197</v>
      </c>
      <c r="G3178" s="386">
        <v>45299</v>
      </c>
      <c r="H3178" s="386">
        <v>45299</v>
      </c>
      <c r="L3178">
        <v>8210988633</v>
      </c>
    </row>
    <row r="3179" spans="1:15" ht="15" customHeight="1">
      <c r="A3179" s="5" t="s">
        <v>0</v>
      </c>
      <c r="B3179" s="5" t="str">
        <f t="shared" si="52"/>
        <v>Y</v>
      </c>
      <c r="C3179" t="s">
        <v>14921</v>
      </c>
      <c r="D3179" s="1011" t="s">
        <v>11969</v>
      </c>
      <c r="E3179" s="1011" t="s">
        <v>14925</v>
      </c>
      <c r="F3179" s="451">
        <v>26665</v>
      </c>
      <c r="G3179" s="386">
        <v>45299</v>
      </c>
      <c r="H3179" s="386">
        <v>45299</v>
      </c>
      <c r="L3179">
        <v>9031929021</v>
      </c>
    </row>
    <row r="3180" spans="1:15" ht="15" customHeight="1">
      <c r="A3180" s="5" t="s">
        <v>0</v>
      </c>
      <c r="B3180" s="5" t="str">
        <f t="shared" si="52"/>
        <v>Y</v>
      </c>
      <c r="C3180" s="1011" t="s">
        <v>14927</v>
      </c>
      <c r="D3180" s="1011" t="s">
        <v>11969</v>
      </c>
      <c r="E3180" s="1011" t="s">
        <v>14926</v>
      </c>
      <c r="F3180" s="451">
        <v>23343</v>
      </c>
      <c r="G3180" s="386">
        <v>45299</v>
      </c>
      <c r="H3180" s="386">
        <v>45299</v>
      </c>
      <c r="L3180">
        <v>9031929021</v>
      </c>
    </row>
    <row r="3181" spans="1:15" ht="15" customHeight="1">
      <c r="A3181" s="5" t="s">
        <v>0</v>
      </c>
      <c r="B3181" s="5" t="str">
        <f t="shared" si="52"/>
        <v>Y</v>
      </c>
      <c r="C3181" s="1011" t="s">
        <v>14928</v>
      </c>
      <c r="E3181" s="1011" t="s">
        <v>14929</v>
      </c>
      <c r="F3181" s="451">
        <v>38456</v>
      </c>
      <c r="G3181" s="386">
        <v>45299</v>
      </c>
      <c r="H3181" s="386">
        <v>45299</v>
      </c>
      <c r="L3181">
        <v>9955579192</v>
      </c>
    </row>
    <row r="3182" spans="1:15" ht="15" customHeight="1">
      <c r="A3182" s="5" t="s">
        <v>0</v>
      </c>
      <c r="B3182" s="5" t="str">
        <f t="shared" si="52"/>
        <v>Y</v>
      </c>
      <c r="C3182" s="1011" t="s">
        <v>14930</v>
      </c>
      <c r="E3182" s="1011" t="s">
        <v>8173</v>
      </c>
      <c r="F3182" s="451">
        <v>26304</v>
      </c>
      <c r="G3182" s="386">
        <v>45299</v>
      </c>
      <c r="H3182" s="386">
        <v>45299</v>
      </c>
      <c r="L3182">
        <v>8409508277</v>
      </c>
    </row>
    <row r="3183" spans="1:15" ht="15" customHeight="1">
      <c r="A3183" s="5" t="s">
        <v>0</v>
      </c>
      <c r="B3183" s="5" t="str">
        <f t="shared" si="52"/>
        <v>Y</v>
      </c>
      <c r="C3183" s="1012" t="s">
        <v>14933</v>
      </c>
      <c r="E3183" s="1012" t="s">
        <v>14931</v>
      </c>
      <c r="F3183" s="451">
        <v>24141</v>
      </c>
      <c r="G3183" s="386">
        <v>45300</v>
      </c>
      <c r="H3183" s="386">
        <v>45300</v>
      </c>
      <c r="L3183">
        <v>9097333667</v>
      </c>
    </row>
    <row r="3184" spans="1:15" ht="15" customHeight="1">
      <c r="B3184" s="5" t="str">
        <f t="shared" si="52"/>
        <v>Y</v>
      </c>
      <c r="C3184" s="1013" t="s">
        <v>14934</v>
      </c>
      <c r="E3184" s="1013" t="s">
        <v>14935</v>
      </c>
      <c r="F3184" s="451">
        <v>39094</v>
      </c>
      <c r="G3184" s="386">
        <v>45301</v>
      </c>
      <c r="H3184" s="386">
        <v>45301</v>
      </c>
      <c r="L3184">
        <v>7903429796</v>
      </c>
    </row>
    <row r="3185" spans="2:2" ht="15" customHeight="1">
      <c r="B3185" s="5" t="str">
        <f t="shared" si="52"/>
        <v>N</v>
      </c>
    </row>
    <row r="3186" spans="2:2" ht="15" customHeight="1">
      <c r="B3186" s="5" t="str">
        <f t="shared" si="52"/>
        <v>N</v>
      </c>
    </row>
    <row r="3187" spans="2:2" ht="15" customHeight="1">
      <c r="B3187" s="5" t="str">
        <f t="shared" si="52"/>
        <v>N</v>
      </c>
    </row>
    <row r="3188" spans="2:2" ht="15" customHeight="1">
      <c r="B3188" s="5" t="str">
        <f t="shared" si="52"/>
        <v>N</v>
      </c>
    </row>
    <row r="3189" spans="2:2" ht="15" customHeight="1">
      <c r="B3189" s="5" t="str">
        <f t="shared" si="52"/>
        <v>N</v>
      </c>
    </row>
    <row r="3190" spans="2:2" ht="15" customHeight="1">
      <c r="B3190" s="5" t="str">
        <f t="shared" si="52"/>
        <v>N</v>
      </c>
    </row>
    <row r="3191" spans="2:2" ht="15" customHeight="1">
      <c r="B3191" s="5" t="str">
        <f t="shared" si="52"/>
        <v>N</v>
      </c>
    </row>
    <row r="3192" spans="2:2" ht="15" customHeight="1">
      <c r="B3192" s="5" t="str">
        <f t="shared" si="52"/>
        <v>N</v>
      </c>
    </row>
    <row r="3193" spans="2:2" ht="15" customHeight="1">
      <c r="B3193" s="5" t="str">
        <f t="shared" si="52"/>
        <v>N</v>
      </c>
    </row>
    <row r="3194" spans="2:2" ht="15" customHeight="1">
      <c r="B3194" s="5" t="str">
        <f t="shared" si="52"/>
        <v>N</v>
      </c>
    </row>
    <row r="3195" spans="2:2" ht="15" customHeight="1">
      <c r="B3195" s="5" t="str">
        <f t="shared" si="52"/>
        <v>N</v>
      </c>
    </row>
    <row r="3196" spans="2:2" ht="15" customHeight="1">
      <c r="B3196" s="5" t="str">
        <f t="shared" si="52"/>
        <v>N</v>
      </c>
    </row>
    <row r="3197" spans="2:2" ht="15" customHeight="1">
      <c r="B3197" s="5" t="str">
        <f t="shared" si="52"/>
        <v>N</v>
      </c>
    </row>
    <row r="3198" spans="2:2" ht="15" customHeight="1">
      <c r="B3198" s="5" t="str">
        <f t="shared" si="52"/>
        <v>N</v>
      </c>
    </row>
    <row r="3199" spans="2:2" ht="15" customHeight="1">
      <c r="B3199" s="5" t="str">
        <f t="shared" si="52"/>
        <v>N</v>
      </c>
    </row>
    <row r="3200" spans="2:2" ht="15" customHeight="1">
      <c r="B3200" s="5" t="str">
        <f t="shared" si="52"/>
        <v>N</v>
      </c>
    </row>
    <row r="3201" spans="2:6" ht="15" customHeight="1">
      <c r="B3201" s="5" t="str">
        <f t="shared" si="52"/>
        <v>N</v>
      </c>
    </row>
    <row r="3202" spans="2:6" ht="15" customHeight="1">
      <c r="B3202" s="5" t="str">
        <f t="shared" si="52"/>
        <v>N</v>
      </c>
    </row>
    <row r="3203" spans="2:6" ht="15" customHeight="1">
      <c r="B3203" s="5" t="str">
        <f t="shared" si="52"/>
        <v>N</v>
      </c>
    </row>
    <row r="3204" spans="2:6" ht="15" customHeight="1">
      <c r="B3204" s="5" t="str">
        <f t="shared" si="52"/>
        <v>N</v>
      </c>
      <c r="E3204" s="836" t="s">
        <v>14413</v>
      </c>
      <c r="F3204" s="451">
        <v>38805</v>
      </c>
    </row>
    <row r="3205" spans="2:6" ht="15" customHeight="1">
      <c r="B3205" s="5" t="str">
        <f t="shared" si="52"/>
        <v>N</v>
      </c>
    </row>
    <row r="3206" spans="2:6" ht="15" customHeight="1">
      <c r="B3206" s="5" t="str">
        <f t="shared" si="52"/>
        <v>N</v>
      </c>
    </row>
    <row r="3207" spans="2:6" ht="15" customHeight="1">
      <c r="B3207" s="5" t="str">
        <f t="shared" si="52"/>
        <v>N</v>
      </c>
    </row>
    <row r="3208" spans="2:6" ht="15" customHeight="1">
      <c r="B3208" s="5" t="str">
        <f t="shared" si="52"/>
        <v>N</v>
      </c>
    </row>
    <row r="3209" spans="2:6" ht="15" customHeight="1">
      <c r="B3209" s="5" t="str">
        <f t="shared" ref="B3209:B3220" si="53">IF(H3209="","N","Y")</f>
        <v>N</v>
      </c>
    </row>
    <row r="3210" spans="2:6" ht="15" customHeight="1">
      <c r="B3210" s="5" t="str">
        <f t="shared" si="53"/>
        <v>N</v>
      </c>
    </row>
    <row r="3211" spans="2:6" ht="15" customHeight="1">
      <c r="B3211" s="5" t="str">
        <f t="shared" si="53"/>
        <v>N</v>
      </c>
    </row>
    <row r="3212" spans="2:6" ht="15" customHeight="1">
      <c r="B3212" s="5" t="str">
        <f t="shared" si="53"/>
        <v>N</v>
      </c>
    </row>
    <row r="3213" spans="2:6" ht="15" customHeight="1">
      <c r="B3213" s="5" t="str">
        <f t="shared" si="53"/>
        <v>N</v>
      </c>
    </row>
    <row r="3214" spans="2:6" ht="15" customHeight="1">
      <c r="B3214" s="5" t="str">
        <f t="shared" si="53"/>
        <v>N</v>
      </c>
    </row>
    <row r="3215" spans="2:6" ht="15" customHeight="1">
      <c r="B3215" s="5" t="str">
        <f t="shared" si="53"/>
        <v>N</v>
      </c>
    </row>
    <row r="3216" spans="2:6" ht="15" customHeight="1">
      <c r="B3216" s="5" t="str">
        <f t="shared" si="53"/>
        <v>N</v>
      </c>
    </row>
    <row r="3217" spans="2:2" ht="15" customHeight="1">
      <c r="B3217" s="5" t="str">
        <f t="shared" si="53"/>
        <v>N</v>
      </c>
    </row>
    <row r="3218" spans="2:2" ht="15" customHeight="1">
      <c r="B3218" s="5" t="str">
        <f t="shared" si="53"/>
        <v>N</v>
      </c>
    </row>
    <row r="3219" spans="2:2" ht="15" customHeight="1">
      <c r="B3219" s="5" t="str">
        <f t="shared" si="53"/>
        <v>N</v>
      </c>
    </row>
    <row r="3220" spans="2:2" ht="15" customHeight="1">
      <c r="B3220" s="5" t="str">
        <f t="shared" si="53"/>
        <v>N</v>
      </c>
    </row>
    <row r="1048574" spans="1:1" ht="15" customHeight="1">
      <c r="A1048574" s="575" t="s">
        <v>9408</v>
      </c>
    </row>
  </sheetData>
  <autoFilter ref="A1:L2447" xr:uid="{00000000-0009-0000-0000-000002000000}"/>
  <customSheetViews>
    <customSheetView guid="{7D776790-6EE6-4890-AEAD-CC685CF5AC69}" filter="1" showAutoFilter="1">
      <pageMargins left="0.7" right="0.7" top="0.75" bottom="0.75" header="0.3" footer="0.3"/>
      <autoFilter ref="A1:K1958" xr:uid="{8D1CB258-956B-4472-9D84-DB69A22F593F}"/>
      <extLst>
        <ext uri="GoogleSheetsCustomDataVersion1">
          <go:sheetsCustomData xmlns:go="http://customooxmlschemas.google.com/" filterViewId="2133511507"/>
        </ext>
      </extLst>
    </customSheetView>
    <customSheetView guid="{A2126CFA-336F-4251-8FBA-F8792C4B397B}" filter="1" showAutoFilter="1">
      <pageMargins left="0.7" right="0.7" top="0.75" bottom="0.75" header="0.3" footer="0.3"/>
      <autoFilter ref="A4:Q805" xr:uid="{7282007E-F9CA-44B8-A059-B3A7E990803B}"/>
      <extLst>
        <ext uri="GoogleSheetsCustomDataVersion1">
          <go:sheetsCustomData xmlns:go="http://customooxmlschemas.google.com/" filterViewId="507358128"/>
        </ext>
      </extLst>
    </customSheetView>
    <customSheetView guid="{040E2B87-7533-4707-9322-D403F4F7577B}" filter="1" showAutoFilter="1">
      <pageMargins left="0.7" right="0.7" top="0.75" bottom="0.75" header="0.3" footer="0.3"/>
      <autoFilter ref="A4:Q805" xr:uid="{00F8BCDA-170B-45B4-BB49-29E205FDF772}"/>
      <extLst>
        <ext uri="GoogleSheetsCustomDataVersion1">
          <go:sheetsCustomData xmlns:go="http://customooxmlschemas.google.com/" filterViewId="1952236507"/>
        </ext>
      </extLst>
    </customSheetView>
    <customSheetView guid="{2725018A-75FC-4F1C-84B0-F6408FBACE16}" filter="1" showAutoFilter="1">
      <pageMargins left="0.7" right="0.7" top="0.75" bottom="0.75" header="0.3" footer="0.3"/>
      <autoFilter ref="A4:Q806" xr:uid="{F4E55141-53F7-45ED-BC0D-451A8DD9ED05}"/>
      <extLst>
        <ext uri="GoogleSheetsCustomDataVersion1">
          <go:sheetsCustomData xmlns:go="http://customooxmlschemas.google.com/" filterViewId="1407503286"/>
        </ext>
      </extLst>
    </customSheetView>
    <customSheetView guid="{5B977F16-71B0-46A5-85B0-37803B6F8619}" filter="1" showAutoFilter="1">
      <pageMargins left="0.7" right="0.7" top="0.75" bottom="0.75" header="0.3" footer="0.3"/>
      <autoFilter ref="A4:Q868" xr:uid="{9810997D-8E84-4D0E-BA80-C76B81865F92}"/>
      <extLst>
        <ext uri="GoogleSheetsCustomDataVersion1">
          <go:sheetsCustomData xmlns:go="http://customooxmlschemas.google.com/" filterViewId="1176140739"/>
        </ext>
      </extLst>
    </customSheetView>
    <customSheetView guid="{62279284-2A04-4898-9B19-D0B29F26DFD3}" filter="1" showAutoFilter="1">
      <pageMargins left="0.7" right="0.7" top="0.75" bottom="0.75" header="0.3" footer="0.3"/>
      <autoFilter ref="A1:K2448" xr:uid="{44BE473F-E8D3-44B9-AB4F-19A6C18ABD4D}"/>
      <extLst>
        <ext uri="GoogleSheetsCustomDataVersion1">
          <go:sheetsCustomData xmlns:go="http://customooxmlschemas.google.com/" filterViewId="2090300398"/>
        </ext>
      </extLst>
    </customSheetView>
    <customSheetView guid="{6DBA1DF2-B961-4824-A638-68D2235E258C}" filter="1" showAutoFilter="1">
      <pageMargins left="0.7" right="0.7" top="0.75" bottom="0.75" header="0.3" footer="0.3"/>
      <autoFilter ref="A1:K2448" xr:uid="{8544F00E-9DDC-459A-A716-554928E97065}"/>
      <extLst>
        <ext uri="GoogleSheetsCustomDataVersion1">
          <go:sheetsCustomData xmlns:go="http://customooxmlschemas.google.com/" filterViewId="1186333332"/>
        </ext>
      </extLst>
    </customSheetView>
    <customSheetView guid="{B48AB9B1-ABCB-4969-9A44-080A32004BB6}" filter="1" showAutoFilter="1">
      <pageMargins left="0.7" right="0.7" top="0.75" bottom="0.75" header="0.3" footer="0.3"/>
      <autoFilter ref="A1:K2448" xr:uid="{0050A7C4-F616-4445-8291-BB5BE9BD74F0}"/>
      <extLst>
        <ext uri="GoogleSheetsCustomDataVersion1">
          <go:sheetsCustomData xmlns:go="http://customooxmlschemas.google.com/" filterViewId="1040773736"/>
        </ext>
      </extLst>
    </customSheetView>
  </customSheetViews>
  <conditionalFormatting sqref="B19:B183">
    <cfRule type="cellIs" dxfId="6" priority="3" operator="equal">
      <formula>"N"</formula>
    </cfRule>
  </conditionalFormatting>
  <conditionalFormatting sqref="C1162:E1162">
    <cfRule type="expression" dxfId="5" priority="6">
      <formula>"if(left($D$1162)=""Q"")"</formula>
    </cfRule>
  </conditionalFormatting>
  <conditionalFormatting sqref="C1046:L1046">
    <cfRule type="expression" dxfId="4" priority="4">
      <formula>"O"</formula>
    </cfRule>
    <cfRule type="expression" dxfId="3" priority="5">
      <formula>"O"</formula>
    </cfRule>
  </conditionalFormatting>
  <conditionalFormatting sqref="F1:F3146 F3148:F3155 F3156:H3167 G3168:H3168 F3168:F3170 H3169:H3170 F3172:F3188 F3190:F1048576">
    <cfRule type="expression" priority="1">
      <formula>TODAY()</formula>
    </cfRule>
  </conditionalFormatting>
  <conditionalFormatting sqref="M1:M10 M16:M18 M22 M24:M25 M33 M45 M47:M54 M61:M67 M69:M79 M83:M84 M86:M96 M98:M99 M101:M102 M106 M112:M116 M118 M121:M150 N151 M152 N153 M154:M237 M240:M244 M246 M248:M260 N262 M263:M276 M279:M281 M283:M284 M289:M330 M332:M333 M336:M348 N349 M350:M363 M365:M370 M372:M374 M376:M441 N442 M443:M451 M453:M469 M472:M507 M509:M540 M542:M546 M551 M554:M563 M565 M567:M575 M577:M582 M584:M587 M589:M597 M599:M600 M602:M603 M605:M614 M617 F619 M620:M641 M643:M652 M654:M682 M684:M686 M688:M694 M696:M774 M776 M778:M783 M785:M1069 M1071:M1220 M1222:M1414 L1415:L1424 M1416:M2447 L1426:L1443 L1445:L1515 L1517:L1545 L1547:L1548 L1550:L1563 L1565:L1580 L1583">
    <cfRule type="cellIs" dxfId="2" priority="2" operator="equal">
      <formula>"withheld"</formula>
    </cfRule>
  </conditionalFormatting>
  <hyperlinks>
    <hyperlink ref="Q110" r:id="rId1" xr:uid="{00000000-0004-0000-0200-000000000000}"/>
    <hyperlink ref="Q111" r:id="rId2" xr:uid="{00000000-0004-0000-0200-000001000000}"/>
    <hyperlink ref="Q112" r:id="rId3" xr:uid="{00000000-0004-0000-0200-000002000000}"/>
    <hyperlink ref="P120" r:id="rId4" xr:uid="{00000000-0004-0000-0200-000003000000}"/>
    <hyperlink ref="M1209" r:id="rId5" xr:uid="{00000000-0004-0000-0200-000004000000}"/>
    <hyperlink ref="M1238" r:id="rId6" xr:uid="{00000000-0004-0000-0200-000005000000}"/>
    <hyperlink ref="K1275" r:id="rId7" xr:uid="{00000000-0004-0000-0200-000006000000}"/>
    <hyperlink ref="K1281" r:id="rId8" xr:uid="{00000000-0004-0000-0200-000007000000}"/>
    <hyperlink ref="K1282" r:id="rId9" xr:uid="{00000000-0004-0000-0200-000008000000}"/>
    <hyperlink ref="K1283" r:id="rId10" xr:uid="{00000000-0004-0000-0200-000009000000}"/>
    <hyperlink ref="K1285" r:id="rId11" xr:uid="{00000000-0004-0000-0200-00000A000000}"/>
    <hyperlink ref="K1286" r:id="rId12" xr:uid="{00000000-0004-0000-0200-00000B000000}"/>
    <hyperlink ref="K1287" r:id="rId13" xr:uid="{00000000-0004-0000-0200-00000C000000}"/>
    <hyperlink ref="K1288" r:id="rId14" xr:uid="{00000000-0004-0000-0200-00000D000000}"/>
    <hyperlink ref="K1289" r:id="rId15" xr:uid="{00000000-0004-0000-0200-00000E000000}"/>
    <hyperlink ref="K1290" r:id="rId16" xr:uid="{00000000-0004-0000-0200-00000F000000}"/>
    <hyperlink ref="K1292" r:id="rId17" xr:uid="{00000000-0004-0000-0200-000010000000}"/>
    <hyperlink ref="K1293" r:id="rId18" xr:uid="{00000000-0004-0000-0200-000011000000}"/>
    <hyperlink ref="K1294" r:id="rId19" xr:uid="{00000000-0004-0000-0200-000012000000}"/>
    <hyperlink ref="K1296" r:id="rId20" xr:uid="{00000000-0004-0000-0200-000013000000}"/>
    <hyperlink ref="K1299" r:id="rId21" xr:uid="{00000000-0004-0000-0200-000014000000}"/>
    <hyperlink ref="K1300" r:id="rId22" xr:uid="{00000000-0004-0000-0200-000015000000}"/>
    <hyperlink ref="K1303" r:id="rId23" xr:uid="{00000000-0004-0000-0200-000016000000}"/>
    <hyperlink ref="K1304" r:id="rId24" xr:uid="{00000000-0004-0000-0200-000017000000}"/>
    <hyperlink ref="K1305" r:id="rId25" xr:uid="{00000000-0004-0000-0200-000018000000}"/>
    <hyperlink ref="K1306" r:id="rId26" xr:uid="{00000000-0004-0000-0200-000019000000}"/>
    <hyperlink ref="K1309" r:id="rId27" xr:uid="{00000000-0004-0000-0200-00001A000000}"/>
    <hyperlink ref="K1312" r:id="rId28" xr:uid="{00000000-0004-0000-0200-00001B000000}"/>
    <hyperlink ref="K1313" r:id="rId29" xr:uid="{00000000-0004-0000-0200-00001C000000}"/>
    <hyperlink ref="K1314" r:id="rId30" xr:uid="{00000000-0004-0000-0200-00001D000000}"/>
    <hyperlink ref="K1320" r:id="rId31" xr:uid="{00000000-0004-0000-0200-00001E000000}"/>
    <hyperlink ref="K1321" r:id="rId32" xr:uid="{00000000-0004-0000-0200-00001F000000}"/>
    <hyperlink ref="K1322" r:id="rId33" xr:uid="{00000000-0004-0000-0200-000020000000}"/>
    <hyperlink ref="K1325" r:id="rId34" xr:uid="{00000000-0004-0000-0200-000021000000}"/>
    <hyperlink ref="K1326" r:id="rId35" xr:uid="{00000000-0004-0000-0200-000022000000}"/>
    <hyperlink ref="K1328" r:id="rId36" xr:uid="{00000000-0004-0000-0200-000023000000}"/>
    <hyperlink ref="K1329" r:id="rId37" xr:uid="{00000000-0004-0000-0200-000024000000}"/>
    <hyperlink ref="K1330" r:id="rId38" xr:uid="{00000000-0004-0000-0200-000025000000}"/>
    <hyperlink ref="K1331" r:id="rId39" xr:uid="{00000000-0004-0000-0200-000026000000}"/>
    <hyperlink ref="K1332" r:id="rId40" xr:uid="{00000000-0004-0000-0200-000027000000}"/>
    <hyperlink ref="K1335" r:id="rId41" xr:uid="{00000000-0004-0000-0200-000028000000}"/>
    <hyperlink ref="K1337" r:id="rId42" xr:uid="{00000000-0004-0000-0200-000029000000}"/>
    <hyperlink ref="K1339" r:id="rId43" xr:uid="{00000000-0004-0000-0200-00002A000000}"/>
    <hyperlink ref="K1340" r:id="rId44" xr:uid="{00000000-0004-0000-0200-00002B000000}"/>
    <hyperlink ref="K1342" r:id="rId45" xr:uid="{00000000-0004-0000-0200-00002C000000}"/>
    <hyperlink ref="K1343" r:id="rId46" xr:uid="{00000000-0004-0000-0200-00002D000000}"/>
    <hyperlink ref="K1348" r:id="rId47" xr:uid="{00000000-0004-0000-0200-00002E000000}"/>
    <hyperlink ref="K1349" r:id="rId48" xr:uid="{00000000-0004-0000-0200-00002F000000}"/>
    <hyperlink ref="K1350" r:id="rId49" xr:uid="{00000000-0004-0000-0200-000030000000}"/>
    <hyperlink ref="K1353" r:id="rId50" xr:uid="{00000000-0004-0000-0200-000031000000}"/>
    <hyperlink ref="K1357" r:id="rId51" xr:uid="{00000000-0004-0000-0200-000032000000}"/>
    <hyperlink ref="K1358" r:id="rId52" xr:uid="{00000000-0004-0000-0200-000033000000}"/>
    <hyperlink ref="K1360" r:id="rId53" xr:uid="{00000000-0004-0000-0200-000034000000}"/>
    <hyperlink ref="K1368" r:id="rId54" xr:uid="{00000000-0004-0000-0200-000035000000}"/>
    <hyperlink ref="K1369" r:id="rId55" xr:uid="{00000000-0004-0000-0200-000036000000}"/>
    <hyperlink ref="K1370" r:id="rId56" xr:uid="{00000000-0004-0000-0200-000037000000}"/>
    <hyperlink ref="K1371" r:id="rId57" xr:uid="{00000000-0004-0000-0200-000038000000}"/>
    <hyperlink ref="K1372" r:id="rId58" xr:uid="{00000000-0004-0000-0200-000039000000}"/>
    <hyperlink ref="K1373" r:id="rId59" xr:uid="{00000000-0004-0000-0200-00003A000000}"/>
    <hyperlink ref="K1374" r:id="rId60" xr:uid="{00000000-0004-0000-0200-00003B000000}"/>
    <hyperlink ref="K1375" r:id="rId61" xr:uid="{00000000-0004-0000-0200-00003C000000}"/>
    <hyperlink ref="K1376" r:id="rId62" xr:uid="{00000000-0004-0000-0200-00003D000000}"/>
    <hyperlink ref="K1378" r:id="rId63" xr:uid="{00000000-0004-0000-0200-00003E000000}"/>
    <hyperlink ref="K1380" r:id="rId64" xr:uid="{00000000-0004-0000-0200-00003F000000}"/>
    <hyperlink ref="K1382" r:id="rId65" xr:uid="{00000000-0004-0000-0200-000040000000}"/>
    <hyperlink ref="K1387" r:id="rId66" xr:uid="{00000000-0004-0000-0200-000041000000}"/>
    <hyperlink ref="K1389" r:id="rId67" xr:uid="{00000000-0004-0000-0200-000042000000}"/>
    <hyperlink ref="K1391" r:id="rId68" xr:uid="{00000000-0004-0000-0200-000043000000}"/>
    <hyperlink ref="K1392" r:id="rId69" xr:uid="{00000000-0004-0000-0200-000044000000}"/>
    <hyperlink ref="K1394" r:id="rId70" xr:uid="{00000000-0004-0000-0200-000045000000}"/>
    <hyperlink ref="K1396" r:id="rId71" xr:uid="{00000000-0004-0000-0200-000046000000}"/>
    <hyperlink ref="K1398" r:id="rId72" xr:uid="{00000000-0004-0000-0200-000047000000}"/>
    <hyperlink ref="K1399" r:id="rId73" xr:uid="{00000000-0004-0000-0200-000048000000}"/>
    <hyperlink ref="K1402" r:id="rId74" xr:uid="{00000000-0004-0000-0200-000049000000}"/>
    <hyperlink ref="K1405" r:id="rId75" xr:uid="{00000000-0004-0000-0200-00004A000000}"/>
    <hyperlink ref="K1418" r:id="rId76" xr:uid="{00000000-0004-0000-0200-00004B000000}"/>
    <hyperlink ref="K1419" r:id="rId77" xr:uid="{00000000-0004-0000-0200-00004C000000}"/>
    <hyperlink ref="K1420" r:id="rId78" xr:uid="{00000000-0004-0000-0200-00004D000000}"/>
    <hyperlink ref="K1421" r:id="rId79" xr:uid="{00000000-0004-0000-0200-00004E000000}"/>
    <hyperlink ref="K1422" r:id="rId80" xr:uid="{00000000-0004-0000-0200-00004F000000}"/>
    <hyperlink ref="K1423" r:id="rId81" xr:uid="{00000000-0004-0000-0200-000050000000}"/>
    <hyperlink ref="K1434" r:id="rId82" xr:uid="{00000000-0004-0000-0200-000051000000}"/>
    <hyperlink ref="K1439" r:id="rId83" xr:uid="{00000000-0004-0000-0200-000052000000}"/>
    <hyperlink ref="K1447" r:id="rId84" xr:uid="{00000000-0004-0000-0200-000053000000}"/>
    <hyperlink ref="K1450" r:id="rId85" xr:uid="{00000000-0004-0000-0200-000054000000}"/>
    <hyperlink ref="K1451" r:id="rId86" xr:uid="{00000000-0004-0000-0200-000055000000}"/>
    <hyperlink ref="K1452" r:id="rId87" xr:uid="{00000000-0004-0000-0200-000056000000}"/>
    <hyperlink ref="K1453" r:id="rId88" xr:uid="{00000000-0004-0000-0200-000057000000}"/>
    <hyperlink ref="K1456" r:id="rId89" xr:uid="{00000000-0004-0000-0200-000058000000}"/>
    <hyperlink ref="K1457" r:id="rId90" xr:uid="{00000000-0004-0000-0200-000059000000}"/>
    <hyperlink ref="K1458" r:id="rId91" xr:uid="{00000000-0004-0000-0200-00005A000000}"/>
    <hyperlink ref="K1460" r:id="rId92" xr:uid="{00000000-0004-0000-0200-00005B000000}"/>
    <hyperlink ref="K1462" r:id="rId93" xr:uid="{00000000-0004-0000-0200-00005C000000}"/>
    <hyperlink ref="K1463" r:id="rId94" xr:uid="{00000000-0004-0000-0200-00005D000000}"/>
    <hyperlink ref="K1464" r:id="rId95" xr:uid="{00000000-0004-0000-0200-00005E000000}"/>
    <hyperlink ref="K1465" r:id="rId96" xr:uid="{00000000-0004-0000-0200-00005F000000}"/>
    <hyperlink ref="K1466" r:id="rId97" xr:uid="{00000000-0004-0000-0200-000060000000}"/>
    <hyperlink ref="K1467" r:id="rId98" xr:uid="{00000000-0004-0000-0200-000061000000}"/>
    <hyperlink ref="K1468" r:id="rId99" xr:uid="{00000000-0004-0000-0200-000062000000}"/>
    <hyperlink ref="K1469" r:id="rId100" xr:uid="{00000000-0004-0000-0200-000063000000}"/>
    <hyperlink ref="K1470" r:id="rId101" xr:uid="{00000000-0004-0000-0200-000064000000}"/>
    <hyperlink ref="K1471" r:id="rId102" xr:uid="{00000000-0004-0000-0200-000065000000}"/>
    <hyperlink ref="K1474" r:id="rId103" xr:uid="{00000000-0004-0000-0200-000066000000}"/>
    <hyperlink ref="K1475" r:id="rId104" xr:uid="{00000000-0004-0000-0200-000067000000}"/>
    <hyperlink ref="K1476" r:id="rId105" xr:uid="{00000000-0004-0000-0200-000068000000}"/>
    <hyperlink ref="K1478" r:id="rId106" xr:uid="{00000000-0004-0000-0200-000069000000}"/>
    <hyperlink ref="K1482" r:id="rId107" xr:uid="{00000000-0004-0000-0200-00006A000000}"/>
    <hyperlink ref="K1483" r:id="rId108" xr:uid="{00000000-0004-0000-0200-00006B000000}"/>
    <hyperlink ref="K1525" r:id="rId109" xr:uid="{00000000-0004-0000-0200-00006C000000}"/>
    <hyperlink ref="K1556" r:id="rId110" xr:uid="{00000000-0004-0000-0200-00006D000000}"/>
    <hyperlink ref="K1557" r:id="rId111" xr:uid="{00000000-0004-0000-0200-00006E000000}"/>
    <hyperlink ref="K1558" r:id="rId112" xr:uid="{00000000-0004-0000-0200-00006F000000}"/>
    <hyperlink ref="K1559" r:id="rId113" xr:uid="{00000000-0004-0000-0200-000070000000}"/>
    <hyperlink ref="K1576" r:id="rId114" xr:uid="{00000000-0004-0000-0200-000071000000}"/>
    <hyperlink ref="K1606" r:id="rId115" xr:uid="{00000000-0004-0000-0200-000072000000}"/>
    <hyperlink ref="K2906" r:id="rId116" xr:uid="{CFDC8D54-E72D-404A-9FC4-71FFC5B69785}"/>
    <hyperlink ref="K2927" r:id="rId117" xr:uid="{08DCBD99-F370-4998-B808-ED99223B14C5}"/>
    <hyperlink ref="K2934" r:id="rId118" xr:uid="{411887AA-1CE4-42C3-AC63-1B077D5A294D}"/>
  </hyperlinks>
  <pageMargins left="0.7" right="0.7" top="0.75" bottom="0.75" header="0" footer="0"/>
  <pageSetup paperSize="9" orientation="portrait" r:id="rId119"/>
  <legacyDrawing r:id="rId1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66"/>
  <sheetViews>
    <sheetView zoomScale="145" zoomScaleNormal="145" workbookViewId="0">
      <pane ySplit="2" topLeftCell="A865" activePane="bottomLeft" state="frozen"/>
      <selection pane="bottomLeft" activeCell="E1168" sqref="E1168"/>
    </sheetView>
  </sheetViews>
  <sheetFormatPr defaultColWidth="14.42578125" defaultRowHeight="15" customHeight="1"/>
  <cols>
    <col min="1" max="1" width="10.140625" customWidth="1"/>
    <col min="2" max="2" width="13.42578125" customWidth="1"/>
    <col min="3" max="3" width="11.140625" style="448" customWidth="1"/>
    <col min="4" max="4" width="22.85546875" customWidth="1"/>
    <col min="5" max="5" width="12.7109375" customWidth="1"/>
    <col min="6" max="6" width="11" customWidth="1"/>
    <col min="7" max="7" width="13" customWidth="1"/>
    <col min="8" max="8" width="14" customWidth="1"/>
    <col min="9" max="9" width="9.7109375" hidden="1" customWidth="1"/>
    <col min="10" max="10" width="26.7109375" customWidth="1"/>
    <col min="11" max="11" width="15.28515625" customWidth="1"/>
    <col min="12" max="12" width="12.28515625" customWidth="1"/>
    <col min="13" max="13" width="17.5703125" customWidth="1"/>
    <col min="14" max="14" width="15" customWidth="1"/>
    <col min="15" max="26" width="8.7109375" customWidth="1"/>
  </cols>
  <sheetData>
    <row r="1" spans="1:26" ht="14.25" customHeight="1">
      <c r="A1" s="149"/>
      <c r="B1" s="149"/>
      <c r="C1" s="150" t="s">
        <v>7294</v>
      </c>
      <c r="D1" s="18" t="s">
        <v>5544</v>
      </c>
      <c r="E1" s="149" t="s">
        <v>7295</v>
      </c>
      <c r="F1" s="151" t="s">
        <v>7296</v>
      </c>
      <c r="G1" s="150" t="s">
        <v>7297</v>
      </c>
      <c r="H1" s="149" t="s">
        <v>7298</v>
      </c>
      <c r="I1" s="149" t="s">
        <v>7299</v>
      </c>
      <c r="J1" s="149" t="s">
        <v>7300</v>
      </c>
      <c r="K1" s="16"/>
      <c r="M1" s="6" t="s">
        <v>7298</v>
      </c>
      <c r="N1" s="6" t="s">
        <v>7301</v>
      </c>
    </row>
    <row r="2" spans="1:26" ht="14.25" customHeight="1">
      <c r="B2" s="152">
        <v>43099</v>
      </c>
      <c r="C2" s="153"/>
      <c r="D2" s="154" t="s">
        <v>7302</v>
      </c>
      <c r="F2" s="155"/>
      <c r="J2" s="6" t="s">
        <v>7303</v>
      </c>
      <c r="K2" s="16"/>
      <c r="L2" s="11" t="s">
        <v>7304</v>
      </c>
    </row>
    <row r="3" spans="1:26" ht="14.25" customHeight="1">
      <c r="A3" s="47"/>
      <c r="B3" s="156">
        <v>43167</v>
      </c>
      <c r="C3" s="157"/>
      <c r="D3" s="47" t="s">
        <v>7305</v>
      </c>
      <c r="E3" s="47" t="s">
        <v>273</v>
      </c>
      <c r="F3" s="151"/>
      <c r="G3" s="47"/>
      <c r="H3" s="47" t="s">
        <v>7306</v>
      </c>
      <c r="I3" s="47" t="s">
        <v>7307</v>
      </c>
      <c r="J3" s="47" t="s">
        <v>7308</v>
      </c>
      <c r="K3" s="66">
        <v>8521754406</v>
      </c>
      <c r="L3" s="47" t="s">
        <v>7309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4.25" customHeight="1">
      <c r="B4" s="152">
        <v>43167</v>
      </c>
      <c r="C4" s="153"/>
      <c r="D4" s="6" t="s">
        <v>7310</v>
      </c>
      <c r="E4" s="6" t="s">
        <v>273</v>
      </c>
      <c r="F4" s="155"/>
      <c r="H4" s="6" t="s">
        <v>7311</v>
      </c>
      <c r="I4" s="6">
        <v>181</v>
      </c>
      <c r="J4" s="6" t="s">
        <v>7312</v>
      </c>
      <c r="K4" s="16">
        <v>8521754406</v>
      </c>
    </row>
    <row r="5" spans="1:26" ht="14.25" customHeight="1">
      <c r="A5" s="47"/>
      <c r="B5" s="158">
        <v>43560</v>
      </c>
      <c r="C5" s="64"/>
      <c r="D5" s="47" t="s">
        <v>7313</v>
      </c>
      <c r="E5" s="47" t="s">
        <v>7314</v>
      </c>
      <c r="F5" s="151"/>
      <c r="G5" s="47"/>
      <c r="H5" s="47" t="s">
        <v>7315</v>
      </c>
      <c r="I5" s="47"/>
      <c r="J5" s="47" t="s">
        <v>7316</v>
      </c>
      <c r="K5" s="66">
        <v>7004604919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4.25" customHeight="1">
      <c r="A6" s="47"/>
      <c r="B6" s="156">
        <v>43174</v>
      </c>
      <c r="C6" s="157"/>
      <c r="D6" s="47" t="s">
        <v>7317</v>
      </c>
      <c r="E6" s="47" t="s">
        <v>7318</v>
      </c>
      <c r="F6" s="151"/>
      <c r="G6" s="47"/>
      <c r="H6" s="47"/>
      <c r="I6" s="47"/>
      <c r="J6" s="47" t="s">
        <v>7319</v>
      </c>
      <c r="K6" s="66">
        <v>9123229284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4.25" customHeight="1">
      <c r="B7" s="159">
        <v>43176</v>
      </c>
      <c r="C7" s="160"/>
      <c r="D7" s="147" t="s">
        <v>7320</v>
      </c>
      <c r="E7" s="147" t="s">
        <v>7321</v>
      </c>
      <c r="F7" s="161"/>
      <c r="G7" s="147"/>
      <c r="H7" s="147" t="s">
        <v>7322</v>
      </c>
      <c r="I7" s="147" t="s">
        <v>7323</v>
      </c>
      <c r="J7" s="147" t="s">
        <v>7324</v>
      </c>
      <c r="K7" s="162"/>
    </row>
    <row r="8" spans="1:26" ht="14.25" customHeight="1">
      <c r="B8" s="156">
        <v>43182</v>
      </c>
      <c r="C8" s="157"/>
      <c r="D8" s="47" t="s">
        <v>7325</v>
      </c>
      <c r="E8" s="47" t="s">
        <v>7326</v>
      </c>
      <c r="F8" s="151"/>
      <c r="G8" s="47"/>
      <c r="H8" s="47" t="s">
        <v>7327</v>
      </c>
      <c r="I8" s="47"/>
      <c r="J8" s="47" t="s">
        <v>7328</v>
      </c>
      <c r="K8" s="66">
        <v>9955486939</v>
      </c>
    </row>
    <row r="9" spans="1:26" ht="14.25" customHeight="1">
      <c r="B9" s="156">
        <v>43182</v>
      </c>
      <c r="C9" s="157"/>
      <c r="D9" s="47" t="s">
        <v>7329</v>
      </c>
      <c r="E9" s="47" t="s">
        <v>7326</v>
      </c>
      <c r="F9" s="151"/>
      <c r="G9" s="47"/>
      <c r="H9" s="47" t="s">
        <v>7330</v>
      </c>
      <c r="I9" s="47"/>
      <c r="J9" s="47" t="s">
        <v>2444</v>
      </c>
      <c r="K9" s="66">
        <v>8092802184</v>
      </c>
      <c r="L9" s="47" t="s">
        <v>7331</v>
      </c>
    </row>
    <row r="10" spans="1:26" ht="14.25" customHeight="1">
      <c r="B10" s="152">
        <v>43188</v>
      </c>
      <c r="C10" s="153"/>
      <c r="D10" s="6" t="s">
        <v>7332</v>
      </c>
      <c r="E10" s="6" t="s">
        <v>7333</v>
      </c>
      <c r="F10" s="155"/>
      <c r="H10" s="6" t="s">
        <v>7334</v>
      </c>
      <c r="J10" s="6" t="s">
        <v>7335</v>
      </c>
      <c r="K10" s="16">
        <v>9905714251</v>
      </c>
    </row>
    <row r="11" spans="1:26" ht="14.25" customHeight="1">
      <c r="B11" s="4">
        <v>43556</v>
      </c>
      <c r="C11" s="20"/>
      <c r="D11" s="6" t="s">
        <v>7336</v>
      </c>
      <c r="E11" s="6" t="s">
        <v>7314</v>
      </c>
      <c r="F11" s="155"/>
      <c r="H11" s="163" t="s">
        <v>7337</v>
      </c>
      <c r="I11" s="6" t="s">
        <v>7338</v>
      </c>
      <c r="J11" s="6" t="s">
        <v>4465</v>
      </c>
      <c r="K11" s="16">
        <v>8340579164</v>
      </c>
    </row>
    <row r="12" spans="1:26" ht="14.25" customHeight="1">
      <c r="B12" s="159">
        <v>43202</v>
      </c>
      <c r="C12" s="160"/>
      <c r="D12" s="147" t="s">
        <v>7339</v>
      </c>
      <c r="E12" s="147" t="s">
        <v>7340</v>
      </c>
      <c r="F12" s="161"/>
      <c r="G12" s="147"/>
      <c r="H12" s="147" t="s">
        <v>7341</v>
      </c>
      <c r="I12" s="147" t="s">
        <v>7342</v>
      </c>
      <c r="J12" s="147" t="s">
        <v>7343</v>
      </c>
      <c r="K12" s="162">
        <v>7319771619</v>
      </c>
    </row>
    <row r="13" spans="1:26" ht="14.25" customHeight="1">
      <c r="A13" s="6" t="s">
        <v>1527</v>
      </c>
      <c r="B13" s="4">
        <v>43552</v>
      </c>
      <c r="C13" s="20"/>
      <c r="D13" s="6" t="s">
        <v>7344</v>
      </c>
      <c r="E13" s="6" t="s">
        <v>7314</v>
      </c>
      <c r="F13" s="155"/>
      <c r="H13" s="163" t="s">
        <v>7345</v>
      </c>
      <c r="I13" s="6" t="s">
        <v>7346</v>
      </c>
      <c r="J13" s="6" t="s">
        <v>7347</v>
      </c>
      <c r="K13" s="16" t="s">
        <v>7348</v>
      </c>
    </row>
    <row r="14" spans="1:26" ht="14.25" customHeight="1">
      <c r="B14" s="152">
        <v>43403</v>
      </c>
      <c r="C14" s="153"/>
      <c r="D14" s="6" t="s">
        <v>7349</v>
      </c>
      <c r="E14" s="6" t="s">
        <v>7314</v>
      </c>
      <c r="F14" s="155"/>
      <c r="H14" s="164" t="s">
        <v>7350</v>
      </c>
      <c r="I14" s="6" t="s">
        <v>7351</v>
      </c>
      <c r="J14" s="6" t="s">
        <v>7352</v>
      </c>
      <c r="K14" s="16">
        <v>9031167084</v>
      </c>
      <c r="L14" s="6" t="s">
        <v>7353</v>
      </c>
    </row>
    <row r="15" spans="1:26" ht="14.25" customHeight="1">
      <c r="B15" s="152">
        <v>43215</v>
      </c>
      <c r="C15" s="153"/>
      <c r="D15" s="6" t="s">
        <v>7354</v>
      </c>
      <c r="E15" s="6" t="s">
        <v>7355</v>
      </c>
      <c r="F15" s="155"/>
      <c r="H15" s="6" t="s">
        <v>7356</v>
      </c>
      <c r="I15" s="6" t="s">
        <v>7357</v>
      </c>
      <c r="J15" s="6" t="s">
        <v>7358</v>
      </c>
      <c r="K15" s="16">
        <v>9709033655</v>
      </c>
      <c r="L15" s="6" t="s">
        <v>7353</v>
      </c>
    </row>
    <row r="16" spans="1:26" ht="14.25" customHeight="1">
      <c r="A16" s="6" t="s">
        <v>1527</v>
      </c>
      <c r="B16" s="4">
        <v>43558</v>
      </c>
      <c r="C16" s="20"/>
      <c r="E16" s="6" t="s">
        <v>7314</v>
      </c>
      <c r="F16" s="155"/>
      <c r="J16" s="6" t="s">
        <v>2195</v>
      </c>
      <c r="K16" s="16">
        <v>9264460224</v>
      </c>
    </row>
    <row r="17" spans="1:12" ht="14.25" customHeight="1">
      <c r="B17" s="152">
        <v>43215</v>
      </c>
      <c r="C17" s="153"/>
      <c r="D17" s="6" t="s">
        <v>7359</v>
      </c>
      <c r="E17" s="6" t="s">
        <v>274</v>
      </c>
      <c r="F17" s="155"/>
      <c r="H17" s="6" t="s">
        <v>7360</v>
      </c>
      <c r="I17" s="6" t="s">
        <v>7361</v>
      </c>
      <c r="J17" s="6" t="s">
        <v>7362</v>
      </c>
      <c r="K17" s="16">
        <v>9040046255</v>
      </c>
      <c r="L17" s="6" t="s">
        <v>7363</v>
      </c>
    </row>
    <row r="18" spans="1:12" ht="14.25" customHeight="1">
      <c r="B18" s="152">
        <v>43215</v>
      </c>
      <c r="C18" s="153"/>
      <c r="D18" s="6" t="s">
        <v>7364</v>
      </c>
      <c r="E18" s="6" t="s">
        <v>274</v>
      </c>
      <c r="F18" s="155"/>
      <c r="H18" s="6" t="s">
        <v>7365</v>
      </c>
      <c r="I18" s="6" t="s">
        <v>7366</v>
      </c>
      <c r="J18" s="6" t="s">
        <v>7367</v>
      </c>
      <c r="K18" s="16">
        <v>9040046255</v>
      </c>
    </row>
    <row r="19" spans="1:12" ht="14.25" customHeight="1">
      <c r="B19" s="152">
        <v>43215</v>
      </c>
      <c r="C19" s="153"/>
      <c r="D19" s="6" t="s">
        <v>7368</v>
      </c>
      <c r="E19" s="6" t="s">
        <v>273</v>
      </c>
      <c r="F19" s="155"/>
      <c r="H19" s="6" t="s">
        <v>7369</v>
      </c>
      <c r="I19" s="6" t="s">
        <v>7370</v>
      </c>
      <c r="J19" s="6" t="s">
        <v>7371</v>
      </c>
      <c r="K19" s="16">
        <v>9709033655</v>
      </c>
    </row>
    <row r="20" spans="1:12" ht="14.25" customHeight="1">
      <c r="B20" s="152">
        <v>43220</v>
      </c>
      <c r="C20" s="153"/>
      <c r="D20" s="6" t="s">
        <v>7372</v>
      </c>
      <c r="E20" s="6" t="s">
        <v>7373</v>
      </c>
      <c r="F20" s="155"/>
      <c r="H20" s="6" t="s">
        <v>7374</v>
      </c>
      <c r="I20" s="6" t="s">
        <v>7375</v>
      </c>
      <c r="J20" s="6" t="s">
        <v>687</v>
      </c>
      <c r="K20" s="16">
        <v>9431923688</v>
      </c>
      <c r="L20" s="11" t="s">
        <v>7376</v>
      </c>
    </row>
    <row r="21" spans="1:12" ht="14.25" customHeight="1">
      <c r="B21" s="152">
        <v>43222</v>
      </c>
      <c r="C21" s="153"/>
      <c r="D21" s="165" t="s">
        <v>7377</v>
      </c>
      <c r="E21" s="165" t="s">
        <v>274</v>
      </c>
      <c r="F21" s="166"/>
      <c r="G21" s="165"/>
      <c r="H21" s="165" t="s">
        <v>7378</v>
      </c>
      <c r="I21" s="165" t="s">
        <v>7379</v>
      </c>
      <c r="J21" s="165" t="s">
        <v>7380</v>
      </c>
      <c r="K21" s="167">
        <v>9835141126</v>
      </c>
    </row>
    <row r="22" spans="1:12" ht="14.25" customHeight="1">
      <c r="B22" s="152">
        <v>43222</v>
      </c>
      <c r="C22" s="153"/>
      <c r="D22" s="6" t="s">
        <v>7381</v>
      </c>
      <c r="E22" s="6" t="s">
        <v>7382</v>
      </c>
      <c r="F22" s="155"/>
      <c r="H22" s="6" t="s">
        <v>7383</v>
      </c>
      <c r="I22" s="6" t="s">
        <v>7384</v>
      </c>
      <c r="J22" s="6" t="s">
        <v>7385</v>
      </c>
      <c r="K22" s="16">
        <v>9835141126</v>
      </c>
    </row>
    <row r="23" spans="1:12" ht="14.25" customHeight="1">
      <c r="A23" s="6" t="s">
        <v>1527</v>
      </c>
      <c r="B23" s="4">
        <v>43563</v>
      </c>
      <c r="C23" s="5"/>
      <c r="D23" s="6" t="s">
        <v>7386</v>
      </c>
      <c r="E23" s="6" t="s">
        <v>7314</v>
      </c>
      <c r="F23" s="155"/>
      <c r="H23" s="163" t="s">
        <v>7387</v>
      </c>
      <c r="J23" s="6" t="s">
        <v>7388</v>
      </c>
      <c r="K23" s="16">
        <v>9264460224</v>
      </c>
    </row>
    <row r="24" spans="1:12" ht="14.25" customHeight="1">
      <c r="B24" s="4">
        <v>43555</v>
      </c>
      <c r="C24" s="20"/>
      <c r="D24" s="6" t="s">
        <v>7389</v>
      </c>
      <c r="E24" s="6" t="s">
        <v>7314</v>
      </c>
      <c r="F24" s="155"/>
      <c r="H24" s="163">
        <v>460019982460019</v>
      </c>
      <c r="J24" s="6" t="s">
        <v>6611</v>
      </c>
      <c r="K24" s="16">
        <v>8178221097</v>
      </c>
    </row>
    <row r="25" spans="1:12" ht="14.25" customHeight="1">
      <c r="B25" s="4">
        <v>43476</v>
      </c>
      <c r="C25" s="20"/>
      <c r="D25" s="6" t="s">
        <v>7390</v>
      </c>
      <c r="E25" s="6" t="s">
        <v>7314</v>
      </c>
      <c r="F25" s="155"/>
      <c r="J25" s="6" t="s">
        <v>1248</v>
      </c>
      <c r="K25" s="16">
        <v>7004996651</v>
      </c>
      <c r="L25" s="147" t="s">
        <v>7353</v>
      </c>
    </row>
    <row r="26" spans="1:12" ht="14.25" customHeight="1">
      <c r="B26" s="159">
        <v>43240</v>
      </c>
      <c r="C26" s="160"/>
      <c r="D26" s="147" t="s">
        <v>7391</v>
      </c>
      <c r="E26" s="147" t="s">
        <v>7392</v>
      </c>
      <c r="F26" s="161"/>
      <c r="G26" s="147"/>
      <c r="H26" s="147" t="s">
        <v>7393</v>
      </c>
      <c r="I26" s="147" t="s">
        <v>7394</v>
      </c>
      <c r="J26" s="147" t="s">
        <v>7395</v>
      </c>
      <c r="K26" s="162"/>
    </row>
    <row r="27" spans="1:12" ht="14.25" customHeight="1">
      <c r="B27" s="152">
        <v>43240</v>
      </c>
      <c r="C27" s="153"/>
      <c r="D27" s="6" t="s">
        <v>7396</v>
      </c>
      <c r="E27" s="6" t="s">
        <v>7392</v>
      </c>
      <c r="F27" s="155"/>
      <c r="H27" s="6" t="s">
        <v>7397</v>
      </c>
      <c r="I27" s="6" t="s">
        <v>7398</v>
      </c>
      <c r="J27" s="6" t="s">
        <v>7399</v>
      </c>
      <c r="K27" s="16"/>
      <c r="L27" s="165" t="s">
        <v>7400</v>
      </c>
    </row>
    <row r="28" spans="1:12" ht="14.25" customHeight="1">
      <c r="B28" s="152">
        <v>43240</v>
      </c>
      <c r="C28" s="153"/>
      <c r="D28" s="6" t="s">
        <v>7401</v>
      </c>
      <c r="E28" s="6" t="s">
        <v>7392</v>
      </c>
      <c r="F28" s="155"/>
      <c r="H28" s="6" t="s">
        <v>7402</v>
      </c>
      <c r="I28" s="6" t="s">
        <v>7403</v>
      </c>
      <c r="J28" s="6" t="s">
        <v>7404</v>
      </c>
      <c r="K28" s="16"/>
    </row>
    <row r="29" spans="1:12" ht="14.25" customHeight="1">
      <c r="B29" s="159">
        <v>43284</v>
      </c>
      <c r="C29" s="160"/>
      <c r="D29" s="147" t="s">
        <v>7405</v>
      </c>
      <c r="E29" s="147" t="s">
        <v>7406</v>
      </c>
      <c r="F29" s="161"/>
      <c r="G29" s="147"/>
      <c r="H29" s="147" t="s">
        <v>7407</v>
      </c>
      <c r="I29" s="147" t="s">
        <v>7408</v>
      </c>
      <c r="J29" s="147" t="s">
        <v>7409</v>
      </c>
      <c r="K29" s="162"/>
      <c r="L29" s="47" t="s">
        <v>7309</v>
      </c>
    </row>
    <row r="30" spans="1:12" ht="14.25" customHeight="1">
      <c r="B30" s="4">
        <v>43556</v>
      </c>
      <c r="C30" s="20"/>
      <c r="D30" s="6" t="s">
        <v>7410</v>
      </c>
      <c r="E30" s="6" t="s">
        <v>7411</v>
      </c>
      <c r="F30" s="155"/>
      <c r="H30" s="163" t="s">
        <v>7412</v>
      </c>
      <c r="J30" s="6" t="s">
        <v>7413</v>
      </c>
      <c r="K30" s="16">
        <v>9006055069</v>
      </c>
    </row>
    <row r="31" spans="1:12" ht="14.25" customHeight="1">
      <c r="B31" s="159">
        <v>43203</v>
      </c>
      <c r="C31" s="160"/>
      <c r="D31" s="147" t="s">
        <v>7414</v>
      </c>
      <c r="E31" s="147" t="s">
        <v>7411</v>
      </c>
      <c r="F31" s="161"/>
      <c r="G31" s="147"/>
      <c r="H31" s="147" t="s">
        <v>7415</v>
      </c>
      <c r="I31" s="147" t="s">
        <v>7416</v>
      </c>
      <c r="J31" s="147" t="s">
        <v>7417</v>
      </c>
      <c r="K31" s="162">
        <v>8092216080</v>
      </c>
      <c r="L31" s="147" t="s">
        <v>7418</v>
      </c>
    </row>
    <row r="32" spans="1:12" ht="14.25" customHeight="1">
      <c r="B32" s="152">
        <v>43371</v>
      </c>
      <c r="C32" s="153"/>
      <c r="D32" s="6" t="s">
        <v>7419</v>
      </c>
      <c r="E32" s="6" t="s">
        <v>7326</v>
      </c>
      <c r="F32" s="155"/>
      <c r="H32" s="6" t="s">
        <v>7322</v>
      </c>
      <c r="I32" s="6" t="s">
        <v>7323</v>
      </c>
      <c r="J32" s="6" t="s">
        <v>7324</v>
      </c>
      <c r="K32" s="168"/>
    </row>
    <row r="33" spans="1:12" ht="14.25" customHeight="1">
      <c r="B33" s="4">
        <v>43555</v>
      </c>
      <c r="C33" s="20"/>
      <c r="D33" s="6" t="s">
        <v>7420</v>
      </c>
      <c r="E33" s="6" t="s">
        <v>7314</v>
      </c>
      <c r="F33" s="155"/>
      <c r="H33" s="169" t="s">
        <v>7421</v>
      </c>
      <c r="J33" s="6" t="s">
        <v>6590</v>
      </c>
      <c r="K33" s="16">
        <v>8178221097</v>
      </c>
    </row>
    <row r="34" spans="1:12" ht="14.25" customHeight="1">
      <c r="B34" s="152">
        <v>43229</v>
      </c>
      <c r="C34" s="153"/>
      <c r="D34" s="6" t="s">
        <v>7422</v>
      </c>
      <c r="E34" s="6" t="s">
        <v>7423</v>
      </c>
      <c r="F34" s="155"/>
      <c r="J34" s="6" t="s">
        <v>7424</v>
      </c>
      <c r="K34" s="16">
        <v>8092231804</v>
      </c>
    </row>
    <row r="35" spans="1:12" ht="14.25" customHeight="1">
      <c r="B35" s="159">
        <v>43198</v>
      </c>
      <c r="C35" s="160"/>
      <c r="D35" s="147" t="s">
        <v>7425</v>
      </c>
      <c r="E35" s="147" t="s">
        <v>7411</v>
      </c>
      <c r="F35" s="161"/>
      <c r="G35" s="147"/>
      <c r="H35" s="147" t="s">
        <v>7426</v>
      </c>
      <c r="I35" s="147" t="s">
        <v>7427</v>
      </c>
      <c r="J35" s="147" t="s">
        <v>7428</v>
      </c>
      <c r="K35" s="162">
        <v>7209300663</v>
      </c>
      <c r="L35" s="147" t="s">
        <v>7418</v>
      </c>
    </row>
    <row r="36" spans="1:12" ht="14.25" customHeight="1">
      <c r="B36" s="159">
        <v>43384</v>
      </c>
      <c r="C36" s="160"/>
      <c r="D36" s="165" t="s">
        <v>7429</v>
      </c>
      <c r="E36" s="165" t="s">
        <v>7406</v>
      </c>
      <c r="F36" s="166"/>
      <c r="G36" s="165"/>
      <c r="H36" s="170" t="s">
        <v>7341</v>
      </c>
      <c r="I36" s="165" t="s">
        <v>7342</v>
      </c>
      <c r="J36" s="165" t="s">
        <v>7343</v>
      </c>
      <c r="K36" s="167">
        <v>7319771619</v>
      </c>
    </row>
    <row r="37" spans="1:12" ht="14.25" customHeight="1">
      <c r="B37" s="152">
        <v>43387</v>
      </c>
      <c r="C37" s="153"/>
      <c r="D37" s="6" t="s">
        <v>7430</v>
      </c>
      <c r="E37" s="6" t="s">
        <v>7431</v>
      </c>
      <c r="F37" s="155"/>
      <c r="H37" s="6" t="s">
        <v>7432</v>
      </c>
      <c r="I37" s="6" t="s">
        <v>7433</v>
      </c>
      <c r="J37" s="6" t="s">
        <v>7434</v>
      </c>
      <c r="K37" s="168">
        <v>9470996285</v>
      </c>
    </row>
    <row r="38" spans="1:12" ht="14.25" customHeight="1">
      <c r="B38" s="152">
        <v>43387</v>
      </c>
      <c r="C38" s="153"/>
      <c r="D38" s="6" t="s">
        <v>7435</v>
      </c>
      <c r="E38" s="6" t="s">
        <v>7431</v>
      </c>
      <c r="F38" s="155"/>
      <c r="H38" s="6" t="s">
        <v>7436</v>
      </c>
      <c r="I38" s="6" t="s">
        <v>7437</v>
      </c>
      <c r="J38" s="6" t="s">
        <v>7438</v>
      </c>
      <c r="K38" s="168">
        <v>9470996285</v>
      </c>
      <c r="L38" s="6" t="s">
        <v>7439</v>
      </c>
    </row>
    <row r="39" spans="1:12" ht="14.25" customHeight="1">
      <c r="B39" s="4">
        <v>43555</v>
      </c>
      <c r="C39" s="20"/>
      <c r="D39" s="6" t="s">
        <v>7440</v>
      </c>
      <c r="E39" s="6" t="s">
        <v>7314</v>
      </c>
      <c r="F39" s="155"/>
      <c r="H39" s="163" t="s">
        <v>7441</v>
      </c>
      <c r="J39" s="6" t="s">
        <v>7442</v>
      </c>
      <c r="K39" s="16">
        <v>8178221097</v>
      </c>
    </row>
    <row r="40" spans="1:12" ht="14.25" customHeight="1">
      <c r="B40" s="152">
        <v>43393</v>
      </c>
      <c r="C40" s="153"/>
      <c r="D40" s="6" t="s">
        <v>7443</v>
      </c>
      <c r="E40" s="6" t="s">
        <v>7444</v>
      </c>
      <c r="F40" s="155"/>
      <c r="H40" s="6" t="s">
        <v>7445</v>
      </c>
      <c r="I40" s="6" t="s">
        <v>7446</v>
      </c>
      <c r="J40" s="6" t="s">
        <v>7447</v>
      </c>
      <c r="K40" s="168">
        <v>9523472991</v>
      </c>
    </row>
    <row r="41" spans="1:12" ht="14.25" customHeight="1">
      <c r="A41" s="6" t="s">
        <v>1527</v>
      </c>
      <c r="B41" s="4">
        <v>43552</v>
      </c>
      <c r="C41" s="20"/>
      <c r="D41" s="6" t="s">
        <v>7448</v>
      </c>
      <c r="E41" s="6" t="s">
        <v>7314</v>
      </c>
      <c r="F41" s="155"/>
      <c r="J41" s="6" t="s">
        <v>7449</v>
      </c>
      <c r="K41" s="16" t="s">
        <v>7348</v>
      </c>
    </row>
    <row r="42" spans="1:12" ht="14.25" customHeight="1">
      <c r="B42" s="171">
        <v>43384</v>
      </c>
      <c r="C42" s="172"/>
      <c r="D42" s="173" t="s">
        <v>7450</v>
      </c>
      <c r="E42" s="173" t="s">
        <v>7314</v>
      </c>
      <c r="F42" s="155"/>
      <c r="G42" s="173"/>
      <c r="H42" s="173"/>
      <c r="I42" s="173"/>
      <c r="J42" s="173" t="s">
        <v>3487</v>
      </c>
      <c r="K42" s="174">
        <v>9798744486</v>
      </c>
    </row>
    <row r="43" spans="1:12" ht="14.25" customHeight="1">
      <c r="C43" s="5"/>
      <c r="E43" s="6" t="s">
        <v>7314</v>
      </c>
      <c r="F43" s="155"/>
      <c r="J43" s="6" t="s">
        <v>7451</v>
      </c>
      <c r="K43" s="16">
        <v>9523204451</v>
      </c>
    </row>
    <row r="44" spans="1:12" ht="14.25" customHeight="1">
      <c r="B44" s="175">
        <v>43399</v>
      </c>
      <c r="C44" s="176"/>
      <c r="D44" s="11" t="s">
        <v>7452</v>
      </c>
      <c r="E44" s="11" t="s">
        <v>273</v>
      </c>
      <c r="F44" s="155"/>
      <c r="G44" s="11"/>
      <c r="H44" s="11" t="s">
        <v>7453</v>
      </c>
      <c r="I44" s="11" t="s">
        <v>7454</v>
      </c>
      <c r="J44" s="11" t="s">
        <v>7455</v>
      </c>
      <c r="K44" s="88">
        <v>9430381724</v>
      </c>
    </row>
    <row r="45" spans="1:12" ht="14.25" customHeight="1">
      <c r="B45" s="152">
        <v>43399</v>
      </c>
      <c r="C45" s="153"/>
      <c r="D45" s="6" t="s">
        <v>7456</v>
      </c>
      <c r="E45" s="6" t="s">
        <v>7392</v>
      </c>
      <c r="F45" s="155"/>
      <c r="H45" s="6" t="s">
        <v>7457</v>
      </c>
      <c r="I45" s="6" t="s">
        <v>7458</v>
      </c>
      <c r="J45" s="6" t="s">
        <v>7459</v>
      </c>
      <c r="K45" s="16">
        <v>9204065690</v>
      </c>
    </row>
    <row r="46" spans="1:12" ht="14.25" customHeight="1">
      <c r="B46" s="152">
        <v>43399</v>
      </c>
      <c r="C46" s="153"/>
      <c r="D46" s="6" t="s">
        <v>7460</v>
      </c>
      <c r="E46" s="6" t="s">
        <v>7392</v>
      </c>
      <c r="F46" s="155"/>
      <c r="H46" s="6" t="s">
        <v>7461</v>
      </c>
      <c r="I46" s="6" t="s">
        <v>7462</v>
      </c>
      <c r="J46" s="6" t="s">
        <v>7463</v>
      </c>
      <c r="K46" s="16">
        <v>9430381724</v>
      </c>
    </row>
    <row r="47" spans="1:12" ht="14.25" customHeight="1">
      <c r="B47" s="4">
        <v>43549</v>
      </c>
      <c r="C47" s="20"/>
      <c r="D47" s="6" t="s">
        <v>7464</v>
      </c>
      <c r="E47" s="6" t="s">
        <v>7314</v>
      </c>
      <c r="F47" s="155"/>
      <c r="H47" s="163" t="s">
        <v>7465</v>
      </c>
      <c r="I47" s="6" t="s">
        <v>7466</v>
      </c>
      <c r="J47" s="6" t="s">
        <v>2186</v>
      </c>
      <c r="K47" s="16">
        <v>6200104266</v>
      </c>
      <c r="L47" s="6" t="s">
        <v>7467</v>
      </c>
    </row>
    <row r="48" spans="1:12" ht="14.25" customHeight="1">
      <c r="B48" s="175">
        <v>43401</v>
      </c>
      <c r="C48" s="176"/>
      <c r="D48" s="11" t="s">
        <v>7468</v>
      </c>
      <c r="E48" s="11" t="s">
        <v>7469</v>
      </c>
      <c r="F48" s="155"/>
      <c r="G48" s="11"/>
      <c r="H48" s="11" t="s">
        <v>7470</v>
      </c>
      <c r="I48" s="11" t="s">
        <v>7471</v>
      </c>
      <c r="J48" s="11" t="s">
        <v>7472</v>
      </c>
      <c r="K48" s="88">
        <v>9334001466</v>
      </c>
      <c r="L48" s="6" t="s">
        <v>7353</v>
      </c>
    </row>
    <row r="49" spans="1:12" ht="14.25" customHeight="1">
      <c r="B49" s="175">
        <v>43401</v>
      </c>
      <c r="C49" s="176"/>
      <c r="D49" s="11" t="s">
        <v>7473</v>
      </c>
      <c r="E49" s="11" t="s">
        <v>7469</v>
      </c>
      <c r="F49" s="155"/>
      <c r="G49" s="11"/>
      <c r="H49" s="11" t="s">
        <v>7474</v>
      </c>
      <c r="I49" s="11" t="s">
        <v>7475</v>
      </c>
      <c r="J49" s="11" t="s">
        <v>7476</v>
      </c>
      <c r="K49" s="88">
        <v>9334001466</v>
      </c>
    </row>
    <row r="50" spans="1:12" ht="14.25" customHeight="1">
      <c r="B50" s="175">
        <v>43401</v>
      </c>
      <c r="C50" s="176"/>
      <c r="D50" s="11" t="s">
        <v>7477</v>
      </c>
      <c r="E50" s="11" t="s">
        <v>7326</v>
      </c>
      <c r="F50" s="155"/>
      <c r="G50" s="11"/>
      <c r="H50" s="11" t="s">
        <v>7478</v>
      </c>
      <c r="I50" s="11" t="s">
        <v>7479</v>
      </c>
      <c r="J50" s="11" t="s">
        <v>7480</v>
      </c>
      <c r="K50" s="88">
        <v>9031056435</v>
      </c>
      <c r="L50" s="147" t="s">
        <v>7418</v>
      </c>
    </row>
    <row r="51" spans="1:12" ht="14.25" customHeight="1">
      <c r="A51" s="6" t="s">
        <v>1527</v>
      </c>
      <c r="B51" s="4">
        <v>43552</v>
      </c>
      <c r="C51" s="20"/>
      <c r="D51" s="6" t="s">
        <v>7481</v>
      </c>
      <c r="E51" s="6" t="s">
        <v>7314</v>
      </c>
      <c r="F51" s="155"/>
      <c r="J51" s="6" t="s">
        <v>7482</v>
      </c>
      <c r="K51" s="16" t="s">
        <v>7348</v>
      </c>
    </row>
    <row r="52" spans="1:12" ht="14.25" customHeight="1">
      <c r="B52" s="4">
        <v>43516</v>
      </c>
      <c r="C52" s="20"/>
      <c r="D52" s="6" t="s">
        <v>7483</v>
      </c>
      <c r="E52" s="6" t="s">
        <v>7314</v>
      </c>
      <c r="F52" s="155"/>
      <c r="H52" s="163" t="s">
        <v>7484</v>
      </c>
      <c r="I52" s="11" t="s">
        <v>7485</v>
      </c>
      <c r="J52" s="6" t="s">
        <v>1742</v>
      </c>
      <c r="K52" s="16"/>
      <c r="L52" s="6" t="s">
        <v>7353</v>
      </c>
    </row>
    <row r="53" spans="1:12" ht="14.25" customHeight="1">
      <c r="B53" s="175">
        <v>43403</v>
      </c>
      <c r="C53" s="176"/>
      <c r="D53" s="11" t="s">
        <v>7486</v>
      </c>
      <c r="E53" s="11" t="s">
        <v>7487</v>
      </c>
      <c r="F53" s="155"/>
      <c r="G53" s="11"/>
      <c r="H53" s="11" t="s">
        <v>7488</v>
      </c>
      <c r="I53" s="11"/>
      <c r="J53" s="11" t="s">
        <v>7489</v>
      </c>
      <c r="K53" s="88">
        <v>9279285608</v>
      </c>
    </row>
    <row r="54" spans="1:12" ht="14.25" customHeight="1">
      <c r="B54" s="152">
        <v>43404</v>
      </c>
      <c r="C54" s="153"/>
      <c r="D54" s="47" t="s">
        <v>7490</v>
      </c>
      <c r="E54" s="47" t="s">
        <v>7491</v>
      </c>
      <c r="F54" s="151"/>
      <c r="G54" s="47"/>
      <c r="H54" s="177" t="s">
        <v>7492</v>
      </c>
      <c r="I54" s="47" t="s">
        <v>7493</v>
      </c>
      <c r="J54" s="47" t="s">
        <v>7494</v>
      </c>
      <c r="K54" s="66">
        <v>9334627079</v>
      </c>
    </row>
    <row r="55" spans="1:12" ht="14.25" customHeight="1">
      <c r="B55" s="152">
        <v>43404</v>
      </c>
      <c r="C55" s="153"/>
      <c r="D55" s="6" t="s">
        <v>7495</v>
      </c>
      <c r="E55" s="6" t="s">
        <v>7496</v>
      </c>
      <c r="F55" s="155"/>
      <c r="H55" s="6" t="s">
        <v>7497</v>
      </c>
      <c r="I55" s="6" t="s">
        <v>7498</v>
      </c>
      <c r="J55" s="6" t="s">
        <v>7499</v>
      </c>
      <c r="K55" s="16">
        <v>9334627079</v>
      </c>
      <c r="L55" s="165" t="s">
        <v>7400</v>
      </c>
    </row>
    <row r="56" spans="1:12" ht="14.25" customHeight="1">
      <c r="B56" s="152">
        <v>43405</v>
      </c>
      <c r="C56" s="153"/>
      <c r="D56" s="6" t="s">
        <v>7500</v>
      </c>
      <c r="E56" s="6" t="s">
        <v>7326</v>
      </c>
      <c r="F56" s="155"/>
      <c r="H56" s="178" t="s">
        <v>7501</v>
      </c>
      <c r="I56" s="6" t="s">
        <v>7502</v>
      </c>
      <c r="J56" s="6" t="s">
        <v>2362</v>
      </c>
      <c r="K56" s="16">
        <v>9279241882</v>
      </c>
      <c r="L56" s="6" t="s">
        <v>7353</v>
      </c>
    </row>
    <row r="57" spans="1:12" ht="14.25" customHeight="1">
      <c r="B57" s="152">
        <v>43405</v>
      </c>
      <c r="C57" s="153"/>
      <c r="D57" s="6" t="s">
        <v>7503</v>
      </c>
      <c r="E57" s="6" t="s">
        <v>7326</v>
      </c>
      <c r="F57" s="155"/>
      <c r="H57" s="6" t="s">
        <v>7504</v>
      </c>
      <c r="I57" s="6" t="s">
        <v>7505</v>
      </c>
      <c r="J57" s="6" t="s">
        <v>7506</v>
      </c>
      <c r="K57" s="16">
        <v>9279241882</v>
      </c>
      <c r="L57" s="6" t="s">
        <v>7507</v>
      </c>
    </row>
    <row r="58" spans="1:12" ht="14.25" customHeight="1">
      <c r="B58" s="152">
        <v>43405</v>
      </c>
      <c r="C58" s="153"/>
      <c r="D58" s="6" t="s">
        <v>7508</v>
      </c>
      <c r="E58" s="6" t="s">
        <v>7326</v>
      </c>
      <c r="F58" s="155"/>
      <c r="H58" s="6" t="s">
        <v>7509</v>
      </c>
      <c r="I58" s="6" t="s">
        <v>7510</v>
      </c>
      <c r="J58" s="6" t="s">
        <v>7511</v>
      </c>
      <c r="K58" s="16">
        <v>9279241882</v>
      </c>
      <c r="L58" s="47" t="s">
        <v>7309</v>
      </c>
    </row>
    <row r="59" spans="1:12" ht="14.25" customHeight="1">
      <c r="B59" s="4">
        <v>43556</v>
      </c>
      <c r="C59" s="20"/>
      <c r="D59" s="6" t="s">
        <v>7512</v>
      </c>
      <c r="E59" s="6" t="s">
        <v>7411</v>
      </c>
      <c r="F59" s="155"/>
      <c r="H59" s="163" t="s">
        <v>7513</v>
      </c>
      <c r="J59" s="6" t="s">
        <v>7514</v>
      </c>
      <c r="K59" s="16">
        <v>9204204783</v>
      </c>
    </row>
    <row r="60" spans="1:12" ht="14.25" customHeight="1">
      <c r="B60" s="4">
        <v>43584</v>
      </c>
      <c r="C60" s="5"/>
      <c r="D60" s="179" t="s">
        <v>7515</v>
      </c>
      <c r="E60" s="6" t="s">
        <v>7314</v>
      </c>
      <c r="F60" s="155"/>
      <c r="J60" s="6" t="s">
        <v>7516</v>
      </c>
      <c r="K60" s="16">
        <v>8797214706</v>
      </c>
    </row>
    <row r="61" spans="1:12" ht="14.25" customHeight="1">
      <c r="B61" s="175">
        <v>43413</v>
      </c>
      <c r="C61" s="176"/>
      <c r="D61" s="11" t="s">
        <v>7517</v>
      </c>
      <c r="E61" s="11" t="s">
        <v>7518</v>
      </c>
      <c r="F61" s="155"/>
      <c r="G61" s="11"/>
      <c r="H61" s="11" t="s">
        <v>7519</v>
      </c>
      <c r="I61" s="11"/>
      <c r="J61" s="11" t="s">
        <v>7520</v>
      </c>
      <c r="K61" s="88">
        <v>9263448314</v>
      </c>
      <c r="L61" s="165" t="s">
        <v>7400</v>
      </c>
    </row>
    <row r="62" spans="1:12" ht="14.25" customHeight="1">
      <c r="B62" s="152">
        <v>43413</v>
      </c>
      <c r="C62" s="153"/>
      <c r="D62" s="6" t="s">
        <v>7521</v>
      </c>
      <c r="E62" s="6" t="s">
        <v>273</v>
      </c>
      <c r="F62" s="155"/>
      <c r="H62" s="6" t="s">
        <v>7522</v>
      </c>
      <c r="J62" s="6" t="s">
        <v>7523</v>
      </c>
      <c r="K62" s="16">
        <v>7631194435</v>
      </c>
    </row>
    <row r="63" spans="1:12" ht="14.25" customHeight="1">
      <c r="B63" s="156">
        <v>43414</v>
      </c>
      <c r="C63" s="157"/>
      <c r="D63" s="180" t="s">
        <v>7524</v>
      </c>
      <c r="E63" s="47" t="s">
        <v>7525</v>
      </c>
      <c r="F63" s="151"/>
      <c r="G63" s="47"/>
      <c r="H63" s="47" t="s">
        <v>7526</v>
      </c>
      <c r="I63" s="47"/>
      <c r="J63" s="47" t="s">
        <v>7527</v>
      </c>
      <c r="K63" s="66">
        <v>9430727217</v>
      </c>
      <c r="L63" s="6" t="s">
        <v>7353</v>
      </c>
    </row>
    <row r="64" spans="1:12" ht="14.25" customHeight="1">
      <c r="B64" s="156">
        <v>43414</v>
      </c>
      <c r="C64" s="157"/>
      <c r="D64" s="180" t="s">
        <v>7528</v>
      </c>
      <c r="E64" s="47" t="s">
        <v>7525</v>
      </c>
      <c r="F64" s="151"/>
      <c r="G64" s="47"/>
      <c r="H64" s="47" t="s">
        <v>7529</v>
      </c>
      <c r="I64" s="47"/>
      <c r="J64" s="47" t="s">
        <v>7530</v>
      </c>
      <c r="K64" s="66">
        <v>9430727217</v>
      </c>
    </row>
    <row r="65" spans="2:12" ht="14.25" customHeight="1">
      <c r="B65" s="175">
        <v>43414</v>
      </c>
      <c r="C65" s="176"/>
      <c r="D65" s="181" t="s">
        <v>7531</v>
      </c>
      <c r="E65" s="11" t="s">
        <v>7525</v>
      </c>
      <c r="F65" s="155"/>
      <c r="G65" s="11"/>
      <c r="H65" s="11" t="s">
        <v>7532</v>
      </c>
      <c r="I65" s="11"/>
      <c r="J65" s="11" t="s">
        <v>7533</v>
      </c>
      <c r="K65" s="88">
        <v>9431399531</v>
      </c>
    </row>
    <row r="66" spans="2:12" ht="14.25" customHeight="1">
      <c r="B66" s="4">
        <v>43425</v>
      </c>
      <c r="C66" s="20"/>
      <c r="D66" s="6" t="s">
        <v>7534</v>
      </c>
      <c r="E66" s="6" t="s">
        <v>7535</v>
      </c>
      <c r="F66" s="155"/>
      <c r="H66" s="6" t="s">
        <v>7536</v>
      </c>
      <c r="I66" s="6" t="s">
        <v>7537</v>
      </c>
      <c r="J66" s="6" t="s">
        <v>7538</v>
      </c>
      <c r="K66" s="16">
        <v>9905150414</v>
      </c>
      <c r="L66" s="165" t="s">
        <v>7400</v>
      </c>
    </row>
    <row r="67" spans="2:12" ht="14.25" customHeight="1">
      <c r="B67" s="4">
        <v>43516</v>
      </c>
      <c r="C67" s="20"/>
      <c r="D67" s="6" t="s">
        <v>7539</v>
      </c>
      <c r="E67" s="6" t="s">
        <v>7314</v>
      </c>
      <c r="F67" s="155"/>
      <c r="H67" s="163" t="s">
        <v>7540</v>
      </c>
      <c r="I67" s="6" t="s">
        <v>7541</v>
      </c>
      <c r="J67" s="6" t="s">
        <v>7542</v>
      </c>
      <c r="K67" s="16">
        <v>9234751231</v>
      </c>
    </row>
    <row r="68" spans="2:12" ht="14.25" customHeight="1">
      <c r="B68" s="4">
        <v>43560</v>
      </c>
      <c r="C68" s="20"/>
      <c r="D68" s="6" t="s">
        <v>7543</v>
      </c>
      <c r="E68" s="6" t="s">
        <v>7314</v>
      </c>
      <c r="F68" s="155"/>
      <c r="H68" s="163" t="s">
        <v>7544</v>
      </c>
      <c r="I68" s="6" t="s">
        <v>7545</v>
      </c>
      <c r="J68" s="6" t="s">
        <v>7546</v>
      </c>
      <c r="K68" s="16">
        <v>9246529954</v>
      </c>
    </row>
    <row r="69" spans="2:12" ht="14.25" customHeight="1">
      <c r="B69" s="4">
        <v>43477</v>
      </c>
      <c r="C69" s="20"/>
      <c r="E69" s="6" t="s">
        <v>7547</v>
      </c>
      <c r="F69" s="155"/>
      <c r="H69" s="6" t="s">
        <v>7548</v>
      </c>
      <c r="J69" s="6" t="s">
        <v>7549</v>
      </c>
      <c r="K69" s="16">
        <v>9835356289</v>
      </c>
      <c r="L69" s="6" t="s">
        <v>7353</v>
      </c>
    </row>
    <row r="70" spans="2:12" ht="14.25" customHeight="1">
      <c r="B70" s="4">
        <v>43485</v>
      </c>
      <c r="C70" s="20"/>
      <c r="D70" s="6" t="s">
        <v>7550</v>
      </c>
      <c r="E70" s="6" t="s">
        <v>7373</v>
      </c>
      <c r="F70" s="155"/>
      <c r="J70" s="6" t="s">
        <v>2917</v>
      </c>
      <c r="K70" s="16">
        <v>8235439038</v>
      </c>
      <c r="L70" s="182" t="s">
        <v>7309</v>
      </c>
    </row>
    <row r="71" spans="2:12" ht="14.25" customHeight="1">
      <c r="B71" s="4">
        <v>43485</v>
      </c>
      <c r="C71" s="20"/>
      <c r="D71" s="6" t="s">
        <v>7551</v>
      </c>
      <c r="E71" s="6" t="s">
        <v>7552</v>
      </c>
      <c r="F71" s="155"/>
      <c r="J71" s="6" t="s">
        <v>7553</v>
      </c>
      <c r="K71" s="16">
        <v>8092201640</v>
      </c>
      <c r="L71" s="165" t="s">
        <v>7400</v>
      </c>
    </row>
    <row r="72" spans="2:12" ht="14.25" customHeight="1">
      <c r="B72" s="4">
        <v>43560</v>
      </c>
      <c r="C72" s="20"/>
      <c r="D72" s="6" t="s">
        <v>7554</v>
      </c>
      <c r="E72" s="6" t="s">
        <v>7314</v>
      </c>
      <c r="F72" s="155"/>
      <c r="H72" s="163" t="s">
        <v>7555</v>
      </c>
      <c r="I72" s="6" t="s">
        <v>7556</v>
      </c>
      <c r="J72" s="6" t="s">
        <v>7557</v>
      </c>
      <c r="K72" s="16">
        <v>9246529954</v>
      </c>
    </row>
    <row r="73" spans="2:12" ht="14.25" customHeight="1">
      <c r="B73" s="4">
        <v>43501</v>
      </c>
      <c r="C73" s="20"/>
      <c r="D73" s="6" t="s">
        <v>7558</v>
      </c>
      <c r="E73" s="6" t="s">
        <v>7559</v>
      </c>
      <c r="F73" s="155"/>
      <c r="H73" s="6" t="s">
        <v>7560</v>
      </c>
      <c r="I73" s="6" t="s">
        <v>7561</v>
      </c>
      <c r="J73" s="6" t="s">
        <v>7562</v>
      </c>
      <c r="K73" s="16">
        <v>9470381653</v>
      </c>
      <c r="L73" s="6" t="s">
        <v>7563</v>
      </c>
    </row>
    <row r="74" spans="2:12" ht="14.25" customHeight="1">
      <c r="B74" s="4">
        <v>43501</v>
      </c>
      <c r="C74" s="20"/>
      <c r="D74" s="6" t="s">
        <v>7564</v>
      </c>
      <c r="E74" s="6" t="s">
        <v>7444</v>
      </c>
      <c r="F74" s="155"/>
      <c r="H74" s="6" t="s">
        <v>7565</v>
      </c>
      <c r="J74" s="6" t="s">
        <v>7566</v>
      </c>
      <c r="K74" s="16"/>
      <c r="L74" s="11" t="s">
        <v>7567</v>
      </c>
    </row>
    <row r="75" spans="2:12" ht="14.25" customHeight="1">
      <c r="B75" s="4">
        <v>43507</v>
      </c>
      <c r="C75" s="20"/>
      <c r="D75" s="6" t="s">
        <v>7568</v>
      </c>
      <c r="E75" s="6" t="s">
        <v>7569</v>
      </c>
      <c r="F75" s="155"/>
      <c r="H75" s="6" t="s">
        <v>7570</v>
      </c>
      <c r="I75" s="6" t="s">
        <v>7571</v>
      </c>
      <c r="J75" s="6" t="s">
        <v>7572</v>
      </c>
      <c r="K75" s="16">
        <v>8797946221</v>
      </c>
    </row>
    <row r="76" spans="2:12" ht="14.25" customHeight="1">
      <c r="B76" s="4">
        <v>43507</v>
      </c>
      <c r="C76" s="20"/>
      <c r="D76" s="6" t="s">
        <v>7573</v>
      </c>
      <c r="E76" s="6" t="s">
        <v>273</v>
      </c>
      <c r="F76" s="155"/>
      <c r="H76" s="6" t="s">
        <v>7574</v>
      </c>
      <c r="I76" s="6" t="s">
        <v>7574</v>
      </c>
      <c r="J76" s="6" t="s">
        <v>7575</v>
      </c>
      <c r="K76" s="16">
        <v>7488667023</v>
      </c>
      <c r="L76" s="6" t="s">
        <v>7576</v>
      </c>
    </row>
    <row r="77" spans="2:12" ht="14.25" customHeight="1">
      <c r="B77" s="152">
        <v>43215</v>
      </c>
      <c r="C77" s="153"/>
      <c r="D77" s="6" t="s">
        <v>7577</v>
      </c>
      <c r="E77" s="6" t="s">
        <v>7411</v>
      </c>
      <c r="F77" s="155"/>
      <c r="J77" s="6" t="s">
        <v>7578</v>
      </c>
      <c r="K77" s="16">
        <v>9040046255</v>
      </c>
    </row>
    <row r="78" spans="2:12" ht="14.25" customHeight="1">
      <c r="B78" s="4">
        <v>43514</v>
      </c>
      <c r="C78" s="20"/>
      <c r="D78" s="6" t="s">
        <v>7579</v>
      </c>
      <c r="E78" s="6" t="s">
        <v>7580</v>
      </c>
      <c r="F78" s="155"/>
      <c r="H78" s="6" t="s">
        <v>7581</v>
      </c>
      <c r="I78" s="6" t="s">
        <v>7582</v>
      </c>
      <c r="J78" s="6" t="s">
        <v>7583</v>
      </c>
      <c r="K78" s="16" t="s">
        <v>7584</v>
      </c>
      <c r="L78" s="6" t="s">
        <v>7353</v>
      </c>
    </row>
    <row r="79" spans="2:12" ht="14.25" customHeight="1">
      <c r="B79" s="4">
        <v>43516</v>
      </c>
      <c r="C79" s="20"/>
      <c r="D79" s="6" t="s">
        <v>7585</v>
      </c>
      <c r="E79" s="6" t="s">
        <v>7373</v>
      </c>
      <c r="F79" s="155"/>
      <c r="H79" s="6" t="s">
        <v>7586</v>
      </c>
      <c r="I79" s="6" t="s">
        <v>7587</v>
      </c>
      <c r="J79" s="6" t="s">
        <v>2211</v>
      </c>
      <c r="K79" s="16">
        <v>9955582553</v>
      </c>
    </row>
    <row r="80" spans="2:12" ht="14.25" customHeight="1">
      <c r="B80" s="175">
        <v>43400</v>
      </c>
      <c r="C80" s="176"/>
      <c r="D80" s="11" t="s">
        <v>7588</v>
      </c>
      <c r="E80" s="11" t="s">
        <v>7411</v>
      </c>
      <c r="F80" s="155"/>
      <c r="G80" s="11"/>
      <c r="H80" s="11"/>
      <c r="I80" s="11"/>
      <c r="J80" s="11" t="s">
        <v>576</v>
      </c>
      <c r="K80" s="88">
        <v>7301497220</v>
      </c>
      <c r="L80" s="165" t="s">
        <v>7400</v>
      </c>
    </row>
    <row r="81" spans="2:12" ht="14.25" customHeight="1">
      <c r="B81" s="4">
        <v>43557</v>
      </c>
      <c r="C81" s="20"/>
      <c r="D81" s="6" t="s">
        <v>7589</v>
      </c>
      <c r="E81" s="6" t="s">
        <v>7314</v>
      </c>
      <c r="F81" s="155"/>
      <c r="H81" s="163" t="s">
        <v>7590</v>
      </c>
      <c r="I81" s="6" t="s">
        <v>7591</v>
      </c>
      <c r="J81" s="6" t="s">
        <v>3073</v>
      </c>
      <c r="K81" s="16">
        <v>9771039367</v>
      </c>
      <c r="L81" s="6" t="s">
        <v>7576</v>
      </c>
    </row>
    <row r="82" spans="2:12" ht="14.25" customHeight="1">
      <c r="B82" s="4">
        <v>43516</v>
      </c>
      <c r="C82" s="20"/>
      <c r="D82" s="6" t="s">
        <v>7592</v>
      </c>
      <c r="E82" s="6" t="s">
        <v>7326</v>
      </c>
      <c r="F82" s="155"/>
      <c r="H82" s="6" t="s">
        <v>7593</v>
      </c>
      <c r="I82" s="6" t="s">
        <v>7594</v>
      </c>
      <c r="J82" s="6" t="s">
        <v>7595</v>
      </c>
      <c r="K82" s="16">
        <v>9234751231</v>
      </c>
      <c r="L82" s="11"/>
    </row>
    <row r="83" spans="2:12" ht="14.25" customHeight="1">
      <c r="B83" s="152">
        <v>43378</v>
      </c>
      <c r="C83" s="153"/>
      <c r="D83" s="6" t="s">
        <v>7596</v>
      </c>
      <c r="E83" s="6" t="s">
        <v>7314</v>
      </c>
      <c r="F83" s="155"/>
      <c r="H83" s="39" t="s">
        <v>7597</v>
      </c>
      <c r="I83" s="6" t="s">
        <v>7598</v>
      </c>
      <c r="J83" s="6" t="s">
        <v>7599</v>
      </c>
      <c r="K83" s="168">
        <v>7070960584</v>
      </c>
      <c r="L83" s="6" t="s">
        <v>7576</v>
      </c>
    </row>
    <row r="84" spans="2:12" ht="14.25" customHeight="1">
      <c r="B84" s="4">
        <v>43557</v>
      </c>
      <c r="C84" s="20"/>
      <c r="D84" s="6" t="s">
        <v>7600</v>
      </c>
      <c r="E84" s="6" t="s">
        <v>7314</v>
      </c>
      <c r="F84" s="155"/>
      <c r="H84" s="163" t="s">
        <v>7601</v>
      </c>
      <c r="J84" s="6" t="s">
        <v>7602</v>
      </c>
      <c r="K84" s="16" t="s">
        <v>7603</v>
      </c>
    </row>
    <row r="85" spans="2:12" ht="14.25" customHeight="1">
      <c r="B85" s="4">
        <v>43569</v>
      </c>
      <c r="C85" s="5"/>
      <c r="D85" s="6" t="s">
        <v>7604</v>
      </c>
      <c r="E85" s="6" t="s">
        <v>7314</v>
      </c>
      <c r="F85" s="155"/>
      <c r="H85" s="163" t="s">
        <v>7605</v>
      </c>
      <c r="J85" s="6" t="s">
        <v>7606</v>
      </c>
      <c r="K85" s="16">
        <v>9334340676</v>
      </c>
    </row>
    <row r="86" spans="2:12" ht="14.25" customHeight="1">
      <c r="B86" s="4">
        <v>43516</v>
      </c>
      <c r="C86" s="20"/>
      <c r="D86" s="6" t="s">
        <v>7607</v>
      </c>
      <c r="E86" s="6" t="s">
        <v>7326</v>
      </c>
      <c r="F86" s="155"/>
      <c r="H86" s="6" t="s">
        <v>7608</v>
      </c>
      <c r="I86" s="6" t="s">
        <v>7609</v>
      </c>
      <c r="J86" s="6" t="s">
        <v>7610</v>
      </c>
      <c r="K86" s="16">
        <v>9234751231</v>
      </c>
    </row>
    <row r="87" spans="2:12" ht="14.25" customHeight="1">
      <c r="B87" s="4">
        <v>43518</v>
      </c>
      <c r="C87" s="20"/>
      <c r="D87" s="6" t="s">
        <v>7611</v>
      </c>
      <c r="E87" s="6" t="s">
        <v>7612</v>
      </c>
      <c r="F87" s="155"/>
      <c r="H87" s="6" t="s">
        <v>7613</v>
      </c>
      <c r="I87" s="6" t="s">
        <v>7614</v>
      </c>
      <c r="J87" s="6" t="s">
        <v>2213</v>
      </c>
      <c r="K87" s="16">
        <v>9123401783</v>
      </c>
      <c r="L87" s="47" t="s">
        <v>7309</v>
      </c>
    </row>
    <row r="88" spans="2:12" ht="14.25" customHeight="1">
      <c r="B88" s="4">
        <v>43518</v>
      </c>
      <c r="C88" s="20"/>
      <c r="D88" s="6" t="s">
        <v>7483</v>
      </c>
      <c r="E88" s="6" t="s">
        <v>7615</v>
      </c>
      <c r="F88" s="155"/>
      <c r="H88" s="6" t="s">
        <v>7616</v>
      </c>
      <c r="I88" s="6" t="s">
        <v>7617</v>
      </c>
      <c r="J88" s="6" t="s">
        <v>2219</v>
      </c>
      <c r="K88" s="16">
        <v>7250517461</v>
      </c>
    </row>
    <row r="89" spans="2:12" ht="14.25" customHeight="1">
      <c r="B89" s="4">
        <v>43520</v>
      </c>
      <c r="C89" s="20"/>
      <c r="D89" s="6" t="s">
        <v>7618</v>
      </c>
      <c r="E89" s="6" t="s">
        <v>7615</v>
      </c>
      <c r="F89" s="155"/>
      <c r="H89" s="6" t="s">
        <v>7619</v>
      </c>
      <c r="I89" s="6" t="s">
        <v>7620</v>
      </c>
      <c r="J89" s="6" t="s">
        <v>7621</v>
      </c>
      <c r="K89" s="16">
        <v>9572990645</v>
      </c>
      <c r="L89" s="11" t="s">
        <v>7567</v>
      </c>
    </row>
    <row r="90" spans="2:12" ht="14.25" customHeight="1">
      <c r="B90" s="4">
        <v>43566</v>
      </c>
      <c r="C90" s="5"/>
      <c r="D90" s="6" t="s">
        <v>7622</v>
      </c>
      <c r="E90" s="6" t="s">
        <v>7314</v>
      </c>
      <c r="F90" s="155"/>
      <c r="H90" s="163" t="s">
        <v>7623</v>
      </c>
      <c r="I90" s="6" t="s">
        <v>7624</v>
      </c>
      <c r="J90" s="6" t="s">
        <v>5174</v>
      </c>
      <c r="K90" s="16">
        <v>9963754246</v>
      </c>
    </row>
    <row r="91" spans="2:12" ht="14.25" customHeight="1">
      <c r="B91" s="4">
        <v>43564</v>
      </c>
      <c r="C91" s="5"/>
      <c r="D91" s="6" t="s">
        <v>7625</v>
      </c>
      <c r="E91" s="6" t="s">
        <v>7314</v>
      </c>
      <c r="F91" s="155"/>
      <c r="J91" s="6" t="s">
        <v>7626</v>
      </c>
      <c r="K91" s="16">
        <v>9631198059</v>
      </c>
    </row>
    <row r="92" spans="2:12" ht="14.25" customHeight="1">
      <c r="B92" s="152">
        <v>43328</v>
      </c>
      <c r="C92" s="153">
        <v>47</v>
      </c>
      <c r="D92" s="6" t="s">
        <v>7627</v>
      </c>
      <c r="E92" s="6" t="s">
        <v>7423</v>
      </c>
      <c r="F92" s="155"/>
      <c r="H92" s="164" t="s">
        <v>7628</v>
      </c>
      <c r="I92" s="6" t="s">
        <v>7629</v>
      </c>
      <c r="J92" s="6" t="s">
        <v>7630</v>
      </c>
      <c r="K92" s="16">
        <v>8092437431</v>
      </c>
      <c r="L92" s="6" t="s">
        <v>7631</v>
      </c>
    </row>
    <row r="93" spans="2:12" ht="14.25" customHeight="1">
      <c r="B93" s="4">
        <v>43557</v>
      </c>
      <c r="C93" s="20"/>
      <c r="D93" s="179" t="s">
        <v>7632</v>
      </c>
      <c r="E93" s="6" t="s">
        <v>7314</v>
      </c>
      <c r="F93" s="155"/>
      <c r="H93" s="163" t="s">
        <v>7633</v>
      </c>
      <c r="J93" s="6" t="s">
        <v>7634</v>
      </c>
      <c r="K93" s="16">
        <v>9304439859</v>
      </c>
      <c r="L93" s="6" t="s">
        <v>7635</v>
      </c>
    </row>
    <row r="94" spans="2:12" ht="14.25" customHeight="1">
      <c r="B94" s="4">
        <v>43523</v>
      </c>
      <c r="C94" s="20"/>
      <c r="D94" s="47" t="s">
        <v>7636</v>
      </c>
      <c r="E94" s="47" t="s">
        <v>7637</v>
      </c>
      <c r="F94" s="151"/>
      <c r="G94" s="47"/>
      <c r="H94" s="47" t="s">
        <v>7638</v>
      </c>
      <c r="I94" s="47"/>
      <c r="J94" s="47" t="s">
        <v>7639</v>
      </c>
      <c r="K94" s="66">
        <v>9570190544</v>
      </c>
      <c r="L94" s="47"/>
    </row>
    <row r="95" spans="2:12" ht="14.25" customHeight="1">
      <c r="B95" s="4">
        <v>43524</v>
      </c>
      <c r="C95" s="20"/>
      <c r="D95" s="47" t="s">
        <v>7640</v>
      </c>
      <c r="E95" s="47" t="s">
        <v>7637</v>
      </c>
      <c r="F95" s="151"/>
      <c r="G95" s="47"/>
      <c r="H95" s="47" t="s">
        <v>7641</v>
      </c>
      <c r="I95" s="47"/>
      <c r="J95" s="47" t="s">
        <v>7642</v>
      </c>
      <c r="K95" s="66">
        <v>9570190544</v>
      </c>
      <c r="L95" s="47"/>
    </row>
    <row r="96" spans="2:12" ht="14.25" customHeight="1">
      <c r="B96" s="152">
        <v>43239</v>
      </c>
      <c r="C96" s="153"/>
      <c r="D96" s="6" t="s">
        <v>7643</v>
      </c>
      <c r="E96" s="6" t="s">
        <v>7411</v>
      </c>
      <c r="F96" s="155"/>
      <c r="J96" s="6" t="s">
        <v>7644</v>
      </c>
      <c r="K96" s="16">
        <v>8092293097</v>
      </c>
    </row>
    <row r="97" spans="1:12" ht="14.25" customHeight="1">
      <c r="A97" s="6" t="s">
        <v>1527</v>
      </c>
      <c r="B97" s="4">
        <v>43564</v>
      </c>
      <c r="C97" s="5"/>
      <c r="D97" s="6" t="s">
        <v>7625</v>
      </c>
      <c r="E97" s="6" t="s">
        <v>7314</v>
      </c>
      <c r="F97" s="155"/>
      <c r="H97" s="163" t="s">
        <v>7645</v>
      </c>
      <c r="J97" s="6" t="s">
        <v>7646</v>
      </c>
      <c r="K97" s="16">
        <v>8092335804</v>
      </c>
    </row>
    <row r="98" spans="1:12" ht="14.25" customHeight="1">
      <c r="B98" s="4">
        <v>43529</v>
      </c>
      <c r="C98" s="20"/>
      <c r="D98" s="6" t="s">
        <v>7647</v>
      </c>
      <c r="E98" s="6" t="s">
        <v>7648</v>
      </c>
      <c r="F98" s="155"/>
      <c r="J98" s="6" t="s">
        <v>7447</v>
      </c>
      <c r="K98" s="16">
        <v>9523472991</v>
      </c>
      <c r="L98" s="6" t="s">
        <v>7649</v>
      </c>
    </row>
    <row r="99" spans="1:12" ht="14.25" customHeight="1">
      <c r="B99" s="4">
        <v>43569</v>
      </c>
      <c r="C99" s="5"/>
      <c r="D99" s="6" t="s">
        <v>7650</v>
      </c>
      <c r="E99" s="6" t="s">
        <v>7314</v>
      </c>
      <c r="F99" s="155"/>
      <c r="H99" s="163" t="s">
        <v>7651</v>
      </c>
      <c r="J99" s="6" t="s">
        <v>7652</v>
      </c>
      <c r="K99" s="16">
        <v>8092533406</v>
      </c>
    </row>
    <row r="100" spans="1:12" ht="14.25" customHeight="1">
      <c r="B100" s="4">
        <v>43530</v>
      </c>
      <c r="C100" s="20"/>
      <c r="D100" s="6" t="s">
        <v>7653</v>
      </c>
      <c r="E100" s="6" t="s">
        <v>7654</v>
      </c>
      <c r="F100" s="155"/>
      <c r="H100" s="6" t="s">
        <v>7655</v>
      </c>
      <c r="I100" s="6" t="s">
        <v>7656</v>
      </c>
      <c r="J100" s="6" t="s">
        <v>7657</v>
      </c>
      <c r="K100" s="16">
        <v>9570027446</v>
      </c>
      <c r="L100" s="6" t="s">
        <v>2027</v>
      </c>
    </row>
    <row r="101" spans="1:12" ht="14.25" customHeight="1">
      <c r="B101" s="4">
        <v>43532</v>
      </c>
      <c r="C101" s="20"/>
      <c r="D101" s="6" t="s">
        <v>7658</v>
      </c>
      <c r="E101" s="6" t="s">
        <v>7659</v>
      </c>
      <c r="F101" s="155"/>
      <c r="H101" s="6" t="s">
        <v>7660</v>
      </c>
      <c r="I101" s="6" t="s">
        <v>7661</v>
      </c>
      <c r="J101" s="6" t="s">
        <v>6302</v>
      </c>
      <c r="K101" s="16">
        <v>8969291133</v>
      </c>
    </row>
    <row r="102" spans="1:12" ht="14.25" customHeight="1">
      <c r="B102" s="4">
        <v>43548</v>
      </c>
      <c r="C102" s="20"/>
      <c r="D102" s="6" t="s">
        <v>7662</v>
      </c>
      <c r="E102" s="6" t="s">
        <v>7326</v>
      </c>
      <c r="F102" s="155"/>
      <c r="H102" s="6" t="s">
        <v>7663</v>
      </c>
      <c r="I102" s="6" t="s">
        <v>7664</v>
      </c>
      <c r="J102" s="6" t="s">
        <v>7665</v>
      </c>
      <c r="K102" s="16">
        <v>9934188075</v>
      </c>
    </row>
    <row r="103" spans="1:12" ht="14.25" customHeight="1">
      <c r="B103" s="4">
        <v>43548</v>
      </c>
      <c r="C103" s="20"/>
      <c r="D103" s="6" t="s">
        <v>7666</v>
      </c>
      <c r="E103" s="6" t="s">
        <v>7667</v>
      </c>
      <c r="F103" s="155"/>
      <c r="H103" s="6" t="s">
        <v>7668</v>
      </c>
      <c r="I103" s="6" t="s">
        <v>7669</v>
      </c>
      <c r="J103" s="6" t="s">
        <v>7670</v>
      </c>
      <c r="K103" s="16">
        <v>7889664213</v>
      </c>
    </row>
    <row r="104" spans="1:12" ht="14.25" customHeight="1">
      <c r="B104" s="4">
        <v>43548</v>
      </c>
      <c r="C104" s="20"/>
      <c r="D104" s="6" t="s">
        <v>7671</v>
      </c>
      <c r="E104" s="6" t="s">
        <v>7672</v>
      </c>
      <c r="F104" s="155"/>
      <c r="H104" s="6" t="s">
        <v>7673</v>
      </c>
      <c r="I104" s="6" t="s">
        <v>7674</v>
      </c>
      <c r="J104" s="6" t="s">
        <v>7675</v>
      </c>
      <c r="K104" s="16">
        <v>7889664213</v>
      </c>
    </row>
    <row r="105" spans="1:12" ht="14.25" customHeight="1">
      <c r="B105" s="4">
        <v>43522</v>
      </c>
      <c r="C105" s="20"/>
      <c r="D105" s="6" t="s">
        <v>7676</v>
      </c>
      <c r="E105" s="6" t="s">
        <v>7314</v>
      </c>
      <c r="F105" s="155"/>
      <c r="J105" s="6" t="s">
        <v>7677</v>
      </c>
      <c r="K105" s="16">
        <v>9572990645</v>
      </c>
      <c r="L105" s="11"/>
    </row>
    <row r="106" spans="1:12" ht="14.25" customHeight="1">
      <c r="A106" s="6" t="s">
        <v>7678</v>
      </c>
      <c r="B106" s="4">
        <v>43551</v>
      </c>
      <c r="C106" s="20"/>
      <c r="D106" s="6" t="s">
        <v>7679</v>
      </c>
      <c r="E106" s="6" t="s">
        <v>7680</v>
      </c>
      <c r="F106" s="155"/>
      <c r="H106" s="6" t="s">
        <v>7681</v>
      </c>
      <c r="I106" s="6" t="s">
        <v>7682</v>
      </c>
      <c r="J106" s="6" t="s">
        <v>1684</v>
      </c>
      <c r="K106" s="16">
        <v>7903942614</v>
      </c>
    </row>
    <row r="107" spans="1:12" ht="14.25" customHeight="1">
      <c r="B107" s="4">
        <v>43522</v>
      </c>
      <c r="C107" s="20"/>
      <c r="D107" s="6" t="s">
        <v>7683</v>
      </c>
      <c r="E107" s="6" t="s">
        <v>7314</v>
      </c>
      <c r="F107" s="155"/>
      <c r="H107" s="163" t="s">
        <v>7684</v>
      </c>
      <c r="I107" s="6" t="s">
        <v>7685</v>
      </c>
      <c r="J107" s="6" t="s">
        <v>7686</v>
      </c>
      <c r="K107" s="16">
        <v>9572990645</v>
      </c>
      <c r="L107" s="11"/>
    </row>
    <row r="108" spans="1:12" ht="14.25" customHeight="1">
      <c r="B108" s="4">
        <v>43560</v>
      </c>
      <c r="C108" s="20"/>
      <c r="D108" s="6" t="s">
        <v>7687</v>
      </c>
      <c r="E108" s="6" t="s">
        <v>7314</v>
      </c>
      <c r="F108" s="155"/>
      <c r="H108" s="163" t="s">
        <v>7688</v>
      </c>
      <c r="I108" s="6" t="s">
        <v>7689</v>
      </c>
      <c r="J108" s="6" t="s">
        <v>2808</v>
      </c>
      <c r="K108" s="16"/>
    </row>
    <row r="109" spans="1:12" ht="14.25" customHeight="1">
      <c r="C109" s="5"/>
      <c r="D109" s="6" t="s">
        <v>7690</v>
      </c>
      <c r="E109" s="6" t="s">
        <v>7691</v>
      </c>
      <c r="F109" s="155"/>
      <c r="H109" s="6" t="s">
        <v>7692</v>
      </c>
      <c r="J109" s="6" t="s">
        <v>7693</v>
      </c>
      <c r="K109" s="16">
        <v>6205658028</v>
      </c>
    </row>
    <row r="110" spans="1:12" ht="14.25" customHeight="1">
      <c r="A110" s="6" t="s">
        <v>1527</v>
      </c>
      <c r="B110" s="4">
        <v>43564</v>
      </c>
      <c r="C110" s="5"/>
      <c r="D110" s="6" t="s">
        <v>7694</v>
      </c>
      <c r="E110" s="6" t="s">
        <v>7314</v>
      </c>
      <c r="F110" s="155"/>
      <c r="H110" s="163" t="s">
        <v>7695</v>
      </c>
      <c r="J110" s="6" t="s">
        <v>5609</v>
      </c>
      <c r="K110" s="16">
        <v>9234787576</v>
      </c>
    </row>
    <row r="111" spans="1:12" ht="14.25" customHeight="1">
      <c r="B111" s="4">
        <v>43516</v>
      </c>
      <c r="C111" s="20"/>
      <c r="D111" s="6" t="s">
        <v>7696</v>
      </c>
      <c r="E111" s="6" t="s">
        <v>7314</v>
      </c>
      <c r="F111" s="155"/>
      <c r="H111" s="163" t="s">
        <v>7697</v>
      </c>
      <c r="J111" s="6" t="s">
        <v>3334</v>
      </c>
      <c r="K111" s="16">
        <v>9031080163</v>
      </c>
    </row>
    <row r="112" spans="1:12" ht="14.25" customHeight="1">
      <c r="B112" s="4">
        <v>43557</v>
      </c>
      <c r="C112" s="20"/>
      <c r="D112" s="6" t="s">
        <v>7698</v>
      </c>
      <c r="E112" s="6" t="s">
        <v>7314</v>
      </c>
      <c r="F112" s="155"/>
      <c r="H112" s="163" t="s">
        <v>7699</v>
      </c>
      <c r="I112" s="6" t="s">
        <v>7700</v>
      </c>
      <c r="J112" s="6" t="s">
        <v>7701</v>
      </c>
      <c r="K112" s="16">
        <v>8340579164</v>
      </c>
    </row>
    <row r="113" spans="1:26" ht="14.25" customHeight="1">
      <c r="B113" s="4">
        <v>43552</v>
      </c>
      <c r="C113" s="20"/>
      <c r="D113" s="6" t="s">
        <v>7702</v>
      </c>
      <c r="E113" s="6" t="s">
        <v>7703</v>
      </c>
      <c r="F113" s="155"/>
      <c r="H113" s="6" t="s">
        <v>7704</v>
      </c>
      <c r="I113" s="6" t="s">
        <v>7705</v>
      </c>
      <c r="J113" s="6" t="s">
        <v>7706</v>
      </c>
      <c r="K113" s="16">
        <v>9631069599</v>
      </c>
    </row>
    <row r="114" spans="1:26" ht="14.25" customHeight="1">
      <c r="B114" s="175">
        <v>43397</v>
      </c>
      <c r="C114" s="176"/>
      <c r="D114" s="165" t="s">
        <v>7707</v>
      </c>
      <c r="E114" s="165" t="s">
        <v>7314</v>
      </c>
      <c r="F114" s="166"/>
      <c r="G114" s="165"/>
      <c r="H114" s="165" t="s">
        <v>7708</v>
      </c>
      <c r="I114" s="165" t="s">
        <v>7709</v>
      </c>
      <c r="J114" s="165" t="s">
        <v>7710</v>
      </c>
      <c r="K114" s="167">
        <v>9934306560</v>
      </c>
    </row>
    <row r="115" spans="1:26" ht="14.25" customHeight="1">
      <c r="B115" s="106">
        <v>43554</v>
      </c>
      <c r="C115" s="87"/>
      <c r="D115" s="11" t="s">
        <v>7711</v>
      </c>
      <c r="E115" s="11" t="s">
        <v>7712</v>
      </c>
      <c r="F115" s="155"/>
      <c r="G115" s="11"/>
      <c r="H115" s="11" t="s">
        <v>7713</v>
      </c>
      <c r="I115" s="11" t="s">
        <v>7714</v>
      </c>
      <c r="J115" s="11" t="s">
        <v>7715</v>
      </c>
      <c r="K115" s="88">
        <v>9204122470</v>
      </c>
    </row>
    <row r="116" spans="1:26" ht="14.25" customHeight="1">
      <c r="B116" s="106">
        <v>43554</v>
      </c>
      <c r="C116" s="87"/>
      <c r="D116" s="11" t="s">
        <v>7716</v>
      </c>
      <c r="E116" s="11" t="s">
        <v>7712</v>
      </c>
      <c r="F116" s="155"/>
      <c r="G116" s="11"/>
      <c r="H116" s="11" t="s">
        <v>7717</v>
      </c>
      <c r="I116" s="11" t="s">
        <v>7718</v>
      </c>
      <c r="J116" s="11" t="s">
        <v>7719</v>
      </c>
      <c r="K116" s="88">
        <v>8210134521</v>
      </c>
    </row>
    <row r="117" spans="1:26" ht="14.25" customHeight="1">
      <c r="B117" s="152">
        <v>43410</v>
      </c>
      <c r="C117" s="153"/>
      <c r="D117" s="6" t="s">
        <v>7720</v>
      </c>
      <c r="E117" s="6" t="s">
        <v>7314</v>
      </c>
      <c r="F117" s="155"/>
      <c r="J117" s="6" t="s">
        <v>7721</v>
      </c>
      <c r="K117" s="16">
        <v>9162545688</v>
      </c>
      <c r="L117" s="11" t="s">
        <v>7309</v>
      </c>
    </row>
    <row r="118" spans="1:26" ht="14.25" customHeight="1">
      <c r="B118" s="183">
        <v>43569</v>
      </c>
      <c r="C118" s="184"/>
      <c r="D118" s="173" t="s">
        <v>7722</v>
      </c>
      <c r="E118" s="173" t="s">
        <v>7314</v>
      </c>
      <c r="F118" s="155"/>
      <c r="G118" s="173"/>
      <c r="H118" s="173"/>
      <c r="I118" s="173"/>
      <c r="J118" s="173" t="s">
        <v>7723</v>
      </c>
      <c r="K118" s="185">
        <v>80951296210</v>
      </c>
      <c r="L118" s="173" t="s">
        <v>7724</v>
      </c>
    </row>
    <row r="119" spans="1:26" ht="14.25" customHeight="1">
      <c r="B119" s="4">
        <v>43516</v>
      </c>
      <c r="C119" s="20"/>
      <c r="D119" s="6" t="s">
        <v>7725</v>
      </c>
      <c r="E119" s="6" t="s">
        <v>7314</v>
      </c>
      <c r="F119" s="155"/>
      <c r="H119" s="6" t="s">
        <v>7692</v>
      </c>
      <c r="J119" s="6" t="s">
        <v>2074</v>
      </c>
      <c r="K119" s="16">
        <v>9525218309</v>
      </c>
      <c r="L119" s="47"/>
    </row>
    <row r="120" spans="1:26" ht="14.25" customHeight="1">
      <c r="B120" s="4">
        <v>43555</v>
      </c>
      <c r="C120" s="20"/>
      <c r="D120" s="6" t="s">
        <v>7726</v>
      </c>
      <c r="E120" s="6" t="s">
        <v>7727</v>
      </c>
      <c r="F120" s="155"/>
      <c r="H120" s="6" t="s">
        <v>7728</v>
      </c>
      <c r="J120" s="6" t="s">
        <v>7729</v>
      </c>
      <c r="K120" s="16">
        <v>9031306153</v>
      </c>
    </row>
    <row r="121" spans="1:26" ht="14.25" customHeight="1">
      <c r="B121" s="4">
        <v>43552</v>
      </c>
      <c r="C121" s="20"/>
      <c r="D121" s="6" t="s">
        <v>7730</v>
      </c>
      <c r="E121" s="6" t="s">
        <v>7314</v>
      </c>
      <c r="F121" s="155"/>
      <c r="H121" s="6" t="s">
        <v>7631</v>
      </c>
      <c r="J121" s="6" t="s">
        <v>7731</v>
      </c>
      <c r="K121" s="16">
        <v>9234139998</v>
      </c>
      <c r="L121" s="6" t="s">
        <v>7732</v>
      </c>
    </row>
    <row r="122" spans="1:26" ht="14.25" customHeight="1">
      <c r="A122" s="11"/>
      <c r="B122" s="106">
        <v>43556</v>
      </c>
      <c r="C122" s="87"/>
      <c r="D122" s="11" t="s">
        <v>7733</v>
      </c>
      <c r="E122" s="11" t="s">
        <v>7411</v>
      </c>
      <c r="F122" s="155"/>
      <c r="G122" s="11" t="s">
        <v>7734</v>
      </c>
      <c r="H122" s="186" t="s">
        <v>7734</v>
      </c>
      <c r="I122" s="11"/>
      <c r="J122" s="11" t="s">
        <v>2565</v>
      </c>
      <c r="K122" s="88">
        <v>8434842956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6" t="s">
        <v>1527</v>
      </c>
      <c r="B123" s="4">
        <v>43558</v>
      </c>
      <c r="C123" s="20"/>
      <c r="D123" s="6" t="s">
        <v>7735</v>
      </c>
      <c r="E123" s="6" t="s">
        <v>7314</v>
      </c>
      <c r="F123" s="155"/>
      <c r="H123" s="163" t="s">
        <v>7736</v>
      </c>
      <c r="I123" s="6" t="s">
        <v>7737</v>
      </c>
      <c r="J123" s="6" t="s">
        <v>7738</v>
      </c>
      <c r="K123" s="16">
        <v>9113472455</v>
      </c>
    </row>
    <row r="124" spans="1:26" ht="14.25" customHeight="1">
      <c r="B124" s="175">
        <v>43403</v>
      </c>
      <c r="C124" s="176"/>
      <c r="D124" s="11" t="s">
        <v>7739</v>
      </c>
      <c r="E124" s="11" t="s">
        <v>7314</v>
      </c>
      <c r="F124" s="155"/>
      <c r="G124" s="11"/>
      <c r="H124" s="165" t="s">
        <v>7740</v>
      </c>
      <c r="I124" s="11" t="s">
        <v>7741</v>
      </c>
      <c r="J124" s="11" t="s">
        <v>7742</v>
      </c>
      <c r="K124" s="88">
        <v>9334627079</v>
      </c>
      <c r="L124" s="11"/>
    </row>
    <row r="125" spans="1:26" ht="14.25" customHeight="1">
      <c r="B125" s="4">
        <v>43556</v>
      </c>
      <c r="C125" s="20"/>
      <c r="D125" s="6" t="s">
        <v>7743</v>
      </c>
      <c r="E125" s="6" t="s">
        <v>7727</v>
      </c>
      <c r="F125" s="155"/>
      <c r="H125" s="6" t="s">
        <v>7744</v>
      </c>
      <c r="J125" s="6" t="s">
        <v>7745</v>
      </c>
      <c r="K125" s="16">
        <v>9031306153</v>
      </c>
    </row>
    <row r="126" spans="1:26" ht="14.25" customHeight="1">
      <c r="B126" s="152">
        <v>43378</v>
      </c>
      <c r="C126" s="153"/>
      <c r="D126" s="6" t="s">
        <v>7746</v>
      </c>
      <c r="E126" s="6" t="s">
        <v>7314</v>
      </c>
      <c r="F126" s="155"/>
      <c r="H126" s="187" t="s">
        <v>7747</v>
      </c>
      <c r="I126" s="6" t="s">
        <v>7748</v>
      </c>
      <c r="J126" s="6" t="s">
        <v>7749</v>
      </c>
      <c r="K126" s="168">
        <v>7320032378</v>
      </c>
    </row>
    <row r="127" spans="1:26" ht="14.25" customHeight="1">
      <c r="B127" s="4">
        <v>43522</v>
      </c>
      <c r="C127" s="20"/>
      <c r="D127" s="6" t="s">
        <v>7750</v>
      </c>
      <c r="E127" s="6" t="s">
        <v>7314</v>
      </c>
      <c r="F127" s="155"/>
      <c r="H127" s="163" t="s">
        <v>7751</v>
      </c>
      <c r="J127" s="6" t="s">
        <v>7752</v>
      </c>
      <c r="K127" s="16">
        <v>9334424834</v>
      </c>
    </row>
    <row r="128" spans="1:26" ht="14.25" customHeight="1">
      <c r="B128" s="4">
        <v>43560</v>
      </c>
      <c r="C128" s="20"/>
      <c r="D128" s="6" t="s">
        <v>7753</v>
      </c>
      <c r="E128" s="6" t="s">
        <v>7314</v>
      </c>
      <c r="F128" s="155"/>
      <c r="H128" s="163" t="s">
        <v>7754</v>
      </c>
      <c r="I128" s="6" t="s">
        <v>7755</v>
      </c>
      <c r="J128" s="6" t="s">
        <v>7756</v>
      </c>
      <c r="K128" s="16">
        <v>9031750566</v>
      </c>
    </row>
    <row r="129" spans="1:26" ht="14.25" customHeight="1">
      <c r="B129" s="106">
        <v>43526</v>
      </c>
      <c r="C129" s="87"/>
      <c r="D129" s="11" t="s">
        <v>7757</v>
      </c>
      <c r="E129" s="11" t="s">
        <v>7314</v>
      </c>
      <c r="F129" s="155"/>
      <c r="G129" s="11"/>
      <c r="H129" s="186" t="s">
        <v>7758</v>
      </c>
      <c r="J129" s="6" t="s">
        <v>7759</v>
      </c>
      <c r="K129" s="16">
        <v>9931096336</v>
      </c>
    </row>
    <row r="130" spans="1:26" ht="14.25" customHeight="1">
      <c r="B130" s="152">
        <v>43239</v>
      </c>
      <c r="C130" s="153"/>
      <c r="D130" s="6" t="s">
        <v>7760</v>
      </c>
      <c r="E130" s="6" t="s">
        <v>7411</v>
      </c>
      <c r="F130" s="155"/>
      <c r="H130" s="6" t="s">
        <v>7692</v>
      </c>
      <c r="J130" s="6" t="s">
        <v>7761</v>
      </c>
      <c r="K130" s="16">
        <v>8092293097</v>
      </c>
    </row>
    <row r="131" spans="1:26" ht="14.25" customHeight="1">
      <c r="B131" s="4">
        <v>43512</v>
      </c>
      <c r="C131" s="20"/>
      <c r="D131" s="6" t="s">
        <v>7762</v>
      </c>
      <c r="E131" s="6" t="s">
        <v>7314</v>
      </c>
      <c r="F131" s="155"/>
      <c r="H131" s="6" t="s">
        <v>7692</v>
      </c>
      <c r="J131" s="6" t="s">
        <v>2302</v>
      </c>
      <c r="K131" s="16">
        <v>9525218309</v>
      </c>
    </row>
    <row r="132" spans="1:26" ht="14.25" customHeight="1">
      <c r="B132" s="4">
        <v>43557</v>
      </c>
      <c r="C132" s="20"/>
      <c r="D132" s="6" t="s">
        <v>7763</v>
      </c>
      <c r="E132" s="6" t="s">
        <v>7314</v>
      </c>
      <c r="F132" s="155"/>
      <c r="H132" s="163" t="s">
        <v>7764</v>
      </c>
      <c r="J132" s="6" t="s">
        <v>7675</v>
      </c>
      <c r="K132" s="16">
        <v>9304797826</v>
      </c>
      <c r="L132" s="6">
        <v>11111</v>
      </c>
    </row>
    <row r="133" spans="1:26" ht="14.25" customHeight="1">
      <c r="B133" s="159">
        <v>43203</v>
      </c>
      <c r="C133" s="160"/>
      <c r="D133" s="147" t="s">
        <v>7765</v>
      </c>
      <c r="E133" s="147" t="s">
        <v>7411</v>
      </c>
      <c r="F133" s="161"/>
      <c r="G133" s="147"/>
      <c r="H133" s="147" t="s">
        <v>7766</v>
      </c>
      <c r="I133" s="147" t="s">
        <v>7767</v>
      </c>
      <c r="J133" s="147" t="s">
        <v>7768</v>
      </c>
      <c r="K133" s="162">
        <v>9031375410</v>
      </c>
    </row>
    <row r="134" spans="1:26" ht="14.25" customHeight="1">
      <c r="B134" s="4">
        <v>43528</v>
      </c>
      <c r="C134" s="20"/>
      <c r="D134" s="6" t="s">
        <v>7769</v>
      </c>
      <c r="E134" s="6" t="s">
        <v>7314</v>
      </c>
      <c r="F134" s="155"/>
      <c r="H134" s="163" t="s">
        <v>7770</v>
      </c>
      <c r="J134" s="6" t="s">
        <v>7771</v>
      </c>
      <c r="K134" s="16">
        <v>6204079582</v>
      </c>
    </row>
    <row r="135" spans="1:26" ht="14.25" customHeight="1">
      <c r="A135" s="6" t="s">
        <v>7678</v>
      </c>
      <c r="B135" s="4">
        <v>43552</v>
      </c>
      <c r="C135" s="20"/>
      <c r="D135" s="6" t="s">
        <v>7772</v>
      </c>
      <c r="E135" s="6" t="s">
        <v>7423</v>
      </c>
      <c r="F135" s="155"/>
      <c r="H135" s="163" t="s">
        <v>7465</v>
      </c>
      <c r="J135" s="6" t="s">
        <v>7773</v>
      </c>
      <c r="K135" s="16">
        <v>7979765860</v>
      </c>
    </row>
    <row r="136" spans="1:26" ht="14.25" customHeight="1">
      <c r="B136" s="4">
        <v>43559</v>
      </c>
      <c r="C136" s="20"/>
      <c r="D136" s="6" t="s">
        <v>7774</v>
      </c>
      <c r="E136" s="6" t="s">
        <v>7727</v>
      </c>
      <c r="F136" s="155"/>
      <c r="J136" s="6" t="s">
        <v>7775</v>
      </c>
      <c r="K136" s="16">
        <v>9234665245</v>
      </c>
    </row>
    <row r="137" spans="1:26" ht="14.25" customHeight="1">
      <c r="B137" s="4">
        <v>43521</v>
      </c>
      <c r="C137" s="20"/>
      <c r="D137" s="6" t="s">
        <v>7776</v>
      </c>
      <c r="E137" s="6" t="s">
        <v>7314</v>
      </c>
      <c r="F137" s="155"/>
      <c r="H137" s="163" t="s">
        <v>7777</v>
      </c>
      <c r="I137" s="6" t="s">
        <v>7778</v>
      </c>
      <c r="J137" s="6" t="s">
        <v>7779</v>
      </c>
      <c r="K137" s="16">
        <v>9572990645</v>
      </c>
    </row>
    <row r="138" spans="1:26" ht="14.25" customHeight="1">
      <c r="B138" s="152">
        <v>43169</v>
      </c>
      <c r="C138" s="153"/>
      <c r="D138" s="6" t="s">
        <v>7780</v>
      </c>
      <c r="E138" s="6" t="s">
        <v>7411</v>
      </c>
      <c r="F138" s="155"/>
      <c r="J138" s="6" t="s">
        <v>7781</v>
      </c>
      <c r="K138" s="16">
        <v>8603295611</v>
      </c>
    </row>
    <row r="139" spans="1:26" ht="14.25" customHeight="1">
      <c r="B139" s="4">
        <v>43529</v>
      </c>
      <c r="C139" s="20"/>
      <c r="D139" s="6" t="s">
        <v>7782</v>
      </c>
      <c r="E139" s="6" t="s">
        <v>7314</v>
      </c>
      <c r="F139" s="155"/>
      <c r="H139" s="163" t="s">
        <v>7783</v>
      </c>
      <c r="J139" s="6" t="s">
        <v>2773</v>
      </c>
      <c r="K139" s="16">
        <v>9931096336</v>
      </c>
    </row>
    <row r="140" spans="1:26" ht="14.25" customHeight="1">
      <c r="A140" s="11"/>
      <c r="B140" s="106">
        <v>43560</v>
      </c>
      <c r="C140" s="87"/>
      <c r="D140" s="11" t="s">
        <v>7784</v>
      </c>
      <c r="E140" s="11" t="s">
        <v>7727</v>
      </c>
      <c r="F140" s="155"/>
      <c r="G140" s="11"/>
      <c r="H140" s="188" t="s">
        <v>7785</v>
      </c>
      <c r="I140" s="11" t="s">
        <v>7786</v>
      </c>
      <c r="J140" s="11" t="s">
        <v>7787</v>
      </c>
      <c r="K140" s="88">
        <v>8340502037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6" t="s">
        <v>1527</v>
      </c>
      <c r="B141" s="4">
        <v>43551</v>
      </c>
      <c r="C141" s="20"/>
      <c r="D141" s="6" t="s">
        <v>7788</v>
      </c>
      <c r="E141" s="6" t="s">
        <v>7314</v>
      </c>
      <c r="F141" s="155"/>
      <c r="J141" s="6" t="s">
        <v>7789</v>
      </c>
      <c r="K141" s="16">
        <v>8789414837</v>
      </c>
    </row>
    <row r="142" spans="1:26" ht="14.25" customHeight="1">
      <c r="A142" s="6" t="s">
        <v>1527</v>
      </c>
      <c r="B142" s="4">
        <v>43557</v>
      </c>
      <c r="C142" s="20"/>
      <c r="D142" s="6" t="s">
        <v>7790</v>
      </c>
      <c r="E142" s="6" t="s">
        <v>7314</v>
      </c>
      <c r="F142" s="155"/>
      <c r="H142" s="163" t="s">
        <v>7791</v>
      </c>
      <c r="J142" s="6" t="s">
        <v>7792</v>
      </c>
      <c r="K142" s="16">
        <v>8521632607</v>
      </c>
    </row>
    <row r="143" spans="1:26" ht="14.25" customHeight="1">
      <c r="B143" s="4">
        <v>43561</v>
      </c>
      <c r="C143" s="5"/>
      <c r="D143" s="6" t="s">
        <v>7793</v>
      </c>
      <c r="E143" s="6" t="s">
        <v>7794</v>
      </c>
      <c r="F143" s="155"/>
      <c r="H143" s="6" t="s">
        <v>7795</v>
      </c>
      <c r="I143" s="6" t="s">
        <v>7796</v>
      </c>
      <c r="J143" s="6" t="s">
        <v>7797</v>
      </c>
      <c r="K143" s="16">
        <v>9693949315</v>
      </c>
    </row>
    <row r="144" spans="1:26" ht="14.25" customHeight="1">
      <c r="B144" s="4">
        <v>43561</v>
      </c>
      <c r="C144" s="5"/>
      <c r="D144" s="6" t="s">
        <v>7798</v>
      </c>
      <c r="E144" s="6" t="s">
        <v>7799</v>
      </c>
      <c r="F144" s="155"/>
      <c r="H144" s="6" t="s">
        <v>7800</v>
      </c>
      <c r="I144" s="6" t="s">
        <v>7801</v>
      </c>
      <c r="J144" s="6" t="s">
        <v>7802</v>
      </c>
      <c r="K144" s="16">
        <v>9693949315</v>
      </c>
    </row>
    <row r="145" spans="1:26" ht="14.25" customHeight="1">
      <c r="A145" s="11"/>
      <c r="B145" s="106">
        <v>43561</v>
      </c>
      <c r="C145" s="84"/>
      <c r="D145" s="11" t="s">
        <v>7803</v>
      </c>
      <c r="E145" s="11" t="s">
        <v>7727</v>
      </c>
      <c r="F145" s="155"/>
      <c r="G145" s="11"/>
      <c r="H145" s="189" t="s">
        <v>7804</v>
      </c>
      <c r="I145" s="11" t="s">
        <v>7805</v>
      </c>
      <c r="J145" s="11" t="s">
        <v>7806</v>
      </c>
      <c r="K145" s="88">
        <v>9234459789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B146" s="4">
        <v>43561</v>
      </c>
      <c r="C146" s="5"/>
      <c r="D146" s="6" t="s">
        <v>7807</v>
      </c>
      <c r="E146" s="6" t="s">
        <v>7355</v>
      </c>
      <c r="F146" s="155"/>
      <c r="H146" s="6" t="s">
        <v>7808</v>
      </c>
      <c r="I146" s="6" t="s">
        <v>7809</v>
      </c>
      <c r="J146" s="6" t="s">
        <v>7810</v>
      </c>
      <c r="K146" s="16">
        <v>9693949315</v>
      </c>
    </row>
    <row r="147" spans="1:26" ht="14.25" customHeight="1">
      <c r="C147" s="5"/>
      <c r="D147" s="6" t="s">
        <v>7811</v>
      </c>
      <c r="E147" s="6" t="s">
        <v>7691</v>
      </c>
      <c r="F147" s="155"/>
      <c r="J147" s="6" t="s">
        <v>2141</v>
      </c>
      <c r="K147" s="16">
        <v>9430306312</v>
      </c>
    </row>
    <row r="148" spans="1:26" ht="14.25" customHeight="1">
      <c r="B148" s="4">
        <v>43556</v>
      </c>
      <c r="C148" s="20"/>
      <c r="D148" s="6" t="s">
        <v>7812</v>
      </c>
      <c r="E148" s="6" t="s">
        <v>7411</v>
      </c>
      <c r="F148" s="155"/>
      <c r="H148" s="163" t="s">
        <v>7813</v>
      </c>
      <c r="J148" s="6" t="s">
        <v>6543</v>
      </c>
      <c r="K148" s="16">
        <v>6200695982</v>
      </c>
    </row>
    <row r="149" spans="1:26" ht="14.25" customHeight="1">
      <c r="A149" s="11"/>
      <c r="B149" s="106">
        <v>43475</v>
      </c>
      <c r="C149" s="87"/>
      <c r="D149" s="11" t="s">
        <v>275</v>
      </c>
      <c r="E149" s="11" t="s">
        <v>7411</v>
      </c>
      <c r="F149" s="155"/>
      <c r="G149" s="11"/>
      <c r="H149" s="11"/>
      <c r="I149" s="11"/>
      <c r="J149" s="11" t="s">
        <v>7814</v>
      </c>
      <c r="K149" s="88">
        <v>7829875549</v>
      </c>
    </row>
    <row r="150" spans="1:26" ht="14.25" customHeight="1">
      <c r="B150" s="4">
        <v>43564</v>
      </c>
      <c r="C150" s="5"/>
      <c r="D150" s="6" t="s">
        <v>7815</v>
      </c>
      <c r="E150" s="6" t="s">
        <v>7816</v>
      </c>
      <c r="F150" s="155"/>
      <c r="H150" s="6" t="s">
        <v>7817</v>
      </c>
      <c r="I150" s="6" t="s">
        <v>7818</v>
      </c>
      <c r="J150" s="6" t="s">
        <v>7819</v>
      </c>
      <c r="K150" s="16">
        <v>8797630616</v>
      </c>
    </row>
    <row r="151" spans="1:26" ht="14.25" customHeight="1">
      <c r="B151" s="165">
        <v>43304</v>
      </c>
      <c r="C151" s="190"/>
      <c r="D151" s="165" t="s">
        <v>7820</v>
      </c>
      <c r="E151" s="165" t="s">
        <v>7314</v>
      </c>
      <c r="F151" s="166"/>
      <c r="G151" s="165"/>
      <c r="H151" s="165" t="s">
        <v>7821</v>
      </c>
      <c r="I151" s="165" t="s">
        <v>7822</v>
      </c>
      <c r="J151" s="165" t="s">
        <v>7823</v>
      </c>
      <c r="K151" s="167">
        <v>9031038399</v>
      </c>
    </row>
    <row r="152" spans="1:26" ht="14.25" customHeight="1">
      <c r="A152" s="47" t="s">
        <v>1527</v>
      </c>
      <c r="B152" s="158">
        <v>43564</v>
      </c>
      <c r="C152" s="65"/>
      <c r="D152" s="47" t="s">
        <v>7824</v>
      </c>
      <c r="E152" s="47" t="s">
        <v>7326</v>
      </c>
      <c r="F152" s="151"/>
      <c r="G152" s="47"/>
      <c r="H152" s="47" t="s">
        <v>7825</v>
      </c>
      <c r="I152" s="47" t="s">
        <v>7826</v>
      </c>
      <c r="J152" s="47" t="s">
        <v>7827</v>
      </c>
      <c r="K152" s="66">
        <v>9234787576</v>
      </c>
    </row>
    <row r="153" spans="1:26" ht="14.25" customHeight="1">
      <c r="A153" s="6" t="s">
        <v>1527</v>
      </c>
      <c r="B153" s="4">
        <v>43564</v>
      </c>
      <c r="C153" s="5"/>
      <c r="D153" s="6" t="s">
        <v>7828</v>
      </c>
      <c r="E153" s="6" t="s">
        <v>7314</v>
      </c>
      <c r="F153" s="155"/>
      <c r="H153" s="163" t="s">
        <v>7829</v>
      </c>
      <c r="J153" s="6" t="s">
        <v>7830</v>
      </c>
      <c r="K153" s="16">
        <v>7283008723</v>
      </c>
    </row>
    <row r="154" spans="1:26" ht="14.25" customHeight="1">
      <c r="B154" s="4">
        <v>43496</v>
      </c>
      <c r="C154" s="20"/>
      <c r="D154" s="6" t="s">
        <v>7831</v>
      </c>
      <c r="E154" s="6" t="s">
        <v>7314</v>
      </c>
      <c r="F154" s="155"/>
      <c r="H154" s="6" t="s">
        <v>7692</v>
      </c>
      <c r="J154" s="6" t="s">
        <v>7832</v>
      </c>
      <c r="K154" s="16">
        <v>9631069599</v>
      </c>
    </row>
    <row r="155" spans="1:26" ht="14.25" customHeight="1">
      <c r="A155" s="6" t="s">
        <v>1527</v>
      </c>
      <c r="B155" s="4">
        <v>43564</v>
      </c>
      <c r="C155" s="5"/>
      <c r="D155" s="6" t="s">
        <v>7833</v>
      </c>
      <c r="E155" s="6" t="s">
        <v>7314</v>
      </c>
      <c r="F155" s="155"/>
      <c r="H155" s="163" t="s">
        <v>7834</v>
      </c>
      <c r="J155" s="6" t="s">
        <v>7835</v>
      </c>
      <c r="K155" s="16">
        <v>7283008723</v>
      </c>
    </row>
    <row r="156" spans="1:26" ht="14.25" customHeight="1">
      <c r="B156" s="4">
        <v>43565</v>
      </c>
      <c r="C156" s="5"/>
      <c r="D156" s="6" t="s">
        <v>7836</v>
      </c>
      <c r="E156" s="6" t="s">
        <v>7837</v>
      </c>
      <c r="F156" s="155"/>
      <c r="H156" s="6" t="s">
        <v>7838</v>
      </c>
      <c r="I156" s="6" t="s">
        <v>7839</v>
      </c>
      <c r="J156" s="6" t="s">
        <v>1613</v>
      </c>
      <c r="K156" s="16">
        <v>9234176883</v>
      </c>
      <c r="L156" s="6" t="s">
        <v>7840</v>
      </c>
    </row>
    <row r="157" spans="1:26" ht="14.25" customHeight="1">
      <c r="B157" s="191">
        <v>43394</v>
      </c>
      <c r="C157" s="192"/>
      <c r="D157" s="165" t="s">
        <v>7841</v>
      </c>
      <c r="E157" s="165" t="s">
        <v>7314</v>
      </c>
      <c r="F157" s="166"/>
      <c r="G157" s="165"/>
      <c r="H157" s="165" t="s">
        <v>7842</v>
      </c>
      <c r="I157" s="165" t="s">
        <v>7843</v>
      </c>
      <c r="J157" s="165" t="s">
        <v>7844</v>
      </c>
      <c r="K157" s="167"/>
    </row>
    <row r="158" spans="1:26" ht="14.25" customHeight="1">
      <c r="B158" s="4">
        <v>43516</v>
      </c>
      <c r="C158" s="20"/>
      <c r="D158" s="6" t="s">
        <v>7845</v>
      </c>
      <c r="E158" s="6" t="s">
        <v>7314</v>
      </c>
      <c r="F158" s="155"/>
      <c r="H158" s="6" t="s">
        <v>7692</v>
      </c>
      <c r="J158" s="6" t="s">
        <v>7846</v>
      </c>
      <c r="K158" s="16">
        <v>9031080163</v>
      </c>
    </row>
    <row r="159" spans="1:26" ht="14.25" customHeight="1">
      <c r="B159" s="4">
        <v>43567</v>
      </c>
      <c r="C159" s="5"/>
      <c r="D159" s="11" t="s">
        <v>7847</v>
      </c>
      <c r="E159" s="11" t="s">
        <v>7848</v>
      </c>
      <c r="F159" s="155"/>
      <c r="G159" s="11"/>
      <c r="H159" s="186" t="s">
        <v>7849</v>
      </c>
      <c r="I159" s="11"/>
      <c r="J159" s="11" t="s">
        <v>7850</v>
      </c>
      <c r="K159" s="16">
        <v>7992461915</v>
      </c>
    </row>
    <row r="160" spans="1:26" ht="14.25" customHeight="1">
      <c r="B160" s="4">
        <v>43567</v>
      </c>
      <c r="C160" s="5"/>
      <c r="D160" s="6" t="s">
        <v>7851</v>
      </c>
      <c r="E160" s="6" t="s">
        <v>7848</v>
      </c>
      <c r="F160" s="155"/>
      <c r="J160" s="6" t="s">
        <v>3892</v>
      </c>
      <c r="K160" s="16">
        <v>7992461915</v>
      </c>
    </row>
    <row r="161" spans="1:12" ht="14.25" customHeight="1">
      <c r="B161" s="175">
        <v>43397</v>
      </c>
      <c r="C161" s="176"/>
      <c r="D161" s="165" t="s">
        <v>7852</v>
      </c>
      <c r="E161" s="165" t="s">
        <v>7314</v>
      </c>
      <c r="F161" s="166"/>
      <c r="G161" s="165"/>
      <c r="H161" s="165" t="s">
        <v>7853</v>
      </c>
      <c r="I161" s="165" t="s">
        <v>7854</v>
      </c>
      <c r="J161" s="165" t="s">
        <v>7855</v>
      </c>
      <c r="K161" s="167">
        <v>9776357355</v>
      </c>
    </row>
    <row r="162" spans="1:12" ht="14.25" customHeight="1">
      <c r="B162" s="4">
        <v>43565</v>
      </c>
      <c r="C162" s="5"/>
      <c r="D162" s="6" t="s">
        <v>7856</v>
      </c>
      <c r="E162" s="6" t="s">
        <v>7314</v>
      </c>
      <c r="F162" s="155"/>
      <c r="H162" s="163" t="s">
        <v>7857</v>
      </c>
      <c r="I162" s="6" t="s">
        <v>7858</v>
      </c>
      <c r="J162" s="6" t="s">
        <v>7859</v>
      </c>
      <c r="K162" s="16">
        <v>9234176883</v>
      </c>
      <c r="L162" s="6" t="s">
        <v>7840</v>
      </c>
    </row>
    <row r="163" spans="1:12" ht="14.25" customHeight="1">
      <c r="A163" s="6" t="s">
        <v>1527</v>
      </c>
      <c r="B163" s="4">
        <v>43555</v>
      </c>
      <c r="C163" s="20"/>
      <c r="D163" s="6" t="s">
        <v>7860</v>
      </c>
      <c r="E163" s="6" t="s">
        <v>7314</v>
      </c>
      <c r="F163" s="155"/>
      <c r="H163" s="163" t="s">
        <v>7861</v>
      </c>
      <c r="J163" s="6" t="s">
        <v>7862</v>
      </c>
      <c r="K163" s="16">
        <v>9931547618</v>
      </c>
      <c r="L163" s="6" t="s">
        <v>7732</v>
      </c>
    </row>
    <row r="164" spans="1:12" ht="14.25" customHeight="1">
      <c r="B164" s="106">
        <v>43569</v>
      </c>
      <c r="C164" s="84"/>
      <c r="D164" s="11" t="s">
        <v>7863</v>
      </c>
      <c r="E164" s="11" t="s">
        <v>7314</v>
      </c>
      <c r="F164" s="155"/>
      <c r="G164" s="11"/>
      <c r="H164" s="186" t="s">
        <v>7864</v>
      </c>
      <c r="I164" s="11" t="s">
        <v>7865</v>
      </c>
      <c r="J164" s="11" t="s">
        <v>7866</v>
      </c>
      <c r="K164" s="88">
        <v>8540999929</v>
      </c>
    </row>
    <row r="165" spans="1:12" ht="14.25" customHeight="1">
      <c r="B165" s="152"/>
      <c r="C165" s="153"/>
      <c r="D165" s="6" t="s">
        <v>7867</v>
      </c>
      <c r="F165" s="155"/>
      <c r="H165" s="6" t="s">
        <v>7868</v>
      </c>
      <c r="I165" s="6" t="s">
        <v>7869</v>
      </c>
      <c r="J165" s="6" t="s">
        <v>7870</v>
      </c>
      <c r="K165" s="16"/>
    </row>
    <row r="166" spans="1:12" ht="14.25" customHeight="1">
      <c r="B166" s="11"/>
      <c r="C166" s="84"/>
      <c r="D166" s="11"/>
      <c r="E166" s="11" t="s">
        <v>7871</v>
      </c>
      <c r="F166" s="155"/>
      <c r="G166" s="11"/>
      <c r="H166" s="11" t="s">
        <v>7872</v>
      </c>
      <c r="I166" s="11" t="s">
        <v>7873</v>
      </c>
      <c r="J166" s="11" t="s">
        <v>7874</v>
      </c>
      <c r="K166" s="88">
        <v>7992302160</v>
      </c>
      <c r="L166" s="11" t="s">
        <v>1845</v>
      </c>
    </row>
    <row r="167" spans="1:12" ht="14.25" customHeight="1">
      <c r="B167" s="152">
        <v>43389</v>
      </c>
      <c r="C167" s="153"/>
      <c r="D167" s="6" t="s">
        <v>7875</v>
      </c>
      <c r="E167" s="6" t="s">
        <v>7314</v>
      </c>
      <c r="F167" s="155"/>
      <c r="H167" s="193" t="s">
        <v>7876</v>
      </c>
      <c r="I167" s="6" t="s">
        <v>7877</v>
      </c>
      <c r="J167" s="6" t="s">
        <v>2511</v>
      </c>
      <c r="K167" s="168">
        <v>8084014972</v>
      </c>
    </row>
    <row r="168" spans="1:12" ht="14.25" customHeight="1">
      <c r="B168" s="152"/>
      <c r="C168" s="153"/>
      <c r="E168" s="6" t="s">
        <v>7878</v>
      </c>
      <c r="F168" s="155"/>
      <c r="H168" s="6" t="s">
        <v>7879</v>
      </c>
      <c r="I168" s="6" t="s">
        <v>7880</v>
      </c>
      <c r="J168" s="6" t="s">
        <v>7881</v>
      </c>
      <c r="K168" s="16">
        <v>9263804776</v>
      </c>
    </row>
    <row r="169" spans="1:12" ht="14.25" customHeight="1">
      <c r="B169" s="4">
        <v>43552</v>
      </c>
      <c r="C169" s="20"/>
      <c r="D169" s="6" t="s">
        <v>7882</v>
      </c>
      <c r="E169" s="6" t="s">
        <v>7314</v>
      </c>
      <c r="F169" s="155"/>
      <c r="H169" s="163" t="s">
        <v>7883</v>
      </c>
      <c r="J169" s="6" t="s">
        <v>7884</v>
      </c>
      <c r="K169" s="16">
        <v>9234139998</v>
      </c>
    </row>
    <row r="170" spans="1:12" ht="14.25" customHeight="1">
      <c r="B170" s="4">
        <v>43561</v>
      </c>
      <c r="C170" s="5"/>
      <c r="D170" s="6" t="s">
        <v>7885</v>
      </c>
      <c r="E170" s="6" t="s">
        <v>7314</v>
      </c>
      <c r="F170" s="155"/>
      <c r="H170" s="163" t="s">
        <v>7886</v>
      </c>
      <c r="I170" s="6" t="s">
        <v>7887</v>
      </c>
      <c r="J170" s="6" t="s">
        <v>7888</v>
      </c>
      <c r="K170" s="16"/>
    </row>
    <row r="171" spans="1:12" ht="14.25" customHeight="1">
      <c r="C171" s="5"/>
      <c r="D171" s="11" t="s">
        <v>7889</v>
      </c>
      <c r="E171" s="11" t="s">
        <v>7727</v>
      </c>
      <c r="F171" s="155"/>
      <c r="G171" s="11"/>
      <c r="H171" s="186" t="s">
        <v>7890</v>
      </c>
      <c r="J171" s="6" t="s">
        <v>7891</v>
      </c>
      <c r="K171" s="16">
        <v>9031306153</v>
      </c>
    </row>
    <row r="172" spans="1:12" ht="14.25" customHeight="1">
      <c r="B172" s="4">
        <v>43570</v>
      </c>
      <c r="C172" s="5"/>
      <c r="E172" s="6" t="s">
        <v>7892</v>
      </c>
      <c r="F172" s="155"/>
      <c r="H172" s="6" t="s">
        <v>7893</v>
      </c>
      <c r="J172" s="6" t="s">
        <v>7894</v>
      </c>
      <c r="K172" s="16">
        <v>9234430323</v>
      </c>
    </row>
    <row r="173" spans="1:12" ht="14.25" customHeight="1">
      <c r="B173" s="152">
        <v>43410</v>
      </c>
      <c r="C173" s="153"/>
      <c r="D173" s="6" t="s">
        <v>7895</v>
      </c>
      <c r="E173" s="6" t="s">
        <v>7314</v>
      </c>
      <c r="F173" s="155"/>
      <c r="H173" s="163" t="s">
        <v>7896</v>
      </c>
      <c r="J173" s="6" t="s">
        <v>7897</v>
      </c>
      <c r="K173" s="16">
        <v>8092703502</v>
      </c>
    </row>
    <row r="174" spans="1:12" ht="14.25" customHeight="1">
      <c r="B174" s="4">
        <v>43571</v>
      </c>
      <c r="C174" s="5"/>
      <c r="D174" s="179" t="s">
        <v>7898</v>
      </c>
      <c r="E174" s="6" t="s">
        <v>7899</v>
      </c>
      <c r="F174" s="155"/>
      <c r="H174" s="6" t="s">
        <v>7900</v>
      </c>
      <c r="I174" s="6" t="s">
        <v>7901</v>
      </c>
      <c r="J174" s="6" t="s">
        <v>7902</v>
      </c>
      <c r="K174" s="16">
        <v>7209702980</v>
      </c>
    </row>
    <row r="175" spans="1:12" ht="14.25" customHeight="1">
      <c r="B175" s="4"/>
      <c r="C175" s="5"/>
      <c r="F175" s="155"/>
      <c r="J175" s="6" t="s">
        <v>7903</v>
      </c>
      <c r="K175" s="16"/>
    </row>
    <row r="176" spans="1:12" ht="14.25" customHeight="1">
      <c r="B176" s="4">
        <v>43572</v>
      </c>
      <c r="C176" s="5"/>
      <c r="D176" s="179" t="s">
        <v>7904</v>
      </c>
      <c r="E176" s="6" t="s">
        <v>7905</v>
      </c>
      <c r="F176" s="155"/>
      <c r="H176" s="163" t="s">
        <v>7906</v>
      </c>
      <c r="J176" s="6" t="s">
        <v>7907</v>
      </c>
      <c r="K176" s="16">
        <v>8340205717</v>
      </c>
    </row>
    <row r="177" spans="1:26" ht="14.25" customHeight="1">
      <c r="B177" s="4">
        <v>43572</v>
      </c>
      <c r="C177" s="5"/>
      <c r="D177" s="180" t="s">
        <v>7908</v>
      </c>
      <c r="E177" s="6" t="s">
        <v>7637</v>
      </c>
      <c r="F177" s="155"/>
      <c r="H177" s="6" t="s">
        <v>7909</v>
      </c>
      <c r="J177" s="6" t="s">
        <v>7910</v>
      </c>
      <c r="K177" s="16">
        <v>8092286813</v>
      </c>
    </row>
    <row r="178" spans="1:26" ht="14.25" customHeight="1">
      <c r="B178" s="4">
        <v>43572</v>
      </c>
      <c r="C178" s="5"/>
      <c r="D178" s="180" t="s">
        <v>7911</v>
      </c>
      <c r="E178" s="6" t="s">
        <v>7637</v>
      </c>
      <c r="F178" s="155"/>
      <c r="H178" s="6" t="s">
        <v>7912</v>
      </c>
      <c r="J178" s="6" t="s">
        <v>7913</v>
      </c>
      <c r="K178" s="16">
        <v>8092286813</v>
      </c>
    </row>
    <row r="179" spans="1:26" ht="14.25" customHeight="1">
      <c r="B179" s="4">
        <v>43572</v>
      </c>
      <c r="C179" s="5"/>
      <c r="D179" s="179" t="s">
        <v>7914</v>
      </c>
      <c r="E179" s="6" t="s">
        <v>7637</v>
      </c>
      <c r="F179" s="155"/>
      <c r="H179" s="6" t="s">
        <v>7915</v>
      </c>
      <c r="J179" s="6" t="s">
        <v>7916</v>
      </c>
      <c r="K179" s="16">
        <v>9661275274</v>
      </c>
    </row>
    <row r="180" spans="1:26" ht="14.25" customHeight="1">
      <c r="B180" s="4">
        <v>43572</v>
      </c>
      <c r="C180" s="5"/>
      <c r="D180" s="179" t="s">
        <v>7917</v>
      </c>
      <c r="E180" s="6" t="s">
        <v>7314</v>
      </c>
      <c r="F180" s="155"/>
      <c r="H180" s="163" t="s">
        <v>7918</v>
      </c>
      <c r="J180" s="6" t="s">
        <v>7919</v>
      </c>
      <c r="K180" s="16">
        <v>9771589223</v>
      </c>
    </row>
    <row r="181" spans="1:26" ht="14.25" customHeight="1">
      <c r="B181" s="4">
        <v>43573</v>
      </c>
      <c r="C181" s="5"/>
      <c r="D181" s="6" t="s">
        <v>7920</v>
      </c>
      <c r="E181" s="6" t="s">
        <v>7314</v>
      </c>
      <c r="F181" s="155"/>
      <c r="H181" s="163" t="s">
        <v>7921</v>
      </c>
      <c r="J181" s="6" t="s">
        <v>2441</v>
      </c>
      <c r="K181" s="16"/>
    </row>
    <row r="182" spans="1:26" ht="14.25" customHeight="1">
      <c r="B182" s="4">
        <v>43573</v>
      </c>
      <c r="C182" s="5"/>
      <c r="D182" s="179" t="s">
        <v>7922</v>
      </c>
      <c r="E182" s="6" t="s">
        <v>7314</v>
      </c>
      <c r="F182" s="155"/>
      <c r="H182" s="163" t="s">
        <v>7923</v>
      </c>
      <c r="J182" s="6" t="s">
        <v>7924</v>
      </c>
      <c r="K182" s="16"/>
    </row>
    <row r="183" spans="1:26" ht="14.25" customHeight="1">
      <c r="B183" s="4">
        <v>43573</v>
      </c>
      <c r="C183" s="5"/>
      <c r="D183" s="179" t="s">
        <v>7925</v>
      </c>
      <c r="E183" s="6" t="s">
        <v>7314</v>
      </c>
      <c r="F183" s="155"/>
      <c r="H183" s="163" t="s">
        <v>7926</v>
      </c>
      <c r="J183" s="6" t="s">
        <v>7927</v>
      </c>
      <c r="K183" s="16"/>
      <c r="L183" s="6" t="s">
        <v>7926</v>
      </c>
    </row>
    <row r="184" spans="1:26" ht="14.25" customHeight="1">
      <c r="B184" s="4">
        <v>43573</v>
      </c>
      <c r="C184" s="5"/>
      <c r="D184" s="179" t="s">
        <v>7928</v>
      </c>
      <c r="E184" s="6" t="s">
        <v>7314</v>
      </c>
      <c r="F184" s="155"/>
      <c r="H184" s="194" t="s">
        <v>7929</v>
      </c>
      <c r="J184" s="6" t="s">
        <v>2626</v>
      </c>
      <c r="K184" s="16"/>
    </row>
    <row r="185" spans="1:26" ht="14.25" customHeight="1">
      <c r="B185" s="4">
        <v>43573</v>
      </c>
      <c r="C185" s="5"/>
      <c r="D185" s="179" t="s">
        <v>7930</v>
      </c>
      <c r="E185" s="6" t="s">
        <v>7314</v>
      </c>
      <c r="F185" s="155"/>
      <c r="H185" s="163" t="s">
        <v>7931</v>
      </c>
      <c r="J185" s="6" t="s">
        <v>7932</v>
      </c>
      <c r="K185" s="16">
        <v>7209075000</v>
      </c>
    </row>
    <row r="186" spans="1:26" ht="14.25" customHeight="1">
      <c r="B186" s="4">
        <v>43575</v>
      </c>
      <c r="C186" s="5"/>
      <c r="D186" s="179" t="s">
        <v>7933</v>
      </c>
      <c r="E186" s="6" t="s">
        <v>7314</v>
      </c>
      <c r="F186" s="155"/>
      <c r="H186" s="163" t="s">
        <v>7934</v>
      </c>
      <c r="J186" s="6" t="s">
        <v>7935</v>
      </c>
      <c r="K186" s="16">
        <v>9113379989</v>
      </c>
    </row>
    <row r="187" spans="1:26" ht="14.25" customHeight="1">
      <c r="B187" s="4">
        <v>43576</v>
      </c>
      <c r="C187" s="5"/>
      <c r="D187" s="179" t="s">
        <v>7936</v>
      </c>
      <c r="E187" s="6" t="s">
        <v>7314</v>
      </c>
      <c r="F187" s="155"/>
      <c r="J187" s="6" t="s">
        <v>7937</v>
      </c>
      <c r="K187" s="16">
        <v>9608702038</v>
      </c>
    </row>
    <row r="188" spans="1:26" ht="14.25" customHeight="1">
      <c r="A188" s="11"/>
      <c r="B188" s="106">
        <v>43576</v>
      </c>
      <c r="C188" s="84"/>
      <c r="D188" s="181" t="s">
        <v>7938</v>
      </c>
      <c r="E188" s="11" t="s">
        <v>7314</v>
      </c>
      <c r="F188" s="155"/>
      <c r="G188" s="11"/>
      <c r="H188" s="186" t="s">
        <v>7939</v>
      </c>
      <c r="I188" s="11" t="s">
        <v>7940</v>
      </c>
      <c r="J188" s="11" t="s">
        <v>7941</v>
      </c>
      <c r="K188" s="88">
        <v>9608702038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47"/>
      <c r="B189" s="158">
        <v>43576</v>
      </c>
      <c r="C189" s="65"/>
      <c r="D189" s="180" t="s">
        <v>7942</v>
      </c>
      <c r="E189" s="47" t="s">
        <v>7637</v>
      </c>
      <c r="F189" s="151"/>
      <c r="G189" s="47"/>
      <c r="H189" s="47" t="s">
        <v>7943</v>
      </c>
      <c r="I189" s="47"/>
      <c r="J189" s="47" t="s">
        <v>3784</v>
      </c>
      <c r="K189" s="66">
        <v>8092286813</v>
      </c>
      <c r="L189" s="47" t="s">
        <v>7309</v>
      </c>
      <c r="M189" s="47" t="s">
        <v>7944</v>
      </c>
    </row>
    <row r="190" spans="1:26" ht="14.25" customHeight="1">
      <c r="C190" s="5"/>
      <c r="E190" s="6" t="s">
        <v>7314</v>
      </c>
      <c r="F190" s="155"/>
      <c r="J190" s="6" t="s">
        <v>7945</v>
      </c>
      <c r="K190" s="16">
        <v>7209430165</v>
      </c>
    </row>
    <row r="191" spans="1:26" ht="14.25" customHeight="1">
      <c r="B191" s="4">
        <v>43593</v>
      </c>
      <c r="C191" s="5"/>
      <c r="D191" s="179" t="s">
        <v>7946</v>
      </c>
      <c r="E191" s="6" t="s">
        <v>7314</v>
      </c>
      <c r="F191" s="155"/>
      <c r="H191" s="163" t="s">
        <v>7947</v>
      </c>
      <c r="J191" s="6" t="s">
        <v>1320</v>
      </c>
      <c r="K191" s="16">
        <v>7091495464</v>
      </c>
    </row>
    <row r="192" spans="1:26" ht="14.25" customHeight="1">
      <c r="B192" s="4">
        <v>43593</v>
      </c>
      <c r="C192" s="5"/>
      <c r="D192" s="179" t="s">
        <v>7948</v>
      </c>
      <c r="E192" s="6" t="s">
        <v>7314</v>
      </c>
      <c r="F192" s="155"/>
      <c r="H192" s="163" t="s">
        <v>7949</v>
      </c>
      <c r="J192" s="6" t="s">
        <v>2585</v>
      </c>
      <c r="K192" s="16">
        <v>9234141293</v>
      </c>
    </row>
    <row r="193" spans="1:26" ht="14.25" customHeight="1">
      <c r="B193" s="4">
        <v>43593</v>
      </c>
      <c r="C193" s="5"/>
      <c r="D193" s="179" t="s">
        <v>7950</v>
      </c>
      <c r="E193" s="6" t="s">
        <v>7314</v>
      </c>
      <c r="F193" s="155"/>
      <c r="H193" s="163" t="s">
        <v>7951</v>
      </c>
      <c r="J193" s="6" t="s">
        <v>2579</v>
      </c>
      <c r="K193" s="16">
        <v>9955581710</v>
      </c>
    </row>
    <row r="194" spans="1:26" ht="14.25" customHeight="1">
      <c r="B194" s="4">
        <v>43595</v>
      </c>
      <c r="C194" s="5"/>
      <c r="D194" s="179" t="s">
        <v>7952</v>
      </c>
      <c r="E194" s="6" t="s">
        <v>7953</v>
      </c>
      <c r="F194" s="155"/>
      <c r="H194" s="6" t="s">
        <v>7954</v>
      </c>
      <c r="I194" s="6" t="s">
        <v>7955</v>
      </c>
      <c r="J194" s="6" t="s">
        <v>2601</v>
      </c>
      <c r="K194" s="16">
        <v>6200770418</v>
      </c>
    </row>
    <row r="195" spans="1:26" ht="14.25" customHeight="1">
      <c r="B195" s="158">
        <v>43599</v>
      </c>
      <c r="C195" s="65"/>
      <c r="D195" s="180" t="s">
        <v>7956</v>
      </c>
      <c r="E195" s="47" t="s">
        <v>7314</v>
      </c>
      <c r="F195" s="151"/>
      <c r="G195" s="47"/>
      <c r="H195" s="47"/>
      <c r="I195" s="47"/>
      <c r="J195" s="47" t="s">
        <v>7957</v>
      </c>
      <c r="K195" s="66">
        <v>9102787663</v>
      </c>
      <c r="L195" s="47" t="s">
        <v>7309</v>
      </c>
      <c r="M195" s="47" t="s">
        <v>7944</v>
      </c>
    </row>
    <row r="196" spans="1:26" ht="14.25" customHeight="1">
      <c r="B196" s="158">
        <v>43599</v>
      </c>
      <c r="C196" s="65"/>
      <c r="D196" s="180" t="s">
        <v>7958</v>
      </c>
      <c r="E196" s="47" t="s">
        <v>7314</v>
      </c>
      <c r="F196" s="151"/>
      <c r="G196" s="47"/>
      <c r="H196" s="47"/>
      <c r="I196" s="47"/>
      <c r="J196" s="47" t="s">
        <v>7959</v>
      </c>
      <c r="K196" s="66">
        <v>9102787663</v>
      </c>
      <c r="L196" s="47" t="s">
        <v>7309</v>
      </c>
      <c r="M196" s="47" t="s">
        <v>7944</v>
      </c>
    </row>
    <row r="197" spans="1:26" ht="14.25" customHeight="1">
      <c r="B197" s="4">
        <v>43599</v>
      </c>
      <c r="C197" s="5"/>
      <c r="D197" s="179" t="s">
        <v>1845</v>
      </c>
      <c r="E197" s="6" t="s">
        <v>7960</v>
      </c>
      <c r="F197" s="155"/>
      <c r="K197" s="16"/>
    </row>
    <row r="198" spans="1:26" ht="14.25" customHeight="1">
      <c r="A198" s="147">
        <v>50</v>
      </c>
      <c r="B198" s="195">
        <v>43630</v>
      </c>
      <c r="C198" s="196"/>
      <c r="D198" s="197" t="s">
        <v>7961</v>
      </c>
      <c r="E198" s="147" t="s">
        <v>7314</v>
      </c>
      <c r="F198" s="161"/>
      <c r="G198" s="147"/>
      <c r="H198" s="198" t="s">
        <v>7962</v>
      </c>
      <c r="I198" s="147"/>
      <c r="J198" s="147" t="s">
        <v>7963</v>
      </c>
      <c r="K198" s="162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ht="14.25" customHeight="1">
      <c r="A199" s="147"/>
      <c r="B199" s="195">
        <v>43635</v>
      </c>
      <c r="C199" s="196"/>
      <c r="D199" s="197" t="s">
        <v>7964</v>
      </c>
      <c r="E199" s="147" t="s">
        <v>7314</v>
      </c>
      <c r="F199" s="161"/>
      <c r="G199" s="147"/>
      <c r="H199" s="198" t="s">
        <v>7965</v>
      </c>
      <c r="I199" s="147"/>
      <c r="J199" s="147" t="s">
        <v>7966</v>
      </c>
      <c r="K199" s="162">
        <v>8084696568</v>
      </c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ht="14.25" customHeight="1">
      <c r="A200" s="147"/>
      <c r="B200" s="195">
        <v>43637</v>
      </c>
      <c r="C200" s="196">
        <v>47</v>
      </c>
      <c r="D200" s="197" t="s">
        <v>7967</v>
      </c>
      <c r="E200" s="147" t="s">
        <v>7314</v>
      </c>
      <c r="F200" s="161"/>
      <c r="G200" s="147"/>
      <c r="H200" s="198" t="s">
        <v>7968</v>
      </c>
      <c r="I200" s="147"/>
      <c r="J200" s="147" t="s">
        <v>7969</v>
      </c>
      <c r="K200" s="162">
        <v>8797251974</v>
      </c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spans="1:26" ht="14.25" customHeight="1">
      <c r="A201" s="147"/>
      <c r="B201" s="195">
        <v>43637</v>
      </c>
      <c r="C201" s="196">
        <v>47</v>
      </c>
      <c r="D201" s="197" t="s">
        <v>7970</v>
      </c>
      <c r="E201" s="147" t="s">
        <v>7314</v>
      </c>
      <c r="F201" s="161"/>
      <c r="G201" s="147"/>
      <c r="H201" s="198" t="s">
        <v>7971</v>
      </c>
      <c r="I201" s="147"/>
      <c r="J201" s="147" t="s">
        <v>7972</v>
      </c>
      <c r="K201" s="162">
        <v>9504635319</v>
      </c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spans="1:26" ht="14.25" customHeight="1">
      <c r="A202" s="147"/>
      <c r="B202" s="195">
        <v>43638</v>
      </c>
      <c r="C202" s="196">
        <v>47</v>
      </c>
      <c r="D202" s="197" t="s">
        <v>7973</v>
      </c>
      <c r="E202" s="147" t="s">
        <v>7314</v>
      </c>
      <c r="F202" s="161"/>
      <c r="G202" s="147"/>
      <c r="H202" s="198" t="s">
        <v>7974</v>
      </c>
      <c r="I202" s="147"/>
      <c r="J202" s="147" t="s">
        <v>1991</v>
      </c>
      <c r="K202" s="162">
        <v>7766865623</v>
      </c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spans="1:26" ht="14.25" customHeight="1">
      <c r="A203" s="147"/>
      <c r="B203" s="195">
        <v>43641</v>
      </c>
      <c r="C203" s="196">
        <v>47</v>
      </c>
      <c r="D203" s="197" t="s">
        <v>7975</v>
      </c>
      <c r="E203" s="147" t="s">
        <v>7314</v>
      </c>
      <c r="F203" s="161"/>
      <c r="G203" s="147"/>
      <c r="H203" s="199" t="s">
        <v>7976</v>
      </c>
      <c r="I203" s="147"/>
      <c r="J203" s="147" t="s">
        <v>7977</v>
      </c>
      <c r="K203" s="162" t="s">
        <v>1527</v>
      </c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spans="1:26" ht="14.25" customHeight="1">
      <c r="A204" s="147" t="s">
        <v>7978</v>
      </c>
      <c r="B204" s="195">
        <v>43645</v>
      </c>
      <c r="C204" s="196">
        <v>47</v>
      </c>
      <c r="D204" s="197" t="s">
        <v>7979</v>
      </c>
      <c r="E204" s="147" t="s">
        <v>7314</v>
      </c>
      <c r="F204" s="161"/>
      <c r="G204" s="147"/>
      <c r="H204" s="198" t="s">
        <v>7980</v>
      </c>
      <c r="I204" s="147"/>
      <c r="J204" s="147" t="s">
        <v>7981</v>
      </c>
      <c r="K204" s="162">
        <v>7260045036</v>
      </c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spans="1:26" ht="14.25" customHeight="1">
      <c r="A205" s="147"/>
      <c r="B205" s="195">
        <v>43645</v>
      </c>
      <c r="C205" s="196">
        <v>47</v>
      </c>
      <c r="D205" s="197" t="s">
        <v>7982</v>
      </c>
      <c r="E205" s="147" t="s">
        <v>7314</v>
      </c>
      <c r="F205" s="161"/>
      <c r="G205" s="147"/>
      <c r="H205" s="198" t="s">
        <v>7983</v>
      </c>
      <c r="I205" s="147"/>
      <c r="J205" s="147" t="s">
        <v>297</v>
      </c>
      <c r="K205" s="162">
        <v>8235234241</v>
      </c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spans="1:26" ht="14.25" customHeight="1">
      <c r="A206" s="47"/>
      <c r="B206" s="158">
        <v>43645</v>
      </c>
      <c r="C206" s="65">
        <v>47</v>
      </c>
      <c r="D206" s="180" t="s">
        <v>7984</v>
      </c>
      <c r="E206" s="47" t="s">
        <v>7314</v>
      </c>
      <c r="F206" s="151"/>
      <c r="G206" s="47"/>
      <c r="H206" s="47"/>
      <c r="I206" s="47"/>
      <c r="J206" s="47" t="s">
        <v>7985</v>
      </c>
      <c r="K206" s="66">
        <v>9234446298</v>
      </c>
      <c r="L206" s="47" t="s">
        <v>7986</v>
      </c>
      <c r="M206" s="47" t="s">
        <v>7944</v>
      </c>
    </row>
    <row r="207" spans="1:26" ht="14.25" customHeight="1">
      <c r="A207" s="147"/>
      <c r="B207" s="195">
        <v>43661</v>
      </c>
      <c r="C207" s="196">
        <v>47</v>
      </c>
      <c r="D207" s="197" t="s">
        <v>7987</v>
      </c>
      <c r="E207" s="147" t="s">
        <v>7314</v>
      </c>
      <c r="F207" s="161"/>
      <c r="G207" s="147"/>
      <c r="H207" s="198" t="s">
        <v>7988</v>
      </c>
      <c r="I207" s="147"/>
      <c r="J207" s="147" t="s">
        <v>7989</v>
      </c>
      <c r="K207" s="162">
        <v>6200678165</v>
      </c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spans="1:26" ht="14.25" customHeight="1">
      <c r="A208" s="47" t="s">
        <v>1434</v>
      </c>
      <c r="B208" s="158">
        <v>43662</v>
      </c>
      <c r="C208" s="65">
        <v>48</v>
      </c>
      <c r="D208" s="180" t="s">
        <v>7990</v>
      </c>
      <c r="E208" s="47" t="s">
        <v>7991</v>
      </c>
      <c r="F208" s="151"/>
      <c r="G208" s="47"/>
      <c r="H208" s="47"/>
      <c r="I208" s="47"/>
      <c r="J208" s="47" t="s">
        <v>7992</v>
      </c>
      <c r="K208" s="66" t="s">
        <v>1527</v>
      </c>
      <c r="L208" s="47" t="s">
        <v>7986</v>
      </c>
      <c r="M208" s="47" t="s">
        <v>7993</v>
      </c>
    </row>
    <row r="209" spans="1:26" ht="14.25" customHeight="1">
      <c r="A209" s="147"/>
      <c r="B209" s="195">
        <v>43662</v>
      </c>
      <c r="C209" s="196">
        <v>47</v>
      </c>
      <c r="D209" s="197" t="s">
        <v>7994</v>
      </c>
      <c r="E209" s="147" t="s">
        <v>7995</v>
      </c>
      <c r="F209" s="161"/>
      <c r="G209" s="147"/>
      <c r="H209" s="200" t="s">
        <v>7996</v>
      </c>
      <c r="I209" s="147"/>
      <c r="J209" s="147" t="s">
        <v>7997</v>
      </c>
      <c r="K209" s="162">
        <v>9006253927</v>
      </c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spans="1:26" ht="14.25" customHeight="1">
      <c r="A210" s="147"/>
      <c r="B210" s="195">
        <v>43663</v>
      </c>
      <c r="C210" s="196">
        <v>47</v>
      </c>
      <c r="D210" s="197" t="s">
        <v>7998</v>
      </c>
      <c r="E210" s="147" t="s">
        <v>7999</v>
      </c>
      <c r="F210" s="161"/>
      <c r="G210" s="147"/>
      <c r="H210" s="147"/>
      <c r="I210" s="147"/>
      <c r="J210" s="147" t="s">
        <v>8000</v>
      </c>
      <c r="K210" s="162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spans="1:26" ht="14.25" customHeight="1">
      <c r="A211" s="47"/>
      <c r="B211" s="158">
        <v>43664</v>
      </c>
      <c r="C211" s="65">
        <v>47</v>
      </c>
      <c r="D211" s="180" t="s">
        <v>8001</v>
      </c>
      <c r="E211" s="47" t="s">
        <v>8002</v>
      </c>
      <c r="F211" s="151"/>
      <c r="G211" s="47"/>
      <c r="H211" s="47" t="s">
        <v>8003</v>
      </c>
      <c r="I211" s="47" t="s">
        <v>8004</v>
      </c>
      <c r="J211" s="47" t="s">
        <v>8005</v>
      </c>
      <c r="K211" s="66"/>
      <c r="L211" s="47"/>
    </row>
    <row r="212" spans="1:26" ht="14.25" customHeight="1">
      <c r="A212" s="11"/>
      <c r="B212" s="201">
        <v>43666</v>
      </c>
      <c r="C212" s="202">
        <v>47</v>
      </c>
      <c r="D212" s="203" t="s">
        <v>8006</v>
      </c>
      <c r="E212" s="204" t="s">
        <v>7314</v>
      </c>
      <c r="F212" s="205"/>
      <c r="G212" s="204"/>
      <c r="H212" s="206" t="s">
        <v>8007</v>
      </c>
      <c r="I212" s="204"/>
      <c r="J212" s="204" t="s">
        <v>2588</v>
      </c>
      <c r="K212" s="88">
        <v>8294210798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203">
        <v>43668</v>
      </c>
      <c r="C213" s="207">
        <v>47</v>
      </c>
      <c r="D213" s="203" t="s">
        <v>8008</v>
      </c>
      <c r="E213" s="203" t="s">
        <v>7314</v>
      </c>
      <c r="F213" s="208"/>
      <c r="G213" s="203"/>
      <c r="H213" s="203" t="s">
        <v>8009</v>
      </c>
      <c r="I213" s="203"/>
      <c r="J213" s="203" t="s">
        <v>8000</v>
      </c>
      <c r="K213" s="88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203">
        <v>43670</v>
      </c>
      <c r="C214" s="207">
        <v>48</v>
      </c>
      <c r="D214" s="203" t="s">
        <v>8010</v>
      </c>
      <c r="E214" s="203" t="s">
        <v>7314</v>
      </c>
      <c r="F214" s="208"/>
      <c r="G214" s="203"/>
      <c r="H214" s="203" t="s">
        <v>8011</v>
      </c>
      <c r="I214" s="203"/>
      <c r="J214" s="203" t="s">
        <v>8012</v>
      </c>
      <c r="K214" s="88">
        <v>9204776268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203">
        <v>43680</v>
      </c>
      <c r="C215" s="207">
        <v>47</v>
      </c>
      <c r="D215" s="203" t="s">
        <v>8013</v>
      </c>
      <c r="E215" s="203" t="s">
        <v>7411</v>
      </c>
      <c r="F215" s="208"/>
      <c r="G215" s="203"/>
      <c r="H215" s="203" t="s">
        <v>8014</v>
      </c>
      <c r="I215" s="203"/>
      <c r="J215" s="203" t="s">
        <v>8015</v>
      </c>
      <c r="K215" s="88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203">
        <v>43680</v>
      </c>
      <c r="C216" s="207">
        <v>47</v>
      </c>
      <c r="D216" s="203" t="s">
        <v>8016</v>
      </c>
      <c r="E216" s="203" t="s">
        <v>7411</v>
      </c>
      <c r="F216" s="208"/>
      <c r="G216" s="203"/>
      <c r="H216" s="203" t="s">
        <v>8017</v>
      </c>
      <c r="I216" s="203"/>
      <c r="J216" s="203" t="s">
        <v>8018</v>
      </c>
      <c r="K216" s="88">
        <v>6209786229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06"/>
      <c r="C217" s="84"/>
      <c r="D217" s="181" t="s">
        <v>8019</v>
      </c>
      <c r="E217" s="11" t="s">
        <v>7411</v>
      </c>
      <c r="F217" s="155"/>
      <c r="G217" s="11"/>
      <c r="H217" s="209" t="s">
        <v>8020</v>
      </c>
      <c r="I217" s="11"/>
      <c r="J217" s="11" t="s">
        <v>8021</v>
      </c>
      <c r="K217" s="88">
        <v>9934395418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06"/>
      <c r="C218" s="84"/>
      <c r="D218" s="181" t="s">
        <v>8022</v>
      </c>
      <c r="E218" s="11" t="s">
        <v>7411</v>
      </c>
      <c r="F218" s="155"/>
      <c r="G218" s="11"/>
      <c r="H218" s="186" t="s">
        <v>8023</v>
      </c>
      <c r="I218" s="11"/>
      <c r="J218" s="11" t="s">
        <v>8021</v>
      </c>
      <c r="K218" s="88">
        <v>9934395418</v>
      </c>
      <c r="L218" s="11" t="s">
        <v>8024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47"/>
      <c r="B219" s="158">
        <v>43699</v>
      </c>
      <c r="C219" s="65"/>
      <c r="D219" s="180" t="s">
        <v>8025</v>
      </c>
      <c r="E219" s="47" t="s">
        <v>7411</v>
      </c>
      <c r="F219" s="151"/>
      <c r="G219" s="47"/>
      <c r="I219" s="47"/>
      <c r="J219" s="47" t="s">
        <v>8026</v>
      </c>
      <c r="K219" s="66">
        <v>7360041344</v>
      </c>
      <c r="L219" s="47" t="s">
        <v>7926</v>
      </c>
    </row>
    <row r="220" spans="1:26" ht="14.25" customHeight="1">
      <c r="B220" s="4">
        <v>43700</v>
      </c>
      <c r="C220" s="5">
        <v>47</v>
      </c>
      <c r="D220" s="179" t="s">
        <v>8027</v>
      </c>
      <c r="E220" s="6" t="s">
        <v>8028</v>
      </c>
      <c r="F220" s="155"/>
      <c r="H220" s="6" t="s">
        <v>8029</v>
      </c>
      <c r="J220" s="6" t="s">
        <v>8030</v>
      </c>
      <c r="K220" s="16"/>
      <c r="L220" s="6" t="s">
        <v>7926</v>
      </c>
    </row>
    <row r="221" spans="1:26" ht="14.25" customHeight="1">
      <c r="A221" s="210"/>
      <c r="B221" s="211">
        <v>43700</v>
      </c>
      <c r="C221" s="212" t="s">
        <v>8031</v>
      </c>
      <c r="D221" s="213" t="s">
        <v>8032</v>
      </c>
      <c r="E221" s="210" t="s">
        <v>7314</v>
      </c>
      <c r="F221" s="151"/>
      <c r="G221" s="210"/>
      <c r="H221" s="210"/>
      <c r="I221" s="210"/>
      <c r="J221" s="210" t="s">
        <v>8033</v>
      </c>
      <c r="K221" s="214">
        <v>7033932601</v>
      </c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14.25" customHeight="1">
      <c r="A222" s="47"/>
      <c r="B222" s="158">
        <v>43700</v>
      </c>
      <c r="C222" s="65" t="s">
        <v>8031</v>
      </c>
      <c r="D222" s="180" t="s">
        <v>8034</v>
      </c>
      <c r="E222" s="47" t="s">
        <v>7314</v>
      </c>
      <c r="F222" s="151"/>
      <c r="G222" s="47"/>
      <c r="H222" s="47"/>
      <c r="I222" s="47"/>
      <c r="J222" s="47" t="s">
        <v>4736</v>
      </c>
      <c r="K222" s="66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4.25" customHeight="1">
      <c r="A223" s="11"/>
      <c r="B223" s="106">
        <v>43700</v>
      </c>
      <c r="C223" s="84">
        <v>48</v>
      </c>
      <c r="D223" s="181" t="s">
        <v>8035</v>
      </c>
      <c r="E223" s="11" t="s">
        <v>7314</v>
      </c>
      <c r="F223" s="155"/>
      <c r="G223" s="11"/>
      <c r="H223" s="11" t="s">
        <v>8036</v>
      </c>
      <c r="I223" s="11"/>
      <c r="J223" s="11" t="s">
        <v>8037</v>
      </c>
      <c r="K223" s="88">
        <v>6202067716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B224" s="4">
        <v>43702</v>
      </c>
      <c r="C224" s="5"/>
      <c r="D224" s="180" t="s">
        <v>8038</v>
      </c>
      <c r="E224" s="47" t="s">
        <v>7314</v>
      </c>
      <c r="F224" s="151"/>
      <c r="G224" s="47"/>
      <c r="H224" s="47" t="s">
        <v>8039</v>
      </c>
      <c r="I224" s="47"/>
      <c r="J224" s="47" t="s">
        <v>8040</v>
      </c>
      <c r="K224" s="66">
        <v>9297776428</v>
      </c>
    </row>
    <row r="225" spans="1:26" ht="14.25" customHeight="1">
      <c r="A225" s="11"/>
      <c r="B225" s="106">
        <v>43703</v>
      </c>
      <c r="C225" s="84"/>
      <c r="D225" s="181" t="s">
        <v>8041</v>
      </c>
      <c r="E225" s="11" t="s">
        <v>7314</v>
      </c>
      <c r="F225" s="155"/>
      <c r="G225" s="11"/>
      <c r="H225" s="11" t="s">
        <v>8042</v>
      </c>
      <c r="I225" s="11"/>
      <c r="J225" s="11" t="s">
        <v>1031</v>
      </c>
      <c r="K225" s="88">
        <v>8002622417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C226" s="5"/>
      <c r="E226" s="6" t="s">
        <v>8043</v>
      </c>
      <c r="F226" s="155"/>
      <c r="H226" s="6" t="s">
        <v>8044</v>
      </c>
      <c r="I226" s="6" t="s">
        <v>8045</v>
      </c>
      <c r="J226" s="6" t="s">
        <v>8046</v>
      </c>
      <c r="K226" s="16">
        <v>9470371854</v>
      </c>
    </row>
    <row r="227" spans="1:26" ht="14.25" customHeight="1">
      <c r="C227" s="5"/>
      <c r="E227" s="6" t="s">
        <v>8043</v>
      </c>
      <c r="F227" s="155"/>
      <c r="H227" s="6" t="s">
        <v>8047</v>
      </c>
      <c r="I227" s="6" t="s">
        <v>8048</v>
      </c>
      <c r="J227" s="6" t="s">
        <v>8049</v>
      </c>
      <c r="K227" s="16">
        <v>9470371854</v>
      </c>
    </row>
    <row r="228" spans="1:26" ht="14.25" customHeight="1">
      <c r="A228" s="11"/>
      <c r="B228" s="106">
        <v>43705</v>
      </c>
      <c r="C228" s="84">
        <v>47</v>
      </c>
      <c r="D228" s="181" t="s">
        <v>8050</v>
      </c>
      <c r="E228" s="11" t="s">
        <v>7314</v>
      </c>
      <c r="F228" s="155"/>
      <c r="G228" s="11"/>
      <c r="H228" s="11" t="s">
        <v>8051</v>
      </c>
      <c r="I228" s="11">
        <v>47</v>
      </c>
      <c r="J228" s="11" t="s">
        <v>8052</v>
      </c>
      <c r="K228" s="88">
        <v>8092540799</v>
      </c>
      <c r="L228" s="11" t="s">
        <v>8053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06">
        <v>43705</v>
      </c>
      <c r="C229" s="84">
        <v>47</v>
      </c>
      <c r="D229" s="181" t="s">
        <v>8054</v>
      </c>
      <c r="E229" s="11" t="s">
        <v>7314</v>
      </c>
      <c r="F229" s="155"/>
      <c r="G229" s="11"/>
      <c r="H229" s="209" t="s">
        <v>8055</v>
      </c>
      <c r="I229" s="11"/>
      <c r="J229" s="11" t="s">
        <v>8056</v>
      </c>
      <c r="K229" s="88">
        <v>7209002424</v>
      </c>
      <c r="L229" s="11" t="s">
        <v>8053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C230" s="5"/>
      <c r="F230" s="155"/>
      <c r="J230" s="6" t="s">
        <v>8057</v>
      </c>
      <c r="K230" s="16">
        <v>7033628513</v>
      </c>
    </row>
    <row r="231" spans="1:26" ht="14.25" customHeight="1">
      <c r="B231" s="158">
        <v>43705</v>
      </c>
      <c r="C231" s="65">
        <v>47</v>
      </c>
      <c r="D231" s="180" t="s">
        <v>8058</v>
      </c>
      <c r="E231" s="47" t="s">
        <v>7314</v>
      </c>
      <c r="F231" s="151"/>
      <c r="G231" s="47"/>
      <c r="I231" s="47"/>
      <c r="J231" s="47" t="s">
        <v>8059</v>
      </c>
      <c r="K231" s="66">
        <v>9835701856</v>
      </c>
      <c r="L231" s="47" t="s">
        <v>8053</v>
      </c>
    </row>
    <row r="232" spans="1:26" ht="14.25" customHeight="1">
      <c r="B232" s="158">
        <v>43705</v>
      </c>
      <c r="C232" s="65">
        <v>47</v>
      </c>
      <c r="D232" s="180" t="s">
        <v>8060</v>
      </c>
      <c r="E232" s="47" t="s">
        <v>7314</v>
      </c>
      <c r="F232" s="151"/>
      <c r="G232" s="47"/>
      <c r="I232" s="47"/>
      <c r="J232" s="47" t="s">
        <v>8061</v>
      </c>
      <c r="K232" s="66">
        <v>9835701856</v>
      </c>
      <c r="L232" s="47" t="s">
        <v>8053</v>
      </c>
    </row>
    <row r="233" spans="1:26" ht="14.25" customHeight="1">
      <c r="A233" s="11"/>
      <c r="B233" s="106">
        <v>43705</v>
      </c>
      <c r="C233" s="84">
        <v>47</v>
      </c>
      <c r="D233" s="181" t="s">
        <v>8062</v>
      </c>
      <c r="E233" s="11" t="s">
        <v>7314</v>
      </c>
      <c r="F233" s="155"/>
      <c r="G233" s="11"/>
      <c r="H233" s="11" t="s">
        <v>8063</v>
      </c>
      <c r="I233" s="11"/>
      <c r="J233" s="11" t="s">
        <v>8064</v>
      </c>
      <c r="K233" s="88">
        <v>7004209776</v>
      </c>
      <c r="L233" s="11" t="s">
        <v>8053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06">
        <v>43705</v>
      </c>
      <c r="C234" s="84">
        <v>48</v>
      </c>
      <c r="D234" s="181" t="s">
        <v>8065</v>
      </c>
      <c r="E234" s="11" t="s">
        <v>7314</v>
      </c>
      <c r="F234" s="155"/>
      <c r="G234" s="11" t="s">
        <v>7353</v>
      </c>
      <c r="H234" s="11" t="s">
        <v>8066</v>
      </c>
      <c r="I234" s="11"/>
      <c r="J234" s="11" t="s">
        <v>8067</v>
      </c>
      <c r="K234" s="88">
        <v>7739770448</v>
      </c>
      <c r="L234" s="11" t="s">
        <v>8053</v>
      </c>
      <c r="M234" s="11" t="s">
        <v>1434</v>
      </c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47"/>
      <c r="B235" s="158">
        <v>43705</v>
      </c>
      <c r="C235" s="215">
        <v>47</v>
      </c>
      <c r="D235" s="180" t="s">
        <v>8068</v>
      </c>
      <c r="E235" s="47" t="s">
        <v>7314</v>
      </c>
      <c r="F235" s="151"/>
      <c r="G235" s="47" t="s">
        <v>8069</v>
      </c>
      <c r="H235" s="47"/>
      <c r="I235" s="47"/>
      <c r="J235" s="47" t="s">
        <v>8040</v>
      </c>
      <c r="K235" s="66">
        <v>9297776428</v>
      </c>
      <c r="L235" s="47" t="s">
        <v>8053</v>
      </c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4.25" customHeight="1">
      <c r="A236" s="11"/>
      <c r="B236" s="11"/>
      <c r="C236" s="84">
        <v>48</v>
      </c>
      <c r="D236" s="181" t="s">
        <v>8070</v>
      </c>
      <c r="E236" s="11" t="s">
        <v>7314</v>
      </c>
      <c r="F236" s="155"/>
      <c r="G236" s="11"/>
      <c r="H236" s="216" t="s">
        <v>8071</v>
      </c>
      <c r="I236" s="11">
        <v>148</v>
      </c>
      <c r="J236" s="11" t="s">
        <v>8072</v>
      </c>
      <c r="K236" s="88">
        <v>8789778434</v>
      </c>
      <c r="L236" s="11" t="s">
        <v>8053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06">
        <v>43707</v>
      </c>
      <c r="C237" s="84">
        <v>47</v>
      </c>
      <c r="D237" s="181" t="s">
        <v>8073</v>
      </c>
      <c r="E237" s="11" t="s">
        <v>7314</v>
      </c>
      <c r="F237" s="155"/>
      <c r="G237" s="11"/>
      <c r="H237" s="216" t="s">
        <v>8074</v>
      </c>
      <c r="I237" s="11">
        <v>331</v>
      </c>
      <c r="J237" s="11" t="s">
        <v>8075</v>
      </c>
      <c r="K237" s="88">
        <v>7992311519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06">
        <v>43707</v>
      </c>
      <c r="C238" s="84">
        <v>49</v>
      </c>
      <c r="D238" s="181" t="s">
        <v>8076</v>
      </c>
      <c r="E238" s="11" t="s">
        <v>7314</v>
      </c>
      <c r="F238" s="155"/>
      <c r="G238" s="11"/>
      <c r="H238" s="11" t="s">
        <v>8077</v>
      </c>
      <c r="I238" s="11">
        <v>245</v>
      </c>
      <c r="J238" s="11" t="s">
        <v>8078</v>
      </c>
      <c r="K238" s="88">
        <v>7209704922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06">
        <v>43707</v>
      </c>
      <c r="C239" s="84">
        <v>47</v>
      </c>
      <c r="D239" s="181" t="s">
        <v>8079</v>
      </c>
      <c r="E239" s="11" t="s">
        <v>7314</v>
      </c>
      <c r="F239" s="155"/>
      <c r="G239" s="11"/>
      <c r="H239" s="217" t="s">
        <v>8080</v>
      </c>
      <c r="I239" s="11">
        <v>308</v>
      </c>
      <c r="J239" s="11" t="s">
        <v>1363</v>
      </c>
      <c r="K239" s="88">
        <v>7549350388</v>
      </c>
      <c r="L239" s="11" t="s">
        <v>8053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06">
        <v>43707</v>
      </c>
      <c r="C240" s="84">
        <v>47</v>
      </c>
      <c r="D240" s="181" t="s">
        <v>8081</v>
      </c>
      <c r="E240" s="11" t="s">
        <v>7314</v>
      </c>
      <c r="F240" s="155"/>
      <c r="G240" s="11"/>
      <c r="H240" s="216" t="s">
        <v>8082</v>
      </c>
      <c r="I240" s="11">
        <v>341</v>
      </c>
      <c r="J240" s="11" t="s">
        <v>8083</v>
      </c>
      <c r="K240" s="88">
        <v>7903848099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06">
        <v>43707</v>
      </c>
      <c r="C241" s="84">
        <v>47</v>
      </c>
      <c r="D241" s="181" t="s">
        <v>8084</v>
      </c>
      <c r="E241" s="11" t="s">
        <v>7314</v>
      </c>
      <c r="F241" s="155"/>
      <c r="G241" s="11"/>
      <c r="H241" s="217" t="s">
        <v>8085</v>
      </c>
      <c r="I241" s="11">
        <v>341</v>
      </c>
      <c r="J241" s="11" t="s">
        <v>8086</v>
      </c>
      <c r="K241" s="88">
        <v>7903848099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47"/>
      <c r="B242" s="158">
        <v>43707</v>
      </c>
      <c r="C242" s="65">
        <v>47</v>
      </c>
      <c r="D242" s="180" t="s">
        <v>8087</v>
      </c>
      <c r="E242" s="47" t="s">
        <v>7314</v>
      </c>
      <c r="F242" s="151"/>
      <c r="G242" s="47" t="s">
        <v>8069</v>
      </c>
      <c r="H242" s="47"/>
      <c r="I242" s="47"/>
      <c r="J242" s="47" t="s">
        <v>3000</v>
      </c>
      <c r="K242" s="66">
        <v>7209840419</v>
      </c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4.25" customHeight="1">
      <c r="A243" s="11"/>
      <c r="B243" s="106">
        <v>43707</v>
      </c>
      <c r="C243" s="84">
        <v>48</v>
      </c>
      <c r="D243" s="181" t="s">
        <v>8088</v>
      </c>
      <c r="E243" s="11" t="s">
        <v>7314</v>
      </c>
      <c r="F243" s="155"/>
      <c r="G243" s="11" t="s">
        <v>8089</v>
      </c>
      <c r="H243" s="218" t="s">
        <v>8090</v>
      </c>
      <c r="I243" s="219">
        <v>123</v>
      </c>
      <c r="J243" s="11" t="s">
        <v>8091</v>
      </c>
      <c r="K243" s="88">
        <v>9798723930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06">
        <v>43713</v>
      </c>
      <c r="C244" s="84">
        <v>48</v>
      </c>
      <c r="D244" s="181" t="s">
        <v>8092</v>
      </c>
      <c r="E244" s="11" t="s">
        <v>7314</v>
      </c>
      <c r="F244" s="155"/>
      <c r="G244" s="11" t="s">
        <v>7353</v>
      </c>
      <c r="H244" s="11" t="s">
        <v>8093</v>
      </c>
      <c r="I244" s="11"/>
      <c r="J244" s="11" t="s">
        <v>6092</v>
      </c>
      <c r="K244" s="88">
        <v>9905782986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47"/>
      <c r="B245" s="158">
        <v>43713</v>
      </c>
      <c r="C245" s="65">
        <v>47</v>
      </c>
      <c r="D245" s="180" t="s">
        <v>8094</v>
      </c>
      <c r="E245" s="47" t="s">
        <v>7314</v>
      </c>
      <c r="F245" s="151"/>
      <c r="G245" s="47" t="s">
        <v>8095</v>
      </c>
      <c r="H245" s="47"/>
      <c r="I245" s="47"/>
      <c r="J245" s="47" t="s">
        <v>8096</v>
      </c>
      <c r="K245" s="66">
        <v>7838561488</v>
      </c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4.25" customHeight="1">
      <c r="C246" s="5"/>
      <c r="F246" s="155"/>
      <c r="K246" s="16"/>
    </row>
    <row r="247" spans="1:26" ht="14.25" customHeight="1">
      <c r="A247" s="11"/>
      <c r="B247" s="106">
        <v>43714</v>
      </c>
      <c r="C247" s="84">
        <v>47</v>
      </c>
      <c r="D247" s="220" t="s">
        <v>8097</v>
      </c>
      <c r="E247" s="11" t="s">
        <v>7314</v>
      </c>
      <c r="F247" s="155"/>
      <c r="G247" s="11" t="s">
        <v>8089</v>
      </c>
      <c r="H247" s="11" t="s">
        <v>8098</v>
      </c>
      <c r="I247" s="11"/>
      <c r="J247" s="11" t="s">
        <v>8099</v>
      </c>
      <c r="K247" s="88">
        <v>7667232894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47"/>
      <c r="B248" s="158">
        <v>43715</v>
      </c>
      <c r="C248" s="65">
        <v>47</v>
      </c>
      <c r="D248" s="180" t="s">
        <v>8100</v>
      </c>
      <c r="E248" s="47" t="s">
        <v>8101</v>
      </c>
      <c r="F248" s="151"/>
      <c r="G248" s="47"/>
      <c r="H248" s="47" t="s">
        <v>7565</v>
      </c>
      <c r="I248" s="47"/>
      <c r="J248" s="47" t="s">
        <v>8102</v>
      </c>
      <c r="K248" s="66">
        <v>9113108778</v>
      </c>
      <c r="L248" s="47"/>
      <c r="M248" s="47"/>
      <c r="N248" s="47"/>
      <c r="O248" s="47"/>
      <c r="S248" s="47"/>
      <c r="T248" s="47"/>
      <c r="U248" s="47"/>
      <c r="V248" s="47"/>
      <c r="W248" s="47"/>
      <c r="X248" s="47"/>
      <c r="Y248" s="47"/>
      <c r="Z248" s="47"/>
    </row>
    <row r="249" spans="1:26" ht="14.25" customHeight="1">
      <c r="A249" s="47"/>
      <c r="B249" s="158">
        <v>43715</v>
      </c>
      <c r="C249" s="65">
        <v>47</v>
      </c>
      <c r="D249" s="180" t="s">
        <v>8103</v>
      </c>
      <c r="E249" s="47" t="s">
        <v>8101</v>
      </c>
      <c r="F249" s="151"/>
      <c r="G249" s="47"/>
      <c r="H249" s="47" t="s">
        <v>8104</v>
      </c>
      <c r="I249" s="47"/>
      <c r="J249" s="47" t="s">
        <v>8105</v>
      </c>
      <c r="K249" s="66">
        <v>9931515511</v>
      </c>
      <c r="L249" s="47"/>
      <c r="M249" s="47"/>
      <c r="N249" s="47"/>
      <c r="O249" s="47"/>
      <c r="S249" s="47"/>
      <c r="T249" s="47"/>
      <c r="U249" s="47"/>
      <c r="V249" s="47"/>
      <c r="W249" s="47"/>
      <c r="X249" s="47"/>
      <c r="Y249" s="47"/>
      <c r="Z249" s="47"/>
    </row>
    <row r="250" spans="1:26" ht="14.25" customHeight="1">
      <c r="A250" s="47"/>
      <c r="B250" s="158">
        <v>43716</v>
      </c>
      <c r="C250" s="65">
        <v>47</v>
      </c>
      <c r="D250" s="180" t="s">
        <v>8106</v>
      </c>
      <c r="E250" s="47" t="s">
        <v>8107</v>
      </c>
      <c r="F250" s="151"/>
      <c r="G250" s="47"/>
      <c r="H250" s="47" t="s">
        <v>8108</v>
      </c>
      <c r="I250" s="47"/>
      <c r="J250" s="47" t="s">
        <v>8109</v>
      </c>
      <c r="K250" s="66">
        <v>8674931955</v>
      </c>
      <c r="L250" s="47"/>
      <c r="M250" s="47"/>
      <c r="N250" s="47"/>
      <c r="O250" s="47"/>
      <c r="S250" s="47"/>
      <c r="T250" s="47"/>
      <c r="U250" s="47"/>
      <c r="V250" s="47"/>
      <c r="W250" s="47"/>
      <c r="X250" s="47"/>
      <c r="Y250" s="47"/>
      <c r="Z250" s="47"/>
    </row>
    <row r="251" spans="1:26" ht="14.25" customHeight="1">
      <c r="A251" s="47"/>
      <c r="B251" s="158">
        <v>43716</v>
      </c>
      <c r="C251" s="65">
        <v>47</v>
      </c>
      <c r="D251" s="180" t="s">
        <v>8110</v>
      </c>
      <c r="E251" s="47" t="s">
        <v>8111</v>
      </c>
      <c r="F251" s="151"/>
      <c r="G251" s="47"/>
      <c r="H251" s="47" t="s">
        <v>8112</v>
      </c>
      <c r="I251" s="47"/>
      <c r="J251" s="47" t="s">
        <v>8113</v>
      </c>
      <c r="K251" s="66"/>
      <c r="L251" s="47"/>
      <c r="M251" s="47"/>
      <c r="N251" s="47"/>
      <c r="O251" s="47"/>
      <c r="S251" s="47"/>
      <c r="T251" s="47"/>
      <c r="U251" s="47"/>
      <c r="V251" s="47"/>
      <c r="W251" s="47"/>
      <c r="X251" s="47"/>
      <c r="Y251" s="47"/>
      <c r="Z251" s="47"/>
    </row>
    <row r="252" spans="1:26" ht="14.25" customHeight="1">
      <c r="A252" s="47"/>
      <c r="B252" s="47"/>
      <c r="C252" s="65">
        <v>47</v>
      </c>
      <c r="D252" s="180" t="s">
        <v>8114</v>
      </c>
      <c r="E252" s="47" t="s">
        <v>7314</v>
      </c>
      <c r="F252" s="151"/>
      <c r="G252" s="47"/>
      <c r="H252" s="47"/>
      <c r="I252" s="47"/>
      <c r="J252" s="47" t="s">
        <v>8115</v>
      </c>
      <c r="K252" s="66">
        <v>7903884504</v>
      </c>
      <c r="L252" s="47">
        <v>7764825855</v>
      </c>
      <c r="M252" s="47">
        <v>9199379383</v>
      </c>
      <c r="N252" s="47" t="s">
        <v>8116</v>
      </c>
      <c r="O252" s="47"/>
      <c r="S252" s="47"/>
      <c r="T252" s="47"/>
      <c r="U252" s="47"/>
      <c r="V252" s="47"/>
      <c r="W252" s="47"/>
      <c r="X252" s="47"/>
      <c r="Y252" s="47"/>
      <c r="Z252" s="47"/>
    </row>
    <row r="253" spans="1:26" ht="14.25" customHeight="1">
      <c r="A253" s="47">
        <v>0</v>
      </c>
      <c r="B253" s="47"/>
      <c r="C253" s="65">
        <v>47</v>
      </c>
      <c r="D253" s="180" t="s">
        <v>8117</v>
      </c>
      <c r="E253" s="47" t="s">
        <v>7314</v>
      </c>
      <c r="F253" s="151"/>
      <c r="G253" s="47"/>
      <c r="H253" s="47"/>
      <c r="I253" s="47"/>
      <c r="J253" s="47" t="s">
        <v>8118</v>
      </c>
      <c r="K253" s="66">
        <v>9199170943</v>
      </c>
      <c r="L253" s="47"/>
      <c r="M253" s="47">
        <v>9199379383</v>
      </c>
      <c r="N253" s="47" t="s">
        <v>8116</v>
      </c>
      <c r="O253" s="47"/>
      <c r="S253" s="47"/>
      <c r="T253" s="47"/>
      <c r="U253" s="47"/>
      <c r="V253" s="47"/>
      <c r="W253" s="47"/>
      <c r="X253" s="47"/>
      <c r="Y253" s="47"/>
      <c r="Z253" s="47"/>
    </row>
    <row r="254" spans="1:26" ht="14.25" customHeight="1">
      <c r="A254" s="11"/>
      <c r="B254" s="11"/>
      <c r="C254" s="84">
        <v>47</v>
      </c>
      <c r="D254" s="181" t="s">
        <v>8119</v>
      </c>
      <c r="E254" s="11" t="s">
        <v>7314</v>
      </c>
      <c r="F254" s="155"/>
      <c r="G254" s="11"/>
      <c r="H254" s="216" t="s">
        <v>8120</v>
      </c>
      <c r="I254" s="11">
        <v>345</v>
      </c>
      <c r="J254" s="11" t="s">
        <v>8121</v>
      </c>
      <c r="K254" s="88">
        <v>9199379383</v>
      </c>
      <c r="L254" s="11"/>
      <c r="M254" s="11">
        <v>9199379383</v>
      </c>
      <c r="N254" s="221" t="s">
        <v>8116</v>
      </c>
      <c r="O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219"/>
      <c r="B255" s="219"/>
      <c r="C255" s="222">
        <v>48</v>
      </c>
      <c r="D255" s="223" t="s">
        <v>8122</v>
      </c>
      <c r="E255" s="219" t="s">
        <v>7314</v>
      </c>
      <c r="F255" s="151"/>
      <c r="G255" s="219"/>
      <c r="H255" s="219" t="s">
        <v>8123</v>
      </c>
      <c r="I255" s="219"/>
      <c r="J255" s="219" t="s">
        <v>8124</v>
      </c>
      <c r="K255" s="224">
        <v>7360041344</v>
      </c>
      <c r="L255" s="219"/>
      <c r="M255" s="219">
        <v>9199379383</v>
      </c>
      <c r="N255" s="219" t="s">
        <v>8116</v>
      </c>
      <c r="O255" s="219"/>
      <c r="S255" s="219"/>
      <c r="T255" s="219"/>
      <c r="U255" s="219"/>
      <c r="V255" s="219"/>
      <c r="W255" s="219"/>
      <c r="X255" s="219"/>
      <c r="Y255" s="219"/>
      <c r="Z255" s="219"/>
    </row>
    <row r="256" spans="1:26" ht="14.25" customHeight="1">
      <c r="C256" s="5">
        <v>48</v>
      </c>
      <c r="F256" s="155"/>
      <c r="J256" s="6" t="s">
        <v>8125</v>
      </c>
      <c r="K256" s="16">
        <v>7870389773</v>
      </c>
      <c r="M256" s="6">
        <v>9199379383</v>
      </c>
      <c r="N256" s="137" t="s">
        <v>8116</v>
      </c>
    </row>
    <row r="257" spans="1:26" ht="14.25" customHeight="1">
      <c r="A257" s="10"/>
      <c r="B257" s="10"/>
      <c r="C257" s="40">
        <v>47</v>
      </c>
      <c r="D257" s="225" t="s">
        <v>8126</v>
      </c>
      <c r="E257" s="10" t="s">
        <v>8127</v>
      </c>
      <c r="F257" s="155"/>
      <c r="G257" s="10"/>
      <c r="H257" s="10" t="s">
        <v>8128</v>
      </c>
      <c r="I257" s="10"/>
      <c r="J257" s="10" t="s">
        <v>8129</v>
      </c>
      <c r="K257" s="226" t="s">
        <v>8130</v>
      </c>
      <c r="L257" s="10"/>
      <c r="M257" s="10"/>
      <c r="N257" s="10"/>
      <c r="O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>
      <c r="A258" s="10"/>
      <c r="B258" s="10"/>
      <c r="C258" s="40">
        <v>47</v>
      </c>
      <c r="D258" s="225" t="s">
        <v>8131</v>
      </c>
      <c r="E258" s="10" t="s">
        <v>7411</v>
      </c>
      <c r="F258" s="155"/>
      <c r="G258" s="10"/>
      <c r="H258" s="227" t="s">
        <v>8132</v>
      </c>
      <c r="I258" s="10"/>
      <c r="J258" s="10" t="s">
        <v>8133</v>
      </c>
      <c r="K258" s="228">
        <v>7070280539</v>
      </c>
      <c r="L258" s="10"/>
      <c r="M258" s="10"/>
      <c r="N258" s="10"/>
      <c r="O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>
      <c r="C259" s="5"/>
      <c r="F259" s="155"/>
      <c r="K259" s="16"/>
      <c r="M259" s="6">
        <v>8797231158</v>
      </c>
      <c r="N259" s="137" t="s">
        <v>8116</v>
      </c>
      <c r="O259" s="6" t="s">
        <v>1434</v>
      </c>
    </row>
    <row r="260" spans="1:26" ht="14.25" customHeight="1">
      <c r="A260" s="10"/>
      <c r="B260" s="229">
        <v>43718</v>
      </c>
      <c r="C260" s="40">
        <v>48</v>
      </c>
      <c r="D260" s="225" t="s">
        <v>8134</v>
      </c>
      <c r="E260" s="10" t="s">
        <v>7314</v>
      </c>
      <c r="F260" s="155"/>
      <c r="G260" s="10"/>
      <c r="H260" s="10"/>
      <c r="I260" s="10"/>
      <c r="J260" s="10" t="s">
        <v>8135</v>
      </c>
      <c r="K260" s="228">
        <v>9304886220</v>
      </c>
      <c r="L260" s="10"/>
      <c r="M260" s="10"/>
      <c r="N260" s="10"/>
      <c r="O260" s="10" t="s">
        <v>1434</v>
      </c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>
      <c r="B261" s="4">
        <v>43718</v>
      </c>
      <c r="C261" s="5">
        <v>48</v>
      </c>
      <c r="D261" s="230" t="s">
        <v>8136</v>
      </c>
      <c r="E261" s="70" t="s">
        <v>7314</v>
      </c>
      <c r="F261" s="155"/>
      <c r="G261" s="70"/>
      <c r="H261" s="70"/>
      <c r="I261" s="70"/>
      <c r="J261" s="70" t="s">
        <v>8137</v>
      </c>
      <c r="K261" s="231">
        <v>9031739540</v>
      </c>
      <c r="L261" s="6" t="s">
        <v>8138</v>
      </c>
    </row>
    <row r="262" spans="1:26" ht="14.25" customHeight="1">
      <c r="A262" s="47"/>
      <c r="B262" s="158">
        <v>43718</v>
      </c>
      <c r="C262" s="65">
        <v>47</v>
      </c>
      <c r="D262" s="180" t="s">
        <v>8139</v>
      </c>
      <c r="E262" s="47" t="s">
        <v>8140</v>
      </c>
      <c r="F262" s="151"/>
      <c r="G262" s="47"/>
      <c r="H262" s="47"/>
      <c r="I262" s="47"/>
      <c r="J262" s="47" t="s">
        <v>8141</v>
      </c>
      <c r="K262" s="66">
        <v>9576103839</v>
      </c>
      <c r="L262" s="47"/>
      <c r="M262" s="47"/>
      <c r="N262" s="47"/>
      <c r="O262" s="47"/>
      <c r="S262" s="47"/>
      <c r="T262" s="47"/>
      <c r="U262" s="47"/>
      <c r="V262" s="47"/>
      <c r="W262" s="47"/>
      <c r="X262" s="47"/>
      <c r="Y262" s="47"/>
      <c r="Z262" s="47"/>
    </row>
    <row r="263" spans="1:26" ht="14.25" customHeight="1">
      <c r="A263" s="47"/>
      <c r="B263" s="158">
        <v>43718</v>
      </c>
      <c r="C263" s="65">
        <v>47</v>
      </c>
      <c r="D263" s="180" t="s">
        <v>8142</v>
      </c>
      <c r="E263" s="47" t="s">
        <v>7314</v>
      </c>
      <c r="F263" s="151"/>
      <c r="G263" s="47"/>
      <c r="H263" s="47"/>
      <c r="I263" s="47"/>
      <c r="J263" s="47" t="s">
        <v>8143</v>
      </c>
      <c r="K263" s="66">
        <v>9576103839</v>
      </c>
      <c r="L263" s="47"/>
      <c r="M263" s="47"/>
      <c r="N263" s="47"/>
      <c r="O263" s="47"/>
      <c r="S263" s="47"/>
      <c r="T263" s="47"/>
      <c r="U263" s="47"/>
      <c r="V263" s="47"/>
      <c r="W263" s="47"/>
      <c r="X263" s="47"/>
      <c r="Y263" s="47"/>
      <c r="Z263" s="47"/>
    </row>
    <row r="264" spans="1:26" ht="14.25" customHeight="1">
      <c r="A264" s="10"/>
      <c r="B264" s="229">
        <v>43718</v>
      </c>
      <c r="C264" s="40">
        <v>47</v>
      </c>
      <c r="D264" s="10" t="s">
        <v>8144</v>
      </c>
      <c r="E264" s="10" t="s">
        <v>8145</v>
      </c>
      <c r="F264" s="155"/>
      <c r="G264" s="10" t="s">
        <v>7353</v>
      </c>
      <c r="H264" s="10" t="s">
        <v>8146</v>
      </c>
      <c r="I264" s="10"/>
      <c r="J264" s="10" t="s">
        <v>8147</v>
      </c>
      <c r="K264" s="228">
        <v>9431329678</v>
      </c>
      <c r="L264" s="10"/>
      <c r="M264" s="10">
        <v>8797231158</v>
      </c>
      <c r="N264" s="232" t="s">
        <v>8116</v>
      </c>
      <c r="O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>
      <c r="A265" s="47"/>
      <c r="B265" s="158">
        <v>43718</v>
      </c>
      <c r="C265" s="65">
        <v>47</v>
      </c>
      <c r="D265" s="47" t="s">
        <v>8148</v>
      </c>
      <c r="E265" s="47" t="s">
        <v>8149</v>
      </c>
      <c r="F265" s="151"/>
      <c r="G265" s="47"/>
      <c r="H265" s="47" t="s">
        <v>8150</v>
      </c>
      <c r="I265" s="47"/>
      <c r="J265" s="47" t="s">
        <v>8151</v>
      </c>
      <c r="K265" s="66">
        <v>8797231158</v>
      </c>
      <c r="L265" s="47"/>
      <c r="M265" s="47">
        <v>8797231158</v>
      </c>
      <c r="N265" s="47" t="s">
        <v>8116</v>
      </c>
      <c r="O265" s="47"/>
      <c r="S265" s="47"/>
      <c r="T265" s="47"/>
      <c r="U265" s="47"/>
      <c r="V265" s="47"/>
      <c r="W265" s="47"/>
      <c r="X265" s="47"/>
      <c r="Y265" s="47"/>
      <c r="Z265" s="47"/>
    </row>
    <row r="266" spans="1:26" ht="14.25" customHeight="1">
      <c r="A266" s="10"/>
      <c r="B266" s="229">
        <v>43719</v>
      </c>
      <c r="C266" s="40"/>
      <c r="D266" s="10" t="s">
        <v>8152</v>
      </c>
      <c r="E266" s="10" t="s">
        <v>8153</v>
      </c>
      <c r="F266" s="155"/>
      <c r="G266" s="10"/>
      <c r="H266" s="10" t="s">
        <v>8154</v>
      </c>
      <c r="I266" s="10"/>
      <c r="J266" s="10" t="s">
        <v>8155</v>
      </c>
      <c r="K266" s="228">
        <v>7739279976</v>
      </c>
      <c r="L266" s="10"/>
      <c r="M266" s="10"/>
      <c r="N266" s="10"/>
      <c r="O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>
      <c r="A267" s="47"/>
      <c r="B267" s="158">
        <v>43719</v>
      </c>
      <c r="C267" s="65"/>
      <c r="D267" s="47" t="s">
        <v>8156</v>
      </c>
      <c r="E267" s="47" t="s">
        <v>8153</v>
      </c>
      <c r="F267" s="151"/>
      <c r="G267" s="47"/>
      <c r="H267" s="47" t="s">
        <v>8157</v>
      </c>
      <c r="I267" s="47"/>
      <c r="J267" s="47" t="s">
        <v>8158</v>
      </c>
      <c r="K267" s="66">
        <v>7739279976</v>
      </c>
      <c r="L267" s="47"/>
      <c r="M267" s="47"/>
      <c r="N267" s="47"/>
      <c r="O267" s="47"/>
      <c r="S267" s="47"/>
      <c r="T267" s="47"/>
      <c r="U267" s="47"/>
      <c r="V267" s="47"/>
      <c r="W267" s="47"/>
      <c r="X267" s="47"/>
      <c r="Y267" s="47"/>
      <c r="Z267" s="47"/>
    </row>
    <row r="268" spans="1:26" ht="14.25" customHeight="1">
      <c r="A268" s="10"/>
      <c r="B268" s="229">
        <v>43719</v>
      </c>
      <c r="C268" s="40"/>
      <c r="D268" s="10" t="s">
        <v>8159</v>
      </c>
      <c r="E268" s="10" t="s">
        <v>8153</v>
      </c>
      <c r="F268" s="155"/>
      <c r="G268" s="10"/>
      <c r="H268" s="10" t="s">
        <v>8160</v>
      </c>
      <c r="I268" s="10"/>
      <c r="J268" s="10" t="s">
        <v>8161</v>
      </c>
      <c r="K268" s="228"/>
      <c r="L268" s="10"/>
      <c r="M268" s="10"/>
      <c r="N268" s="10"/>
      <c r="O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>
      <c r="A269" s="47"/>
      <c r="B269" s="158">
        <v>40069</v>
      </c>
      <c r="C269" s="65"/>
      <c r="D269" s="47" t="s">
        <v>8162</v>
      </c>
      <c r="E269" s="47" t="s">
        <v>7314</v>
      </c>
      <c r="F269" s="151"/>
      <c r="G269" s="47"/>
      <c r="H269" s="47"/>
      <c r="I269" s="47"/>
      <c r="J269" s="47" t="s">
        <v>8163</v>
      </c>
      <c r="K269" s="66"/>
      <c r="L269" s="47"/>
      <c r="M269" s="47"/>
      <c r="N269" s="47"/>
      <c r="O269" s="47"/>
      <c r="S269" s="47"/>
      <c r="T269" s="47"/>
      <c r="U269" s="47"/>
      <c r="V269" s="47"/>
      <c r="W269" s="47"/>
      <c r="X269" s="47"/>
      <c r="Y269" s="47"/>
      <c r="Z269" s="47"/>
    </row>
    <row r="270" spans="1:26" ht="14.25" customHeight="1">
      <c r="A270" s="10"/>
      <c r="B270" s="229">
        <v>43722</v>
      </c>
      <c r="C270" s="40">
        <v>47</v>
      </c>
      <c r="D270" s="10" t="s">
        <v>8164</v>
      </c>
      <c r="E270" s="10" t="s">
        <v>8165</v>
      </c>
      <c r="F270" s="155"/>
      <c r="G270" s="10"/>
      <c r="H270" s="10" t="s">
        <v>8166</v>
      </c>
      <c r="I270" s="10"/>
      <c r="J270" s="10" t="s">
        <v>8167</v>
      </c>
      <c r="K270" s="228">
        <v>8092538724</v>
      </c>
      <c r="L270" s="10" t="s">
        <v>2949</v>
      </c>
      <c r="M270" s="10">
        <v>8092538724</v>
      </c>
      <c r="N270" s="232" t="s">
        <v>8116</v>
      </c>
      <c r="O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>
      <c r="A271" s="47"/>
      <c r="B271" s="158">
        <v>43722</v>
      </c>
      <c r="C271" s="65">
        <v>47</v>
      </c>
      <c r="D271" s="47" t="s">
        <v>8168</v>
      </c>
      <c r="E271" s="47" t="s">
        <v>7314</v>
      </c>
      <c r="F271" s="151"/>
      <c r="G271" s="47"/>
      <c r="H271" s="47" t="s">
        <v>8169</v>
      </c>
      <c r="I271" s="47"/>
      <c r="J271" s="47" t="s">
        <v>8170</v>
      </c>
      <c r="K271" s="66">
        <v>8210635729</v>
      </c>
      <c r="L271" s="47"/>
      <c r="M271" s="47">
        <v>8092538724</v>
      </c>
      <c r="N271" s="47" t="s">
        <v>8116</v>
      </c>
      <c r="O271" s="47"/>
      <c r="S271" s="47"/>
      <c r="T271" s="47"/>
      <c r="U271" s="47"/>
      <c r="V271" s="47"/>
      <c r="W271" s="47"/>
      <c r="X271" s="47"/>
      <c r="Y271" s="47"/>
      <c r="Z271" s="47"/>
    </row>
    <row r="272" spans="1:26" ht="14.25" customHeight="1">
      <c r="A272" s="11"/>
      <c r="B272" s="106">
        <v>43722</v>
      </c>
      <c r="C272" s="84">
        <v>48</v>
      </c>
      <c r="D272" s="11" t="s">
        <v>8171</v>
      </c>
      <c r="E272" s="11" t="s">
        <v>7314</v>
      </c>
      <c r="F272" s="155"/>
      <c r="G272" s="11"/>
      <c r="H272" s="233" t="s">
        <v>8172</v>
      </c>
      <c r="I272" s="11"/>
      <c r="J272" s="11" t="s">
        <v>8173</v>
      </c>
      <c r="K272" s="88">
        <v>7903798550</v>
      </c>
      <c r="L272" s="11"/>
      <c r="M272" s="11">
        <v>8092538724</v>
      </c>
      <c r="N272" s="11" t="s">
        <v>8116</v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 t="s">
        <v>1434</v>
      </c>
      <c r="B273" s="106">
        <v>43722</v>
      </c>
      <c r="C273" s="84">
        <v>48</v>
      </c>
      <c r="D273" s="11" t="s">
        <v>8174</v>
      </c>
      <c r="E273" s="11" t="s">
        <v>7314</v>
      </c>
      <c r="F273" s="155"/>
      <c r="G273" s="11"/>
      <c r="H273" s="233" t="s">
        <v>8175</v>
      </c>
      <c r="I273" s="11"/>
      <c r="J273" s="11" t="s">
        <v>8176</v>
      </c>
      <c r="K273" s="88">
        <v>9771339417</v>
      </c>
      <c r="L273" s="11"/>
      <c r="M273" s="11">
        <v>8092538724</v>
      </c>
      <c r="N273" s="11" t="s">
        <v>8116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 t="s">
        <v>1434</v>
      </c>
      <c r="B274" s="106">
        <v>43723</v>
      </c>
      <c r="C274" s="84">
        <v>48</v>
      </c>
      <c r="D274" s="11" t="s">
        <v>8177</v>
      </c>
      <c r="E274" s="11" t="s">
        <v>7411</v>
      </c>
      <c r="F274" s="155"/>
      <c r="G274" s="11"/>
      <c r="H274" s="233" t="s">
        <v>8178</v>
      </c>
      <c r="I274" s="11"/>
      <c r="J274" s="11" t="s">
        <v>8179</v>
      </c>
      <c r="K274" s="88">
        <v>9534204740</v>
      </c>
      <c r="L274" s="11"/>
      <c r="M274" s="11">
        <v>8092538724</v>
      </c>
      <c r="N274" s="11" t="s">
        <v>8116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47" t="s">
        <v>1434</v>
      </c>
      <c r="B275" s="195">
        <v>43723</v>
      </c>
      <c r="C275" s="196">
        <v>48</v>
      </c>
      <c r="D275" s="147" t="s">
        <v>8180</v>
      </c>
      <c r="E275" s="147" t="s">
        <v>8101</v>
      </c>
      <c r="F275" s="161"/>
      <c r="G275" s="147"/>
      <c r="H275" s="147" t="s">
        <v>8181</v>
      </c>
      <c r="I275" s="147"/>
      <c r="J275" s="147" t="s">
        <v>8182</v>
      </c>
      <c r="K275" s="162">
        <v>9546092066</v>
      </c>
      <c r="L275" s="147"/>
      <c r="M275" s="147">
        <v>8327584041</v>
      </c>
      <c r="N275" s="147" t="s">
        <v>8116</v>
      </c>
      <c r="O275" s="147"/>
      <c r="S275" s="147"/>
      <c r="T275" s="147"/>
      <c r="U275" s="147"/>
      <c r="V275" s="147"/>
      <c r="W275" s="147"/>
      <c r="X275" s="147"/>
      <c r="Y275" s="147"/>
      <c r="Z275" s="147"/>
    </row>
    <row r="276" spans="1:26" ht="14.25" customHeight="1">
      <c r="A276" s="47"/>
      <c r="B276" s="158">
        <v>43723</v>
      </c>
      <c r="C276" s="65">
        <v>47</v>
      </c>
      <c r="D276" s="47"/>
      <c r="E276" s="47" t="s">
        <v>7314</v>
      </c>
      <c r="F276" s="151"/>
      <c r="G276" s="47"/>
      <c r="H276" s="47" t="s">
        <v>8183</v>
      </c>
      <c r="I276" s="47"/>
      <c r="J276" s="47" t="s">
        <v>8184</v>
      </c>
      <c r="K276" s="66">
        <v>9102705318</v>
      </c>
      <c r="L276" s="47"/>
      <c r="M276" s="47">
        <v>9102705318</v>
      </c>
      <c r="N276" s="47" t="s">
        <v>8116</v>
      </c>
      <c r="O276" s="47"/>
      <c r="S276" s="47"/>
      <c r="T276" s="47"/>
      <c r="U276" s="47"/>
      <c r="V276" s="47"/>
      <c r="W276" s="47"/>
      <c r="X276" s="47"/>
      <c r="Y276" s="47"/>
      <c r="Z276" s="47"/>
    </row>
    <row r="277" spans="1:26" ht="14.25" customHeight="1">
      <c r="A277" s="147" t="s">
        <v>1434</v>
      </c>
      <c r="B277" s="195">
        <v>43724</v>
      </c>
      <c r="C277" s="196">
        <v>47</v>
      </c>
      <c r="D277" s="147" t="s">
        <v>8185</v>
      </c>
      <c r="E277" s="147" t="s">
        <v>8186</v>
      </c>
      <c r="F277" s="161"/>
      <c r="G277" s="147"/>
      <c r="H277" s="147" t="s">
        <v>8187</v>
      </c>
      <c r="I277" s="147"/>
      <c r="J277" s="147" t="s">
        <v>8188</v>
      </c>
      <c r="K277" s="162">
        <v>9934345948</v>
      </c>
      <c r="L277" s="147"/>
      <c r="M277" s="147">
        <v>9102705318</v>
      </c>
      <c r="N277" s="147" t="s">
        <v>8116</v>
      </c>
      <c r="O277" s="147"/>
      <c r="S277" s="147"/>
      <c r="T277" s="147"/>
      <c r="U277" s="147"/>
      <c r="V277" s="147"/>
      <c r="W277" s="147"/>
      <c r="X277" s="147"/>
      <c r="Y277" s="147"/>
      <c r="Z277" s="147"/>
    </row>
    <row r="278" spans="1:26" ht="14.25" customHeight="1">
      <c r="A278" s="147" t="s">
        <v>1434</v>
      </c>
      <c r="B278" s="195">
        <v>43724</v>
      </c>
      <c r="C278" s="196">
        <v>47</v>
      </c>
      <c r="D278" s="147" t="s">
        <v>8189</v>
      </c>
      <c r="E278" s="147" t="s">
        <v>8190</v>
      </c>
      <c r="F278" s="161"/>
      <c r="G278" s="147"/>
      <c r="H278" s="147" t="s">
        <v>8187</v>
      </c>
      <c r="I278" s="147"/>
      <c r="J278" s="147" t="s">
        <v>5788</v>
      </c>
      <c r="K278" s="162">
        <v>9934345948</v>
      </c>
      <c r="L278" s="147"/>
      <c r="M278" s="147">
        <v>9102705318</v>
      </c>
      <c r="N278" s="147" t="s">
        <v>8116</v>
      </c>
      <c r="O278" s="147"/>
      <c r="S278" s="147"/>
      <c r="T278" s="147"/>
      <c r="U278" s="147"/>
      <c r="V278" s="147"/>
      <c r="W278" s="147"/>
      <c r="X278" s="147"/>
      <c r="Y278" s="147"/>
      <c r="Z278" s="147"/>
    </row>
    <row r="279" spans="1:26" ht="14.25" customHeight="1">
      <c r="A279" s="47" t="s">
        <v>8191</v>
      </c>
      <c r="B279" s="158">
        <v>43724</v>
      </c>
      <c r="C279" s="65">
        <v>47</v>
      </c>
      <c r="D279" s="47" t="s">
        <v>8192</v>
      </c>
      <c r="E279" s="47" t="s">
        <v>7314</v>
      </c>
      <c r="F279" s="151"/>
      <c r="G279" s="47"/>
      <c r="H279" s="47" t="s">
        <v>8193</v>
      </c>
      <c r="I279" s="47"/>
      <c r="J279" s="47" t="s">
        <v>7274</v>
      </c>
      <c r="K279" s="66">
        <v>6207489534</v>
      </c>
      <c r="L279" s="47"/>
      <c r="M279" s="47">
        <v>9102705318</v>
      </c>
      <c r="N279" s="47" t="s">
        <v>8116</v>
      </c>
      <c r="O279" s="47"/>
      <c r="S279" s="47"/>
      <c r="T279" s="47"/>
      <c r="U279" s="47"/>
      <c r="V279" s="47"/>
      <c r="W279" s="47"/>
      <c r="X279" s="47"/>
      <c r="Y279" s="47"/>
      <c r="Z279" s="47"/>
    </row>
    <row r="280" spans="1:26" ht="14.25" customHeight="1">
      <c r="A280" s="47" t="s">
        <v>8191</v>
      </c>
      <c r="B280" s="158">
        <v>43724</v>
      </c>
      <c r="C280" s="65">
        <v>47</v>
      </c>
      <c r="D280" s="47" t="s">
        <v>8194</v>
      </c>
      <c r="E280" s="47" t="s">
        <v>7314</v>
      </c>
      <c r="F280" s="151"/>
      <c r="G280" s="47"/>
      <c r="H280" s="47"/>
      <c r="I280" s="47"/>
      <c r="J280" s="47" t="s">
        <v>8195</v>
      </c>
      <c r="K280" s="66">
        <v>7209900820</v>
      </c>
      <c r="L280" s="47"/>
      <c r="M280" s="47">
        <v>9102705318</v>
      </c>
      <c r="N280" s="47" t="s">
        <v>8116</v>
      </c>
      <c r="O280" s="47"/>
      <c r="S280" s="47"/>
      <c r="T280" s="47"/>
      <c r="U280" s="47"/>
      <c r="V280" s="47"/>
      <c r="W280" s="47"/>
      <c r="X280" s="47"/>
      <c r="Y280" s="47"/>
      <c r="Z280" s="47"/>
    </row>
    <row r="281" spans="1:26" ht="14.25" customHeight="1">
      <c r="A281" s="11" t="s">
        <v>1434</v>
      </c>
      <c r="B281" s="106">
        <v>43724</v>
      </c>
      <c r="C281" s="84">
        <v>48</v>
      </c>
      <c r="D281" s="11" t="s">
        <v>8196</v>
      </c>
      <c r="E281" s="11" t="s">
        <v>7314</v>
      </c>
      <c r="F281" s="155"/>
      <c r="G281" s="11"/>
      <c r="H281" s="233" t="s">
        <v>8197</v>
      </c>
      <c r="I281" s="11"/>
      <c r="J281" s="11" t="s">
        <v>8198</v>
      </c>
      <c r="K281" s="88">
        <v>8797271005</v>
      </c>
      <c r="L281" s="11"/>
      <c r="M281" s="11">
        <v>9102705318</v>
      </c>
      <c r="N281" s="11" t="s">
        <v>8116</v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47" t="s">
        <v>8191</v>
      </c>
      <c r="B282" s="158">
        <v>43725</v>
      </c>
      <c r="C282" s="65">
        <v>47</v>
      </c>
      <c r="D282" s="47" t="s">
        <v>8199</v>
      </c>
      <c r="E282" s="47" t="s">
        <v>7314</v>
      </c>
      <c r="F282" s="151"/>
      <c r="G282" s="47"/>
      <c r="H282" s="47"/>
      <c r="I282" s="47"/>
      <c r="J282" s="47" t="s">
        <v>8200</v>
      </c>
      <c r="K282" s="66">
        <v>9279501142</v>
      </c>
      <c r="L282" s="47"/>
      <c r="M282" s="47">
        <v>9102705318</v>
      </c>
      <c r="N282" s="47" t="s">
        <v>8116</v>
      </c>
      <c r="O282" s="47"/>
      <c r="S282" s="47"/>
      <c r="T282" s="47"/>
      <c r="U282" s="47"/>
      <c r="V282" s="47"/>
      <c r="W282" s="47"/>
      <c r="X282" s="47"/>
      <c r="Y282" s="47"/>
      <c r="Z282" s="47"/>
    </row>
    <row r="283" spans="1:26" ht="14.25" customHeight="1">
      <c r="A283" s="6" t="s">
        <v>8191</v>
      </c>
      <c r="B283" s="4">
        <v>43725</v>
      </c>
      <c r="C283" s="65">
        <v>47</v>
      </c>
      <c r="D283" s="47" t="s">
        <v>8201</v>
      </c>
      <c r="E283" s="47" t="s">
        <v>7314</v>
      </c>
      <c r="F283" s="151"/>
      <c r="G283" s="47"/>
      <c r="H283" s="47"/>
      <c r="I283" s="47"/>
      <c r="J283" s="47" t="s">
        <v>8202</v>
      </c>
      <c r="K283" s="66">
        <v>7762934777</v>
      </c>
      <c r="M283" s="6">
        <v>9102705318</v>
      </c>
      <c r="N283" s="137" t="s">
        <v>8116</v>
      </c>
    </row>
    <row r="284" spans="1:26" ht="14.25" customHeight="1">
      <c r="A284" s="47" t="s">
        <v>1434</v>
      </c>
      <c r="B284" s="158">
        <v>43714</v>
      </c>
      <c r="C284" s="65">
        <v>47</v>
      </c>
      <c r="D284" s="47" t="s">
        <v>8203</v>
      </c>
      <c r="E284" s="47" t="s">
        <v>7314</v>
      </c>
      <c r="F284" s="151"/>
      <c r="G284" s="47"/>
      <c r="H284" s="47"/>
      <c r="I284" s="47"/>
      <c r="J284" s="47" t="s">
        <v>8204</v>
      </c>
      <c r="K284" s="66">
        <v>8709999486</v>
      </c>
      <c r="L284" s="47"/>
      <c r="M284" s="47">
        <v>9102705318</v>
      </c>
      <c r="N284" s="47" t="s">
        <v>8116</v>
      </c>
      <c r="O284" s="47"/>
      <c r="S284" s="47"/>
      <c r="T284" s="47"/>
      <c r="U284" s="47"/>
      <c r="V284" s="47"/>
      <c r="W284" s="47"/>
      <c r="X284" s="47"/>
      <c r="Y284" s="47"/>
      <c r="Z284" s="47"/>
    </row>
    <row r="285" spans="1:26" ht="14.25" customHeight="1">
      <c r="A285" s="47"/>
      <c r="B285" s="158">
        <v>43726</v>
      </c>
      <c r="C285" s="65">
        <v>47</v>
      </c>
      <c r="D285" s="47" t="s">
        <v>8205</v>
      </c>
      <c r="E285" s="47" t="s">
        <v>7314</v>
      </c>
      <c r="F285" s="151"/>
      <c r="G285" s="47"/>
      <c r="H285" s="47"/>
      <c r="I285" s="47"/>
      <c r="J285" s="47" t="s">
        <v>8206</v>
      </c>
      <c r="K285" s="66">
        <v>9955143023</v>
      </c>
      <c r="L285" s="47"/>
      <c r="M285" s="47"/>
      <c r="N285" s="47"/>
      <c r="O285" s="47"/>
      <c r="S285" s="47"/>
      <c r="T285" s="47"/>
      <c r="U285" s="47"/>
      <c r="V285" s="47"/>
      <c r="W285" s="47"/>
      <c r="X285" s="47"/>
      <c r="Y285" s="47"/>
      <c r="Z285" s="47"/>
    </row>
    <row r="286" spans="1:26" ht="14.25" customHeight="1">
      <c r="A286" s="147"/>
      <c r="B286" s="195">
        <v>43726</v>
      </c>
      <c r="C286" s="196" t="s">
        <v>8207</v>
      </c>
      <c r="D286" s="147" t="s">
        <v>8208</v>
      </c>
      <c r="E286" s="147" t="s">
        <v>8209</v>
      </c>
      <c r="F286" s="161"/>
      <c r="G286" s="147"/>
      <c r="H286" s="147" t="s">
        <v>8210</v>
      </c>
      <c r="I286" s="147" t="s">
        <v>8211</v>
      </c>
      <c r="J286" s="147" t="s">
        <v>8033</v>
      </c>
      <c r="K286" s="162">
        <v>7033932601</v>
      </c>
      <c r="L286" s="147"/>
      <c r="M286" s="147">
        <v>7033932601</v>
      </c>
      <c r="N286" s="234" t="s">
        <v>8116</v>
      </c>
      <c r="O286" s="147"/>
      <c r="S286" s="147"/>
      <c r="T286" s="147"/>
      <c r="U286" s="147"/>
      <c r="V286" s="147"/>
      <c r="W286" s="147"/>
      <c r="X286" s="147"/>
      <c r="Y286" s="147"/>
      <c r="Z286" s="147"/>
    </row>
    <row r="287" spans="1:26" ht="14.25" customHeight="1">
      <c r="A287" s="147"/>
      <c r="B287" s="195">
        <v>43726</v>
      </c>
      <c r="C287" s="196" t="s">
        <v>8207</v>
      </c>
      <c r="D287" s="147" t="s">
        <v>8212</v>
      </c>
      <c r="E287" s="147" t="s">
        <v>8213</v>
      </c>
      <c r="F287" s="161"/>
      <c r="G287" s="147"/>
      <c r="H287" s="147"/>
      <c r="I287" s="147"/>
      <c r="J287" s="147" t="s">
        <v>4736</v>
      </c>
      <c r="K287" s="162">
        <v>7033932601</v>
      </c>
      <c r="L287" s="147"/>
      <c r="M287" s="147">
        <v>7033932601</v>
      </c>
      <c r="N287" s="234" t="s">
        <v>8116</v>
      </c>
      <c r="O287" s="147"/>
      <c r="S287" s="147"/>
      <c r="T287" s="147"/>
      <c r="U287" s="147"/>
      <c r="V287" s="147"/>
      <c r="W287" s="147"/>
      <c r="X287" s="147"/>
      <c r="Y287" s="147"/>
      <c r="Z287" s="147"/>
    </row>
    <row r="288" spans="1:26" ht="14.25" customHeight="1">
      <c r="A288" s="147"/>
      <c r="B288" s="235">
        <v>43626</v>
      </c>
      <c r="C288" s="196">
        <v>48</v>
      </c>
      <c r="D288" s="147" t="s">
        <v>8214</v>
      </c>
      <c r="E288" s="147"/>
      <c r="F288" s="161"/>
      <c r="G288" s="147"/>
      <c r="H288" s="147"/>
      <c r="I288" s="147"/>
      <c r="J288" s="147" t="s">
        <v>8215</v>
      </c>
      <c r="K288" s="162">
        <v>8084696568</v>
      </c>
      <c r="L288" s="147"/>
      <c r="M288" s="147">
        <v>9102705318</v>
      </c>
      <c r="N288" s="147" t="s">
        <v>8116</v>
      </c>
      <c r="O288" s="147"/>
      <c r="S288" s="147"/>
      <c r="T288" s="147"/>
      <c r="U288" s="147"/>
      <c r="V288" s="147"/>
      <c r="W288" s="147"/>
      <c r="X288" s="147"/>
      <c r="Y288" s="147"/>
      <c r="Z288" s="147"/>
    </row>
    <row r="289" spans="1:26" ht="14.25" customHeight="1">
      <c r="A289" s="147"/>
      <c r="B289" s="195">
        <v>43729</v>
      </c>
      <c r="C289" s="196">
        <v>47</v>
      </c>
      <c r="D289" s="147" t="s">
        <v>8216</v>
      </c>
      <c r="E289" s="147" t="s">
        <v>8217</v>
      </c>
      <c r="F289" s="161"/>
      <c r="G289" s="147"/>
      <c r="H289" s="147" t="s">
        <v>8218</v>
      </c>
      <c r="I289" s="147"/>
      <c r="J289" s="147" t="s">
        <v>8219</v>
      </c>
      <c r="K289" s="162">
        <v>7260988623</v>
      </c>
      <c r="L289" s="147"/>
      <c r="M289" s="147">
        <v>9102705318</v>
      </c>
      <c r="N289" s="147" t="s">
        <v>8116</v>
      </c>
      <c r="O289" s="147"/>
      <c r="S289" s="147"/>
      <c r="T289" s="147"/>
      <c r="U289" s="147"/>
      <c r="V289" s="147"/>
      <c r="W289" s="147"/>
      <c r="X289" s="147"/>
      <c r="Y289" s="147"/>
      <c r="Z289" s="147"/>
    </row>
    <row r="290" spans="1:26" ht="14.25" customHeight="1">
      <c r="A290" s="147"/>
      <c r="B290" s="195">
        <v>43729</v>
      </c>
      <c r="C290" s="196">
        <v>47</v>
      </c>
      <c r="D290" s="147" t="s">
        <v>8220</v>
      </c>
      <c r="E290" s="147" t="s">
        <v>8221</v>
      </c>
      <c r="F290" s="161"/>
      <c r="G290" s="147"/>
      <c r="H290" s="147" t="s">
        <v>8128</v>
      </c>
      <c r="I290" s="147"/>
      <c r="J290" s="147" t="s">
        <v>8129</v>
      </c>
      <c r="K290" s="162"/>
      <c r="L290" s="147"/>
      <c r="M290" s="147">
        <v>9102705318</v>
      </c>
      <c r="N290" s="147" t="s">
        <v>8116</v>
      </c>
      <c r="O290" s="147"/>
      <c r="S290" s="147"/>
      <c r="T290" s="147"/>
      <c r="U290" s="147"/>
      <c r="V290" s="147"/>
      <c r="W290" s="147"/>
      <c r="X290" s="147"/>
      <c r="Y290" s="147"/>
      <c r="Z290" s="147"/>
    </row>
    <row r="291" spans="1:26" ht="14.25" customHeight="1">
      <c r="A291" s="47"/>
      <c r="B291" s="158">
        <v>43730</v>
      </c>
      <c r="C291" s="65">
        <v>47</v>
      </c>
      <c r="D291" s="47" t="s">
        <v>8222</v>
      </c>
      <c r="E291" s="47" t="s">
        <v>8223</v>
      </c>
      <c r="F291" s="151"/>
      <c r="G291" s="47"/>
      <c r="H291" s="47" t="s">
        <v>8224</v>
      </c>
      <c r="I291" s="47"/>
      <c r="J291" s="47" t="s">
        <v>2414</v>
      </c>
      <c r="K291" s="66">
        <v>9006771743</v>
      </c>
      <c r="L291" s="47"/>
      <c r="M291" s="47">
        <v>9102705318</v>
      </c>
      <c r="N291" s="47" t="s">
        <v>8116</v>
      </c>
      <c r="O291" s="47"/>
      <c r="S291" s="47"/>
      <c r="T291" s="47"/>
      <c r="U291" s="47"/>
      <c r="V291" s="47"/>
      <c r="W291" s="47"/>
      <c r="X291" s="47"/>
      <c r="Y291" s="47"/>
      <c r="Z291" s="47"/>
    </row>
    <row r="292" spans="1:26" ht="14.25" customHeight="1">
      <c r="A292" s="47"/>
      <c r="B292" s="158">
        <v>43730</v>
      </c>
      <c r="C292" s="65">
        <v>47</v>
      </c>
      <c r="D292" s="47" t="s">
        <v>8225</v>
      </c>
      <c r="E292" s="47"/>
      <c r="F292" s="151"/>
      <c r="G292" s="47"/>
      <c r="H292" s="47" t="s">
        <v>8226</v>
      </c>
      <c r="I292" s="47"/>
      <c r="J292" s="47" t="s">
        <v>8227</v>
      </c>
      <c r="K292" s="66">
        <v>7488141852</v>
      </c>
      <c r="L292" s="47"/>
      <c r="M292" s="47">
        <v>9102705318</v>
      </c>
      <c r="N292" s="47" t="s">
        <v>8116</v>
      </c>
      <c r="O292" s="47"/>
      <c r="S292" s="47"/>
      <c r="T292" s="47"/>
      <c r="U292" s="47"/>
      <c r="V292" s="47"/>
      <c r="W292" s="47"/>
      <c r="X292" s="47"/>
      <c r="Y292" s="47"/>
      <c r="Z292" s="47"/>
    </row>
    <row r="293" spans="1:26" ht="14.25" customHeight="1">
      <c r="A293" s="47"/>
      <c r="B293" s="158">
        <v>43730</v>
      </c>
      <c r="C293" s="65">
        <v>48</v>
      </c>
      <c r="D293" s="47" t="s">
        <v>8228</v>
      </c>
      <c r="E293" s="47" t="s">
        <v>7314</v>
      </c>
      <c r="F293" s="151"/>
      <c r="G293" s="47"/>
      <c r="H293" s="47" t="s">
        <v>8229</v>
      </c>
      <c r="I293" s="47"/>
      <c r="J293" s="47" t="s">
        <v>8230</v>
      </c>
      <c r="K293" s="66">
        <v>9534060205</v>
      </c>
      <c r="L293" s="47"/>
      <c r="M293" s="47">
        <v>9102705318</v>
      </c>
      <c r="N293" s="47" t="s">
        <v>8116</v>
      </c>
      <c r="O293" s="47"/>
      <c r="S293" s="47"/>
      <c r="T293" s="47"/>
      <c r="U293" s="47"/>
      <c r="V293" s="47"/>
      <c r="W293" s="47"/>
      <c r="X293" s="47"/>
      <c r="Y293" s="47"/>
      <c r="Z293" s="47"/>
    </row>
    <row r="294" spans="1:26" ht="14.25" customHeight="1">
      <c r="A294" s="47"/>
      <c r="B294" s="158">
        <v>43731</v>
      </c>
      <c r="C294" s="65">
        <v>48</v>
      </c>
      <c r="D294" s="47" t="s">
        <v>8231</v>
      </c>
      <c r="E294" s="47" t="s">
        <v>7423</v>
      </c>
      <c r="F294" s="151"/>
      <c r="G294" s="47"/>
      <c r="H294" s="47"/>
      <c r="I294" s="47"/>
      <c r="J294" s="47" t="s">
        <v>8232</v>
      </c>
      <c r="K294" s="66">
        <v>9162572731</v>
      </c>
      <c r="L294" s="47"/>
      <c r="M294" s="47">
        <v>9102705318</v>
      </c>
      <c r="N294" s="47" t="s">
        <v>8116</v>
      </c>
      <c r="O294" s="47"/>
      <c r="S294" s="47"/>
      <c r="T294" s="47"/>
      <c r="U294" s="47"/>
      <c r="V294" s="47"/>
      <c r="W294" s="47"/>
      <c r="X294" s="47"/>
      <c r="Y294" s="47"/>
      <c r="Z294" s="47"/>
    </row>
    <row r="295" spans="1:26" ht="14.25" customHeight="1">
      <c r="A295" s="47"/>
      <c r="B295" s="158">
        <v>43731</v>
      </c>
      <c r="C295" s="65">
        <v>47</v>
      </c>
      <c r="D295" s="47" t="s">
        <v>8233</v>
      </c>
      <c r="E295" s="47"/>
      <c r="F295" s="151"/>
      <c r="G295" s="47"/>
      <c r="H295" s="47" t="s">
        <v>8234</v>
      </c>
      <c r="I295" s="47"/>
      <c r="J295" s="47" t="s">
        <v>8235</v>
      </c>
      <c r="K295" s="66">
        <v>9431935740</v>
      </c>
      <c r="L295" s="47"/>
      <c r="M295" s="47">
        <v>9102705318</v>
      </c>
      <c r="N295" s="47" t="s">
        <v>8116</v>
      </c>
      <c r="O295" s="47"/>
      <c r="S295" s="47"/>
      <c r="T295" s="47"/>
      <c r="U295" s="47"/>
      <c r="V295" s="47"/>
      <c r="W295" s="47"/>
      <c r="X295" s="47"/>
      <c r="Y295" s="47"/>
      <c r="Z295" s="47"/>
    </row>
    <row r="296" spans="1:26" ht="14.25" customHeight="1">
      <c r="A296" s="47"/>
      <c r="B296" s="158">
        <v>43731</v>
      </c>
      <c r="C296" s="65">
        <v>47</v>
      </c>
      <c r="D296" s="47" t="s">
        <v>8236</v>
      </c>
      <c r="E296" s="47" t="s">
        <v>8165</v>
      </c>
      <c r="F296" s="151"/>
      <c r="G296" s="47"/>
      <c r="H296" s="47" t="s">
        <v>8237</v>
      </c>
      <c r="I296" s="47"/>
      <c r="J296" s="47" t="s">
        <v>8238</v>
      </c>
      <c r="K296" s="66">
        <v>9431935740</v>
      </c>
      <c r="L296" s="47"/>
      <c r="M296" s="47">
        <v>9102705318</v>
      </c>
      <c r="N296" s="47" t="s">
        <v>8116</v>
      </c>
      <c r="O296" s="47"/>
      <c r="S296" s="47"/>
      <c r="T296" s="47"/>
      <c r="U296" s="47"/>
      <c r="V296" s="47"/>
      <c r="W296" s="47"/>
      <c r="X296" s="47"/>
      <c r="Y296" s="47"/>
      <c r="Z296" s="47"/>
    </row>
    <row r="297" spans="1:26" ht="14.25" customHeight="1">
      <c r="A297" s="47"/>
      <c r="B297" s="158">
        <v>43732</v>
      </c>
      <c r="C297" s="65">
        <v>47</v>
      </c>
      <c r="D297" s="47" t="s">
        <v>8239</v>
      </c>
      <c r="E297" s="47" t="s">
        <v>8240</v>
      </c>
      <c r="F297" s="151"/>
      <c r="G297" s="47"/>
      <c r="H297" s="47" t="s">
        <v>8241</v>
      </c>
      <c r="I297" s="47"/>
      <c r="J297" s="47" t="s">
        <v>8242</v>
      </c>
      <c r="K297" s="66">
        <v>9162416872</v>
      </c>
      <c r="L297" s="47"/>
      <c r="M297" s="236">
        <v>9162416872</v>
      </c>
      <c r="N297" s="47" t="s">
        <v>8116</v>
      </c>
      <c r="O297" s="47"/>
      <c r="S297" s="47"/>
      <c r="T297" s="47"/>
      <c r="U297" s="47"/>
      <c r="V297" s="47"/>
      <c r="W297" s="47"/>
      <c r="X297" s="47"/>
      <c r="Y297" s="47"/>
      <c r="Z297" s="47"/>
    </row>
    <row r="298" spans="1:26" ht="14.25" customHeight="1">
      <c r="A298" s="11"/>
      <c r="B298" s="106">
        <v>43732</v>
      </c>
      <c r="C298" s="84">
        <v>47</v>
      </c>
      <c r="D298" s="11" t="s">
        <v>8243</v>
      </c>
      <c r="E298" s="11" t="s">
        <v>8240</v>
      </c>
      <c r="F298" s="155"/>
      <c r="G298" s="11"/>
      <c r="H298" s="11" t="s">
        <v>8244</v>
      </c>
      <c r="I298" s="11"/>
      <c r="J298" s="11" t="s">
        <v>8245</v>
      </c>
      <c r="K298" s="88">
        <v>9162416872</v>
      </c>
      <c r="L298" s="11"/>
      <c r="M298" s="237">
        <v>9162416872</v>
      </c>
      <c r="N298" s="11" t="s">
        <v>8116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06">
        <v>43732</v>
      </c>
      <c r="C299" s="84">
        <v>48</v>
      </c>
      <c r="D299" s="11" t="s">
        <v>8246</v>
      </c>
      <c r="E299" s="11" t="s">
        <v>7411</v>
      </c>
      <c r="F299" s="155"/>
      <c r="G299" s="11" t="s">
        <v>7353</v>
      </c>
      <c r="H299" s="11" t="s">
        <v>8247</v>
      </c>
      <c r="I299" s="11"/>
      <c r="J299" s="11" t="s">
        <v>8248</v>
      </c>
      <c r="K299" s="88">
        <v>7295016231</v>
      </c>
      <c r="L299" s="11"/>
      <c r="M299" s="11">
        <v>9102705318</v>
      </c>
      <c r="N299" s="11" t="s">
        <v>8116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06">
        <v>43732</v>
      </c>
      <c r="C300" s="84">
        <v>48</v>
      </c>
      <c r="D300" s="11" t="s">
        <v>8249</v>
      </c>
      <c r="E300" s="11" t="s">
        <v>7411</v>
      </c>
      <c r="F300" s="155"/>
      <c r="G300" s="11" t="s">
        <v>7353</v>
      </c>
      <c r="H300" s="233" t="s">
        <v>8250</v>
      </c>
      <c r="I300" s="11" t="s">
        <v>8251</v>
      </c>
      <c r="J300" s="11" t="s">
        <v>6796</v>
      </c>
      <c r="K300" s="88">
        <v>8969028675</v>
      </c>
      <c r="L300" s="11"/>
      <c r="M300" s="11">
        <v>9102705318</v>
      </c>
      <c r="N300" s="11" t="s">
        <v>8116</v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06">
        <v>43734</v>
      </c>
      <c r="C301" s="84">
        <v>47</v>
      </c>
      <c r="D301" s="11" t="s">
        <v>8252</v>
      </c>
      <c r="E301" s="11" t="s">
        <v>7411</v>
      </c>
      <c r="F301" s="155"/>
      <c r="G301" s="11"/>
      <c r="H301" s="11" t="s">
        <v>8253</v>
      </c>
      <c r="I301" s="11"/>
      <c r="J301" s="11" t="s">
        <v>8254</v>
      </c>
      <c r="K301" s="88">
        <v>9204707915</v>
      </c>
      <c r="L301" s="11"/>
      <c r="M301" s="11">
        <v>9102705318</v>
      </c>
      <c r="N301" s="11" t="s">
        <v>8116</v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06">
        <v>43734</v>
      </c>
      <c r="C302" s="84">
        <v>48</v>
      </c>
      <c r="D302" s="11" t="s">
        <v>8255</v>
      </c>
      <c r="E302" s="11" t="s">
        <v>7411</v>
      </c>
      <c r="F302" s="155"/>
      <c r="G302" s="11"/>
      <c r="H302" s="11" t="s">
        <v>8256</v>
      </c>
      <c r="I302" s="11"/>
      <c r="J302" s="11" t="s">
        <v>8257</v>
      </c>
      <c r="K302" s="88">
        <v>7667745985</v>
      </c>
      <c r="L302" s="11"/>
      <c r="M302" s="11">
        <v>9102705318</v>
      </c>
      <c r="N302" s="11" t="s">
        <v>8116</v>
      </c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47"/>
      <c r="B303" s="158">
        <v>43734</v>
      </c>
      <c r="C303" s="65">
        <v>47</v>
      </c>
      <c r="D303" s="47"/>
      <c r="E303" s="47" t="s">
        <v>7411</v>
      </c>
      <c r="F303" s="151"/>
      <c r="G303" s="47"/>
      <c r="H303" s="47" t="s">
        <v>8128</v>
      </c>
      <c r="I303" s="47"/>
      <c r="J303" s="47" t="s">
        <v>8258</v>
      </c>
      <c r="K303" s="66"/>
      <c r="L303" s="47"/>
      <c r="M303" s="47">
        <v>9102705318</v>
      </c>
      <c r="N303" s="47" t="s">
        <v>8116</v>
      </c>
      <c r="O303" s="47"/>
      <c r="S303" s="47"/>
      <c r="T303" s="47"/>
      <c r="U303" s="47"/>
      <c r="V303" s="47"/>
      <c r="W303" s="47"/>
      <c r="X303" s="47"/>
      <c r="Y303" s="47"/>
      <c r="Z303" s="47"/>
    </row>
    <row r="304" spans="1:26" ht="14.25" customHeight="1">
      <c r="A304" s="47"/>
      <c r="B304" s="158">
        <v>43734</v>
      </c>
      <c r="C304" s="65">
        <v>47</v>
      </c>
      <c r="D304" s="47" t="s">
        <v>8259</v>
      </c>
      <c r="E304" s="47" t="s">
        <v>8165</v>
      </c>
      <c r="F304" s="151"/>
      <c r="G304" s="47"/>
      <c r="H304" s="47"/>
      <c r="I304" s="47"/>
      <c r="J304" s="47" t="s">
        <v>8260</v>
      </c>
      <c r="K304" s="66">
        <v>9234703272</v>
      </c>
      <c r="L304" s="47"/>
      <c r="M304" s="47">
        <v>9102705318</v>
      </c>
      <c r="N304" s="47" t="s">
        <v>8116</v>
      </c>
      <c r="O304" s="47"/>
      <c r="S304" s="47"/>
      <c r="T304" s="47"/>
      <c r="U304" s="47"/>
      <c r="V304" s="47"/>
      <c r="W304" s="47"/>
      <c r="X304" s="47"/>
      <c r="Y304" s="47"/>
      <c r="Z304" s="47"/>
    </row>
    <row r="305" spans="1:26" ht="14.25" customHeight="1">
      <c r="A305" s="47"/>
      <c r="B305" s="158">
        <v>43734</v>
      </c>
      <c r="C305" s="65">
        <v>47</v>
      </c>
      <c r="D305" s="47" t="s">
        <v>8261</v>
      </c>
      <c r="E305" s="47" t="s">
        <v>8165</v>
      </c>
      <c r="F305" s="151"/>
      <c r="G305" s="47"/>
      <c r="H305" s="47"/>
      <c r="I305" s="47"/>
      <c r="J305" s="47" t="s">
        <v>8262</v>
      </c>
      <c r="K305" s="66">
        <v>9234703272</v>
      </c>
      <c r="L305" s="47"/>
      <c r="M305" s="47">
        <v>9102705318</v>
      </c>
      <c r="N305" s="47" t="s">
        <v>8116</v>
      </c>
      <c r="O305" s="47"/>
      <c r="S305" s="47"/>
      <c r="T305" s="47"/>
      <c r="U305" s="47"/>
      <c r="V305" s="47"/>
      <c r="W305" s="47"/>
      <c r="X305" s="47"/>
      <c r="Y305" s="47"/>
      <c r="Z305" s="47"/>
    </row>
    <row r="306" spans="1:26" ht="14.25" customHeight="1">
      <c r="A306" s="47"/>
      <c r="B306" s="158">
        <v>43734</v>
      </c>
      <c r="C306" s="65">
        <v>47</v>
      </c>
      <c r="D306" s="47" t="s">
        <v>8263</v>
      </c>
      <c r="E306" s="47" t="s">
        <v>8165</v>
      </c>
      <c r="F306" s="151"/>
      <c r="G306" s="47"/>
      <c r="H306" s="47"/>
      <c r="I306" s="47"/>
      <c r="J306" s="47" t="s">
        <v>8264</v>
      </c>
      <c r="K306" s="66">
        <v>9234703272</v>
      </c>
      <c r="L306" s="47"/>
      <c r="M306" s="47">
        <v>9102705318</v>
      </c>
      <c r="N306" s="47" t="s">
        <v>8116</v>
      </c>
      <c r="O306" s="47"/>
      <c r="S306" s="47"/>
      <c r="T306" s="47"/>
      <c r="U306" s="47"/>
      <c r="V306" s="47"/>
      <c r="W306" s="47"/>
      <c r="X306" s="47"/>
      <c r="Y306" s="47"/>
      <c r="Z306" s="47"/>
    </row>
    <row r="307" spans="1:26" ht="14.25" customHeight="1">
      <c r="A307" s="47"/>
      <c r="B307" s="158">
        <v>43734</v>
      </c>
      <c r="C307" s="65">
        <v>47</v>
      </c>
      <c r="D307" s="47" t="s">
        <v>8265</v>
      </c>
      <c r="E307" s="47" t="s">
        <v>8266</v>
      </c>
      <c r="F307" s="151"/>
      <c r="G307" s="47"/>
      <c r="H307" s="47"/>
      <c r="I307" s="47"/>
      <c r="J307" s="47" t="s">
        <v>3864</v>
      </c>
      <c r="K307" s="66">
        <v>8092524722</v>
      </c>
      <c r="L307" s="47"/>
      <c r="M307" s="47">
        <v>8092524722</v>
      </c>
      <c r="N307" s="47" t="s">
        <v>8116</v>
      </c>
      <c r="O307" s="47"/>
      <c r="S307" s="47"/>
      <c r="T307" s="47"/>
      <c r="U307" s="47"/>
      <c r="V307" s="47"/>
      <c r="W307" s="47"/>
      <c r="X307" s="47"/>
      <c r="Y307" s="47"/>
      <c r="Z307" s="47"/>
    </row>
    <row r="308" spans="1:26" ht="14.25" customHeight="1">
      <c r="A308" s="147"/>
      <c r="B308" s="195">
        <v>43735</v>
      </c>
      <c r="C308" s="196"/>
      <c r="D308" s="147" t="s">
        <v>8267</v>
      </c>
      <c r="E308" s="147" t="s">
        <v>8268</v>
      </c>
      <c r="F308" s="161"/>
      <c r="G308" s="147"/>
      <c r="H308" s="147" t="s">
        <v>8269</v>
      </c>
      <c r="I308" s="147"/>
      <c r="J308" s="147" t="s">
        <v>8270</v>
      </c>
      <c r="K308" s="162">
        <v>9905150414</v>
      </c>
      <c r="L308" s="147"/>
      <c r="M308" s="147">
        <v>9905150414</v>
      </c>
      <c r="N308" s="147" t="s">
        <v>8116</v>
      </c>
      <c r="O308" s="147"/>
      <c r="S308" s="147"/>
      <c r="T308" s="147"/>
      <c r="U308" s="147"/>
      <c r="V308" s="147"/>
      <c r="W308" s="147"/>
      <c r="X308" s="147"/>
      <c r="Y308" s="147"/>
      <c r="Z308" s="147"/>
    </row>
    <row r="309" spans="1:26" ht="14.25" customHeight="1">
      <c r="A309" s="47"/>
      <c r="B309" s="158">
        <v>43735</v>
      </c>
      <c r="C309" s="65">
        <v>48</v>
      </c>
      <c r="D309" s="47" t="s">
        <v>8271</v>
      </c>
      <c r="E309" s="47" t="s">
        <v>7314</v>
      </c>
      <c r="F309" s="151"/>
      <c r="G309" s="47"/>
      <c r="H309" s="47"/>
      <c r="I309" s="47"/>
      <c r="J309" s="47" t="s">
        <v>2084</v>
      </c>
      <c r="K309" s="66">
        <v>8789638866</v>
      </c>
      <c r="L309" s="47" t="s">
        <v>1434</v>
      </c>
      <c r="M309" s="47">
        <v>9905150414</v>
      </c>
      <c r="N309" s="47" t="s">
        <v>8116</v>
      </c>
      <c r="O309" s="47"/>
      <c r="S309" s="47"/>
      <c r="T309" s="47"/>
      <c r="U309" s="47"/>
      <c r="V309" s="47"/>
      <c r="W309" s="47"/>
      <c r="X309" s="47"/>
      <c r="Y309" s="47"/>
      <c r="Z309" s="47"/>
    </row>
    <row r="310" spans="1:26" ht="14.25" customHeight="1">
      <c r="A310" s="147"/>
      <c r="B310" s="195">
        <v>43735</v>
      </c>
      <c r="C310" s="196">
        <v>47</v>
      </c>
      <c r="D310" s="147" t="s">
        <v>8272</v>
      </c>
      <c r="E310" s="147" t="s">
        <v>1840</v>
      </c>
      <c r="F310" s="161"/>
      <c r="G310" s="147"/>
      <c r="H310" s="147" t="s">
        <v>8273</v>
      </c>
      <c r="I310" s="147"/>
      <c r="J310" s="147" t="s">
        <v>8274</v>
      </c>
      <c r="K310" s="162"/>
      <c r="L310" s="147" t="s">
        <v>1434</v>
      </c>
      <c r="M310" s="147">
        <v>9905150414</v>
      </c>
      <c r="N310" s="147" t="s">
        <v>8116</v>
      </c>
      <c r="O310" s="147"/>
      <c r="S310" s="147"/>
      <c r="T310" s="147"/>
      <c r="U310" s="147"/>
      <c r="V310" s="147"/>
      <c r="W310" s="147"/>
      <c r="X310" s="147"/>
      <c r="Y310" s="147"/>
      <c r="Z310" s="147"/>
    </row>
    <row r="311" spans="1:26" ht="14.25" customHeight="1">
      <c r="A311" s="147"/>
      <c r="B311" s="195">
        <v>43735</v>
      </c>
      <c r="C311" s="196">
        <v>47</v>
      </c>
      <c r="D311" s="147" t="s">
        <v>8275</v>
      </c>
      <c r="E311" s="147" t="s">
        <v>1840</v>
      </c>
      <c r="F311" s="161"/>
      <c r="G311" s="147"/>
      <c r="H311" s="147" t="s">
        <v>8276</v>
      </c>
      <c r="I311" s="147"/>
      <c r="J311" s="147" t="s">
        <v>8277</v>
      </c>
      <c r="K311" s="162">
        <v>9931018905</v>
      </c>
      <c r="L311" s="147" t="s">
        <v>1434</v>
      </c>
      <c r="M311" s="147">
        <v>9905150414</v>
      </c>
      <c r="N311" s="147" t="s">
        <v>8116</v>
      </c>
      <c r="O311" s="147"/>
      <c r="S311" s="147"/>
      <c r="T311" s="147"/>
      <c r="U311" s="147"/>
      <c r="V311" s="147"/>
      <c r="W311" s="147"/>
      <c r="X311" s="147"/>
      <c r="Y311" s="147"/>
      <c r="Z311" s="147"/>
    </row>
    <row r="312" spans="1:26" ht="14.25" customHeight="1">
      <c r="A312" s="47"/>
      <c r="B312" s="158">
        <v>43735</v>
      </c>
      <c r="C312" s="65">
        <v>48</v>
      </c>
      <c r="D312" s="47" t="s">
        <v>8278</v>
      </c>
      <c r="E312" s="47"/>
      <c r="F312" s="151"/>
      <c r="G312" s="47"/>
      <c r="H312" s="47" t="s">
        <v>8279</v>
      </c>
      <c r="I312" s="47"/>
      <c r="J312" s="47" t="s">
        <v>8280</v>
      </c>
      <c r="K312" s="66"/>
      <c r="L312" s="47" t="s">
        <v>1434</v>
      </c>
      <c r="M312" s="47">
        <v>9905150414</v>
      </c>
      <c r="N312" s="47" t="s">
        <v>8116</v>
      </c>
      <c r="O312" s="47"/>
      <c r="S312" s="47"/>
      <c r="T312" s="47"/>
      <c r="U312" s="47"/>
      <c r="V312" s="47"/>
      <c r="W312" s="47"/>
      <c r="X312" s="47"/>
      <c r="Y312" s="47"/>
      <c r="Z312" s="47"/>
    </row>
    <row r="313" spans="1:26" ht="14.25" customHeight="1">
      <c r="A313" s="47"/>
      <c r="B313" s="158">
        <v>43735</v>
      </c>
      <c r="C313" s="65">
        <v>48</v>
      </c>
      <c r="D313" s="47" t="s">
        <v>8281</v>
      </c>
      <c r="E313" s="47"/>
      <c r="F313" s="151"/>
      <c r="G313" s="47"/>
      <c r="H313" s="47" t="s">
        <v>8282</v>
      </c>
      <c r="I313" s="47"/>
      <c r="J313" s="47" t="s">
        <v>8283</v>
      </c>
      <c r="K313" s="66"/>
      <c r="L313" s="47" t="s">
        <v>1434</v>
      </c>
      <c r="M313" s="47">
        <v>9905150414</v>
      </c>
      <c r="N313" s="47" t="s">
        <v>8116</v>
      </c>
      <c r="O313" s="47"/>
      <c r="S313" s="47"/>
      <c r="T313" s="47"/>
      <c r="U313" s="47"/>
      <c r="V313" s="47"/>
      <c r="W313" s="47"/>
      <c r="X313" s="47"/>
      <c r="Y313" s="47"/>
      <c r="Z313" s="47"/>
    </row>
    <row r="314" spans="1:26" ht="14.25" customHeight="1">
      <c r="B314" s="158">
        <v>43735</v>
      </c>
      <c r="C314" s="65">
        <v>48</v>
      </c>
      <c r="D314" s="47" t="s">
        <v>8284</v>
      </c>
      <c r="E314" s="47"/>
      <c r="F314" s="151"/>
      <c r="G314" s="47"/>
      <c r="H314" s="47" t="s">
        <v>8285</v>
      </c>
      <c r="I314" s="47"/>
      <c r="J314" s="47" t="s">
        <v>8286</v>
      </c>
      <c r="K314" s="66"/>
      <c r="L314" s="47" t="s">
        <v>1434</v>
      </c>
      <c r="M314" s="47">
        <v>9905150414</v>
      </c>
      <c r="N314" s="137" t="s">
        <v>8116</v>
      </c>
    </row>
    <row r="315" spans="1:26" ht="14.25" customHeight="1">
      <c r="B315" s="158">
        <v>43736</v>
      </c>
      <c r="C315" s="65">
        <v>47</v>
      </c>
      <c r="D315" s="47" t="s">
        <v>8287</v>
      </c>
      <c r="E315" s="47" t="s">
        <v>7314</v>
      </c>
      <c r="F315" s="151"/>
      <c r="G315" s="47"/>
      <c r="H315" s="47"/>
      <c r="I315" s="47"/>
      <c r="J315" s="47" t="s">
        <v>1198</v>
      </c>
      <c r="K315" s="66">
        <v>9570000735</v>
      </c>
      <c r="L315" s="47"/>
      <c r="M315" s="47"/>
    </row>
    <row r="316" spans="1:26" ht="14.25" customHeight="1">
      <c r="B316" s="147"/>
      <c r="C316" s="196">
        <v>47</v>
      </c>
      <c r="D316" s="147" t="s">
        <v>8288</v>
      </c>
      <c r="E316" s="147" t="s">
        <v>8266</v>
      </c>
      <c r="F316" s="161"/>
      <c r="G316" s="147"/>
      <c r="H316" s="147" t="s">
        <v>8289</v>
      </c>
      <c r="I316" s="147"/>
      <c r="J316" s="147" t="s">
        <v>1862</v>
      </c>
      <c r="K316" s="162">
        <v>8092241701</v>
      </c>
      <c r="L316" s="147"/>
      <c r="M316" s="147">
        <v>8092241701</v>
      </c>
      <c r="N316" s="137" t="s">
        <v>8290</v>
      </c>
    </row>
    <row r="317" spans="1:26" ht="14.25" customHeight="1">
      <c r="A317" s="147"/>
      <c r="B317" s="195">
        <v>43740</v>
      </c>
      <c r="C317" s="196">
        <v>48</v>
      </c>
      <c r="D317" s="147" t="s">
        <v>8291</v>
      </c>
      <c r="E317" s="147" t="s">
        <v>7314</v>
      </c>
      <c r="F317" s="161"/>
      <c r="G317" s="147"/>
      <c r="H317" s="147"/>
      <c r="I317" s="147"/>
      <c r="J317" s="147" t="s">
        <v>8292</v>
      </c>
      <c r="K317" s="162">
        <v>8210119343</v>
      </c>
      <c r="L317" s="147"/>
      <c r="M317" s="147">
        <v>8210119343</v>
      </c>
      <c r="N317" s="147" t="s">
        <v>8116</v>
      </c>
      <c r="O317" s="147"/>
      <c r="S317" s="147"/>
      <c r="T317" s="147"/>
      <c r="U317" s="147"/>
      <c r="V317" s="147"/>
      <c r="W317" s="147"/>
      <c r="X317" s="147"/>
      <c r="Y317" s="147"/>
      <c r="Z317" s="147"/>
    </row>
    <row r="318" spans="1:26" ht="14.25" customHeight="1">
      <c r="A318" s="147"/>
      <c r="B318" s="195">
        <v>43739</v>
      </c>
      <c r="C318" s="196">
        <v>48</v>
      </c>
      <c r="D318" s="147" t="s">
        <v>8293</v>
      </c>
      <c r="E318" s="147" t="s">
        <v>8294</v>
      </c>
      <c r="F318" s="161"/>
      <c r="G318" s="147"/>
      <c r="H318" s="147" t="s">
        <v>8295</v>
      </c>
      <c r="I318" s="147"/>
      <c r="J318" s="147" t="s">
        <v>8296</v>
      </c>
      <c r="K318" s="162">
        <v>9234399168</v>
      </c>
      <c r="L318" s="147"/>
      <c r="M318" s="147"/>
      <c r="N318" s="147" t="s">
        <v>8290</v>
      </c>
      <c r="O318" s="147"/>
      <c r="S318" s="147"/>
      <c r="T318" s="147"/>
      <c r="U318" s="147"/>
      <c r="V318" s="147"/>
      <c r="W318" s="147"/>
      <c r="X318" s="147"/>
      <c r="Y318" s="147"/>
      <c r="Z318" s="147"/>
    </row>
    <row r="319" spans="1:26" ht="14.25" customHeight="1">
      <c r="A319" s="147"/>
      <c r="B319" s="195">
        <v>43739</v>
      </c>
      <c r="C319" s="196">
        <v>47</v>
      </c>
      <c r="D319" s="147" t="s">
        <v>8297</v>
      </c>
      <c r="E319" s="147" t="s">
        <v>8298</v>
      </c>
      <c r="F319" s="161"/>
      <c r="G319" s="147"/>
      <c r="H319" s="147" t="s">
        <v>8299</v>
      </c>
      <c r="I319" s="147"/>
      <c r="J319" s="147" t="s">
        <v>8300</v>
      </c>
      <c r="K319" s="162">
        <v>7209585805</v>
      </c>
      <c r="L319" s="147"/>
      <c r="M319" s="147">
        <v>7209585805</v>
      </c>
      <c r="N319" s="147" t="s">
        <v>8290</v>
      </c>
      <c r="O319" s="147"/>
      <c r="S319" s="147"/>
      <c r="T319" s="147"/>
      <c r="U319" s="147"/>
      <c r="V319" s="147"/>
      <c r="W319" s="147"/>
      <c r="X319" s="147"/>
      <c r="Y319" s="147"/>
      <c r="Z319" s="147"/>
    </row>
    <row r="320" spans="1:26" ht="14.25" customHeight="1">
      <c r="A320" s="147"/>
      <c r="B320" s="195">
        <v>43740</v>
      </c>
      <c r="C320" s="196">
        <v>47</v>
      </c>
      <c r="D320" s="147" t="s">
        <v>8301</v>
      </c>
      <c r="E320" s="147" t="s">
        <v>8298</v>
      </c>
      <c r="F320" s="161"/>
      <c r="G320" s="147" t="s">
        <v>2534</v>
      </c>
      <c r="H320" s="147" t="s">
        <v>8302</v>
      </c>
      <c r="I320" s="147"/>
      <c r="J320" s="147" t="s">
        <v>8303</v>
      </c>
      <c r="K320" s="162">
        <v>9122112380</v>
      </c>
      <c r="L320" s="147"/>
      <c r="M320" s="147">
        <v>9122112380</v>
      </c>
      <c r="N320" s="147" t="s">
        <v>8290</v>
      </c>
      <c r="O320" s="147"/>
      <c r="S320" s="147"/>
      <c r="T320" s="147"/>
      <c r="U320" s="147"/>
      <c r="V320" s="147"/>
      <c r="W320" s="147"/>
      <c r="X320" s="147"/>
      <c r="Y320" s="147"/>
      <c r="Z320" s="147"/>
    </row>
    <row r="321" spans="1:26" ht="14.25" customHeight="1">
      <c r="B321" s="4">
        <v>43740</v>
      </c>
      <c r="C321" s="5">
        <v>47</v>
      </c>
      <c r="D321" s="6" t="s">
        <v>8304</v>
      </c>
      <c r="E321" s="6" t="s">
        <v>8305</v>
      </c>
      <c r="F321" s="155"/>
      <c r="G321" s="6" t="s">
        <v>2534</v>
      </c>
      <c r="H321" s="6" t="s">
        <v>8306</v>
      </c>
      <c r="J321" s="6" t="s">
        <v>8307</v>
      </c>
      <c r="K321" s="16">
        <v>9122112380</v>
      </c>
    </row>
    <row r="322" spans="1:26" ht="14.25" customHeight="1">
      <c r="A322" s="147"/>
      <c r="B322" s="195">
        <v>43740</v>
      </c>
      <c r="C322" s="196">
        <v>47</v>
      </c>
      <c r="D322" s="147" t="s">
        <v>8308</v>
      </c>
      <c r="E322" s="147" t="s">
        <v>8309</v>
      </c>
      <c r="F322" s="161"/>
      <c r="G322" s="147" t="s">
        <v>8310</v>
      </c>
      <c r="H322" s="147" t="s">
        <v>8311</v>
      </c>
      <c r="I322" s="147"/>
      <c r="J322" s="147" t="s">
        <v>8312</v>
      </c>
      <c r="K322" s="162">
        <v>9122112380</v>
      </c>
      <c r="L322" s="147"/>
      <c r="M322" s="147"/>
      <c r="N322" s="147"/>
      <c r="O322" s="147"/>
      <c r="S322" s="147"/>
      <c r="T322" s="147"/>
      <c r="U322" s="147"/>
      <c r="V322" s="147"/>
      <c r="W322" s="147"/>
      <c r="X322" s="147"/>
      <c r="Y322" s="147"/>
      <c r="Z322" s="147"/>
    </row>
    <row r="323" spans="1:26" ht="14.25" customHeight="1">
      <c r="A323" s="147"/>
      <c r="B323" s="195">
        <v>43745</v>
      </c>
      <c r="C323" s="196">
        <v>48</v>
      </c>
      <c r="D323" s="147" t="s">
        <v>8313</v>
      </c>
      <c r="E323" s="147" t="s">
        <v>8314</v>
      </c>
      <c r="F323" s="161"/>
      <c r="G323" s="147"/>
      <c r="H323" s="147" t="s">
        <v>8315</v>
      </c>
      <c r="I323" s="147"/>
      <c r="J323" s="147" t="s">
        <v>8316</v>
      </c>
      <c r="K323" s="162"/>
      <c r="L323" s="147"/>
      <c r="M323" s="147"/>
      <c r="N323" s="147"/>
      <c r="O323" s="147"/>
      <c r="S323" s="147"/>
      <c r="T323" s="147"/>
      <c r="U323" s="147"/>
      <c r="V323" s="147"/>
      <c r="W323" s="147"/>
      <c r="X323" s="147"/>
      <c r="Y323" s="147"/>
      <c r="Z323" s="147"/>
    </row>
    <row r="324" spans="1:26" ht="14.25" customHeight="1">
      <c r="A324" s="147"/>
      <c r="B324" s="195">
        <v>43741</v>
      </c>
      <c r="C324" s="196">
        <v>47</v>
      </c>
      <c r="D324" s="147" t="s">
        <v>8317</v>
      </c>
      <c r="E324" s="147" t="s">
        <v>8318</v>
      </c>
      <c r="F324" s="161"/>
      <c r="G324" s="147"/>
      <c r="H324" s="147" t="s">
        <v>8319</v>
      </c>
      <c r="I324" s="147"/>
      <c r="J324" s="147" t="s">
        <v>8320</v>
      </c>
      <c r="K324" s="162">
        <v>9199873199</v>
      </c>
      <c r="L324" s="147"/>
      <c r="M324" s="147">
        <v>9102705318</v>
      </c>
      <c r="N324" s="147" t="s">
        <v>8116</v>
      </c>
      <c r="O324" s="147"/>
      <c r="S324" s="147"/>
      <c r="T324" s="147"/>
      <c r="U324" s="147"/>
      <c r="V324" s="147"/>
      <c r="W324" s="147"/>
      <c r="X324" s="147"/>
      <c r="Y324" s="147"/>
      <c r="Z324" s="147"/>
    </row>
    <row r="325" spans="1:26" ht="14.25" customHeight="1">
      <c r="A325" s="147"/>
      <c r="B325" s="195">
        <v>43741</v>
      </c>
      <c r="C325" s="196">
        <v>47</v>
      </c>
      <c r="D325" s="147" t="s">
        <v>8321</v>
      </c>
      <c r="E325" s="147"/>
      <c r="F325" s="161"/>
      <c r="G325" s="147"/>
      <c r="H325" s="147" t="s">
        <v>8322</v>
      </c>
      <c r="I325" s="147"/>
      <c r="J325" s="147" t="s">
        <v>8323</v>
      </c>
      <c r="K325" s="162">
        <v>9199873199</v>
      </c>
      <c r="L325" s="147"/>
      <c r="M325" s="147">
        <v>9102705318</v>
      </c>
      <c r="N325" s="147" t="s">
        <v>8116</v>
      </c>
      <c r="O325" s="147"/>
      <c r="S325" s="147"/>
      <c r="T325" s="147"/>
      <c r="U325" s="147"/>
      <c r="V325" s="147"/>
      <c r="W325" s="147"/>
      <c r="X325" s="147"/>
      <c r="Y325" s="147"/>
      <c r="Z325" s="147"/>
    </row>
    <row r="326" spans="1:26" ht="14.25" customHeight="1">
      <c r="A326" s="147" t="s">
        <v>8191</v>
      </c>
      <c r="B326" s="195">
        <v>43725</v>
      </c>
      <c r="C326" s="196">
        <v>47</v>
      </c>
      <c r="D326" s="147" t="s">
        <v>8324</v>
      </c>
      <c r="E326" s="147" t="s">
        <v>7314</v>
      </c>
      <c r="F326" s="161"/>
      <c r="G326" s="147"/>
      <c r="H326" s="147"/>
      <c r="I326" s="147"/>
      <c r="J326" s="147" t="s">
        <v>8202</v>
      </c>
      <c r="K326" s="162">
        <v>7762934777</v>
      </c>
      <c r="L326" s="147"/>
      <c r="M326" s="147">
        <v>9102705318</v>
      </c>
      <c r="N326" s="147" t="s">
        <v>8116</v>
      </c>
      <c r="O326" s="147"/>
      <c r="S326" s="147"/>
      <c r="T326" s="147"/>
      <c r="U326" s="147"/>
      <c r="V326" s="147"/>
      <c r="W326" s="147"/>
      <c r="X326" s="147"/>
      <c r="Y326" s="147"/>
      <c r="Z326" s="147"/>
    </row>
    <row r="327" spans="1:26" ht="14.25" customHeight="1">
      <c r="A327" s="47"/>
      <c r="B327" s="47"/>
      <c r="C327" s="65">
        <v>47</v>
      </c>
      <c r="D327" s="47" t="s">
        <v>8325</v>
      </c>
      <c r="E327" s="47" t="s">
        <v>8326</v>
      </c>
      <c r="F327" s="151"/>
      <c r="G327" s="47"/>
      <c r="H327" s="47" t="s">
        <v>8327</v>
      </c>
      <c r="I327" s="47"/>
      <c r="J327" s="47" t="s">
        <v>8328</v>
      </c>
      <c r="K327" s="66">
        <v>9955143006</v>
      </c>
      <c r="L327" s="47"/>
      <c r="M327" s="47">
        <v>9955143006</v>
      </c>
      <c r="N327" s="47" t="s">
        <v>8116</v>
      </c>
      <c r="O327" s="47"/>
      <c r="S327" s="47"/>
      <c r="T327" s="47"/>
      <c r="U327" s="47"/>
      <c r="V327" s="47"/>
      <c r="W327" s="47"/>
      <c r="X327" s="47"/>
      <c r="Y327" s="47"/>
      <c r="Z327" s="47"/>
    </row>
    <row r="328" spans="1:26" ht="14.25" customHeight="1">
      <c r="B328" s="195">
        <v>43713</v>
      </c>
      <c r="C328" s="196">
        <v>47</v>
      </c>
      <c r="D328" s="147" t="s">
        <v>8329</v>
      </c>
      <c r="E328" s="147" t="s">
        <v>8330</v>
      </c>
      <c r="F328" s="161"/>
      <c r="G328" s="147"/>
      <c r="H328" s="147" t="s">
        <v>8331</v>
      </c>
      <c r="I328" s="147"/>
      <c r="J328" s="147" t="s">
        <v>8332</v>
      </c>
      <c r="K328" s="162">
        <v>7781037685</v>
      </c>
      <c r="L328" s="147"/>
      <c r="M328" s="147">
        <v>7781037685</v>
      </c>
      <c r="N328" s="6" t="s">
        <v>8116</v>
      </c>
    </row>
    <row r="329" spans="1:26" ht="14.25" customHeight="1">
      <c r="A329" s="47"/>
      <c r="B329" s="47"/>
      <c r="C329" s="65">
        <v>47</v>
      </c>
      <c r="D329" s="47" t="s">
        <v>8333</v>
      </c>
      <c r="E329" s="47" t="s">
        <v>8334</v>
      </c>
      <c r="F329" s="151"/>
      <c r="G329" s="47"/>
      <c r="H329" s="47" t="s">
        <v>8335</v>
      </c>
      <c r="I329" s="47"/>
      <c r="J329" s="47" t="s">
        <v>8336</v>
      </c>
      <c r="K329" s="66">
        <v>9431961617</v>
      </c>
      <c r="L329" s="47"/>
      <c r="M329" s="47">
        <v>9431961617</v>
      </c>
      <c r="N329" s="47" t="s">
        <v>8116</v>
      </c>
      <c r="O329" s="47"/>
      <c r="S329" s="47"/>
      <c r="T329" s="47"/>
      <c r="U329" s="47"/>
      <c r="V329" s="47"/>
      <c r="W329" s="47"/>
      <c r="X329" s="47"/>
      <c r="Y329" s="47"/>
      <c r="Z329" s="47"/>
    </row>
    <row r="330" spans="1:26" ht="14.25" customHeight="1">
      <c r="A330" s="47"/>
      <c r="B330" s="47"/>
      <c r="C330" s="65">
        <v>47</v>
      </c>
      <c r="D330" s="47" t="s">
        <v>8337</v>
      </c>
      <c r="E330" s="47" t="s">
        <v>8338</v>
      </c>
      <c r="F330" s="151"/>
      <c r="G330" s="47"/>
      <c r="H330" s="47" t="s">
        <v>8339</v>
      </c>
      <c r="I330" s="47"/>
      <c r="J330" s="47" t="s">
        <v>8340</v>
      </c>
      <c r="K330" s="66">
        <v>9431961617</v>
      </c>
      <c r="L330" s="47"/>
      <c r="M330" s="47">
        <v>9431961617</v>
      </c>
      <c r="N330" s="47" t="s">
        <v>8116</v>
      </c>
      <c r="O330" s="47"/>
      <c r="S330" s="47"/>
      <c r="T330" s="47"/>
      <c r="U330" s="47"/>
      <c r="V330" s="47"/>
      <c r="W330" s="47"/>
      <c r="X330" s="47"/>
      <c r="Y330" s="47"/>
      <c r="Z330" s="47"/>
    </row>
    <row r="331" spans="1:26" ht="14.25" customHeight="1">
      <c r="A331" s="47"/>
      <c r="B331" s="47"/>
      <c r="C331" s="65">
        <v>47</v>
      </c>
      <c r="D331" s="47" t="s">
        <v>8341</v>
      </c>
      <c r="E331" s="47" t="s">
        <v>8342</v>
      </c>
      <c r="F331" s="151"/>
      <c r="G331" s="47"/>
      <c r="H331" s="47" t="s">
        <v>8343</v>
      </c>
      <c r="I331" s="47"/>
      <c r="J331" s="47" t="s">
        <v>8344</v>
      </c>
      <c r="K331" s="66">
        <v>9431961617</v>
      </c>
      <c r="L331" s="47"/>
      <c r="M331" s="47">
        <v>9431961617</v>
      </c>
      <c r="N331" s="47" t="s">
        <v>8116</v>
      </c>
      <c r="O331" s="47"/>
      <c r="S331" s="47"/>
      <c r="T331" s="47"/>
      <c r="U331" s="47"/>
      <c r="V331" s="47"/>
      <c r="W331" s="47"/>
      <c r="X331" s="47"/>
      <c r="Y331" s="47"/>
      <c r="Z331" s="47"/>
    </row>
    <row r="332" spans="1:26" ht="14.25" customHeight="1">
      <c r="A332" s="47"/>
      <c r="B332" s="47"/>
      <c r="C332" s="65"/>
      <c r="D332" s="47" t="s">
        <v>8345</v>
      </c>
      <c r="E332" s="47" t="s">
        <v>8266</v>
      </c>
      <c r="F332" s="151"/>
      <c r="G332" s="47" t="s">
        <v>8346</v>
      </c>
      <c r="H332" s="47" t="s">
        <v>8347</v>
      </c>
      <c r="I332" s="47"/>
      <c r="J332" s="47" t="s">
        <v>8348</v>
      </c>
      <c r="K332" s="66">
        <v>8797597329</v>
      </c>
      <c r="L332" s="47"/>
      <c r="M332" s="47">
        <v>8797597329</v>
      </c>
      <c r="N332" s="47" t="s">
        <v>8116</v>
      </c>
      <c r="O332" s="47"/>
      <c r="S332" s="47"/>
      <c r="T332" s="47"/>
      <c r="U332" s="47"/>
      <c r="V332" s="47"/>
      <c r="W332" s="47"/>
      <c r="X332" s="47"/>
      <c r="Y332" s="47"/>
      <c r="Z332" s="47"/>
    </row>
    <row r="333" spans="1:26" ht="14.25" customHeight="1">
      <c r="A333" s="147"/>
      <c r="B333" s="195">
        <v>43745</v>
      </c>
      <c r="C333" s="196">
        <v>48</v>
      </c>
      <c r="D333" s="147" t="s">
        <v>8349</v>
      </c>
      <c r="E333" s="147" t="s">
        <v>8350</v>
      </c>
      <c r="F333" s="161"/>
      <c r="G333" s="147" t="s">
        <v>8351</v>
      </c>
      <c r="H333" s="147" t="s">
        <v>8352</v>
      </c>
      <c r="I333" s="147"/>
      <c r="J333" s="147" t="s">
        <v>8353</v>
      </c>
      <c r="K333" s="162">
        <v>7631129670</v>
      </c>
      <c r="L333" s="147"/>
      <c r="M333" s="147">
        <v>7631129670</v>
      </c>
      <c r="N333" s="147" t="s">
        <v>8354</v>
      </c>
      <c r="O333" s="147"/>
      <c r="S333" s="147"/>
      <c r="T333" s="147"/>
      <c r="U333" s="147"/>
      <c r="V333" s="147"/>
      <c r="W333" s="147"/>
      <c r="X333" s="147"/>
      <c r="Y333" s="147"/>
      <c r="Z333" s="147"/>
    </row>
    <row r="334" spans="1:26" ht="14.25" customHeight="1">
      <c r="A334" s="147"/>
      <c r="B334" s="147"/>
      <c r="C334" s="196"/>
      <c r="D334" s="147" t="s">
        <v>8355</v>
      </c>
      <c r="E334" s="147" t="s">
        <v>7411</v>
      </c>
      <c r="F334" s="161"/>
      <c r="G334" s="147" t="s">
        <v>8356</v>
      </c>
      <c r="H334" s="147" t="s">
        <v>8357</v>
      </c>
      <c r="I334" s="147"/>
      <c r="J334" s="147" t="s">
        <v>8358</v>
      </c>
      <c r="K334" s="162">
        <v>8757790080</v>
      </c>
      <c r="L334" s="147"/>
      <c r="M334" s="147">
        <v>8757790080</v>
      </c>
      <c r="N334" s="147" t="s">
        <v>8116</v>
      </c>
      <c r="O334" s="147"/>
      <c r="S334" s="147"/>
      <c r="T334" s="147"/>
      <c r="U334" s="147"/>
      <c r="V334" s="147"/>
      <c r="W334" s="147"/>
      <c r="X334" s="147"/>
      <c r="Y334" s="147"/>
      <c r="Z334" s="147"/>
    </row>
    <row r="335" spans="1:26" ht="14.25" customHeight="1">
      <c r="A335" s="147"/>
      <c r="B335" s="195">
        <v>43747</v>
      </c>
      <c r="C335" s="196">
        <v>47</v>
      </c>
      <c r="D335" s="147" t="s">
        <v>8359</v>
      </c>
      <c r="E335" s="147" t="s">
        <v>8360</v>
      </c>
      <c r="F335" s="161"/>
      <c r="G335" s="147" t="s">
        <v>8358</v>
      </c>
      <c r="H335" s="147" t="s">
        <v>8361</v>
      </c>
      <c r="I335" s="147"/>
      <c r="J335" s="147" t="s">
        <v>8362</v>
      </c>
      <c r="K335" s="162">
        <v>8757790080</v>
      </c>
      <c r="L335" s="147"/>
      <c r="M335" s="147">
        <v>8757790080</v>
      </c>
      <c r="N335" s="147" t="s">
        <v>8116</v>
      </c>
      <c r="O335" s="147"/>
      <c r="S335" s="147"/>
      <c r="T335" s="147"/>
      <c r="U335" s="147"/>
      <c r="V335" s="147"/>
      <c r="W335" s="147"/>
      <c r="X335" s="147"/>
      <c r="Y335" s="147"/>
      <c r="Z335" s="147"/>
    </row>
    <row r="336" spans="1:26" ht="14.25" customHeight="1">
      <c r="A336" s="47"/>
      <c r="B336" s="158">
        <v>43747</v>
      </c>
      <c r="C336" s="65"/>
      <c r="D336" s="47" t="s">
        <v>8363</v>
      </c>
      <c r="E336" s="47" t="s">
        <v>7411</v>
      </c>
      <c r="F336" s="151"/>
      <c r="G336" s="47"/>
      <c r="H336" s="47" t="s">
        <v>7411</v>
      </c>
      <c r="I336" s="47"/>
      <c r="J336" s="47" t="s">
        <v>8364</v>
      </c>
      <c r="K336" s="66">
        <v>8797832856</v>
      </c>
      <c r="L336" s="47"/>
      <c r="M336" s="47">
        <v>8797832856</v>
      </c>
      <c r="N336" s="47" t="s">
        <v>8116</v>
      </c>
      <c r="O336" s="47"/>
      <c r="S336" s="47"/>
      <c r="T336" s="47"/>
      <c r="U336" s="47"/>
      <c r="V336" s="47"/>
      <c r="W336" s="47"/>
      <c r="X336" s="47"/>
      <c r="Y336" s="47"/>
      <c r="Z336" s="47"/>
    </row>
    <row r="337" spans="1:26" ht="14.25" customHeight="1">
      <c r="A337" s="147"/>
      <c r="B337" s="195">
        <v>43747</v>
      </c>
      <c r="C337" s="196"/>
      <c r="D337" s="147" t="s">
        <v>8365</v>
      </c>
      <c r="E337" s="147" t="s">
        <v>274</v>
      </c>
      <c r="F337" s="161"/>
      <c r="G337" s="195">
        <v>27408</v>
      </c>
      <c r="H337" s="147" t="s">
        <v>8366</v>
      </c>
      <c r="I337" s="147"/>
      <c r="J337" s="147" t="s">
        <v>8367</v>
      </c>
      <c r="K337" s="162">
        <v>9279146232</v>
      </c>
      <c r="L337" s="147"/>
      <c r="M337" s="147">
        <v>9279146232</v>
      </c>
      <c r="N337" s="147" t="s">
        <v>8116</v>
      </c>
      <c r="O337" s="147"/>
      <c r="S337" s="147"/>
      <c r="T337" s="147"/>
      <c r="U337" s="147"/>
      <c r="V337" s="147"/>
      <c r="W337" s="147"/>
      <c r="X337" s="147"/>
      <c r="Y337" s="147"/>
      <c r="Z337" s="147"/>
    </row>
    <row r="338" spans="1:26" ht="14.25" customHeight="1">
      <c r="A338" s="147"/>
      <c r="B338" s="195">
        <v>43747</v>
      </c>
      <c r="C338" s="196"/>
      <c r="D338" s="147" t="s">
        <v>8368</v>
      </c>
      <c r="E338" s="147" t="s">
        <v>274</v>
      </c>
      <c r="F338" s="161"/>
      <c r="G338" s="195">
        <v>30330</v>
      </c>
      <c r="H338" s="147" t="s">
        <v>8369</v>
      </c>
      <c r="I338" s="147"/>
      <c r="J338" s="147" t="s">
        <v>8370</v>
      </c>
      <c r="K338" s="162">
        <v>9279146232</v>
      </c>
      <c r="L338" s="147"/>
      <c r="M338" s="147">
        <v>9279146232</v>
      </c>
      <c r="N338" s="147" t="s">
        <v>8116</v>
      </c>
      <c r="O338" s="147"/>
      <c r="S338" s="147"/>
      <c r="T338" s="147"/>
      <c r="U338" s="147"/>
      <c r="V338" s="147"/>
      <c r="W338" s="147"/>
      <c r="X338" s="147"/>
      <c r="Y338" s="147"/>
      <c r="Z338" s="147"/>
    </row>
    <row r="339" spans="1:26" ht="14.25" customHeight="1">
      <c r="A339" s="147"/>
      <c r="B339" s="195">
        <v>43747</v>
      </c>
      <c r="C339" s="196"/>
      <c r="D339" s="147"/>
      <c r="E339" s="147"/>
      <c r="F339" s="161"/>
      <c r="G339" s="147" t="s">
        <v>8371</v>
      </c>
      <c r="H339" s="147" t="s">
        <v>8372</v>
      </c>
      <c r="I339" s="147"/>
      <c r="J339" s="147" t="s">
        <v>8373</v>
      </c>
      <c r="K339" s="162">
        <v>9304239824</v>
      </c>
      <c r="L339" s="147"/>
      <c r="M339" s="147">
        <v>9304239824</v>
      </c>
      <c r="N339" s="147" t="s">
        <v>8116</v>
      </c>
      <c r="O339" s="147"/>
      <c r="S339" s="147"/>
      <c r="T339" s="147"/>
      <c r="U339" s="147"/>
      <c r="V339" s="147"/>
      <c r="W339" s="147"/>
      <c r="X339" s="147"/>
      <c r="Y339" s="147"/>
      <c r="Z339" s="147"/>
    </row>
    <row r="340" spans="1:26" ht="14.25" customHeight="1">
      <c r="A340" s="147"/>
      <c r="B340" s="195">
        <v>43747</v>
      </c>
      <c r="C340" s="196"/>
      <c r="D340" s="147"/>
      <c r="E340" s="147"/>
      <c r="F340" s="161"/>
      <c r="G340" s="147" t="s">
        <v>8371</v>
      </c>
      <c r="H340" s="147"/>
      <c r="I340" s="147"/>
      <c r="J340" s="147"/>
      <c r="K340" s="162">
        <v>9304239824</v>
      </c>
      <c r="L340" s="147"/>
      <c r="M340" s="147">
        <v>9304239824</v>
      </c>
      <c r="N340" s="147" t="s">
        <v>8116</v>
      </c>
      <c r="O340" s="147"/>
      <c r="S340" s="147"/>
      <c r="T340" s="147"/>
      <c r="U340" s="147"/>
      <c r="V340" s="147"/>
      <c r="W340" s="147"/>
      <c r="X340" s="147"/>
      <c r="Y340" s="147"/>
      <c r="Z340" s="147"/>
    </row>
    <row r="341" spans="1:26" ht="14.25" customHeight="1">
      <c r="A341" s="147"/>
      <c r="B341" s="195">
        <v>43747</v>
      </c>
      <c r="C341" s="196"/>
      <c r="D341" s="147" t="s">
        <v>8374</v>
      </c>
      <c r="E341" s="147" t="s">
        <v>7411</v>
      </c>
      <c r="F341" s="161"/>
      <c r="G341" s="147" t="s">
        <v>274</v>
      </c>
      <c r="H341" s="147" t="s">
        <v>8375</v>
      </c>
      <c r="I341" s="147"/>
      <c r="J341" s="147" t="s">
        <v>8376</v>
      </c>
      <c r="K341" s="162">
        <v>8709975217</v>
      </c>
      <c r="L341" s="147"/>
      <c r="M341" s="147">
        <v>8709975217</v>
      </c>
      <c r="N341" s="147" t="s">
        <v>8116</v>
      </c>
      <c r="O341" s="147"/>
      <c r="S341" s="147"/>
      <c r="T341" s="147"/>
      <c r="U341" s="147"/>
      <c r="V341" s="147"/>
      <c r="W341" s="147"/>
      <c r="X341" s="147"/>
      <c r="Y341" s="147"/>
      <c r="Z341" s="147"/>
    </row>
    <row r="342" spans="1:26" ht="14.25" customHeight="1">
      <c r="B342" s="4">
        <v>43747</v>
      </c>
      <c r="C342" s="5"/>
      <c r="F342" s="155"/>
      <c r="G342" s="6" t="s">
        <v>8371</v>
      </c>
      <c r="H342" s="6" t="s">
        <v>8377</v>
      </c>
      <c r="J342" s="6" t="s">
        <v>8378</v>
      </c>
      <c r="K342" s="16">
        <v>9031783607</v>
      </c>
      <c r="M342" s="6">
        <v>9031783607</v>
      </c>
      <c r="N342" s="137" t="s">
        <v>8379</v>
      </c>
    </row>
    <row r="343" spans="1:26" ht="14.25" customHeight="1">
      <c r="A343" s="147"/>
      <c r="B343" s="195">
        <v>43748</v>
      </c>
      <c r="C343" s="196">
        <v>47</v>
      </c>
      <c r="D343" s="147" t="s">
        <v>8380</v>
      </c>
      <c r="E343" s="147" t="s">
        <v>8266</v>
      </c>
      <c r="F343" s="161"/>
      <c r="G343" s="238" t="s">
        <v>8381</v>
      </c>
      <c r="H343" s="147" t="s">
        <v>8382</v>
      </c>
      <c r="I343" s="147"/>
      <c r="J343" s="147" t="s">
        <v>8383</v>
      </c>
      <c r="K343" s="162">
        <v>8797597329</v>
      </c>
      <c r="L343" s="147"/>
      <c r="M343" s="147">
        <v>8797597329</v>
      </c>
      <c r="N343" s="147" t="s">
        <v>8116</v>
      </c>
      <c r="O343" s="147"/>
      <c r="P343" s="147"/>
      <c r="Q343" s="147"/>
      <c r="R343" s="147"/>
    </row>
    <row r="344" spans="1:26" ht="14.25" customHeight="1">
      <c r="B344" s="158">
        <v>43748</v>
      </c>
      <c r="C344" s="65">
        <v>47</v>
      </c>
      <c r="D344" s="47" t="s">
        <v>8384</v>
      </c>
      <c r="E344" s="47" t="s">
        <v>8385</v>
      </c>
      <c r="F344" s="151"/>
      <c r="G344" s="47"/>
      <c r="H344" s="47" t="s">
        <v>8386</v>
      </c>
      <c r="I344" s="47"/>
      <c r="J344" s="47" t="s">
        <v>8387</v>
      </c>
      <c r="K344" s="66">
        <v>8797597329</v>
      </c>
      <c r="L344" s="47"/>
      <c r="M344" s="47">
        <v>8797597329</v>
      </c>
      <c r="N344" s="137" t="s">
        <v>8116</v>
      </c>
    </row>
    <row r="345" spans="1:26" ht="14.25" customHeight="1">
      <c r="B345" s="158">
        <v>43748</v>
      </c>
      <c r="C345" s="65">
        <v>47</v>
      </c>
      <c r="D345" s="47" t="s">
        <v>8388</v>
      </c>
      <c r="E345" s="47" t="s">
        <v>8389</v>
      </c>
      <c r="F345" s="151"/>
      <c r="G345" s="47" t="s">
        <v>8390</v>
      </c>
      <c r="H345" s="47" t="s">
        <v>8391</v>
      </c>
      <c r="I345" s="47"/>
      <c r="J345" s="47" t="s">
        <v>8392</v>
      </c>
      <c r="K345" s="66">
        <v>9431961617</v>
      </c>
      <c r="L345" s="47"/>
      <c r="M345" s="47">
        <v>9431961617</v>
      </c>
      <c r="N345" s="137" t="s">
        <v>8116</v>
      </c>
    </row>
    <row r="346" spans="1:26" ht="14.25" customHeight="1">
      <c r="B346" s="158">
        <v>43748</v>
      </c>
      <c r="C346" s="65">
        <v>47</v>
      </c>
      <c r="D346" s="47" t="s">
        <v>8393</v>
      </c>
      <c r="E346" s="47" t="s">
        <v>8389</v>
      </c>
      <c r="F346" s="151"/>
      <c r="G346" s="47" t="s">
        <v>8389</v>
      </c>
      <c r="H346" s="47" t="s">
        <v>8394</v>
      </c>
      <c r="I346" s="47"/>
      <c r="J346" s="47" t="s">
        <v>8395</v>
      </c>
      <c r="K346" s="66">
        <v>9431961617</v>
      </c>
      <c r="M346" s="47">
        <v>9431961617</v>
      </c>
      <c r="N346" s="137" t="s">
        <v>8116</v>
      </c>
    </row>
    <row r="347" spans="1:26" ht="14.25" customHeight="1">
      <c r="A347" s="47"/>
      <c r="B347" s="158">
        <v>43748</v>
      </c>
      <c r="C347" s="65">
        <v>47</v>
      </c>
      <c r="D347" s="47" t="s">
        <v>8396</v>
      </c>
      <c r="E347" s="47" t="s">
        <v>8294</v>
      </c>
      <c r="F347" s="151"/>
      <c r="G347" s="47" t="s">
        <v>3197</v>
      </c>
      <c r="H347" s="47" t="s">
        <v>8397</v>
      </c>
      <c r="I347" s="47"/>
      <c r="J347" s="47" t="s">
        <v>3197</v>
      </c>
      <c r="K347" s="66">
        <v>7991170355</v>
      </c>
      <c r="L347" s="47"/>
      <c r="M347" s="47"/>
      <c r="N347" s="47"/>
      <c r="O347" s="47"/>
      <c r="S347" s="47"/>
      <c r="T347" s="47"/>
      <c r="U347" s="47"/>
      <c r="V347" s="47"/>
      <c r="W347" s="47"/>
      <c r="X347" s="47"/>
      <c r="Y347" s="47"/>
      <c r="Z347" s="47"/>
    </row>
    <row r="348" spans="1:26" ht="14.25" customHeight="1">
      <c r="B348" s="195">
        <v>43748</v>
      </c>
      <c r="C348" s="196">
        <v>47</v>
      </c>
      <c r="D348" s="147" t="s">
        <v>8398</v>
      </c>
      <c r="E348" s="147"/>
      <c r="F348" s="161"/>
      <c r="G348" s="147"/>
      <c r="H348" s="147"/>
      <c r="I348" s="147"/>
      <c r="J348" s="147" t="s">
        <v>8399</v>
      </c>
      <c r="K348" s="162">
        <v>7338020635</v>
      </c>
      <c r="L348" s="147"/>
      <c r="M348" s="147">
        <v>7338020635</v>
      </c>
      <c r="N348" s="137" t="s">
        <v>8116</v>
      </c>
    </row>
    <row r="349" spans="1:26" ht="14.25" customHeight="1">
      <c r="B349" s="195">
        <v>43748</v>
      </c>
      <c r="C349" s="196">
        <v>47</v>
      </c>
      <c r="D349" s="147" t="s">
        <v>8400</v>
      </c>
      <c r="E349" s="147"/>
      <c r="F349" s="161"/>
      <c r="G349" s="147"/>
      <c r="H349" s="147"/>
      <c r="I349" s="147"/>
      <c r="J349" s="147" t="s">
        <v>8401</v>
      </c>
      <c r="K349" s="162">
        <v>7338020635</v>
      </c>
      <c r="L349" s="147"/>
      <c r="M349" s="147">
        <v>7338020635</v>
      </c>
      <c r="N349" s="137" t="s">
        <v>8116</v>
      </c>
    </row>
    <row r="350" spans="1:26" ht="14.25" customHeight="1">
      <c r="B350" s="158">
        <v>43748</v>
      </c>
      <c r="C350" s="65">
        <v>47</v>
      </c>
      <c r="D350" s="47" t="s">
        <v>8402</v>
      </c>
      <c r="E350" s="47"/>
      <c r="F350" s="151"/>
      <c r="G350" s="47"/>
      <c r="H350" s="47"/>
      <c r="I350" s="47"/>
      <c r="J350" s="47" t="s">
        <v>8403</v>
      </c>
      <c r="K350" s="66">
        <v>7338020635</v>
      </c>
      <c r="L350" s="47"/>
      <c r="M350" s="47">
        <v>7338020635</v>
      </c>
      <c r="N350" s="137" t="s">
        <v>8116</v>
      </c>
    </row>
    <row r="351" spans="1:26" ht="14.25" customHeight="1">
      <c r="B351" s="158">
        <v>43748</v>
      </c>
      <c r="C351" s="65">
        <v>47</v>
      </c>
      <c r="D351" s="47" t="s">
        <v>8404</v>
      </c>
      <c r="E351" s="47"/>
      <c r="F351" s="151"/>
      <c r="G351" s="47"/>
      <c r="H351" s="47"/>
      <c r="I351" s="47"/>
      <c r="J351" s="47" t="s">
        <v>8405</v>
      </c>
      <c r="K351" s="66">
        <v>7338020635</v>
      </c>
      <c r="L351" s="47"/>
      <c r="M351" s="47">
        <v>7338020635</v>
      </c>
      <c r="N351" s="137" t="s">
        <v>8116</v>
      </c>
    </row>
    <row r="352" spans="1:26" ht="14.25" customHeight="1">
      <c r="B352" s="195">
        <v>43748</v>
      </c>
      <c r="C352" s="196">
        <v>47</v>
      </c>
      <c r="D352" s="147" t="s">
        <v>8406</v>
      </c>
      <c r="E352" s="147" t="s">
        <v>8407</v>
      </c>
      <c r="F352" s="161"/>
      <c r="G352" s="147"/>
      <c r="H352" s="147"/>
      <c r="I352" s="147"/>
      <c r="J352" s="147" t="s">
        <v>8408</v>
      </c>
      <c r="K352" s="162">
        <v>8579002622</v>
      </c>
      <c r="L352" s="147"/>
      <c r="M352" s="147">
        <v>8579002622</v>
      </c>
      <c r="N352" s="137" t="s">
        <v>8116</v>
      </c>
    </row>
    <row r="353" spans="2:14" ht="14.25" customHeight="1">
      <c r="B353" s="4">
        <v>43748</v>
      </c>
      <c r="C353" s="5">
        <v>47</v>
      </c>
      <c r="D353" s="6" t="s">
        <v>8409</v>
      </c>
      <c r="E353" s="6" t="s">
        <v>0</v>
      </c>
      <c r="F353" s="155"/>
      <c r="J353" s="6" t="s">
        <v>7992</v>
      </c>
      <c r="K353" s="16">
        <v>9771183447</v>
      </c>
    </row>
    <row r="354" spans="2:14" ht="14.25" customHeight="1">
      <c r="B354" s="195">
        <v>43748</v>
      </c>
      <c r="C354" s="196">
        <v>47</v>
      </c>
      <c r="D354" s="147" t="s">
        <v>8410</v>
      </c>
      <c r="E354" s="147" t="s">
        <v>8411</v>
      </c>
      <c r="F354" s="161"/>
      <c r="G354" s="147"/>
      <c r="H354" s="147" t="s">
        <v>8412</v>
      </c>
      <c r="I354" s="147"/>
      <c r="J354" s="147" t="s">
        <v>8413</v>
      </c>
      <c r="K354" s="162">
        <v>7033904337</v>
      </c>
      <c r="L354" s="147"/>
      <c r="M354" s="147">
        <v>7033904337</v>
      </c>
      <c r="N354" s="137" t="s">
        <v>8116</v>
      </c>
    </row>
    <row r="355" spans="2:14" ht="14.25" customHeight="1">
      <c r="B355" s="158">
        <v>43748</v>
      </c>
      <c r="C355" s="65">
        <v>47</v>
      </c>
      <c r="D355" s="47" t="s">
        <v>8414</v>
      </c>
      <c r="E355" s="47" t="s">
        <v>8415</v>
      </c>
      <c r="F355" s="151"/>
      <c r="G355" s="47" t="s">
        <v>8416</v>
      </c>
      <c r="H355" s="47" t="s">
        <v>8417</v>
      </c>
      <c r="I355" s="47"/>
      <c r="J355" s="47" t="s">
        <v>8418</v>
      </c>
      <c r="K355" s="66">
        <v>9523478126</v>
      </c>
      <c r="L355" s="47"/>
      <c r="M355" s="47">
        <v>9523478126</v>
      </c>
      <c r="N355" s="137" t="s">
        <v>8419</v>
      </c>
    </row>
    <row r="356" spans="2:14" ht="14.25" customHeight="1">
      <c r="B356" s="158">
        <v>43748</v>
      </c>
      <c r="C356" s="65">
        <v>47</v>
      </c>
      <c r="D356" s="47" t="s">
        <v>8420</v>
      </c>
      <c r="E356" s="47" t="s">
        <v>8421</v>
      </c>
      <c r="F356" s="151"/>
      <c r="G356" s="47"/>
      <c r="H356" s="47" t="s">
        <v>8422</v>
      </c>
      <c r="I356" s="47"/>
      <c r="J356" s="47" t="s">
        <v>8423</v>
      </c>
      <c r="K356" s="66">
        <v>9523478126</v>
      </c>
      <c r="L356" s="47"/>
      <c r="M356" s="47">
        <v>9523478126</v>
      </c>
      <c r="N356" s="137" t="s">
        <v>8419</v>
      </c>
    </row>
    <row r="357" spans="2:14" ht="14.25" customHeight="1">
      <c r="B357" s="4">
        <v>43748</v>
      </c>
      <c r="C357" s="5">
        <v>48</v>
      </c>
      <c r="D357" s="6" t="s">
        <v>8424</v>
      </c>
      <c r="E357" s="6" t="s">
        <v>8425</v>
      </c>
      <c r="F357" s="155"/>
      <c r="G357" s="6" t="s">
        <v>8426</v>
      </c>
      <c r="H357" s="6" t="s">
        <v>8427</v>
      </c>
      <c r="J357" s="6" t="s">
        <v>8428</v>
      </c>
      <c r="K357" s="16">
        <v>9852929784</v>
      </c>
      <c r="M357" s="6">
        <v>9852929784</v>
      </c>
      <c r="N357" s="137" t="s">
        <v>8116</v>
      </c>
    </row>
    <row r="358" spans="2:14" ht="14.25" customHeight="1">
      <c r="B358" s="4">
        <v>43748</v>
      </c>
      <c r="C358" s="5">
        <v>48</v>
      </c>
      <c r="D358" s="6" t="s">
        <v>8429</v>
      </c>
      <c r="E358" s="6" t="s">
        <v>8430</v>
      </c>
      <c r="F358" s="155"/>
      <c r="G358" s="6" t="s">
        <v>8431</v>
      </c>
      <c r="H358" s="6" t="s">
        <v>8432</v>
      </c>
      <c r="I358" s="6" t="s">
        <v>8433</v>
      </c>
      <c r="J358" s="6" t="s">
        <v>8434</v>
      </c>
      <c r="K358" s="16">
        <v>9852929784</v>
      </c>
      <c r="M358" s="6">
        <v>9852929784</v>
      </c>
      <c r="N358" s="137" t="s">
        <v>8116</v>
      </c>
    </row>
    <row r="359" spans="2:14" ht="14.25" customHeight="1">
      <c r="B359" s="4">
        <v>43748</v>
      </c>
      <c r="C359" s="5">
        <v>48</v>
      </c>
      <c r="D359" s="6" t="s">
        <v>8435</v>
      </c>
      <c r="E359" s="6" t="s">
        <v>8430</v>
      </c>
      <c r="F359" s="155"/>
      <c r="G359" s="6" t="s">
        <v>8436</v>
      </c>
      <c r="H359" s="6" t="s">
        <v>8437</v>
      </c>
      <c r="I359" s="6" t="s">
        <v>8438</v>
      </c>
      <c r="J359" s="6" t="s">
        <v>8439</v>
      </c>
      <c r="K359" s="16">
        <v>9852929784</v>
      </c>
      <c r="M359" s="6">
        <v>9852929784</v>
      </c>
      <c r="N359" s="137" t="s">
        <v>8116</v>
      </c>
    </row>
    <row r="360" spans="2:14" ht="14.25" customHeight="1">
      <c r="B360" s="4">
        <v>43748</v>
      </c>
      <c r="C360" s="5">
        <v>48</v>
      </c>
      <c r="D360" s="6" t="s">
        <v>8440</v>
      </c>
      <c r="E360" s="6" t="s">
        <v>8441</v>
      </c>
      <c r="F360" s="155"/>
      <c r="G360" s="6" t="s">
        <v>8442</v>
      </c>
      <c r="H360" s="6" t="s">
        <v>8443</v>
      </c>
      <c r="I360" s="6" t="s">
        <v>8444</v>
      </c>
      <c r="J360" s="6" t="s">
        <v>8445</v>
      </c>
      <c r="K360" s="16">
        <v>9234433909</v>
      </c>
      <c r="M360" s="6">
        <v>9234433909</v>
      </c>
      <c r="N360" s="137" t="s">
        <v>8116</v>
      </c>
    </row>
    <row r="361" spans="2:14" ht="14.25" customHeight="1">
      <c r="B361" s="4">
        <v>43748</v>
      </c>
      <c r="C361" s="5">
        <v>48</v>
      </c>
      <c r="D361" s="6" t="s">
        <v>8446</v>
      </c>
      <c r="E361" s="6" t="s">
        <v>8441</v>
      </c>
      <c r="F361" s="155"/>
      <c r="G361" s="6" t="s">
        <v>8442</v>
      </c>
      <c r="H361" s="6" t="s">
        <v>8447</v>
      </c>
      <c r="I361" s="6" t="s">
        <v>8448</v>
      </c>
      <c r="J361" s="6" t="s">
        <v>8449</v>
      </c>
      <c r="K361" s="16">
        <v>9234433909</v>
      </c>
      <c r="M361" s="6">
        <v>9234433909</v>
      </c>
      <c r="N361" s="137" t="s">
        <v>8116</v>
      </c>
    </row>
    <row r="362" spans="2:14" ht="14.25" customHeight="1">
      <c r="B362" s="4">
        <v>43748</v>
      </c>
      <c r="C362" s="5">
        <v>48</v>
      </c>
      <c r="D362" s="6" t="s">
        <v>8450</v>
      </c>
      <c r="F362" s="155"/>
      <c r="H362" s="6" t="s">
        <v>8451</v>
      </c>
      <c r="I362" s="6" t="s">
        <v>8452</v>
      </c>
      <c r="J362" s="6" t="s">
        <v>8453</v>
      </c>
      <c r="K362" s="16">
        <v>9234433909</v>
      </c>
      <c r="M362" s="6">
        <v>9234433909</v>
      </c>
      <c r="N362" s="137" t="s">
        <v>8116</v>
      </c>
    </row>
    <row r="363" spans="2:14" ht="14.25" customHeight="1">
      <c r="B363" s="4">
        <v>43748</v>
      </c>
      <c r="C363" s="5">
        <v>48</v>
      </c>
      <c r="D363" s="6" t="s">
        <v>8454</v>
      </c>
      <c r="E363" s="6" t="s">
        <v>8455</v>
      </c>
      <c r="F363" s="155"/>
      <c r="H363" s="6" t="s">
        <v>8456</v>
      </c>
      <c r="J363" s="6" t="s">
        <v>8457</v>
      </c>
      <c r="K363" s="16">
        <v>9234433909</v>
      </c>
      <c r="M363" s="6">
        <v>9234433909</v>
      </c>
      <c r="N363" s="137" t="s">
        <v>8116</v>
      </c>
    </row>
    <row r="364" spans="2:14" ht="14.25" customHeight="1">
      <c r="B364" s="158">
        <v>43749</v>
      </c>
      <c r="C364" s="65">
        <v>47</v>
      </c>
      <c r="D364" s="47" t="s">
        <v>8458</v>
      </c>
      <c r="E364" s="47" t="s">
        <v>8430</v>
      </c>
      <c r="F364" s="151"/>
      <c r="G364" s="47" t="s">
        <v>8459</v>
      </c>
      <c r="H364" s="47" t="s">
        <v>8460</v>
      </c>
      <c r="I364" s="47" t="s">
        <v>8461</v>
      </c>
      <c r="J364" s="47" t="s">
        <v>8462</v>
      </c>
      <c r="K364" s="66">
        <v>9939629542</v>
      </c>
      <c r="L364" s="47"/>
      <c r="M364" s="47">
        <v>9939629542</v>
      </c>
      <c r="N364" s="137" t="s">
        <v>8116</v>
      </c>
    </row>
    <row r="365" spans="2:14" ht="14.25" customHeight="1">
      <c r="B365" s="158">
        <v>43749</v>
      </c>
      <c r="C365" s="65">
        <v>47</v>
      </c>
      <c r="D365" s="47" t="s">
        <v>8463</v>
      </c>
      <c r="E365" s="47" t="s">
        <v>8464</v>
      </c>
      <c r="F365" s="151"/>
      <c r="G365" s="47" t="s">
        <v>8465</v>
      </c>
      <c r="H365" s="47" t="s">
        <v>8466</v>
      </c>
      <c r="I365" s="47" t="s">
        <v>8467</v>
      </c>
      <c r="J365" s="47" t="s">
        <v>8468</v>
      </c>
      <c r="K365" s="66">
        <v>9939629542</v>
      </c>
      <c r="L365" s="47"/>
      <c r="M365" s="47">
        <v>9939629542</v>
      </c>
      <c r="N365" s="137" t="s">
        <v>8116</v>
      </c>
    </row>
    <row r="366" spans="2:14" ht="14.25" customHeight="1">
      <c r="B366" s="158">
        <v>43749</v>
      </c>
      <c r="C366" s="65">
        <v>47</v>
      </c>
      <c r="D366" s="47" t="s">
        <v>8469</v>
      </c>
      <c r="E366" s="47" t="s">
        <v>8470</v>
      </c>
      <c r="F366" s="151"/>
      <c r="G366" s="47"/>
      <c r="H366" s="47" t="s">
        <v>8471</v>
      </c>
      <c r="I366" s="47" t="s">
        <v>8472</v>
      </c>
      <c r="J366" s="47" t="s">
        <v>8473</v>
      </c>
      <c r="K366" s="66">
        <v>9939629542</v>
      </c>
      <c r="L366" s="47"/>
      <c r="M366" s="47">
        <v>9939629542</v>
      </c>
      <c r="N366" s="137" t="s">
        <v>8116</v>
      </c>
    </row>
    <row r="367" spans="2:14" ht="14.25" customHeight="1">
      <c r="B367" s="4">
        <v>43750</v>
      </c>
      <c r="C367" s="5">
        <v>48</v>
      </c>
      <c r="D367" s="6" t="s">
        <v>8474</v>
      </c>
      <c r="E367" s="6" t="s">
        <v>130</v>
      </c>
      <c r="F367" s="155"/>
      <c r="G367" s="6" t="s">
        <v>8475</v>
      </c>
      <c r="H367" s="6" t="s">
        <v>8476</v>
      </c>
      <c r="I367" s="6" t="s">
        <v>8477</v>
      </c>
      <c r="J367" s="6" t="s">
        <v>8478</v>
      </c>
      <c r="K367" s="16">
        <v>7761823453</v>
      </c>
      <c r="M367" s="6">
        <v>7761823453</v>
      </c>
      <c r="N367" s="137" t="s">
        <v>8479</v>
      </c>
    </row>
    <row r="368" spans="2:14" ht="14.25" customHeight="1">
      <c r="B368" s="4">
        <v>43750</v>
      </c>
      <c r="C368" s="5">
        <v>48</v>
      </c>
      <c r="D368" s="6" t="s">
        <v>8480</v>
      </c>
      <c r="E368" s="6" t="s">
        <v>8481</v>
      </c>
      <c r="F368" s="155"/>
      <c r="H368" s="6" t="s">
        <v>8482</v>
      </c>
      <c r="I368" s="6" t="s">
        <v>8483</v>
      </c>
      <c r="J368" s="6" t="s">
        <v>8484</v>
      </c>
      <c r="K368" s="16">
        <v>7761823453</v>
      </c>
      <c r="M368" s="6">
        <v>7761823453</v>
      </c>
      <c r="N368" s="137" t="s">
        <v>8479</v>
      </c>
    </row>
    <row r="369" spans="1:14" ht="14.25" customHeight="1">
      <c r="B369" s="195">
        <v>43750</v>
      </c>
      <c r="C369" s="196">
        <v>47</v>
      </c>
      <c r="D369" s="147" t="s">
        <v>8485</v>
      </c>
      <c r="E369" s="147" t="s">
        <v>1</v>
      </c>
      <c r="F369" s="161"/>
      <c r="G369" s="147" t="s">
        <v>8486</v>
      </c>
      <c r="H369" s="147" t="s">
        <v>8487</v>
      </c>
      <c r="I369" s="147"/>
      <c r="J369" s="147" t="s">
        <v>8488</v>
      </c>
      <c r="K369" s="162">
        <v>9135936042</v>
      </c>
      <c r="L369" s="147"/>
      <c r="M369" s="147">
        <v>9135936042</v>
      </c>
      <c r="N369" s="6" t="s">
        <v>8487</v>
      </c>
    </row>
    <row r="370" spans="1:14" ht="14.25" customHeight="1">
      <c r="B370" s="4">
        <v>43750</v>
      </c>
      <c r="C370" s="5"/>
      <c r="F370" s="155"/>
      <c r="G370" s="6" t="s">
        <v>8489</v>
      </c>
      <c r="H370" s="6" t="s">
        <v>8490</v>
      </c>
      <c r="J370" s="6" t="s">
        <v>8491</v>
      </c>
      <c r="K370" s="16">
        <v>8797402971</v>
      </c>
      <c r="M370" s="6">
        <v>8797402971</v>
      </c>
      <c r="N370" s="137" t="s">
        <v>8116</v>
      </c>
    </row>
    <row r="371" spans="1:14" ht="14.25" customHeight="1">
      <c r="B371" s="195">
        <v>43750</v>
      </c>
      <c r="C371" s="196">
        <v>47</v>
      </c>
      <c r="D371" s="147" t="s">
        <v>8492</v>
      </c>
      <c r="E371" s="147"/>
      <c r="F371" s="161"/>
      <c r="G371" s="147"/>
      <c r="H371" s="147"/>
      <c r="I371" s="147"/>
      <c r="J371" s="147" t="s">
        <v>8493</v>
      </c>
      <c r="K371" s="162"/>
      <c r="L371" s="147"/>
      <c r="M371" s="147"/>
    </row>
    <row r="372" spans="1:14" ht="14.25" customHeight="1">
      <c r="B372" s="195">
        <v>43750</v>
      </c>
      <c r="C372" s="196">
        <v>47</v>
      </c>
      <c r="D372" s="147" t="s">
        <v>8494</v>
      </c>
      <c r="E372" s="147"/>
      <c r="F372" s="161"/>
      <c r="G372" s="147"/>
      <c r="H372" s="147"/>
      <c r="I372" s="147"/>
      <c r="J372" s="147" t="s">
        <v>8495</v>
      </c>
      <c r="K372" s="162"/>
      <c r="L372" s="147"/>
      <c r="M372" s="147"/>
    </row>
    <row r="373" spans="1:14" ht="14.25" customHeight="1">
      <c r="B373" s="195">
        <v>43750</v>
      </c>
      <c r="C373" s="196">
        <v>47</v>
      </c>
      <c r="D373" s="147" t="s">
        <v>8496</v>
      </c>
      <c r="E373" s="147" t="s">
        <v>7314</v>
      </c>
      <c r="F373" s="161"/>
      <c r="G373" s="147" t="s">
        <v>8497</v>
      </c>
      <c r="H373" s="147"/>
      <c r="I373" s="147"/>
      <c r="J373" s="147" t="s">
        <v>3043</v>
      </c>
      <c r="K373" s="162">
        <v>7295011441</v>
      </c>
      <c r="M373" s="147">
        <v>7295011441</v>
      </c>
      <c r="N373" s="137" t="s">
        <v>8116</v>
      </c>
    </row>
    <row r="374" spans="1:14" ht="14.25" customHeight="1">
      <c r="B374" s="239">
        <v>43750</v>
      </c>
      <c r="C374" s="240">
        <v>47</v>
      </c>
      <c r="D374" s="241" t="s">
        <v>8498</v>
      </c>
      <c r="E374" s="241" t="s">
        <v>7314</v>
      </c>
      <c r="F374" s="166"/>
      <c r="G374" s="241" t="s">
        <v>8497</v>
      </c>
      <c r="H374" s="241" t="s">
        <v>8499</v>
      </c>
      <c r="I374" s="241"/>
      <c r="J374" s="241" t="s">
        <v>8500</v>
      </c>
      <c r="K374" s="242">
        <v>8709975217</v>
      </c>
      <c r="L374" s="241" t="s">
        <v>8501</v>
      </c>
    </row>
    <row r="375" spans="1:14" ht="14.25" customHeight="1">
      <c r="B375" s="195">
        <v>43750</v>
      </c>
      <c r="C375" s="196">
        <v>47</v>
      </c>
      <c r="D375" s="147" t="s">
        <v>8502</v>
      </c>
      <c r="E375" s="147" t="s">
        <v>7314</v>
      </c>
      <c r="F375" s="161"/>
      <c r="G375" s="147" t="s">
        <v>8497</v>
      </c>
      <c r="H375" s="147"/>
      <c r="I375" s="147"/>
      <c r="J375" s="147" t="s">
        <v>8503</v>
      </c>
      <c r="K375" s="162">
        <v>6287866419</v>
      </c>
      <c r="L375" s="241" t="s">
        <v>8501</v>
      </c>
    </row>
    <row r="376" spans="1:14" ht="14.25" customHeight="1">
      <c r="A376" s="6" t="s">
        <v>1434</v>
      </c>
      <c r="B376" s="195">
        <v>43750</v>
      </c>
      <c r="C376" s="196"/>
      <c r="D376" s="147" t="s">
        <v>8504</v>
      </c>
      <c r="E376" s="147" t="s">
        <v>7314</v>
      </c>
      <c r="F376" s="161"/>
      <c r="G376" s="147" t="s">
        <v>8497</v>
      </c>
      <c r="H376" s="147"/>
      <c r="I376" s="147"/>
      <c r="J376" s="147" t="s">
        <v>8505</v>
      </c>
      <c r="K376" s="162">
        <v>9234791933</v>
      </c>
    </row>
    <row r="377" spans="1:14" ht="14.25" customHeight="1">
      <c r="A377" s="6" t="s">
        <v>1434</v>
      </c>
      <c r="B377" s="195">
        <v>43750</v>
      </c>
      <c r="C377" s="196">
        <v>47</v>
      </c>
      <c r="D377" s="147" t="s">
        <v>8506</v>
      </c>
      <c r="E377" s="147" t="s">
        <v>7314</v>
      </c>
      <c r="F377" s="161"/>
      <c r="G377" s="147" t="s">
        <v>8497</v>
      </c>
      <c r="H377" s="147"/>
      <c r="I377" s="147"/>
      <c r="J377" s="147" t="s">
        <v>8507</v>
      </c>
      <c r="K377" s="162">
        <v>6206860071</v>
      </c>
    </row>
    <row r="378" spans="1:14" ht="14.25" customHeight="1">
      <c r="B378" s="195">
        <v>43750</v>
      </c>
      <c r="C378" s="196">
        <v>48</v>
      </c>
      <c r="D378" s="147" t="s">
        <v>8508</v>
      </c>
      <c r="E378" s="147" t="s">
        <v>7314</v>
      </c>
      <c r="F378" s="161"/>
      <c r="G378" s="147" t="s">
        <v>8509</v>
      </c>
      <c r="H378" s="147"/>
      <c r="I378" s="147"/>
      <c r="J378" s="147" t="s">
        <v>8510</v>
      </c>
      <c r="K378" s="162">
        <v>8789061331</v>
      </c>
    </row>
    <row r="379" spans="1:14" ht="14.25" customHeight="1">
      <c r="C379" s="5"/>
      <c r="D379" s="47" t="s">
        <v>8511</v>
      </c>
      <c r="E379" s="47" t="s">
        <v>8512</v>
      </c>
      <c r="F379" s="151"/>
      <c r="G379" s="47" t="s">
        <v>8497</v>
      </c>
      <c r="H379" s="47" t="s">
        <v>8513</v>
      </c>
      <c r="I379" s="47" t="s">
        <v>8514</v>
      </c>
      <c r="J379" s="47" t="s">
        <v>8515</v>
      </c>
      <c r="K379" s="66">
        <v>9939629542</v>
      </c>
      <c r="M379" s="47">
        <v>9939629542</v>
      </c>
      <c r="N379" s="137" t="s">
        <v>8116</v>
      </c>
    </row>
    <row r="380" spans="1:14" ht="14.25" customHeight="1">
      <c r="C380" s="5"/>
      <c r="D380" s="147" t="s">
        <v>8516</v>
      </c>
      <c r="E380" s="147" t="s">
        <v>8294</v>
      </c>
      <c r="F380" s="161"/>
      <c r="G380" s="147" t="s">
        <v>8497</v>
      </c>
      <c r="H380" s="147" t="s">
        <v>8517</v>
      </c>
      <c r="I380" s="147" t="s">
        <v>8518</v>
      </c>
      <c r="J380" s="147" t="s">
        <v>8519</v>
      </c>
      <c r="K380" s="162">
        <v>7294186988</v>
      </c>
      <c r="L380" s="147"/>
    </row>
    <row r="381" spans="1:14" ht="14.25" customHeight="1">
      <c r="B381" s="158">
        <v>43751</v>
      </c>
      <c r="C381" s="65">
        <v>47</v>
      </c>
      <c r="D381" s="47" t="s">
        <v>8520</v>
      </c>
      <c r="E381" s="47" t="s">
        <v>8521</v>
      </c>
      <c r="F381" s="151"/>
      <c r="G381" s="47" t="s">
        <v>8497</v>
      </c>
      <c r="H381" s="47" t="s">
        <v>8522</v>
      </c>
      <c r="I381" s="47"/>
      <c r="J381" s="47" t="s">
        <v>8523</v>
      </c>
      <c r="K381" s="66">
        <v>9852426230</v>
      </c>
      <c r="L381" s="47"/>
      <c r="M381" s="47">
        <v>8292995725</v>
      </c>
      <c r="N381" s="137" t="s">
        <v>8116</v>
      </c>
    </row>
    <row r="382" spans="1:14" ht="14.25" customHeight="1">
      <c r="B382" s="195">
        <v>43751</v>
      </c>
      <c r="C382" s="196">
        <v>47</v>
      </c>
      <c r="D382" s="147" t="s">
        <v>8524</v>
      </c>
      <c r="E382" s="147" t="s">
        <v>7314</v>
      </c>
      <c r="F382" s="161"/>
      <c r="G382" s="147" t="s">
        <v>8497</v>
      </c>
      <c r="H382" s="147"/>
      <c r="I382" s="147"/>
      <c r="J382" s="147" t="s">
        <v>8525</v>
      </c>
      <c r="K382" s="162">
        <v>9852426230</v>
      </c>
      <c r="L382" s="147"/>
      <c r="M382" s="147">
        <v>8292995725</v>
      </c>
      <c r="N382" s="137" t="s">
        <v>8116</v>
      </c>
    </row>
    <row r="383" spans="1:14" ht="14.25" customHeight="1">
      <c r="B383" s="195">
        <v>43751</v>
      </c>
      <c r="C383" s="196">
        <v>47</v>
      </c>
      <c r="D383" s="147" t="s">
        <v>8526</v>
      </c>
      <c r="E383" s="147" t="s">
        <v>7314</v>
      </c>
      <c r="F383" s="161"/>
      <c r="G383" s="147" t="s">
        <v>8497</v>
      </c>
      <c r="H383" s="147"/>
      <c r="I383" s="147"/>
      <c r="J383" s="147" t="s">
        <v>8527</v>
      </c>
      <c r="K383" s="162">
        <v>8797130606</v>
      </c>
      <c r="L383" s="147"/>
      <c r="M383" s="147">
        <v>8292995725</v>
      </c>
      <c r="N383" s="137" t="s">
        <v>8116</v>
      </c>
    </row>
    <row r="384" spans="1:14" ht="14.25" customHeight="1">
      <c r="B384" s="195">
        <v>43752</v>
      </c>
      <c r="C384" s="196">
        <v>47</v>
      </c>
      <c r="D384" s="147" t="s">
        <v>8528</v>
      </c>
      <c r="E384" s="147" t="s">
        <v>7314</v>
      </c>
      <c r="F384" s="161"/>
      <c r="G384" s="147"/>
      <c r="H384" s="243" t="s">
        <v>8529</v>
      </c>
      <c r="I384" s="147" t="s">
        <v>8530</v>
      </c>
      <c r="J384" s="147" t="s">
        <v>8531</v>
      </c>
      <c r="K384" s="162">
        <v>7033533918</v>
      </c>
      <c r="L384" s="147"/>
      <c r="M384" s="147">
        <v>7033533918</v>
      </c>
      <c r="N384" s="137" t="s">
        <v>8116</v>
      </c>
    </row>
    <row r="385" spans="1:26" ht="14.25" customHeight="1">
      <c r="A385" s="6"/>
      <c r="B385" s="158">
        <v>43752</v>
      </c>
      <c r="C385" s="65"/>
      <c r="D385" s="47" t="s">
        <v>8532</v>
      </c>
      <c r="E385" s="47" t="s">
        <v>8533</v>
      </c>
      <c r="F385" s="151"/>
      <c r="G385" s="47" t="s">
        <v>8509</v>
      </c>
      <c r="H385" s="47" t="s">
        <v>8534</v>
      </c>
      <c r="I385" s="47"/>
      <c r="J385" s="47" t="s">
        <v>8535</v>
      </c>
      <c r="K385" s="66">
        <v>9939629542</v>
      </c>
      <c r="L385" s="47"/>
      <c r="M385" s="47">
        <v>9939629542</v>
      </c>
      <c r="N385" s="137" t="s">
        <v>8116</v>
      </c>
      <c r="O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195">
        <v>43752</v>
      </c>
      <c r="C386" s="196"/>
      <c r="D386" s="147" t="s">
        <v>8536</v>
      </c>
      <c r="E386" s="147" t="s">
        <v>7423</v>
      </c>
      <c r="F386" s="161"/>
      <c r="G386" s="147" t="s">
        <v>8089</v>
      </c>
      <c r="H386" s="147"/>
      <c r="I386" s="147"/>
      <c r="J386" s="147" t="s">
        <v>8537</v>
      </c>
      <c r="K386" s="162">
        <v>9939629542</v>
      </c>
      <c r="L386" s="6"/>
      <c r="M386" s="6"/>
      <c r="N386" s="6"/>
      <c r="O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4">
        <v>43752</v>
      </c>
      <c r="C387" s="5"/>
      <c r="D387" s="6" t="s">
        <v>8538</v>
      </c>
      <c r="E387" s="6"/>
      <c r="F387" s="155"/>
      <c r="G387" s="6" t="s">
        <v>8539</v>
      </c>
      <c r="H387" s="6" t="s">
        <v>8540</v>
      </c>
      <c r="I387" s="6"/>
      <c r="J387" s="6" t="s">
        <v>8541</v>
      </c>
      <c r="K387" s="16">
        <v>9234433909</v>
      </c>
      <c r="L387" s="6"/>
      <c r="M387" s="6"/>
      <c r="N387" s="6"/>
      <c r="O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B388" s="4">
        <v>43752</v>
      </c>
      <c r="C388" s="5">
        <v>47</v>
      </c>
      <c r="F388" s="155"/>
      <c r="H388" s="6" t="s">
        <v>8542</v>
      </c>
      <c r="K388" s="16">
        <v>9576501435</v>
      </c>
      <c r="M388" s="6">
        <v>9576501435</v>
      </c>
      <c r="N388" s="137" t="s">
        <v>8116</v>
      </c>
    </row>
    <row r="389" spans="1:26" ht="14.25" customHeight="1">
      <c r="B389" s="4">
        <v>43752</v>
      </c>
      <c r="C389" s="5">
        <v>47</v>
      </c>
      <c r="F389" s="155"/>
      <c r="H389" s="6" t="s">
        <v>8543</v>
      </c>
      <c r="K389" s="16">
        <v>9576501435</v>
      </c>
      <c r="M389" s="6">
        <v>9576501435</v>
      </c>
      <c r="N389" s="137" t="s">
        <v>8116</v>
      </c>
    </row>
    <row r="390" spans="1:26" ht="14.25" customHeight="1">
      <c r="B390" s="195">
        <v>43752</v>
      </c>
      <c r="C390" s="196"/>
      <c r="D390" s="147" t="s">
        <v>8544</v>
      </c>
      <c r="E390" s="147" t="s">
        <v>7314</v>
      </c>
      <c r="F390" s="161"/>
      <c r="G390" s="147"/>
      <c r="H390" s="147"/>
      <c r="I390" s="147"/>
      <c r="J390" s="147" t="s">
        <v>8545</v>
      </c>
      <c r="K390" s="162">
        <v>7033382016</v>
      </c>
    </row>
    <row r="391" spans="1:26" ht="14.25" customHeight="1">
      <c r="B391" s="195">
        <v>43752</v>
      </c>
      <c r="C391" s="196">
        <v>47</v>
      </c>
      <c r="D391" s="147" t="s">
        <v>8546</v>
      </c>
      <c r="E391" s="147" t="s">
        <v>8547</v>
      </c>
      <c r="F391" s="161"/>
      <c r="G391" s="147" t="s">
        <v>8548</v>
      </c>
      <c r="H391" s="147" t="s">
        <v>8549</v>
      </c>
      <c r="I391" s="147"/>
      <c r="J391" s="147" t="s">
        <v>8550</v>
      </c>
      <c r="K391" s="162">
        <v>9835110555</v>
      </c>
      <c r="L391" s="147"/>
      <c r="M391" s="147">
        <v>9835110555</v>
      </c>
      <c r="N391" s="137" t="s">
        <v>8116</v>
      </c>
    </row>
    <row r="392" spans="1:26" ht="14.25" customHeight="1">
      <c r="B392" s="195">
        <v>43752</v>
      </c>
      <c r="C392" s="196">
        <v>47</v>
      </c>
      <c r="D392" s="147" t="s">
        <v>8551</v>
      </c>
      <c r="E392" s="147" t="s">
        <v>7423</v>
      </c>
      <c r="F392" s="161"/>
      <c r="G392" s="147"/>
      <c r="H392" s="147"/>
      <c r="I392" s="147"/>
      <c r="J392" s="147" t="s">
        <v>8552</v>
      </c>
      <c r="K392" s="162">
        <v>7739308256</v>
      </c>
      <c r="L392" s="147" t="s">
        <v>8553</v>
      </c>
    </row>
    <row r="393" spans="1:26" ht="14.25" customHeight="1">
      <c r="B393" s="158">
        <v>43752</v>
      </c>
      <c r="C393" s="65">
        <v>47</v>
      </c>
      <c r="D393" s="47" t="s">
        <v>8554</v>
      </c>
      <c r="E393" s="47" t="s">
        <v>8521</v>
      </c>
      <c r="F393" s="151"/>
      <c r="G393" s="47" t="s">
        <v>8555</v>
      </c>
      <c r="H393" s="47" t="s">
        <v>8542</v>
      </c>
      <c r="I393" s="47"/>
      <c r="J393" s="47" t="s">
        <v>8556</v>
      </c>
      <c r="K393" s="66">
        <v>9576501435</v>
      </c>
    </row>
    <row r="394" spans="1:26" ht="14.25" customHeight="1">
      <c r="B394" s="158">
        <v>43752</v>
      </c>
      <c r="C394" s="65">
        <v>47</v>
      </c>
      <c r="D394" s="47" t="s">
        <v>8557</v>
      </c>
      <c r="E394" s="47" t="s">
        <v>8521</v>
      </c>
      <c r="F394" s="151"/>
      <c r="G394" s="47"/>
      <c r="H394" s="47" t="s">
        <v>8543</v>
      </c>
      <c r="I394" s="47"/>
      <c r="J394" s="47" t="s">
        <v>3231</v>
      </c>
      <c r="K394" s="66">
        <v>9576501435</v>
      </c>
    </row>
    <row r="395" spans="1:26" ht="14.25" customHeight="1">
      <c r="B395" s="158">
        <v>43753</v>
      </c>
      <c r="C395" s="65">
        <v>47</v>
      </c>
      <c r="D395" s="47" t="s">
        <v>8558</v>
      </c>
      <c r="E395" s="47" t="s">
        <v>8559</v>
      </c>
      <c r="F395" s="151"/>
      <c r="G395" s="47"/>
      <c r="H395" s="47" t="s">
        <v>8560</v>
      </c>
      <c r="I395" s="47"/>
      <c r="J395" s="47" t="s">
        <v>8561</v>
      </c>
      <c r="K395" s="66">
        <v>8252434594</v>
      </c>
    </row>
    <row r="396" spans="1:26" ht="14.25" customHeight="1">
      <c r="B396" s="195">
        <v>43753</v>
      </c>
      <c r="C396" s="196">
        <v>47</v>
      </c>
      <c r="D396" s="147" t="s">
        <v>8562</v>
      </c>
      <c r="E396" s="147"/>
      <c r="F396" s="161"/>
      <c r="G396" s="147"/>
      <c r="H396" s="147"/>
      <c r="I396" s="147"/>
      <c r="J396" s="147" t="s">
        <v>8563</v>
      </c>
      <c r="K396" s="162">
        <v>9430112002</v>
      </c>
      <c r="L396" s="147"/>
      <c r="M396" s="147">
        <v>9430112002</v>
      </c>
      <c r="N396" s="137" t="s">
        <v>8116</v>
      </c>
    </row>
    <row r="397" spans="1:26" ht="14.25" customHeight="1">
      <c r="B397" s="195">
        <v>43753</v>
      </c>
      <c r="C397" s="196">
        <v>47</v>
      </c>
      <c r="D397" s="147" t="s">
        <v>8564</v>
      </c>
      <c r="E397" s="147"/>
      <c r="F397" s="161"/>
      <c r="G397" s="147"/>
      <c r="H397" s="147"/>
      <c r="I397" s="147"/>
      <c r="J397" s="147" t="s">
        <v>3288</v>
      </c>
      <c r="K397" s="162">
        <v>9430112002</v>
      </c>
      <c r="L397" s="147"/>
      <c r="M397" s="147">
        <v>9430112002</v>
      </c>
      <c r="N397" s="137" t="s">
        <v>8116</v>
      </c>
    </row>
    <row r="398" spans="1:26" ht="14.25" customHeight="1">
      <c r="B398" s="195">
        <v>43753</v>
      </c>
      <c r="C398" s="196">
        <v>47</v>
      </c>
      <c r="D398" s="147" t="s">
        <v>8565</v>
      </c>
      <c r="E398" s="147"/>
      <c r="F398" s="161"/>
      <c r="G398" s="147"/>
      <c r="H398" s="147"/>
      <c r="I398" s="147"/>
      <c r="J398" s="147" t="s">
        <v>8566</v>
      </c>
      <c r="K398" s="162">
        <v>9430112002</v>
      </c>
      <c r="L398" s="147"/>
      <c r="M398" s="147">
        <v>9430112002</v>
      </c>
      <c r="N398" s="137" t="s">
        <v>8116</v>
      </c>
    </row>
    <row r="399" spans="1:26" ht="14.25" customHeight="1">
      <c r="B399" s="195">
        <v>43753</v>
      </c>
      <c r="C399" s="196">
        <v>49</v>
      </c>
      <c r="D399" s="147" t="s">
        <v>8567</v>
      </c>
      <c r="E399" s="147"/>
      <c r="F399" s="161"/>
      <c r="G399" s="147"/>
      <c r="H399" s="147"/>
      <c r="I399" s="147"/>
      <c r="J399" s="147" t="s">
        <v>8568</v>
      </c>
      <c r="K399" s="162">
        <v>9430112002</v>
      </c>
      <c r="L399" s="147"/>
      <c r="M399" s="147">
        <v>9430112002</v>
      </c>
      <c r="N399" s="137" t="s">
        <v>8116</v>
      </c>
    </row>
    <row r="400" spans="1:26" ht="14.25" customHeight="1">
      <c r="B400" s="195">
        <v>43753</v>
      </c>
      <c r="C400" s="196">
        <v>49</v>
      </c>
      <c r="D400" s="147" t="s">
        <v>8569</v>
      </c>
      <c r="E400" s="147" t="s">
        <v>7314</v>
      </c>
      <c r="F400" s="161"/>
      <c r="G400" s="147"/>
      <c r="H400" s="147"/>
      <c r="I400" s="147"/>
      <c r="J400" s="147" t="s">
        <v>8570</v>
      </c>
      <c r="K400" s="162">
        <v>7367907135</v>
      </c>
      <c r="L400" s="147"/>
      <c r="M400" s="147">
        <v>9430112002</v>
      </c>
      <c r="N400" s="137" t="s">
        <v>8116</v>
      </c>
    </row>
    <row r="401" spans="2:14" ht="14.25" customHeight="1">
      <c r="B401" s="195">
        <v>43753</v>
      </c>
      <c r="C401" s="196">
        <v>49</v>
      </c>
      <c r="D401" s="147" t="s">
        <v>8571</v>
      </c>
      <c r="E401" s="147" t="s">
        <v>7314</v>
      </c>
      <c r="F401" s="161"/>
      <c r="G401" s="147"/>
      <c r="H401" s="147"/>
      <c r="I401" s="147"/>
      <c r="J401" s="147" t="s">
        <v>8572</v>
      </c>
      <c r="K401" s="162">
        <v>7367907135</v>
      </c>
      <c r="L401" s="147"/>
      <c r="M401" s="147">
        <v>9430112002</v>
      </c>
      <c r="N401" s="137" t="s">
        <v>8116</v>
      </c>
    </row>
    <row r="402" spans="2:14" ht="14.25" customHeight="1">
      <c r="B402" s="195">
        <v>43753</v>
      </c>
      <c r="C402" s="196">
        <v>47</v>
      </c>
      <c r="D402" s="147" t="s">
        <v>8573</v>
      </c>
      <c r="E402" s="147" t="s">
        <v>8521</v>
      </c>
      <c r="F402" s="161"/>
      <c r="G402" s="147" t="s">
        <v>8574</v>
      </c>
      <c r="H402" s="147" t="s">
        <v>8575</v>
      </c>
      <c r="I402" s="147"/>
      <c r="J402" s="147" t="s">
        <v>8576</v>
      </c>
      <c r="K402" s="162">
        <v>9234866613</v>
      </c>
      <c r="L402" s="147"/>
      <c r="M402" s="147">
        <v>9234866613</v>
      </c>
      <c r="N402" s="137" t="s">
        <v>8116</v>
      </c>
    </row>
    <row r="403" spans="2:14" ht="14.25" customHeight="1">
      <c r="B403" s="195">
        <v>43753</v>
      </c>
      <c r="C403" s="196"/>
      <c r="D403" s="147" t="s">
        <v>8577</v>
      </c>
      <c r="E403" s="147" t="s">
        <v>7423</v>
      </c>
      <c r="F403" s="161"/>
      <c r="G403" s="147"/>
      <c r="H403" s="147"/>
      <c r="I403" s="147"/>
      <c r="J403" s="147" t="s">
        <v>7274</v>
      </c>
      <c r="K403" s="162">
        <v>6207489534</v>
      </c>
    </row>
    <row r="404" spans="2:14" ht="14.25" customHeight="1">
      <c r="B404" s="158">
        <v>43753</v>
      </c>
      <c r="C404" s="65"/>
      <c r="D404" s="47" t="s">
        <v>8578</v>
      </c>
      <c r="E404" s="47" t="s">
        <v>1840</v>
      </c>
      <c r="F404" s="151"/>
      <c r="G404" s="47"/>
      <c r="H404" s="47" t="s">
        <v>8579</v>
      </c>
      <c r="I404" s="47"/>
      <c r="J404" s="47" t="s">
        <v>3497</v>
      </c>
      <c r="K404" s="66">
        <v>9835558319</v>
      </c>
    </row>
    <row r="405" spans="2:14" ht="14.25" customHeight="1">
      <c r="B405" s="195">
        <v>43753</v>
      </c>
      <c r="C405" s="196">
        <v>47</v>
      </c>
      <c r="D405" s="147" t="s">
        <v>8580</v>
      </c>
      <c r="E405" s="147" t="s">
        <v>8581</v>
      </c>
      <c r="F405" s="161"/>
      <c r="G405" s="147" t="s">
        <v>8582</v>
      </c>
      <c r="H405" s="147" t="s">
        <v>8583</v>
      </c>
      <c r="I405" s="147"/>
      <c r="J405" s="147" t="s">
        <v>8584</v>
      </c>
      <c r="K405" s="162">
        <v>7033381107</v>
      </c>
    </row>
    <row r="406" spans="2:14" ht="14.25" customHeight="1">
      <c r="B406" s="4">
        <v>43753</v>
      </c>
      <c r="C406" s="5">
        <v>47</v>
      </c>
      <c r="D406" s="6" t="s">
        <v>8585</v>
      </c>
      <c r="E406" s="6" t="s">
        <v>8586</v>
      </c>
      <c r="F406" s="155"/>
      <c r="G406" s="6" t="s">
        <v>8587</v>
      </c>
      <c r="H406" s="6" t="s">
        <v>8150</v>
      </c>
      <c r="J406" s="6" t="s">
        <v>7903</v>
      </c>
      <c r="K406" s="16">
        <v>8797231158</v>
      </c>
    </row>
    <row r="407" spans="2:14" ht="14.25" customHeight="1">
      <c r="B407" s="195">
        <v>43753</v>
      </c>
      <c r="C407" s="196">
        <v>47</v>
      </c>
      <c r="D407" s="147" t="s">
        <v>8588</v>
      </c>
      <c r="E407" s="147" t="s">
        <v>130</v>
      </c>
      <c r="F407" s="161"/>
      <c r="G407" s="147" t="s">
        <v>8589</v>
      </c>
      <c r="H407" s="147" t="s">
        <v>8590</v>
      </c>
      <c r="I407" s="147"/>
      <c r="J407" s="147" t="s">
        <v>8591</v>
      </c>
      <c r="K407" s="162">
        <v>7739230226</v>
      </c>
    </row>
    <row r="408" spans="2:14" ht="14.25" customHeight="1">
      <c r="B408" s="195">
        <v>43753</v>
      </c>
      <c r="C408" s="196">
        <v>47</v>
      </c>
      <c r="D408" s="147" t="s">
        <v>8592</v>
      </c>
      <c r="E408" s="147" t="s">
        <v>8294</v>
      </c>
      <c r="F408" s="161"/>
      <c r="G408" s="147"/>
      <c r="H408" s="147" t="s">
        <v>8593</v>
      </c>
      <c r="I408" s="147"/>
      <c r="J408" s="147" t="s">
        <v>8594</v>
      </c>
      <c r="K408" s="16"/>
    </row>
    <row r="409" spans="2:14" ht="14.25" customHeight="1">
      <c r="B409" s="195">
        <v>43755</v>
      </c>
      <c r="C409" s="196">
        <v>47</v>
      </c>
      <c r="D409" s="147" t="s">
        <v>8595</v>
      </c>
      <c r="E409" s="147" t="s">
        <v>1</v>
      </c>
      <c r="F409" s="161"/>
      <c r="G409" s="147" t="s">
        <v>8596</v>
      </c>
      <c r="H409" s="147" t="s">
        <v>8597</v>
      </c>
      <c r="I409" s="147"/>
      <c r="J409" s="147" t="s">
        <v>8598</v>
      </c>
      <c r="K409" s="162">
        <v>6287856565</v>
      </c>
      <c r="L409" s="147"/>
      <c r="M409" s="147">
        <v>6287856565</v>
      </c>
      <c r="N409" s="137" t="s">
        <v>8116</v>
      </c>
    </row>
    <row r="410" spans="2:14" ht="14.25" customHeight="1">
      <c r="B410" s="195">
        <v>43755</v>
      </c>
      <c r="C410" s="196">
        <v>47</v>
      </c>
      <c r="D410" s="147" t="s">
        <v>8599</v>
      </c>
      <c r="E410" s="147"/>
      <c r="F410" s="161"/>
      <c r="G410" s="147"/>
      <c r="H410" s="147"/>
      <c r="I410" s="147"/>
      <c r="J410" s="147" t="s">
        <v>8600</v>
      </c>
      <c r="K410" s="162">
        <v>6287856565</v>
      </c>
      <c r="L410" s="147"/>
      <c r="M410" s="147">
        <v>6287856565</v>
      </c>
      <c r="N410" s="137" t="s">
        <v>8116</v>
      </c>
    </row>
    <row r="411" spans="2:14" ht="14.25" customHeight="1">
      <c r="B411" s="158">
        <v>43755</v>
      </c>
      <c r="C411" s="65">
        <v>47</v>
      </c>
      <c r="D411" s="47" t="s">
        <v>8601</v>
      </c>
      <c r="E411" s="47"/>
      <c r="F411" s="151"/>
      <c r="G411" s="47"/>
      <c r="H411" s="47" t="s">
        <v>8602</v>
      </c>
      <c r="I411" s="47"/>
      <c r="J411" s="47" t="s">
        <v>8603</v>
      </c>
      <c r="K411" s="66">
        <v>8757933528</v>
      </c>
    </row>
    <row r="412" spans="2:14" ht="14.25" customHeight="1">
      <c r="B412" s="158">
        <v>43755</v>
      </c>
      <c r="C412" s="65">
        <v>47</v>
      </c>
      <c r="D412" s="47" t="s">
        <v>8604</v>
      </c>
      <c r="E412" s="47"/>
      <c r="F412" s="151"/>
      <c r="G412" s="47" t="s">
        <v>8605</v>
      </c>
      <c r="H412" s="47" t="s">
        <v>8606</v>
      </c>
      <c r="I412" s="47"/>
      <c r="J412" s="47" t="s">
        <v>3215</v>
      </c>
      <c r="K412" s="66">
        <v>6200674068</v>
      </c>
      <c r="M412" s="6">
        <v>6200674068</v>
      </c>
      <c r="N412" s="137" t="s">
        <v>8116</v>
      </c>
    </row>
    <row r="413" spans="2:14" ht="14.25" customHeight="1">
      <c r="B413" s="195">
        <v>43756</v>
      </c>
      <c r="C413" s="196"/>
      <c r="D413" s="147" t="s">
        <v>8607</v>
      </c>
      <c r="E413" s="147" t="s">
        <v>1840</v>
      </c>
      <c r="F413" s="161"/>
      <c r="G413" s="147"/>
      <c r="H413" s="147" t="s">
        <v>8608</v>
      </c>
      <c r="I413" s="147"/>
      <c r="J413" s="147" t="s">
        <v>8609</v>
      </c>
      <c r="K413" s="162">
        <v>8809595102</v>
      </c>
      <c r="L413" s="147" t="s">
        <v>8610</v>
      </c>
    </row>
    <row r="414" spans="2:14" ht="14.25" customHeight="1">
      <c r="B414" s="195">
        <v>43756</v>
      </c>
      <c r="C414" s="196">
        <v>47</v>
      </c>
      <c r="D414" s="147" t="s">
        <v>8611</v>
      </c>
      <c r="E414" s="147" t="s">
        <v>8294</v>
      </c>
      <c r="F414" s="161"/>
      <c r="G414" s="147"/>
      <c r="H414" s="147" t="s">
        <v>8612</v>
      </c>
      <c r="I414" s="147"/>
      <c r="J414" s="147" t="s">
        <v>8613</v>
      </c>
      <c r="K414" s="162">
        <v>8809595102</v>
      </c>
      <c r="L414" s="147" t="s">
        <v>8610</v>
      </c>
    </row>
    <row r="415" spans="2:14" ht="14.25" customHeight="1">
      <c r="B415" s="195">
        <v>43756</v>
      </c>
      <c r="C415" s="196"/>
      <c r="D415" s="147" t="s">
        <v>8614</v>
      </c>
      <c r="E415" s="147" t="s">
        <v>7314</v>
      </c>
      <c r="F415" s="161"/>
      <c r="G415" s="147" t="s">
        <v>8497</v>
      </c>
      <c r="H415" s="147" t="s">
        <v>8615</v>
      </c>
      <c r="I415" s="147"/>
      <c r="J415" s="147" t="s">
        <v>8616</v>
      </c>
      <c r="K415" s="162">
        <v>9204707695</v>
      </c>
      <c r="M415" s="6"/>
      <c r="N415" s="137" t="s">
        <v>8116</v>
      </c>
    </row>
    <row r="416" spans="2:14" ht="14.25" customHeight="1">
      <c r="B416" s="195">
        <v>43756</v>
      </c>
      <c r="C416" s="196" t="s">
        <v>8617</v>
      </c>
      <c r="D416" s="147" t="s">
        <v>8618</v>
      </c>
      <c r="E416" s="147" t="s">
        <v>8619</v>
      </c>
      <c r="F416" s="161"/>
      <c r="G416" s="147"/>
      <c r="H416" s="147" t="s">
        <v>8620</v>
      </c>
      <c r="I416" s="147"/>
      <c r="J416" s="147" t="s">
        <v>8621</v>
      </c>
      <c r="K416" s="162">
        <v>7319808833</v>
      </c>
      <c r="L416" s="147" t="s">
        <v>8610</v>
      </c>
      <c r="M416" s="147">
        <v>7319808833</v>
      </c>
      <c r="N416" s="137" t="s">
        <v>8116</v>
      </c>
    </row>
    <row r="417" spans="2:14" ht="14.25" customHeight="1">
      <c r="B417" s="195">
        <v>43756</v>
      </c>
      <c r="C417" s="196" t="s">
        <v>8617</v>
      </c>
      <c r="D417" s="147" t="s">
        <v>8622</v>
      </c>
      <c r="E417" s="147" t="s">
        <v>8623</v>
      </c>
      <c r="F417" s="161"/>
      <c r="G417" s="147"/>
      <c r="H417" s="147" t="s">
        <v>8624</v>
      </c>
      <c r="I417" s="147"/>
      <c r="J417" s="147" t="s">
        <v>8625</v>
      </c>
      <c r="K417" s="162">
        <v>9431344064</v>
      </c>
      <c r="L417" s="147" t="s">
        <v>8610</v>
      </c>
      <c r="M417" s="147">
        <v>9431344064</v>
      </c>
      <c r="N417" s="137" t="s">
        <v>8116</v>
      </c>
    </row>
    <row r="418" spans="2:14" ht="14.25" customHeight="1">
      <c r="B418" s="4">
        <v>43757</v>
      </c>
      <c r="C418" s="5"/>
      <c r="D418" s="6" t="s">
        <v>8626</v>
      </c>
      <c r="E418" s="6" t="s">
        <v>1840</v>
      </c>
      <c r="F418" s="155"/>
      <c r="H418" s="6" t="s">
        <v>8627</v>
      </c>
      <c r="J418" s="6" t="s">
        <v>8628</v>
      </c>
      <c r="K418" s="16">
        <v>8809595102</v>
      </c>
      <c r="L418" s="6" t="s">
        <v>8610</v>
      </c>
    </row>
    <row r="419" spans="2:14" ht="14.25" customHeight="1">
      <c r="B419" s="4">
        <v>43757</v>
      </c>
      <c r="C419" s="5"/>
      <c r="D419" s="6" t="s">
        <v>8629</v>
      </c>
      <c r="E419" s="6" t="s">
        <v>8623</v>
      </c>
      <c r="F419" s="155"/>
      <c r="H419" s="6" t="s">
        <v>8630</v>
      </c>
      <c r="J419" s="6" t="s">
        <v>8631</v>
      </c>
      <c r="K419" s="16">
        <v>8102093509</v>
      </c>
      <c r="M419" s="6"/>
    </row>
    <row r="420" spans="2:14" ht="14.25" customHeight="1">
      <c r="B420" s="195">
        <v>43757</v>
      </c>
      <c r="C420" s="196"/>
      <c r="D420" s="147" t="s">
        <v>8632</v>
      </c>
      <c r="E420" s="147" t="s">
        <v>7727</v>
      </c>
      <c r="F420" s="161"/>
      <c r="G420" s="147" t="s">
        <v>8509</v>
      </c>
      <c r="H420" s="147" t="s">
        <v>8633</v>
      </c>
      <c r="I420" s="147"/>
      <c r="J420" s="147" t="s">
        <v>8634</v>
      </c>
      <c r="K420" s="162" t="s">
        <v>2692</v>
      </c>
      <c r="M420" s="6">
        <v>9234551773</v>
      </c>
      <c r="N420" s="137" t="s">
        <v>8635</v>
      </c>
    </row>
    <row r="421" spans="2:14" ht="14.25" customHeight="1">
      <c r="B421" s="195">
        <v>43757</v>
      </c>
      <c r="C421" s="196"/>
      <c r="D421" s="147" t="s">
        <v>8636</v>
      </c>
      <c r="E421" s="147" t="s">
        <v>7727</v>
      </c>
      <c r="F421" s="161"/>
      <c r="G421" s="147" t="s">
        <v>8509</v>
      </c>
      <c r="H421" s="147" t="s">
        <v>8637</v>
      </c>
      <c r="I421" s="147"/>
      <c r="J421" s="147" t="s">
        <v>8638</v>
      </c>
      <c r="K421" s="162">
        <v>9234551773</v>
      </c>
      <c r="M421" s="6">
        <v>9234551773</v>
      </c>
      <c r="N421" s="137" t="s">
        <v>8635</v>
      </c>
    </row>
    <row r="422" spans="2:14" ht="14.25" customHeight="1">
      <c r="B422" s="195">
        <v>43757</v>
      </c>
      <c r="C422" s="196"/>
      <c r="D422" s="147" t="s">
        <v>8639</v>
      </c>
      <c r="E422" s="147" t="s">
        <v>7727</v>
      </c>
      <c r="F422" s="161"/>
      <c r="G422" s="147" t="s">
        <v>8509</v>
      </c>
      <c r="H422" s="147" t="s">
        <v>8640</v>
      </c>
      <c r="I422" s="147"/>
      <c r="J422" s="147" t="s">
        <v>8641</v>
      </c>
      <c r="K422" s="162">
        <v>9234551773</v>
      </c>
      <c r="M422" s="6">
        <v>9234551773</v>
      </c>
      <c r="N422" s="137" t="s">
        <v>8635</v>
      </c>
    </row>
    <row r="423" spans="2:14" ht="14.25" customHeight="1">
      <c r="B423" s="195">
        <v>43757</v>
      </c>
      <c r="C423" s="196"/>
      <c r="D423" s="147" t="s">
        <v>8642</v>
      </c>
      <c r="E423" s="147" t="s">
        <v>7314</v>
      </c>
      <c r="F423" s="161"/>
      <c r="G423" s="147" t="s">
        <v>8509</v>
      </c>
      <c r="H423" s="147"/>
      <c r="I423" s="147"/>
      <c r="J423" s="147" t="s">
        <v>8061</v>
      </c>
      <c r="K423" s="16"/>
    </row>
    <row r="424" spans="2:14" ht="14.25" customHeight="1">
      <c r="B424" s="195">
        <v>43757</v>
      </c>
      <c r="C424" s="196"/>
      <c r="D424" s="147" t="s">
        <v>8643</v>
      </c>
      <c r="E424" s="147" t="s">
        <v>7314</v>
      </c>
      <c r="F424" s="161"/>
      <c r="G424" s="147" t="s">
        <v>7631</v>
      </c>
      <c r="H424" s="227" t="s">
        <v>8644</v>
      </c>
      <c r="I424" s="147"/>
      <c r="J424" s="147" t="s">
        <v>8059</v>
      </c>
      <c r="K424" s="16"/>
    </row>
    <row r="425" spans="2:14" ht="14.25" customHeight="1">
      <c r="B425" s="4">
        <v>43758</v>
      </c>
      <c r="C425" s="5"/>
      <c r="D425" s="6" t="s">
        <v>8645</v>
      </c>
      <c r="E425" s="6" t="s">
        <v>8294</v>
      </c>
      <c r="F425" s="155"/>
      <c r="G425" s="6" t="s">
        <v>8509</v>
      </c>
      <c r="H425" s="6" t="s">
        <v>8646</v>
      </c>
      <c r="J425" s="6" t="s">
        <v>8647</v>
      </c>
      <c r="K425" s="16">
        <v>8797632286</v>
      </c>
      <c r="M425" s="6"/>
    </row>
    <row r="426" spans="2:14" ht="14.25" customHeight="1">
      <c r="B426" s="4">
        <v>43758</v>
      </c>
      <c r="C426" s="5"/>
      <c r="D426" s="6" t="s">
        <v>8648</v>
      </c>
      <c r="E426" s="6" t="s">
        <v>8559</v>
      </c>
      <c r="F426" s="155"/>
      <c r="G426" s="6" t="s">
        <v>8649</v>
      </c>
      <c r="H426" s="6" t="s">
        <v>8650</v>
      </c>
      <c r="J426" s="6" t="s">
        <v>8651</v>
      </c>
      <c r="K426" s="16">
        <v>7209923509</v>
      </c>
    </row>
    <row r="427" spans="2:14" ht="14.25" customHeight="1">
      <c r="B427" s="4">
        <v>43758</v>
      </c>
      <c r="C427" s="5"/>
      <c r="D427" s="6" t="s">
        <v>8652</v>
      </c>
      <c r="F427" s="155"/>
      <c r="H427" s="6" t="s">
        <v>8653</v>
      </c>
      <c r="J427" s="6" t="s">
        <v>8654</v>
      </c>
      <c r="K427" s="16">
        <v>7209923509</v>
      </c>
      <c r="M427" s="6">
        <v>7209923509</v>
      </c>
      <c r="N427" s="137" t="s">
        <v>8116</v>
      </c>
    </row>
    <row r="428" spans="2:14" ht="14.25" customHeight="1">
      <c r="B428" s="195">
        <v>43758</v>
      </c>
      <c r="C428" s="196"/>
      <c r="D428" s="147" t="s">
        <v>8655</v>
      </c>
      <c r="E428" s="147"/>
      <c r="F428" s="161"/>
      <c r="G428" s="147"/>
      <c r="H428" s="147"/>
      <c r="I428" s="147"/>
      <c r="J428" s="147" t="s">
        <v>8656</v>
      </c>
      <c r="K428" s="162">
        <v>7739037199</v>
      </c>
      <c r="M428" s="6">
        <v>7739037199</v>
      </c>
      <c r="N428" s="137" t="s">
        <v>8116</v>
      </c>
    </row>
    <row r="429" spans="2:14" ht="14.25" customHeight="1">
      <c r="B429" s="4">
        <v>43758</v>
      </c>
      <c r="C429" s="5"/>
      <c r="D429" s="6" t="s">
        <v>8657</v>
      </c>
      <c r="E429" s="6" t="s">
        <v>8623</v>
      </c>
      <c r="F429" s="155"/>
      <c r="G429" s="6" t="s">
        <v>8658</v>
      </c>
      <c r="H429" s="6" t="s">
        <v>8659</v>
      </c>
      <c r="J429" s="6" t="s">
        <v>8660</v>
      </c>
      <c r="K429" s="16">
        <v>9430112002</v>
      </c>
      <c r="M429" s="6">
        <v>9430112002</v>
      </c>
      <c r="N429" s="137" t="s">
        <v>8116</v>
      </c>
    </row>
    <row r="430" spans="2:14" ht="14.25" customHeight="1">
      <c r="B430" s="4">
        <v>43758</v>
      </c>
      <c r="C430" s="5"/>
      <c r="D430" s="6" t="s">
        <v>8661</v>
      </c>
      <c r="F430" s="155"/>
      <c r="G430" s="6" t="s">
        <v>8662</v>
      </c>
      <c r="H430" s="6" t="s">
        <v>8663</v>
      </c>
      <c r="J430" s="6" t="s">
        <v>8664</v>
      </c>
      <c r="K430" s="16">
        <v>9801538015</v>
      </c>
      <c r="M430" s="6">
        <v>9801538015</v>
      </c>
      <c r="N430" s="137" t="s">
        <v>8116</v>
      </c>
    </row>
    <row r="431" spans="2:14" ht="14.25" customHeight="1">
      <c r="B431" s="4">
        <v>43759</v>
      </c>
      <c r="C431" s="5"/>
      <c r="D431" s="6" t="s">
        <v>8665</v>
      </c>
      <c r="E431" s="6" t="s">
        <v>1</v>
      </c>
      <c r="F431" s="155"/>
      <c r="G431" s="6" t="s">
        <v>8666</v>
      </c>
      <c r="H431" s="6" t="s">
        <v>8667</v>
      </c>
      <c r="J431" s="6" t="s">
        <v>8668</v>
      </c>
      <c r="K431" s="16">
        <v>8271318880</v>
      </c>
    </row>
    <row r="432" spans="2:14" ht="14.25" customHeight="1">
      <c r="B432" s="158">
        <v>43759</v>
      </c>
      <c r="C432" s="65"/>
      <c r="D432" s="47" t="s">
        <v>8669</v>
      </c>
      <c r="E432" s="47" t="s">
        <v>8533</v>
      </c>
      <c r="F432" s="151"/>
      <c r="G432" s="47"/>
      <c r="H432" s="47" t="s">
        <v>8670</v>
      </c>
      <c r="I432" s="47"/>
      <c r="J432" s="47" t="s">
        <v>8671</v>
      </c>
      <c r="K432" s="66">
        <v>7979853850</v>
      </c>
    </row>
    <row r="433" spans="1:26" ht="14.25" customHeight="1">
      <c r="B433" s="158">
        <v>43759</v>
      </c>
      <c r="C433" s="65"/>
      <c r="D433" s="47" t="s">
        <v>8672</v>
      </c>
      <c r="E433" s="47" t="s">
        <v>8533</v>
      </c>
      <c r="F433" s="151"/>
      <c r="G433" s="47"/>
      <c r="H433" s="47" t="s">
        <v>8673</v>
      </c>
      <c r="I433" s="47"/>
      <c r="J433" s="47" t="s">
        <v>8674</v>
      </c>
      <c r="K433" s="66">
        <v>7979853850</v>
      </c>
    </row>
    <row r="434" spans="1:26" ht="14.25" customHeight="1">
      <c r="A434" s="11"/>
      <c r="B434" s="106">
        <v>43759</v>
      </c>
      <c r="C434" s="84">
        <v>49</v>
      </c>
      <c r="D434" s="11" t="s">
        <v>8675</v>
      </c>
      <c r="E434" s="11" t="s">
        <v>7423</v>
      </c>
      <c r="F434" s="155"/>
      <c r="G434" s="11"/>
      <c r="H434" s="11" t="s">
        <v>8676</v>
      </c>
      <c r="I434" s="11">
        <v>318</v>
      </c>
      <c r="J434" s="11" t="s">
        <v>8677</v>
      </c>
      <c r="K434" s="88">
        <v>7739037199</v>
      </c>
      <c r="L434" s="11"/>
      <c r="M434" s="11">
        <v>7739037199</v>
      </c>
      <c r="N434" s="221" t="s">
        <v>8116</v>
      </c>
      <c r="O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B435" s="195">
        <v>43759</v>
      </c>
      <c r="C435" s="196"/>
      <c r="D435" s="147" t="s">
        <v>8678</v>
      </c>
      <c r="E435" s="147" t="s">
        <v>7423</v>
      </c>
      <c r="F435" s="161"/>
      <c r="G435" s="147"/>
      <c r="H435" s="147"/>
      <c r="I435" s="147"/>
      <c r="J435" s="147" t="s">
        <v>8679</v>
      </c>
      <c r="K435" s="162">
        <v>7739037199</v>
      </c>
      <c r="M435" s="6">
        <v>7739037199</v>
      </c>
      <c r="N435" s="137" t="s">
        <v>8116</v>
      </c>
    </row>
    <row r="436" spans="1:26" ht="14.25" customHeight="1">
      <c r="B436" s="158">
        <v>43760</v>
      </c>
      <c r="C436" s="65"/>
      <c r="D436" s="47" t="s">
        <v>8680</v>
      </c>
      <c r="E436" s="47" t="s">
        <v>8623</v>
      </c>
      <c r="F436" s="151"/>
      <c r="G436" s="47" t="s">
        <v>7631</v>
      </c>
      <c r="H436" s="47" t="s">
        <v>8681</v>
      </c>
      <c r="I436" s="47"/>
      <c r="J436" s="47" t="s">
        <v>8682</v>
      </c>
      <c r="K436" s="66">
        <v>7294184830</v>
      </c>
      <c r="M436" s="6">
        <v>7294184830</v>
      </c>
      <c r="N436" s="137" t="s">
        <v>8116</v>
      </c>
    </row>
    <row r="437" spans="1:26" ht="14.25" customHeight="1">
      <c r="B437" s="4">
        <v>43760</v>
      </c>
      <c r="C437" s="5"/>
      <c r="D437" s="6" t="s">
        <v>8683</v>
      </c>
      <c r="E437" s="6" t="s">
        <v>8623</v>
      </c>
      <c r="F437" s="155"/>
      <c r="H437" s="6" t="s">
        <v>8684</v>
      </c>
      <c r="J437" s="6" t="s">
        <v>8685</v>
      </c>
      <c r="K437" s="16">
        <v>7091288826</v>
      </c>
    </row>
    <row r="438" spans="1:26" ht="14.25" customHeight="1">
      <c r="B438" s="4">
        <v>43760</v>
      </c>
      <c r="C438" s="5"/>
      <c r="D438" s="6" t="s">
        <v>8686</v>
      </c>
      <c r="E438" s="6" t="s">
        <v>8623</v>
      </c>
      <c r="F438" s="155"/>
      <c r="H438" s="6" t="s">
        <v>8687</v>
      </c>
      <c r="J438" s="6" t="s">
        <v>8688</v>
      </c>
      <c r="K438" s="16">
        <v>7091288826</v>
      </c>
    </row>
    <row r="439" spans="1:26" ht="14.25" customHeight="1">
      <c r="B439" s="4">
        <v>43760</v>
      </c>
      <c r="C439" s="5"/>
      <c r="D439" s="6" t="s">
        <v>8689</v>
      </c>
      <c r="E439" s="6" t="s">
        <v>8623</v>
      </c>
      <c r="F439" s="155"/>
      <c r="H439" s="6" t="s">
        <v>8690</v>
      </c>
      <c r="J439" s="6" t="s">
        <v>8691</v>
      </c>
      <c r="K439" s="16">
        <v>9534858202</v>
      </c>
    </row>
    <row r="440" spans="1:26" ht="14.25" customHeight="1">
      <c r="B440" s="4">
        <v>43760</v>
      </c>
      <c r="C440" s="5"/>
      <c r="D440" s="6" t="s">
        <v>8692</v>
      </c>
      <c r="E440" s="6" t="s">
        <v>8623</v>
      </c>
      <c r="F440" s="155"/>
      <c r="H440" s="6" t="s">
        <v>8693</v>
      </c>
      <c r="J440" s="6" t="s">
        <v>8694</v>
      </c>
      <c r="K440" s="16">
        <v>7091288826</v>
      </c>
    </row>
    <row r="441" spans="1:26" ht="14.25" customHeight="1">
      <c r="B441" s="4">
        <v>43760</v>
      </c>
      <c r="C441" s="5"/>
      <c r="D441" s="6" t="s">
        <v>8695</v>
      </c>
      <c r="E441" s="6" t="s">
        <v>8623</v>
      </c>
      <c r="F441" s="155"/>
      <c r="H441" s="6" t="s">
        <v>8696</v>
      </c>
      <c r="J441" s="6" t="s">
        <v>8697</v>
      </c>
      <c r="K441" s="16">
        <v>7091288826</v>
      </c>
    </row>
    <row r="442" spans="1:26" ht="14.25" customHeight="1">
      <c r="B442" s="195">
        <v>43759</v>
      </c>
      <c r="C442" s="196"/>
      <c r="D442" s="147" t="s">
        <v>8698</v>
      </c>
      <c r="E442" s="147" t="s">
        <v>7314</v>
      </c>
      <c r="F442" s="161"/>
      <c r="G442" s="147"/>
      <c r="H442" s="147"/>
      <c r="I442" s="147"/>
      <c r="J442" s="147" t="s">
        <v>2983</v>
      </c>
      <c r="K442" s="162">
        <v>7739037199</v>
      </c>
      <c r="M442" s="6">
        <v>7739037199</v>
      </c>
      <c r="N442" s="137" t="s">
        <v>8116</v>
      </c>
    </row>
    <row r="443" spans="1:26" ht="14.25" customHeight="1">
      <c r="B443" s="195">
        <v>43759</v>
      </c>
      <c r="C443" s="196"/>
      <c r="D443" s="147" t="s">
        <v>8699</v>
      </c>
      <c r="E443" s="147" t="s">
        <v>7314</v>
      </c>
      <c r="F443" s="161"/>
      <c r="G443" s="147"/>
      <c r="H443" s="244"/>
      <c r="I443" s="147"/>
      <c r="J443" s="147" t="s">
        <v>8700</v>
      </c>
      <c r="K443" s="162">
        <v>9234207081</v>
      </c>
      <c r="L443" s="147" t="s">
        <v>1434</v>
      </c>
    </row>
    <row r="444" spans="1:26" ht="14.25" customHeight="1">
      <c r="B444" s="195">
        <v>43759</v>
      </c>
      <c r="C444" s="196"/>
      <c r="D444" s="147" t="s">
        <v>8701</v>
      </c>
      <c r="E444" s="147" t="s">
        <v>7314</v>
      </c>
      <c r="F444" s="161"/>
      <c r="G444" s="147"/>
      <c r="H444" s="147"/>
      <c r="I444" s="147"/>
      <c r="J444" s="147" t="s">
        <v>8702</v>
      </c>
      <c r="K444" s="162">
        <v>8917244508</v>
      </c>
      <c r="L444" s="147" t="s">
        <v>1434</v>
      </c>
    </row>
    <row r="445" spans="1:26" ht="14.25" customHeight="1">
      <c r="B445" s="4">
        <v>43759</v>
      </c>
      <c r="C445" s="5"/>
      <c r="D445" s="6" t="s">
        <v>8703</v>
      </c>
      <c r="E445" s="6" t="s">
        <v>8704</v>
      </c>
      <c r="F445" s="155"/>
      <c r="H445" s="6" t="s">
        <v>8705</v>
      </c>
      <c r="J445" s="6" t="s">
        <v>8706</v>
      </c>
      <c r="K445" s="16"/>
      <c r="L445" s="6" t="s">
        <v>1434</v>
      </c>
    </row>
    <row r="446" spans="1:26" ht="14.25" customHeight="1">
      <c r="B446" s="195">
        <v>43759</v>
      </c>
      <c r="C446" s="196"/>
      <c r="D446" s="147" t="s">
        <v>8707</v>
      </c>
      <c r="E446" s="147" t="s">
        <v>8704</v>
      </c>
      <c r="F446" s="161"/>
      <c r="G446" s="147"/>
      <c r="H446" s="147"/>
      <c r="I446" s="147"/>
      <c r="J446" s="147" t="s">
        <v>8708</v>
      </c>
      <c r="K446" s="162">
        <v>9234207081</v>
      </c>
      <c r="L446" s="147" t="s">
        <v>1434</v>
      </c>
    </row>
    <row r="447" spans="1:26" ht="14.25" customHeight="1">
      <c r="B447" s="195">
        <v>43759</v>
      </c>
      <c r="C447" s="196"/>
      <c r="D447" s="147" t="s">
        <v>8709</v>
      </c>
      <c r="E447" s="147" t="s">
        <v>7314</v>
      </c>
      <c r="F447" s="161"/>
      <c r="G447" s="147"/>
      <c r="H447" s="147"/>
      <c r="I447" s="147"/>
      <c r="J447" s="147" t="s">
        <v>8710</v>
      </c>
      <c r="K447" s="162">
        <v>8917224508</v>
      </c>
      <c r="L447" s="147" t="s">
        <v>1434</v>
      </c>
    </row>
    <row r="448" spans="1:26" ht="14.25" customHeight="1">
      <c r="B448" s="4">
        <v>43759</v>
      </c>
      <c r="C448" s="5"/>
      <c r="D448" s="6" t="s">
        <v>8711</v>
      </c>
      <c r="E448" s="6" t="s">
        <v>8704</v>
      </c>
      <c r="F448" s="155"/>
      <c r="H448" s="6" t="s">
        <v>8712</v>
      </c>
      <c r="J448" s="6" t="s">
        <v>8713</v>
      </c>
      <c r="K448" s="16"/>
      <c r="L448" s="6" t="s">
        <v>1434</v>
      </c>
    </row>
    <row r="449" spans="1:14" ht="14.25" customHeight="1">
      <c r="B449" s="4">
        <v>43759</v>
      </c>
      <c r="C449" s="5"/>
      <c r="D449" s="6" t="s">
        <v>8714</v>
      </c>
      <c r="E449" s="6" t="s">
        <v>8704</v>
      </c>
      <c r="F449" s="155"/>
      <c r="H449" s="6" t="s">
        <v>8715</v>
      </c>
      <c r="J449" s="6" t="s">
        <v>8716</v>
      </c>
      <c r="K449" s="16"/>
    </row>
    <row r="450" spans="1:14" ht="14.25" customHeight="1">
      <c r="B450" s="195">
        <v>43759</v>
      </c>
      <c r="C450" s="196"/>
      <c r="D450" s="147" t="s">
        <v>8717</v>
      </c>
      <c r="E450" s="147" t="s">
        <v>7314</v>
      </c>
      <c r="F450" s="161"/>
      <c r="G450" s="147"/>
      <c r="H450" s="147"/>
      <c r="I450" s="147"/>
      <c r="J450" s="147" t="s">
        <v>8718</v>
      </c>
      <c r="K450" s="162">
        <v>8294696993</v>
      </c>
    </row>
    <row r="451" spans="1:14" ht="14.25" customHeight="1">
      <c r="B451" s="195">
        <v>43759</v>
      </c>
      <c r="C451" s="196"/>
      <c r="D451" s="147" t="s">
        <v>8719</v>
      </c>
      <c r="E451" s="147" t="s">
        <v>7314</v>
      </c>
      <c r="F451" s="161"/>
      <c r="G451" s="147"/>
      <c r="H451" s="147"/>
      <c r="I451" s="147"/>
      <c r="J451" s="147" t="s">
        <v>8720</v>
      </c>
      <c r="K451" s="162">
        <v>9031738521</v>
      </c>
    </row>
    <row r="452" spans="1:14" ht="14.25" customHeight="1">
      <c r="B452" s="195">
        <v>43760</v>
      </c>
      <c r="C452" s="196"/>
      <c r="D452" s="147" t="s">
        <v>8721</v>
      </c>
      <c r="E452" s="147" t="s">
        <v>8165</v>
      </c>
      <c r="F452" s="161"/>
      <c r="G452" s="147"/>
      <c r="H452" s="147" t="s">
        <v>8722</v>
      </c>
      <c r="I452" s="147"/>
      <c r="J452" s="147" t="s">
        <v>8723</v>
      </c>
      <c r="K452" s="162">
        <v>9301210408</v>
      </c>
    </row>
    <row r="453" spans="1:14" ht="14.25" customHeight="1">
      <c r="B453" s="4">
        <v>43760</v>
      </c>
      <c r="C453" s="5"/>
      <c r="D453" s="6" t="s">
        <v>8724</v>
      </c>
      <c r="E453" s="6" t="s">
        <v>8165</v>
      </c>
      <c r="F453" s="155"/>
      <c r="H453" s="6" t="s">
        <v>8725</v>
      </c>
      <c r="J453" s="6" t="s">
        <v>8726</v>
      </c>
      <c r="K453" s="16"/>
    </row>
    <row r="454" spans="1:14" ht="14.25" customHeight="1">
      <c r="C454" s="5"/>
      <c r="D454" s="6" t="s">
        <v>8727</v>
      </c>
      <c r="E454" s="6" t="s">
        <v>8165</v>
      </c>
      <c r="F454" s="155"/>
      <c r="H454" s="6" t="s">
        <v>8728</v>
      </c>
      <c r="J454" s="6" t="s">
        <v>3533</v>
      </c>
      <c r="K454" s="16">
        <v>9279931997</v>
      </c>
      <c r="M454" s="6">
        <v>9279931997</v>
      </c>
      <c r="N454" s="137" t="s">
        <v>8116</v>
      </c>
    </row>
    <row r="455" spans="1:14" ht="14.25" customHeight="1">
      <c r="B455" s="158">
        <v>43761</v>
      </c>
      <c r="C455" s="65"/>
      <c r="D455" s="47" t="s">
        <v>8729</v>
      </c>
      <c r="E455" s="47" t="s">
        <v>8165</v>
      </c>
      <c r="F455" s="151"/>
      <c r="G455" s="47"/>
      <c r="H455" s="47" t="s">
        <v>8730</v>
      </c>
      <c r="I455" s="47"/>
      <c r="J455" s="47" t="s">
        <v>8731</v>
      </c>
      <c r="K455" s="66"/>
      <c r="L455" s="47" t="s">
        <v>1434</v>
      </c>
    </row>
    <row r="456" spans="1:14" ht="14.25" customHeight="1">
      <c r="B456" s="4">
        <v>43761</v>
      </c>
      <c r="C456" s="5"/>
      <c r="D456" s="6" t="s">
        <v>8732</v>
      </c>
      <c r="E456" s="6" t="s">
        <v>7314</v>
      </c>
      <c r="F456" s="155"/>
      <c r="J456" s="6" t="s">
        <v>8733</v>
      </c>
      <c r="K456" s="16"/>
      <c r="L456" s="6" t="s">
        <v>1434</v>
      </c>
    </row>
    <row r="457" spans="1:14" ht="14.25" customHeight="1">
      <c r="B457" s="195">
        <v>43761</v>
      </c>
      <c r="C457" s="196"/>
      <c r="D457" s="147" t="s">
        <v>8734</v>
      </c>
      <c r="E457" s="147" t="s">
        <v>7314</v>
      </c>
      <c r="F457" s="161"/>
      <c r="G457" s="147"/>
      <c r="H457" s="147"/>
      <c r="I457" s="147"/>
      <c r="J457" s="147" t="s">
        <v>8735</v>
      </c>
      <c r="K457" s="162"/>
      <c r="L457" s="147" t="s">
        <v>1434</v>
      </c>
    </row>
    <row r="458" spans="1:14" ht="14.25" customHeight="1">
      <c r="B458" s="47"/>
      <c r="C458" s="65"/>
      <c r="D458" s="47" t="s">
        <v>8736</v>
      </c>
      <c r="E458" s="47" t="s">
        <v>7423</v>
      </c>
      <c r="F458" s="151"/>
      <c r="G458" s="47"/>
      <c r="H458" s="47"/>
      <c r="I458" s="47"/>
      <c r="J458" s="47" t="s">
        <v>8737</v>
      </c>
      <c r="K458" s="66">
        <v>9204037269</v>
      </c>
      <c r="M458" s="6">
        <v>9204037269</v>
      </c>
      <c r="N458" s="137" t="s">
        <v>8116</v>
      </c>
    </row>
    <row r="459" spans="1:14" ht="14.25" customHeight="1">
      <c r="B459" s="195">
        <v>43763</v>
      </c>
      <c r="C459" s="196"/>
      <c r="D459" s="147" t="s">
        <v>8738</v>
      </c>
      <c r="E459" s="147" t="s">
        <v>7423</v>
      </c>
      <c r="F459" s="161"/>
      <c r="G459" s="147"/>
      <c r="H459" s="147"/>
      <c r="I459" s="147"/>
      <c r="J459" s="147" t="s">
        <v>8739</v>
      </c>
      <c r="K459" s="162">
        <v>9065811339</v>
      </c>
      <c r="M459" s="6">
        <v>9065811339</v>
      </c>
      <c r="N459" s="137" t="s">
        <v>8116</v>
      </c>
    </row>
    <row r="460" spans="1:14" ht="14.25" customHeight="1">
      <c r="B460" s="195">
        <v>43764</v>
      </c>
      <c r="C460" s="196">
        <v>48</v>
      </c>
      <c r="D460" s="147" t="s">
        <v>8740</v>
      </c>
      <c r="E460" s="147" t="s">
        <v>7314</v>
      </c>
      <c r="F460" s="161"/>
      <c r="G460" s="147"/>
      <c r="H460" s="147"/>
      <c r="I460" s="147"/>
      <c r="J460" s="147" t="s">
        <v>7085</v>
      </c>
      <c r="K460" s="162"/>
    </row>
    <row r="461" spans="1:14" ht="14.25" customHeight="1">
      <c r="B461" s="195">
        <v>43765</v>
      </c>
      <c r="C461" s="196" t="s">
        <v>8617</v>
      </c>
      <c r="D461" s="147" t="s">
        <v>8741</v>
      </c>
      <c r="E461" s="147" t="s">
        <v>8742</v>
      </c>
      <c r="F461" s="161"/>
      <c r="G461" s="147"/>
      <c r="H461" s="147" t="s">
        <v>8743</v>
      </c>
      <c r="I461" s="147"/>
      <c r="J461" s="147" t="s">
        <v>8744</v>
      </c>
      <c r="K461" s="162">
        <v>9431344064</v>
      </c>
    </row>
    <row r="462" spans="1:14" ht="14.25" customHeight="1">
      <c r="B462" s="4">
        <v>43768</v>
      </c>
      <c r="C462" s="5">
        <v>47</v>
      </c>
      <c r="D462" s="6" t="s">
        <v>8745</v>
      </c>
      <c r="E462" s="6" t="s">
        <v>8746</v>
      </c>
      <c r="F462" s="155"/>
      <c r="G462" s="6" t="s">
        <v>8747</v>
      </c>
      <c r="H462" s="6" t="s">
        <v>7785</v>
      </c>
      <c r="J462" s="6" t="s">
        <v>7787</v>
      </c>
      <c r="K462" s="16">
        <v>8340502037</v>
      </c>
      <c r="M462" s="6">
        <v>8340502037</v>
      </c>
      <c r="N462" s="137" t="s">
        <v>8116</v>
      </c>
    </row>
    <row r="463" spans="1:14" ht="14.25" customHeight="1">
      <c r="B463" s="4">
        <v>43768</v>
      </c>
      <c r="C463" s="5">
        <v>47</v>
      </c>
      <c r="D463" s="6" t="s">
        <v>8748</v>
      </c>
      <c r="F463" s="155"/>
      <c r="H463" s="6" t="s">
        <v>8749</v>
      </c>
      <c r="J463" s="6" t="s">
        <v>8750</v>
      </c>
      <c r="K463" s="16">
        <v>8809979299</v>
      </c>
      <c r="M463" s="6">
        <v>8809979299</v>
      </c>
      <c r="N463" s="137" t="s">
        <v>8116</v>
      </c>
    </row>
    <row r="464" spans="1:14" ht="14.25" customHeight="1">
      <c r="A464" s="47"/>
      <c r="B464" s="158">
        <v>43768</v>
      </c>
      <c r="C464" s="65">
        <v>47</v>
      </c>
      <c r="D464" s="47" t="s">
        <v>8751</v>
      </c>
      <c r="E464" s="47" t="s">
        <v>7423</v>
      </c>
      <c r="F464" s="151"/>
      <c r="G464" s="47"/>
      <c r="H464" s="47"/>
      <c r="I464" s="47"/>
      <c r="J464" s="47" t="s">
        <v>8752</v>
      </c>
      <c r="K464" s="66">
        <v>8809979299</v>
      </c>
      <c r="L464" s="47"/>
      <c r="M464" s="47">
        <v>8809979299</v>
      </c>
      <c r="N464" s="137" t="s">
        <v>8116</v>
      </c>
    </row>
    <row r="465" spans="1:12" ht="14.25" customHeight="1">
      <c r="A465" s="6" t="s">
        <v>1434</v>
      </c>
      <c r="B465" s="195">
        <v>43768</v>
      </c>
      <c r="C465" s="196">
        <v>48</v>
      </c>
      <c r="D465" s="147" t="s">
        <v>8753</v>
      </c>
      <c r="E465" s="147" t="s">
        <v>7423</v>
      </c>
      <c r="F465" s="161"/>
      <c r="G465" s="147"/>
      <c r="H465" s="147"/>
      <c r="I465" s="147"/>
      <c r="J465" s="147" t="s">
        <v>8754</v>
      </c>
      <c r="K465" s="162">
        <v>9334620560</v>
      </c>
      <c r="L465" s="147" t="s">
        <v>1434</v>
      </c>
    </row>
    <row r="466" spans="1:12" ht="14.25" customHeight="1">
      <c r="A466" s="147" t="s">
        <v>1434</v>
      </c>
      <c r="B466" s="195">
        <v>43768</v>
      </c>
      <c r="C466" s="196">
        <v>49</v>
      </c>
      <c r="D466" s="147" t="s">
        <v>8755</v>
      </c>
      <c r="E466" s="147" t="s">
        <v>7423</v>
      </c>
      <c r="F466" s="161"/>
      <c r="G466" s="147"/>
      <c r="H466" s="147"/>
      <c r="I466" s="147"/>
      <c r="J466" s="147" t="s">
        <v>8756</v>
      </c>
      <c r="K466" s="162">
        <v>8582886415</v>
      </c>
      <c r="L466" s="147" t="s">
        <v>1434</v>
      </c>
    </row>
    <row r="467" spans="1:12" ht="14.25" customHeight="1">
      <c r="A467" s="6" t="s">
        <v>1434</v>
      </c>
      <c r="B467" s="4">
        <v>43768</v>
      </c>
      <c r="C467" s="5">
        <v>48</v>
      </c>
      <c r="D467" s="6" t="s">
        <v>8757</v>
      </c>
      <c r="E467" s="6" t="s">
        <v>8758</v>
      </c>
      <c r="F467" s="155"/>
      <c r="H467" s="6" t="s">
        <v>8759</v>
      </c>
      <c r="J467" s="6" t="s">
        <v>8760</v>
      </c>
      <c r="K467" s="16">
        <v>8084696568</v>
      </c>
    </row>
    <row r="468" spans="1:12" ht="14.25" customHeight="1">
      <c r="B468" s="195">
        <v>43769</v>
      </c>
      <c r="C468" s="196"/>
      <c r="D468" s="147" t="s">
        <v>8761</v>
      </c>
      <c r="E468" s="147" t="s">
        <v>7411</v>
      </c>
      <c r="F468" s="161"/>
      <c r="G468" s="147"/>
      <c r="H468" s="147"/>
      <c r="I468" s="147"/>
      <c r="J468" s="147" t="s">
        <v>8762</v>
      </c>
      <c r="K468" s="162">
        <v>8002917510</v>
      </c>
    </row>
    <row r="469" spans="1:12" ht="14.25" customHeight="1">
      <c r="B469" s="195">
        <v>43772</v>
      </c>
      <c r="C469" s="196">
        <v>48</v>
      </c>
      <c r="D469" s="147" t="s">
        <v>8763</v>
      </c>
      <c r="E469" s="147" t="s">
        <v>7411</v>
      </c>
      <c r="F469" s="161"/>
      <c r="G469" s="147"/>
      <c r="H469" s="147"/>
      <c r="I469" s="147"/>
      <c r="J469" s="147" t="s">
        <v>8764</v>
      </c>
      <c r="K469" s="162">
        <v>8092217274</v>
      </c>
      <c r="L469" s="147" t="s">
        <v>1434</v>
      </c>
    </row>
    <row r="470" spans="1:12" ht="14.25" customHeight="1">
      <c r="B470" s="195">
        <v>43773</v>
      </c>
      <c r="C470" s="196">
        <v>48</v>
      </c>
      <c r="D470" s="147" t="s">
        <v>8765</v>
      </c>
      <c r="E470" s="147" t="s">
        <v>7411</v>
      </c>
      <c r="F470" s="161"/>
      <c r="G470" s="147"/>
      <c r="H470" s="147"/>
      <c r="I470" s="147"/>
      <c r="J470" s="147" t="s">
        <v>8766</v>
      </c>
      <c r="K470" s="162">
        <v>8092217274</v>
      </c>
      <c r="L470" s="147" t="s">
        <v>1434</v>
      </c>
    </row>
    <row r="471" spans="1:12" ht="14.25" customHeight="1">
      <c r="B471" s="195">
        <v>43773</v>
      </c>
      <c r="C471" s="196">
        <v>48</v>
      </c>
      <c r="D471" s="147" t="s">
        <v>8767</v>
      </c>
      <c r="E471" s="147" t="s">
        <v>7411</v>
      </c>
      <c r="F471" s="161"/>
      <c r="G471" s="147"/>
      <c r="H471" s="147"/>
      <c r="I471" s="147"/>
      <c r="J471" s="147" t="s">
        <v>8768</v>
      </c>
      <c r="K471" s="162">
        <v>8092217274</v>
      </c>
      <c r="L471" s="147" t="s">
        <v>1434</v>
      </c>
    </row>
    <row r="472" spans="1:12" ht="14.25" customHeight="1">
      <c r="B472" s="195">
        <v>43773</v>
      </c>
      <c r="C472" s="196">
        <v>48</v>
      </c>
      <c r="D472" s="147" t="s">
        <v>8769</v>
      </c>
      <c r="E472" s="147" t="s">
        <v>7411</v>
      </c>
      <c r="F472" s="161"/>
      <c r="G472" s="147"/>
      <c r="H472" s="147"/>
      <c r="I472" s="147"/>
      <c r="J472" s="147" t="s">
        <v>8770</v>
      </c>
      <c r="K472" s="162">
        <v>7004604919</v>
      </c>
    </row>
    <row r="473" spans="1:12" ht="14.25" customHeight="1">
      <c r="B473" s="195">
        <v>43773</v>
      </c>
      <c r="C473" s="196">
        <v>48</v>
      </c>
      <c r="D473" s="147" t="s">
        <v>8771</v>
      </c>
      <c r="E473" s="147" t="s">
        <v>7411</v>
      </c>
      <c r="F473" s="161"/>
      <c r="G473" s="147"/>
      <c r="H473" s="147"/>
      <c r="I473" s="147"/>
      <c r="J473" s="147" t="s">
        <v>8772</v>
      </c>
      <c r="K473" s="162">
        <v>9234751843</v>
      </c>
    </row>
    <row r="474" spans="1:12" ht="14.25" customHeight="1">
      <c r="B474" s="195">
        <v>43773</v>
      </c>
      <c r="C474" s="196">
        <v>48</v>
      </c>
      <c r="D474" s="147" t="s">
        <v>8773</v>
      </c>
      <c r="E474" s="147" t="s">
        <v>7411</v>
      </c>
      <c r="F474" s="161"/>
      <c r="G474" s="147"/>
      <c r="H474" s="147"/>
      <c r="I474" s="147"/>
      <c r="J474" s="147" t="s">
        <v>8774</v>
      </c>
      <c r="K474" s="162">
        <v>9234751843</v>
      </c>
    </row>
    <row r="475" spans="1:12" ht="14.25" customHeight="1">
      <c r="B475" s="195">
        <v>43773</v>
      </c>
      <c r="C475" s="196">
        <v>48</v>
      </c>
      <c r="D475" s="147" t="s">
        <v>8775</v>
      </c>
      <c r="E475" s="147" t="s">
        <v>7411</v>
      </c>
      <c r="F475" s="161"/>
      <c r="G475" s="147"/>
      <c r="H475" s="147" t="s">
        <v>8776</v>
      </c>
      <c r="I475" s="147" t="s">
        <v>8777</v>
      </c>
      <c r="J475" s="147" t="s">
        <v>8778</v>
      </c>
      <c r="K475" s="162">
        <v>7619362586</v>
      </c>
      <c r="L475" s="147" t="s">
        <v>1434</v>
      </c>
    </row>
    <row r="476" spans="1:12" ht="14.25" customHeight="1">
      <c r="B476" s="195">
        <v>43773</v>
      </c>
      <c r="C476" s="196">
        <v>48</v>
      </c>
      <c r="D476" s="147" t="s">
        <v>8779</v>
      </c>
      <c r="E476" s="147" t="s">
        <v>7411</v>
      </c>
      <c r="F476" s="161"/>
      <c r="G476" s="147"/>
      <c r="H476" s="147"/>
      <c r="I476" s="147"/>
      <c r="J476" s="147" t="s">
        <v>8780</v>
      </c>
      <c r="K476" s="162">
        <v>7488771075</v>
      </c>
      <c r="L476" s="147" t="s">
        <v>1434</v>
      </c>
    </row>
    <row r="477" spans="1:12" ht="14.25" customHeight="1">
      <c r="B477" s="158">
        <v>43773</v>
      </c>
      <c r="C477" s="65">
        <v>48</v>
      </c>
      <c r="D477" s="47" t="s">
        <v>8781</v>
      </c>
      <c r="E477" s="47" t="s">
        <v>7411</v>
      </c>
      <c r="F477" s="151"/>
      <c r="G477" s="47"/>
      <c r="H477" s="47"/>
      <c r="I477" s="47"/>
      <c r="J477" s="47" t="s">
        <v>8782</v>
      </c>
      <c r="K477" s="66">
        <v>8582886415</v>
      </c>
      <c r="L477" s="47" t="s">
        <v>1434</v>
      </c>
    </row>
    <row r="478" spans="1:12" ht="14.25" customHeight="1">
      <c r="B478" s="158">
        <v>43773</v>
      </c>
      <c r="C478" s="65">
        <v>48</v>
      </c>
      <c r="D478" s="47" t="s">
        <v>8783</v>
      </c>
      <c r="E478" s="47" t="s">
        <v>8586</v>
      </c>
      <c r="F478" s="151"/>
      <c r="G478" s="47"/>
      <c r="H478" s="47"/>
      <c r="I478" s="47"/>
      <c r="J478" s="47" t="s">
        <v>8784</v>
      </c>
      <c r="K478" s="66"/>
      <c r="L478" s="47" t="s">
        <v>1434</v>
      </c>
    </row>
    <row r="479" spans="1:12" ht="14.25" customHeight="1">
      <c r="B479" s="195">
        <v>43773</v>
      </c>
      <c r="C479" s="196">
        <v>48</v>
      </c>
      <c r="D479" s="147" t="s">
        <v>8785</v>
      </c>
      <c r="E479" s="147" t="s">
        <v>8586</v>
      </c>
      <c r="F479" s="161"/>
      <c r="G479" s="147"/>
      <c r="H479" s="147"/>
      <c r="I479" s="147"/>
      <c r="J479" s="147" t="s">
        <v>8786</v>
      </c>
      <c r="K479" s="162"/>
      <c r="L479" s="147" t="s">
        <v>1434</v>
      </c>
    </row>
    <row r="480" spans="1:12" ht="14.25" customHeight="1">
      <c r="B480" s="4">
        <v>43773</v>
      </c>
      <c r="C480" s="5"/>
      <c r="F480" s="155"/>
      <c r="K480" s="16"/>
      <c r="L480" s="6" t="s">
        <v>1434</v>
      </c>
    </row>
    <row r="481" spans="2:14" ht="14.25" customHeight="1">
      <c r="B481" s="4">
        <v>43774</v>
      </c>
      <c r="C481" s="5">
        <v>47</v>
      </c>
      <c r="D481" s="38" t="s">
        <v>8787</v>
      </c>
      <c r="E481" s="6" t="s">
        <v>7333</v>
      </c>
      <c r="F481" s="155"/>
      <c r="J481" s="6" t="s">
        <v>8788</v>
      </c>
      <c r="K481" s="16">
        <v>9771931727</v>
      </c>
      <c r="M481" s="6">
        <v>9771931727</v>
      </c>
      <c r="N481" s="137" t="s">
        <v>8116</v>
      </c>
    </row>
    <row r="482" spans="2:14" ht="14.25" customHeight="1">
      <c r="B482" s="4">
        <v>43774</v>
      </c>
      <c r="C482" s="5">
        <v>47</v>
      </c>
      <c r="D482" s="245" t="s">
        <v>8789</v>
      </c>
      <c r="E482" s="6" t="s">
        <v>7333</v>
      </c>
      <c r="F482" s="155"/>
      <c r="J482" s="6" t="s">
        <v>8790</v>
      </c>
      <c r="K482" s="16"/>
    </row>
    <row r="483" spans="2:14" ht="14.25" customHeight="1">
      <c r="B483" s="4">
        <v>43774</v>
      </c>
      <c r="C483" s="5">
        <v>47</v>
      </c>
      <c r="E483" s="6" t="s">
        <v>7333</v>
      </c>
      <c r="F483" s="155"/>
      <c r="J483" s="6" t="s">
        <v>8788</v>
      </c>
      <c r="K483" s="16"/>
    </row>
    <row r="484" spans="2:14" ht="14.25" customHeight="1">
      <c r="B484" s="4">
        <v>43774</v>
      </c>
      <c r="C484" s="5">
        <v>47</v>
      </c>
      <c r="E484" s="6" t="s">
        <v>7333</v>
      </c>
      <c r="F484" s="155"/>
      <c r="J484" s="6" t="s">
        <v>8788</v>
      </c>
      <c r="K484" s="16"/>
    </row>
    <row r="485" spans="2:14" ht="14.25" customHeight="1">
      <c r="B485" s="4">
        <v>43774</v>
      </c>
      <c r="C485" s="5">
        <v>48</v>
      </c>
      <c r="F485" s="155"/>
      <c r="G485" s="6" t="s">
        <v>8791</v>
      </c>
      <c r="J485" s="6" t="s">
        <v>2946</v>
      </c>
      <c r="K485" s="16"/>
      <c r="M485" s="6">
        <v>6207169059</v>
      </c>
    </row>
    <row r="486" spans="2:14" ht="14.25" customHeight="1">
      <c r="B486" s="4">
        <v>43774</v>
      </c>
      <c r="C486" s="5">
        <v>48</v>
      </c>
      <c r="F486" s="155"/>
      <c r="G486" s="6" t="s">
        <v>8791</v>
      </c>
      <c r="J486" s="6" t="s">
        <v>8792</v>
      </c>
      <c r="K486" s="16"/>
      <c r="M486" s="6">
        <v>6207169059</v>
      </c>
    </row>
    <row r="487" spans="2:14" ht="14.25" customHeight="1">
      <c r="B487" s="158">
        <v>43774</v>
      </c>
      <c r="C487" s="65">
        <v>47</v>
      </c>
      <c r="D487" s="47" t="s">
        <v>8793</v>
      </c>
      <c r="E487" s="47" t="s">
        <v>7411</v>
      </c>
      <c r="F487" s="151"/>
      <c r="G487" s="47"/>
      <c r="H487" s="47"/>
      <c r="I487" s="47"/>
      <c r="J487" s="47" t="s">
        <v>8794</v>
      </c>
      <c r="K487" s="66">
        <v>9204037269</v>
      </c>
    </row>
    <row r="488" spans="2:14" ht="14.25" customHeight="1">
      <c r="B488" s="158">
        <v>43774</v>
      </c>
      <c r="C488" s="65">
        <v>47</v>
      </c>
      <c r="D488" s="47" t="s">
        <v>8795</v>
      </c>
      <c r="E488" s="47" t="s">
        <v>7411</v>
      </c>
      <c r="F488" s="151"/>
      <c r="G488" s="47"/>
      <c r="H488" s="47"/>
      <c r="I488" s="47"/>
      <c r="J488" s="47" t="s">
        <v>8796</v>
      </c>
      <c r="K488" s="66">
        <v>7209532242</v>
      </c>
    </row>
    <row r="489" spans="2:14" ht="14.25" customHeight="1">
      <c r="B489" s="158">
        <v>43774</v>
      </c>
      <c r="C489" s="65">
        <v>47</v>
      </c>
      <c r="D489" s="47" t="s">
        <v>8797</v>
      </c>
      <c r="E489" s="47" t="s">
        <v>7411</v>
      </c>
      <c r="F489" s="151"/>
      <c r="G489" s="47"/>
      <c r="H489" s="47"/>
      <c r="I489" s="47"/>
      <c r="J489" s="47" t="s">
        <v>8798</v>
      </c>
      <c r="K489" s="66">
        <v>7209532242</v>
      </c>
    </row>
    <row r="490" spans="2:14" ht="14.25" customHeight="1">
      <c r="B490" s="158">
        <v>43774</v>
      </c>
      <c r="C490" s="65"/>
      <c r="D490" s="47" t="s">
        <v>8799</v>
      </c>
      <c r="E490" s="47" t="s">
        <v>8800</v>
      </c>
      <c r="F490" s="151"/>
      <c r="G490" s="47"/>
      <c r="H490" s="47"/>
      <c r="I490" s="47"/>
      <c r="J490" s="47" t="s">
        <v>8801</v>
      </c>
      <c r="K490" s="66">
        <v>6207958890</v>
      </c>
    </row>
    <row r="491" spans="2:14" ht="14.25" customHeight="1">
      <c r="B491" s="158">
        <v>43774</v>
      </c>
      <c r="C491" s="65"/>
      <c r="D491" s="47" t="s">
        <v>8802</v>
      </c>
      <c r="E491" s="47" t="s">
        <v>8800</v>
      </c>
      <c r="F491" s="151"/>
      <c r="G491" s="47"/>
      <c r="H491" s="47"/>
      <c r="I491" s="47"/>
      <c r="J491" s="47" t="s">
        <v>8803</v>
      </c>
      <c r="K491" s="66">
        <v>6207958890</v>
      </c>
    </row>
    <row r="492" spans="2:14" ht="14.25" customHeight="1">
      <c r="B492" s="158">
        <v>43774</v>
      </c>
      <c r="C492" s="65"/>
      <c r="D492" s="47" t="s">
        <v>8804</v>
      </c>
      <c r="E492" s="47" t="s">
        <v>8800</v>
      </c>
      <c r="F492" s="151"/>
      <c r="G492" s="47"/>
      <c r="H492" s="47"/>
      <c r="I492" s="47"/>
      <c r="J492" s="47" t="s">
        <v>8805</v>
      </c>
      <c r="K492" s="16"/>
    </row>
    <row r="493" spans="2:14" ht="14.25" customHeight="1">
      <c r="B493" s="4">
        <v>43775</v>
      </c>
      <c r="C493" s="5">
        <v>47</v>
      </c>
      <c r="D493" s="6" t="s">
        <v>8806</v>
      </c>
      <c r="E493" s="6" t="s">
        <v>8294</v>
      </c>
      <c r="F493" s="155"/>
      <c r="J493" s="6" t="s">
        <v>8807</v>
      </c>
      <c r="K493" s="16">
        <v>9204053840</v>
      </c>
    </row>
    <row r="494" spans="2:14" ht="14.25" customHeight="1">
      <c r="B494" s="158">
        <v>43776</v>
      </c>
      <c r="C494" s="65">
        <v>47</v>
      </c>
      <c r="D494" s="47" t="s">
        <v>8808</v>
      </c>
      <c r="E494" s="47" t="s">
        <v>7423</v>
      </c>
      <c r="F494" s="151"/>
      <c r="G494" s="47"/>
      <c r="H494" s="47"/>
      <c r="I494" s="47"/>
      <c r="J494" s="47" t="s">
        <v>8809</v>
      </c>
      <c r="K494" s="66">
        <v>8797943085</v>
      </c>
    </row>
    <row r="495" spans="2:14" ht="14.25" customHeight="1">
      <c r="B495" s="4">
        <v>43776</v>
      </c>
      <c r="C495" s="5">
        <v>47</v>
      </c>
      <c r="D495" s="6" t="s">
        <v>8810</v>
      </c>
      <c r="E495" s="6" t="s">
        <v>7423</v>
      </c>
      <c r="F495" s="155"/>
      <c r="J495" s="6" t="s">
        <v>8811</v>
      </c>
      <c r="K495" s="16">
        <v>9431567964</v>
      </c>
    </row>
    <row r="496" spans="2:14" ht="14.25" customHeight="1">
      <c r="B496" s="158">
        <v>43776</v>
      </c>
      <c r="C496" s="65">
        <v>48</v>
      </c>
      <c r="D496" s="47" t="s">
        <v>8812</v>
      </c>
      <c r="E496" s="47" t="s">
        <v>7423</v>
      </c>
      <c r="F496" s="151"/>
      <c r="G496" s="47"/>
      <c r="H496" s="47"/>
      <c r="I496" s="47"/>
      <c r="J496" s="47" t="s">
        <v>8813</v>
      </c>
      <c r="K496" s="66">
        <v>9031989594</v>
      </c>
    </row>
    <row r="497" spans="1:14" ht="14.25" customHeight="1">
      <c r="B497" s="4">
        <v>43776</v>
      </c>
      <c r="C497" s="5">
        <v>48</v>
      </c>
      <c r="D497" s="6" t="s">
        <v>8814</v>
      </c>
      <c r="E497" s="6" t="s">
        <v>8294</v>
      </c>
      <c r="F497" s="155"/>
      <c r="H497" s="6" t="s">
        <v>8815</v>
      </c>
      <c r="I497" s="6">
        <v>124</v>
      </c>
      <c r="J497" s="6" t="s">
        <v>8816</v>
      </c>
      <c r="K497" s="16">
        <v>9031703996</v>
      </c>
    </row>
    <row r="498" spans="1:14" ht="14.25" customHeight="1">
      <c r="B498" s="195">
        <v>43777</v>
      </c>
      <c r="C498" s="196"/>
      <c r="D498" s="147" t="s">
        <v>8817</v>
      </c>
      <c r="E498" s="147" t="s">
        <v>7314</v>
      </c>
      <c r="F498" s="161"/>
      <c r="G498" s="147"/>
      <c r="H498" s="147"/>
      <c r="I498" s="147"/>
      <c r="J498" s="147" t="s">
        <v>8818</v>
      </c>
      <c r="K498" s="162">
        <v>8271824846</v>
      </c>
    </row>
    <row r="499" spans="1:14" ht="14.25" customHeight="1">
      <c r="B499" s="195">
        <v>43777</v>
      </c>
      <c r="C499" s="196"/>
      <c r="D499" s="147" t="s">
        <v>8819</v>
      </c>
      <c r="E499" s="147" t="s">
        <v>7314</v>
      </c>
      <c r="F499" s="161"/>
      <c r="G499" s="147"/>
      <c r="H499" s="147"/>
      <c r="I499" s="147"/>
      <c r="J499" s="147" t="s">
        <v>8820</v>
      </c>
      <c r="K499" s="162">
        <v>8271824846</v>
      </c>
    </row>
    <row r="500" spans="1:14" ht="14.25" customHeight="1">
      <c r="B500" s="195">
        <v>43777</v>
      </c>
      <c r="C500" s="196">
        <v>47</v>
      </c>
      <c r="D500" s="147" t="s">
        <v>8821</v>
      </c>
      <c r="E500" s="147" t="s">
        <v>7314</v>
      </c>
      <c r="F500" s="161"/>
      <c r="G500" s="147"/>
      <c r="H500" s="147"/>
      <c r="I500" s="147"/>
      <c r="J500" s="147" t="s">
        <v>8822</v>
      </c>
      <c r="K500" s="162">
        <v>9523420122</v>
      </c>
      <c r="L500" s="147" t="s">
        <v>1434</v>
      </c>
    </row>
    <row r="501" spans="1:14" ht="14.25" customHeight="1">
      <c r="B501" s="195">
        <v>43777</v>
      </c>
      <c r="C501" s="196">
        <v>47</v>
      </c>
      <c r="D501" s="147" t="s">
        <v>8823</v>
      </c>
      <c r="E501" s="147" t="s">
        <v>7314</v>
      </c>
      <c r="F501" s="161"/>
      <c r="G501" s="147"/>
      <c r="H501" s="147"/>
      <c r="I501" s="147"/>
      <c r="J501" s="147" t="s">
        <v>8824</v>
      </c>
      <c r="K501" s="162">
        <v>9523420122</v>
      </c>
      <c r="L501" s="147" t="s">
        <v>1434</v>
      </c>
    </row>
    <row r="502" spans="1:14" ht="14.25" customHeight="1">
      <c r="B502" s="195">
        <v>43777</v>
      </c>
      <c r="C502" s="196">
        <v>47</v>
      </c>
      <c r="D502" s="147" t="s">
        <v>8825</v>
      </c>
      <c r="E502" s="147" t="s">
        <v>7314</v>
      </c>
      <c r="F502" s="161"/>
      <c r="G502" s="147"/>
      <c r="H502" s="147"/>
      <c r="I502" s="147"/>
      <c r="J502" s="147" t="s">
        <v>2381</v>
      </c>
      <c r="K502" s="162">
        <v>8210669836</v>
      </c>
      <c r="L502" s="147" t="s">
        <v>1434</v>
      </c>
    </row>
    <row r="503" spans="1:14" ht="14.25" customHeight="1">
      <c r="B503" s="195">
        <v>43777</v>
      </c>
      <c r="C503" s="196">
        <v>48</v>
      </c>
      <c r="D503" s="147" t="s">
        <v>8826</v>
      </c>
      <c r="E503" s="147" t="s">
        <v>7314</v>
      </c>
      <c r="F503" s="161"/>
      <c r="G503" s="147"/>
      <c r="H503" s="147"/>
      <c r="I503" s="147"/>
      <c r="J503" s="147" t="s">
        <v>8827</v>
      </c>
      <c r="K503" s="162">
        <v>9234962982</v>
      </c>
      <c r="L503" s="147" t="s">
        <v>1434</v>
      </c>
    </row>
    <row r="504" spans="1:14" ht="14.25" customHeight="1">
      <c r="B504" s="195">
        <v>43777</v>
      </c>
      <c r="C504" s="196">
        <v>48</v>
      </c>
      <c r="D504" s="147" t="s">
        <v>8828</v>
      </c>
      <c r="E504" s="147" t="s">
        <v>7314</v>
      </c>
      <c r="F504" s="161"/>
      <c r="G504" s="147"/>
      <c r="H504" s="147"/>
      <c r="I504" s="147"/>
      <c r="J504" s="147" t="s">
        <v>8829</v>
      </c>
      <c r="K504" s="162">
        <v>8340116994</v>
      </c>
      <c r="M504" s="6">
        <v>8092538336</v>
      </c>
    </row>
    <row r="505" spans="1:14" ht="14.25" customHeight="1">
      <c r="B505" s="195">
        <v>43777</v>
      </c>
      <c r="C505" s="196">
        <v>48</v>
      </c>
      <c r="D505" s="147" t="s">
        <v>8830</v>
      </c>
      <c r="E505" s="147" t="s">
        <v>7314</v>
      </c>
      <c r="F505" s="161"/>
      <c r="G505" s="147"/>
      <c r="H505" s="147"/>
      <c r="I505" s="147"/>
      <c r="J505" s="147" t="s">
        <v>8831</v>
      </c>
      <c r="K505" s="162">
        <v>9123438213</v>
      </c>
    </row>
    <row r="506" spans="1:14" ht="14.25" customHeight="1">
      <c r="B506" s="195">
        <v>43777</v>
      </c>
      <c r="C506" s="196">
        <v>48</v>
      </c>
      <c r="D506" s="147" t="s">
        <v>8832</v>
      </c>
      <c r="E506" s="147" t="s">
        <v>7314</v>
      </c>
      <c r="F506" s="161"/>
      <c r="G506" s="147"/>
      <c r="H506" s="147"/>
      <c r="I506" s="147"/>
      <c r="J506" s="147" t="s">
        <v>1331</v>
      </c>
      <c r="K506" s="162">
        <v>7903767552</v>
      </c>
    </row>
    <row r="507" spans="1:14" ht="14.25" customHeight="1">
      <c r="B507" s="195">
        <v>43777</v>
      </c>
      <c r="C507" s="196">
        <v>48</v>
      </c>
      <c r="D507" s="147" t="s">
        <v>8833</v>
      </c>
      <c r="E507" s="147" t="s">
        <v>7314</v>
      </c>
      <c r="F507" s="161"/>
      <c r="G507" s="147"/>
      <c r="H507" s="147"/>
      <c r="I507" s="147"/>
      <c r="J507" s="147" t="s">
        <v>1316</v>
      </c>
      <c r="K507" s="16">
        <v>8340116994</v>
      </c>
    </row>
    <row r="508" spans="1:14" ht="14.25" customHeight="1">
      <c r="B508" s="195">
        <v>43780</v>
      </c>
      <c r="C508" s="196">
        <v>48</v>
      </c>
      <c r="D508" s="147" t="s">
        <v>8834</v>
      </c>
      <c r="E508" s="147" t="s">
        <v>1840</v>
      </c>
      <c r="F508" s="161"/>
      <c r="G508" s="147"/>
      <c r="H508" s="147"/>
      <c r="I508" s="147"/>
      <c r="J508" s="147" t="s">
        <v>8835</v>
      </c>
      <c r="K508" s="162"/>
    </row>
    <row r="509" spans="1:14" ht="14.25" customHeight="1">
      <c r="B509" s="4">
        <v>43780</v>
      </c>
      <c r="C509" s="5">
        <v>48</v>
      </c>
      <c r="D509" s="6" t="s">
        <v>8836</v>
      </c>
      <c r="E509" s="6" t="s">
        <v>7314</v>
      </c>
      <c r="F509" s="155"/>
      <c r="J509" s="6" t="s">
        <v>8837</v>
      </c>
      <c r="K509" s="16">
        <v>7091495468</v>
      </c>
    </row>
    <row r="510" spans="1:14" ht="14.25" customHeight="1">
      <c r="A510" s="6"/>
      <c r="B510" s="4">
        <v>43781</v>
      </c>
      <c r="C510" s="5">
        <v>47</v>
      </c>
      <c r="D510" s="6" t="s">
        <v>8838</v>
      </c>
      <c r="E510" s="6" t="s">
        <v>7423</v>
      </c>
      <c r="F510" s="155"/>
      <c r="G510" s="6"/>
      <c r="H510" s="6"/>
      <c r="I510" s="6"/>
      <c r="J510" s="6" t="s">
        <v>8752</v>
      </c>
      <c r="K510" s="16">
        <v>8809979299</v>
      </c>
      <c r="L510" s="6"/>
      <c r="M510" s="6">
        <v>8809979299</v>
      </c>
    </row>
    <row r="511" spans="1:14" ht="14.25" customHeight="1">
      <c r="C511" s="5">
        <v>47</v>
      </c>
      <c r="D511" s="6" t="s">
        <v>8839</v>
      </c>
      <c r="E511" s="6" t="s">
        <v>1840</v>
      </c>
      <c r="F511" s="155"/>
      <c r="H511" s="6" t="s">
        <v>8840</v>
      </c>
      <c r="J511" s="6" t="s">
        <v>8841</v>
      </c>
      <c r="K511" s="16">
        <v>9525194586</v>
      </c>
    </row>
    <row r="512" spans="1:14" ht="14.25" customHeight="1">
      <c r="B512" s="195">
        <v>43785</v>
      </c>
      <c r="C512" s="196">
        <v>46</v>
      </c>
      <c r="D512" s="147" t="s">
        <v>8842</v>
      </c>
      <c r="E512" s="147" t="s">
        <v>8843</v>
      </c>
      <c r="F512" s="161"/>
      <c r="G512" s="147"/>
      <c r="H512" s="147" t="s">
        <v>8844</v>
      </c>
      <c r="I512" s="147"/>
      <c r="J512" s="147" t="s">
        <v>3360</v>
      </c>
      <c r="K512" s="162">
        <v>7488355892</v>
      </c>
      <c r="L512" s="147"/>
      <c r="M512" s="147">
        <v>7488355892</v>
      </c>
      <c r="N512" s="137" t="s">
        <v>8116</v>
      </c>
    </row>
    <row r="513" spans="2:14" ht="14.25" customHeight="1">
      <c r="B513" s="195">
        <v>43785</v>
      </c>
      <c r="C513" s="196">
        <v>46</v>
      </c>
      <c r="D513" s="147" t="s">
        <v>8845</v>
      </c>
      <c r="E513" s="147" t="s">
        <v>8843</v>
      </c>
      <c r="F513" s="161"/>
      <c r="G513" s="147"/>
      <c r="H513" s="147" t="s">
        <v>8846</v>
      </c>
      <c r="I513" s="147"/>
      <c r="J513" s="147" t="s">
        <v>3092</v>
      </c>
      <c r="K513" s="162">
        <v>7488355892</v>
      </c>
      <c r="L513" s="147"/>
      <c r="M513" s="147">
        <v>7488355892</v>
      </c>
      <c r="N513" s="147" t="s">
        <v>8116</v>
      </c>
    </row>
    <row r="514" spans="2:14" ht="14.25" customHeight="1">
      <c r="B514" s="4">
        <v>43786</v>
      </c>
      <c r="C514" s="5">
        <v>47</v>
      </c>
      <c r="D514" s="6" t="s">
        <v>8847</v>
      </c>
      <c r="F514" s="155"/>
      <c r="J514" s="6" t="s">
        <v>8848</v>
      </c>
      <c r="K514" s="16"/>
    </row>
    <row r="515" spans="2:14" ht="14.25" customHeight="1">
      <c r="B515" s="4">
        <v>43786</v>
      </c>
      <c r="C515" s="5">
        <v>48</v>
      </c>
      <c r="D515" s="6" t="s">
        <v>8849</v>
      </c>
      <c r="F515" s="155"/>
      <c r="J515" s="6" t="s">
        <v>395</v>
      </c>
      <c r="K515" s="16"/>
    </row>
    <row r="516" spans="2:14" ht="14.25" customHeight="1">
      <c r="B516" s="4">
        <v>43786</v>
      </c>
      <c r="C516" s="5">
        <v>48</v>
      </c>
      <c r="D516" s="6" t="s">
        <v>8850</v>
      </c>
      <c r="F516" s="155"/>
      <c r="J516" s="6" t="s">
        <v>8851</v>
      </c>
      <c r="K516" s="16"/>
    </row>
    <row r="517" spans="2:14" ht="14.25" customHeight="1">
      <c r="B517" s="4">
        <v>43790</v>
      </c>
      <c r="C517" s="5">
        <v>47</v>
      </c>
      <c r="D517" s="6" t="s">
        <v>8852</v>
      </c>
      <c r="E517" s="6" t="s">
        <v>7423</v>
      </c>
      <c r="F517" s="155"/>
      <c r="J517" s="6" t="s">
        <v>3569</v>
      </c>
      <c r="K517" s="16">
        <v>9264280661</v>
      </c>
    </row>
    <row r="518" spans="2:14" ht="14.25" customHeight="1">
      <c r="B518" s="4">
        <v>43790</v>
      </c>
      <c r="C518" s="5">
        <v>47</v>
      </c>
      <c r="D518" s="6" t="s">
        <v>8853</v>
      </c>
      <c r="E518" s="6" t="s">
        <v>7423</v>
      </c>
      <c r="F518" s="155"/>
      <c r="J518" s="6" t="s">
        <v>8854</v>
      </c>
      <c r="K518" s="16">
        <v>7493969974</v>
      </c>
    </row>
    <row r="519" spans="2:14" ht="14.25" customHeight="1">
      <c r="C519" s="5">
        <v>48</v>
      </c>
      <c r="D519" s="6" t="s">
        <v>8855</v>
      </c>
      <c r="E519" s="6" t="s">
        <v>7423</v>
      </c>
      <c r="F519" s="155"/>
      <c r="H519" s="6" t="s">
        <v>8856</v>
      </c>
      <c r="J519" s="6" t="s">
        <v>8857</v>
      </c>
      <c r="K519" s="16">
        <v>7209339500</v>
      </c>
      <c r="M519" s="6" t="s">
        <v>8856</v>
      </c>
      <c r="N519" s="137" t="s">
        <v>8858</v>
      </c>
    </row>
    <row r="520" spans="2:14" ht="14.25" customHeight="1">
      <c r="B520" s="4">
        <v>43803</v>
      </c>
      <c r="C520" s="5">
        <v>47</v>
      </c>
      <c r="D520" s="6" t="s">
        <v>8859</v>
      </c>
      <c r="E520" s="6" t="s">
        <v>1</v>
      </c>
      <c r="F520" s="155"/>
      <c r="H520" s="6" t="s">
        <v>8860</v>
      </c>
      <c r="J520" s="6" t="s">
        <v>8861</v>
      </c>
      <c r="K520" s="16">
        <v>9431526387</v>
      </c>
      <c r="M520" s="6">
        <v>7488355892</v>
      </c>
      <c r="N520" s="137" t="s">
        <v>8116</v>
      </c>
    </row>
    <row r="521" spans="2:14" ht="14.25" customHeight="1">
      <c r="B521" s="4">
        <v>43809</v>
      </c>
      <c r="C521" s="5">
        <v>47</v>
      </c>
      <c r="D521" s="6" t="s">
        <v>8862</v>
      </c>
      <c r="E521" s="6" t="s">
        <v>7423</v>
      </c>
      <c r="F521" s="155"/>
      <c r="J521" s="6" t="s">
        <v>8863</v>
      </c>
      <c r="K521" s="16">
        <v>8804131831</v>
      </c>
      <c r="M521" s="6">
        <v>8804131831</v>
      </c>
      <c r="N521" s="6">
        <v>8804131831</v>
      </c>
    </row>
    <row r="522" spans="2:14" ht="14.25" customHeight="1">
      <c r="B522" s="4">
        <v>43809</v>
      </c>
      <c r="C522" s="5">
        <v>47</v>
      </c>
      <c r="D522" s="6" t="s">
        <v>8864</v>
      </c>
      <c r="E522" s="6" t="s">
        <v>7423</v>
      </c>
      <c r="F522" s="155"/>
      <c r="J522" s="6" t="s">
        <v>8865</v>
      </c>
      <c r="K522" s="16"/>
      <c r="M522" s="6">
        <v>8804131831</v>
      </c>
      <c r="N522" s="6">
        <v>8804131831</v>
      </c>
    </row>
    <row r="523" spans="2:14" ht="14.25" customHeight="1">
      <c r="B523" s="4">
        <v>43811</v>
      </c>
      <c r="C523" s="5">
        <v>47</v>
      </c>
      <c r="D523" s="6" t="s">
        <v>8866</v>
      </c>
      <c r="E523" s="6" t="s">
        <v>8455</v>
      </c>
      <c r="F523" s="155"/>
      <c r="H523" s="6" t="s">
        <v>8867</v>
      </c>
      <c r="J523" s="6" t="s">
        <v>8868</v>
      </c>
      <c r="K523" s="16">
        <v>9709477552</v>
      </c>
    </row>
    <row r="524" spans="2:14" ht="14.25" customHeight="1">
      <c r="B524" s="4">
        <v>43820</v>
      </c>
      <c r="C524" s="5">
        <v>47</v>
      </c>
      <c r="D524" s="6" t="s">
        <v>8869</v>
      </c>
      <c r="E524" s="6" t="s">
        <v>1</v>
      </c>
      <c r="F524" s="155"/>
      <c r="G524" s="6" t="s">
        <v>8870</v>
      </c>
      <c r="H524" s="6" t="s">
        <v>8871</v>
      </c>
      <c r="J524" s="6" t="s">
        <v>8872</v>
      </c>
      <c r="K524" s="16">
        <v>9006669313</v>
      </c>
      <c r="N524" s="137" t="s">
        <v>8290</v>
      </c>
    </row>
    <row r="525" spans="2:14" ht="14.25" customHeight="1">
      <c r="B525" s="4">
        <v>43831</v>
      </c>
      <c r="C525" s="5">
        <v>49</v>
      </c>
      <c r="D525" s="6" t="s">
        <v>8873</v>
      </c>
      <c r="E525" s="6" t="s">
        <v>1</v>
      </c>
      <c r="F525" s="155"/>
      <c r="J525" s="6" t="s">
        <v>8874</v>
      </c>
      <c r="K525" s="16">
        <v>8341291731</v>
      </c>
      <c r="M525" s="6">
        <v>8341291731</v>
      </c>
      <c r="N525" s="137" t="s">
        <v>8116</v>
      </c>
    </row>
    <row r="526" spans="2:14" ht="14.25" customHeight="1">
      <c r="B526" s="4">
        <v>43836</v>
      </c>
      <c r="C526" s="5">
        <v>48</v>
      </c>
      <c r="D526" s="6" t="s">
        <v>8875</v>
      </c>
      <c r="E526" s="6" t="s">
        <v>7314</v>
      </c>
      <c r="F526" s="155"/>
      <c r="G526" s="6" t="s">
        <v>8876</v>
      </c>
      <c r="K526" s="16">
        <v>8797894671</v>
      </c>
      <c r="N526" s="137" t="s">
        <v>8290</v>
      </c>
    </row>
    <row r="527" spans="2:14" ht="14.25" customHeight="1">
      <c r="B527" s="4">
        <v>43836</v>
      </c>
      <c r="C527" s="5">
        <v>48</v>
      </c>
      <c r="D527" s="6" t="s">
        <v>8877</v>
      </c>
      <c r="E527" s="6" t="s">
        <v>7314</v>
      </c>
      <c r="F527" s="155"/>
      <c r="G527" s="6" t="s">
        <v>8878</v>
      </c>
      <c r="K527" s="16"/>
    </row>
    <row r="528" spans="2:14" ht="14.25" customHeight="1">
      <c r="B528" s="4">
        <v>43836</v>
      </c>
      <c r="C528" s="5">
        <v>42</v>
      </c>
      <c r="D528" s="6" t="s">
        <v>8879</v>
      </c>
      <c r="E528" s="6" t="s">
        <v>8880</v>
      </c>
      <c r="F528" s="155"/>
      <c r="H528" s="6" t="s">
        <v>8881</v>
      </c>
      <c r="J528" s="6" t="s">
        <v>8882</v>
      </c>
      <c r="K528" s="16">
        <v>9430156682</v>
      </c>
    </row>
    <row r="529" spans="2:14" ht="14.25" customHeight="1">
      <c r="B529" s="4">
        <v>43837</v>
      </c>
      <c r="C529" s="5">
        <v>48</v>
      </c>
      <c r="D529" s="6" t="s">
        <v>8883</v>
      </c>
      <c r="E529" s="6" t="s">
        <v>8758</v>
      </c>
      <c r="F529" s="155"/>
      <c r="H529" s="6" t="s">
        <v>8884</v>
      </c>
      <c r="J529" s="6" t="s">
        <v>8885</v>
      </c>
      <c r="K529" s="16">
        <v>7209338523</v>
      </c>
      <c r="M529" s="6">
        <v>7209338523</v>
      </c>
      <c r="N529" s="137" t="s">
        <v>8116</v>
      </c>
    </row>
    <row r="530" spans="2:14" ht="14.25" customHeight="1">
      <c r="B530" s="4">
        <v>43838</v>
      </c>
      <c r="C530" s="5">
        <v>48</v>
      </c>
      <c r="D530" s="6" t="s">
        <v>8886</v>
      </c>
      <c r="E530" s="6" t="s">
        <v>8887</v>
      </c>
      <c r="F530" s="155"/>
      <c r="G530" s="6" t="s">
        <v>8153</v>
      </c>
      <c r="J530" s="6" t="s">
        <v>8888</v>
      </c>
      <c r="K530" s="16"/>
    </row>
    <row r="531" spans="2:14" ht="14.25" customHeight="1">
      <c r="B531" s="4">
        <v>43839</v>
      </c>
      <c r="C531" s="5">
        <v>48</v>
      </c>
      <c r="D531" s="6" t="s">
        <v>8889</v>
      </c>
      <c r="E531" s="6" t="s">
        <v>8887</v>
      </c>
      <c r="F531" s="155"/>
      <c r="J531" s="6" t="s">
        <v>8890</v>
      </c>
      <c r="K531" s="16"/>
    </row>
    <row r="532" spans="2:14" ht="14.25" customHeight="1">
      <c r="B532" s="4">
        <v>43839</v>
      </c>
      <c r="C532" s="5">
        <v>47</v>
      </c>
      <c r="D532" s="6" t="s">
        <v>8891</v>
      </c>
      <c r="E532" s="6" t="s">
        <v>8892</v>
      </c>
      <c r="F532" s="155"/>
      <c r="H532" s="6" t="s">
        <v>8893</v>
      </c>
      <c r="J532" s="6" t="s">
        <v>8894</v>
      </c>
      <c r="K532" s="16">
        <v>9608213728</v>
      </c>
    </row>
    <row r="533" spans="2:14" ht="14.25" customHeight="1">
      <c r="B533" s="4">
        <v>43839</v>
      </c>
      <c r="C533" s="5">
        <v>47</v>
      </c>
      <c r="D533" s="6" t="s">
        <v>8895</v>
      </c>
      <c r="E533" s="6" t="s">
        <v>8896</v>
      </c>
      <c r="F533" s="155"/>
      <c r="H533" s="6" t="s">
        <v>8897</v>
      </c>
      <c r="J533" s="6" t="s">
        <v>8898</v>
      </c>
      <c r="K533" s="16">
        <v>9608213728</v>
      </c>
    </row>
    <row r="534" spans="2:14" ht="14.25" customHeight="1">
      <c r="B534" s="4">
        <v>43839</v>
      </c>
      <c r="C534" s="5">
        <v>47</v>
      </c>
      <c r="D534" s="6" t="s">
        <v>8899</v>
      </c>
      <c r="E534" s="6" t="s">
        <v>8900</v>
      </c>
      <c r="F534" s="155"/>
      <c r="H534" s="6" t="s">
        <v>8901</v>
      </c>
      <c r="J534" s="6" t="s">
        <v>8902</v>
      </c>
      <c r="K534" s="16">
        <v>9608213728</v>
      </c>
    </row>
    <row r="535" spans="2:14" ht="14.25" customHeight="1">
      <c r="B535" s="4">
        <v>43848</v>
      </c>
      <c r="C535" s="5">
        <v>47</v>
      </c>
      <c r="E535" s="6" t="s">
        <v>7314</v>
      </c>
      <c r="F535" s="155"/>
      <c r="J535" s="6" t="s">
        <v>8903</v>
      </c>
      <c r="K535" s="16">
        <v>8092713108</v>
      </c>
      <c r="N535" s="38"/>
    </row>
    <row r="536" spans="2:14" ht="14.25" customHeight="1">
      <c r="B536" s="4">
        <v>43851</v>
      </c>
      <c r="C536" s="5">
        <v>48</v>
      </c>
      <c r="D536" s="6" t="s">
        <v>8904</v>
      </c>
      <c r="E536" s="6" t="s">
        <v>8905</v>
      </c>
      <c r="F536" s="155"/>
      <c r="J536" s="6" t="s">
        <v>8906</v>
      </c>
      <c r="K536" s="16">
        <v>8340132453</v>
      </c>
    </row>
    <row r="537" spans="2:14" ht="14.25" customHeight="1">
      <c r="B537" s="4">
        <v>43851</v>
      </c>
      <c r="C537" s="5">
        <v>47</v>
      </c>
      <c r="D537" s="6" t="s">
        <v>8907</v>
      </c>
      <c r="E537" s="6" t="s">
        <v>7444</v>
      </c>
      <c r="F537" s="155"/>
      <c r="H537" s="6" t="s">
        <v>8908</v>
      </c>
      <c r="J537" s="6" t="s">
        <v>8909</v>
      </c>
      <c r="K537" s="16">
        <v>9973515334</v>
      </c>
      <c r="N537" s="137" t="s">
        <v>8910</v>
      </c>
    </row>
    <row r="538" spans="2:14" ht="14.25" customHeight="1">
      <c r="B538" s="4">
        <v>43852</v>
      </c>
      <c r="C538" s="5">
        <v>48</v>
      </c>
      <c r="D538" s="6" t="s">
        <v>8911</v>
      </c>
      <c r="E538" s="6" t="s">
        <v>8912</v>
      </c>
      <c r="F538" s="155"/>
      <c r="H538" s="6" t="s">
        <v>8913</v>
      </c>
      <c r="J538" s="6" t="s">
        <v>8914</v>
      </c>
      <c r="K538" s="16">
        <v>9835719416</v>
      </c>
      <c r="N538" s="137" t="s">
        <v>8910</v>
      </c>
    </row>
    <row r="539" spans="2:14" ht="14.25" customHeight="1">
      <c r="B539" s="4">
        <v>43855</v>
      </c>
      <c r="C539" s="5">
        <v>47</v>
      </c>
      <c r="D539" s="6" t="s">
        <v>8915</v>
      </c>
      <c r="E539" s="6" t="s">
        <v>273</v>
      </c>
      <c r="F539" s="155"/>
      <c r="H539" s="6" t="s">
        <v>8916</v>
      </c>
      <c r="J539" s="6" t="s">
        <v>8917</v>
      </c>
      <c r="K539" s="16">
        <v>9709231429</v>
      </c>
    </row>
    <row r="540" spans="2:14" ht="14.25" customHeight="1">
      <c r="B540" s="4">
        <v>43856</v>
      </c>
      <c r="C540" s="5">
        <v>48</v>
      </c>
      <c r="D540" s="6" t="s">
        <v>8918</v>
      </c>
      <c r="E540" s="6" t="s">
        <v>8919</v>
      </c>
      <c r="F540" s="155"/>
      <c r="H540" s="6" t="s">
        <v>8920</v>
      </c>
      <c r="J540" s="6" t="s">
        <v>8921</v>
      </c>
      <c r="K540" s="16">
        <v>9835511160</v>
      </c>
      <c r="M540" s="6">
        <v>9955892621</v>
      </c>
      <c r="N540" s="137" t="s">
        <v>8116</v>
      </c>
    </row>
    <row r="541" spans="2:14" ht="14.25" customHeight="1">
      <c r="B541" s="4">
        <v>43857</v>
      </c>
      <c r="C541" s="5">
        <v>47</v>
      </c>
      <c r="D541" s="246" t="s">
        <v>8922</v>
      </c>
      <c r="E541" s="6" t="s">
        <v>7444</v>
      </c>
      <c r="F541" s="155"/>
      <c r="H541" s="6" t="s">
        <v>8923</v>
      </c>
      <c r="J541" s="6" t="s">
        <v>8924</v>
      </c>
      <c r="K541" s="16">
        <v>6209305887</v>
      </c>
      <c r="M541" s="6">
        <v>6209305887</v>
      </c>
      <c r="N541" s="137" t="s">
        <v>8910</v>
      </c>
    </row>
    <row r="542" spans="2:14" ht="14.25" customHeight="1">
      <c r="B542" s="4">
        <v>43857</v>
      </c>
      <c r="C542" s="5"/>
      <c r="D542" s="6" t="s">
        <v>8925</v>
      </c>
      <c r="E542" s="6" t="s">
        <v>8926</v>
      </c>
      <c r="F542" s="155"/>
      <c r="H542" s="6" t="s">
        <v>8927</v>
      </c>
      <c r="J542" s="6"/>
      <c r="K542" s="16"/>
      <c r="M542" s="6">
        <v>9572686173</v>
      </c>
    </row>
    <row r="543" spans="2:14" ht="14.25" customHeight="1">
      <c r="B543" s="4">
        <v>43857</v>
      </c>
      <c r="C543" s="5"/>
      <c r="D543" s="6" t="s">
        <v>8928</v>
      </c>
      <c r="F543" s="155"/>
      <c r="H543" s="6" t="s">
        <v>8269</v>
      </c>
      <c r="J543" s="6"/>
      <c r="K543" s="16"/>
      <c r="N543" s="38"/>
    </row>
    <row r="544" spans="2:14" ht="14.25" customHeight="1">
      <c r="B544" s="4">
        <v>43857</v>
      </c>
      <c r="C544" s="5"/>
      <c r="D544" s="6" t="s">
        <v>8929</v>
      </c>
      <c r="F544" s="155"/>
      <c r="H544" s="6" t="s">
        <v>8930</v>
      </c>
      <c r="J544" s="6" t="s">
        <v>8931</v>
      </c>
      <c r="K544" s="16">
        <v>6200104266</v>
      </c>
      <c r="M544" s="6">
        <v>6200104266</v>
      </c>
      <c r="N544" s="137" t="s">
        <v>3696</v>
      </c>
    </row>
    <row r="545" spans="1:26" ht="14.25" customHeight="1">
      <c r="B545" s="4">
        <v>43857</v>
      </c>
      <c r="C545" s="5">
        <v>47</v>
      </c>
      <c r="D545" s="6" t="s">
        <v>8932</v>
      </c>
      <c r="E545" s="6" t="s">
        <v>7314</v>
      </c>
      <c r="F545" s="155"/>
      <c r="J545" s="6" t="s">
        <v>8933</v>
      </c>
      <c r="K545" s="16">
        <v>8825246868</v>
      </c>
      <c r="M545" s="6">
        <v>8825246868</v>
      </c>
      <c r="N545" s="137" t="s">
        <v>3696</v>
      </c>
    </row>
    <row r="546" spans="1:26" ht="14.25" customHeight="1">
      <c r="B546" s="4">
        <v>43858</v>
      </c>
      <c r="C546" s="5">
        <v>47</v>
      </c>
      <c r="D546" s="246" t="s">
        <v>8934</v>
      </c>
      <c r="E546" s="6" t="s">
        <v>7654</v>
      </c>
      <c r="F546" s="155"/>
      <c r="H546" s="6" t="s">
        <v>8935</v>
      </c>
      <c r="J546" s="6" t="s">
        <v>8936</v>
      </c>
      <c r="K546" s="16">
        <v>9852438170</v>
      </c>
      <c r="M546" s="6">
        <v>6200104266</v>
      </c>
      <c r="N546" s="137" t="s">
        <v>3696</v>
      </c>
    </row>
    <row r="547" spans="1:26" ht="14.25" customHeight="1">
      <c r="B547" s="4">
        <v>43858</v>
      </c>
      <c r="C547" s="5">
        <v>47</v>
      </c>
      <c r="D547" s="6" t="s">
        <v>8937</v>
      </c>
      <c r="F547" s="155"/>
      <c r="H547" s="6" t="s">
        <v>8938</v>
      </c>
      <c r="J547" s="6" t="s">
        <v>8939</v>
      </c>
      <c r="K547" s="16">
        <v>7250550087</v>
      </c>
      <c r="M547" s="6">
        <v>7250550087</v>
      </c>
      <c r="N547" s="137" t="s">
        <v>3696</v>
      </c>
    </row>
    <row r="548" spans="1:26" ht="14.25" customHeight="1">
      <c r="B548" s="4">
        <v>43858</v>
      </c>
      <c r="C548" s="5">
        <v>47</v>
      </c>
      <c r="D548" s="6" t="s">
        <v>8940</v>
      </c>
      <c r="F548" s="155"/>
      <c r="H548" s="6" t="s">
        <v>8941</v>
      </c>
      <c r="J548" s="6" t="s">
        <v>8942</v>
      </c>
      <c r="K548" s="16">
        <v>7250550087</v>
      </c>
      <c r="M548" s="6">
        <v>7250550087</v>
      </c>
      <c r="N548" s="137" t="s">
        <v>3696</v>
      </c>
    </row>
    <row r="549" spans="1:26" ht="14.25" customHeight="1">
      <c r="B549" s="4">
        <v>43858</v>
      </c>
      <c r="C549" s="5">
        <v>47</v>
      </c>
      <c r="D549" s="6" t="s">
        <v>8943</v>
      </c>
      <c r="F549" s="155"/>
      <c r="H549" s="6" t="s">
        <v>8944</v>
      </c>
      <c r="J549" s="6" t="s">
        <v>8945</v>
      </c>
      <c r="K549" s="16">
        <v>7250550087</v>
      </c>
      <c r="M549" s="6">
        <v>7250550087</v>
      </c>
      <c r="N549" s="137" t="s">
        <v>3696</v>
      </c>
    </row>
    <row r="550" spans="1:26" ht="14.25" customHeight="1">
      <c r="B550" s="4">
        <v>43858</v>
      </c>
      <c r="C550" s="5">
        <v>47</v>
      </c>
      <c r="D550" s="6" t="s">
        <v>8946</v>
      </c>
      <c r="F550" s="155"/>
      <c r="H550" s="6" t="s">
        <v>8947</v>
      </c>
      <c r="J550" s="6" t="s">
        <v>8948</v>
      </c>
      <c r="K550" s="16">
        <v>7250550087</v>
      </c>
      <c r="M550" s="6">
        <v>7250550087</v>
      </c>
      <c r="N550" s="137" t="s">
        <v>3696</v>
      </c>
    </row>
    <row r="551" spans="1:26" ht="14.25" customHeight="1">
      <c r="B551" s="4">
        <v>43858</v>
      </c>
      <c r="C551" s="5">
        <v>47</v>
      </c>
      <c r="D551" s="6" t="s">
        <v>8949</v>
      </c>
      <c r="E551" s="6" t="s">
        <v>8950</v>
      </c>
      <c r="F551" s="155"/>
      <c r="H551" s="6" t="s">
        <v>8951</v>
      </c>
      <c r="J551" s="6" t="s">
        <v>8952</v>
      </c>
      <c r="K551" s="16"/>
    </row>
    <row r="552" spans="1:26" ht="14.25" customHeight="1">
      <c r="B552" s="4">
        <v>43858</v>
      </c>
      <c r="C552" s="5">
        <v>47</v>
      </c>
      <c r="D552" s="6" t="s">
        <v>8953</v>
      </c>
      <c r="E552" s="6" t="s">
        <v>8954</v>
      </c>
      <c r="F552" s="155"/>
      <c r="J552" s="6" t="s">
        <v>8955</v>
      </c>
      <c r="K552" s="16"/>
    </row>
    <row r="553" spans="1:26" ht="14.25" customHeight="1">
      <c r="B553" s="158">
        <v>43859</v>
      </c>
      <c r="C553" s="65">
        <v>48</v>
      </c>
      <c r="D553" s="47" t="s">
        <v>8956</v>
      </c>
      <c r="E553" s="47"/>
      <c r="F553" s="151"/>
      <c r="G553" s="47"/>
      <c r="H553" s="47" t="s">
        <v>8957</v>
      </c>
      <c r="I553" s="47"/>
      <c r="J553" s="47" t="s">
        <v>8958</v>
      </c>
      <c r="K553" s="66">
        <v>9199299707</v>
      </c>
    </row>
    <row r="554" spans="1:26" ht="14.25" customHeight="1">
      <c r="A554" s="47"/>
      <c r="B554" s="158">
        <v>43848</v>
      </c>
      <c r="C554" s="65">
        <v>47</v>
      </c>
      <c r="D554" s="47" t="s">
        <v>8959</v>
      </c>
      <c r="E554" s="47"/>
      <c r="F554" s="151"/>
      <c r="G554" s="47"/>
      <c r="H554" s="47"/>
      <c r="I554" s="47"/>
      <c r="J554" s="47" t="s">
        <v>8960</v>
      </c>
      <c r="K554" s="66">
        <v>7739728557</v>
      </c>
      <c r="L554" s="47"/>
      <c r="M554" s="47">
        <v>7739728557</v>
      </c>
      <c r="N554" s="47" t="s">
        <v>3696</v>
      </c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4.25" customHeight="1">
      <c r="A555" s="47"/>
      <c r="B555" s="158">
        <v>43860</v>
      </c>
      <c r="C555" s="65">
        <v>47</v>
      </c>
      <c r="D555" s="47" t="s">
        <v>8961</v>
      </c>
      <c r="E555" s="47"/>
      <c r="F555" s="151"/>
      <c r="G555" s="47"/>
      <c r="H555" s="47"/>
      <c r="I555" s="47"/>
      <c r="J555" s="47" t="s">
        <v>8962</v>
      </c>
      <c r="K555" s="66">
        <v>7739728557</v>
      </c>
      <c r="L555" s="47"/>
      <c r="M555" s="47">
        <v>7739728557</v>
      </c>
      <c r="N555" s="47" t="s">
        <v>3696</v>
      </c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4.25" customHeight="1">
      <c r="C556" s="5"/>
      <c r="D556" s="6" t="s">
        <v>8963</v>
      </c>
      <c r="F556" s="155"/>
      <c r="K556" s="16"/>
    </row>
    <row r="557" spans="1:26" ht="14.25" customHeight="1">
      <c r="C557" s="5"/>
      <c r="D557" s="6" t="s">
        <v>8964</v>
      </c>
      <c r="F557" s="155"/>
      <c r="K557" s="16"/>
    </row>
    <row r="558" spans="1:26" ht="14.25" customHeight="1">
      <c r="B558" s="4">
        <v>43865</v>
      </c>
      <c r="C558" s="5">
        <v>47</v>
      </c>
      <c r="D558" s="6" t="s">
        <v>8965</v>
      </c>
      <c r="F558" s="155"/>
      <c r="H558" s="6" t="s">
        <v>8966</v>
      </c>
      <c r="K558" s="16">
        <v>9504155280</v>
      </c>
      <c r="M558" s="6">
        <v>7739728557</v>
      </c>
      <c r="N558" s="137" t="s">
        <v>3696</v>
      </c>
    </row>
    <row r="559" spans="1:26" ht="14.25" customHeight="1">
      <c r="B559" s="4">
        <v>43866</v>
      </c>
      <c r="C559" s="5">
        <v>47</v>
      </c>
      <c r="D559" s="6" t="s">
        <v>8967</v>
      </c>
      <c r="E559" s="6" t="s">
        <v>8968</v>
      </c>
      <c r="F559" s="155"/>
      <c r="H559" s="6" t="s">
        <v>8969</v>
      </c>
      <c r="J559" s="6" t="s">
        <v>8970</v>
      </c>
      <c r="K559" s="16">
        <v>9162525866</v>
      </c>
      <c r="M559" s="6">
        <v>7739728557</v>
      </c>
      <c r="N559" s="137" t="s">
        <v>3696</v>
      </c>
    </row>
    <row r="560" spans="1:26" ht="14.25" customHeight="1">
      <c r="B560" s="4">
        <v>43866</v>
      </c>
      <c r="C560" s="5">
        <v>47</v>
      </c>
      <c r="D560" s="6" t="s">
        <v>8971</v>
      </c>
      <c r="F560" s="155"/>
      <c r="H560" s="6" t="s">
        <v>8972</v>
      </c>
      <c r="J560" s="6" t="s">
        <v>8973</v>
      </c>
      <c r="K560" s="16">
        <v>7352762242</v>
      </c>
      <c r="M560" s="6">
        <v>7739728557</v>
      </c>
    </row>
    <row r="561" spans="1:26" ht="14.25" customHeight="1">
      <c r="A561" s="247"/>
      <c r="B561" s="248">
        <v>43872</v>
      </c>
      <c r="C561" s="249">
        <v>47</v>
      </c>
      <c r="D561" s="250" t="s">
        <v>8974</v>
      </c>
      <c r="E561" s="247" t="s">
        <v>7411</v>
      </c>
      <c r="F561" s="251"/>
      <c r="G561" s="247"/>
      <c r="H561" s="247"/>
      <c r="I561" s="247"/>
      <c r="J561" s="247" t="s">
        <v>3955</v>
      </c>
      <c r="K561" s="252">
        <v>9123495345</v>
      </c>
      <c r="L561" s="247"/>
      <c r="M561" s="247">
        <v>9123495345</v>
      </c>
      <c r="N561" s="247" t="s">
        <v>3696</v>
      </c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</row>
    <row r="562" spans="1:26" ht="14.25" customHeight="1">
      <c r="A562" s="247"/>
      <c r="B562" s="248">
        <v>43876</v>
      </c>
      <c r="C562" s="249">
        <v>47</v>
      </c>
      <c r="D562" s="250" t="s">
        <v>8975</v>
      </c>
      <c r="E562" s="247" t="s">
        <v>8298</v>
      </c>
      <c r="F562" s="251"/>
      <c r="G562" s="247"/>
      <c r="H562" s="247" t="s">
        <v>8976</v>
      </c>
      <c r="I562" s="247"/>
      <c r="J562" s="247" t="s">
        <v>8977</v>
      </c>
      <c r="K562" s="252"/>
      <c r="L562" s="247"/>
      <c r="M562" s="247">
        <v>7070360499</v>
      </c>
      <c r="N562" s="247" t="s">
        <v>3696</v>
      </c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</row>
    <row r="563" spans="1:26" ht="14.25" customHeight="1">
      <c r="A563" s="47"/>
      <c r="B563" s="158">
        <v>43876</v>
      </c>
      <c r="C563" s="65">
        <v>47</v>
      </c>
      <c r="D563" s="47" t="s">
        <v>8978</v>
      </c>
      <c r="E563" s="47" t="s">
        <v>7314</v>
      </c>
      <c r="F563" s="151"/>
      <c r="G563" s="47"/>
      <c r="H563" s="47"/>
      <c r="I563" s="47"/>
      <c r="J563" s="47" t="s">
        <v>8979</v>
      </c>
      <c r="K563" s="66">
        <v>9798682387</v>
      </c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4.25" customHeight="1">
      <c r="B564" s="4">
        <v>43876</v>
      </c>
      <c r="C564" s="5">
        <v>47</v>
      </c>
      <c r="D564" s="6" t="s">
        <v>8980</v>
      </c>
      <c r="F564" s="155"/>
      <c r="K564" s="16">
        <v>9113182499</v>
      </c>
    </row>
    <row r="565" spans="1:26" ht="14.25" customHeight="1">
      <c r="A565" s="147"/>
      <c r="B565" s="195">
        <v>43876</v>
      </c>
      <c r="C565" s="196">
        <v>48</v>
      </c>
      <c r="D565" s="147" t="s">
        <v>8981</v>
      </c>
      <c r="E565" s="147" t="s">
        <v>7314</v>
      </c>
      <c r="F565" s="161"/>
      <c r="G565" s="147"/>
      <c r="H565" s="253" t="s">
        <v>8982</v>
      </c>
      <c r="I565" s="147"/>
      <c r="J565" s="147" t="s">
        <v>8983</v>
      </c>
      <c r="K565" s="162">
        <v>9701706545</v>
      </c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spans="1:26" ht="14.25" customHeight="1">
      <c r="A566" s="147"/>
      <c r="B566" s="195">
        <v>43876</v>
      </c>
      <c r="C566" s="196">
        <v>48</v>
      </c>
      <c r="D566" s="147" t="s">
        <v>8984</v>
      </c>
      <c r="E566" s="147" t="s">
        <v>7314</v>
      </c>
      <c r="F566" s="161"/>
      <c r="G566" s="147"/>
      <c r="H566" s="253" t="s">
        <v>8985</v>
      </c>
      <c r="I566" s="147"/>
      <c r="J566" s="147" t="s">
        <v>8986</v>
      </c>
      <c r="K566" s="162">
        <v>9701706545</v>
      </c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spans="1:26" ht="14.25" customHeight="1">
      <c r="C567" s="5">
        <v>50</v>
      </c>
      <c r="D567" s="6" t="s">
        <v>8987</v>
      </c>
      <c r="E567" s="6" t="s">
        <v>8880</v>
      </c>
      <c r="F567" s="155"/>
      <c r="J567" s="6" t="s">
        <v>4327</v>
      </c>
      <c r="K567" s="16">
        <v>9608147384</v>
      </c>
    </row>
    <row r="568" spans="1:26" ht="14.25" customHeight="1">
      <c r="A568" s="147"/>
      <c r="B568" s="147"/>
      <c r="C568" s="196">
        <v>50</v>
      </c>
      <c r="D568" s="147" t="s">
        <v>8988</v>
      </c>
      <c r="E568" s="147" t="s">
        <v>8880</v>
      </c>
      <c r="F568" s="161"/>
      <c r="G568" s="147"/>
      <c r="H568" s="147"/>
      <c r="I568" s="147"/>
      <c r="J568" s="147" t="s">
        <v>8989</v>
      </c>
      <c r="K568" s="162">
        <v>9608147384</v>
      </c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spans="1:26" ht="14.25" customHeight="1">
      <c r="A569" s="47"/>
      <c r="B569" s="47"/>
      <c r="C569" s="65">
        <v>47</v>
      </c>
      <c r="D569" s="47" t="s">
        <v>8990</v>
      </c>
      <c r="E569" s="47" t="s">
        <v>7314</v>
      </c>
      <c r="F569" s="151"/>
      <c r="G569" s="47"/>
      <c r="H569" s="47"/>
      <c r="I569" s="47"/>
      <c r="J569" s="47" t="s">
        <v>3658</v>
      </c>
      <c r="K569" s="66">
        <v>9334181654</v>
      </c>
      <c r="L569" s="47"/>
      <c r="M569" s="47">
        <v>9334181654</v>
      </c>
      <c r="N569" s="47" t="s">
        <v>3696</v>
      </c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4.25" customHeight="1">
      <c r="A570" s="47"/>
      <c r="B570" s="47"/>
      <c r="C570" s="65"/>
      <c r="D570" s="47" t="s">
        <v>8991</v>
      </c>
      <c r="E570" s="47" t="s">
        <v>8992</v>
      </c>
      <c r="F570" s="151"/>
      <c r="G570" s="47"/>
      <c r="H570" s="47" t="s">
        <v>8993</v>
      </c>
      <c r="I570" s="47"/>
      <c r="J570" s="47" t="s">
        <v>8994</v>
      </c>
      <c r="K570" s="66">
        <v>7091536609</v>
      </c>
      <c r="L570" s="47"/>
      <c r="M570" s="47">
        <v>7091536609</v>
      </c>
      <c r="N570" s="47" t="s">
        <v>8910</v>
      </c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4.25" customHeight="1">
      <c r="A571" s="47"/>
      <c r="B571" s="158">
        <v>43887</v>
      </c>
      <c r="C571" s="65"/>
      <c r="D571" s="47" t="s">
        <v>8995</v>
      </c>
      <c r="E571" s="47" t="s">
        <v>8996</v>
      </c>
      <c r="F571" s="151"/>
      <c r="G571" s="47"/>
      <c r="H571" s="47" t="s">
        <v>8997</v>
      </c>
      <c r="I571" s="47"/>
      <c r="J571" s="47" t="s">
        <v>8242</v>
      </c>
      <c r="K571" s="66">
        <v>9162416872</v>
      </c>
      <c r="L571" s="47"/>
      <c r="M571" s="47">
        <v>9162416872</v>
      </c>
      <c r="N571" s="47" t="s">
        <v>8116</v>
      </c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4.25" customHeight="1">
      <c r="A572" s="47"/>
      <c r="B572" s="158">
        <v>43887</v>
      </c>
      <c r="C572" s="65"/>
      <c r="D572" s="47" t="s">
        <v>8998</v>
      </c>
      <c r="E572" s="47" t="s">
        <v>1840</v>
      </c>
      <c r="F572" s="151"/>
      <c r="G572" s="47"/>
      <c r="H572" s="47" t="s">
        <v>8244</v>
      </c>
      <c r="I572" s="47"/>
      <c r="J572" s="47" t="s">
        <v>8245</v>
      </c>
      <c r="K572" s="66">
        <v>9162416872</v>
      </c>
      <c r="L572" s="47"/>
      <c r="M572" s="47">
        <v>9162416872</v>
      </c>
      <c r="N572" s="47" t="s">
        <v>8116</v>
      </c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4.25" customHeight="1">
      <c r="A573" s="47"/>
      <c r="B573" s="158">
        <v>43888</v>
      </c>
      <c r="C573" s="65">
        <v>47</v>
      </c>
      <c r="D573" s="47" t="s">
        <v>8999</v>
      </c>
      <c r="E573" s="47" t="s">
        <v>7314</v>
      </c>
      <c r="F573" s="151"/>
      <c r="G573" s="47"/>
      <c r="H573" s="47"/>
      <c r="I573" s="47"/>
      <c r="J573" s="47" t="s">
        <v>9000</v>
      </c>
      <c r="K573" s="66">
        <v>9304863523</v>
      </c>
      <c r="L573" s="47"/>
      <c r="M573" s="47">
        <v>9304863523</v>
      </c>
      <c r="N573" s="47" t="s">
        <v>3696</v>
      </c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4.25" customHeight="1">
      <c r="A574" s="47"/>
      <c r="B574" s="158">
        <v>43894</v>
      </c>
      <c r="C574" s="65">
        <v>47</v>
      </c>
      <c r="D574" s="47" t="s">
        <v>9001</v>
      </c>
      <c r="E574" s="47" t="s">
        <v>8742</v>
      </c>
      <c r="F574" s="151"/>
      <c r="G574" s="47"/>
      <c r="H574" s="47"/>
      <c r="I574" s="47"/>
      <c r="J574" s="47" t="s">
        <v>9002</v>
      </c>
      <c r="K574" s="66">
        <v>9934361121</v>
      </c>
      <c r="L574" s="47"/>
      <c r="M574" s="47">
        <v>9934361121</v>
      </c>
      <c r="N574" s="47" t="s">
        <v>3696</v>
      </c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4.25" customHeight="1">
      <c r="A575" s="47"/>
      <c r="B575" s="158">
        <v>43894</v>
      </c>
      <c r="C575" s="65">
        <v>47</v>
      </c>
      <c r="D575" s="47" t="s">
        <v>9003</v>
      </c>
      <c r="E575" s="47" t="s">
        <v>8742</v>
      </c>
      <c r="F575" s="151"/>
      <c r="G575" s="47"/>
      <c r="H575" s="47"/>
      <c r="I575" s="47"/>
      <c r="J575" s="47" t="s">
        <v>9004</v>
      </c>
      <c r="K575" s="66">
        <v>7044198490</v>
      </c>
      <c r="L575" s="47"/>
      <c r="M575" s="47">
        <v>9934361121</v>
      </c>
      <c r="N575" s="47" t="s">
        <v>3696</v>
      </c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4.25" customHeight="1">
      <c r="B576" s="4"/>
      <c r="C576" s="5"/>
      <c r="F576" s="155"/>
      <c r="J576" s="6" t="s">
        <v>9005</v>
      </c>
      <c r="K576" s="16">
        <v>8092524722</v>
      </c>
      <c r="M576" s="6">
        <v>9934361121</v>
      </c>
      <c r="N576" s="137" t="s">
        <v>3696</v>
      </c>
    </row>
    <row r="577" spans="1:26" ht="14.25" customHeight="1">
      <c r="B577" s="4">
        <v>43902</v>
      </c>
      <c r="C577" s="5">
        <v>47</v>
      </c>
      <c r="D577" s="147" t="s">
        <v>9006</v>
      </c>
      <c r="F577" s="155"/>
      <c r="H577" s="6" t="s">
        <v>9007</v>
      </c>
      <c r="J577" s="6" t="s">
        <v>3300</v>
      </c>
      <c r="K577" s="16">
        <v>7250673361</v>
      </c>
    </row>
    <row r="578" spans="1:26" ht="14.25" customHeight="1">
      <c r="A578" s="247"/>
      <c r="B578" s="248">
        <v>43999</v>
      </c>
      <c r="C578" s="249">
        <v>47</v>
      </c>
      <c r="D578" s="247" t="s">
        <v>9008</v>
      </c>
      <c r="E578" s="247" t="s">
        <v>9009</v>
      </c>
      <c r="F578" s="251"/>
      <c r="G578" s="247" t="s">
        <v>9010</v>
      </c>
      <c r="H578" s="247" t="s">
        <v>9011</v>
      </c>
      <c r="I578" s="247"/>
      <c r="J578" s="247" t="s">
        <v>9012</v>
      </c>
      <c r="K578" s="252">
        <v>7250514971</v>
      </c>
      <c r="L578" s="247"/>
      <c r="M578" s="247">
        <v>7250514971</v>
      </c>
      <c r="N578" s="247" t="s">
        <v>8910</v>
      </c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</row>
    <row r="579" spans="1:26" ht="14.25" customHeight="1">
      <c r="A579" s="247"/>
      <c r="B579" s="248">
        <v>43999</v>
      </c>
      <c r="C579" s="249">
        <v>47</v>
      </c>
      <c r="D579" s="247" t="s">
        <v>9013</v>
      </c>
      <c r="E579" s="247" t="s">
        <v>9014</v>
      </c>
      <c r="F579" s="251"/>
      <c r="G579" s="247" t="s">
        <v>9015</v>
      </c>
      <c r="H579" s="247" t="s">
        <v>9016</v>
      </c>
      <c r="I579" s="247"/>
      <c r="J579" s="247" t="s">
        <v>9017</v>
      </c>
      <c r="K579" s="252">
        <v>7250514971</v>
      </c>
      <c r="L579" s="247"/>
      <c r="M579" s="247">
        <v>7250514971</v>
      </c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</row>
    <row r="580" spans="1:26" ht="14.25" customHeight="1">
      <c r="B580" s="4">
        <v>44109</v>
      </c>
      <c r="C580" s="5">
        <v>47</v>
      </c>
      <c r="D580" s="6" t="s">
        <v>9018</v>
      </c>
      <c r="E580" s="6" t="s">
        <v>1</v>
      </c>
      <c r="F580" s="155"/>
      <c r="G580" s="6" t="s">
        <v>9019</v>
      </c>
      <c r="H580" s="6" t="s">
        <v>9020</v>
      </c>
      <c r="J580" s="6" t="s">
        <v>9021</v>
      </c>
      <c r="K580" s="16">
        <v>7482016748</v>
      </c>
    </row>
    <row r="581" spans="1:26" ht="14.25" customHeight="1">
      <c r="A581" s="147"/>
      <c r="B581" s="195">
        <v>44109</v>
      </c>
      <c r="C581" s="196">
        <v>48</v>
      </c>
      <c r="D581" s="147"/>
      <c r="E581" s="147"/>
      <c r="F581" s="161"/>
      <c r="G581" s="147"/>
      <c r="H581" s="147" t="s">
        <v>9022</v>
      </c>
      <c r="I581" s="147"/>
      <c r="J581" s="147" t="s">
        <v>9023</v>
      </c>
      <c r="K581" s="162"/>
      <c r="L581" s="147"/>
      <c r="M581" s="147"/>
      <c r="N581" s="147"/>
    </row>
    <row r="582" spans="1:26" ht="14.25" customHeight="1">
      <c r="B582" s="4">
        <v>44117</v>
      </c>
      <c r="C582" s="5">
        <v>47</v>
      </c>
      <c r="D582" s="6" t="s">
        <v>9024</v>
      </c>
      <c r="E582" s="6" t="s">
        <v>8455</v>
      </c>
      <c r="F582" s="155"/>
      <c r="H582" s="6" t="s">
        <v>8361</v>
      </c>
      <c r="J582" s="6" t="s">
        <v>9025</v>
      </c>
      <c r="K582" s="16">
        <v>8757790080</v>
      </c>
      <c r="M582" s="147">
        <v>8757790080</v>
      </c>
      <c r="N582" s="147" t="s">
        <v>8116</v>
      </c>
    </row>
    <row r="583" spans="1:26" ht="14.25" customHeight="1">
      <c r="B583" s="4">
        <v>44117</v>
      </c>
      <c r="C583" s="5">
        <v>47</v>
      </c>
      <c r="D583" s="6" t="s">
        <v>9026</v>
      </c>
      <c r="E583" s="6" t="s">
        <v>1</v>
      </c>
      <c r="F583" s="155"/>
      <c r="H583" s="6" t="s">
        <v>9027</v>
      </c>
      <c r="J583" s="6" t="s">
        <v>9028</v>
      </c>
      <c r="K583" s="16">
        <v>8757790080</v>
      </c>
    </row>
    <row r="584" spans="1:26" ht="14.25" customHeight="1">
      <c r="B584" s="4">
        <v>44128</v>
      </c>
      <c r="C584" s="5">
        <v>47</v>
      </c>
      <c r="D584" s="6" t="s">
        <v>9029</v>
      </c>
      <c r="E584" s="6" t="s">
        <v>8266</v>
      </c>
      <c r="F584" s="155"/>
      <c r="H584" s="6" t="s">
        <v>9030</v>
      </c>
      <c r="K584" s="16">
        <v>8797831300</v>
      </c>
      <c r="M584" s="6">
        <v>8797831300</v>
      </c>
      <c r="N584" s="137" t="s">
        <v>3696</v>
      </c>
    </row>
    <row r="585" spans="1:26" ht="14.25" customHeight="1">
      <c r="B585" s="4">
        <v>44128</v>
      </c>
      <c r="C585" s="5">
        <v>47</v>
      </c>
      <c r="D585" s="6" t="s">
        <v>9031</v>
      </c>
      <c r="E585" s="6" t="s">
        <v>8266</v>
      </c>
      <c r="F585" s="155"/>
      <c r="H585" s="243" t="s">
        <v>9032</v>
      </c>
      <c r="J585" s="6" t="s">
        <v>9033</v>
      </c>
      <c r="K585" s="16">
        <v>7654551043</v>
      </c>
      <c r="M585" s="6">
        <v>7654551043</v>
      </c>
      <c r="N585" s="137" t="s">
        <v>3696</v>
      </c>
    </row>
    <row r="586" spans="1:26" ht="14.25" customHeight="1">
      <c r="B586" s="4">
        <v>44132</v>
      </c>
      <c r="C586" s="5">
        <v>47</v>
      </c>
      <c r="D586" s="6" t="s">
        <v>9034</v>
      </c>
      <c r="E586" s="6" t="s">
        <v>8298</v>
      </c>
      <c r="F586" s="155"/>
      <c r="H586" s="6" t="s">
        <v>9035</v>
      </c>
      <c r="K586" s="16">
        <v>8271312110</v>
      </c>
      <c r="M586" s="6">
        <v>8271312110</v>
      </c>
      <c r="N586" s="137" t="s">
        <v>3696</v>
      </c>
    </row>
    <row r="587" spans="1:26" ht="14.25" customHeight="1">
      <c r="B587" s="4">
        <v>44134</v>
      </c>
      <c r="C587" s="5">
        <v>48</v>
      </c>
      <c r="D587" s="6" t="s">
        <v>9036</v>
      </c>
      <c r="E587" s="6" t="s">
        <v>8266</v>
      </c>
      <c r="F587" s="155"/>
      <c r="H587" s="6" t="s">
        <v>9037</v>
      </c>
      <c r="J587" s="6" t="s">
        <v>9038</v>
      </c>
      <c r="K587" s="16">
        <v>9279212466</v>
      </c>
      <c r="M587" s="6">
        <v>9279212466</v>
      </c>
      <c r="N587" s="137" t="s">
        <v>3696</v>
      </c>
    </row>
    <row r="588" spans="1:26" ht="14.25" customHeight="1">
      <c r="B588" s="4">
        <v>44135</v>
      </c>
      <c r="C588" s="5">
        <v>48</v>
      </c>
      <c r="D588" s="6" t="s">
        <v>9039</v>
      </c>
      <c r="E588" s="6" t="s">
        <v>9040</v>
      </c>
      <c r="F588" s="155"/>
      <c r="H588" s="6" t="s">
        <v>9041</v>
      </c>
      <c r="K588" s="16">
        <v>9279212466</v>
      </c>
      <c r="M588" s="6">
        <v>9279212466</v>
      </c>
      <c r="N588" s="137" t="s">
        <v>3696</v>
      </c>
    </row>
    <row r="589" spans="1:26" ht="14.25" customHeight="1">
      <c r="B589" s="4">
        <v>44139</v>
      </c>
      <c r="C589" s="5">
        <v>48</v>
      </c>
      <c r="D589" s="6" t="s">
        <v>9042</v>
      </c>
      <c r="E589" s="6" t="s">
        <v>7411</v>
      </c>
      <c r="F589" s="155"/>
      <c r="H589" s="227" t="s">
        <v>9043</v>
      </c>
      <c r="J589" s="6" t="s">
        <v>2780</v>
      </c>
      <c r="K589" s="16"/>
      <c r="M589" s="6">
        <v>7765917895</v>
      </c>
      <c r="N589" s="137" t="s">
        <v>3696</v>
      </c>
    </row>
    <row r="590" spans="1:26" ht="14.25" customHeight="1">
      <c r="A590" s="47"/>
      <c r="B590" s="158">
        <v>44139</v>
      </c>
      <c r="C590" s="65">
        <v>48</v>
      </c>
      <c r="D590" s="47" t="s">
        <v>9044</v>
      </c>
      <c r="E590" s="47"/>
      <c r="F590" s="151"/>
      <c r="G590" s="47"/>
      <c r="H590" s="47"/>
      <c r="I590" s="47"/>
      <c r="J590" s="47" t="s">
        <v>9045</v>
      </c>
      <c r="K590" s="66"/>
      <c r="L590" s="47"/>
      <c r="M590" s="47">
        <v>8877177689</v>
      </c>
      <c r="N590" s="47" t="s">
        <v>3696</v>
      </c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4.25" customHeight="1">
      <c r="B591" s="4">
        <v>44140</v>
      </c>
      <c r="C591" s="5">
        <v>47</v>
      </c>
      <c r="D591" s="6" t="s">
        <v>9046</v>
      </c>
      <c r="E591" s="6" t="s">
        <v>8266</v>
      </c>
      <c r="F591" s="155"/>
      <c r="H591" s="6" t="s">
        <v>9047</v>
      </c>
      <c r="J591" s="6" t="s">
        <v>9048</v>
      </c>
      <c r="K591" s="16">
        <v>7209362126</v>
      </c>
      <c r="M591" s="6">
        <v>8271312110</v>
      </c>
      <c r="N591" s="137" t="s">
        <v>3696</v>
      </c>
    </row>
    <row r="592" spans="1:26" ht="14.25" customHeight="1">
      <c r="B592" s="4">
        <v>44146</v>
      </c>
      <c r="C592" s="5">
        <v>48</v>
      </c>
      <c r="D592" s="6" t="s">
        <v>9049</v>
      </c>
      <c r="E592" s="6" t="s">
        <v>7406</v>
      </c>
      <c r="F592" s="155"/>
      <c r="H592" s="6" t="s">
        <v>9050</v>
      </c>
      <c r="J592" s="6" t="s">
        <v>9051</v>
      </c>
      <c r="K592" s="16">
        <v>9234287332</v>
      </c>
      <c r="M592" s="6">
        <v>9234287332</v>
      </c>
      <c r="N592" s="137" t="s">
        <v>3696</v>
      </c>
    </row>
    <row r="593" spans="1:26" ht="14.25" customHeight="1">
      <c r="A593" s="10" t="s">
        <v>9052</v>
      </c>
      <c r="B593" s="229">
        <v>44147</v>
      </c>
      <c r="C593" s="40">
        <v>47</v>
      </c>
      <c r="D593" s="10" t="s">
        <v>9053</v>
      </c>
      <c r="E593" s="10" t="s">
        <v>9054</v>
      </c>
      <c r="F593" s="155"/>
      <c r="G593" s="10" t="s">
        <v>9054</v>
      </c>
      <c r="H593" s="10" t="s">
        <v>9055</v>
      </c>
      <c r="I593" s="10" t="s">
        <v>9056</v>
      </c>
      <c r="J593" s="254" t="s">
        <v>9057</v>
      </c>
      <c r="K593" s="228">
        <v>9031270647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>
      <c r="B594" s="4">
        <v>44178</v>
      </c>
      <c r="C594" s="5">
        <v>47</v>
      </c>
      <c r="D594" s="6" t="s">
        <v>9058</v>
      </c>
      <c r="E594" s="6"/>
      <c r="F594" s="155"/>
      <c r="G594" s="6"/>
      <c r="H594" s="6" t="s">
        <v>8279</v>
      </c>
      <c r="I594" s="6"/>
      <c r="J594" s="6" t="s">
        <v>8280</v>
      </c>
      <c r="K594" s="16"/>
      <c r="L594" s="6" t="s">
        <v>1434</v>
      </c>
      <c r="M594" s="6">
        <v>9905150414</v>
      </c>
      <c r="N594" s="6" t="s">
        <v>8116</v>
      </c>
    </row>
    <row r="595" spans="1:26" ht="14.25" customHeight="1">
      <c r="B595" s="4">
        <v>44178</v>
      </c>
      <c r="C595" s="5">
        <v>47</v>
      </c>
      <c r="D595" s="6" t="s">
        <v>9059</v>
      </c>
      <c r="E595" s="6"/>
      <c r="F595" s="155"/>
      <c r="G595" s="6"/>
      <c r="H595" s="6" t="s">
        <v>8282</v>
      </c>
      <c r="I595" s="6"/>
      <c r="J595" s="6" t="s">
        <v>8283</v>
      </c>
      <c r="K595" s="16"/>
      <c r="L595" s="6" t="s">
        <v>1434</v>
      </c>
      <c r="M595" s="6">
        <v>9905150414</v>
      </c>
      <c r="N595" s="6" t="s">
        <v>8116</v>
      </c>
    </row>
    <row r="596" spans="1:26" ht="14.25" customHeight="1">
      <c r="B596" s="4">
        <v>44178</v>
      </c>
      <c r="C596" s="5">
        <v>47</v>
      </c>
      <c r="D596" s="6" t="s">
        <v>9060</v>
      </c>
      <c r="E596" s="6"/>
      <c r="F596" s="155"/>
      <c r="G596" s="6"/>
      <c r="H596" s="6" t="s">
        <v>8285</v>
      </c>
      <c r="I596" s="6"/>
      <c r="J596" s="6" t="s">
        <v>8286</v>
      </c>
      <c r="K596" s="16"/>
      <c r="L596" s="6" t="s">
        <v>1434</v>
      </c>
      <c r="M596" s="6">
        <v>9905150414</v>
      </c>
      <c r="N596" s="6" t="s">
        <v>8116</v>
      </c>
    </row>
    <row r="597" spans="1:26" ht="14.25" customHeight="1">
      <c r="A597" s="10" t="s">
        <v>9061</v>
      </c>
      <c r="B597" s="229">
        <v>44137</v>
      </c>
      <c r="C597" s="40">
        <v>47</v>
      </c>
      <c r="D597" s="6" t="s">
        <v>9062</v>
      </c>
      <c r="E597" s="10" t="s">
        <v>9054</v>
      </c>
      <c r="F597" s="155"/>
      <c r="G597" s="10" t="s">
        <v>9063</v>
      </c>
      <c r="H597" s="10" t="s">
        <v>8375</v>
      </c>
      <c r="I597" s="10" t="s">
        <v>9056</v>
      </c>
      <c r="J597" s="10" t="s">
        <v>9064</v>
      </c>
      <c r="K597" s="228">
        <v>9279146232</v>
      </c>
      <c r="L597" s="10" t="s">
        <v>9065</v>
      </c>
      <c r="M597" s="10"/>
      <c r="N597" s="10"/>
    </row>
    <row r="598" spans="1:26" ht="14.25" customHeight="1">
      <c r="A598" s="6" t="s">
        <v>9066</v>
      </c>
      <c r="B598" s="229">
        <v>44137</v>
      </c>
      <c r="C598" s="5">
        <v>47</v>
      </c>
      <c r="D598" s="6" t="s">
        <v>9067</v>
      </c>
      <c r="E598" s="10" t="s">
        <v>9054</v>
      </c>
      <c r="F598" s="155"/>
      <c r="G598" s="4">
        <v>24492</v>
      </c>
      <c r="H598" s="6" t="s">
        <v>9068</v>
      </c>
      <c r="J598" s="6" t="s">
        <v>9069</v>
      </c>
      <c r="K598" s="16"/>
      <c r="L598" s="6" t="s">
        <v>9065</v>
      </c>
    </row>
    <row r="599" spans="1:26" ht="14.25" customHeight="1">
      <c r="A599" s="10" t="s">
        <v>9061</v>
      </c>
      <c r="B599" s="229">
        <v>44137</v>
      </c>
      <c r="C599" s="40">
        <v>47</v>
      </c>
      <c r="D599" s="255" t="s">
        <v>9070</v>
      </c>
      <c r="E599" s="10" t="s">
        <v>9054</v>
      </c>
      <c r="F599" s="155"/>
      <c r="G599" s="10" t="s">
        <v>9063</v>
      </c>
      <c r="H599" s="10"/>
      <c r="I599" s="10" t="s">
        <v>9056</v>
      </c>
      <c r="J599" s="10" t="s">
        <v>9071</v>
      </c>
      <c r="K599" s="228"/>
      <c r="L599" s="10"/>
    </row>
    <row r="600" spans="1:26" ht="14.25" customHeight="1">
      <c r="A600" s="10" t="s">
        <v>9072</v>
      </c>
      <c r="B600" s="229">
        <v>44168</v>
      </c>
      <c r="C600" s="40">
        <v>47</v>
      </c>
      <c r="D600" s="10" t="s">
        <v>9073</v>
      </c>
      <c r="E600" s="10" t="s">
        <v>9054</v>
      </c>
      <c r="F600" s="155"/>
      <c r="G600" s="10" t="s">
        <v>9063</v>
      </c>
      <c r="H600" s="10" t="s">
        <v>9074</v>
      </c>
      <c r="I600" s="10" t="s">
        <v>9056</v>
      </c>
      <c r="J600" s="10" t="s">
        <v>9075</v>
      </c>
      <c r="K600" s="228">
        <v>9311862242</v>
      </c>
      <c r="L600" s="10"/>
    </row>
    <row r="601" spans="1:26" ht="14.25" customHeight="1">
      <c r="B601" s="4">
        <v>44168</v>
      </c>
      <c r="C601" s="5">
        <v>47</v>
      </c>
      <c r="D601" s="6" t="s">
        <v>9076</v>
      </c>
      <c r="E601" s="6" t="s">
        <v>9077</v>
      </c>
      <c r="F601" s="155"/>
      <c r="H601" s="6" t="s">
        <v>9078</v>
      </c>
      <c r="J601" s="6" t="s">
        <v>9079</v>
      </c>
      <c r="K601" s="16">
        <v>9852442811</v>
      </c>
      <c r="M601" s="6">
        <v>9852442811</v>
      </c>
      <c r="N601" s="137" t="s">
        <v>3696</v>
      </c>
    </row>
    <row r="602" spans="1:26" ht="14.25" customHeight="1">
      <c r="C602" s="5">
        <v>47</v>
      </c>
      <c r="D602" s="6" t="s">
        <v>9080</v>
      </c>
      <c r="E602" s="6" t="s">
        <v>7314</v>
      </c>
      <c r="F602" s="155"/>
      <c r="J602" s="6" t="s">
        <v>9081</v>
      </c>
      <c r="K602" s="16"/>
      <c r="M602" s="6">
        <v>8092538724</v>
      </c>
      <c r="N602" s="137" t="s">
        <v>8116</v>
      </c>
    </row>
    <row r="603" spans="1:26" ht="14.25" customHeight="1">
      <c r="A603" s="10"/>
      <c r="B603" s="229">
        <v>44170</v>
      </c>
      <c r="C603" s="40">
        <v>48</v>
      </c>
      <c r="D603" s="10" t="s">
        <v>9082</v>
      </c>
      <c r="E603" s="10" t="s">
        <v>9054</v>
      </c>
      <c r="F603" s="155"/>
      <c r="G603" s="10" t="s">
        <v>9063</v>
      </c>
      <c r="H603" s="10" t="s">
        <v>7949</v>
      </c>
      <c r="I603" s="10"/>
      <c r="J603" s="10" t="s">
        <v>9083</v>
      </c>
      <c r="K603" s="228">
        <v>6206627587</v>
      </c>
      <c r="L603" s="10"/>
    </row>
    <row r="604" spans="1:26" ht="14.25" customHeight="1">
      <c r="A604" s="10" t="s">
        <v>9072</v>
      </c>
      <c r="B604" s="229">
        <v>44171</v>
      </c>
      <c r="C604" s="40">
        <v>47</v>
      </c>
      <c r="D604" s="10" t="s">
        <v>9029</v>
      </c>
      <c r="E604" s="10" t="s">
        <v>9054</v>
      </c>
      <c r="F604" s="155"/>
      <c r="G604" s="10" t="s">
        <v>9063</v>
      </c>
      <c r="H604" s="10" t="s">
        <v>9030</v>
      </c>
      <c r="I604" s="10" t="s">
        <v>9056</v>
      </c>
      <c r="J604" s="10" t="s">
        <v>9084</v>
      </c>
      <c r="K604" s="228">
        <v>7634897069</v>
      </c>
      <c r="L604" s="10"/>
    </row>
    <row r="605" spans="1:26" ht="14.25" customHeight="1">
      <c r="A605" s="229"/>
      <c r="B605" s="229">
        <v>44172</v>
      </c>
      <c r="C605" s="40"/>
      <c r="D605" s="229" t="s">
        <v>9085</v>
      </c>
      <c r="E605" s="229" t="s">
        <v>9086</v>
      </c>
      <c r="F605" s="256"/>
      <c r="G605" s="229">
        <v>47</v>
      </c>
      <c r="H605" s="229" t="s">
        <v>9087</v>
      </c>
      <c r="I605" s="229" t="s">
        <v>8138</v>
      </c>
      <c r="J605" s="254" t="s">
        <v>9088</v>
      </c>
      <c r="K605" s="228">
        <v>9110096172</v>
      </c>
      <c r="L605" s="229"/>
      <c r="M605" s="4"/>
      <c r="N605" s="4"/>
    </row>
    <row r="606" spans="1:26" ht="14.25" customHeight="1">
      <c r="A606" s="47"/>
      <c r="B606" s="47"/>
      <c r="C606" s="65">
        <v>47</v>
      </c>
      <c r="D606" s="257" t="s">
        <v>9089</v>
      </c>
      <c r="E606" s="47"/>
      <c r="F606" s="151"/>
      <c r="G606" s="47"/>
      <c r="H606" s="47"/>
      <c r="I606" s="47"/>
      <c r="J606" s="47" t="s">
        <v>9090</v>
      </c>
      <c r="K606" s="66"/>
      <c r="L606" s="47"/>
      <c r="M606" s="47">
        <v>9572536285</v>
      </c>
      <c r="N606" s="47" t="s">
        <v>3696</v>
      </c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4.25" customHeight="1">
      <c r="A607" s="47"/>
      <c r="B607" s="47"/>
      <c r="C607" s="65">
        <v>47</v>
      </c>
      <c r="D607" s="257" t="s">
        <v>9091</v>
      </c>
      <c r="E607" s="47" t="s">
        <v>7411</v>
      </c>
      <c r="F607" s="151"/>
      <c r="G607" s="47"/>
      <c r="H607" s="47"/>
      <c r="I607" s="47"/>
      <c r="J607" s="47" t="s">
        <v>9092</v>
      </c>
      <c r="K607" s="66"/>
      <c r="L607" s="47"/>
      <c r="M607" s="47">
        <v>9572536285</v>
      </c>
      <c r="N607" s="47" t="s">
        <v>3696</v>
      </c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4.25" customHeight="1">
      <c r="C608" s="5"/>
      <c r="D608" s="4" t="s">
        <v>9093</v>
      </c>
      <c r="E608" s="6" t="s">
        <v>8298</v>
      </c>
      <c r="F608" s="155"/>
      <c r="H608" s="6" t="s">
        <v>9094</v>
      </c>
      <c r="J608" s="6" t="s">
        <v>9095</v>
      </c>
      <c r="K608" s="16"/>
      <c r="M608" s="6">
        <v>8797594876</v>
      </c>
      <c r="N608" s="137" t="s">
        <v>3696</v>
      </c>
    </row>
    <row r="609" spans="1:14" ht="14.25" customHeight="1">
      <c r="B609" s="4">
        <v>44175</v>
      </c>
      <c r="C609" s="5">
        <v>47</v>
      </c>
      <c r="D609" s="6" t="s">
        <v>9096</v>
      </c>
      <c r="E609" s="6" t="s">
        <v>7314</v>
      </c>
      <c r="F609" s="155"/>
      <c r="G609" s="6" t="s">
        <v>9097</v>
      </c>
      <c r="J609" s="6" t="s">
        <v>3296</v>
      </c>
      <c r="K609" s="16">
        <v>7903099339</v>
      </c>
      <c r="M609" s="6">
        <v>7903099339</v>
      </c>
      <c r="N609" s="137" t="s">
        <v>3696</v>
      </c>
    </row>
    <row r="610" spans="1:14" ht="14.25" customHeight="1">
      <c r="B610" s="4">
        <v>44177</v>
      </c>
      <c r="C610" s="5">
        <v>47</v>
      </c>
      <c r="D610" s="6" t="s">
        <v>9098</v>
      </c>
      <c r="E610" s="6" t="s">
        <v>7314</v>
      </c>
      <c r="F610" s="155"/>
      <c r="J610" s="6" t="s">
        <v>9099</v>
      </c>
      <c r="K610" s="16">
        <v>7694911590</v>
      </c>
      <c r="M610" s="6">
        <v>7694911590</v>
      </c>
      <c r="N610" s="137" t="s">
        <v>3696</v>
      </c>
    </row>
    <row r="611" spans="1:14" ht="14.25" customHeight="1">
      <c r="B611" s="4">
        <v>44177</v>
      </c>
      <c r="C611" s="5">
        <v>47</v>
      </c>
      <c r="D611" s="6" t="s">
        <v>9100</v>
      </c>
      <c r="E611" s="6" t="s">
        <v>7411</v>
      </c>
      <c r="F611" s="155"/>
      <c r="J611" s="6" t="s">
        <v>9101</v>
      </c>
      <c r="K611" s="16">
        <v>7694911590</v>
      </c>
      <c r="M611" s="6">
        <v>7694911590</v>
      </c>
      <c r="N611" s="137" t="s">
        <v>3696</v>
      </c>
    </row>
    <row r="612" spans="1:14" ht="14.25" customHeight="1">
      <c r="B612" s="4">
        <v>44178</v>
      </c>
      <c r="C612" s="5">
        <v>47</v>
      </c>
      <c r="D612" s="6" t="s">
        <v>9102</v>
      </c>
      <c r="E612" s="6" t="s">
        <v>7411</v>
      </c>
      <c r="F612" s="155"/>
      <c r="J612" s="6" t="s">
        <v>9103</v>
      </c>
      <c r="K612" s="16">
        <v>9931495576</v>
      </c>
    </row>
    <row r="613" spans="1:14" ht="14.25" customHeight="1">
      <c r="B613" s="4">
        <v>44178</v>
      </c>
      <c r="C613" s="5">
        <v>47</v>
      </c>
      <c r="D613" s="6" t="s">
        <v>9104</v>
      </c>
      <c r="E613" s="6" t="s">
        <v>7411</v>
      </c>
      <c r="F613" s="155"/>
      <c r="J613" s="6" t="s">
        <v>9105</v>
      </c>
      <c r="K613" s="16">
        <v>8603873458</v>
      </c>
    </row>
    <row r="614" spans="1:14" ht="14.25" customHeight="1">
      <c r="B614" s="4">
        <v>44178</v>
      </c>
      <c r="C614" s="5">
        <v>47</v>
      </c>
      <c r="D614" s="6" t="s">
        <v>9106</v>
      </c>
      <c r="E614" s="6" t="s">
        <v>7411</v>
      </c>
      <c r="F614" s="155"/>
      <c r="J614" s="6" t="s">
        <v>4640</v>
      </c>
      <c r="K614" s="16">
        <v>8888662368</v>
      </c>
    </row>
    <row r="615" spans="1:14" ht="14.25" customHeight="1">
      <c r="B615" s="4">
        <v>44178</v>
      </c>
      <c r="C615" s="5">
        <v>47</v>
      </c>
      <c r="E615" s="6" t="s">
        <v>7411</v>
      </c>
      <c r="F615" s="155"/>
      <c r="J615" s="6" t="s">
        <v>4644</v>
      </c>
      <c r="K615" s="16">
        <v>7038314863</v>
      </c>
    </row>
    <row r="616" spans="1:14" ht="14.25" customHeight="1">
      <c r="B616" s="4">
        <v>44178</v>
      </c>
      <c r="C616" s="5">
        <v>47</v>
      </c>
      <c r="D616" s="6" t="s">
        <v>9107</v>
      </c>
      <c r="E616" s="6" t="s">
        <v>9108</v>
      </c>
      <c r="F616" s="155"/>
      <c r="H616" s="6" t="s">
        <v>9109</v>
      </c>
      <c r="J616" s="6" t="s">
        <v>2263</v>
      </c>
      <c r="K616" s="16">
        <v>7694911590</v>
      </c>
      <c r="M616" s="6">
        <v>7694911590</v>
      </c>
      <c r="N616" s="137" t="s">
        <v>3696</v>
      </c>
    </row>
    <row r="617" spans="1:14" ht="14.25" customHeight="1">
      <c r="B617" s="4">
        <v>44181</v>
      </c>
      <c r="C617" s="5">
        <v>47</v>
      </c>
      <c r="D617" s="6" t="s">
        <v>9110</v>
      </c>
      <c r="E617" s="6" t="s">
        <v>8298</v>
      </c>
      <c r="F617" s="155"/>
      <c r="H617" s="6" t="s">
        <v>9111</v>
      </c>
      <c r="J617" s="6" t="s">
        <v>9112</v>
      </c>
      <c r="K617" s="16">
        <v>9931246385</v>
      </c>
    </row>
    <row r="618" spans="1:14" ht="14.25" customHeight="1">
      <c r="B618" s="195">
        <v>44181</v>
      </c>
      <c r="C618" s="196">
        <v>48</v>
      </c>
      <c r="D618" s="147" t="s">
        <v>9113</v>
      </c>
      <c r="E618" s="147" t="s">
        <v>9054</v>
      </c>
      <c r="F618" s="161"/>
      <c r="G618" s="147"/>
      <c r="H618" s="147" t="s">
        <v>9114</v>
      </c>
      <c r="I618" s="147"/>
      <c r="J618" s="147" t="s">
        <v>9115</v>
      </c>
      <c r="K618" s="162">
        <v>7631185803</v>
      </c>
      <c r="L618" s="70"/>
    </row>
    <row r="619" spans="1:14" ht="14.25" customHeight="1">
      <c r="B619" s="195">
        <v>44181</v>
      </c>
      <c r="C619" s="196">
        <v>48</v>
      </c>
      <c r="D619" s="253" t="s">
        <v>9116</v>
      </c>
      <c r="E619" s="147" t="s">
        <v>9054</v>
      </c>
      <c r="F619" s="161"/>
      <c r="G619" s="147" t="s">
        <v>9117</v>
      </c>
      <c r="H619" s="147" t="s">
        <v>9118</v>
      </c>
      <c r="I619" s="147"/>
      <c r="J619" s="253" t="s">
        <v>9119</v>
      </c>
      <c r="K619" s="162"/>
      <c r="L619" s="70"/>
    </row>
    <row r="620" spans="1:14" ht="14.25" customHeight="1">
      <c r="B620" s="195">
        <v>44181</v>
      </c>
      <c r="C620" s="196">
        <v>49</v>
      </c>
      <c r="D620" s="147" t="s">
        <v>9120</v>
      </c>
      <c r="E620" s="147" t="s">
        <v>9054</v>
      </c>
      <c r="F620" s="161"/>
      <c r="G620" s="147" t="s">
        <v>9121</v>
      </c>
      <c r="H620" s="258" t="s">
        <v>9122</v>
      </c>
      <c r="I620" s="147"/>
      <c r="J620" s="258" t="s">
        <v>9123</v>
      </c>
      <c r="K620" s="162"/>
    </row>
    <row r="621" spans="1:14" ht="14.25" customHeight="1">
      <c r="B621" s="4">
        <v>44181</v>
      </c>
      <c r="C621" s="5">
        <v>45</v>
      </c>
      <c r="D621" s="4" t="s">
        <v>9124</v>
      </c>
      <c r="E621" s="4" t="s">
        <v>7314</v>
      </c>
      <c r="F621" s="256"/>
      <c r="G621" s="4" t="s">
        <v>9125</v>
      </c>
      <c r="H621" s="4"/>
      <c r="I621" s="4"/>
      <c r="J621" s="4" t="s">
        <v>9126</v>
      </c>
      <c r="K621" s="17"/>
      <c r="L621" s="4"/>
      <c r="M621" s="4"/>
    </row>
    <row r="622" spans="1:14" ht="14.25" customHeight="1">
      <c r="B622" s="4">
        <v>44182</v>
      </c>
      <c r="C622" s="5">
        <v>48</v>
      </c>
      <c r="D622" s="6" t="s">
        <v>9127</v>
      </c>
      <c r="E622" s="259" t="s">
        <v>9054</v>
      </c>
      <c r="F622" s="161"/>
      <c r="H622" s="6" t="s">
        <v>9128</v>
      </c>
      <c r="J622" s="6" t="s">
        <v>9129</v>
      </c>
      <c r="K622" s="16"/>
    </row>
    <row r="623" spans="1:14" ht="14.25" customHeight="1">
      <c r="A623" s="6" t="s">
        <v>9130</v>
      </c>
      <c r="B623" s="4">
        <v>44183</v>
      </c>
      <c r="C623" s="5">
        <v>47</v>
      </c>
      <c r="E623" s="147" t="s">
        <v>9054</v>
      </c>
      <c r="F623" s="161"/>
      <c r="J623" s="6" t="s">
        <v>9088</v>
      </c>
      <c r="K623" s="16">
        <v>9110096172</v>
      </c>
    </row>
    <row r="624" spans="1:14" ht="14.25" customHeight="1">
      <c r="B624" s="4">
        <v>44183</v>
      </c>
      <c r="C624" s="5">
        <v>47</v>
      </c>
      <c r="E624" s="147" t="s">
        <v>9054</v>
      </c>
      <c r="F624" s="161"/>
      <c r="H624" s="6" t="s">
        <v>9131</v>
      </c>
      <c r="J624" s="6" t="s">
        <v>9132</v>
      </c>
      <c r="K624" s="16"/>
    </row>
    <row r="625" spans="2:14" ht="14.25" customHeight="1">
      <c r="B625" s="4">
        <v>44183</v>
      </c>
      <c r="C625" s="5">
        <v>47</v>
      </c>
      <c r="E625" s="147" t="s">
        <v>9054</v>
      </c>
      <c r="F625" s="161"/>
      <c r="H625" s="6" t="s">
        <v>9133</v>
      </c>
      <c r="J625" s="6" t="s">
        <v>9134</v>
      </c>
      <c r="K625" s="16"/>
    </row>
    <row r="626" spans="2:14" ht="14.25" customHeight="1">
      <c r="B626" s="4">
        <v>44183</v>
      </c>
      <c r="C626" s="5">
        <v>47</v>
      </c>
      <c r="E626" s="147" t="s">
        <v>9054</v>
      </c>
      <c r="F626" s="161"/>
      <c r="H626" s="6" t="s">
        <v>9135</v>
      </c>
      <c r="J626" s="6" t="s">
        <v>9136</v>
      </c>
      <c r="K626" s="16"/>
    </row>
    <row r="627" spans="2:14" ht="14.25" customHeight="1">
      <c r="B627" s="4">
        <v>44183</v>
      </c>
      <c r="C627" s="5">
        <v>47</v>
      </c>
      <c r="E627" s="147" t="s">
        <v>9054</v>
      </c>
      <c r="F627" s="161"/>
      <c r="H627" s="6" t="s">
        <v>9137</v>
      </c>
      <c r="J627" s="6" t="s">
        <v>9138</v>
      </c>
      <c r="K627" s="16"/>
    </row>
    <row r="628" spans="2:14" ht="14.25" customHeight="1">
      <c r="B628" s="4">
        <v>44187</v>
      </c>
      <c r="C628" s="5">
        <v>49</v>
      </c>
      <c r="D628" s="6" t="s">
        <v>9139</v>
      </c>
      <c r="E628" s="147" t="s">
        <v>9054</v>
      </c>
      <c r="F628" s="161"/>
      <c r="G628" s="6" t="s">
        <v>9140</v>
      </c>
      <c r="H628" s="243" t="s">
        <v>9141</v>
      </c>
      <c r="J628" s="6" t="s">
        <v>9142</v>
      </c>
      <c r="K628" s="16"/>
    </row>
    <row r="629" spans="2:14" ht="14.25" customHeight="1">
      <c r="B629" s="4">
        <v>44188</v>
      </c>
      <c r="C629" s="5">
        <v>47</v>
      </c>
      <c r="E629" s="147" t="s">
        <v>9054</v>
      </c>
      <c r="F629" s="161"/>
      <c r="H629" s="6" t="s">
        <v>9143</v>
      </c>
      <c r="J629" s="6" t="s">
        <v>9144</v>
      </c>
      <c r="K629" s="16"/>
    </row>
    <row r="630" spans="2:14" ht="14.25" customHeight="1">
      <c r="B630" s="4">
        <v>44188</v>
      </c>
      <c r="C630" s="5">
        <v>47</v>
      </c>
      <c r="E630" s="147" t="s">
        <v>9054</v>
      </c>
      <c r="F630" s="161"/>
      <c r="H630" s="6" t="s">
        <v>9145</v>
      </c>
      <c r="J630" s="6" t="s">
        <v>9146</v>
      </c>
      <c r="K630" s="16"/>
    </row>
    <row r="631" spans="2:14" ht="14.25" customHeight="1">
      <c r="B631" s="4">
        <v>44189</v>
      </c>
      <c r="C631" s="5">
        <v>48</v>
      </c>
      <c r="D631" s="6" t="s">
        <v>9147</v>
      </c>
      <c r="E631" s="147" t="s">
        <v>8481</v>
      </c>
      <c r="F631" s="161"/>
      <c r="H631" s="6" t="s">
        <v>9148</v>
      </c>
      <c r="J631" s="6" t="s">
        <v>2177</v>
      </c>
      <c r="K631" s="16">
        <v>8797312103</v>
      </c>
      <c r="M631" s="6">
        <v>8797312103</v>
      </c>
      <c r="N631" s="6" t="s">
        <v>3696</v>
      </c>
    </row>
    <row r="632" spans="2:14" ht="14.25" customHeight="1">
      <c r="B632" s="4">
        <v>44190</v>
      </c>
      <c r="C632" s="5">
        <v>47</v>
      </c>
      <c r="D632" s="6" t="s">
        <v>9149</v>
      </c>
      <c r="E632" s="147" t="s">
        <v>9150</v>
      </c>
      <c r="F632" s="161"/>
      <c r="H632" s="6" t="s">
        <v>9151</v>
      </c>
      <c r="J632" s="6" t="s">
        <v>9152</v>
      </c>
      <c r="K632" s="16" t="s">
        <v>9153</v>
      </c>
    </row>
    <row r="633" spans="2:14" ht="14.25" customHeight="1">
      <c r="B633" s="4">
        <v>44194</v>
      </c>
      <c r="C633" s="5">
        <v>47</v>
      </c>
      <c r="E633" s="147" t="s">
        <v>9054</v>
      </c>
      <c r="F633" s="161"/>
      <c r="H633" s="6" t="s">
        <v>9154</v>
      </c>
      <c r="J633" s="6" t="s">
        <v>9155</v>
      </c>
      <c r="K633" s="16"/>
    </row>
    <row r="634" spans="2:14" ht="14.25" customHeight="1">
      <c r="B634" s="4">
        <v>44194</v>
      </c>
      <c r="C634" s="5">
        <v>47</v>
      </c>
      <c r="E634" s="147" t="s">
        <v>9054</v>
      </c>
      <c r="F634" s="161"/>
      <c r="H634" s="6" t="s">
        <v>9156</v>
      </c>
      <c r="J634" s="6" t="s">
        <v>9157</v>
      </c>
      <c r="K634" s="16"/>
    </row>
    <row r="635" spans="2:14" ht="14.25" customHeight="1">
      <c r="B635" s="4">
        <v>44195</v>
      </c>
      <c r="C635" s="5">
        <v>48</v>
      </c>
      <c r="E635" s="147" t="s">
        <v>9054</v>
      </c>
      <c r="F635" s="161"/>
      <c r="H635" s="6" t="s">
        <v>8071</v>
      </c>
      <c r="J635" s="6" t="s">
        <v>9158</v>
      </c>
      <c r="K635" s="16"/>
    </row>
    <row r="636" spans="2:14" ht="14.25" customHeight="1">
      <c r="B636" s="4">
        <v>44195</v>
      </c>
      <c r="C636" s="5">
        <v>47</v>
      </c>
      <c r="D636" s="6" t="s">
        <v>9159</v>
      </c>
      <c r="E636" s="147" t="s">
        <v>7406</v>
      </c>
      <c r="F636" s="161"/>
      <c r="H636" s="6" t="s">
        <v>9160</v>
      </c>
      <c r="J636" s="6" t="s">
        <v>9161</v>
      </c>
      <c r="K636" s="16"/>
      <c r="M636" s="6">
        <v>9470146040</v>
      </c>
      <c r="N636" s="137" t="s">
        <v>8910</v>
      </c>
    </row>
    <row r="637" spans="2:14" ht="14.25" customHeight="1">
      <c r="B637" s="4">
        <v>44201</v>
      </c>
      <c r="C637" s="5">
        <v>47</v>
      </c>
      <c r="E637" s="147" t="s">
        <v>9162</v>
      </c>
      <c r="F637" s="161"/>
      <c r="H637" s="6" t="s">
        <v>9163</v>
      </c>
      <c r="J637" s="6" t="s">
        <v>9164</v>
      </c>
      <c r="K637" s="16"/>
      <c r="M637" s="6">
        <v>7260982335</v>
      </c>
    </row>
    <row r="638" spans="2:14" ht="14.25" customHeight="1">
      <c r="B638" s="4">
        <v>44203</v>
      </c>
      <c r="C638" s="5">
        <v>48</v>
      </c>
      <c r="D638" s="6" t="s">
        <v>9165</v>
      </c>
      <c r="E638" s="147" t="s">
        <v>9054</v>
      </c>
      <c r="F638" s="161"/>
      <c r="G638" s="4">
        <v>29384</v>
      </c>
      <c r="H638" s="6" t="s">
        <v>7838</v>
      </c>
      <c r="J638" s="6" t="s">
        <v>8835</v>
      </c>
      <c r="K638" s="16"/>
      <c r="M638" s="6">
        <v>9234176883</v>
      </c>
    </row>
    <row r="639" spans="2:14" ht="14.25" customHeight="1">
      <c r="B639" s="4">
        <v>44202</v>
      </c>
      <c r="C639" s="5">
        <v>48</v>
      </c>
      <c r="D639" s="6" t="s">
        <v>9166</v>
      </c>
      <c r="E639" s="6" t="s">
        <v>1840</v>
      </c>
      <c r="F639" s="155"/>
      <c r="H639" s="6" t="s">
        <v>9167</v>
      </c>
      <c r="J639" s="6" t="s">
        <v>5911</v>
      </c>
      <c r="K639" s="16"/>
      <c r="M639" s="6">
        <v>9234500702</v>
      </c>
      <c r="N639" s="137" t="s">
        <v>3696</v>
      </c>
    </row>
    <row r="640" spans="2:14" ht="14.25" customHeight="1">
      <c r="B640" s="4">
        <v>44202</v>
      </c>
      <c r="C640" s="5">
        <v>49</v>
      </c>
      <c r="E640" s="147" t="s">
        <v>9162</v>
      </c>
      <c r="F640" s="161"/>
      <c r="H640" s="6" t="s">
        <v>9168</v>
      </c>
      <c r="J640" s="6" t="s">
        <v>9169</v>
      </c>
      <c r="K640" s="16" t="s">
        <v>9170</v>
      </c>
    </row>
    <row r="641" spans="1:26" ht="14.25" customHeight="1">
      <c r="B641" s="4">
        <v>44204</v>
      </c>
      <c r="C641" s="65">
        <v>48</v>
      </c>
      <c r="D641" s="47" t="s">
        <v>9171</v>
      </c>
      <c r="E641" s="47" t="s">
        <v>9162</v>
      </c>
      <c r="F641" s="151"/>
      <c r="G641" s="158">
        <v>35606</v>
      </c>
      <c r="H641" s="47" t="s">
        <v>8920</v>
      </c>
      <c r="I641" s="47"/>
      <c r="J641" s="47" t="s">
        <v>8921</v>
      </c>
      <c r="K641" s="66">
        <v>9835511160</v>
      </c>
      <c r="L641" s="47"/>
      <c r="M641" s="47" t="s">
        <v>9172</v>
      </c>
      <c r="N641" s="47"/>
    </row>
    <row r="642" spans="1:26" ht="14.25" customHeight="1">
      <c r="B642" s="4">
        <v>44204</v>
      </c>
      <c r="C642" s="5">
        <v>47</v>
      </c>
      <c r="D642" s="6" t="s">
        <v>9173</v>
      </c>
      <c r="E642" s="147" t="s">
        <v>9162</v>
      </c>
      <c r="F642" s="161" t="s">
        <v>478</v>
      </c>
      <c r="H642" s="6" t="s">
        <v>9174</v>
      </c>
      <c r="J642" s="6" t="s">
        <v>9175</v>
      </c>
      <c r="K642" s="16">
        <v>9798914959</v>
      </c>
    </row>
    <row r="643" spans="1:26" ht="14.25" customHeight="1">
      <c r="B643" s="4">
        <v>44204</v>
      </c>
      <c r="C643" s="5">
        <v>49</v>
      </c>
      <c r="D643" s="6" t="s">
        <v>9176</v>
      </c>
      <c r="E643" s="147" t="s">
        <v>9162</v>
      </c>
      <c r="F643" s="161"/>
      <c r="H643" s="6" t="s">
        <v>9177</v>
      </c>
      <c r="J643" s="6" t="s">
        <v>9178</v>
      </c>
      <c r="K643" s="16" t="s">
        <v>9170</v>
      </c>
    </row>
    <row r="644" spans="1:26" ht="14.25" customHeight="1">
      <c r="B644" s="4">
        <v>44205</v>
      </c>
      <c r="C644" s="5">
        <v>48</v>
      </c>
      <c r="D644" s="6" t="s">
        <v>9179</v>
      </c>
      <c r="E644" s="6" t="s">
        <v>9162</v>
      </c>
      <c r="F644" s="155" t="s">
        <v>9180</v>
      </c>
      <c r="H644" s="6" t="s">
        <v>9181</v>
      </c>
      <c r="J644" s="6" t="s">
        <v>9182</v>
      </c>
      <c r="K644" s="16" t="s">
        <v>1434</v>
      </c>
    </row>
    <row r="645" spans="1:26" ht="14.25" customHeight="1">
      <c r="B645" s="4">
        <v>44205</v>
      </c>
      <c r="C645" s="5">
        <v>47</v>
      </c>
      <c r="D645" s="6" t="s">
        <v>9183</v>
      </c>
      <c r="E645" s="147" t="s">
        <v>9162</v>
      </c>
      <c r="F645" s="161" t="s">
        <v>478</v>
      </c>
      <c r="H645" s="6" t="s">
        <v>9184</v>
      </c>
      <c r="J645" s="243" t="s">
        <v>9185</v>
      </c>
      <c r="K645" s="16">
        <v>7209316257</v>
      </c>
    </row>
    <row r="646" spans="1:26" ht="14.25" customHeight="1">
      <c r="B646" s="4">
        <v>44205</v>
      </c>
      <c r="C646" s="5">
        <v>47</v>
      </c>
      <c r="D646" s="47" t="s">
        <v>9186</v>
      </c>
      <c r="E646" s="47" t="s">
        <v>9162</v>
      </c>
      <c r="F646" s="151" t="s">
        <v>7986</v>
      </c>
      <c r="G646" s="47"/>
      <c r="H646" s="47" t="s">
        <v>9187</v>
      </c>
      <c r="I646" s="47"/>
      <c r="J646" s="47" t="s">
        <v>9188</v>
      </c>
      <c r="K646" s="66" t="s">
        <v>1434</v>
      </c>
    </row>
    <row r="647" spans="1:26" ht="14.25" customHeight="1">
      <c r="A647" s="6" t="s">
        <v>9189</v>
      </c>
      <c r="C647" s="5">
        <v>48</v>
      </c>
      <c r="D647" s="6" t="s">
        <v>9190</v>
      </c>
      <c r="E647" s="147" t="s">
        <v>9162</v>
      </c>
      <c r="F647" s="155" t="s">
        <v>478</v>
      </c>
      <c r="H647" s="6" t="s">
        <v>9050</v>
      </c>
      <c r="J647" s="6" t="s">
        <v>9191</v>
      </c>
      <c r="K647" s="16">
        <v>9234287332</v>
      </c>
    </row>
    <row r="648" spans="1:26" ht="14.25" customHeight="1">
      <c r="A648" s="147"/>
      <c r="B648" s="195">
        <v>44209</v>
      </c>
      <c r="C648" s="196">
        <v>48</v>
      </c>
      <c r="D648" s="147" t="s">
        <v>9192</v>
      </c>
      <c r="E648" s="147" t="s">
        <v>9162</v>
      </c>
      <c r="F648" s="161" t="s">
        <v>478</v>
      </c>
      <c r="G648" s="147"/>
      <c r="H648" s="147" t="s">
        <v>9193</v>
      </c>
      <c r="I648" s="147"/>
      <c r="J648" s="147" t="s">
        <v>9194</v>
      </c>
      <c r="K648" s="162">
        <v>9279327783</v>
      </c>
      <c r="L648" s="147"/>
    </row>
    <row r="649" spans="1:26" ht="14.25" customHeight="1">
      <c r="A649" s="147"/>
      <c r="B649" s="195">
        <v>44209</v>
      </c>
      <c r="C649" s="196">
        <v>49</v>
      </c>
      <c r="D649" s="147" t="s">
        <v>9195</v>
      </c>
      <c r="E649" s="147" t="s">
        <v>9162</v>
      </c>
      <c r="F649" s="161" t="s">
        <v>8610</v>
      </c>
      <c r="G649" s="147"/>
      <c r="H649" s="147" t="s">
        <v>9196</v>
      </c>
      <c r="I649" s="147"/>
      <c r="J649" s="147" t="s">
        <v>9197</v>
      </c>
      <c r="K649" s="162" t="s">
        <v>9121</v>
      </c>
    </row>
    <row r="650" spans="1:26" ht="14.25" customHeight="1">
      <c r="A650" s="147" t="s">
        <v>9198</v>
      </c>
      <c r="B650" s="195">
        <v>44209</v>
      </c>
      <c r="C650" s="196">
        <v>48</v>
      </c>
      <c r="D650" s="147" t="s">
        <v>9199</v>
      </c>
      <c r="E650" s="147" t="s">
        <v>9162</v>
      </c>
      <c r="F650" s="161" t="s">
        <v>8610</v>
      </c>
      <c r="G650" s="195">
        <v>35606</v>
      </c>
      <c r="H650" s="147" t="s">
        <v>8920</v>
      </c>
      <c r="I650" s="147"/>
      <c r="J650" s="147" t="s">
        <v>8921</v>
      </c>
      <c r="K650" s="162">
        <v>9835511160</v>
      </c>
      <c r="L650" s="147"/>
      <c r="M650" s="147" t="s">
        <v>9172</v>
      </c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spans="1:26" ht="14.25" customHeight="1">
      <c r="B651" s="4">
        <v>44210</v>
      </c>
      <c r="C651" s="5">
        <v>47</v>
      </c>
      <c r="D651" s="6" t="s">
        <v>9200</v>
      </c>
      <c r="E651" s="6" t="s">
        <v>9162</v>
      </c>
      <c r="F651" s="161" t="s">
        <v>478</v>
      </c>
      <c r="H651" s="6" t="s">
        <v>9201</v>
      </c>
      <c r="J651" s="6" t="s">
        <v>9202</v>
      </c>
      <c r="K651" s="16" t="s">
        <v>1434</v>
      </c>
    </row>
    <row r="652" spans="1:26" ht="14.25" customHeight="1">
      <c r="B652" s="4">
        <v>44210</v>
      </c>
      <c r="C652" s="5">
        <v>47</v>
      </c>
      <c r="D652" s="260" t="s">
        <v>9203</v>
      </c>
      <c r="E652" s="147" t="s">
        <v>9150</v>
      </c>
      <c r="F652" s="161"/>
      <c r="H652" s="6" t="s">
        <v>9204</v>
      </c>
      <c r="J652" s="6" t="s">
        <v>9205</v>
      </c>
      <c r="K652" s="16" t="s">
        <v>9153</v>
      </c>
    </row>
    <row r="653" spans="1:26" ht="14.25" customHeight="1">
      <c r="B653" s="261">
        <v>44207</v>
      </c>
      <c r="C653" s="262">
        <v>48</v>
      </c>
      <c r="D653" s="263" t="s">
        <v>9206</v>
      </c>
      <c r="E653" s="263" t="s">
        <v>9054</v>
      </c>
      <c r="F653" s="161" t="s">
        <v>478</v>
      </c>
      <c r="G653" s="263"/>
      <c r="H653" s="263"/>
      <c r="I653" s="263"/>
      <c r="J653" s="263" t="s">
        <v>9207</v>
      </c>
      <c r="K653" s="264" t="s">
        <v>9208</v>
      </c>
    </row>
    <row r="654" spans="1:26" ht="14.25" customHeight="1">
      <c r="A654" s="263"/>
      <c r="B654" s="261">
        <v>44207</v>
      </c>
      <c r="C654" s="262">
        <v>48</v>
      </c>
      <c r="D654" s="263" t="s">
        <v>9209</v>
      </c>
      <c r="E654" s="263" t="s">
        <v>9054</v>
      </c>
      <c r="F654" s="161" t="s">
        <v>478</v>
      </c>
      <c r="G654" s="263"/>
      <c r="H654" s="263"/>
      <c r="I654" s="263"/>
      <c r="J654" s="263" t="s">
        <v>9210</v>
      </c>
      <c r="K654" s="264" t="s">
        <v>1434</v>
      </c>
    </row>
    <row r="655" spans="1:26" ht="14.25" customHeight="1">
      <c r="A655" s="147" t="s">
        <v>9211</v>
      </c>
      <c r="B655" s="147"/>
      <c r="C655" s="196"/>
      <c r="D655" s="147"/>
      <c r="E655" s="147" t="s">
        <v>9212</v>
      </c>
      <c r="F655" s="161" t="s">
        <v>8610</v>
      </c>
      <c r="G655" s="147"/>
      <c r="H655" s="147" t="s">
        <v>9213</v>
      </c>
      <c r="I655" s="147"/>
      <c r="J655" s="147" t="s">
        <v>9214</v>
      </c>
      <c r="K655" s="162">
        <v>9771339011</v>
      </c>
      <c r="L655" s="147"/>
    </row>
    <row r="656" spans="1:26" ht="14.25" customHeight="1">
      <c r="A656" s="147" t="s">
        <v>9211</v>
      </c>
      <c r="B656" s="147"/>
      <c r="C656" s="196"/>
      <c r="D656" s="147"/>
      <c r="E656" s="147" t="s">
        <v>9212</v>
      </c>
      <c r="F656" s="161" t="s">
        <v>8610</v>
      </c>
      <c r="G656" s="147"/>
      <c r="H656" s="147" t="s">
        <v>9215</v>
      </c>
      <c r="I656" s="147"/>
      <c r="J656" s="147" t="s">
        <v>9216</v>
      </c>
      <c r="K656" s="162">
        <v>9771339011</v>
      </c>
      <c r="L656" s="147"/>
    </row>
    <row r="657" spans="1:14" ht="14.25" customHeight="1">
      <c r="A657" s="6" t="s">
        <v>9211</v>
      </c>
      <c r="C657" s="5"/>
      <c r="E657" s="6" t="s">
        <v>9212</v>
      </c>
      <c r="F657" s="155" t="s">
        <v>478</v>
      </c>
      <c r="H657" s="6" t="s">
        <v>9043</v>
      </c>
      <c r="J657" s="6" t="s">
        <v>2780</v>
      </c>
      <c r="K657" s="16">
        <v>9801449222</v>
      </c>
    </row>
    <row r="658" spans="1:14" ht="14.25" customHeight="1">
      <c r="A658" s="6">
        <v>0</v>
      </c>
      <c r="C658" s="5"/>
      <c r="E658" s="6" t="s">
        <v>9212</v>
      </c>
      <c r="F658" s="155" t="s">
        <v>478</v>
      </c>
      <c r="H658" s="6" t="s">
        <v>9217</v>
      </c>
      <c r="J658" s="6" t="s">
        <v>9218</v>
      </c>
      <c r="K658" s="16" t="s">
        <v>1527</v>
      </c>
    </row>
    <row r="659" spans="1:14" ht="14.25" customHeight="1">
      <c r="A659" s="6">
        <v>0</v>
      </c>
      <c r="C659" s="5"/>
      <c r="E659" s="6" t="s">
        <v>9212</v>
      </c>
      <c r="F659" s="155"/>
      <c r="H659" s="6" t="s">
        <v>9219</v>
      </c>
      <c r="J659" s="6" t="s">
        <v>9220</v>
      </c>
      <c r="K659" s="16" t="s">
        <v>9221</v>
      </c>
    </row>
    <row r="660" spans="1:14" ht="14.25" customHeight="1">
      <c r="A660" s="6">
        <v>0</v>
      </c>
      <c r="B660" s="47"/>
      <c r="C660" s="65"/>
      <c r="D660" s="47"/>
      <c r="E660" s="47" t="s">
        <v>9212</v>
      </c>
      <c r="F660" s="151"/>
      <c r="G660" s="47"/>
      <c r="H660" s="47" t="s">
        <v>9222</v>
      </c>
      <c r="I660" s="47"/>
      <c r="J660" s="47" t="s">
        <v>9223</v>
      </c>
      <c r="K660" s="66" t="s">
        <v>9221</v>
      </c>
    </row>
    <row r="661" spans="1:14" ht="14.25" customHeight="1">
      <c r="C661" s="5"/>
      <c r="E661" s="6" t="s">
        <v>9212</v>
      </c>
      <c r="F661" s="155" t="s">
        <v>478</v>
      </c>
      <c r="H661" s="6" t="s">
        <v>9224</v>
      </c>
      <c r="J661" s="6" t="s">
        <v>9225</v>
      </c>
      <c r="K661" s="16" t="s">
        <v>1527</v>
      </c>
    </row>
    <row r="662" spans="1:14" ht="14.25" customHeight="1">
      <c r="A662" s="6" t="s">
        <v>9226</v>
      </c>
      <c r="C662" s="5">
        <v>47</v>
      </c>
      <c r="F662" s="155"/>
      <c r="H662" s="6" t="s">
        <v>8375</v>
      </c>
      <c r="J662" s="6" t="s">
        <v>9064</v>
      </c>
      <c r="K662" s="16" t="s">
        <v>9226</v>
      </c>
    </row>
    <row r="663" spans="1:14" ht="14.25" customHeight="1">
      <c r="B663" s="4">
        <v>44217</v>
      </c>
      <c r="C663" s="5">
        <v>48</v>
      </c>
      <c r="D663" s="6" t="s">
        <v>9227</v>
      </c>
      <c r="E663" s="6" t="s">
        <v>7411</v>
      </c>
      <c r="F663" s="155"/>
      <c r="J663" s="6" t="s">
        <v>9228</v>
      </c>
      <c r="K663" s="16">
        <v>8935993957</v>
      </c>
      <c r="M663" s="6">
        <v>8935993957</v>
      </c>
      <c r="N663" s="137" t="s">
        <v>9229</v>
      </c>
    </row>
    <row r="664" spans="1:14" ht="14.25" customHeight="1">
      <c r="B664" s="4">
        <v>44217</v>
      </c>
      <c r="C664" s="5">
        <v>48</v>
      </c>
      <c r="D664" s="6" t="s">
        <v>9230</v>
      </c>
      <c r="E664" s="6" t="s">
        <v>7411</v>
      </c>
      <c r="F664" s="155"/>
      <c r="J664" s="6" t="s">
        <v>9231</v>
      </c>
      <c r="K664" s="16">
        <v>8080577183</v>
      </c>
      <c r="M664" s="6">
        <v>8935993957</v>
      </c>
      <c r="N664" s="137" t="s">
        <v>9229</v>
      </c>
    </row>
    <row r="665" spans="1:14" ht="14.25" customHeight="1">
      <c r="B665" s="4">
        <v>44218</v>
      </c>
      <c r="C665" s="5">
        <v>48</v>
      </c>
      <c r="D665" s="6" t="s">
        <v>9232</v>
      </c>
      <c r="E665" s="6" t="s">
        <v>8581</v>
      </c>
      <c r="F665" s="155"/>
      <c r="H665" s="6" t="s">
        <v>9233</v>
      </c>
      <c r="J665" s="6" t="s">
        <v>9234</v>
      </c>
      <c r="K665" s="16">
        <v>7903936718</v>
      </c>
      <c r="M665" s="6">
        <v>7903936718</v>
      </c>
      <c r="N665" s="137" t="s">
        <v>9235</v>
      </c>
    </row>
    <row r="666" spans="1:14" ht="14.25" customHeight="1">
      <c r="B666" s="4">
        <v>44218</v>
      </c>
      <c r="C666" s="5">
        <v>48</v>
      </c>
      <c r="D666" s="6" t="s">
        <v>9236</v>
      </c>
      <c r="E666" s="6" t="s">
        <v>7411</v>
      </c>
      <c r="F666" s="155"/>
      <c r="J666" s="6" t="s">
        <v>6253</v>
      </c>
      <c r="K666" s="16">
        <v>6207494859</v>
      </c>
    </row>
    <row r="667" spans="1:14" ht="14.25" customHeight="1">
      <c r="B667" s="6"/>
      <c r="C667" s="5"/>
      <c r="D667" s="265" t="s">
        <v>9237</v>
      </c>
      <c r="E667" s="47" t="s">
        <v>9212</v>
      </c>
      <c r="F667" s="151"/>
      <c r="G667" s="47"/>
      <c r="H667" s="47" t="s">
        <v>9222</v>
      </c>
      <c r="I667" s="47"/>
      <c r="J667" s="47" t="s">
        <v>9223</v>
      </c>
      <c r="K667" s="66" t="s">
        <v>9221</v>
      </c>
    </row>
    <row r="668" spans="1:14" ht="14.25" customHeight="1">
      <c r="B668" s="4">
        <v>44220</v>
      </c>
      <c r="C668" s="196">
        <v>49</v>
      </c>
      <c r="D668" s="266" t="s">
        <v>9238</v>
      </c>
      <c r="E668" s="147" t="s">
        <v>9212</v>
      </c>
      <c r="F668" s="161" t="s">
        <v>8610</v>
      </c>
      <c r="G668" s="147"/>
      <c r="H668" s="147" t="s">
        <v>9239</v>
      </c>
      <c r="I668" s="147"/>
      <c r="J668" s="147" t="s">
        <v>9240</v>
      </c>
      <c r="K668" s="162" t="s">
        <v>9208</v>
      </c>
    </row>
    <row r="669" spans="1:14" ht="14.25" customHeight="1">
      <c r="A669" s="6" t="s">
        <v>2457</v>
      </c>
      <c r="B669" s="4">
        <v>44220</v>
      </c>
      <c r="C669" s="65">
        <v>48</v>
      </c>
      <c r="D669" s="266" t="s">
        <v>9241</v>
      </c>
      <c r="E669" s="47" t="s">
        <v>9212</v>
      </c>
      <c r="F669" s="151"/>
      <c r="G669" s="47"/>
      <c r="H669" s="47" t="s">
        <v>9242</v>
      </c>
      <c r="I669" s="47"/>
      <c r="J669" s="47" t="s">
        <v>9243</v>
      </c>
      <c r="K669" s="66" t="s">
        <v>9208</v>
      </c>
    </row>
    <row r="670" spans="1:14" ht="14.25" customHeight="1">
      <c r="A670" s="6" t="s">
        <v>2457</v>
      </c>
      <c r="B670" s="4">
        <v>44220</v>
      </c>
      <c r="C670" s="65">
        <v>48</v>
      </c>
      <c r="D670" s="47" t="s">
        <v>9244</v>
      </c>
      <c r="E670" s="47" t="s">
        <v>9212</v>
      </c>
      <c r="F670" s="151"/>
      <c r="G670" s="47"/>
      <c r="H670" s="47" t="s">
        <v>9245</v>
      </c>
      <c r="I670" s="47"/>
      <c r="J670" s="47" t="s">
        <v>9246</v>
      </c>
      <c r="K670" s="66" t="s">
        <v>9208</v>
      </c>
    </row>
    <row r="671" spans="1:14" ht="14.25" customHeight="1">
      <c r="B671" s="4">
        <v>44220</v>
      </c>
      <c r="C671" s="196">
        <v>48</v>
      </c>
      <c r="D671" s="266" t="s">
        <v>9247</v>
      </c>
      <c r="E671" s="147" t="s">
        <v>9212</v>
      </c>
      <c r="F671" s="161" t="s">
        <v>8610</v>
      </c>
      <c r="G671" s="147"/>
      <c r="H671" s="147" t="s">
        <v>9248</v>
      </c>
      <c r="I671" s="147"/>
      <c r="J671" s="147" t="s">
        <v>9249</v>
      </c>
      <c r="K671" s="162" t="s">
        <v>9208</v>
      </c>
    </row>
    <row r="672" spans="1:14" ht="14.25" customHeight="1">
      <c r="B672" s="4">
        <v>44220</v>
      </c>
      <c r="C672" s="5">
        <v>48</v>
      </c>
      <c r="D672" s="6" t="s">
        <v>9250</v>
      </c>
      <c r="E672" s="6" t="s">
        <v>9212</v>
      </c>
      <c r="F672" s="155" t="s">
        <v>9251</v>
      </c>
      <c r="J672" s="6" t="s">
        <v>8778</v>
      </c>
      <c r="K672" s="16"/>
    </row>
    <row r="673" spans="1:12" ht="14.25" customHeight="1">
      <c r="B673" s="4">
        <v>44220</v>
      </c>
      <c r="C673" s="196">
        <v>46</v>
      </c>
      <c r="D673" s="147" t="s">
        <v>9252</v>
      </c>
      <c r="E673" s="147" t="s">
        <v>9212</v>
      </c>
      <c r="F673" s="161" t="s">
        <v>478</v>
      </c>
      <c r="G673" s="147"/>
      <c r="H673" s="147" t="s">
        <v>9253</v>
      </c>
      <c r="I673" s="147"/>
      <c r="J673" s="147" t="s">
        <v>9254</v>
      </c>
      <c r="K673" s="162" t="s">
        <v>1434</v>
      </c>
    </row>
    <row r="674" spans="1:12" ht="14.25" customHeight="1">
      <c r="B674" s="4">
        <v>44220</v>
      </c>
      <c r="C674" s="196">
        <v>47</v>
      </c>
      <c r="D674" s="147" t="s">
        <v>9255</v>
      </c>
      <c r="E674" s="147" t="s">
        <v>9212</v>
      </c>
      <c r="F674" s="161" t="s">
        <v>478</v>
      </c>
      <c r="G674" s="147"/>
      <c r="H674" s="147" t="s">
        <v>9256</v>
      </c>
      <c r="I674" s="147"/>
      <c r="J674" s="147" t="s">
        <v>9257</v>
      </c>
      <c r="K674" s="162" t="s">
        <v>1434</v>
      </c>
    </row>
    <row r="675" spans="1:12" ht="14.25" customHeight="1">
      <c r="B675" s="4">
        <v>44220</v>
      </c>
      <c r="C675" s="65">
        <v>47</v>
      </c>
      <c r="D675" s="47"/>
      <c r="E675" s="47" t="s">
        <v>9212</v>
      </c>
      <c r="F675" s="151"/>
      <c r="G675" s="47"/>
      <c r="H675" s="47" t="s">
        <v>9187</v>
      </c>
      <c r="I675" s="47"/>
      <c r="J675" s="47" t="s">
        <v>9188</v>
      </c>
      <c r="K675" s="66" t="s">
        <v>1434</v>
      </c>
    </row>
    <row r="676" spans="1:12" ht="14.25" customHeight="1">
      <c r="B676" s="195">
        <v>44220</v>
      </c>
      <c r="C676" s="196">
        <v>47</v>
      </c>
      <c r="D676" s="147"/>
      <c r="E676" s="147" t="s">
        <v>9212</v>
      </c>
      <c r="F676" s="161" t="s">
        <v>478</v>
      </c>
      <c r="G676" s="147"/>
      <c r="H676" s="147" t="s">
        <v>9258</v>
      </c>
      <c r="I676" s="147"/>
      <c r="J676" s="147" t="s">
        <v>9259</v>
      </c>
      <c r="K676" s="162">
        <v>8210650975</v>
      </c>
      <c r="L676" s="147" t="s">
        <v>8497</v>
      </c>
    </row>
    <row r="677" spans="1:12" ht="14.25" customHeight="1">
      <c r="B677" s="195">
        <v>44220</v>
      </c>
      <c r="C677" s="196">
        <v>47</v>
      </c>
      <c r="D677" s="147"/>
      <c r="E677" s="147" t="s">
        <v>9212</v>
      </c>
      <c r="F677" s="161" t="s">
        <v>478</v>
      </c>
      <c r="G677" s="147"/>
      <c r="H677" s="147" t="s">
        <v>9260</v>
      </c>
      <c r="I677" s="147"/>
      <c r="J677" s="147" t="s">
        <v>9261</v>
      </c>
      <c r="K677" s="162">
        <v>8210650975</v>
      </c>
      <c r="L677" s="147" t="s">
        <v>8497</v>
      </c>
    </row>
    <row r="678" spans="1:12" ht="14.25" customHeight="1">
      <c r="B678" s="195">
        <v>44220</v>
      </c>
      <c r="C678" s="196">
        <v>47</v>
      </c>
      <c r="D678" s="147"/>
      <c r="E678" s="147" t="s">
        <v>9212</v>
      </c>
      <c r="F678" s="161" t="s">
        <v>478</v>
      </c>
      <c r="G678" s="147"/>
      <c r="H678" s="147" t="s">
        <v>9262</v>
      </c>
      <c r="I678" s="147"/>
      <c r="J678" s="147" t="s">
        <v>9263</v>
      </c>
      <c r="K678" s="162">
        <v>8210650975</v>
      </c>
      <c r="L678" s="147" t="s">
        <v>8497</v>
      </c>
    </row>
    <row r="679" spans="1:12" ht="14.25" customHeight="1">
      <c r="B679" s="4">
        <v>44220</v>
      </c>
      <c r="C679" s="196">
        <v>48</v>
      </c>
      <c r="D679" s="266" t="s">
        <v>9264</v>
      </c>
      <c r="E679" s="147" t="s">
        <v>9212</v>
      </c>
      <c r="F679" s="161" t="s">
        <v>9265</v>
      </c>
      <c r="G679" s="147"/>
      <c r="H679" s="147"/>
      <c r="I679" s="147"/>
      <c r="J679" s="253" t="s">
        <v>9266</v>
      </c>
      <c r="K679" s="162" t="s">
        <v>9125</v>
      </c>
    </row>
    <row r="680" spans="1:12" ht="14.25" customHeight="1">
      <c r="B680" s="4">
        <v>44222</v>
      </c>
      <c r="C680" s="5">
        <v>47</v>
      </c>
      <c r="D680" s="266" t="s">
        <v>9267</v>
      </c>
      <c r="E680" s="6" t="s">
        <v>7411</v>
      </c>
      <c r="F680" s="155"/>
      <c r="J680" s="6" t="s">
        <v>9268</v>
      </c>
      <c r="K680" s="16">
        <v>7747747591</v>
      </c>
    </row>
    <row r="681" spans="1:12" ht="14.25" customHeight="1">
      <c r="B681" s="4">
        <v>44222</v>
      </c>
      <c r="C681" s="5">
        <v>47</v>
      </c>
      <c r="D681" s="266" t="s">
        <v>9269</v>
      </c>
      <c r="E681" s="6" t="s">
        <v>7411</v>
      </c>
      <c r="F681" s="155"/>
      <c r="J681" s="6" t="s">
        <v>9270</v>
      </c>
      <c r="K681" s="16">
        <v>7747747591</v>
      </c>
    </row>
    <row r="682" spans="1:12" ht="14.25" customHeight="1">
      <c r="A682" s="6" t="s">
        <v>9271</v>
      </c>
      <c r="B682" s="4">
        <v>44223</v>
      </c>
      <c r="C682" s="5">
        <v>48</v>
      </c>
      <c r="D682" s="6" t="s">
        <v>9272</v>
      </c>
      <c r="E682" s="6" t="s">
        <v>9212</v>
      </c>
      <c r="F682" s="161" t="s">
        <v>478</v>
      </c>
      <c r="H682" s="6" t="s">
        <v>9273</v>
      </c>
      <c r="J682" s="6" t="s">
        <v>9274</v>
      </c>
      <c r="K682" s="16">
        <v>9431760723</v>
      </c>
    </row>
    <row r="683" spans="1:12" ht="14.25" customHeight="1">
      <c r="A683" s="6" t="s">
        <v>9271</v>
      </c>
      <c r="B683" s="4">
        <v>44225</v>
      </c>
      <c r="C683" s="5">
        <v>48</v>
      </c>
      <c r="D683" s="6" t="s">
        <v>9275</v>
      </c>
      <c r="E683" s="6" t="s">
        <v>9212</v>
      </c>
      <c r="F683" s="155"/>
      <c r="G683" s="4">
        <v>35456</v>
      </c>
      <c r="H683" s="6" t="s">
        <v>9276</v>
      </c>
      <c r="J683" s="6" t="s">
        <v>9277</v>
      </c>
      <c r="K683" s="16">
        <v>7209424010</v>
      </c>
    </row>
    <row r="684" spans="1:12" ht="14.25" customHeight="1">
      <c r="A684" s="147"/>
      <c r="B684" s="158">
        <v>44226</v>
      </c>
      <c r="C684" s="65"/>
      <c r="D684" s="47" t="s">
        <v>9278</v>
      </c>
      <c r="E684" s="47" t="s">
        <v>9212</v>
      </c>
      <c r="F684" s="151"/>
      <c r="G684" s="47"/>
      <c r="H684" s="47" t="s">
        <v>9279</v>
      </c>
      <c r="I684" s="47"/>
      <c r="J684" s="47" t="s">
        <v>9280</v>
      </c>
      <c r="K684" s="66" t="s">
        <v>9208</v>
      </c>
    </row>
    <row r="685" spans="1:12" ht="14.25" customHeight="1">
      <c r="A685" s="147"/>
      <c r="B685" s="195">
        <v>44226</v>
      </c>
      <c r="C685" s="196">
        <v>47</v>
      </c>
      <c r="D685" s="147" t="s">
        <v>9281</v>
      </c>
      <c r="E685" s="147" t="s">
        <v>9212</v>
      </c>
      <c r="F685" s="161"/>
      <c r="G685" s="147"/>
      <c r="H685" s="147" t="s">
        <v>9282</v>
      </c>
      <c r="I685" s="147"/>
      <c r="J685" s="147" t="s">
        <v>9283</v>
      </c>
      <c r="K685" s="162" t="s">
        <v>9208</v>
      </c>
    </row>
    <row r="686" spans="1:12" ht="14.25" customHeight="1">
      <c r="A686" s="147"/>
      <c r="B686" s="195">
        <v>44226</v>
      </c>
      <c r="C686" s="196">
        <v>47</v>
      </c>
      <c r="D686" s="147" t="s">
        <v>9284</v>
      </c>
      <c r="E686" s="147" t="s">
        <v>9212</v>
      </c>
      <c r="F686" s="161"/>
      <c r="G686" s="147"/>
      <c r="H686" s="147" t="s">
        <v>9285</v>
      </c>
      <c r="I686" s="147"/>
      <c r="J686" s="147" t="s">
        <v>9286</v>
      </c>
      <c r="K686" s="162" t="s">
        <v>9208</v>
      </c>
    </row>
    <row r="687" spans="1:12" ht="14.25" customHeight="1">
      <c r="A687" s="147"/>
      <c r="B687" s="195">
        <v>44227</v>
      </c>
      <c r="C687" s="196">
        <v>48</v>
      </c>
      <c r="D687" s="147" t="s">
        <v>9287</v>
      </c>
      <c r="E687" s="147" t="s">
        <v>9212</v>
      </c>
      <c r="F687" s="161"/>
      <c r="G687" s="147"/>
      <c r="H687" s="147" t="s">
        <v>9288</v>
      </c>
      <c r="I687" s="147"/>
      <c r="J687" s="147" t="s">
        <v>9289</v>
      </c>
      <c r="K687" s="162" t="s">
        <v>9290</v>
      </c>
    </row>
    <row r="688" spans="1:12" ht="14.25" customHeight="1">
      <c r="A688" s="147"/>
      <c r="B688" s="195">
        <v>44227</v>
      </c>
      <c r="C688" s="196">
        <v>48</v>
      </c>
      <c r="D688" s="147" t="s">
        <v>9291</v>
      </c>
      <c r="E688" s="147" t="s">
        <v>9212</v>
      </c>
      <c r="F688" s="161"/>
      <c r="G688" s="147"/>
      <c r="H688" s="147" t="s">
        <v>9292</v>
      </c>
      <c r="I688" s="147"/>
      <c r="J688" s="147" t="s">
        <v>9293</v>
      </c>
      <c r="K688" s="162" t="s">
        <v>9290</v>
      </c>
    </row>
    <row r="689" spans="1:11" ht="14.25" customHeight="1">
      <c r="A689" s="147"/>
      <c r="B689" s="195">
        <v>44227</v>
      </c>
      <c r="C689" s="196">
        <v>48</v>
      </c>
      <c r="D689" s="147" t="s">
        <v>9294</v>
      </c>
      <c r="E689" s="147" t="s">
        <v>9212</v>
      </c>
      <c r="F689" s="161"/>
      <c r="G689" s="147"/>
      <c r="H689" s="147" t="s">
        <v>9295</v>
      </c>
      <c r="I689" s="147"/>
      <c r="J689" s="147" t="s">
        <v>9296</v>
      </c>
      <c r="K689" s="162" t="s">
        <v>9290</v>
      </c>
    </row>
    <row r="690" spans="1:11" ht="14.25" customHeight="1">
      <c r="B690" s="4">
        <v>44227</v>
      </c>
      <c r="C690" s="5">
        <v>47</v>
      </c>
      <c r="D690" s="6" t="s">
        <v>9297</v>
      </c>
      <c r="E690" s="6" t="s">
        <v>9298</v>
      </c>
      <c r="F690" s="155"/>
      <c r="H690" s="6" t="s">
        <v>9299</v>
      </c>
      <c r="J690" s="6" t="s">
        <v>9300</v>
      </c>
      <c r="K690" s="16">
        <v>9835578527</v>
      </c>
    </row>
    <row r="691" spans="1:11" ht="14.25" customHeight="1">
      <c r="B691" s="4">
        <v>44227</v>
      </c>
      <c r="C691" s="5">
        <v>47</v>
      </c>
      <c r="E691" s="6" t="s">
        <v>9298</v>
      </c>
      <c r="F691" s="155"/>
      <c r="H691" s="6" t="s">
        <v>9301</v>
      </c>
      <c r="K691" s="16">
        <v>8292068667</v>
      </c>
    </row>
    <row r="692" spans="1:11" ht="14.25" customHeight="1">
      <c r="B692" s="4">
        <v>44227</v>
      </c>
      <c r="C692" s="5">
        <v>47</v>
      </c>
      <c r="D692" s="6" t="s">
        <v>9302</v>
      </c>
      <c r="E692" s="6" t="s">
        <v>9212</v>
      </c>
      <c r="F692" s="155"/>
      <c r="H692" s="6" t="s">
        <v>9303</v>
      </c>
      <c r="J692" s="6" t="s">
        <v>9304</v>
      </c>
      <c r="K692" s="16" t="s">
        <v>8497</v>
      </c>
    </row>
    <row r="693" spans="1:11" ht="14.25" customHeight="1">
      <c r="B693" s="4">
        <v>44227</v>
      </c>
      <c r="C693" s="5">
        <v>47</v>
      </c>
      <c r="D693" s="6" t="s">
        <v>9305</v>
      </c>
      <c r="E693" s="6" t="s">
        <v>9212</v>
      </c>
      <c r="F693" s="155"/>
      <c r="H693" s="6" t="s">
        <v>9306</v>
      </c>
      <c r="J693" s="6" t="s">
        <v>9307</v>
      </c>
      <c r="K693" s="16" t="s">
        <v>8497</v>
      </c>
    </row>
    <row r="694" spans="1:11" ht="14.25" customHeight="1">
      <c r="B694" s="4">
        <v>44227</v>
      </c>
      <c r="C694" s="5">
        <v>47</v>
      </c>
      <c r="D694" s="6" t="s">
        <v>9308</v>
      </c>
      <c r="E694" s="6" t="s">
        <v>9212</v>
      </c>
      <c r="F694" s="155"/>
      <c r="H694" s="6" t="s">
        <v>9309</v>
      </c>
      <c r="J694" s="6" t="s">
        <v>7019</v>
      </c>
      <c r="K694" s="16" t="s">
        <v>8497</v>
      </c>
    </row>
    <row r="695" spans="1:11" ht="14.25" customHeight="1">
      <c r="B695" s="4">
        <v>44228</v>
      </c>
      <c r="C695" s="5">
        <v>48</v>
      </c>
      <c r="D695" s="6" t="s">
        <v>9310</v>
      </c>
      <c r="E695" s="6" t="s">
        <v>7314</v>
      </c>
      <c r="F695" s="155"/>
      <c r="J695" s="6" t="s">
        <v>4324</v>
      </c>
      <c r="K695" s="16">
        <v>9939318306</v>
      </c>
    </row>
    <row r="696" spans="1:11" ht="14.25" customHeight="1">
      <c r="C696" s="5"/>
      <c r="D696" s="6" t="s">
        <v>9311</v>
      </c>
      <c r="E696" s="6" t="s">
        <v>7314</v>
      </c>
      <c r="F696" s="155"/>
      <c r="J696" s="6" t="s">
        <v>9312</v>
      </c>
      <c r="K696" s="16"/>
    </row>
    <row r="697" spans="1:11" ht="14.25" customHeight="1">
      <c r="A697" s="147"/>
      <c r="B697" s="195">
        <v>44228</v>
      </c>
      <c r="C697" s="196">
        <v>47</v>
      </c>
      <c r="D697" s="147"/>
      <c r="E697" s="147" t="s">
        <v>9212</v>
      </c>
      <c r="F697" s="161" t="s">
        <v>8610</v>
      </c>
      <c r="G697" s="147"/>
      <c r="H697" s="147" t="s">
        <v>9313</v>
      </c>
      <c r="I697" s="147"/>
      <c r="J697" s="147" t="s">
        <v>9314</v>
      </c>
      <c r="K697" s="162">
        <v>8092295350</v>
      </c>
    </row>
    <row r="698" spans="1:11" ht="14.25" customHeight="1">
      <c r="B698" s="4">
        <v>44231</v>
      </c>
      <c r="C698" s="5">
        <v>48</v>
      </c>
      <c r="D698" s="6" t="s">
        <v>9315</v>
      </c>
      <c r="E698" s="6" t="s">
        <v>7411</v>
      </c>
      <c r="F698" s="155"/>
      <c r="J698" s="6" t="s">
        <v>9316</v>
      </c>
      <c r="K698" s="16">
        <v>9031057242</v>
      </c>
    </row>
    <row r="699" spans="1:11" ht="14.25" customHeight="1">
      <c r="A699" s="147"/>
      <c r="B699" s="195">
        <v>44232</v>
      </c>
      <c r="C699" s="196">
        <v>48</v>
      </c>
      <c r="D699" s="147"/>
      <c r="E699" s="147" t="s">
        <v>9212</v>
      </c>
      <c r="F699" s="161"/>
      <c r="G699" s="147"/>
      <c r="H699" s="147" t="s">
        <v>9317</v>
      </c>
      <c r="I699" s="147"/>
      <c r="J699" s="147" t="s">
        <v>9318</v>
      </c>
      <c r="K699" s="162">
        <v>7779965400</v>
      </c>
    </row>
    <row r="700" spans="1:11" ht="14.25" customHeight="1">
      <c r="B700" s="4">
        <v>44232</v>
      </c>
      <c r="C700" s="5">
        <v>48</v>
      </c>
      <c r="D700" s="6" t="s">
        <v>9319</v>
      </c>
      <c r="E700" s="6" t="s">
        <v>8441</v>
      </c>
      <c r="F700" s="155"/>
      <c r="H700" s="6" t="s">
        <v>9320</v>
      </c>
      <c r="J700" s="6" t="s">
        <v>9321</v>
      </c>
      <c r="K700" s="16">
        <v>6201360821</v>
      </c>
    </row>
    <row r="701" spans="1:11" ht="14.25" customHeight="1">
      <c r="A701" s="147"/>
      <c r="B701" s="195">
        <v>44231</v>
      </c>
      <c r="C701" s="196">
        <v>49</v>
      </c>
      <c r="D701" s="147"/>
      <c r="E701" s="147" t="s">
        <v>9212</v>
      </c>
      <c r="F701" s="161"/>
      <c r="G701" s="147"/>
      <c r="H701" s="147"/>
      <c r="I701" s="147"/>
      <c r="J701" s="147" t="s">
        <v>9322</v>
      </c>
      <c r="K701" s="162"/>
    </row>
    <row r="702" spans="1:11" ht="14.25" customHeight="1">
      <c r="A702" s="147"/>
      <c r="B702" s="195">
        <v>44231</v>
      </c>
      <c r="C702" s="196">
        <v>48</v>
      </c>
      <c r="D702" s="147"/>
      <c r="E702" s="147" t="s">
        <v>9212</v>
      </c>
      <c r="F702" s="161"/>
      <c r="G702" s="147"/>
      <c r="H702" s="147"/>
      <c r="I702" s="147"/>
      <c r="J702" s="147" t="s">
        <v>9323</v>
      </c>
      <c r="K702" s="162"/>
    </row>
    <row r="703" spans="1:11" ht="14.25" customHeight="1">
      <c r="A703" s="147"/>
      <c r="B703" s="195">
        <v>44231</v>
      </c>
      <c r="C703" s="196">
        <v>48</v>
      </c>
      <c r="D703" s="147"/>
      <c r="E703" s="147" t="s">
        <v>9212</v>
      </c>
      <c r="F703" s="161"/>
      <c r="G703" s="147"/>
      <c r="H703" s="147"/>
      <c r="I703" s="147"/>
      <c r="J703" s="147" t="s">
        <v>9324</v>
      </c>
      <c r="K703" s="162"/>
    </row>
    <row r="704" spans="1:11" ht="14.25" customHeight="1">
      <c r="A704" s="147"/>
      <c r="B704" s="195">
        <v>44231</v>
      </c>
      <c r="C704" s="196">
        <v>49</v>
      </c>
      <c r="D704" s="147"/>
      <c r="E704" s="147" t="s">
        <v>9212</v>
      </c>
      <c r="F704" s="161"/>
      <c r="G704" s="147"/>
      <c r="H704" s="147"/>
      <c r="I704" s="147"/>
      <c r="J704" s="147" t="s">
        <v>9325</v>
      </c>
      <c r="K704" s="162"/>
    </row>
    <row r="705" spans="1:11" ht="14.25" customHeight="1">
      <c r="A705" s="147"/>
      <c r="B705" s="195">
        <v>44231</v>
      </c>
      <c r="C705" s="196">
        <v>48</v>
      </c>
      <c r="D705" s="147"/>
      <c r="E705" s="147" t="s">
        <v>9212</v>
      </c>
      <c r="F705" s="161"/>
      <c r="G705" s="147"/>
      <c r="H705" s="147"/>
      <c r="I705" s="147"/>
      <c r="J705" s="147" t="s">
        <v>8292</v>
      </c>
      <c r="K705" s="162"/>
    </row>
    <row r="706" spans="1:11" ht="14.25" customHeight="1">
      <c r="A706" s="147"/>
      <c r="B706" s="195">
        <v>44231</v>
      </c>
      <c r="C706" s="196">
        <v>48</v>
      </c>
      <c r="D706" s="147"/>
      <c r="E706" s="147" t="s">
        <v>9212</v>
      </c>
      <c r="F706" s="161"/>
      <c r="G706" s="147"/>
      <c r="H706" s="147"/>
      <c r="I706" s="147"/>
      <c r="J706" s="147" t="s">
        <v>9289</v>
      </c>
      <c r="K706" s="162"/>
    </row>
    <row r="707" spans="1:11" ht="14.25" customHeight="1">
      <c r="A707" s="147"/>
      <c r="B707" s="195">
        <v>44231</v>
      </c>
      <c r="C707" s="196">
        <v>49</v>
      </c>
      <c r="D707" s="47"/>
      <c r="E707" s="47" t="s">
        <v>9212</v>
      </c>
      <c r="F707" s="151"/>
      <c r="G707" s="47"/>
      <c r="H707" s="47" t="s">
        <v>9326</v>
      </c>
      <c r="I707" s="47"/>
      <c r="J707" s="47" t="s">
        <v>9327</v>
      </c>
      <c r="K707" s="162"/>
    </row>
    <row r="708" spans="1:11" ht="14.25" customHeight="1">
      <c r="A708" s="147"/>
      <c r="B708" s="195">
        <v>44231</v>
      </c>
      <c r="C708" s="196">
        <v>48</v>
      </c>
      <c r="D708" s="147"/>
      <c r="E708" s="147" t="s">
        <v>9212</v>
      </c>
      <c r="F708" s="161"/>
      <c r="G708" s="147"/>
      <c r="H708" s="147"/>
      <c r="I708" s="147"/>
      <c r="J708" s="147" t="s">
        <v>9328</v>
      </c>
      <c r="K708" s="162"/>
    </row>
    <row r="709" spans="1:11" ht="14.25" customHeight="1">
      <c r="A709" s="147"/>
      <c r="B709" s="195">
        <v>44231</v>
      </c>
      <c r="C709" s="196">
        <v>49</v>
      </c>
      <c r="D709" s="147"/>
      <c r="E709" s="147" t="s">
        <v>9212</v>
      </c>
      <c r="F709" s="161"/>
      <c r="G709" s="147"/>
      <c r="H709" s="147"/>
      <c r="I709" s="147"/>
      <c r="J709" s="147" t="s">
        <v>2177</v>
      </c>
      <c r="K709" s="162"/>
    </row>
    <row r="710" spans="1:11" ht="14.25" customHeight="1">
      <c r="A710" s="147"/>
      <c r="B710" s="195">
        <v>44231</v>
      </c>
      <c r="C710" s="196">
        <v>48</v>
      </c>
      <c r="D710" s="147"/>
      <c r="E710" s="147" t="s">
        <v>9212</v>
      </c>
      <c r="F710" s="161"/>
      <c r="G710" s="147"/>
      <c r="H710" s="147"/>
      <c r="I710" s="147"/>
      <c r="J710" s="147" t="s">
        <v>9329</v>
      </c>
      <c r="K710" s="162" t="s">
        <v>9330</v>
      </c>
    </row>
    <row r="711" spans="1:11" ht="14.25" customHeight="1">
      <c r="A711" s="147"/>
      <c r="B711" s="195">
        <v>44232</v>
      </c>
      <c r="C711" s="196">
        <v>48</v>
      </c>
      <c r="D711" s="147"/>
      <c r="E711" s="147" t="s">
        <v>9212</v>
      </c>
      <c r="F711" s="161"/>
      <c r="G711" s="147"/>
      <c r="H711" s="147"/>
      <c r="I711" s="147"/>
      <c r="J711" s="267" t="s">
        <v>9318</v>
      </c>
      <c r="K711" s="162" t="s">
        <v>9330</v>
      </c>
    </row>
    <row r="712" spans="1:11" ht="14.25" customHeight="1">
      <c r="A712" s="147"/>
      <c r="B712" s="195">
        <v>44232</v>
      </c>
      <c r="C712" s="196">
        <v>48</v>
      </c>
      <c r="D712" s="147"/>
      <c r="E712" s="147" t="s">
        <v>9212</v>
      </c>
      <c r="F712" s="161" t="s">
        <v>478</v>
      </c>
      <c r="G712" s="147"/>
      <c r="H712" s="147"/>
      <c r="I712" s="147"/>
      <c r="J712" s="253" t="s">
        <v>9331</v>
      </c>
      <c r="K712" s="162" t="s">
        <v>9332</v>
      </c>
    </row>
    <row r="713" spans="1:11" ht="14.25" customHeight="1">
      <c r="A713" s="147"/>
      <c r="B713" s="195">
        <v>44232</v>
      </c>
      <c r="C713" s="196">
        <v>48</v>
      </c>
      <c r="D713" s="147"/>
      <c r="E713" s="147" t="s">
        <v>9212</v>
      </c>
      <c r="F713" s="161"/>
      <c r="G713" s="147"/>
      <c r="H713" s="147"/>
      <c r="I713" s="147"/>
      <c r="J713" s="253" t="s">
        <v>9333</v>
      </c>
      <c r="K713" s="162" t="s">
        <v>1434</v>
      </c>
    </row>
    <row r="714" spans="1:11" ht="14.25" customHeight="1">
      <c r="B714" s="195">
        <v>44233</v>
      </c>
      <c r="C714" s="196">
        <v>48</v>
      </c>
      <c r="D714" s="147" t="s">
        <v>9334</v>
      </c>
      <c r="E714" s="147" t="s">
        <v>9212</v>
      </c>
      <c r="F714" s="161"/>
      <c r="G714" s="147"/>
      <c r="H714" s="147" t="s">
        <v>9335</v>
      </c>
      <c r="I714" s="147"/>
      <c r="J714" s="147" t="s">
        <v>9336</v>
      </c>
      <c r="K714" s="162"/>
    </row>
    <row r="715" spans="1:11" ht="14.25" customHeight="1">
      <c r="B715" s="4">
        <v>44237</v>
      </c>
      <c r="C715" s="5">
        <v>47</v>
      </c>
      <c r="D715" s="6" t="s">
        <v>9337</v>
      </c>
      <c r="E715" s="6" t="s">
        <v>7411</v>
      </c>
      <c r="F715" s="155"/>
      <c r="J715" s="6" t="s">
        <v>9338</v>
      </c>
      <c r="K715" s="16">
        <v>9304490947</v>
      </c>
    </row>
    <row r="716" spans="1:11" ht="14.25" customHeight="1">
      <c r="C716" s="5"/>
      <c r="D716" s="6" t="s">
        <v>9339</v>
      </c>
      <c r="E716" s="6" t="s">
        <v>7411</v>
      </c>
      <c r="F716" s="155"/>
      <c r="J716" s="6" t="s">
        <v>9340</v>
      </c>
      <c r="K716" s="16">
        <v>7061979825</v>
      </c>
    </row>
    <row r="717" spans="1:11" ht="14.25" customHeight="1">
      <c r="B717" s="195">
        <v>44237</v>
      </c>
      <c r="C717" s="196">
        <v>48</v>
      </c>
      <c r="D717" s="147" t="s">
        <v>9341</v>
      </c>
      <c r="E717" s="147" t="s">
        <v>9054</v>
      </c>
      <c r="F717" s="161"/>
      <c r="G717" s="147"/>
      <c r="H717" s="147" t="s">
        <v>9342</v>
      </c>
      <c r="I717" s="147"/>
      <c r="J717" s="147" t="s">
        <v>9343</v>
      </c>
      <c r="K717" s="162" t="s">
        <v>1434</v>
      </c>
    </row>
    <row r="718" spans="1:11" ht="14.25" customHeight="1">
      <c r="B718" s="195">
        <v>44237</v>
      </c>
      <c r="C718" s="196">
        <v>48</v>
      </c>
      <c r="D718" s="147" t="s">
        <v>9344</v>
      </c>
      <c r="E718" s="147" t="s">
        <v>9054</v>
      </c>
      <c r="F718" s="161"/>
      <c r="G718" s="147"/>
      <c r="H718" s="147" t="s">
        <v>9345</v>
      </c>
      <c r="I718" s="147"/>
      <c r="J718" s="147" t="s">
        <v>9346</v>
      </c>
      <c r="K718" s="162" t="s">
        <v>9290</v>
      </c>
    </row>
    <row r="719" spans="1:11" ht="14.25" customHeight="1">
      <c r="B719" s="195">
        <v>44237</v>
      </c>
      <c r="C719" s="196">
        <v>48</v>
      </c>
      <c r="D719" s="147" t="s">
        <v>9347</v>
      </c>
      <c r="E719" s="147" t="s">
        <v>9054</v>
      </c>
      <c r="F719" s="161"/>
      <c r="G719" s="147"/>
      <c r="H719" s="147" t="s">
        <v>9348</v>
      </c>
      <c r="I719" s="147"/>
      <c r="J719" s="147" t="s">
        <v>9349</v>
      </c>
      <c r="K719" s="162" t="s">
        <v>9290</v>
      </c>
    </row>
    <row r="720" spans="1:11" ht="14.25" customHeight="1">
      <c r="B720" s="195">
        <v>44237</v>
      </c>
      <c r="C720" s="196">
        <v>48</v>
      </c>
      <c r="D720" s="147" t="s">
        <v>9350</v>
      </c>
      <c r="E720" s="147" t="s">
        <v>9054</v>
      </c>
      <c r="F720" s="161"/>
      <c r="G720" s="147"/>
      <c r="H720" s="147"/>
      <c r="I720" s="147"/>
      <c r="J720" s="147" t="s">
        <v>9351</v>
      </c>
      <c r="K720" s="162" t="s">
        <v>9290</v>
      </c>
    </row>
    <row r="721" spans="1:12" ht="14.25" customHeight="1">
      <c r="B721" s="195">
        <v>44237</v>
      </c>
      <c r="C721" s="196">
        <v>47</v>
      </c>
      <c r="D721" s="147" t="s">
        <v>9352</v>
      </c>
      <c r="E721" s="147" t="s">
        <v>9054</v>
      </c>
      <c r="F721" s="161"/>
      <c r="G721" s="147"/>
      <c r="H721" s="147" t="s">
        <v>9353</v>
      </c>
      <c r="I721" s="147"/>
      <c r="J721" s="147" t="s">
        <v>9354</v>
      </c>
      <c r="K721" s="162" t="s">
        <v>9355</v>
      </c>
    </row>
    <row r="722" spans="1:12" ht="14.25" customHeight="1">
      <c r="B722" s="195">
        <v>44237</v>
      </c>
      <c r="C722" s="196">
        <v>47</v>
      </c>
      <c r="D722" s="147" t="s">
        <v>9356</v>
      </c>
      <c r="E722" s="147" t="s">
        <v>9054</v>
      </c>
      <c r="F722" s="161"/>
      <c r="G722" s="147"/>
      <c r="H722" s="147" t="s">
        <v>9357</v>
      </c>
      <c r="I722" s="147"/>
      <c r="J722" s="147" t="s">
        <v>9358</v>
      </c>
      <c r="K722" s="162" t="s">
        <v>9355</v>
      </c>
    </row>
    <row r="723" spans="1:12" ht="14.25" customHeight="1">
      <c r="B723" s="4">
        <v>44237</v>
      </c>
      <c r="C723" s="5"/>
      <c r="D723" s="6" t="s">
        <v>9359</v>
      </c>
      <c r="E723" s="6" t="s">
        <v>9054</v>
      </c>
      <c r="F723" s="155" t="s">
        <v>9360</v>
      </c>
      <c r="G723" s="6"/>
      <c r="H723" s="6" t="s">
        <v>9361</v>
      </c>
      <c r="I723" s="6"/>
      <c r="J723" s="268" t="s">
        <v>9362</v>
      </c>
      <c r="K723" s="16" t="s">
        <v>9208</v>
      </c>
    </row>
    <row r="724" spans="1:12" ht="14.25" customHeight="1">
      <c r="B724" s="4">
        <v>44237</v>
      </c>
      <c r="C724" s="5"/>
      <c r="D724" s="6"/>
      <c r="E724" s="6" t="s">
        <v>9054</v>
      </c>
      <c r="F724" s="155" t="s">
        <v>9360</v>
      </c>
      <c r="G724" s="6"/>
      <c r="H724" s="6" t="s">
        <v>9279</v>
      </c>
      <c r="I724" s="6"/>
      <c r="J724" s="6" t="s">
        <v>9280</v>
      </c>
      <c r="K724" s="16" t="s">
        <v>9208</v>
      </c>
    </row>
    <row r="725" spans="1:12" ht="14.25" customHeight="1">
      <c r="B725" s="195">
        <v>44237</v>
      </c>
      <c r="C725" s="196">
        <v>47</v>
      </c>
      <c r="D725" s="147" t="s">
        <v>9363</v>
      </c>
      <c r="E725" s="147" t="s">
        <v>9054</v>
      </c>
      <c r="F725" s="161"/>
      <c r="G725" s="147"/>
      <c r="H725" s="147" t="s">
        <v>9364</v>
      </c>
      <c r="I725" s="147"/>
      <c r="J725" s="147" t="s">
        <v>9365</v>
      </c>
      <c r="K725" s="162" t="s">
        <v>9366</v>
      </c>
    </row>
    <row r="726" spans="1:12" ht="14.25" customHeight="1">
      <c r="B726" s="195">
        <v>44237</v>
      </c>
      <c r="C726" s="196">
        <v>47</v>
      </c>
      <c r="D726" s="147" t="s">
        <v>9367</v>
      </c>
      <c r="E726" s="147" t="s">
        <v>9054</v>
      </c>
      <c r="F726" s="161"/>
      <c r="G726" s="147"/>
      <c r="H726" s="147" t="s">
        <v>9368</v>
      </c>
      <c r="I726" s="147"/>
      <c r="J726" s="147" t="s">
        <v>9369</v>
      </c>
      <c r="K726" s="162" t="s">
        <v>9366</v>
      </c>
    </row>
    <row r="727" spans="1:12" ht="14.25" customHeight="1">
      <c r="B727" s="195">
        <v>44237</v>
      </c>
      <c r="C727" s="196">
        <v>47</v>
      </c>
      <c r="D727" s="147" t="s">
        <v>9370</v>
      </c>
      <c r="E727" s="147" t="s">
        <v>9054</v>
      </c>
      <c r="F727" s="161"/>
      <c r="G727" s="147"/>
      <c r="H727" s="147" t="s">
        <v>9371</v>
      </c>
      <c r="I727" s="147"/>
      <c r="J727" s="147" t="s">
        <v>9372</v>
      </c>
      <c r="K727" s="162" t="s">
        <v>9366</v>
      </c>
    </row>
    <row r="728" spans="1:12" ht="14.25" customHeight="1">
      <c r="B728" s="195">
        <v>44238</v>
      </c>
      <c r="C728" s="196">
        <v>48</v>
      </c>
      <c r="D728" s="147" t="s">
        <v>9373</v>
      </c>
      <c r="E728" s="147" t="s">
        <v>9054</v>
      </c>
      <c r="F728" s="161"/>
      <c r="G728" s="147"/>
      <c r="H728" s="147" t="s">
        <v>9374</v>
      </c>
      <c r="I728" s="147"/>
      <c r="J728" s="147" t="s">
        <v>9375</v>
      </c>
      <c r="K728" s="162" t="s">
        <v>9290</v>
      </c>
    </row>
    <row r="729" spans="1:12" ht="14.25" customHeight="1">
      <c r="B729" s="195">
        <v>44238</v>
      </c>
      <c r="C729" s="196">
        <v>48</v>
      </c>
      <c r="D729" s="147" t="s">
        <v>9376</v>
      </c>
      <c r="E729" s="147" t="s">
        <v>9054</v>
      </c>
      <c r="F729" s="161"/>
      <c r="G729" s="147"/>
      <c r="H729" s="147" t="s">
        <v>9377</v>
      </c>
      <c r="I729" s="147"/>
      <c r="J729" s="147" t="s">
        <v>9378</v>
      </c>
      <c r="K729" s="162" t="s">
        <v>9290</v>
      </c>
    </row>
    <row r="730" spans="1:12" ht="14.25" customHeight="1">
      <c r="B730" s="195">
        <v>44238</v>
      </c>
      <c r="C730" s="196">
        <v>48</v>
      </c>
      <c r="D730" s="147" t="s">
        <v>9379</v>
      </c>
      <c r="E730" s="147" t="s">
        <v>9054</v>
      </c>
      <c r="F730" s="161"/>
      <c r="G730" s="147"/>
      <c r="H730" s="147" t="s">
        <v>9380</v>
      </c>
      <c r="I730" s="147"/>
      <c r="J730" s="147" t="s">
        <v>9322</v>
      </c>
      <c r="K730" s="162" t="s">
        <v>9290</v>
      </c>
    </row>
    <row r="731" spans="1:12" ht="14.25" customHeight="1">
      <c r="B731" s="195">
        <v>44238</v>
      </c>
      <c r="C731" s="196">
        <v>48</v>
      </c>
      <c r="D731" s="147" t="s">
        <v>9381</v>
      </c>
      <c r="E731" s="147" t="s">
        <v>9054</v>
      </c>
      <c r="F731" s="161"/>
      <c r="G731" s="147"/>
      <c r="H731" s="147" t="s">
        <v>9382</v>
      </c>
      <c r="I731" s="147"/>
      <c r="J731" s="147" t="s">
        <v>9383</v>
      </c>
      <c r="K731" s="162" t="s">
        <v>9290</v>
      </c>
    </row>
    <row r="732" spans="1:12" ht="14.25" customHeight="1">
      <c r="A732" s="147"/>
      <c r="B732" s="195">
        <v>44238</v>
      </c>
      <c r="C732" s="196">
        <v>47</v>
      </c>
      <c r="D732" s="147" t="s">
        <v>9384</v>
      </c>
      <c r="E732" s="147" t="s">
        <v>9054</v>
      </c>
      <c r="F732" s="161"/>
      <c r="G732" s="195">
        <v>30356</v>
      </c>
      <c r="H732" s="147" t="s">
        <v>9385</v>
      </c>
      <c r="I732" s="147"/>
      <c r="J732" s="147" t="s">
        <v>9386</v>
      </c>
      <c r="K732" s="162">
        <v>9852442811</v>
      </c>
      <c r="L732" s="6">
        <v>831015</v>
      </c>
    </row>
    <row r="733" spans="1:12" ht="14.25" customHeight="1">
      <c r="A733" s="147" t="s">
        <v>9189</v>
      </c>
      <c r="B733" s="195">
        <v>44239</v>
      </c>
      <c r="C733" s="196">
        <v>46</v>
      </c>
      <c r="D733" s="147" t="s">
        <v>9387</v>
      </c>
      <c r="E733" s="147" t="s">
        <v>9054</v>
      </c>
      <c r="F733" s="161" t="s">
        <v>478</v>
      </c>
      <c r="G733" s="195">
        <v>29221</v>
      </c>
      <c r="H733" s="147" t="s">
        <v>9388</v>
      </c>
      <c r="I733" s="147"/>
      <c r="J733" s="147" t="s">
        <v>9389</v>
      </c>
      <c r="K733" s="162"/>
    </row>
    <row r="734" spans="1:12" ht="14.25" customHeight="1">
      <c r="A734" s="147" t="s">
        <v>9189</v>
      </c>
      <c r="B734" s="195">
        <v>44239</v>
      </c>
      <c r="C734" s="196">
        <v>46</v>
      </c>
      <c r="D734" s="147" t="s">
        <v>9390</v>
      </c>
      <c r="E734" s="147" t="s">
        <v>9054</v>
      </c>
      <c r="F734" s="161" t="s">
        <v>478</v>
      </c>
      <c r="G734" s="195">
        <v>32143</v>
      </c>
      <c r="H734" s="147" t="s">
        <v>9391</v>
      </c>
      <c r="I734" s="147"/>
      <c r="J734" s="147" t="s">
        <v>9392</v>
      </c>
      <c r="K734" s="162"/>
    </row>
    <row r="735" spans="1:12" ht="14.25" customHeight="1">
      <c r="A735" s="147"/>
      <c r="B735" s="195">
        <v>44239</v>
      </c>
      <c r="C735" s="196">
        <v>48</v>
      </c>
      <c r="D735" s="147" t="s">
        <v>9393</v>
      </c>
      <c r="E735" s="147" t="s">
        <v>9054</v>
      </c>
      <c r="F735" s="161" t="s">
        <v>478</v>
      </c>
      <c r="G735" s="147"/>
      <c r="H735" s="147" t="s">
        <v>9394</v>
      </c>
      <c r="I735" s="147"/>
      <c r="J735" s="258" t="s">
        <v>9395</v>
      </c>
      <c r="K735" s="162" t="s">
        <v>1434</v>
      </c>
    </row>
    <row r="736" spans="1:12" ht="14.25" customHeight="1">
      <c r="A736" s="147"/>
      <c r="B736" s="195">
        <v>44239</v>
      </c>
      <c r="C736" s="196">
        <v>46</v>
      </c>
      <c r="D736" s="147" t="s">
        <v>9396</v>
      </c>
      <c r="E736" s="147" t="s">
        <v>9054</v>
      </c>
      <c r="F736" s="161" t="s">
        <v>478</v>
      </c>
      <c r="G736" s="147"/>
      <c r="H736" s="147" t="s">
        <v>9397</v>
      </c>
      <c r="I736" s="147"/>
      <c r="J736" s="147" t="s">
        <v>9398</v>
      </c>
      <c r="K736" s="162" t="s">
        <v>9366</v>
      </c>
    </row>
    <row r="737" spans="1:14" ht="14.25" customHeight="1">
      <c r="B737" s="4">
        <v>44241</v>
      </c>
      <c r="C737" s="5">
        <v>48</v>
      </c>
      <c r="D737" s="6" t="s">
        <v>9399</v>
      </c>
      <c r="E737" s="6" t="s">
        <v>7406</v>
      </c>
      <c r="F737" s="155"/>
      <c r="H737" s="6" t="s">
        <v>9400</v>
      </c>
      <c r="J737" s="6" t="s">
        <v>9401</v>
      </c>
      <c r="K737" s="16" t="s">
        <v>9402</v>
      </c>
      <c r="M737" s="6">
        <v>9470386114</v>
      </c>
      <c r="N737" s="137" t="s">
        <v>9229</v>
      </c>
    </row>
    <row r="738" spans="1:14" ht="14.25" customHeight="1">
      <c r="B738" s="4">
        <v>44241</v>
      </c>
      <c r="C738" s="5">
        <v>48</v>
      </c>
      <c r="D738" s="6" t="s">
        <v>9403</v>
      </c>
      <c r="E738" s="6" t="s">
        <v>7559</v>
      </c>
      <c r="F738" s="155"/>
      <c r="H738" s="6" t="s">
        <v>9404</v>
      </c>
      <c r="J738" s="6" t="s">
        <v>9405</v>
      </c>
      <c r="K738" s="16" t="s">
        <v>9406</v>
      </c>
      <c r="M738" s="6">
        <v>9470386114</v>
      </c>
      <c r="N738" s="137" t="s">
        <v>9229</v>
      </c>
    </row>
    <row r="739" spans="1:14" ht="14.25" customHeight="1">
      <c r="A739" s="6"/>
      <c r="B739" s="4">
        <v>44243</v>
      </c>
      <c r="C739" s="5"/>
      <c r="D739" s="6" t="s">
        <v>9407</v>
      </c>
      <c r="E739" s="6" t="s">
        <v>9408</v>
      </c>
      <c r="F739" s="155"/>
      <c r="G739" s="6"/>
      <c r="H739" s="6" t="s">
        <v>9409</v>
      </c>
      <c r="I739" s="6"/>
      <c r="J739" s="6" t="s">
        <v>1357</v>
      </c>
      <c r="K739" s="16"/>
      <c r="L739" s="6"/>
      <c r="M739" s="6">
        <v>9472755464</v>
      </c>
      <c r="N739" s="137" t="s">
        <v>9229</v>
      </c>
    </row>
    <row r="740" spans="1:14" ht="14.25" customHeight="1">
      <c r="B740" s="4">
        <v>44243</v>
      </c>
      <c r="C740" s="5">
        <v>48</v>
      </c>
      <c r="D740" s="6" t="s">
        <v>9410</v>
      </c>
      <c r="E740" s="6" t="s">
        <v>9162</v>
      </c>
      <c r="F740" s="155" t="s">
        <v>8610</v>
      </c>
      <c r="H740" s="6" t="s">
        <v>9411</v>
      </c>
      <c r="J740" s="6" t="s">
        <v>9412</v>
      </c>
      <c r="K740" s="16" t="s">
        <v>9413</v>
      </c>
    </row>
    <row r="741" spans="1:14" ht="14.25" customHeight="1">
      <c r="B741" s="4">
        <v>44243</v>
      </c>
      <c r="C741" s="5">
        <v>48</v>
      </c>
      <c r="D741" s="6" t="s">
        <v>9414</v>
      </c>
      <c r="E741" s="6" t="s">
        <v>9162</v>
      </c>
      <c r="F741" s="155" t="s">
        <v>8610</v>
      </c>
      <c r="H741" s="6" t="s">
        <v>9415</v>
      </c>
      <c r="J741" s="6" t="s">
        <v>9416</v>
      </c>
      <c r="K741" s="16" t="s">
        <v>9413</v>
      </c>
    </row>
    <row r="742" spans="1:14" ht="14.25" customHeight="1">
      <c r="B742" s="4">
        <v>44243</v>
      </c>
      <c r="C742" s="5">
        <v>49</v>
      </c>
      <c r="D742" s="6" t="s">
        <v>9417</v>
      </c>
      <c r="E742" s="6" t="s">
        <v>9162</v>
      </c>
      <c r="F742" s="155" t="s">
        <v>9180</v>
      </c>
      <c r="H742" s="6" t="s">
        <v>9418</v>
      </c>
      <c r="J742" s="6" t="s">
        <v>9419</v>
      </c>
      <c r="K742" s="16" t="s">
        <v>9290</v>
      </c>
    </row>
    <row r="743" spans="1:14" ht="14.25" customHeight="1">
      <c r="B743" s="4">
        <v>44243</v>
      </c>
      <c r="C743" s="5">
        <v>48</v>
      </c>
      <c r="D743" s="6" t="s">
        <v>9420</v>
      </c>
      <c r="E743" s="6" t="s">
        <v>9162</v>
      </c>
      <c r="F743" s="155" t="s">
        <v>8610</v>
      </c>
      <c r="H743" s="5" t="s">
        <v>9421</v>
      </c>
      <c r="J743" s="6" t="s">
        <v>9422</v>
      </c>
      <c r="K743" s="16" t="s">
        <v>9290</v>
      </c>
    </row>
    <row r="744" spans="1:14" ht="14.25" customHeight="1">
      <c r="B744" s="4">
        <v>44243</v>
      </c>
      <c r="C744" s="5">
        <v>47</v>
      </c>
      <c r="D744" s="6" t="s">
        <v>9423</v>
      </c>
      <c r="E744" s="6" t="s">
        <v>9162</v>
      </c>
      <c r="F744" s="155" t="s">
        <v>9424</v>
      </c>
      <c r="H744" s="6" t="s">
        <v>9425</v>
      </c>
      <c r="J744" s="6" t="s">
        <v>9426</v>
      </c>
      <c r="K744" s="16" t="s">
        <v>9366</v>
      </c>
    </row>
    <row r="745" spans="1:14" ht="14.25" customHeight="1">
      <c r="B745" s="4">
        <v>44243</v>
      </c>
      <c r="C745" s="5">
        <v>49</v>
      </c>
      <c r="D745" s="6" t="s">
        <v>9427</v>
      </c>
      <c r="E745" s="6" t="s">
        <v>9162</v>
      </c>
      <c r="F745" s="161" t="s">
        <v>8610</v>
      </c>
      <c r="G745" s="147"/>
      <c r="H745" s="147" t="s">
        <v>9326</v>
      </c>
      <c r="I745" s="147"/>
      <c r="J745" s="147" t="s">
        <v>9327</v>
      </c>
      <c r="K745" s="162" t="s">
        <v>9290</v>
      </c>
    </row>
    <row r="746" spans="1:14" ht="14.25" customHeight="1">
      <c r="B746" s="6" t="s">
        <v>9428</v>
      </c>
      <c r="C746" s="5">
        <v>47</v>
      </c>
      <c r="D746" s="6" t="s">
        <v>9429</v>
      </c>
      <c r="E746" s="6" t="s">
        <v>9430</v>
      </c>
      <c r="F746" s="155"/>
      <c r="H746" s="6" t="s">
        <v>9301</v>
      </c>
      <c r="J746" s="6" t="s">
        <v>9431</v>
      </c>
      <c r="K746" s="16"/>
      <c r="M746" s="6">
        <v>8292068667</v>
      </c>
    </row>
    <row r="747" spans="1:14" ht="14.25" customHeight="1">
      <c r="C747" s="262">
        <v>47</v>
      </c>
      <c r="D747" s="263" t="s">
        <v>9432</v>
      </c>
      <c r="E747" s="263" t="s">
        <v>9162</v>
      </c>
      <c r="F747" s="269" t="s">
        <v>478</v>
      </c>
      <c r="G747" s="263"/>
      <c r="H747" s="263" t="s">
        <v>9433</v>
      </c>
      <c r="I747" s="263"/>
      <c r="J747" s="263" t="s">
        <v>2745</v>
      </c>
      <c r="K747" s="264" t="s">
        <v>8497</v>
      </c>
    </row>
    <row r="748" spans="1:14" ht="14.25" customHeight="1">
      <c r="C748" s="262">
        <v>47</v>
      </c>
      <c r="D748" s="263" t="s">
        <v>9434</v>
      </c>
      <c r="E748" s="263" t="s">
        <v>9162</v>
      </c>
      <c r="F748" s="269" t="s">
        <v>478</v>
      </c>
      <c r="G748" s="263"/>
      <c r="H748" s="263" t="s">
        <v>9435</v>
      </c>
      <c r="I748" s="263"/>
      <c r="J748" s="263" t="s">
        <v>353</v>
      </c>
      <c r="K748" s="264" t="s">
        <v>8497</v>
      </c>
    </row>
    <row r="749" spans="1:14" ht="14.25" customHeight="1">
      <c r="B749" s="4">
        <v>44247</v>
      </c>
      <c r="C749" s="5">
        <v>49</v>
      </c>
      <c r="D749" s="6" t="s">
        <v>9436</v>
      </c>
      <c r="E749" s="6" t="s">
        <v>9162</v>
      </c>
      <c r="F749" s="161" t="s">
        <v>7986</v>
      </c>
      <c r="G749" s="147"/>
      <c r="H749" s="147" t="s">
        <v>9437</v>
      </c>
      <c r="I749" s="147"/>
      <c r="J749" s="147" t="s">
        <v>9438</v>
      </c>
      <c r="K749" s="162" t="s">
        <v>9290</v>
      </c>
    </row>
    <row r="750" spans="1:14" ht="14.25" customHeight="1">
      <c r="B750" s="4">
        <v>44247</v>
      </c>
      <c r="C750" s="5">
        <v>48</v>
      </c>
      <c r="D750" s="6" t="s">
        <v>9439</v>
      </c>
      <c r="E750" s="6" t="s">
        <v>9162</v>
      </c>
      <c r="F750" s="161" t="s">
        <v>8610</v>
      </c>
      <c r="G750" s="147"/>
      <c r="H750" s="147" t="s">
        <v>9440</v>
      </c>
      <c r="I750" s="147"/>
      <c r="J750" s="147" t="s">
        <v>9441</v>
      </c>
      <c r="K750" s="162" t="s">
        <v>9290</v>
      </c>
    </row>
    <row r="751" spans="1:14" ht="14.25" customHeight="1">
      <c r="B751" s="4">
        <v>44247</v>
      </c>
      <c r="C751" s="5">
        <v>48</v>
      </c>
      <c r="D751" s="6" t="s">
        <v>9442</v>
      </c>
      <c r="E751" s="6" t="s">
        <v>9162</v>
      </c>
      <c r="F751" s="155" t="s">
        <v>478</v>
      </c>
      <c r="H751" s="6" t="s">
        <v>9443</v>
      </c>
      <c r="J751" s="6" t="s">
        <v>9444</v>
      </c>
      <c r="K751" s="16">
        <v>7091099574</v>
      </c>
    </row>
    <row r="752" spans="1:14" ht="14.25" customHeight="1">
      <c r="B752" s="4">
        <v>44248</v>
      </c>
      <c r="C752" s="5"/>
      <c r="D752" s="6" t="s">
        <v>9445</v>
      </c>
      <c r="E752" s="6" t="s">
        <v>9446</v>
      </c>
      <c r="F752" s="155"/>
      <c r="H752" s="6" t="s">
        <v>9447</v>
      </c>
      <c r="J752" s="6" t="s">
        <v>6287</v>
      </c>
      <c r="K752" s="16"/>
      <c r="M752" s="6">
        <v>9631534643</v>
      </c>
      <c r="N752" s="137" t="s">
        <v>9229</v>
      </c>
    </row>
    <row r="753" spans="2:14" ht="14.25" customHeight="1">
      <c r="B753" s="4">
        <v>44252</v>
      </c>
      <c r="C753" s="5">
        <v>45</v>
      </c>
      <c r="D753" s="6" t="s">
        <v>9448</v>
      </c>
      <c r="E753" s="6" t="s">
        <v>9054</v>
      </c>
      <c r="F753" s="155" t="s">
        <v>8610</v>
      </c>
      <c r="G753" s="4">
        <v>33944</v>
      </c>
      <c r="H753" s="6" t="s">
        <v>9449</v>
      </c>
      <c r="J753" s="270" t="s">
        <v>9450</v>
      </c>
      <c r="K753" s="16">
        <v>8969394902</v>
      </c>
      <c r="M753" s="6" t="s">
        <v>9451</v>
      </c>
      <c r="N753" s="6">
        <v>831004</v>
      </c>
    </row>
    <row r="754" spans="2:14" ht="14.25" customHeight="1">
      <c r="C754" s="5"/>
      <c r="D754" s="6" t="s">
        <v>9452</v>
      </c>
      <c r="E754" s="6" t="s">
        <v>9453</v>
      </c>
      <c r="F754" s="155"/>
      <c r="H754" s="6" t="s">
        <v>9454</v>
      </c>
      <c r="J754" s="6" t="s">
        <v>9455</v>
      </c>
      <c r="K754" s="16">
        <v>8092288987</v>
      </c>
    </row>
    <row r="755" spans="2:14" ht="14.25" customHeight="1">
      <c r="B755" s="4">
        <v>44252</v>
      </c>
      <c r="C755" s="5">
        <v>47</v>
      </c>
      <c r="D755" s="6" t="s">
        <v>9456</v>
      </c>
      <c r="E755" s="6" t="s">
        <v>9086</v>
      </c>
      <c r="F755" s="155" t="s">
        <v>478</v>
      </c>
      <c r="H755" s="6" t="s">
        <v>9457</v>
      </c>
      <c r="J755" s="6" t="s">
        <v>9458</v>
      </c>
      <c r="K755" s="16" t="s">
        <v>8497</v>
      </c>
    </row>
    <row r="756" spans="2:14" ht="14.25" customHeight="1">
      <c r="B756" s="158">
        <v>44252</v>
      </c>
      <c r="C756" s="65">
        <v>49</v>
      </c>
      <c r="D756" s="47" t="s">
        <v>9459</v>
      </c>
      <c r="E756" s="47" t="s">
        <v>9086</v>
      </c>
      <c r="F756" s="151" t="s">
        <v>7986</v>
      </c>
      <c r="G756" s="47"/>
      <c r="H756" s="47" t="s">
        <v>9460</v>
      </c>
      <c r="I756" s="47"/>
      <c r="J756" s="47" t="s">
        <v>9461</v>
      </c>
      <c r="K756" s="66" t="s">
        <v>9290</v>
      </c>
    </row>
    <row r="757" spans="2:14" ht="14.25" customHeight="1">
      <c r="B757" s="4">
        <v>44252</v>
      </c>
      <c r="C757" s="5">
        <v>48</v>
      </c>
      <c r="D757" s="6" t="s">
        <v>9462</v>
      </c>
      <c r="E757" s="6" t="s">
        <v>9086</v>
      </c>
      <c r="F757" s="155" t="s">
        <v>9265</v>
      </c>
      <c r="H757" s="6" t="s">
        <v>9463</v>
      </c>
      <c r="J757" s="6" t="s">
        <v>9464</v>
      </c>
      <c r="K757" s="16" t="s">
        <v>9465</v>
      </c>
    </row>
    <row r="758" spans="2:14" ht="14.25" customHeight="1">
      <c r="B758" s="4">
        <v>44252</v>
      </c>
      <c r="C758" s="5">
        <v>48</v>
      </c>
      <c r="D758" s="6" t="s">
        <v>9466</v>
      </c>
      <c r="E758" s="6" t="s">
        <v>9086</v>
      </c>
      <c r="F758" s="155" t="s">
        <v>8610</v>
      </c>
      <c r="H758" s="6" t="s">
        <v>9467</v>
      </c>
      <c r="J758" s="6" t="s">
        <v>9468</v>
      </c>
      <c r="K758" s="16" t="s">
        <v>9366</v>
      </c>
    </row>
    <row r="759" spans="2:14" ht="14.25" customHeight="1">
      <c r="C759" s="5">
        <v>48</v>
      </c>
      <c r="D759" s="6" t="s">
        <v>9469</v>
      </c>
      <c r="E759" s="6" t="s">
        <v>9086</v>
      </c>
      <c r="F759" s="155" t="s">
        <v>478</v>
      </c>
      <c r="H759" s="6" t="s">
        <v>9470</v>
      </c>
      <c r="J759" s="6" t="s">
        <v>9471</v>
      </c>
      <c r="K759" s="16">
        <v>9204525375</v>
      </c>
    </row>
    <row r="760" spans="2:14" ht="14.25" customHeight="1">
      <c r="C760" s="5">
        <v>48</v>
      </c>
      <c r="D760" s="6" t="s">
        <v>9472</v>
      </c>
      <c r="E760" s="6" t="s">
        <v>9086</v>
      </c>
      <c r="F760" s="155" t="s">
        <v>478</v>
      </c>
      <c r="H760" s="6" t="s">
        <v>9473</v>
      </c>
      <c r="J760" s="6" t="s">
        <v>9474</v>
      </c>
      <c r="K760" s="16">
        <v>9204525375</v>
      </c>
    </row>
    <row r="761" spans="2:14" ht="14.25" customHeight="1">
      <c r="C761" s="5">
        <v>48</v>
      </c>
      <c r="D761" s="6" t="s">
        <v>9475</v>
      </c>
      <c r="E761" s="6" t="s">
        <v>9086</v>
      </c>
      <c r="F761" s="155" t="s">
        <v>478</v>
      </c>
      <c r="H761" s="6" t="s">
        <v>9476</v>
      </c>
      <c r="J761" s="6" t="s">
        <v>9477</v>
      </c>
      <c r="K761" s="16">
        <v>9204525375</v>
      </c>
    </row>
    <row r="762" spans="2:14" ht="14.25" customHeight="1">
      <c r="C762" s="5">
        <v>48</v>
      </c>
      <c r="D762" s="6" t="s">
        <v>9478</v>
      </c>
      <c r="E762" s="6" t="s">
        <v>9086</v>
      </c>
      <c r="F762" s="155" t="s">
        <v>478</v>
      </c>
      <c r="H762" s="6" t="s">
        <v>9479</v>
      </c>
      <c r="J762" s="6" t="s">
        <v>9480</v>
      </c>
      <c r="K762" s="16">
        <v>9204525375</v>
      </c>
    </row>
    <row r="763" spans="2:14" ht="14.25" customHeight="1">
      <c r="C763" s="5">
        <v>47</v>
      </c>
      <c r="E763" s="6" t="s">
        <v>9086</v>
      </c>
      <c r="F763" s="155" t="s">
        <v>8610</v>
      </c>
      <c r="H763" s="6" t="s">
        <v>9481</v>
      </c>
      <c r="J763" s="6" t="s">
        <v>9482</v>
      </c>
      <c r="K763" s="16" t="s">
        <v>9366</v>
      </c>
    </row>
    <row r="764" spans="2:14" ht="14.25" customHeight="1">
      <c r="C764" s="5">
        <v>45</v>
      </c>
      <c r="E764" s="6" t="s">
        <v>9086</v>
      </c>
      <c r="F764" s="155" t="s">
        <v>8610</v>
      </c>
      <c r="H764" s="6" t="s">
        <v>9483</v>
      </c>
      <c r="J764" s="6" t="s">
        <v>9484</v>
      </c>
      <c r="K764" s="16" t="s">
        <v>9366</v>
      </c>
    </row>
    <row r="765" spans="2:14" ht="14.25" customHeight="1">
      <c r="C765" s="5">
        <v>45</v>
      </c>
      <c r="E765" s="6" t="s">
        <v>9086</v>
      </c>
      <c r="F765" s="155" t="s">
        <v>8610</v>
      </c>
      <c r="H765" s="6" t="s">
        <v>9485</v>
      </c>
      <c r="J765" s="6" t="s">
        <v>9486</v>
      </c>
      <c r="K765" s="16" t="s">
        <v>9366</v>
      </c>
    </row>
    <row r="766" spans="2:14" ht="14.25" customHeight="1">
      <c r="C766" s="5">
        <v>45</v>
      </c>
      <c r="E766" s="6" t="s">
        <v>9086</v>
      </c>
      <c r="F766" s="155" t="s">
        <v>8610</v>
      </c>
      <c r="H766" s="6" t="s">
        <v>9487</v>
      </c>
      <c r="J766" s="6" t="s">
        <v>9488</v>
      </c>
      <c r="K766" s="16" t="s">
        <v>9366</v>
      </c>
    </row>
    <row r="767" spans="2:14" ht="14.25" customHeight="1">
      <c r="B767" s="4">
        <v>44254</v>
      </c>
      <c r="C767" s="5">
        <v>48</v>
      </c>
      <c r="D767" s="6" t="s">
        <v>9489</v>
      </c>
      <c r="E767" s="6" t="s">
        <v>274</v>
      </c>
      <c r="F767" s="155"/>
      <c r="H767" s="6" t="s">
        <v>9490</v>
      </c>
      <c r="J767" s="6" t="s">
        <v>9491</v>
      </c>
      <c r="K767" s="16">
        <v>9234551733</v>
      </c>
    </row>
    <row r="768" spans="2:14" ht="14.25" customHeight="1">
      <c r="B768" s="4">
        <v>44254</v>
      </c>
      <c r="C768" s="5">
        <v>48</v>
      </c>
      <c r="D768" s="6" t="s">
        <v>9492</v>
      </c>
      <c r="E768" s="6" t="s">
        <v>274</v>
      </c>
      <c r="F768" s="155"/>
      <c r="H768" s="6" t="s">
        <v>9493</v>
      </c>
      <c r="J768" s="6" t="s">
        <v>9494</v>
      </c>
      <c r="K768" s="16" t="s">
        <v>9493</v>
      </c>
    </row>
    <row r="769" spans="1:14" ht="14.25" customHeight="1">
      <c r="B769" s="4">
        <v>44232</v>
      </c>
      <c r="C769" s="5">
        <v>48</v>
      </c>
      <c r="D769" s="6"/>
      <c r="E769" s="6" t="s">
        <v>274</v>
      </c>
      <c r="F769" s="155"/>
      <c r="G769" s="6"/>
      <c r="H769" s="6" t="s">
        <v>9317</v>
      </c>
      <c r="I769" s="6"/>
      <c r="J769" s="6" t="s">
        <v>9318</v>
      </c>
      <c r="K769" s="16">
        <v>7779965400</v>
      </c>
      <c r="M769" s="6">
        <v>8092403308</v>
      </c>
    </row>
    <row r="770" spans="1:14" ht="14.25" customHeight="1">
      <c r="A770" s="147"/>
      <c r="B770" s="195">
        <v>44256</v>
      </c>
      <c r="C770" s="196">
        <v>47</v>
      </c>
      <c r="D770" s="147"/>
      <c r="E770" s="147" t="s">
        <v>9086</v>
      </c>
      <c r="F770" s="161" t="s">
        <v>8610</v>
      </c>
      <c r="G770" s="147"/>
      <c r="H770" s="147" t="s">
        <v>9495</v>
      </c>
      <c r="I770" s="147"/>
      <c r="J770" s="147" t="s">
        <v>9496</v>
      </c>
      <c r="K770" s="162">
        <v>8434048904</v>
      </c>
    </row>
    <row r="771" spans="1:14" ht="14.25" customHeight="1">
      <c r="B771" s="4">
        <v>44257</v>
      </c>
      <c r="C771" s="5">
        <v>48</v>
      </c>
      <c r="D771" s="6" t="s">
        <v>9497</v>
      </c>
      <c r="E771" s="6" t="s">
        <v>9086</v>
      </c>
      <c r="F771" s="155" t="s">
        <v>478</v>
      </c>
      <c r="H771" s="6" t="s">
        <v>9498</v>
      </c>
      <c r="J771" s="6" t="s">
        <v>9499</v>
      </c>
      <c r="K771" s="16">
        <v>7762847154</v>
      </c>
    </row>
    <row r="772" spans="1:14" ht="14.25" customHeight="1">
      <c r="B772" s="4">
        <v>44257</v>
      </c>
      <c r="C772" s="5">
        <v>47</v>
      </c>
      <c r="D772" s="6" t="s">
        <v>9500</v>
      </c>
      <c r="E772" s="6" t="s">
        <v>7411</v>
      </c>
      <c r="F772" s="155"/>
      <c r="J772" s="6" t="s">
        <v>9501</v>
      </c>
      <c r="K772" s="16">
        <v>9955133732</v>
      </c>
      <c r="N772" s="6">
        <v>22</v>
      </c>
    </row>
    <row r="773" spans="1:14" ht="14.25" customHeight="1">
      <c r="B773" s="4">
        <v>44257</v>
      </c>
      <c r="C773" s="5">
        <v>47</v>
      </c>
      <c r="D773" s="6" t="s">
        <v>9502</v>
      </c>
      <c r="E773" s="6" t="s">
        <v>7411</v>
      </c>
      <c r="F773" s="155"/>
      <c r="J773" s="6" t="s">
        <v>9503</v>
      </c>
      <c r="K773" s="16">
        <v>9031820966</v>
      </c>
    </row>
    <row r="774" spans="1:14" ht="14.25" customHeight="1">
      <c r="B774" s="4">
        <v>44257</v>
      </c>
      <c r="C774" s="5">
        <v>47</v>
      </c>
      <c r="D774" s="6" t="s">
        <v>9504</v>
      </c>
      <c r="E774" s="6" t="s">
        <v>7411</v>
      </c>
      <c r="F774" s="155"/>
      <c r="J774" s="6" t="s">
        <v>9505</v>
      </c>
      <c r="K774" s="16" t="s">
        <v>9506</v>
      </c>
    </row>
    <row r="775" spans="1:14" ht="14.25" customHeight="1">
      <c r="B775" s="4">
        <v>44257</v>
      </c>
      <c r="C775" s="5">
        <v>47</v>
      </c>
      <c r="D775" s="6" t="s">
        <v>9507</v>
      </c>
      <c r="E775" s="6" t="s">
        <v>7411</v>
      </c>
      <c r="F775" s="155"/>
      <c r="J775" s="6" t="s">
        <v>9508</v>
      </c>
      <c r="K775" s="16">
        <v>8797303389</v>
      </c>
    </row>
    <row r="776" spans="1:14" ht="14.25" customHeight="1">
      <c r="B776" s="158">
        <v>44258</v>
      </c>
      <c r="C776" s="65">
        <v>49</v>
      </c>
      <c r="D776" s="47" t="s">
        <v>9509</v>
      </c>
      <c r="E776" s="47" t="s">
        <v>9086</v>
      </c>
      <c r="F776" s="151"/>
      <c r="G776" s="47"/>
      <c r="H776" s="47" t="s">
        <v>9510</v>
      </c>
      <c r="I776" s="47"/>
      <c r="J776" s="47" t="s">
        <v>9511</v>
      </c>
      <c r="K776" s="66" t="s">
        <v>9290</v>
      </c>
    </row>
    <row r="777" spans="1:14" ht="14.25" customHeight="1">
      <c r="B777" s="4">
        <v>44258</v>
      </c>
      <c r="C777" s="5">
        <v>47</v>
      </c>
      <c r="D777" s="6" t="s">
        <v>9512</v>
      </c>
      <c r="E777" s="6" t="s">
        <v>8758</v>
      </c>
      <c r="F777" s="155"/>
      <c r="H777" s="6" t="s">
        <v>9513</v>
      </c>
      <c r="J777" s="6" t="s">
        <v>9514</v>
      </c>
      <c r="K777" s="16">
        <v>8789991643</v>
      </c>
    </row>
    <row r="778" spans="1:14" ht="14.25" customHeight="1">
      <c r="B778" s="4">
        <v>44259</v>
      </c>
      <c r="C778" s="5">
        <v>45</v>
      </c>
      <c r="D778" s="6" t="s">
        <v>9515</v>
      </c>
      <c r="E778" s="6" t="s">
        <v>9516</v>
      </c>
      <c r="F778" s="155"/>
      <c r="H778" s="6" t="s">
        <v>9517</v>
      </c>
      <c r="J778" s="6" t="s">
        <v>9518</v>
      </c>
      <c r="K778" s="16">
        <v>6203096726</v>
      </c>
    </row>
    <row r="779" spans="1:14" ht="14.25" customHeight="1">
      <c r="B779" s="4">
        <v>44259</v>
      </c>
      <c r="C779" s="5">
        <v>45</v>
      </c>
      <c r="D779" s="6" t="s">
        <v>9519</v>
      </c>
      <c r="E779" s="6" t="s">
        <v>9516</v>
      </c>
      <c r="F779" s="155"/>
      <c r="H779" s="6" t="s">
        <v>9520</v>
      </c>
      <c r="J779" s="6" t="s">
        <v>9521</v>
      </c>
      <c r="K779" s="16">
        <v>9279307342</v>
      </c>
    </row>
    <row r="780" spans="1:14" ht="14.25" customHeight="1">
      <c r="B780" s="4">
        <v>44260</v>
      </c>
      <c r="C780" s="5">
        <v>48</v>
      </c>
      <c r="D780" s="6" t="s">
        <v>9522</v>
      </c>
      <c r="E780" s="6" t="s">
        <v>9086</v>
      </c>
      <c r="F780" s="155" t="s">
        <v>9265</v>
      </c>
      <c r="H780" s="6" t="s">
        <v>9523</v>
      </c>
      <c r="J780" s="6" t="s">
        <v>9524</v>
      </c>
      <c r="K780" s="16">
        <v>8580351530</v>
      </c>
    </row>
    <row r="781" spans="1:14" ht="14.25" customHeight="1">
      <c r="B781" s="4">
        <v>44260</v>
      </c>
      <c r="C781" s="5">
        <v>47</v>
      </c>
      <c r="D781" s="6" t="s">
        <v>9525</v>
      </c>
      <c r="E781" s="6" t="s">
        <v>9086</v>
      </c>
      <c r="F781" s="155" t="s">
        <v>9180</v>
      </c>
      <c r="H781" s="6" t="s">
        <v>9526</v>
      </c>
      <c r="J781" s="6" t="s">
        <v>9527</v>
      </c>
      <c r="K781" s="16" t="s">
        <v>8497</v>
      </c>
    </row>
    <row r="782" spans="1:14" ht="14.25" customHeight="1">
      <c r="B782" s="4">
        <v>44260</v>
      </c>
      <c r="C782" s="5">
        <v>47</v>
      </c>
      <c r="D782" s="6" t="s">
        <v>9528</v>
      </c>
      <c r="E782" s="6" t="s">
        <v>9086</v>
      </c>
      <c r="F782" s="155" t="s">
        <v>8610</v>
      </c>
      <c r="H782" s="6" t="s">
        <v>9529</v>
      </c>
      <c r="J782" s="6" t="s">
        <v>9530</v>
      </c>
      <c r="K782" s="16" t="s">
        <v>8497</v>
      </c>
    </row>
    <row r="783" spans="1:14" ht="14.25" customHeight="1">
      <c r="B783" s="4">
        <v>44261</v>
      </c>
      <c r="C783" s="5">
        <v>48</v>
      </c>
      <c r="D783" s="6" t="s">
        <v>9531</v>
      </c>
      <c r="E783" s="6" t="s">
        <v>9086</v>
      </c>
      <c r="F783" s="155" t="s">
        <v>8610</v>
      </c>
      <c r="H783" s="6" t="s">
        <v>9532</v>
      </c>
      <c r="J783" s="6" t="s">
        <v>9533</v>
      </c>
      <c r="K783" s="16">
        <v>7004706106</v>
      </c>
    </row>
    <row r="784" spans="1:14" ht="14.25" customHeight="1">
      <c r="B784" s="4">
        <v>44262</v>
      </c>
      <c r="C784" s="5"/>
      <c r="D784" s="6" t="s">
        <v>9534</v>
      </c>
      <c r="E784" s="6" t="s">
        <v>7411</v>
      </c>
      <c r="F784" s="155"/>
      <c r="J784" s="6" t="s">
        <v>9535</v>
      </c>
      <c r="K784" s="16">
        <v>9234563406</v>
      </c>
    </row>
    <row r="785" spans="2:13" ht="14.25" customHeight="1">
      <c r="B785" s="4">
        <v>44262</v>
      </c>
      <c r="C785" s="5">
        <v>49</v>
      </c>
      <c r="D785" s="6" t="s">
        <v>9536</v>
      </c>
      <c r="E785" s="6" t="s">
        <v>7411</v>
      </c>
      <c r="F785" s="155"/>
      <c r="J785" s="6" t="s">
        <v>9537</v>
      </c>
      <c r="K785" s="16">
        <v>8789960820</v>
      </c>
    </row>
    <row r="786" spans="2:13" ht="14.25" customHeight="1">
      <c r="B786" s="4">
        <v>44264</v>
      </c>
      <c r="C786" s="5">
        <v>47</v>
      </c>
      <c r="D786" s="6" t="s">
        <v>9538</v>
      </c>
      <c r="E786" s="6" t="s">
        <v>9162</v>
      </c>
      <c r="F786" s="155" t="s">
        <v>478</v>
      </c>
      <c r="H786" s="6" t="s">
        <v>9301</v>
      </c>
      <c r="J786" s="6" t="s">
        <v>9431</v>
      </c>
      <c r="K786" s="6">
        <v>8292068667</v>
      </c>
    </row>
    <row r="787" spans="2:13" ht="14.25" customHeight="1">
      <c r="B787" s="4">
        <v>44264</v>
      </c>
      <c r="C787" s="5">
        <v>47</v>
      </c>
      <c r="D787" s="6" t="s">
        <v>9539</v>
      </c>
      <c r="E787" s="6" t="s">
        <v>9162</v>
      </c>
      <c r="F787" s="155" t="s">
        <v>478</v>
      </c>
      <c r="H787" s="6" t="s">
        <v>9299</v>
      </c>
      <c r="J787" s="6" t="s">
        <v>9300</v>
      </c>
      <c r="K787" s="6">
        <v>8292068667</v>
      </c>
    </row>
    <row r="788" spans="2:13" ht="14.25" customHeight="1">
      <c r="B788" s="4">
        <v>44264</v>
      </c>
      <c r="C788" s="5">
        <v>47</v>
      </c>
      <c r="D788" s="6" t="s">
        <v>9540</v>
      </c>
      <c r="E788" s="6" t="s">
        <v>9162</v>
      </c>
      <c r="F788" s="155" t="s">
        <v>8610</v>
      </c>
      <c r="H788" s="6" t="s">
        <v>9541</v>
      </c>
      <c r="J788" s="6" t="s">
        <v>9542</v>
      </c>
      <c r="K788" s="16" t="s">
        <v>9366</v>
      </c>
    </row>
    <row r="789" spans="2:13" ht="14.25" customHeight="1">
      <c r="B789" s="4">
        <v>44266</v>
      </c>
      <c r="C789" s="5">
        <v>47</v>
      </c>
      <c r="D789" s="6" t="s">
        <v>9543</v>
      </c>
      <c r="E789" s="6" t="s">
        <v>7411</v>
      </c>
      <c r="F789" s="155"/>
      <c r="I789" s="6" t="s">
        <v>9544</v>
      </c>
      <c r="J789" s="6" t="s">
        <v>9544</v>
      </c>
      <c r="K789" s="6">
        <v>7209779655</v>
      </c>
    </row>
    <row r="790" spans="2:13" ht="14.25" customHeight="1">
      <c r="B790" s="4">
        <v>44266</v>
      </c>
      <c r="C790" s="5">
        <v>48</v>
      </c>
      <c r="E790" s="6" t="s">
        <v>8581</v>
      </c>
      <c r="F790" s="155"/>
      <c r="H790" s="6" t="s">
        <v>9545</v>
      </c>
      <c r="J790" s="6" t="s">
        <v>9546</v>
      </c>
      <c r="K790" s="16">
        <v>9031900219</v>
      </c>
    </row>
    <row r="791" spans="2:13" ht="14.25" customHeight="1">
      <c r="B791" s="4">
        <v>44267</v>
      </c>
      <c r="C791" s="5">
        <v>48</v>
      </c>
      <c r="D791" s="6" t="s">
        <v>9547</v>
      </c>
      <c r="E791" s="6" t="s">
        <v>9086</v>
      </c>
      <c r="F791" s="155" t="s">
        <v>8610</v>
      </c>
      <c r="H791" s="6" t="s">
        <v>9548</v>
      </c>
      <c r="J791" s="6" t="s">
        <v>9549</v>
      </c>
      <c r="K791" s="16">
        <v>8051029025</v>
      </c>
    </row>
    <row r="792" spans="2:13" ht="14.25" customHeight="1">
      <c r="B792" s="4">
        <v>44268</v>
      </c>
      <c r="C792" s="5">
        <v>47</v>
      </c>
      <c r="D792" s="6" t="s">
        <v>9550</v>
      </c>
      <c r="E792" s="6" t="s">
        <v>8581</v>
      </c>
      <c r="F792" s="155" t="s">
        <v>9551</v>
      </c>
      <c r="H792" s="6" t="s">
        <v>9552</v>
      </c>
      <c r="J792" s="6" t="s">
        <v>9553</v>
      </c>
      <c r="K792" s="16">
        <v>8797949264</v>
      </c>
    </row>
    <row r="793" spans="2:13" ht="14.25" customHeight="1">
      <c r="B793" s="4">
        <v>44268</v>
      </c>
      <c r="C793" s="5">
        <v>48</v>
      </c>
      <c r="D793" s="6" t="s">
        <v>9554</v>
      </c>
      <c r="E793" s="6" t="s">
        <v>8581</v>
      </c>
      <c r="F793" s="155"/>
      <c r="H793" s="6" t="s">
        <v>9545</v>
      </c>
      <c r="J793" s="6" t="s">
        <v>9555</v>
      </c>
      <c r="K793" s="16">
        <v>9031900219</v>
      </c>
    </row>
    <row r="794" spans="2:13" ht="14.25" customHeight="1">
      <c r="C794" s="5"/>
      <c r="D794" s="6" t="s">
        <v>9556</v>
      </c>
      <c r="E794" s="6" t="s">
        <v>8294</v>
      </c>
      <c r="F794" s="155"/>
      <c r="H794" s="6" t="s">
        <v>9557</v>
      </c>
      <c r="J794" s="6" t="s">
        <v>9558</v>
      </c>
      <c r="K794" s="16">
        <v>9234658862</v>
      </c>
    </row>
    <row r="795" spans="2:13" ht="14.25" customHeight="1">
      <c r="C795" s="5"/>
      <c r="D795" s="6" t="s">
        <v>9559</v>
      </c>
      <c r="E795" s="6" t="s">
        <v>8294</v>
      </c>
      <c r="F795" s="155"/>
      <c r="H795" s="6" t="s">
        <v>9560</v>
      </c>
      <c r="J795" s="6" t="s">
        <v>9561</v>
      </c>
      <c r="K795" s="16">
        <v>9234658862</v>
      </c>
    </row>
    <row r="796" spans="2:13" ht="14.25" customHeight="1">
      <c r="B796" s="4">
        <v>44270</v>
      </c>
      <c r="C796" s="5">
        <v>49</v>
      </c>
      <c r="D796" s="6" t="s">
        <v>9562</v>
      </c>
      <c r="E796" s="6" t="s">
        <v>7314</v>
      </c>
      <c r="F796" s="155"/>
      <c r="J796" s="6" t="s">
        <v>9563</v>
      </c>
      <c r="K796" s="16">
        <v>8249110218</v>
      </c>
    </row>
    <row r="797" spans="2:13" ht="14.25" customHeight="1">
      <c r="B797" s="4">
        <v>44270</v>
      </c>
      <c r="C797" s="5">
        <v>49</v>
      </c>
      <c r="D797" s="6" t="s">
        <v>9564</v>
      </c>
      <c r="E797" s="6" t="s">
        <v>7314</v>
      </c>
      <c r="F797" s="155"/>
      <c r="J797" s="6" t="s">
        <v>9565</v>
      </c>
      <c r="K797" s="16">
        <v>8249110218</v>
      </c>
    </row>
    <row r="798" spans="2:13" ht="14.25" customHeight="1">
      <c r="B798" s="4">
        <v>44272</v>
      </c>
      <c r="C798" s="5">
        <v>47</v>
      </c>
      <c r="D798" s="6" t="s">
        <v>9566</v>
      </c>
      <c r="E798" s="6" t="s">
        <v>9162</v>
      </c>
      <c r="F798" s="155" t="s">
        <v>478</v>
      </c>
      <c r="H798" s="6" t="s">
        <v>9567</v>
      </c>
      <c r="J798" s="6" t="s">
        <v>9568</v>
      </c>
      <c r="K798" s="16" t="s">
        <v>8497</v>
      </c>
    </row>
    <row r="799" spans="2:13" ht="14.25" customHeight="1">
      <c r="B799" s="4">
        <v>44272</v>
      </c>
      <c r="C799" s="5">
        <v>47</v>
      </c>
      <c r="D799" s="6" t="s">
        <v>9569</v>
      </c>
      <c r="E799" s="6" t="s">
        <v>9162</v>
      </c>
      <c r="F799" s="155" t="s">
        <v>478</v>
      </c>
      <c r="H799" s="6" t="s">
        <v>9570</v>
      </c>
      <c r="J799" s="6" t="s">
        <v>9571</v>
      </c>
      <c r="K799" s="16" t="s">
        <v>8497</v>
      </c>
    </row>
    <row r="800" spans="2:13" ht="14.25" customHeight="1">
      <c r="B800" s="4">
        <v>44272</v>
      </c>
      <c r="C800" s="5">
        <v>48</v>
      </c>
      <c r="D800" s="6" t="s">
        <v>9572</v>
      </c>
      <c r="E800" s="6" t="s">
        <v>9162</v>
      </c>
      <c r="F800" s="155" t="s">
        <v>478</v>
      </c>
      <c r="H800" s="6" t="s">
        <v>9573</v>
      </c>
      <c r="J800" s="6" t="s">
        <v>9574</v>
      </c>
      <c r="K800" s="16" t="s">
        <v>1434</v>
      </c>
      <c r="M800" s="6">
        <v>9472784570</v>
      </c>
    </row>
    <row r="801" spans="1:18" ht="14.25" customHeight="1">
      <c r="B801" s="4">
        <v>44272</v>
      </c>
      <c r="C801" s="5">
        <v>47</v>
      </c>
      <c r="D801" s="6" t="s">
        <v>9575</v>
      </c>
      <c r="E801" s="6" t="s">
        <v>9162</v>
      </c>
      <c r="F801" s="155" t="s">
        <v>478</v>
      </c>
      <c r="H801" s="6" t="s">
        <v>9068</v>
      </c>
      <c r="J801" s="6" t="s">
        <v>9069</v>
      </c>
      <c r="K801" s="16" t="s">
        <v>1434</v>
      </c>
    </row>
    <row r="802" spans="1:18" ht="14.25" customHeight="1">
      <c r="B802" s="4">
        <v>44272</v>
      </c>
      <c r="C802" s="5">
        <v>48</v>
      </c>
      <c r="D802" s="6" t="s">
        <v>9576</v>
      </c>
      <c r="E802" s="6" t="s">
        <v>9162</v>
      </c>
      <c r="F802" s="155" t="s">
        <v>478</v>
      </c>
      <c r="H802" s="6" t="s">
        <v>9577</v>
      </c>
      <c r="J802" s="6" t="s">
        <v>9578</v>
      </c>
      <c r="K802" s="16" t="s">
        <v>1434</v>
      </c>
      <c r="M802" s="6">
        <v>9835339861</v>
      </c>
    </row>
    <row r="803" spans="1:18" ht="14.25" customHeight="1">
      <c r="B803" s="4"/>
      <c r="C803" s="5">
        <v>48</v>
      </c>
      <c r="E803" s="6" t="s">
        <v>9162</v>
      </c>
      <c r="F803" s="155" t="s">
        <v>478</v>
      </c>
      <c r="H803" s="6" t="s">
        <v>9579</v>
      </c>
      <c r="J803" s="6" t="s">
        <v>9580</v>
      </c>
      <c r="K803" s="16">
        <v>7209653045</v>
      </c>
    </row>
    <row r="804" spans="1:18" ht="14.25" customHeight="1">
      <c r="B804" s="4">
        <v>44272</v>
      </c>
      <c r="C804" s="5">
        <v>47</v>
      </c>
      <c r="D804" s="6" t="s">
        <v>9581</v>
      </c>
      <c r="E804" s="6" t="s">
        <v>7314</v>
      </c>
      <c r="F804" s="155" t="s">
        <v>7986</v>
      </c>
      <c r="G804" s="6" t="s">
        <v>9582</v>
      </c>
      <c r="J804" s="6" t="s">
        <v>1213</v>
      </c>
      <c r="K804" s="16">
        <v>9031723901</v>
      </c>
    </row>
    <row r="805" spans="1:18" ht="14.25" customHeight="1">
      <c r="B805" s="4">
        <v>44272</v>
      </c>
      <c r="C805" s="5">
        <v>48</v>
      </c>
      <c r="E805" s="6" t="s">
        <v>9162</v>
      </c>
      <c r="F805" s="155"/>
      <c r="K805" s="16"/>
    </row>
    <row r="806" spans="1:18" ht="14.25" customHeight="1">
      <c r="B806" s="4">
        <v>44272</v>
      </c>
      <c r="C806" s="5">
        <v>48</v>
      </c>
      <c r="D806" s="6" t="s">
        <v>9583</v>
      </c>
      <c r="E806" s="6" t="s">
        <v>9162</v>
      </c>
      <c r="F806" s="155" t="s">
        <v>478</v>
      </c>
      <c r="H806" s="6" t="s">
        <v>9584</v>
      </c>
      <c r="J806" s="6" t="s">
        <v>9585</v>
      </c>
      <c r="K806" s="16">
        <v>8603223960</v>
      </c>
    </row>
    <row r="807" spans="1:18" ht="14.25" customHeight="1">
      <c r="B807" s="4">
        <v>44272</v>
      </c>
      <c r="C807" s="5">
        <v>47</v>
      </c>
      <c r="E807" s="6" t="s">
        <v>9162</v>
      </c>
      <c r="F807" s="155"/>
      <c r="H807" s="6" t="s">
        <v>9586</v>
      </c>
      <c r="K807" s="16">
        <v>6205505607</v>
      </c>
    </row>
    <row r="808" spans="1:18" ht="14.25" customHeight="1">
      <c r="C808" s="5"/>
      <c r="D808" s="6" t="s">
        <v>9587</v>
      </c>
      <c r="E808" s="6" t="s">
        <v>8581</v>
      </c>
      <c r="F808" s="155" t="s">
        <v>7353</v>
      </c>
      <c r="H808" s="6" t="s">
        <v>9588</v>
      </c>
      <c r="J808" s="6" t="s">
        <v>9589</v>
      </c>
      <c r="K808" s="16">
        <v>7766863998</v>
      </c>
    </row>
    <row r="809" spans="1:18" ht="14.25" customHeight="1">
      <c r="B809" s="4">
        <v>44272</v>
      </c>
      <c r="C809" s="5">
        <v>48</v>
      </c>
      <c r="D809" s="6" t="s">
        <v>9590</v>
      </c>
      <c r="E809" s="6" t="s">
        <v>9054</v>
      </c>
      <c r="F809" s="155" t="s">
        <v>478</v>
      </c>
      <c r="H809" s="163" t="s">
        <v>7754</v>
      </c>
      <c r="I809" s="6" t="s">
        <v>7755</v>
      </c>
      <c r="J809" s="6" t="s">
        <v>7756</v>
      </c>
      <c r="K809" s="16">
        <v>9835701766</v>
      </c>
    </row>
    <row r="810" spans="1:18" ht="14.25" customHeight="1">
      <c r="B810" s="4">
        <v>44274</v>
      </c>
      <c r="C810" s="5">
        <v>48</v>
      </c>
      <c r="D810" s="6" t="s">
        <v>9591</v>
      </c>
      <c r="E810" s="6" t="s">
        <v>7314</v>
      </c>
      <c r="F810" s="155" t="s">
        <v>7986</v>
      </c>
      <c r="G810" s="6" t="s">
        <v>9582</v>
      </c>
      <c r="J810" s="6" t="s">
        <v>5602</v>
      </c>
      <c r="K810" s="16">
        <v>6204337110</v>
      </c>
    </row>
    <row r="811" spans="1:18" ht="14.25" customHeight="1">
      <c r="B811" s="4">
        <v>44274</v>
      </c>
      <c r="C811" s="5">
        <v>48</v>
      </c>
      <c r="D811" s="6" t="s">
        <v>9592</v>
      </c>
      <c r="E811" s="6" t="s">
        <v>7314</v>
      </c>
      <c r="F811" s="155" t="s">
        <v>7353</v>
      </c>
      <c r="H811" s="227" t="s">
        <v>9593</v>
      </c>
      <c r="J811" s="6" t="s">
        <v>9594</v>
      </c>
      <c r="K811" s="16">
        <v>6204337110</v>
      </c>
      <c r="O811" s="6">
        <v>500</v>
      </c>
      <c r="P811" s="6">
        <v>1600</v>
      </c>
      <c r="Q811" s="6">
        <v>2</v>
      </c>
    </row>
    <row r="812" spans="1:18" ht="14.25" customHeight="1">
      <c r="C812" s="5"/>
      <c r="E812" s="6" t="s">
        <v>9595</v>
      </c>
      <c r="F812" s="155" t="s">
        <v>9596</v>
      </c>
      <c r="J812" s="6" t="s">
        <v>9597</v>
      </c>
      <c r="K812" s="16">
        <v>8797939912</v>
      </c>
      <c r="O812" s="6">
        <v>1</v>
      </c>
      <c r="P812" s="6">
        <v>3300</v>
      </c>
      <c r="Q812" s="6">
        <v>3</v>
      </c>
      <c r="R812" s="6" t="s">
        <v>9598</v>
      </c>
    </row>
    <row r="813" spans="1:18" ht="14.25" customHeight="1">
      <c r="A813" s="6" t="s">
        <v>9599</v>
      </c>
      <c r="B813" s="4">
        <v>44274</v>
      </c>
      <c r="C813" s="5">
        <v>47</v>
      </c>
      <c r="D813" s="6" t="s">
        <v>9600</v>
      </c>
      <c r="E813" s="6" t="s">
        <v>9054</v>
      </c>
      <c r="F813" s="155" t="s">
        <v>8610</v>
      </c>
      <c r="H813" s="6" t="s">
        <v>8644</v>
      </c>
      <c r="J813" s="6" t="s">
        <v>8061</v>
      </c>
      <c r="K813" s="16"/>
      <c r="O813" s="6">
        <v>1</v>
      </c>
      <c r="P813" s="6">
        <v>2655</v>
      </c>
      <c r="Q813" s="6">
        <v>2</v>
      </c>
    </row>
    <row r="814" spans="1:18" ht="14.25" customHeight="1">
      <c r="A814" s="6" t="s">
        <v>9599</v>
      </c>
      <c r="B814" s="4">
        <v>44274</v>
      </c>
      <c r="C814" s="5">
        <v>47</v>
      </c>
      <c r="D814" s="6" t="s">
        <v>9601</v>
      </c>
      <c r="E814" s="6" t="s">
        <v>9054</v>
      </c>
      <c r="F814" s="155" t="s">
        <v>8610</v>
      </c>
      <c r="H814" s="6" t="s">
        <v>9602</v>
      </c>
      <c r="J814" s="6" t="s">
        <v>8059</v>
      </c>
      <c r="K814" s="16"/>
    </row>
    <row r="815" spans="1:18" ht="14.25" customHeight="1">
      <c r="B815" s="4">
        <v>44274</v>
      </c>
      <c r="C815" s="5">
        <v>48</v>
      </c>
      <c r="D815" s="6" t="s">
        <v>9603</v>
      </c>
      <c r="E815" s="6" t="s">
        <v>9054</v>
      </c>
      <c r="F815" s="155" t="s">
        <v>9596</v>
      </c>
      <c r="H815" s="6" t="s">
        <v>9579</v>
      </c>
      <c r="J815" s="6" t="s">
        <v>9580</v>
      </c>
      <c r="K815" s="16">
        <v>7209653045</v>
      </c>
    </row>
    <row r="816" spans="1:18" ht="14.25" customHeight="1">
      <c r="C816" s="5">
        <v>48</v>
      </c>
      <c r="D816" s="6" t="s">
        <v>9604</v>
      </c>
      <c r="E816" s="6" t="s">
        <v>9054</v>
      </c>
      <c r="F816" s="155" t="s">
        <v>478</v>
      </c>
      <c r="H816" s="6" t="s">
        <v>9605</v>
      </c>
      <c r="J816" s="6" t="s">
        <v>9606</v>
      </c>
      <c r="K816" s="16">
        <v>9110199188</v>
      </c>
      <c r="M816" s="6">
        <v>8825102041</v>
      </c>
    </row>
    <row r="817" spans="2:14" ht="14.25" customHeight="1">
      <c r="B817" s="4">
        <v>44278</v>
      </c>
      <c r="C817" s="5">
        <v>49</v>
      </c>
      <c r="D817" s="6" t="s">
        <v>9607</v>
      </c>
      <c r="E817" s="6" t="s">
        <v>9054</v>
      </c>
      <c r="F817" s="155" t="s">
        <v>478</v>
      </c>
      <c r="H817" s="6" t="s">
        <v>9608</v>
      </c>
      <c r="J817" s="6" t="s">
        <v>9609</v>
      </c>
      <c r="K817" s="16" t="s">
        <v>9332</v>
      </c>
    </row>
    <row r="818" spans="2:14" ht="14.25" customHeight="1">
      <c r="B818" s="4">
        <v>44278</v>
      </c>
      <c r="C818" s="5"/>
      <c r="D818" s="6" t="s">
        <v>9610</v>
      </c>
      <c r="E818" s="6" t="s">
        <v>7411</v>
      </c>
      <c r="F818" s="155"/>
      <c r="J818" s="6" t="s">
        <v>9611</v>
      </c>
      <c r="K818" s="16"/>
    </row>
    <row r="819" spans="2:14" ht="14.25" customHeight="1">
      <c r="B819" s="4">
        <v>44278</v>
      </c>
      <c r="C819" s="5">
        <v>47</v>
      </c>
      <c r="D819" s="6" t="s">
        <v>9612</v>
      </c>
      <c r="E819" s="6" t="s">
        <v>9086</v>
      </c>
      <c r="F819" s="155" t="s">
        <v>8610</v>
      </c>
      <c r="G819" s="4">
        <v>36772</v>
      </c>
      <c r="H819" s="6" t="s">
        <v>9613</v>
      </c>
      <c r="J819" s="6" t="s">
        <v>9614</v>
      </c>
      <c r="K819" s="16">
        <v>9142337473</v>
      </c>
    </row>
    <row r="820" spans="2:14" ht="14.25" customHeight="1">
      <c r="B820" s="4">
        <v>44278</v>
      </c>
      <c r="C820" s="5">
        <v>47</v>
      </c>
      <c r="D820" s="6" t="s">
        <v>9615</v>
      </c>
      <c r="E820" s="6" t="s">
        <v>9086</v>
      </c>
      <c r="F820" s="155" t="s">
        <v>478</v>
      </c>
      <c r="G820" s="4">
        <v>34994</v>
      </c>
      <c r="H820" s="6" t="s">
        <v>9616</v>
      </c>
      <c r="J820" s="6" t="s">
        <v>9617</v>
      </c>
      <c r="K820" s="16">
        <v>9430148352</v>
      </c>
    </row>
    <row r="821" spans="2:14" ht="14.25" customHeight="1">
      <c r="B821" s="4">
        <v>44278</v>
      </c>
      <c r="C821" s="5">
        <v>47</v>
      </c>
      <c r="D821" s="6" t="s">
        <v>9618</v>
      </c>
      <c r="E821" s="6" t="s">
        <v>9086</v>
      </c>
      <c r="F821" s="155" t="s">
        <v>478</v>
      </c>
      <c r="G821" s="4">
        <v>24786</v>
      </c>
      <c r="H821" s="6" t="s">
        <v>9619</v>
      </c>
      <c r="J821" s="6" t="s">
        <v>9620</v>
      </c>
      <c r="K821" s="16">
        <v>9430148352</v>
      </c>
    </row>
    <row r="822" spans="2:14" ht="14.25" customHeight="1">
      <c r="B822" s="4">
        <v>44278</v>
      </c>
      <c r="C822" s="5">
        <v>47</v>
      </c>
      <c r="D822" s="6" t="s">
        <v>9621</v>
      </c>
      <c r="E822" s="6" t="s">
        <v>9086</v>
      </c>
      <c r="F822" s="155" t="s">
        <v>478</v>
      </c>
      <c r="H822" s="243" t="s">
        <v>9622</v>
      </c>
      <c r="J822" s="243" t="s">
        <v>9623</v>
      </c>
      <c r="K822" s="16" t="s">
        <v>9366</v>
      </c>
    </row>
    <row r="823" spans="2:14" ht="14.25" customHeight="1">
      <c r="B823" s="4">
        <v>44278</v>
      </c>
      <c r="C823" s="5">
        <v>47</v>
      </c>
      <c r="D823" s="6" t="s">
        <v>9624</v>
      </c>
      <c r="E823" s="6" t="s">
        <v>9086</v>
      </c>
      <c r="F823" s="155" t="s">
        <v>478</v>
      </c>
      <c r="H823" s="243" t="s">
        <v>9625</v>
      </c>
      <c r="J823" s="243" t="s">
        <v>9626</v>
      </c>
      <c r="K823" s="16" t="s">
        <v>9366</v>
      </c>
    </row>
    <row r="824" spans="2:14" ht="14.25" customHeight="1">
      <c r="B824" s="4">
        <v>44279</v>
      </c>
      <c r="C824" s="5">
        <v>48</v>
      </c>
      <c r="D824" s="6" t="s">
        <v>9627</v>
      </c>
      <c r="E824" s="6" t="s">
        <v>9086</v>
      </c>
      <c r="F824" s="155" t="s">
        <v>478</v>
      </c>
      <c r="H824" s="6" t="s">
        <v>9628</v>
      </c>
      <c r="J824" s="243" t="s">
        <v>9629</v>
      </c>
      <c r="K824" s="16" t="s">
        <v>1434</v>
      </c>
    </row>
    <row r="825" spans="2:14" ht="14.25" customHeight="1">
      <c r="B825" s="4">
        <v>44279</v>
      </c>
      <c r="C825" s="5">
        <v>48</v>
      </c>
      <c r="D825" s="6" t="s">
        <v>9630</v>
      </c>
      <c r="E825" s="6" t="s">
        <v>9086</v>
      </c>
      <c r="F825" s="155" t="s">
        <v>478</v>
      </c>
      <c r="H825" s="6" t="s">
        <v>9631</v>
      </c>
      <c r="J825" s="243" t="s">
        <v>9632</v>
      </c>
      <c r="K825" s="16" t="s">
        <v>1434</v>
      </c>
    </row>
    <row r="826" spans="2:14" ht="14.25" customHeight="1">
      <c r="B826" s="4">
        <v>44279</v>
      </c>
      <c r="C826" s="5">
        <v>48</v>
      </c>
      <c r="D826" s="6" t="s">
        <v>9633</v>
      </c>
      <c r="E826" s="6" t="s">
        <v>9086</v>
      </c>
      <c r="F826" s="155" t="s">
        <v>478</v>
      </c>
      <c r="H826" s="6" t="s">
        <v>9634</v>
      </c>
      <c r="J826" s="243" t="s">
        <v>9635</v>
      </c>
      <c r="K826" s="16" t="s">
        <v>1434</v>
      </c>
    </row>
    <row r="827" spans="2:14" ht="14.25" customHeight="1">
      <c r="B827" s="4">
        <v>44295</v>
      </c>
      <c r="C827" s="5">
        <v>48</v>
      </c>
      <c r="D827" s="6" t="s">
        <v>9636</v>
      </c>
      <c r="E827" s="6" t="s">
        <v>7423</v>
      </c>
      <c r="F827" s="155"/>
      <c r="J827" s="243" t="s">
        <v>7009</v>
      </c>
      <c r="K827" s="16">
        <v>8340157050</v>
      </c>
      <c r="M827" s="6">
        <v>8340157050</v>
      </c>
      <c r="N827" s="137" t="s">
        <v>9229</v>
      </c>
    </row>
    <row r="828" spans="2:14" ht="14.25" customHeight="1">
      <c r="B828" s="4">
        <v>44280</v>
      </c>
      <c r="C828" s="5">
        <v>48</v>
      </c>
      <c r="D828" s="6" t="s">
        <v>9637</v>
      </c>
      <c r="E828" s="6" t="s">
        <v>9453</v>
      </c>
      <c r="F828" s="155" t="s">
        <v>7353</v>
      </c>
      <c r="H828" s="6" t="s">
        <v>9638</v>
      </c>
      <c r="J828" s="243" t="s">
        <v>9639</v>
      </c>
      <c r="K828" s="16">
        <v>9931343614</v>
      </c>
    </row>
    <row r="829" spans="2:14" ht="14.25" customHeight="1">
      <c r="B829" s="4">
        <v>44282</v>
      </c>
      <c r="C829" s="5">
        <v>47</v>
      </c>
      <c r="D829" s="6" t="s">
        <v>9640</v>
      </c>
      <c r="E829" s="6" t="s">
        <v>9086</v>
      </c>
      <c r="F829" s="155" t="s">
        <v>478</v>
      </c>
      <c r="H829" s="6" t="s">
        <v>9641</v>
      </c>
      <c r="J829" s="243" t="s">
        <v>9642</v>
      </c>
      <c r="K829" s="16">
        <v>8092662187</v>
      </c>
      <c r="M829" s="6">
        <v>7903266620</v>
      </c>
    </row>
    <row r="830" spans="2:14" ht="14.25" customHeight="1">
      <c r="B830" s="4">
        <v>44282</v>
      </c>
      <c r="C830" s="5">
        <v>49</v>
      </c>
      <c r="D830" s="6" t="s">
        <v>9643</v>
      </c>
      <c r="E830" s="6" t="s">
        <v>9086</v>
      </c>
      <c r="F830" s="155" t="s">
        <v>478</v>
      </c>
      <c r="H830" s="6" t="s">
        <v>9437</v>
      </c>
      <c r="J830" s="6" t="s">
        <v>9644</v>
      </c>
      <c r="K830" s="16" t="s">
        <v>9290</v>
      </c>
    </row>
    <row r="831" spans="2:14" ht="14.25" customHeight="1">
      <c r="B831" s="4">
        <v>44282</v>
      </c>
      <c r="C831" s="5">
        <v>48</v>
      </c>
      <c r="D831" s="6" t="s">
        <v>9645</v>
      </c>
      <c r="E831" s="6" t="s">
        <v>9086</v>
      </c>
      <c r="F831" s="155" t="s">
        <v>478</v>
      </c>
      <c r="H831" s="6" t="s">
        <v>9646</v>
      </c>
      <c r="J831" s="6" t="s">
        <v>9647</v>
      </c>
      <c r="K831" s="16" t="s">
        <v>9290</v>
      </c>
    </row>
    <row r="832" spans="2:14" ht="14.25" customHeight="1">
      <c r="B832" s="4">
        <v>44282</v>
      </c>
      <c r="C832" s="5">
        <v>47</v>
      </c>
      <c r="D832" s="6" t="s">
        <v>9648</v>
      </c>
      <c r="E832" s="6" t="s">
        <v>9086</v>
      </c>
      <c r="F832" s="155" t="s">
        <v>478</v>
      </c>
      <c r="H832" s="6" t="s">
        <v>8993</v>
      </c>
      <c r="J832" s="243" t="s">
        <v>8994</v>
      </c>
      <c r="K832" s="16" t="s">
        <v>8497</v>
      </c>
    </row>
    <row r="833" spans="1:11" ht="14.25" customHeight="1">
      <c r="B833" s="4">
        <v>44283</v>
      </c>
      <c r="C833" s="5">
        <v>51</v>
      </c>
      <c r="D833" s="6" t="s">
        <v>9649</v>
      </c>
      <c r="E833" s="6" t="s">
        <v>9086</v>
      </c>
      <c r="F833" s="155" t="s">
        <v>478</v>
      </c>
      <c r="H833" s="6" t="s">
        <v>9650</v>
      </c>
      <c r="J833" s="243" t="s">
        <v>9651</v>
      </c>
      <c r="K833" s="16" t="s">
        <v>9366</v>
      </c>
    </row>
    <row r="834" spans="1:11" ht="14.25" customHeight="1">
      <c r="B834" s="4">
        <v>44283</v>
      </c>
      <c r="C834" s="5">
        <v>47</v>
      </c>
      <c r="D834" s="6" t="s">
        <v>9652</v>
      </c>
      <c r="E834" s="6" t="s">
        <v>9086</v>
      </c>
      <c r="F834" s="155" t="s">
        <v>478</v>
      </c>
      <c r="H834" s="6" t="s">
        <v>9653</v>
      </c>
      <c r="J834" s="243" t="s">
        <v>9654</v>
      </c>
      <c r="K834" s="16" t="s">
        <v>9366</v>
      </c>
    </row>
    <row r="835" spans="1:11" ht="14.25" customHeight="1">
      <c r="A835" s="47" t="s">
        <v>9655</v>
      </c>
      <c r="B835" s="158">
        <v>44283</v>
      </c>
      <c r="C835" s="65">
        <v>47</v>
      </c>
      <c r="D835" s="47" t="s">
        <v>9656</v>
      </c>
      <c r="E835" s="47" t="s">
        <v>9086</v>
      </c>
      <c r="F835" s="151" t="s">
        <v>8610</v>
      </c>
      <c r="G835" s="158">
        <v>34186</v>
      </c>
      <c r="H835" s="271" t="s">
        <v>9657</v>
      </c>
      <c r="I835" s="47"/>
      <c r="J835" s="271" t="s">
        <v>1316</v>
      </c>
      <c r="K835" s="66">
        <v>8102657556</v>
      </c>
    </row>
    <row r="836" spans="1:11" ht="14.25" customHeight="1">
      <c r="B836" s="4">
        <v>44285</v>
      </c>
      <c r="C836" s="5">
        <v>48</v>
      </c>
      <c r="D836" s="6" t="s">
        <v>9658</v>
      </c>
      <c r="E836" s="6" t="s">
        <v>7423</v>
      </c>
      <c r="F836" s="155" t="s">
        <v>9659</v>
      </c>
      <c r="J836" s="243" t="s">
        <v>9546</v>
      </c>
      <c r="K836" s="16">
        <v>9031900219</v>
      </c>
    </row>
    <row r="837" spans="1:11" ht="14.25" customHeight="1">
      <c r="B837" s="4">
        <v>44286</v>
      </c>
      <c r="C837" s="5">
        <v>49</v>
      </c>
      <c r="D837" s="6" t="s">
        <v>9660</v>
      </c>
      <c r="E837" s="6" t="s">
        <v>9086</v>
      </c>
      <c r="F837" s="155" t="s">
        <v>478</v>
      </c>
      <c r="H837" s="6" t="s">
        <v>9661</v>
      </c>
      <c r="J837" s="243" t="s">
        <v>3690</v>
      </c>
      <c r="K837" s="16" t="s">
        <v>9290</v>
      </c>
    </row>
    <row r="838" spans="1:11" ht="14.25" customHeight="1">
      <c r="B838" s="4">
        <v>44286</v>
      </c>
      <c r="C838" s="5">
        <v>49</v>
      </c>
      <c r="D838" s="6" t="s">
        <v>9662</v>
      </c>
      <c r="E838" s="6" t="s">
        <v>9086</v>
      </c>
      <c r="F838" s="155" t="s">
        <v>478</v>
      </c>
      <c r="H838" s="6" t="s">
        <v>9663</v>
      </c>
      <c r="J838" s="243" t="s">
        <v>9664</v>
      </c>
      <c r="K838" s="16" t="s">
        <v>9290</v>
      </c>
    </row>
    <row r="839" spans="1:11" ht="14.25" customHeight="1">
      <c r="B839" s="4">
        <v>44286</v>
      </c>
      <c r="C839" s="5">
        <v>49</v>
      </c>
      <c r="D839" s="6" t="s">
        <v>9665</v>
      </c>
      <c r="E839" s="6" t="s">
        <v>9086</v>
      </c>
      <c r="F839" s="155" t="s">
        <v>478</v>
      </c>
      <c r="H839" s="6" t="s">
        <v>9666</v>
      </c>
      <c r="J839" s="243" t="s">
        <v>9667</v>
      </c>
      <c r="K839" s="16" t="s">
        <v>9290</v>
      </c>
    </row>
    <row r="840" spans="1:11" ht="14.25" customHeight="1">
      <c r="B840" s="4">
        <v>44286</v>
      </c>
      <c r="C840" s="5">
        <v>49</v>
      </c>
      <c r="D840" s="6" t="s">
        <v>9668</v>
      </c>
      <c r="E840" s="6" t="s">
        <v>9086</v>
      </c>
      <c r="F840" s="155" t="s">
        <v>478</v>
      </c>
      <c r="H840" s="6" t="s">
        <v>9510</v>
      </c>
      <c r="J840" s="243" t="s">
        <v>9511</v>
      </c>
      <c r="K840" s="16" t="s">
        <v>9290</v>
      </c>
    </row>
    <row r="841" spans="1:11" ht="14.25" customHeight="1">
      <c r="B841" s="4">
        <v>44286</v>
      </c>
      <c r="C841" s="5">
        <v>49</v>
      </c>
      <c r="D841" s="6" t="s">
        <v>9669</v>
      </c>
      <c r="E841" s="6" t="s">
        <v>9086</v>
      </c>
      <c r="F841" s="155" t="s">
        <v>478</v>
      </c>
      <c r="H841" s="6" t="s">
        <v>9460</v>
      </c>
      <c r="J841" s="6" t="s">
        <v>9461</v>
      </c>
      <c r="K841" s="16" t="s">
        <v>9290</v>
      </c>
    </row>
    <row r="842" spans="1:11" ht="14.25" customHeight="1">
      <c r="B842" s="4">
        <v>44286</v>
      </c>
      <c r="C842" s="5">
        <v>49</v>
      </c>
      <c r="D842" s="6" t="s">
        <v>9670</v>
      </c>
      <c r="E842" s="6" t="s">
        <v>9086</v>
      </c>
      <c r="F842" s="155" t="s">
        <v>478</v>
      </c>
      <c r="H842" s="6" t="s">
        <v>9437</v>
      </c>
      <c r="J842" s="243" t="s">
        <v>9671</v>
      </c>
      <c r="K842" s="16" t="s">
        <v>9290</v>
      </c>
    </row>
    <row r="843" spans="1:11" ht="14.25" customHeight="1">
      <c r="B843" s="4">
        <v>44287</v>
      </c>
      <c r="C843" s="5">
        <v>47</v>
      </c>
      <c r="D843" s="6" t="s">
        <v>9672</v>
      </c>
      <c r="E843" s="6" t="s">
        <v>9086</v>
      </c>
      <c r="F843" s="155" t="s">
        <v>478</v>
      </c>
      <c r="H843" s="6" t="s">
        <v>9673</v>
      </c>
      <c r="J843" s="243" t="s">
        <v>6253</v>
      </c>
      <c r="K843" s="16">
        <v>6207494859</v>
      </c>
    </row>
    <row r="844" spans="1:11" ht="14.25" customHeight="1">
      <c r="C844" s="5">
        <v>47</v>
      </c>
      <c r="D844" s="6" t="s">
        <v>9674</v>
      </c>
      <c r="E844" s="6" t="s">
        <v>7411</v>
      </c>
      <c r="F844" s="155" t="s">
        <v>9659</v>
      </c>
      <c r="J844" s="243" t="s">
        <v>9675</v>
      </c>
      <c r="K844" s="16">
        <v>9771420180</v>
      </c>
    </row>
    <row r="845" spans="1:11" ht="14.25" customHeight="1">
      <c r="B845" s="4">
        <v>44287</v>
      </c>
      <c r="C845" s="5">
        <v>47</v>
      </c>
      <c r="D845" s="6" t="s">
        <v>9676</v>
      </c>
      <c r="E845" s="6" t="s">
        <v>9162</v>
      </c>
      <c r="F845" s="155" t="s">
        <v>8610</v>
      </c>
      <c r="H845" s="6" t="s">
        <v>9677</v>
      </c>
      <c r="J845" s="243" t="s">
        <v>9678</v>
      </c>
      <c r="K845" s="16">
        <v>9430148352</v>
      </c>
    </row>
    <row r="846" spans="1:11" ht="14.25" customHeight="1">
      <c r="C846" s="5"/>
      <c r="D846" s="6" t="s">
        <v>9679</v>
      </c>
      <c r="E846" s="6" t="s">
        <v>245</v>
      </c>
      <c r="F846" s="155" t="s">
        <v>8610</v>
      </c>
      <c r="H846" s="6" t="s">
        <v>9680</v>
      </c>
      <c r="J846" s="243" t="s">
        <v>9681</v>
      </c>
      <c r="K846" s="16">
        <v>8709852547</v>
      </c>
    </row>
    <row r="847" spans="1:11" ht="14.25" customHeight="1">
      <c r="B847" s="4">
        <v>44288</v>
      </c>
      <c r="C847" s="5">
        <v>48</v>
      </c>
      <c r="D847" s="6" t="s">
        <v>9682</v>
      </c>
      <c r="E847" s="6" t="s">
        <v>9086</v>
      </c>
      <c r="F847" s="155" t="s">
        <v>8610</v>
      </c>
      <c r="H847" s="243" t="s">
        <v>9683</v>
      </c>
      <c r="J847" s="243" t="s">
        <v>9684</v>
      </c>
      <c r="K847" s="16">
        <v>9304440620</v>
      </c>
    </row>
    <row r="848" spans="1:11" ht="14.25" customHeight="1">
      <c r="B848" s="4">
        <v>44290</v>
      </c>
      <c r="C848" s="5">
        <v>47</v>
      </c>
      <c r="D848" s="6" t="s">
        <v>9685</v>
      </c>
      <c r="E848" s="6" t="s">
        <v>9162</v>
      </c>
      <c r="F848" s="155" t="s">
        <v>478</v>
      </c>
      <c r="H848" s="6" t="s">
        <v>9686</v>
      </c>
      <c r="J848" s="243" t="s">
        <v>9687</v>
      </c>
      <c r="K848" s="16" t="s">
        <v>9413</v>
      </c>
    </row>
    <row r="849" spans="1:15" ht="14.25" customHeight="1">
      <c r="B849" s="4">
        <v>44290</v>
      </c>
      <c r="C849" s="5">
        <v>48</v>
      </c>
      <c r="D849" s="6" t="s">
        <v>9688</v>
      </c>
      <c r="E849" s="6" t="s">
        <v>7423</v>
      </c>
      <c r="F849" s="155" t="s">
        <v>9659</v>
      </c>
      <c r="J849" s="243" t="s">
        <v>9689</v>
      </c>
      <c r="K849" s="16">
        <v>8709081610</v>
      </c>
    </row>
    <row r="850" spans="1:15" ht="14.25" customHeight="1">
      <c r="B850" s="4">
        <v>44290</v>
      </c>
      <c r="C850" s="5">
        <v>47</v>
      </c>
      <c r="D850" s="6" t="s">
        <v>9690</v>
      </c>
      <c r="E850" s="6" t="s">
        <v>8441</v>
      </c>
      <c r="F850" s="155" t="s">
        <v>9659</v>
      </c>
      <c r="J850" s="243" t="s">
        <v>9691</v>
      </c>
      <c r="K850" s="16">
        <v>7033381504</v>
      </c>
    </row>
    <row r="851" spans="1:15" ht="14.25" customHeight="1">
      <c r="B851" s="4">
        <v>44290</v>
      </c>
      <c r="C851" s="5">
        <v>47</v>
      </c>
      <c r="D851" s="6" t="s">
        <v>9692</v>
      </c>
      <c r="E851" s="6" t="s">
        <v>8441</v>
      </c>
      <c r="F851" s="155" t="s">
        <v>9659</v>
      </c>
      <c r="J851" s="243" t="s">
        <v>9693</v>
      </c>
      <c r="K851" s="16">
        <v>7070698755</v>
      </c>
    </row>
    <row r="852" spans="1:15" ht="14.25" customHeight="1">
      <c r="B852" s="4">
        <v>44290</v>
      </c>
      <c r="C852" s="5">
        <v>47</v>
      </c>
      <c r="D852" s="6" t="s">
        <v>9694</v>
      </c>
      <c r="E852" s="6" t="s">
        <v>9086</v>
      </c>
      <c r="F852" s="155" t="s">
        <v>478</v>
      </c>
      <c r="J852" s="243" t="s">
        <v>9101</v>
      </c>
      <c r="K852" s="16"/>
    </row>
    <row r="853" spans="1:15" ht="14.25" customHeight="1">
      <c r="C853" s="5"/>
      <c r="F853" s="155"/>
      <c r="H853" s="6" t="s">
        <v>9695</v>
      </c>
      <c r="J853" s="243" t="s">
        <v>6619</v>
      </c>
      <c r="K853" s="16" t="s">
        <v>9290</v>
      </c>
    </row>
    <row r="854" spans="1:15" ht="14.25" customHeight="1">
      <c r="B854" s="4">
        <v>44292</v>
      </c>
      <c r="C854" s="5">
        <v>47</v>
      </c>
      <c r="D854" s="6" t="s">
        <v>9696</v>
      </c>
      <c r="E854" s="6" t="s">
        <v>7314</v>
      </c>
      <c r="F854" s="155" t="s">
        <v>9551</v>
      </c>
      <c r="J854" s="243" t="s">
        <v>9697</v>
      </c>
      <c r="K854" s="16">
        <v>7667856058</v>
      </c>
    </row>
    <row r="855" spans="1:15" ht="14.25" customHeight="1">
      <c r="A855" s="6" t="s">
        <v>9698</v>
      </c>
      <c r="B855" s="4">
        <v>44292</v>
      </c>
      <c r="C855" s="5">
        <v>47</v>
      </c>
      <c r="D855" s="6" t="s">
        <v>9699</v>
      </c>
      <c r="E855" s="6" t="s">
        <v>9162</v>
      </c>
      <c r="F855" s="155" t="s">
        <v>478</v>
      </c>
      <c r="H855" s="6" t="s">
        <v>9700</v>
      </c>
      <c r="J855" s="243" t="s">
        <v>9701</v>
      </c>
      <c r="K855" s="16">
        <v>6205505607</v>
      </c>
    </row>
    <row r="856" spans="1:15" ht="14.25" customHeight="1">
      <c r="B856" s="4">
        <v>44292</v>
      </c>
      <c r="C856" s="5">
        <v>47</v>
      </c>
      <c r="D856" s="6" t="s">
        <v>9702</v>
      </c>
      <c r="E856" s="6" t="s">
        <v>9703</v>
      </c>
      <c r="F856" s="155" t="s">
        <v>9659</v>
      </c>
      <c r="J856" s="243" t="s">
        <v>7127</v>
      </c>
      <c r="K856" s="16">
        <v>9431372458</v>
      </c>
    </row>
    <row r="857" spans="1:15" ht="14.25" customHeight="1">
      <c r="B857" s="4">
        <v>44293</v>
      </c>
      <c r="C857" s="5">
        <v>47</v>
      </c>
      <c r="D857" s="6" t="s">
        <v>9704</v>
      </c>
      <c r="E857" s="6" t="s">
        <v>9162</v>
      </c>
      <c r="F857" s="155" t="s">
        <v>478</v>
      </c>
      <c r="H857" s="6" t="s">
        <v>9705</v>
      </c>
      <c r="J857" s="243" t="s">
        <v>9706</v>
      </c>
      <c r="K857" s="16" t="s">
        <v>9413</v>
      </c>
    </row>
    <row r="858" spans="1:15" ht="14.25" customHeight="1">
      <c r="B858" s="4">
        <v>44293</v>
      </c>
      <c r="C858" s="5">
        <v>48</v>
      </c>
      <c r="D858" s="6" t="s">
        <v>9707</v>
      </c>
      <c r="E858" s="6" t="s">
        <v>9054</v>
      </c>
      <c r="F858" s="155" t="s">
        <v>8610</v>
      </c>
      <c r="G858" s="4">
        <v>35930</v>
      </c>
      <c r="H858" s="6" t="s">
        <v>9579</v>
      </c>
      <c r="J858" s="6" t="s">
        <v>9580</v>
      </c>
      <c r="K858" s="16">
        <v>7209653045</v>
      </c>
    </row>
    <row r="859" spans="1:15" ht="14.25" customHeight="1">
      <c r="B859" s="4">
        <v>44296</v>
      </c>
      <c r="C859" s="5">
        <v>48</v>
      </c>
      <c r="D859" s="6" t="s">
        <v>9708</v>
      </c>
      <c r="E859" s="6" t="s">
        <v>7411</v>
      </c>
      <c r="F859" s="155" t="s">
        <v>9659</v>
      </c>
      <c r="J859" s="243" t="s">
        <v>9709</v>
      </c>
      <c r="K859" s="16">
        <v>9973515537</v>
      </c>
    </row>
    <row r="860" spans="1:15" ht="14.25" customHeight="1">
      <c r="A860" s="6" t="s">
        <v>9189</v>
      </c>
      <c r="B860" s="4">
        <v>44297</v>
      </c>
      <c r="C860" s="5">
        <v>47</v>
      </c>
      <c r="D860" s="6" t="s">
        <v>9710</v>
      </c>
      <c r="E860" s="6" t="s">
        <v>9086</v>
      </c>
      <c r="F860" s="155" t="s">
        <v>478</v>
      </c>
      <c r="H860" s="6" t="s">
        <v>9711</v>
      </c>
      <c r="J860" s="243" t="s">
        <v>9712</v>
      </c>
      <c r="K860" s="16">
        <v>8252974672</v>
      </c>
    </row>
    <row r="861" spans="1:15" ht="14.25" customHeight="1">
      <c r="B861" s="4">
        <v>44297</v>
      </c>
      <c r="C861" s="5">
        <v>47</v>
      </c>
      <c r="D861" s="6" t="s">
        <v>9713</v>
      </c>
      <c r="E861" s="6" t="s">
        <v>9086</v>
      </c>
      <c r="F861" s="155" t="s">
        <v>478</v>
      </c>
      <c r="H861" s="6" t="s">
        <v>9714</v>
      </c>
      <c r="J861" s="243" t="s">
        <v>9715</v>
      </c>
      <c r="K861" s="16" t="s">
        <v>9290</v>
      </c>
    </row>
    <row r="862" spans="1:15" ht="14.25" customHeight="1">
      <c r="A862" s="6" t="s">
        <v>6728</v>
      </c>
      <c r="B862" s="4">
        <v>44297</v>
      </c>
      <c r="C862" s="5">
        <v>49</v>
      </c>
      <c r="D862" s="6" t="s">
        <v>9716</v>
      </c>
      <c r="E862" s="6" t="s">
        <v>9086</v>
      </c>
      <c r="F862" s="155" t="s">
        <v>478</v>
      </c>
      <c r="G862" s="4">
        <v>28126</v>
      </c>
      <c r="H862" s="6" t="s">
        <v>9717</v>
      </c>
      <c r="J862" s="243" t="s">
        <v>9718</v>
      </c>
      <c r="K862" s="16">
        <v>9771938552</v>
      </c>
      <c r="M862" s="6" t="s">
        <v>9719</v>
      </c>
      <c r="O862" s="6">
        <v>831018</v>
      </c>
    </row>
    <row r="863" spans="1:15" ht="14.25" customHeight="1">
      <c r="A863" s="6" t="s">
        <v>9189</v>
      </c>
      <c r="B863" s="4">
        <v>44297</v>
      </c>
      <c r="C863" s="5">
        <v>47</v>
      </c>
      <c r="D863" s="6" t="s">
        <v>9720</v>
      </c>
      <c r="E863" s="6" t="s">
        <v>9086</v>
      </c>
      <c r="F863" s="155" t="s">
        <v>8610</v>
      </c>
      <c r="G863" s="243" t="s">
        <v>9721</v>
      </c>
      <c r="H863" s="6" t="s">
        <v>9722</v>
      </c>
      <c r="J863" s="243" t="s">
        <v>9723</v>
      </c>
      <c r="K863" s="16">
        <v>805106887</v>
      </c>
    </row>
    <row r="864" spans="1:15" ht="14.25" customHeight="1">
      <c r="B864" s="4">
        <v>44298</v>
      </c>
      <c r="C864" s="5">
        <v>47</v>
      </c>
      <c r="D864" s="6" t="s">
        <v>9724</v>
      </c>
      <c r="E864" s="6" t="s">
        <v>9086</v>
      </c>
      <c r="F864" s="155" t="s">
        <v>478</v>
      </c>
      <c r="G864" s="243" t="s">
        <v>9725</v>
      </c>
      <c r="H864" s="6" t="s">
        <v>9726</v>
      </c>
      <c r="J864" s="6" t="s">
        <v>9727</v>
      </c>
      <c r="K864" s="16">
        <v>9031043617</v>
      </c>
    </row>
    <row r="865" spans="1:11" ht="14.25" customHeight="1">
      <c r="A865" s="6" t="s">
        <v>9189</v>
      </c>
      <c r="B865" s="4">
        <v>44298</v>
      </c>
      <c r="C865" s="5">
        <v>51</v>
      </c>
      <c r="D865" s="6" t="s">
        <v>9728</v>
      </c>
      <c r="E865" s="6" t="s">
        <v>9086</v>
      </c>
      <c r="F865" s="155" t="s">
        <v>478</v>
      </c>
      <c r="G865" s="243" t="s">
        <v>9729</v>
      </c>
      <c r="H865" s="6" t="s">
        <v>9730</v>
      </c>
      <c r="J865" s="243" t="s">
        <v>9731</v>
      </c>
      <c r="K865" s="16">
        <v>9931199524</v>
      </c>
    </row>
    <row r="866" spans="1:11" ht="14.25" customHeight="1">
      <c r="B866" s="4">
        <v>44300</v>
      </c>
      <c r="C866" s="5">
        <v>47</v>
      </c>
      <c r="D866" s="6" t="s">
        <v>9732</v>
      </c>
      <c r="E866" s="6" t="s">
        <v>9086</v>
      </c>
      <c r="F866" s="155" t="s">
        <v>478</v>
      </c>
      <c r="H866" s="6" t="s">
        <v>9733</v>
      </c>
      <c r="J866" s="6" t="s">
        <v>9734</v>
      </c>
      <c r="K866" s="16" t="s">
        <v>9735</v>
      </c>
    </row>
    <row r="867" spans="1:11" ht="14.25" customHeight="1">
      <c r="B867" s="4">
        <v>44300</v>
      </c>
      <c r="C867" s="5">
        <v>48</v>
      </c>
      <c r="D867" s="6" t="s">
        <v>9736</v>
      </c>
      <c r="E867" s="6" t="s">
        <v>8758</v>
      </c>
      <c r="F867" s="155" t="s">
        <v>7986</v>
      </c>
      <c r="H867" s="6" t="s">
        <v>9737</v>
      </c>
      <c r="J867" s="243" t="s">
        <v>1712</v>
      </c>
      <c r="K867" s="16">
        <v>8507790013</v>
      </c>
    </row>
    <row r="868" spans="1:11" ht="14.25" customHeight="1">
      <c r="B868" s="4">
        <v>44301</v>
      </c>
      <c r="C868" s="5">
        <v>47</v>
      </c>
      <c r="D868" s="6" t="s">
        <v>9738</v>
      </c>
      <c r="E868" s="6" t="s">
        <v>0</v>
      </c>
      <c r="F868" s="155" t="s">
        <v>9551</v>
      </c>
      <c r="H868" s="6" t="s">
        <v>9722</v>
      </c>
      <c r="J868" s="6" t="s">
        <v>9739</v>
      </c>
      <c r="K868" s="16">
        <v>805106887</v>
      </c>
    </row>
    <row r="869" spans="1:11" ht="14.25" customHeight="1">
      <c r="B869" s="4">
        <v>44301</v>
      </c>
      <c r="C869" s="5">
        <v>47</v>
      </c>
      <c r="D869" s="6" t="s">
        <v>9740</v>
      </c>
      <c r="E869" s="6" t="s">
        <v>9086</v>
      </c>
      <c r="F869" s="155" t="s">
        <v>478</v>
      </c>
      <c r="H869" s="6" t="s">
        <v>9741</v>
      </c>
      <c r="J869" s="243" t="s">
        <v>9742</v>
      </c>
      <c r="K869" s="16" t="s">
        <v>9366</v>
      </c>
    </row>
    <row r="870" spans="1:11" ht="14.25" customHeight="1">
      <c r="B870" s="4">
        <v>44301</v>
      </c>
      <c r="C870" s="5">
        <v>46</v>
      </c>
      <c r="D870" s="6" t="s">
        <v>9743</v>
      </c>
      <c r="E870" s="6" t="s">
        <v>9086</v>
      </c>
      <c r="F870" s="155" t="s">
        <v>7986</v>
      </c>
      <c r="H870" s="6" t="s">
        <v>9744</v>
      </c>
      <c r="J870" s="6" t="s">
        <v>9745</v>
      </c>
      <c r="K870" s="16" t="s">
        <v>9366</v>
      </c>
    </row>
    <row r="871" spans="1:11" ht="14.25" customHeight="1">
      <c r="B871" s="4">
        <v>44301</v>
      </c>
      <c r="C871" s="5">
        <v>48</v>
      </c>
      <c r="D871" s="6" t="s">
        <v>9746</v>
      </c>
      <c r="E871" s="6" t="s">
        <v>9086</v>
      </c>
      <c r="F871" s="155" t="s">
        <v>478</v>
      </c>
      <c r="H871" s="6" t="s">
        <v>9747</v>
      </c>
      <c r="J871" s="243" t="s">
        <v>9748</v>
      </c>
      <c r="K871" s="16" t="s">
        <v>9366</v>
      </c>
    </row>
    <row r="872" spans="1:11" ht="14.25" customHeight="1">
      <c r="B872" s="4">
        <v>44302</v>
      </c>
      <c r="C872" s="5">
        <v>47</v>
      </c>
      <c r="D872" s="6" t="s">
        <v>9749</v>
      </c>
      <c r="E872" s="6" t="s">
        <v>9086</v>
      </c>
      <c r="F872" s="155" t="s">
        <v>478</v>
      </c>
      <c r="H872" s="6" t="s">
        <v>9750</v>
      </c>
      <c r="J872" s="6" t="s">
        <v>9268</v>
      </c>
      <c r="K872" s="16">
        <v>7717747591</v>
      </c>
    </row>
    <row r="873" spans="1:11" ht="14.25" customHeight="1">
      <c r="B873" s="4">
        <v>44302</v>
      </c>
      <c r="C873" s="5">
        <v>48</v>
      </c>
      <c r="D873" s="6" t="s">
        <v>9751</v>
      </c>
      <c r="E873" s="6" t="s">
        <v>9086</v>
      </c>
      <c r="F873" s="155" t="s">
        <v>478</v>
      </c>
      <c r="H873" s="6" t="s">
        <v>9752</v>
      </c>
      <c r="J873" s="243" t="s">
        <v>9753</v>
      </c>
      <c r="K873" s="16" t="s">
        <v>9366</v>
      </c>
    </row>
    <row r="874" spans="1:11" ht="14.25" customHeight="1">
      <c r="B874" s="272">
        <v>44302</v>
      </c>
      <c r="C874" s="73">
        <v>49</v>
      </c>
      <c r="D874" s="75" t="s">
        <v>9754</v>
      </c>
      <c r="E874" s="75" t="s">
        <v>9755</v>
      </c>
      <c r="F874" s="151"/>
      <c r="G874" s="75"/>
      <c r="H874" s="75" t="s">
        <v>9756</v>
      </c>
      <c r="I874" s="75"/>
      <c r="J874" s="273" t="s">
        <v>9757</v>
      </c>
      <c r="K874" s="77" t="s">
        <v>9366</v>
      </c>
    </row>
    <row r="875" spans="1:11" ht="14.25" customHeight="1">
      <c r="B875" s="4">
        <v>44302</v>
      </c>
      <c r="C875" s="5">
        <v>49</v>
      </c>
      <c r="D875" s="6" t="s">
        <v>9758</v>
      </c>
      <c r="E875" s="6" t="s">
        <v>9086</v>
      </c>
      <c r="F875" s="155" t="s">
        <v>478</v>
      </c>
      <c r="H875" s="6" t="s">
        <v>9756</v>
      </c>
      <c r="J875" s="243" t="s">
        <v>9757</v>
      </c>
      <c r="K875" s="16" t="s">
        <v>9366</v>
      </c>
    </row>
    <row r="876" spans="1:11" ht="14.25" customHeight="1">
      <c r="B876" s="4">
        <v>44302</v>
      </c>
      <c r="C876" s="5">
        <v>48</v>
      </c>
      <c r="D876" s="6" t="s">
        <v>9759</v>
      </c>
      <c r="E876" s="6" t="s">
        <v>9086</v>
      </c>
      <c r="F876" s="155" t="s">
        <v>478</v>
      </c>
      <c r="G876" s="6" t="s">
        <v>9760</v>
      </c>
      <c r="H876" s="6" t="s">
        <v>9761</v>
      </c>
      <c r="J876" s="243" t="s">
        <v>9762</v>
      </c>
      <c r="K876" s="16"/>
    </row>
    <row r="877" spans="1:11" ht="14.25" customHeight="1">
      <c r="A877" s="6" t="s">
        <v>9189</v>
      </c>
      <c r="B877" s="4">
        <v>44302</v>
      </c>
      <c r="C877" s="5">
        <v>48</v>
      </c>
      <c r="D877" s="6" t="s">
        <v>9763</v>
      </c>
      <c r="E877" s="6" t="s">
        <v>9086</v>
      </c>
      <c r="F877" s="155" t="s">
        <v>478</v>
      </c>
      <c r="H877" s="6" t="s">
        <v>9764</v>
      </c>
      <c r="J877" s="6" t="s">
        <v>9765</v>
      </c>
      <c r="K877" s="16">
        <v>6204065752</v>
      </c>
    </row>
    <row r="878" spans="1:11" ht="14.25" customHeight="1">
      <c r="B878" s="4">
        <v>44302</v>
      </c>
      <c r="C878" s="5">
        <v>49</v>
      </c>
      <c r="D878" s="6" t="s">
        <v>9766</v>
      </c>
      <c r="E878" s="6" t="s">
        <v>9086</v>
      </c>
      <c r="F878" s="155" t="s">
        <v>478</v>
      </c>
      <c r="H878" s="6" t="s">
        <v>9767</v>
      </c>
      <c r="J878" s="6" t="s">
        <v>9768</v>
      </c>
      <c r="K878" s="16" t="s">
        <v>9735</v>
      </c>
    </row>
    <row r="879" spans="1:11" ht="14.25" customHeight="1">
      <c r="C879" s="5">
        <v>48</v>
      </c>
      <c r="D879" s="6" t="s">
        <v>9769</v>
      </c>
      <c r="E879" s="6" t="s">
        <v>7314</v>
      </c>
      <c r="F879" s="155" t="s">
        <v>9659</v>
      </c>
      <c r="J879" s="6" t="s">
        <v>9770</v>
      </c>
      <c r="K879" s="16">
        <v>6201994812</v>
      </c>
    </row>
    <row r="880" spans="1:11" ht="14.25" customHeight="1">
      <c r="C880" s="5">
        <v>57</v>
      </c>
      <c r="D880" s="6" t="s">
        <v>9771</v>
      </c>
      <c r="E880" s="6" t="s">
        <v>9086</v>
      </c>
      <c r="F880" s="155" t="s">
        <v>478</v>
      </c>
      <c r="H880" s="6" t="s">
        <v>9772</v>
      </c>
      <c r="J880" s="6" t="s">
        <v>9773</v>
      </c>
      <c r="K880" s="16" t="s">
        <v>9366</v>
      </c>
    </row>
    <row r="881" spans="1:11" ht="14.25" customHeight="1">
      <c r="B881" s="4">
        <v>44305</v>
      </c>
      <c r="C881" s="5">
        <v>47</v>
      </c>
      <c r="D881" s="6" t="s">
        <v>9774</v>
      </c>
      <c r="E881" s="6" t="s">
        <v>7314</v>
      </c>
      <c r="F881" s="155" t="s">
        <v>9659</v>
      </c>
      <c r="J881" s="6" t="s">
        <v>9775</v>
      </c>
      <c r="K881" s="16"/>
    </row>
    <row r="882" spans="1:11" ht="14.25" customHeight="1">
      <c r="B882" s="4">
        <v>44305</v>
      </c>
      <c r="C882" s="5">
        <v>47</v>
      </c>
      <c r="D882" s="6" t="s">
        <v>9776</v>
      </c>
      <c r="E882" s="6" t="s">
        <v>9086</v>
      </c>
      <c r="F882" s="155" t="s">
        <v>478</v>
      </c>
      <c r="H882" s="6" t="s">
        <v>7785</v>
      </c>
      <c r="J882" s="6" t="s">
        <v>7787</v>
      </c>
      <c r="K882" s="16">
        <v>9234459789</v>
      </c>
    </row>
    <row r="883" spans="1:11" ht="14.25" customHeight="1">
      <c r="B883" s="4">
        <v>44305</v>
      </c>
      <c r="C883" s="5">
        <v>47</v>
      </c>
      <c r="D883" s="6" t="s">
        <v>9777</v>
      </c>
      <c r="E883" s="6" t="s">
        <v>9086</v>
      </c>
      <c r="F883" s="155" t="s">
        <v>478</v>
      </c>
      <c r="H883" s="6" t="s">
        <v>7804</v>
      </c>
      <c r="J883" s="6" t="s">
        <v>7806</v>
      </c>
      <c r="K883" s="16">
        <v>9234459789</v>
      </c>
    </row>
    <row r="884" spans="1:11" ht="14.25" customHeight="1">
      <c r="B884" s="4">
        <v>44306</v>
      </c>
      <c r="C884" s="5">
        <v>47</v>
      </c>
      <c r="D884" s="6" t="s">
        <v>9778</v>
      </c>
      <c r="E884" s="6" t="s">
        <v>8441</v>
      </c>
      <c r="F884" s="155" t="s">
        <v>9551</v>
      </c>
      <c r="H884" s="6" t="s">
        <v>9779</v>
      </c>
      <c r="J884" s="6" t="s">
        <v>9780</v>
      </c>
      <c r="K884" s="16">
        <v>7762945256</v>
      </c>
    </row>
    <row r="885" spans="1:11" ht="14.25" customHeight="1">
      <c r="B885" s="4">
        <v>44306</v>
      </c>
      <c r="C885" s="5">
        <v>47</v>
      </c>
      <c r="D885" s="6" t="s">
        <v>9781</v>
      </c>
      <c r="E885" s="6" t="s">
        <v>9086</v>
      </c>
      <c r="F885" s="155" t="s">
        <v>478</v>
      </c>
      <c r="H885" s="6" t="s">
        <v>9782</v>
      </c>
      <c r="J885" s="6" t="s">
        <v>9783</v>
      </c>
      <c r="K885" s="16" t="s">
        <v>9366</v>
      </c>
    </row>
    <row r="886" spans="1:11" ht="14.25" customHeight="1">
      <c r="B886" s="4">
        <v>44306</v>
      </c>
      <c r="C886" s="5">
        <v>48</v>
      </c>
      <c r="D886" s="6" t="s">
        <v>9784</v>
      </c>
      <c r="E886" s="6" t="s">
        <v>7411</v>
      </c>
      <c r="F886" s="155"/>
      <c r="J886" s="6" t="s">
        <v>9785</v>
      </c>
      <c r="K886" s="16">
        <v>8709533979</v>
      </c>
    </row>
    <row r="887" spans="1:11" ht="14.25" customHeight="1">
      <c r="C887" s="5"/>
      <c r="E887" s="6" t="s">
        <v>9786</v>
      </c>
      <c r="F887" s="155" t="s">
        <v>478</v>
      </c>
      <c r="H887" s="6" t="s">
        <v>9787</v>
      </c>
      <c r="K887" s="16" t="s">
        <v>9366</v>
      </c>
    </row>
    <row r="888" spans="1:11" ht="14.25" customHeight="1">
      <c r="C888" s="5"/>
      <c r="E888" s="6" t="s">
        <v>9786</v>
      </c>
      <c r="F888" s="155" t="s">
        <v>478</v>
      </c>
      <c r="H888" s="6" t="s">
        <v>9788</v>
      </c>
      <c r="J888" s="6" t="s">
        <v>9789</v>
      </c>
      <c r="K888" s="16" t="s">
        <v>9366</v>
      </c>
    </row>
    <row r="889" spans="1:11" ht="14.25" customHeight="1">
      <c r="C889" s="5"/>
      <c r="E889" s="6" t="s">
        <v>9786</v>
      </c>
      <c r="F889" s="155" t="s">
        <v>478</v>
      </c>
      <c r="H889" s="6" t="s">
        <v>9790</v>
      </c>
      <c r="J889" s="6" t="s">
        <v>9791</v>
      </c>
      <c r="K889" s="16" t="s">
        <v>9366</v>
      </c>
    </row>
    <row r="890" spans="1:11" ht="14.25" customHeight="1">
      <c r="C890" s="5"/>
      <c r="E890" s="6" t="s">
        <v>9786</v>
      </c>
      <c r="F890" s="155" t="s">
        <v>478</v>
      </c>
      <c r="H890" s="6" t="s">
        <v>9792</v>
      </c>
      <c r="K890" s="16" t="s">
        <v>9366</v>
      </c>
    </row>
    <row r="891" spans="1:11" ht="14.25" customHeight="1">
      <c r="C891" s="5"/>
      <c r="E891" s="6" t="s">
        <v>9786</v>
      </c>
      <c r="F891" s="155" t="s">
        <v>478</v>
      </c>
      <c r="H891" s="6" t="s">
        <v>9793</v>
      </c>
      <c r="J891" s="6" t="s">
        <v>9794</v>
      </c>
      <c r="K891" s="16" t="s">
        <v>9795</v>
      </c>
    </row>
    <row r="892" spans="1:11" ht="14.25" customHeight="1">
      <c r="C892" s="5"/>
      <c r="E892" s="6" t="s">
        <v>9786</v>
      </c>
      <c r="F892" s="155" t="s">
        <v>478</v>
      </c>
      <c r="H892" s="6" t="s">
        <v>9796</v>
      </c>
      <c r="J892" s="6" t="s">
        <v>9797</v>
      </c>
      <c r="K892" s="16" t="s">
        <v>9795</v>
      </c>
    </row>
    <row r="893" spans="1:11" ht="14.25" customHeight="1">
      <c r="A893" s="6" t="s">
        <v>9798</v>
      </c>
      <c r="B893" s="4">
        <v>44310</v>
      </c>
      <c r="C893" s="5">
        <v>48</v>
      </c>
      <c r="D893" s="6" t="s">
        <v>9799</v>
      </c>
      <c r="E893" s="6" t="s">
        <v>9162</v>
      </c>
      <c r="F893" s="155" t="s">
        <v>478</v>
      </c>
      <c r="H893" s="6" t="s">
        <v>9800</v>
      </c>
      <c r="J893" s="6" t="s">
        <v>9801</v>
      </c>
      <c r="K893" s="16">
        <v>7070557735</v>
      </c>
    </row>
    <row r="894" spans="1:11" ht="14.25" customHeight="1">
      <c r="A894" s="6" t="s">
        <v>9798</v>
      </c>
      <c r="B894" s="4">
        <v>44310</v>
      </c>
      <c r="C894" s="5">
        <v>48</v>
      </c>
      <c r="D894" s="6" t="s">
        <v>9802</v>
      </c>
      <c r="E894" s="6" t="s">
        <v>9162</v>
      </c>
      <c r="F894" s="155" t="s">
        <v>478</v>
      </c>
      <c r="H894" s="6" t="s">
        <v>9803</v>
      </c>
      <c r="J894" s="6" t="s">
        <v>4520</v>
      </c>
      <c r="K894" s="16">
        <v>7070557735</v>
      </c>
    </row>
    <row r="895" spans="1:11" ht="14.25" customHeight="1">
      <c r="B895" s="4">
        <v>44310</v>
      </c>
      <c r="C895" s="5">
        <v>49</v>
      </c>
      <c r="D895" s="6" t="s">
        <v>9804</v>
      </c>
      <c r="E895" s="6" t="s">
        <v>9162</v>
      </c>
      <c r="F895" s="155" t="s">
        <v>478</v>
      </c>
      <c r="H895" s="6" t="s">
        <v>9805</v>
      </c>
      <c r="J895" s="6" t="s">
        <v>9806</v>
      </c>
      <c r="K895" s="16" t="s">
        <v>9413</v>
      </c>
    </row>
    <row r="896" spans="1:11" ht="14.25" customHeight="1">
      <c r="A896" s="6" t="s">
        <v>9807</v>
      </c>
      <c r="B896" s="4">
        <v>44317</v>
      </c>
      <c r="C896" s="5">
        <v>49</v>
      </c>
      <c r="D896" s="6" t="s">
        <v>9808</v>
      </c>
      <c r="E896" s="6" t="s">
        <v>9162</v>
      </c>
      <c r="F896" s="155" t="s">
        <v>478</v>
      </c>
      <c r="G896" s="4">
        <v>35376</v>
      </c>
      <c r="H896" s="6" t="s">
        <v>9809</v>
      </c>
      <c r="J896" s="6" t="s">
        <v>9810</v>
      </c>
      <c r="K896" s="16">
        <v>9204253341</v>
      </c>
    </row>
    <row r="897" spans="1:11" ht="14.25" customHeight="1">
      <c r="B897" s="4">
        <v>44318</v>
      </c>
      <c r="C897" s="5" t="s">
        <v>8617</v>
      </c>
      <c r="D897" s="6" t="s">
        <v>9811</v>
      </c>
      <c r="E897" s="6" t="s">
        <v>8294</v>
      </c>
      <c r="F897" s="155"/>
      <c r="H897" s="6" t="s">
        <v>9812</v>
      </c>
      <c r="J897" s="6" t="s">
        <v>9813</v>
      </c>
      <c r="K897" s="16">
        <v>7870804658</v>
      </c>
    </row>
    <row r="898" spans="1:11" ht="14.25" customHeight="1">
      <c r="A898" s="6" t="s">
        <v>9807</v>
      </c>
      <c r="B898" s="4">
        <v>44318</v>
      </c>
      <c r="C898" s="5">
        <v>49</v>
      </c>
      <c r="D898" s="6" t="s">
        <v>9814</v>
      </c>
      <c r="E898" s="6" t="s">
        <v>9162</v>
      </c>
      <c r="F898" s="155" t="s">
        <v>478</v>
      </c>
      <c r="H898" s="243" t="s">
        <v>9815</v>
      </c>
      <c r="J898" s="6" t="s">
        <v>9816</v>
      </c>
      <c r="K898" s="16">
        <v>9472792833</v>
      </c>
    </row>
    <row r="899" spans="1:11" ht="14.25" customHeight="1">
      <c r="B899" s="4">
        <v>44319</v>
      </c>
      <c r="C899" s="5">
        <v>48</v>
      </c>
      <c r="D899" s="6" t="s">
        <v>9817</v>
      </c>
      <c r="E899" s="6" t="s">
        <v>7314</v>
      </c>
      <c r="F899" s="155"/>
      <c r="J899" s="6" t="s">
        <v>5331</v>
      </c>
      <c r="K899" s="16">
        <v>9608466563</v>
      </c>
    </row>
    <row r="900" spans="1:11" ht="14.25" customHeight="1">
      <c r="A900" s="6" t="s">
        <v>6728</v>
      </c>
      <c r="B900" s="4">
        <v>44319</v>
      </c>
      <c r="C900" s="5">
        <v>47</v>
      </c>
      <c r="D900" s="6" t="s">
        <v>9818</v>
      </c>
      <c r="E900" s="6" t="s">
        <v>9162</v>
      </c>
      <c r="F900" s="155" t="s">
        <v>478</v>
      </c>
      <c r="H900" s="6" t="s">
        <v>9819</v>
      </c>
      <c r="J900" s="6" t="s">
        <v>9820</v>
      </c>
      <c r="K900" s="16">
        <v>8404807687</v>
      </c>
    </row>
    <row r="901" spans="1:11" ht="14.25" customHeight="1">
      <c r="A901" s="6" t="s">
        <v>6728</v>
      </c>
      <c r="B901" s="4">
        <v>44319</v>
      </c>
      <c r="C901" s="5">
        <v>47</v>
      </c>
      <c r="D901" s="6" t="s">
        <v>9821</v>
      </c>
      <c r="E901" s="6" t="s">
        <v>9162</v>
      </c>
      <c r="F901" s="155" t="s">
        <v>478</v>
      </c>
      <c r="H901" s="6" t="s">
        <v>9819</v>
      </c>
      <c r="J901" s="6" t="s">
        <v>9336</v>
      </c>
      <c r="K901" s="16">
        <v>8404807687</v>
      </c>
    </row>
    <row r="902" spans="1:11" ht="14.25" customHeight="1">
      <c r="A902" s="6" t="s">
        <v>6728</v>
      </c>
      <c r="B902" s="4">
        <v>44322</v>
      </c>
      <c r="C902" s="5">
        <v>47</v>
      </c>
      <c r="D902" s="6" t="s">
        <v>9822</v>
      </c>
      <c r="E902" s="6" t="s">
        <v>9162</v>
      </c>
      <c r="F902" s="155" t="s">
        <v>478</v>
      </c>
      <c r="H902" s="6" t="s">
        <v>9823</v>
      </c>
      <c r="J902" s="6" t="s">
        <v>9824</v>
      </c>
      <c r="K902" s="16">
        <v>9431764166</v>
      </c>
    </row>
    <row r="903" spans="1:11" ht="14.25" customHeight="1">
      <c r="A903" s="6" t="s">
        <v>6728</v>
      </c>
      <c r="B903" s="4">
        <v>44322</v>
      </c>
      <c r="C903" s="5">
        <v>47</v>
      </c>
      <c r="D903" s="6" t="s">
        <v>9825</v>
      </c>
      <c r="E903" s="6" t="s">
        <v>9162</v>
      </c>
      <c r="F903" s="155" t="s">
        <v>478</v>
      </c>
      <c r="H903" s="6" t="s">
        <v>9826</v>
      </c>
      <c r="J903" s="6" t="s">
        <v>9827</v>
      </c>
      <c r="K903" s="16">
        <v>9431764166</v>
      </c>
    </row>
    <row r="904" spans="1:11" ht="14.25" customHeight="1">
      <c r="B904" s="4">
        <v>44322</v>
      </c>
      <c r="C904" s="5">
        <v>47</v>
      </c>
      <c r="D904" s="6" t="s">
        <v>9828</v>
      </c>
      <c r="E904" s="6" t="s">
        <v>7411</v>
      </c>
      <c r="F904" s="155"/>
      <c r="J904" s="6" t="s">
        <v>5344</v>
      </c>
      <c r="K904" s="16">
        <v>9693876271</v>
      </c>
    </row>
    <row r="905" spans="1:11" ht="14.25" customHeight="1">
      <c r="B905" s="4">
        <v>44324</v>
      </c>
      <c r="C905" s="5">
        <v>48</v>
      </c>
      <c r="D905" s="6" t="s">
        <v>9829</v>
      </c>
      <c r="E905" s="6" t="s">
        <v>9830</v>
      </c>
      <c r="F905" s="155"/>
      <c r="H905" s="6" t="s">
        <v>9831</v>
      </c>
      <c r="J905" s="6" t="s">
        <v>9832</v>
      </c>
      <c r="K905" s="16">
        <v>9934854812</v>
      </c>
    </row>
    <row r="906" spans="1:11" ht="14.25" customHeight="1">
      <c r="A906" s="47"/>
      <c r="B906" s="158">
        <v>44325</v>
      </c>
      <c r="C906" s="65">
        <v>48</v>
      </c>
      <c r="D906" s="47" t="s">
        <v>9833</v>
      </c>
      <c r="E906" s="47" t="s">
        <v>9162</v>
      </c>
      <c r="F906" s="151" t="s">
        <v>9180</v>
      </c>
      <c r="G906" s="47"/>
      <c r="H906" s="47" t="s">
        <v>9834</v>
      </c>
      <c r="I906" s="47"/>
      <c r="J906" s="47" t="s">
        <v>9835</v>
      </c>
      <c r="K906" s="66" t="s">
        <v>1527</v>
      </c>
    </row>
    <row r="907" spans="1:11" ht="14.25" customHeight="1">
      <c r="A907" s="47"/>
      <c r="B907" s="158">
        <v>44325</v>
      </c>
      <c r="C907" s="65">
        <v>48</v>
      </c>
      <c r="D907" s="47" t="s">
        <v>9836</v>
      </c>
      <c r="E907" s="47" t="s">
        <v>9162</v>
      </c>
      <c r="F907" s="151" t="s">
        <v>9180</v>
      </c>
      <c r="G907" s="47"/>
      <c r="H907" s="47" t="s">
        <v>9837</v>
      </c>
      <c r="I907" s="47"/>
      <c r="J907" s="47" t="s">
        <v>9838</v>
      </c>
      <c r="K907" s="66" t="s">
        <v>1527</v>
      </c>
    </row>
    <row r="908" spans="1:11" ht="14.25" customHeight="1">
      <c r="B908" s="4">
        <v>44325</v>
      </c>
      <c r="C908" s="5">
        <v>49</v>
      </c>
      <c r="D908" s="6" t="s">
        <v>9839</v>
      </c>
      <c r="E908" s="6" t="s">
        <v>9054</v>
      </c>
      <c r="F908" s="155" t="s">
        <v>478</v>
      </c>
      <c r="H908" s="6" t="s">
        <v>9840</v>
      </c>
      <c r="J908" s="6" t="s">
        <v>9841</v>
      </c>
      <c r="K908" s="16" t="s">
        <v>9290</v>
      </c>
    </row>
    <row r="909" spans="1:11" ht="14.25" customHeight="1">
      <c r="A909" s="6" t="s">
        <v>6728</v>
      </c>
      <c r="B909" s="4">
        <v>44326</v>
      </c>
      <c r="C909" s="5">
        <v>47</v>
      </c>
      <c r="D909" s="6" t="s">
        <v>9842</v>
      </c>
      <c r="E909" s="6" t="s">
        <v>9054</v>
      </c>
      <c r="F909" s="155" t="s">
        <v>478</v>
      </c>
      <c r="H909" s="6" t="s">
        <v>9843</v>
      </c>
      <c r="J909" s="6" t="s">
        <v>9844</v>
      </c>
      <c r="K909" s="16"/>
    </row>
    <row r="910" spans="1:11" ht="14.25" customHeight="1">
      <c r="A910" s="6" t="s">
        <v>6728</v>
      </c>
      <c r="B910" s="4">
        <v>44330</v>
      </c>
      <c r="C910" s="5">
        <v>48</v>
      </c>
      <c r="D910" s="6" t="s">
        <v>9845</v>
      </c>
      <c r="E910" s="6" t="s">
        <v>9054</v>
      </c>
      <c r="F910" s="155" t="s">
        <v>478</v>
      </c>
      <c r="H910" s="6" t="s">
        <v>9846</v>
      </c>
      <c r="J910" s="6" t="s">
        <v>9847</v>
      </c>
      <c r="K910" s="16"/>
    </row>
    <row r="911" spans="1:11" ht="14.25" customHeight="1">
      <c r="B911" s="4">
        <v>44330</v>
      </c>
      <c r="C911" s="5">
        <v>47</v>
      </c>
      <c r="D911" s="6" t="s">
        <v>9848</v>
      </c>
      <c r="E911" s="6" t="s">
        <v>9054</v>
      </c>
      <c r="F911" s="155" t="s">
        <v>478</v>
      </c>
      <c r="H911" s="6" t="s">
        <v>9849</v>
      </c>
      <c r="J911" s="6" t="s">
        <v>9850</v>
      </c>
      <c r="K911" s="16" t="s">
        <v>9366</v>
      </c>
    </row>
    <row r="912" spans="1:11" ht="14.25" customHeight="1">
      <c r="A912" s="6" t="s">
        <v>9851</v>
      </c>
      <c r="B912" s="4">
        <v>44333</v>
      </c>
      <c r="C912" s="5">
        <v>46</v>
      </c>
      <c r="D912" s="6" t="s">
        <v>9852</v>
      </c>
      <c r="E912" s="6" t="s">
        <v>9054</v>
      </c>
      <c r="F912" s="155" t="s">
        <v>478</v>
      </c>
      <c r="H912" s="6" t="s">
        <v>9853</v>
      </c>
      <c r="J912" s="6" t="s">
        <v>5188</v>
      </c>
      <c r="K912" s="16">
        <v>7809923181</v>
      </c>
    </row>
    <row r="913" spans="1:13" ht="14.25" customHeight="1">
      <c r="B913" s="4">
        <v>44336</v>
      </c>
      <c r="C913" s="5">
        <v>47</v>
      </c>
      <c r="D913" s="6" t="s">
        <v>9854</v>
      </c>
      <c r="E913" s="6" t="s">
        <v>9855</v>
      </c>
      <c r="F913" s="155"/>
      <c r="H913" s="6" t="s">
        <v>9856</v>
      </c>
      <c r="J913" s="6" t="s">
        <v>9857</v>
      </c>
      <c r="K913" s="16">
        <v>9031787892</v>
      </c>
    </row>
    <row r="914" spans="1:13" ht="14.25" customHeight="1">
      <c r="B914" s="4">
        <v>44341</v>
      </c>
      <c r="C914" s="5">
        <v>47</v>
      </c>
      <c r="D914" s="6" t="s">
        <v>9858</v>
      </c>
      <c r="E914" s="6" t="s">
        <v>7411</v>
      </c>
      <c r="F914" s="155"/>
      <c r="J914" s="6" t="s">
        <v>9859</v>
      </c>
      <c r="K914" s="16">
        <v>8538952992</v>
      </c>
    </row>
    <row r="915" spans="1:13" ht="14.25" customHeight="1">
      <c r="B915" s="4">
        <v>44341</v>
      </c>
      <c r="C915" s="5">
        <v>49</v>
      </c>
      <c r="D915" s="6" t="s">
        <v>9860</v>
      </c>
      <c r="E915" s="6" t="s">
        <v>9054</v>
      </c>
      <c r="F915" s="155" t="s">
        <v>478</v>
      </c>
      <c r="H915" s="6" t="s">
        <v>9861</v>
      </c>
      <c r="J915" s="6" t="s">
        <v>2946</v>
      </c>
      <c r="K915" s="16" t="s">
        <v>9290</v>
      </c>
    </row>
    <row r="916" spans="1:13" ht="14.25" customHeight="1">
      <c r="B916" s="4">
        <v>44341</v>
      </c>
      <c r="C916" s="5">
        <v>48</v>
      </c>
      <c r="D916" s="6" t="s">
        <v>9862</v>
      </c>
      <c r="E916" s="6" t="s">
        <v>9054</v>
      </c>
      <c r="F916" s="155" t="s">
        <v>478</v>
      </c>
      <c r="H916" s="6" t="s">
        <v>9863</v>
      </c>
      <c r="J916" s="6" t="s">
        <v>9864</v>
      </c>
      <c r="K916" s="16" t="s">
        <v>9290</v>
      </c>
    </row>
    <row r="917" spans="1:13" ht="14.25" customHeight="1">
      <c r="B917" s="4">
        <v>44345</v>
      </c>
      <c r="C917" s="5">
        <v>47</v>
      </c>
      <c r="D917" s="6" t="s">
        <v>9865</v>
      </c>
      <c r="E917" s="6" t="s">
        <v>9054</v>
      </c>
      <c r="F917" s="155" t="s">
        <v>478</v>
      </c>
      <c r="H917" s="6" t="s">
        <v>9866</v>
      </c>
      <c r="J917" s="6" t="s">
        <v>9867</v>
      </c>
      <c r="K917" s="16" t="s">
        <v>9290</v>
      </c>
    </row>
    <row r="918" spans="1:13" ht="14.25" customHeight="1">
      <c r="B918" s="4">
        <v>44346</v>
      </c>
      <c r="C918" s="5">
        <v>47</v>
      </c>
      <c r="D918" s="6" t="s">
        <v>9868</v>
      </c>
      <c r="E918" s="6" t="s">
        <v>7423</v>
      </c>
      <c r="F918" s="155"/>
      <c r="J918" s="6" t="s">
        <v>9869</v>
      </c>
      <c r="K918" s="16">
        <v>7209409631</v>
      </c>
    </row>
    <row r="919" spans="1:13" ht="14.25" customHeight="1">
      <c r="A919" s="6" t="s">
        <v>9851</v>
      </c>
      <c r="B919" s="4">
        <v>44347</v>
      </c>
      <c r="C919" s="5">
        <v>47</v>
      </c>
      <c r="D919" s="6" t="s">
        <v>9870</v>
      </c>
      <c r="E919" s="6" t="s">
        <v>9086</v>
      </c>
      <c r="F919" s="155"/>
      <c r="H919" s="6" t="s">
        <v>9588</v>
      </c>
      <c r="J919" s="6" t="s">
        <v>3204</v>
      </c>
      <c r="K919" s="16">
        <v>7766863998</v>
      </c>
      <c r="L919" s="4">
        <v>36260</v>
      </c>
      <c r="M919" s="6" t="s">
        <v>9871</v>
      </c>
    </row>
    <row r="920" spans="1:13" ht="14.25" customHeight="1">
      <c r="A920" s="6" t="s">
        <v>9851</v>
      </c>
      <c r="B920" s="158">
        <v>44348</v>
      </c>
      <c r="C920" s="65">
        <v>47</v>
      </c>
      <c r="D920" s="47" t="s">
        <v>9872</v>
      </c>
      <c r="E920" s="47" t="s">
        <v>9086</v>
      </c>
      <c r="F920" s="151"/>
      <c r="G920" s="47"/>
      <c r="H920" s="47" t="s">
        <v>9873</v>
      </c>
      <c r="I920" s="47"/>
      <c r="J920" s="47" t="s">
        <v>9874</v>
      </c>
      <c r="K920" s="66" t="s">
        <v>9875</v>
      </c>
    </row>
    <row r="921" spans="1:13" ht="14.25" customHeight="1">
      <c r="B921" s="4">
        <v>44348</v>
      </c>
      <c r="C921" s="5">
        <v>48</v>
      </c>
      <c r="D921" s="6" t="s">
        <v>9876</v>
      </c>
      <c r="E921" s="6" t="s">
        <v>9086</v>
      </c>
      <c r="F921" s="155" t="s">
        <v>478</v>
      </c>
      <c r="H921" s="6" t="s">
        <v>9877</v>
      </c>
      <c r="J921" s="6" t="s">
        <v>9878</v>
      </c>
      <c r="K921" s="16" t="s">
        <v>9413</v>
      </c>
    </row>
    <row r="922" spans="1:13" ht="14.25" customHeight="1">
      <c r="A922" s="6" t="s">
        <v>9851</v>
      </c>
      <c r="B922" s="4">
        <v>44355</v>
      </c>
      <c r="C922" s="5">
        <v>47</v>
      </c>
      <c r="D922" s="6" t="s">
        <v>9879</v>
      </c>
      <c r="E922" s="6" t="s">
        <v>9086</v>
      </c>
      <c r="F922" s="155" t="s">
        <v>478</v>
      </c>
      <c r="H922" s="6" t="s">
        <v>9880</v>
      </c>
      <c r="J922" s="6" t="s">
        <v>9874</v>
      </c>
      <c r="K922" s="16"/>
    </row>
    <row r="923" spans="1:13" ht="14.25" customHeight="1">
      <c r="A923" s="6" t="s">
        <v>9851</v>
      </c>
      <c r="B923" s="4">
        <v>44356</v>
      </c>
      <c r="C923" s="5">
        <v>48</v>
      </c>
      <c r="D923" s="6" t="s">
        <v>9881</v>
      </c>
      <c r="E923" s="6" t="s">
        <v>9086</v>
      </c>
      <c r="F923" s="155" t="s">
        <v>478</v>
      </c>
      <c r="H923" s="6" t="s">
        <v>9882</v>
      </c>
      <c r="J923" s="6" t="s">
        <v>9883</v>
      </c>
      <c r="K923" s="16" t="s">
        <v>9290</v>
      </c>
    </row>
    <row r="924" spans="1:13" ht="14.25" customHeight="1">
      <c r="B924" s="4">
        <v>44356</v>
      </c>
      <c r="C924" s="5">
        <v>48</v>
      </c>
      <c r="D924" s="6" t="s">
        <v>9884</v>
      </c>
      <c r="E924" s="6" t="s">
        <v>9855</v>
      </c>
      <c r="F924" s="155"/>
      <c r="H924" s="6" t="s">
        <v>9856</v>
      </c>
      <c r="J924" s="6" t="s">
        <v>9857</v>
      </c>
      <c r="K924" s="16">
        <v>9031787892</v>
      </c>
    </row>
    <row r="925" spans="1:13" ht="14.25" customHeight="1">
      <c r="C925" s="5"/>
      <c r="D925" s="6" t="s">
        <v>9885</v>
      </c>
      <c r="F925" s="155"/>
      <c r="J925" s="6" t="s">
        <v>9886</v>
      </c>
      <c r="K925" s="16">
        <v>7209943400</v>
      </c>
    </row>
    <row r="926" spans="1:13" ht="14.25" customHeight="1">
      <c r="B926" s="47"/>
      <c r="C926" s="65">
        <v>48</v>
      </c>
      <c r="D926" s="47" t="s">
        <v>9887</v>
      </c>
      <c r="E926" s="47" t="s">
        <v>9086</v>
      </c>
      <c r="F926" s="151"/>
      <c r="G926" s="47"/>
      <c r="H926" s="47" t="s">
        <v>9695</v>
      </c>
      <c r="I926" s="47"/>
      <c r="J926" s="271" t="s">
        <v>6619</v>
      </c>
      <c r="K926" s="66" t="s">
        <v>9290</v>
      </c>
    </row>
    <row r="927" spans="1:13" ht="14.25" customHeight="1">
      <c r="B927" s="4">
        <v>44358</v>
      </c>
      <c r="C927" s="5">
        <v>49</v>
      </c>
      <c r="D927" s="6" t="s">
        <v>9888</v>
      </c>
      <c r="E927" s="6" t="s">
        <v>9086</v>
      </c>
      <c r="F927" s="155" t="s">
        <v>478</v>
      </c>
      <c r="H927" s="6" t="s">
        <v>9889</v>
      </c>
      <c r="J927" s="6" t="s">
        <v>9890</v>
      </c>
      <c r="K927" s="16" t="s">
        <v>9290</v>
      </c>
    </row>
    <row r="928" spans="1:13" ht="14.25" customHeight="1">
      <c r="B928" s="4">
        <v>44361</v>
      </c>
      <c r="C928" s="5"/>
      <c r="D928" s="6" t="s">
        <v>9891</v>
      </c>
      <c r="E928" s="6" t="s">
        <v>9086</v>
      </c>
      <c r="F928" s="155" t="s">
        <v>478</v>
      </c>
      <c r="H928" s="6" t="s">
        <v>9892</v>
      </c>
      <c r="J928" s="6" t="s">
        <v>9893</v>
      </c>
      <c r="K928" s="16" t="s">
        <v>9290</v>
      </c>
    </row>
    <row r="929" spans="1:11" ht="14.25" customHeight="1">
      <c r="B929" s="4">
        <v>44363</v>
      </c>
      <c r="C929" s="5">
        <v>48</v>
      </c>
      <c r="D929" s="6" t="s">
        <v>9894</v>
      </c>
      <c r="E929" s="6" t="s">
        <v>8294</v>
      </c>
      <c r="F929" s="155"/>
      <c r="H929" s="6" t="s">
        <v>9895</v>
      </c>
      <c r="J929" s="6" t="s">
        <v>9896</v>
      </c>
      <c r="K929" s="16">
        <v>9939247670</v>
      </c>
    </row>
    <row r="930" spans="1:11" ht="14.25" customHeight="1">
      <c r="B930" s="4">
        <v>44366</v>
      </c>
      <c r="C930" s="5">
        <v>50</v>
      </c>
      <c r="D930" s="274" t="s">
        <v>9897</v>
      </c>
      <c r="E930" s="6" t="s">
        <v>7314</v>
      </c>
      <c r="F930" s="155"/>
      <c r="J930" s="6" t="s">
        <v>9898</v>
      </c>
      <c r="K930" s="16">
        <v>9470196840</v>
      </c>
    </row>
    <row r="931" spans="1:11" ht="14.25" customHeight="1">
      <c r="C931" s="5"/>
      <c r="D931" s="6" t="s">
        <v>9899</v>
      </c>
      <c r="E931" s="6" t="s">
        <v>7314</v>
      </c>
      <c r="F931" s="155"/>
      <c r="K931" s="16"/>
    </row>
    <row r="932" spans="1:11" ht="14.25" customHeight="1">
      <c r="B932" s="4">
        <v>44378</v>
      </c>
      <c r="C932" s="5">
        <v>49</v>
      </c>
      <c r="D932" s="6" t="s">
        <v>9900</v>
      </c>
      <c r="E932" s="6" t="s">
        <v>9086</v>
      </c>
      <c r="F932" s="155" t="s">
        <v>478</v>
      </c>
      <c r="H932" s="6" t="s">
        <v>9901</v>
      </c>
      <c r="J932" s="6" t="s">
        <v>9902</v>
      </c>
      <c r="K932" s="16" t="s">
        <v>9903</v>
      </c>
    </row>
    <row r="933" spans="1:11" ht="14.25" customHeight="1">
      <c r="B933" s="4">
        <v>44378</v>
      </c>
      <c r="C933" s="5">
        <v>48</v>
      </c>
      <c r="D933" s="6" t="s">
        <v>9904</v>
      </c>
      <c r="E933" s="6" t="s">
        <v>9086</v>
      </c>
      <c r="F933" s="155" t="s">
        <v>478</v>
      </c>
      <c r="H933" s="6" t="s">
        <v>9905</v>
      </c>
      <c r="J933" s="6" t="s">
        <v>9906</v>
      </c>
      <c r="K933" s="16" t="s">
        <v>9907</v>
      </c>
    </row>
    <row r="934" spans="1:11" ht="14.25" customHeight="1">
      <c r="B934" s="4">
        <v>44378</v>
      </c>
      <c r="C934" s="5">
        <v>48</v>
      </c>
      <c r="D934" s="6" t="s">
        <v>9908</v>
      </c>
      <c r="E934" s="6" t="s">
        <v>9086</v>
      </c>
      <c r="F934" s="155" t="s">
        <v>478</v>
      </c>
      <c r="H934" s="6" t="s">
        <v>9909</v>
      </c>
      <c r="J934" s="6" t="s">
        <v>1769</v>
      </c>
      <c r="K934" s="16" t="s">
        <v>9907</v>
      </c>
    </row>
    <row r="935" spans="1:11" ht="14.25" customHeight="1">
      <c r="A935" s="6" t="s">
        <v>6728</v>
      </c>
      <c r="B935" s="4">
        <v>44380</v>
      </c>
      <c r="C935" s="5">
        <v>48</v>
      </c>
      <c r="E935" s="6" t="s">
        <v>9086</v>
      </c>
      <c r="F935" s="155"/>
      <c r="H935" s="6" t="s">
        <v>9895</v>
      </c>
      <c r="J935" s="6" t="s">
        <v>5676</v>
      </c>
      <c r="K935" s="16">
        <v>9939247670</v>
      </c>
    </row>
    <row r="936" spans="1:11" ht="14.25" customHeight="1">
      <c r="B936" s="4">
        <v>44386</v>
      </c>
      <c r="C936" s="5">
        <v>48</v>
      </c>
      <c r="D936" s="6" t="s">
        <v>9910</v>
      </c>
      <c r="E936" s="6" t="s">
        <v>9086</v>
      </c>
      <c r="F936" s="155" t="s">
        <v>478</v>
      </c>
      <c r="J936" s="6" t="s">
        <v>9911</v>
      </c>
      <c r="K936" s="16" t="s">
        <v>9907</v>
      </c>
    </row>
    <row r="937" spans="1:11" ht="14.25" customHeight="1">
      <c r="A937" s="6" t="s">
        <v>6728</v>
      </c>
      <c r="B937" s="4">
        <v>44386</v>
      </c>
      <c r="C937" s="5">
        <v>47</v>
      </c>
      <c r="D937" s="6" t="s">
        <v>9912</v>
      </c>
      <c r="E937" s="6" t="s">
        <v>9086</v>
      </c>
      <c r="F937" s="155" t="s">
        <v>478</v>
      </c>
      <c r="H937" s="6" t="s">
        <v>9913</v>
      </c>
      <c r="J937" s="6" t="s">
        <v>9914</v>
      </c>
      <c r="K937" s="16">
        <v>8292428210</v>
      </c>
    </row>
    <row r="938" spans="1:11" ht="14.25" customHeight="1">
      <c r="B938" s="4">
        <v>44389</v>
      </c>
      <c r="C938" s="5">
        <v>48</v>
      </c>
      <c r="D938" s="6" t="s">
        <v>9915</v>
      </c>
      <c r="E938" s="6" t="s">
        <v>7314</v>
      </c>
      <c r="F938" s="155"/>
      <c r="J938" s="6" t="s">
        <v>9916</v>
      </c>
      <c r="K938" s="16">
        <v>8434702198</v>
      </c>
    </row>
    <row r="939" spans="1:11" ht="14.25" customHeight="1">
      <c r="B939" s="4">
        <v>44390</v>
      </c>
      <c r="C939" s="5">
        <v>47</v>
      </c>
      <c r="D939" s="6" t="s">
        <v>9917</v>
      </c>
      <c r="E939" s="6" t="s">
        <v>9086</v>
      </c>
      <c r="F939" s="155" t="s">
        <v>478</v>
      </c>
      <c r="H939" s="6" t="s">
        <v>9918</v>
      </c>
      <c r="J939" s="6" t="s">
        <v>9919</v>
      </c>
      <c r="K939" s="16">
        <v>8797147463</v>
      </c>
    </row>
    <row r="940" spans="1:11" ht="14.25" customHeight="1">
      <c r="A940" s="6" t="s">
        <v>6728</v>
      </c>
      <c r="B940" s="4">
        <v>44393</v>
      </c>
      <c r="C940" s="5">
        <v>48</v>
      </c>
      <c r="D940" s="6" t="s">
        <v>9920</v>
      </c>
      <c r="E940" s="6" t="s">
        <v>9086</v>
      </c>
      <c r="F940" s="155" t="s">
        <v>478</v>
      </c>
      <c r="H940" s="6" t="s">
        <v>9921</v>
      </c>
      <c r="J940" s="6" t="s">
        <v>9922</v>
      </c>
      <c r="K940" s="16">
        <v>8797944753</v>
      </c>
    </row>
    <row r="941" spans="1:11" ht="14.25" customHeight="1">
      <c r="B941" s="4">
        <v>44393</v>
      </c>
      <c r="C941" s="5">
        <v>48</v>
      </c>
      <c r="D941" s="6" t="s">
        <v>9923</v>
      </c>
      <c r="E941" s="6" t="s">
        <v>9086</v>
      </c>
      <c r="F941" s="155" t="s">
        <v>478</v>
      </c>
      <c r="H941" s="6" t="s">
        <v>9924</v>
      </c>
      <c r="J941" s="6" t="s">
        <v>9925</v>
      </c>
      <c r="K941" s="16">
        <v>9973515768</v>
      </c>
    </row>
    <row r="942" spans="1:11" ht="14.25" customHeight="1">
      <c r="B942" s="4">
        <v>44393</v>
      </c>
      <c r="C942" s="5">
        <v>48</v>
      </c>
      <c r="D942" s="6" t="s">
        <v>9926</v>
      </c>
      <c r="E942" s="6" t="s">
        <v>9086</v>
      </c>
      <c r="F942" s="155" t="s">
        <v>478</v>
      </c>
      <c r="H942" s="6" t="s">
        <v>9927</v>
      </c>
      <c r="J942" s="6" t="s">
        <v>9928</v>
      </c>
      <c r="K942" s="16">
        <v>9973515768</v>
      </c>
    </row>
    <row r="943" spans="1:11" ht="14.25" customHeight="1">
      <c r="B943" s="4">
        <v>44393</v>
      </c>
      <c r="C943" s="5">
        <v>48</v>
      </c>
      <c r="D943" s="6" t="s">
        <v>9929</v>
      </c>
      <c r="E943" s="6" t="s">
        <v>9086</v>
      </c>
      <c r="F943" s="155" t="s">
        <v>478</v>
      </c>
      <c r="H943" s="6" t="s">
        <v>9930</v>
      </c>
      <c r="J943" s="6" t="s">
        <v>9931</v>
      </c>
      <c r="K943" s="16">
        <v>9973515768</v>
      </c>
    </row>
    <row r="944" spans="1:11" ht="14.25" customHeight="1">
      <c r="B944" s="4">
        <v>44393</v>
      </c>
      <c r="C944" s="5">
        <v>47</v>
      </c>
      <c r="D944" s="6" t="s">
        <v>9932</v>
      </c>
      <c r="E944" s="6" t="s">
        <v>9086</v>
      </c>
      <c r="F944" s="155" t="s">
        <v>478</v>
      </c>
      <c r="G944" s="4">
        <v>44422</v>
      </c>
      <c r="H944" s="6" t="s">
        <v>9933</v>
      </c>
      <c r="J944" s="6" t="s">
        <v>9934</v>
      </c>
      <c r="K944" s="16" t="s">
        <v>9366</v>
      </c>
    </row>
    <row r="945" spans="1:14" ht="14.25" customHeight="1">
      <c r="B945" s="4">
        <v>44393</v>
      </c>
      <c r="C945" s="5">
        <v>47</v>
      </c>
      <c r="D945" s="6" t="s">
        <v>9935</v>
      </c>
      <c r="E945" s="6" t="s">
        <v>9086</v>
      </c>
      <c r="F945" s="155" t="s">
        <v>478</v>
      </c>
      <c r="G945" s="4">
        <v>44422</v>
      </c>
      <c r="H945" s="6" t="s">
        <v>9936</v>
      </c>
      <c r="J945" s="6" t="s">
        <v>9937</v>
      </c>
      <c r="K945" s="16" t="s">
        <v>9366</v>
      </c>
    </row>
    <row r="946" spans="1:14" ht="14.25" customHeight="1">
      <c r="B946" s="4">
        <v>44393</v>
      </c>
      <c r="C946" s="5">
        <v>48</v>
      </c>
      <c r="D946" s="6" t="s">
        <v>9938</v>
      </c>
      <c r="E946" s="6" t="s">
        <v>9086</v>
      </c>
      <c r="F946" s="155" t="s">
        <v>478</v>
      </c>
      <c r="G946" s="4">
        <v>44422</v>
      </c>
      <c r="H946" s="6" t="s">
        <v>9939</v>
      </c>
      <c r="J946" s="6" t="s">
        <v>9940</v>
      </c>
      <c r="K946" s="16" t="s">
        <v>9941</v>
      </c>
    </row>
    <row r="947" spans="1:14" ht="14.25" customHeight="1">
      <c r="B947" s="4">
        <v>44393</v>
      </c>
      <c r="C947" s="5">
        <v>48</v>
      </c>
      <c r="D947" s="6" t="s">
        <v>9942</v>
      </c>
      <c r="E947" s="6" t="s">
        <v>7314</v>
      </c>
      <c r="F947" s="155"/>
      <c r="J947" s="6" t="s">
        <v>9943</v>
      </c>
      <c r="K947" s="16"/>
      <c r="M947" s="6">
        <v>7979768788</v>
      </c>
      <c r="N947" s="6" t="s">
        <v>9229</v>
      </c>
    </row>
    <row r="948" spans="1:14" ht="14.25" customHeight="1">
      <c r="A948" s="6" t="s">
        <v>6728</v>
      </c>
      <c r="B948" s="4">
        <v>44393</v>
      </c>
      <c r="C948" s="5">
        <v>48</v>
      </c>
      <c r="D948" s="6" t="s">
        <v>9944</v>
      </c>
      <c r="E948" s="6" t="s">
        <v>9086</v>
      </c>
      <c r="F948" s="155" t="s">
        <v>478</v>
      </c>
      <c r="H948" s="6" t="s">
        <v>9945</v>
      </c>
      <c r="J948" s="39" t="s">
        <v>9946</v>
      </c>
      <c r="K948" s="16">
        <v>9430735308</v>
      </c>
    </row>
    <row r="949" spans="1:14" ht="14.25" customHeight="1">
      <c r="A949" s="6" t="s">
        <v>6728</v>
      </c>
      <c r="B949" s="4">
        <v>44394</v>
      </c>
      <c r="C949" s="5">
        <v>48</v>
      </c>
      <c r="D949" s="6" t="s">
        <v>9947</v>
      </c>
      <c r="E949" s="6" t="s">
        <v>9086</v>
      </c>
      <c r="F949" s="155" t="s">
        <v>478</v>
      </c>
      <c r="H949" s="6" t="s">
        <v>9948</v>
      </c>
      <c r="J949" s="6" t="s">
        <v>9949</v>
      </c>
      <c r="K949" s="16">
        <v>9031393100</v>
      </c>
    </row>
    <row r="950" spans="1:14" ht="14.25" customHeight="1">
      <c r="B950" s="4">
        <v>44394</v>
      </c>
      <c r="C950" s="5">
        <v>47</v>
      </c>
      <c r="D950" s="6" t="s">
        <v>9950</v>
      </c>
      <c r="E950" s="6" t="s">
        <v>9086</v>
      </c>
      <c r="F950" s="155" t="s">
        <v>478</v>
      </c>
      <c r="H950" s="6" t="s">
        <v>9951</v>
      </c>
      <c r="J950" s="6" t="s">
        <v>7244</v>
      </c>
      <c r="K950" s="16">
        <v>8797944753</v>
      </c>
    </row>
    <row r="951" spans="1:14" ht="14.25" customHeight="1">
      <c r="C951" s="5"/>
      <c r="D951" s="6" t="s">
        <v>9952</v>
      </c>
      <c r="E951" s="6" t="s">
        <v>1</v>
      </c>
      <c r="F951" s="155"/>
      <c r="H951" s="6" t="s">
        <v>9953</v>
      </c>
      <c r="J951" s="6" t="s">
        <v>9954</v>
      </c>
      <c r="K951" s="16">
        <v>9693615803</v>
      </c>
    </row>
    <row r="952" spans="1:14" ht="14.25" customHeight="1">
      <c r="B952" s="4">
        <v>44399</v>
      </c>
      <c r="C952" s="5">
        <v>47</v>
      </c>
      <c r="D952" s="6" t="s">
        <v>9955</v>
      </c>
      <c r="E952" s="6" t="s">
        <v>8581</v>
      </c>
      <c r="F952" s="155"/>
      <c r="H952" s="6" t="s">
        <v>9956</v>
      </c>
      <c r="J952" s="6" t="s">
        <v>5807</v>
      </c>
      <c r="K952" s="16">
        <v>8709494870</v>
      </c>
    </row>
    <row r="953" spans="1:14" ht="14.25" customHeight="1">
      <c r="A953" s="6" t="s">
        <v>8191</v>
      </c>
      <c r="B953" s="4">
        <v>44399</v>
      </c>
      <c r="C953" s="5">
        <v>49</v>
      </c>
      <c r="D953" s="6" t="s">
        <v>9957</v>
      </c>
      <c r="E953" s="6" t="s">
        <v>9086</v>
      </c>
      <c r="F953" s="155" t="s">
        <v>478</v>
      </c>
      <c r="H953" s="6" t="s">
        <v>9895</v>
      </c>
      <c r="J953" s="6" t="s">
        <v>5676</v>
      </c>
      <c r="K953" s="16">
        <v>9939247670</v>
      </c>
    </row>
    <row r="954" spans="1:14" ht="14.25" customHeight="1">
      <c r="A954" s="6">
        <v>30</v>
      </c>
      <c r="B954" s="4">
        <v>44399</v>
      </c>
      <c r="C954" s="5">
        <v>47</v>
      </c>
      <c r="D954" s="6" t="s">
        <v>9958</v>
      </c>
      <c r="E954" s="6" t="s">
        <v>9086</v>
      </c>
      <c r="F954" s="155" t="s">
        <v>9180</v>
      </c>
      <c r="G954" s="4">
        <v>34758</v>
      </c>
      <c r="H954" s="6" t="s">
        <v>9959</v>
      </c>
      <c r="J954" s="6" t="s">
        <v>9960</v>
      </c>
      <c r="K954" s="16">
        <v>7004518771</v>
      </c>
    </row>
    <row r="955" spans="1:14" ht="14.25" customHeight="1">
      <c r="A955" s="6" t="s">
        <v>9961</v>
      </c>
      <c r="B955" s="4">
        <v>44399</v>
      </c>
      <c r="C955" s="5">
        <v>48</v>
      </c>
      <c r="D955" s="6" t="s">
        <v>9962</v>
      </c>
      <c r="E955" s="6" t="s">
        <v>9162</v>
      </c>
      <c r="F955" s="155" t="s">
        <v>478</v>
      </c>
      <c r="H955" s="6" t="s">
        <v>9963</v>
      </c>
      <c r="J955" s="6" t="s">
        <v>9964</v>
      </c>
      <c r="K955" s="16">
        <v>7654724188</v>
      </c>
    </row>
    <row r="956" spans="1:14" ht="14.25" customHeight="1">
      <c r="B956" s="4">
        <v>44403</v>
      </c>
      <c r="C956" s="5">
        <v>48</v>
      </c>
      <c r="D956" s="6" t="s">
        <v>9965</v>
      </c>
      <c r="E956" s="6" t="s">
        <v>9162</v>
      </c>
      <c r="F956" s="155" t="s">
        <v>478</v>
      </c>
      <c r="G956" s="4">
        <v>44422</v>
      </c>
      <c r="H956" s="6" t="s">
        <v>9966</v>
      </c>
      <c r="J956" s="6" t="s">
        <v>9967</v>
      </c>
      <c r="K956" s="16" t="s">
        <v>9907</v>
      </c>
    </row>
    <row r="957" spans="1:14" ht="14.25" customHeight="1">
      <c r="A957" s="6" t="s">
        <v>9961</v>
      </c>
      <c r="B957" s="4">
        <v>44403</v>
      </c>
      <c r="C957" s="5">
        <v>47</v>
      </c>
      <c r="D957" s="6" t="s">
        <v>9968</v>
      </c>
      <c r="E957" s="6" t="s">
        <v>9162</v>
      </c>
      <c r="F957" s="155" t="s">
        <v>8610</v>
      </c>
      <c r="H957" s="6" t="s">
        <v>9969</v>
      </c>
      <c r="J957" s="6" t="s">
        <v>9970</v>
      </c>
      <c r="K957" s="16">
        <v>6203401311</v>
      </c>
    </row>
    <row r="958" spans="1:14" ht="14.25" customHeight="1">
      <c r="A958" s="6" t="s">
        <v>9961</v>
      </c>
      <c r="B958" s="4">
        <v>44403</v>
      </c>
      <c r="C958" s="5">
        <v>47</v>
      </c>
      <c r="D958" s="6" t="s">
        <v>9971</v>
      </c>
      <c r="E958" s="6" t="s">
        <v>9162</v>
      </c>
      <c r="F958" s="155" t="s">
        <v>8610</v>
      </c>
      <c r="H958" s="6" t="s">
        <v>9972</v>
      </c>
      <c r="J958" s="6" t="s">
        <v>9973</v>
      </c>
      <c r="K958" s="16">
        <v>6203401311</v>
      </c>
    </row>
    <row r="959" spans="1:14" ht="14.25" customHeight="1">
      <c r="B959" s="4">
        <v>44403</v>
      </c>
      <c r="C959" s="5">
        <v>49</v>
      </c>
      <c r="D959" s="6" t="s">
        <v>9974</v>
      </c>
      <c r="E959" s="6" t="s">
        <v>9162</v>
      </c>
      <c r="F959" s="155"/>
      <c r="H959" s="6" t="s">
        <v>9975</v>
      </c>
      <c r="J959" s="6" t="s">
        <v>8151</v>
      </c>
      <c r="K959" s="16" t="s">
        <v>9907</v>
      </c>
    </row>
    <row r="960" spans="1:14" ht="14.25" customHeight="1">
      <c r="B960" s="4">
        <v>44405</v>
      </c>
      <c r="C960" s="5">
        <v>49</v>
      </c>
      <c r="D960" s="6" t="s">
        <v>9976</v>
      </c>
      <c r="E960" s="6" t="s">
        <v>8266</v>
      </c>
      <c r="F960" s="155"/>
      <c r="H960" s="6" t="s">
        <v>9977</v>
      </c>
      <c r="J960" s="6" t="s">
        <v>9978</v>
      </c>
      <c r="K960" s="16">
        <v>7667508684</v>
      </c>
    </row>
    <row r="961" spans="1:11" ht="14.25" customHeight="1">
      <c r="B961" s="4">
        <v>44406</v>
      </c>
      <c r="C961" s="5">
        <v>49</v>
      </c>
      <c r="D961" s="6" t="s">
        <v>9979</v>
      </c>
      <c r="E961" s="6" t="s">
        <v>9980</v>
      </c>
      <c r="F961" s="155"/>
      <c r="H961" s="6" t="s">
        <v>9981</v>
      </c>
      <c r="J961" s="6" t="s">
        <v>9982</v>
      </c>
      <c r="K961" s="16">
        <v>7033381504</v>
      </c>
    </row>
    <row r="962" spans="1:11" ht="14.25" customHeight="1">
      <c r="B962" s="4">
        <v>44406</v>
      </c>
      <c r="C962" s="5">
        <v>49</v>
      </c>
      <c r="D962" s="6" t="s">
        <v>9983</v>
      </c>
      <c r="F962" s="155"/>
      <c r="H962" s="6" t="s">
        <v>9984</v>
      </c>
      <c r="J962" s="6" t="s">
        <v>9693</v>
      </c>
      <c r="K962" s="16">
        <v>7070698755</v>
      </c>
    </row>
    <row r="963" spans="1:11" ht="14.25" customHeight="1">
      <c r="A963" s="6" t="s">
        <v>6728</v>
      </c>
      <c r="B963" s="4">
        <v>44410</v>
      </c>
      <c r="C963" s="5">
        <v>46</v>
      </c>
      <c r="D963" s="6" t="s">
        <v>9985</v>
      </c>
      <c r="E963" s="6" t="s">
        <v>9086</v>
      </c>
      <c r="F963" s="155" t="s">
        <v>8610</v>
      </c>
      <c r="H963" s="6" t="s">
        <v>9986</v>
      </c>
      <c r="J963" s="6" t="s">
        <v>9987</v>
      </c>
      <c r="K963" s="16">
        <v>6203096726</v>
      </c>
    </row>
    <row r="964" spans="1:11" ht="14.25" customHeight="1">
      <c r="A964" s="6" t="s">
        <v>6728</v>
      </c>
      <c r="B964" s="4">
        <v>44410</v>
      </c>
      <c r="C964" s="5">
        <v>46</v>
      </c>
      <c r="D964" s="6" t="s">
        <v>9988</v>
      </c>
      <c r="E964" s="6" t="s">
        <v>9086</v>
      </c>
      <c r="F964" s="155" t="s">
        <v>8610</v>
      </c>
      <c r="H964" s="6" t="s">
        <v>9989</v>
      </c>
      <c r="J964" s="6" t="s">
        <v>9521</v>
      </c>
      <c r="K964" s="16">
        <v>9279307342</v>
      </c>
    </row>
    <row r="965" spans="1:11" ht="14.25" customHeight="1">
      <c r="A965" s="6" t="s">
        <v>6728</v>
      </c>
      <c r="B965" s="4">
        <v>44411</v>
      </c>
      <c r="C965" s="5">
        <v>47</v>
      </c>
      <c r="D965" s="6" t="s">
        <v>9990</v>
      </c>
      <c r="E965" s="6" t="s">
        <v>9212</v>
      </c>
      <c r="F965" s="155" t="s">
        <v>478</v>
      </c>
      <c r="H965" s="6" t="s">
        <v>9991</v>
      </c>
      <c r="J965" s="6" t="s">
        <v>3686</v>
      </c>
      <c r="K965" s="16">
        <v>9693615803</v>
      </c>
    </row>
    <row r="966" spans="1:11" ht="14.25" customHeight="1">
      <c r="B966" s="4">
        <v>44415</v>
      </c>
      <c r="C966" s="5">
        <v>48</v>
      </c>
      <c r="D966" s="6" t="s">
        <v>9992</v>
      </c>
      <c r="E966" s="6" t="s">
        <v>9086</v>
      </c>
      <c r="F966" s="155" t="s">
        <v>9180</v>
      </c>
      <c r="H966" s="6" t="s">
        <v>9993</v>
      </c>
      <c r="J966" s="6" t="s">
        <v>9994</v>
      </c>
      <c r="K966" s="16">
        <v>9279327783</v>
      </c>
    </row>
    <row r="967" spans="1:11" ht="14.25" customHeight="1">
      <c r="B967" s="4">
        <v>44415</v>
      </c>
      <c r="C967" s="5">
        <v>48</v>
      </c>
      <c r="D967" s="6" t="s">
        <v>9995</v>
      </c>
      <c r="E967" s="6" t="s">
        <v>9086</v>
      </c>
      <c r="F967" s="155" t="s">
        <v>8610</v>
      </c>
      <c r="H967" s="6" t="s">
        <v>9996</v>
      </c>
      <c r="J967" s="6" t="s">
        <v>9997</v>
      </c>
      <c r="K967" s="16">
        <v>8294922551</v>
      </c>
    </row>
    <row r="968" spans="1:11" ht="14.25" customHeight="1">
      <c r="B968" s="4">
        <v>44418</v>
      </c>
      <c r="C968" s="5">
        <v>47</v>
      </c>
      <c r="E968" s="6" t="s">
        <v>9086</v>
      </c>
      <c r="F968" s="155" t="s">
        <v>478</v>
      </c>
      <c r="H968" s="6" t="s">
        <v>9998</v>
      </c>
      <c r="J968" s="6" t="s">
        <v>9999</v>
      </c>
      <c r="K968" s="16" t="s">
        <v>8497</v>
      </c>
    </row>
    <row r="969" spans="1:11" ht="14.25" customHeight="1">
      <c r="B969" s="4">
        <v>44418</v>
      </c>
      <c r="C969" s="5">
        <v>47</v>
      </c>
      <c r="E969" s="6" t="s">
        <v>9086</v>
      </c>
      <c r="F969" s="155" t="s">
        <v>478</v>
      </c>
      <c r="H969" s="6" t="s">
        <v>10000</v>
      </c>
      <c r="J969" s="6" t="s">
        <v>2745</v>
      </c>
      <c r="K969" s="16" t="s">
        <v>8497</v>
      </c>
    </row>
    <row r="970" spans="1:11" ht="14.25" customHeight="1">
      <c r="B970" s="4">
        <v>44418</v>
      </c>
      <c r="C970" s="5">
        <v>48</v>
      </c>
      <c r="D970" s="6" t="s">
        <v>10001</v>
      </c>
      <c r="E970" s="6" t="s">
        <v>9086</v>
      </c>
      <c r="F970" s="155"/>
      <c r="H970" s="6" t="s">
        <v>10002</v>
      </c>
      <c r="J970" s="6" t="s">
        <v>10003</v>
      </c>
      <c r="K970" s="16" t="s">
        <v>8497</v>
      </c>
    </row>
    <row r="971" spans="1:11" ht="14.25" customHeight="1">
      <c r="B971" s="4">
        <v>44418</v>
      </c>
      <c r="C971" s="5">
        <v>48</v>
      </c>
      <c r="D971" s="6" t="s">
        <v>10004</v>
      </c>
      <c r="E971" s="6" t="s">
        <v>7411</v>
      </c>
      <c r="F971" s="155"/>
      <c r="G971" s="227" t="s">
        <v>10005</v>
      </c>
      <c r="H971" s="6" t="s">
        <v>7423</v>
      </c>
      <c r="J971" s="6" t="s">
        <v>10006</v>
      </c>
      <c r="K971" s="16">
        <v>9204702568</v>
      </c>
    </row>
    <row r="972" spans="1:11" ht="14.25" customHeight="1">
      <c r="B972" s="4">
        <v>44418</v>
      </c>
      <c r="C972" s="5">
        <v>47</v>
      </c>
      <c r="D972" s="6" t="s">
        <v>10007</v>
      </c>
      <c r="E972" s="6" t="s">
        <v>7411</v>
      </c>
      <c r="F972" s="155"/>
      <c r="G972" s="6" t="s">
        <v>10008</v>
      </c>
      <c r="H972" s="6" t="s">
        <v>7314</v>
      </c>
      <c r="J972" s="6" t="s">
        <v>5752</v>
      </c>
      <c r="K972" s="16">
        <v>8210532188</v>
      </c>
    </row>
    <row r="973" spans="1:11" ht="14.25" customHeight="1">
      <c r="B973" s="4">
        <v>44418</v>
      </c>
      <c r="C973" s="5">
        <v>47</v>
      </c>
      <c r="D973" s="6" t="s">
        <v>10009</v>
      </c>
      <c r="E973" s="6" t="s">
        <v>7411</v>
      </c>
      <c r="F973" s="155"/>
      <c r="G973" s="6" t="s">
        <v>10008</v>
      </c>
      <c r="H973" s="6" t="s">
        <v>7314</v>
      </c>
      <c r="J973" s="6" t="s">
        <v>10010</v>
      </c>
      <c r="K973" s="16">
        <v>7992345718</v>
      </c>
    </row>
    <row r="974" spans="1:11" ht="14.25" customHeight="1">
      <c r="B974" s="4">
        <v>44418</v>
      </c>
      <c r="C974" s="5">
        <v>47</v>
      </c>
      <c r="D974" s="6" t="s">
        <v>10011</v>
      </c>
      <c r="E974" s="6" t="s">
        <v>7411</v>
      </c>
      <c r="F974" s="155"/>
      <c r="G974" s="6" t="s">
        <v>10008</v>
      </c>
      <c r="H974" s="6" t="s">
        <v>7314</v>
      </c>
      <c r="J974" s="6" t="s">
        <v>10012</v>
      </c>
      <c r="K974" s="16">
        <v>9798492521</v>
      </c>
    </row>
    <row r="975" spans="1:11" ht="14.25" customHeight="1">
      <c r="B975" s="4">
        <v>44418</v>
      </c>
      <c r="C975" s="5">
        <v>47</v>
      </c>
      <c r="D975" s="6" t="s">
        <v>10013</v>
      </c>
      <c r="E975" s="6" t="s">
        <v>9453</v>
      </c>
      <c r="F975" s="155"/>
      <c r="G975" s="6" t="s">
        <v>10014</v>
      </c>
      <c r="H975" s="6" t="s">
        <v>9453</v>
      </c>
      <c r="J975" s="6" t="s">
        <v>5748</v>
      </c>
      <c r="K975" s="16">
        <v>6204737840</v>
      </c>
    </row>
    <row r="976" spans="1:11" ht="14.25" customHeight="1">
      <c r="B976" s="4">
        <v>44419</v>
      </c>
      <c r="C976" s="5">
        <v>47</v>
      </c>
      <c r="D976" s="6" t="s">
        <v>10015</v>
      </c>
      <c r="E976" s="6" t="s">
        <v>7411</v>
      </c>
      <c r="F976" s="155"/>
      <c r="G976" s="6" t="s">
        <v>10008</v>
      </c>
      <c r="H976" s="6" t="s">
        <v>7411</v>
      </c>
      <c r="J976" s="6" t="s">
        <v>10016</v>
      </c>
      <c r="K976" s="16">
        <v>9234409863</v>
      </c>
    </row>
    <row r="977" spans="1:11" ht="14.25" customHeight="1">
      <c r="B977" s="4">
        <v>44419</v>
      </c>
      <c r="C977" s="5">
        <v>48</v>
      </c>
      <c r="D977" s="6" t="s">
        <v>10017</v>
      </c>
      <c r="E977" s="6" t="s">
        <v>10018</v>
      </c>
      <c r="F977" s="155"/>
      <c r="G977" s="6" t="s">
        <v>10014</v>
      </c>
      <c r="H977" s="6" t="s">
        <v>10019</v>
      </c>
      <c r="J977" s="6" t="s">
        <v>10020</v>
      </c>
      <c r="K977" s="16">
        <v>9835516933</v>
      </c>
    </row>
    <row r="978" spans="1:11" ht="14.25" customHeight="1">
      <c r="B978" s="4">
        <v>44419</v>
      </c>
      <c r="C978" s="5">
        <v>48</v>
      </c>
      <c r="D978" s="6" t="s">
        <v>10021</v>
      </c>
      <c r="E978" s="6" t="s">
        <v>10018</v>
      </c>
      <c r="F978" s="155"/>
      <c r="G978" s="6" t="s">
        <v>10014</v>
      </c>
      <c r="H978" s="6" t="s">
        <v>10022</v>
      </c>
      <c r="J978" s="6" t="s">
        <v>10023</v>
      </c>
      <c r="K978" s="16">
        <v>9065513119</v>
      </c>
    </row>
    <row r="979" spans="1:11" ht="14.25" customHeight="1">
      <c r="C979" s="5"/>
      <c r="F979" s="155"/>
      <c r="G979" s="6" t="s">
        <v>10024</v>
      </c>
      <c r="H979" s="6" t="s">
        <v>10025</v>
      </c>
      <c r="J979" s="6" t="s">
        <v>10026</v>
      </c>
      <c r="K979" s="16" t="s">
        <v>9907</v>
      </c>
    </row>
    <row r="980" spans="1:11" ht="14.25" customHeight="1">
      <c r="C980" s="5"/>
      <c r="F980" s="155"/>
      <c r="H980" s="6" t="s">
        <v>10027</v>
      </c>
      <c r="J980" s="6" t="s">
        <v>10028</v>
      </c>
      <c r="K980" s="16" t="s">
        <v>9907</v>
      </c>
    </row>
    <row r="981" spans="1:11" ht="14.25" customHeight="1">
      <c r="A981" s="47" t="s">
        <v>9226</v>
      </c>
      <c r="B981" s="4">
        <v>44422</v>
      </c>
      <c r="C981" s="5">
        <v>48</v>
      </c>
      <c r="E981" s="6" t="s">
        <v>9086</v>
      </c>
      <c r="F981" s="155"/>
      <c r="H981" s="6" t="s">
        <v>10029</v>
      </c>
      <c r="J981" s="6" t="s">
        <v>10030</v>
      </c>
      <c r="K981" s="16">
        <v>9204359913</v>
      </c>
    </row>
    <row r="982" spans="1:11" ht="14.25" customHeight="1">
      <c r="A982" s="47" t="s">
        <v>9226</v>
      </c>
      <c r="B982" s="4">
        <v>44422</v>
      </c>
      <c r="C982" s="5">
        <v>48</v>
      </c>
      <c r="E982" s="6" t="s">
        <v>9086</v>
      </c>
      <c r="F982" s="155"/>
      <c r="H982" s="6" t="s">
        <v>10031</v>
      </c>
      <c r="J982" s="6" t="s">
        <v>10032</v>
      </c>
      <c r="K982" s="16">
        <v>9204359913</v>
      </c>
    </row>
    <row r="983" spans="1:11" ht="14.25" customHeight="1">
      <c r="A983" s="47" t="s">
        <v>9226</v>
      </c>
      <c r="B983" s="4">
        <v>44422</v>
      </c>
      <c r="C983" s="5">
        <v>48</v>
      </c>
      <c r="E983" s="6" t="s">
        <v>9086</v>
      </c>
      <c r="F983" s="155"/>
      <c r="H983" s="6" t="s">
        <v>10033</v>
      </c>
      <c r="J983" s="6" t="s">
        <v>10034</v>
      </c>
      <c r="K983" s="16">
        <v>9204359913</v>
      </c>
    </row>
    <row r="984" spans="1:11" ht="14.25" customHeight="1">
      <c r="B984" s="4">
        <v>44426</v>
      </c>
      <c r="C984" s="5">
        <v>47</v>
      </c>
      <c r="D984" s="6" t="s">
        <v>10035</v>
      </c>
      <c r="E984" s="6" t="s">
        <v>10036</v>
      </c>
      <c r="F984" s="155"/>
      <c r="H984" s="6" t="s">
        <v>10037</v>
      </c>
      <c r="J984" s="6" t="s">
        <v>10038</v>
      </c>
      <c r="K984" s="16">
        <v>8825110568</v>
      </c>
    </row>
    <row r="985" spans="1:11" ht="14.25" customHeight="1">
      <c r="B985" s="4">
        <v>44426</v>
      </c>
      <c r="C985" s="5">
        <v>48</v>
      </c>
      <c r="D985" s="6" t="s">
        <v>10039</v>
      </c>
      <c r="E985" s="6" t="s">
        <v>10040</v>
      </c>
      <c r="F985" s="155"/>
      <c r="G985" s="6" t="s">
        <v>10014</v>
      </c>
      <c r="H985" s="6" t="s">
        <v>10041</v>
      </c>
      <c r="J985" s="6" t="s">
        <v>10042</v>
      </c>
      <c r="K985" s="16">
        <v>9835367649</v>
      </c>
    </row>
    <row r="986" spans="1:11" ht="14.25" customHeight="1">
      <c r="B986" s="4">
        <v>201</v>
      </c>
      <c r="C986" s="5">
        <v>48</v>
      </c>
      <c r="D986" s="6" t="s">
        <v>10043</v>
      </c>
      <c r="E986" s="6" t="s">
        <v>7314</v>
      </c>
      <c r="F986" s="155"/>
      <c r="G986" s="6" t="s">
        <v>10014</v>
      </c>
      <c r="H986" s="227" t="s">
        <v>10044</v>
      </c>
      <c r="J986" s="6" t="s">
        <v>10045</v>
      </c>
      <c r="K986" s="16">
        <v>9934173783</v>
      </c>
    </row>
    <row r="987" spans="1:11" ht="14.25" customHeight="1">
      <c r="B987" s="4">
        <v>201</v>
      </c>
      <c r="C987" s="5">
        <v>47</v>
      </c>
      <c r="D987" s="6" t="s">
        <v>10046</v>
      </c>
      <c r="E987" s="6" t="s">
        <v>7314</v>
      </c>
      <c r="F987" s="155"/>
      <c r="G987" s="6" t="s">
        <v>10008</v>
      </c>
      <c r="J987" s="6" t="s">
        <v>10047</v>
      </c>
      <c r="K987" s="16">
        <v>8797023758</v>
      </c>
    </row>
    <row r="988" spans="1:11" ht="14.25" customHeight="1">
      <c r="B988" s="4">
        <v>44429</v>
      </c>
      <c r="C988" s="5">
        <v>48</v>
      </c>
      <c r="D988" s="6" t="s">
        <v>10048</v>
      </c>
      <c r="E988" s="6" t="s">
        <v>7314</v>
      </c>
      <c r="F988" s="155"/>
      <c r="G988" s="6" t="s">
        <v>10014</v>
      </c>
      <c r="H988" s="227" t="s">
        <v>10049</v>
      </c>
      <c r="J988" s="6" t="s">
        <v>5296</v>
      </c>
      <c r="K988" s="16">
        <v>7633970466</v>
      </c>
    </row>
    <row r="989" spans="1:11" ht="14.25" customHeight="1">
      <c r="B989" s="4">
        <v>44432</v>
      </c>
      <c r="C989" s="5">
        <v>47</v>
      </c>
      <c r="D989" s="6" t="s">
        <v>10050</v>
      </c>
      <c r="E989" s="6" t="s">
        <v>1</v>
      </c>
      <c r="F989" s="155"/>
      <c r="G989" s="6" t="s">
        <v>10014</v>
      </c>
      <c r="H989" s="6" t="s">
        <v>10051</v>
      </c>
      <c r="J989" s="6" t="s">
        <v>10052</v>
      </c>
      <c r="K989" s="16">
        <v>8210321230</v>
      </c>
    </row>
    <row r="990" spans="1:11" ht="14.25" customHeight="1">
      <c r="B990" s="4">
        <v>44432</v>
      </c>
      <c r="C990" s="5">
        <v>47</v>
      </c>
      <c r="D990" s="6" t="s">
        <v>10053</v>
      </c>
      <c r="E990" s="6" t="s">
        <v>10054</v>
      </c>
      <c r="F990" s="155"/>
      <c r="G990" s="6" t="s">
        <v>10008</v>
      </c>
      <c r="J990" s="6" t="s">
        <v>10055</v>
      </c>
      <c r="K990" s="16">
        <v>9031723901</v>
      </c>
    </row>
    <row r="991" spans="1:11" ht="14.25" customHeight="1">
      <c r="B991" s="4">
        <v>44433</v>
      </c>
      <c r="C991" s="5">
        <v>48</v>
      </c>
      <c r="D991" s="6" t="s">
        <v>10056</v>
      </c>
      <c r="E991" s="6" t="s">
        <v>7411</v>
      </c>
      <c r="F991" s="155"/>
      <c r="G991" s="6" t="s">
        <v>10008</v>
      </c>
      <c r="J991" s="6" t="s">
        <v>10057</v>
      </c>
      <c r="K991" s="16">
        <v>7903551190</v>
      </c>
    </row>
    <row r="992" spans="1:11" ht="14.25" customHeight="1">
      <c r="B992" s="4">
        <v>44435</v>
      </c>
      <c r="C992" s="5">
        <v>48</v>
      </c>
      <c r="D992" s="6" t="s">
        <v>10058</v>
      </c>
      <c r="E992" s="6" t="s">
        <v>7411</v>
      </c>
      <c r="F992" s="155"/>
      <c r="G992" s="6" t="s">
        <v>10014</v>
      </c>
      <c r="H992" s="227" t="s">
        <v>10059</v>
      </c>
      <c r="J992" s="6" t="s">
        <v>10060</v>
      </c>
      <c r="K992" s="16">
        <v>9534086098</v>
      </c>
    </row>
    <row r="993" spans="2:12" ht="14.25" customHeight="1">
      <c r="B993" s="4">
        <v>44441</v>
      </c>
      <c r="C993" s="5">
        <v>47</v>
      </c>
      <c r="D993" s="6" t="s">
        <v>10061</v>
      </c>
      <c r="E993" s="6" t="s">
        <v>7411</v>
      </c>
      <c r="F993" s="155"/>
      <c r="G993" s="6" t="s">
        <v>10008</v>
      </c>
      <c r="J993" s="6" t="s">
        <v>10062</v>
      </c>
      <c r="K993" s="16">
        <v>9308383695</v>
      </c>
      <c r="L993" s="6" t="s">
        <v>9229</v>
      </c>
    </row>
    <row r="994" spans="2:12" ht="14.25" customHeight="1">
      <c r="B994" s="4">
        <v>44441</v>
      </c>
      <c r="C994" s="5">
        <v>48</v>
      </c>
      <c r="D994" s="6" t="s">
        <v>10063</v>
      </c>
      <c r="E994" s="6" t="s">
        <v>130</v>
      </c>
      <c r="F994" s="155"/>
      <c r="H994" s="6" t="s">
        <v>10064</v>
      </c>
      <c r="J994" s="6" t="s">
        <v>10065</v>
      </c>
      <c r="K994" s="16">
        <v>9523402625</v>
      </c>
    </row>
    <row r="995" spans="2:12" ht="14.25" customHeight="1">
      <c r="B995" s="4">
        <v>44441</v>
      </c>
      <c r="C995" s="5">
        <v>47</v>
      </c>
      <c r="D995" s="6" t="s">
        <v>10066</v>
      </c>
      <c r="E995" s="6" t="s">
        <v>7411</v>
      </c>
      <c r="F995" s="155"/>
      <c r="G995" s="6" t="s">
        <v>10008</v>
      </c>
      <c r="J995" s="6" t="s">
        <v>956</v>
      </c>
      <c r="K995" s="16">
        <v>9608511707</v>
      </c>
    </row>
    <row r="996" spans="2:12" ht="14.25" customHeight="1">
      <c r="B996" s="4">
        <v>44441</v>
      </c>
      <c r="C996" s="5">
        <v>47</v>
      </c>
      <c r="D996" s="6" t="s">
        <v>10067</v>
      </c>
      <c r="E996" s="6" t="s">
        <v>7411</v>
      </c>
      <c r="F996" s="155"/>
      <c r="G996" s="6" t="s">
        <v>10008</v>
      </c>
      <c r="J996" s="6" t="s">
        <v>8903</v>
      </c>
      <c r="K996" s="16">
        <v>8092713108</v>
      </c>
    </row>
    <row r="997" spans="2:12" ht="14.25" customHeight="1">
      <c r="B997" s="4">
        <v>44445</v>
      </c>
      <c r="C997" s="5">
        <v>47</v>
      </c>
      <c r="D997" s="6" t="s">
        <v>10068</v>
      </c>
      <c r="F997" s="155"/>
      <c r="G997" s="6" t="s">
        <v>10008</v>
      </c>
      <c r="H997" s="6" t="s">
        <v>10069</v>
      </c>
      <c r="J997" s="6" t="s">
        <v>10070</v>
      </c>
      <c r="K997" s="6">
        <v>8002082443</v>
      </c>
    </row>
    <row r="998" spans="2:12" ht="14.25" customHeight="1">
      <c r="C998" s="5"/>
      <c r="D998" s="6" t="s">
        <v>10071</v>
      </c>
      <c r="E998" s="6" t="s">
        <v>7411</v>
      </c>
      <c r="F998" s="155"/>
      <c r="J998" s="6" t="s">
        <v>10072</v>
      </c>
      <c r="K998" s="16">
        <v>9204232274</v>
      </c>
    </row>
    <row r="999" spans="2:12" ht="14.25" customHeight="1">
      <c r="C999" s="5"/>
      <c r="D999" s="6" t="s">
        <v>10073</v>
      </c>
      <c r="E999" s="6" t="s">
        <v>10074</v>
      </c>
      <c r="F999" s="155"/>
      <c r="G999" s="6" t="s">
        <v>10008</v>
      </c>
      <c r="H999" s="6" t="s">
        <v>10075</v>
      </c>
      <c r="K999" s="16">
        <v>8809400227</v>
      </c>
    </row>
    <row r="1000" spans="2:12" ht="14.25" customHeight="1">
      <c r="B1000" s="4">
        <v>44446</v>
      </c>
      <c r="C1000" s="5">
        <v>47</v>
      </c>
      <c r="D1000" s="6" t="s">
        <v>10076</v>
      </c>
      <c r="E1000" s="6" t="s">
        <v>7423</v>
      </c>
      <c r="F1000" s="155"/>
      <c r="G1000" s="6" t="s">
        <v>10008</v>
      </c>
      <c r="J1000" s="6" t="s">
        <v>10077</v>
      </c>
      <c r="K1000" s="16">
        <v>9973515072</v>
      </c>
    </row>
    <row r="1001" spans="2:12" ht="14.25" customHeight="1">
      <c r="B1001" s="4">
        <v>44446</v>
      </c>
      <c r="C1001" s="5">
        <v>47</v>
      </c>
      <c r="D1001" s="6" t="s">
        <v>10078</v>
      </c>
      <c r="E1001" s="6" t="s">
        <v>7423</v>
      </c>
      <c r="F1001" s="155"/>
      <c r="G1001" s="6" t="s">
        <v>10008</v>
      </c>
      <c r="J1001" s="6" t="s">
        <v>10079</v>
      </c>
      <c r="K1001" s="16">
        <v>9934769413</v>
      </c>
    </row>
    <row r="1002" spans="2:12" ht="14.25" customHeight="1">
      <c r="B1002" s="4">
        <v>44446</v>
      </c>
      <c r="C1002" s="5">
        <v>47</v>
      </c>
      <c r="D1002" s="6" t="s">
        <v>10080</v>
      </c>
      <c r="E1002" s="6" t="s">
        <v>7423</v>
      </c>
      <c r="F1002" s="155"/>
      <c r="J1002" s="6" t="s">
        <v>10081</v>
      </c>
      <c r="K1002" s="16"/>
    </row>
    <row r="1003" spans="2:12" ht="14.25" customHeight="1">
      <c r="B1003" s="4">
        <v>44446</v>
      </c>
      <c r="C1003" s="5">
        <v>47</v>
      </c>
      <c r="D1003" s="6" t="s">
        <v>10082</v>
      </c>
      <c r="E1003" s="6" t="s">
        <v>7423</v>
      </c>
      <c r="F1003" s="155"/>
      <c r="G1003" s="6" t="s">
        <v>10008</v>
      </c>
      <c r="J1003" s="6" t="s">
        <v>10083</v>
      </c>
      <c r="K1003" s="16">
        <v>7482893501</v>
      </c>
    </row>
    <row r="1004" spans="2:12" ht="14.25" customHeight="1">
      <c r="B1004" s="4">
        <v>44446</v>
      </c>
      <c r="C1004" s="5">
        <v>47</v>
      </c>
      <c r="D1004" s="6" t="s">
        <v>10084</v>
      </c>
      <c r="E1004" s="6" t="s">
        <v>7423</v>
      </c>
      <c r="F1004" s="155"/>
      <c r="G1004" s="6" t="s">
        <v>10008</v>
      </c>
      <c r="J1004" s="6" t="s">
        <v>10085</v>
      </c>
      <c r="K1004" s="16">
        <v>9204025469</v>
      </c>
    </row>
    <row r="1005" spans="2:12" ht="14.25" customHeight="1">
      <c r="B1005" s="4">
        <v>44448</v>
      </c>
      <c r="C1005" s="5">
        <v>47</v>
      </c>
      <c r="D1005" s="6" t="s">
        <v>10086</v>
      </c>
      <c r="E1005" s="6" t="s">
        <v>9453</v>
      </c>
      <c r="F1005" s="155"/>
      <c r="H1005" s="6" t="s">
        <v>10087</v>
      </c>
      <c r="J1005" s="6" t="s">
        <v>10088</v>
      </c>
      <c r="K1005" s="16">
        <v>9431348797</v>
      </c>
    </row>
    <row r="1006" spans="2:12" ht="14.25" customHeight="1">
      <c r="B1006" s="4">
        <v>44448</v>
      </c>
      <c r="C1006" s="5">
        <v>47</v>
      </c>
      <c r="D1006" s="6" t="s">
        <v>10089</v>
      </c>
      <c r="E1006" s="6" t="s">
        <v>7423</v>
      </c>
      <c r="F1006" s="155"/>
      <c r="J1006" s="6" t="s">
        <v>10090</v>
      </c>
      <c r="K1006" s="16">
        <v>9582145665</v>
      </c>
    </row>
    <row r="1007" spans="2:12" ht="14.25" customHeight="1">
      <c r="B1007" s="4">
        <v>44448</v>
      </c>
      <c r="C1007" s="5">
        <v>47</v>
      </c>
      <c r="D1007" s="6" t="s">
        <v>10091</v>
      </c>
      <c r="E1007" s="6" t="s">
        <v>7423</v>
      </c>
      <c r="F1007" s="155"/>
      <c r="J1007" s="6" t="s">
        <v>10092</v>
      </c>
      <c r="K1007" s="16">
        <v>9732367877</v>
      </c>
    </row>
    <row r="1008" spans="2:12" ht="14.25" customHeight="1">
      <c r="B1008" s="4">
        <v>44448</v>
      </c>
      <c r="C1008" s="5">
        <v>47</v>
      </c>
      <c r="D1008" s="6" t="s">
        <v>10093</v>
      </c>
      <c r="E1008" s="6" t="s">
        <v>7423</v>
      </c>
      <c r="F1008" s="155"/>
      <c r="J1008" s="6" t="s">
        <v>10094</v>
      </c>
      <c r="K1008" s="16">
        <v>8709171261</v>
      </c>
    </row>
    <row r="1009" spans="2:11" ht="14.25" customHeight="1">
      <c r="B1009" s="4">
        <v>44448</v>
      </c>
      <c r="C1009" s="5">
        <v>47</v>
      </c>
      <c r="D1009" s="6" t="s">
        <v>10095</v>
      </c>
      <c r="E1009" s="6" t="s">
        <v>7423</v>
      </c>
      <c r="F1009" s="155"/>
      <c r="J1009" s="6" t="s">
        <v>10096</v>
      </c>
      <c r="K1009" s="16">
        <v>9955535990</v>
      </c>
    </row>
    <row r="1010" spans="2:11" ht="14.25" customHeight="1">
      <c r="B1010" s="4">
        <v>44448</v>
      </c>
      <c r="C1010" s="5">
        <v>47</v>
      </c>
      <c r="D1010" s="6" t="s">
        <v>10097</v>
      </c>
      <c r="E1010" s="6" t="s">
        <v>7423</v>
      </c>
      <c r="F1010" s="155"/>
      <c r="J1010" s="6" t="s">
        <v>10098</v>
      </c>
      <c r="K1010" s="16">
        <v>8340656020</v>
      </c>
    </row>
    <row r="1011" spans="2:11" ht="14.25" customHeight="1">
      <c r="B1011" s="4">
        <v>44448</v>
      </c>
      <c r="C1011" s="5">
        <v>47</v>
      </c>
      <c r="D1011" s="6" t="s">
        <v>10099</v>
      </c>
      <c r="E1011" s="6" t="s">
        <v>9298</v>
      </c>
      <c r="F1011" s="155"/>
      <c r="K1011" s="16"/>
    </row>
    <row r="1012" spans="2:11" ht="14.25" customHeight="1">
      <c r="B1012" s="4">
        <v>44449</v>
      </c>
      <c r="C1012" s="5">
        <v>48</v>
      </c>
      <c r="D1012" s="274" t="s">
        <v>10100</v>
      </c>
      <c r="E1012" s="6" t="s">
        <v>7314</v>
      </c>
      <c r="F1012" s="155"/>
      <c r="J1012" s="6" t="s">
        <v>10101</v>
      </c>
      <c r="K1012" s="16">
        <v>7764048080</v>
      </c>
    </row>
    <row r="1013" spans="2:11" ht="14.25" customHeight="1">
      <c r="B1013" s="4">
        <v>44449</v>
      </c>
      <c r="C1013" s="5">
        <v>48</v>
      </c>
      <c r="D1013" s="6" t="s">
        <v>10102</v>
      </c>
      <c r="E1013" s="6" t="s">
        <v>7314</v>
      </c>
      <c r="F1013" s="155"/>
      <c r="J1013" s="6" t="s">
        <v>10103</v>
      </c>
      <c r="K1013" s="16">
        <v>7209343384</v>
      </c>
    </row>
    <row r="1014" spans="2:11" ht="14.25" customHeight="1">
      <c r="B1014" s="4">
        <v>44454</v>
      </c>
      <c r="C1014" s="5">
        <v>47</v>
      </c>
      <c r="D1014" s="6" t="s">
        <v>10104</v>
      </c>
      <c r="E1014" s="6" t="s">
        <v>8441</v>
      </c>
      <c r="F1014" s="155"/>
      <c r="J1014" s="6" t="s">
        <v>10105</v>
      </c>
      <c r="K1014" s="16">
        <v>9162891972</v>
      </c>
    </row>
    <row r="1015" spans="2:11" ht="14.25" customHeight="1">
      <c r="B1015" s="4">
        <v>44454</v>
      </c>
      <c r="C1015" s="5">
        <v>47</v>
      </c>
      <c r="D1015" s="6" t="s">
        <v>10106</v>
      </c>
      <c r="E1015" s="6" t="s">
        <v>8455</v>
      </c>
      <c r="F1015" s="155"/>
      <c r="J1015" s="6" t="s">
        <v>10107</v>
      </c>
      <c r="K1015" s="16">
        <v>9162891972</v>
      </c>
    </row>
    <row r="1016" spans="2:11" ht="14.25" customHeight="1">
      <c r="B1016" s="4">
        <v>44454</v>
      </c>
      <c r="C1016" s="5">
        <v>47</v>
      </c>
      <c r="D1016" s="6" t="s">
        <v>10108</v>
      </c>
      <c r="E1016" s="6" t="s">
        <v>1</v>
      </c>
      <c r="F1016" s="155"/>
      <c r="J1016" s="6" t="s">
        <v>2346</v>
      </c>
      <c r="K1016" s="16">
        <v>9162891972</v>
      </c>
    </row>
    <row r="1017" spans="2:11" ht="14.25" customHeight="1">
      <c r="B1017" s="4">
        <v>44455</v>
      </c>
      <c r="C1017" s="5">
        <v>47</v>
      </c>
      <c r="D1017" s="6" t="s">
        <v>10109</v>
      </c>
      <c r="E1017" s="6" t="s">
        <v>8441</v>
      </c>
      <c r="F1017" s="155"/>
      <c r="J1017" s="6" t="s">
        <v>10110</v>
      </c>
      <c r="K1017" s="16"/>
    </row>
    <row r="1018" spans="2:11" ht="14.25" customHeight="1">
      <c r="B1018" s="4">
        <v>44460</v>
      </c>
      <c r="C1018" s="5">
        <v>47</v>
      </c>
      <c r="D1018" s="6" t="s">
        <v>10111</v>
      </c>
      <c r="E1018" s="6" t="s">
        <v>1</v>
      </c>
      <c r="F1018" s="155"/>
      <c r="H1018" s="6" t="s">
        <v>10112</v>
      </c>
      <c r="J1018" s="6" t="s">
        <v>10113</v>
      </c>
      <c r="K1018" s="16">
        <v>9304974094</v>
      </c>
    </row>
    <row r="1019" spans="2:11" ht="14.25" customHeight="1">
      <c r="B1019" s="4">
        <v>44460</v>
      </c>
      <c r="C1019" s="5">
        <v>48</v>
      </c>
      <c r="D1019" s="6" t="s">
        <v>10114</v>
      </c>
      <c r="E1019" s="6" t="s">
        <v>7423</v>
      </c>
      <c r="F1019" s="155"/>
      <c r="J1019" s="6" t="s">
        <v>10115</v>
      </c>
      <c r="K1019" s="16">
        <v>7004882387</v>
      </c>
    </row>
    <row r="1020" spans="2:11" ht="14.25" customHeight="1">
      <c r="B1020" s="4">
        <v>44460</v>
      </c>
      <c r="C1020" s="5">
        <v>47</v>
      </c>
      <c r="D1020" s="6" t="s">
        <v>10116</v>
      </c>
      <c r="E1020" s="6" t="s">
        <v>8533</v>
      </c>
      <c r="F1020" s="155"/>
      <c r="H1020" s="6" t="s">
        <v>10117</v>
      </c>
      <c r="J1020" s="6" t="s">
        <v>10118</v>
      </c>
      <c r="K1020" s="16">
        <v>7209119110</v>
      </c>
    </row>
    <row r="1021" spans="2:11" ht="14.25" customHeight="1">
      <c r="B1021" s="4">
        <v>44460</v>
      </c>
      <c r="C1021" s="5">
        <v>47</v>
      </c>
      <c r="D1021" s="6" t="s">
        <v>10119</v>
      </c>
      <c r="E1021" s="6" t="s">
        <v>7411</v>
      </c>
      <c r="F1021" s="155"/>
      <c r="J1021" s="6" t="s">
        <v>10120</v>
      </c>
      <c r="K1021" s="16">
        <v>9304174094</v>
      </c>
    </row>
    <row r="1022" spans="2:11" ht="14.25" customHeight="1">
      <c r="B1022" s="4">
        <v>44460</v>
      </c>
      <c r="C1022" s="5">
        <v>47</v>
      </c>
      <c r="D1022" s="6" t="s">
        <v>10121</v>
      </c>
      <c r="E1022" s="6" t="s">
        <v>10122</v>
      </c>
      <c r="F1022" s="155"/>
      <c r="H1022" s="6" t="s">
        <v>10123</v>
      </c>
      <c r="J1022" s="6" t="s">
        <v>10124</v>
      </c>
      <c r="K1022" s="16">
        <v>9122942220</v>
      </c>
    </row>
    <row r="1023" spans="2:11" ht="14.25" customHeight="1">
      <c r="B1023" s="4">
        <v>44460</v>
      </c>
      <c r="C1023" s="5">
        <v>47</v>
      </c>
      <c r="D1023" s="6" t="s">
        <v>10125</v>
      </c>
      <c r="E1023" s="6" t="s">
        <v>10126</v>
      </c>
      <c r="F1023" s="155"/>
      <c r="H1023" s="6" t="s">
        <v>10127</v>
      </c>
      <c r="J1023" s="6" t="s">
        <v>10128</v>
      </c>
      <c r="K1023" s="16">
        <v>9122942220</v>
      </c>
    </row>
    <row r="1024" spans="2:11" ht="14.25" customHeight="1">
      <c r="C1024" s="5">
        <v>48</v>
      </c>
      <c r="E1024" s="6" t="s">
        <v>8758</v>
      </c>
      <c r="F1024" s="155"/>
      <c r="H1024" s="6" t="s">
        <v>10129</v>
      </c>
      <c r="J1024" s="6" t="s">
        <v>10130</v>
      </c>
      <c r="K1024" s="16">
        <v>9955531822</v>
      </c>
    </row>
    <row r="1025" spans="1:13" ht="14.25" customHeight="1">
      <c r="A1025" s="11"/>
      <c r="B1025" s="106">
        <v>44462</v>
      </c>
      <c r="C1025" s="84">
        <v>47</v>
      </c>
      <c r="D1025" s="11" t="s">
        <v>10131</v>
      </c>
      <c r="E1025" s="11" t="s">
        <v>8758</v>
      </c>
      <c r="F1025" s="275"/>
      <c r="G1025" s="11"/>
      <c r="H1025" s="11" t="s">
        <v>10132</v>
      </c>
      <c r="I1025" s="11"/>
      <c r="J1025" s="11" t="s">
        <v>10133</v>
      </c>
      <c r="K1025" s="88">
        <v>7209544870</v>
      </c>
      <c r="L1025" s="11"/>
      <c r="M1025" s="11" t="s">
        <v>274</v>
      </c>
    </row>
    <row r="1026" spans="1:13" ht="14.25" customHeight="1">
      <c r="A1026" s="11"/>
      <c r="B1026" s="106">
        <v>44462</v>
      </c>
      <c r="C1026" s="84">
        <v>47</v>
      </c>
      <c r="D1026" s="11" t="s">
        <v>10134</v>
      </c>
      <c r="E1026" s="11" t="s">
        <v>8758</v>
      </c>
      <c r="F1026" s="275"/>
      <c r="G1026" s="11"/>
      <c r="H1026" s="11" t="s">
        <v>10135</v>
      </c>
      <c r="I1026" s="11"/>
      <c r="J1026" s="11" t="s">
        <v>2084</v>
      </c>
      <c r="K1026" s="88">
        <v>7209544870</v>
      </c>
      <c r="L1026" s="11"/>
      <c r="M1026" s="11"/>
    </row>
    <row r="1027" spans="1:13" ht="14.25" customHeight="1">
      <c r="A1027" s="11"/>
      <c r="B1027" s="106">
        <v>44462</v>
      </c>
      <c r="C1027" s="84">
        <v>47</v>
      </c>
      <c r="D1027" s="11" t="s">
        <v>10136</v>
      </c>
      <c r="E1027" s="11" t="s">
        <v>8758</v>
      </c>
      <c r="F1027" s="275"/>
      <c r="G1027" s="11"/>
      <c r="H1027" s="11" t="s">
        <v>10137</v>
      </c>
      <c r="I1027" s="11"/>
      <c r="J1027" s="11" t="s">
        <v>10138</v>
      </c>
      <c r="K1027" s="88">
        <v>7209544870</v>
      </c>
      <c r="L1027" s="11"/>
      <c r="M1027" s="11" t="s">
        <v>274</v>
      </c>
    </row>
    <row r="1028" spans="1:13" ht="14.25" customHeight="1">
      <c r="A1028" s="11"/>
      <c r="B1028" s="106">
        <v>44462</v>
      </c>
      <c r="C1028" s="84">
        <v>47</v>
      </c>
      <c r="D1028" s="11" t="s">
        <v>10139</v>
      </c>
      <c r="E1028" s="11" t="s">
        <v>8758</v>
      </c>
      <c r="F1028" s="275"/>
      <c r="G1028" s="11"/>
      <c r="H1028" s="11" t="s">
        <v>10140</v>
      </c>
      <c r="I1028" s="11"/>
      <c r="J1028" s="11" t="s">
        <v>10141</v>
      </c>
      <c r="K1028" s="88">
        <v>7209544870</v>
      </c>
      <c r="L1028" s="11"/>
      <c r="M1028" s="11" t="s">
        <v>274</v>
      </c>
    </row>
    <row r="1029" spans="1:13" ht="14.25" customHeight="1">
      <c r="A1029" s="11"/>
      <c r="B1029" s="106">
        <v>44462</v>
      </c>
      <c r="C1029" s="84">
        <v>47</v>
      </c>
      <c r="D1029" s="11" t="s">
        <v>10142</v>
      </c>
      <c r="E1029" s="11" t="s">
        <v>8758</v>
      </c>
      <c r="F1029" s="275"/>
      <c r="G1029" s="11"/>
      <c r="H1029" s="11" t="s">
        <v>10143</v>
      </c>
      <c r="I1029" s="11"/>
      <c r="J1029" s="11" t="s">
        <v>10144</v>
      </c>
      <c r="K1029" s="88">
        <v>7209544870</v>
      </c>
      <c r="L1029" s="11"/>
      <c r="M1029" s="11"/>
    </row>
    <row r="1030" spans="1:13" ht="14.25" customHeight="1">
      <c r="B1030" s="4">
        <v>44462</v>
      </c>
      <c r="C1030" s="5">
        <v>47</v>
      </c>
      <c r="D1030" s="6" t="s">
        <v>10145</v>
      </c>
      <c r="E1030" s="6" t="s">
        <v>7411</v>
      </c>
      <c r="F1030" s="155"/>
      <c r="J1030" s="6" t="s">
        <v>10146</v>
      </c>
      <c r="K1030" s="16">
        <v>8210782811</v>
      </c>
    </row>
    <row r="1031" spans="1:13" ht="14.25" customHeight="1">
      <c r="B1031" s="4">
        <v>44462</v>
      </c>
      <c r="C1031" s="5">
        <v>47</v>
      </c>
      <c r="D1031" s="6" t="s">
        <v>10147</v>
      </c>
      <c r="E1031" s="6" t="s">
        <v>7411</v>
      </c>
      <c r="F1031" s="155"/>
      <c r="J1031" s="6" t="s">
        <v>10148</v>
      </c>
      <c r="K1031" s="16">
        <v>7070995543</v>
      </c>
    </row>
    <row r="1032" spans="1:13" ht="14.25" customHeight="1">
      <c r="A1032" s="6" t="s">
        <v>139</v>
      </c>
      <c r="B1032" s="4">
        <v>44464</v>
      </c>
      <c r="C1032" s="5">
        <v>47</v>
      </c>
      <c r="D1032" s="6" t="s">
        <v>6144</v>
      </c>
      <c r="E1032" s="6" t="s">
        <v>9086</v>
      </c>
      <c r="F1032" s="155" t="s">
        <v>8610</v>
      </c>
      <c r="H1032" s="6" t="s">
        <v>10149</v>
      </c>
      <c r="J1032" s="6" t="s">
        <v>6144</v>
      </c>
      <c r="K1032" s="16">
        <v>9264202291</v>
      </c>
    </row>
    <row r="1033" spans="1:13" ht="14.25" customHeight="1">
      <c r="B1033" s="4">
        <v>44464</v>
      </c>
      <c r="C1033" s="5">
        <v>47</v>
      </c>
      <c r="D1033" s="6" t="s">
        <v>10150</v>
      </c>
      <c r="E1033" s="6" t="s">
        <v>7411</v>
      </c>
      <c r="F1033" s="155"/>
      <c r="J1033" s="6" t="s">
        <v>10151</v>
      </c>
      <c r="K1033" s="16">
        <v>8797831300</v>
      </c>
    </row>
    <row r="1034" spans="1:13" ht="14.25" customHeight="1">
      <c r="B1034" s="4">
        <v>44464</v>
      </c>
      <c r="C1034" s="5">
        <v>48</v>
      </c>
      <c r="D1034" s="6" t="s">
        <v>10152</v>
      </c>
      <c r="E1034" s="6" t="s">
        <v>7496</v>
      </c>
      <c r="F1034" s="155"/>
      <c r="H1034" s="6" t="s">
        <v>10129</v>
      </c>
      <c r="J1034" s="6" t="s">
        <v>10153</v>
      </c>
      <c r="K1034" s="16">
        <v>9955531822</v>
      </c>
    </row>
    <row r="1035" spans="1:13" ht="14.25" customHeight="1">
      <c r="A1035" s="6" t="s">
        <v>0</v>
      </c>
      <c r="B1035" s="4">
        <v>44464</v>
      </c>
      <c r="C1035" s="5">
        <v>47</v>
      </c>
      <c r="D1035" s="6" t="s">
        <v>10154</v>
      </c>
      <c r="E1035" s="6" t="s">
        <v>10155</v>
      </c>
      <c r="F1035" s="155" t="s">
        <v>8610</v>
      </c>
      <c r="H1035" s="6" t="s">
        <v>10156</v>
      </c>
      <c r="J1035" s="6" t="s">
        <v>10157</v>
      </c>
      <c r="K1035" s="16">
        <v>8210789421</v>
      </c>
    </row>
    <row r="1036" spans="1:13" ht="14.25" customHeight="1">
      <c r="B1036" s="4">
        <v>44464</v>
      </c>
      <c r="C1036" s="5">
        <v>47</v>
      </c>
      <c r="D1036" s="6" t="s">
        <v>10154</v>
      </c>
      <c r="E1036" s="6" t="s">
        <v>10155</v>
      </c>
      <c r="F1036" s="155" t="s">
        <v>8610</v>
      </c>
      <c r="H1036" s="6" t="s">
        <v>10158</v>
      </c>
      <c r="J1036" s="6" t="s">
        <v>8794</v>
      </c>
      <c r="K1036" s="16">
        <v>9204037269</v>
      </c>
    </row>
    <row r="1037" spans="1:13" ht="14.25" customHeight="1">
      <c r="B1037" s="4">
        <v>44466</v>
      </c>
      <c r="C1037" s="5">
        <v>48</v>
      </c>
      <c r="D1037" s="6" t="s">
        <v>10159</v>
      </c>
      <c r="E1037" s="6" t="s">
        <v>10160</v>
      </c>
      <c r="F1037" s="155"/>
      <c r="H1037" s="6" t="s">
        <v>10161</v>
      </c>
      <c r="K1037" s="16">
        <v>9572727895</v>
      </c>
    </row>
    <row r="1038" spans="1:13" ht="14.25" customHeight="1">
      <c r="B1038" s="4">
        <v>44466</v>
      </c>
      <c r="C1038" s="5">
        <v>48</v>
      </c>
      <c r="D1038" s="6" t="s">
        <v>10162</v>
      </c>
      <c r="E1038" s="6" t="s">
        <v>10163</v>
      </c>
      <c r="F1038" s="155"/>
      <c r="H1038" s="6" t="s">
        <v>10164</v>
      </c>
      <c r="K1038" s="16">
        <v>9572727895</v>
      </c>
    </row>
    <row r="1039" spans="1:13" ht="14.25" customHeight="1">
      <c r="C1039" s="5"/>
      <c r="F1039" s="155"/>
      <c r="K1039" s="16"/>
    </row>
    <row r="1040" spans="1:13" ht="14.25" customHeight="1">
      <c r="B1040" s="4">
        <v>44467</v>
      </c>
      <c r="C1040" s="5">
        <v>47</v>
      </c>
      <c r="D1040" s="6" t="s">
        <v>10165</v>
      </c>
      <c r="E1040" s="6" t="s">
        <v>10166</v>
      </c>
      <c r="F1040" s="155"/>
      <c r="J1040" s="6" t="s">
        <v>10167</v>
      </c>
      <c r="K1040" s="16">
        <v>9572480778</v>
      </c>
    </row>
    <row r="1041" spans="1:12" ht="14.25" customHeight="1">
      <c r="B1041" s="4">
        <v>44467</v>
      </c>
      <c r="C1041" s="5">
        <v>47</v>
      </c>
      <c r="D1041" s="6" t="s">
        <v>10168</v>
      </c>
      <c r="E1041" s="6" t="s">
        <v>10166</v>
      </c>
      <c r="F1041" s="155"/>
      <c r="J1041" s="6" t="s">
        <v>10169</v>
      </c>
      <c r="K1041" s="16">
        <v>9572480778</v>
      </c>
    </row>
    <row r="1042" spans="1:12" ht="14.25" customHeight="1">
      <c r="B1042" s="4">
        <v>44467</v>
      </c>
      <c r="C1042" s="5">
        <v>47</v>
      </c>
      <c r="D1042" s="6" t="s">
        <v>10170</v>
      </c>
      <c r="E1042" s="6" t="s">
        <v>7411</v>
      </c>
      <c r="F1042" s="155"/>
      <c r="J1042" s="6" t="s">
        <v>10171</v>
      </c>
      <c r="K1042" s="16">
        <v>7762040139</v>
      </c>
    </row>
    <row r="1043" spans="1:12" ht="14.25" customHeight="1">
      <c r="B1043" s="4">
        <v>44467</v>
      </c>
      <c r="C1043" s="5">
        <v>47</v>
      </c>
      <c r="D1043" s="6" t="s">
        <v>10172</v>
      </c>
      <c r="E1043" s="6" t="s">
        <v>7411</v>
      </c>
      <c r="F1043" s="155"/>
      <c r="J1043" s="6" t="s">
        <v>6247</v>
      </c>
      <c r="K1043" s="16">
        <v>9155372668</v>
      </c>
    </row>
    <row r="1044" spans="1:12" ht="14.25" customHeight="1">
      <c r="B1044" s="4">
        <v>44467</v>
      </c>
      <c r="C1044" s="5">
        <v>48</v>
      </c>
      <c r="D1044" s="6" t="s">
        <v>10173</v>
      </c>
      <c r="E1044" s="6" t="s">
        <v>10174</v>
      </c>
      <c r="F1044" s="155"/>
      <c r="H1044" s="6" t="s">
        <v>7633</v>
      </c>
      <c r="K1044" s="16">
        <v>9304439859</v>
      </c>
      <c r="L1044" s="6" t="s">
        <v>9229</v>
      </c>
    </row>
    <row r="1045" spans="1:12" ht="14.25" customHeight="1">
      <c r="B1045" s="4">
        <v>44469</v>
      </c>
      <c r="C1045" s="5">
        <v>47</v>
      </c>
      <c r="D1045" s="6" t="s">
        <v>10175</v>
      </c>
      <c r="E1045" s="6" t="s">
        <v>10176</v>
      </c>
      <c r="F1045" s="155" t="s">
        <v>8501</v>
      </c>
      <c r="J1045" s="6" t="s">
        <v>10177</v>
      </c>
      <c r="K1045" s="16">
        <v>8789575381</v>
      </c>
    </row>
    <row r="1046" spans="1:12" ht="14.25" customHeight="1">
      <c r="B1046" s="4">
        <v>44469</v>
      </c>
      <c r="C1046" s="5">
        <v>47</v>
      </c>
      <c r="D1046" s="6" t="s">
        <v>10178</v>
      </c>
      <c r="E1046" s="6" t="s">
        <v>10176</v>
      </c>
      <c r="F1046" s="155"/>
      <c r="J1046" s="6" t="s">
        <v>3819</v>
      </c>
      <c r="K1046" s="16">
        <v>8789575381</v>
      </c>
    </row>
    <row r="1047" spans="1:12" ht="14.25" customHeight="1">
      <c r="A1047" s="6" t="s">
        <v>0</v>
      </c>
      <c r="B1047" s="4">
        <v>44469</v>
      </c>
      <c r="C1047" s="5">
        <v>47</v>
      </c>
      <c r="D1047" s="6" t="s">
        <v>10179</v>
      </c>
      <c r="E1047" s="6" t="s">
        <v>9086</v>
      </c>
      <c r="F1047" s="155" t="s">
        <v>8501</v>
      </c>
      <c r="H1047" s="6" t="s">
        <v>10180</v>
      </c>
      <c r="J1047" s="6" t="s">
        <v>10181</v>
      </c>
      <c r="K1047" s="16">
        <v>9006141610</v>
      </c>
    </row>
    <row r="1048" spans="1:12" ht="14.25" customHeight="1">
      <c r="B1048" s="4">
        <v>44470</v>
      </c>
      <c r="C1048" s="5">
        <v>47</v>
      </c>
      <c r="D1048" s="6" t="s">
        <v>10179</v>
      </c>
      <c r="E1048" s="6">
        <v>47</v>
      </c>
      <c r="F1048" s="155" t="s">
        <v>3544</v>
      </c>
      <c r="H1048" s="6" t="s">
        <v>10182</v>
      </c>
      <c r="J1048" s="6" t="s">
        <v>10183</v>
      </c>
      <c r="K1048" s="16"/>
    </row>
    <row r="1049" spans="1:12" ht="14.25" customHeight="1">
      <c r="C1049" s="5"/>
      <c r="F1049" s="155" t="s">
        <v>8501</v>
      </c>
      <c r="H1049" s="6" t="s">
        <v>10184</v>
      </c>
      <c r="J1049" s="6" t="s">
        <v>10185</v>
      </c>
      <c r="K1049" s="16" t="s">
        <v>9366</v>
      </c>
    </row>
    <row r="1050" spans="1:12" ht="14.25" customHeight="1">
      <c r="C1050" s="5"/>
      <c r="F1050" s="155" t="s">
        <v>8501</v>
      </c>
      <c r="H1050" s="6" t="s">
        <v>10186</v>
      </c>
      <c r="J1050" s="6" t="s">
        <v>10187</v>
      </c>
      <c r="K1050" s="16" t="s">
        <v>9366</v>
      </c>
    </row>
    <row r="1051" spans="1:12" ht="14.25" customHeight="1">
      <c r="C1051" s="5"/>
      <c r="F1051" s="155" t="s">
        <v>8501</v>
      </c>
      <c r="H1051" s="6" t="s">
        <v>10188</v>
      </c>
      <c r="J1051" s="6" t="s">
        <v>10189</v>
      </c>
      <c r="K1051" s="16" t="s">
        <v>9366</v>
      </c>
    </row>
    <row r="1052" spans="1:12" ht="14.25" customHeight="1">
      <c r="C1052" s="5"/>
      <c r="F1052" s="155" t="s">
        <v>8501</v>
      </c>
      <c r="H1052" s="6" t="s">
        <v>9939</v>
      </c>
      <c r="J1052" s="6" t="s">
        <v>10190</v>
      </c>
      <c r="K1052" s="6" t="s">
        <v>10179</v>
      </c>
    </row>
    <row r="1053" spans="1:12" ht="14.25" customHeight="1">
      <c r="B1053" s="4">
        <v>44470</v>
      </c>
      <c r="C1053" s="5">
        <v>47</v>
      </c>
      <c r="F1053" s="155" t="s">
        <v>8501</v>
      </c>
      <c r="H1053" s="6" t="s">
        <v>9966</v>
      </c>
      <c r="J1053" s="6" t="s">
        <v>9967</v>
      </c>
      <c r="K1053" s="6" t="s">
        <v>10179</v>
      </c>
    </row>
    <row r="1054" spans="1:12" ht="14.25" customHeight="1">
      <c r="A1054" s="6" t="s">
        <v>10191</v>
      </c>
      <c r="B1054" s="4">
        <v>44471</v>
      </c>
      <c r="C1054" s="5">
        <v>47</v>
      </c>
      <c r="D1054" s="6" t="s">
        <v>10179</v>
      </c>
      <c r="E1054" s="6" t="s">
        <v>9086</v>
      </c>
      <c r="F1054" s="155"/>
      <c r="H1054" s="6" t="s">
        <v>10192</v>
      </c>
      <c r="J1054" s="6" t="s">
        <v>10193</v>
      </c>
      <c r="K1054" s="16">
        <v>6202178254</v>
      </c>
    </row>
    <row r="1055" spans="1:12" ht="14.25" customHeight="1">
      <c r="C1055" s="5"/>
      <c r="D1055" s="6" t="s">
        <v>10194</v>
      </c>
      <c r="E1055" s="6" t="s">
        <v>10195</v>
      </c>
      <c r="F1055" s="155"/>
      <c r="H1055" s="6" t="s">
        <v>10196</v>
      </c>
      <c r="J1055" s="6" t="s">
        <v>10197</v>
      </c>
      <c r="K1055" s="16">
        <v>9031343055</v>
      </c>
    </row>
    <row r="1056" spans="1:12" ht="14.25" customHeight="1">
      <c r="C1056" s="5"/>
      <c r="D1056" s="6" t="s">
        <v>10198</v>
      </c>
      <c r="F1056" s="155"/>
      <c r="H1056" s="6" t="s">
        <v>10199</v>
      </c>
      <c r="J1056" s="6" t="s">
        <v>10200</v>
      </c>
      <c r="K1056" s="16">
        <v>8002016890</v>
      </c>
    </row>
    <row r="1057" spans="1:13" ht="14.25" customHeight="1">
      <c r="C1057" s="5"/>
      <c r="D1057" s="6" t="s">
        <v>10201</v>
      </c>
      <c r="F1057" s="155"/>
      <c r="H1057" s="6" t="s">
        <v>10202</v>
      </c>
      <c r="K1057" s="16"/>
    </row>
    <row r="1058" spans="1:13" ht="14.25" customHeight="1">
      <c r="B1058" s="4">
        <v>44473</v>
      </c>
      <c r="C1058" s="5">
        <v>48</v>
      </c>
      <c r="D1058" s="6" t="s">
        <v>10203</v>
      </c>
      <c r="E1058" s="6" t="s">
        <v>10204</v>
      </c>
      <c r="F1058" s="155"/>
      <c r="H1058" s="6" t="s">
        <v>10205</v>
      </c>
      <c r="J1058" s="6" t="s">
        <v>10206</v>
      </c>
      <c r="K1058" s="16">
        <v>9939784715</v>
      </c>
    </row>
    <row r="1059" spans="1:13" ht="14.25" customHeight="1">
      <c r="A1059" s="47"/>
      <c r="B1059" s="158">
        <v>44473</v>
      </c>
      <c r="C1059" s="65">
        <v>47</v>
      </c>
      <c r="D1059" s="47"/>
      <c r="E1059" s="47" t="s">
        <v>7411</v>
      </c>
      <c r="F1059" s="151"/>
      <c r="G1059" s="47"/>
      <c r="H1059" s="47"/>
      <c r="I1059" s="47"/>
      <c r="J1059" s="47" t="s">
        <v>5894</v>
      </c>
      <c r="K1059" s="66">
        <v>6299522927</v>
      </c>
      <c r="L1059" s="47" t="s">
        <v>10207</v>
      </c>
      <c r="M1059" s="158">
        <v>37622</v>
      </c>
    </row>
    <row r="1060" spans="1:13" ht="14.25" customHeight="1">
      <c r="B1060" s="4">
        <v>44473</v>
      </c>
      <c r="C1060" s="5"/>
      <c r="F1060" s="155"/>
      <c r="J1060" s="6" t="s">
        <v>10208</v>
      </c>
      <c r="K1060" s="16">
        <v>7488275963</v>
      </c>
    </row>
    <row r="1061" spans="1:13" ht="14.25" customHeight="1">
      <c r="B1061" s="4">
        <v>44473</v>
      </c>
      <c r="C1061" s="5">
        <v>47</v>
      </c>
      <c r="D1061" s="6" t="s">
        <v>10201</v>
      </c>
      <c r="F1061" s="155"/>
      <c r="H1061" s="6" t="s">
        <v>10202</v>
      </c>
      <c r="J1061" s="6" t="s">
        <v>10209</v>
      </c>
      <c r="K1061" s="16">
        <v>620138820</v>
      </c>
    </row>
    <row r="1062" spans="1:13" ht="14.25" customHeight="1">
      <c r="B1062" s="4">
        <v>44473</v>
      </c>
      <c r="C1062" s="5">
        <v>47</v>
      </c>
      <c r="D1062" s="6" t="s">
        <v>10210</v>
      </c>
      <c r="E1062" s="6" t="s">
        <v>10211</v>
      </c>
      <c r="F1062" s="155"/>
      <c r="H1062" s="6" t="s">
        <v>10212</v>
      </c>
      <c r="J1062" s="6" t="s">
        <v>10213</v>
      </c>
      <c r="K1062" s="16">
        <v>620138820</v>
      </c>
    </row>
    <row r="1063" spans="1:13" ht="14.25" customHeight="1">
      <c r="B1063" s="4">
        <v>44475</v>
      </c>
      <c r="C1063" s="5">
        <v>47</v>
      </c>
      <c r="D1063" s="6" t="s">
        <v>10214</v>
      </c>
      <c r="E1063" s="6" t="s">
        <v>7423</v>
      </c>
      <c r="F1063" s="155"/>
      <c r="J1063" s="6" t="s">
        <v>10215</v>
      </c>
      <c r="K1063" s="16">
        <v>7228032651</v>
      </c>
    </row>
    <row r="1064" spans="1:13" ht="14.25" customHeight="1">
      <c r="B1064" s="4">
        <v>44476</v>
      </c>
      <c r="C1064" s="5">
        <v>48</v>
      </c>
      <c r="D1064" s="6" t="s">
        <v>10216</v>
      </c>
      <c r="E1064" s="6" t="s">
        <v>10217</v>
      </c>
      <c r="F1064" s="155"/>
      <c r="J1064" s="6" t="s">
        <v>10208</v>
      </c>
      <c r="K1064" s="16">
        <v>7488275963</v>
      </c>
    </row>
    <row r="1065" spans="1:13" ht="14.25" customHeight="1">
      <c r="B1065" s="4">
        <v>44476</v>
      </c>
      <c r="C1065" s="5">
        <v>48</v>
      </c>
      <c r="D1065" s="6" t="s">
        <v>10218</v>
      </c>
      <c r="E1065" s="6" t="s">
        <v>7423</v>
      </c>
      <c r="F1065" s="155"/>
      <c r="J1065" s="6" t="s">
        <v>10219</v>
      </c>
      <c r="K1065" s="16">
        <v>7667319717</v>
      </c>
    </row>
    <row r="1066" spans="1:13" ht="14.25" customHeight="1">
      <c r="B1066" s="4">
        <v>44478</v>
      </c>
      <c r="C1066" s="5" t="s">
        <v>10220</v>
      </c>
      <c r="D1066" s="6" t="s">
        <v>10221</v>
      </c>
      <c r="E1066" s="6" t="s">
        <v>9453</v>
      </c>
      <c r="F1066" s="155"/>
      <c r="H1066" s="6" t="s">
        <v>10222</v>
      </c>
      <c r="J1066" s="6" t="s">
        <v>10223</v>
      </c>
      <c r="K1066" s="16">
        <v>9430393494</v>
      </c>
    </row>
    <row r="1067" spans="1:13" ht="14.25" customHeight="1">
      <c r="C1067" s="5">
        <v>47</v>
      </c>
      <c r="D1067" s="6" t="s">
        <v>10224</v>
      </c>
      <c r="F1067" s="155" t="s">
        <v>8610</v>
      </c>
      <c r="H1067" s="6" t="s">
        <v>9673</v>
      </c>
      <c r="J1067" s="6" t="s">
        <v>6253</v>
      </c>
      <c r="K1067" s="16"/>
    </row>
    <row r="1068" spans="1:13" ht="14.25" customHeight="1">
      <c r="B1068" s="4">
        <v>44479</v>
      </c>
      <c r="C1068" s="5">
        <v>48</v>
      </c>
      <c r="D1068" s="274" t="s">
        <v>10225</v>
      </c>
      <c r="E1068" s="6" t="s">
        <v>7411</v>
      </c>
      <c r="F1068" s="155"/>
      <c r="J1068" s="6" t="s">
        <v>10226</v>
      </c>
      <c r="K1068" s="16">
        <v>7992272927</v>
      </c>
    </row>
    <row r="1069" spans="1:13" ht="14.25" customHeight="1">
      <c r="B1069" s="4">
        <v>44479</v>
      </c>
      <c r="C1069" s="5">
        <v>48</v>
      </c>
      <c r="D1069" s="6" t="s">
        <v>10227</v>
      </c>
      <c r="E1069" s="6" t="s">
        <v>7411</v>
      </c>
      <c r="F1069" s="155"/>
      <c r="J1069" s="6" t="s">
        <v>10228</v>
      </c>
      <c r="K1069" s="16">
        <v>7488340949</v>
      </c>
    </row>
    <row r="1070" spans="1:13" ht="14.25" customHeight="1">
      <c r="B1070" s="47"/>
      <c r="C1070" s="65" t="s">
        <v>10229</v>
      </c>
      <c r="D1070" s="47"/>
      <c r="E1070" s="47" t="s">
        <v>10230</v>
      </c>
      <c r="F1070" s="151"/>
      <c r="G1070" s="47"/>
      <c r="H1070" s="47" t="s">
        <v>10231</v>
      </c>
      <c r="I1070" s="47"/>
      <c r="J1070" s="47" t="s">
        <v>10232</v>
      </c>
      <c r="K1070" s="66">
        <v>9051533672</v>
      </c>
      <c r="L1070" s="6" t="s">
        <v>10233</v>
      </c>
    </row>
    <row r="1071" spans="1:13" ht="14.25" customHeight="1">
      <c r="B1071" s="4">
        <v>44480</v>
      </c>
      <c r="C1071" s="5">
        <v>48</v>
      </c>
      <c r="D1071" s="6" t="s">
        <v>10234</v>
      </c>
      <c r="E1071" s="6" t="s">
        <v>8294</v>
      </c>
      <c r="F1071" s="155"/>
      <c r="H1071" s="6" t="s">
        <v>10137</v>
      </c>
      <c r="J1071" s="6" t="s">
        <v>8151</v>
      </c>
      <c r="K1071" s="16">
        <v>8541933084</v>
      </c>
    </row>
    <row r="1072" spans="1:13" ht="14.25" customHeight="1">
      <c r="B1072" s="4">
        <v>44480</v>
      </c>
      <c r="C1072" s="5">
        <v>48</v>
      </c>
      <c r="D1072" s="6" t="s">
        <v>10235</v>
      </c>
      <c r="E1072" s="6" t="s">
        <v>10236</v>
      </c>
      <c r="F1072" s="155"/>
      <c r="H1072" s="6" t="s">
        <v>10140</v>
      </c>
      <c r="J1072" s="6" t="s">
        <v>10141</v>
      </c>
      <c r="K1072" s="16">
        <v>6200347340</v>
      </c>
    </row>
    <row r="1073" spans="1:11" ht="14.25" customHeight="1">
      <c r="B1073" s="4">
        <v>44480</v>
      </c>
      <c r="C1073" s="5">
        <v>48</v>
      </c>
      <c r="D1073" s="6" t="s">
        <v>10237</v>
      </c>
      <c r="E1073" s="6" t="s">
        <v>8294</v>
      </c>
      <c r="F1073" s="155"/>
      <c r="H1073" s="6" t="s">
        <v>10132</v>
      </c>
      <c r="J1073" s="6" t="s">
        <v>10238</v>
      </c>
      <c r="K1073" s="16">
        <v>7209544870</v>
      </c>
    </row>
    <row r="1074" spans="1:11" ht="14.25" customHeight="1">
      <c r="B1074" s="4">
        <v>44480</v>
      </c>
      <c r="C1074" s="5">
        <v>48</v>
      </c>
      <c r="D1074" s="6" t="s">
        <v>10239</v>
      </c>
      <c r="E1074" s="6" t="s">
        <v>7314</v>
      </c>
      <c r="F1074" s="155"/>
      <c r="J1074" s="6" t="s">
        <v>10240</v>
      </c>
      <c r="K1074" s="16">
        <v>8271023290</v>
      </c>
    </row>
    <row r="1075" spans="1:11" ht="14.25" customHeight="1">
      <c r="B1075" s="4">
        <v>44482</v>
      </c>
      <c r="C1075" s="5">
        <v>47</v>
      </c>
      <c r="D1075" s="6" t="s">
        <v>10241</v>
      </c>
      <c r="E1075" s="6" t="s">
        <v>7559</v>
      </c>
      <c r="F1075" s="155"/>
      <c r="H1075" s="6" t="s">
        <v>10242</v>
      </c>
      <c r="J1075" s="6" t="s">
        <v>10243</v>
      </c>
      <c r="K1075" s="16">
        <v>9693876271</v>
      </c>
    </row>
    <row r="1076" spans="1:11" ht="14.25" customHeight="1">
      <c r="B1076" s="4">
        <v>44485</v>
      </c>
      <c r="C1076" s="5">
        <v>47</v>
      </c>
      <c r="D1076" s="6" t="s">
        <v>10244</v>
      </c>
      <c r="E1076" s="6" t="s">
        <v>10245</v>
      </c>
      <c r="F1076" s="155"/>
      <c r="H1076" s="6" t="s">
        <v>10246</v>
      </c>
      <c r="J1076" s="6" t="s">
        <v>10247</v>
      </c>
      <c r="K1076" s="16">
        <v>8940099452</v>
      </c>
    </row>
    <row r="1077" spans="1:11" ht="14.25" customHeight="1">
      <c r="B1077" s="4">
        <v>44485</v>
      </c>
      <c r="C1077" s="5">
        <v>47</v>
      </c>
      <c r="D1077" s="6" t="s">
        <v>10248</v>
      </c>
      <c r="E1077" s="6" t="s">
        <v>1840</v>
      </c>
      <c r="F1077" s="155"/>
      <c r="H1077" s="243" t="s">
        <v>10249</v>
      </c>
      <c r="J1077" s="6" t="s">
        <v>10250</v>
      </c>
      <c r="K1077" s="16">
        <v>9370890336</v>
      </c>
    </row>
    <row r="1078" spans="1:11" ht="14.25" customHeight="1">
      <c r="A1078" s="6" t="s">
        <v>0</v>
      </c>
      <c r="B1078" s="4">
        <v>44486</v>
      </c>
      <c r="C1078" s="5">
        <v>47</v>
      </c>
      <c r="D1078" s="6" t="s">
        <v>10179</v>
      </c>
      <c r="E1078" s="6" t="s">
        <v>10251</v>
      </c>
      <c r="F1078" s="155" t="s">
        <v>8610</v>
      </c>
      <c r="H1078" s="6" t="s">
        <v>10199</v>
      </c>
      <c r="J1078" s="6" t="s">
        <v>10200</v>
      </c>
      <c r="K1078" s="16">
        <v>8002016890</v>
      </c>
    </row>
    <row r="1079" spans="1:11" ht="14.25" customHeight="1">
      <c r="B1079" s="4">
        <v>44485</v>
      </c>
      <c r="C1079" s="5">
        <v>47</v>
      </c>
      <c r="D1079" s="6" t="s">
        <v>10179</v>
      </c>
      <c r="E1079" s="6" t="s">
        <v>10251</v>
      </c>
      <c r="F1079" s="155" t="s">
        <v>8610</v>
      </c>
      <c r="H1079" s="6" t="s">
        <v>10252</v>
      </c>
      <c r="J1079" s="6" t="s">
        <v>10253</v>
      </c>
      <c r="K1079" s="16"/>
    </row>
    <row r="1080" spans="1:11" ht="14.25" customHeight="1">
      <c r="B1080" s="4">
        <v>44485</v>
      </c>
      <c r="C1080" s="5">
        <v>47</v>
      </c>
      <c r="D1080" s="6" t="s">
        <v>10179</v>
      </c>
      <c r="E1080" s="6" t="s">
        <v>10251</v>
      </c>
      <c r="F1080" s="155" t="s">
        <v>8610</v>
      </c>
      <c r="H1080" s="6" t="s">
        <v>10254</v>
      </c>
      <c r="J1080" s="6" t="s">
        <v>10255</v>
      </c>
      <c r="K1080" s="16"/>
    </row>
    <row r="1081" spans="1:11" ht="14.25" customHeight="1">
      <c r="B1081" s="4">
        <v>44485</v>
      </c>
      <c r="C1081" s="5">
        <v>47</v>
      </c>
      <c r="D1081" s="6" t="s">
        <v>10179</v>
      </c>
      <c r="E1081" s="6" t="s">
        <v>10251</v>
      </c>
      <c r="F1081" s="155" t="s">
        <v>8610</v>
      </c>
      <c r="H1081" s="6" t="s">
        <v>10256</v>
      </c>
      <c r="J1081" s="6" t="s">
        <v>10257</v>
      </c>
      <c r="K1081" s="16"/>
    </row>
    <row r="1082" spans="1:11" ht="14.25" customHeight="1">
      <c r="B1082" s="4">
        <v>44491</v>
      </c>
      <c r="C1082" s="5">
        <v>47</v>
      </c>
      <c r="D1082" s="6" t="s">
        <v>10258</v>
      </c>
      <c r="E1082" s="6" t="s">
        <v>7411</v>
      </c>
      <c r="F1082" s="155"/>
      <c r="J1082" s="6" t="s">
        <v>10259</v>
      </c>
      <c r="K1082" s="16">
        <v>8092635550</v>
      </c>
    </row>
    <row r="1083" spans="1:11" ht="14.25" customHeight="1">
      <c r="C1083" s="5"/>
      <c r="D1083" s="6" t="s">
        <v>10260</v>
      </c>
      <c r="E1083" s="6" t="s">
        <v>7411</v>
      </c>
      <c r="F1083" s="155"/>
      <c r="J1083" s="6" t="s">
        <v>10261</v>
      </c>
      <c r="K1083" s="16">
        <v>7070929668</v>
      </c>
    </row>
    <row r="1084" spans="1:11" ht="14.25" customHeight="1">
      <c r="C1084" s="5"/>
      <c r="D1084" s="6" t="s">
        <v>10262</v>
      </c>
      <c r="E1084" s="6" t="s">
        <v>7411</v>
      </c>
      <c r="F1084" s="155"/>
      <c r="J1084" s="6" t="s">
        <v>10263</v>
      </c>
      <c r="K1084" s="16">
        <v>7507362978</v>
      </c>
    </row>
    <row r="1085" spans="1:11" ht="14.25" customHeight="1">
      <c r="C1085" s="5"/>
      <c r="D1085" s="6" t="s">
        <v>10264</v>
      </c>
      <c r="E1085" s="6" t="s">
        <v>7411</v>
      </c>
      <c r="F1085" s="155"/>
      <c r="J1085" s="6" t="s">
        <v>10265</v>
      </c>
      <c r="K1085" s="16">
        <v>7091556158</v>
      </c>
    </row>
    <row r="1086" spans="1:11" ht="14.25" customHeight="1">
      <c r="C1086" s="5"/>
      <c r="D1086" s="6" t="s">
        <v>10266</v>
      </c>
      <c r="E1086" s="6" t="s">
        <v>7411</v>
      </c>
      <c r="F1086" s="155"/>
      <c r="J1086" s="6" t="s">
        <v>10267</v>
      </c>
      <c r="K1086" s="16">
        <v>7859018964</v>
      </c>
    </row>
    <row r="1087" spans="1:11" ht="14.25" customHeight="1">
      <c r="C1087" s="5"/>
      <c r="D1087" s="6" t="s">
        <v>10268</v>
      </c>
      <c r="E1087" s="6" t="s">
        <v>7411</v>
      </c>
      <c r="F1087" s="155"/>
      <c r="J1087" s="6" t="s">
        <v>1566</v>
      </c>
      <c r="K1087" s="16">
        <v>7463802515</v>
      </c>
    </row>
    <row r="1088" spans="1:11" ht="14.25" customHeight="1">
      <c r="A1088" s="6" t="s">
        <v>10269</v>
      </c>
      <c r="C1088" s="5"/>
      <c r="E1088" s="6" t="s">
        <v>9086</v>
      </c>
      <c r="F1088" s="155" t="s">
        <v>9162</v>
      </c>
      <c r="H1088" s="6" t="s">
        <v>10270</v>
      </c>
      <c r="J1088" s="6" t="s">
        <v>10151</v>
      </c>
      <c r="K1088" s="16">
        <v>8797831300</v>
      </c>
    </row>
    <row r="1089" spans="1:12" ht="14.25" customHeight="1">
      <c r="B1089" s="4">
        <v>44494</v>
      </c>
      <c r="C1089" s="5">
        <v>47</v>
      </c>
      <c r="D1089" s="6" t="s">
        <v>10271</v>
      </c>
      <c r="E1089" s="6" t="s">
        <v>7411</v>
      </c>
      <c r="F1089" s="155"/>
      <c r="J1089" s="6" t="s">
        <v>10272</v>
      </c>
      <c r="K1089" s="16">
        <v>9905529407</v>
      </c>
    </row>
    <row r="1090" spans="1:12" ht="14.25" customHeight="1">
      <c r="B1090" s="4">
        <v>44494</v>
      </c>
      <c r="C1090" s="5">
        <v>47</v>
      </c>
      <c r="D1090" s="6" t="s">
        <v>10273</v>
      </c>
      <c r="E1090" s="6" t="s">
        <v>7411</v>
      </c>
      <c r="F1090" s="155"/>
      <c r="J1090" s="6" t="s">
        <v>10274</v>
      </c>
      <c r="K1090" s="16">
        <v>8271938914</v>
      </c>
    </row>
    <row r="1091" spans="1:12" ht="14.25" customHeight="1">
      <c r="B1091" s="4">
        <v>44496</v>
      </c>
      <c r="C1091" s="5">
        <v>47</v>
      </c>
      <c r="D1091" s="6" t="s">
        <v>10275</v>
      </c>
      <c r="E1091" s="6" t="s">
        <v>10245</v>
      </c>
      <c r="F1091" s="155"/>
      <c r="H1091" s="6" t="s">
        <v>10276</v>
      </c>
      <c r="J1091" s="6" t="s">
        <v>10277</v>
      </c>
      <c r="K1091" s="16">
        <v>9771913912</v>
      </c>
    </row>
    <row r="1092" spans="1:12" ht="14.25" customHeight="1">
      <c r="A1092" s="6" t="s">
        <v>0</v>
      </c>
      <c r="B1092" s="4">
        <v>44495</v>
      </c>
      <c r="C1092" s="5"/>
      <c r="D1092" s="6" t="s">
        <v>10172</v>
      </c>
      <c r="E1092" s="6" t="s">
        <v>9086</v>
      </c>
      <c r="F1092" s="155" t="s">
        <v>9162</v>
      </c>
      <c r="H1092" s="6" t="s">
        <v>10278</v>
      </c>
      <c r="J1092" s="6" t="s">
        <v>6247</v>
      </c>
      <c r="K1092" s="16">
        <v>9155372668</v>
      </c>
    </row>
    <row r="1093" spans="1:12" ht="14.25" customHeight="1">
      <c r="B1093" s="4">
        <v>44496</v>
      </c>
      <c r="C1093" s="5"/>
      <c r="D1093" s="6" t="s">
        <v>10279</v>
      </c>
      <c r="E1093" s="6" t="s">
        <v>7314</v>
      </c>
      <c r="F1093" s="155"/>
      <c r="J1093" s="6" t="s">
        <v>8258</v>
      </c>
      <c r="K1093" s="16">
        <v>7260988623</v>
      </c>
    </row>
    <row r="1094" spans="1:12" ht="14.25" customHeight="1">
      <c r="A1094" s="6" t="s">
        <v>10269</v>
      </c>
      <c r="B1094" s="4">
        <v>44496</v>
      </c>
      <c r="C1094" s="5">
        <v>47</v>
      </c>
      <c r="E1094" s="6" t="s">
        <v>9086</v>
      </c>
      <c r="F1094" s="155" t="s">
        <v>9162</v>
      </c>
      <c r="H1094" s="6" t="s">
        <v>10280</v>
      </c>
      <c r="J1094" s="6" t="s">
        <v>10281</v>
      </c>
      <c r="K1094" s="16"/>
    </row>
    <row r="1095" spans="1:12" ht="14.25" customHeight="1">
      <c r="A1095" s="6" t="s">
        <v>10269</v>
      </c>
      <c r="B1095" s="4">
        <v>44496</v>
      </c>
      <c r="C1095" s="5">
        <v>47</v>
      </c>
      <c r="E1095" s="6" t="s">
        <v>9086</v>
      </c>
      <c r="F1095" s="155" t="s">
        <v>9162</v>
      </c>
      <c r="H1095" s="6" t="s">
        <v>10282</v>
      </c>
      <c r="J1095" s="6" t="s">
        <v>10281</v>
      </c>
      <c r="K1095" s="16"/>
    </row>
    <row r="1096" spans="1:12" ht="14.25" customHeight="1">
      <c r="C1096" s="5">
        <v>47</v>
      </c>
      <c r="F1096" s="155"/>
      <c r="K1096" s="16"/>
    </row>
    <row r="1097" spans="1:12" ht="14.25" customHeight="1">
      <c r="B1097" s="276">
        <v>44497</v>
      </c>
      <c r="C1097" s="277">
        <v>48</v>
      </c>
      <c r="D1097" s="278" t="s">
        <v>10283</v>
      </c>
      <c r="E1097" s="279" t="s">
        <v>10211</v>
      </c>
      <c r="F1097" s="280"/>
      <c r="G1097" s="279"/>
      <c r="H1097" s="279" t="s">
        <v>10284</v>
      </c>
      <c r="I1097" s="279"/>
      <c r="J1097" s="279" t="s">
        <v>10285</v>
      </c>
      <c r="K1097" s="281">
        <v>6201997261</v>
      </c>
      <c r="L1097" s="6" t="s">
        <v>10286</v>
      </c>
    </row>
    <row r="1098" spans="1:12" ht="14.25" customHeight="1">
      <c r="B1098" s="4">
        <v>44499</v>
      </c>
      <c r="C1098" s="5">
        <v>47</v>
      </c>
      <c r="D1098" s="6" t="s">
        <v>10287</v>
      </c>
      <c r="E1098" s="6" t="s">
        <v>8581</v>
      </c>
      <c r="F1098" s="155"/>
      <c r="H1098" s="6" t="s">
        <v>10288</v>
      </c>
      <c r="J1098" s="6" t="s">
        <v>10289</v>
      </c>
      <c r="K1098" s="16">
        <v>8603855193</v>
      </c>
    </row>
    <row r="1099" spans="1:12" ht="14.25" customHeight="1">
      <c r="B1099" s="4">
        <v>44499</v>
      </c>
      <c r="C1099" s="5">
        <v>47</v>
      </c>
      <c r="D1099" s="6" t="s">
        <v>10290</v>
      </c>
      <c r="E1099" s="6" t="s">
        <v>7314</v>
      </c>
      <c r="F1099" s="155"/>
      <c r="J1099" s="6" t="s">
        <v>10291</v>
      </c>
      <c r="K1099" s="16">
        <v>8789249841</v>
      </c>
    </row>
    <row r="1100" spans="1:12" ht="14.25" customHeight="1">
      <c r="B1100" s="4">
        <v>44501</v>
      </c>
      <c r="C1100" s="5">
        <v>47</v>
      </c>
      <c r="D1100" s="6" t="s">
        <v>10292</v>
      </c>
      <c r="E1100" s="6" t="s">
        <v>10293</v>
      </c>
      <c r="F1100" s="155"/>
      <c r="H1100" s="6" t="s">
        <v>10294</v>
      </c>
      <c r="J1100" s="6" t="s">
        <v>10295</v>
      </c>
      <c r="K1100" s="16">
        <v>8002816859</v>
      </c>
    </row>
    <row r="1101" spans="1:12" ht="14.25" customHeight="1">
      <c r="B1101" s="4">
        <v>44502</v>
      </c>
      <c r="C1101" s="5">
        <v>47</v>
      </c>
      <c r="D1101" s="6" t="s">
        <v>10296</v>
      </c>
      <c r="E1101" s="6" t="s">
        <v>7411</v>
      </c>
      <c r="F1101" s="155"/>
      <c r="J1101" s="6" t="s">
        <v>10297</v>
      </c>
      <c r="K1101" s="16">
        <v>8603717388</v>
      </c>
    </row>
    <row r="1102" spans="1:12" ht="14.25" customHeight="1">
      <c r="B1102" s="4">
        <v>44502</v>
      </c>
      <c r="C1102" s="5">
        <v>47</v>
      </c>
      <c r="D1102" s="6" t="s">
        <v>10298</v>
      </c>
      <c r="E1102" s="6" t="s">
        <v>10299</v>
      </c>
      <c r="F1102" s="155"/>
      <c r="H1102" s="6" t="s">
        <v>10300</v>
      </c>
      <c r="J1102" s="6" t="s">
        <v>5966</v>
      </c>
      <c r="K1102" s="16">
        <v>7250799928</v>
      </c>
    </row>
    <row r="1103" spans="1:12" ht="14.25" customHeight="1">
      <c r="B1103" s="4">
        <v>44502</v>
      </c>
      <c r="C1103" s="5">
        <v>47</v>
      </c>
      <c r="D1103" s="6" t="s">
        <v>10301</v>
      </c>
      <c r="E1103" s="6" t="s">
        <v>10299</v>
      </c>
      <c r="F1103" s="155"/>
      <c r="H1103" s="6" t="s">
        <v>10300</v>
      </c>
      <c r="J1103" s="6" t="s">
        <v>10295</v>
      </c>
      <c r="K1103" s="16">
        <v>8002816859</v>
      </c>
    </row>
    <row r="1104" spans="1:12" ht="14.25" customHeight="1">
      <c r="B1104" s="4">
        <v>44503</v>
      </c>
      <c r="C1104" s="5">
        <v>47</v>
      </c>
      <c r="D1104" s="6" t="s">
        <v>10302</v>
      </c>
      <c r="E1104" s="6" t="s">
        <v>7406</v>
      </c>
      <c r="F1104" s="155"/>
      <c r="H1104" s="6" t="s">
        <v>10303</v>
      </c>
      <c r="J1104" s="6" t="s">
        <v>10304</v>
      </c>
      <c r="K1104" s="16">
        <v>9431936557</v>
      </c>
    </row>
    <row r="1105" spans="2:12" ht="14.25" customHeight="1">
      <c r="B1105" s="4">
        <v>44506</v>
      </c>
      <c r="C1105" s="5"/>
      <c r="D1105" s="6" t="s">
        <v>10305</v>
      </c>
      <c r="E1105" s="6" t="s">
        <v>7411</v>
      </c>
      <c r="F1105" s="155"/>
      <c r="J1105" s="6" t="s">
        <v>10306</v>
      </c>
      <c r="K1105" s="16">
        <v>7857931880</v>
      </c>
    </row>
    <row r="1106" spans="2:12" ht="14.25" customHeight="1">
      <c r="C1106" s="5"/>
      <c r="E1106" s="6" t="s">
        <v>7411</v>
      </c>
      <c r="F1106" s="155"/>
      <c r="J1106" s="6" t="s">
        <v>10307</v>
      </c>
      <c r="K1106" s="16">
        <v>7384787084</v>
      </c>
      <c r="L1106" s="6">
        <v>8235431046</v>
      </c>
    </row>
    <row r="1107" spans="2:12" ht="14.25" customHeight="1">
      <c r="C1107" s="5"/>
      <c r="F1107" s="155"/>
      <c r="J1107" s="6" t="s">
        <v>10308</v>
      </c>
      <c r="K1107" s="16"/>
    </row>
    <row r="1108" spans="2:12" ht="14.25" customHeight="1">
      <c r="C1108" s="5">
        <v>47</v>
      </c>
      <c r="D1108" s="6" t="s">
        <v>10309</v>
      </c>
      <c r="E1108" s="6" t="s">
        <v>7411</v>
      </c>
      <c r="F1108" s="155"/>
      <c r="J1108" s="6" t="s">
        <v>10310</v>
      </c>
      <c r="K1108" s="16">
        <v>9234468597</v>
      </c>
    </row>
    <row r="1109" spans="2:12" ht="14.25" customHeight="1">
      <c r="C1109" s="5">
        <v>47</v>
      </c>
      <c r="D1109" s="6" t="s">
        <v>10311</v>
      </c>
      <c r="E1109" s="6" t="s">
        <v>7411</v>
      </c>
      <c r="F1109" s="155"/>
      <c r="J1109" s="6" t="s">
        <v>5261</v>
      </c>
      <c r="K1109" s="16">
        <v>7903651543</v>
      </c>
      <c r="L1109" s="6" t="s">
        <v>10312</v>
      </c>
    </row>
    <row r="1110" spans="2:12" ht="14.25" customHeight="1">
      <c r="B1110" s="4">
        <v>44518</v>
      </c>
      <c r="C1110" s="5">
        <v>48</v>
      </c>
      <c r="D1110" s="6" t="s">
        <v>10313</v>
      </c>
      <c r="E1110" s="6" t="s">
        <v>7411</v>
      </c>
      <c r="F1110" s="155"/>
      <c r="J1110" s="6" t="s">
        <v>10314</v>
      </c>
      <c r="K1110" s="16">
        <v>8271977919</v>
      </c>
    </row>
    <row r="1111" spans="2:12" ht="14.25" customHeight="1">
      <c r="D1111" s="6" t="s">
        <v>10315</v>
      </c>
      <c r="E1111" s="6" t="s">
        <v>9054</v>
      </c>
      <c r="F1111" s="155"/>
      <c r="K1111" s="16">
        <v>8603855193</v>
      </c>
    </row>
    <row r="1112" spans="2:12" ht="14.25" customHeight="1">
      <c r="C1112" s="5"/>
      <c r="D1112" s="6" t="s">
        <v>10316</v>
      </c>
      <c r="E1112" s="6" t="s">
        <v>10317</v>
      </c>
      <c r="F1112" s="155"/>
      <c r="H1112" s="6" t="s">
        <v>10318</v>
      </c>
      <c r="J1112" s="6" t="s">
        <v>10319</v>
      </c>
      <c r="K1112" s="16">
        <v>9263302994</v>
      </c>
      <c r="L1112" s="6" t="s">
        <v>9229</v>
      </c>
    </row>
    <row r="1113" spans="2:12" ht="14.25" customHeight="1">
      <c r="B1113" s="4">
        <v>44521</v>
      </c>
      <c r="C1113" s="5">
        <v>47</v>
      </c>
      <c r="D1113" s="6" t="s">
        <v>10320</v>
      </c>
      <c r="E1113" s="6" t="s">
        <v>7411</v>
      </c>
      <c r="F1113" s="155"/>
      <c r="J1113" s="6" t="s">
        <v>10321</v>
      </c>
      <c r="K1113" s="16">
        <v>8207351848</v>
      </c>
    </row>
    <row r="1114" spans="2:12" ht="14.25" customHeight="1">
      <c r="B1114" s="4">
        <v>44524</v>
      </c>
      <c r="C1114" s="5">
        <v>47</v>
      </c>
      <c r="D1114" s="6" t="s">
        <v>10322</v>
      </c>
      <c r="E1114" s="6" t="s">
        <v>10323</v>
      </c>
      <c r="F1114" s="155"/>
      <c r="H1114" s="6" t="s">
        <v>10324</v>
      </c>
      <c r="K1114" s="16">
        <v>8092429960</v>
      </c>
    </row>
    <row r="1115" spans="2:12" ht="14.25" customHeight="1">
      <c r="B1115" s="4">
        <v>44524</v>
      </c>
      <c r="C1115" s="5">
        <v>47</v>
      </c>
      <c r="D1115" s="6" t="s">
        <v>10325</v>
      </c>
      <c r="E1115" s="6" t="s">
        <v>10323</v>
      </c>
      <c r="F1115" s="155"/>
      <c r="H1115" s="6" t="s">
        <v>10326</v>
      </c>
      <c r="K1115" s="16">
        <v>9234737216</v>
      </c>
    </row>
    <row r="1116" spans="2:12" ht="14.25" customHeight="1">
      <c r="B1116" s="4">
        <v>44524</v>
      </c>
      <c r="C1116" s="5">
        <v>47</v>
      </c>
      <c r="D1116" s="6" t="s">
        <v>10327</v>
      </c>
      <c r="E1116" s="6" t="s">
        <v>7411</v>
      </c>
      <c r="F1116" s="155"/>
      <c r="J1116" s="6" t="s">
        <v>10328</v>
      </c>
      <c r="K1116" s="16">
        <v>7033778868</v>
      </c>
    </row>
    <row r="1117" spans="2:12" ht="14.25" customHeight="1">
      <c r="B1117" s="4">
        <v>44524</v>
      </c>
      <c r="C1117" s="5">
        <v>47</v>
      </c>
      <c r="D1117" s="6" t="s">
        <v>10329</v>
      </c>
      <c r="E1117" s="6" t="s">
        <v>7411</v>
      </c>
      <c r="F1117" s="155"/>
      <c r="J1117" s="6" t="s">
        <v>10330</v>
      </c>
      <c r="K1117" s="16">
        <v>9541269206</v>
      </c>
    </row>
    <row r="1118" spans="2:12" ht="14.25" customHeight="1">
      <c r="B1118" s="4">
        <v>44524</v>
      </c>
      <c r="C1118" s="5">
        <v>47</v>
      </c>
      <c r="D1118" s="6" t="s">
        <v>10331</v>
      </c>
      <c r="E1118" s="6" t="s">
        <v>9298</v>
      </c>
      <c r="F1118" s="155"/>
      <c r="H1118" s="6" t="s">
        <v>10332</v>
      </c>
      <c r="J1118" s="6" t="s">
        <v>10333</v>
      </c>
      <c r="K1118" s="16">
        <v>6203130343</v>
      </c>
    </row>
    <row r="1119" spans="2:12" ht="14.25" customHeight="1">
      <c r="C1119" s="5">
        <v>48</v>
      </c>
      <c r="D1119" s="6" t="s">
        <v>10334</v>
      </c>
      <c r="F1119" s="155"/>
      <c r="J1119" s="6" t="s">
        <v>10335</v>
      </c>
      <c r="K1119" s="16"/>
    </row>
    <row r="1120" spans="2:12" ht="14.25" customHeight="1">
      <c r="C1120" s="5">
        <v>49</v>
      </c>
      <c r="D1120" s="6" t="s">
        <v>10336</v>
      </c>
      <c r="E1120" s="6" t="s">
        <v>10337</v>
      </c>
      <c r="F1120" s="155"/>
      <c r="H1120" s="6" t="s">
        <v>10338</v>
      </c>
      <c r="J1120" s="6" t="s">
        <v>10339</v>
      </c>
      <c r="K1120" s="16">
        <v>8969429222</v>
      </c>
    </row>
    <row r="1121" spans="2:13" ht="14.25" customHeight="1">
      <c r="C1121" s="5">
        <v>49</v>
      </c>
      <c r="D1121" s="6" t="s">
        <v>10340</v>
      </c>
      <c r="E1121" s="6" t="s">
        <v>8619</v>
      </c>
      <c r="F1121" s="155"/>
      <c r="H1121" s="6" t="s">
        <v>10338</v>
      </c>
      <c r="J1121" s="6" t="s">
        <v>10339</v>
      </c>
      <c r="K1121" s="16">
        <v>8969429222</v>
      </c>
    </row>
    <row r="1122" spans="2:13" ht="14.25" customHeight="1">
      <c r="B1122" s="4">
        <v>44548</v>
      </c>
      <c r="C1122" s="5">
        <v>47</v>
      </c>
      <c r="D1122" s="6" t="s">
        <v>10341</v>
      </c>
      <c r="E1122" s="6" t="s">
        <v>7423</v>
      </c>
      <c r="F1122" s="155"/>
      <c r="J1122" s="6" t="s">
        <v>10342</v>
      </c>
      <c r="K1122" s="16">
        <v>7250188700</v>
      </c>
    </row>
    <row r="1123" spans="2:13" ht="14.25" customHeight="1">
      <c r="B1123" s="4">
        <v>44548</v>
      </c>
      <c r="C1123" s="5">
        <v>48</v>
      </c>
      <c r="D1123" s="6" t="s">
        <v>10343</v>
      </c>
      <c r="E1123" s="6" t="s">
        <v>10337</v>
      </c>
      <c r="F1123" s="155"/>
      <c r="J1123" s="6" t="s">
        <v>10344</v>
      </c>
      <c r="K1123" s="16">
        <v>6207759796</v>
      </c>
    </row>
    <row r="1124" spans="2:13" ht="14.25" customHeight="1">
      <c r="B1124" s="4">
        <v>44549</v>
      </c>
      <c r="C1124" s="5"/>
      <c r="D1124" s="6" t="s">
        <v>10345</v>
      </c>
      <c r="E1124" s="6" t="s">
        <v>1840</v>
      </c>
      <c r="F1124" s="155"/>
      <c r="H1124" s="6" t="s">
        <v>10346</v>
      </c>
      <c r="J1124" s="6" t="s">
        <v>10347</v>
      </c>
      <c r="K1124" s="16">
        <v>9031594005</v>
      </c>
    </row>
    <row r="1125" spans="2:13" ht="14.25" customHeight="1">
      <c r="B1125" s="4">
        <v>44549</v>
      </c>
      <c r="C1125" s="5"/>
      <c r="D1125" s="6" t="s">
        <v>10348</v>
      </c>
      <c r="E1125" s="6" t="s">
        <v>10349</v>
      </c>
      <c r="F1125" s="155"/>
      <c r="H1125" s="6" t="s">
        <v>10350</v>
      </c>
      <c r="J1125" s="6" t="s">
        <v>7595</v>
      </c>
      <c r="K1125" s="16">
        <v>8340594115</v>
      </c>
    </row>
    <row r="1126" spans="2:13" ht="14.25" customHeight="1">
      <c r="B1126" s="4">
        <v>44564</v>
      </c>
      <c r="C1126" s="5">
        <v>48</v>
      </c>
      <c r="D1126" s="6" t="s">
        <v>10351</v>
      </c>
      <c r="E1126" s="6" t="s">
        <v>7314</v>
      </c>
      <c r="F1126" s="155"/>
      <c r="J1126" s="6" t="s">
        <v>10352</v>
      </c>
      <c r="K1126" s="16">
        <v>9771616936</v>
      </c>
    </row>
    <row r="1127" spans="2:13" ht="14.25" customHeight="1">
      <c r="B1127" s="4">
        <v>44564</v>
      </c>
      <c r="C1127" s="5">
        <v>47</v>
      </c>
      <c r="D1127" s="6" t="s">
        <v>10353</v>
      </c>
      <c r="E1127" s="6" t="s">
        <v>10354</v>
      </c>
      <c r="F1127" s="155"/>
      <c r="H1127" s="6" t="s">
        <v>10355</v>
      </c>
      <c r="J1127" s="6" t="s">
        <v>10356</v>
      </c>
      <c r="K1127" s="16">
        <v>9234871074</v>
      </c>
    </row>
    <row r="1128" spans="2:13" ht="14.25" customHeight="1">
      <c r="B1128" s="4">
        <v>44565</v>
      </c>
      <c r="C1128" s="5">
        <v>47</v>
      </c>
      <c r="D1128" s="6" t="s">
        <v>10357</v>
      </c>
      <c r="E1128" s="6" t="s">
        <v>7314</v>
      </c>
      <c r="F1128" s="155"/>
      <c r="J1128" s="6" t="s">
        <v>2181</v>
      </c>
      <c r="K1128" s="16">
        <v>7633966747</v>
      </c>
    </row>
    <row r="1129" spans="2:13" ht="14.25" customHeight="1">
      <c r="B1129" s="4">
        <v>44569</v>
      </c>
      <c r="C1129" s="5">
        <v>48</v>
      </c>
      <c r="D1129" s="6" t="s">
        <v>10358</v>
      </c>
      <c r="E1129" s="6" t="s">
        <v>10354</v>
      </c>
      <c r="F1129" s="155"/>
      <c r="H1129" s="6" t="s">
        <v>10359</v>
      </c>
      <c r="J1129" s="6" t="s">
        <v>10360</v>
      </c>
      <c r="K1129" s="16">
        <v>8235430127</v>
      </c>
      <c r="L1129" s="6" t="s">
        <v>10361</v>
      </c>
    </row>
    <row r="1130" spans="2:13" ht="14.25" customHeight="1">
      <c r="B1130" s="4">
        <v>44569</v>
      </c>
      <c r="C1130" s="5">
        <v>47</v>
      </c>
      <c r="D1130" s="6" t="s">
        <v>10362</v>
      </c>
      <c r="E1130" s="6" t="s">
        <v>7314</v>
      </c>
      <c r="F1130" s="155"/>
      <c r="J1130" s="6" t="s">
        <v>10363</v>
      </c>
      <c r="K1130" s="16">
        <v>7979735825</v>
      </c>
      <c r="M1130" s="6" t="s">
        <v>10364</v>
      </c>
    </row>
    <row r="1131" spans="2:13" ht="15" customHeight="1">
      <c r="B1131" s="386">
        <v>44714</v>
      </c>
      <c r="C1131" s="5">
        <v>47</v>
      </c>
      <c r="D1131" s="6" t="s">
        <v>12608</v>
      </c>
      <c r="E1131" s="6" t="s">
        <v>7314</v>
      </c>
      <c r="J1131" s="6" t="s">
        <v>12607</v>
      </c>
      <c r="K1131" s="16">
        <v>9304514615</v>
      </c>
    </row>
    <row r="1132" spans="2:13" ht="15" customHeight="1">
      <c r="B1132" s="386">
        <v>44726</v>
      </c>
      <c r="C1132" s="5">
        <v>48</v>
      </c>
      <c r="D1132" s="6" t="s">
        <v>12656</v>
      </c>
      <c r="E1132" s="457" t="s">
        <v>7406</v>
      </c>
      <c r="H1132" s="454" t="s">
        <v>12657</v>
      </c>
      <c r="J1132" s="6" t="s">
        <v>12658</v>
      </c>
      <c r="K1132" s="16">
        <v>8210926195</v>
      </c>
    </row>
    <row r="1133" spans="2:13" ht="15" customHeight="1">
      <c r="B1133" s="386">
        <v>44726</v>
      </c>
      <c r="C1133" s="5">
        <v>47</v>
      </c>
      <c r="D1133" s="6" t="s">
        <v>12660</v>
      </c>
      <c r="E1133" s="457" t="s">
        <v>7569</v>
      </c>
      <c r="H1133" s="454" t="s">
        <v>12659</v>
      </c>
      <c r="J1133" s="6" t="s">
        <v>12621</v>
      </c>
      <c r="K1133" s="16">
        <v>9263445537</v>
      </c>
    </row>
    <row r="1134" spans="2:13" ht="15" customHeight="1">
      <c r="B1134" s="386">
        <v>44726</v>
      </c>
      <c r="C1134" s="5">
        <v>47</v>
      </c>
      <c r="D1134" s="6" t="s">
        <v>12663</v>
      </c>
      <c r="E1134" s="457" t="s">
        <v>7569</v>
      </c>
      <c r="H1134" s="454" t="s">
        <v>12661</v>
      </c>
      <c r="J1134" s="6" t="s">
        <v>12662</v>
      </c>
      <c r="K1134" s="16">
        <v>9334445537</v>
      </c>
    </row>
    <row r="1135" spans="2:13" ht="15" customHeight="1">
      <c r="B1135" s="386">
        <v>44730</v>
      </c>
      <c r="E1135" s="457" t="s">
        <v>12694</v>
      </c>
      <c r="H1135" s="468" t="s">
        <v>12695</v>
      </c>
      <c r="J1135" s="6" t="s">
        <v>12696</v>
      </c>
      <c r="K1135" s="16">
        <v>9234697668</v>
      </c>
      <c r="L1135" s="468" t="s">
        <v>12697</v>
      </c>
      <c r="M1135">
        <v>9337194060</v>
      </c>
    </row>
    <row r="1136" spans="2:13" ht="15" customHeight="1">
      <c r="B1136" s="386">
        <v>44734</v>
      </c>
      <c r="C1136" s="5">
        <v>47</v>
      </c>
      <c r="D1136" s="6" t="s">
        <v>12753</v>
      </c>
      <c r="E1136" s="457" t="s">
        <v>273</v>
      </c>
      <c r="H1136" s="478" t="s">
        <v>12737</v>
      </c>
      <c r="J1136" s="6" t="s">
        <v>12736</v>
      </c>
      <c r="K1136">
        <v>9304399128</v>
      </c>
      <c r="L1136" s="391" t="s">
        <v>12735</v>
      </c>
    </row>
    <row r="1137" spans="2:12" ht="15" customHeight="1">
      <c r="B1137" s="386">
        <v>44740</v>
      </c>
      <c r="C1137" s="5">
        <v>47</v>
      </c>
      <c r="D1137" s="6" t="s">
        <v>12752</v>
      </c>
      <c r="E1137" s="457" t="s">
        <v>7496</v>
      </c>
      <c r="H1137" s="482" t="s">
        <v>12754</v>
      </c>
      <c r="J1137" s="6"/>
      <c r="K1137" s="16">
        <v>9123135629</v>
      </c>
      <c r="L1137" s="391" t="s">
        <v>11720</v>
      </c>
    </row>
    <row r="1138" spans="2:12" ht="15" customHeight="1">
      <c r="B1138" s="386">
        <v>44740</v>
      </c>
      <c r="C1138" s="5" t="s">
        <v>7727</v>
      </c>
      <c r="D1138" s="6" t="s">
        <v>12755</v>
      </c>
      <c r="E1138" s="457" t="s">
        <v>12756</v>
      </c>
      <c r="J1138" s="6" t="s">
        <v>12757</v>
      </c>
      <c r="K1138" s="16">
        <v>6202438417</v>
      </c>
      <c r="L1138" s="391" t="s">
        <v>11720</v>
      </c>
    </row>
    <row r="1139" spans="2:12" ht="15" customHeight="1">
      <c r="B1139" s="386">
        <v>44740</v>
      </c>
      <c r="C1139" s="5">
        <v>47</v>
      </c>
      <c r="D1139" s="6" t="s">
        <v>12761</v>
      </c>
      <c r="E1139" s="457" t="s">
        <v>12762</v>
      </c>
      <c r="H1139" s="482" t="s">
        <v>12763</v>
      </c>
      <c r="K1139" s="16">
        <v>9204267336</v>
      </c>
      <c r="L1139" s="391" t="s">
        <v>11720</v>
      </c>
    </row>
    <row r="1140" spans="2:12" ht="15" customHeight="1">
      <c r="B1140" s="386">
        <v>44744</v>
      </c>
      <c r="D1140" s="6" t="s">
        <v>12809</v>
      </c>
      <c r="E1140" s="457" t="s">
        <v>12810</v>
      </c>
      <c r="H1140" s="498" t="s">
        <v>12811</v>
      </c>
      <c r="K1140" s="16">
        <v>9546779875</v>
      </c>
      <c r="L1140" s="391" t="s">
        <v>11720</v>
      </c>
    </row>
    <row r="1141" spans="2:12" ht="15" customHeight="1">
      <c r="B1141" s="500">
        <v>44745</v>
      </c>
      <c r="C1141" s="501">
        <v>47</v>
      </c>
      <c r="D1141" s="502" t="s">
        <v>9086</v>
      </c>
      <c r="E1141" s="503" t="s">
        <v>8501</v>
      </c>
      <c r="F1141" s="504"/>
      <c r="G1141" s="504"/>
      <c r="H1141" s="505" t="s">
        <v>12822</v>
      </c>
      <c r="I1141" s="504"/>
      <c r="J1141" s="504" t="s">
        <v>12823</v>
      </c>
      <c r="K1141" s="504">
        <v>9337194060</v>
      </c>
      <c r="L1141" s="504"/>
    </row>
    <row r="1142" spans="2:12" ht="15" customHeight="1">
      <c r="B1142" s="386">
        <v>44755</v>
      </c>
      <c r="D1142" s="6" t="s">
        <v>12863</v>
      </c>
      <c r="E1142" s="457" t="s">
        <v>7727</v>
      </c>
      <c r="H1142" s="514" t="s">
        <v>12864</v>
      </c>
      <c r="J1142" s="514" t="s">
        <v>3784</v>
      </c>
      <c r="K1142" s="16">
        <v>9608002109</v>
      </c>
    </row>
    <row r="1143" spans="2:12" ht="15" customHeight="1">
      <c r="B1143" s="386">
        <v>44761</v>
      </c>
      <c r="C1143" s="448">
        <v>47</v>
      </c>
      <c r="D1143" s="6" t="s">
        <v>12896</v>
      </c>
      <c r="E1143" s="457" t="s">
        <v>8968</v>
      </c>
      <c r="H1143" s="518" t="s">
        <v>12897</v>
      </c>
      <c r="K1143" s="16">
        <v>8797069115</v>
      </c>
    </row>
    <row r="1144" spans="2:12" ht="15" customHeight="1">
      <c r="B1144" s="386">
        <v>44763</v>
      </c>
      <c r="C1144" s="448">
        <v>47</v>
      </c>
      <c r="D1144" s="521" t="s">
        <v>12917</v>
      </c>
      <c r="H1144" s="520" t="s">
        <v>12916</v>
      </c>
      <c r="K1144" s="16">
        <v>7209592794</v>
      </c>
      <c r="L1144" s="492" t="s">
        <v>11720</v>
      </c>
    </row>
    <row r="1145" spans="2:12" ht="15" customHeight="1">
      <c r="B1145" s="386">
        <v>44764</v>
      </c>
      <c r="C1145" s="448">
        <v>48</v>
      </c>
      <c r="D1145" s="6" t="s">
        <v>12937</v>
      </c>
      <c r="E1145" s="523" t="s">
        <v>7569</v>
      </c>
      <c r="H1145" s="523" t="s">
        <v>12938</v>
      </c>
      <c r="K1145" s="16">
        <v>8092000384</v>
      </c>
      <c r="L1145" s="492" t="s">
        <v>11720</v>
      </c>
    </row>
    <row r="1146" spans="2:12" ht="15" customHeight="1">
      <c r="C1146" s="448">
        <v>48</v>
      </c>
      <c r="H1146" s="527" t="s">
        <v>12973</v>
      </c>
      <c r="K1146">
        <v>9234500958</v>
      </c>
    </row>
    <row r="1147" spans="2:12" ht="15" customHeight="1">
      <c r="B1147" s="386">
        <v>44769</v>
      </c>
      <c r="C1147" s="448">
        <v>48</v>
      </c>
      <c r="D1147" s="6" t="s">
        <v>12992</v>
      </c>
      <c r="E1147" t="s">
        <v>7326</v>
      </c>
      <c r="G1147" t="s">
        <v>12995</v>
      </c>
      <c r="H1147" s="530" t="s">
        <v>12994</v>
      </c>
      <c r="J1147" t="s">
        <v>12993</v>
      </c>
      <c r="K1147" s="16">
        <v>9199357350</v>
      </c>
      <c r="L1147" s="492" t="s">
        <v>11720</v>
      </c>
    </row>
    <row r="1148" spans="2:12" ht="15" customHeight="1">
      <c r="B1148" s="386">
        <v>44769</v>
      </c>
      <c r="C1148" s="448">
        <v>47</v>
      </c>
      <c r="D1148" s="6" t="s">
        <v>13007</v>
      </c>
      <c r="E1148" s="531" t="s">
        <v>13006</v>
      </c>
      <c r="H1148" s="531" t="s">
        <v>13005</v>
      </c>
      <c r="K1148" s="16">
        <v>9204936533</v>
      </c>
      <c r="L1148" s="492" t="s">
        <v>11720</v>
      </c>
    </row>
    <row r="1149" spans="2:12" ht="15" customHeight="1">
      <c r="B1149" s="386">
        <v>44772</v>
      </c>
      <c r="C1149" s="448">
        <v>47</v>
      </c>
      <c r="D1149" s="6" t="s">
        <v>13050</v>
      </c>
      <c r="E1149" s="538" t="s">
        <v>8268</v>
      </c>
      <c r="H1149" s="538" t="s">
        <v>13051</v>
      </c>
      <c r="J1149" t="s">
        <v>13052</v>
      </c>
      <c r="K1149" s="16">
        <v>9097333667</v>
      </c>
      <c r="L1149" s="492" t="s">
        <v>11720</v>
      </c>
    </row>
    <row r="1150" spans="2:12" ht="15" customHeight="1">
      <c r="B1150" s="386">
        <v>44772</v>
      </c>
      <c r="C1150" s="448">
        <v>47</v>
      </c>
      <c r="D1150" s="6" t="s">
        <v>13053</v>
      </c>
      <c r="E1150" s="539" t="s">
        <v>13054</v>
      </c>
      <c r="H1150" s="539" t="s">
        <v>12916</v>
      </c>
      <c r="J1150" t="s">
        <v>13055</v>
      </c>
      <c r="K1150" s="16">
        <v>7209592794</v>
      </c>
      <c r="L1150" s="492" t="s">
        <v>11720</v>
      </c>
    </row>
    <row r="1151" spans="2:12" ht="15" customHeight="1">
      <c r="B1151" s="386">
        <v>44778</v>
      </c>
      <c r="C1151" s="448">
        <v>47</v>
      </c>
      <c r="D1151" s="6" t="s">
        <v>13080</v>
      </c>
      <c r="E1151" s="542" t="s">
        <v>1840</v>
      </c>
      <c r="J1151" s="542" t="s">
        <v>13081</v>
      </c>
      <c r="K1151" s="16">
        <v>9955463138</v>
      </c>
      <c r="L1151" s="492" t="s">
        <v>11720</v>
      </c>
    </row>
    <row r="1152" spans="2:12" ht="15" customHeight="1">
      <c r="B1152" s="386">
        <v>44797</v>
      </c>
      <c r="C1152" s="448">
        <v>47</v>
      </c>
      <c r="D1152" s="6" t="s">
        <v>13151</v>
      </c>
      <c r="E1152" s="556" t="s">
        <v>1840</v>
      </c>
      <c r="H1152" s="6" t="s">
        <v>8029</v>
      </c>
      <c r="J1152" s="556" t="s">
        <v>8030</v>
      </c>
      <c r="K1152" s="16">
        <v>8797022886</v>
      </c>
      <c r="L1152" s="492" t="s">
        <v>11720</v>
      </c>
    </row>
    <row r="1153" spans="2:12" ht="15" customHeight="1">
      <c r="B1153" s="386">
        <v>44797</v>
      </c>
      <c r="C1153" s="448">
        <v>47</v>
      </c>
      <c r="D1153" s="6" t="s">
        <v>13153</v>
      </c>
      <c r="E1153" s="556" t="s">
        <v>13154</v>
      </c>
      <c r="H1153" s="6" t="s">
        <v>13155</v>
      </c>
      <c r="J1153" s="556" t="s">
        <v>13152</v>
      </c>
      <c r="K1153">
        <v>9263918440</v>
      </c>
      <c r="L1153" s="492" t="s">
        <v>11720</v>
      </c>
    </row>
    <row r="1154" spans="2:12" ht="15" customHeight="1">
      <c r="B1154" s="386">
        <v>44807</v>
      </c>
      <c r="C1154" s="448">
        <v>48</v>
      </c>
      <c r="D1154" s="6" t="s">
        <v>13191</v>
      </c>
      <c r="E1154" s="563" t="s">
        <v>13192</v>
      </c>
      <c r="H1154" s="6" t="s">
        <v>13193</v>
      </c>
      <c r="J1154" s="563" t="s">
        <v>13173</v>
      </c>
      <c r="K1154" s="16">
        <v>9031787872</v>
      </c>
      <c r="L1154" s="492" t="s">
        <v>11720</v>
      </c>
    </row>
    <row r="1155" spans="2:12" ht="15" customHeight="1">
      <c r="B1155" s="386">
        <v>44807</v>
      </c>
      <c r="C1155" s="448">
        <v>47</v>
      </c>
      <c r="D1155" s="6" t="s">
        <v>13197</v>
      </c>
      <c r="E1155" s="564" t="s">
        <v>13200</v>
      </c>
      <c r="H1155" s="6" t="s">
        <v>13198</v>
      </c>
      <c r="J1155" s="564" t="s">
        <v>13199</v>
      </c>
      <c r="K1155" s="16">
        <v>9570096657</v>
      </c>
      <c r="L1155" s="492" t="s">
        <v>11720</v>
      </c>
    </row>
    <row r="1156" spans="2:12" ht="15" customHeight="1">
      <c r="B1156" s="386">
        <v>44809</v>
      </c>
      <c r="C1156" s="448">
        <v>47</v>
      </c>
      <c r="D1156" s="6" t="s">
        <v>13212</v>
      </c>
      <c r="E1156" s="572" t="s">
        <v>10337</v>
      </c>
      <c r="H1156" s="6" t="s">
        <v>13213</v>
      </c>
      <c r="J1156" s="572" t="s">
        <v>13214</v>
      </c>
      <c r="K1156" s="16">
        <v>9939524421</v>
      </c>
      <c r="L1156" s="492" t="s">
        <v>11720</v>
      </c>
    </row>
    <row r="1157" spans="2:12" ht="15" customHeight="1">
      <c r="B1157" s="386">
        <v>44809</v>
      </c>
      <c r="C1157" s="448">
        <v>47</v>
      </c>
      <c r="D1157" s="6" t="s">
        <v>13215</v>
      </c>
      <c r="E1157" s="572" t="s">
        <v>10337</v>
      </c>
      <c r="H1157" s="6" t="s">
        <v>13216</v>
      </c>
      <c r="J1157" s="572" t="s">
        <v>12029</v>
      </c>
      <c r="K1157" s="16">
        <v>9430760965</v>
      </c>
      <c r="L1157" s="492" t="s">
        <v>11720</v>
      </c>
    </row>
    <row r="1158" spans="2:12" ht="15" customHeight="1">
      <c r="B1158" s="386">
        <v>44817</v>
      </c>
      <c r="C1158" s="448">
        <v>47</v>
      </c>
      <c r="D1158" s="6" t="s">
        <v>13252</v>
      </c>
      <c r="E1158" s="581" t="s">
        <v>8581</v>
      </c>
      <c r="H1158" s="6" t="s">
        <v>13253</v>
      </c>
      <c r="J1158" s="581" t="s">
        <v>13254</v>
      </c>
      <c r="K1158" s="16">
        <v>7667899862</v>
      </c>
      <c r="L1158" s="492" t="s">
        <v>11720</v>
      </c>
    </row>
    <row r="1159" spans="2:12" ht="15" customHeight="1">
      <c r="B1159" s="386">
        <v>44817</v>
      </c>
      <c r="C1159" s="448">
        <v>47</v>
      </c>
      <c r="D1159" s="6" t="s">
        <v>13259</v>
      </c>
      <c r="E1159" s="582" t="s">
        <v>12694</v>
      </c>
      <c r="H1159" s="6" t="s">
        <v>13260</v>
      </c>
      <c r="J1159" s="582" t="s">
        <v>13261</v>
      </c>
      <c r="K1159" s="16">
        <v>9204442351</v>
      </c>
      <c r="L1159" s="492" t="s">
        <v>11720</v>
      </c>
    </row>
    <row r="1160" spans="2:12" ht="15" customHeight="1">
      <c r="B1160" s="386">
        <v>44817</v>
      </c>
      <c r="C1160" s="448">
        <v>47</v>
      </c>
      <c r="D1160" s="6" t="s">
        <v>13263</v>
      </c>
      <c r="E1160" s="582" t="s">
        <v>12694</v>
      </c>
      <c r="H1160" s="6" t="s">
        <v>13262</v>
      </c>
      <c r="J1160" s="582" t="s">
        <v>13258</v>
      </c>
      <c r="K1160" s="16">
        <v>9204582509</v>
      </c>
      <c r="L1160" s="492" t="s">
        <v>11720</v>
      </c>
    </row>
    <row r="1161" spans="2:12" ht="15" customHeight="1">
      <c r="B1161" s="386">
        <v>44817</v>
      </c>
      <c r="C1161" s="448">
        <v>47</v>
      </c>
      <c r="D1161" s="6" t="s">
        <v>13264</v>
      </c>
      <c r="E1161" s="582" t="s">
        <v>12694</v>
      </c>
      <c r="H1161" s="6" t="s">
        <v>13265</v>
      </c>
      <c r="J1161" s="582" t="s">
        <v>13266</v>
      </c>
      <c r="K1161" s="16">
        <v>9204419301</v>
      </c>
      <c r="L1161" s="492" t="s">
        <v>11720</v>
      </c>
    </row>
    <row r="1162" spans="2:12" ht="15" customHeight="1">
      <c r="B1162" s="386">
        <v>44817</v>
      </c>
      <c r="C1162" s="448">
        <v>47</v>
      </c>
      <c r="D1162" s="6" t="s">
        <v>13267</v>
      </c>
      <c r="E1162" s="582" t="s">
        <v>12694</v>
      </c>
      <c r="H1162" s="6" t="s">
        <v>13268</v>
      </c>
      <c r="J1162" s="582" t="s">
        <v>11742</v>
      </c>
      <c r="K1162" s="16">
        <v>7563061743</v>
      </c>
      <c r="L1162" s="492" t="s">
        <v>11720</v>
      </c>
    </row>
    <row r="1163" spans="2:12" ht="15" customHeight="1">
      <c r="B1163" s="386">
        <v>44820</v>
      </c>
      <c r="C1163" s="448">
        <v>47</v>
      </c>
      <c r="J1163" s="588" t="s">
        <v>13275</v>
      </c>
      <c r="K1163" s="16">
        <v>8409000157</v>
      </c>
      <c r="L1163" s="492" t="s">
        <v>11720</v>
      </c>
    </row>
    <row r="1164" spans="2:12" ht="15" customHeight="1">
      <c r="B1164" s="386">
        <v>44820</v>
      </c>
      <c r="C1164" s="448">
        <v>48</v>
      </c>
      <c r="D1164" t="s">
        <v>13276</v>
      </c>
      <c r="E1164" t="s">
        <v>13279</v>
      </c>
      <c r="H1164" t="s">
        <v>13277</v>
      </c>
      <c r="J1164" s="588" t="s">
        <v>13278</v>
      </c>
      <c r="K1164" s="16">
        <v>9031212413</v>
      </c>
      <c r="L1164" s="492" t="s">
        <v>11720</v>
      </c>
    </row>
    <row r="1165" spans="2:12" ht="15" customHeight="1">
      <c r="B1165" s="386">
        <v>44829</v>
      </c>
      <c r="C1165" s="448">
        <v>47</v>
      </c>
      <c r="D1165" t="s">
        <v>13299</v>
      </c>
      <c r="E1165" t="s">
        <v>8758</v>
      </c>
      <c r="H1165" t="s">
        <v>13300</v>
      </c>
      <c r="J1165" s="593" t="s">
        <v>13301</v>
      </c>
      <c r="K1165" s="16">
        <v>9279012478</v>
      </c>
      <c r="L1165" s="492" t="s">
        <v>11720</v>
      </c>
    </row>
    <row r="1166" spans="2:12" ht="15" customHeight="1">
      <c r="B1166" s="386">
        <v>44829</v>
      </c>
      <c r="C1166" s="448">
        <v>47</v>
      </c>
      <c r="D1166" t="s">
        <v>13302</v>
      </c>
      <c r="E1166" t="s">
        <v>8758</v>
      </c>
      <c r="H1166" t="s">
        <v>13303</v>
      </c>
      <c r="K1166" s="16">
        <v>9279012478</v>
      </c>
      <c r="L1166" s="492" t="s">
        <v>11720</v>
      </c>
    </row>
  </sheetData>
  <autoFilter ref="A1:R890" xr:uid="{00000000-0009-0000-0000-000003000000}"/>
  <customSheetViews>
    <customSheetView guid="{B48AB9B1-ABCB-4969-9A44-080A32004BB6}" filter="1" showAutoFilter="1">
      <pageMargins left="0.7" right="0.7" top="0.75" bottom="0.75" header="0.3" footer="0.3"/>
      <autoFilter ref="A1:R890" xr:uid="{D25730FC-BA4E-48AC-A821-3F455D209465}"/>
      <extLst>
        <ext uri="GoogleSheetsCustomDataVersion1">
          <go:sheetsCustomData xmlns:go="http://customooxmlschemas.google.com/" filterViewId="974434788"/>
        </ext>
      </extLst>
    </customSheetView>
    <customSheetView guid="{7D776790-6EE6-4890-AEAD-CC685CF5AC69}" filter="1" showAutoFilter="1">
      <pageMargins left="0.7" right="0.7" top="0.75" bottom="0.75" header="0.3" footer="0.3"/>
      <autoFilter ref="A1:R890" xr:uid="{188510A4-2041-4091-A206-DE2B075DD24F}"/>
      <extLst>
        <ext uri="GoogleSheetsCustomDataVersion1">
          <go:sheetsCustomData xmlns:go="http://customooxmlschemas.google.com/" filterViewId="725791564"/>
        </ext>
      </extLst>
    </customSheetView>
    <customSheetView guid="{6DBA1DF2-B961-4824-A638-68D2235E258C}" filter="1" showAutoFilter="1">
      <pageMargins left="0.7" right="0.7" top="0.75" bottom="0.75" header="0.3" footer="0.3"/>
      <autoFilter ref="A1:R890" xr:uid="{C28EDA7A-6742-430E-A02F-895A149BD0CE}"/>
      <extLst>
        <ext uri="GoogleSheetsCustomDataVersion1">
          <go:sheetsCustomData xmlns:go="http://customooxmlschemas.google.com/" filterViewId="258584729"/>
        </ext>
      </extLst>
    </customSheetView>
    <customSheetView guid="{62279284-2A04-4898-9B19-D0B29F26DFD3}" filter="1" showAutoFilter="1">
      <pageMargins left="0.7" right="0.7" top="0.75" bottom="0.75" header="0.3" footer="0.3"/>
      <autoFilter ref="A1:R890" xr:uid="{9D01FD6C-8080-4C70-AC9E-AEA621FEC32E}"/>
      <extLst>
        <ext uri="GoogleSheetsCustomDataVersion1">
          <go:sheetsCustomData xmlns:go="http://customooxmlschemas.google.com/" filterViewId="1580501431"/>
        </ext>
      </extLst>
    </customSheetView>
  </customSheetViews>
  <conditionalFormatting sqref="F1:F1130">
    <cfRule type="cellIs" dxfId="1" priority="1" operator="equal">
      <formula>"rejected"</formula>
    </cfRule>
    <cfRule type="cellIs" dxfId="0" priority="2" operator="equal">
      <formula>"delivered"</formula>
    </cfRule>
  </conditionalFormatting>
  <hyperlinks>
    <hyperlink ref="D481" r:id="rId1" xr:uid="{00000000-0004-0000-0300-000000000000}"/>
    <hyperlink ref="L1136" r:id="rId2" xr:uid="{54D7B349-8D45-48F4-B151-A351FC98D20A}"/>
    <hyperlink ref="L1137" r:id="rId3" xr:uid="{A2852E12-BA3B-43BE-A2D4-DA298058B36E}"/>
    <hyperlink ref="L1138" r:id="rId4" xr:uid="{EE1AF4E4-7A0C-444E-8225-E60BAC4B81D9}"/>
    <hyperlink ref="L1139" r:id="rId5" xr:uid="{D0A007C2-A1EF-46EA-A401-766271183D07}"/>
    <hyperlink ref="L1140" r:id="rId6" xr:uid="{AC656082-D5A9-47EF-9EDC-297B9937DBB9}"/>
    <hyperlink ref="L1144" r:id="rId7" xr:uid="{4C2CCC5E-3179-4FF5-8EE4-9FCFA769CA36}"/>
    <hyperlink ref="L1145" r:id="rId8" xr:uid="{9135E5AD-0320-4204-AAAE-80BF7C037C98}"/>
    <hyperlink ref="L1147" r:id="rId9" xr:uid="{B964D6AB-FA77-4C86-8826-A026F5A02414}"/>
    <hyperlink ref="L1148" r:id="rId10" xr:uid="{DCAE5109-6446-4F27-B6F8-8B31904F57BA}"/>
    <hyperlink ref="L1149" r:id="rId11" xr:uid="{51DDE234-24EA-4ECF-9D44-CF53166D5393}"/>
    <hyperlink ref="L1150" r:id="rId12" xr:uid="{F1D44684-2FF7-4E58-AEE7-FAE6810EE3C3}"/>
    <hyperlink ref="L1151" r:id="rId13" xr:uid="{4E626AC7-AFB7-466C-8EF6-2700001D8DEF}"/>
    <hyperlink ref="L1152" r:id="rId14" xr:uid="{381D1CD2-25AD-42E8-816C-A7B8B98F5A74}"/>
    <hyperlink ref="L1153" r:id="rId15" xr:uid="{4D1F94A2-BB09-4CB1-AE94-AFEDCB3D195B}"/>
    <hyperlink ref="L1154" r:id="rId16" xr:uid="{23CABB5C-8E25-40E8-9173-A7CF79C44B0B}"/>
    <hyperlink ref="L1155" r:id="rId17" xr:uid="{20D46BBA-C703-498B-9085-9A6D4EDC092D}"/>
    <hyperlink ref="L1156" r:id="rId18" xr:uid="{AC71086A-C9BE-49DA-978E-6B3363955CA4}"/>
    <hyperlink ref="L1157" r:id="rId19" xr:uid="{B76D435C-3637-42C9-B61A-044B277B4915}"/>
    <hyperlink ref="L1158" r:id="rId20" xr:uid="{60B346FE-EC1D-4833-AE0A-53549A7B3415}"/>
    <hyperlink ref="L1159" r:id="rId21" xr:uid="{A8AD232C-80D3-4C89-9323-A922E727898C}"/>
    <hyperlink ref="L1160" r:id="rId22" xr:uid="{C84283CC-C291-4B4B-9293-65DB8BFD389B}"/>
    <hyperlink ref="L1161" r:id="rId23" xr:uid="{C56E7250-ADC5-4EB8-97B4-41ECC3452C1B}"/>
    <hyperlink ref="L1162" r:id="rId24" xr:uid="{79C9E3E9-8264-47AF-B0A2-682225F7F978}"/>
    <hyperlink ref="L1163" r:id="rId25" xr:uid="{2B0913E8-E997-4A3C-97AB-35D784248F26}"/>
    <hyperlink ref="L1164" r:id="rId26" xr:uid="{61F9DD90-259E-4B0C-8612-9E62566EB178}"/>
    <hyperlink ref="L1165" r:id="rId27" xr:uid="{C717C0B7-E405-4E04-82A8-E855CD813DFC}"/>
    <hyperlink ref="L1166" r:id="rId28" xr:uid="{6332861B-2CD6-4F69-AE18-0F1A1AFF27C0}"/>
  </hyperlinks>
  <pageMargins left="0.7" right="0.7" top="0.75" bottom="0.75" header="0" footer="0"/>
  <pageSetup paperSize="9" orientation="portrait" r:id="rId2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ySplit="6" topLeftCell="A37" activePane="bottomLeft" state="frozen"/>
      <selection pane="bottomLeft" activeCell="J58" sqref="J58"/>
    </sheetView>
  </sheetViews>
  <sheetFormatPr defaultColWidth="14.42578125" defaultRowHeight="15" customHeight="1"/>
  <cols>
    <col min="1" max="1" width="11.85546875" customWidth="1"/>
    <col min="2" max="2" width="17" customWidth="1"/>
    <col min="3" max="3" width="9.7109375" customWidth="1"/>
    <col min="4" max="6" width="10.28515625" customWidth="1"/>
    <col min="7" max="7" width="22.42578125" style="968" customWidth="1"/>
    <col min="8" max="8" width="15" customWidth="1"/>
    <col min="9" max="26" width="8.7109375" customWidth="1"/>
  </cols>
  <sheetData>
    <row r="1" spans="1:11" ht="14.25" customHeight="1">
      <c r="B1" s="5"/>
      <c r="C1" s="5"/>
      <c r="D1" s="19"/>
      <c r="E1" s="5"/>
      <c r="F1" s="5"/>
    </row>
    <row r="2" spans="1:11" ht="14.25" customHeight="1">
      <c r="B2" s="5" t="s">
        <v>10365</v>
      </c>
      <c r="C2" s="5" t="s">
        <v>10366</v>
      </c>
      <c r="D2" s="19"/>
      <c r="E2" s="5"/>
      <c r="F2" s="5"/>
    </row>
    <row r="3" spans="1:11" ht="14.25" customHeight="1">
      <c r="A3" s="6" t="s">
        <v>10367</v>
      </c>
      <c r="B3" s="5">
        <v>4020</v>
      </c>
      <c r="C3" s="5">
        <v>10780</v>
      </c>
      <c r="D3" s="19"/>
      <c r="E3" s="5"/>
      <c r="F3" s="5"/>
    </row>
    <row r="4" spans="1:11" ht="14.25" customHeight="1">
      <c r="A4" s="6" t="s">
        <v>10368</v>
      </c>
      <c r="B4" s="5">
        <v>6460</v>
      </c>
      <c r="C4" s="5"/>
      <c r="D4" s="19"/>
      <c r="E4" s="5"/>
      <c r="F4" s="5"/>
    </row>
    <row r="5" spans="1:11" ht="14.25" customHeight="1">
      <c r="B5" s="5"/>
      <c r="C5" s="5"/>
      <c r="D5" s="19"/>
      <c r="E5" s="5"/>
      <c r="F5" s="5"/>
    </row>
    <row r="6" spans="1:11" ht="14.25" customHeight="1">
      <c r="A6" s="6" t="s">
        <v>10</v>
      </c>
      <c r="B6" s="5" t="s">
        <v>10369</v>
      </c>
      <c r="C6" s="5" t="s">
        <v>10370</v>
      </c>
      <c r="D6" s="19" t="s">
        <v>10371</v>
      </c>
      <c r="E6" s="5" t="s">
        <v>10372</v>
      </c>
      <c r="F6" s="5" t="s">
        <v>10373</v>
      </c>
      <c r="G6" s="7" t="s">
        <v>273</v>
      </c>
      <c r="H6" s="6" t="s">
        <v>280</v>
      </c>
    </row>
    <row r="7" spans="1:11" ht="14.25" customHeight="1">
      <c r="A7" s="4">
        <v>44110</v>
      </c>
      <c r="B7" s="282">
        <v>354011879</v>
      </c>
      <c r="C7" s="65">
        <v>506350</v>
      </c>
      <c r="D7" s="19">
        <v>58824</v>
      </c>
      <c r="E7" s="5" t="s">
        <v>10374</v>
      </c>
      <c r="F7" s="5"/>
      <c r="G7" s="7" t="s">
        <v>10375</v>
      </c>
      <c r="I7" s="5">
        <v>4020</v>
      </c>
    </row>
    <row r="8" spans="1:11" ht="14.25" customHeight="1">
      <c r="A8" s="4">
        <v>44110</v>
      </c>
      <c r="B8" s="282">
        <v>479989044</v>
      </c>
      <c r="C8" s="5">
        <v>920650</v>
      </c>
      <c r="D8" s="19">
        <v>48923</v>
      </c>
      <c r="E8" s="5" t="s">
        <v>10376</v>
      </c>
      <c r="F8" s="5"/>
      <c r="G8" s="7" t="s">
        <v>10377</v>
      </c>
      <c r="I8" s="5">
        <v>10780</v>
      </c>
    </row>
    <row r="9" spans="1:11" ht="14.25" customHeight="1">
      <c r="A9" s="4">
        <v>44110</v>
      </c>
      <c r="B9" s="282">
        <v>457676428</v>
      </c>
      <c r="C9" s="65">
        <v>504434</v>
      </c>
      <c r="D9" s="19">
        <v>77196</v>
      </c>
      <c r="E9" s="5" t="s">
        <v>10378</v>
      </c>
      <c r="F9" s="5"/>
      <c r="G9" s="7" t="s">
        <v>10379</v>
      </c>
      <c r="H9" s="5">
        <v>7209953442</v>
      </c>
      <c r="I9" s="5">
        <v>6460</v>
      </c>
    </row>
    <row r="10" spans="1:11" ht="14.25" customHeight="1">
      <c r="A10" s="4">
        <v>44110</v>
      </c>
      <c r="B10" s="282">
        <v>732386269</v>
      </c>
      <c r="C10" s="65">
        <v>504434</v>
      </c>
      <c r="D10" s="19">
        <v>77196</v>
      </c>
      <c r="E10" s="5" t="s">
        <v>10378</v>
      </c>
      <c r="F10" s="5"/>
      <c r="G10" s="7" t="s">
        <v>10380</v>
      </c>
      <c r="H10" s="5">
        <v>7008214658</v>
      </c>
      <c r="I10" s="5">
        <v>6460</v>
      </c>
    </row>
    <row r="11" spans="1:11" ht="14.25" customHeight="1">
      <c r="A11" s="4">
        <v>44111</v>
      </c>
      <c r="B11" s="282">
        <v>653206037</v>
      </c>
      <c r="C11" s="5">
        <v>807693</v>
      </c>
      <c r="D11" s="19">
        <v>94954</v>
      </c>
      <c r="E11" s="5" t="s">
        <v>10381</v>
      </c>
      <c r="F11" s="5"/>
      <c r="G11" s="7" t="s">
        <v>6333</v>
      </c>
      <c r="H11" s="6">
        <v>9204763926</v>
      </c>
      <c r="I11" s="5">
        <v>10780</v>
      </c>
    </row>
    <row r="12" spans="1:11" ht="14.25" customHeight="1">
      <c r="A12" s="4">
        <v>44111</v>
      </c>
      <c r="B12" s="282">
        <v>341025184</v>
      </c>
      <c r="C12" s="5">
        <v>623571</v>
      </c>
      <c r="D12" s="19">
        <v>15301</v>
      </c>
      <c r="E12" s="5" t="s">
        <v>10378</v>
      </c>
      <c r="F12" s="5"/>
      <c r="G12" s="7" t="s">
        <v>10382</v>
      </c>
      <c r="H12" s="6">
        <v>9097285084</v>
      </c>
      <c r="I12" s="5">
        <v>6460</v>
      </c>
      <c r="K12" s="6">
        <f>6460+4020</f>
        <v>10480</v>
      </c>
    </row>
    <row r="13" spans="1:11" ht="14.25" customHeight="1">
      <c r="A13" s="4">
        <v>44112</v>
      </c>
      <c r="B13" s="282">
        <v>204057928</v>
      </c>
      <c r="C13" s="5">
        <v>161974</v>
      </c>
      <c r="D13" s="19">
        <v>45832</v>
      </c>
      <c r="E13" s="5" t="s">
        <v>10383</v>
      </c>
      <c r="F13" s="5"/>
      <c r="G13" s="7" t="s">
        <v>10384</v>
      </c>
      <c r="H13" s="6">
        <v>8434501441</v>
      </c>
      <c r="I13" s="5">
        <v>4020</v>
      </c>
      <c r="K13" s="6">
        <v>300</v>
      </c>
    </row>
    <row r="14" spans="1:11" ht="14.25" customHeight="1">
      <c r="A14" s="4">
        <v>44116</v>
      </c>
      <c r="B14" s="283" t="s">
        <v>10385</v>
      </c>
      <c r="C14" s="5">
        <v>161974</v>
      </c>
      <c r="D14" s="19">
        <v>45832</v>
      </c>
      <c r="E14" s="5" t="s">
        <v>10383</v>
      </c>
      <c r="F14" s="5"/>
      <c r="G14" s="7" t="s">
        <v>10386</v>
      </c>
      <c r="H14" s="6">
        <v>9204051940</v>
      </c>
      <c r="I14" s="5">
        <v>4020</v>
      </c>
      <c r="K14" s="6">
        <f>10480+300</f>
        <v>10780</v>
      </c>
    </row>
    <row r="15" spans="1:11" ht="14.25" customHeight="1">
      <c r="A15" s="4">
        <v>44123</v>
      </c>
      <c r="B15" s="283" t="s">
        <v>10387</v>
      </c>
      <c r="C15" s="5">
        <v>623571</v>
      </c>
      <c r="D15" s="19">
        <v>15301</v>
      </c>
      <c r="E15" s="5" t="s">
        <v>10388</v>
      </c>
      <c r="F15" s="5"/>
      <c r="G15" s="7" t="s">
        <v>10389</v>
      </c>
      <c r="H15" s="6">
        <v>8809979291</v>
      </c>
      <c r="I15" s="5">
        <v>24540</v>
      </c>
    </row>
    <row r="16" spans="1:11" ht="14.25" customHeight="1">
      <c r="A16" s="4">
        <v>44126</v>
      </c>
      <c r="B16" s="283" t="s">
        <v>10390</v>
      </c>
      <c r="C16" s="5">
        <v>791318</v>
      </c>
      <c r="D16" s="19">
        <v>36691</v>
      </c>
      <c r="E16" s="5" t="s">
        <v>10391</v>
      </c>
      <c r="F16" s="5"/>
      <c r="G16" s="7" t="s">
        <v>10392</v>
      </c>
      <c r="H16" s="6">
        <v>9955682398</v>
      </c>
    </row>
    <row r="17" spans="1:14" ht="14.25" customHeight="1">
      <c r="A17" s="4">
        <v>44130</v>
      </c>
      <c r="B17" s="283" t="s">
        <v>10393</v>
      </c>
      <c r="C17" s="5">
        <v>395658</v>
      </c>
      <c r="D17" s="19">
        <v>41868</v>
      </c>
      <c r="E17" s="5" t="s">
        <v>10394</v>
      </c>
      <c r="F17" s="5"/>
      <c r="G17" s="7" t="s">
        <v>10395</v>
      </c>
      <c r="H17" s="6">
        <v>8603208509</v>
      </c>
    </row>
    <row r="18" spans="1:14" ht="14.25" customHeight="1">
      <c r="A18" s="4">
        <v>44130</v>
      </c>
      <c r="B18" s="6" t="s">
        <v>10396</v>
      </c>
      <c r="C18" s="5">
        <v>395658</v>
      </c>
      <c r="D18" s="19">
        <v>41868</v>
      </c>
      <c r="E18" s="5" t="s">
        <v>10397</v>
      </c>
      <c r="F18" s="5"/>
      <c r="G18" s="7" t="s">
        <v>10395</v>
      </c>
      <c r="H18" s="6">
        <v>8603208509</v>
      </c>
    </row>
    <row r="19" spans="1:14" ht="14.25" customHeight="1">
      <c r="B19" s="282"/>
      <c r="C19" s="5">
        <v>624071</v>
      </c>
      <c r="D19" s="19">
        <v>58498</v>
      </c>
      <c r="E19" s="5" t="s">
        <v>10398</v>
      </c>
      <c r="F19" s="5"/>
      <c r="G19" s="7" t="s">
        <v>7715</v>
      </c>
    </row>
    <row r="20" spans="1:14" ht="14.25" customHeight="1">
      <c r="A20" s="4">
        <v>44144</v>
      </c>
      <c r="B20" s="282"/>
      <c r="C20" s="5">
        <v>122285</v>
      </c>
      <c r="D20" s="19">
        <v>41614</v>
      </c>
      <c r="E20" s="5" t="s">
        <v>10383</v>
      </c>
      <c r="F20" s="5"/>
      <c r="G20" s="7" t="s">
        <v>10399</v>
      </c>
      <c r="H20" s="6">
        <v>9334155466</v>
      </c>
      <c r="I20" s="147">
        <v>4020</v>
      </c>
      <c r="J20" s="6" t="s">
        <v>10400</v>
      </c>
    </row>
    <row r="21" spans="1:14" ht="14.25" customHeight="1">
      <c r="A21" s="4">
        <v>44144</v>
      </c>
      <c r="B21" s="6" t="s">
        <v>10401</v>
      </c>
      <c r="C21" s="5">
        <v>350105</v>
      </c>
      <c r="D21" s="19" t="s">
        <v>10402</v>
      </c>
      <c r="E21" s="5" t="s">
        <v>10383</v>
      </c>
      <c r="F21" s="5"/>
      <c r="G21" s="7" t="s">
        <v>10403</v>
      </c>
      <c r="H21" s="6">
        <v>9234468582</v>
      </c>
      <c r="I21" s="147">
        <v>4020</v>
      </c>
      <c r="J21" s="6" t="s">
        <v>10400</v>
      </c>
    </row>
    <row r="22" spans="1:14" ht="14.25" customHeight="1">
      <c r="B22" s="282">
        <v>344628654</v>
      </c>
      <c r="C22" s="5">
        <v>350105</v>
      </c>
      <c r="D22" s="19" t="s">
        <v>10402</v>
      </c>
      <c r="E22" s="5" t="s">
        <v>10383</v>
      </c>
      <c r="F22" s="5"/>
      <c r="G22" s="7" t="s">
        <v>10404</v>
      </c>
      <c r="H22" s="6">
        <v>9234446298</v>
      </c>
      <c r="I22" s="147">
        <v>4020</v>
      </c>
      <c r="J22" s="6" t="s">
        <v>10400</v>
      </c>
    </row>
    <row r="23" spans="1:14" ht="14.25" customHeight="1">
      <c r="A23" s="4">
        <v>44165</v>
      </c>
      <c r="B23" s="5" t="s">
        <v>10405</v>
      </c>
      <c r="C23" s="5">
        <v>758765</v>
      </c>
      <c r="D23" s="19" t="s">
        <v>10406</v>
      </c>
      <c r="E23" s="5" t="s">
        <v>10383</v>
      </c>
      <c r="F23" s="5"/>
      <c r="G23" s="7" t="s">
        <v>10407</v>
      </c>
      <c r="H23" s="6">
        <v>7903583342</v>
      </c>
      <c r="I23" s="147">
        <v>4020</v>
      </c>
      <c r="J23" s="6" t="s">
        <v>10408</v>
      </c>
    </row>
    <row r="24" spans="1:14" ht="14.25" customHeight="1">
      <c r="A24" s="6" t="s">
        <v>10409</v>
      </c>
      <c r="B24" s="284" t="s">
        <v>10410</v>
      </c>
      <c r="C24" s="5" t="s">
        <v>10411</v>
      </c>
      <c r="D24" s="19" t="s">
        <v>10412</v>
      </c>
      <c r="E24" s="5" t="s">
        <v>10383</v>
      </c>
      <c r="F24" s="5"/>
      <c r="G24" s="7" t="s">
        <v>3879</v>
      </c>
      <c r="H24" s="6">
        <v>7209931761</v>
      </c>
      <c r="I24" s="147">
        <v>4020</v>
      </c>
      <c r="J24" s="6" t="s">
        <v>10408</v>
      </c>
    </row>
    <row r="25" spans="1:14" ht="14.25" customHeight="1">
      <c r="A25" s="4">
        <v>44202</v>
      </c>
      <c r="B25" s="284" t="s">
        <v>10413</v>
      </c>
      <c r="C25" s="5" t="s">
        <v>10414</v>
      </c>
      <c r="D25" s="19" t="s">
        <v>10415</v>
      </c>
      <c r="E25" s="5" t="s">
        <v>10383</v>
      </c>
      <c r="F25" s="5"/>
      <c r="G25" s="7" t="s">
        <v>10416</v>
      </c>
      <c r="I25" s="147">
        <v>4020</v>
      </c>
      <c r="J25" s="6" t="s">
        <v>10400</v>
      </c>
      <c r="N25" s="6">
        <f>25000*1.5/100</f>
        <v>375</v>
      </c>
    </row>
    <row r="26" spans="1:14" ht="14.25" customHeight="1">
      <c r="A26" s="4">
        <v>44207</v>
      </c>
      <c r="B26" s="283" t="s">
        <v>10417</v>
      </c>
      <c r="C26" s="5" t="s">
        <v>10418</v>
      </c>
      <c r="D26" s="19" t="s">
        <v>10419</v>
      </c>
      <c r="E26" s="5" t="s">
        <v>10378</v>
      </c>
      <c r="F26" s="5"/>
      <c r="G26" s="7" t="s">
        <v>10420</v>
      </c>
      <c r="H26" s="6">
        <v>9204521286</v>
      </c>
      <c r="I26" s="147">
        <v>6460</v>
      </c>
      <c r="J26" s="6" t="s">
        <v>10400</v>
      </c>
    </row>
    <row r="27" spans="1:14" ht="14.25" customHeight="1">
      <c r="A27" s="4">
        <v>44207</v>
      </c>
      <c r="B27" s="283" t="s">
        <v>10421</v>
      </c>
      <c r="C27" s="5" t="s">
        <v>10418</v>
      </c>
      <c r="D27" s="19" t="s">
        <v>10419</v>
      </c>
      <c r="E27" s="5" t="s">
        <v>10383</v>
      </c>
      <c r="F27" s="5"/>
      <c r="G27" s="7" t="s">
        <v>10422</v>
      </c>
      <c r="H27" s="6">
        <v>8092146894</v>
      </c>
      <c r="I27" s="147">
        <v>4020</v>
      </c>
      <c r="J27" s="6" t="s">
        <v>10400</v>
      </c>
    </row>
    <row r="28" spans="1:14" ht="14.25" customHeight="1">
      <c r="B28" s="283" t="s">
        <v>10423</v>
      </c>
      <c r="C28" s="5" t="s">
        <v>10424</v>
      </c>
      <c r="D28" s="19" t="s">
        <v>10425</v>
      </c>
      <c r="E28" s="5" t="s">
        <v>10426</v>
      </c>
      <c r="F28" s="5"/>
      <c r="G28" s="7" t="s">
        <v>10427</v>
      </c>
      <c r="H28" s="6">
        <v>8541852567</v>
      </c>
      <c r="I28" s="147">
        <v>7400</v>
      </c>
    </row>
    <row r="29" spans="1:14" ht="14.25" customHeight="1">
      <c r="B29" s="282" t="s">
        <v>10428</v>
      </c>
      <c r="C29" s="5" t="s">
        <v>10429</v>
      </c>
      <c r="D29" s="19" t="s">
        <v>10430</v>
      </c>
      <c r="E29" s="5" t="s">
        <v>10426</v>
      </c>
      <c r="F29" s="5"/>
      <c r="G29" s="7" t="s">
        <v>10431</v>
      </c>
      <c r="H29" s="6">
        <v>9835488766</v>
      </c>
      <c r="I29" s="147">
        <v>7400</v>
      </c>
    </row>
    <row r="30" spans="1:14" ht="14.25" customHeight="1">
      <c r="B30" s="282">
        <v>299222269</v>
      </c>
      <c r="C30" s="5">
        <v>658391</v>
      </c>
      <c r="D30" s="19" t="s">
        <v>10432</v>
      </c>
      <c r="E30" s="5" t="s">
        <v>10378</v>
      </c>
      <c r="F30" s="5"/>
      <c r="G30" s="7" t="s">
        <v>10433</v>
      </c>
      <c r="H30" s="6">
        <v>8092828182</v>
      </c>
      <c r="I30" s="147">
        <v>6460</v>
      </c>
      <c r="J30" s="6" t="s">
        <v>10400</v>
      </c>
    </row>
    <row r="31" spans="1:14" ht="14.25" customHeight="1">
      <c r="B31" s="282">
        <v>803841234</v>
      </c>
      <c r="C31" s="5">
        <v>658391</v>
      </c>
      <c r="D31" s="19" t="s">
        <v>10432</v>
      </c>
      <c r="E31" s="5" t="s">
        <v>10383</v>
      </c>
      <c r="F31" s="5"/>
      <c r="G31" s="7" t="s">
        <v>10434</v>
      </c>
      <c r="H31" s="6">
        <v>8092388163</v>
      </c>
      <c r="I31" s="147">
        <v>4020</v>
      </c>
      <c r="J31" s="6" t="s">
        <v>10400</v>
      </c>
    </row>
    <row r="32" spans="1:14" ht="14.25" customHeight="1">
      <c r="A32" s="4">
        <v>44242</v>
      </c>
      <c r="B32" s="282" t="s">
        <v>10435</v>
      </c>
      <c r="C32" s="5">
        <v>554693</v>
      </c>
      <c r="D32" s="19">
        <v>40745</v>
      </c>
      <c r="E32" s="5" t="s">
        <v>10383</v>
      </c>
      <c r="F32" s="5"/>
      <c r="G32" s="7" t="s">
        <v>1991</v>
      </c>
      <c r="H32" s="6">
        <v>8789480279</v>
      </c>
      <c r="I32" s="162">
        <v>4020</v>
      </c>
      <c r="J32" s="6" t="s">
        <v>10400</v>
      </c>
    </row>
    <row r="33" spans="1:11" ht="14.25" customHeight="1">
      <c r="A33" s="4">
        <v>44242</v>
      </c>
      <c r="B33" s="282" t="s">
        <v>10436</v>
      </c>
      <c r="C33" s="5">
        <v>554693</v>
      </c>
      <c r="D33" s="19">
        <v>40745</v>
      </c>
      <c r="E33" s="5" t="s">
        <v>10383</v>
      </c>
      <c r="F33" s="5"/>
      <c r="G33" s="7" t="s">
        <v>10437</v>
      </c>
      <c r="H33" s="6">
        <v>8603478375</v>
      </c>
      <c r="I33" s="162">
        <v>4020</v>
      </c>
      <c r="J33" s="6" t="s">
        <v>10400</v>
      </c>
    </row>
    <row r="34" spans="1:11" ht="14.25" customHeight="1">
      <c r="A34" s="4">
        <v>44246</v>
      </c>
      <c r="B34" s="5" t="s">
        <v>10438</v>
      </c>
      <c r="C34" s="5" t="s">
        <v>10439</v>
      </c>
      <c r="D34" s="19">
        <v>73136</v>
      </c>
      <c r="E34" s="5" t="s">
        <v>10440</v>
      </c>
      <c r="F34" s="5">
        <v>15</v>
      </c>
      <c r="G34" s="7" t="s">
        <v>10441</v>
      </c>
      <c r="H34" s="6">
        <v>8340578034</v>
      </c>
      <c r="I34" s="147">
        <v>24500</v>
      </c>
    </row>
    <row r="35" spans="1:11" ht="14.25" customHeight="1">
      <c r="B35" s="5" t="s">
        <v>10442</v>
      </c>
      <c r="C35" s="5">
        <v>471381</v>
      </c>
      <c r="D35" s="19">
        <v>34147</v>
      </c>
      <c r="E35" s="5" t="s">
        <v>10367</v>
      </c>
      <c r="F35" s="5">
        <v>1</v>
      </c>
      <c r="G35" s="7" t="s">
        <v>10443</v>
      </c>
      <c r="H35" s="6">
        <v>6200024593</v>
      </c>
      <c r="I35" s="147">
        <v>4020</v>
      </c>
    </row>
    <row r="36" spans="1:11" ht="14.25" customHeight="1">
      <c r="A36" s="4">
        <v>44262</v>
      </c>
      <c r="B36" s="5" t="s">
        <v>10444</v>
      </c>
      <c r="C36" s="5" t="s">
        <v>10445</v>
      </c>
      <c r="D36" s="19" t="s">
        <v>10446</v>
      </c>
      <c r="E36" s="5" t="s">
        <v>10367</v>
      </c>
      <c r="F36" s="5">
        <v>3</v>
      </c>
      <c r="G36" s="7" t="s">
        <v>10447</v>
      </c>
      <c r="H36" s="6">
        <v>9234650480</v>
      </c>
      <c r="I36" s="147">
        <f>IF(E36="DS-II",IF(F36=1,4020,IF(F36=2,7400,10780)),IF(F36=1,6460,10000))</f>
        <v>10780</v>
      </c>
    </row>
    <row r="37" spans="1:11" ht="14.25" customHeight="1">
      <c r="A37" s="4">
        <v>44262</v>
      </c>
      <c r="B37" s="5" t="s">
        <v>10448</v>
      </c>
      <c r="C37" s="5" t="s">
        <v>10445</v>
      </c>
      <c r="D37" s="19" t="s">
        <v>10446</v>
      </c>
      <c r="E37" s="5" t="s">
        <v>10368</v>
      </c>
      <c r="F37" s="5">
        <v>1</v>
      </c>
      <c r="G37" s="7" t="s">
        <v>10449</v>
      </c>
      <c r="I37" s="6">
        <f t="shared" ref="I37:I38" si="0">IF(E37="DS-II",IF(F37=1,4020,6400),IF(F37=1,6460,10000))</f>
        <v>6460</v>
      </c>
    </row>
    <row r="38" spans="1:11" ht="14.25" customHeight="1">
      <c r="B38" s="5" t="s">
        <v>10450</v>
      </c>
      <c r="C38" s="5" t="s">
        <v>10451</v>
      </c>
      <c r="D38" s="19" t="s">
        <v>10452</v>
      </c>
      <c r="E38" s="5" t="s">
        <v>10367</v>
      </c>
      <c r="F38" s="5">
        <v>1</v>
      </c>
      <c r="G38" s="7" t="s">
        <v>10453</v>
      </c>
      <c r="H38" s="6">
        <v>6203130343</v>
      </c>
      <c r="I38" s="6">
        <f t="shared" si="0"/>
        <v>4020</v>
      </c>
    </row>
    <row r="39" spans="1:11" ht="14.25" customHeight="1">
      <c r="B39" s="284" t="s">
        <v>10454</v>
      </c>
      <c r="C39" s="5" t="s">
        <v>10451</v>
      </c>
      <c r="D39" s="19" t="s">
        <v>10452</v>
      </c>
      <c r="E39" s="5" t="s">
        <v>10368</v>
      </c>
      <c r="F39" s="5">
        <v>1</v>
      </c>
      <c r="G39" s="7" t="s">
        <v>10455</v>
      </c>
      <c r="H39" s="6">
        <v>6203130343</v>
      </c>
      <c r="I39" s="6">
        <v>6460</v>
      </c>
      <c r="K39" s="6">
        <f>11200+4500</f>
        <v>15700</v>
      </c>
    </row>
    <row r="40" spans="1:11" ht="14.25" customHeight="1">
      <c r="B40" s="5" t="s">
        <v>10456</v>
      </c>
      <c r="C40" s="5" t="s">
        <v>10457</v>
      </c>
      <c r="D40" s="19" t="s">
        <v>10458</v>
      </c>
      <c r="E40" s="5" t="s">
        <v>10367</v>
      </c>
      <c r="F40" s="5">
        <v>2</v>
      </c>
      <c r="G40" s="7" t="s">
        <v>10459</v>
      </c>
      <c r="H40" s="6">
        <v>9431348797</v>
      </c>
      <c r="I40" s="6">
        <v>7400</v>
      </c>
      <c r="K40" s="6">
        <f>7400+4020+4020+360</f>
        <v>15800</v>
      </c>
    </row>
    <row r="41" spans="1:11" ht="14.25" customHeight="1">
      <c r="B41" s="6" t="s">
        <v>10460</v>
      </c>
      <c r="C41" s="5" t="s">
        <v>10457</v>
      </c>
      <c r="D41" s="19" t="s">
        <v>10458</v>
      </c>
      <c r="E41" s="5" t="s">
        <v>10367</v>
      </c>
      <c r="F41" s="5">
        <v>1</v>
      </c>
      <c r="G41" s="7" t="s">
        <v>10461</v>
      </c>
      <c r="H41" s="6">
        <v>8092536548</v>
      </c>
      <c r="I41" s="6">
        <v>4020</v>
      </c>
    </row>
    <row r="42" spans="1:11" ht="14.25" customHeight="1">
      <c r="B42" s="6" t="s">
        <v>10462</v>
      </c>
      <c r="C42" s="5" t="s">
        <v>10463</v>
      </c>
      <c r="D42" s="19" t="s">
        <v>10464</v>
      </c>
      <c r="E42" s="5" t="s">
        <v>10367</v>
      </c>
      <c r="F42" s="5">
        <v>1</v>
      </c>
      <c r="G42" s="7" t="s">
        <v>10465</v>
      </c>
      <c r="H42" s="6">
        <v>9142660537</v>
      </c>
      <c r="I42" s="6">
        <v>4020</v>
      </c>
    </row>
    <row r="43" spans="1:11" ht="14.25" customHeight="1">
      <c r="B43" s="6" t="s">
        <v>10466</v>
      </c>
      <c r="C43" s="5" t="s">
        <v>10463</v>
      </c>
      <c r="D43" s="19" t="s">
        <v>10464</v>
      </c>
      <c r="E43" s="5" t="s">
        <v>10368</v>
      </c>
      <c r="F43" s="5">
        <v>10</v>
      </c>
      <c r="G43" s="7" t="s">
        <v>10467</v>
      </c>
      <c r="H43" s="6">
        <v>8210154819</v>
      </c>
      <c r="I43" s="6">
        <v>57370</v>
      </c>
    </row>
    <row r="44" spans="1:11" ht="14.25" customHeight="1">
      <c r="B44" s="126" t="s">
        <v>10468</v>
      </c>
      <c r="C44" s="5" t="s">
        <v>10469</v>
      </c>
      <c r="D44" s="19" t="s">
        <v>10470</v>
      </c>
      <c r="E44" s="5" t="s">
        <v>10368</v>
      </c>
      <c r="F44" s="5" t="s">
        <v>10471</v>
      </c>
      <c r="G44" s="7" t="s">
        <v>10472</v>
      </c>
      <c r="I44" s="6">
        <v>85520</v>
      </c>
    </row>
    <row r="45" spans="1:11" ht="14.25" customHeight="1">
      <c r="A45" s="4">
        <v>44339</v>
      </c>
      <c r="B45" s="126" t="s">
        <v>10473</v>
      </c>
      <c r="C45" s="5" t="s">
        <v>10474</v>
      </c>
      <c r="D45" s="19" t="s">
        <v>10475</v>
      </c>
      <c r="E45" s="5" t="s">
        <v>10367</v>
      </c>
      <c r="F45" s="5" t="s">
        <v>10476</v>
      </c>
      <c r="G45" s="7" t="s">
        <v>10477</v>
      </c>
      <c r="H45" s="6">
        <v>7463030726</v>
      </c>
      <c r="I45" s="6">
        <v>7400</v>
      </c>
    </row>
    <row r="46" spans="1:11" ht="14.25" customHeight="1">
      <c r="A46" s="4">
        <v>44346</v>
      </c>
      <c r="B46" s="126"/>
      <c r="C46" s="65" t="s">
        <v>10478</v>
      </c>
      <c r="D46" s="19" t="s">
        <v>10479</v>
      </c>
      <c r="E46" s="5" t="s">
        <v>10367</v>
      </c>
      <c r="F46" s="5">
        <v>3</v>
      </c>
      <c r="G46" s="7" t="s">
        <v>10480</v>
      </c>
      <c r="H46" s="6">
        <v>9234751544</v>
      </c>
      <c r="I46" s="6">
        <v>10780</v>
      </c>
    </row>
    <row r="47" spans="1:11" ht="14.25" customHeight="1">
      <c r="A47" s="4">
        <v>44373</v>
      </c>
      <c r="B47" s="126" t="s">
        <v>10481</v>
      </c>
      <c r="C47" s="65" t="s">
        <v>10482</v>
      </c>
      <c r="D47" s="63" t="s">
        <v>10483</v>
      </c>
      <c r="E47" s="5" t="s">
        <v>10367</v>
      </c>
      <c r="F47" s="5" t="s">
        <v>10476</v>
      </c>
      <c r="G47" s="7" t="s">
        <v>10484</v>
      </c>
      <c r="H47" s="6">
        <v>7033533918</v>
      </c>
      <c r="I47" s="6">
        <v>7400</v>
      </c>
    </row>
    <row r="48" spans="1:11" ht="14.25" customHeight="1">
      <c r="B48" s="126" t="s">
        <v>10485</v>
      </c>
      <c r="C48" s="65" t="s">
        <v>10486</v>
      </c>
      <c r="D48" s="19" t="s">
        <v>10487</v>
      </c>
      <c r="E48" s="5" t="s">
        <v>10368</v>
      </c>
      <c r="F48" s="5">
        <v>1</v>
      </c>
      <c r="G48" s="7" t="s">
        <v>2875</v>
      </c>
      <c r="H48" s="6">
        <v>7061735613</v>
      </c>
      <c r="I48" s="6">
        <v>6460</v>
      </c>
    </row>
    <row r="49" spans="1:14" ht="14.25" customHeight="1">
      <c r="A49" s="4">
        <v>44448</v>
      </c>
      <c r="B49" s="283" t="s">
        <v>10488</v>
      </c>
      <c r="C49" s="65" t="s">
        <v>10478</v>
      </c>
      <c r="D49" s="19" t="s">
        <v>10479</v>
      </c>
      <c r="E49" s="5" t="s">
        <v>10367</v>
      </c>
      <c r="F49" s="5" t="s">
        <v>10489</v>
      </c>
      <c r="G49" s="7" t="s">
        <v>10490</v>
      </c>
      <c r="I49" s="6">
        <v>4020</v>
      </c>
    </row>
    <row r="50" spans="1:14" ht="14.25" customHeight="1">
      <c r="A50" s="4">
        <v>44483</v>
      </c>
      <c r="B50" s="283" t="s">
        <v>10491</v>
      </c>
      <c r="C50" s="5" t="s">
        <v>10492</v>
      </c>
      <c r="D50" s="19" t="s">
        <v>10493</v>
      </c>
      <c r="E50" s="5" t="s">
        <v>10367</v>
      </c>
      <c r="F50" s="5" t="s">
        <v>10494</v>
      </c>
      <c r="G50" s="7" t="s">
        <v>10495</v>
      </c>
      <c r="H50" s="6">
        <v>9279909788</v>
      </c>
      <c r="I50" s="6">
        <v>7400</v>
      </c>
    </row>
    <row r="51" spans="1:14" ht="14.25" customHeight="1">
      <c r="A51" s="4">
        <v>44482</v>
      </c>
      <c r="B51" s="283" t="s">
        <v>10496</v>
      </c>
      <c r="C51" s="65" t="s">
        <v>10482</v>
      </c>
      <c r="D51" s="63" t="s">
        <v>10483</v>
      </c>
      <c r="E51" s="5" t="s">
        <v>10367</v>
      </c>
      <c r="F51" s="5" t="s">
        <v>10489</v>
      </c>
      <c r="G51" s="7" t="s">
        <v>10497</v>
      </c>
      <c r="H51" s="6">
        <v>8210294345</v>
      </c>
      <c r="I51" s="6">
        <v>4020</v>
      </c>
    </row>
    <row r="52" spans="1:14" ht="14.25" customHeight="1">
      <c r="A52" s="386">
        <v>45077</v>
      </c>
      <c r="B52" s="5" t="s">
        <v>14063</v>
      </c>
      <c r="C52" s="5" t="s">
        <v>14061</v>
      </c>
      <c r="D52" s="19" t="s">
        <v>14062</v>
      </c>
      <c r="E52" s="5" t="s">
        <v>10367</v>
      </c>
      <c r="F52" s="5" t="s">
        <v>14060</v>
      </c>
      <c r="G52" s="7" t="s">
        <v>14064</v>
      </c>
      <c r="H52" s="6">
        <v>9060172488</v>
      </c>
      <c r="I52" s="6">
        <v>10780</v>
      </c>
      <c r="N52">
        <f>10780+200</f>
        <v>10980</v>
      </c>
    </row>
    <row r="53" spans="1:14" ht="14.25" customHeight="1">
      <c r="A53" s="386">
        <v>45077</v>
      </c>
      <c r="B53" s="5" t="s">
        <v>14065</v>
      </c>
      <c r="C53" s="5" t="s">
        <v>14061</v>
      </c>
      <c r="D53" s="19" t="s">
        <v>14062</v>
      </c>
      <c r="E53" s="5" t="s">
        <v>10367</v>
      </c>
      <c r="F53" s="5" t="s">
        <v>14060</v>
      </c>
      <c r="G53" s="7" t="s">
        <v>14066</v>
      </c>
      <c r="H53" s="6">
        <v>7903508340</v>
      </c>
      <c r="I53" s="6">
        <v>10780</v>
      </c>
    </row>
    <row r="54" spans="1:14" ht="14.25" customHeight="1">
      <c r="B54" s="974" t="s">
        <v>14833</v>
      </c>
      <c r="C54" s="5" t="s">
        <v>14817</v>
      </c>
      <c r="D54" s="19" t="s">
        <v>14818</v>
      </c>
      <c r="E54" s="5" t="s">
        <v>10367</v>
      </c>
      <c r="F54" s="5" t="s">
        <v>10494</v>
      </c>
      <c r="G54" s="968" t="s">
        <v>1991</v>
      </c>
      <c r="H54" s="6">
        <v>7667199206</v>
      </c>
    </row>
    <row r="55" spans="1:14" ht="14.25" customHeight="1">
      <c r="B55" s="5"/>
      <c r="C55" s="5"/>
      <c r="D55" s="19"/>
      <c r="E55" s="5"/>
      <c r="F55" s="5"/>
    </row>
    <row r="56" spans="1:14" ht="14.25" customHeight="1">
      <c r="B56" s="5"/>
      <c r="C56" s="5"/>
      <c r="D56" s="19"/>
      <c r="E56" s="5"/>
      <c r="F56" s="5"/>
    </row>
    <row r="57" spans="1:14" ht="14.25" customHeight="1">
      <c r="B57" s="5"/>
      <c r="C57" s="5"/>
      <c r="D57" s="19"/>
      <c r="E57" s="5"/>
      <c r="F57" s="5"/>
    </row>
    <row r="58" spans="1:14" ht="14.25" customHeight="1">
      <c r="B58" s="5"/>
      <c r="C58" s="5"/>
      <c r="D58" s="19"/>
      <c r="E58" s="5"/>
      <c r="F58" s="5"/>
    </row>
    <row r="59" spans="1:14" ht="14.25" customHeight="1">
      <c r="B59" s="5"/>
      <c r="C59" s="5"/>
      <c r="D59" s="19"/>
      <c r="E59" s="5"/>
      <c r="F59" s="5"/>
    </row>
    <row r="60" spans="1:14" ht="14.25" customHeight="1">
      <c r="B60" s="5"/>
      <c r="C60" s="5"/>
      <c r="D60" s="19"/>
      <c r="E60" s="5"/>
      <c r="F60" s="5"/>
    </row>
    <row r="61" spans="1:14" ht="14.25" customHeight="1">
      <c r="B61" s="5"/>
      <c r="C61" s="5"/>
      <c r="D61" s="19"/>
      <c r="E61" s="19" t="s">
        <v>10498</v>
      </c>
      <c r="F61" s="5" t="s">
        <v>10499</v>
      </c>
      <c r="G61" s="7" t="s">
        <v>10500</v>
      </c>
      <c r="H61" s="5" t="s">
        <v>10501</v>
      </c>
    </row>
    <row r="62" spans="1:14" ht="14.25" customHeight="1">
      <c r="B62" s="5"/>
      <c r="C62" s="5"/>
      <c r="D62" s="19"/>
      <c r="E62" s="19" t="s">
        <v>10502</v>
      </c>
      <c r="F62" s="5">
        <v>100</v>
      </c>
      <c r="G62" s="7">
        <v>6950</v>
      </c>
      <c r="H62" s="5">
        <v>250</v>
      </c>
      <c r="I62" s="18" t="s">
        <v>10503</v>
      </c>
    </row>
    <row r="63" spans="1:14" ht="14.25" customHeight="1">
      <c r="B63" s="5"/>
      <c r="C63" s="5"/>
      <c r="D63" s="19"/>
      <c r="E63" s="5">
        <v>100</v>
      </c>
      <c r="F63" s="5">
        <v>100</v>
      </c>
      <c r="G63" s="7">
        <v>3570</v>
      </c>
      <c r="H63" s="5">
        <v>250</v>
      </c>
      <c r="I63" s="18" t="s">
        <v>10504</v>
      </c>
    </row>
    <row r="64" spans="1:14" ht="14.25" customHeight="1">
      <c r="B64" s="5"/>
      <c r="C64" s="5"/>
      <c r="D64" s="19"/>
      <c r="E64" s="5"/>
      <c r="F64" s="5"/>
    </row>
    <row r="65" spans="2:6" ht="14.25" customHeight="1">
      <c r="B65" s="5"/>
      <c r="C65" s="5"/>
      <c r="D65" s="19"/>
      <c r="E65" s="5"/>
      <c r="F65" s="5"/>
    </row>
    <row r="66" spans="2:6" ht="14.25" customHeight="1">
      <c r="B66" s="5"/>
      <c r="C66" s="5"/>
      <c r="D66" s="19"/>
      <c r="E66" s="5"/>
      <c r="F66" s="5"/>
    </row>
    <row r="67" spans="2:6" ht="14.25" customHeight="1">
      <c r="B67" s="5"/>
      <c r="C67" s="5"/>
      <c r="D67" s="19"/>
      <c r="E67" s="5"/>
      <c r="F67" s="5"/>
    </row>
    <row r="68" spans="2:6" ht="14.25" customHeight="1">
      <c r="B68" s="5"/>
      <c r="C68" s="5"/>
      <c r="D68" s="19"/>
      <c r="E68" s="5"/>
      <c r="F68" s="5"/>
    </row>
    <row r="69" spans="2:6" ht="14.25" customHeight="1">
      <c r="B69" s="5"/>
      <c r="C69" s="5"/>
      <c r="D69" s="19"/>
      <c r="E69" s="5"/>
      <c r="F69" s="5"/>
    </row>
    <row r="70" spans="2:6" ht="14.25" customHeight="1">
      <c r="B70" s="5"/>
      <c r="C70" s="5"/>
      <c r="D70" s="19"/>
      <c r="E70" s="5"/>
      <c r="F70" s="5"/>
    </row>
    <row r="71" spans="2:6" ht="14.25" customHeight="1">
      <c r="B71" s="5"/>
      <c r="C71" s="5"/>
      <c r="D71" s="19"/>
      <c r="E71" s="5"/>
      <c r="F71" s="5"/>
    </row>
    <row r="72" spans="2:6" ht="14.25" customHeight="1">
      <c r="B72" s="5"/>
      <c r="C72" s="5"/>
      <c r="D72" s="19"/>
      <c r="E72" s="5"/>
      <c r="F72" s="5"/>
    </row>
    <row r="73" spans="2:6" ht="14.25" customHeight="1">
      <c r="B73" s="5"/>
      <c r="C73" s="5"/>
      <c r="D73" s="19"/>
      <c r="E73" s="5"/>
      <c r="F73" s="5"/>
    </row>
    <row r="74" spans="2:6" ht="14.25" customHeight="1">
      <c r="B74" s="5"/>
      <c r="C74" s="5"/>
      <c r="D74" s="19"/>
      <c r="E74" s="5"/>
      <c r="F74" s="5"/>
    </row>
    <row r="75" spans="2:6" ht="14.25" customHeight="1">
      <c r="B75" s="5"/>
      <c r="C75" s="5"/>
      <c r="D75" s="19"/>
      <c r="E75" s="5"/>
      <c r="F75" s="5"/>
    </row>
    <row r="76" spans="2:6" ht="14.25" customHeight="1">
      <c r="B76" s="5"/>
      <c r="C76" s="5"/>
      <c r="D76" s="19"/>
      <c r="E76" s="5"/>
      <c r="F76" s="5"/>
    </row>
    <row r="77" spans="2:6" ht="14.25" customHeight="1">
      <c r="B77" s="5"/>
      <c r="C77" s="5"/>
      <c r="D77" s="19"/>
      <c r="E77" s="5"/>
      <c r="F77" s="5"/>
    </row>
    <row r="78" spans="2:6" ht="14.25" customHeight="1">
      <c r="B78" s="5"/>
      <c r="C78" s="5"/>
      <c r="D78" s="19"/>
      <c r="E78" s="5"/>
      <c r="F78" s="5"/>
    </row>
    <row r="79" spans="2:6" ht="14.25" customHeight="1">
      <c r="B79" s="5"/>
      <c r="C79" s="5"/>
      <c r="D79" s="19"/>
      <c r="E79" s="5"/>
      <c r="F79" s="5"/>
    </row>
    <row r="80" spans="2:6" ht="14.25" customHeight="1">
      <c r="B80" s="5"/>
      <c r="C80" s="5"/>
      <c r="D80" s="19"/>
      <c r="E80" s="5"/>
      <c r="F80" s="5"/>
    </row>
    <row r="81" spans="2:6" ht="14.25" customHeight="1">
      <c r="B81" s="5"/>
      <c r="C81" s="5"/>
      <c r="D81" s="19"/>
      <c r="E81" s="5"/>
      <c r="F81" s="5"/>
    </row>
    <row r="82" spans="2:6" ht="14.25" customHeight="1">
      <c r="B82" s="5"/>
      <c r="C82" s="5"/>
      <c r="D82" s="19"/>
      <c r="E82" s="5"/>
      <c r="F82" s="5"/>
    </row>
    <row r="83" spans="2:6" ht="14.25" customHeight="1">
      <c r="B83" s="5"/>
      <c r="C83" s="5"/>
      <c r="D83" s="19"/>
      <c r="E83" s="5"/>
      <c r="F83" s="5"/>
    </row>
    <row r="84" spans="2:6" ht="14.25" customHeight="1">
      <c r="B84" s="5"/>
      <c r="C84" s="5"/>
      <c r="D84" s="19"/>
      <c r="E84" s="5"/>
      <c r="F84" s="5"/>
    </row>
    <row r="85" spans="2:6" ht="14.25" customHeight="1">
      <c r="B85" s="5"/>
      <c r="C85" s="5"/>
      <c r="D85" s="19"/>
      <c r="E85" s="5"/>
      <c r="F85" s="5"/>
    </row>
    <row r="86" spans="2:6" ht="14.25" customHeight="1">
      <c r="B86" s="5"/>
      <c r="C86" s="5"/>
      <c r="D86" s="19"/>
      <c r="E86" s="5"/>
      <c r="F86" s="5"/>
    </row>
    <row r="87" spans="2:6" ht="14.25" customHeight="1">
      <c r="B87" s="5"/>
      <c r="C87" s="5"/>
      <c r="D87" s="19"/>
      <c r="E87" s="5"/>
      <c r="F87" s="5"/>
    </row>
    <row r="88" spans="2:6" ht="14.25" customHeight="1">
      <c r="B88" s="5"/>
      <c r="C88" s="5"/>
      <c r="D88" s="19"/>
      <c r="E88" s="5"/>
      <c r="F88" s="5"/>
    </row>
    <row r="89" spans="2:6" ht="14.25" customHeight="1">
      <c r="B89" s="5"/>
      <c r="C89" s="5"/>
      <c r="D89" s="19"/>
      <c r="E89" s="5"/>
      <c r="F89" s="5"/>
    </row>
    <row r="90" spans="2:6" ht="14.25" customHeight="1">
      <c r="B90" s="5"/>
      <c r="C90" s="5"/>
      <c r="D90" s="19"/>
      <c r="E90" s="5"/>
      <c r="F90" s="5"/>
    </row>
    <row r="91" spans="2:6" ht="14.25" customHeight="1">
      <c r="B91" s="5"/>
      <c r="C91" s="5"/>
      <c r="D91" s="19"/>
      <c r="E91" s="5"/>
      <c r="F91" s="5"/>
    </row>
    <row r="92" spans="2:6" ht="14.25" customHeight="1">
      <c r="B92" s="5"/>
      <c r="C92" s="5"/>
      <c r="D92" s="19"/>
      <c r="E92" s="5"/>
      <c r="F92" s="5"/>
    </row>
    <row r="93" spans="2:6" ht="14.25" customHeight="1">
      <c r="B93" s="5"/>
      <c r="C93" s="5"/>
      <c r="D93" s="19"/>
      <c r="E93" s="5"/>
      <c r="F93" s="5"/>
    </row>
    <row r="94" spans="2:6" ht="14.25" customHeight="1">
      <c r="B94" s="5"/>
      <c r="C94" s="5"/>
      <c r="D94" s="19"/>
      <c r="E94" s="5"/>
      <c r="F94" s="5"/>
    </row>
    <row r="95" spans="2:6" ht="14.25" customHeight="1">
      <c r="B95" s="5"/>
      <c r="C95" s="5"/>
      <c r="D95" s="19"/>
      <c r="E95" s="5"/>
      <c r="F95" s="5"/>
    </row>
    <row r="96" spans="2:6" ht="14.25" customHeight="1">
      <c r="B96" s="5"/>
      <c r="C96" s="5"/>
      <c r="D96" s="19"/>
      <c r="E96" s="5"/>
      <c r="F96" s="5"/>
    </row>
    <row r="97" spans="2:6" ht="14.25" customHeight="1">
      <c r="B97" s="5"/>
      <c r="C97" s="5"/>
      <c r="D97" s="19"/>
      <c r="E97" s="5"/>
      <c r="F97" s="5"/>
    </row>
    <row r="98" spans="2:6" ht="14.25" customHeight="1">
      <c r="B98" s="5"/>
      <c r="C98" s="5"/>
      <c r="D98" s="19"/>
      <c r="E98" s="5"/>
      <c r="F98" s="5"/>
    </row>
    <row r="99" spans="2:6" ht="14.25" customHeight="1">
      <c r="B99" s="5"/>
      <c r="C99" s="5"/>
      <c r="D99" s="19"/>
      <c r="E99" s="5"/>
      <c r="F99" s="5"/>
    </row>
    <row r="100" spans="2:6" ht="14.25" customHeight="1">
      <c r="B100" s="5"/>
      <c r="C100" s="5"/>
      <c r="D100" s="19"/>
      <c r="E100" s="5"/>
      <c r="F100" s="5"/>
    </row>
    <row r="101" spans="2:6" ht="14.25" customHeight="1">
      <c r="B101" s="5"/>
      <c r="C101" s="5"/>
      <c r="D101" s="19"/>
      <c r="E101" s="5"/>
      <c r="F101" s="5"/>
    </row>
    <row r="102" spans="2:6" ht="14.25" customHeight="1">
      <c r="B102" s="5"/>
      <c r="C102" s="5"/>
      <c r="D102" s="19"/>
      <c r="E102" s="5"/>
      <c r="F102" s="5"/>
    </row>
    <row r="103" spans="2:6" ht="14.25" customHeight="1">
      <c r="B103" s="5"/>
      <c r="C103" s="5"/>
      <c r="D103" s="19"/>
      <c r="E103" s="5"/>
      <c r="F103" s="5"/>
    </row>
    <row r="104" spans="2:6" ht="14.25" customHeight="1">
      <c r="B104" s="5"/>
      <c r="C104" s="5"/>
      <c r="D104" s="19"/>
      <c r="E104" s="5"/>
      <c r="F104" s="5"/>
    </row>
    <row r="105" spans="2:6" ht="14.25" customHeight="1">
      <c r="B105" s="5"/>
      <c r="C105" s="5"/>
      <c r="D105" s="19"/>
      <c r="E105" s="5"/>
      <c r="F105" s="5"/>
    </row>
    <row r="106" spans="2:6" ht="14.25" customHeight="1">
      <c r="B106" s="5"/>
      <c r="C106" s="5"/>
      <c r="D106" s="19"/>
      <c r="E106" s="5"/>
      <c r="F106" s="5"/>
    </row>
    <row r="107" spans="2:6" ht="14.25" customHeight="1">
      <c r="B107" s="5"/>
      <c r="C107" s="5"/>
      <c r="D107" s="19"/>
      <c r="E107" s="5"/>
      <c r="F107" s="5"/>
    </row>
    <row r="108" spans="2:6" ht="14.25" customHeight="1">
      <c r="B108" s="5"/>
      <c r="C108" s="5"/>
      <c r="D108" s="19"/>
      <c r="E108" s="5"/>
      <c r="F108" s="5"/>
    </row>
    <row r="109" spans="2:6" ht="14.25" customHeight="1">
      <c r="B109" s="5"/>
      <c r="C109" s="5"/>
      <c r="D109" s="19"/>
      <c r="E109" s="5"/>
      <c r="F109" s="5"/>
    </row>
    <row r="110" spans="2:6" ht="14.25" customHeight="1">
      <c r="B110" s="5"/>
      <c r="C110" s="5"/>
      <c r="D110" s="19"/>
      <c r="E110" s="5"/>
      <c r="F110" s="5"/>
    </row>
    <row r="111" spans="2:6" ht="14.25" customHeight="1">
      <c r="B111" s="5"/>
      <c r="C111" s="5"/>
      <c r="D111" s="19"/>
      <c r="E111" s="5"/>
      <c r="F111" s="5"/>
    </row>
    <row r="112" spans="2:6" ht="14.25" customHeight="1">
      <c r="B112" s="5"/>
      <c r="C112" s="5"/>
      <c r="D112" s="19"/>
      <c r="E112" s="5"/>
      <c r="F112" s="5"/>
    </row>
    <row r="113" spans="2:6" ht="14.25" customHeight="1">
      <c r="B113" s="5"/>
      <c r="C113" s="5"/>
      <c r="D113" s="19"/>
      <c r="E113" s="5"/>
      <c r="F113" s="5"/>
    </row>
    <row r="114" spans="2:6" ht="14.25" customHeight="1">
      <c r="B114" s="5"/>
      <c r="C114" s="5"/>
      <c r="D114" s="19"/>
      <c r="E114" s="5"/>
      <c r="F114" s="5"/>
    </row>
    <row r="115" spans="2:6" ht="14.25" customHeight="1">
      <c r="B115" s="5"/>
      <c r="C115" s="5"/>
      <c r="D115" s="19"/>
      <c r="E115" s="5"/>
      <c r="F115" s="5"/>
    </row>
    <row r="116" spans="2:6" ht="14.25" customHeight="1">
      <c r="B116" s="5"/>
      <c r="C116" s="5"/>
      <c r="D116" s="19"/>
      <c r="E116" s="5"/>
      <c r="F116" s="5"/>
    </row>
    <row r="117" spans="2:6" ht="14.25" customHeight="1">
      <c r="B117" s="5"/>
      <c r="C117" s="5"/>
      <c r="D117" s="19"/>
      <c r="E117" s="5"/>
      <c r="F117" s="5"/>
    </row>
    <row r="118" spans="2:6" ht="14.25" customHeight="1">
      <c r="B118" s="5"/>
      <c r="C118" s="5"/>
      <c r="D118" s="19"/>
      <c r="E118" s="5"/>
      <c r="F118" s="5"/>
    </row>
    <row r="119" spans="2:6" ht="14.25" customHeight="1">
      <c r="B119" s="5"/>
      <c r="C119" s="5"/>
      <c r="D119" s="19"/>
      <c r="E119" s="5"/>
      <c r="F119" s="5"/>
    </row>
    <row r="120" spans="2:6" ht="14.25" customHeight="1">
      <c r="B120" s="5"/>
      <c r="C120" s="5"/>
      <c r="D120" s="19"/>
      <c r="E120" s="5"/>
      <c r="F120" s="5"/>
    </row>
    <row r="121" spans="2:6" ht="14.25" customHeight="1">
      <c r="B121" s="5"/>
      <c r="C121" s="5"/>
      <c r="D121" s="19"/>
      <c r="E121" s="5"/>
      <c r="F121" s="5"/>
    </row>
    <row r="122" spans="2:6" ht="14.25" customHeight="1">
      <c r="B122" s="5"/>
      <c r="C122" s="5"/>
      <c r="D122" s="19"/>
      <c r="E122" s="5"/>
      <c r="F122" s="5"/>
    </row>
    <row r="123" spans="2:6" ht="14.25" customHeight="1">
      <c r="B123" s="5"/>
      <c r="C123" s="5"/>
      <c r="D123" s="19"/>
      <c r="E123" s="5"/>
      <c r="F123" s="5"/>
    </row>
    <row r="124" spans="2:6" ht="14.25" customHeight="1">
      <c r="B124" s="5"/>
      <c r="C124" s="5"/>
      <c r="D124" s="19"/>
      <c r="E124" s="5"/>
      <c r="F124" s="5"/>
    </row>
    <row r="125" spans="2:6" ht="14.25" customHeight="1">
      <c r="B125" s="5"/>
      <c r="C125" s="5"/>
      <c r="D125" s="19"/>
      <c r="E125" s="5"/>
      <c r="F125" s="5"/>
    </row>
    <row r="126" spans="2:6" ht="14.25" customHeight="1">
      <c r="B126" s="5"/>
      <c r="C126" s="5"/>
      <c r="D126" s="19"/>
      <c r="E126" s="5"/>
      <c r="F126" s="5"/>
    </row>
    <row r="127" spans="2:6" ht="14.25" customHeight="1">
      <c r="B127" s="5"/>
      <c r="C127" s="5"/>
      <c r="D127" s="19"/>
      <c r="E127" s="5"/>
      <c r="F127" s="5"/>
    </row>
    <row r="128" spans="2:6" ht="14.25" customHeight="1">
      <c r="B128" s="5"/>
      <c r="C128" s="5"/>
      <c r="D128" s="19"/>
      <c r="E128" s="5"/>
      <c r="F128" s="5"/>
    </row>
    <row r="129" spans="2:6" ht="14.25" customHeight="1">
      <c r="B129" s="5"/>
      <c r="C129" s="5"/>
      <c r="D129" s="19"/>
      <c r="E129" s="5"/>
      <c r="F129" s="5"/>
    </row>
    <row r="130" spans="2:6" ht="14.25" customHeight="1">
      <c r="B130" s="5"/>
      <c r="C130" s="5"/>
      <c r="D130" s="19"/>
      <c r="E130" s="5"/>
      <c r="F130" s="5"/>
    </row>
    <row r="131" spans="2:6" ht="14.25" customHeight="1">
      <c r="B131" s="5"/>
      <c r="C131" s="5"/>
      <c r="D131" s="19"/>
      <c r="E131" s="5"/>
      <c r="F131" s="5"/>
    </row>
    <row r="132" spans="2:6" ht="14.25" customHeight="1">
      <c r="B132" s="5"/>
      <c r="C132" s="5"/>
      <c r="D132" s="19"/>
      <c r="E132" s="5"/>
      <c r="F132" s="5"/>
    </row>
    <row r="133" spans="2:6" ht="14.25" customHeight="1">
      <c r="B133" s="5"/>
      <c r="C133" s="5"/>
      <c r="D133" s="19"/>
      <c r="E133" s="5"/>
      <c r="F133" s="5"/>
    </row>
    <row r="134" spans="2:6" ht="14.25" customHeight="1">
      <c r="B134" s="5"/>
      <c r="C134" s="5"/>
      <c r="D134" s="19"/>
      <c r="E134" s="5"/>
      <c r="F134" s="5"/>
    </row>
    <row r="135" spans="2:6" ht="14.25" customHeight="1">
      <c r="B135" s="5"/>
      <c r="C135" s="5"/>
      <c r="D135" s="19"/>
      <c r="E135" s="5"/>
      <c r="F135" s="5"/>
    </row>
    <row r="136" spans="2:6" ht="14.25" customHeight="1">
      <c r="B136" s="5"/>
      <c r="C136" s="5"/>
      <c r="D136" s="19"/>
      <c r="E136" s="5"/>
      <c r="F136" s="5"/>
    </row>
    <row r="137" spans="2:6" ht="14.25" customHeight="1">
      <c r="B137" s="5"/>
      <c r="C137" s="5"/>
      <c r="D137" s="19"/>
      <c r="E137" s="5"/>
      <c r="F137" s="5"/>
    </row>
    <row r="138" spans="2:6" ht="14.25" customHeight="1">
      <c r="B138" s="5"/>
      <c r="C138" s="5"/>
      <c r="D138" s="19"/>
      <c r="E138" s="5"/>
      <c r="F138" s="5"/>
    </row>
    <row r="139" spans="2:6" ht="14.25" customHeight="1">
      <c r="B139" s="5"/>
      <c r="C139" s="5"/>
      <c r="D139" s="19"/>
      <c r="E139" s="5"/>
      <c r="F139" s="5"/>
    </row>
    <row r="140" spans="2:6" ht="14.25" customHeight="1">
      <c r="B140" s="5"/>
      <c r="C140" s="5"/>
      <c r="D140" s="19"/>
      <c r="E140" s="5"/>
      <c r="F140" s="5"/>
    </row>
    <row r="141" spans="2:6" ht="14.25" customHeight="1">
      <c r="B141" s="5"/>
      <c r="C141" s="5"/>
      <c r="D141" s="19"/>
      <c r="E141" s="5"/>
      <c r="F141" s="5"/>
    </row>
    <row r="142" spans="2:6" ht="14.25" customHeight="1">
      <c r="B142" s="5"/>
      <c r="C142" s="5"/>
      <c r="D142" s="19"/>
      <c r="E142" s="5"/>
      <c r="F142" s="5"/>
    </row>
    <row r="143" spans="2:6" ht="14.25" customHeight="1">
      <c r="B143" s="5"/>
      <c r="C143" s="5"/>
      <c r="D143" s="19"/>
      <c r="E143" s="5"/>
      <c r="F143" s="5"/>
    </row>
    <row r="144" spans="2:6" ht="14.25" customHeight="1">
      <c r="B144" s="5"/>
      <c r="C144" s="5"/>
      <c r="D144" s="19"/>
      <c r="E144" s="5"/>
      <c r="F144" s="5"/>
    </row>
    <row r="145" spans="2:6" ht="14.25" customHeight="1">
      <c r="B145" s="5"/>
      <c r="C145" s="5"/>
      <c r="D145" s="19"/>
      <c r="E145" s="5"/>
      <c r="F145" s="5"/>
    </row>
    <row r="146" spans="2:6" ht="14.25" customHeight="1">
      <c r="B146" s="5"/>
      <c r="C146" s="5"/>
      <c r="D146" s="19"/>
      <c r="E146" s="5"/>
      <c r="F146" s="5"/>
    </row>
    <row r="147" spans="2:6" ht="14.25" customHeight="1">
      <c r="B147" s="5"/>
      <c r="C147" s="5"/>
      <c r="D147" s="19"/>
      <c r="E147" s="5"/>
      <c r="F147" s="5"/>
    </row>
    <row r="148" spans="2:6" ht="14.25" customHeight="1">
      <c r="B148" s="5"/>
      <c r="C148" s="5"/>
      <c r="D148" s="19"/>
      <c r="E148" s="5"/>
      <c r="F148" s="5"/>
    </row>
    <row r="149" spans="2:6" ht="14.25" customHeight="1">
      <c r="B149" s="5"/>
      <c r="C149" s="5"/>
      <c r="D149" s="19"/>
      <c r="E149" s="5"/>
      <c r="F149" s="5"/>
    </row>
    <row r="150" spans="2:6" ht="14.25" customHeight="1">
      <c r="B150" s="5"/>
      <c r="C150" s="5"/>
      <c r="D150" s="19"/>
      <c r="E150" s="5"/>
      <c r="F150" s="5"/>
    </row>
    <row r="151" spans="2:6" ht="14.25" customHeight="1">
      <c r="B151" s="5"/>
      <c r="C151" s="5"/>
      <c r="D151" s="19"/>
      <c r="E151" s="5"/>
      <c r="F151" s="5"/>
    </row>
    <row r="152" spans="2:6" ht="14.25" customHeight="1">
      <c r="B152" s="5"/>
      <c r="C152" s="5"/>
      <c r="D152" s="19"/>
      <c r="E152" s="5"/>
      <c r="F152" s="5"/>
    </row>
    <row r="153" spans="2:6" ht="14.25" customHeight="1">
      <c r="B153" s="5"/>
      <c r="C153" s="5"/>
      <c r="D153" s="19"/>
      <c r="E153" s="5"/>
      <c r="F153" s="5"/>
    </row>
    <row r="154" spans="2:6" ht="14.25" customHeight="1">
      <c r="B154" s="5"/>
      <c r="C154" s="5"/>
      <c r="D154" s="19"/>
      <c r="E154" s="5"/>
      <c r="F154" s="5"/>
    </row>
    <row r="155" spans="2:6" ht="14.25" customHeight="1">
      <c r="B155" s="5"/>
      <c r="C155" s="5"/>
      <c r="D155" s="19"/>
      <c r="E155" s="5"/>
      <c r="F155" s="5"/>
    </row>
    <row r="156" spans="2:6" ht="14.25" customHeight="1">
      <c r="B156" s="5"/>
      <c r="C156" s="5"/>
      <c r="D156" s="19"/>
      <c r="E156" s="5"/>
      <c r="F156" s="5"/>
    </row>
    <row r="157" spans="2:6" ht="14.25" customHeight="1">
      <c r="B157" s="5"/>
      <c r="C157" s="5"/>
      <c r="D157" s="19"/>
      <c r="E157" s="5"/>
      <c r="F157" s="5"/>
    </row>
    <row r="158" spans="2:6" ht="14.25" customHeight="1">
      <c r="B158" s="5"/>
      <c r="C158" s="5"/>
      <c r="D158" s="19"/>
      <c r="E158" s="5"/>
      <c r="F158" s="5"/>
    </row>
    <row r="159" spans="2:6" ht="14.25" customHeight="1">
      <c r="B159" s="5"/>
      <c r="C159" s="5"/>
      <c r="D159" s="19"/>
      <c r="E159" s="5"/>
      <c r="F159" s="5"/>
    </row>
    <row r="160" spans="2:6" ht="14.25" customHeight="1">
      <c r="B160" s="5"/>
      <c r="C160" s="5"/>
      <c r="D160" s="19"/>
      <c r="E160" s="5"/>
      <c r="F160" s="5"/>
    </row>
    <row r="161" spans="2:6" ht="14.25" customHeight="1">
      <c r="B161" s="5"/>
      <c r="C161" s="5"/>
      <c r="D161" s="19"/>
      <c r="E161" s="5"/>
      <c r="F161" s="5"/>
    </row>
    <row r="162" spans="2:6" ht="14.25" customHeight="1">
      <c r="B162" s="5"/>
      <c r="C162" s="5"/>
      <c r="D162" s="19"/>
      <c r="E162" s="5"/>
      <c r="F162" s="5"/>
    </row>
    <row r="163" spans="2:6" ht="14.25" customHeight="1">
      <c r="B163" s="5"/>
      <c r="C163" s="5"/>
      <c r="D163" s="19"/>
      <c r="E163" s="5"/>
      <c r="F163" s="5"/>
    </row>
    <row r="164" spans="2:6" ht="14.25" customHeight="1">
      <c r="B164" s="5"/>
      <c r="C164" s="5"/>
      <c r="D164" s="19"/>
      <c r="E164" s="5"/>
      <c r="F164" s="5"/>
    </row>
    <row r="165" spans="2:6" ht="14.25" customHeight="1">
      <c r="B165" s="5"/>
      <c r="C165" s="5"/>
      <c r="D165" s="19"/>
      <c r="E165" s="5"/>
      <c r="F165" s="5"/>
    </row>
    <row r="166" spans="2:6" ht="14.25" customHeight="1">
      <c r="B166" s="5"/>
      <c r="C166" s="5"/>
      <c r="D166" s="19"/>
      <c r="E166" s="5"/>
      <c r="F166" s="5"/>
    </row>
    <row r="167" spans="2:6" ht="14.25" customHeight="1">
      <c r="B167" s="5"/>
      <c r="C167" s="5"/>
      <c r="D167" s="19"/>
      <c r="E167" s="5"/>
      <c r="F167" s="5"/>
    </row>
    <row r="168" spans="2:6" ht="14.25" customHeight="1">
      <c r="B168" s="5"/>
      <c r="C168" s="5"/>
      <c r="D168" s="19"/>
      <c r="E168" s="5"/>
      <c r="F168" s="5"/>
    </row>
    <row r="169" spans="2:6" ht="14.25" customHeight="1">
      <c r="B169" s="5"/>
      <c r="C169" s="5"/>
      <c r="D169" s="19"/>
      <c r="E169" s="5"/>
      <c r="F169" s="5"/>
    </row>
    <row r="170" spans="2:6" ht="14.25" customHeight="1">
      <c r="B170" s="5"/>
      <c r="C170" s="5"/>
      <c r="D170" s="19"/>
      <c r="E170" s="5"/>
      <c r="F170" s="5"/>
    </row>
    <row r="171" spans="2:6" ht="14.25" customHeight="1">
      <c r="B171" s="5"/>
      <c r="C171" s="5"/>
      <c r="D171" s="19"/>
      <c r="E171" s="5"/>
      <c r="F171" s="5"/>
    </row>
    <row r="172" spans="2:6" ht="14.25" customHeight="1">
      <c r="B172" s="5"/>
      <c r="C172" s="5"/>
      <c r="D172" s="19"/>
      <c r="E172" s="5"/>
      <c r="F172" s="5"/>
    </row>
    <row r="173" spans="2:6" ht="14.25" customHeight="1">
      <c r="B173" s="5"/>
      <c r="C173" s="5"/>
      <c r="D173" s="19"/>
      <c r="E173" s="5"/>
      <c r="F173" s="5"/>
    </row>
    <row r="174" spans="2:6" ht="14.25" customHeight="1">
      <c r="B174" s="5"/>
      <c r="C174" s="5"/>
      <c r="D174" s="19"/>
      <c r="E174" s="5"/>
      <c r="F174" s="5"/>
    </row>
    <row r="175" spans="2:6" ht="14.25" customHeight="1">
      <c r="B175" s="5"/>
      <c r="C175" s="5"/>
      <c r="D175" s="19"/>
      <c r="E175" s="5"/>
      <c r="F175" s="5"/>
    </row>
    <row r="176" spans="2:6" ht="14.25" customHeight="1">
      <c r="B176" s="5"/>
      <c r="C176" s="5"/>
      <c r="D176" s="19"/>
      <c r="E176" s="5"/>
      <c r="F176" s="5"/>
    </row>
    <row r="177" spans="2:6" ht="14.25" customHeight="1">
      <c r="B177" s="5"/>
      <c r="C177" s="5"/>
      <c r="D177" s="19"/>
      <c r="E177" s="5"/>
      <c r="F177" s="5"/>
    </row>
    <row r="178" spans="2:6" ht="14.25" customHeight="1">
      <c r="B178" s="5"/>
      <c r="C178" s="5"/>
      <c r="D178" s="19"/>
      <c r="E178" s="5"/>
      <c r="F178" s="5"/>
    </row>
    <row r="179" spans="2:6" ht="14.25" customHeight="1">
      <c r="B179" s="5"/>
      <c r="C179" s="5"/>
      <c r="D179" s="19"/>
      <c r="E179" s="5"/>
      <c r="F179" s="5"/>
    </row>
    <row r="180" spans="2:6" ht="14.25" customHeight="1">
      <c r="B180" s="5"/>
      <c r="C180" s="5"/>
      <c r="D180" s="19"/>
      <c r="E180" s="5"/>
      <c r="F180" s="5"/>
    </row>
    <row r="181" spans="2:6" ht="14.25" customHeight="1">
      <c r="B181" s="5"/>
      <c r="C181" s="5"/>
      <c r="D181" s="19"/>
      <c r="E181" s="5"/>
      <c r="F181" s="5"/>
    </row>
    <row r="182" spans="2:6" ht="14.25" customHeight="1">
      <c r="B182" s="5"/>
      <c r="C182" s="5"/>
      <c r="D182" s="19"/>
      <c r="E182" s="5"/>
      <c r="F182" s="5"/>
    </row>
    <row r="183" spans="2:6" ht="14.25" customHeight="1">
      <c r="B183" s="5"/>
      <c r="C183" s="5"/>
      <c r="D183" s="19"/>
      <c r="E183" s="5"/>
      <c r="F183" s="5"/>
    </row>
    <row r="184" spans="2:6" ht="14.25" customHeight="1">
      <c r="B184" s="5"/>
      <c r="C184" s="5"/>
      <c r="D184" s="19"/>
      <c r="E184" s="5"/>
      <c r="F184" s="5"/>
    </row>
    <row r="185" spans="2:6" ht="14.25" customHeight="1">
      <c r="B185" s="5"/>
      <c r="C185" s="5"/>
      <c r="D185" s="19"/>
      <c r="E185" s="5"/>
      <c r="F185" s="5"/>
    </row>
    <row r="186" spans="2:6" ht="14.25" customHeight="1">
      <c r="B186" s="5"/>
      <c r="C186" s="5"/>
      <c r="D186" s="19"/>
      <c r="E186" s="5"/>
      <c r="F186" s="5"/>
    </row>
    <row r="187" spans="2:6" ht="14.25" customHeight="1">
      <c r="B187" s="5"/>
      <c r="C187" s="5"/>
      <c r="D187" s="19"/>
      <c r="E187" s="5"/>
      <c r="F187" s="5"/>
    </row>
    <row r="188" spans="2:6" ht="14.25" customHeight="1">
      <c r="B188" s="5"/>
      <c r="C188" s="5"/>
      <c r="D188" s="19"/>
      <c r="E188" s="5"/>
      <c r="F188" s="5"/>
    </row>
    <row r="189" spans="2:6" ht="14.25" customHeight="1">
      <c r="B189" s="5"/>
      <c r="C189" s="5"/>
      <c r="D189" s="19"/>
      <c r="E189" s="5"/>
      <c r="F189" s="5"/>
    </row>
    <row r="190" spans="2:6" ht="14.25" customHeight="1">
      <c r="B190" s="5"/>
      <c r="C190" s="5"/>
      <c r="D190" s="19"/>
      <c r="E190" s="5"/>
      <c r="F190" s="5"/>
    </row>
    <row r="191" spans="2:6" ht="14.25" customHeight="1">
      <c r="B191" s="5"/>
      <c r="C191" s="5"/>
      <c r="D191" s="19"/>
      <c r="E191" s="5"/>
      <c r="F191" s="5"/>
    </row>
    <row r="192" spans="2:6" ht="14.25" customHeight="1">
      <c r="B192" s="5"/>
      <c r="C192" s="5"/>
      <c r="D192" s="19"/>
      <c r="E192" s="5"/>
      <c r="F192" s="5"/>
    </row>
    <row r="193" spans="2:6" ht="14.25" customHeight="1">
      <c r="B193" s="5"/>
      <c r="C193" s="5"/>
      <c r="D193" s="19"/>
      <c r="E193" s="5"/>
      <c r="F193" s="5"/>
    </row>
    <row r="194" spans="2:6" ht="14.25" customHeight="1">
      <c r="B194" s="5"/>
      <c r="C194" s="5"/>
      <c r="D194" s="19"/>
      <c r="E194" s="5"/>
      <c r="F194" s="5"/>
    </row>
    <row r="195" spans="2:6" ht="14.25" customHeight="1">
      <c r="B195" s="5"/>
      <c r="C195" s="5"/>
      <c r="D195" s="19"/>
      <c r="E195" s="5"/>
      <c r="F195" s="5"/>
    </row>
    <row r="196" spans="2:6" ht="14.25" customHeight="1">
      <c r="B196" s="5"/>
      <c r="C196" s="5"/>
      <c r="D196" s="19"/>
      <c r="E196" s="5"/>
      <c r="F196" s="5"/>
    </row>
    <row r="197" spans="2:6" ht="14.25" customHeight="1">
      <c r="B197" s="5"/>
      <c r="C197" s="5"/>
      <c r="D197" s="19"/>
      <c r="E197" s="5"/>
      <c r="F197" s="5"/>
    </row>
    <row r="198" spans="2:6" ht="14.25" customHeight="1">
      <c r="B198" s="5"/>
      <c r="C198" s="5"/>
      <c r="D198" s="19"/>
      <c r="E198" s="5"/>
      <c r="F198" s="5"/>
    </row>
    <row r="199" spans="2:6" ht="14.25" customHeight="1">
      <c r="B199" s="5"/>
      <c r="C199" s="5"/>
      <c r="D199" s="19"/>
      <c r="E199" s="5"/>
      <c r="F199" s="5"/>
    </row>
    <row r="200" spans="2:6" ht="14.25" customHeight="1">
      <c r="B200" s="5"/>
      <c r="C200" s="5"/>
      <c r="D200" s="19"/>
      <c r="E200" s="5"/>
      <c r="F200" s="5"/>
    </row>
    <row r="201" spans="2:6" ht="14.25" customHeight="1">
      <c r="B201" s="5"/>
      <c r="C201" s="5"/>
      <c r="D201" s="19"/>
      <c r="E201" s="5"/>
      <c r="F201" s="5"/>
    </row>
    <row r="202" spans="2:6" ht="14.25" customHeight="1">
      <c r="B202" s="5"/>
      <c r="C202" s="5"/>
      <c r="D202" s="19"/>
      <c r="E202" s="5"/>
      <c r="F202" s="5"/>
    </row>
    <row r="203" spans="2:6" ht="14.25" customHeight="1">
      <c r="B203" s="5"/>
      <c r="C203" s="5"/>
      <c r="D203" s="19"/>
      <c r="E203" s="5"/>
      <c r="F203" s="5"/>
    </row>
    <row r="204" spans="2:6" ht="14.25" customHeight="1">
      <c r="B204" s="5"/>
      <c r="C204" s="5"/>
      <c r="D204" s="19"/>
      <c r="E204" s="5"/>
      <c r="F204" s="5"/>
    </row>
    <row r="205" spans="2:6" ht="14.25" customHeight="1">
      <c r="B205" s="5"/>
      <c r="C205" s="5"/>
      <c r="D205" s="19"/>
      <c r="E205" s="5"/>
      <c r="F205" s="5"/>
    </row>
    <row r="206" spans="2:6" ht="14.25" customHeight="1">
      <c r="B206" s="5"/>
      <c r="C206" s="5"/>
      <c r="D206" s="19"/>
      <c r="E206" s="5"/>
      <c r="F206" s="5"/>
    </row>
    <row r="207" spans="2:6" ht="14.25" customHeight="1">
      <c r="B207" s="5"/>
      <c r="C207" s="5"/>
      <c r="D207" s="19"/>
      <c r="E207" s="5"/>
      <c r="F207" s="5"/>
    </row>
    <row r="208" spans="2:6" ht="14.25" customHeight="1">
      <c r="B208" s="5"/>
      <c r="C208" s="5"/>
      <c r="D208" s="19"/>
      <c r="E208" s="5"/>
      <c r="F208" s="5"/>
    </row>
    <row r="209" spans="2:6" ht="14.25" customHeight="1">
      <c r="B209" s="5"/>
      <c r="C209" s="5"/>
      <c r="D209" s="19"/>
      <c r="E209" s="5"/>
      <c r="F209" s="5"/>
    </row>
    <row r="210" spans="2:6" ht="14.25" customHeight="1">
      <c r="B210" s="5"/>
      <c r="C210" s="5"/>
      <c r="D210" s="19"/>
      <c r="E210" s="5"/>
      <c r="F210" s="5"/>
    </row>
    <row r="211" spans="2:6" ht="14.25" customHeight="1">
      <c r="B211" s="5"/>
      <c r="C211" s="5"/>
      <c r="D211" s="19"/>
      <c r="E211" s="5"/>
      <c r="F211" s="5"/>
    </row>
    <row r="212" spans="2:6" ht="14.25" customHeight="1">
      <c r="B212" s="5"/>
      <c r="C212" s="5"/>
      <c r="D212" s="19"/>
      <c r="E212" s="5"/>
      <c r="F212" s="5"/>
    </row>
    <row r="213" spans="2:6" ht="14.25" customHeight="1">
      <c r="B213" s="5"/>
      <c r="C213" s="5"/>
      <c r="D213" s="19"/>
      <c r="E213" s="5"/>
      <c r="F213" s="5"/>
    </row>
    <row r="214" spans="2:6" ht="14.25" customHeight="1">
      <c r="B214" s="5"/>
      <c r="C214" s="5"/>
      <c r="D214" s="19"/>
      <c r="E214" s="5"/>
      <c r="F214" s="5"/>
    </row>
    <row r="215" spans="2:6" ht="14.25" customHeight="1">
      <c r="B215" s="5"/>
      <c r="C215" s="5"/>
      <c r="D215" s="19"/>
      <c r="E215" s="5"/>
      <c r="F215" s="5"/>
    </row>
    <row r="216" spans="2:6" ht="14.25" customHeight="1">
      <c r="B216" s="5"/>
      <c r="C216" s="5"/>
      <c r="D216" s="19"/>
      <c r="E216" s="5"/>
      <c r="F216" s="5"/>
    </row>
    <row r="217" spans="2:6" ht="14.25" customHeight="1">
      <c r="B217" s="5"/>
      <c r="C217" s="5"/>
      <c r="D217" s="19"/>
      <c r="E217" s="5"/>
      <c r="F217" s="5"/>
    </row>
    <row r="218" spans="2:6" ht="14.25" customHeight="1">
      <c r="B218" s="5"/>
      <c r="C218" s="5"/>
      <c r="D218" s="19"/>
      <c r="E218" s="5"/>
      <c r="F218" s="5"/>
    </row>
    <row r="219" spans="2:6" ht="14.25" customHeight="1">
      <c r="B219" s="5"/>
      <c r="C219" s="5"/>
      <c r="D219" s="19"/>
      <c r="E219" s="5"/>
      <c r="F219" s="5"/>
    </row>
    <row r="220" spans="2:6" ht="14.25" customHeight="1">
      <c r="B220" s="5"/>
      <c r="C220" s="5"/>
      <c r="D220" s="19"/>
      <c r="E220" s="5"/>
      <c r="F220" s="5"/>
    </row>
    <row r="221" spans="2:6" ht="14.25" customHeight="1">
      <c r="B221" s="5"/>
      <c r="C221" s="5"/>
      <c r="D221" s="19"/>
      <c r="E221" s="5"/>
      <c r="F221" s="5"/>
    </row>
    <row r="222" spans="2:6" ht="14.25" customHeight="1">
      <c r="B222" s="5"/>
      <c r="C222" s="5"/>
      <c r="D222" s="19"/>
      <c r="E222" s="5"/>
      <c r="F222" s="5"/>
    </row>
    <row r="223" spans="2:6" ht="14.25" customHeight="1">
      <c r="B223" s="5"/>
      <c r="C223" s="5"/>
      <c r="D223" s="19"/>
      <c r="E223" s="5"/>
      <c r="F223" s="5"/>
    </row>
    <row r="224" spans="2:6" ht="14.25" customHeight="1">
      <c r="B224" s="5"/>
      <c r="C224" s="5"/>
      <c r="D224" s="19"/>
      <c r="E224" s="5"/>
      <c r="F224" s="5"/>
    </row>
    <row r="225" spans="2:6" ht="14.25" customHeight="1">
      <c r="B225" s="5"/>
      <c r="C225" s="5"/>
      <c r="D225" s="19"/>
      <c r="E225" s="5"/>
      <c r="F225" s="5"/>
    </row>
    <row r="226" spans="2:6" ht="14.25" customHeight="1">
      <c r="B226" s="5"/>
      <c r="C226" s="5"/>
      <c r="D226" s="19"/>
      <c r="E226" s="5"/>
      <c r="F226" s="5"/>
    </row>
    <row r="227" spans="2:6" ht="14.25" customHeight="1">
      <c r="B227" s="5"/>
      <c r="C227" s="5"/>
      <c r="D227" s="19"/>
      <c r="E227" s="5"/>
      <c r="F227" s="5"/>
    </row>
    <row r="228" spans="2:6" ht="14.25" customHeight="1">
      <c r="B228" s="5"/>
      <c r="C228" s="5"/>
      <c r="D228" s="19"/>
      <c r="E228" s="5"/>
      <c r="F228" s="5"/>
    </row>
    <row r="229" spans="2:6" ht="14.25" customHeight="1">
      <c r="B229" s="5"/>
      <c r="C229" s="5"/>
      <c r="D229" s="19"/>
      <c r="E229" s="5"/>
      <c r="F229" s="5"/>
    </row>
    <row r="230" spans="2:6" ht="14.25" customHeight="1">
      <c r="B230" s="5"/>
      <c r="C230" s="5"/>
      <c r="D230" s="19"/>
      <c r="E230" s="5"/>
      <c r="F230" s="5"/>
    </row>
    <row r="231" spans="2:6" ht="14.25" customHeight="1">
      <c r="B231" s="5"/>
      <c r="C231" s="5"/>
      <c r="D231" s="19"/>
      <c r="E231" s="5"/>
      <c r="F231" s="5"/>
    </row>
    <row r="232" spans="2:6" ht="14.25" customHeight="1">
      <c r="B232" s="5"/>
      <c r="C232" s="5"/>
      <c r="D232" s="19"/>
      <c r="E232" s="5"/>
      <c r="F232" s="5"/>
    </row>
    <row r="233" spans="2:6" ht="14.25" customHeight="1">
      <c r="B233" s="5"/>
      <c r="C233" s="5"/>
      <c r="D233" s="19"/>
      <c r="E233" s="5"/>
      <c r="F233" s="5"/>
    </row>
    <row r="234" spans="2:6" ht="14.25" customHeight="1">
      <c r="B234" s="5"/>
      <c r="C234" s="5"/>
      <c r="D234" s="19"/>
      <c r="E234" s="5"/>
      <c r="F234" s="5"/>
    </row>
    <row r="235" spans="2:6" ht="14.25" customHeight="1">
      <c r="B235" s="5"/>
      <c r="C235" s="5"/>
      <c r="D235" s="19"/>
      <c r="E235" s="5"/>
      <c r="F235" s="5"/>
    </row>
    <row r="236" spans="2:6" ht="14.25" customHeight="1">
      <c r="B236" s="5"/>
      <c r="C236" s="5"/>
      <c r="D236" s="19"/>
      <c r="E236" s="5"/>
      <c r="F236" s="5"/>
    </row>
    <row r="237" spans="2:6" ht="14.25" customHeight="1">
      <c r="B237" s="5"/>
      <c r="C237" s="5"/>
      <c r="D237" s="19"/>
      <c r="E237" s="5"/>
      <c r="F237" s="5"/>
    </row>
    <row r="238" spans="2:6" ht="14.25" customHeight="1">
      <c r="B238" s="5"/>
      <c r="C238" s="5"/>
      <c r="D238" s="19"/>
      <c r="E238" s="5"/>
      <c r="F238" s="5"/>
    </row>
    <row r="239" spans="2:6" ht="14.25" customHeight="1">
      <c r="B239" s="5"/>
      <c r="C239" s="5"/>
      <c r="D239" s="19"/>
      <c r="E239" s="5"/>
      <c r="F239" s="5"/>
    </row>
    <row r="240" spans="2:6" ht="14.25" customHeight="1">
      <c r="B240" s="5"/>
      <c r="C240" s="5"/>
      <c r="D240" s="19"/>
      <c r="E240" s="5"/>
      <c r="F240" s="5"/>
    </row>
    <row r="241" spans="2:6" ht="14.25" customHeight="1">
      <c r="B241" s="5"/>
      <c r="C241" s="5"/>
      <c r="D241" s="19"/>
      <c r="E241" s="5"/>
      <c r="F241" s="5"/>
    </row>
    <row r="242" spans="2:6" ht="14.25" customHeight="1">
      <c r="B242" s="5"/>
      <c r="C242" s="5"/>
      <c r="D242" s="19"/>
      <c r="E242" s="5"/>
      <c r="F242" s="5"/>
    </row>
    <row r="243" spans="2:6" ht="14.25" customHeight="1">
      <c r="B243" s="5"/>
      <c r="C243" s="5"/>
      <c r="D243" s="19"/>
      <c r="E243" s="5"/>
      <c r="F243" s="5"/>
    </row>
    <row r="244" spans="2:6" ht="14.25" customHeight="1">
      <c r="B244" s="5"/>
      <c r="C244" s="5"/>
      <c r="D244" s="19"/>
      <c r="E244" s="5"/>
      <c r="F244" s="5"/>
    </row>
    <row r="245" spans="2:6" ht="14.25" customHeight="1">
      <c r="B245" s="5"/>
      <c r="C245" s="5"/>
      <c r="D245" s="19"/>
      <c r="E245" s="5"/>
      <c r="F245" s="5"/>
    </row>
    <row r="246" spans="2:6" ht="14.25" customHeight="1">
      <c r="B246" s="5"/>
      <c r="C246" s="5"/>
      <c r="D246" s="19"/>
      <c r="E246" s="5"/>
      <c r="F246" s="5"/>
    </row>
    <row r="247" spans="2:6" ht="14.25" customHeight="1">
      <c r="B247" s="5"/>
      <c r="C247" s="5"/>
      <c r="D247" s="19"/>
      <c r="E247" s="5"/>
      <c r="F247" s="5"/>
    </row>
    <row r="248" spans="2:6" ht="14.25" customHeight="1">
      <c r="B248" s="5"/>
      <c r="C248" s="5"/>
      <c r="D248" s="19"/>
      <c r="E248" s="5"/>
      <c r="F248" s="5"/>
    </row>
    <row r="249" spans="2:6" ht="14.25" customHeight="1">
      <c r="B249" s="5"/>
      <c r="C249" s="5"/>
      <c r="D249" s="19"/>
      <c r="E249" s="5"/>
      <c r="F249" s="5"/>
    </row>
    <row r="250" spans="2:6" ht="14.25" customHeight="1">
      <c r="B250" s="5"/>
      <c r="C250" s="5"/>
      <c r="D250" s="19"/>
      <c r="E250" s="5"/>
      <c r="F250" s="5"/>
    </row>
    <row r="251" spans="2:6" ht="14.25" customHeight="1">
      <c r="B251" s="5"/>
      <c r="C251" s="5"/>
      <c r="D251" s="19"/>
      <c r="E251" s="5"/>
      <c r="F251" s="5"/>
    </row>
    <row r="252" spans="2:6" ht="14.25" customHeight="1">
      <c r="B252" s="5"/>
      <c r="C252" s="5"/>
      <c r="D252" s="19"/>
      <c r="E252" s="5"/>
      <c r="F252" s="5"/>
    </row>
    <row r="253" spans="2:6" ht="14.25" customHeight="1">
      <c r="B253" s="5"/>
      <c r="C253" s="5"/>
      <c r="D253" s="19"/>
      <c r="E253" s="5"/>
      <c r="F253" s="5"/>
    </row>
    <row r="254" spans="2:6" ht="14.25" customHeight="1">
      <c r="B254" s="5"/>
      <c r="C254" s="5"/>
      <c r="D254" s="19"/>
      <c r="E254" s="5"/>
      <c r="F254" s="5"/>
    </row>
    <row r="255" spans="2:6" ht="14.25" customHeight="1">
      <c r="B255" s="5"/>
      <c r="C255" s="5"/>
      <c r="D255" s="19"/>
      <c r="E255" s="5"/>
      <c r="F255" s="5"/>
    </row>
    <row r="256" spans="2:6" ht="14.25" customHeight="1">
      <c r="B256" s="5"/>
      <c r="C256" s="5"/>
      <c r="D256" s="19"/>
      <c r="E256" s="5"/>
      <c r="F256" s="5"/>
    </row>
    <row r="257" spans="2:6" ht="14.25" customHeight="1">
      <c r="B257" s="5"/>
      <c r="C257" s="5"/>
      <c r="D257" s="19"/>
      <c r="E257" s="5"/>
      <c r="F257" s="5"/>
    </row>
    <row r="258" spans="2:6" ht="14.25" customHeight="1">
      <c r="B258" s="5"/>
      <c r="C258" s="5"/>
      <c r="D258" s="19"/>
      <c r="E258" s="5"/>
      <c r="F258" s="5"/>
    </row>
    <row r="259" spans="2:6" ht="14.25" customHeight="1">
      <c r="B259" s="5"/>
      <c r="C259" s="5"/>
      <c r="D259" s="19"/>
      <c r="E259" s="5"/>
      <c r="F259" s="5"/>
    </row>
    <row r="260" spans="2:6" ht="14.25" customHeight="1">
      <c r="B260" s="5"/>
      <c r="C260" s="5"/>
      <c r="D260" s="19"/>
      <c r="E260" s="5"/>
      <c r="F260" s="5"/>
    </row>
    <row r="261" spans="2:6" ht="14.25" customHeight="1">
      <c r="B261" s="5"/>
      <c r="C261" s="5"/>
      <c r="D261" s="19"/>
      <c r="E261" s="5"/>
      <c r="F261" s="5"/>
    </row>
    <row r="262" spans="2:6" ht="14.25" customHeight="1">
      <c r="B262" s="5"/>
      <c r="C262" s="5"/>
      <c r="D262" s="19"/>
      <c r="E262" s="5"/>
      <c r="F262" s="5"/>
    </row>
    <row r="263" spans="2:6" ht="14.25" customHeight="1">
      <c r="B263" s="5"/>
      <c r="C263" s="5"/>
      <c r="D263" s="19"/>
      <c r="E263" s="5"/>
      <c r="F263" s="5"/>
    </row>
    <row r="264" spans="2:6" ht="14.25" customHeight="1">
      <c r="B264" s="5"/>
      <c r="C264" s="5"/>
      <c r="D264" s="19"/>
      <c r="E264" s="5"/>
      <c r="F264" s="5"/>
    </row>
    <row r="265" spans="2:6" ht="14.25" customHeight="1">
      <c r="B265" s="5"/>
      <c r="C265" s="5"/>
      <c r="D265" s="19"/>
      <c r="E265" s="5"/>
      <c r="F265" s="5"/>
    </row>
    <row r="266" spans="2:6" ht="14.25" customHeight="1">
      <c r="B266" s="5"/>
      <c r="C266" s="5"/>
      <c r="D266" s="19"/>
      <c r="E266" s="5"/>
      <c r="F266" s="5"/>
    </row>
    <row r="267" spans="2:6" ht="14.25" customHeight="1">
      <c r="B267" s="5"/>
      <c r="C267" s="5"/>
      <c r="D267" s="19"/>
      <c r="E267" s="5"/>
      <c r="F267" s="5"/>
    </row>
    <row r="268" spans="2:6" ht="14.25" customHeight="1">
      <c r="B268" s="5"/>
      <c r="C268" s="5"/>
      <c r="D268" s="19"/>
      <c r="E268" s="5"/>
      <c r="F268" s="5"/>
    </row>
    <row r="269" spans="2:6" ht="14.25" customHeight="1">
      <c r="B269" s="5"/>
      <c r="C269" s="5"/>
      <c r="D269" s="19"/>
      <c r="E269" s="5"/>
      <c r="F269" s="5"/>
    </row>
    <row r="270" spans="2:6" ht="14.25" customHeight="1">
      <c r="B270" s="5"/>
      <c r="C270" s="5"/>
      <c r="D270" s="19"/>
      <c r="E270" s="5"/>
      <c r="F270" s="5"/>
    </row>
    <row r="271" spans="2:6" ht="14.25" customHeight="1">
      <c r="B271" s="5"/>
      <c r="C271" s="5"/>
      <c r="D271" s="19"/>
      <c r="E271" s="5"/>
      <c r="F271" s="5"/>
    </row>
    <row r="272" spans="2:6" ht="14.25" customHeight="1">
      <c r="B272" s="5"/>
      <c r="C272" s="5"/>
      <c r="D272" s="19"/>
      <c r="E272" s="5"/>
      <c r="F272" s="5"/>
    </row>
    <row r="273" spans="2:6" ht="14.25" customHeight="1">
      <c r="B273" s="5"/>
      <c r="C273" s="5"/>
      <c r="D273" s="19"/>
      <c r="E273" s="5"/>
      <c r="F273" s="5"/>
    </row>
    <row r="274" spans="2:6" ht="14.25" customHeight="1">
      <c r="B274" s="5"/>
      <c r="C274" s="5"/>
      <c r="D274" s="19"/>
      <c r="E274" s="5"/>
      <c r="F274" s="5"/>
    </row>
    <row r="275" spans="2:6" ht="14.25" customHeight="1">
      <c r="B275" s="5"/>
      <c r="C275" s="5"/>
      <c r="D275" s="19"/>
      <c r="E275" s="5"/>
      <c r="F275" s="5"/>
    </row>
    <row r="276" spans="2:6" ht="14.25" customHeight="1">
      <c r="B276" s="5"/>
      <c r="C276" s="5"/>
      <c r="D276" s="19"/>
      <c r="E276" s="5"/>
      <c r="F276" s="5"/>
    </row>
    <row r="277" spans="2:6" ht="14.25" customHeight="1">
      <c r="B277" s="5"/>
      <c r="C277" s="5"/>
      <c r="D277" s="19"/>
      <c r="E277" s="5"/>
      <c r="F277" s="5"/>
    </row>
    <row r="278" spans="2:6" ht="14.25" customHeight="1">
      <c r="B278" s="5"/>
      <c r="C278" s="5"/>
      <c r="D278" s="19"/>
      <c r="E278" s="5"/>
      <c r="F278" s="5"/>
    </row>
    <row r="279" spans="2:6" ht="14.25" customHeight="1">
      <c r="B279" s="5"/>
      <c r="C279" s="5"/>
      <c r="D279" s="19"/>
      <c r="E279" s="5"/>
      <c r="F279" s="5"/>
    </row>
    <row r="280" spans="2:6" ht="14.25" customHeight="1">
      <c r="B280" s="5"/>
      <c r="C280" s="5"/>
      <c r="D280" s="19"/>
      <c r="E280" s="5"/>
      <c r="F280" s="5"/>
    </row>
    <row r="281" spans="2:6" ht="14.25" customHeight="1">
      <c r="B281" s="5"/>
      <c r="C281" s="5"/>
      <c r="D281" s="19"/>
      <c r="E281" s="5"/>
      <c r="F281" s="5"/>
    </row>
    <row r="282" spans="2:6" ht="14.25" customHeight="1">
      <c r="B282" s="5"/>
      <c r="C282" s="5"/>
      <c r="D282" s="19"/>
      <c r="E282" s="5"/>
      <c r="F282" s="5"/>
    </row>
    <row r="283" spans="2:6" ht="14.25" customHeight="1">
      <c r="B283" s="5"/>
      <c r="C283" s="5"/>
      <c r="D283" s="19"/>
      <c r="E283" s="5"/>
      <c r="F283" s="5"/>
    </row>
    <row r="284" spans="2:6" ht="14.25" customHeight="1">
      <c r="B284" s="5"/>
      <c r="C284" s="5"/>
      <c r="D284" s="19"/>
      <c r="E284" s="5"/>
      <c r="F284" s="5"/>
    </row>
    <row r="285" spans="2:6" ht="14.25" customHeight="1">
      <c r="B285" s="5"/>
      <c r="C285" s="5"/>
      <c r="D285" s="19"/>
      <c r="E285" s="5"/>
      <c r="F285" s="5"/>
    </row>
    <row r="286" spans="2:6" ht="14.25" customHeight="1">
      <c r="B286" s="5"/>
      <c r="C286" s="5"/>
      <c r="D286" s="19"/>
      <c r="E286" s="5"/>
      <c r="F286" s="5"/>
    </row>
    <row r="287" spans="2:6" ht="14.25" customHeight="1">
      <c r="B287" s="5"/>
      <c r="C287" s="5"/>
      <c r="D287" s="19"/>
      <c r="E287" s="5"/>
      <c r="F287" s="5"/>
    </row>
    <row r="288" spans="2:6" ht="14.25" customHeight="1">
      <c r="B288" s="5"/>
      <c r="C288" s="5"/>
      <c r="D288" s="19"/>
      <c r="E288" s="5"/>
      <c r="F288" s="5"/>
    </row>
    <row r="289" spans="2:6" ht="14.25" customHeight="1">
      <c r="B289" s="5"/>
      <c r="C289" s="5"/>
      <c r="D289" s="19"/>
      <c r="E289" s="5"/>
      <c r="F289" s="5"/>
    </row>
    <row r="290" spans="2:6" ht="14.25" customHeight="1">
      <c r="B290" s="5"/>
      <c r="C290" s="5"/>
      <c r="D290" s="19"/>
      <c r="E290" s="5"/>
      <c r="F290" s="5"/>
    </row>
    <row r="291" spans="2:6" ht="14.25" customHeight="1">
      <c r="B291" s="5"/>
      <c r="C291" s="5"/>
      <c r="D291" s="19"/>
      <c r="E291" s="5"/>
      <c r="F291" s="5"/>
    </row>
    <row r="292" spans="2:6" ht="14.25" customHeight="1">
      <c r="B292" s="5"/>
      <c r="C292" s="5"/>
      <c r="D292" s="19"/>
      <c r="E292" s="5"/>
      <c r="F292" s="5"/>
    </row>
    <row r="293" spans="2:6" ht="14.25" customHeight="1">
      <c r="B293" s="5"/>
      <c r="C293" s="5"/>
      <c r="D293" s="19"/>
      <c r="E293" s="5"/>
      <c r="F293" s="5"/>
    </row>
    <row r="294" spans="2:6" ht="14.25" customHeight="1">
      <c r="B294" s="5"/>
      <c r="C294" s="5"/>
      <c r="D294" s="19"/>
      <c r="E294" s="5"/>
      <c r="F294" s="5"/>
    </row>
    <row r="295" spans="2:6" ht="14.25" customHeight="1">
      <c r="B295" s="5"/>
      <c r="C295" s="5"/>
      <c r="D295" s="19"/>
      <c r="E295" s="5"/>
      <c r="F295" s="5"/>
    </row>
    <row r="296" spans="2:6" ht="14.25" customHeight="1">
      <c r="B296" s="5"/>
      <c r="C296" s="5"/>
      <c r="D296" s="19"/>
      <c r="E296" s="5"/>
      <c r="F296" s="5"/>
    </row>
    <row r="297" spans="2:6" ht="14.25" customHeight="1">
      <c r="B297" s="5"/>
      <c r="C297" s="5"/>
      <c r="D297" s="19"/>
      <c r="E297" s="5"/>
      <c r="F297" s="5"/>
    </row>
    <row r="298" spans="2:6" ht="14.25" customHeight="1">
      <c r="B298" s="5"/>
      <c r="C298" s="5"/>
      <c r="D298" s="19"/>
      <c r="E298" s="5"/>
      <c r="F298" s="5"/>
    </row>
    <row r="299" spans="2:6" ht="14.25" customHeight="1">
      <c r="B299" s="5"/>
      <c r="C299" s="5"/>
      <c r="D299" s="19"/>
      <c r="E299" s="5"/>
      <c r="F299" s="5"/>
    </row>
    <row r="300" spans="2:6" ht="14.25" customHeight="1">
      <c r="B300" s="5"/>
      <c r="C300" s="5"/>
      <c r="D300" s="19"/>
      <c r="E300" s="5"/>
      <c r="F300" s="5"/>
    </row>
    <row r="301" spans="2:6" ht="14.25" customHeight="1">
      <c r="B301" s="5"/>
      <c r="C301" s="5"/>
      <c r="D301" s="19"/>
      <c r="E301" s="5"/>
      <c r="F301" s="5"/>
    </row>
    <row r="302" spans="2:6" ht="14.25" customHeight="1">
      <c r="B302" s="5"/>
      <c r="C302" s="5"/>
      <c r="D302" s="19"/>
      <c r="E302" s="5"/>
      <c r="F302" s="5"/>
    </row>
    <row r="303" spans="2:6" ht="14.25" customHeight="1">
      <c r="B303" s="5"/>
      <c r="C303" s="5"/>
      <c r="D303" s="19"/>
      <c r="E303" s="5"/>
      <c r="F303" s="5"/>
    </row>
    <row r="304" spans="2:6" ht="14.25" customHeight="1">
      <c r="B304" s="5"/>
      <c r="C304" s="5"/>
      <c r="D304" s="19"/>
      <c r="E304" s="5"/>
      <c r="F304" s="5"/>
    </row>
    <row r="305" spans="2:6" ht="14.25" customHeight="1">
      <c r="B305" s="5"/>
      <c r="C305" s="5"/>
      <c r="D305" s="19"/>
      <c r="E305" s="5"/>
      <c r="F305" s="5"/>
    </row>
    <row r="306" spans="2:6" ht="14.25" customHeight="1">
      <c r="B306" s="5"/>
      <c r="C306" s="5"/>
      <c r="D306" s="19"/>
      <c r="E306" s="5"/>
      <c r="F306" s="5"/>
    </row>
    <row r="307" spans="2:6" ht="14.25" customHeight="1">
      <c r="B307" s="5"/>
      <c r="C307" s="5"/>
      <c r="D307" s="19"/>
      <c r="E307" s="5"/>
      <c r="F307" s="5"/>
    </row>
    <row r="308" spans="2:6" ht="14.25" customHeight="1">
      <c r="B308" s="5"/>
      <c r="C308" s="5"/>
      <c r="D308" s="19"/>
      <c r="E308" s="5"/>
      <c r="F308" s="5"/>
    </row>
    <row r="309" spans="2:6" ht="14.25" customHeight="1">
      <c r="B309" s="5"/>
      <c r="C309" s="5"/>
      <c r="D309" s="19"/>
      <c r="E309" s="5"/>
      <c r="F309" s="5"/>
    </row>
    <row r="310" spans="2:6" ht="14.25" customHeight="1">
      <c r="B310" s="5"/>
      <c r="C310" s="5"/>
      <c r="D310" s="19"/>
      <c r="E310" s="5"/>
      <c r="F310" s="5"/>
    </row>
    <row r="311" spans="2:6" ht="14.25" customHeight="1">
      <c r="B311" s="5"/>
      <c r="C311" s="5"/>
      <c r="D311" s="19"/>
      <c r="E311" s="5"/>
      <c r="F311" s="5"/>
    </row>
    <row r="312" spans="2:6" ht="14.25" customHeight="1">
      <c r="B312" s="5"/>
      <c r="C312" s="5"/>
      <c r="D312" s="19"/>
      <c r="E312" s="5"/>
      <c r="F312" s="5"/>
    </row>
    <row r="313" spans="2:6" ht="14.25" customHeight="1">
      <c r="B313" s="5"/>
      <c r="C313" s="5"/>
      <c r="D313" s="19"/>
      <c r="E313" s="5"/>
      <c r="F313" s="5"/>
    </row>
    <row r="314" spans="2:6" ht="14.25" customHeight="1">
      <c r="B314" s="5"/>
      <c r="C314" s="5"/>
      <c r="D314" s="19"/>
      <c r="E314" s="5"/>
      <c r="F314" s="5"/>
    </row>
    <row r="315" spans="2:6" ht="14.25" customHeight="1">
      <c r="B315" s="5"/>
      <c r="C315" s="5"/>
      <c r="D315" s="19"/>
      <c r="E315" s="5"/>
      <c r="F315" s="5"/>
    </row>
    <row r="316" spans="2:6" ht="14.25" customHeight="1">
      <c r="B316" s="5"/>
      <c r="C316" s="5"/>
      <c r="D316" s="19"/>
      <c r="E316" s="5"/>
      <c r="F316" s="5"/>
    </row>
    <row r="317" spans="2:6" ht="14.25" customHeight="1">
      <c r="B317" s="5"/>
      <c r="C317" s="5"/>
      <c r="D317" s="19"/>
      <c r="E317" s="5"/>
      <c r="F317" s="5"/>
    </row>
    <row r="318" spans="2:6" ht="14.25" customHeight="1">
      <c r="B318" s="5"/>
      <c r="C318" s="5"/>
      <c r="D318" s="19"/>
      <c r="E318" s="5"/>
      <c r="F318" s="5"/>
    </row>
    <row r="319" spans="2:6" ht="14.25" customHeight="1">
      <c r="B319" s="5"/>
      <c r="C319" s="5"/>
      <c r="D319" s="19"/>
      <c r="E319" s="5"/>
      <c r="F319" s="5"/>
    </row>
    <row r="320" spans="2:6" ht="14.25" customHeight="1">
      <c r="B320" s="5"/>
      <c r="C320" s="5"/>
      <c r="D320" s="19"/>
      <c r="E320" s="5"/>
      <c r="F320" s="5"/>
    </row>
    <row r="321" spans="2:6" ht="14.25" customHeight="1">
      <c r="B321" s="5"/>
      <c r="C321" s="5"/>
      <c r="D321" s="19"/>
      <c r="E321" s="5"/>
      <c r="F321" s="5"/>
    </row>
    <row r="322" spans="2:6" ht="14.25" customHeight="1">
      <c r="B322" s="5"/>
      <c r="C322" s="5"/>
      <c r="D322" s="19"/>
      <c r="E322" s="5"/>
      <c r="F322" s="5"/>
    </row>
    <row r="323" spans="2:6" ht="14.25" customHeight="1">
      <c r="B323" s="5"/>
      <c r="C323" s="5"/>
      <c r="D323" s="19"/>
      <c r="E323" s="5"/>
      <c r="F323" s="5"/>
    </row>
    <row r="324" spans="2:6" ht="14.25" customHeight="1">
      <c r="B324" s="5"/>
      <c r="C324" s="5"/>
      <c r="D324" s="19"/>
      <c r="E324" s="5"/>
      <c r="F324" s="5"/>
    </row>
    <row r="325" spans="2:6" ht="14.25" customHeight="1">
      <c r="B325" s="5"/>
      <c r="C325" s="5"/>
      <c r="D325" s="19"/>
      <c r="E325" s="5"/>
      <c r="F325" s="5"/>
    </row>
    <row r="326" spans="2:6" ht="14.25" customHeight="1">
      <c r="B326" s="5"/>
      <c r="C326" s="5"/>
      <c r="D326" s="19"/>
      <c r="E326" s="5"/>
      <c r="F326" s="5"/>
    </row>
    <row r="327" spans="2:6" ht="14.25" customHeight="1">
      <c r="B327" s="5"/>
      <c r="C327" s="5"/>
      <c r="D327" s="19"/>
      <c r="E327" s="5"/>
      <c r="F327" s="5"/>
    </row>
    <row r="328" spans="2:6" ht="14.25" customHeight="1">
      <c r="B328" s="5"/>
      <c r="C328" s="5"/>
      <c r="D328" s="19"/>
      <c r="E328" s="5"/>
      <c r="F328" s="5"/>
    </row>
    <row r="329" spans="2:6" ht="14.25" customHeight="1">
      <c r="B329" s="5"/>
      <c r="C329" s="5"/>
      <c r="D329" s="19"/>
      <c r="E329" s="5"/>
      <c r="F329" s="5"/>
    </row>
    <row r="330" spans="2:6" ht="14.25" customHeight="1">
      <c r="B330" s="5"/>
      <c r="C330" s="5"/>
      <c r="D330" s="19"/>
      <c r="E330" s="5"/>
      <c r="F330" s="5"/>
    </row>
    <row r="331" spans="2:6" ht="14.25" customHeight="1">
      <c r="B331" s="5"/>
      <c r="C331" s="5"/>
      <c r="D331" s="19"/>
      <c r="E331" s="5"/>
      <c r="F331" s="5"/>
    </row>
    <row r="332" spans="2:6" ht="14.25" customHeight="1">
      <c r="B332" s="5"/>
      <c r="C332" s="5"/>
      <c r="D332" s="19"/>
      <c r="E332" s="5"/>
      <c r="F332" s="5"/>
    </row>
    <row r="333" spans="2:6" ht="14.25" customHeight="1">
      <c r="B333" s="5"/>
      <c r="C333" s="5"/>
      <c r="D333" s="19"/>
      <c r="E333" s="5"/>
      <c r="F333" s="5"/>
    </row>
    <row r="334" spans="2:6" ht="14.25" customHeight="1">
      <c r="B334" s="5"/>
      <c r="C334" s="5"/>
      <c r="D334" s="19"/>
      <c r="E334" s="5"/>
      <c r="F334" s="5"/>
    </row>
    <row r="335" spans="2:6" ht="14.25" customHeight="1">
      <c r="B335" s="5"/>
      <c r="C335" s="5"/>
      <c r="D335" s="19"/>
      <c r="E335" s="5"/>
      <c r="F335" s="5"/>
    </row>
    <row r="336" spans="2:6" ht="14.25" customHeight="1">
      <c r="B336" s="5"/>
      <c r="C336" s="5"/>
      <c r="D336" s="19"/>
      <c r="E336" s="5"/>
      <c r="F336" s="5"/>
    </row>
    <row r="337" spans="2:6" ht="14.25" customHeight="1">
      <c r="B337" s="5"/>
      <c r="C337" s="5"/>
      <c r="D337" s="19"/>
      <c r="E337" s="5"/>
      <c r="F337" s="5"/>
    </row>
    <row r="338" spans="2:6" ht="14.25" customHeight="1">
      <c r="B338" s="5"/>
      <c r="C338" s="5"/>
      <c r="D338" s="19"/>
      <c r="E338" s="5"/>
      <c r="F338" s="5"/>
    </row>
    <row r="339" spans="2:6" ht="14.25" customHeight="1">
      <c r="B339" s="5"/>
      <c r="C339" s="5"/>
      <c r="D339" s="19"/>
      <c r="E339" s="5"/>
      <c r="F339" s="5"/>
    </row>
    <row r="340" spans="2:6" ht="14.25" customHeight="1">
      <c r="B340" s="5"/>
      <c r="C340" s="5"/>
      <c r="D340" s="19"/>
      <c r="E340" s="5"/>
      <c r="F340" s="5"/>
    </row>
    <row r="341" spans="2:6" ht="14.25" customHeight="1">
      <c r="B341" s="5"/>
      <c r="C341" s="5"/>
      <c r="D341" s="19"/>
      <c r="E341" s="5"/>
      <c r="F341" s="5"/>
    </row>
    <row r="342" spans="2:6" ht="14.25" customHeight="1">
      <c r="B342" s="5"/>
      <c r="C342" s="5"/>
      <c r="D342" s="19"/>
      <c r="E342" s="5"/>
      <c r="F342" s="5"/>
    </row>
    <row r="343" spans="2:6" ht="14.25" customHeight="1">
      <c r="B343" s="5"/>
      <c r="C343" s="5"/>
      <c r="D343" s="19"/>
      <c r="E343" s="5"/>
      <c r="F343" s="5"/>
    </row>
    <row r="344" spans="2:6" ht="14.25" customHeight="1">
      <c r="B344" s="5"/>
      <c r="C344" s="5"/>
      <c r="D344" s="19"/>
      <c r="E344" s="5"/>
      <c r="F344" s="5"/>
    </row>
    <row r="345" spans="2:6" ht="14.25" customHeight="1">
      <c r="B345" s="5"/>
      <c r="C345" s="5"/>
      <c r="D345" s="19"/>
      <c r="E345" s="5"/>
      <c r="F345" s="5"/>
    </row>
    <row r="346" spans="2:6" ht="14.25" customHeight="1">
      <c r="B346" s="5"/>
      <c r="C346" s="5"/>
      <c r="D346" s="19"/>
      <c r="E346" s="5"/>
      <c r="F346" s="5"/>
    </row>
    <row r="347" spans="2:6" ht="14.25" customHeight="1">
      <c r="B347" s="5"/>
      <c r="C347" s="5"/>
      <c r="D347" s="19"/>
      <c r="E347" s="5"/>
      <c r="F347" s="5"/>
    </row>
    <row r="348" spans="2:6" ht="14.25" customHeight="1">
      <c r="B348" s="5"/>
      <c r="C348" s="5"/>
      <c r="D348" s="19"/>
      <c r="E348" s="5"/>
      <c r="F348" s="5"/>
    </row>
    <row r="349" spans="2:6" ht="14.25" customHeight="1">
      <c r="B349" s="5"/>
      <c r="C349" s="5"/>
      <c r="D349" s="19"/>
      <c r="E349" s="5"/>
      <c r="F349" s="5"/>
    </row>
    <row r="350" spans="2:6" ht="14.25" customHeight="1">
      <c r="B350" s="5"/>
      <c r="C350" s="5"/>
      <c r="D350" s="19"/>
      <c r="E350" s="5"/>
      <c r="F350" s="5"/>
    </row>
    <row r="351" spans="2:6" ht="14.25" customHeight="1">
      <c r="B351" s="5"/>
      <c r="C351" s="5"/>
      <c r="D351" s="19"/>
      <c r="E351" s="5"/>
      <c r="F351" s="5"/>
    </row>
    <row r="352" spans="2:6" ht="14.25" customHeight="1">
      <c r="B352" s="5"/>
      <c r="C352" s="5"/>
      <c r="D352" s="19"/>
      <c r="E352" s="5"/>
      <c r="F352" s="5"/>
    </row>
    <row r="353" spans="2:6" ht="14.25" customHeight="1">
      <c r="B353" s="5"/>
      <c r="C353" s="5"/>
      <c r="D353" s="19"/>
      <c r="E353" s="5"/>
      <c r="F353" s="5"/>
    </row>
    <row r="354" spans="2:6" ht="14.25" customHeight="1">
      <c r="B354" s="5"/>
      <c r="C354" s="5"/>
      <c r="D354" s="19"/>
      <c r="E354" s="5"/>
      <c r="F354" s="5"/>
    </row>
    <row r="355" spans="2:6" ht="14.25" customHeight="1">
      <c r="B355" s="5"/>
      <c r="C355" s="5"/>
      <c r="D355" s="19"/>
      <c r="E355" s="5"/>
      <c r="F355" s="5"/>
    </row>
    <row r="356" spans="2:6" ht="14.25" customHeight="1">
      <c r="B356" s="5"/>
      <c r="C356" s="5"/>
      <c r="D356" s="19"/>
      <c r="E356" s="5"/>
      <c r="F356" s="5"/>
    </row>
    <row r="357" spans="2:6" ht="14.25" customHeight="1">
      <c r="B357" s="5"/>
      <c r="C357" s="5"/>
      <c r="D357" s="19"/>
      <c r="E357" s="5"/>
      <c r="F357" s="5"/>
    </row>
    <row r="358" spans="2:6" ht="14.25" customHeight="1">
      <c r="B358" s="5"/>
      <c r="C358" s="5"/>
      <c r="D358" s="19"/>
      <c r="E358" s="5"/>
      <c r="F358" s="5"/>
    </row>
    <row r="359" spans="2:6" ht="14.25" customHeight="1">
      <c r="B359" s="5"/>
      <c r="C359" s="5"/>
      <c r="D359" s="19"/>
      <c r="E359" s="5"/>
      <c r="F359" s="5"/>
    </row>
    <row r="360" spans="2:6" ht="14.25" customHeight="1">
      <c r="B360" s="5"/>
      <c r="C360" s="5"/>
      <c r="D360" s="19"/>
      <c r="E360" s="5"/>
      <c r="F360" s="5"/>
    </row>
    <row r="361" spans="2:6" ht="14.25" customHeight="1">
      <c r="B361" s="5"/>
      <c r="C361" s="5"/>
      <c r="D361" s="19"/>
      <c r="E361" s="5"/>
      <c r="F361" s="5"/>
    </row>
    <row r="362" spans="2:6" ht="14.25" customHeight="1">
      <c r="B362" s="5"/>
      <c r="C362" s="5"/>
      <c r="D362" s="19"/>
      <c r="E362" s="5"/>
      <c r="F362" s="5"/>
    </row>
    <row r="363" spans="2:6" ht="14.25" customHeight="1">
      <c r="B363" s="5"/>
      <c r="C363" s="5"/>
      <c r="D363" s="19"/>
      <c r="E363" s="5"/>
      <c r="F363" s="5"/>
    </row>
    <row r="364" spans="2:6" ht="14.25" customHeight="1">
      <c r="B364" s="5"/>
      <c r="C364" s="5"/>
      <c r="D364" s="19"/>
      <c r="E364" s="5"/>
      <c r="F364" s="5"/>
    </row>
    <row r="365" spans="2:6" ht="14.25" customHeight="1">
      <c r="B365" s="5"/>
      <c r="C365" s="5"/>
      <c r="D365" s="19"/>
      <c r="E365" s="5"/>
      <c r="F365" s="5"/>
    </row>
    <row r="366" spans="2:6" ht="14.25" customHeight="1">
      <c r="B366" s="5"/>
      <c r="C366" s="5"/>
      <c r="D366" s="19"/>
      <c r="E366" s="5"/>
      <c r="F366" s="5"/>
    </row>
    <row r="367" spans="2:6" ht="14.25" customHeight="1">
      <c r="B367" s="5"/>
      <c r="C367" s="5"/>
      <c r="D367" s="19"/>
      <c r="E367" s="5"/>
      <c r="F367" s="5"/>
    </row>
    <row r="368" spans="2:6" ht="14.25" customHeight="1">
      <c r="B368" s="5"/>
      <c r="C368" s="5"/>
      <c r="D368" s="19"/>
      <c r="E368" s="5"/>
      <c r="F368" s="5"/>
    </row>
    <row r="369" spans="2:6" ht="14.25" customHeight="1">
      <c r="B369" s="5"/>
      <c r="C369" s="5"/>
      <c r="D369" s="19"/>
      <c r="E369" s="5"/>
      <c r="F369" s="5"/>
    </row>
    <row r="370" spans="2:6" ht="14.25" customHeight="1">
      <c r="B370" s="5"/>
      <c r="C370" s="5"/>
      <c r="D370" s="19"/>
      <c r="E370" s="5"/>
      <c r="F370" s="5"/>
    </row>
    <row r="371" spans="2:6" ht="14.25" customHeight="1">
      <c r="B371" s="5"/>
      <c r="C371" s="5"/>
      <c r="D371" s="19"/>
      <c r="E371" s="5"/>
      <c r="F371" s="5"/>
    </row>
    <row r="372" spans="2:6" ht="14.25" customHeight="1">
      <c r="B372" s="5"/>
      <c r="C372" s="5"/>
      <c r="D372" s="19"/>
      <c r="E372" s="5"/>
      <c r="F372" s="5"/>
    </row>
    <row r="373" spans="2:6" ht="14.25" customHeight="1">
      <c r="B373" s="5"/>
      <c r="C373" s="5"/>
      <c r="D373" s="19"/>
      <c r="E373" s="5"/>
      <c r="F373" s="5"/>
    </row>
    <row r="374" spans="2:6" ht="14.25" customHeight="1">
      <c r="B374" s="5"/>
      <c r="C374" s="5"/>
      <c r="D374" s="19"/>
      <c r="E374" s="5"/>
      <c r="F374" s="5"/>
    </row>
    <row r="375" spans="2:6" ht="14.25" customHeight="1">
      <c r="B375" s="5"/>
      <c r="C375" s="5"/>
      <c r="D375" s="19"/>
      <c r="E375" s="5"/>
      <c r="F375" s="5"/>
    </row>
    <row r="376" spans="2:6" ht="14.25" customHeight="1">
      <c r="B376" s="5"/>
      <c r="C376" s="5"/>
      <c r="D376" s="19"/>
      <c r="E376" s="5"/>
      <c r="F376" s="5"/>
    </row>
    <row r="377" spans="2:6" ht="14.25" customHeight="1">
      <c r="B377" s="5"/>
      <c r="C377" s="5"/>
      <c r="D377" s="19"/>
      <c r="E377" s="5"/>
      <c r="F377" s="5"/>
    </row>
    <row r="378" spans="2:6" ht="14.25" customHeight="1">
      <c r="B378" s="5"/>
      <c r="C378" s="5"/>
      <c r="D378" s="19"/>
      <c r="E378" s="5"/>
      <c r="F378" s="5"/>
    </row>
    <row r="379" spans="2:6" ht="14.25" customHeight="1">
      <c r="B379" s="5"/>
      <c r="C379" s="5"/>
      <c r="D379" s="19"/>
      <c r="E379" s="5"/>
      <c r="F379" s="5"/>
    </row>
    <row r="380" spans="2:6" ht="14.25" customHeight="1">
      <c r="B380" s="5"/>
      <c r="C380" s="5"/>
      <c r="D380" s="19"/>
      <c r="E380" s="5"/>
      <c r="F380" s="5"/>
    </row>
    <row r="381" spans="2:6" ht="14.25" customHeight="1">
      <c r="B381" s="5"/>
      <c r="C381" s="5"/>
      <c r="D381" s="19"/>
      <c r="E381" s="5"/>
      <c r="F381" s="5"/>
    </row>
    <row r="382" spans="2:6" ht="14.25" customHeight="1">
      <c r="B382" s="5"/>
      <c r="C382" s="5"/>
      <c r="D382" s="19"/>
      <c r="E382" s="5"/>
      <c r="F382" s="5"/>
    </row>
    <row r="383" spans="2:6" ht="14.25" customHeight="1">
      <c r="B383" s="5"/>
      <c r="C383" s="5"/>
      <c r="D383" s="19"/>
      <c r="E383" s="5"/>
      <c r="F383" s="5"/>
    </row>
    <row r="384" spans="2:6" ht="14.25" customHeight="1">
      <c r="B384" s="5"/>
      <c r="C384" s="5"/>
      <c r="D384" s="19"/>
      <c r="E384" s="5"/>
      <c r="F384" s="5"/>
    </row>
    <row r="385" spans="2:6" ht="14.25" customHeight="1">
      <c r="B385" s="5"/>
      <c r="C385" s="5"/>
      <c r="D385" s="19"/>
      <c r="E385" s="5"/>
      <c r="F385" s="5"/>
    </row>
    <row r="386" spans="2:6" ht="14.25" customHeight="1">
      <c r="B386" s="5"/>
      <c r="C386" s="5"/>
      <c r="D386" s="19"/>
      <c r="E386" s="5"/>
      <c r="F386" s="5"/>
    </row>
    <row r="387" spans="2:6" ht="14.25" customHeight="1">
      <c r="B387" s="5"/>
      <c r="C387" s="5"/>
      <c r="D387" s="19"/>
      <c r="E387" s="5"/>
      <c r="F387" s="5"/>
    </row>
    <row r="388" spans="2:6" ht="14.25" customHeight="1">
      <c r="B388" s="5"/>
      <c r="C388" s="5"/>
      <c r="D388" s="19"/>
      <c r="E388" s="5"/>
      <c r="F388" s="5"/>
    </row>
    <row r="389" spans="2:6" ht="14.25" customHeight="1">
      <c r="B389" s="5"/>
      <c r="C389" s="5"/>
      <c r="D389" s="19"/>
      <c r="E389" s="5"/>
      <c r="F389" s="5"/>
    </row>
    <row r="390" spans="2:6" ht="14.25" customHeight="1">
      <c r="B390" s="5"/>
      <c r="C390" s="5"/>
      <c r="D390" s="19"/>
      <c r="E390" s="5"/>
      <c r="F390" s="5"/>
    </row>
    <row r="391" spans="2:6" ht="14.25" customHeight="1">
      <c r="B391" s="5"/>
      <c r="C391" s="5"/>
      <c r="D391" s="19"/>
      <c r="E391" s="5"/>
      <c r="F391" s="5"/>
    </row>
    <row r="392" spans="2:6" ht="14.25" customHeight="1">
      <c r="B392" s="5"/>
      <c r="C392" s="5"/>
      <c r="D392" s="19"/>
      <c r="E392" s="5"/>
      <c r="F392" s="5"/>
    </row>
    <row r="393" spans="2:6" ht="14.25" customHeight="1">
      <c r="B393" s="5"/>
      <c r="C393" s="5"/>
      <c r="D393" s="19"/>
      <c r="E393" s="5"/>
      <c r="F393" s="5"/>
    </row>
    <row r="394" spans="2:6" ht="14.25" customHeight="1">
      <c r="B394" s="5"/>
      <c r="C394" s="5"/>
      <c r="D394" s="19"/>
      <c r="E394" s="5"/>
      <c r="F394" s="5"/>
    </row>
    <row r="395" spans="2:6" ht="14.25" customHeight="1">
      <c r="B395" s="5"/>
      <c r="C395" s="5"/>
      <c r="D395" s="19"/>
      <c r="E395" s="5"/>
      <c r="F395" s="5"/>
    </row>
    <row r="396" spans="2:6" ht="14.25" customHeight="1">
      <c r="B396" s="5"/>
      <c r="C396" s="5"/>
      <c r="D396" s="19"/>
      <c r="E396" s="5"/>
      <c r="F396" s="5"/>
    </row>
    <row r="397" spans="2:6" ht="14.25" customHeight="1">
      <c r="B397" s="5"/>
      <c r="C397" s="5"/>
      <c r="D397" s="19"/>
      <c r="E397" s="5"/>
      <c r="F397" s="5"/>
    </row>
    <row r="398" spans="2:6" ht="14.25" customHeight="1">
      <c r="B398" s="5"/>
      <c r="C398" s="5"/>
      <c r="D398" s="19"/>
      <c r="E398" s="5"/>
      <c r="F398" s="5"/>
    </row>
    <row r="399" spans="2:6" ht="14.25" customHeight="1">
      <c r="B399" s="5"/>
      <c r="C399" s="5"/>
      <c r="D399" s="19"/>
      <c r="E399" s="5"/>
      <c r="F399" s="5"/>
    </row>
    <row r="400" spans="2:6" ht="14.25" customHeight="1">
      <c r="B400" s="5"/>
      <c r="C400" s="5"/>
      <c r="D400" s="19"/>
      <c r="E400" s="5"/>
      <c r="F400" s="5"/>
    </row>
    <row r="401" spans="2:6" ht="14.25" customHeight="1">
      <c r="B401" s="5"/>
      <c r="C401" s="5"/>
      <c r="D401" s="19"/>
      <c r="E401" s="5"/>
      <c r="F401" s="5"/>
    </row>
    <row r="402" spans="2:6" ht="14.25" customHeight="1">
      <c r="B402" s="5"/>
      <c r="C402" s="5"/>
      <c r="D402" s="19"/>
      <c r="E402" s="5"/>
      <c r="F402" s="5"/>
    </row>
    <row r="403" spans="2:6" ht="14.25" customHeight="1">
      <c r="B403" s="5"/>
      <c r="C403" s="5"/>
      <c r="D403" s="19"/>
      <c r="E403" s="5"/>
      <c r="F403" s="5"/>
    </row>
    <row r="404" spans="2:6" ht="14.25" customHeight="1">
      <c r="B404" s="5"/>
      <c r="C404" s="5"/>
      <c r="D404" s="19"/>
      <c r="E404" s="5"/>
      <c r="F404" s="5"/>
    </row>
    <row r="405" spans="2:6" ht="14.25" customHeight="1">
      <c r="B405" s="5"/>
      <c r="C405" s="5"/>
      <c r="D405" s="19"/>
      <c r="E405" s="5"/>
      <c r="F405" s="5"/>
    </row>
    <row r="406" spans="2:6" ht="14.25" customHeight="1">
      <c r="B406" s="5"/>
      <c r="C406" s="5"/>
      <c r="D406" s="19"/>
      <c r="E406" s="5"/>
      <c r="F406" s="5"/>
    </row>
    <row r="407" spans="2:6" ht="14.25" customHeight="1">
      <c r="B407" s="5"/>
      <c r="C407" s="5"/>
      <c r="D407" s="19"/>
      <c r="E407" s="5"/>
      <c r="F407" s="5"/>
    </row>
    <row r="408" spans="2:6" ht="14.25" customHeight="1">
      <c r="B408" s="5"/>
      <c r="C408" s="5"/>
      <c r="D408" s="19"/>
      <c r="E408" s="5"/>
      <c r="F408" s="5"/>
    </row>
    <row r="409" spans="2:6" ht="14.25" customHeight="1">
      <c r="B409" s="5"/>
      <c r="C409" s="5"/>
      <c r="D409" s="19"/>
      <c r="E409" s="5"/>
      <c r="F409" s="5"/>
    </row>
    <row r="410" spans="2:6" ht="14.25" customHeight="1">
      <c r="B410" s="5"/>
      <c r="C410" s="5"/>
      <c r="D410" s="19"/>
      <c r="E410" s="5"/>
      <c r="F410" s="5"/>
    </row>
    <row r="411" spans="2:6" ht="14.25" customHeight="1">
      <c r="B411" s="5"/>
      <c r="C411" s="5"/>
      <c r="D411" s="19"/>
      <c r="E411" s="5"/>
      <c r="F411" s="5"/>
    </row>
    <row r="412" spans="2:6" ht="14.25" customHeight="1">
      <c r="B412" s="5"/>
      <c r="C412" s="5"/>
      <c r="D412" s="19"/>
      <c r="E412" s="5"/>
      <c r="F412" s="5"/>
    </row>
    <row r="413" spans="2:6" ht="14.25" customHeight="1">
      <c r="B413" s="5"/>
      <c r="C413" s="5"/>
      <c r="D413" s="19"/>
      <c r="E413" s="5"/>
      <c r="F413" s="5"/>
    </row>
    <row r="414" spans="2:6" ht="14.25" customHeight="1">
      <c r="B414" s="5"/>
      <c r="C414" s="5"/>
      <c r="D414" s="19"/>
      <c r="E414" s="5"/>
      <c r="F414" s="5"/>
    </row>
    <row r="415" spans="2:6" ht="14.25" customHeight="1">
      <c r="B415" s="5"/>
      <c r="C415" s="5"/>
      <c r="D415" s="19"/>
      <c r="E415" s="5"/>
      <c r="F415" s="5"/>
    </row>
    <row r="416" spans="2:6" ht="14.25" customHeight="1">
      <c r="B416" s="5"/>
      <c r="C416" s="5"/>
      <c r="D416" s="19"/>
      <c r="E416" s="5"/>
      <c r="F416" s="5"/>
    </row>
    <row r="417" spans="2:6" ht="14.25" customHeight="1">
      <c r="B417" s="5"/>
      <c r="C417" s="5"/>
      <c r="D417" s="19"/>
      <c r="E417" s="5"/>
      <c r="F417" s="5"/>
    </row>
    <row r="418" spans="2:6" ht="14.25" customHeight="1">
      <c r="B418" s="5"/>
      <c r="C418" s="5"/>
      <c r="D418" s="19"/>
      <c r="E418" s="5"/>
      <c r="F418" s="5"/>
    </row>
    <row r="419" spans="2:6" ht="14.25" customHeight="1">
      <c r="B419" s="5"/>
      <c r="C419" s="5"/>
      <c r="D419" s="19"/>
      <c r="E419" s="5"/>
      <c r="F419" s="5"/>
    </row>
    <row r="420" spans="2:6" ht="14.25" customHeight="1">
      <c r="B420" s="5"/>
      <c r="C420" s="5"/>
      <c r="D420" s="19"/>
      <c r="E420" s="5"/>
      <c r="F420" s="5"/>
    </row>
    <row r="421" spans="2:6" ht="14.25" customHeight="1">
      <c r="B421" s="5"/>
      <c r="C421" s="5"/>
      <c r="D421" s="19"/>
      <c r="E421" s="5"/>
      <c r="F421" s="5"/>
    </row>
    <row r="422" spans="2:6" ht="14.25" customHeight="1">
      <c r="B422" s="5"/>
      <c r="C422" s="5"/>
      <c r="D422" s="19"/>
      <c r="E422" s="5"/>
      <c r="F422" s="5"/>
    </row>
    <row r="423" spans="2:6" ht="14.25" customHeight="1">
      <c r="B423" s="5"/>
      <c r="C423" s="5"/>
      <c r="D423" s="19"/>
      <c r="E423" s="5"/>
      <c r="F423" s="5"/>
    </row>
    <row r="424" spans="2:6" ht="14.25" customHeight="1">
      <c r="B424" s="5"/>
      <c r="C424" s="5"/>
      <c r="D424" s="19"/>
      <c r="E424" s="5"/>
      <c r="F424" s="5"/>
    </row>
    <row r="425" spans="2:6" ht="14.25" customHeight="1">
      <c r="B425" s="5"/>
      <c r="C425" s="5"/>
      <c r="D425" s="19"/>
      <c r="E425" s="5"/>
      <c r="F425" s="5"/>
    </row>
    <row r="426" spans="2:6" ht="14.25" customHeight="1">
      <c r="B426" s="5"/>
      <c r="C426" s="5"/>
      <c r="D426" s="19"/>
      <c r="E426" s="5"/>
      <c r="F426" s="5"/>
    </row>
    <row r="427" spans="2:6" ht="14.25" customHeight="1">
      <c r="B427" s="5"/>
      <c r="C427" s="5"/>
      <c r="D427" s="19"/>
      <c r="E427" s="5"/>
      <c r="F427" s="5"/>
    </row>
    <row r="428" spans="2:6" ht="14.25" customHeight="1">
      <c r="B428" s="5"/>
      <c r="C428" s="5"/>
      <c r="D428" s="19"/>
      <c r="E428" s="5"/>
      <c r="F428" s="5"/>
    </row>
    <row r="429" spans="2:6" ht="14.25" customHeight="1">
      <c r="B429" s="5"/>
      <c r="C429" s="5"/>
      <c r="D429" s="19"/>
      <c r="E429" s="5"/>
      <c r="F429" s="5"/>
    </row>
    <row r="430" spans="2:6" ht="14.25" customHeight="1">
      <c r="B430" s="5"/>
      <c r="C430" s="5"/>
      <c r="D430" s="19"/>
      <c r="E430" s="5"/>
      <c r="F430" s="5"/>
    </row>
    <row r="431" spans="2:6" ht="14.25" customHeight="1">
      <c r="B431" s="5"/>
      <c r="C431" s="5"/>
      <c r="D431" s="19"/>
      <c r="E431" s="5"/>
      <c r="F431" s="5"/>
    </row>
    <row r="432" spans="2:6" ht="14.25" customHeight="1">
      <c r="B432" s="5"/>
      <c r="C432" s="5"/>
      <c r="D432" s="19"/>
      <c r="E432" s="5"/>
      <c r="F432" s="5"/>
    </row>
    <row r="433" spans="2:6" ht="14.25" customHeight="1">
      <c r="B433" s="5"/>
      <c r="C433" s="5"/>
      <c r="D433" s="19"/>
      <c r="E433" s="5"/>
      <c r="F433" s="5"/>
    </row>
    <row r="434" spans="2:6" ht="14.25" customHeight="1">
      <c r="B434" s="5"/>
      <c r="C434" s="5"/>
      <c r="D434" s="19"/>
      <c r="E434" s="5"/>
      <c r="F434" s="5"/>
    </row>
    <row r="435" spans="2:6" ht="14.25" customHeight="1">
      <c r="B435" s="5"/>
      <c r="C435" s="5"/>
      <c r="D435" s="19"/>
      <c r="E435" s="5"/>
      <c r="F435" s="5"/>
    </row>
    <row r="436" spans="2:6" ht="14.25" customHeight="1">
      <c r="B436" s="5"/>
      <c r="C436" s="5"/>
      <c r="D436" s="19"/>
      <c r="E436" s="5"/>
      <c r="F436" s="5"/>
    </row>
    <row r="437" spans="2:6" ht="14.25" customHeight="1">
      <c r="B437" s="5"/>
      <c r="C437" s="5"/>
      <c r="D437" s="19"/>
      <c r="E437" s="5"/>
      <c r="F437" s="5"/>
    </row>
    <row r="438" spans="2:6" ht="14.25" customHeight="1">
      <c r="B438" s="5"/>
      <c r="C438" s="5"/>
      <c r="D438" s="19"/>
      <c r="E438" s="5"/>
      <c r="F438" s="5"/>
    </row>
    <row r="439" spans="2:6" ht="14.25" customHeight="1">
      <c r="B439" s="5"/>
      <c r="C439" s="5"/>
      <c r="D439" s="19"/>
      <c r="E439" s="5"/>
      <c r="F439" s="5"/>
    </row>
    <row r="440" spans="2:6" ht="14.25" customHeight="1">
      <c r="B440" s="5"/>
      <c r="C440" s="5"/>
      <c r="D440" s="19"/>
      <c r="E440" s="5"/>
      <c r="F440" s="5"/>
    </row>
    <row r="441" spans="2:6" ht="14.25" customHeight="1">
      <c r="B441" s="5"/>
      <c r="C441" s="5"/>
      <c r="D441" s="19"/>
      <c r="E441" s="5"/>
      <c r="F441" s="5"/>
    </row>
    <row r="442" spans="2:6" ht="14.25" customHeight="1">
      <c r="B442" s="5"/>
      <c r="C442" s="5"/>
      <c r="D442" s="19"/>
      <c r="E442" s="5"/>
      <c r="F442" s="5"/>
    </row>
    <row r="443" spans="2:6" ht="14.25" customHeight="1">
      <c r="B443" s="5"/>
      <c r="C443" s="5"/>
      <c r="D443" s="19"/>
      <c r="E443" s="5"/>
      <c r="F443" s="5"/>
    </row>
    <row r="444" spans="2:6" ht="14.25" customHeight="1">
      <c r="B444" s="5"/>
      <c r="C444" s="5"/>
      <c r="D444" s="19"/>
      <c r="E444" s="5"/>
      <c r="F444" s="5"/>
    </row>
    <row r="445" spans="2:6" ht="14.25" customHeight="1">
      <c r="B445" s="5"/>
      <c r="C445" s="5"/>
      <c r="D445" s="19"/>
      <c r="E445" s="5"/>
      <c r="F445" s="5"/>
    </row>
    <row r="446" spans="2:6" ht="14.25" customHeight="1">
      <c r="B446" s="5"/>
      <c r="C446" s="5"/>
      <c r="D446" s="19"/>
      <c r="E446" s="5"/>
      <c r="F446" s="5"/>
    </row>
    <row r="447" spans="2:6" ht="14.25" customHeight="1">
      <c r="B447" s="5"/>
      <c r="C447" s="5"/>
      <c r="D447" s="19"/>
      <c r="E447" s="5"/>
      <c r="F447" s="5"/>
    </row>
    <row r="448" spans="2:6" ht="14.25" customHeight="1">
      <c r="B448" s="5"/>
      <c r="C448" s="5"/>
      <c r="D448" s="19"/>
      <c r="E448" s="5"/>
      <c r="F448" s="5"/>
    </row>
    <row r="449" spans="2:6" ht="14.25" customHeight="1">
      <c r="B449" s="5"/>
      <c r="C449" s="5"/>
      <c r="D449" s="19"/>
      <c r="E449" s="5"/>
      <c r="F449" s="5"/>
    </row>
    <row r="450" spans="2:6" ht="14.25" customHeight="1">
      <c r="B450" s="5"/>
      <c r="C450" s="5"/>
      <c r="D450" s="19"/>
      <c r="E450" s="5"/>
      <c r="F450" s="5"/>
    </row>
    <row r="451" spans="2:6" ht="14.25" customHeight="1">
      <c r="B451" s="5"/>
      <c r="C451" s="5"/>
      <c r="D451" s="19"/>
      <c r="E451" s="5"/>
      <c r="F451" s="5"/>
    </row>
    <row r="452" spans="2:6" ht="14.25" customHeight="1">
      <c r="B452" s="5"/>
      <c r="C452" s="5"/>
      <c r="D452" s="19"/>
      <c r="E452" s="5"/>
      <c r="F452" s="5"/>
    </row>
    <row r="453" spans="2:6" ht="14.25" customHeight="1">
      <c r="B453" s="5"/>
      <c r="C453" s="5"/>
      <c r="D453" s="19"/>
      <c r="E453" s="5"/>
      <c r="F453" s="5"/>
    </row>
    <row r="454" spans="2:6" ht="14.25" customHeight="1">
      <c r="B454" s="5"/>
      <c r="C454" s="5"/>
      <c r="D454" s="19"/>
      <c r="E454" s="5"/>
      <c r="F454" s="5"/>
    </row>
    <row r="455" spans="2:6" ht="14.25" customHeight="1">
      <c r="B455" s="5"/>
      <c r="C455" s="5"/>
      <c r="D455" s="19"/>
      <c r="E455" s="5"/>
      <c r="F455" s="5"/>
    </row>
    <row r="456" spans="2:6" ht="14.25" customHeight="1">
      <c r="B456" s="5"/>
      <c r="C456" s="5"/>
      <c r="D456" s="19"/>
      <c r="E456" s="5"/>
      <c r="F456" s="5"/>
    </row>
    <row r="457" spans="2:6" ht="14.25" customHeight="1">
      <c r="B457" s="5"/>
      <c r="C457" s="5"/>
      <c r="D457" s="19"/>
      <c r="E457" s="5"/>
      <c r="F457" s="5"/>
    </row>
    <row r="458" spans="2:6" ht="14.25" customHeight="1">
      <c r="B458" s="5"/>
      <c r="C458" s="5"/>
      <c r="D458" s="19"/>
      <c r="E458" s="5"/>
      <c r="F458" s="5"/>
    </row>
    <row r="459" spans="2:6" ht="14.25" customHeight="1">
      <c r="B459" s="5"/>
      <c r="C459" s="5"/>
      <c r="D459" s="19"/>
      <c r="E459" s="5"/>
      <c r="F459" s="5"/>
    </row>
    <row r="460" spans="2:6" ht="14.25" customHeight="1">
      <c r="B460" s="5"/>
      <c r="C460" s="5"/>
      <c r="D460" s="19"/>
      <c r="E460" s="5"/>
      <c r="F460" s="5"/>
    </row>
    <row r="461" spans="2:6" ht="14.25" customHeight="1">
      <c r="B461" s="5"/>
      <c r="C461" s="5"/>
      <c r="D461" s="19"/>
      <c r="E461" s="5"/>
      <c r="F461" s="5"/>
    </row>
    <row r="462" spans="2:6" ht="14.25" customHeight="1">
      <c r="B462" s="5"/>
      <c r="C462" s="5"/>
      <c r="D462" s="19"/>
      <c r="E462" s="5"/>
      <c r="F462" s="5"/>
    </row>
    <row r="463" spans="2:6" ht="14.25" customHeight="1">
      <c r="B463" s="5"/>
      <c r="C463" s="5"/>
      <c r="D463" s="19"/>
      <c r="E463" s="5"/>
      <c r="F463" s="5"/>
    </row>
    <row r="464" spans="2:6" ht="14.25" customHeight="1">
      <c r="B464" s="5"/>
      <c r="C464" s="5"/>
      <c r="D464" s="19"/>
      <c r="E464" s="5"/>
      <c r="F464" s="5"/>
    </row>
    <row r="465" spans="2:6" ht="14.25" customHeight="1">
      <c r="B465" s="5"/>
      <c r="C465" s="5"/>
      <c r="D465" s="19"/>
      <c r="E465" s="5"/>
      <c r="F465" s="5"/>
    </row>
    <row r="466" spans="2:6" ht="14.25" customHeight="1">
      <c r="B466" s="5"/>
      <c r="C466" s="5"/>
      <c r="D466" s="19"/>
      <c r="E466" s="5"/>
      <c r="F466" s="5"/>
    </row>
    <row r="467" spans="2:6" ht="14.25" customHeight="1">
      <c r="B467" s="5"/>
      <c r="C467" s="5"/>
      <c r="D467" s="19"/>
      <c r="E467" s="5"/>
      <c r="F467" s="5"/>
    </row>
    <row r="468" spans="2:6" ht="14.25" customHeight="1">
      <c r="B468" s="5"/>
      <c r="C468" s="5"/>
      <c r="D468" s="19"/>
      <c r="E468" s="5"/>
      <c r="F468" s="5"/>
    </row>
    <row r="469" spans="2:6" ht="14.25" customHeight="1">
      <c r="B469" s="5"/>
      <c r="C469" s="5"/>
      <c r="D469" s="19"/>
      <c r="E469" s="5"/>
      <c r="F469" s="5"/>
    </row>
    <row r="470" spans="2:6" ht="14.25" customHeight="1">
      <c r="B470" s="5"/>
      <c r="C470" s="5"/>
      <c r="D470" s="19"/>
      <c r="E470" s="5"/>
      <c r="F470" s="5"/>
    </row>
    <row r="471" spans="2:6" ht="14.25" customHeight="1">
      <c r="B471" s="5"/>
      <c r="C471" s="5"/>
      <c r="D471" s="19"/>
      <c r="E471" s="5"/>
      <c r="F471" s="5"/>
    </row>
    <row r="472" spans="2:6" ht="14.25" customHeight="1">
      <c r="B472" s="5"/>
      <c r="C472" s="5"/>
      <c r="D472" s="19"/>
      <c r="E472" s="5"/>
      <c r="F472" s="5"/>
    </row>
    <row r="473" spans="2:6" ht="14.25" customHeight="1">
      <c r="B473" s="5"/>
      <c r="C473" s="5"/>
      <c r="D473" s="19"/>
      <c r="E473" s="5"/>
      <c r="F473" s="5"/>
    </row>
    <row r="474" spans="2:6" ht="14.25" customHeight="1">
      <c r="B474" s="5"/>
      <c r="C474" s="5"/>
      <c r="D474" s="19"/>
      <c r="E474" s="5"/>
      <c r="F474" s="5"/>
    </row>
    <row r="475" spans="2:6" ht="14.25" customHeight="1">
      <c r="B475" s="5"/>
      <c r="C475" s="5"/>
      <c r="D475" s="19"/>
      <c r="E475" s="5"/>
      <c r="F475" s="5"/>
    </row>
    <row r="476" spans="2:6" ht="14.25" customHeight="1">
      <c r="B476" s="5"/>
      <c r="C476" s="5"/>
      <c r="D476" s="19"/>
      <c r="E476" s="5"/>
      <c r="F476" s="5"/>
    </row>
    <row r="477" spans="2:6" ht="14.25" customHeight="1">
      <c r="B477" s="5"/>
      <c r="C477" s="5"/>
      <c r="D477" s="19"/>
      <c r="E477" s="5"/>
      <c r="F477" s="5"/>
    </row>
    <row r="478" spans="2:6" ht="14.25" customHeight="1">
      <c r="B478" s="5"/>
      <c r="C478" s="5"/>
      <c r="D478" s="19"/>
      <c r="E478" s="5"/>
      <c r="F478" s="5"/>
    </row>
    <row r="479" spans="2:6" ht="14.25" customHeight="1">
      <c r="B479" s="5"/>
      <c r="C479" s="5"/>
      <c r="D479" s="19"/>
      <c r="E479" s="5"/>
      <c r="F479" s="5"/>
    </row>
    <row r="480" spans="2:6" ht="14.25" customHeight="1">
      <c r="B480" s="5"/>
      <c r="C480" s="5"/>
      <c r="D480" s="19"/>
      <c r="E480" s="5"/>
      <c r="F480" s="5"/>
    </row>
    <row r="481" spans="2:6" ht="14.25" customHeight="1">
      <c r="B481" s="5"/>
      <c r="C481" s="5"/>
      <c r="D481" s="19"/>
      <c r="E481" s="5"/>
      <c r="F481" s="5"/>
    </row>
    <row r="482" spans="2:6" ht="14.25" customHeight="1">
      <c r="B482" s="5"/>
      <c r="C482" s="5"/>
      <c r="D482" s="19"/>
      <c r="E482" s="5"/>
      <c r="F482" s="5"/>
    </row>
    <row r="483" spans="2:6" ht="14.25" customHeight="1">
      <c r="B483" s="5"/>
      <c r="C483" s="5"/>
      <c r="D483" s="19"/>
      <c r="E483" s="5"/>
      <c r="F483" s="5"/>
    </row>
    <row r="484" spans="2:6" ht="14.25" customHeight="1">
      <c r="B484" s="5"/>
      <c r="C484" s="5"/>
      <c r="D484" s="19"/>
      <c r="E484" s="5"/>
      <c r="F484" s="5"/>
    </row>
    <row r="485" spans="2:6" ht="14.25" customHeight="1">
      <c r="B485" s="5"/>
      <c r="C485" s="5"/>
      <c r="D485" s="19"/>
      <c r="E485" s="5"/>
      <c r="F485" s="5"/>
    </row>
    <row r="486" spans="2:6" ht="14.25" customHeight="1">
      <c r="B486" s="5"/>
      <c r="C486" s="5"/>
      <c r="D486" s="19"/>
      <c r="E486" s="5"/>
      <c r="F486" s="5"/>
    </row>
    <row r="487" spans="2:6" ht="14.25" customHeight="1">
      <c r="B487" s="5"/>
      <c r="C487" s="5"/>
      <c r="D487" s="19"/>
      <c r="E487" s="5"/>
      <c r="F487" s="5"/>
    </row>
    <row r="488" spans="2:6" ht="14.25" customHeight="1">
      <c r="B488" s="5"/>
      <c r="C488" s="5"/>
      <c r="D488" s="19"/>
      <c r="E488" s="5"/>
      <c r="F488" s="5"/>
    </row>
    <row r="489" spans="2:6" ht="14.25" customHeight="1">
      <c r="B489" s="5"/>
      <c r="C489" s="5"/>
      <c r="D489" s="19"/>
      <c r="E489" s="5"/>
      <c r="F489" s="5"/>
    </row>
    <row r="490" spans="2:6" ht="14.25" customHeight="1">
      <c r="B490" s="5"/>
      <c r="C490" s="5"/>
      <c r="D490" s="19"/>
      <c r="E490" s="5"/>
      <c r="F490" s="5"/>
    </row>
    <row r="491" spans="2:6" ht="14.25" customHeight="1">
      <c r="B491" s="5"/>
      <c r="C491" s="5"/>
      <c r="D491" s="19"/>
      <c r="E491" s="5"/>
      <c r="F491" s="5"/>
    </row>
    <row r="492" spans="2:6" ht="14.25" customHeight="1">
      <c r="B492" s="5"/>
      <c r="C492" s="5"/>
      <c r="D492" s="19"/>
      <c r="E492" s="5"/>
      <c r="F492" s="5"/>
    </row>
    <row r="493" spans="2:6" ht="14.25" customHeight="1">
      <c r="B493" s="5"/>
      <c r="C493" s="5"/>
      <c r="D493" s="19"/>
      <c r="E493" s="5"/>
      <c r="F493" s="5"/>
    </row>
    <row r="494" spans="2:6" ht="14.25" customHeight="1">
      <c r="B494" s="5"/>
      <c r="C494" s="5"/>
      <c r="D494" s="19"/>
      <c r="E494" s="5"/>
      <c r="F494" s="5"/>
    </row>
    <row r="495" spans="2:6" ht="14.25" customHeight="1">
      <c r="B495" s="5"/>
      <c r="C495" s="5"/>
      <c r="D495" s="19"/>
      <c r="E495" s="5"/>
      <c r="F495" s="5"/>
    </row>
    <row r="496" spans="2:6" ht="14.25" customHeight="1">
      <c r="B496" s="5"/>
      <c r="C496" s="5"/>
      <c r="D496" s="19"/>
      <c r="E496" s="5"/>
      <c r="F496" s="5"/>
    </row>
    <row r="497" spans="2:6" ht="14.25" customHeight="1">
      <c r="B497" s="5"/>
      <c r="C497" s="5"/>
      <c r="D497" s="19"/>
      <c r="E497" s="5"/>
      <c r="F497" s="5"/>
    </row>
    <row r="498" spans="2:6" ht="14.25" customHeight="1">
      <c r="B498" s="5"/>
      <c r="C498" s="5"/>
      <c r="D498" s="19"/>
      <c r="E498" s="5"/>
      <c r="F498" s="5"/>
    </row>
    <row r="499" spans="2:6" ht="14.25" customHeight="1">
      <c r="B499" s="5"/>
      <c r="C499" s="5"/>
      <c r="D499" s="19"/>
      <c r="E499" s="5"/>
      <c r="F499" s="5"/>
    </row>
    <row r="500" spans="2:6" ht="14.25" customHeight="1">
      <c r="B500" s="5"/>
      <c r="C500" s="5"/>
      <c r="D500" s="19"/>
      <c r="E500" s="5"/>
      <c r="F500" s="5"/>
    </row>
    <row r="501" spans="2:6" ht="14.25" customHeight="1">
      <c r="B501" s="5"/>
      <c r="C501" s="5"/>
      <c r="D501" s="19"/>
      <c r="E501" s="5"/>
      <c r="F501" s="5"/>
    </row>
    <row r="502" spans="2:6" ht="14.25" customHeight="1">
      <c r="B502" s="5"/>
      <c r="C502" s="5"/>
      <c r="D502" s="19"/>
      <c r="E502" s="5"/>
      <c r="F502" s="5"/>
    </row>
    <row r="503" spans="2:6" ht="14.25" customHeight="1">
      <c r="B503" s="5"/>
      <c r="C503" s="5"/>
      <c r="D503" s="19"/>
      <c r="E503" s="5"/>
      <c r="F503" s="5"/>
    </row>
    <row r="504" spans="2:6" ht="14.25" customHeight="1">
      <c r="B504" s="5"/>
      <c r="C504" s="5"/>
      <c r="D504" s="19"/>
      <c r="E504" s="5"/>
      <c r="F504" s="5"/>
    </row>
    <row r="505" spans="2:6" ht="14.25" customHeight="1">
      <c r="B505" s="5"/>
      <c r="C505" s="5"/>
      <c r="D505" s="19"/>
      <c r="E505" s="5"/>
      <c r="F505" s="5"/>
    </row>
    <row r="506" spans="2:6" ht="14.25" customHeight="1">
      <c r="B506" s="5"/>
      <c r="C506" s="5"/>
      <c r="D506" s="19"/>
      <c r="E506" s="5"/>
      <c r="F506" s="5"/>
    </row>
    <row r="507" spans="2:6" ht="14.25" customHeight="1">
      <c r="B507" s="5"/>
      <c r="C507" s="5"/>
      <c r="D507" s="19"/>
      <c r="E507" s="5"/>
      <c r="F507" s="5"/>
    </row>
    <row r="508" spans="2:6" ht="14.25" customHeight="1">
      <c r="B508" s="5"/>
      <c r="C508" s="5"/>
      <c r="D508" s="19"/>
      <c r="E508" s="5"/>
      <c r="F508" s="5"/>
    </row>
    <row r="509" spans="2:6" ht="14.25" customHeight="1">
      <c r="B509" s="5"/>
      <c r="C509" s="5"/>
      <c r="D509" s="19"/>
      <c r="E509" s="5"/>
      <c r="F509" s="5"/>
    </row>
    <row r="510" spans="2:6" ht="14.25" customHeight="1">
      <c r="B510" s="5"/>
      <c r="C510" s="5"/>
      <c r="D510" s="19"/>
      <c r="E510" s="5"/>
      <c r="F510" s="5"/>
    </row>
    <row r="511" spans="2:6" ht="14.25" customHeight="1">
      <c r="B511" s="5"/>
      <c r="C511" s="5"/>
      <c r="D511" s="19"/>
      <c r="E511" s="5"/>
      <c r="F511" s="5"/>
    </row>
    <row r="512" spans="2:6" ht="14.25" customHeight="1">
      <c r="B512" s="5"/>
      <c r="C512" s="5"/>
      <c r="D512" s="19"/>
      <c r="E512" s="5"/>
      <c r="F512" s="5"/>
    </row>
    <row r="513" spans="2:6" ht="14.25" customHeight="1">
      <c r="B513" s="5"/>
      <c r="C513" s="5"/>
      <c r="D513" s="19"/>
      <c r="E513" s="5"/>
      <c r="F513" s="5"/>
    </row>
    <row r="514" spans="2:6" ht="14.25" customHeight="1">
      <c r="B514" s="5"/>
      <c r="C514" s="5"/>
      <c r="D514" s="19"/>
      <c r="E514" s="5"/>
      <c r="F514" s="5"/>
    </row>
    <row r="515" spans="2:6" ht="14.25" customHeight="1">
      <c r="B515" s="5"/>
      <c r="C515" s="5"/>
      <c r="D515" s="19"/>
      <c r="E515" s="5"/>
      <c r="F515" s="5"/>
    </row>
    <row r="516" spans="2:6" ht="14.25" customHeight="1">
      <c r="B516" s="5"/>
      <c r="C516" s="5"/>
      <c r="D516" s="19"/>
      <c r="E516" s="5"/>
      <c r="F516" s="5"/>
    </row>
    <row r="517" spans="2:6" ht="14.25" customHeight="1">
      <c r="B517" s="5"/>
      <c r="C517" s="5"/>
      <c r="D517" s="19"/>
      <c r="E517" s="5"/>
      <c r="F517" s="5"/>
    </row>
    <row r="518" spans="2:6" ht="14.25" customHeight="1">
      <c r="B518" s="5"/>
      <c r="C518" s="5"/>
      <c r="D518" s="19"/>
      <c r="E518" s="5"/>
      <c r="F518" s="5"/>
    </row>
    <row r="519" spans="2:6" ht="14.25" customHeight="1">
      <c r="B519" s="5"/>
      <c r="C519" s="5"/>
      <c r="D519" s="19"/>
      <c r="E519" s="5"/>
      <c r="F519" s="5"/>
    </row>
    <row r="520" spans="2:6" ht="14.25" customHeight="1">
      <c r="B520" s="5"/>
      <c r="C520" s="5"/>
      <c r="D520" s="19"/>
      <c r="E520" s="5"/>
      <c r="F520" s="5"/>
    </row>
    <row r="521" spans="2:6" ht="14.25" customHeight="1">
      <c r="B521" s="5"/>
      <c r="C521" s="5"/>
      <c r="D521" s="19"/>
      <c r="E521" s="5"/>
      <c r="F521" s="5"/>
    </row>
    <row r="522" spans="2:6" ht="14.25" customHeight="1">
      <c r="B522" s="5"/>
      <c r="C522" s="5"/>
      <c r="D522" s="19"/>
      <c r="E522" s="5"/>
      <c r="F522" s="5"/>
    </row>
    <row r="523" spans="2:6" ht="14.25" customHeight="1">
      <c r="B523" s="5"/>
      <c r="C523" s="5"/>
      <c r="D523" s="19"/>
      <c r="E523" s="5"/>
      <c r="F523" s="5"/>
    </row>
    <row r="524" spans="2:6" ht="14.25" customHeight="1">
      <c r="B524" s="5"/>
      <c r="C524" s="5"/>
      <c r="D524" s="19"/>
      <c r="E524" s="5"/>
      <c r="F524" s="5"/>
    </row>
    <row r="525" spans="2:6" ht="14.25" customHeight="1">
      <c r="B525" s="5"/>
      <c r="C525" s="5"/>
      <c r="D525" s="19"/>
      <c r="E525" s="5"/>
      <c r="F525" s="5"/>
    </row>
    <row r="526" spans="2:6" ht="14.25" customHeight="1">
      <c r="B526" s="5"/>
      <c r="C526" s="5"/>
      <c r="D526" s="19"/>
      <c r="E526" s="5"/>
      <c r="F526" s="5"/>
    </row>
    <row r="527" spans="2:6" ht="14.25" customHeight="1">
      <c r="B527" s="5"/>
      <c r="C527" s="5"/>
      <c r="D527" s="19"/>
      <c r="E527" s="5"/>
      <c r="F527" s="5"/>
    </row>
    <row r="528" spans="2:6" ht="14.25" customHeight="1">
      <c r="B528" s="5"/>
      <c r="C528" s="5"/>
      <c r="D528" s="19"/>
      <c r="E528" s="5"/>
      <c r="F528" s="5"/>
    </row>
    <row r="529" spans="2:6" ht="14.25" customHeight="1">
      <c r="B529" s="5"/>
      <c r="C529" s="5"/>
      <c r="D529" s="19"/>
      <c r="E529" s="5"/>
      <c r="F529" s="5"/>
    </row>
    <row r="530" spans="2:6" ht="14.25" customHeight="1">
      <c r="B530" s="5"/>
      <c r="C530" s="5"/>
      <c r="D530" s="19"/>
      <c r="E530" s="5"/>
      <c r="F530" s="5"/>
    </row>
    <row r="531" spans="2:6" ht="14.25" customHeight="1">
      <c r="B531" s="5"/>
      <c r="C531" s="5"/>
      <c r="D531" s="19"/>
      <c r="E531" s="5"/>
      <c r="F531" s="5"/>
    </row>
    <row r="532" spans="2:6" ht="14.25" customHeight="1">
      <c r="B532" s="5"/>
      <c r="C532" s="5"/>
      <c r="D532" s="19"/>
      <c r="E532" s="5"/>
      <c r="F532" s="5"/>
    </row>
    <row r="533" spans="2:6" ht="14.25" customHeight="1">
      <c r="B533" s="5"/>
      <c r="C533" s="5"/>
      <c r="D533" s="19"/>
      <c r="E533" s="5"/>
      <c r="F533" s="5"/>
    </row>
    <row r="534" spans="2:6" ht="14.25" customHeight="1">
      <c r="B534" s="5"/>
      <c r="C534" s="5"/>
      <c r="D534" s="19"/>
      <c r="E534" s="5"/>
      <c r="F534" s="5"/>
    </row>
    <row r="535" spans="2:6" ht="14.25" customHeight="1">
      <c r="B535" s="5"/>
      <c r="C535" s="5"/>
      <c r="D535" s="19"/>
      <c r="E535" s="5"/>
      <c r="F535" s="5"/>
    </row>
    <row r="536" spans="2:6" ht="14.25" customHeight="1">
      <c r="B536" s="5"/>
      <c r="C536" s="5"/>
      <c r="D536" s="19"/>
      <c r="E536" s="5"/>
      <c r="F536" s="5"/>
    </row>
    <row r="537" spans="2:6" ht="14.25" customHeight="1">
      <c r="B537" s="5"/>
      <c r="C537" s="5"/>
      <c r="D537" s="19"/>
      <c r="E537" s="5"/>
      <c r="F537" s="5"/>
    </row>
    <row r="538" spans="2:6" ht="14.25" customHeight="1">
      <c r="B538" s="5"/>
      <c r="C538" s="5"/>
      <c r="D538" s="19"/>
      <c r="E538" s="5"/>
      <c r="F538" s="5"/>
    </row>
    <row r="539" spans="2:6" ht="14.25" customHeight="1">
      <c r="B539" s="5"/>
      <c r="C539" s="5"/>
      <c r="D539" s="19"/>
      <c r="E539" s="5"/>
      <c r="F539" s="5"/>
    </row>
    <row r="540" spans="2:6" ht="14.25" customHeight="1">
      <c r="B540" s="5"/>
      <c r="C540" s="5"/>
      <c r="D540" s="19"/>
      <c r="E540" s="5"/>
      <c r="F540" s="5"/>
    </row>
    <row r="541" spans="2:6" ht="14.25" customHeight="1">
      <c r="B541" s="5"/>
      <c r="C541" s="5"/>
      <c r="D541" s="19"/>
      <c r="E541" s="5"/>
      <c r="F541" s="5"/>
    </row>
    <row r="542" spans="2:6" ht="14.25" customHeight="1">
      <c r="B542" s="5"/>
      <c r="C542" s="5"/>
      <c r="D542" s="19"/>
      <c r="E542" s="5"/>
      <c r="F542" s="5"/>
    </row>
    <row r="543" spans="2:6" ht="14.25" customHeight="1">
      <c r="B543" s="5"/>
      <c r="C543" s="5"/>
      <c r="D543" s="19"/>
      <c r="E543" s="5"/>
      <c r="F543" s="5"/>
    </row>
    <row r="544" spans="2:6" ht="14.25" customHeight="1">
      <c r="B544" s="5"/>
      <c r="C544" s="5"/>
      <c r="D544" s="19"/>
      <c r="E544" s="5"/>
      <c r="F544" s="5"/>
    </row>
    <row r="545" spans="2:6" ht="14.25" customHeight="1">
      <c r="B545" s="5"/>
      <c r="C545" s="5"/>
      <c r="D545" s="19"/>
      <c r="E545" s="5"/>
      <c r="F545" s="5"/>
    </row>
    <row r="546" spans="2:6" ht="14.25" customHeight="1">
      <c r="B546" s="5"/>
      <c r="C546" s="5"/>
      <c r="D546" s="19"/>
      <c r="E546" s="5"/>
      <c r="F546" s="5"/>
    </row>
    <row r="547" spans="2:6" ht="14.25" customHeight="1">
      <c r="B547" s="5"/>
      <c r="C547" s="5"/>
      <c r="D547" s="19"/>
      <c r="E547" s="5"/>
      <c r="F547" s="5"/>
    </row>
    <row r="548" spans="2:6" ht="14.25" customHeight="1">
      <c r="B548" s="5"/>
      <c r="C548" s="5"/>
      <c r="D548" s="19"/>
      <c r="E548" s="5"/>
      <c r="F548" s="5"/>
    </row>
    <row r="549" spans="2:6" ht="14.25" customHeight="1">
      <c r="B549" s="5"/>
      <c r="C549" s="5"/>
      <c r="D549" s="19"/>
      <c r="E549" s="5"/>
      <c r="F549" s="5"/>
    </row>
    <row r="550" spans="2:6" ht="14.25" customHeight="1">
      <c r="B550" s="5"/>
      <c r="C550" s="5"/>
      <c r="D550" s="19"/>
      <c r="E550" s="5"/>
      <c r="F550" s="5"/>
    </row>
    <row r="551" spans="2:6" ht="14.25" customHeight="1">
      <c r="B551" s="5"/>
      <c r="C551" s="5"/>
      <c r="D551" s="19"/>
      <c r="E551" s="5"/>
      <c r="F551" s="5"/>
    </row>
    <row r="552" spans="2:6" ht="14.25" customHeight="1">
      <c r="B552" s="5"/>
      <c r="C552" s="5"/>
      <c r="D552" s="19"/>
      <c r="E552" s="5"/>
      <c r="F552" s="5"/>
    </row>
    <row r="553" spans="2:6" ht="14.25" customHeight="1">
      <c r="B553" s="5"/>
      <c r="C553" s="5"/>
      <c r="D553" s="19"/>
      <c r="E553" s="5"/>
      <c r="F553" s="5"/>
    </row>
    <row r="554" spans="2:6" ht="14.25" customHeight="1">
      <c r="B554" s="5"/>
      <c r="C554" s="5"/>
      <c r="D554" s="19"/>
      <c r="E554" s="5"/>
      <c r="F554" s="5"/>
    </row>
    <row r="555" spans="2:6" ht="14.25" customHeight="1">
      <c r="B555" s="5"/>
      <c r="C555" s="5"/>
      <c r="D555" s="19"/>
      <c r="E555" s="5"/>
      <c r="F555" s="5"/>
    </row>
    <row r="556" spans="2:6" ht="14.25" customHeight="1">
      <c r="B556" s="5"/>
      <c r="C556" s="5"/>
      <c r="D556" s="19"/>
      <c r="E556" s="5"/>
      <c r="F556" s="5"/>
    </row>
    <row r="557" spans="2:6" ht="14.25" customHeight="1">
      <c r="B557" s="5"/>
      <c r="C557" s="5"/>
      <c r="D557" s="19"/>
      <c r="E557" s="5"/>
      <c r="F557" s="5"/>
    </row>
    <row r="558" spans="2:6" ht="14.25" customHeight="1">
      <c r="B558" s="5"/>
      <c r="C558" s="5"/>
      <c r="D558" s="19"/>
      <c r="E558" s="5"/>
      <c r="F558" s="5"/>
    </row>
    <row r="559" spans="2:6" ht="14.25" customHeight="1">
      <c r="B559" s="5"/>
      <c r="C559" s="5"/>
      <c r="D559" s="19"/>
      <c r="E559" s="5"/>
      <c r="F559" s="5"/>
    </row>
    <row r="560" spans="2:6" ht="14.25" customHeight="1">
      <c r="B560" s="5"/>
      <c r="C560" s="5"/>
      <c r="D560" s="19"/>
      <c r="E560" s="5"/>
      <c r="F560" s="5"/>
    </row>
    <row r="561" spans="2:6" ht="14.25" customHeight="1">
      <c r="B561" s="5"/>
      <c r="C561" s="5"/>
      <c r="D561" s="19"/>
      <c r="E561" s="5"/>
      <c r="F561" s="5"/>
    </row>
    <row r="562" spans="2:6" ht="14.25" customHeight="1">
      <c r="B562" s="5"/>
      <c r="C562" s="5"/>
      <c r="D562" s="19"/>
      <c r="E562" s="5"/>
      <c r="F562" s="5"/>
    </row>
    <row r="563" spans="2:6" ht="14.25" customHeight="1">
      <c r="B563" s="5"/>
      <c r="C563" s="5"/>
      <c r="D563" s="19"/>
      <c r="E563" s="5"/>
      <c r="F563" s="5"/>
    </row>
    <row r="564" spans="2:6" ht="14.25" customHeight="1">
      <c r="B564" s="5"/>
      <c r="C564" s="5"/>
      <c r="D564" s="19"/>
      <c r="E564" s="5"/>
      <c r="F564" s="5"/>
    </row>
    <row r="565" spans="2:6" ht="14.25" customHeight="1">
      <c r="B565" s="5"/>
      <c r="C565" s="5"/>
      <c r="D565" s="19"/>
      <c r="E565" s="5"/>
      <c r="F565" s="5"/>
    </row>
    <row r="566" spans="2:6" ht="14.25" customHeight="1">
      <c r="B566" s="5"/>
      <c r="C566" s="5"/>
      <c r="D566" s="19"/>
      <c r="E566" s="5"/>
      <c r="F566" s="5"/>
    </row>
    <row r="567" spans="2:6" ht="14.25" customHeight="1">
      <c r="B567" s="5"/>
      <c r="C567" s="5"/>
      <c r="D567" s="19"/>
      <c r="E567" s="5"/>
      <c r="F567" s="5"/>
    </row>
    <row r="568" spans="2:6" ht="14.25" customHeight="1">
      <c r="B568" s="5"/>
      <c r="C568" s="5"/>
      <c r="D568" s="19"/>
      <c r="E568" s="5"/>
      <c r="F568" s="5"/>
    </row>
    <row r="569" spans="2:6" ht="14.25" customHeight="1">
      <c r="B569" s="5"/>
      <c r="C569" s="5"/>
      <c r="D569" s="19"/>
      <c r="E569" s="5"/>
      <c r="F569" s="5"/>
    </row>
    <row r="570" spans="2:6" ht="14.25" customHeight="1">
      <c r="B570" s="5"/>
      <c r="C570" s="5"/>
      <c r="D570" s="19"/>
      <c r="E570" s="5"/>
      <c r="F570" s="5"/>
    </row>
    <row r="571" spans="2:6" ht="14.25" customHeight="1">
      <c r="B571" s="5"/>
      <c r="C571" s="5"/>
      <c r="D571" s="19"/>
      <c r="E571" s="5"/>
      <c r="F571" s="5"/>
    </row>
    <row r="572" spans="2:6" ht="14.25" customHeight="1">
      <c r="B572" s="5"/>
      <c r="C572" s="5"/>
      <c r="D572" s="19"/>
      <c r="E572" s="5"/>
      <c r="F572" s="5"/>
    </row>
    <row r="573" spans="2:6" ht="14.25" customHeight="1">
      <c r="B573" s="5"/>
      <c r="C573" s="5"/>
      <c r="D573" s="19"/>
      <c r="E573" s="5"/>
      <c r="F573" s="5"/>
    </row>
    <row r="574" spans="2:6" ht="14.25" customHeight="1">
      <c r="B574" s="5"/>
      <c r="C574" s="5"/>
      <c r="D574" s="19"/>
      <c r="E574" s="5"/>
      <c r="F574" s="5"/>
    </row>
    <row r="575" spans="2:6" ht="14.25" customHeight="1">
      <c r="B575" s="5"/>
      <c r="C575" s="5"/>
      <c r="D575" s="19"/>
      <c r="E575" s="5"/>
      <c r="F575" s="5"/>
    </row>
    <row r="576" spans="2:6" ht="14.25" customHeight="1">
      <c r="B576" s="5"/>
      <c r="C576" s="5"/>
      <c r="D576" s="19"/>
      <c r="E576" s="5"/>
      <c r="F576" s="5"/>
    </row>
    <row r="577" spans="2:6" ht="14.25" customHeight="1">
      <c r="B577" s="5"/>
      <c r="C577" s="5"/>
      <c r="D577" s="19"/>
      <c r="E577" s="5"/>
      <c r="F577" s="5"/>
    </row>
    <row r="578" spans="2:6" ht="14.25" customHeight="1">
      <c r="B578" s="5"/>
      <c r="C578" s="5"/>
      <c r="D578" s="19"/>
      <c r="E578" s="5"/>
      <c r="F578" s="5"/>
    </row>
    <row r="579" spans="2:6" ht="14.25" customHeight="1">
      <c r="B579" s="5"/>
      <c r="C579" s="5"/>
      <c r="D579" s="19"/>
      <c r="E579" s="5"/>
      <c r="F579" s="5"/>
    </row>
    <row r="580" spans="2:6" ht="14.25" customHeight="1">
      <c r="B580" s="5"/>
      <c r="C580" s="5"/>
      <c r="D580" s="19"/>
      <c r="E580" s="5"/>
      <c r="F580" s="5"/>
    </row>
    <row r="581" spans="2:6" ht="14.25" customHeight="1">
      <c r="B581" s="5"/>
      <c r="C581" s="5"/>
      <c r="D581" s="19"/>
      <c r="E581" s="5"/>
      <c r="F581" s="5"/>
    </row>
    <row r="582" spans="2:6" ht="14.25" customHeight="1">
      <c r="B582" s="5"/>
      <c r="C582" s="5"/>
      <c r="D582" s="19"/>
      <c r="E582" s="5"/>
      <c r="F582" s="5"/>
    </row>
    <row r="583" spans="2:6" ht="14.25" customHeight="1">
      <c r="B583" s="5"/>
      <c r="C583" s="5"/>
      <c r="D583" s="19"/>
      <c r="E583" s="5"/>
      <c r="F583" s="5"/>
    </row>
    <row r="584" spans="2:6" ht="14.25" customHeight="1">
      <c r="B584" s="5"/>
      <c r="C584" s="5"/>
      <c r="D584" s="19"/>
      <c r="E584" s="5"/>
      <c r="F584" s="5"/>
    </row>
    <row r="585" spans="2:6" ht="14.25" customHeight="1">
      <c r="B585" s="5"/>
      <c r="C585" s="5"/>
      <c r="D585" s="19"/>
      <c r="E585" s="5"/>
      <c r="F585" s="5"/>
    </row>
    <row r="586" spans="2:6" ht="14.25" customHeight="1">
      <c r="B586" s="5"/>
      <c r="C586" s="5"/>
      <c r="D586" s="19"/>
      <c r="E586" s="5"/>
      <c r="F586" s="5"/>
    </row>
    <row r="587" spans="2:6" ht="14.25" customHeight="1">
      <c r="B587" s="5"/>
      <c r="C587" s="5"/>
      <c r="D587" s="19"/>
      <c r="E587" s="5"/>
      <c r="F587" s="5"/>
    </row>
    <row r="588" spans="2:6" ht="14.25" customHeight="1">
      <c r="B588" s="5"/>
      <c r="C588" s="5"/>
      <c r="D588" s="19"/>
      <c r="E588" s="5"/>
      <c r="F588" s="5"/>
    </row>
    <row r="589" spans="2:6" ht="14.25" customHeight="1">
      <c r="B589" s="5"/>
      <c r="C589" s="5"/>
      <c r="D589" s="19"/>
      <c r="E589" s="5"/>
      <c r="F589" s="5"/>
    </row>
    <row r="590" spans="2:6" ht="14.25" customHeight="1">
      <c r="B590" s="5"/>
      <c r="C590" s="5"/>
      <c r="D590" s="19"/>
      <c r="E590" s="5"/>
      <c r="F590" s="5"/>
    </row>
    <row r="591" spans="2:6" ht="14.25" customHeight="1">
      <c r="B591" s="5"/>
      <c r="C591" s="5"/>
      <c r="D591" s="19"/>
      <c r="E591" s="5"/>
      <c r="F591" s="5"/>
    </row>
    <row r="592" spans="2:6" ht="14.25" customHeight="1">
      <c r="B592" s="5"/>
      <c r="C592" s="5"/>
      <c r="D592" s="19"/>
      <c r="E592" s="5"/>
      <c r="F592" s="5"/>
    </row>
    <row r="593" spans="2:6" ht="14.25" customHeight="1">
      <c r="B593" s="5"/>
      <c r="C593" s="5"/>
      <c r="D593" s="19"/>
      <c r="E593" s="5"/>
      <c r="F593" s="5"/>
    </row>
    <row r="594" spans="2:6" ht="14.25" customHeight="1">
      <c r="B594" s="5"/>
      <c r="C594" s="5"/>
      <c r="D594" s="19"/>
      <c r="E594" s="5"/>
      <c r="F594" s="5"/>
    </row>
    <row r="595" spans="2:6" ht="14.25" customHeight="1">
      <c r="B595" s="5"/>
      <c r="C595" s="5"/>
      <c r="D595" s="19"/>
      <c r="E595" s="5"/>
      <c r="F595" s="5"/>
    </row>
    <row r="596" spans="2:6" ht="14.25" customHeight="1">
      <c r="B596" s="5"/>
      <c r="C596" s="5"/>
      <c r="D596" s="19"/>
      <c r="E596" s="5"/>
      <c r="F596" s="5"/>
    </row>
    <row r="597" spans="2:6" ht="14.25" customHeight="1">
      <c r="B597" s="5"/>
      <c r="C597" s="5"/>
      <c r="D597" s="19"/>
      <c r="E597" s="5"/>
      <c r="F597" s="5"/>
    </row>
    <row r="598" spans="2:6" ht="14.25" customHeight="1">
      <c r="B598" s="5"/>
      <c r="C598" s="5"/>
      <c r="D598" s="19"/>
      <c r="E598" s="5"/>
      <c r="F598" s="5"/>
    </row>
    <row r="599" spans="2:6" ht="14.25" customHeight="1">
      <c r="B599" s="5"/>
      <c r="C599" s="5"/>
      <c r="D599" s="19"/>
      <c r="E599" s="5"/>
      <c r="F599" s="5"/>
    </row>
    <row r="600" spans="2:6" ht="14.25" customHeight="1">
      <c r="B600" s="5"/>
      <c r="C600" s="5"/>
      <c r="D600" s="19"/>
      <c r="E600" s="5"/>
      <c r="F600" s="5"/>
    </row>
    <row r="601" spans="2:6" ht="14.25" customHeight="1">
      <c r="B601" s="5"/>
      <c r="C601" s="5"/>
      <c r="D601" s="19"/>
      <c r="E601" s="5"/>
      <c r="F601" s="5"/>
    </row>
    <row r="602" spans="2:6" ht="14.25" customHeight="1">
      <c r="B602" s="5"/>
      <c r="C602" s="5"/>
      <c r="D602" s="19"/>
      <c r="E602" s="5"/>
      <c r="F602" s="5"/>
    </row>
    <row r="603" spans="2:6" ht="14.25" customHeight="1">
      <c r="B603" s="5"/>
      <c r="C603" s="5"/>
      <c r="D603" s="19"/>
      <c r="E603" s="5"/>
      <c r="F603" s="5"/>
    </row>
    <row r="604" spans="2:6" ht="14.25" customHeight="1">
      <c r="B604" s="5"/>
      <c r="C604" s="5"/>
      <c r="D604" s="19"/>
      <c r="E604" s="5"/>
      <c r="F604" s="5"/>
    </row>
    <row r="605" spans="2:6" ht="14.25" customHeight="1">
      <c r="B605" s="5"/>
      <c r="C605" s="5"/>
      <c r="D605" s="19"/>
      <c r="E605" s="5"/>
      <c r="F605" s="5"/>
    </row>
    <row r="606" spans="2:6" ht="14.25" customHeight="1">
      <c r="B606" s="5"/>
      <c r="C606" s="5"/>
      <c r="D606" s="19"/>
      <c r="E606" s="5"/>
      <c r="F606" s="5"/>
    </row>
    <row r="607" spans="2:6" ht="14.25" customHeight="1">
      <c r="B607" s="5"/>
      <c r="C607" s="5"/>
      <c r="D607" s="19"/>
      <c r="E607" s="5"/>
      <c r="F607" s="5"/>
    </row>
    <row r="608" spans="2:6" ht="14.25" customHeight="1">
      <c r="B608" s="5"/>
      <c r="C608" s="5"/>
      <c r="D608" s="19"/>
      <c r="E608" s="5"/>
      <c r="F608" s="5"/>
    </row>
    <row r="609" spans="2:6" ht="14.25" customHeight="1">
      <c r="B609" s="5"/>
      <c r="C609" s="5"/>
      <c r="D609" s="19"/>
      <c r="E609" s="5"/>
      <c r="F609" s="5"/>
    </row>
    <row r="610" spans="2:6" ht="14.25" customHeight="1">
      <c r="B610" s="5"/>
      <c r="C610" s="5"/>
      <c r="D610" s="19"/>
      <c r="E610" s="5"/>
      <c r="F610" s="5"/>
    </row>
    <row r="611" spans="2:6" ht="14.25" customHeight="1">
      <c r="B611" s="5"/>
      <c r="C611" s="5"/>
      <c r="D611" s="19"/>
      <c r="E611" s="5"/>
      <c r="F611" s="5"/>
    </row>
    <row r="612" spans="2:6" ht="14.25" customHeight="1">
      <c r="B612" s="5"/>
      <c r="C612" s="5"/>
      <c r="D612" s="19"/>
      <c r="E612" s="5"/>
      <c r="F612" s="5"/>
    </row>
    <row r="613" spans="2:6" ht="14.25" customHeight="1">
      <c r="B613" s="5"/>
      <c r="C613" s="5"/>
      <c r="D613" s="19"/>
      <c r="E613" s="5"/>
      <c r="F613" s="5"/>
    </row>
    <row r="614" spans="2:6" ht="14.25" customHeight="1">
      <c r="B614" s="5"/>
      <c r="C614" s="5"/>
      <c r="D614" s="19"/>
      <c r="E614" s="5"/>
      <c r="F614" s="5"/>
    </row>
    <row r="615" spans="2:6" ht="14.25" customHeight="1">
      <c r="B615" s="5"/>
      <c r="C615" s="5"/>
      <c r="D615" s="19"/>
      <c r="E615" s="5"/>
      <c r="F615" s="5"/>
    </row>
    <row r="616" spans="2:6" ht="14.25" customHeight="1">
      <c r="B616" s="5"/>
      <c r="C616" s="5"/>
      <c r="D616" s="19"/>
      <c r="E616" s="5"/>
      <c r="F616" s="5"/>
    </row>
    <row r="617" spans="2:6" ht="14.25" customHeight="1">
      <c r="B617" s="5"/>
      <c r="C617" s="5"/>
      <c r="D617" s="19"/>
      <c r="E617" s="5"/>
      <c r="F617" s="5"/>
    </row>
    <row r="618" spans="2:6" ht="14.25" customHeight="1">
      <c r="B618" s="5"/>
      <c r="C618" s="5"/>
      <c r="D618" s="19"/>
      <c r="E618" s="5"/>
      <c r="F618" s="5"/>
    </row>
    <row r="619" spans="2:6" ht="14.25" customHeight="1">
      <c r="B619" s="5"/>
      <c r="C619" s="5"/>
      <c r="D619" s="19"/>
      <c r="E619" s="5"/>
      <c r="F619" s="5"/>
    </row>
    <row r="620" spans="2:6" ht="14.25" customHeight="1">
      <c r="B620" s="5"/>
      <c r="C620" s="5"/>
      <c r="D620" s="19"/>
      <c r="E620" s="5"/>
      <c r="F620" s="5"/>
    </row>
    <row r="621" spans="2:6" ht="14.25" customHeight="1">
      <c r="B621" s="5"/>
      <c r="C621" s="5"/>
      <c r="D621" s="19"/>
      <c r="E621" s="5"/>
      <c r="F621" s="5"/>
    </row>
    <row r="622" spans="2:6" ht="14.25" customHeight="1">
      <c r="B622" s="5"/>
      <c r="C622" s="5"/>
      <c r="D622" s="19"/>
      <c r="E622" s="5"/>
      <c r="F622" s="5"/>
    </row>
    <row r="623" spans="2:6" ht="14.25" customHeight="1">
      <c r="B623" s="5"/>
      <c r="C623" s="5"/>
      <c r="D623" s="19"/>
      <c r="E623" s="5"/>
      <c r="F623" s="5"/>
    </row>
    <row r="624" spans="2:6" ht="14.25" customHeight="1">
      <c r="B624" s="5"/>
      <c r="C624" s="5"/>
      <c r="D624" s="19"/>
      <c r="E624" s="5"/>
      <c r="F624" s="5"/>
    </row>
    <row r="625" spans="2:6" ht="14.25" customHeight="1">
      <c r="B625" s="5"/>
      <c r="C625" s="5"/>
      <c r="D625" s="19"/>
      <c r="E625" s="5"/>
      <c r="F625" s="5"/>
    </row>
    <row r="626" spans="2:6" ht="14.25" customHeight="1">
      <c r="B626" s="5"/>
      <c r="C626" s="5"/>
      <c r="D626" s="19"/>
      <c r="E626" s="5"/>
      <c r="F626" s="5"/>
    </row>
    <row r="627" spans="2:6" ht="14.25" customHeight="1">
      <c r="B627" s="5"/>
      <c r="C627" s="5"/>
      <c r="D627" s="19"/>
      <c r="E627" s="5"/>
      <c r="F627" s="5"/>
    </row>
    <row r="628" spans="2:6" ht="14.25" customHeight="1">
      <c r="B628" s="5"/>
      <c r="C628" s="5"/>
      <c r="D628" s="19"/>
      <c r="E628" s="5"/>
      <c r="F628" s="5"/>
    </row>
    <row r="629" spans="2:6" ht="14.25" customHeight="1">
      <c r="B629" s="5"/>
      <c r="C629" s="5"/>
      <c r="D629" s="19"/>
      <c r="E629" s="5"/>
      <c r="F629" s="5"/>
    </row>
    <row r="630" spans="2:6" ht="14.25" customHeight="1">
      <c r="B630" s="5"/>
      <c r="C630" s="5"/>
      <c r="D630" s="19"/>
      <c r="E630" s="5"/>
      <c r="F630" s="5"/>
    </row>
    <row r="631" spans="2:6" ht="14.25" customHeight="1">
      <c r="B631" s="5"/>
      <c r="C631" s="5"/>
      <c r="D631" s="19"/>
      <c r="E631" s="5"/>
      <c r="F631" s="5"/>
    </row>
    <row r="632" spans="2:6" ht="14.25" customHeight="1">
      <c r="B632" s="5"/>
      <c r="C632" s="5"/>
      <c r="D632" s="19"/>
      <c r="E632" s="5"/>
      <c r="F632" s="5"/>
    </row>
    <row r="633" spans="2:6" ht="14.25" customHeight="1">
      <c r="B633" s="5"/>
      <c r="C633" s="5"/>
      <c r="D633" s="19"/>
      <c r="E633" s="5"/>
      <c r="F633" s="5"/>
    </row>
    <row r="634" spans="2:6" ht="14.25" customHeight="1">
      <c r="B634" s="5"/>
      <c r="C634" s="5"/>
      <c r="D634" s="19"/>
      <c r="E634" s="5"/>
      <c r="F634" s="5"/>
    </row>
    <row r="635" spans="2:6" ht="14.25" customHeight="1">
      <c r="B635" s="5"/>
      <c r="C635" s="5"/>
      <c r="D635" s="19"/>
      <c r="E635" s="5"/>
      <c r="F635" s="5"/>
    </row>
    <row r="636" spans="2:6" ht="14.25" customHeight="1">
      <c r="B636" s="5"/>
      <c r="C636" s="5"/>
      <c r="D636" s="19"/>
      <c r="E636" s="5"/>
      <c r="F636" s="5"/>
    </row>
    <row r="637" spans="2:6" ht="14.25" customHeight="1">
      <c r="B637" s="5"/>
      <c r="C637" s="5"/>
      <c r="D637" s="19"/>
      <c r="E637" s="5"/>
      <c r="F637" s="5"/>
    </row>
    <row r="638" spans="2:6" ht="14.25" customHeight="1">
      <c r="B638" s="5"/>
      <c r="C638" s="5"/>
      <c r="D638" s="19"/>
      <c r="E638" s="5"/>
      <c r="F638" s="5"/>
    </row>
    <row r="639" spans="2:6" ht="14.25" customHeight="1">
      <c r="B639" s="5"/>
      <c r="C639" s="5"/>
      <c r="D639" s="19"/>
      <c r="E639" s="5"/>
      <c r="F639" s="5"/>
    </row>
    <row r="640" spans="2:6" ht="14.25" customHeight="1">
      <c r="B640" s="5"/>
      <c r="C640" s="5"/>
      <c r="D640" s="19"/>
      <c r="E640" s="5"/>
      <c r="F640" s="5"/>
    </row>
    <row r="641" spans="2:6" ht="14.25" customHeight="1">
      <c r="B641" s="5"/>
      <c r="C641" s="5"/>
      <c r="D641" s="19"/>
      <c r="E641" s="5"/>
      <c r="F641" s="5"/>
    </row>
    <row r="642" spans="2:6" ht="14.25" customHeight="1">
      <c r="B642" s="5"/>
      <c r="C642" s="5"/>
      <c r="D642" s="19"/>
      <c r="E642" s="5"/>
      <c r="F642" s="5"/>
    </row>
    <row r="643" spans="2:6" ht="14.25" customHeight="1">
      <c r="B643" s="5"/>
      <c r="C643" s="5"/>
      <c r="D643" s="19"/>
      <c r="E643" s="5"/>
      <c r="F643" s="5"/>
    </row>
    <row r="644" spans="2:6" ht="14.25" customHeight="1">
      <c r="B644" s="5"/>
      <c r="C644" s="5"/>
      <c r="D644" s="19"/>
      <c r="E644" s="5"/>
      <c r="F644" s="5"/>
    </row>
    <row r="645" spans="2:6" ht="14.25" customHeight="1">
      <c r="B645" s="5"/>
      <c r="C645" s="5"/>
      <c r="D645" s="19"/>
      <c r="E645" s="5"/>
      <c r="F645" s="5"/>
    </row>
    <row r="646" spans="2:6" ht="14.25" customHeight="1">
      <c r="B646" s="5"/>
      <c r="C646" s="5"/>
      <c r="D646" s="19"/>
      <c r="E646" s="5"/>
      <c r="F646" s="5"/>
    </row>
    <row r="647" spans="2:6" ht="14.25" customHeight="1">
      <c r="B647" s="5"/>
      <c r="C647" s="5"/>
      <c r="D647" s="19"/>
      <c r="E647" s="5"/>
      <c r="F647" s="5"/>
    </row>
    <row r="648" spans="2:6" ht="14.25" customHeight="1">
      <c r="B648" s="5"/>
      <c r="C648" s="5"/>
      <c r="D648" s="19"/>
      <c r="E648" s="5"/>
      <c r="F648" s="5"/>
    </row>
    <row r="649" spans="2:6" ht="14.25" customHeight="1">
      <c r="B649" s="5"/>
      <c r="C649" s="5"/>
      <c r="D649" s="19"/>
      <c r="E649" s="5"/>
      <c r="F649" s="5"/>
    </row>
    <row r="650" spans="2:6" ht="14.25" customHeight="1">
      <c r="B650" s="5"/>
      <c r="C650" s="5"/>
      <c r="D650" s="19"/>
      <c r="E650" s="5"/>
      <c r="F650" s="5"/>
    </row>
    <row r="651" spans="2:6" ht="14.25" customHeight="1">
      <c r="B651" s="5"/>
      <c r="C651" s="5"/>
      <c r="D651" s="19"/>
      <c r="E651" s="5"/>
      <c r="F651" s="5"/>
    </row>
    <row r="652" spans="2:6" ht="14.25" customHeight="1">
      <c r="B652" s="5"/>
      <c r="C652" s="5"/>
      <c r="D652" s="19"/>
      <c r="E652" s="5"/>
      <c r="F652" s="5"/>
    </row>
    <row r="653" spans="2:6" ht="14.25" customHeight="1">
      <c r="B653" s="5"/>
      <c r="C653" s="5"/>
      <c r="D653" s="19"/>
      <c r="E653" s="5"/>
      <c r="F653" s="5"/>
    </row>
    <row r="654" spans="2:6" ht="14.25" customHeight="1">
      <c r="B654" s="5"/>
      <c r="C654" s="5"/>
      <c r="D654" s="19"/>
      <c r="E654" s="5"/>
      <c r="F654" s="5"/>
    </row>
    <row r="655" spans="2:6" ht="14.25" customHeight="1">
      <c r="B655" s="5"/>
      <c r="C655" s="5"/>
      <c r="D655" s="19"/>
      <c r="E655" s="5"/>
      <c r="F655" s="5"/>
    </row>
    <row r="656" spans="2:6" ht="14.25" customHeight="1">
      <c r="B656" s="5"/>
      <c r="C656" s="5"/>
      <c r="D656" s="19"/>
      <c r="E656" s="5"/>
      <c r="F656" s="5"/>
    </row>
    <row r="657" spans="2:6" ht="14.25" customHeight="1">
      <c r="B657" s="5"/>
      <c r="C657" s="5"/>
      <c r="D657" s="19"/>
      <c r="E657" s="5"/>
      <c r="F657" s="5"/>
    </row>
    <row r="658" spans="2:6" ht="14.25" customHeight="1">
      <c r="B658" s="5"/>
      <c r="C658" s="5"/>
      <c r="D658" s="19"/>
      <c r="E658" s="5"/>
      <c r="F658" s="5"/>
    </row>
    <row r="659" spans="2:6" ht="14.25" customHeight="1">
      <c r="B659" s="5"/>
      <c r="C659" s="5"/>
      <c r="D659" s="19"/>
      <c r="E659" s="5"/>
      <c r="F659" s="5"/>
    </row>
    <row r="660" spans="2:6" ht="14.25" customHeight="1">
      <c r="B660" s="5"/>
      <c r="C660" s="5"/>
      <c r="D660" s="19"/>
      <c r="E660" s="5"/>
      <c r="F660" s="5"/>
    </row>
    <row r="661" spans="2:6" ht="14.25" customHeight="1">
      <c r="B661" s="5"/>
      <c r="C661" s="5"/>
      <c r="D661" s="19"/>
      <c r="E661" s="5"/>
      <c r="F661" s="5"/>
    </row>
    <row r="662" spans="2:6" ht="14.25" customHeight="1">
      <c r="B662" s="5"/>
      <c r="C662" s="5"/>
      <c r="D662" s="19"/>
      <c r="E662" s="5"/>
      <c r="F662" s="5"/>
    </row>
    <row r="663" spans="2:6" ht="14.25" customHeight="1">
      <c r="B663" s="5"/>
      <c r="C663" s="5"/>
      <c r="D663" s="19"/>
      <c r="E663" s="5"/>
      <c r="F663" s="5"/>
    </row>
    <row r="664" spans="2:6" ht="14.25" customHeight="1">
      <c r="B664" s="5"/>
      <c r="C664" s="5"/>
      <c r="D664" s="19"/>
      <c r="E664" s="5"/>
      <c r="F664" s="5"/>
    </row>
    <row r="665" spans="2:6" ht="14.25" customHeight="1">
      <c r="B665" s="5"/>
      <c r="C665" s="5"/>
      <c r="D665" s="19"/>
      <c r="E665" s="5"/>
      <c r="F665" s="5"/>
    </row>
    <row r="666" spans="2:6" ht="14.25" customHeight="1">
      <c r="B666" s="5"/>
      <c r="C666" s="5"/>
      <c r="D666" s="19"/>
      <c r="E666" s="5"/>
      <c r="F666" s="5"/>
    </row>
    <row r="667" spans="2:6" ht="14.25" customHeight="1">
      <c r="B667" s="5"/>
      <c r="C667" s="5"/>
      <c r="D667" s="19"/>
      <c r="E667" s="5"/>
      <c r="F667" s="5"/>
    </row>
    <row r="668" spans="2:6" ht="14.25" customHeight="1">
      <c r="B668" s="5"/>
      <c r="C668" s="5"/>
      <c r="D668" s="19"/>
      <c r="E668" s="5"/>
      <c r="F668" s="5"/>
    </row>
    <row r="669" spans="2:6" ht="14.25" customHeight="1">
      <c r="B669" s="5"/>
      <c r="C669" s="5"/>
      <c r="D669" s="19"/>
      <c r="E669" s="5"/>
      <c r="F669" s="5"/>
    </row>
    <row r="670" spans="2:6" ht="14.25" customHeight="1">
      <c r="B670" s="5"/>
      <c r="C670" s="5"/>
      <c r="D670" s="19"/>
      <c r="E670" s="5"/>
      <c r="F670" s="5"/>
    </row>
    <row r="671" spans="2:6" ht="14.25" customHeight="1">
      <c r="B671" s="5"/>
      <c r="C671" s="5"/>
      <c r="D671" s="19"/>
      <c r="E671" s="5"/>
      <c r="F671" s="5"/>
    </row>
    <row r="672" spans="2:6" ht="14.25" customHeight="1">
      <c r="B672" s="5"/>
      <c r="C672" s="5"/>
      <c r="D672" s="19"/>
      <c r="E672" s="5"/>
      <c r="F672" s="5"/>
    </row>
    <row r="673" spans="2:6" ht="14.25" customHeight="1">
      <c r="B673" s="5"/>
      <c r="C673" s="5"/>
      <c r="D673" s="19"/>
      <c r="E673" s="5"/>
      <c r="F673" s="5"/>
    </row>
    <row r="674" spans="2:6" ht="14.25" customHeight="1">
      <c r="B674" s="5"/>
      <c r="C674" s="5"/>
      <c r="D674" s="19"/>
      <c r="E674" s="5"/>
      <c r="F674" s="5"/>
    </row>
    <row r="675" spans="2:6" ht="14.25" customHeight="1">
      <c r="B675" s="5"/>
      <c r="C675" s="5"/>
      <c r="D675" s="19"/>
      <c r="E675" s="5"/>
      <c r="F675" s="5"/>
    </row>
    <row r="676" spans="2:6" ht="14.25" customHeight="1">
      <c r="B676" s="5"/>
      <c r="C676" s="5"/>
      <c r="D676" s="19"/>
      <c r="E676" s="5"/>
      <c r="F676" s="5"/>
    </row>
    <row r="677" spans="2:6" ht="14.25" customHeight="1">
      <c r="B677" s="5"/>
      <c r="C677" s="5"/>
      <c r="D677" s="19"/>
      <c r="E677" s="5"/>
      <c r="F677" s="5"/>
    </row>
    <row r="678" spans="2:6" ht="14.25" customHeight="1">
      <c r="B678" s="5"/>
      <c r="C678" s="5"/>
      <c r="D678" s="19"/>
      <c r="E678" s="5"/>
      <c r="F678" s="5"/>
    </row>
    <row r="679" spans="2:6" ht="14.25" customHeight="1">
      <c r="B679" s="5"/>
      <c r="C679" s="5"/>
      <c r="D679" s="19"/>
      <c r="E679" s="5"/>
      <c r="F679" s="5"/>
    </row>
    <row r="680" spans="2:6" ht="14.25" customHeight="1">
      <c r="B680" s="5"/>
      <c r="C680" s="5"/>
      <c r="D680" s="19"/>
      <c r="E680" s="5"/>
      <c r="F680" s="5"/>
    </row>
    <row r="681" spans="2:6" ht="14.25" customHeight="1">
      <c r="B681" s="5"/>
      <c r="C681" s="5"/>
      <c r="D681" s="19"/>
      <c r="E681" s="5"/>
      <c r="F681" s="5"/>
    </row>
    <row r="682" spans="2:6" ht="14.25" customHeight="1">
      <c r="B682" s="5"/>
      <c r="C682" s="5"/>
      <c r="D682" s="19"/>
      <c r="E682" s="5"/>
      <c r="F682" s="5"/>
    </row>
    <row r="683" spans="2:6" ht="14.25" customHeight="1">
      <c r="B683" s="5"/>
      <c r="C683" s="5"/>
      <c r="D683" s="19"/>
      <c r="E683" s="5"/>
      <c r="F683" s="5"/>
    </row>
    <row r="684" spans="2:6" ht="14.25" customHeight="1">
      <c r="B684" s="5"/>
      <c r="C684" s="5"/>
      <c r="D684" s="19"/>
      <c r="E684" s="5"/>
      <c r="F684" s="5"/>
    </row>
    <row r="685" spans="2:6" ht="14.25" customHeight="1">
      <c r="B685" s="5"/>
      <c r="C685" s="5"/>
      <c r="D685" s="19"/>
      <c r="E685" s="5"/>
      <c r="F685" s="5"/>
    </row>
    <row r="686" spans="2:6" ht="14.25" customHeight="1">
      <c r="B686" s="5"/>
      <c r="C686" s="5"/>
      <c r="D686" s="19"/>
      <c r="E686" s="5"/>
      <c r="F686" s="5"/>
    </row>
    <row r="687" spans="2:6" ht="14.25" customHeight="1">
      <c r="B687" s="5"/>
      <c r="C687" s="5"/>
      <c r="D687" s="19"/>
      <c r="E687" s="5"/>
      <c r="F687" s="5"/>
    </row>
    <row r="688" spans="2:6" ht="14.25" customHeight="1">
      <c r="B688" s="5"/>
      <c r="C688" s="5"/>
      <c r="D688" s="19"/>
      <c r="E688" s="5"/>
      <c r="F688" s="5"/>
    </row>
    <row r="689" spans="2:6" ht="14.25" customHeight="1">
      <c r="B689" s="5"/>
      <c r="C689" s="5"/>
      <c r="D689" s="19"/>
      <c r="E689" s="5"/>
      <c r="F689" s="5"/>
    </row>
    <row r="690" spans="2:6" ht="14.25" customHeight="1">
      <c r="B690" s="5"/>
      <c r="C690" s="5"/>
      <c r="D690" s="19"/>
      <c r="E690" s="5"/>
      <c r="F690" s="5"/>
    </row>
    <row r="691" spans="2:6" ht="14.25" customHeight="1">
      <c r="B691" s="5"/>
      <c r="C691" s="5"/>
      <c r="D691" s="19"/>
      <c r="E691" s="5"/>
      <c r="F691" s="5"/>
    </row>
    <row r="692" spans="2:6" ht="14.25" customHeight="1">
      <c r="B692" s="5"/>
      <c r="C692" s="5"/>
      <c r="D692" s="19"/>
      <c r="E692" s="5"/>
      <c r="F692" s="5"/>
    </row>
    <row r="693" spans="2:6" ht="14.25" customHeight="1">
      <c r="B693" s="5"/>
      <c r="C693" s="5"/>
      <c r="D693" s="19"/>
      <c r="E693" s="5"/>
      <c r="F693" s="5"/>
    </row>
    <row r="694" spans="2:6" ht="14.25" customHeight="1">
      <c r="B694" s="5"/>
      <c r="C694" s="5"/>
      <c r="D694" s="19"/>
      <c r="E694" s="5"/>
      <c r="F694" s="5"/>
    </row>
    <row r="695" spans="2:6" ht="14.25" customHeight="1">
      <c r="B695" s="5"/>
      <c r="C695" s="5"/>
      <c r="D695" s="19"/>
      <c r="E695" s="5"/>
      <c r="F695" s="5"/>
    </row>
    <row r="696" spans="2:6" ht="14.25" customHeight="1">
      <c r="B696" s="5"/>
      <c r="C696" s="5"/>
      <c r="D696" s="19"/>
      <c r="E696" s="5"/>
      <c r="F696" s="5"/>
    </row>
    <row r="697" spans="2:6" ht="14.25" customHeight="1">
      <c r="B697" s="5"/>
      <c r="C697" s="5"/>
      <c r="D697" s="19"/>
      <c r="E697" s="5"/>
      <c r="F697" s="5"/>
    </row>
    <row r="698" spans="2:6" ht="14.25" customHeight="1">
      <c r="B698" s="5"/>
      <c r="C698" s="5"/>
      <c r="D698" s="19"/>
      <c r="E698" s="5"/>
      <c r="F698" s="5"/>
    </row>
    <row r="699" spans="2:6" ht="14.25" customHeight="1">
      <c r="B699" s="5"/>
      <c r="C699" s="5"/>
      <c r="D699" s="19"/>
      <c r="E699" s="5"/>
      <c r="F699" s="5"/>
    </row>
    <row r="700" spans="2:6" ht="14.25" customHeight="1">
      <c r="B700" s="5"/>
      <c r="C700" s="5"/>
      <c r="D700" s="19"/>
      <c r="E700" s="5"/>
      <c r="F700" s="5"/>
    </row>
    <row r="701" spans="2:6" ht="14.25" customHeight="1">
      <c r="B701" s="5"/>
      <c r="C701" s="5"/>
      <c r="D701" s="19"/>
      <c r="E701" s="5"/>
      <c r="F701" s="5"/>
    </row>
    <row r="702" spans="2:6" ht="14.25" customHeight="1">
      <c r="B702" s="5"/>
      <c r="C702" s="5"/>
      <c r="D702" s="19"/>
      <c r="E702" s="5"/>
      <c r="F702" s="5"/>
    </row>
    <row r="703" spans="2:6" ht="14.25" customHeight="1">
      <c r="B703" s="5"/>
      <c r="C703" s="5"/>
      <c r="D703" s="19"/>
      <c r="E703" s="5"/>
      <c r="F703" s="5"/>
    </row>
    <row r="704" spans="2:6" ht="14.25" customHeight="1">
      <c r="B704" s="5"/>
      <c r="C704" s="5"/>
      <c r="D704" s="19"/>
      <c r="E704" s="5"/>
      <c r="F704" s="5"/>
    </row>
    <row r="705" spans="2:6" ht="14.25" customHeight="1">
      <c r="B705" s="5"/>
      <c r="C705" s="5"/>
      <c r="D705" s="19"/>
      <c r="E705" s="5"/>
      <c r="F705" s="5"/>
    </row>
    <row r="706" spans="2:6" ht="14.25" customHeight="1">
      <c r="B706" s="5"/>
      <c r="C706" s="5"/>
      <c r="D706" s="19"/>
      <c r="E706" s="5"/>
      <c r="F706" s="5"/>
    </row>
    <row r="707" spans="2:6" ht="14.25" customHeight="1">
      <c r="B707" s="5"/>
      <c r="C707" s="5"/>
      <c r="D707" s="19"/>
      <c r="E707" s="5"/>
      <c r="F707" s="5"/>
    </row>
    <row r="708" spans="2:6" ht="14.25" customHeight="1">
      <c r="B708" s="5"/>
      <c r="C708" s="5"/>
      <c r="D708" s="19"/>
      <c r="E708" s="5"/>
      <c r="F708" s="5"/>
    </row>
    <row r="709" spans="2:6" ht="14.25" customHeight="1">
      <c r="B709" s="5"/>
      <c r="C709" s="5"/>
      <c r="D709" s="19"/>
      <c r="E709" s="5"/>
      <c r="F709" s="5"/>
    </row>
    <row r="710" spans="2:6" ht="14.25" customHeight="1">
      <c r="B710" s="5"/>
      <c r="C710" s="5"/>
      <c r="D710" s="19"/>
      <c r="E710" s="5"/>
      <c r="F710" s="5"/>
    </row>
    <row r="711" spans="2:6" ht="14.25" customHeight="1">
      <c r="B711" s="5"/>
      <c r="C711" s="5"/>
      <c r="D711" s="19"/>
      <c r="E711" s="5"/>
      <c r="F711" s="5"/>
    </row>
    <row r="712" spans="2:6" ht="14.25" customHeight="1">
      <c r="B712" s="5"/>
      <c r="C712" s="5"/>
      <c r="D712" s="19"/>
      <c r="E712" s="5"/>
      <c r="F712" s="5"/>
    </row>
    <row r="713" spans="2:6" ht="14.25" customHeight="1">
      <c r="B713" s="5"/>
      <c r="C713" s="5"/>
      <c r="D713" s="19"/>
      <c r="E713" s="5"/>
      <c r="F713" s="5"/>
    </row>
    <row r="714" spans="2:6" ht="14.25" customHeight="1">
      <c r="B714" s="5"/>
      <c r="C714" s="5"/>
      <c r="D714" s="19"/>
      <c r="E714" s="5"/>
      <c r="F714" s="5"/>
    </row>
    <row r="715" spans="2:6" ht="14.25" customHeight="1">
      <c r="B715" s="5"/>
      <c r="C715" s="5"/>
      <c r="D715" s="19"/>
      <c r="E715" s="5"/>
      <c r="F715" s="5"/>
    </row>
    <row r="716" spans="2:6" ht="14.25" customHeight="1">
      <c r="B716" s="5"/>
      <c r="C716" s="5"/>
      <c r="D716" s="19"/>
      <c r="E716" s="5"/>
      <c r="F716" s="5"/>
    </row>
    <row r="717" spans="2:6" ht="14.25" customHeight="1">
      <c r="B717" s="5"/>
      <c r="C717" s="5"/>
      <c r="D717" s="19"/>
      <c r="E717" s="5"/>
      <c r="F717" s="5"/>
    </row>
    <row r="718" spans="2:6" ht="14.25" customHeight="1">
      <c r="B718" s="5"/>
      <c r="C718" s="5"/>
      <c r="D718" s="19"/>
      <c r="E718" s="5"/>
      <c r="F718" s="5"/>
    </row>
    <row r="719" spans="2:6" ht="14.25" customHeight="1">
      <c r="B719" s="5"/>
      <c r="C719" s="5"/>
      <c r="D719" s="19"/>
      <c r="E719" s="5"/>
      <c r="F719" s="5"/>
    </row>
    <row r="720" spans="2:6" ht="14.25" customHeight="1">
      <c r="B720" s="5"/>
      <c r="C720" s="5"/>
      <c r="D720" s="19"/>
      <c r="E720" s="5"/>
      <c r="F720" s="5"/>
    </row>
    <row r="721" spans="2:6" ht="14.25" customHeight="1">
      <c r="B721" s="5"/>
      <c r="C721" s="5"/>
      <c r="D721" s="19"/>
      <c r="E721" s="5"/>
      <c r="F721" s="5"/>
    </row>
    <row r="722" spans="2:6" ht="14.25" customHeight="1">
      <c r="B722" s="5"/>
      <c r="C722" s="5"/>
      <c r="D722" s="19"/>
      <c r="E722" s="5"/>
      <c r="F722" s="5"/>
    </row>
    <row r="723" spans="2:6" ht="14.25" customHeight="1">
      <c r="B723" s="5"/>
      <c r="C723" s="5"/>
      <c r="D723" s="19"/>
      <c r="E723" s="5"/>
      <c r="F723" s="5"/>
    </row>
    <row r="724" spans="2:6" ht="14.25" customHeight="1">
      <c r="B724" s="5"/>
      <c r="C724" s="5"/>
      <c r="D724" s="19"/>
      <c r="E724" s="5"/>
      <c r="F724" s="5"/>
    </row>
    <row r="725" spans="2:6" ht="14.25" customHeight="1">
      <c r="B725" s="5"/>
      <c r="C725" s="5"/>
      <c r="D725" s="19"/>
      <c r="E725" s="5"/>
      <c r="F725" s="5"/>
    </row>
    <row r="726" spans="2:6" ht="14.25" customHeight="1">
      <c r="B726" s="5"/>
      <c r="C726" s="5"/>
      <c r="D726" s="19"/>
      <c r="E726" s="5"/>
      <c r="F726" s="5"/>
    </row>
    <row r="727" spans="2:6" ht="14.25" customHeight="1">
      <c r="B727" s="5"/>
      <c r="C727" s="5"/>
      <c r="D727" s="19"/>
      <c r="E727" s="5"/>
      <c r="F727" s="5"/>
    </row>
    <row r="728" spans="2:6" ht="14.25" customHeight="1">
      <c r="B728" s="5"/>
      <c r="C728" s="5"/>
      <c r="D728" s="19"/>
      <c r="E728" s="5"/>
      <c r="F728" s="5"/>
    </row>
    <row r="729" spans="2:6" ht="14.25" customHeight="1">
      <c r="B729" s="5"/>
      <c r="C729" s="5"/>
      <c r="D729" s="19"/>
      <c r="E729" s="5"/>
      <c r="F729" s="5"/>
    </row>
    <row r="730" spans="2:6" ht="14.25" customHeight="1">
      <c r="B730" s="5"/>
      <c r="C730" s="5"/>
      <c r="D730" s="19"/>
      <c r="E730" s="5"/>
      <c r="F730" s="5"/>
    </row>
    <row r="731" spans="2:6" ht="14.25" customHeight="1">
      <c r="B731" s="5"/>
      <c r="C731" s="5"/>
      <c r="D731" s="19"/>
      <c r="E731" s="5"/>
      <c r="F731" s="5"/>
    </row>
    <row r="732" spans="2:6" ht="14.25" customHeight="1">
      <c r="B732" s="5"/>
      <c r="C732" s="5"/>
      <c r="D732" s="19"/>
      <c r="E732" s="5"/>
      <c r="F732" s="5"/>
    </row>
    <row r="733" spans="2:6" ht="14.25" customHeight="1">
      <c r="B733" s="5"/>
      <c r="C733" s="5"/>
      <c r="D733" s="19"/>
      <c r="E733" s="5"/>
      <c r="F733" s="5"/>
    </row>
    <row r="734" spans="2:6" ht="14.25" customHeight="1">
      <c r="B734" s="5"/>
      <c r="C734" s="5"/>
      <c r="D734" s="19"/>
      <c r="E734" s="5"/>
      <c r="F734" s="5"/>
    </row>
    <row r="735" spans="2:6" ht="14.25" customHeight="1">
      <c r="B735" s="5"/>
      <c r="C735" s="5"/>
      <c r="D735" s="19"/>
      <c r="E735" s="5"/>
      <c r="F735" s="5"/>
    </row>
    <row r="736" spans="2:6" ht="14.25" customHeight="1">
      <c r="B736" s="5"/>
      <c r="C736" s="5"/>
      <c r="D736" s="19"/>
      <c r="E736" s="5"/>
      <c r="F736" s="5"/>
    </row>
    <row r="737" spans="2:6" ht="14.25" customHeight="1">
      <c r="B737" s="5"/>
      <c r="C737" s="5"/>
      <c r="D737" s="19"/>
      <c r="E737" s="5"/>
      <c r="F737" s="5"/>
    </row>
    <row r="738" spans="2:6" ht="14.25" customHeight="1">
      <c r="B738" s="5"/>
      <c r="C738" s="5"/>
      <c r="D738" s="19"/>
      <c r="E738" s="5"/>
      <c r="F738" s="5"/>
    </row>
    <row r="739" spans="2:6" ht="14.25" customHeight="1">
      <c r="B739" s="5"/>
      <c r="C739" s="5"/>
      <c r="D739" s="19"/>
      <c r="E739" s="5"/>
      <c r="F739" s="5"/>
    </row>
    <row r="740" spans="2:6" ht="14.25" customHeight="1">
      <c r="B740" s="5"/>
      <c r="C740" s="5"/>
      <c r="D740" s="19"/>
      <c r="E740" s="5"/>
      <c r="F740" s="5"/>
    </row>
    <row r="741" spans="2:6" ht="14.25" customHeight="1">
      <c r="B741" s="5"/>
      <c r="C741" s="5"/>
      <c r="D741" s="19"/>
      <c r="E741" s="5"/>
      <c r="F741" s="5"/>
    </row>
    <row r="742" spans="2:6" ht="14.25" customHeight="1">
      <c r="B742" s="5"/>
      <c r="C742" s="5"/>
      <c r="D742" s="19"/>
      <c r="E742" s="5"/>
      <c r="F742" s="5"/>
    </row>
    <row r="743" spans="2:6" ht="14.25" customHeight="1">
      <c r="B743" s="5"/>
      <c r="C743" s="5"/>
      <c r="D743" s="19"/>
      <c r="E743" s="5"/>
      <c r="F743" s="5"/>
    </row>
    <row r="744" spans="2:6" ht="14.25" customHeight="1">
      <c r="B744" s="5"/>
      <c r="C744" s="5"/>
      <c r="D744" s="19"/>
      <c r="E744" s="5"/>
      <c r="F744" s="5"/>
    </row>
    <row r="745" spans="2:6" ht="14.25" customHeight="1">
      <c r="B745" s="5"/>
      <c r="C745" s="5"/>
      <c r="D745" s="19"/>
      <c r="E745" s="5"/>
      <c r="F745" s="5"/>
    </row>
    <row r="746" spans="2:6" ht="14.25" customHeight="1">
      <c r="B746" s="5"/>
      <c r="C746" s="5"/>
      <c r="D746" s="19"/>
      <c r="E746" s="5"/>
      <c r="F746" s="5"/>
    </row>
    <row r="747" spans="2:6" ht="14.25" customHeight="1">
      <c r="B747" s="5"/>
      <c r="C747" s="5"/>
      <c r="D747" s="19"/>
      <c r="E747" s="5"/>
      <c r="F747" s="5"/>
    </row>
    <row r="748" spans="2:6" ht="14.25" customHeight="1">
      <c r="B748" s="5"/>
      <c r="C748" s="5"/>
      <c r="D748" s="19"/>
      <c r="E748" s="5"/>
      <c r="F748" s="5"/>
    </row>
    <row r="749" spans="2:6" ht="14.25" customHeight="1">
      <c r="B749" s="5"/>
      <c r="C749" s="5"/>
      <c r="D749" s="19"/>
      <c r="E749" s="5"/>
      <c r="F749" s="5"/>
    </row>
    <row r="750" spans="2:6" ht="14.25" customHeight="1">
      <c r="B750" s="5"/>
      <c r="C750" s="5"/>
      <c r="D750" s="19"/>
      <c r="E750" s="5"/>
      <c r="F750" s="5"/>
    </row>
    <row r="751" spans="2:6" ht="14.25" customHeight="1">
      <c r="B751" s="5"/>
      <c r="C751" s="5"/>
      <c r="D751" s="19"/>
      <c r="E751" s="5"/>
      <c r="F751" s="5"/>
    </row>
    <row r="752" spans="2:6" ht="14.25" customHeight="1">
      <c r="B752" s="5"/>
      <c r="C752" s="5"/>
      <c r="D752" s="19"/>
      <c r="E752" s="5"/>
      <c r="F752" s="5"/>
    </row>
    <row r="753" spans="2:6" ht="14.25" customHeight="1">
      <c r="B753" s="5"/>
      <c r="C753" s="5"/>
      <c r="D753" s="19"/>
      <c r="E753" s="5"/>
      <c r="F753" s="5"/>
    </row>
    <row r="754" spans="2:6" ht="14.25" customHeight="1">
      <c r="B754" s="5"/>
      <c r="C754" s="5"/>
      <c r="D754" s="19"/>
      <c r="E754" s="5"/>
      <c r="F754" s="5"/>
    </row>
    <row r="755" spans="2:6" ht="14.25" customHeight="1">
      <c r="B755" s="5"/>
      <c r="C755" s="5"/>
      <c r="D755" s="19"/>
      <c r="E755" s="5"/>
      <c r="F755" s="5"/>
    </row>
    <row r="756" spans="2:6" ht="14.25" customHeight="1">
      <c r="B756" s="5"/>
      <c r="C756" s="5"/>
      <c r="D756" s="19"/>
      <c r="E756" s="5"/>
      <c r="F756" s="5"/>
    </row>
    <row r="757" spans="2:6" ht="14.25" customHeight="1">
      <c r="B757" s="5"/>
      <c r="C757" s="5"/>
      <c r="D757" s="19"/>
      <c r="E757" s="5"/>
      <c r="F757" s="5"/>
    </row>
    <row r="758" spans="2:6" ht="14.25" customHeight="1">
      <c r="B758" s="5"/>
      <c r="C758" s="5"/>
      <c r="D758" s="19"/>
      <c r="E758" s="5"/>
      <c r="F758" s="5"/>
    </row>
    <row r="759" spans="2:6" ht="14.25" customHeight="1">
      <c r="B759" s="5"/>
      <c r="C759" s="5"/>
      <c r="D759" s="19"/>
      <c r="E759" s="5"/>
      <c r="F759" s="5"/>
    </row>
    <row r="760" spans="2:6" ht="14.25" customHeight="1">
      <c r="B760" s="5"/>
      <c r="C760" s="5"/>
      <c r="D760" s="19"/>
      <c r="E760" s="5"/>
      <c r="F760" s="5"/>
    </row>
    <row r="761" spans="2:6" ht="14.25" customHeight="1">
      <c r="B761" s="5"/>
      <c r="C761" s="5"/>
      <c r="D761" s="19"/>
      <c r="E761" s="5"/>
      <c r="F761" s="5"/>
    </row>
    <row r="762" spans="2:6" ht="14.25" customHeight="1">
      <c r="B762" s="5"/>
      <c r="C762" s="5"/>
      <c r="D762" s="19"/>
      <c r="E762" s="5"/>
      <c r="F762" s="5"/>
    </row>
    <row r="763" spans="2:6" ht="14.25" customHeight="1">
      <c r="B763" s="5"/>
      <c r="C763" s="5"/>
      <c r="D763" s="19"/>
      <c r="E763" s="5"/>
      <c r="F763" s="5"/>
    </row>
    <row r="764" spans="2:6" ht="14.25" customHeight="1">
      <c r="B764" s="5"/>
      <c r="C764" s="5"/>
      <c r="D764" s="19"/>
      <c r="E764" s="5"/>
      <c r="F764" s="5"/>
    </row>
    <row r="765" spans="2:6" ht="14.25" customHeight="1">
      <c r="B765" s="5"/>
      <c r="C765" s="5"/>
      <c r="D765" s="19"/>
      <c r="E765" s="5"/>
      <c r="F765" s="5"/>
    </row>
    <row r="766" spans="2:6" ht="14.25" customHeight="1">
      <c r="B766" s="5"/>
      <c r="C766" s="5"/>
      <c r="D766" s="19"/>
      <c r="E766" s="5"/>
      <c r="F766" s="5"/>
    </row>
    <row r="767" spans="2:6" ht="14.25" customHeight="1">
      <c r="B767" s="5"/>
      <c r="C767" s="5"/>
      <c r="D767" s="19"/>
      <c r="E767" s="5"/>
      <c r="F767" s="5"/>
    </row>
    <row r="768" spans="2:6" ht="14.25" customHeight="1">
      <c r="B768" s="5"/>
      <c r="C768" s="5"/>
      <c r="D768" s="19"/>
      <c r="E768" s="5"/>
      <c r="F768" s="5"/>
    </row>
    <row r="769" spans="2:6" ht="14.25" customHeight="1">
      <c r="B769" s="5"/>
      <c r="C769" s="5"/>
      <c r="D769" s="19"/>
      <c r="E769" s="5"/>
      <c r="F769" s="5"/>
    </row>
    <row r="770" spans="2:6" ht="14.25" customHeight="1">
      <c r="B770" s="5"/>
      <c r="C770" s="5"/>
      <c r="D770" s="19"/>
      <c r="E770" s="5"/>
      <c r="F770" s="5"/>
    </row>
    <row r="771" spans="2:6" ht="14.25" customHeight="1">
      <c r="B771" s="5"/>
      <c r="C771" s="5"/>
      <c r="D771" s="19"/>
      <c r="E771" s="5"/>
      <c r="F771" s="5"/>
    </row>
    <row r="772" spans="2:6" ht="14.25" customHeight="1">
      <c r="B772" s="5"/>
      <c r="C772" s="5"/>
      <c r="D772" s="19"/>
      <c r="E772" s="5"/>
      <c r="F772" s="5"/>
    </row>
    <row r="773" spans="2:6" ht="14.25" customHeight="1">
      <c r="B773" s="5"/>
      <c r="C773" s="5"/>
      <c r="D773" s="19"/>
      <c r="E773" s="5"/>
      <c r="F773" s="5"/>
    </row>
    <row r="774" spans="2:6" ht="14.25" customHeight="1">
      <c r="B774" s="5"/>
      <c r="C774" s="5"/>
      <c r="D774" s="19"/>
      <c r="E774" s="5"/>
      <c r="F774" s="5"/>
    </row>
    <row r="775" spans="2:6" ht="14.25" customHeight="1">
      <c r="B775" s="5"/>
      <c r="C775" s="5"/>
      <c r="D775" s="19"/>
      <c r="E775" s="5"/>
      <c r="F775" s="5"/>
    </row>
    <row r="776" spans="2:6" ht="14.25" customHeight="1">
      <c r="B776" s="5"/>
      <c r="C776" s="5"/>
      <c r="D776" s="19"/>
      <c r="E776" s="5"/>
      <c r="F776" s="5"/>
    </row>
    <row r="777" spans="2:6" ht="14.25" customHeight="1">
      <c r="B777" s="5"/>
      <c r="C777" s="5"/>
      <c r="D777" s="19"/>
      <c r="E777" s="5"/>
      <c r="F777" s="5"/>
    </row>
    <row r="778" spans="2:6" ht="14.25" customHeight="1">
      <c r="B778" s="5"/>
      <c r="C778" s="5"/>
      <c r="D778" s="19"/>
      <c r="E778" s="5"/>
      <c r="F778" s="5"/>
    </row>
    <row r="779" spans="2:6" ht="14.25" customHeight="1">
      <c r="B779" s="5"/>
      <c r="C779" s="5"/>
      <c r="D779" s="19"/>
      <c r="E779" s="5"/>
      <c r="F779" s="5"/>
    </row>
    <row r="780" spans="2:6" ht="14.25" customHeight="1">
      <c r="B780" s="5"/>
      <c r="C780" s="5"/>
      <c r="D780" s="19"/>
      <c r="E780" s="5"/>
      <c r="F780" s="5"/>
    </row>
    <row r="781" spans="2:6" ht="14.25" customHeight="1">
      <c r="B781" s="5"/>
      <c r="C781" s="5"/>
      <c r="D781" s="19"/>
      <c r="E781" s="5"/>
      <c r="F781" s="5"/>
    </row>
    <row r="782" spans="2:6" ht="14.25" customHeight="1">
      <c r="B782" s="5"/>
      <c r="C782" s="5"/>
      <c r="D782" s="19"/>
      <c r="E782" s="5"/>
      <c r="F782" s="5"/>
    </row>
    <row r="783" spans="2:6" ht="14.25" customHeight="1">
      <c r="B783" s="5"/>
      <c r="C783" s="5"/>
      <c r="D783" s="19"/>
      <c r="E783" s="5"/>
      <c r="F783" s="5"/>
    </row>
    <row r="784" spans="2:6" ht="14.25" customHeight="1">
      <c r="B784" s="5"/>
      <c r="C784" s="5"/>
      <c r="D784" s="19"/>
      <c r="E784" s="5"/>
      <c r="F784" s="5"/>
    </row>
    <row r="785" spans="2:6" ht="14.25" customHeight="1">
      <c r="B785" s="5"/>
      <c r="C785" s="5"/>
      <c r="D785" s="19"/>
      <c r="E785" s="5"/>
      <c r="F785" s="5"/>
    </row>
    <row r="786" spans="2:6" ht="14.25" customHeight="1">
      <c r="B786" s="5"/>
      <c r="C786" s="5"/>
      <c r="D786" s="19"/>
      <c r="E786" s="5"/>
      <c r="F786" s="5"/>
    </row>
    <row r="787" spans="2:6" ht="14.25" customHeight="1">
      <c r="B787" s="5"/>
      <c r="C787" s="5"/>
      <c r="D787" s="19"/>
      <c r="E787" s="5"/>
      <c r="F787" s="5"/>
    </row>
    <row r="788" spans="2:6" ht="14.25" customHeight="1">
      <c r="B788" s="5"/>
      <c r="C788" s="5"/>
      <c r="D788" s="19"/>
      <c r="E788" s="5"/>
      <c r="F788" s="5"/>
    </row>
    <row r="789" spans="2:6" ht="14.25" customHeight="1">
      <c r="B789" s="5"/>
      <c r="C789" s="5"/>
      <c r="D789" s="19"/>
      <c r="E789" s="5"/>
      <c r="F789" s="5"/>
    </row>
    <row r="790" spans="2:6" ht="14.25" customHeight="1">
      <c r="B790" s="5"/>
      <c r="C790" s="5"/>
      <c r="D790" s="19"/>
      <c r="E790" s="5"/>
      <c r="F790" s="5"/>
    </row>
    <row r="791" spans="2:6" ht="14.25" customHeight="1">
      <c r="B791" s="5"/>
      <c r="C791" s="5"/>
      <c r="D791" s="19"/>
      <c r="E791" s="5"/>
      <c r="F791" s="5"/>
    </row>
    <row r="792" spans="2:6" ht="14.25" customHeight="1">
      <c r="B792" s="5"/>
      <c r="C792" s="5"/>
      <c r="D792" s="19"/>
      <c r="E792" s="5"/>
      <c r="F792" s="5"/>
    </row>
    <row r="793" spans="2:6" ht="14.25" customHeight="1">
      <c r="B793" s="5"/>
      <c r="C793" s="5"/>
      <c r="D793" s="19"/>
      <c r="E793" s="5"/>
      <c r="F793" s="5"/>
    </row>
    <row r="794" spans="2:6" ht="14.25" customHeight="1">
      <c r="B794" s="5"/>
      <c r="C794" s="5"/>
      <c r="D794" s="19"/>
      <c r="E794" s="5"/>
      <c r="F794" s="5"/>
    </row>
    <row r="795" spans="2:6" ht="14.25" customHeight="1">
      <c r="B795" s="5"/>
      <c r="C795" s="5"/>
      <c r="D795" s="19"/>
      <c r="E795" s="5"/>
      <c r="F795" s="5"/>
    </row>
    <row r="796" spans="2:6" ht="14.25" customHeight="1">
      <c r="B796" s="5"/>
      <c r="C796" s="5"/>
      <c r="D796" s="19"/>
      <c r="E796" s="5"/>
      <c r="F796" s="5"/>
    </row>
    <row r="797" spans="2:6" ht="14.25" customHeight="1">
      <c r="B797" s="5"/>
      <c r="C797" s="5"/>
      <c r="D797" s="19"/>
      <c r="E797" s="5"/>
      <c r="F797" s="5"/>
    </row>
    <row r="798" spans="2:6" ht="14.25" customHeight="1">
      <c r="B798" s="5"/>
      <c r="C798" s="5"/>
      <c r="D798" s="19"/>
      <c r="E798" s="5"/>
      <c r="F798" s="5"/>
    </row>
    <row r="799" spans="2:6" ht="14.25" customHeight="1">
      <c r="B799" s="5"/>
      <c r="C799" s="5"/>
      <c r="D799" s="19"/>
      <c r="E799" s="5"/>
      <c r="F799" s="5"/>
    </row>
    <row r="800" spans="2:6" ht="14.25" customHeight="1">
      <c r="B800" s="5"/>
      <c r="C800" s="5"/>
      <c r="D800" s="19"/>
      <c r="E800" s="5"/>
      <c r="F800" s="5"/>
    </row>
    <row r="801" spans="2:6" ht="14.25" customHeight="1">
      <c r="B801" s="5"/>
      <c r="C801" s="5"/>
      <c r="D801" s="19"/>
      <c r="E801" s="5"/>
      <c r="F801" s="5"/>
    </row>
    <row r="802" spans="2:6" ht="14.25" customHeight="1">
      <c r="B802" s="5"/>
      <c r="C802" s="5"/>
      <c r="D802" s="19"/>
      <c r="E802" s="5"/>
      <c r="F802" s="5"/>
    </row>
    <row r="803" spans="2:6" ht="14.25" customHeight="1">
      <c r="B803" s="5"/>
      <c r="C803" s="5"/>
      <c r="D803" s="19"/>
      <c r="E803" s="5"/>
      <c r="F803" s="5"/>
    </row>
    <row r="804" spans="2:6" ht="14.25" customHeight="1">
      <c r="B804" s="5"/>
      <c r="C804" s="5"/>
      <c r="D804" s="19"/>
      <c r="E804" s="5"/>
      <c r="F804" s="5"/>
    </row>
    <row r="805" spans="2:6" ht="14.25" customHeight="1">
      <c r="B805" s="5"/>
      <c r="C805" s="5"/>
      <c r="D805" s="19"/>
      <c r="E805" s="5"/>
      <c r="F805" s="5"/>
    </row>
    <row r="806" spans="2:6" ht="14.25" customHeight="1">
      <c r="B806" s="5"/>
      <c r="C806" s="5"/>
      <c r="D806" s="19"/>
      <c r="E806" s="5"/>
      <c r="F806" s="5"/>
    </row>
    <row r="807" spans="2:6" ht="14.25" customHeight="1">
      <c r="B807" s="5"/>
      <c r="C807" s="5"/>
      <c r="D807" s="19"/>
      <c r="E807" s="5"/>
      <c r="F807" s="5"/>
    </row>
    <row r="808" spans="2:6" ht="14.25" customHeight="1">
      <c r="B808" s="5"/>
      <c r="C808" s="5"/>
      <c r="D808" s="19"/>
      <c r="E808" s="5"/>
      <c r="F808" s="5"/>
    </row>
    <row r="809" spans="2:6" ht="14.25" customHeight="1">
      <c r="B809" s="5"/>
      <c r="C809" s="5"/>
      <c r="D809" s="19"/>
      <c r="E809" s="5"/>
      <c r="F809" s="5"/>
    </row>
    <row r="810" spans="2:6" ht="14.25" customHeight="1">
      <c r="B810" s="5"/>
      <c r="C810" s="5"/>
      <c r="D810" s="19"/>
      <c r="E810" s="5"/>
      <c r="F810" s="5"/>
    </row>
    <row r="811" spans="2:6" ht="14.25" customHeight="1">
      <c r="B811" s="5"/>
      <c r="C811" s="5"/>
      <c r="D811" s="19"/>
      <c r="E811" s="5"/>
      <c r="F811" s="5"/>
    </row>
    <row r="812" spans="2:6" ht="14.25" customHeight="1">
      <c r="B812" s="5"/>
      <c r="C812" s="5"/>
      <c r="D812" s="19"/>
      <c r="E812" s="5"/>
      <c r="F812" s="5"/>
    </row>
    <row r="813" spans="2:6" ht="14.25" customHeight="1">
      <c r="B813" s="5"/>
      <c r="C813" s="5"/>
      <c r="D813" s="19"/>
      <c r="E813" s="5"/>
      <c r="F813" s="5"/>
    </row>
    <row r="814" spans="2:6" ht="14.25" customHeight="1">
      <c r="B814" s="5"/>
      <c r="C814" s="5"/>
      <c r="D814" s="19"/>
      <c r="E814" s="5"/>
      <c r="F814" s="5"/>
    </row>
    <row r="815" spans="2:6" ht="14.25" customHeight="1">
      <c r="B815" s="5"/>
      <c r="C815" s="5"/>
      <c r="D815" s="19"/>
      <c r="E815" s="5"/>
      <c r="F815" s="5"/>
    </row>
    <row r="816" spans="2:6" ht="14.25" customHeight="1">
      <c r="B816" s="5"/>
      <c r="C816" s="5"/>
      <c r="D816" s="19"/>
      <c r="E816" s="5"/>
      <c r="F816" s="5"/>
    </row>
    <row r="817" spans="2:6" ht="14.25" customHeight="1">
      <c r="B817" s="5"/>
      <c r="C817" s="5"/>
      <c r="D817" s="19"/>
      <c r="E817" s="5"/>
      <c r="F817" s="5"/>
    </row>
    <row r="818" spans="2:6" ht="14.25" customHeight="1">
      <c r="B818" s="5"/>
      <c r="C818" s="5"/>
      <c r="D818" s="19"/>
      <c r="E818" s="5"/>
      <c r="F818" s="5"/>
    </row>
    <row r="819" spans="2:6" ht="14.25" customHeight="1">
      <c r="B819" s="5"/>
      <c r="C819" s="5"/>
      <c r="D819" s="19"/>
      <c r="E819" s="5"/>
      <c r="F819" s="5"/>
    </row>
    <row r="820" spans="2:6" ht="14.25" customHeight="1">
      <c r="B820" s="5"/>
      <c r="C820" s="5"/>
      <c r="D820" s="19"/>
      <c r="E820" s="5"/>
      <c r="F820" s="5"/>
    </row>
    <row r="821" spans="2:6" ht="14.25" customHeight="1">
      <c r="B821" s="5"/>
      <c r="C821" s="5"/>
      <c r="D821" s="19"/>
      <c r="E821" s="5"/>
      <c r="F821" s="5"/>
    </row>
    <row r="822" spans="2:6" ht="14.25" customHeight="1">
      <c r="B822" s="5"/>
      <c r="C822" s="5"/>
      <c r="D822" s="19"/>
      <c r="E822" s="5"/>
      <c r="F822" s="5"/>
    </row>
    <row r="823" spans="2:6" ht="14.25" customHeight="1">
      <c r="B823" s="5"/>
      <c r="C823" s="5"/>
      <c r="D823" s="19"/>
      <c r="E823" s="5"/>
      <c r="F823" s="5"/>
    </row>
    <row r="824" spans="2:6" ht="14.25" customHeight="1">
      <c r="B824" s="5"/>
      <c r="C824" s="5"/>
      <c r="D824" s="19"/>
      <c r="E824" s="5"/>
      <c r="F824" s="5"/>
    </row>
    <row r="825" spans="2:6" ht="14.25" customHeight="1">
      <c r="B825" s="5"/>
      <c r="C825" s="5"/>
      <c r="D825" s="19"/>
      <c r="E825" s="5"/>
      <c r="F825" s="5"/>
    </row>
    <row r="826" spans="2:6" ht="14.25" customHeight="1">
      <c r="B826" s="5"/>
      <c r="C826" s="5"/>
      <c r="D826" s="19"/>
      <c r="E826" s="5"/>
      <c r="F826" s="5"/>
    </row>
    <row r="827" spans="2:6" ht="14.25" customHeight="1">
      <c r="B827" s="5"/>
      <c r="C827" s="5"/>
      <c r="D827" s="19"/>
      <c r="E827" s="5"/>
      <c r="F827" s="5"/>
    </row>
    <row r="828" spans="2:6" ht="14.25" customHeight="1">
      <c r="B828" s="5"/>
      <c r="C828" s="5"/>
      <c r="D828" s="19"/>
      <c r="E828" s="5"/>
      <c r="F828" s="5"/>
    </row>
    <row r="829" spans="2:6" ht="14.25" customHeight="1">
      <c r="B829" s="5"/>
      <c r="C829" s="5"/>
      <c r="D829" s="19"/>
      <c r="E829" s="5"/>
      <c r="F829" s="5"/>
    </row>
    <row r="830" spans="2:6" ht="14.25" customHeight="1">
      <c r="B830" s="5"/>
      <c r="C830" s="5"/>
      <c r="D830" s="19"/>
      <c r="E830" s="5"/>
      <c r="F830" s="5"/>
    </row>
    <row r="831" spans="2:6" ht="14.25" customHeight="1">
      <c r="B831" s="5"/>
      <c r="C831" s="5"/>
      <c r="D831" s="19"/>
      <c r="E831" s="5"/>
      <c r="F831" s="5"/>
    </row>
    <row r="832" spans="2:6" ht="14.25" customHeight="1">
      <c r="B832" s="5"/>
      <c r="C832" s="5"/>
      <c r="D832" s="19"/>
      <c r="E832" s="5"/>
      <c r="F832" s="5"/>
    </row>
    <row r="833" spans="2:6" ht="14.25" customHeight="1">
      <c r="B833" s="5"/>
      <c r="C833" s="5"/>
      <c r="D833" s="19"/>
      <c r="E833" s="5"/>
      <c r="F833" s="5"/>
    </row>
    <row r="834" spans="2:6" ht="14.25" customHeight="1">
      <c r="B834" s="5"/>
      <c r="C834" s="5"/>
      <c r="D834" s="19"/>
      <c r="E834" s="5"/>
      <c r="F834" s="5"/>
    </row>
    <row r="835" spans="2:6" ht="14.25" customHeight="1">
      <c r="B835" s="5"/>
      <c r="C835" s="5"/>
      <c r="D835" s="19"/>
      <c r="E835" s="5"/>
      <c r="F835" s="5"/>
    </row>
    <row r="836" spans="2:6" ht="14.25" customHeight="1">
      <c r="B836" s="5"/>
      <c r="C836" s="5"/>
      <c r="D836" s="19"/>
      <c r="E836" s="5"/>
      <c r="F836" s="5"/>
    </row>
    <row r="837" spans="2:6" ht="14.25" customHeight="1">
      <c r="B837" s="5"/>
      <c r="C837" s="5"/>
      <c r="D837" s="19"/>
      <c r="E837" s="5"/>
      <c r="F837" s="5"/>
    </row>
    <row r="838" spans="2:6" ht="14.25" customHeight="1">
      <c r="B838" s="5"/>
      <c r="C838" s="5"/>
      <c r="D838" s="19"/>
      <c r="E838" s="5"/>
      <c r="F838" s="5"/>
    </row>
    <row r="839" spans="2:6" ht="14.25" customHeight="1">
      <c r="B839" s="5"/>
      <c r="C839" s="5"/>
      <c r="D839" s="19"/>
      <c r="E839" s="5"/>
      <c r="F839" s="5"/>
    </row>
    <row r="840" spans="2:6" ht="14.25" customHeight="1">
      <c r="B840" s="5"/>
      <c r="C840" s="5"/>
      <c r="D840" s="19"/>
      <c r="E840" s="5"/>
      <c r="F840" s="5"/>
    </row>
    <row r="841" spans="2:6" ht="14.25" customHeight="1">
      <c r="B841" s="5"/>
      <c r="C841" s="5"/>
      <c r="D841" s="19"/>
      <c r="E841" s="5"/>
      <c r="F841" s="5"/>
    </row>
    <row r="842" spans="2:6" ht="14.25" customHeight="1">
      <c r="B842" s="5"/>
      <c r="C842" s="5"/>
      <c r="D842" s="19"/>
      <c r="E842" s="5"/>
      <c r="F842" s="5"/>
    </row>
    <row r="843" spans="2:6" ht="14.25" customHeight="1">
      <c r="B843" s="5"/>
      <c r="C843" s="5"/>
      <c r="D843" s="19"/>
      <c r="E843" s="5"/>
      <c r="F843" s="5"/>
    </row>
    <row r="844" spans="2:6" ht="14.25" customHeight="1">
      <c r="B844" s="5"/>
      <c r="C844" s="5"/>
      <c r="D844" s="19"/>
      <c r="E844" s="5"/>
      <c r="F844" s="5"/>
    </row>
    <row r="845" spans="2:6" ht="14.25" customHeight="1">
      <c r="B845" s="5"/>
      <c r="C845" s="5"/>
      <c r="D845" s="19"/>
      <c r="E845" s="5"/>
      <c r="F845" s="5"/>
    </row>
    <row r="846" spans="2:6" ht="14.25" customHeight="1">
      <c r="B846" s="5"/>
      <c r="C846" s="5"/>
      <c r="D846" s="19"/>
      <c r="E846" s="5"/>
      <c r="F846" s="5"/>
    </row>
    <row r="847" spans="2:6" ht="14.25" customHeight="1">
      <c r="B847" s="5"/>
      <c r="C847" s="5"/>
      <c r="D847" s="19"/>
      <c r="E847" s="5"/>
      <c r="F847" s="5"/>
    </row>
    <row r="848" spans="2:6" ht="14.25" customHeight="1">
      <c r="B848" s="5"/>
      <c r="C848" s="5"/>
      <c r="D848" s="19"/>
      <c r="E848" s="5"/>
      <c r="F848" s="5"/>
    </row>
    <row r="849" spans="2:6" ht="14.25" customHeight="1">
      <c r="B849" s="5"/>
      <c r="C849" s="5"/>
      <c r="D849" s="19"/>
      <c r="E849" s="5"/>
      <c r="F849" s="5"/>
    </row>
    <row r="850" spans="2:6" ht="14.25" customHeight="1">
      <c r="B850" s="5"/>
      <c r="C850" s="5"/>
      <c r="D850" s="19"/>
      <c r="E850" s="5"/>
      <c r="F850" s="5"/>
    </row>
    <row r="851" spans="2:6" ht="14.25" customHeight="1">
      <c r="B851" s="5"/>
      <c r="C851" s="5"/>
      <c r="D851" s="19"/>
      <c r="E851" s="5"/>
      <c r="F851" s="5"/>
    </row>
    <row r="852" spans="2:6" ht="14.25" customHeight="1">
      <c r="B852" s="5"/>
      <c r="C852" s="5"/>
      <c r="D852" s="19"/>
      <c r="E852" s="5"/>
      <c r="F852" s="5"/>
    </row>
    <row r="853" spans="2:6" ht="14.25" customHeight="1">
      <c r="B853" s="5"/>
      <c r="C853" s="5"/>
      <c r="D853" s="19"/>
      <c r="E853" s="5"/>
      <c r="F853" s="5"/>
    </row>
    <row r="854" spans="2:6" ht="14.25" customHeight="1">
      <c r="B854" s="5"/>
      <c r="C854" s="5"/>
      <c r="D854" s="19"/>
      <c r="E854" s="5"/>
      <c r="F854" s="5"/>
    </row>
    <row r="855" spans="2:6" ht="14.25" customHeight="1">
      <c r="B855" s="5"/>
      <c r="C855" s="5"/>
      <c r="D855" s="19"/>
      <c r="E855" s="5"/>
      <c r="F855" s="5"/>
    </row>
    <row r="856" spans="2:6" ht="14.25" customHeight="1">
      <c r="B856" s="5"/>
      <c r="C856" s="5"/>
      <c r="D856" s="19"/>
      <c r="E856" s="5"/>
      <c r="F856" s="5"/>
    </row>
    <row r="857" spans="2:6" ht="14.25" customHeight="1">
      <c r="B857" s="5"/>
      <c r="C857" s="5"/>
      <c r="D857" s="19"/>
      <c r="E857" s="5"/>
      <c r="F857" s="5"/>
    </row>
    <row r="858" spans="2:6" ht="14.25" customHeight="1">
      <c r="B858" s="5"/>
      <c r="C858" s="5"/>
      <c r="D858" s="19"/>
      <c r="E858" s="5"/>
      <c r="F858" s="5"/>
    </row>
    <row r="859" spans="2:6" ht="14.25" customHeight="1">
      <c r="B859" s="5"/>
      <c r="C859" s="5"/>
      <c r="D859" s="19"/>
      <c r="E859" s="5"/>
      <c r="F859" s="5"/>
    </row>
    <row r="860" spans="2:6" ht="14.25" customHeight="1">
      <c r="B860" s="5"/>
      <c r="C860" s="5"/>
      <c r="D860" s="19"/>
      <c r="E860" s="5"/>
      <c r="F860" s="5"/>
    </row>
    <row r="861" spans="2:6" ht="14.25" customHeight="1">
      <c r="B861" s="5"/>
      <c r="C861" s="5"/>
      <c r="D861" s="19"/>
      <c r="E861" s="5"/>
      <c r="F861" s="5"/>
    </row>
    <row r="862" spans="2:6" ht="14.25" customHeight="1">
      <c r="B862" s="5"/>
      <c r="C862" s="5"/>
      <c r="D862" s="19"/>
      <c r="E862" s="5"/>
      <c r="F862" s="5"/>
    </row>
    <row r="863" spans="2:6" ht="14.25" customHeight="1">
      <c r="B863" s="5"/>
      <c r="C863" s="5"/>
      <c r="D863" s="19"/>
      <c r="E863" s="5"/>
      <c r="F863" s="5"/>
    </row>
    <row r="864" spans="2:6" ht="14.25" customHeight="1">
      <c r="B864" s="5"/>
      <c r="C864" s="5"/>
      <c r="D864" s="19"/>
      <c r="E864" s="5"/>
      <c r="F864" s="5"/>
    </row>
    <row r="865" spans="2:6" ht="14.25" customHeight="1">
      <c r="B865" s="5"/>
      <c r="C865" s="5"/>
      <c r="D865" s="19"/>
      <c r="E865" s="5"/>
      <c r="F865" s="5"/>
    </row>
    <row r="866" spans="2:6" ht="14.25" customHeight="1">
      <c r="B866" s="5"/>
      <c r="C866" s="5"/>
      <c r="D866" s="19"/>
      <c r="E866" s="5"/>
      <c r="F866" s="5"/>
    </row>
    <row r="867" spans="2:6" ht="14.25" customHeight="1">
      <c r="B867" s="5"/>
      <c r="C867" s="5"/>
      <c r="D867" s="19"/>
      <c r="E867" s="5"/>
      <c r="F867" s="5"/>
    </row>
    <row r="868" spans="2:6" ht="14.25" customHeight="1">
      <c r="B868" s="5"/>
      <c r="C868" s="5"/>
      <c r="D868" s="19"/>
      <c r="E868" s="5"/>
      <c r="F868" s="5"/>
    </row>
    <row r="869" spans="2:6" ht="14.25" customHeight="1">
      <c r="B869" s="5"/>
      <c r="C869" s="5"/>
      <c r="D869" s="19"/>
      <c r="E869" s="5"/>
      <c r="F869" s="5"/>
    </row>
    <row r="870" spans="2:6" ht="14.25" customHeight="1">
      <c r="B870" s="5"/>
      <c r="C870" s="5"/>
      <c r="D870" s="19"/>
      <c r="E870" s="5"/>
      <c r="F870" s="5"/>
    </row>
    <row r="871" spans="2:6" ht="14.25" customHeight="1">
      <c r="B871" s="5"/>
      <c r="C871" s="5"/>
      <c r="D871" s="19"/>
      <c r="E871" s="5"/>
      <c r="F871" s="5"/>
    </row>
    <row r="872" spans="2:6" ht="14.25" customHeight="1">
      <c r="B872" s="5"/>
      <c r="C872" s="5"/>
      <c r="D872" s="19"/>
      <c r="E872" s="5"/>
      <c r="F872" s="5"/>
    </row>
    <row r="873" spans="2:6" ht="14.25" customHeight="1">
      <c r="B873" s="5"/>
      <c r="C873" s="5"/>
      <c r="D873" s="19"/>
      <c r="E873" s="5"/>
      <c r="F873" s="5"/>
    </row>
    <row r="874" spans="2:6" ht="14.25" customHeight="1">
      <c r="B874" s="5"/>
      <c r="C874" s="5"/>
      <c r="D874" s="19"/>
      <c r="E874" s="5"/>
      <c r="F874" s="5"/>
    </row>
    <row r="875" spans="2:6" ht="14.25" customHeight="1">
      <c r="B875" s="5"/>
      <c r="C875" s="5"/>
      <c r="D875" s="19"/>
      <c r="E875" s="5"/>
      <c r="F875" s="5"/>
    </row>
    <row r="876" spans="2:6" ht="14.25" customHeight="1">
      <c r="B876" s="5"/>
      <c r="C876" s="5"/>
      <c r="D876" s="19"/>
      <c r="E876" s="5"/>
      <c r="F876" s="5"/>
    </row>
    <row r="877" spans="2:6" ht="14.25" customHeight="1">
      <c r="B877" s="5"/>
      <c r="C877" s="5"/>
      <c r="D877" s="19"/>
      <c r="E877" s="5"/>
      <c r="F877" s="5"/>
    </row>
    <row r="878" spans="2:6" ht="14.25" customHeight="1">
      <c r="B878" s="5"/>
      <c r="C878" s="5"/>
      <c r="D878" s="19"/>
      <c r="E878" s="5"/>
      <c r="F878" s="5"/>
    </row>
    <row r="879" spans="2:6" ht="14.25" customHeight="1">
      <c r="B879" s="5"/>
      <c r="C879" s="5"/>
      <c r="D879" s="19"/>
      <c r="E879" s="5"/>
      <c r="F879" s="5"/>
    </row>
    <row r="880" spans="2:6" ht="14.25" customHeight="1">
      <c r="B880" s="5"/>
      <c r="C880" s="5"/>
      <c r="D880" s="19"/>
      <c r="E880" s="5"/>
      <c r="F880" s="5"/>
    </row>
    <row r="881" spans="2:6" ht="14.25" customHeight="1">
      <c r="B881" s="5"/>
      <c r="C881" s="5"/>
      <c r="D881" s="19"/>
      <c r="E881" s="5"/>
      <c r="F881" s="5"/>
    </row>
    <row r="882" spans="2:6" ht="14.25" customHeight="1">
      <c r="B882" s="5"/>
      <c r="C882" s="5"/>
      <c r="D882" s="19"/>
      <c r="E882" s="5"/>
      <c r="F882" s="5"/>
    </row>
    <row r="883" spans="2:6" ht="14.25" customHeight="1">
      <c r="B883" s="5"/>
      <c r="C883" s="5"/>
      <c r="D883" s="19"/>
      <c r="E883" s="5"/>
      <c r="F883" s="5"/>
    </row>
    <row r="884" spans="2:6" ht="14.25" customHeight="1">
      <c r="B884" s="5"/>
      <c r="C884" s="5"/>
      <c r="D884" s="19"/>
      <c r="E884" s="5"/>
      <c r="F884" s="5"/>
    </row>
    <row r="885" spans="2:6" ht="14.25" customHeight="1">
      <c r="B885" s="5"/>
      <c r="C885" s="5"/>
      <c r="D885" s="19"/>
      <c r="E885" s="5"/>
      <c r="F885" s="5"/>
    </row>
    <row r="886" spans="2:6" ht="14.25" customHeight="1">
      <c r="B886" s="5"/>
      <c r="C886" s="5"/>
      <c r="D886" s="19"/>
      <c r="E886" s="5"/>
      <c r="F886" s="5"/>
    </row>
    <row r="887" spans="2:6" ht="14.25" customHeight="1">
      <c r="B887" s="5"/>
      <c r="C887" s="5"/>
      <c r="D887" s="19"/>
      <c r="E887" s="5"/>
      <c r="F887" s="5"/>
    </row>
    <row r="888" spans="2:6" ht="14.25" customHeight="1">
      <c r="B888" s="5"/>
      <c r="C888" s="5"/>
      <c r="D888" s="19"/>
      <c r="E888" s="5"/>
      <c r="F888" s="5"/>
    </row>
    <row r="889" spans="2:6" ht="14.25" customHeight="1">
      <c r="B889" s="5"/>
      <c r="C889" s="5"/>
      <c r="D889" s="19"/>
      <c r="E889" s="5"/>
      <c r="F889" s="5"/>
    </row>
    <row r="890" spans="2:6" ht="14.25" customHeight="1">
      <c r="B890" s="5"/>
      <c r="C890" s="5"/>
      <c r="D890" s="19"/>
      <c r="E890" s="5"/>
      <c r="F890" s="5"/>
    </row>
    <row r="891" spans="2:6" ht="14.25" customHeight="1">
      <c r="B891" s="5"/>
      <c r="C891" s="5"/>
      <c r="D891" s="19"/>
      <c r="E891" s="5"/>
      <c r="F891" s="5"/>
    </row>
    <row r="892" spans="2:6" ht="14.25" customHeight="1">
      <c r="B892" s="5"/>
      <c r="C892" s="5"/>
      <c r="D892" s="19"/>
      <c r="E892" s="5"/>
      <c r="F892" s="5"/>
    </row>
    <row r="893" spans="2:6" ht="14.25" customHeight="1">
      <c r="B893" s="5"/>
      <c r="C893" s="5"/>
      <c r="D893" s="19"/>
      <c r="E893" s="5"/>
      <c r="F893" s="5"/>
    </row>
    <row r="894" spans="2:6" ht="14.25" customHeight="1">
      <c r="B894" s="5"/>
      <c r="C894" s="5"/>
      <c r="D894" s="19"/>
      <c r="E894" s="5"/>
      <c r="F894" s="5"/>
    </row>
    <row r="895" spans="2:6" ht="14.25" customHeight="1">
      <c r="B895" s="5"/>
      <c r="C895" s="5"/>
      <c r="D895" s="19"/>
      <c r="E895" s="5"/>
      <c r="F895" s="5"/>
    </row>
    <row r="896" spans="2:6" ht="14.25" customHeight="1">
      <c r="B896" s="5"/>
      <c r="C896" s="5"/>
      <c r="D896" s="19"/>
      <c r="E896" s="5"/>
      <c r="F896" s="5"/>
    </row>
    <row r="897" spans="2:6" ht="14.25" customHeight="1">
      <c r="B897" s="5"/>
      <c r="C897" s="5"/>
      <c r="D897" s="19"/>
      <c r="E897" s="5"/>
      <c r="F897" s="5"/>
    </row>
    <row r="898" spans="2:6" ht="14.25" customHeight="1">
      <c r="B898" s="5"/>
      <c r="C898" s="5"/>
      <c r="D898" s="19"/>
      <c r="E898" s="5"/>
      <c r="F898" s="5"/>
    </row>
    <row r="899" spans="2:6" ht="14.25" customHeight="1">
      <c r="B899" s="5"/>
      <c r="C899" s="5"/>
      <c r="D899" s="19"/>
      <c r="E899" s="5"/>
      <c r="F899" s="5"/>
    </row>
    <row r="900" spans="2:6" ht="14.25" customHeight="1">
      <c r="B900" s="5"/>
      <c r="C900" s="5"/>
      <c r="D900" s="19"/>
      <c r="E900" s="5"/>
      <c r="F900" s="5"/>
    </row>
    <row r="901" spans="2:6" ht="14.25" customHeight="1">
      <c r="B901" s="5"/>
      <c r="C901" s="5"/>
      <c r="D901" s="19"/>
      <c r="E901" s="5"/>
      <c r="F901" s="5"/>
    </row>
    <row r="902" spans="2:6" ht="14.25" customHeight="1">
      <c r="B902" s="5"/>
      <c r="C902" s="5"/>
      <c r="D902" s="19"/>
      <c r="E902" s="5"/>
      <c r="F902" s="5"/>
    </row>
    <row r="903" spans="2:6" ht="14.25" customHeight="1">
      <c r="B903" s="5"/>
      <c r="C903" s="5"/>
      <c r="D903" s="19"/>
      <c r="E903" s="5"/>
      <c r="F903" s="5"/>
    </row>
    <row r="904" spans="2:6" ht="14.25" customHeight="1">
      <c r="B904" s="5"/>
      <c r="C904" s="5"/>
      <c r="D904" s="19"/>
      <c r="E904" s="5"/>
      <c r="F904" s="5"/>
    </row>
    <row r="905" spans="2:6" ht="14.25" customHeight="1">
      <c r="B905" s="5"/>
      <c r="C905" s="5"/>
      <c r="D905" s="19"/>
      <c r="E905" s="5"/>
      <c r="F905" s="5"/>
    </row>
    <row r="906" spans="2:6" ht="14.25" customHeight="1">
      <c r="B906" s="5"/>
      <c r="C906" s="5"/>
      <c r="D906" s="19"/>
      <c r="E906" s="5"/>
      <c r="F906" s="5"/>
    </row>
    <row r="907" spans="2:6" ht="14.25" customHeight="1">
      <c r="B907" s="5"/>
      <c r="C907" s="5"/>
      <c r="D907" s="19"/>
      <c r="E907" s="5"/>
      <c r="F907" s="5"/>
    </row>
    <row r="908" spans="2:6" ht="14.25" customHeight="1">
      <c r="B908" s="5"/>
      <c r="C908" s="5"/>
      <c r="D908" s="19"/>
      <c r="E908" s="5"/>
      <c r="F908" s="5"/>
    </row>
    <row r="909" spans="2:6" ht="14.25" customHeight="1">
      <c r="B909" s="5"/>
      <c r="C909" s="5"/>
      <c r="D909" s="19"/>
      <c r="E909" s="5"/>
      <c r="F909" s="5"/>
    </row>
    <row r="910" spans="2:6" ht="14.25" customHeight="1">
      <c r="B910" s="5"/>
      <c r="C910" s="5"/>
      <c r="D910" s="19"/>
      <c r="E910" s="5"/>
      <c r="F910" s="5"/>
    </row>
    <row r="911" spans="2:6" ht="14.25" customHeight="1">
      <c r="B911" s="5"/>
      <c r="C911" s="5"/>
      <c r="D911" s="19"/>
      <c r="E911" s="5"/>
      <c r="F911" s="5"/>
    </row>
    <row r="912" spans="2:6" ht="14.25" customHeight="1">
      <c r="B912" s="5"/>
      <c r="C912" s="5"/>
      <c r="D912" s="19"/>
      <c r="E912" s="5"/>
      <c r="F912" s="5"/>
    </row>
    <row r="913" spans="2:6" ht="14.25" customHeight="1">
      <c r="B913" s="5"/>
      <c r="C913" s="5"/>
      <c r="D913" s="19"/>
      <c r="E913" s="5"/>
      <c r="F913" s="5"/>
    </row>
    <row r="914" spans="2:6" ht="14.25" customHeight="1">
      <c r="B914" s="5"/>
      <c r="C914" s="5"/>
      <c r="D914" s="19"/>
      <c r="E914" s="5"/>
      <c r="F914" s="5"/>
    </row>
    <row r="915" spans="2:6" ht="14.25" customHeight="1">
      <c r="B915" s="5"/>
      <c r="C915" s="5"/>
      <c r="D915" s="19"/>
      <c r="E915" s="5"/>
      <c r="F915" s="5"/>
    </row>
    <row r="916" spans="2:6" ht="14.25" customHeight="1">
      <c r="B916" s="5"/>
      <c r="C916" s="5"/>
      <c r="D916" s="19"/>
      <c r="E916" s="5"/>
      <c r="F916" s="5"/>
    </row>
    <row r="917" spans="2:6" ht="14.25" customHeight="1">
      <c r="B917" s="5"/>
      <c r="C917" s="5"/>
      <c r="D917" s="19"/>
      <c r="E917" s="5"/>
      <c r="F917" s="5"/>
    </row>
    <row r="918" spans="2:6" ht="14.25" customHeight="1">
      <c r="B918" s="5"/>
      <c r="C918" s="5"/>
      <c r="D918" s="19"/>
      <c r="E918" s="5"/>
      <c r="F918" s="5"/>
    </row>
    <row r="919" spans="2:6" ht="14.25" customHeight="1">
      <c r="B919" s="5"/>
      <c r="C919" s="5"/>
      <c r="D919" s="19"/>
      <c r="E919" s="5"/>
      <c r="F919" s="5"/>
    </row>
    <row r="920" spans="2:6" ht="14.25" customHeight="1">
      <c r="B920" s="5"/>
      <c r="C920" s="5"/>
      <c r="D920" s="19"/>
      <c r="E920" s="5"/>
      <c r="F920" s="5"/>
    </row>
    <row r="921" spans="2:6" ht="14.25" customHeight="1">
      <c r="B921" s="5"/>
      <c r="C921" s="5"/>
      <c r="D921" s="19"/>
      <c r="E921" s="5"/>
      <c r="F921" s="5"/>
    </row>
    <row r="922" spans="2:6" ht="14.25" customHeight="1">
      <c r="B922" s="5"/>
      <c r="C922" s="5"/>
      <c r="D922" s="19"/>
      <c r="E922" s="5"/>
      <c r="F922" s="5"/>
    </row>
    <row r="923" spans="2:6" ht="14.25" customHeight="1">
      <c r="B923" s="5"/>
      <c r="C923" s="5"/>
      <c r="D923" s="19"/>
      <c r="E923" s="5"/>
      <c r="F923" s="5"/>
    </row>
    <row r="924" spans="2:6" ht="14.25" customHeight="1">
      <c r="B924" s="5"/>
      <c r="C924" s="5"/>
      <c r="D924" s="19"/>
      <c r="E924" s="5"/>
      <c r="F924" s="5"/>
    </row>
    <row r="925" spans="2:6" ht="14.25" customHeight="1">
      <c r="B925" s="5"/>
      <c r="C925" s="5"/>
      <c r="D925" s="19"/>
      <c r="E925" s="5"/>
      <c r="F925" s="5"/>
    </row>
    <row r="926" spans="2:6" ht="14.25" customHeight="1">
      <c r="B926" s="5"/>
      <c r="C926" s="5"/>
      <c r="D926" s="19"/>
      <c r="E926" s="5"/>
      <c r="F926" s="5"/>
    </row>
    <row r="927" spans="2:6" ht="14.25" customHeight="1">
      <c r="B927" s="5"/>
      <c r="C927" s="5"/>
      <c r="D927" s="19"/>
      <c r="E927" s="5"/>
      <c r="F927" s="5"/>
    </row>
    <row r="928" spans="2:6" ht="14.25" customHeight="1">
      <c r="B928" s="5"/>
      <c r="C928" s="5"/>
      <c r="D928" s="19"/>
      <c r="E928" s="5"/>
      <c r="F928" s="5"/>
    </row>
    <row r="929" spans="2:6" ht="14.25" customHeight="1">
      <c r="B929" s="5"/>
      <c r="C929" s="5"/>
      <c r="D929" s="19"/>
      <c r="E929" s="5"/>
      <c r="F929" s="5"/>
    </row>
    <row r="930" spans="2:6" ht="14.25" customHeight="1">
      <c r="B930" s="5"/>
      <c r="C930" s="5"/>
      <c r="D930" s="19"/>
      <c r="E930" s="5"/>
      <c r="F930" s="5"/>
    </row>
    <row r="931" spans="2:6" ht="14.25" customHeight="1">
      <c r="B931" s="5"/>
      <c r="C931" s="5"/>
      <c r="D931" s="19"/>
      <c r="E931" s="5"/>
      <c r="F931" s="5"/>
    </row>
    <row r="932" spans="2:6" ht="14.25" customHeight="1">
      <c r="B932" s="5"/>
      <c r="C932" s="5"/>
      <c r="D932" s="19"/>
      <c r="E932" s="5"/>
      <c r="F932" s="5"/>
    </row>
    <row r="933" spans="2:6" ht="14.25" customHeight="1">
      <c r="B933" s="5"/>
      <c r="C933" s="5"/>
      <c r="D933" s="19"/>
      <c r="E933" s="5"/>
      <c r="F933" s="5"/>
    </row>
    <row r="934" spans="2:6" ht="14.25" customHeight="1">
      <c r="B934" s="5"/>
      <c r="C934" s="5"/>
      <c r="D934" s="19"/>
      <c r="E934" s="5"/>
      <c r="F934" s="5"/>
    </row>
    <row r="935" spans="2:6" ht="14.25" customHeight="1">
      <c r="B935" s="5"/>
      <c r="C935" s="5"/>
      <c r="D935" s="19"/>
      <c r="E935" s="5"/>
      <c r="F935" s="5"/>
    </row>
    <row r="936" spans="2:6" ht="14.25" customHeight="1">
      <c r="B936" s="5"/>
      <c r="C936" s="5"/>
      <c r="D936" s="19"/>
      <c r="E936" s="5"/>
      <c r="F936" s="5"/>
    </row>
    <row r="937" spans="2:6" ht="14.25" customHeight="1">
      <c r="B937" s="5"/>
      <c r="C937" s="5"/>
      <c r="D937" s="19"/>
      <c r="E937" s="5"/>
      <c r="F937" s="5"/>
    </row>
    <row r="938" spans="2:6" ht="14.25" customHeight="1">
      <c r="B938" s="5"/>
      <c r="C938" s="5"/>
      <c r="D938" s="19"/>
      <c r="E938" s="5"/>
      <c r="F938" s="5"/>
    </row>
    <row r="939" spans="2:6" ht="14.25" customHeight="1">
      <c r="B939" s="5"/>
      <c r="C939" s="5"/>
      <c r="D939" s="19"/>
      <c r="E939" s="5"/>
      <c r="F939" s="5"/>
    </row>
    <row r="940" spans="2:6" ht="14.25" customHeight="1">
      <c r="B940" s="5"/>
      <c r="C940" s="5"/>
      <c r="D940" s="19"/>
      <c r="E940" s="5"/>
      <c r="F940" s="5"/>
    </row>
    <row r="941" spans="2:6" ht="14.25" customHeight="1">
      <c r="B941" s="5"/>
      <c r="C941" s="5"/>
      <c r="D941" s="19"/>
      <c r="E941" s="5"/>
      <c r="F941" s="5"/>
    </row>
    <row r="942" spans="2:6" ht="14.25" customHeight="1">
      <c r="B942" s="5"/>
      <c r="C942" s="5"/>
      <c r="D942" s="19"/>
      <c r="E942" s="5"/>
      <c r="F942" s="5"/>
    </row>
    <row r="943" spans="2:6" ht="14.25" customHeight="1">
      <c r="B943" s="5"/>
      <c r="C943" s="5"/>
      <c r="D943" s="19"/>
      <c r="E943" s="5"/>
      <c r="F943" s="5"/>
    </row>
    <row r="944" spans="2:6" ht="14.25" customHeight="1">
      <c r="B944" s="5"/>
      <c r="C944" s="5"/>
      <c r="D944" s="19"/>
      <c r="E944" s="5"/>
      <c r="F944" s="5"/>
    </row>
    <row r="945" spans="2:6" ht="14.25" customHeight="1">
      <c r="B945" s="5"/>
      <c r="C945" s="5"/>
      <c r="D945" s="19"/>
      <c r="E945" s="5"/>
      <c r="F945" s="5"/>
    </row>
    <row r="946" spans="2:6" ht="14.25" customHeight="1">
      <c r="B946" s="5"/>
      <c r="C946" s="5"/>
      <c r="D946" s="19"/>
      <c r="E946" s="5"/>
      <c r="F946" s="5"/>
    </row>
    <row r="947" spans="2:6" ht="14.25" customHeight="1">
      <c r="B947" s="5"/>
      <c r="C947" s="5"/>
      <c r="D947" s="19"/>
      <c r="E947" s="5"/>
      <c r="F947" s="5"/>
    </row>
    <row r="948" spans="2:6" ht="14.25" customHeight="1">
      <c r="B948" s="5"/>
      <c r="C948" s="5"/>
      <c r="D948" s="19"/>
      <c r="E948" s="5"/>
      <c r="F948" s="5"/>
    </row>
    <row r="949" spans="2:6" ht="14.25" customHeight="1">
      <c r="B949" s="5"/>
      <c r="C949" s="5"/>
      <c r="D949" s="19"/>
      <c r="E949" s="5"/>
      <c r="F949" s="5"/>
    </row>
    <row r="950" spans="2:6" ht="14.25" customHeight="1">
      <c r="B950" s="5"/>
      <c r="C950" s="5"/>
      <c r="D950" s="19"/>
      <c r="E950" s="5"/>
      <c r="F950" s="5"/>
    </row>
    <row r="951" spans="2:6" ht="14.25" customHeight="1">
      <c r="B951" s="5"/>
      <c r="C951" s="5"/>
      <c r="D951" s="19"/>
      <c r="E951" s="5"/>
      <c r="F951" s="5"/>
    </row>
    <row r="952" spans="2:6" ht="14.25" customHeight="1">
      <c r="B952" s="5"/>
      <c r="C952" s="5"/>
      <c r="D952" s="19"/>
      <c r="E952" s="5"/>
      <c r="F952" s="5"/>
    </row>
    <row r="953" spans="2:6" ht="14.25" customHeight="1">
      <c r="B953" s="5"/>
      <c r="C953" s="5"/>
      <c r="D953" s="19"/>
      <c r="E953" s="5"/>
      <c r="F953" s="5"/>
    </row>
    <row r="954" spans="2:6" ht="14.25" customHeight="1">
      <c r="B954" s="5"/>
      <c r="C954" s="5"/>
      <c r="D954" s="19"/>
      <c r="E954" s="5"/>
      <c r="F954" s="5"/>
    </row>
    <row r="955" spans="2:6" ht="14.25" customHeight="1">
      <c r="B955" s="5"/>
      <c r="C955" s="5"/>
      <c r="D955" s="19"/>
      <c r="E955" s="5"/>
      <c r="F955" s="5"/>
    </row>
    <row r="956" spans="2:6" ht="14.25" customHeight="1">
      <c r="B956" s="5"/>
      <c r="C956" s="5"/>
      <c r="D956" s="19"/>
      <c r="E956" s="5"/>
      <c r="F956" s="5"/>
    </row>
    <row r="957" spans="2:6" ht="14.25" customHeight="1">
      <c r="B957" s="5"/>
      <c r="C957" s="5"/>
      <c r="D957" s="19"/>
      <c r="E957" s="5"/>
      <c r="F957" s="5"/>
    </row>
    <row r="958" spans="2:6" ht="14.25" customHeight="1">
      <c r="B958" s="5"/>
      <c r="C958" s="5"/>
      <c r="D958" s="19"/>
      <c r="E958" s="5"/>
      <c r="F958" s="5"/>
    </row>
    <row r="959" spans="2:6" ht="14.25" customHeight="1">
      <c r="B959" s="5"/>
      <c r="C959" s="5"/>
      <c r="D959" s="19"/>
      <c r="E959" s="5"/>
      <c r="F959" s="5"/>
    </row>
    <row r="960" spans="2:6" ht="14.25" customHeight="1">
      <c r="B960" s="5"/>
      <c r="C960" s="5"/>
      <c r="D960" s="19"/>
      <c r="E960" s="5"/>
      <c r="F960" s="5"/>
    </row>
    <row r="961" spans="2:6" ht="14.25" customHeight="1">
      <c r="B961" s="5"/>
      <c r="C961" s="5"/>
      <c r="D961" s="19"/>
      <c r="E961" s="5"/>
      <c r="F961" s="5"/>
    </row>
    <row r="962" spans="2:6" ht="14.25" customHeight="1">
      <c r="B962" s="5"/>
      <c r="C962" s="5"/>
      <c r="D962" s="19"/>
      <c r="E962" s="5"/>
      <c r="F962" s="5"/>
    </row>
    <row r="963" spans="2:6" ht="14.25" customHeight="1">
      <c r="B963" s="5"/>
      <c r="C963" s="5"/>
      <c r="D963" s="19"/>
      <c r="E963" s="5"/>
      <c r="F963" s="5"/>
    </row>
    <row r="964" spans="2:6" ht="14.25" customHeight="1">
      <c r="B964" s="5"/>
      <c r="C964" s="5"/>
      <c r="D964" s="19"/>
      <c r="E964" s="5"/>
      <c r="F964" s="5"/>
    </row>
    <row r="965" spans="2:6" ht="14.25" customHeight="1">
      <c r="B965" s="5"/>
      <c r="C965" s="5"/>
      <c r="D965" s="19"/>
      <c r="E965" s="5"/>
      <c r="F965" s="5"/>
    </row>
    <row r="966" spans="2:6" ht="14.25" customHeight="1">
      <c r="B966" s="5"/>
      <c r="C966" s="5"/>
      <c r="D966" s="19"/>
      <c r="E966" s="5"/>
      <c r="F966" s="5"/>
    </row>
    <row r="967" spans="2:6" ht="14.25" customHeight="1">
      <c r="B967" s="5"/>
      <c r="C967" s="5"/>
      <c r="D967" s="19"/>
      <c r="E967" s="5"/>
      <c r="F967" s="5"/>
    </row>
    <row r="968" spans="2:6" ht="14.25" customHeight="1">
      <c r="B968" s="5"/>
      <c r="C968" s="5"/>
      <c r="D968" s="19"/>
      <c r="E968" s="5"/>
      <c r="F968" s="5"/>
    </row>
    <row r="969" spans="2:6" ht="14.25" customHeight="1">
      <c r="B969" s="5"/>
      <c r="C969" s="5"/>
      <c r="D969" s="19"/>
      <c r="E969" s="5"/>
      <c r="F969" s="5"/>
    </row>
    <row r="970" spans="2:6" ht="14.25" customHeight="1">
      <c r="B970" s="5"/>
      <c r="C970" s="5"/>
      <c r="D970" s="19"/>
      <c r="E970" s="5"/>
      <c r="F970" s="5"/>
    </row>
    <row r="971" spans="2:6" ht="14.25" customHeight="1">
      <c r="B971" s="5"/>
      <c r="C971" s="5"/>
      <c r="D971" s="19"/>
      <c r="E971" s="5"/>
      <c r="F971" s="5"/>
    </row>
    <row r="972" spans="2:6" ht="14.25" customHeight="1">
      <c r="B972" s="5"/>
      <c r="C972" s="5"/>
      <c r="D972" s="19"/>
      <c r="E972" s="5"/>
      <c r="F972" s="5"/>
    </row>
    <row r="973" spans="2:6" ht="14.25" customHeight="1">
      <c r="B973" s="5"/>
      <c r="C973" s="5"/>
      <c r="D973" s="19"/>
      <c r="E973" s="5"/>
      <c r="F973" s="5"/>
    </row>
    <row r="974" spans="2:6" ht="14.25" customHeight="1">
      <c r="B974" s="5"/>
      <c r="C974" s="5"/>
      <c r="D974" s="19"/>
      <c r="E974" s="5"/>
      <c r="F974" s="5"/>
    </row>
    <row r="975" spans="2:6" ht="14.25" customHeight="1">
      <c r="B975" s="5"/>
      <c r="C975" s="5"/>
      <c r="D975" s="19"/>
      <c r="E975" s="5"/>
      <c r="F975" s="5"/>
    </row>
    <row r="976" spans="2:6" ht="14.25" customHeight="1">
      <c r="B976" s="5"/>
      <c r="C976" s="5"/>
      <c r="D976" s="19"/>
      <c r="E976" s="5"/>
      <c r="F976" s="5"/>
    </row>
    <row r="977" spans="2:6" ht="14.25" customHeight="1">
      <c r="B977" s="5"/>
      <c r="C977" s="5"/>
      <c r="D977" s="19"/>
      <c r="E977" s="5"/>
      <c r="F977" s="5"/>
    </row>
    <row r="978" spans="2:6" ht="14.25" customHeight="1">
      <c r="B978" s="5"/>
      <c r="C978" s="5"/>
      <c r="D978" s="19"/>
      <c r="E978" s="5"/>
      <c r="F978" s="5"/>
    </row>
    <row r="979" spans="2:6" ht="14.25" customHeight="1">
      <c r="B979" s="5"/>
      <c r="C979" s="5"/>
      <c r="D979" s="19"/>
      <c r="E979" s="5"/>
      <c r="F979" s="5"/>
    </row>
    <row r="980" spans="2:6" ht="14.25" customHeight="1">
      <c r="B980" s="5"/>
      <c r="C980" s="5"/>
      <c r="D980" s="19"/>
      <c r="E980" s="5"/>
      <c r="F980" s="5"/>
    </row>
    <row r="981" spans="2:6" ht="14.25" customHeight="1">
      <c r="B981" s="5"/>
      <c r="C981" s="5"/>
      <c r="D981" s="19"/>
      <c r="E981" s="5"/>
      <c r="F981" s="5"/>
    </row>
    <row r="982" spans="2:6" ht="14.25" customHeight="1">
      <c r="B982" s="5"/>
      <c r="C982" s="5"/>
      <c r="D982" s="19"/>
      <c r="E982" s="5"/>
      <c r="F982" s="5"/>
    </row>
    <row r="983" spans="2:6" ht="14.25" customHeight="1">
      <c r="B983" s="5"/>
      <c r="C983" s="5"/>
      <c r="D983" s="19"/>
      <c r="E983" s="5"/>
      <c r="F983" s="5"/>
    </row>
    <row r="984" spans="2:6" ht="14.25" customHeight="1">
      <c r="B984" s="5"/>
      <c r="C984" s="5"/>
      <c r="D984" s="19"/>
      <c r="E984" s="5"/>
      <c r="F984" s="5"/>
    </row>
    <row r="985" spans="2:6" ht="14.25" customHeight="1">
      <c r="B985" s="5"/>
      <c r="C985" s="5"/>
      <c r="D985" s="19"/>
      <c r="E985" s="5"/>
      <c r="F985" s="5"/>
    </row>
    <row r="986" spans="2:6" ht="14.25" customHeight="1">
      <c r="B986" s="5"/>
      <c r="C986" s="5"/>
      <c r="D986" s="19"/>
      <c r="E986" s="5"/>
      <c r="F986" s="5"/>
    </row>
    <row r="987" spans="2:6" ht="14.25" customHeight="1">
      <c r="B987" s="5"/>
      <c r="C987" s="5"/>
      <c r="D987" s="19"/>
      <c r="E987" s="5"/>
      <c r="F987" s="5"/>
    </row>
    <row r="988" spans="2:6" ht="14.25" customHeight="1">
      <c r="B988" s="5"/>
      <c r="C988" s="5"/>
      <c r="D988" s="19"/>
      <c r="E988" s="5"/>
      <c r="F988" s="5"/>
    </row>
    <row r="989" spans="2:6" ht="14.25" customHeight="1">
      <c r="B989" s="5"/>
      <c r="C989" s="5"/>
      <c r="D989" s="19"/>
      <c r="E989" s="5"/>
      <c r="F989" s="5"/>
    </row>
    <row r="990" spans="2:6" ht="14.25" customHeight="1">
      <c r="B990" s="5"/>
      <c r="C990" s="5"/>
      <c r="D990" s="19"/>
      <c r="E990" s="5"/>
      <c r="F990" s="5"/>
    </row>
    <row r="991" spans="2:6" ht="14.25" customHeight="1">
      <c r="B991" s="5"/>
      <c r="C991" s="5"/>
      <c r="D991" s="19"/>
      <c r="E991" s="5"/>
      <c r="F991" s="5"/>
    </row>
    <row r="992" spans="2:6" ht="14.25" customHeight="1">
      <c r="B992" s="5"/>
      <c r="C992" s="5"/>
      <c r="D992" s="19"/>
      <c r="E992" s="5"/>
      <c r="F992" s="5"/>
    </row>
    <row r="993" spans="2:6" ht="14.25" customHeight="1">
      <c r="B993" s="5"/>
      <c r="C993" s="5"/>
      <c r="D993" s="19"/>
      <c r="E993" s="5"/>
      <c r="F993" s="5"/>
    </row>
    <row r="994" spans="2:6" ht="14.25" customHeight="1">
      <c r="B994" s="5"/>
      <c r="C994" s="5"/>
      <c r="D994" s="19"/>
      <c r="E994" s="5"/>
      <c r="F994" s="5"/>
    </row>
    <row r="995" spans="2:6" ht="14.25" customHeight="1">
      <c r="B995" s="5"/>
      <c r="C995" s="5"/>
      <c r="D995" s="19"/>
      <c r="E995" s="5"/>
      <c r="F995" s="5"/>
    </row>
    <row r="996" spans="2:6" ht="14.25" customHeight="1">
      <c r="B996" s="5"/>
      <c r="C996" s="5"/>
      <c r="D996" s="19"/>
      <c r="E996" s="5"/>
      <c r="F996" s="5"/>
    </row>
    <row r="997" spans="2:6" ht="14.25" customHeight="1">
      <c r="B997" s="5"/>
      <c r="C997" s="5"/>
      <c r="D997" s="19"/>
      <c r="E997" s="5"/>
      <c r="F997" s="5"/>
    </row>
    <row r="998" spans="2:6" ht="14.25" customHeight="1">
      <c r="B998" s="5"/>
      <c r="C998" s="5"/>
      <c r="D998" s="19"/>
      <c r="E998" s="5"/>
      <c r="F998" s="5"/>
    </row>
    <row r="999" spans="2:6" ht="14.25" customHeight="1">
      <c r="B999" s="5"/>
      <c r="C999" s="5"/>
      <c r="D999" s="19"/>
      <c r="E999" s="5"/>
      <c r="F999" s="5"/>
    </row>
    <row r="1000" spans="2:6" ht="14.25" customHeight="1">
      <c r="B1000" s="5"/>
      <c r="C1000" s="5"/>
      <c r="D1000" s="19"/>
      <c r="E1000" s="5"/>
      <c r="F1000" s="5"/>
    </row>
  </sheetData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470" activePane="bottomLeft" state="frozen"/>
      <selection pane="bottomLeft" activeCell="G500" sqref="G500"/>
    </sheetView>
  </sheetViews>
  <sheetFormatPr defaultColWidth="14.42578125" defaultRowHeight="15" customHeight="1"/>
  <cols>
    <col min="1" max="1" width="11.140625" customWidth="1"/>
    <col min="2" max="2" width="6.42578125" customWidth="1"/>
    <col min="3" max="3" width="27.7109375" customWidth="1"/>
    <col min="4" max="4" width="10.7109375" customWidth="1"/>
    <col min="5" max="5" width="12.85546875" customWidth="1"/>
    <col min="6" max="6" width="26.7109375" customWidth="1"/>
    <col min="7" max="7" width="8.28515625" customWidth="1"/>
    <col min="8" max="8" width="11.140625" customWidth="1"/>
    <col min="9" max="9" width="13.85546875" customWidth="1"/>
    <col min="10" max="10" width="16.42578125" customWidth="1"/>
    <col min="11" max="11" width="14.85546875" customWidth="1"/>
    <col min="12" max="12" width="8.42578125" customWidth="1"/>
    <col min="13" max="13" width="9.140625" customWidth="1"/>
    <col min="14" max="26" width="8.7109375" customWidth="1"/>
  </cols>
  <sheetData>
    <row r="1" spans="1:13" ht="14.25" customHeight="1">
      <c r="A1" s="6" t="s">
        <v>10505</v>
      </c>
      <c r="B1" s="6" t="s">
        <v>10506</v>
      </c>
      <c r="C1" s="168" t="s">
        <v>10507</v>
      </c>
      <c r="D1" s="6" t="s">
        <v>10508</v>
      </c>
      <c r="E1" s="6" t="s">
        <v>280</v>
      </c>
      <c r="F1" s="6" t="s">
        <v>273</v>
      </c>
      <c r="G1" s="6" t="s">
        <v>9130</v>
      </c>
      <c r="H1" s="6" t="str">
        <f>CONCATENATE("TP- ",COUNTIF(A182:A213,"Bajaj"))</f>
        <v>TP- 29</v>
      </c>
      <c r="J1" s="6" t="s">
        <v>10509</v>
      </c>
      <c r="K1" s="6" t="s">
        <v>10510</v>
      </c>
      <c r="L1" s="6" t="s">
        <v>10511</v>
      </c>
      <c r="M1" s="5" t="s">
        <v>10512</v>
      </c>
    </row>
    <row r="2" spans="1:13" ht="14.25" customHeight="1">
      <c r="A2" s="6" t="s">
        <v>132</v>
      </c>
      <c r="B2" s="6" t="s">
        <v>10513</v>
      </c>
      <c r="C2" s="168">
        <v>2.3201002648274002E+18</v>
      </c>
      <c r="D2" s="285">
        <v>43107</v>
      </c>
      <c r="E2" s="6">
        <v>8797784939</v>
      </c>
      <c r="M2" s="5"/>
    </row>
    <row r="3" spans="1:13" ht="14.25" customHeight="1">
      <c r="A3" s="6" t="s">
        <v>132</v>
      </c>
      <c r="B3" s="6" t="s">
        <v>10513</v>
      </c>
      <c r="C3" s="168" t="s">
        <v>10514</v>
      </c>
      <c r="D3" s="285">
        <v>43110</v>
      </c>
      <c r="E3" s="6">
        <v>8603207578</v>
      </c>
      <c r="M3" s="5"/>
    </row>
    <row r="4" spans="1:13" ht="14.25" customHeight="1">
      <c r="A4" s="6" t="s">
        <v>132</v>
      </c>
      <c r="B4" s="6" t="s">
        <v>10513</v>
      </c>
      <c r="C4" s="168" t="s">
        <v>10515</v>
      </c>
      <c r="D4" s="285">
        <v>43110</v>
      </c>
      <c r="E4" s="6">
        <v>9279148348</v>
      </c>
      <c r="M4" s="5"/>
    </row>
    <row r="5" spans="1:13" ht="14.25" customHeight="1">
      <c r="A5" s="6" t="s">
        <v>132</v>
      </c>
      <c r="B5" s="6" t="s">
        <v>10323</v>
      </c>
      <c r="C5" s="168">
        <v>2.3121002661952E+18</v>
      </c>
      <c r="D5" s="285">
        <v>43111</v>
      </c>
      <c r="E5" s="6">
        <v>9204976811</v>
      </c>
      <c r="M5" s="5"/>
    </row>
    <row r="6" spans="1:13" ht="14.25" customHeight="1">
      <c r="A6" s="6" t="s">
        <v>132</v>
      </c>
      <c r="B6" s="6" t="s">
        <v>10323</v>
      </c>
      <c r="C6" s="168">
        <v>2.3121002670029998E+18</v>
      </c>
      <c r="D6" s="285">
        <v>43113</v>
      </c>
      <c r="E6" s="6">
        <v>9973818552</v>
      </c>
      <c r="M6" s="5"/>
    </row>
    <row r="7" spans="1:13" ht="14.25" customHeight="1">
      <c r="A7" s="6" t="s">
        <v>132</v>
      </c>
      <c r="B7" s="6" t="s">
        <v>10513</v>
      </c>
      <c r="C7" s="168">
        <v>2.3201002735142001E+18</v>
      </c>
      <c r="D7" s="285">
        <v>43131</v>
      </c>
      <c r="E7" s="6">
        <v>7257851449</v>
      </c>
      <c r="F7" s="6" t="s">
        <v>10516</v>
      </c>
      <c r="M7" s="5"/>
    </row>
    <row r="8" spans="1:13" ht="14.25" customHeight="1">
      <c r="A8" s="6" t="s">
        <v>132</v>
      </c>
      <c r="B8" s="6" t="s">
        <v>10513</v>
      </c>
      <c r="C8" s="168">
        <v>2.3201002735775002E+18</v>
      </c>
      <c r="D8" s="285">
        <v>43132</v>
      </c>
      <c r="F8" s="6" t="s">
        <v>10517</v>
      </c>
      <c r="M8" s="5"/>
    </row>
    <row r="9" spans="1:13" ht="14.25" customHeight="1">
      <c r="A9" s="6" t="s">
        <v>132</v>
      </c>
      <c r="B9" s="6" t="s">
        <v>10513</v>
      </c>
      <c r="C9" s="168">
        <v>2.3201002823955E+18</v>
      </c>
      <c r="D9" s="285">
        <v>43157</v>
      </c>
      <c r="E9" s="6">
        <v>9931707566</v>
      </c>
      <c r="F9" s="6" t="s">
        <v>10518</v>
      </c>
      <c r="M9" s="5"/>
    </row>
    <row r="10" spans="1:13" ht="14.25" customHeight="1">
      <c r="A10" s="6" t="s">
        <v>132</v>
      </c>
      <c r="B10" s="6" t="s">
        <v>10513</v>
      </c>
      <c r="C10" s="168">
        <v>2.3201002884195E+18</v>
      </c>
      <c r="D10" s="285">
        <v>43175</v>
      </c>
      <c r="E10" s="6">
        <v>9934179885</v>
      </c>
      <c r="F10" s="6" t="s">
        <v>10519</v>
      </c>
      <c r="H10" s="6">
        <v>909</v>
      </c>
      <c r="M10" s="5"/>
    </row>
    <row r="11" spans="1:13" ht="14.25" customHeight="1">
      <c r="A11" s="6" t="s">
        <v>132</v>
      </c>
      <c r="B11" s="6" t="s">
        <v>10513</v>
      </c>
      <c r="C11" s="168">
        <v>2.3201002899910999E+18</v>
      </c>
      <c r="D11" s="285">
        <v>43179</v>
      </c>
      <c r="F11" s="6" t="s">
        <v>10520</v>
      </c>
      <c r="H11" s="6">
        <v>909</v>
      </c>
      <c r="M11" s="5"/>
    </row>
    <row r="12" spans="1:13" ht="14.25" customHeight="1">
      <c r="A12" s="6" t="s">
        <v>132</v>
      </c>
      <c r="B12" s="6" t="s">
        <v>10513</v>
      </c>
      <c r="C12" s="168">
        <v>2.3201002901222999E+18</v>
      </c>
      <c r="D12" s="285">
        <v>43180</v>
      </c>
      <c r="E12" s="6">
        <v>9709210887</v>
      </c>
      <c r="F12" s="6" t="s">
        <v>10521</v>
      </c>
      <c r="H12" s="6">
        <v>909</v>
      </c>
      <c r="M12" s="5"/>
    </row>
    <row r="13" spans="1:13" ht="14.25" customHeight="1">
      <c r="A13" s="6" t="s">
        <v>132</v>
      </c>
      <c r="B13" s="6" t="s">
        <v>10513</v>
      </c>
      <c r="C13" s="168">
        <v>2.3191002963701002E+18</v>
      </c>
      <c r="D13" s="285">
        <v>43194</v>
      </c>
      <c r="E13" s="6">
        <v>9234250716</v>
      </c>
      <c r="F13" s="6" t="s">
        <v>10522</v>
      </c>
      <c r="H13" s="6">
        <v>2301</v>
      </c>
      <c r="M13" s="5"/>
    </row>
    <row r="14" spans="1:13" ht="14.25" customHeight="1">
      <c r="A14" s="6" t="s">
        <v>132</v>
      </c>
      <c r="B14" s="6" t="s">
        <v>10513</v>
      </c>
      <c r="C14" s="168">
        <v>2.3201002966285E+18</v>
      </c>
      <c r="D14" s="285">
        <v>43194</v>
      </c>
      <c r="E14" s="6">
        <v>9939219949</v>
      </c>
      <c r="F14" s="6" t="s">
        <v>10523</v>
      </c>
      <c r="H14" s="6">
        <v>909</v>
      </c>
      <c r="M14" s="5"/>
    </row>
    <row r="15" spans="1:13" ht="14.25" customHeight="1">
      <c r="A15" s="6" t="s">
        <v>132</v>
      </c>
      <c r="B15" s="6" t="s">
        <v>10513</v>
      </c>
      <c r="C15" s="168">
        <v>2.3201002979641001E+18</v>
      </c>
      <c r="D15" s="285">
        <v>43196</v>
      </c>
      <c r="E15" s="6">
        <v>8825234945</v>
      </c>
      <c r="F15" s="6" t="s">
        <v>10524</v>
      </c>
      <c r="H15" s="286">
        <v>1162</v>
      </c>
      <c r="I15" s="286"/>
      <c r="J15" s="6" t="s">
        <v>10525</v>
      </c>
      <c r="M15" s="5"/>
    </row>
    <row r="16" spans="1:13" ht="14.25" customHeight="1">
      <c r="A16" s="6" t="s">
        <v>132</v>
      </c>
      <c r="B16" s="6" t="s">
        <v>10513</v>
      </c>
      <c r="C16" s="168">
        <v>2.3201003044053002E+18</v>
      </c>
      <c r="D16" s="285">
        <v>43215</v>
      </c>
      <c r="F16" s="6" t="s">
        <v>10526</v>
      </c>
      <c r="H16" s="6">
        <v>563</v>
      </c>
      <c r="J16" s="6" t="s">
        <v>10527</v>
      </c>
      <c r="M16" s="5">
        <f>42000*1.18</f>
        <v>49560</v>
      </c>
    </row>
    <row r="17" spans="1:13" ht="14.25" customHeight="1">
      <c r="A17" s="6" t="s">
        <v>132</v>
      </c>
      <c r="B17" s="6" t="s">
        <v>10513</v>
      </c>
      <c r="C17" s="168">
        <v>2.3201003090444001E+18</v>
      </c>
      <c r="D17" s="285">
        <v>43229</v>
      </c>
      <c r="E17" s="6">
        <v>8092575822</v>
      </c>
      <c r="F17" s="6" t="s">
        <v>10528</v>
      </c>
      <c r="H17" s="6">
        <v>909</v>
      </c>
      <c r="J17" s="6" t="s">
        <v>10529</v>
      </c>
      <c r="M17" s="5"/>
    </row>
    <row r="18" spans="1:13" ht="14.25" customHeight="1">
      <c r="A18" s="6" t="s">
        <v>132</v>
      </c>
      <c r="B18" s="6" t="s">
        <v>10530</v>
      </c>
      <c r="C18" s="168" t="s">
        <v>10531</v>
      </c>
      <c r="D18" s="285">
        <v>43234</v>
      </c>
      <c r="E18" s="6">
        <v>9939184318</v>
      </c>
      <c r="F18" s="6" t="s">
        <v>10532</v>
      </c>
      <c r="H18" s="6">
        <v>1302</v>
      </c>
      <c r="J18" s="6" t="s">
        <v>10529</v>
      </c>
      <c r="K18" s="6" t="s">
        <v>10533</v>
      </c>
      <c r="M18" s="5"/>
    </row>
    <row r="19" spans="1:13" ht="14.25" customHeight="1">
      <c r="A19" s="6" t="s">
        <v>132</v>
      </c>
      <c r="B19" s="6" t="s">
        <v>10530</v>
      </c>
      <c r="C19" s="168" t="s">
        <v>10534</v>
      </c>
      <c r="D19" s="285">
        <v>43234</v>
      </c>
      <c r="E19" s="6">
        <v>9886627268</v>
      </c>
      <c r="F19" s="6" t="s">
        <v>10535</v>
      </c>
      <c r="H19" s="6">
        <v>1545</v>
      </c>
      <c r="J19" s="6" t="s">
        <v>10529</v>
      </c>
      <c r="K19" s="6" t="s">
        <v>10536</v>
      </c>
      <c r="M19" s="5"/>
    </row>
    <row r="20" spans="1:13" ht="14.25" customHeight="1">
      <c r="A20" s="6" t="s">
        <v>132</v>
      </c>
      <c r="B20" s="6" t="s">
        <v>10513</v>
      </c>
      <c r="C20" s="168" t="s">
        <v>10537</v>
      </c>
      <c r="D20" s="285">
        <v>43235</v>
      </c>
      <c r="E20" s="6">
        <v>8825234945</v>
      </c>
      <c r="F20" s="6" t="s">
        <v>762</v>
      </c>
      <c r="H20" s="6">
        <v>909</v>
      </c>
      <c r="J20" s="6" t="s">
        <v>10538</v>
      </c>
      <c r="K20" s="6" t="s">
        <v>10539</v>
      </c>
      <c r="M20" s="5"/>
    </row>
    <row r="21" spans="1:13" ht="14.25" customHeight="1">
      <c r="A21" s="6" t="s">
        <v>132</v>
      </c>
      <c r="B21" s="6" t="s">
        <v>10530</v>
      </c>
      <c r="C21" s="168" t="s">
        <v>10540</v>
      </c>
      <c r="D21" s="285">
        <v>43246</v>
      </c>
      <c r="E21" s="6">
        <v>7292822584</v>
      </c>
      <c r="F21" s="6" t="s">
        <v>10541</v>
      </c>
      <c r="H21" s="6">
        <v>1482</v>
      </c>
      <c r="J21" s="6" t="s">
        <v>10538</v>
      </c>
      <c r="K21" s="6" t="s">
        <v>10542</v>
      </c>
      <c r="M21" s="5"/>
    </row>
    <row r="22" spans="1:13" ht="14.25" customHeight="1">
      <c r="A22" s="6" t="s">
        <v>132</v>
      </c>
      <c r="B22" s="6" t="s">
        <v>10530</v>
      </c>
      <c r="C22" s="168" t="s">
        <v>10543</v>
      </c>
      <c r="D22" s="4">
        <v>43297</v>
      </c>
      <c r="E22" s="6">
        <v>7209799539</v>
      </c>
      <c r="F22" s="6" t="s">
        <v>10544</v>
      </c>
      <c r="H22" s="6">
        <v>1502</v>
      </c>
      <c r="J22" s="6" t="s">
        <v>10545</v>
      </c>
      <c r="K22" s="6" t="s">
        <v>7423</v>
      </c>
      <c r="M22" s="5"/>
    </row>
    <row r="23" spans="1:13" ht="14.25" customHeight="1">
      <c r="A23" s="6" t="s">
        <v>132</v>
      </c>
      <c r="B23" s="6" t="s">
        <v>10513</v>
      </c>
      <c r="C23" s="168">
        <v>2.3191003332729001E+18</v>
      </c>
      <c r="D23" s="4">
        <v>43299</v>
      </c>
      <c r="J23" s="6" t="s">
        <v>10546</v>
      </c>
      <c r="K23" s="6" t="s">
        <v>10547</v>
      </c>
      <c r="M23" s="5"/>
    </row>
    <row r="24" spans="1:13" ht="14.25" customHeight="1">
      <c r="A24" s="6" t="s">
        <v>132</v>
      </c>
      <c r="B24" s="6" t="s">
        <v>10513</v>
      </c>
      <c r="C24" s="168">
        <v>2.3192018861562998E+18</v>
      </c>
      <c r="D24" s="4">
        <v>43301</v>
      </c>
      <c r="E24" s="6">
        <v>7631070520</v>
      </c>
      <c r="F24" s="6" t="s">
        <v>10548</v>
      </c>
      <c r="H24" s="6">
        <v>2301</v>
      </c>
      <c r="J24" s="6" t="s">
        <v>10549</v>
      </c>
      <c r="K24" s="6" t="s">
        <v>10550</v>
      </c>
      <c r="M24" s="5"/>
    </row>
    <row r="25" spans="1:13" ht="14.25" customHeight="1">
      <c r="A25" s="6" t="s">
        <v>132</v>
      </c>
      <c r="B25" s="6" t="s">
        <v>10513</v>
      </c>
      <c r="C25" s="168">
        <v>2.3171003792330998E+18</v>
      </c>
      <c r="D25" s="4">
        <v>43419</v>
      </c>
      <c r="E25" s="6">
        <v>9234630961</v>
      </c>
      <c r="F25" s="6" t="s">
        <v>10551</v>
      </c>
      <c r="H25" s="6">
        <v>5380</v>
      </c>
      <c r="M25" s="5"/>
    </row>
    <row r="26" spans="1:13" ht="14.25" customHeight="1">
      <c r="A26" s="6" t="s">
        <v>132</v>
      </c>
      <c r="B26" s="6" t="s">
        <v>10513</v>
      </c>
      <c r="C26" s="168">
        <v>2.3201003802505001E+18</v>
      </c>
      <c r="D26" s="4">
        <v>43421</v>
      </c>
      <c r="E26" s="6">
        <v>8709917549</v>
      </c>
      <c r="F26" s="6" t="s">
        <v>10552</v>
      </c>
      <c r="H26" s="6">
        <v>1015</v>
      </c>
      <c r="J26" s="6" t="s">
        <v>10553</v>
      </c>
      <c r="K26" s="6" t="s">
        <v>10554</v>
      </c>
      <c r="M26" s="5"/>
    </row>
    <row r="27" spans="1:13" ht="14.25" customHeight="1">
      <c r="A27" s="6" t="s">
        <v>132</v>
      </c>
      <c r="B27" s="6" t="s">
        <v>10513</v>
      </c>
      <c r="C27" s="168" t="s">
        <v>10555</v>
      </c>
      <c r="D27" s="4">
        <v>43465</v>
      </c>
      <c r="E27" s="6">
        <v>8825234945</v>
      </c>
      <c r="F27" s="6" t="s">
        <v>10556</v>
      </c>
      <c r="H27" s="6">
        <v>1015</v>
      </c>
      <c r="J27" s="6" t="s">
        <v>10553</v>
      </c>
      <c r="K27" s="6" t="s">
        <v>10557</v>
      </c>
      <c r="M27" s="5"/>
    </row>
    <row r="28" spans="1:13" ht="14.25" customHeight="1">
      <c r="C28" s="168"/>
      <c r="M28" s="5"/>
    </row>
    <row r="29" spans="1:13" ht="14.25" customHeight="1">
      <c r="A29" s="6" t="s">
        <v>132</v>
      </c>
      <c r="B29" s="6" t="s">
        <v>10513</v>
      </c>
      <c r="C29" s="168" t="s">
        <v>10558</v>
      </c>
      <c r="D29" s="4">
        <v>43465</v>
      </c>
      <c r="E29" s="6">
        <v>8825234945</v>
      </c>
      <c r="H29" s="6">
        <v>850</v>
      </c>
      <c r="J29" s="6" t="s">
        <v>10559</v>
      </c>
      <c r="K29" s="6" t="s">
        <v>10560</v>
      </c>
      <c r="M29" s="5"/>
    </row>
    <row r="30" spans="1:13" ht="14.25" customHeight="1">
      <c r="A30" s="6" t="s">
        <v>132</v>
      </c>
      <c r="B30" s="6" t="s">
        <v>10513</v>
      </c>
      <c r="C30" s="168">
        <v>2.3191004042153999E+18</v>
      </c>
      <c r="D30" s="4">
        <v>43476</v>
      </c>
      <c r="E30" s="6">
        <v>9546280158</v>
      </c>
      <c r="F30" s="6" t="s">
        <v>10561</v>
      </c>
      <c r="H30" s="6">
        <v>2567</v>
      </c>
      <c r="J30" s="6" t="s">
        <v>10562</v>
      </c>
      <c r="K30" s="6" t="s">
        <v>10563</v>
      </c>
      <c r="M30" s="5"/>
    </row>
    <row r="31" spans="1:13" ht="14.25" customHeight="1">
      <c r="C31" s="168"/>
      <c r="M31" s="5"/>
    </row>
    <row r="32" spans="1:13" ht="14.25" customHeight="1">
      <c r="A32" s="6" t="s">
        <v>132</v>
      </c>
      <c r="B32" s="6" t="s">
        <v>10513</v>
      </c>
      <c r="C32" s="168">
        <v>2.3201004072291E+18</v>
      </c>
      <c r="D32" s="4">
        <v>43482</v>
      </c>
      <c r="E32" s="6">
        <v>9006333358</v>
      </c>
      <c r="F32" s="6" t="s">
        <v>10564</v>
      </c>
      <c r="H32" s="6">
        <v>850</v>
      </c>
      <c r="J32" s="6" t="s">
        <v>10553</v>
      </c>
      <c r="K32" s="6" t="s">
        <v>10565</v>
      </c>
      <c r="M32" s="5"/>
    </row>
    <row r="33" spans="1:13" ht="14.25" customHeight="1">
      <c r="A33" s="6" t="s">
        <v>132</v>
      </c>
      <c r="B33" s="6" t="s">
        <v>10513</v>
      </c>
      <c r="C33" s="168">
        <v>2.3201004076285E+18</v>
      </c>
      <c r="D33" s="4">
        <v>43482</v>
      </c>
      <c r="E33" s="6">
        <v>9031731385</v>
      </c>
      <c r="F33" s="6" t="s">
        <v>10566</v>
      </c>
      <c r="H33" s="6">
        <v>850</v>
      </c>
      <c r="K33" s="6" t="s">
        <v>10567</v>
      </c>
      <c r="M33" s="5"/>
    </row>
    <row r="34" spans="1:13" ht="14.25" customHeight="1">
      <c r="A34" s="6" t="s">
        <v>132</v>
      </c>
      <c r="B34" s="6" t="s">
        <v>10513</v>
      </c>
      <c r="C34" s="168">
        <v>2.3191004087689999E+18</v>
      </c>
      <c r="D34" s="4">
        <v>43484</v>
      </c>
      <c r="E34" s="6">
        <v>9534204740</v>
      </c>
      <c r="F34" s="6" t="s">
        <v>10568</v>
      </c>
      <c r="H34" s="6">
        <v>2190</v>
      </c>
      <c r="J34" s="6" t="s">
        <v>10569</v>
      </c>
      <c r="K34" s="6" t="s">
        <v>10570</v>
      </c>
      <c r="M34" s="5"/>
    </row>
    <row r="35" spans="1:13" ht="14.25" customHeight="1">
      <c r="A35" s="6" t="s">
        <v>132</v>
      </c>
      <c r="B35" s="6" t="s">
        <v>10513</v>
      </c>
      <c r="C35" s="168">
        <v>2.3201004088013E+18</v>
      </c>
      <c r="D35" s="4">
        <v>43484</v>
      </c>
      <c r="E35" s="6">
        <v>9102894119</v>
      </c>
      <c r="F35" s="6" t="s">
        <v>10571</v>
      </c>
      <c r="H35" s="6">
        <v>850</v>
      </c>
      <c r="J35" s="6" t="s">
        <v>10572</v>
      </c>
      <c r="K35" s="6" t="s">
        <v>10573</v>
      </c>
      <c r="M35" s="5"/>
    </row>
    <row r="36" spans="1:13" ht="14.25" customHeight="1">
      <c r="A36" s="6" t="s">
        <v>132</v>
      </c>
      <c r="B36" s="6" t="s">
        <v>10513</v>
      </c>
      <c r="C36" s="168" t="s">
        <v>10574</v>
      </c>
      <c r="D36" s="4">
        <v>43489</v>
      </c>
      <c r="E36" s="6">
        <v>8877187044</v>
      </c>
      <c r="F36" s="6" t="s">
        <v>10575</v>
      </c>
      <c r="H36" s="6">
        <v>850</v>
      </c>
      <c r="J36" s="6" t="s">
        <v>10576</v>
      </c>
      <c r="K36" s="6" t="s">
        <v>10577</v>
      </c>
      <c r="M36" s="5"/>
    </row>
    <row r="37" spans="1:13" ht="14.25" customHeight="1">
      <c r="A37" s="6" t="s">
        <v>132</v>
      </c>
      <c r="B37" s="6" t="s">
        <v>10513</v>
      </c>
      <c r="C37" s="168">
        <v>2.3201004120306002E+18</v>
      </c>
      <c r="D37" s="4">
        <v>43491</v>
      </c>
      <c r="E37" s="6">
        <v>9955908481</v>
      </c>
      <c r="F37" s="6" t="s">
        <v>10578</v>
      </c>
      <c r="H37" s="6">
        <v>850</v>
      </c>
      <c r="J37" s="6" t="s">
        <v>10579</v>
      </c>
      <c r="K37" s="6" t="s">
        <v>10580</v>
      </c>
      <c r="M37" s="5"/>
    </row>
    <row r="38" spans="1:13" ht="14.25" customHeight="1">
      <c r="A38" s="6" t="s">
        <v>132</v>
      </c>
      <c r="B38" s="6" t="s">
        <v>10581</v>
      </c>
      <c r="C38" s="168">
        <v>2.3121004124585999E+18</v>
      </c>
      <c r="D38" s="4">
        <v>43492</v>
      </c>
      <c r="E38" s="6">
        <v>7209356266</v>
      </c>
      <c r="F38" s="6" t="s">
        <v>10582</v>
      </c>
      <c r="H38" s="6">
        <v>1151</v>
      </c>
      <c r="J38" s="6" t="s">
        <v>10583</v>
      </c>
      <c r="K38" s="6" t="s">
        <v>10584</v>
      </c>
      <c r="M38" s="5"/>
    </row>
    <row r="39" spans="1:13" ht="14.25" customHeight="1">
      <c r="C39" s="168"/>
      <c r="M39" s="5"/>
    </row>
    <row r="40" spans="1:13" ht="14.25" customHeight="1">
      <c r="C40" s="168">
        <v>2.3121004176613002E+18</v>
      </c>
      <c r="D40" s="4">
        <v>43502</v>
      </c>
      <c r="M40" s="5"/>
    </row>
    <row r="41" spans="1:13" ht="14.25" customHeight="1">
      <c r="C41" s="168"/>
      <c r="M41" s="5"/>
    </row>
    <row r="42" spans="1:13" ht="14.25" customHeight="1">
      <c r="A42" s="6" t="s">
        <v>132</v>
      </c>
      <c r="B42" s="6" t="s">
        <v>10513</v>
      </c>
      <c r="C42" s="168">
        <v>2.3201005907974999E+18</v>
      </c>
      <c r="D42" s="4">
        <v>43504</v>
      </c>
      <c r="E42" s="6">
        <v>7257851449</v>
      </c>
      <c r="F42" s="6" t="s">
        <v>10516</v>
      </c>
      <c r="H42" s="6">
        <v>850</v>
      </c>
      <c r="J42" s="6" t="s">
        <v>10585</v>
      </c>
      <c r="K42" s="6" t="s">
        <v>10586</v>
      </c>
      <c r="M42" s="5"/>
    </row>
    <row r="43" spans="1:13" ht="14.25" customHeight="1">
      <c r="A43" s="6" t="s">
        <v>132</v>
      </c>
      <c r="B43" s="6" t="s">
        <v>10513</v>
      </c>
      <c r="C43" s="168">
        <v>2.3121005980413E+18</v>
      </c>
      <c r="D43" s="4">
        <v>43543</v>
      </c>
      <c r="E43" s="6">
        <v>9031982071</v>
      </c>
      <c r="F43" s="6" t="s">
        <v>10587</v>
      </c>
      <c r="H43" s="6">
        <v>1082</v>
      </c>
      <c r="J43" s="6" t="s">
        <v>10553</v>
      </c>
      <c r="K43" s="6" t="s">
        <v>10588</v>
      </c>
      <c r="M43" s="5"/>
    </row>
    <row r="44" spans="1:13" ht="14.25" customHeight="1">
      <c r="A44" s="6" t="s">
        <v>132</v>
      </c>
      <c r="B44" s="6" t="s">
        <v>10513</v>
      </c>
      <c r="C44" s="168">
        <v>2.3191004343737001E+18</v>
      </c>
      <c r="D44" s="4">
        <v>43543</v>
      </c>
      <c r="E44" s="6">
        <v>9234278284</v>
      </c>
      <c r="F44" s="6" t="s">
        <v>10589</v>
      </c>
      <c r="H44" s="6">
        <v>3378</v>
      </c>
      <c r="J44" s="6" t="s">
        <v>10590</v>
      </c>
      <c r="K44" s="6" t="s">
        <v>10591</v>
      </c>
      <c r="M44" s="5"/>
    </row>
    <row r="45" spans="1:13" ht="14.25" customHeight="1">
      <c r="A45" s="6" t="s">
        <v>132</v>
      </c>
      <c r="B45" s="6" t="s">
        <v>10513</v>
      </c>
      <c r="C45" s="168">
        <v>2.3201005982438001E+18</v>
      </c>
      <c r="D45" s="4">
        <v>43544</v>
      </c>
      <c r="E45" s="6">
        <v>9471540879</v>
      </c>
      <c r="F45" s="6" t="s">
        <v>10592</v>
      </c>
      <c r="H45" s="6">
        <v>850</v>
      </c>
      <c r="J45" s="6" t="s">
        <v>10593</v>
      </c>
      <c r="K45" s="6" t="s">
        <v>10594</v>
      </c>
      <c r="L45" s="4">
        <v>42065</v>
      </c>
      <c r="M45" s="20">
        <v>20131</v>
      </c>
    </row>
    <row r="46" spans="1:13" ht="14.25" customHeight="1">
      <c r="A46" s="6" t="s">
        <v>132</v>
      </c>
      <c r="B46" s="6" t="s">
        <v>10513</v>
      </c>
      <c r="C46" s="168">
        <v>2.3671005987981E+18</v>
      </c>
      <c r="D46" s="4">
        <v>43547</v>
      </c>
      <c r="E46" s="6">
        <v>9199268449</v>
      </c>
      <c r="F46" s="6" t="s">
        <v>10595</v>
      </c>
      <c r="H46" s="6">
        <v>1699</v>
      </c>
      <c r="J46" s="6" t="s">
        <v>10596</v>
      </c>
      <c r="K46" s="6" t="s">
        <v>10597</v>
      </c>
      <c r="M46" s="5"/>
    </row>
    <row r="47" spans="1:13" ht="14.25" customHeight="1">
      <c r="C47" s="168"/>
      <c r="D47" s="4"/>
      <c r="M47" s="5"/>
    </row>
    <row r="48" spans="1:13" ht="14.25" customHeight="1">
      <c r="A48" s="6" t="s">
        <v>132</v>
      </c>
      <c r="B48" s="6" t="s">
        <v>10513</v>
      </c>
      <c r="C48" s="168">
        <v>2.3201006010252001E+18</v>
      </c>
      <c r="D48" s="4">
        <v>43559</v>
      </c>
      <c r="E48" s="6">
        <v>9939219949</v>
      </c>
      <c r="F48" s="6" t="s">
        <v>10598</v>
      </c>
      <c r="H48" s="6">
        <v>850</v>
      </c>
      <c r="J48" s="6" t="s">
        <v>10599</v>
      </c>
      <c r="K48" s="6" t="s">
        <v>10600</v>
      </c>
      <c r="L48" s="4">
        <v>30447</v>
      </c>
      <c r="M48" s="5"/>
    </row>
    <row r="49" spans="1:13" ht="14.25" customHeight="1">
      <c r="A49" s="6" t="s">
        <v>132</v>
      </c>
      <c r="B49" s="6" t="s">
        <v>10513</v>
      </c>
      <c r="C49" s="168">
        <v>2.3201006012550999E+18</v>
      </c>
      <c r="D49" s="4">
        <v>43561</v>
      </c>
      <c r="E49" s="6">
        <v>9709210887</v>
      </c>
      <c r="F49" s="6" t="s">
        <v>10601</v>
      </c>
      <c r="H49" s="6">
        <v>850</v>
      </c>
      <c r="J49" s="6" t="s">
        <v>10602</v>
      </c>
      <c r="K49" s="6" t="s">
        <v>10603</v>
      </c>
      <c r="M49" s="5"/>
    </row>
    <row r="50" spans="1:13" ht="14.25" customHeight="1">
      <c r="A50" s="6" t="s">
        <v>132</v>
      </c>
      <c r="B50" s="6" t="s">
        <v>10513</v>
      </c>
      <c r="C50" s="168">
        <v>2.3201006014064E+18</v>
      </c>
      <c r="D50" s="4">
        <v>43562</v>
      </c>
      <c r="E50" s="6">
        <v>8603207578</v>
      </c>
      <c r="F50" s="6" t="s">
        <v>10604</v>
      </c>
      <c r="H50" s="6">
        <v>850</v>
      </c>
      <c r="J50" s="6" t="s">
        <v>10605</v>
      </c>
      <c r="K50" s="6" t="s">
        <v>10606</v>
      </c>
      <c r="M50" s="5"/>
    </row>
    <row r="51" spans="1:13" ht="14.25" customHeight="1">
      <c r="A51" s="6" t="s">
        <v>132</v>
      </c>
      <c r="B51" s="6" t="s">
        <v>10513</v>
      </c>
      <c r="C51" s="168">
        <v>2.3191004412630999E+18</v>
      </c>
      <c r="D51" s="4">
        <v>43563</v>
      </c>
      <c r="E51" s="6">
        <v>9279357374</v>
      </c>
      <c r="F51" s="6" t="s">
        <v>10607</v>
      </c>
      <c r="H51" s="6">
        <v>2567</v>
      </c>
      <c r="J51" s="6" t="s">
        <v>10608</v>
      </c>
      <c r="K51" s="6" t="s">
        <v>10609</v>
      </c>
      <c r="M51" s="5"/>
    </row>
    <row r="52" spans="1:13" ht="14.25" customHeight="1">
      <c r="A52" s="6" t="s">
        <v>132</v>
      </c>
      <c r="B52" s="6" t="s">
        <v>10513</v>
      </c>
      <c r="C52" s="168">
        <v>2.3201006017280998E+18</v>
      </c>
      <c r="D52" s="4">
        <v>43564</v>
      </c>
      <c r="E52" s="6">
        <v>9234529226</v>
      </c>
      <c r="F52" s="6" t="s">
        <v>10610</v>
      </c>
      <c r="H52" s="6">
        <v>850</v>
      </c>
      <c r="J52" s="6" t="s">
        <v>10611</v>
      </c>
      <c r="K52" s="6" t="s">
        <v>10612</v>
      </c>
      <c r="L52" s="4">
        <v>40563</v>
      </c>
      <c r="M52" s="20">
        <v>30696</v>
      </c>
    </row>
    <row r="53" spans="1:13" ht="14.25" customHeight="1">
      <c r="A53" s="6" t="s">
        <v>10613</v>
      </c>
      <c r="B53" s="6" t="s">
        <v>10513</v>
      </c>
      <c r="C53" s="168" t="s">
        <v>10614</v>
      </c>
      <c r="D53" s="4">
        <v>43562</v>
      </c>
      <c r="E53" s="6">
        <v>7209356266</v>
      </c>
      <c r="F53" s="6" t="s">
        <v>10615</v>
      </c>
      <c r="H53" s="6">
        <v>3762</v>
      </c>
      <c r="J53" s="6" t="s">
        <v>10616</v>
      </c>
      <c r="K53" s="6" t="s">
        <v>10617</v>
      </c>
      <c r="M53" s="5"/>
    </row>
    <row r="54" spans="1:13" ht="14.25" customHeight="1">
      <c r="A54" s="6" t="s">
        <v>132</v>
      </c>
      <c r="B54" s="6" t="s">
        <v>10513</v>
      </c>
      <c r="C54" s="168">
        <v>2.3671006019350001E+18</v>
      </c>
      <c r="D54" s="4">
        <v>43565</v>
      </c>
      <c r="E54" s="6">
        <v>9279599011</v>
      </c>
      <c r="F54" s="6" t="s">
        <v>10618</v>
      </c>
      <c r="H54" s="6">
        <v>3752</v>
      </c>
      <c r="J54" s="6" t="s">
        <v>10619</v>
      </c>
      <c r="K54" s="6" t="s">
        <v>10620</v>
      </c>
      <c r="M54" s="5"/>
    </row>
    <row r="55" spans="1:13" ht="14.25" customHeight="1">
      <c r="A55" s="6" t="s">
        <v>132</v>
      </c>
      <c r="B55" s="6" t="s">
        <v>10505</v>
      </c>
      <c r="C55" s="168">
        <v>2.3111004417503002E+18</v>
      </c>
      <c r="D55" s="4">
        <v>43565</v>
      </c>
      <c r="E55" s="6">
        <v>7209637288</v>
      </c>
      <c r="F55" s="6" t="s">
        <v>10621</v>
      </c>
      <c r="H55" s="6">
        <v>6261</v>
      </c>
      <c r="J55" s="6" t="s">
        <v>10622</v>
      </c>
      <c r="M55" s="5"/>
    </row>
    <row r="56" spans="1:13" ht="14.25" customHeight="1">
      <c r="A56" s="6" t="s">
        <v>132</v>
      </c>
      <c r="B56" s="6" t="s">
        <v>10505</v>
      </c>
      <c r="C56" s="168">
        <v>2.3121006030905001E+18</v>
      </c>
      <c r="D56" s="4">
        <v>43572</v>
      </c>
      <c r="E56" s="6">
        <v>9534204740</v>
      </c>
      <c r="F56" s="6" t="s">
        <v>10568</v>
      </c>
      <c r="H56" s="6">
        <v>1447</v>
      </c>
      <c r="J56" s="6" t="s">
        <v>10623</v>
      </c>
      <c r="K56" s="6" t="s">
        <v>10624</v>
      </c>
      <c r="M56" s="5"/>
    </row>
    <row r="57" spans="1:13" ht="14.25" customHeight="1">
      <c r="A57" s="6" t="s">
        <v>132</v>
      </c>
      <c r="B57" s="6" t="s">
        <v>10513</v>
      </c>
      <c r="C57" s="168">
        <v>2.3201006031168998E+18</v>
      </c>
      <c r="D57" s="4">
        <v>43572</v>
      </c>
      <c r="E57" s="168">
        <v>7033381999</v>
      </c>
      <c r="F57" s="6" t="s">
        <v>10625</v>
      </c>
      <c r="H57" s="6">
        <v>850</v>
      </c>
      <c r="J57" s="6" t="s">
        <v>10623</v>
      </c>
      <c r="K57" s="6" t="s">
        <v>10626</v>
      </c>
      <c r="M57" s="5"/>
    </row>
    <row r="58" spans="1:13" ht="14.25" customHeight="1">
      <c r="A58" s="6" t="s">
        <v>132</v>
      </c>
      <c r="B58" s="6" t="s">
        <v>10505</v>
      </c>
      <c r="C58" s="168">
        <v>2.3121006034365E+18</v>
      </c>
      <c r="D58" s="4">
        <v>43574</v>
      </c>
      <c r="E58" s="6">
        <v>9234141293</v>
      </c>
      <c r="F58" s="6" t="s">
        <v>10627</v>
      </c>
      <c r="H58" s="6">
        <v>1147</v>
      </c>
      <c r="J58" s="6" t="s">
        <v>10628</v>
      </c>
      <c r="K58" s="6" t="s">
        <v>10629</v>
      </c>
      <c r="M58" s="5"/>
    </row>
    <row r="59" spans="1:13" ht="14.25" customHeight="1">
      <c r="A59" s="6" t="s">
        <v>132</v>
      </c>
      <c r="B59" s="6" t="s">
        <v>10513</v>
      </c>
      <c r="C59" s="168">
        <v>2.3201006035698002E+18</v>
      </c>
      <c r="D59" s="4">
        <v>43575</v>
      </c>
      <c r="E59" s="6">
        <v>9234554933</v>
      </c>
      <c r="F59" s="6" t="s">
        <v>10630</v>
      </c>
      <c r="H59" s="6">
        <v>850</v>
      </c>
      <c r="J59" s="6" t="s">
        <v>10631</v>
      </c>
      <c r="K59" s="6" t="s">
        <v>10632</v>
      </c>
      <c r="M59" s="5"/>
    </row>
    <row r="60" spans="1:13" ht="14.25" customHeight="1">
      <c r="A60" s="6" t="s">
        <v>132</v>
      </c>
      <c r="B60" s="6" t="s">
        <v>10505</v>
      </c>
      <c r="C60" s="168">
        <v>2.3121006037842002E+18</v>
      </c>
      <c r="D60" s="4">
        <v>43577</v>
      </c>
      <c r="E60" s="6">
        <v>9031903050</v>
      </c>
      <c r="F60" s="6" t="s">
        <v>10633</v>
      </c>
      <c r="H60" s="6">
        <v>1715</v>
      </c>
      <c r="J60" s="6" t="s">
        <v>10634</v>
      </c>
      <c r="K60" s="6" t="s">
        <v>10635</v>
      </c>
      <c r="M60" s="5"/>
    </row>
    <row r="61" spans="1:13" ht="14.25" customHeight="1">
      <c r="A61" s="6" t="s">
        <v>132</v>
      </c>
      <c r="B61" s="6" t="s">
        <v>10513</v>
      </c>
      <c r="C61" s="168">
        <v>2.3201006037865999E+18</v>
      </c>
      <c r="D61" s="4">
        <v>43577</v>
      </c>
      <c r="E61" s="6">
        <v>9546779920</v>
      </c>
      <c r="F61" s="6" t="s">
        <v>10636</v>
      </c>
      <c r="H61" s="6">
        <v>850</v>
      </c>
      <c r="J61" s="6" t="s">
        <v>10637</v>
      </c>
      <c r="K61" s="6" t="s">
        <v>10638</v>
      </c>
      <c r="M61" s="5"/>
    </row>
    <row r="62" spans="1:13" ht="14.25" customHeight="1">
      <c r="A62" s="6" t="s">
        <v>132</v>
      </c>
      <c r="B62" s="6" t="s">
        <v>10513</v>
      </c>
      <c r="C62" s="168">
        <v>2.3201006043506002E+18</v>
      </c>
      <c r="D62" s="4">
        <v>43580</v>
      </c>
      <c r="E62" s="6">
        <v>9702964660</v>
      </c>
      <c r="F62" s="6" t="s">
        <v>10639</v>
      </c>
      <c r="H62" s="6">
        <v>870</v>
      </c>
      <c r="J62" s="6" t="s">
        <v>10640</v>
      </c>
      <c r="K62" s="6" t="s">
        <v>10641</v>
      </c>
      <c r="M62" s="5"/>
    </row>
    <row r="63" spans="1:13" ht="14.25" customHeight="1">
      <c r="A63" s="6" t="s">
        <v>132</v>
      </c>
      <c r="B63" s="6" t="s">
        <v>10505</v>
      </c>
      <c r="C63" s="168">
        <v>2.3121006047174999E+18</v>
      </c>
      <c r="D63" s="4">
        <v>43583</v>
      </c>
      <c r="E63" s="6">
        <v>9431752006</v>
      </c>
      <c r="F63" s="6" t="s">
        <v>10642</v>
      </c>
      <c r="H63" s="6">
        <v>1505</v>
      </c>
      <c r="J63" s="6" t="s">
        <v>10643</v>
      </c>
      <c r="K63" s="6" t="s">
        <v>10644</v>
      </c>
      <c r="M63" s="5"/>
    </row>
    <row r="64" spans="1:13" ht="14.25" customHeight="1">
      <c r="A64" s="6" t="s">
        <v>132</v>
      </c>
      <c r="B64" s="6" t="s">
        <v>10513</v>
      </c>
      <c r="C64" s="168">
        <v>2.3201006047183002E+18</v>
      </c>
      <c r="D64" s="4">
        <v>43583</v>
      </c>
      <c r="E64" s="6">
        <v>9955796483</v>
      </c>
      <c r="F64" s="6" t="s">
        <v>10645</v>
      </c>
      <c r="H64" s="6">
        <v>850</v>
      </c>
      <c r="J64" s="6" t="s">
        <v>10646</v>
      </c>
      <c r="K64" s="6" t="s">
        <v>10647</v>
      </c>
      <c r="M64" s="5"/>
    </row>
    <row r="65" spans="1:13" ht="14.25" customHeight="1">
      <c r="A65" s="6" t="s">
        <v>132</v>
      </c>
      <c r="B65" s="6" t="s">
        <v>10513</v>
      </c>
      <c r="C65" s="168">
        <v>2.3201006062099999E+18</v>
      </c>
      <c r="D65" s="4">
        <v>43594</v>
      </c>
      <c r="E65" s="6">
        <v>8092575822</v>
      </c>
      <c r="F65" s="6" t="s">
        <v>10528</v>
      </c>
      <c r="H65" s="6">
        <v>850</v>
      </c>
      <c r="J65" s="6" t="s">
        <v>10648</v>
      </c>
      <c r="K65" s="6" t="s">
        <v>10649</v>
      </c>
      <c r="M65" s="5"/>
    </row>
    <row r="66" spans="1:13" ht="14.25" customHeight="1">
      <c r="C66" s="168"/>
      <c r="D66" s="4"/>
      <c r="H66" s="6" t="str">
        <f ca="1">SUM(H48:H67)</f>
        <v>#REF!</v>
      </c>
      <c r="M66" s="5"/>
    </row>
    <row r="67" spans="1:13" ht="14.25" customHeight="1">
      <c r="C67" s="168"/>
      <c r="D67" s="4"/>
      <c r="M67" s="5"/>
    </row>
    <row r="68" spans="1:13" ht="14.25" customHeight="1">
      <c r="C68" s="168"/>
      <c r="M68" s="5"/>
    </row>
    <row r="69" spans="1:13" ht="14.25" customHeight="1">
      <c r="A69" s="6" t="s">
        <v>132</v>
      </c>
      <c r="B69" s="6" t="s">
        <v>10513</v>
      </c>
      <c r="C69" s="168"/>
      <c r="D69" s="4">
        <v>43622</v>
      </c>
      <c r="H69" s="6">
        <v>720</v>
      </c>
      <c r="I69" s="13">
        <f t="shared" ref="I69:I97" si="0">H69*1.18</f>
        <v>849.59999999999991</v>
      </c>
      <c r="M69" s="5"/>
    </row>
    <row r="70" spans="1:13" ht="14.25" customHeight="1">
      <c r="A70" s="6" t="s">
        <v>132</v>
      </c>
      <c r="B70" s="6" t="s">
        <v>10513</v>
      </c>
      <c r="C70" s="168">
        <v>2.3201006101660001E+18</v>
      </c>
      <c r="D70" s="4">
        <v>43623</v>
      </c>
      <c r="F70" s="6" t="s">
        <v>10650</v>
      </c>
      <c r="H70" s="6">
        <v>720</v>
      </c>
      <c r="I70" s="13">
        <f t="shared" si="0"/>
        <v>849.59999999999991</v>
      </c>
      <c r="M70" s="5"/>
    </row>
    <row r="71" spans="1:13" ht="14.25" customHeight="1">
      <c r="A71" s="6" t="s">
        <v>132</v>
      </c>
      <c r="B71" s="6" t="s">
        <v>10513</v>
      </c>
      <c r="C71" s="168">
        <v>2.3201006104985001E+18</v>
      </c>
      <c r="D71" s="4">
        <v>43625</v>
      </c>
      <c r="F71" s="6" t="s">
        <v>10651</v>
      </c>
      <c r="H71" s="6">
        <v>720</v>
      </c>
      <c r="I71" s="13">
        <f t="shared" si="0"/>
        <v>849.59999999999991</v>
      </c>
      <c r="J71" s="6" t="s">
        <v>10652</v>
      </c>
      <c r="K71" s="6" t="s">
        <v>10653</v>
      </c>
      <c r="M71" s="5"/>
    </row>
    <row r="72" spans="1:13" ht="14.25" customHeight="1">
      <c r="A72" s="6" t="s">
        <v>132</v>
      </c>
      <c r="B72" s="6" t="s">
        <v>10530</v>
      </c>
      <c r="C72" s="168">
        <v>2.3121006105344998E+18</v>
      </c>
      <c r="D72" s="4">
        <v>43626</v>
      </c>
      <c r="F72" s="6" t="s">
        <v>10654</v>
      </c>
      <c r="H72" s="6">
        <v>1043</v>
      </c>
      <c r="I72" s="13">
        <f t="shared" si="0"/>
        <v>1230.74</v>
      </c>
      <c r="J72" s="6" t="s">
        <v>10643</v>
      </c>
      <c r="K72" s="6" t="s">
        <v>10655</v>
      </c>
      <c r="M72" s="5"/>
    </row>
    <row r="73" spans="1:13" ht="14.25" customHeight="1">
      <c r="A73" s="6" t="s">
        <v>132</v>
      </c>
      <c r="B73" s="6" t="s">
        <v>10513</v>
      </c>
      <c r="C73" s="168">
        <v>2.3201006106765998E+18</v>
      </c>
      <c r="D73" s="4">
        <v>43626</v>
      </c>
      <c r="F73" s="6" t="s">
        <v>10656</v>
      </c>
      <c r="H73" s="6">
        <v>720</v>
      </c>
      <c r="I73" s="13">
        <f t="shared" si="0"/>
        <v>849.59999999999991</v>
      </c>
      <c r="K73" s="6" t="s">
        <v>10657</v>
      </c>
      <c r="M73" s="5"/>
    </row>
    <row r="74" spans="1:13" ht="14.25" customHeight="1">
      <c r="A74" s="6" t="s">
        <v>132</v>
      </c>
      <c r="B74" s="6" t="s">
        <v>10513</v>
      </c>
      <c r="C74" s="168">
        <v>2.3191002097785999E+18</v>
      </c>
      <c r="D74" s="4">
        <v>43628</v>
      </c>
      <c r="E74" s="6">
        <v>9263568275</v>
      </c>
      <c r="F74" s="6" t="s">
        <v>10658</v>
      </c>
      <c r="H74" s="6">
        <v>2175</v>
      </c>
      <c r="I74" s="13">
        <f t="shared" si="0"/>
        <v>2566.5</v>
      </c>
      <c r="J74" s="6" t="s">
        <v>10659</v>
      </c>
      <c r="K74" s="6" t="s">
        <v>10660</v>
      </c>
      <c r="M74" s="5"/>
    </row>
    <row r="75" spans="1:13" ht="14.25" customHeight="1">
      <c r="A75" s="6" t="s">
        <v>132</v>
      </c>
      <c r="B75" s="6" t="s">
        <v>10581</v>
      </c>
      <c r="C75" s="168">
        <v>2.3121006112755E+18</v>
      </c>
      <c r="D75" s="4">
        <v>43630</v>
      </c>
      <c r="F75" s="6" t="s">
        <v>10661</v>
      </c>
      <c r="H75" s="6">
        <v>932</v>
      </c>
      <c r="I75" s="13">
        <f t="shared" si="0"/>
        <v>1099.76</v>
      </c>
      <c r="J75" s="6" t="s">
        <v>10623</v>
      </c>
      <c r="K75" s="6" t="s">
        <v>10662</v>
      </c>
      <c r="M75" s="5"/>
    </row>
    <row r="76" spans="1:13" ht="14.25" customHeight="1">
      <c r="A76" s="6" t="s">
        <v>132</v>
      </c>
      <c r="B76" s="6" t="s">
        <v>10513</v>
      </c>
      <c r="C76" s="168">
        <v>2.3201006125474002E+18</v>
      </c>
      <c r="D76" s="4">
        <v>43637</v>
      </c>
      <c r="E76" s="6">
        <v>9661274908</v>
      </c>
      <c r="F76" s="6" t="s">
        <v>10663</v>
      </c>
      <c r="H76" s="6">
        <v>752</v>
      </c>
      <c r="I76" s="13">
        <f t="shared" si="0"/>
        <v>887.3599999999999</v>
      </c>
      <c r="J76" s="6" t="s">
        <v>10529</v>
      </c>
      <c r="K76" s="6" t="s">
        <v>10664</v>
      </c>
      <c r="M76" s="5"/>
    </row>
    <row r="77" spans="1:13" ht="14.25" customHeight="1">
      <c r="A77" s="6" t="s">
        <v>132</v>
      </c>
      <c r="B77" s="6" t="s">
        <v>10530</v>
      </c>
      <c r="C77" s="168">
        <v>2.3121006131772001E+18</v>
      </c>
      <c r="D77" s="4">
        <v>43641</v>
      </c>
      <c r="E77" s="6">
        <v>7209409620</v>
      </c>
      <c r="F77" s="6" t="s">
        <v>10665</v>
      </c>
      <c r="H77" s="6">
        <v>893</v>
      </c>
      <c r="I77" s="13">
        <f t="shared" si="0"/>
        <v>1053.74</v>
      </c>
      <c r="K77" s="6" t="s">
        <v>10666</v>
      </c>
      <c r="M77" s="5"/>
    </row>
    <row r="78" spans="1:13" ht="14.25" customHeight="1">
      <c r="A78" s="6" t="s">
        <v>132</v>
      </c>
      <c r="B78" s="6" t="s">
        <v>10513</v>
      </c>
      <c r="C78" s="168">
        <v>2.3201006139830001E+18</v>
      </c>
      <c r="D78" s="4">
        <v>43645</v>
      </c>
      <c r="E78" s="6">
        <v>8092388107</v>
      </c>
      <c r="F78" s="6" t="s">
        <v>10667</v>
      </c>
      <c r="H78" s="6">
        <v>752</v>
      </c>
      <c r="I78" s="13">
        <f t="shared" si="0"/>
        <v>887.3599999999999</v>
      </c>
      <c r="J78" s="6" t="s">
        <v>10668</v>
      </c>
      <c r="K78" s="6" t="s">
        <v>10669</v>
      </c>
      <c r="M78" s="5"/>
    </row>
    <row r="79" spans="1:13" ht="14.25" customHeight="1">
      <c r="A79" s="6" t="s">
        <v>132</v>
      </c>
      <c r="B79" s="6" t="s">
        <v>10513</v>
      </c>
      <c r="C79" s="168">
        <v>2.3201006141753001E+18</v>
      </c>
      <c r="D79" s="4">
        <v>43648</v>
      </c>
      <c r="E79" s="6">
        <v>9835111074</v>
      </c>
      <c r="F79" s="6" t="s">
        <v>10670</v>
      </c>
      <c r="H79" s="6">
        <v>752</v>
      </c>
      <c r="I79" s="13">
        <f t="shared" si="0"/>
        <v>887.3599999999999</v>
      </c>
      <c r="J79" s="6" t="s">
        <v>10671</v>
      </c>
      <c r="K79" s="6" t="s">
        <v>10672</v>
      </c>
      <c r="M79" s="5"/>
    </row>
    <row r="80" spans="1:13" ht="14.25" customHeight="1">
      <c r="A80" s="6" t="s">
        <v>132</v>
      </c>
      <c r="B80" s="6" t="s">
        <v>10513</v>
      </c>
      <c r="C80" s="168">
        <v>2.3201006147693E+18</v>
      </c>
      <c r="D80" s="4">
        <v>43651</v>
      </c>
      <c r="E80" s="6">
        <v>7050312952</v>
      </c>
      <c r="F80" s="6" t="s">
        <v>10673</v>
      </c>
      <c r="H80" s="6">
        <v>752</v>
      </c>
      <c r="I80" s="13">
        <f t="shared" si="0"/>
        <v>887.3599999999999</v>
      </c>
      <c r="J80" s="6" t="s">
        <v>10674</v>
      </c>
      <c r="K80" s="6" t="s">
        <v>10675</v>
      </c>
      <c r="M80" s="5"/>
    </row>
    <row r="81" spans="1:13" ht="14.25" customHeight="1">
      <c r="A81" s="6" t="s">
        <v>132</v>
      </c>
      <c r="B81" s="6" t="s">
        <v>10513</v>
      </c>
      <c r="C81" s="168">
        <v>2.3191004647273001E+18</v>
      </c>
      <c r="D81" s="4">
        <v>43652</v>
      </c>
      <c r="E81" s="6">
        <v>7004909358</v>
      </c>
      <c r="F81" s="6" t="s">
        <v>10676</v>
      </c>
      <c r="H81" s="6">
        <v>2072</v>
      </c>
      <c r="I81" s="13">
        <f t="shared" si="0"/>
        <v>2444.96</v>
      </c>
      <c r="J81" s="6" t="s">
        <v>10677</v>
      </c>
      <c r="K81" s="6" t="s">
        <v>10678</v>
      </c>
      <c r="M81" s="5"/>
    </row>
    <row r="82" spans="1:13" ht="14.25" customHeight="1">
      <c r="A82" s="6" t="s">
        <v>132</v>
      </c>
      <c r="B82" s="6" t="s">
        <v>10513</v>
      </c>
      <c r="C82" s="168">
        <v>2.3201006157477002E+18</v>
      </c>
      <c r="D82" s="4">
        <v>43656</v>
      </c>
      <c r="E82" s="6">
        <v>9835561750</v>
      </c>
      <c r="F82" s="6" t="s">
        <v>10679</v>
      </c>
      <c r="H82" s="6">
        <v>752</v>
      </c>
      <c r="I82" s="13">
        <f t="shared" si="0"/>
        <v>887.3599999999999</v>
      </c>
      <c r="J82" s="6" t="s">
        <v>10680</v>
      </c>
      <c r="K82" s="6" t="s">
        <v>10681</v>
      </c>
      <c r="M82" s="5"/>
    </row>
    <row r="83" spans="1:13" ht="14.25" customHeight="1">
      <c r="A83" s="6" t="s">
        <v>132</v>
      </c>
      <c r="B83" s="6" t="s">
        <v>10513</v>
      </c>
      <c r="C83" s="168">
        <v>2.3201006159736003E+18</v>
      </c>
      <c r="D83" s="4">
        <v>43658</v>
      </c>
      <c r="E83" s="6">
        <v>9162475626</v>
      </c>
      <c r="F83" s="6" t="s">
        <v>10682</v>
      </c>
      <c r="H83" s="6">
        <v>752</v>
      </c>
      <c r="I83" s="13">
        <f t="shared" si="0"/>
        <v>887.3599999999999</v>
      </c>
      <c r="J83" s="6" t="s">
        <v>10683</v>
      </c>
      <c r="K83" s="6" t="s">
        <v>10684</v>
      </c>
      <c r="M83" s="5"/>
    </row>
    <row r="84" spans="1:13" ht="14.25" customHeight="1">
      <c r="A84" s="6" t="s">
        <v>132</v>
      </c>
      <c r="B84" s="6" t="s">
        <v>10513</v>
      </c>
      <c r="C84" s="168">
        <v>2.3201006164981002E+18</v>
      </c>
      <c r="D84" s="4">
        <v>43661</v>
      </c>
      <c r="E84" s="6">
        <v>9113182499</v>
      </c>
      <c r="F84" s="6" t="s">
        <v>10685</v>
      </c>
      <c r="H84" s="6">
        <v>752</v>
      </c>
      <c r="I84" s="13">
        <f t="shared" si="0"/>
        <v>887.3599999999999</v>
      </c>
      <c r="J84" s="6" t="s">
        <v>10686</v>
      </c>
      <c r="K84" s="6" t="s">
        <v>10687</v>
      </c>
      <c r="M84" s="5"/>
    </row>
    <row r="85" spans="1:13" ht="14.25" customHeight="1">
      <c r="A85" s="6" t="s">
        <v>132</v>
      </c>
      <c r="B85" s="6" t="s">
        <v>10513</v>
      </c>
      <c r="C85" s="168">
        <v>2.3191004678890998E+18</v>
      </c>
      <c r="D85" s="4">
        <v>43663</v>
      </c>
      <c r="E85" s="6">
        <v>9434193250</v>
      </c>
      <c r="F85" s="6" t="s">
        <v>10688</v>
      </c>
      <c r="H85" s="6">
        <v>2072</v>
      </c>
      <c r="I85" s="13">
        <f t="shared" si="0"/>
        <v>2444.96</v>
      </c>
      <c r="J85" s="6" t="s">
        <v>10659</v>
      </c>
      <c r="K85" s="6" t="s">
        <v>10689</v>
      </c>
      <c r="M85" s="5"/>
    </row>
    <row r="86" spans="1:13" ht="14.25" customHeight="1">
      <c r="A86" s="6" t="s">
        <v>132</v>
      </c>
      <c r="B86" s="6" t="s">
        <v>10513</v>
      </c>
      <c r="C86" s="168">
        <v>2.3201006169501998E+18</v>
      </c>
      <c r="D86" s="4">
        <v>43664</v>
      </c>
      <c r="E86" s="6">
        <v>9031904806</v>
      </c>
      <c r="F86" s="6" t="s">
        <v>10690</v>
      </c>
      <c r="H86" s="6">
        <v>752</v>
      </c>
      <c r="I86" s="13">
        <f t="shared" si="0"/>
        <v>887.3599999999999</v>
      </c>
      <c r="J86" s="6" t="s">
        <v>10691</v>
      </c>
      <c r="K86" s="6" t="s">
        <v>10692</v>
      </c>
      <c r="M86" s="5"/>
    </row>
    <row r="87" spans="1:13" ht="14.25" customHeight="1">
      <c r="A87" s="6" t="s">
        <v>132</v>
      </c>
      <c r="B87" s="6" t="s">
        <v>10513</v>
      </c>
      <c r="C87" s="168">
        <v>2.3192018861562998E+18</v>
      </c>
      <c r="D87" s="4">
        <v>43666</v>
      </c>
      <c r="E87" s="6">
        <v>7631070520</v>
      </c>
      <c r="F87" s="6" t="s">
        <v>10693</v>
      </c>
      <c r="H87" s="6">
        <v>2397</v>
      </c>
      <c r="I87" s="13">
        <f t="shared" si="0"/>
        <v>2828.46</v>
      </c>
      <c r="J87" s="6" t="s">
        <v>10659</v>
      </c>
      <c r="K87" s="6" t="s">
        <v>10694</v>
      </c>
      <c r="M87" s="5"/>
    </row>
    <row r="88" spans="1:13" ht="14.25" customHeight="1">
      <c r="A88" s="6" t="s">
        <v>132</v>
      </c>
      <c r="B88" s="6" t="s">
        <v>10513</v>
      </c>
      <c r="C88" s="168">
        <v>2.3201006179942001E+18</v>
      </c>
      <c r="D88" s="4">
        <v>43669</v>
      </c>
      <c r="E88" s="6">
        <v>9204334103</v>
      </c>
      <c r="F88" s="6" t="s">
        <v>10695</v>
      </c>
      <c r="H88" s="6">
        <v>752</v>
      </c>
      <c r="I88" s="13">
        <f t="shared" si="0"/>
        <v>887.3599999999999</v>
      </c>
      <c r="K88" s="6" t="s">
        <v>10696</v>
      </c>
      <c r="M88" s="5"/>
    </row>
    <row r="89" spans="1:13" ht="14.25" customHeight="1">
      <c r="A89" s="6" t="s">
        <v>10697</v>
      </c>
      <c r="B89" s="6" t="s">
        <v>10513</v>
      </c>
      <c r="C89" s="168" t="s">
        <v>10698</v>
      </c>
      <c r="D89" s="4">
        <v>43670</v>
      </c>
      <c r="F89" s="6" t="s">
        <v>10699</v>
      </c>
      <c r="H89" s="6">
        <v>752</v>
      </c>
      <c r="I89" s="13">
        <f t="shared" si="0"/>
        <v>887.3599999999999</v>
      </c>
      <c r="K89" s="6" t="s">
        <v>10700</v>
      </c>
      <c r="M89" s="5"/>
    </row>
    <row r="90" spans="1:13" ht="14.25" customHeight="1">
      <c r="A90" s="6" t="s">
        <v>132</v>
      </c>
      <c r="B90" s="6" t="s">
        <v>10513</v>
      </c>
      <c r="C90" s="168">
        <v>2.3201006193159997E+18</v>
      </c>
      <c r="D90" s="4">
        <v>43677</v>
      </c>
      <c r="E90" s="6">
        <v>6202775063</v>
      </c>
      <c r="F90" s="6" t="s">
        <v>10701</v>
      </c>
      <c r="H90" s="6">
        <v>752</v>
      </c>
      <c r="I90" s="13">
        <f t="shared" si="0"/>
        <v>887.3599999999999</v>
      </c>
      <c r="J90" s="6" t="s">
        <v>10702</v>
      </c>
      <c r="K90" s="6" t="s">
        <v>10703</v>
      </c>
      <c r="M90" s="5"/>
    </row>
    <row r="91" spans="1:13" ht="14.25" customHeight="1">
      <c r="A91" s="6" t="s">
        <v>10697</v>
      </c>
      <c r="B91" s="6" t="s">
        <v>10513</v>
      </c>
      <c r="C91" s="168"/>
      <c r="H91" s="6">
        <v>752</v>
      </c>
      <c r="I91" s="13">
        <f t="shared" si="0"/>
        <v>887.3599999999999</v>
      </c>
      <c r="M91" s="5"/>
    </row>
    <row r="92" spans="1:13" ht="14.25" customHeight="1">
      <c r="A92" s="6" t="s">
        <v>132</v>
      </c>
      <c r="B92" s="6" t="s">
        <v>10513</v>
      </c>
      <c r="C92" s="168">
        <v>2.3201006201394002E+18</v>
      </c>
      <c r="D92" s="4">
        <v>43681</v>
      </c>
      <c r="E92" s="6">
        <v>8089669004</v>
      </c>
      <c r="F92" s="6" t="s">
        <v>10704</v>
      </c>
      <c r="H92" s="6">
        <v>752</v>
      </c>
      <c r="I92" s="13">
        <f t="shared" si="0"/>
        <v>887.3599999999999</v>
      </c>
      <c r="J92" s="6" t="s">
        <v>10602</v>
      </c>
      <c r="K92" s="6" t="s">
        <v>10705</v>
      </c>
      <c r="M92" s="5"/>
    </row>
    <row r="93" spans="1:13" ht="14.25" customHeight="1">
      <c r="A93" s="6" t="s">
        <v>132</v>
      </c>
      <c r="B93" s="6" t="s">
        <v>10513</v>
      </c>
      <c r="C93" s="168"/>
      <c r="D93" s="4">
        <v>43682</v>
      </c>
      <c r="H93" s="6">
        <v>752</v>
      </c>
      <c r="I93" s="13">
        <f t="shared" si="0"/>
        <v>887.3599999999999</v>
      </c>
      <c r="M93" s="5"/>
    </row>
    <row r="94" spans="1:13" ht="14.25" customHeight="1">
      <c r="A94" s="6" t="s">
        <v>132</v>
      </c>
      <c r="B94" s="6" t="s">
        <v>10513</v>
      </c>
      <c r="C94" s="168"/>
      <c r="D94" s="4">
        <v>43683</v>
      </c>
      <c r="H94" s="6">
        <v>752</v>
      </c>
      <c r="I94" s="13">
        <f t="shared" si="0"/>
        <v>887.3599999999999</v>
      </c>
      <c r="M94" s="5"/>
    </row>
    <row r="95" spans="1:13" ht="14.25" customHeight="1">
      <c r="A95" s="6" t="s">
        <v>132</v>
      </c>
      <c r="B95" s="6" t="s">
        <v>10513</v>
      </c>
      <c r="C95" s="168"/>
      <c r="D95" s="4">
        <v>43683</v>
      </c>
      <c r="H95" s="6">
        <v>2072</v>
      </c>
      <c r="I95" s="13">
        <f t="shared" si="0"/>
        <v>2444.96</v>
      </c>
      <c r="J95" s="6" t="s">
        <v>10706</v>
      </c>
      <c r="M95" s="5"/>
    </row>
    <row r="96" spans="1:13" ht="14.25" customHeight="1">
      <c r="A96" s="6" t="s">
        <v>132</v>
      </c>
      <c r="B96" s="6" t="s">
        <v>10513</v>
      </c>
      <c r="C96" s="168">
        <v>2.3201006208090998E+18</v>
      </c>
      <c r="D96" s="4">
        <v>43684</v>
      </c>
      <c r="H96" s="6">
        <v>720</v>
      </c>
      <c r="I96" s="13">
        <f t="shared" si="0"/>
        <v>849.59999999999991</v>
      </c>
      <c r="K96" s="6" t="s">
        <v>10707</v>
      </c>
      <c r="M96" s="5"/>
    </row>
    <row r="97" spans="1:13" ht="14.25" customHeight="1">
      <c r="A97" s="6" t="s">
        <v>10697</v>
      </c>
      <c r="B97" s="6" t="s">
        <v>10513</v>
      </c>
      <c r="C97" s="168"/>
      <c r="D97" s="4">
        <v>43685</v>
      </c>
      <c r="H97" s="6">
        <v>482</v>
      </c>
      <c r="I97" s="13">
        <f t="shared" si="0"/>
        <v>568.76</v>
      </c>
      <c r="J97" s="6" t="s">
        <v>10708</v>
      </c>
      <c r="M97" s="5"/>
    </row>
    <row r="98" spans="1:13" ht="14.25" customHeight="1">
      <c r="C98" s="168"/>
      <c r="H98" s="24">
        <f>SUM(H69:H97)</f>
        <v>29018</v>
      </c>
      <c r="M98" s="5"/>
    </row>
    <row r="99" spans="1:13" ht="14.25" customHeight="1">
      <c r="C99" s="168"/>
      <c r="M99" s="5"/>
    </row>
    <row r="100" spans="1:13" ht="14.25" customHeight="1">
      <c r="A100" s="6" t="s">
        <v>132</v>
      </c>
      <c r="B100" s="6" t="s">
        <v>10513</v>
      </c>
      <c r="C100" s="168">
        <v>2.3201006286237998E+18</v>
      </c>
      <c r="D100" s="4">
        <v>43591</v>
      </c>
      <c r="E100" s="6">
        <v>8987603904</v>
      </c>
      <c r="F100" s="6" t="s">
        <v>10709</v>
      </c>
      <c r="H100" s="6">
        <v>752</v>
      </c>
      <c r="I100" s="168">
        <f t="shared" ref="I100:I131" si="1">H100*1.18</f>
        <v>887.3599999999999</v>
      </c>
      <c r="J100" s="6" t="s">
        <v>10710</v>
      </c>
      <c r="K100" s="6" t="s">
        <v>10711</v>
      </c>
      <c r="M100" s="5"/>
    </row>
    <row r="101" spans="1:13" ht="14.25" customHeight="1">
      <c r="A101" s="6" t="s">
        <v>132</v>
      </c>
      <c r="B101" s="6" t="s">
        <v>10513</v>
      </c>
      <c r="C101" s="168">
        <v>2.3201006287872E+18</v>
      </c>
      <c r="D101" s="4">
        <v>43591</v>
      </c>
      <c r="E101" s="6">
        <v>9434193250</v>
      </c>
      <c r="F101" s="6" t="s">
        <v>10712</v>
      </c>
      <c r="H101" s="6">
        <v>752</v>
      </c>
      <c r="I101" s="168">
        <f t="shared" si="1"/>
        <v>887.3599999999999</v>
      </c>
      <c r="J101" s="6" t="s">
        <v>10637</v>
      </c>
      <c r="K101" s="6" t="s">
        <v>10713</v>
      </c>
      <c r="M101" s="5"/>
    </row>
    <row r="102" spans="1:13" ht="14.25" customHeight="1">
      <c r="A102" s="6" t="s">
        <v>132</v>
      </c>
      <c r="B102" s="6" t="s">
        <v>10513</v>
      </c>
      <c r="C102" s="168">
        <v>2.3201006287443E+18</v>
      </c>
      <c r="D102" s="4">
        <v>43591</v>
      </c>
      <c r="E102" s="6">
        <v>8797935491</v>
      </c>
      <c r="F102" s="6" t="s">
        <v>10714</v>
      </c>
      <c r="H102" s="6">
        <v>752</v>
      </c>
      <c r="I102" s="168">
        <f t="shared" si="1"/>
        <v>887.3599999999999</v>
      </c>
      <c r="K102" s="6" t="s">
        <v>10715</v>
      </c>
      <c r="M102" s="5"/>
    </row>
    <row r="103" spans="1:13" ht="14.25" customHeight="1">
      <c r="A103" s="6" t="s">
        <v>132</v>
      </c>
      <c r="B103" s="6" t="s">
        <v>10513</v>
      </c>
      <c r="C103" s="168">
        <v>2.3191006294130002E+18</v>
      </c>
      <c r="D103" s="4">
        <v>43591</v>
      </c>
      <c r="E103" s="6">
        <v>8789891181</v>
      </c>
      <c r="F103" s="6" t="s">
        <v>10716</v>
      </c>
      <c r="H103" s="6">
        <v>2072</v>
      </c>
      <c r="I103" s="168">
        <f t="shared" si="1"/>
        <v>2444.96</v>
      </c>
      <c r="J103" s="6" t="s">
        <v>10717</v>
      </c>
      <c r="K103" s="6" t="s">
        <v>10718</v>
      </c>
      <c r="M103" s="5"/>
    </row>
    <row r="104" spans="1:13" ht="14.25" customHeight="1">
      <c r="A104" s="6" t="s">
        <v>132</v>
      </c>
      <c r="B104" s="6" t="s">
        <v>10513</v>
      </c>
      <c r="C104" s="168">
        <v>2.3201006299789E+18</v>
      </c>
      <c r="D104" s="4">
        <v>43715</v>
      </c>
      <c r="E104" s="6">
        <v>7654389186</v>
      </c>
      <c r="F104" s="6" t="s">
        <v>10719</v>
      </c>
      <c r="H104" s="6">
        <v>752</v>
      </c>
      <c r="I104" s="168">
        <f t="shared" si="1"/>
        <v>887.3599999999999</v>
      </c>
      <c r="J104" s="6" t="s">
        <v>10720</v>
      </c>
      <c r="K104" s="6" t="s">
        <v>10721</v>
      </c>
      <c r="M104" s="5"/>
    </row>
    <row r="105" spans="1:13" ht="14.25" customHeight="1">
      <c r="C105" s="168"/>
      <c r="I105" s="168">
        <f t="shared" si="1"/>
        <v>0</v>
      </c>
      <c r="M105" s="5"/>
    </row>
    <row r="106" spans="1:13" ht="14.25" customHeight="1">
      <c r="C106" s="168"/>
      <c r="I106" s="168">
        <f t="shared" si="1"/>
        <v>0</v>
      </c>
      <c r="M106" s="5"/>
    </row>
    <row r="107" spans="1:13" ht="14.25" customHeight="1">
      <c r="C107" s="168"/>
      <c r="I107" s="168">
        <f t="shared" si="1"/>
        <v>0</v>
      </c>
      <c r="M107" s="5"/>
    </row>
    <row r="108" spans="1:13" ht="14.25" customHeight="1">
      <c r="C108" s="168"/>
      <c r="I108" s="168">
        <f t="shared" si="1"/>
        <v>0</v>
      </c>
      <c r="M108" s="5"/>
    </row>
    <row r="109" spans="1:13" ht="14.25" customHeight="1">
      <c r="C109" s="168"/>
      <c r="H109" s="6">
        <v>752</v>
      </c>
      <c r="I109" s="168">
        <f t="shared" si="1"/>
        <v>887.3599999999999</v>
      </c>
      <c r="M109" s="5"/>
    </row>
    <row r="110" spans="1:13" ht="14.25" customHeight="1">
      <c r="C110" s="168"/>
      <c r="H110" s="6">
        <v>752</v>
      </c>
      <c r="I110" s="168">
        <f t="shared" si="1"/>
        <v>887.3599999999999</v>
      </c>
      <c r="M110" s="5"/>
    </row>
    <row r="111" spans="1:13" ht="14.25" customHeight="1">
      <c r="C111" s="168"/>
      <c r="H111" s="6">
        <v>752</v>
      </c>
      <c r="I111" s="168">
        <f t="shared" si="1"/>
        <v>887.3599999999999</v>
      </c>
      <c r="M111" s="5"/>
    </row>
    <row r="112" spans="1:13" ht="14.25" customHeight="1">
      <c r="C112" s="168"/>
      <c r="H112" s="6">
        <v>1056</v>
      </c>
      <c r="I112" s="168">
        <f t="shared" si="1"/>
        <v>1246.08</v>
      </c>
      <c r="M112" s="5"/>
    </row>
    <row r="113" spans="1:13" ht="14.25" customHeight="1">
      <c r="A113" s="6" t="s">
        <v>132</v>
      </c>
      <c r="B113" s="6" t="s">
        <v>10722</v>
      </c>
      <c r="C113" s="168"/>
      <c r="D113" s="4">
        <v>43716</v>
      </c>
      <c r="E113" s="6">
        <v>9279301865</v>
      </c>
      <c r="F113" s="6" t="s">
        <v>10723</v>
      </c>
      <c r="H113" s="6">
        <v>1014</v>
      </c>
      <c r="I113" s="168">
        <f t="shared" si="1"/>
        <v>1196.52</v>
      </c>
      <c r="J113" s="6" t="s">
        <v>10724</v>
      </c>
      <c r="K113" s="6" t="s">
        <v>10725</v>
      </c>
      <c r="M113" s="5"/>
    </row>
    <row r="114" spans="1:13" ht="14.25" customHeight="1">
      <c r="A114" s="6" t="s">
        <v>132</v>
      </c>
      <c r="B114" s="6" t="s">
        <v>10513</v>
      </c>
      <c r="C114" s="168">
        <v>2.3201006350482002E+18</v>
      </c>
      <c r="D114" s="4">
        <v>43718</v>
      </c>
      <c r="E114" s="6">
        <v>8825382716</v>
      </c>
      <c r="F114" s="6" t="s">
        <v>10726</v>
      </c>
      <c r="H114" s="6">
        <v>752</v>
      </c>
      <c r="I114" s="168">
        <f t="shared" si="1"/>
        <v>887.3599999999999</v>
      </c>
      <c r="J114" s="6" t="s">
        <v>10727</v>
      </c>
      <c r="K114" s="6" t="s">
        <v>10728</v>
      </c>
      <c r="M114" s="5"/>
    </row>
    <row r="115" spans="1:13" ht="14.25" customHeight="1">
      <c r="C115" s="168"/>
      <c r="I115" s="168">
        <f t="shared" si="1"/>
        <v>0</v>
      </c>
      <c r="M115" s="5"/>
    </row>
    <row r="116" spans="1:13" ht="14.25" customHeight="1">
      <c r="A116" s="6" t="s">
        <v>132</v>
      </c>
      <c r="B116" s="6" t="s">
        <v>10513</v>
      </c>
      <c r="C116" s="168">
        <v>2.3201006353639997E+18</v>
      </c>
      <c r="D116" s="4">
        <v>43719</v>
      </c>
      <c r="E116" s="6">
        <v>9934354686</v>
      </c>
      <c r="F116" s="6" t="s">
        <v>10729</v>
      </c>
      <c r="H116" s="6">
        <v>752</v>
      </c>
      <c r="I116" s="168">
        <f t="shared" si="1"/>
        <v>887.3599999999999</v>
      </c>
      <c r="J116" s="6" t="s">
        <v>10730</v>
      </c>
      <c r="K116" s="6" t="s">
        <v>10731</v>
      </c>
      <c r="M116" s="5"/>
    </row>
    <row r="117" spans="1:13" ht="14.25" customHeight="1">
      <c r="A117" s="6" t="s">
        <v>132</v>
      </c>
      <c r="B117" s="6" t="s">
        <v>10513</v>
      </c>
      <c r="C117" s="168">
        <v>2.3201006353792998E+18</v>
      </c>
      <c r="D117" s="4">
        <v>43719</v>
      </c>
      <c r="E117" s="6">
        <v>7328888319</v>
      </c>
      <c r="F117" s="6" t="s">
        <v>10732</v>
      </c>
      <c r="H117" s="6">
        <v>752</v>
      </c>
      <c r="I117" s="168">
        <f t="shared" si="1"/>
        <v>887.3599999999999</v>
      </c>
      <c r="J117" s="6" t="s">
        <v>10733</v>
      </c>
      <c r="K117" s="6" t="s">
        <v>10734</v>
      </c>
      <c r="M117" s="5"/>
    </row>
    <row r="118" spans="1:13" ht="14.25" customHeight="1">
      <c r="A118" s="6" t="s">
        <v>132</v>
      </c>
      <c r="B118" s="6" t="s">
        <v>10513</v>
      </c>
      <c r="C118" s="168">
        <v>2.3201006353903002E+18</v>
      </c>
      <c r="D118" s="4">
        <v>43719</v>
      </c>
      <c r="E118" s="6">
        <v>8797152396</v>
      </c>
      <c r="F118" s="6" t="s">
        <v>10735</v>
      </c>
      <c r="H118" s="6">
        <v>752</v>
      </c>
      <c r="I118" s="168">
        <f t="shared" si="1"/>
        <v>887.3599999999999</v>
      </c>
      <c r="J118" s="6" t="s">
        <v>10736</v>
      </c>
      <c r="K118" s="6" t="s">
        <v>10737</v>
      </c>
      <c r="M118" s="5"/>
    </row>
    <row r="119" spans="1:13" ht="14.25" customHeight="1">
      <c r="A119" s="6" t="s">
        <v>132</v>
      </c>
      <c r="B119" s="6" t="s">
        <v>10513</v>
      </c>
      <c r="C119" s="168">
        <v>2.3201006354006999E+18</v>
      </c>
      <c r="D119" s="4">
        <v>43719</v>
      </c>
      <c r="E119" s="6">
        <v>8092246219</v>
      </c>
      <c r="F119" s="6" t="s">
        <v>1788</v>
      </c>
      <c r="H119" s="6">
        <v>752</v>
      </c>
      <c r="I119" s="168">
        <f t="shared" si="1"/>
        <v>887.3599999999999</v>
      </c>
      <c r="J119" s="6" t="s">
        <v>10738</v>
      </c>
      <c r="K119" s="6" t="s">
        <v>10739</v>
      </c>
      <c r="M119" s="5"/>
    </row>
    <row r="120" spans="1:13" ht="14.25" customHeight="1">
      <c r="A120" s="6" t="s">
        <v>10740</v>
      </c>
      <c r="B120" s="6" t="s">
        <v>10513</v>
      </c>
      <c r="C120" s="168">
        <v>6.0732192348023706E+17</v>
      </c>
      <c r="D120" s="4">
        <v>43719</v>
      </c>
      <c r="E120" s="6">
        <v>9931195820</v>
      </c>
      <c r="F120" s="6" t="s">
        <v>10741</v>
      </c>
      <c r="H120" s="6">
        <v>702</v>
      </c>
      <c r="I120" s="168">
        <f t="shared" si="1"/>
        <v>828.3599999999999</v>
      </c>
      <c r="J120" s="6" t="s">
        <v>10623</v>
      </c>
      <c r="K120" s="6" t="s">
        <v>10742</v>
      </c>
      <c r="M120" s="5"/>
    </row>
    <row r="121" spans="1:13" ht="14.25" customHeight="1">
      <c r="A121" s="6" t="s">
        <v>10740</v>
      </c>
      <c r="B121" s="6" t="s">
        <v>10513</v>
      </c>
      <c r="C121" s="168">
        <v>6.0732192348023706E+17</v>
      </c>
      <c r="D121" s="4">
        <v>43719</v>
      </c>
      <c r="E121" s="6">
        <v>7903442197</v>
      </c>
      <c r="F121" s="6" t="s">
        <v>10743</v>
      </c>
      <c r="H121" s="6">
        <v>752</v>
      </c>
      <c r="I121" s="168">
        <f t="shared" si="1"/>
        <v>887.3599999999999</v>
      </c>
      <c r="J121" s="6" t="s">
        <v>10744</v>
      </c>
      <c r="K121" s="6" t="s">
        <v>10745</v>
      </c>
      <c r="M121" s="5"/>
    </row>
    <row r="122" spans="1:13" ht="14.25" customHeight="1">
      <c r="A122" s="6" t="s">
        <v>10740</v>
      </c>
      <c r="B122" s="6" t="s">
        <v>10513</v>
      </c>
      <c r="C122" s="168">
        <v>6.0732192348023706E+17</v>
      </c>
      <c r="D122" s="4">
        <v>43719</v>
      </c>
      <c r="E122" s="6">
        <v>8292311911</v>
      </c>
      <c r="F122" s="6" t="s">
        <v>10746</v>
      </c>
      <c r="H122" s="6">
        <v>702</v>
      </c>
      <c r="I122" s="168">
        <f t="shared" si="1"/>
        <v>828.3599999999999</v>
      </c>
      <c r="J122" s="6" t="s">
        <v>10747</v>
      </c>
      <c r="K122" s="6" t="s">
        <v>10748</v>
      </c>
      <c r="M122" s="5"/>
    </row>
    <row r="123" spans="1:13" ht="14.25" customHeight="1">
      <c r="A123" s="6" t="s">
        <v>10740</v>
      </c>
      <c r="B123" s="6" t="s">
        <v>10513</v>
      </c>
      <c r="C123" s="168">
        <v>6.07321923470048E+17</v>
      </c>
      <c r="D123" s="4">
        <v>43719</v>
      </c>
      <c r="E123" s="6">
        <v>9234682169</v>
      </c>
      <c r="F123" s="6" t="s">
        <v>10749</v>
      </c>
      <c r="H123" s="6">
        <v>2072</v>
      </c>
      <c r="I123" s="168">
        <f t="shared" si="1"/>
        <v>2444.96</v>
      </c>
      <c r="J123" s="6" t="s">
        <v>10750</v>
      </c>
      <c r="K123" s="6" t="s">
        <v>10751</v>
      </c>
      <c r="M123" s="5"/>
    </row>
    <row r="124" spans="1:13" ht="14.25" customHeight="1">
      <c r="A124" s="6" t="s">
        <v>132</v>
      </c>
      <c r="B124" s="6" t="s">
        <v>10513</v>
      </c>
      <c r="C124" s="168">
        <v>2.3201006361900001E+18</v>
      </c>
      <c r="D124" s="4">
        <v>43719</v>
      </c>
      <c r="E124" s="6">
        <v>8210229989</v>
      </c>
      <c r="F124" s="6" t="s">
        <v>10752</v>
      </c>
      <c r="H124" s="6">
        <v>752</v>
      </c>
      <c r="I124" s="168">
        <f t="shared" si="1"/>
        <v>887.3599999999999</v>
      </c>
      <c r="J124" s="6" t="s">
        <v>10753</v>
      </c>
      <c r="K124" s="6" t="s">
        <v>10754</v>
      </c>
      <c r="M124" s="5"/>
    </row>
    <row r="125" spans="1:13" ht="14.25" customHeight="1">
      <c r="A125" s="6" t="s">
        <v>132</v>
      </c>
      <c r="B125" s="6" t="s">
        <v>10513</v>
      </c>
      <c r="C125" s="168">
        <v>2.3201006361676001E+18</v>
      </c>
      <c r="D125" s="4">
        <v>43719</v>
      </c>
      <c r="E125" s="6">
        <v>9031038401</v>
      </c>
      <c r="F125" s="6" t="s">
        <v>10755</v>
      </c>
      <c r="H125" s="6">
        <v>752</v>
      </c>
      <c r="I125" s="168">
        <f t="shared" si="1"/>
        <v>887.3599999999999</v>
      </c>
      <c r="J125" s="6" t="s">
        <v>10702</v>
      </c>
      <c r="K125" s="6" t="s">
        <v>10756</v>
      </c>
      <c r="M125" s="5"/>
    </row>
    <row r="126" spans="1:13" ht="14.25" customHeight="1">
      <c r="A126" s="6" t="s">
        <v>10740</v>
      </c>
      <c r="B126" s="6" t="s">
        <v>10722</v>
      </c>
      <c r="C126" s="168">
        <v>6.0732192348023501E+17</v>
      </c>
      <c r="D126" s="4">
        <v>43719</v>
      </c>
      <c r="E126" s="6">
        <v>8210571685</v>
      </c>
      <c r="F126" s="6" t="s">
        <v>739</v>
      </c>
      <c r="H126" s="6">
        <v>1143</v>
      </c>
      <c r="I126" s="168">
        <f t="shared" si="1"/>
        <v>1348.74</v>
      </c>
      <c r="J126" s="6" t="s">
        <v>10757</v>
      </c>
      <c r="K126" s="6" t="s">
        <v>10758</v>
      </c>
      <c r="M126" s="5"/>
    </row>
    <row r="127" spans="1:13" ht="14.25" customHeight="1">
      <c r="A127" s="6" t="s">
        <v>132</v>
      </c>
      <c r="B127" s="6" t="s">
        <v>10722</v>
      </c>
      <c r="C127" s="168">
        <v>2.3121006357290998E+18</v>
      </c>
      <c r="D127" s="4">
        <v>43719</v>
      </c>
      <c r="E127" s="6">
        <v>9555983384</v>
      </c>
      <c r="F127" s="6" t="s">
        <v>10759</v>
      </c>
      <c r="H127" s="6">
        <v>974</v>
      </c>
      <c r="I127" s="168">
        <f t="shared" si="1"/>
        <v>1149.32</v>
      </c>
      <c r="J127" s="6" t="s">
        <v>10529</v>
      </c>
      <c r="K127" s="6" t="s">
        <v>10760</v>
      </c>
      <c r="M127" s="5"/>
    </row>
    <row r="128" spans="1:13" ht="14.25" customHeight="1">
      <c r="A128" s="6" t="s">
        <v>132</v>
      </c>
      <c r="B128" s="6" t="s">
        <v>10722</v>
      </c>
      <c r="C128" s="168">
        <v>2.3121006356981002E+18</v>
      </c>
      <c r="D128" s="4">
        <v>43719</v>
      </c>
      <c r="E128" s="6">
        <v>7050251414</v>
      </c>
      <c r="F128" s="6" t="s">
        <v>10761</v>
      </c>
      <c r="H128" s="6">
        <v>1624</v>
      </c>
      <c r="I128" s="168">
        <f t="shared" si="1"/>
        <v>1916.32</v>
      </c>
      <c r="J128" s="6" t="s">
        <v>10762</v>
      </c>
      <c r="K128" s="6" t="s">
        <v>10763</v>
      </c>
      <c r="M128" s="5"/>
    </row>
    <row r="129" spans="1:13" ht="14.25" customHeight="1">
      <c r="A129" s="6" t="s">
        <v>10740</v>
      </c>
      <c r="B129" s="6" t="s">
        <v>10513</v>
      </c>
      <c r="C129" s="168">
        <v>6.07321923470048E+17</v>
      </c>
      <c r="D129" s="4">
        <v>43719</v>
      </c>
      <c r="E129" s="6">
        <v>6203456403</v>
      </c>
      <c r="F129" s="6" t="s">
        <v>10764</v>
      </c>
      <c r="H129" s="6">
        <v>7890</v>
      </c>
      <c r="I129" s="168">
        <f t="shared" si="1"/>
        <v>9310.1999999999989</v>
      </c>
      <c r="J129" s="6" t="s">
        <v>10765</v>
      </c>
      <c r="K129" s="6" t="s">
        <v>10766</v>
      </c>
      <c r="M129" s="5"/>
    </row>
    <row r="130" spans="1:13" ht="14.25" customHeight="1">
      <c r="A130" s="6" t="s">
        <v>10740</v>
      </c>
      <c r="B130" s="6" t="s">
        <v>10513</v>
      </c>
      <c r="C130" s="168">
        <v>6.0732192348023194E+17</v>
      </c>
      <c r="D130" s="4">
        <v>43719</v>
      </c>
      <c r="E130" s="6">
        <v>8603868152</v>
      </c>
      <c r="F130" s="6" t="s">
        <v>10767</v>
      </c>
      <c r="H130" s="6">
        <v>702</v>
      </c>
      <c r="I130" s="168">
        <f t="shared" si="1"/>
        <v>828.3599999999999</v>
      </c>
      <c r="J130" s="6" t="s">
        <v>10529</v>
      </c>
      <c r="K130" s="6" t="s">
        <v>10768</v>
      </c>
      <c r="M130" s="5"/>
    </row>
    <row r="131" spans="1:13" ht="14.25" customHeight="1">
      <c r="A131" s="6" t="s">
        <v>10740</v>
      </c>
      <c r="B131" s="6" t="s">
        <v>10513</v>
      </c>
      <c r="C131" s="168">
        <v>6.0732192348023194E+17</v>
      </c>
      <c r="D131" s="4">
        <v>43719</v>
      </c>
      <c r="E131" s="6">
        <v>9431544961</v>
      </c>
      <c r="F131" s="6" t="s">
        <v>10769</v>
      </c>
      <c r="H131" s="6">
        <v>752</v>
      </c>
      <c r="I131" s="168">
        <f t="shared" si="1"/>
        <v>887.3599999999999</v>
      </c>
      <c r="J131" s="6" t="s">
        <v>10529</v>
      </c>
      <c r="K131" s="6" t="s">
        <v>10770</v>
      </c>
      <c r="M131" s="5"/>
    </row>
    <row r="132" spans="1:13" ht="14.25" customHeight="1">
      <c r="C132" s="168"/>
      <c r="D132" s="4"/>
      <c r="I132" s="168"/>
      <c r="M132" s="5"/>
    </row>
    <row r="133" spans="1:13" ht="14.25" customHeight="1">
      <c r="C133" s="168"/>
      <c r="D133" s="4"/>
      <c r="I133" s="168"/>
      <c r="M133" s="5"/>
    </row>
    <row r="134" spans="1:13" ht="14.25" customHeight="1">
      <c r="C134" s="168"/>
      <c r="D134" s="4"/>
      <c r="I134" s="168"/>
      <c r="M134" s="5"/>
    </row>
    <row r="135" spans="1:13" ht="14.25" customHeight="1">
      <c r="C135" s="168"/>
      <c r="D135" s="4"/>
      <c r="I135" s="168"/>
      <c r="M135" s="5"/>
    </row>
    <row r="136" spans="1:13" ht="14.25" customHeight="1">
      <c r="C136" s="168"/>
      <c r="I136" s="168">
        <f t="shared" ref="I136:I143" si="2">H136*1.18</f>
        <v>0</v>
      </c>
      <c r="M136" s="5"/>
    </row>
    <row r="137" spans="1:13" ht="14.25" customHeight="1">
      <c r="A137" s="6" t="s">
        <v>132</v>
      </c>
      <c r="B137" s="6" t="s">
        <v>10513</v>
      </c>
      <c r="C137" s="168">
        <v>2.3201006365402998E+18</v>
      </c>
      <c r="D137" s="4">
        <v>43720</v>
      </c>
      <c r="E137" s="6">
        <v>6204246462</v>
      </c>
      <c r="F137" s="6" t="s">
        <v>10771</v>
      </c>
      <c r="H137" s="6">
        <v>752</v>
      </c>
      <c r="I137" s="168">
        <f t="shared" si="2"/>
        <v>887.3599999999999</v>
      </c>
      <c r="J137" s="6" t="s">
        <v>10772</v>
      </c>
      <c r="K137" s="6" t="s">
        <v>10773</v>
      </c>
      <c r="M137" s="5"/>
    </row>
    <row r="138" spans="1:13" ht="14.25" customHeight="1">
      <c r="A138" s="6" t="s">
        <v>132</v>
      </c>
      <c r="B138" s="6" t="s">
        <v>10513</v>
      </c>
      <c r="C138" s="168">
        <v>2.3201006366092001E+18</v>
      </c>
      <c r="D138" s="4">
        <v>43720</v>
      </c>
      <c r="E138" s="6">
        <v>9031360742</v>
      </c>
      <c r="F138" s="6" t="s">
        <v>10774</v>
      </c>
      <c r="H138" s="6">
        <v>752</v>
      </c>
      <c r="I138" s="168">
        <f t="shared" si="2"/>
        <v>887.3599999999999</v>
      </c>
      <c r="J138" s="6" t="s">
        <v>10680</v>
      </c>
      <c r="K138" s="6" t="s">
        <v>10775</v>
      </c>
      <c r="M138" s="5"/>
    </row>
    <row r="139" spans="1:13" ht="14.25" customHeight="1">
      <c r="A139" s="6" t="s">
        <v>132</v>
      </c>
      <c r="B139" s="6" t="s">
        <v>10513</v>
      </c>
      <c r="C139" s="168">
        <v>2.3201006375283E+18</v>
      </c>
      <c r="D139" s="4">
        <v>43720</v>
      </c>
      <c r="H139" s="6">
        <v>720</v>
      </c>
      <c r="I139" s="168">
        <f t="shared" si="2"/>
        <v>849.59999999999991</v>
      </c>
      <c r="M139" s="5"/>
    </row>
    <row r="140" spans="1:13" ht="14.25" customHeight="1">
      <c r="C140" s="168"/>
      <c r="D140" s="4"/>
      <c r="H140" s="6">
        <v>720</v>
      </c>
      <c r="I140" s="168">
        <f t="shared" si="2"/>
        <v>849.59999999999991</v>
      </c>
      <c r="J140" s="6" t="s">
        <v>1527</v>
      </c>
      <c r="M140" s="5"/>
    </row>
    <row r="141" spans="1:13" ht="14.25" customHeight="1">
      <c r="C141" s="168"/>
      <c r="D141" s="4"/>
      <c r="I141" s="168">
        <f t="shared" si="2"/>
        <v>0</v>
      </c>
      <c r="M141" s="5"/>
    </row>
    <row r="142" spans="1:13" ht="14.25" customHeight="1">
      <c r="C142" s="168"/>
      <c r="D142" s="4"/>
      <c r="I142" s="168">
        <f t="shared" si="2"/>
        <v>0</v>
      </c>
      <c r="M142" s="5"/>
    </row>
    <row r="143" spans="1:13" ht="14.25" customHeight="1">
      <c r="A143" s="6" t="s">
        <v>10776</v>
      </c>
      <c r="B143" s="6" t="s">
        <v>10513</v>
      </c>
      <c r="C143" s="168"/>
      <c r="D143" s="4">
        <v>43794</v>
      </c>
      <c r="H143" s="6">
        <v>2022</v>
      </c>
      <c r="I143" s="168">
        <f t="shared" si="2"/>
        <v>2385.96</v>
      </c>
      <c r="J143" s="6" t="s">
        <v>10777</v>
      </c>
      <c r="M143" s="5"/>
    </row>
    <row r="144" spans="1:13" ht="14.25" customHeight="1">
      <c r="A144" s="6" t="s">
        <v>132</v>
      </c>
      <c r="B144" s="6" t="s">
        <v>10505</v>
      </c>
      <c r="C144" s="168"/>
      <c r="D144" s="4">
        <v>43794</v>
      </c>
      <c r="M144" s="5"/>
    </row>
    <row r="145" spans="1:13" ht="14.25" customHeight="1">
      <c r="C145" s="168"/>
      <c r="M145" s="5"/>
    </row>
    <row r="146" spans="1:13" ht="14.25" customHeight="1">
      <c r="C146" s="168"/>
      <c r="D146" s="4"/>
      <c r="I146" s="168"/>
      <c r="M146" s="5"/>
    </row>
    <row r="147" spans="1:13" ht="14.25" customHeight="1">
      <c r="C147" s="168"/>
      <c r="D147" s="4"/>
      <c r="I147" s="168"/>
      <c r="M147" s="5"/>
    </row>
    <row r="148" spans="1:13" ht="14.25" customHeight="1">
      <c r="C148" s="168"/>
      <c r="I148" s="168">
        <f>H148*1.18</f>
        <v>0</v>
      </c>
      <c r="M148" s="5"/>
    </row>
    <row r="149" spans="1:13" ht="14.25" customHeight="1">
      <c r="C149" s="168"/>
      <c r="H149" s="6">
        <f>SUM(H100:H148)</f>
        <v>36949</v>
      </c>
      <c r="M149" s="5"/>
    </row>
    <row r="150" spans="1:13" ht="14.25" customHeight="1">
      <c r="C150" s="168"/>
      <c r="M150" s="5"/>
    </row>
    <row r="151" spans="1:13" ht="14.25" customHeight="1">
      <c r="C151" s="168"/>
      <c r="M151" s="5"/>
    </row>
    <row r="152" spans="1:13" ht="14.25" customHeight="1">
      <c r="C152" s="168"/>
      <c r="M152" s="5"/>
    </row>
    <row r="153" spans="1:13" ht="14.25" customHeight="1">
      <c r="A153" s="6" t="s">
        <v>10778</v>
      </c>
      <c r="B153" s="6" t="s">
        <v>10513</v>
      </c>
      <c r="C153" s="168" t="s">
        <v>10779</v>
      </c>
      <c r="D153" s="4">
        <v>43791</v>
      </c>
      <c r="F153" s="6" t="s">
        <v>10780</v>
      </c>
      <c r="H153" s="6">
        <v>2256</v>
      </c>
      <c r="I153" s="168">
        <f t="shared" ref="I153:I154" si="3">H153*1.18</f>
        <v>2662.08</v>
      </c>
      <c r="J153" s="6" t="s">
        <v>10781</v>
      </c>
      <c r="K153" s="6" t="s">
        <v>10782</v>
      </c>
      <c r="L153" s="6">
        <v>2571</v>
      </c>
      <c r="M153" s="5"/>
    </row>
    <row r="154" spans="1:13" ht="14.25" customHeight="1">
      <c r="A154" s="6" t="s">
        <v>10778</v>
      </c>
      <c r="B154" s="6" t="s">
        <v>10513</v>
      </c>
      <c r="C154" s="168" t="s">
        <v>10783</v>
      </c>
      <c r="D154" s="4">
        <v>43791</v>
      </c>
      <c r="F154" s="6" t="s">
        <v>10784</v>
      </c>
      <c r="H154" s="6">
        <v>752</v>
      </c>
      <c r="I154" s="168">
        <f t="shared" si="3"/>
        <v>887.3599999999999</v>
      </c>
      <c r="K154" s="6" t="s">
        <v>10785</v>
      </c>
      <c r="M154" s="5"/>
    </row>
    <row r="155" spans="1:13" ht="14.25" customHeight="1">
      <c r="A155" s="6" t="s">
        <v>10778</v>
      </c>
      <c r="B155" s="6" t="s">
        <v>10786</v>
      </c>
      <c r="C155" s="168" t="s">
        <v>10787</v>
      </c>
      <c r="D155" s="4">
        <v>43792</v>
      </c>
      <c r="F155" s="6" t="s">
        <v>10788</v>
      </c>
      <c r="G155" s="6">
        <v>305</v>
      </c>
      <c r="H155" s="6">
        <v>752</v>
      </c>
      <c r="I155" s="168">
        <f t="shared" ref="I155:I158" si="4">(G155+H155)*1.18</f>
        <v>1247.26</v>
      </c>
      <c r="J155" s="6" t="s">
        <v>10680</v>
      </c>
      <c r="K155" s="6" t="s">
        <v>10789</v>
      </c>
      <c r="M155" s="5"/>
    </row>
    <row r="156" spans="1:13" ht="14.25" customHeight="1">
      <c r="A156" s="6" t="s">
        <v>10778</v>
      </c>
      <c r="B156" s="6" t="s">
        <v>10513</v>
      </c>
      <c r="C156" s="168" t="s">
        <v>10790</v>
      </c>
      <c r="D156" s="4">
        <v>43798</v>
      </c>
      <c r="F156" s="6" t="s">
        <v>10791</v>
      </c>
      <c r="H156" s="6">
        <v>752</v>
      </c>
      <c r="I156" s="168">
        <f t="shared" si="4"/>
        <v>887.3599999999999</v>
      </c>
      <c r="J156" s="6" t="s">
        <v>10792</v>
      </c>
      <c r="K156" s="6" t="s">
        <v>10793</v>
      </c>
      <c r="M156" s="5"/>
    </row>
    <row r="157" spans="1:13" ht="14.25" customHeight="1">
      <c r="A157" s="6" t="s">
        <v>10778</v>
      </c>
      <c r="B157" s="6" t="s">
        <v>10513</v>
      </c>
      <c r="C157" s="168" t="s">
        <v>10794</v>
      </c>
      <c r="D157" s="4">
        <v>43798</v>
      </c>
      <c r="E157" s="6">
        <v>9031393446</v>
      </c>
      <c r="F157" s="6" t="s">
        <v>2124</v>
      </c>
      <c r="H157" s="6">
        <v>752</v>
      </c>
      <c r="I157" s="168">
        <f t="shared" si="4"/>
        <v>887.3599999999999</v>
      </c>
      <c r="J157" s="6" t="s">
        <v>10795</v>
      </c>
      <c r="K157" s="6" t="s">
        <v>10796</v>
      </c>
      <c r="M157" s="5"/>
    </row>
    <row r="158" spans="1:13" ht="14.25" customHeight="1">
      <c r="C158" s="168"/>
      <c r="G158" s="6">
        <v>675</v>
      </c>
      <c r="H158" s="6">
        <f>752*2</f>
        <v>1504</v>
      </c>
      <c r="I158" s="168">
        <f t="shared" si="4"/>
        <v>2571.2199999999998</v>
      </c>
      <c r="M158" s="5"/>
    </row>
    <row r="159" spans="1:13" ht="14.25" customHeight="1">
      <c r="C159" s="168"/>
      <c r="G159" s="287">
        <f t="shared" ref="G159:H159" si="5">SUM(G153:G158)</f>
        <v>980</v>
      </c>
      <c r="H159" s="287">
        <f t="shared" si="5"/>
        <v>6768</v>
      </c>
      <c r="I159" s="288">
        <f>G159+H159</f>
        <v>7748</v>
      </c>
      <c r="J159" s="289">
        <f>SUM(G153:H158)*IF(COUNT(H153:H158)&lt;3,0.025,IF(COUNT(H153:H158)&lt;6,0.075,IF(COUNT(H153:H158)&lt;11,0.1,IF(COUNT(H153:H158)&lt;51,0.15,0.2))))</f>
        <v>774.80000000000007</v>
      </c>
      <c r="K159" s="290">
        <f>446+288</f>
        <v>734</v>
      </c>
      <c r="M159" s="5"/>
    </row>
    <row r="160" spans="1:13" ht="14.25" customHeight="1">
      <c r="C160" s="168"/>
      <c r="M160" s="5"/>
    </row>
    <row r="161" spans="1:13" ht="14.25" customHeight="1">
      <c r="C161" s="168"/>
      <c r="H161" s="24"/>
      <c r="M161" s="5"/>
    </row>
    <row r="162" spans="1:13" ht="14.25" customHeight="1">
      <c r="A162" s="6" t="s">
        <v>10778</v>
      </c>
      <c r="B162" s="6" t="s">
        <v>10513</v>
      </c>
      <c r="C162" s="168" t="s">
        <v>10797</v>
      </c>
      <c r="D162" s="4">
        <v>43801</v>
      </c>
      <c r="F162" s="6" t="s">
        <v>10798</v>
      </c>
      <c r="H162" s="6">
        <v>752</v>
      </c>
      <c r="I162" s="13">
        <f t="shared" ref="I162:I172" si="6">(G162+H162)*1.18</f>
        <v>887.3599999999999</v>
      </c>
      <c r="K162" s="6" t="s">
        <v>10799</v>
      </c>
      <c r="M162" s="5"/>
    </row>
    <row r="163" spans="1:13" ht="14.25" customHeight="1">
      <c r="A163" s="6" t="s">
        <v>10778</v>
      </c>
      <c r="B163" s="6" t="s">
        <v>10513</v>
      </c>
      <c r="C163" s="168" t="s">
        <v>10800</v>
      </c>
      <c r="D163" s="4">
        <v>43802</v>
      </c>
      <c r="F163" s="6" t="s">
        <v>10801</v>
      </c>
      <c r="H163" s="6">
        <v>1504</v>
      </c>
      <c r="I163" s="13">
        <f t="shared" si="6"/>
        <v>1774.7199999999998</v>
      </c>
      <c r="J163" s="6" t="s">
        <v>10529</v>
      </c>
      <c r="K163" s="6" t="s">
        <v>10802</v>
      </c>
      <c r="M163" s="5"/>
    </row>
    <row r="164" spans="1:13" ht="14.25" customHeight="1">
      <c r="A164" s="6" t="s">
        <v>10778</v>
      </c>
      <c r="B164" s="6" t="s">
        <v>10513</v>
      </c>
      <c r="C164" s="168" t="s">
        <v>10803</v>
      </c>
      <c r="D164" s="4">
        <v>43804</v>
      </c>
      <c r="E164" s="6">
        <v>7762822844</v>
      </c>
      <c r="F164" s="6" t="s">
        <v>10804</v>
      </c>
      <c r="H164" s="6">
        <v>752</v>
      </c>
      <c r="I164" s="13">
        <f t="shared" si="6"/>
        <v>887.3599999999999</v>
      </c>
      <c r="J164" s="6" t="s">
        <v>10805</v>
      </c>
      <c r="K164" s="6" t="s">
        <v>10806</v>
      </c>
      <c r="M164" s="5"/>
    </row>
    <row r="165" spans="1:13" ht="14.25" customHeight="1">
      <c r="A165" s="6" t="s">
        <v>10778</v>
      </c>
      <c r="B165" s="6" t="s">
        <v>10513</v>
      </c>
      <c r="C165" s="168" t="s">
        <v>10807</v>
      </c>
      <c r="D165" s="4">
        <v>43807</v>
      </c>
      <c r="H165" s="6">
        <v>752</v>
      </c>
      <c r="I165" s="13">
        <f t="shared" si="6"/>
        <v>887.3599999999999</v>
      </c>
      <c r="M165" s="5"/>
    </row>
    <row r="166" spans="1:13" ht="14.25" customHeight="1">
      <c r="A166" s="6" t="s">
        <v>10778</v>
      </c>
      <c r="B166" s="6" t="s">
        <v>10513</v>
      </c>
      <c r="C166" s="168" t="s">
        <v>10808</v>
      </c>
      <c r="D166" s="4">
        <v>43809</v>
      </c>
      <c r="H166" s="6">
        <v>752</v>
      </c>
      <c r="I166" s="13">
        <f t="shared" si="6"/>
        <v>887.3599999999999</v>
      </c>
      <c r="M166" s="5">
        <f>SUM(H162:H166)*0.07</f>
        <v>315.84000000000003</v>
      </c>
    </row>
    <row r="167" spans="1:13" ht="14.25" customHeight="1">
      <c r="A167" s="6" t="s">
        <v>10778</v>
      </c>
      <c r="B167" s="6" t="s">
        <v>10513</v>
      </c>
      <c r="C167" s="168" t="s">
        <v>10809</v>
      </c>
      <c r="D167" s="4">
        <v>43815</v>
      </c>
      <c r="H167" s="6">
        <v>752</v>
      </c>
      <c r="I167" s="13">
        <f t="shared" si="6"/>
        <v>887.3599999999999</v>
      </c>
      <c r="M167" s="5"/>
    </row>
    <row r="168" spans="1:13" ht="14.25" customHeight="1">
      <c r="A168" s="6" t="s">
        <v>10778</v>
      </c>
      <c r="B168" s="6" t="s">
        <v>10513</v>
      </c>
      <c r="C168" s="168" t="s">
        <v>10810</v>
      </c>
      <c r="D168" s="4">
        <v>43817</v>
      </c>
      <c r="E168" s="6">
        <v>8757762022</v>
      </c>
      <c r="F168" s="6" t="s">
        <v>10811</v>
      </c>
      <c r="H168" s="6">
        <v>752</v>
      </c>
      <c r="I168" s="13">
        <f t="shared" si="6"/>
        <v>887.3599999999999</v>
      </c>
      <c r="J168" s="6" t="s">
        <v>10812</v>
      </c>
      <c r="K168" s="6" t="s">
        <v>10813</v>
      </c>
      <c r="M168" s="5"/>
    </row>
    <row r="169" spans="1:13" ht="14.25" customHeight="1">
      <c r="A169" s="6" t="s">
        <v>10778</v>
      </c>
      <c r="B169" s="6" t="s">
        <v>10513</v>
      </c>
      <c r="C169" s="168" t="s">
        <v>10814</v>
      </c>
      <c r="D169" s="4">
        <v>43818</v>
      </c>
      <c r="H169" s="6">
        <v>752</v>
      </c>
      <c r="I169" s="13">
        <f t="shared" si="6"/>
        <v>887.3599999999999</v>
      </c>
      <c r="M169" s="5"/>
    </row>
    <row r="170" spans="1:13" ht="14.25" customHeight="1">
      <c r="A170" s="6" t="s">
        <v>10778</v>
      </c>
      <c r="B170" s="6" t="s">
        <v>10815</v>
      </c>
      <c r="C170" s="168" t="s">
        <v>10816</v>
      </c>
      <c r="D170" s="4">
        <v>43824</v>
      </c>
      <c r="F170" s="6" t="s">
        <v>10817</v>
      </c>
      <c r="G170" s="6">
        <v>1036</v>
      </c>
      <c r="H170" s="6">
        <v>3285</v>
      </c>
      <c r="I170" s="13">
        <f t="shared" si="6"/>
        <v>5098.78</v>
      </c>
      <c r="J170" s="6" t="s">
        <v>10818</v>
      </c>
      <c r="K170" s="6" t="s">
        <v>7314</v>
      </c>
      <c r="M170" s="5"/>
    </row>
    <row r="171" spans="1:13" ht="14.25" customHeight="1">
      <c r="A171" s="6" t="s">
        <v>10778</v>
      </c>
      <c r="B171" s="6" t="s">
        <v>10513</v>
      </c>
      <c r="C171" s="168" t="s">
        <v>10819</v>
      </c>
      <c r="D171" s="4">
        <v>43829</v>
      </c>
      <c r="H171" s="6">
        <v>752</v>
      </c>
      <c r="I171" s="13">
        <f t="shared" si="6"/>
        <v>887.3599999999999</v>
      </c>
      <c r="M171" s="5"/>
    </row>
    <row r="172" spans="1:13" ht="14.25" customHeight="1">
      <c r="A172" s="6" t="s">
        <v>10778</v>
      </c>
      <c r="B172" s="6" t="s">
        <v>10513</v>
      </c>
      <c r="C172" s="168" t="s">
        <v>10820</v>
      </c>
      <c r="D172" s="4">
        <v>43830</v>
      </c>
      <c r="E172" s="6">
        <v>8757661223</v>
      </c>
      <c r="F172" s="6" t="s">
        <v>10821</v>
      </c>
      <c r="H172" s="6">
        <v>752</v>
      </c>
      <c r="I172" s="13">
        <f t="shared" si="6"/>
        <v>887.3599999999999</v>
      </c>
      <c r="J172" s="6" t="s">
        <v>10822</v>
      </c>
      <c r="K172" s="6" t="s">
        <v>10823</v>
      </c>
      <c r="M172" s="5"/>
    </row>
    <row r="173" spans="1:13" ht="14.25" customHeight="1">
      <c r="C173" s="168"/>
      <c r="D173" s="4"/>
      <c r="M173" s="5"/>
    </row>
    <row r="174" spans="1:13" ht="14.25" customHeight="1">
      <c r="C174" s="168"/>
      <c r="M174" s="5"/>
    </row>
    <row r="175" spans="1:13" ht="14.25" customHeight="1">
      <c r="C175" s="168"/>
      <c r="G175" s="287">
        <f t="shared" ref="G175:H175" si="7">SUM(G162:G174)</f>
        <v>1036</v>
      </c>
      <c r="H175" s="287">
        <f t="shared" si="7"/>
        <v>11557</v>
      </c>
      <c r="I175" s="6">
        <f>G175+H175</f>
        <v>12593</v>
      </c>
      <c r="J175" s="289">
        <f>SUM(G162:H174)*IF(COUNT(H162:H174)&lt;3,0.025,IF(COUNT(H162:H174)&lt;6,0.075,IF(COUNT(H162:H174)&lt;11,0.1,IF(COUNT(H162:H174)&lt;51,0.15,0.2))))</f>
        <v>1888.9499999999998</v>
      </c>
      <c r="K175" s="290">
        <f>108+262+1052</f>
        <v>1422</v>
      </c>
      <c r="L175" s="6">
        <f>J175*0.95</f>
        <v>1794.5024999999998</v>
      </c>
      <c r="M175" s="5"/>
    </row>
    <row r="176" spans="1:13" ht="14.25" customHeight="1">
      <c r="C176" s="168"/>
      <c r="H176" s="291"/>
      <c r="M176" s="5"/>
    </row>
    <row r="177" spans="1:13" ht="14.25" customHeight="1">
      <c r="A177" s="6" t="s">
        <v>10776</v>
      </c>
      <c r="B177" s="6" t="s">
        <v>10513</v>
      </c>
      <c r="C177" s="168">
        <v>6.0732192347008205E+17</v>
      </c>
      <c r="D177" s="4">
        <v>43802</v>
      </c>
      <c r="F177" s="6" t="s">
        <v>10801</v>
      </c>
      <c r="H177" s="6">
        <v>3121</v>
      </c>
      <c r="I177" s="6">
        <f>(G177+H177)*1.18</f>
        <v>3682.7799999999997</v>
      </c>
      <c r="J177" s="6" t="s">
        <v>10824</v>
      </c>
      <c r="M177" s="5"/>
    </row>
    <row r="178" spans="1:13" ht="14.25" customHeight="1">
      <c r="A178" s="6" t="s">
        <v>132</v>
      </c>
      <c r="B178" s="6" t="s">
        <v>10513</v>
      </c>
      <c r="C178" s="168">
        <v>2.3171005761368003E+18</v>
      </c>
      <c r="D178" s="4">
        <v>43804</v>
      </c>
      <c r="E178" s="6">
        <v>9234630961</v>
      </c>
      <c r="F178" s="6" t="s">
        <v>10825</v>
      </c>
      <c r="H178" s="6">
        <v>4092</v>
      </c>
      <c r="I178" s="6">
        <f>(G178+H178)*1.12</f>
        <v>4583.0400000000009</v>
      </c>
      <c r="J178" s="6" t="s">
        <v>10826</v>
      </c>
      <c r="K178" s="6" t="s">
        <v>10827</v>
      </c>
      <c r="M178" s="5"/>
    </row>
    <row r="179" spans="1:13" ht="14.25" customHeight="1">
      <c r="C179" s="168"/>
      <c r="M179" s="5"/>
    </row>
    <row r="180" spans="1:13" ht="14.25" customHeight="1">
      <c r="C180" s="168"/>
      <c r="M180" s="5"/>
    </row>
    <row r="181" spans="1:13" ht="14.25" customHeight="1">
      <c r="C181" s="168"/>
      <c r="M181" s="5"/>
    </row>
    <row r="182" spans="1:13" ht="14.25" customHeight="1">
      <c r="A182" s="6" t="s">
        <v>10828</v>
      </c>
      <c r="B182" s="6" t="s">
        <v>10513</v>
      </c>
      <c r="C182" s="168" t="s">
        <v>10829</v>
      </c>
      <c r="D182" s="4">
        <v>43837</v>
      </c>
      <c r="E182" s="6">
        <v>9199171664</v>
      </c>
      <c r="F182" s="6" t="s">
        <v>10830</v>
      </c>
      <c r="H182" s="6">
        <v>752</v>
      </c>
      <c r="I182" s="13">
        <f t="shared" ref="I182:I211" si="8">(G182+H182)*1.18</f>
        <v>887.3599999999999</v>
      </c>
      <c r="J182" s="6" t="s">
        <v>10831</v>
      </c>
      <c r="K182" s="6" t="s">
        <v>10832</v>
      </c>
      <c r="M182" s="5"/>
    </row>
    <row r="183" spans="1:13" ht="14.25" customHeight="1">
      <c r="A183" s="6" t="s">
        <v>10828</v>
      </c>
      <c r="B183" s="6" t="s">
        <v>10505</v>
      </c>
      <c r="C183" s="168" t="s">
        <v>10833</v>
      </c>
      <c r="D183" s="4">
        <v>43837</v>
      </c>
      <c r="F183" s="6" t="s">
        <v>7348</v>
      </c>
      <c r="G183" s="6">
        <v>260</v>
      </c>
      <c r="H183" s="6">
        <v>752</v>
      </c>
      <c r="I183" s="13">
        <f t="shared" si="8"/>
        <v>1194.1599999999999</v>
      </c>
      <c r="M183" s="5"/>
    </row>
    <row r="184" spans="1:13" ht="14.25" customHeight="1">
      <c r="A184" s="6" t="s">
        <v>10828</v>
      </c>
      <c r="B184" s="6" t="s">
        <v>10513</v>
      </c>
      <c r="C184" s="168" t="s">
        <v>10834</v>
      </c>
      <c r="D184" s="4">
        <v>43839</v>
      </c>
      <c r="E184" s="6">
        <v>7209474821</v>
      </c>
      <c r="F184" s="6" t="s">
        <v>10835</v>
      </c>
      <c r="H184" s="6">
        <v>752</v>
      </c>
      <c r="I184" s="13">
        <f t="shared" si="8"/>
        <v>887.3599999999999</v>
      </c>
      <c r="J184" s="6" t="s">
        <v>10836</v>
      </c>
      <c r="K184" s="6" t="s">
        <v>10837</v>
      </c>
      <c r="M184" s="5"/>
    </row>
    <row r="185" spans="1:13" ht="14.25" customHeight="1">
      <c r="A185" s="6" t="s">
        <v>10828</v>
      </c>
      <c r="B185" s="6" t="s">
        <v>10513</v>
      </c>
      <c r="C185" s="168" t="s">
        <v>10838</v>
      </c>
      <c r="D185" s="4">
        <v>43840</v>
      </c>
      <c r="E185" s="6">
        <v>7903580725</v>
      </c>
      <c r="F185" s="6" t="s">
        <v>10839</v>
      </c>
      <c r="G185" s="6">
        <v>305</v>
      </c>
      <c r="H185" s="6">
        <v>752</v>
      </c>
      <c r="I185" s="13">
        <f t="shared" si="8"/>
        <v>1247.26</v>
      </c>
      <c r="J185" s="6">
        <v>3285</v>
      </c>
      <c r="M185" s="5"/>
    </row>
    <row r="186" spans="1:13" ht="14.25" customHeight="1">
      <c r="A186" s="6" t="s">
        <v>10828</v>
      </c>
      <c r="B186" s="6" t="s">
        <v>10513</v>
      </c>
      <c r="C186" s="168" t="s">
        <v>10840</v>
      </c>
      <c r="D186" s="4">
        <v>43840</v>
      </c>
      <c r="H186" s="6">
        <v>752</v>
      </c>
      <c r="I186" s="13">
        <f t="shared" si="8"/>
        <v>887.3599999999999</v>
      </c>
      <c r="M186" s="5"/>
    </row>
    <row r="187" spans="1:13" ht="14.25" customHeight="1">
      <c r="A187" s="6" t="s">
        <v>10828</v>
      </c>
      <c r="B187" s="6" t="s">
        <v>10505</v>
      </c>
      <c r="C187" s="168" t="s">
        <v>10841</v>
      </c>
      <c r="D187" s="4">
        <v>43840</v>
      </c>
      <c r="E187" s="6">
        <v>6202580820</v>
      </c>
      <c r="F187" s="6" t="s">
        <v>5381</v>
      </c>
      <c r="G187" s="6">
        <v>176</v>
      </c>
      <c r="H187" s="6">
        <v>752</v>
      </c>
      <c r="I187" s="13">
        <f t="shared" si="8"/>
        <v>1095.04</v>
      </c>
      <c r="M187" s="5"/>
    </row>
    <row r="188" spans="1:13" ht="14.25" customHeight="1">
      <c r="A188" s="6" t="s">
        <v>10828</v>
      </c>
      <c r="B188" s="6" t="s">
        <v>10513</v>
      </c>
      <c r="C188" s="168" t="s">
        <v>10842</v>
      </c>
      <c r="D188" s="4">
        <v>43840</v>
      </c>
      <c r="F188" s="6" t="s">
        <v>5381</v>
      </c>
      <c r="G188" s="47"/>
      <c r="H188" s="6">
        <v>1193</v>
      </c>
      <c r="I188" s="13">
        <f t="shared" si="8"/>
        <v>1407.74</v>
      </c>
      <c r="M188" s="5"/>
    </row>
    <row r="189" spans="1:13" ht="14.25" customHeight="1">
      <c r="A189" s="6" t="s">
        <v>10828</v>
      </c>
      <c r="B189" s="6" t="s">
        <v>10513</v>
      </c>
      <c r="C189" s="168" t="s">
        <v>10843</v>
      </c>
      <c r="D189" s="4">
        <v>43840</v>
      </c>
      <c r="F189" s="6" t="s">
        <v>10844</v>
      </c>
      <c r="H189" s="6">
        <v>482</v>
      </c>
      <c r="I189" s="13">
        <f t="shared" si="8"/>
        <v>568.76</v>
      </c>
      <c r="M189" s="5"/>
    </row>
    <row r="190" spans="1:13" ht="14.25" customHeight="1">
      <c r="A190" s="6" t="s">
        <v>10828</v>
      </c>
      <c r="B190" s="6" t="s">
        <v>10513</v>
      </c>
      <c r="C190" s="168" t="s">
        <v>10845</v>
      </c>
      <c r="D190" s="4">
        <v>43841</v>
      </c>
      <c r="E190" s="6">
        <v>7367963494</v>
      </c>
      <c r="F190" s="6" t="s">
        <v>10846</v>
      </c>
      <c r="H190" s="6">
        <v>752</v>
      </c>
      <c r="I190" s="13">
        <f t="shared" si="8"/>
        <v>887.3599999999999</v>
      </c>
      <c r="J190" s="6" t="s">
        <v>10529</v>
      </c>
      <c r="K190" s="6" t="s">
        <v>10847</v>
      </c>
      <c r="M190" s="5"/>
    </row>
    <row r="191" spans="1:13" ht="14.25" customHeight="1">
      <c r="A191" s="6" t="s">
        <v>10828</v>
      </c>
      <c r="B191" s="6" t="s">
        <v>10505</v>
      </c>
      <c r="C191" s="168" t="s">
        <v>10848</v>
      </c>
      <c r="D191" s="4">
        <v>43841</v>
      </c>
      <c r="E191" s="6">
        <v>7903330994</v>
      </c>
      <c r="F191" s="6" t="s">
        <v>10849</v>
      </c>
      <c r="G191" s="6">
        <v>347</v>
      </c>
      <c r="H191" s="6">
        <v>752</v>
      </c>
      <c r="I191" s="13">
        <f t="shared" si="8"/>
        <v>1296.82</v>
      </c>
      <c r="M191" s="5"/>
    </row>
    <row r="192" spans="1:13" ht="14.25" customHeight="1">
      <c r="A192" s="6" t="s">
        <v>10828</v>
      </c>
      <c r="B192" s="6" t="s">
        <v>10513</v>
      </c>
      <c r="C192" s="168" t="s">
        <v>10850</v>
      </c>
      <c r="D192" s="4">
        <v>43841</v>
      </c>
      <c r="F192" s="6" t="s">
        <v>10851</v>
      </c>
      <c r="H192" s="6">
        <v>752</v>
      </c>
      <c r="I192" s="13">
        <f t="shared" si="8"/>
        <v>887.3599999999999</v>
      </c>
      <c r="M192" s="5"/>
    </row>
    <row r="193" spans="1:13" ht="14.25" customHeight="1">
      <c r="A193" s="6" t="s">
        <v>10828</v>
      </c>
      <c r="B193" s="6" t="s">
        <v>10513</v>
      </c>
      <c r="C193" s="168" t="s">
        <v>10852</v>
      </c>
      <c r="D193" s="4">
        <v>43843</v>
      </c>
      <c r="E193" s="6">
        <v>9334646167</v>
      </c>
      <c r="F193" s="6" t="s">
        <v>8000</v>
      </c>
      <c r="H193" s="6">
        <v>752</v>
      </c>
      <c r="I193" s="13">
        <f t="shared" si="8"/>
        <v>887.3599999999999</v>
      </c>
      <c r="M193" s="5"/>
    </row>
    <row r="194" spans="1:13" ht="14.25" customHeight="1">
      <c r="A194" s="6" t="s">
        <v>10828</v>
      </c>
      <c r="B194" s="6" t="s">
        <v>10505</v>
      </c>
      <c r="C194" s="168" t="s">
        <v>10853</v>
      </c>
      <c r="D194" s="4">
        <v>43843</v>
      </c>
      <c r="E194" s="6">
        <v>7209356266</v>
      </c>
      <c r="F194" s="6" t="s">
        <v>10582</v>
      </c>
      <c r="G194" s="6">
        <v>254</v>
      </c>
      <c r="H194" s="6">
        <v>752</v>
      </c>
      <c r="I194" s="13">
        <f t="shared" si="8"/>
        <v>1187.08</v>
      </c>
      <c r="M194" s="5"/>
    </row>
    <row r="195" spans="1:13" ht="14.25" customHeight="1">
      <c r="A195" s="6" t="s">
        <v>10828</v>
      </c>
      <c r="B195" s="6" t="s">
        <v>10513</v>
      </c>
      <c r="C195" s="168" t="s">
        <v>10854</v>
      </c>
      <c r="D195" s="4">
        <v>43844</v>
      </c>
      <c r="E195" s="6">
        <v>9709199467</v>
      </c>
      <c r="F195" s="6" t="s">
        <v>10855</v>
      </c>
      <c r="H195" s="6">
        <v>752</v>
      </c>
      <c r="I195" s="13">
        <f t="shared" si="8"/>
        <v>887.3599999999999</v>
      </c>
      <c r="J195" s="6" t="s">
        <v>10529</v>
      </c>
      <c r="K195" s="6" t="s">
        <v>10856</v>
      </c>
      <c r="M195" s="5"/>
    </row>
    <row r="196" spans="1:13" ht="14.25" customHeight="1">
      <c r="A196" s="6" t="s">
        <v>10828</v>
      </c>
      <c r="B196" s="6" t="s">
        <v>10513</v>
      </c>
      <c r="C196" s="168" t="s">
        <v>10857</v>
      </c>
      <c r="D196" s="4">
        <v>43844</v>
      </c>
      <c r="E196" s="6">
        <v>9534026959</v>
      </c>
      <c r="F196" s="6" t="s">
        <v>10858</v>
      </c>
      <c r="H196" s="6">
        <v>752</v>
      </c>
      <c r="I196" s="13">
        <f t="shared" si="8"/>
        <v>887.3599999999999</v>
      </c>
      <c r="J196" s="6" t="s">
        <v>10859</v>
      </c>
      <c r="K196" s="6" t="s">
        <v>10860</v>
      </c>
      <c r="M196" s="5"/>
    </row>
    <row r="197" spans="1:13" ht="14.25" customHeight="1">
      <c r="A197" s="6" t="s">
        <v>10828</v>
      </c>
      <c r="B197" s="6" t="s">
        <v>10513</v>
      </c>
      <c r="C197" s="168" t="s">
        <v>10861</v>
      </c>
      <c r="D197" s="4">
        <v>43845</v>
      </c>
      <c r="F197" s="6" t="s">
        <v>10862</v>
      </c>
      <c r="H197" s="6">
        <v>752</v>
      </c>
      <c r="I197" s="13">
        <f t="shared" si="8"/>
        <v>887.3599999999999</v>
      </c>
      <c r="J197" s="6" t="s">
        <v>10702</v>
      </c>
      <c r="K197" s="6" t="s">
        <v>10863</v>
      </c>
      <c r="M197" s="5"/>
    </row>
    <row r="198" spans="1:13" ht="14.25" customHeight="1">
      <c r="A198" s="6" t="s">
        <v>10828</v>
      </c>
      <c r="B198" s="6" t="s">
        <v>10513</v>
      </c>
      <c r="C198" s="168" t="s">
        <v>10864</v>
      </c>
      <c r="D198" s="4">
        <v>43845</v>
      </c>
      <c r="E198" s="6">
        <v>7909000250</v>
      </c>
      <c r="F198" s="6" t="s">
        <v>10865</v>
      </c>
      <c r="H198" s="6">
        <v>752</v>
      </c>
      <c r="I198" s="13">
        <f t="shared" si="8"/>
        <v>887.3599999999999</v>
      </c>
      <c r="J198" s="6" t="s">
        <v>10702</v>
      </c>
      <c r="K198" s="6" t="s">
        <v>10866</v>
      </c>
      <c r="M198" s="5"/>
    </row>
    <row r="199" spans="1:13" ht="14.25" customHeight="1">
      <c r="A199" s="6" t="s">
        <v>10828</v>
      </c>
      <c r="B199" s="6" t="s">
        <v>10513</v>
      </c>
      <c r="C199" s="168" t="s">
        <v>10867</v>
      </c>
      <c r="D199" s="4">
        <v>43847</v>
      </c>
      <c r="E199" s="6">
        <v>9801375687</v>
      </c>
      <c r="F199" s="47" t="s">
        <v>10868</v>
      </c>
      <c r="H199" s="6">
        <v>752</v>
      </c>
      <c r="I199" s="13">
        <f t="shared" si="8"/>
        <v>887.3599999999999</v>
      </c>
      <c r="J199" s="6" t="s">
        <v>10585</v>
      </c>
      <c r="K199" s="6" t="s">
        <v>10869</v>
      </c>
      <c r="M199" s="5"/>
    </row>
    <row r="200" spans="1:13" ht="14.25" customHeight="1">
      <c r="A200" s="6" t="s">
        <v>132</v>
      </c>
      <c r="B200" s="6" t="s">
        <v>10513</v>
      </c>
      <c r="C200" s="168">
        <v>2.3191007223062001E+18</v>
      </c>
      <c r="D200" s="4">
        <v>43848</v>
      </c>
      <c r="E200" s="6">
        <v>9304379180</v>
      </c>
      <c r="F200" s="6" t="s">
        <v>10870</v>
      </c>
      <c r="H200" s="292">
        <v>2072</v>
      </c>
      <c r="I200" s="13">
        <f t="shared" si="8"/>
        <v>2444.96</v>
      </c>
      <c r="J200" s="6" t="s">
        <v>10659</v>
      </c>
      <c r="K200" s="6" t="s">
        <v>10871</v>
      </c>
      <c r="M200" s="5"/>
    </row>
    <row r="201" spans="1:13" ht="14.25" customHeight="1">
      <c r="A201" s="6" t="s">
        <v>10828</v>
      </c>
      <c r="B201" s="6" t="s">
        <v>10513</v>
      </c>
      <c r="C201" s="168" t="s">
        <v>10872</v>
      </c>
      <c r="D201" s="4">
        <v>43849</v>
      </c>
      <c r="E201" s="6">
        <v>9334096823</v>
      </c>
      <c r="F201" s="6" t="s">
        <v>10873</v>
      </c>
      <c r="H201" s="6">
        <v>752</v>
      </c>
      <c r="I201" s="13">
        <f t="shared" si="8"/>
        <v>887.3599999999999</v>
      </c>
      <c r="J201" s="6" t="s">
        <v>10874</v>
      </c>
      <c r="K201" s="6" t="s">
        <v>10875</v>
      </c>
      <c r="M201" s="5"/>
    </row>
    <row r="202" spans="1:13" ht="14.25" customHeight="1">
      <c r="A202" s="6" t="s">
        <v>10828</v>
      </c>
      <c r="B202" s="6" t="s">
        <v>10513</v>
      </c>
      <c r="C202" s="168" t="s">
        <v>10876</v>
      </c>
      <c r="D202" s="4">
        <v>43849</v>
      </c>
      <c r="E202" s="6">
        <v>7209485067</v>
      </c>
      <c r="F202" s="6" t="s">
        <v>10877</v>
      </c>
      <c r="G202" s="6">
        <v>388</v>
      </c>
      <c r="H202" s="6">
        <v>752</v>
      </c>
      <c r="I202" s="13">
        <f t="shared" si="8"/>
        <v>1345.1999999999998</v>
      </c>
      <c r="J202" s="6" t="s">
        <v>10724</v>
      </c>
      <c r="K202" s="6" t="s">
        <v>10878</v>
      </c>
      <c r="M202" s="5"/>
    </row>
    <row r="203" spans="1:13" ht="14.25" customHeight="1">
      <c r="A203" s="6" t="s">
        <v>10828</v>
      </c>
      <c r="B203" s="6" t="s">
        <v>10513</v>
      </c>
      <c r="C203" s="168" t="s">
        <v>10879</v>
      </c>
      <c r="D203" s="4">
        <v>43851</v>
      </c>
      <c r="E203" s="6">
        <v>9801375387</v>
      </c>
      <c r="F203" s="6" t="s">
        <v>10880</v>
      </c>
      <c r="H203" s="6">
        <v>752</v>
      </c>
      <c r="I203" s="13">
        <f t="shared" si="8"/>
        <v>887.3599999999999</v>
      </c>
      <c r="J203" s="6" t="s">
        <v>10881</v>
      </c>
      <c r="K203" s="6" t="s">
        <v>10882</v>
      </c>
      <c r="M203" s="5"/>
    </row>
    <row r="204" spans="1:13" ht="14.25" customHeight="1">
      <c r="A204" s="6" t="s">
        <v>10828</v>
      </c>
      <c r="B204" s="6" t="s">
        <v>10505</v>
      </c>
      <c r="C204" s="168" t="s">
        <v>10883</v>
      </c>
      <c r="D204" s="4">
        <v>43852</v>
      </c>
      <c r="G204" s="6">
        <v>222</v>
      </c>
      <c r="H204" s="6">
        <v>752</v>
      </c>
      <c r="I204" s="13">
        <f t="shared" si="8"/>
        <v>1149.32</v>
      </c>
      <c r="M204" s="5"/>
    </row>
    <row r="205" spans="1:13" ht="14.25" customHeight="1">
      <c r="A205" s="6" t="s">
        <v>10828</v>
      </c>
      <c r="B205" s="6" t="s">
        <v>10513</v>
      </c>
      <c r="C205" s="168" t="s">
        <v>10884</v>
      </c>
      <c r="D205" s="4">
        <v>43853</v>
      </c>
      <c r="F205" s="6" t="s">
        <v>1460</v>
      </c>
      <c r="H205" s="6">
        <v>752</v>
      </c>
      <c r="I205" s="13">
        <f t="shared" si="8"/>
        <v>887.3599999999999</v>
      </c>
      <c r="M205" s="5"/>
    </row>
    <row r="206" spans="1:13" ht="14.25" customHeight="1">
      <c r="A206" s="6" t="s">
        <v>10828</v>
      </c>
      <c r="B206" s="6" t="s">
        <v>10513</v>
      </c>
      <c r="C206" s="168" t="s">
        <v>10885</v>
      </c>
      <c r="D206" s="4">
        <v>43853</v>
      </c>
      <c r="F206" s="6" t="s">
        <v>10886</v>
      </c>
      <c r="H206" s="6">
        <v>752</v>
      </c>
      <c r="I206" s="13">
        <f t="shared" si="8"/>
        <v>887.3599999999999</v>
      </c>
      <c r="J206" s="6" t="s">
        <v>10881</v>
      </c>
      <c r="K206" s="6" t="s">
        <v>10887</v>
      </c>
      <c r="M206" s="5"/>
    </row>
    <row r="207" spans="1:13" ht="14.25" customHeight="1">
      <c r="A207" s="6" t="s">
        <v>10828</v>
      </c>
      <c r="B207" s="6" t="s">
        <v>10513</v>
      </c>
      <c r="C207" s="168" t="s">
        <v>10888</v>
      </c>
      <c r="D207" s="4">
        <v>43856</v>
      </c>
      <c r="F207" s="6" t="s">
        <v>10889</v>
      </c>
      <c r="H207" s="6">
        <v>752</v>
      </c>
      <c r="I207" s="13">
        <f t="shared" si="8"/>
        <v>887.3599999999999</v>
      </c>
      <c r="J207" s="6" t="s">
        <v>10881</v>
      </c>
      <c r="M207" s="5"/>
    </row>
    <row r="208" spans="1:13" ht="14.25" customHeight="1">
      <c r="A208" s="6" t="s">
        <v>10828</v>
      </c>
      <c r="B208" s="6" t="s">
        <v>10513</v>
      </c>
      <c r="C208" s="168" t="s">
        <v>10890</v>
      </c>
      <c r="D208" s="4">
        <v>43856</v>
      </c>
      <c r="H208" s="6">
        <v>752</v>
      </c>
      <c r="I208" s="13">
        <f t="shared" si="8"/>
        <v>887.3599999999999</v>
      </c>
      <c r="J208" s="6" t="s">
        <v>10836</v>
      </c>
      <c r="M208" s="5"/>
    </row>
    <row r="209" spans="1:13" ht="14.25" customHeight="1">
      <c r="A209" s="6" t="s">
        <v>10828</v>
      </c>
      <c r="B209" s="6" t="s">
        <v>10513</v>
      </c>
      <c r="C209" s="168" t="s">
        <v>10891</v>
      </c>
      <c r="D209" s="4">
        <v>43856</v>
      </c>
      <c r="H209" s="6">
        <v>752</v>
      </c>
      <c r="I209" s="13">
        <f t="shared" si="8"/>
        <v>887.3599999999999</v>
      </c>
      <c r="M209" s="5"/>
    </row>
    <row r="210" spans="1:13" ht="14.25" customHeight="1">
      <c r="A210" s="6" t="s">
        <v>10828</v>
      </c>
      <c r="B210" s="6" t="s">
        <v>10513</v>
      </c>
      <c r="C210" s="168" t="s">
        <v>10892</v>
      </c>
      <c r="D210" s="4">
        <v>43857</v>
      </c>
      <c r="F210" s="6" t="s">
        <v>10893</v>
      </c>
      <c r="H210" s="6">
        <v>752</v>
      </c>
      <c r="I210" s="13">
        <f t="shared" si="8"/>
        <v>887.3599999999999</v>
      </c>
      <c r="J210" s="6" t="s">
        <v>10691</v>
      </c>
      <c r="K210" s="6" t="s">
        <v>10894</v>
      </c>
      <c r="M210" s="5"/>
    </row>
    <row r="211" spans="1:13" ht="14.25" customHeight="1">
      <c r="A211" s="6" t="s">
        <v>10828</v>
      </c>
      <c r="B211" s="6" t="s">
        <v>10505</v>
      </c>
      <c r="C211" s="168" t="s">
        <v>10895</v>
      </c>
      <c r="D211" s="4">
        <v>43858</v>
      </c>
      <c r="G211" s="6">
        <v>139</v>
      </c>
      <c r="H211" s="6">
        <v>752</v>
      </c>
      <c r="I211" s="13">
        <f t="shared" si="8"/>
        <v>1051.3799999999999</v>
      </c>
      <c r="J211" s="6" t="s">
        <v>10896</v>
      </c>
      <c r="K211" s="6" t="s">
        <v>10897</v>
      </c>
      <c r="M211" s="5"/>
    </row>
    <row r="212" spans="1:13" ht="14.25" customHeight="1">
      <c r="B212" s="6">
        <v>29</v>
      </c>
      <c r="C212" s="168"/>
      <c r="D212" s="4"/>
      <c r="H212" s="6"/>
      <c r="I212" s="13"/>
      <c r="M212" s="5"/>
    </row>
    <row r="213" spans="1:13" ht="14.25" customHeight="1">
      <c r="C213" s="168"/>
      <c r="M213" s="5"/>
    </row>
    <row r="214" spans="1:13" ht="14.25" customHeight="1">
      <c r="A214" s="293">
        <f>COUNTIF(A182:A212,"Bajaj")</f>
        <v>29</v>
      </c>
      <c r="C214" s="168"/>
      <c r="G214" s="287">
        <f>SUM(G182:G213)</f>
        <v>2091</v>
      </c>
      <c r="H214" s="287">
        <f>SUMIF(A182:A212,"Bajaj",H182:H212)</f>
        <v>21979</v>
      </c>
      <c r="I214" s="6">
        <f>G214+H214</f>
        <v>24070</v>
      </c>
      <c r="J214" s="289">
        <f>SUM(G214,H214)*IF(COUNT(H182:H213)&lt;3,0.025,IF(COUNT(H182:H213)&lt;6,0.075,IF(COUNT(H182:H213)&lt;11,0.1,IF(COUNT(H182:H213)&lt;51,0.15,0.2))))</f>
        <v>3610.5</v>
      </c>
      <c r="K214" s="290">
        <f>488+323+2668</f>
        <v>3479</v>
      </c>
      <c r="L214" s="6">
        <f>K214*0.95</f>
        <v>3305.0499999999997</v>
      </c>
      <c r="M214" s="5">
        <v>488</v>
      </c>
    </row>
    <row r="215" spans="1:13" ht="14.25" customHeight="1">
      <c r="C215" s="168"/>
      <c r="D215" s="4"/>
      <c r="M215" s="5"/>
    </row>
    <row r="216" spans="1:13" ht="14.25" customHeight="1">
      <c r="C216" s="168"/>
      <c r="M216" s="5"/>
    </row>
    <row r="217" spans="1:13" ht="14.25" customHeight="1">
      <c r="A217" s="11" t="s">
        <v>10828</v>
      </c>
      <c r="B217" s="11" t="s">
        <v>10513</v>
      </c>
      <c r="C217" s="294" t="s">
        <v>10898</v>
      </c>
      <c r="D217" s="106">
        <v>43865</v>
      </c>
      <c r="E217" s="11"/>
      <c r="F217" s="11"/>
      <c r="G217" s="11"/>
      <c r="H217" s="11">
        <v>752</v>
      </c>
      <c r="I217" s="11">
        <f t="shared" ref="I217:I226" si="9">SUM(G217:H217)*1.18</f>
        <v>887.3599999999999</v>
      </c>
      <c r="J217" s="11"/>
      <c r="K217" s="11"/>
      <c r="L217" s="295">
        <f t="shared" ref="L217:L222" si="10">(G217*0.175+H217*0.025)*0.95</f>
        <v>17.86</v>
      </c>
      <c r="M217" s="84"/>
    </row>
    <row r="218" spans="1:13" ht="14.25" customHeight="1">
      <c r="A218" s="11" t="s">
        <v>10828</v>
      </c>
      <c r="B218" s="11" t="s">
        <v>10513</v>
      </c>
      <c r="C218" s="294" t="s">
        <v>10899</v>
      </c>
      <c r="D218" s="106">
        <v>43865</v>
      </c>
      <c r="E218" s="11"/>
      <c r="F218" s="11"/>
      <c r="G218" s="11"/>
      <c r="H218" s="11">
        <v>752</v>
      </c>
      <c r="I218" s="11">
        <f t="shared" si="9"/>
        <v>887.3599999999999</v>
      </c>
      <c r="J218" s="11"/>
      <c r="K218" s="11"/>
      <c r="L218" s="295">
        <f t="shared" si="10"/>
        <v>17.86</v>
      </c>
      <c r="M218" s="84"/>
    </row>
    <row r="219" spans="1:13" ht="14.25" customHeight="1">
      <c r="A219" s="11" t="s">
        <v>10828</v>
      </c>
      <c r="B219" s="11" t="s">
        <v>10513</v>
      </c>
      <c r="C219" s="294" t="s">
        <v>10900</v>
      </c>
      <c r="D219" s="106">
        <v>43865</v>
      </c>
      <c r="E219" s="11"/>
      <c r="F219" s="11"/>
      <c r="G219" s="11"/>
      <c r="H219" s="11">
        <v>752</v>
      </c>
      <c r="I219" s="11">
        <f t="shared" si="9"/>
        <v>887.3599999999999</v>
      </c>
      <c r="J219" s="11"/>
      <c r="K219" s="11"/>
      <c r="L219" s="295">
        <f t="shared" si="10"/>
        <v>17.86</v>
      </c>
      <c r="M219" s="84"/>
    </row>
    <row r="220" spans="1:13" ht="14.25" customHeight="1">
      <c r="A220" s="11" t="s">
        <v>10828</v>
      </c>
      <c r="B220" s="11" t="s">
        <v>10505</v>
      </c>
      <c r="C220" s="294" t="s">
        <v>10901</v>
      </c>
      <c r="D220" s="106">
        <v>43865</v>
      </c>
      <c r="E220" s="11"/>
      <c r="F220" s="11"/>
      <c r="G220" s="11">
        <v>388</v>
      </c>
      <c r="H220" s="11">
        <v>752</v>
      </c>
      <c r="I220" s="11">
        <f t="shared" si="9"/>
        <v>1345.1999999999998</v>
      </c>
      <c r="J220" s="11"/>
      <c r="K220" s="11"/>
      <c r="L220" s="295">
        <f t="shared" si="10"/>
        <v>82.364999999999981</v>
      </c>
      <c r="M220" s="84">
        <v>119</v>
      </c>
    </row>
    <row r="221" spans="1:13" ht="14.25" customHeight="1">
      <c r="A221" s="11" t="s">
        <v>10828</v>
      </c>
      <c r="B221" s="11" t="s">
        <v>10513</v>
      </c>
      <c r="C221" s="294" t="s">
        <v>10902</v>
      </c>
      <c r="D221" s="106">
        <v>43872</v>
      </c>
      <c r="E221" s="11">
        <v>9708684887</v>
      </c>
      <c r="F221" s="11" t="s">
        <v>10903</v>
      </c>
      <c r="G221" s="11"/>
      <c r="H221" s="11">
        <v>752</v>
      </c>
      <c r="I221" s="11">
        <f t="shared" si="9"/>
        <v>887.3599999999999</v>
      </c>
      <c r="J221" s="11" t="s">
        <v>10702</v>
      </c>
      <c r="K221" s="11" t="s">
        <v>10904</v>
      </c>
      <c r="L221" s="295">
        <f t="shared" si="10"/>
        <v>17.86</v>
      </c>
      <c r="M221" s="84">
        <v>18</v>
      </c>
    </row>
    <row r="222" spans="1:13" ht="14.25" customHeight="1">
      <c r="A222" s="11" t="s">
        <v>10828</v>
      </c>
      <c r="B222" s="11" t="s">
        <v>10513</v>
      </c>
      <c r="C222" s="294" t="s">
        <v>10905</v>
      </c>
      <c r="D222" s="11"/>
      <c r="E222" s="11"/>
      <c r="F222" s="11"/>
      <c r="G222" s="11"/>
      <c r="H222" s="11">
        <v>752</v>
      </c>
      <c r="I222" s="11">
        <f t="shared" si="9"/>
        <v>887.3599999999999</v>
      </c>
      <c r="J222" s="11"/>
      <c r="K222" s="11"/>
      <c r="L222" s="295">
        <f t="shared" si="10"/>
        <v>17.86</v>
      </c>
      <c r="M222" s="84">
        <v>18</v>
      </c>
    </row>
    <row r="223" spans="1:13" ht="14.25" customHeight="1">
      <c r="A223" s="11" t="s">
        <v>132</v>
      </c>
      <c r="B223" s="11" t="s">
        <v>10513</v>
      </c>
      <c r="C223" s="294" t="s">
        <v>10906</v>
      </c>
      <c r="D223" s="106">
        <v>43882</v>
      </c>
      <c r="E223" s="11">
        <v>9801536063</v>
      </c>
      <c r="F223" s="11" t="s">
        <v>10907</v>
      </c>
      <c r="G223" s="11"/>
      <c r="H223" s="11">
        <v>2072</v>
      </c>
      <c r="I223" s="11">
        <f t="shared" si="9"/>
        <v>2444.96</v>
      </c>
      <c r="J223" s="11" t="s">
        <v>10908</v>
      </c>
      <c r="K223" s="11" t="s">
        <v>10909</v>
      </c>
      <c r="L223" s="295"/>
      <c r="M223" s="84"/>
    </row>
    <row r="224" spans="1:13" ht="14.25" customHeight="1">
      <c r="A224" s="11" t="s">
        <v>10828</v>
      </c>
      <c r="B224" s="11" t="s">
        <v>10513</v>
      </c>
      <c r="C224" s="294" t="s">
        <v>10910</v>
      </c>
      <c r="D224" s="106">
        <v>43889</v>
      </c>
      <c r="E224" s="11">
        <v>7209637813</v>
      </c>
      <c r="F224" s="11" t="s">
        <v>10911</v>
      </c>
      <c r="G224" s="11"/>
      <c r="H224" s="11">
        <v>752</v>
      </c>
      <c r="I224" s="11">
        <f t="shared" si="9"/>
        <v>887.3599999999999</v>
      </c>
      <c r="J224" s="11" t="s">
        <v>10702</v>
      </c>
      <c r="K224" s="11" t="s">
        <v>10912</v>
      </c>
      <c r="L224" s="295">
        <f t="shared" ref="L224:L226" si="11">(G224*0.175+H224*0.025)*0.95</f>
        <v>17.86</v>
      </c>
      <c r="M224" s="84"/>
    </row>
    <row r="225" spans="1:26" ht="14.25" customHeight="1">
      <c r="A225" s="11" t="s">
        <v>10828</v>
      </c>
      <c r="B225" s="11" t="s">
        <v>10513</v>
      </c>
      <c r="C225" s="294" t="s">
        <v>10913</v>
      </c>
      <c r="D225" s="106">
        <v>43889</v>
      </c>
      <c r="E225" s="11">
        <v>9234903496</v>
      </c>
      <c r="F225" s="11" t="s">
        <v>10914</v>
      </c>
      <c r="G225" s="11"/>
      <c r="H225" s="11">
        <v>752</v>
      </c>
      <c r="I225" s="11">
        <f t="shared" si="9"/>
        <v>887.3599999999999</v>
      </c>
      <c r="J225" s="11" t="s">
        <v>10529</v>
      </c>
      <c r="K225" s="11" t="s">
        <v>10915</v>
      </c>
      <c r="L225" s="295">
        <f t="shared" si="11"/>
        <v>17.86</v>
      </c>
      <c r="M225" s="84"/>
    </row>
    <row r="226" spans="1:26" ht="14.25" customHeight="1">
      <c r="A226" s="11" t="s">
        <v>10828</v>
      </c>
      <c r="B226" s="11" t="s">
        <v>10505</v>
      </c>
      <c r="C226" s="294" t="s">
        <v>10916</v>
      </c>
      <c r="D226" s="106">
        <v>43889</v>
      </c>
      <c r="E226" s="11"/>
      <c r="F226" s="11"/>
      <c r="G226" s="11">
        <v>499</v>
      </c>
      <c r="H226" s="11">
        <v>752</v>
      </c>
      <c r="I226" s="11">
        <f t="shared" si="9"/>
        <v>1476.1799999999998</v>
      </c>
      <c r="J226" s="11"/>
      <c r="K226" s="11"/>
      <c r="L226" s="295">
        <f t="shared" si="11"/>
        <v>100.81874999999998</v>
      </c>
      <c r="M226" s="84">
        <v>137</v>
      </c>
    </row>
    <row r="227" spans="1:26" ht="14.25" customHeight="1">
      <c r="C227" s="168"/>
      <c r="D227" s="4"/>
      <c r="L227" s="13"/>
      <c r="M227" s="5"/>
    </row>
    <row r="228" spans="1:26" ht="14.25" customHeight="1">
      <c r="A228" s="296">
        <f>COUNTIF(A217:A226,"Bajaj")</f>
        <v>9</v>
      </c>
      <c r="B228" s="173"/>
      <c r="C228" s="174"/>
      <c r="D228" s="173"/>
      <c r="E228" s="173"/>
      <c r="F228" s="173"/>
      <c r="G228" s="173">
        <f t="shared" ref="G228:H228" si="12">SUMIF($A217:$A226,"Bajaj",G217:G226)</f>
        <v>887</v>
      </c>
      <c r="H228" s="173">
        <f t="shared" si="12"/>
        <v>6768</v>
      </c>
      <c r="I228" s="173">
        <f>G228+H228</f>
        <v>7655</v>
      </c>
      <c r="J228" s="297">
        <f>I228*IF(A214&lt;3,0.025,IF(A214&lt;6,0.075,IF(A214&lt;11,0.1,IF(A214&lt;51,0.15,0.2))))*0.95</f>
        <v>1090.8374999999999</v>
      </c>
      <c r="K228" s="173">
        <f>137+18+18+434+119</f>
        <v>726</v>
      </c>
      <c r="L228" s="298">
        <f t="shared" ref="L228:M228" si="13">SUM(L217:L226)</f>
        <v>308.20375000000001</v>
      </c>
      <c r="M228" s="184">
        <f t="shared" si="13"/>
        <v>292</v>
      </c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</row>
    <row r="229" spans="1:26" ht="14.25" customHeight="1">
      <c r="C229" s="168"/>
      <c r="M229" s="5"/>
    </row>
    <row r="230" spans="1:26" ht="14.25" customHeight="1">
      <c r="C230" s="168"/>
      <c r="M230" s="5"/>
    </row>
    <row r="231" spans="1:26" ht="14.25" customHeight="1">
      <c r="A231" s="6" t="s">
        <v>10828</v>
      </c>
      <c r="B231" s="6" t="s">
        <v>10513</v>
      </c>
      <c r="C231" s="168" t="s">
        <v>10917</v>
      </c>
      <c r="D231" s="4">
        <v>43891</v>
      </c>
      <c r="E231" s="6">
        <v>6203311349</v>
      </c>
      <c r="F231" s="6" t="s">
        <v>10918</v>
      </c>
      <c r="H231" s="6">
        <v>752</v>
      </c>
      <c r="I231" s="6">
        <f t="shared" ref="I231:I248" si="14">(G231+H231)*1.18</f>
        <v>887.3599999999999</v>
      </c>
      <c r="J231" s="6" t="s">
        <v>10919</v>
      </c>
      <c r="K231" s="6" t="s">
        <v>10920</v>
      </c>
      <c r="L231" s="13">
        <f t="shared" ref="L231:L235" si="15">(H231*0.025+G231*17.5/100)*0.95</f>
        <v>17.86</v>
      </c>
      <c r="M231" s="5"/>
    </row>
    <row r="232" spans="1:26" ht="14.25" customHeight="1">
      <c r="A232" s="6" t="s">
        <v>10828</v>
      </c>
      <c r="B232" s="6" t="s">
        <v>10505</v>
      </c>
      <c r="C232" s="168" t="s">
        <v>10921</v>
      </c>
      <c r="D232" s="4">
        <v>43892</v>
      </c>
      <c r="E232" s="6">
        <v>8877160719</v>
      </c>
      <c r="F232" s="6" t="s">
        <v>10922</v>
      </c>
      <c r="G232" s="6">
        <v>278</v>
      </c>
      <c r="H232" s="6">
        <v>752</v>
      </c>
      <c r="I232" s="6">
        <f t="shared" si="14"/>
        <v>1215.3999999999999</v>
      </c>
      <c r="K232" s="6" t="s">
        <v>10923</v>
      </c>
      <c r="L232" s="13">
        <f t="shared" si="15"/>
        <v>64.077500000000001</v>
      </c>
      <c r="M232" s="5"/>
    </row>
    <row r="233" spans="1:26" ht="14.25" customHeight="1">
      <c r="A233" s="6" t="s">
        <v>10828</v>
      </c>
      <c r="B233" s="6" t="s">
        <v>10513</v>
      </c>
      <c r="C233" s="168" t="s">
        <v>10924</v>
      </c>
      <c r="D233" s="4">
        <v>43892</v>
      </c>
      <c r="E233" s="6">
        <v>8210144978</v>
      </c>
      <c r="F233" s="6" t="s">
        <v>10925</v>
      </c>
      <c r="H233" s="6">
        <v>752</v>
      </c>
      <c r="I233" s="6">
        <f t="shared" si="14"/>
        <v>887.3599999999999</v>
      </c>
      <c r="J233" s="6" t="s">
        <v>10926</v>
      </c>
      <c r="K233" s="6" t="s">
        <v>10927</v>
      </c>
      <c r="L233" s="13">
        <f t="shared" si="15"/>
        <v>17.86</v>
      </c>
      <c r="M233" s="5"/>
    </row>
    <row r="234" spans="1:26" ht="14.25" customHeight="1">
      <c r="A234" s="6" t="s">
        <v>10828</v>
      </c>
      <c r="B234" s="6" t="s">
        <v>10505</v>
      </c>
      <c r="C234" s="168" t="s">
        <v>10928</v>
      </c>
      <c r="D234" s="4">
        <v>43893</v>
      </c>
      <c r="E234" s="6">
        <v>7209920086</v>
      </c>
      <c r="F234" s="6" t="s">
        <v>10929</v>
      </c>
      <c r="G234" s="6">
        <v>295</v>
      </c>
      <c r="H234" s="6">
        <v>752</v>
      </c>
      <c r="I234" s="6">
        <f t="shared" si="14"/>
        <v>1235.46</v>
      </c>
      <c r="J234" s="6" t="s">
        <v>10930</v>
      </c>
      <c r="K234" s="6" t="s">
        <v>10931</v>
      </c>
      <c r="L234" s="13">
        <f t="shared" si="15"/>
        <v>66.903749999999988</v>
      </c>
      <c r="M234" s="5"/>
    </row>
    <row r="235" spans="1:26" ht="14.25" customHeight="1">
      <c r="A235" s="6" t="s">
        <v>10828</v>
      </c>
      <c r="B235" s="6" t="s">
        <v>10513</v>
      </c>
      <c r="C235" s="168" t="s">
        <v>10932</v>
      </c>
      <c r="D235" s="4">
        <v>43895</v>
      </c>
      <c r="E235" s="6">
        <v>8797466116</v>
      </c>
      <c r="F235" s="6" t="s">
        <v>10933</v>
      </c>
      <c r="H235" s="6">
        <v>1193</v>
      </c>
      <c r="I235" s="6">
        <f t="shared" si="14"/>
        <v>1407.74</v>
      </c>
      <c r="J235" s="6" t="s">
        <v>10525</v>
      </c>
      <c r="K235" s="6" t="s">
        <v>10934</v>
      </c>
      <c r="L235" s="13">
        <f t="shared" si="15"/>
        <v>28.333750000000002</v>
      </c>
      <c r="M235" s="5"/>
    </row>
    <row r="236" spans="1:26" ht="14.25" customHeight="1">
      <c r="A236" s="6" t="s">
        <v>10935</v>
      </c>
      <c r="B236" s="6" t="s">
        <v>10936</v>
      </c>
      <c r="C236" s="168">
        <v>6.0732202339000102E+17</v>
      </c>
      <c r="D236" s="4">
        <v>43895</v>
      </c>
      <c r="E236" s="6">
        <v>9031901274</v>
      </c>
      <c r="F236" s="6" t="s">
        <v>10937</v>
      </c>
      <c r="G236" s="6">
        <v>1609.92</v>
      </c>
      <c r="H236" s="6">
        <v>6168</v>
      </c>
      <c r="I236" s="6">
        <f t="shared" si="14"/>
        <v>9177.9455999999991</v>
      </c>
      <c r="J236" s="6" t="s">
        <v>10938</v>
      </c>
      <c r="K236" s="6" t="s">
        <v>10939</v>
      </c>
      <c r="L236" s="13"/>
      <c r="M236" s="5"/>
    </row>
    <row r="237" spans="1:26" ht="14.25" customHeight="1">
      <c r="A237" s="6" t="s">
        <v>10935</v>
      </c>
      <c r="B237" s="6" t="s">
        <v>10505</v>
      </c>
      <c r="C237" s="168">
        <v>6.0732202347002304E+17</v>
      </c>
      <c r="D237" s="4">
        <v>43895</v>
      </c>
      <c r="E237" s="6">
        <v>9801593054</v>
      </c>
      <c r="F237" s="6" t="s">
        <v>10940</v>
      </c>
      <c r="H237" s="6">
        <v>3121</v>
      </c>
      <c r="I237" s="6">
        <f t="shared" si="14"/>
        <v>3682.7799999999997</v>
      </c>
      <c r="J237" s="6" t="s">
        <v>10824</v>
      </c>
      <c r="K237" s="6" t="s">
        <v>10941</v>
      </c>
      <c r="L237" s="13"/>
      <c r="M237" s="5"/>
    </row>
    <row r="238" spans="1:26" ht="14.25" customHeight="1">
      <c r="A238" s="6" t="s">
        <v>10828</v>
      </c>
      <c r="B238" s="6" t="s">
        <v>10936</v>
      </c>
      <c r="C238" s="168" t="s">
        <v>10942</v>
      </c>
      <c r="D238" s="4">
        <v>43896</v>
      </c>
      <c r="E238" s="6">
        <v>7209356266</v>
      </c>
      <c r="F238" s="6" t="s">
        <v>10943</v>
      </c>
      <c r="H238" s="6">
        <v>720</v>
      </c>
      <c r="I238" s="6">
        <f t="shared" si="14"/>
        <v>849.59999999999991</v>
      </c>
      <c r="J238" s="6" t="s">
        <v>10623</v>
      </c>
      <c r="K238" s="6" t="s">
        <v>10944</v>
      </c>
      <c r="L238" s="13">
        <f t="shared" ref="L238:L248" si="16">(H238*0.025+G238*17.5/100)*0.95</f>
        <v>17.099999999999998</v>
      </c>
      <c r="M238" s="5"/>
    </row>
    <row r="239" spans="1:26" ht="14.25" customHeight="1">
      <c r="A239" s="6" t="s">
        <v>10828</v>
      </c>
      <c r="B239" s="6" t="s">
        <v>10505</v>
      </c>
      <c r="C239" s="168" t="s">
        <v>10945</v>
      </c>
      <c r="D239" s="4">
        <v>43896</v>
      </c>
      <c r="G239" s="6">
        <v>119</v>
      </c>
      <c r="H239" s="6">
        <v>752</v>
      </c>
      <c r="I239" s="6">
        <f t="shared" si="14"/>
        <v>1027.78</v>
      </c>
      <c r="L239" s="13">
        <f t="shared" si="16"/>
        <v>37.643749999999997</v>
      </c>
      <c r="M239" s="5"/>
    </row>
    <row r="240" spans="1:26" ht="14.25" customHeight="1">
      <c r="A240" s="6" t="s">
        <v>10828</v>
      </c>
      <c r="B240" s="6" t="s">
        <v>10936</v>
      </c>
      <c r="C240" s="168" t="s">
        <v>10946</v>
      </c>
      <c r="D240" s="4">
        <v>43897</v>
      </c>
      <c r="E240" s="6">
        <v>8873501592</v>
      </c>
      <c r="F240" s="6" t="s">
        <v>10947</v>
      </c>
      <c r="H240" s="6">
        <v>752</v>
      </c>
      <c r="I240" s="6">
        <f t="shared" si="14"/>
        <v>887.3599999999999</v>
      </c>
      <c r="J240" s="6" t="s">
        <v>10948</v>
      </c>
      <c r="K240" s="6" t="s">
        <v>10949</v>
      </c>
      <c r="L240" s="13">
        <f t="shared" si="16"/>
        <v>17.86</v>
      </c>
      <c r="M240" s="5"/>
    </row>
    <row r="241" spans="1:13" ht="14.25" customHeight="1">
      <c r="A241" s="6" t="s">
        <v>10828</v>
      </c>
      <c r="B241" s="6" t="s">
        <v>10936</v>
      </c>
      <c r="C241" s="168" t="s">
        <v>10950</v>
      </c>
      <c r="D241" s="4">
        <v>43901</v>
      </c>
      <c r="E241" s="6">
        <v>9304670143</v>
      </c>
      <c r="F241" s="6" t="s">
        <v>10951</v>
      </c>
      <c r="H241" s="6">
        <v>752</v>
      </c>
      <c r="I241" s="6">
        <f t="shared" si="14"/>
        <v>887.3599999999999</v>
      </c>
      <c r="J241" s="6" t="s">
        <v>10930</v>
      </c>
      <c r="K241" s="6" t="s">
        <v>10952</v>
      </c>
      <c r="L241" s="13">
        <f t="shared" si="16"/>
        <v>17.86</v>
      </c>
      <c r="M241" s="5"/>
    </row>
    <row r="242" spans="1:13" ht="14.25" customHeight="1">
      <c r="A242" s="6" t="s">
        <v>10828</v>
      </c>
      <c r="B242" s="6" t="s">
        <v>10936</v>
      </c>
      <c r="C242" s="168" t="s">
        <v>10953</v>
      </c>
      <c r="D242" s="4">
        <v>43903</v>
      </c>
      <c r="E242" s="6">
        <v>8797464037</v>
      </c>
      <c r="H242" s="6">
        <v>752</v>
      </c>
      <c r="I242" s="6">
        <f t="shared" si="14"/>
        <v>887.3599999999999</v>
      </c>
      <c r="L242" s="13">
        <f t="shared" si="16"/>
        <v>17.86</v>
      </c>
      <c r="M242" s="5"/>
    </row>
    <row r="243" spans="1:13" ht="14.25" customHeight="1">
      <c r="A243" s="6" t="s">
        <v>10828</v>
      </c>
      <c r="B243" s="6" t="s">
        <v>10936</v>
      </c>
      <c r="C243" s="168" t="s">
        <v>10954</v>
      </c>
      <c r="D243" s="4">
        <v>43904</v>
      </c>
      <c r="E243" s="6">
        <v>9162141596</v>
      </c>
      <c r="F243" s="6" t="s">
        <v>10955</v>
      </c>
      <c r="H243" s="6">
        <v>752</v>
      </c>
      <c r="I243" s="6">
        <f t="shared" si="14"/>
        <v>887.3599999999999</v>
      </c>
      <c r="J243" s="6" t="s">
        <v>10805</v>
      </c>
      <c r="K243" s="6" t="s">
        <v>10956</v>
      </c>
      <c r="L243" s="13">
        <f t="shared" si="16"/>
        <v>17.86</v>
      </c>
      <c r="M243" s="5"/>
    </row>
    <row r="244" spans="1:13" ht="14.25" customHeight="1">
      <c r="A244" s="6" t="s">
        <v>10828</v>
      </c>
      <c r="C244" s="168" t="s">
        <v>10957</v>
      </c>
      <c r="D244" s="4">
        <v>43907</v>
      </c>
      <c r="E244" s="6">
        <v>9430722085</v>
      </c>
      <c r="F244" s="6" t="s">
        <v>10958</v>
      </c>
      <c r="H244" s="6">
        <v>752</v>
      </c>
      <c r="I244" s="6">
        <f t="shared" si="14"/>
        <v>887.3599999999999</v>
      </c>
      <c r="J244" s="6" t="s">
        <v>10959</v>
      </c>
      <c r="K244" s="6" t="s">
        <v>10960</v>
      </c>
      <c r="L244" s="13">
        <f t="shared" si="16"/>
        <v>17.86</v>
      </c>
      <c r="M244" s="5"/>
    </row>
    <row r="245" spans="1:13" ht="14.25" customHeight="1">
      <c r="A245" s="6" t="s">
        <v>10961</v>
      </c>
      <c r="B245" s="6" t="s">
        <v>10936</v>
      </c>
      <c r="C245" s="168" t="s">
        <v>10962</v>
      </c>
      <c r="D245" s="4">
        <v>43908</v>
      </c>
      <c r="E245" s="6">
        <v>9934179885</v>
      </c>
      <c r="F245" s="6" t="s">
        <v>10963</v>
      </c>
      <c r="H245" s="6">
        <v>752</v>
      </c>
      <c r="I245" s="6">
        <f t="shared" si="14"/>
        <v>887.3599999999999</v>
      </c>
      <c r="J245" s="6" t="s">
        <v>10964</v>
      </c>
      <c r="K245" s="6" t="s">
        <v>10965</v>
      </c>
      <c r="L245" s="13">
        <f t="shared" si="16"/>
        <v>17.86</v>
      </c>
      <c r="M245" s="5"/>
    </row>
    <row r="246" spans="1:13" ht="14.25" customHeight="1">
      <c r="A246" s="6" t="s">
        <v>10961</v>
      </c>
      <c r="B246" s="6" t="s">
        <v>10936</v>
      </c>
      <c r="C246" s="168" t="s">
        <v>10966</v>
      </c>
      <c r="H246" s="6">
        <v>752</v>
      </c>
      <c r="I246" s="6">
        <f t="shared" si="14"/>
        <v>887.3599999999999</v>
      </c>
      <c r="L246" s="13">
        <f t="shared" si="16"/>
        <v>17.86</v>
      </c>
      <c r="M246" s="5"/>
    </row>
    <row r="247" spans="1:13" ht="14.25" customHeight="1">
      <c r="A247" s="6" t="s">
        <v>10828</v>
      </c>
      <c r="B247" s="6" t="s">
        <v>10936</v>
      </c>
      <c r="C247" s="168" t="s">
        <v>10967</v>
      </c>
      <c r="D247" s="4">
        <v>43911</v>
      </c>
      <c r="E247" s="6">
        <v>9709210887</v>
      </c>
      <c r="F247" s="6" t="s">
        <v>10521</v>
      </c>
      <c r="H247" s="6">
        <v>752</v>
      </c>
      <c r="I247" s="6">
        <f t="shared" si="14"/>
        <v>887.3599999999999</v>
      </c>
      <c r="J247" s="6" t="s">
        <v>10968</v>
      </c>
      <c r="K247" s="6" t="s">
        <v>10969</v>
      </c>
      <c r="L247" s="13">
        <f t="shared" si="16"/>
        <v>17.86</v>
      </c>
      <c r="M247" s="5"/>
    </row>
    <row r="248" spans="1:13" ht="14.25" customHeight="1">
      <c r="A248" s="6" t="s">
        <v>10828</v>
      </c>
      <c r="B248" s="6" t="s">
        <v>10936</v>
      </c>
      <c r="C248" s="168" t="s">
        <v>10970</v>
      </c>
      <c r="D248" s="4">
        <v>43911</v>
      </c>
      <c r="H248" s="6">
        <v>1193</v>
      </c>
      <c r="I248" s="6">
        <f t="shared" si="14"/>
        <v>1407.74</v>
      </c>
      <c r="J248" s="6" t="s">
        <v>10525</v>
      </c>
      <c r="L248" s="13">
        <f t="shared" si="16"/>
        <v>28.333750000000002</v>
      </c>
      <c r="M248" s="5"/>
    </row>
    <row r="249" spans="1:13" ht="14.25" customHeight="1">
      <c r="C249" s="168"/>
      <c r="M249" s="5"/>
    </row>
    <row r="250" spans="1:13" ht="14.25" customHeight="1">
      <c r="A250" s="296">
        <f>COUNTIF(A231:A249,"Bajaj")</f>
        <v>16</v>
      </c>
      <c r="B250" s="173"/>
      <c r="C250" s="174"/>
      <c r="D250" s="173"/>
      <c r="E250" s="173"/>
      <c r="F250" s="299"/>
      <c r="G250" s="299">
        <f>SUMIF(A231:A243,"Bajaj",G231:G249)</f>
        <v>692</v>
      </c>
      <c r="H250" s="299">
        <f>SUMIF($A231:$A249,"Bajaj",H231:H249)</f>
        <v>12882</v>
      </c>
      <c r="I250" s="299">
        <f>(G250+H250)</f>
        <v>13574</v>
      </c>
      <c r="J250" s="300">
        <f>I250*IF(A250&lt;3,0.025,IF(A250&lt;6,0.075,IF(A250&lt;11,0.1,IF(A250&lt;51,0.15,0.2))))*0.95</f>
        <v>1934.2949999999998</v>
      </c>
      <c r="K250" s="299">
        <f>83+28</f>
        <v>111</v>
      </c>
      <c r="L250" s="301">
        <f>SUM(L231:L249)</f>
        <v>420.99250000000012</v>
      </c>
      <c r="M250" s="5"/>
    </row>
    <row r="251" spans="1:13" ht="14.25" customHeight="1">
      <c r="C251" s="168"/>
      <c r="M251" s="5"/>
    </row>
    <row r="252" spans="1:13" ht="14.25" customHeight="1">
      <c r="A252" s="6" t="s">
        <v>10971</v>
      </c>
      <c r="B252" s="6" t="s">
        <v>10513</v>
      </c>
      <c r="C252" s="168" t="s">
        <v>10972</v>
      </c>
      <c r="D252" s="4">
        <v>43992</v>
      </c>
      <c r="E252" s="6">
        <v>9504345230</v>
      </c>
      <c r="F252" s="6" t="s">
        <v>10973</v>
      </c>
      <c r="H252" s="6">
        <v>752</v>
      </c>
      <c r="I252" s="13">
        <f t="shared" ref="I252:I271" si="17">(G252+H252)*1.18</f>
        <v>887.3599999999999</v>
      </c>
      <c r="J252" s="6" t="s">
        <v>10974</v>
      </c>
      <c r="K252" s="6" t="s">
        <v>10975</v>
      </c>
      <c r="L252" s="6">
        <f t="shared" ref="L252:L271" si="18">((H252*2.5/100)+G252*0.18)*0.95</f>
        <v>17.86</v>
      </c>
      <c r="M252" s="5"/>
    </row>
    <row r="253" spans="1:13" ht="14.25" customHeight="1">
      <c r="A253" s="6" t="s">
        <v>10971</v>
      </c>
      <c r="B253" s="6" t="s">
        <v>10513</v>
      </c>
      <c r="C253" s="168" t="s">
        <v>10976</v>
      </c>
      <c r="D253" s="4">
        <v>43992</v>
      </c>
      <c r="E253" s="6">
        <v>9955809402</v>
      </c>
      <c r="F253" s="6" t="s">
        <v>10977</v>
      </c>
      <c r="H253" s="6">
        <v>752</v>
      </c>
      <c r="I253" s="13">
        <f t="shared" si="17"/>
        <v>887.3599999999999</v>
      </c>
      <c r="J253" s="6" t="s">
        <v>10978</v>
      </c>
      <c r="K253" s="6" t="s">
        <v>10979</v>
      </c>
      <c r="L253" s="6">
        <f t="shared" si="18"/>
        <v>17.86</v>
      </c>
      <c r="M253" s="5"/>
    </row>
    <row r="254" spans="1:13" ht="14.25" customHeight="1">
      <c r="A254" s="6" t="s">
        <v>10971</v>
      </c>
      <c r="B254" s="6" t="s">
        <v>10513</v>
      </c>
      <c r="C254" s="168" t="s">
        <v>10980</v>
      </c>
      <c r="D254" s="4">
        <v>43994</v>
      </c>
      <c r="E254" s="6">
        <v>9931568789</v>
      </c>
      <c r="F254" s="6" t="s">
        <v>10981</v>
      </c>
      <c r="H254" s="6">
        <v>752</v>
      </c>
      <c r="I254" s="13">
        <f t="shared" si="17"/>
        <v>887.3599999999999</v>
      </c>
      <c r="J254" s="6" t="s">
        <v>10680</v>
      </c>
      <c r="K254" s="6" t="s">
        <v>10982</v>
      </c>
      <c r="L254" s="6">
        <f t="shared" si="18"/>
        <v>17.86</v>
      </c>
      <c r="M254" s="5"/>
    </row>
    <row r="255" spans="1:13" ht="14.25" customHeight="1">
      <c r="A255" s="6" t="s">
        <v>10971</v>
      </c>
      <c r="C255" s="168" t="s">
        <v>10983</v>
      </c>
      <c r="D255" s="4">
        <v>43994</v>
      </c>
      <c r="E255" s="6">
        <v>7631070941</v>
      </c>
      <c r="F255" s="6" t="s">
        <v>10656</v>
      </c>
      <c r="H255" s="6">
        <v>752</v>
      </c>
      <c r="I255" s="13">
        <f t="shared" si="17"/>
        <v>887.3599999999999</v>
      </c>
      <c r="J255" s="6" t="s">
        <v>10680</v>
      </c>
      <c r="K255" s="6" t="s">
        <v>10657</v>
      </c>
      <c r="L255" s="6">
        <f t="shared" si="18"/>
        <v>17.86</v>
      </c>
      <c r="M255" s="5"/>
    </row>
    <row r="256" spans="1:13" ht="14.25" customHeight="1">
      <c r="A256" s="6" t="s">
        <v>10971</v>
      </c>
      <c r="B256" s="6" t="s">
        <v>10513</v>
      </c>
      <c r="C256" s="168" t="s">
        <v>10984</v>
      </c>
      <c r="E256" s="6">
        <v>9939219949</v>
      </c>
      <c r="F256" s="6" t="s">
        <v>10985</v>
      </c>
      <c r="H256" s="6">
        <v>752</v>
      </c>
      <c r="I256" s="13">
        <f t="shared" si="17"/>
        <v>887.3599999999999</v>
      </c>
      <c r="J256" s="6" t="s">
        <v>10680</v>
      </c>
      <c r="K256" s="6" t="s">
        <v>10986</v>
      </c>
      <c r="L256" s="6">
        <f t="shared" si="18"/>
        <v>17.86</v>
      </c>
      <c r="M256" s="5"/>
    </row>
    <row r="257" spans="1:13" ht="14.25" customHeight="1">
      <c r="A257" s="6" t="s">
        <v>10971</v>
      </c>
      <c r="B257" s="6" t="s">
        <v>10513</v>
      </c>
      <c r="C257" s="168" t="s">
        <v>10987</v>
      </c>
      <c r="D257" s="4">
        <v>43998</v>
      </c>
      <c r="E257" s="6">
        <v>8877187044</v>
      </c>
      <c r="F257" s="6" t="s">
        <v>10988</v>
      </c>
      <c r="H257" s="6">
        <v>752</v>
      </c>
      <c r="I257" s="13">
        <f t="shared" si="17"/>
        <v>887.3599999999999</v>
      </c>
      <c r="J257" s="6" t="s">
        <v>10623</v>
      </c>
      <c r="K257" s="6" t="s">
        <v>10989</v>
      </c>
      <c r="L257" s="6">
        <f t="shared" si="18"/>
        <v>17.86</v>
      </c>
      <c r="M257" s="5"/>
    </row>
    <row r="258" spans="1:13" ht="14.25" customHeight="1">
      <c r="A258" s="6" t="s">
        <v>10971</v>
      </c>
      <c r="B258" s="6" t="s">
        <v>10513</v>
      </c>
      <c r="C258" s="168" t="s">
        <v>10990</v>
      </c>
      <c r="D258" s="4">
        <v>43999</v>
      </c>
      <c r="E258" s="6">
        <v>9771441692</v>
      </c>
      <c r="F258" s="6" t="s">
        <v>10991</v>
      </c>
      <c r="H258" s="6">
        <v>752</v>
      </c>
      <c r="I258" s="13">
        <f t="shared" si="17"/>
        <v>887.3599999999999</v>
      </c>
      <c r="J258" s="6" t="s">
        <v>10623</v>
      </c>
      <c r="K258" s="6" t="s">
        <v>10992</v>
      </c>
      <c r="L258" s="6">
        <f t="shared" si="18"/>
        <v>17.86</v>
      </c>
      <c r="M258" s="5"/>
    </row>
    <row r="259" spans="1:13" ht="14.25" customHeight="1">
      <c r="A259" s="6" t="s">
        <v>10971</v>
      </c>
      <c r="B259" s="6" t="s">
        <v>10513</v>
      </c>
      <c r="C259" s="168" t="s">
        <v>10993</v>
      </c>
      <c r="D259" s="4">
        <v>44000</v>
      </c>
      <c r="E259" s="6">
        <v>8092575822</v>
      </c>
      <c r="F259" s="6" t="s">
        <v>10994</v>
      </c>
      <c r="H259" s="6">
        <v>752</v>
      </c>
      <c r="I259" s="13">
        <f t="shared" si="17"/>
        <v>887.3599999999999</v>
      </c>
      <c r="J259" s="6" t="s">
        <v>10623</v>
      </c>
      <c r="K259" s="6" t="s">
        <v>10995</v>
      </c>
      <c r="L259" s="6">
        <f t="shared" si="18"/>
        <v>17.86</v>
      </c>
      <c r="M259" s="5"/>
    </row>
    <row r="260" spans="1:13" ht="14.25" customHeight="1">
      <c r="A260" s="6" t="s">
        <v>10971</v>
      </c>
      <c r="B260" s="6" t="s">
        <v>10513</v>
      </c>
      <c r="C260" s="168" t="s">
        <v>10996</v>
      </c>
      <c r="D260" s="4">
        <v>44001</v>
      </c>
      <c r="E260" s="6">
        <v>9973818552</v>
      </c>
      <c r="F260" s="6" t="s">
        <v>10997</v>
      </c>
      <c r="H260" s="6">
        <v>752</v>
      </c>
      <c r="I260" s="13">
        <f t="shared" si="17"/>
        <v>887.3599999999999</v>
      </c>
      <c r="L260" s="6">
        <f t="shared" si="18"/>
        <v>17.86</v>
      </c>
      <c r="M260" s="5"/>
    </row>
    <row r="261" spans="1:13" ht="14.25" customHeight="1">
      <c r="A261" s="6" t="s">
        <v>10971</v>
      </c>
      <c r="B261" s="6" t="s">
        <v>10513</v>
      </c>
      <c r="C261" s="168" t="s">
        <v>10998</v>
      </c>
      <c r="D261" s="4">
        <v>44002</v>
      </c>
      <c r="E261" s="6">
        <v>9234554933</v>
      </c>
      <c r="F261" s="6" t="s">
        <v>10999</v>
      </c>
      <c r="H261" s="6">
        <v>752</v>
      </c>
      <c r="I261" s="13">
        <f t="shared" si="17"/>
        <v>887.3599999999999</v>
      </c>
      <c r="J261" s="6" t="s">
        <v>10680</v>
      </c>
      <c r="K261" s="6" t="s">
        <v>11000</v>
      </c>
      <c r="L261" s="6">
        <f t="shared" si="18"/>
        <v>17.86</v>
      </c>
      <c r="M261" s="5"/>
    </row>
    <row r="262" spans="1:13" ht="14.25" customHeight="1">
      <c r="A262" s="6" t="s">
        <v>10971</v>
      </c>
      <c r="B262" s="6" t="s">
        <v>10513</v>
      </c>
      <c r="C262" s="168" t="s">
        <v>11001</v>
      </c>
      <c r="D262" s="4">
        <v>44004</v>
      </c>
      <c r="E262" s="6">
        <v>8540035242</v>
      </c>
      <c r="F262" s="6" t="s">
        <v>11002</v>
      </c>
      <c r="H262" s="6">
        <v>752</v>
      </c>
      <c r="I262" s="13">
        <f t="shared" si="17"/>
        <v>887.3599999999999</v>
      </c>
      <c r="J262" s="6" t="s">
        <v>10974</v>
      </c>
      <c r="K262" s="6" t="s">
        <v>11003</v>
      </c>
      <c r="L262" s="6">
        <f t="shared" si="18"/>
        <v>17.86</v>
      </c>
      <c r="M262" s="5"/>
    </row>
    <row r="263" spans="1:13" ht="14.25" customHeight="1">
      <c r="A263" s="6" t="s">
        <v>10971</v>
      </c>
      <c r="B263" s="6" t="s">
        <v>10513</v>
      </c>
      <c r="C263" s="168" t="s">
        <v>11004</v>
      </c>
      <c r="D263" s="4">
        <v>44006</v>
      </c>
      <c r="E263" s="6">
        <v>9204212171</v>
      </c>
      <c r="F263" s="6" t="s">
        <v>11005</v>
      </c>
      <c r="H263" s="6">
        <v>752</v>
      </c>
      <c r="I263" s="13">
        <f t="shared" si="17"/>
        <v>887.3599999999999</v>
      </c>
      <c r="J263" s="6" t="s">
        <v>10680</v>
      </c>
      <c r="K263" s="6" t="s">
        <v>11006</v>
      </c>
      <c r="L263" s="6">
        <f t="shared" si="18"/>
        <v>17.86</v>
      </c>
      <c r="M263" s="5"/>
    </row>
    <row r="264" spans="1:13" ht="14.25" customHeight="1">
      <c r="A264" s="6" t="s">
        <v>10971</v>
      </c>
      <c r="B264" s="6" t="s">
        <v>10513</v>
      </c>
      <c r="C264" s="168" t="s">
        <v>11007</v>
      </c>
      <c r="D264" s="4">
        <v>44007</v>
      </c>
      <c r="F264" s="6" t="s">
        <v>11008</v>
      </c>
      <c r="H264" s="6">
        <v>752</v>
      </c>
      <c r="I264" s="13">
        <f t="shared" si="17"/>
        <v>887.3599999999999</v>
      </c>
      <c r="J264" s="6" t="s">
        <v>10730</v>
      </c>
      <c r="K264" s="6" t="s">
        <v>11009</v>
      </c>
      <c r="L264" s="6">
        <f t="shared" si="18"/>
        <v>17.86</v>
      </c>
      <c r="M264" s="5"/>
    </row>
    <row r="265" spans="1:13" ht="14.25" customHeight="1">
      <c r="A265" s="6" t="s">
        <v>10971</v>
      </c>
      <c r="B265" s="6" t="s">
        <v>10513</v>
      </c>
      <c r="C265" s="168" t="s">
        <v>11010</v>
      </c>
      <c r="D265" s="4">
        <v>44007</v>
      </c>
      <c r="F265" s="6" t="s">
        <v>11011</v>
      </c>
      <c r="H265" s="6">
        <v>752</v>
      </c>
      <c r="I265" s="13">
        <f t="shared" si="17"/>
        <v>887.3599999999999</v>
      </c>
      <c r="J265" s="6" t="s">
        <v>10623</v>
      </c>
      <c r="K265" s="6" t="s">
        <v>11012</v>
      </c>
      <c r="L265" s="6">
        <f t="shared" si="18"/>
        <v>17.86</v>
      </c>
      <c r="M265" s="5"/>
    </row>
    <row r="266" spans="1:13" ht="14.25" customHeight="1">
      <c r="A266" s="6" t="s">
        <v>10971</v>
      </c>
      <c r="B266" s="6" t="s">
        <v>10513</v>
      </c>
      <c r="C266" s="168" t="s">
        <v>11013</v>
      </c>
      <c r="D266" s="4">
        <v>44007</v>
      </c>
      <c r="F266" s="6" t="s">
        <v>11014</v>
      </c>
      <c r="H266" s="6">
        <v>752</v>
      </c>
      <c r="I266" s="13">
        <f t="shared" si="17"/>
        <v>887.3599999999999</v>
      </c>
      <c r="J266" s="6" t="s">
        <v>11015</v>
      </c>
      <c r="K266" s="6" t="s">
        <v>11016</v>
      </c>
      <c r="L266" s="6">
        <f t="shared" si="18"/>
        <v>17.86</v>
      </c>
      <c r="M266" s="5"/>
    </row>
    <row r="267" spans="1:13" ht="14.25" customHeight="1">
      <c r="A267" s="6" t="s">
        <v>10971</v>
      </c>
      <c r="B267" s="6" t="s">
        <v>10505</v>
      </c>
      <c r="C267" s="168" t="s">
        <v>11017</v>
      </c>
      <c r="D267" s="4">
        <v>44007</v>
      </c>
      <c r="F267" s="6" t="s">
        <v>3533</v>
      </c>
      <c r="G267" s="6">
        <v>488</v>
      </c>
      <c r="H267" s="6">
        <v>752</v>
      </c>
      <c r="I267" s="13">
        <f t="shared" si="17"/>
        <v>1463.1999999999998</v>
      </c>
      <c r="J267" s="6" t="s">
        <v>11018</v>
      </c>
      <c r="K267" s="6" t="s">
        <v>11019</v>
      </c>
      <c r="L267" s="6">
        <f t="shared" si="18"/>
        <v>101.30799999999999</v>
      </c>
      <c r="M267" s="5"/>
    </row>
    <row r="268" spans="1:13" ht="14.25" customHeight="1">
      <c r="A268" s="6" t="s">
        <v>11020</v>
      </c>
      <c r="B268" s="6" t="s">
        <v>10513</v>
      </c>
      <c r="C268" s="168" t="s">
        <v>11021</v>
      </c>
      <c r="D268" s="4">
        <v>44008</v>
      </c>
      <c r="F268" s="6" t="s">
        <v>11022</v>
      </c>
      <c r="H268" s="6">
        <v>3221</v>
      </c>
      <c r="I268" s="13">
        <f t="shared" si="17"/>
        <v>3800.7799999999997</v>
      </c>
      <c r="J268" s="6" t="s">
        <v>11023</v>
      </c>
      <c r="L268" s="6">
        <f t="shared" si="18"/>
        <v>76.498750000000001</v>
      </c>
      <c r="M268" s="5"/>
    </row>
    <row r="269" spans="1:13" ht="14.25" customHeight="1">
      <c r="A269" s="6" t="s">
        <v>10971</v>
      </c>
      <c r="B269" s="6" t="s">
        <v>10513</v>
      </c>
      <c r="C269" s="168" t="s">
        <v>11024</v>
      </c>
      <c r="D269" s="4">
        <v>44009</v>
      </c>
      <c r="F269" s="6" t="s">
        <v>6369</v>
      </c>
      <c r="H269" s="6">
        <v>752</v>
      </c>
      <c r="I269" s="13">
        <f t="shared" si="17"/>
        <v>887.3599999999999</v>
      </c>
      <c r="J269" s="6" t="s">
        <v>10680</v>
      </c>
      <c r="K269" s="6" t="s">
        <v>11025</v>
      </c>
      <c r="L269" s="6">
        <f t="shared" si="18"/>
        <v>17.86</v>
      </c>
      <c r="M269" s="5"/>
    </row>
    <row r="270" spans="1:13" ht="14.25" customHeight="1">
      <c r="A270" s="6" t="s">
        <v>10971</v>
      </c>
      <c r="B270" s="6" t="s">
        <v>10513</v>
      </c>
      <c r="C270" s="168" t="s">
        <v>11026</v>
      </c>
      <c r="D270" s="4">
        <v>44042</v>
      </c>
      <c r="E270" s="6">
        <v>9934191610</v>
      </c>
      <c r="F270" s="6" t="s">
        <v>8493</v>
      </c>
      <c r="H270" s="6">
        <v>752</v>
      </c>
      <c r="I270" s="13">
        <f t="shared" si="17"/>
        <v>887.3599999999999</v>
      </c>
      <c r="J270" s="6" t="s">
        <v>11027</v>
      </c>
      <c r="K270" s="6" t="s">
        <v>11028</v>
      </c>
      <c r="L270" s="6">
        <f t="shared" si="18"/>
        <v>17.86</v>
      </c>
      <c r="M270" s="5"/>
    </row>
    <row r="271" spans="1:13" ht="14.25" customHeight="1">
      <c r="A271" s="6" t="s">
        <v>10971</v>
      </c>
      <c r="B271" s="6" t="s">
        <v>10513</v>
      </c>
      <c r="C271" s="168" t="s">
        <v>11026</v>
      </c>
      <c r="D271" s="4">
        <v>44042</v>
      </c>
      <c r="E271" s="6">
        <v>8825340143</v>
      </c>
      <c r="F271" s="6" t="s">
        <v>11029</v>
      </c>
      <c r="H271" s="6">
        <v>752</v>
      </c>
      <c r="I271" s="13">
        <f t="shared" si="17"/>
        <v>887.3599999999999</v>
      </c>
      <c r="J271" s="6" t="s">
        <v>10623</v>
      </c>
      <c r="K271" s="6" t="s">
        <v>11030</v>
      </c>
      <c r="L271" s="6">
        <f t="shared" si="18"/>
        <v>17.86</v>
      </c>
      <c r="M271" s="5"/>
    </row>
    <row r="272" spans="1:13" ht="14.25" customHeight="1">
      <c r="C272" s="168"/>
      <c r="D272" s="4"/>
      <c r="I272" s="13"/>
      <c r="M272" s="5"/>
    </row>
    <row r="273" spans="1:13" ht="14.25" customHeight="1">
      <c r="C273" s="168"/>
      <c r="M273" s="5"/>
    </row>
    <row r="274" spans="1:13" ht="14.25" customHeight="1">
      <c r="A274" s="302">
        <f>COUNTIF(A252:A273,"Bajaj2")</f>
        <v>19</v>
      </c>
      <c r="B274" s="302">
        <f>COUNTIF(A252:A273,"Bajaj4")</f>
        <v>1</v>
      </c>
      <c r="C274" s="302"/>
      <c r="D274" s="302"/>
      <c r="E274" s="302"/>
      <c r="F274" s="302">
        <f>SUMIF(A252:A273,"Bajaj4",H252:H273)</f>
        <v>3221</v>
      </c>
      <c r="G274" s="302">
        <f>SUMIF(A252:A273,"Bajaj2",G252:G273)</f>
        <v>488</v>
      </c>
      <c r="H274" s="302">
        <f>SUMIF($A252:$A273,"Bajaj2",H252:H273)</f>
        <v>14288</v>
      </c>
      <c r="I274" s="302">
        <f ca="1">SUMIF($A252:$A273,"Bajaj2",I254:I273)</f>
        <v>18574.38</v>
      </c>
      <c r="J274" s="302">
        <f>(SUM(G274:H274)*IF(A274&lt;3,0.025,IF(A274&lt;6,0.075,IF(A274&lt;11,0.1,IF(A274&lt;51,0.15,0.2))))+F274*IF(B274&lt;2,0.025,IF(B274&lt;3,0.05,0.1)))*0.95</f>
        <v>2182.0787500000001</v>
      </c>
      <c r="K274" s="303">
        <f>18+18+18+18+29+37+18+18+163+78</f>
        <v>415</v>
      </c>
      <c r="L274" s="302">
        <f t="shared" ref="L274:M274" si="19">SUM(L252:L273)</f>
        <v>499.2867500000001</v>
      </c>
      <c r="M274" s="5">
        <f t="shared" si="19"/>
        <v>0</v>
      </c>
    </row>
    <row r="275" spans="1:13" ht="14.25" customHeight="1">
      <c r="C275" s="168"/>
      <c r="M275" s="5"/>
    </row>
    <row r="276" spans="1:13" ht="14.25" customHeight="1">
      <c r="C276" s="168"/>
      <c r="M276" s="5"/>
    </row>
    <row r="277" spans="1:13" ht="14.25" customHeight="1">
      <c r="A277" s="6" t="s">
        <v>10971</v>
      </c>
      <c r="B277" s="6" t="s">
        <v>10513</v>
      </c>
      <c r="C277" s="168" t="s">
        <v>11031</v>
      </c>
      <c r="D277" s="4">
        <v>44013</v>
      </c>
      <c r="E277" s="6">
        <v>9608931932</v>
      </c>
      <c r="F277" s="6" t="s">
        <v>11032</v>
      </c>
      <c r="G277" s="6">
        <v>0</v>
      </c>
      <c r="H277" s="6">
        <v>752</v>
      </c>
      <c r="I277" s="6">
        <f t="shared" ref="I277:I302" si="20">(G277+H277)*1.18</f>
        <v>887.3599999999999</v>
      </c>
      <c r="J277" s="6" t="s">
        <v>11033</v>
      </c>
      <c r="K277" s="6" t="s">
        <v>11034</v>
      </c>
      <c r="L277" s="6">
        <f t="shared" ref="L277:L302" si="21">H277*2.5/100</f>
        <v>18.8</v>
      </c>
      <c r="M277" s="5"/>
    </row>
    <row r="278" spans="1:13" ht="14.25" customHeight="1">
      <c r="A278" s="6" t="s">
        <v>10971</v>
      </c>
      <c r="B278" s="6" t="s">
        <v>10513</v>
      </c>
      <c r="C278" s="168" t="s">
        <v>11035</v>
      </c>
      <c r="D278" s="4">
        <v>44013</v>
      </c>
      <c r="E278" s="6">
        <v>9570686909</v>
      </c>
      <c r="F278" s="6" t="s">
        <v>11036</v>
      </c>
      <c r="G278" s="6">
        <v>269</v>
      </c>
      <c r="H278" s="6">
        <v>752</v>
      </c>
      <c r="I278" s="6">
        <f t="shared" si="20"/>
        <v>1204.78</v>
      </c>
      <c r="J278" s="6" t="s">
        <v>11037</v>
      </c>
      <c r="K278" s="6" t="s">
        <v>11034</v>
      </c>
      <c r="L278" s="6">
        <f t="shared" si="21"/>
        <v>18.8</v>
      </c>
      <c r="M278" s="5"/>
    </row>
    <row r="279" spans="1:13" ht="14.25" customHeight="1">
      <c r="A279" s="6" t="s">
        <v>10971</v>
      </c>
      <c r="B279" s="6" t="s">
        <v>10513</v>
      </c>
      <c r="C279" s="168" t="s">
        <v>11038</v>
      </c>
      <c r="D279" s="4">
        <v>44014</v>
      </c>
      <c r="E279" s="6">
        <v>9263310034</v>
      </c>
      <c r="F279" s="6" t="s">
        <v>11039</v>
      </c>
      <c r="G279" s="6">
        <v>0</v>
      </c>
      <c r="H279" s="6">
        <v>752</v>
      </c>
      <c r="I279" s="6">
        <f t="shared" si="20"/>
        <v>887.3599999999999</v>
      </c>
      <c r="J279" s="6" t="s">
        <v>11040</v>
      </c>
      <c r="K279" s="6" t="s">
        <v>11041</v>
      </c>
      <c r="L279" s="6">
        <f t="shared" si="21"/>
        <v>18.8</v>
      </c>
      <c r="M279" s="5"/>
    </row>
    <row r="280" spans="1:13" ht="14.25" customHeight="1">
      <c r="A280" s="6" t="s">
        <v>10971</v>
      </c>
      <c r="B280" s="6" t="s">
        <v>10513</v>
      </c>
      <c r="C280" s="168" t="s">
        <v>11042</v>
      </c>
      <c r="D280" s="4">
        <v>44014</v>
      </c>
      <c r="E280" s="6">
        <v>8797651756</v>
      </c>
      <c r="F280" s="6" t="s">
        <v>11043</v>
      </c>
      <c r="G280" s="6">
        <v>0</v>
      </c>
      <c r="H280" s="6">
        <v>752</v>
      </c>
      <c r="I280" s="6">
        <f t="shared" si="20"/>
        <v>887.3599999999999</v>
      </c>
      <c r="J280" s="6" t="s">
        <v>11044</v>
      </c>
      <c r="K280" s="6" t="s">
        <v>11045</v>
      </c>
      <c r="L280" s="6">
        <f t="shared" si="21"/>
        <v>18.8</v>
      </c>
      <c r="M280" s="5"/>
    </row>
    <row r="281" spans="1:13" ht="14.25" customHeight="1">
      <c r="A281" s="6" t="s">
        <v>10971</v>
      </c>
      <c r="B281" s="6" t="s">
        <v>10513</v>
      </c>
      <c r="C281" s="168" t="s">
        <v>11046</v>
      </c>
      <c r="D281" s="4">
        <v>44014</v>
      </c>
      <c r="E281" s="6">
        <v>8825259461</v>
      </c>
      <c r="F281" s="6" t="s">
        <v>11047</v>
      </c>
      <c r="G281" s="6">
        <v>0</v>
      </c>
      <c r="H281" s="6">
        <v>752</v>
      </c>
      <c r="I281" s="6">
        <f t="shared" si="20"/>
        <v>887.3599999999999</v>
      </c>
      <c r="K281" s="6" t="s">
        <v>11048</v>
      </c>
      <c r="L281" s="6">
        <f t="shared" si="21"/>
        <v>18.8</v>
      </c>
      <c r="M281" s="5"/>
    </row>
    <row r="282" spans="1:13" ht="14.25" customHeight="1">
      <c r="A282" s="6" t="s">
        <v>10971</v>
      </c>
      <c r="B282" s="6" t="s">
        <v>10513</v>
      </c>
      <c r="C282" s="168" t="s">
        <v>11049</v>
      </c>
      <c r="D282" s="4">
        <v>44014</v>
      </c>
      <c r="E282" s="6">
        <v>7209993839</v>
      </c>
      <c r="F282" s="6" t="s">
        <v>11050</v>
      </c>
      <c r="G282" s="6">
        <v>0</v>
      </c>
      <c r="H282" s="6">
        <v>752</v>
      </c>
      <c r="I282" s="6">
        <f t="shared" si="20"/>
        <v>887.3599999999999</v>
      </c>
      <c r="K282" s="6" t="s">
        <v>11051</v>
      </c>
      <c r="L282" s="6">
        <f t="shared" si="21"/>
        <v>18.8</v>
      </c>
      <c r="M282" s="5"/>
    </row>
    <row r="283" spans="1:13" ht="14.25" customHeight="1">
      <c r="A283" s="6" t="s">
        <v>10971</v>
      </c>
      <c r="B283" s="6" t="s">
        <v>10513</v>
      </c>
      <c r="C283" s="168" t="s">
        <v>11052</v>
      </c>
      <c r="D283" s="4">
        <v>44015</v>
      </c>
      <c r="E283" s="6">
        <v>9430112002</v>
      </c>
      <c r="F283" s="6" t="s">
        <v>11053</v>
      </c>
      <c r="G283" s="6">
        <v>0</v>
      </c>
      <c r="H283" s="6">
        <v>752</v>
      </c>
      <c r="I283" s="6">
        <f t="shared" si="20"/>
        <v>887.3599999999999</v>
      </c>
      <c r="K283" s="6" t="s">
        <v>11054</v>
      </c>
      <c r="L283" s="6">
        <f t="shared" si="21"/>
        <v>18.8</v>
      </c>
      <c r="M283" s="5"/>
    </row>
    <row r="284" spans="1:13" ht="14.25" customHeight="1">
      <c r="A284" s="6" t="s">
        <v>10971</v>
      </c>
      <c r="B284" s="6" t="s">
        <v>10513</v>
      </c>
      <c r="C284" s="168" t="s">
        <v>11055</v>
      </c>
      <c r="D284" s="4">
        <v>44015</v>
      </c>
      <c r="F284" s="6" t="s">
        <v>11056</v>
      </c>
      <c r="G284" s="6">
        <v>0</v>
      </c>
      <c r="H284" s="6">
        <v>752</v>
      </c>
      <c r="I284" s="6">
        <f t="shared" si="20"/>
        <v>887.3599999999999</v>
      </c>
      <c r="J284" s="6" t="s">
        <v>11057</v>
      </c>
      <c r="L284" s="6">
        <f t="shared" si="21"/>
        <v>18.8</v>
      </c>
      <c r="M284" s="5"/>
    </row>
    <row r="285" spans="1:13" ht="14.25" customHeight="1">
      <c r="A285" s="6" t="s">
        <v>10971</v>
      </c>
      <c r="B285" s="6" t="s">
        <v>10513</v>
      </c>
      <c r="C285" s="168" t="s">
        <v>11058</v>
      </c>
      <c r="D285" s="4">
        <v>44015</v>
      </c>
      <c r="E285" s="6">
        <v>7631178738</v>
      </c>
      <c r="F285" s="6" t="s">
        <v>11059</v>
      </c>
      <c r="G285" s="6">
        <v>0</v>
      </c>
      <c r="H285" s="6">
        <v>752</v>
      </c>
      <c r="I285" s="6">
        <f t="shared" si="20"/>
        <v>887.3599999999999</v>
      </c>
      <c r="J285" s="6" t="s">
        <v>11060</v>
      </c>
      <c r="K285" s="6" t="s">
        <v>11061</v>
      </c>
      <c r="L285" s="6">
        <f t="shared" si="21"/>
        <v>18.8</v>
      </c>
      <c r="M285" s="5"/>
    </row>
    <row r="286" spans="1:13" ht="14.25" customHeight="1">
      <c r="A286" s="6" t="s">
        <v>10971</v>
      </c>
      <c r="B286" s="6" t="s">
        <v>10513</v>
      </c>
      <c r="C286" s="168" t="s">
        <v>11062</v>
      </c>
      <c r="D286" s="4">
        <v>44016</v>
      </c>
      <c r="E286" s="6">
        <v>9431960245</v>
      </c>
      <c r="F286" s="6" t="s">
        <v>11063</v>
      </c>
      <c r="G286" s="6">
        <v>0</v>
      </c>
      <c r="H286" s="6">
        <v>752</v>
      </c>
      <c r="I286" s="6">
        <f t="shared" si="20"/>
        <v>887.3599999999999</v>
      </c>
      <c r="J286" s="6" t="s">
        <v>11064</v>
      </c>
      <c r="K286" s="6" t="s">
        <v>11065</v>
      </c>
      <c r="L286" s="6">
        <f t="shared" si="21"/>
        <v>18.8</v>
      </c>
      <c r="M286" s="5"/>
    </row>
    <row r="287" spans="1:13" ht="14.25" customHeight="1">
      <c r="A287" s="6" t="s">
        <v>10971</v>
      </c>
      <c r="B287" s="6" t="s">
        <v>10513</v>
      </c>
      <c r="C287" s="168"/>
      <c r="G287" s="6">
        <v>0</v>
      </c>
      <c r="H287" s="6">
        <v>752</v>
      </c>
      <c r="I287" s="6">
        <f t="shared" si="20"/>
        <v>887.3599999999999</v>
      </c>
      <c r="L287" s="6">
        <f t="shared" si="21"/>
        <v>18.8</v>
      </c>
      <c r="M287" s="5"/>
    </row>
    <row r="288" spans="1:13" ht="14.25" customHeight="1">
      <c r="A288" s="6" t="s">
        <v>11066</v>
      </c>
      <c r="B288" s="6" t="s">
        <v>10513</v>
      </c>
      <c r="C288" s="168" t="s">
        <v>11067</v>
      </c>
      <c r="D288" s="4">
        <v>43957</v>
      </c>
      <c r="E288" s="6">
        <v>9431755430</v>
      </c>
      <c r="F288" s="6" t="s">
        <v>11068</v>
      </c>
      <c r="G288" s="6">
        <v>0</v>
      </c>
      <c r="H288" s="6">
        <v>752</v>
      </c>
      <c r="I288" s="6">
        <f t="shared" si="20"/>
        <v>887.3599999999999</v>
      </c>
      <c r="J288" s="6" t="s">
        <v>10781</v>
      </c>
      <c r="K288" s="6" t="s">
        <v>11069</v>
      </c>
      <c r="L288" s="6">
        <f t="shared" si="21"/>
        <v>18.8</v>
      </c>
      <c r="M288" s="5"/>
    </row>
    <row r="289" spans="1:14" ht="14.25" customHeight="1">
      <c r="A289" s="6" t="s">
        <v>11066</v>
      </c>
      <c r="B289" s="6" t="s">
        <v>10513</v>
      </c>
      <c r="C289" s="168" t="s">
        <v>10843</v>
      </c>
      <c r="D289" s="4">
        <v>43957</v>
      </c>
      <c r="F289" s="247" t="s">
        <v>11070</v>
      </c>
      <c r="G289" s="247">
        <v>0</v>
      </c>
      <c r="H289" s="247">
        <v>482</v>
      </c>
      <c r="I289" s="6">
        <f t="shared" si="20"/>
        <v>568.76</v>
      </c>
      <c r="J289" s="6" t="s">
        <v>10527</v>
      </c>
      <c r="K289" s="6" t="s">
        <v>11071</v>
      </c>
      <c r="L289" s="6">
        <f t="shared" si="21"/>
        <v>12.05</v>
      </c>
      <c r="M289" s="5"/>
      <c r="N289" s="6" t="s">
        <v>11072</v>
      </c>
    </row>
    <row r="290" spans="1:14" ht="14.25" customHeight="1">
      <c r="A290" s="6" t="s">
        <v>11066</v>
      </c>
      <c r="B290" s="6" t="s">
        <v>10513</v>
      </c>
      <c r="C290" s="168" t="s">
        <v>11073</v>
      </c>
      <c r="D290" s="4">
        <v>44022</v>
      </c>
      <c r="E290" s="6">
        <v>8651121690</v>
      </c>
      <c r="F290" s="6" t="s">
        <v>11074</v>
      </c>
      <c r="G290" s="6">
        <v>0</v>
      </c>
      <c r="H290" s="6">
        <v>752</v>
      </c>
      <c r="I290" s="6">
        <f t="shared" si="20"/>
        <v>887.3599999999999</v>
      </c>
      <c r="J290" s="6" t="s">
        <v>10579</v>
      </c>
      <c r="K290" s="6" t="s">
        <v>11075</v>
      </c>
      <c r="L290" s="6">
        <f t="shared" si="21"/>
        <v>18.8</v>
      </c>
      <c r="M290" s="5"/>
    </row>
    <row r="291" spans="1:14" ht="14.25" customHeight="1">
      <c r="A291" s="6" t="s">
        <v>10971</v>
      </c>
      <c r="B291" s="6" t="s">
        <v>11076</v>
      </c>
      <c r="C291" s="168" t="s">
        <v>11077</v>
      </c>
      <c r="D291" s="4">
        <v>44022</v>
      </c>
      <c r="F291" s="6" t="s">
        <v>11078</v>
      </c>
      <c r="G291" s="6">
        <v>0</v>
      </c>
      <c r="H291" s="6">
        <v>752</v>
      </c>
      <c r="I291" s="6">
        <f t="shared" si="20"/>
        <v>887.3599999999999</v>
      </c>
      <c r="J291" s="6" t="s">
        <v>10576</v>
      </c>
      <c r="K291" s="6" t="s">
        <v>11079</v>
      </c>
      <c r="L291" s="6">
        <f t="shared" si="21"/>
        <v>18.8</v>
      </c>
      <c r="M291" s="5"/>
    </row>
    <row r="292" spans="1:14" ht="14.25" customHeight="1">
      <c r="A292" s="6" t="s">
        <v>10971</v>
      </c>
      <c r="B292" s="6" t="s">
        <v>10936</v>
      </c>
      <c r="C292" s="168" t="s">
        <v>11080</v>
      </c>
      <c r="D292" s="4">
        <v>44023</v>
      </c>
      <c r="E292" s="6">
        <v>8210910080</v>
      </c>
      <c r="F292" s="6" t="s">
        <v>11081</v>
      </c>
      <c r="G292" s="6">
        <v>512</v>
      </c>
      <c r="H292" s="6">
        <v>752</v>
      </c>
      <c r="I292" s="6">
        <f t="shared" si="20"/>
        <v>1491.52</v>
      </c>
      <c r="J292" s="6" t="s">
        <v>10579</v>
      </c>
      <c r="K292" s="6" t="s">
        <v>11082</v>
      </c>
      <c r="L292" s="6">
        <f t="shared" si="21"/>
        <v>18.8</v>
      </c>
      <c r="M292" s="5"/>
    </row>
    <row r="293" spans="1:14" ht="14.25" customHeight="1">
      <c r="A293" s="6" t="s">
        <v>11066</v>
      </c>
      <c r="B293" s="6" t="s">
        <v>10513</v>
      </c>
      <c r="C293" s="168" t="s">
        <v>11083</v>
      </c>
      <c r="D293" s="4">
        <v>44023</v>
      </c>
      <c r="E293" s="6">
        <v>9801882474</v>
      </c>
      <c r="F293" s="6" t="s">
        <v>11084</v>
      </c>
      <c r="G293" s="6">
        <v>0</v>
      </c>
      <c r="H293" s="6">
        <v>752</v>
      </c>
      <c r="I293" s="6">
        <f t="shared" si="20"/>
        <v>887.3599999999999</v>
      </c>
      <c r="J293" s="6" t="s">
        <v>10529</v>
      </c>
      <c r="K293" s="6" t="s">
        <v>11085</v>
      </c>
      <c r="L293" s="6">
        <f t="shared" si="21"/>
        <v>18.8</v>
      </c>
      <c r="M293" s="5"/>
    </row>
    <row r="294" spans="1:14" ht="14.25" customHeight="1">
      <c r="A294" s="6" t="s">
        <v>11066</v>
      </c>
      <c r="B294" s="6" t="s">
        <v>10513</v>
      </c>
      <c r="C294" s="168" t="s">
        <v>11086</v>
      </c>
      <c r="D294" s="4">
        <v>44023</v>
      </c>
      <c r="F294" s="6" t="s">
        <v>11087</v>
      </c>
      <c r="G294" s="6">
        <v>0</v>
      </c>
      <c r="H294" s="6">
        <v>752</v>
      </c>
      <c r="I294" s="6">
        <f t="shared" si="20"/>
        <v>887.3599999999999</v>
      </c>
      <c r="J294" s="6" t="s">
        <v>10836</v>
      </c>
      <c r="K294" s="6" t="s">
        <v>11088</v>
      </c>
      <c r="L294" s="6">
        <f t="shared" si="21"/>
        <v>18.8</v>
      </c>
      <c r="M294" s="5"/>
    </row>
    <row r="295" spans="1:14" ht="14.25" customHeight="1">
      <c r="A295" s="47" t="s">
        <v>11089</v>
      </c>
      <c r="B295" s="47"/>
      <c r="C295" s="304"/>
      <c r="D295" s="4">
        <v>43847</v>
      </c>
      <c r="E295" s="6">
        <v>7033298279</v>
      </c>
      <c r="F295" s="6" t="s">
        <v>11090</v>
      </c>
      <c r="G295" s="6"/>
      <c r="H295" s="6"/>
      <c r="I295" s="6">
        <f t="shared" si="20"/>
        <v>0</v>
      </c>
      <c r="J295" s="6" t="s">
        <v>11091</v>
      </c>
      <c r="K295" s="47" t="s">
        <v>11092</v>
      </c>
      <c r="L295" s="6">
        <f t="shared" si="21"/>
        <v>0</v>
      </c>
      <c r="M295" s="5"/>
    </row>
    <row r="296" spans="1:14" ht="14.25" customHeight="1">
      <c r="A296" s="6" t="s">
        <v>10971</v>
      </c>
      <c r="B296" s="6" t="s">
        <v>10513</v>
      </c>
      <c r="C296" s="168" t="s">
        <v>11093</v>
      </c>
      <c r="D296" s="4">
        <v>44028</v>
      </c>
      <c r="E296" s="6">
        <v>8789490112</v>
      </c>
      <c r="F296" s="6" t="s">
        <v>11094</v>
      </c>
      <c r="G296" s="6">
        <v>0</v>
      </c>
      <c r="H296" s="6">
        <v>752</v>
      </c>
      <c r="I296" s="6">
        <f t="shared" si="20"/>
        <v>887.3599999999999</v>
      </c>
      <c r="J296" s="6" t="s">
        <v>11044</v>
      </c>
      <c r="K296" s="6" t="s">
        <v>11095</v>
      </c>
      <c r="L296" s="6">
        <f t="shared" si="21"/>
        <v>18.8</v>
      </c>
      <c r="M296" s="5"/>
    </row>
    <row r="297" spans="1:14" ht="14.25" customHeight="1">
      <c r="A297" s="6" t="s">
        <v>10971</v>
      </c>
      <c r="B297" s="6" t="s">
        <v>10513</v>
      </c>
      <c r="C297" s="168" t="s">
        <v>11096</v>
      </c>
      <c r="D297" s="4">
        <v>44029</v>
      </c>
      <c r="E297" s="6">
        <v>9031043619</v>
      </c>
      <c r="F297" s="6" t="s">
        <v>11097</v>
      </c>
      <c r="G297" s="6">
        <v>0</v>
      </c>
      <c r="H297" s="6">
        <v>1193</v>
      </c>
      <c r="I297" s="6">
        <f t="shared" si="20"/>
        <v>1407.74</v>
      </c>
      <c r="J297" s="6" t="s">
        <v>10525</v>
      </c>
      <c r="K297" s="6" t="s">
        <v>11098</v>
      </c>
      <c r="L297" s="6">
        <f t="shared" si="21"/>
        <v>29.824999999999999</v>
      </c>
      <c r="M297" s="5"/>
    </row>
    <row r="298" spans="1:14" ht="14.25" customHeight="1">
      <c r="A298" s="6" t="s">
        <v>11020</v>
      </c>
      <c r="B298" s="6" t="s">
        <v>10513</v>
      </c>
      <c r="C298" s="168" t="s">
        <v>11099</v>
      </c>
      <c r="D298" s="4">
        <v>44031</v>
      </c>
      <c r="E298" s="6">
        <v>7631070520</v>
      </c>
      <c r="F298" s="6" t="s">
        <v>10693</v>
      </c>
      <c r="G298" s="6">
        <v>0</v>
      </c>
      <c r="H298" s="6">
        <v>2072</v>
      </c>
      <c r="I298" s="6">
        <f t="shared" si="20"/>
        <v>2444.96</v>
      </c>
      <c r="J298" s="6" t="s">
        <v>11100</v>
      </c>
      <c r="K298" s="6" t="s">
        <v>10550</v>
      </c>
      <c r="L298" s="6">
        <f t="shared" si="21"/>
        <v>51.8</v>
      </c>
      <c r="M298" s="5"/>
    </row>
    <row r="299" spans="1:14" ht="14.25" customHeight="1">
      <c r="A299" s="6" t="s">
        <v>11066</v>
      </c>
      <c r="B299" s="6" t="s">
        <v>10936</v>
      </c>
      <c r="C299" s="168" t="s">
        <v>11101</v>
      </c>
      <c r="D299" s="4">
        <v>44035</v>
      </c>
      <c r="E299" s="6">
        <v>9204418149</v>
      </c>
      <c r="F299" s="6" t="s">
        <v>11102</v>
      </c>
      <c r="G299" s="6">
        <v>0</v>
      </c>
      <c r="H299" s="6">
        <v>752</v>
      </c>
      <c r="I299" s="6">
        <f t="shared" si="20"/>
        <v>887.3599999999999</v>
      </c>
      <c r="J299" s="6" t="s">
        <v>10805</v>
      </c>
      <c r="K299" s="6" t="s">
        <v>11103</v>
      </c>
      <c r="L299" s="6">
        <f t="shared" si="21"/>
        <v>18.8</v>
      </c>
      <c r="M299" s="5"/>
    </row>
    <row r="300" spans="1:14" ht="14.25" customHeight="1">
      <c r="A300" s="6" t="s">
        <v>11066</v>
      </c>
      <c r="B300" s="6" t="s">
        <v>10936</v>
      </c>
      <c r="C300" s="168" t="s">
        <v>11104</v>
      </c>
      <c r="D300" s="4">
        <v>44037</v>
      </c>
      <c r="E300" s="6">
        <v>8603215464</v>
      </c>
      <c r="F300" s="6" t="s">
        <v>2542</v>
      </c>
      <c r="G300" s="6">
        <v>0</v>
      </c>
      <c r="H300" s="6">
        <v>752</v>
      </c>
      <c r="I300" s="6">
        <f t="shared" si="20"/>
        <v>887.3599999999999</v>
      </c>
      <c r="J300" s="6" t="s">
        <v>11105</v>
      </c>
      <c r="K300" s="6" t="s">
        <v>11106</v>
      </c>
      <c r="L300" s="6">
        <f t="shared" si="21"/>
        <v>18.8</v>
      </c>
      <c r="M300" s="5"/>
    </row>
    <row r="301" spans="1:14" ht="14.25" customHeight="1">
      <c r="A301" s="6" t="s">
        <v>11066</v>
      </c>
      <c r="B301" s="6" t="s">
        <v>10936</v>
      </c>
      <c r="C301" s="168" t="s">
        <v>11107</v>
      </c>
      <c r="D301" s="4">
        <v>44039</v>
      </c>
      <c r="G301" s="6">
        <v>0</v>
      </c>
      <c r="H301" s="6">
        <v>752</v>
      </c>
      <c r="I301" s="6">
        <f t="shared" si="20"/>
        <v>887.3599999999999</v>
      </c>
      <c r="J301" s="6" t="s">
        <v>11064</v>
      </c>
      <c r="K301" s="6" t="s">
        <v>11108</v>
      </c>
      <c r="L301" s="6">
        <f t="shared" si="21"/>
        <v>18.8</v>
      </c>
      <c r="M301" s="5"/>
    </row>
    <row r="302" spans="1:14" ht="14.25" customHeight="1">
      <c r="A302" s="6" t="s">
        <v>11066</v>
      </c>
      <c r="B302" s="6" t="s">
        <v>10936</v>
      </c>
      <c r="C302" s="168" t="s">
        <v>11109</v>
      </c>
      <c r="D302" s="4">
        <v>44043</v>
      </c>
      <c r="E302" s="6">
        <v>7209819522</v>
      </c>
      <c r="F302" s="6" t="s">
        <v>11110</v>
      </c>
      <c r="G302" s="6">
        <v>0</v>
      </c>
      <c r="H302" s="6">
        <v>752</v>
      </c>
      <c r="I302" s="6">
        <f t="shared" si="20"/>
        <v>887.3599999999999</v>
      </c>
      <c r="J302" s="6" t="s">
        <v>10579</v>
      </c>
      <c r="K302" s="6" t="s">
        <v>11111</v>
      </c>
      <c r="L302" s="6">
        <f t="shared" si="21"/>
        <v>18.8</v>
      </c>
      <c r="M302" s="5"/>
    </row>
    <row r="303" spans="1:14" ht="14.25" customHeight="1">
      <c r="A303" s="302">
        <f>COUNTIF($A277:$A302,"Bajaj2")</f>
        <v>24</v>
      </c>
      <c r="B303" s="302">
        <f>COUNTIF($A277:$A302,"Bajaj4")</f>
        <v>1</v>
      </c>
      <c r="C303" s="302"/>
      <c r="D303" s="302"/>
      <c r="E303" s="302"/>
      <c r="F303" s="302">
        <f>SUMIF(A277:A302,"Bajaj4",H277:H302)</f>
        <v>2072</v>
      </c>
      <c r="G303" s="302">
        <f>SUMIF(A277:A302,"Bajaj2",G277:G302)</f>
        <v>781</v>
      </c>
      <c r="H303" s="302">
        <f t="shared" ref="H303:I303" si="22">SUMIF($A277:$A302,"Bajaj2",H277:H302)</f>
        <v>18219</v>
      </c>
      <c r="I303" s="302">
        <f t="shared" si="22"/>
        <v>22420.000000000007</v>
      </c>
      <c r="J303" s="302">
        <f>(SUM(G303:H303)*IF(A303&lt;3,0.025,IF(A303&lt;6,0.075,IF(A303&lt;11,0.1,IF(A303&lt;51,0.15,0.2))))+F303*IF(B303&lt;2,0.025,IF(B303&lt;3,0.05,0.1)))*0.95</f>
        <v>2756.71</v>
      </c>
      <c r="K303" s="303">
        <v>2761</v>
      </c>
      <c r="L303" s="303">
        <f>SUM(L277:L302)</f>
        <v>507.27500000000015</v>
      </c>
      <c r="M303" s="5"/>
      <c r="N303" s="13">
        <f>L303+550+1704</f>
        <v>2761.2750000000001</v>
      </c>
    </row>
    <row r="304" spans="1:14" ht="14.25" customHeight="1">
      <c r="C304" s="168"/>
      <c r="M304" s="5"/>
    </row>
    <row r="305" spans="1:13" ht="14.25" customHeight="1">
      <c r="C305" s="168"/>
      <c r="M305" s="5"/>
    </row>
    <row r="306" spans="1:13" ht="14.25" customHeight="1">
      <c r="A306" s="6" t="s">
        <v>11066</v>
      </c>
      <c r="B306" s="6" t="s">
        <v>10513</v>
      </c>
      <c r="C306" s="168" t="s">
        <v>11112</v>
      </c>
      <c r="D306" s="4">
        <v>44048</v>
      </c>
      <c r="E306" s="6">
        <v>9955197653</v>
      </c>
      <c r="F306" s="6" t="s">
        <v>11113</v>
      </c>
      <c r="G306" s="6">
        <v>0</v>
      </c>
      <c r="H306" s="6">
        <v>752</v>
      </c>
      <c r="I306" s="6">
        <f t="shared" ref="I306:I321" si="23">(G306+H306)*1.18</f>
        <v>887.3599999999999</v>
      </c>
      <c r="J306" s="6" t="s">
        <v>11114</v>
      </c>
      <c r="K306" s="6" t="s">
        <v>11115</v>
      </c>
      <c r="L306" s="6">
        <f t="shared" ref="L306:L311" si="24">H306*2.5/100</f>
        <v>18.8</v>
      </c>
      <c r="M306" s="5"/>
    </row>
    <row r="307" spans="1:13" ht="14.25" customHeight="1">
      <c r="A307" s="6" t="s">
        <v>11116</v>
      </c>
      <c r="B307" s="6" t="s">
        <v>10513</v>
      </c>
      <c r="C307" s="168" t="s">
        <v>11117</v>
      </c>
      <c r="D307" s="4">
        <v>44053</v>
      </c>
      <c r="E307" s="6">
        <v>8092217274</v>
      </c>
      <c r="F307" s="6" t="s">
        <v>11118</v>
      </c>
      <c r="G307" s="6">
        <v>0</v>
      </c>
      <c r="H307" s="6">
        <v>3221</v>
      </c>
      <c r="I307" s="6">
        <f t="shared" si="23"/>
        <v>3800.7799999999997</v>
      </c>
      <c r="J307" s="6" t="s">
        <v>11119</v>
      </c>
      <c r="K307" s="6" t="s">
        <v>11120</v>
      </c>
      <c r="L307" s="6">
        <f t="shared" si="24"/>
        <v>80.525000000000006</v>
      </c>
      <c r="M307" s="5"/>
    </row>
    <row r="308" spans="1:13" ht="14.25" customHeight="1">
      <c r="A308" s="6" t="s">
        <v>11066</v>
      </c>
      <c r="B308" s="6" t="s">
        <v>10513</v>
      </c>
      <c r="C308" s="168" t="s">
        <v>11121</v>
      </c>
      <c r="D308" s="4">
        <v>44053</v>
      </c>
      <c r="F308" s="6" t="s">
        <v>11122</v>
      </c>
      <c r="G308" s="6">
        <v>0</v>
      </c>
      <c r="H308" s="6">
        <v>752</v>
      </c>
      <c r="I308" s="6">
        <f t="shared" si="23"/>
        <v>887.3599999999999</v>
      </c>
      <c r="J308" s="6" t="s">
        <v>10623</v>
      </c>
      <c r="K308" s="6" t="s">
        <v>11123</v>
      </c>
      <c r="L308" s="6">
        <f t="shared" si="24"/>
        <v>18.8</v>
      </c>
      <c r="M308" s="5"/>
    </row>
    <row r="309" spans="1:13" ht="14.25" customHeight="1">
      <c r="A309" s="6" t="s">
        <v>11066</v>
      </c>
      <c r="B309" s="6" t="s">
        <v>10513</v>
      </c>
      <c r="C309" s="168" t="s">
        <v>11124</v>
      </c>
      <c r="D309" s="4">
        <v>44054</v>
      </c>
      <c r="F309" s="6" t="s">
        <v>11125</v>
      </c>
      <c r="G309" s="6">
        <v>0</v>
      </c>
      <c r="H309" s="6">
        <v>752</v>
      </c>
      <c r="I309" s="6">
        <f t="shared" si="23"/>
        <v>887.3599999999999</v>
      </c>
      <c r="J309" s="6" t="s">
        <v>10805</v>
      </c>
      <c r="K309" s="6" t="s">
        <v>11126</v>
      </c>
      <c r="L309" s="6">
        <f t="shared" si="24"/>
        <v>18.8</v>
      </c>
      <c r="M309" s="5"/>
    </row>
    <row r="310" spans="1:13" ht="14.25" customHeight="1">
      <c r="A310" s="6" t="s">
        <v>11066</v>
      </c>
      <c r="B310" s="6" t="s">
        <v>10513</v>
      </c>
      <c r="C310" s="168" t="s">
        <v>11127</v>
      </c>
      <c r="D310" s="4">
        <v>44054</v>
      </c>
      <c r="E310" s="6">
        <v>8873176711</v>
      </c>
      <c r="F310" s="6" t="s">
        <v>11128</v>
      </c>
      <c r="G310" s="6">
        <v>0</v>
      </c>
      <c r="H310" s="6">
        <v>752</v>
      </c>
      <c r="I310" s="6">
        <f t="shared" si="23"/>
        <v>887.3599999999999</v>
      </c>
      <c r="J310" s="6" t="s">
        <v>10623</v>
      </c>
      <c r="K310" s="6" t="s">
        <v>11129</v>
      </c>
      <c r="L310" s="6">
        <f t="shared" si="24"/>
        <v>18.8</v>
      </c>
      <c r="M310" s="5"/>
    </row>
    <row r="311" spans="1:13" ht="14.25" customHeight="1">
      <c r="A311" s="6" t="s">
        <v>11066</v>
      </c>
      <c r="B311" s="6" t="s">
        <v>10513</v>
      </c>
      <c r="C311" s="168" t="s">
        <v>11130</v>
      </c>
      <c r="D311" s="4">
        <v>44056</v>
      </c>
      <c r="E311" s="6">
        <v>9304392497</v>
      </c>
      <c r="F311" s="6" t="s">
        <v>11131</v>
      </c>
      <c r="G311" s="6">
        <v>0</v>
      </c>
      <c r="H311" s="6">
        <v>752</v>
      </c>
      <c r="I311" s="6">
        <f t="shared" si="23"/>
        <v>887.3599999999999</v>
      </c>
      <c r="J311" s="6" t="s">
        <v>10747</v>
      </c>
      <c r="K311" s="6" t="s">
        <v>11132</v>
      </c>
      <c r="L311" s="6">
        <f t="shared" si="24"/>
        <v>18.8</v>
      </c>
      <c r="M311" s="5"/>
    </row>
    <row r="312" spans="1:13" ht="14.25" customHeight="1">
      <c r="A312" s="6" t="s">
        <v>11066</v>
      </c>
      <c r="B312" s="6" t="s">
        <v>2</v>
      </c>
      <c r="C312" s="168" t="s">
        <v>11133</v>
      </c>
      <c r="D312" s="4">
        <v>44059</v>
      </c>
      <c r="E312" s="6">
        <v>7903327543</v>
      </c>
      <c r="F312" s="6" t="s">
        <v>11134</v>
      </c>
      <c r="G312" s="6">
        <v>162</v>
      </c>
      <c r="H312" s="6">
        <v>752</v>
      </c>
      <c r="I312" s="6">
        <f t="shared" si="23"/>
        <v>1078.52</v>
      </c>
      <c r="K312" s="6" t="s">
        <v>11135</v>
      </c>
      <c r="L312" s="6">
        <f>H312*2.5/100+G312*0.18</f>
        <v>47.96</v>
      </c>
      <c r="M312" s="5"/>
    </row>
    <row r="313" spans="1:13" ht="14.25" customHeight="1">
      <c r="A313" s="6" t="s">
        <v>11066</v>
      </c>
      <c r="B313" s="6" t="s">
        <v>2</v>
      </c>
      <c r="C313" s="168" t="s">
        <v>11136</v>
      </c>
      <c r="D313" s="4">
        <v>44060</v>
      </c>
      <c r="G313" s="6">
        <v>352</v>
      </c>
      <c r="H313" s="6">
        <v>702</v>
      </c>
      <c r="I313" s="6">
        <f t="shared" si="23"/>
        <v>1243.72</v>
      </c>
      <c r="L313" s="6">
        <f t="shared" ref="L313:L314" si="25">H313*2.5/100+G313*0.175</f>
        <v>79.149999999999991</v>
      </c>
      <c r="M313" s="5"/>
    </row>
    <row r="314" spans="1:13" ht="14.25" customHeight="1">
      <c r="A314" s="6" t="s">
        <v>11066</v>
      </c>
      <c r="B314" s="6" t="s">
        <v>10513</v>
      </c>
      <c r="C314" s="168" t="s">
        <v>11137</v>
      </c>
      <c r="D314" s="4">
        <v>44060</v>
      </c>
      <c r="E314" s="6">
        <v>9835561750</v>
      </c>
      <c r="F314" s="6" t="s">
        <v>11138</v>
      </c>
      <c r="G314" s="6">
        <v>0</v>
      </c>
      <c r="H314" s="6">
        <v>752</v>
      </c>
      <c r="I314" s="6">
        <f t="shared" si="23"/>
        <v>887.3599999999999</v>
      </c>
      <c r="J314" s="6" t="s">
        <v>11114</v>
      </c>
      <c r="K314" s="6" t="s">
        <v>11139</v>
      </c>
      <c r="L314" s="6">
        <f t="shared" si="25"/>
        <v>18.8</v>
      </c>
      <c r="M314" s="5"/>
    </row>
    <row r="315" spans="1:13" ht="14.25" customHeight="1">
      <c r="A315" s="6" t="s">
        <v>11066</v>
      </c>
      <c r="B315" s="6" t="s">
        <v>10505</v>
      </c>
      <c r="C315" s="168" t="s">
        <v>11140</v>
      </c>
      <c r="D315" s="4">
        <v>44061</v>
      </c>
      <c r="E315" s="6">
        <v>7530922721</v>
      </c>
      <c r="F315" s="6" t="s">
        <v>11141</v>
      </c>
      <c r="G315" s="6">
        <v>160</v>
      </c>
      <c r="H315" s="6">
        <v>752</v>
      </c>
      <c r="I315" s="6">
        <f t="shared" si="23"/>
        <v>1076.1599999999999</v>
      </c>
      <c r="J315" s="6" t="s">
        <v>11142</v>
      </c>
      <c r="K315" s="6" t="s">
        <v>11143</v>
      </c>
      <c r="M315" s="5"/>
    </row>
    <row r="316" spans="1:13" ht="14.25" customHeight="1">
      <c r="A316" s="6" t="s">
        <v>11066</v>
      </c>
      <c r="B316" s="6" t="s">
        <v>10513</v>
      </c>
      <c r="C316" s="168" t="s">
        <v>11144</v>
      </c>
      <c r="D316" s="4">
        <v>44061</v>
      </c>
      <c r="E316" s="6">
        <v>9334349588</v>
      </c>
      <c r="F316" s="6" t="s">
        <v>11145</v>
      </c>
      <c r="G316" s="6">
        <v>0</v>
      </c>
      <c r="H316" s="6">
        <v>752</v>
      </c>
      <c r="I316" s="6">
        <f t="shared" si="23"/>
        <v>887.3599999999999</v>
      </c>
      <c r="J316" s="6" t="s">
        <v>10805</v>
      </c>
      <c r="K316" s="6" t="s">
        <v>11146</v>
      </c>
      <c r="M316" s="5"/>
    </row>
    <row r="317" spans="1:13" ht="14.25" customHeight="1">
      <c r="C317" s="168"/>
      <c r="D317" s="4"/>
      <c r="I317" s="6">
        <f t="shared" si="23"/>
        <v>0</v>
      </c>
      <c r="M317" s="5"/>
    </row>
    <row r="318" spans="1:13" ht="14.25" customHeight="1">
      <c r="C318" s="168"/>
      <c r="G318" s="6">
        <v>0</v>
      </c>
      <c r="I318" s="6">
        <f t="shared" si="23"/>
        <v>0</v>
      </c>
      <c r="L318" s="6">
        <f>H318*2.5/100</f>
        <v>0</v>
      </c>
      <c r="M318" s="5"/>
    </row>
    <row r="319" spans="1:13" ht="14.25" customHeight="1">
      <c r="A319" s="6" t="s">
        <v>10971</v>
      </c>
      <c r="B319" s="6" t="s">
        <v>10936</v>
      </c>
      <c r="C319" s="168" t="s">
        <v>11147</v>
      </c>
      <c r="D319" s="4">
        <v>44070</v>
      </c>
      <c r="E319" s="6">
        <v>8797080913</v>
      </c>
      <c r="F319" s="6" t="s">
        <v>11148</v>
      </c>
      <c r="G319" s="6">
        <v>0</v>
      </c>
      <c r="H319" s="6">
        <v>752</v>
      </c>
      <c r="I319" s="6">
        <f t="shared" si="23"/>
        <v>887.3599999999999</v>
      </c>
      <c r="J319" s="6" t="s">
        <v>10881</v>
      </c>
      <c r="K319" s="6" t="s">
        <v>11149</v>
      </c>
      <c r="M319" s="5"/>
    </row>
    <row r="320" spans="1:13" ht="14.25" customHeight="1">
      <c r="C320" s="168"/>
      <c r="I320" s="6">
        <f t="shared" si="23"/>
        <v>0</v>
      </c>
      <c r="M320" s="5"/>
    </row>
    <row r="321" spans="1:13" ht="14.25" customHeight="1">
      <c r="A321" s="6" t="s">
        <v>11066</v>
      </c>
      <c r="B321" s="6" t="s">
        <v>10513</v>
      </c>
      <c r="C321" s="168" t="s">
        <v>11150</v>
      </c>
      <c r="D321" s="4">
        <v>44074</v>
      </c>
      <c r="E321" s="6">
        <v>8092265338</v>
      </c>
      <c r="F321" s="6" t="s">
        <v>9324</v>
      </c>
      <c r="G321" s="6">
        <v>0</v>
      </c>
      <c r="H321" s="6">
        <v>752</v>
      </c>
      <c r="I321" s="6">
        <f t="shared" si="23"/>
        <v>887.3599999999999</v>
      </c>
      <c r="J321" s="6" t="s">
        <v>10881</v>
      </c>
      <c r="K321" s="6" t="s">
        <v>11151</v>
      </c>
      <c r="M321" s="5"/>
    </row>
    <row r="322" spans="1:13" ht="14.25" customHeight="1">
      <c r="C322" s="168"/>
      <c r="M322" s="5"/>
    </row>
    <row r="323" spans="1:13" ht="14.25" customHeight="1">
      <c r="C323" s="168"/>
      <c r="M323" s="5"/>
    </row>
    <row r="324" spans="1:13" ht="14.25" customHeight="1">
      <c r="A324" s="302">
        <f>COUNTIF($A305:$A323,"Bajaj2")</f>
        <v>12</v>
      </c>
      <c r="B324" s="302">
        <f>COUNTIF($A305:$A323,"Bajaj4")</f>
        <v>1</v>
      </c>
      <c r="C324" s="302"/>
      <c r="D324" s="302"/>
      <c r="E324" s="302"/>
      <c r="F324" s="302">
        <f>SUMIF(A306:A323,"Bajaj4",H306:H323)</f>
        <v>3221</v>
      </c>
      <c r="G324" s="302">
        <f>SUMIF(A306:A323,"Bajaj2",G306:G323)</f>
        <v>674</v>
      </c>
      <c r="H324" s="302">
        <f t="shared" ref="H324:I324" si="26">SUMIF($A306:$A323,"Bajaj2",H306:H323)</f>
        <v>8974</v>
      </c>
      <c r="I324" s="302">
        <f t="shared" si="26"/>
        <v>11384.640000000001</v>
      </c>
      <c r="J324" s="302">
        <f>(SUM(G324:H324)*IF(A324&lt;3,0.025,IF(A324&lt;6,0.075,IF(A324&lt;11,0.1,IF(A324&lt;51,0.15,0.2))))+F324*IF(B324&lt;2,0.025,IF(B324&lt;3,0.05,0.1)))+G324*0.18</f>
        <v>1649.0450000000001</v>
      </c>
      <c r="K324" s="302">
        <f>J324*0.95-L324</f>
        <v>1246.1577499999999</v>
      </c>
      <c r="L324" s="303">
        <f>SUM(L306:L323)</f>
        <v>320.43500000000006</v>
      </c>
      <c r="M324" s="5"/>
    </row>
    <row r="325" spans="1:13" ht="14.25" customHeight="1">
      <c r="C325" s="168"/>
      <c r="F325" s="6">
        <f>+IF(B324&lt;=2,F324*0.05,F324*0.1)</f>
        <v>161.05000000000001</v>
      </c>
      <c r="M325" s="5"/>
    </row>
    <row r="326" spans="1:13" ht="14.25" customHeight="1">
      <c r="C326" s="168"/>
      <c r="M326" s="5"/>
    </row>
    <row r="327" spans="1:13" ht="14.25" customHeight="1">
      <c r="C327" s="168"/>
      <c r="I327" s="6">
        <f t="shared" ref="I327:I350" si="27">(G327+H327)*1.18</f>
        <v>0</v>
      </c>
      <c r="J327" s="13"/>
      <c r="M327" s="5"/>
    </row>
    <row r="328" spans="1:13" ht="14.25" customHeight="1">
      <c r="C328" s="168"/>
      <c r="I328" s="6">
        <f t="shared" si="27"/>
        <v>0</v>
      </c>
      <c r="M328" s="5"/>
    </row>
    <row r="329" spans="1:13" ht="14.25" customHeight="1">
      <c r="A329" s="6" t="s">
        <v>10971</v>
      </c>
      <c r="B329" s="6" t="s">
        <v>10513</v>
      </c>
      <c r="C329" s="168" t="s">
        <v>11152</v>
      </c>
      <c r="D329" s="4">
        <v>44078</v>
      </c>
      <c r="E329" s="6">
        <v>9471540879</v>
      </c>
      <c r="F329" s="6" t="s">
        <v>10520</v>
      </c>
      <c r="G329" s="6">
        <v>0</v>
      </c>
      <c r="H329" s="6">
        <v>752</v>
      </c>
      <c r="I329" s="6">
        <f t="shared" si="27"/>
        <v>887.3599999999999</v>
      </c>
      <c r="J329" s="6" t="s">
        <v>10727</v>
      </c>
      <c r="K329" s="6" t="s">
        <v>11153</v>
      </c>
      <c r="M329" s="5"/>
    </row>
    <row r="330" spans="1:13" ht="14.25" customHeight="1">
      <c r="A330" s="6" t="s">
        <v>10971</v>
      </c>
      <c r="B330" s="6" t="s">
        <v>10513</v>
      </c>
      <c r="C330" s="168" t="s">
        <v>11154</v>
      </c>
      <c r="D330" s="4">
        <v>44078</v>
      </c>
      <c r="E330" s="6">
        <v>7209393027</v>
      </c>
      <c r="F330" s="6" t="s">
        <v>11155</v>
      </c>
      <c r="G330" s="6">
        <v>0</v>
      </c>
      <c r="H330" s="6">
        <v>752</v>
      </c>
      <c r="I330" s="6">
        <f t="shared" si="27"/>
        <v>887.3599999999999</v>
      </c>
      <c r="J330" s="6" t="s">
        <v>11156</v>
      </c>
      <c r="K330" s="6" t="s">
        <v>11157</v>
      </c>
      <c r="M330" s="5"/>
    </row>
    <row r="331" spans="1:13" ht="14.25" customHeight="1">
      <c r="A331" s="6" t="s">
        <v>10971</v>
      </c>
      <c r="B331" s="6" t="s">
        <v>10513</v>
      </c>
      <c r="C331" s="168" t="s">
        <v>11158</v>
      </c>
      <c r="D331" s="4">
        <v>44079</v>
      </c>
      <c r="E331" s="6">
        <v>9204936533</v>
      </c>
      <c r="F331" s="6" t="s">
        <v>11159</v>
      </c>
      <c r="G331" s="6">
        <v>0</v>
      </c>
      <c r="H331" s="6">
        <v>482</v>
      </c>
      <c r="I331" s="6">
        <f t="shared" si="27"/>
        <v>568.76</v>
      </c>
      <c r="J331" s="6" t="s">
        <v>11160</v>
      </c>
      <c r="K331" s="6" t="s">
        <v>11161</v>
      </c>
      <c r="M331" s="5"/>
    </row>
    <row r="332" spans="1:13" ht="14.25" customHeight="1">
      <c r="A332" s="6" t="s">
        <v>10971</v>
      </c>
      <c r="B332" s="6" t="s">
        <v>10513</v>
      </c>
      <c r="C332" s="168" t="s">
        <v>11162</v>
      </c>
      <c r="D332" s="4">
        <v>44079</v>
      </c>
      <c r="E332" s="6">
        <v>9771283032</v>
      </c>
      <c r="F332" s="6" t="s">
        <v>11163</v>
      </c>
      <c r="G332" s="6">
        <v>0</v>
      </c>
      <c r="H332" s="6">
        <v>752</v>
      </c>
      <c r="I332" s="6">
        <f t="shared" si="27"/>
        <v>887.3599999999999</v>
      </c>
      <c r="J332" s="6" t="s">
        <v>10702</v>
      </c>
      <c r="K332" s="6" t="s">
        <v>11164</v>
      </c>
      <c r="M332" s="5"/>
    </row>
    <row r="333" spans="1:13" ht="14.25" customHeight="1">
      <c r="A333" s="6" t="s">
        <v>10971</v>
      </c>
      <c r="B333" s="6" t="s">
        <v>10505</v>
      </c>
      <c r="C333" s="168" t="s">
        <v>11165</v>
      </c>
      <c r="D333" s="4">
        <v>44079</v>
      </c>
      <c r="E333" s="6">
        <v>9771283032</v>
      </c>
      <c r="F333" s="6" t="s">
        <v>11163</v>
      </c>
      <c r="G333" s="6">
        <v>79</v>
      </c>
      <c r="H333" s="6">
        <v>1083</v>
      </c>
      <c r="I333" s="6">
        <f t="shared" si="27"/>
        <v>1371.1599999999999</v>
      </c>
      <c r="J333" s="6" t="s">
        <v>10553</v>
      </c>
      <c r="K333" s="6" t="s">
        <v>11166</v>
      </c>
      <c r="M333" s="5"/>
    </row>
    <row r="334" spans="1:13" ht="14.25" customHeight="1">
      <c r="A334" s="6" t="s">
        <v>10971</v>
      </c>
      <c r="B334" s="6" t="s">
        <v>10513</v>
      </c>
      <c r="C334" s="168" t="s">
        <v>11167</v>
      </c>
      <c r="D334" s="4">
        <v>44080</v>
      </c>
      <c r="E334" s="6">
        <v>9031904806</v>
      </c>
      <c r="F334" s="6" t="s">
        <v>7019</v>
      </c>
      <c r="G334" s="6">
        <v>0</v>
      </c>
      <c r="H334" s="6">
        <v>752</v>
      </c>
      <c r="I334" s="6">
        <f t="shared" si="27"/>
        <v>887.3599999999999</v>
      </c>
      <c r="J334" s="6" t="s">
        <v>10691</v>
      </c>
      <c r="K334" s="6" t="s">
        <v>10692</v>
      </c>
      <c r="M334" s="5"/>
    </row>
    <row r="335" spans="1:13" ht="14.25" customHeight="1">
      <c r="A335" s="6" t="s">
        <v>10971</v>
      </c>
      <c r="B335" s="6" t="s">
        <v>10513</v>
      </c>
      <c r="C335" s="168" t="s">
        <v>11168</v>
      </c>
      <c r="D335" s="4">
        <v>44081</v>
      </c>
      <c r="E335" s="6">
        <v>9031393446</v>
      </c>
      <c r="F335" s="6" t="s">
        <v>11169</v>
      </c>
      <c r="G335" s="6">
        <v>0</v>
      </c>
      <c r="H335" s="6">
        <v>752</v>
      </c>
      <c r="I335" s="6">
        <f t="shared" si="27"/>
        <v>887.3599999999999</v>
      </c>
      <c r="J335" s="6" t="s">
        <v>10553</v>
      </c>
      <c r="K335" s="6" t="s">
        <v>11170</v>
      </c>
      <c r="M335" s="5"/>
    </row>
    <row r="336" spans="1:13" ht="14.25" customHeight="1">
      <c r="A336" s="6" t="s">
        <v>10971</v>
      </c>
      <c r="B336" s="6" t="s">
        <v>10513</v>
      </c>
      <c r="C336" s="168" t="s">
        <v>11171</v>
      </c>
      <c r="D336" s="4">
        <v>44081</v>
      </c>
      <c r="E336" s="6">
        <v>9931195820</v>
      </c>
      <c r="F336" s="6" t="s">
        <v>10741</v>
      </c>
      <c r="G336" s="6">
        <v>0</v>
      </c>
      <c r="H336" s="6">
        <v>752</v>
      </c>
      <c r="I336" s="6">
        <f t="shared" si="27"/>
        <v>887.3599999999999</v>
      </c>
      <c r="J336" s="6" t="s">
        <v>10881</v>
      </c>
      <c r="K336" s="6" t="s">
        <v>10742</v>
      </c>
      <c r="M336" s="5"/>
    </row>
    <row r="337" spans="1:13" ht="14.25" customHeight="1">
      <c r="A337" s="6" t="s">
        <v>10971</v>
      </c>
      <c r="B337" s="6" t="s">
        <v>10513</v>
      </c>
      <c r="C337" s="168" t="s">
        <v>11172</v>
      </c>
      <c r="D337" s="4">
        <v>44083</v>
      </c>
      <c r="E337" s="6">
        <v>9204702564</v>
      </c>
      <c r="F337" s="6" t="s">
        <v>11173</v>
      </c>
      <c r="G337" s="6">
        <v>0</v>
      </c>
      <c r="H337" s="6">
        <v>752</v>
      </c>
      <c r="I337" s="6">
        <f t="shared" si="27"/>
        <v>887.3599999999999</v>
      </c>
      <c r="J337" s="6" t="s">
        <v>11174</v>
      </c>
      <c r="K337" s="6" t="s">
        <v>11175</v>
      </c>
      <c r="M337" s="5"/>
    </row>
    <row r="338" spans="1:13" ht="14.25" customHeight="1">
      <c r="A338" s="6" t="s">
        <v>10971</v>
      </c>
      <c r="B338" s="6" t="s">
        <v>10513</v>
      </c>
      <c r="C338" s="168"/>
      <c r="D338" s="4">
        <v>44085</v>
      </c>
      <c r="G338" s="6">
        <v>0</v>
      </c>
      <c r="H338" s="6">
        <v>752</v>
      </c>
      <c r="I338" s="6">
        <f t="shared" si="27"/>
        <v>887.3599999999999</v>
      </c>
      <c r="M338" s="5"/>
    </row>
    <row r="339" spans="1:13" ht="14.25" customHeight="1">
      <c r="A339" s="6" t="s">
        <v>10971</v>
      </c>
      <c r="B339" s="6" t="s">
        <v>10513</v>
      </c>
      <c r="C339" s="168"/>
      <c r="D339" s="4">
        <v>44085</v>
      </c>
      <c r="E339" s="6">
        <v>9031736935</v>
      </c>
      <c r="F339" s="6" t="s">
        <v>11176</v>
      </c>
      <c r="G339" s="6">
        <v>0</v>
      </c>
      <c r="H339" s="6">
        <v>752</v>
      </c>
      <c r="I339" s="6">
        <f t="shared" si="27"/>
        <v>887.3599999999999</v>
      </c>
      <c r="J339" s="6" t="s">
        <v>10702</v>
      </c>
      <c r="K339" s="6" t="s">
        <v>11177</v>
      </c>
      <c r="M339" s="5"/>
    </row>
    <row r="340" spans="1:13" ht="14.25" customHeight="1">
      <c r="A340" s="6" t="s">
        <v>10971</v>
      </c>
      <c r="B340" s="6" t="s">
        <v>10513</v>
      </c>
      <c r="C340" s="168" t="s">
        <v>11178</v>
      </c>
      <c r="D340" s="4">
        <v>44088</v>
      </c>
      <c r="E340" s="6">
        <v>9031989594</v>
      </c>
      <c r="F340" s="6" t="s">
        <v>11179</v>
      </c>
      <c r="G340" s="6">
        <v>0</v>
      </c>
      <c r="H340" s="6" t="s">
        <v>11180</v>
      </c>
      <c r="I340" s="6" t="e">
        <f t="shared" si="27"/>
        <v>#VALUE!</v>
      </c>
      <c r="J340" s="6" t="s">
        <v>10881</v>
      </c>
      <c r="K340" s="6" t="s">
        <v>11181</v>
      </c>
      <c r="M340" s="5"/>
    </row>
    <row r="341" spans="1:13" ht="14.25" customHeight="1">
      <c r="A341" s="6" t="s">
        <v>10971</v>
      </c>
      <c r="B341" s="6" t="s">
        <v>10513</v>
      </c>
      <c r="C341" s="168" t="s">
        <v>11182</v>
      </c>
      <c r="D341" s="4">
        <v>44088</v>
      </c>
      <c r="E341" s="6">
        <v>9599552690</v>
      </c>
      <c r="F341" s="6" t="s">
        <v>11183</v>
      </c>
      <c r="G341" s="6">
        <v>0</v>
      </c>
      <c r="H341" s="6">
        <v>752</v>
      </c>
      <c r="I341" s="6">
        <f t="shared" si="27"/>
        <v>887.3599999999999</v>
      </c>
      <c r="J341" s="6" t="s">
        <v>11184</v>
      </c>
      <c r="K341" s="6" t="s">
        <v>11185</v>
      </c>
      <c r="M341" s="5"/>
    </row>
    <row r="342" spans="1:13" ht="14.25" customHeight="1">
      <c r="A342" s="6" t="s">
        <v>10971</v>
      </c>
      <c r="B342" s="6" t="s">
        <v>10513</v>
      </c>
      <c r="C342" s="168" t="s">
        <v>11186</v>
      </c>
      <c r="D342" s="4">
        <v>44090</v>
      </c>
      <c r="E342" s="6">
        <v>9771187617</v>
      </c>
      <c r="F342" s="6" t="s">
        <v>11187</v>
      </c>
      <c r="G342" s="6">
        <v>0</v>
      </c>
      <c r="H342" s="6">
        <v>752</v>
      </c>
      <c r="I342" s="6">
        <f t="shared" si="27"/>
        <v>887.3599999999999</v>
      </c>
      <c r="J342" s="6" t="s">
        <v>11188</v>
      </c>
      <c r="K342" s="6" t="s">
        <v>11189</v>
      </c>
      <c r="M342" s="5"/>
    </row>
    <row r="343" spans="1:13" ht="14.25" customHeight="1">
      <c r="A343" s="6" t="s">
        <v>10971</v>
      </c>
      <c r="B343" s="6" t="s">
        <v>10513</v>
      </c>
      <c r="C343" s="168" t="s">
        <v>11190</v>
      </c>
      <c r="D343" s="4">
        <v>44090</v>
      </c>
      <c r="E343" s="6">
        <v>9334290127</v>
      </c>
      <c r="F343" s="6" t="s">
        <v>11191</v>
      </c>
      <c r="G343" s="6">
        <v>0</v>
      </c>
      <c r="H343" s="6">
        <v>752</v>
      </c>
      <c r="I343" s="6">
        <f t="shared" si="27"/>
        <v>887.3599999999999</v>
      </c>
      <c r="J343" s="6" t="s">
        <v>10881</v>
      </c>
      <c r="K343" s="6" t="s">
        <v>11192</v>
      </c>
      <c r="M343" s="5"/>
    </row>
    <row r="344" spans="1:13" ht="14.25" customHeight="1">
      <c r="A344" s="6" t="s">
        <v>11020</v>
      </c>
      <c r="B344" s="6" t="s">
        <v>10513</v>
      </c>
      <c r="C344" s="168" t="s">
        <v>11193</v>
      </c>
      <c r="D344" s="4">
        <v>44092</v>
      </c>
      <c r="E344" s="6">
        <v>9204522458</v>
      </c>
      <c r="F344" s="6" t="s">
        <v>11194</v>
      </c>
      <c r="G344" s="6">
        <v>0</v>
      </c>
      <c r="H344" s="6">
        <v>2072</v>
      </c>
      <c r="I344" s="6">
        <f t="shared" si="27"/>
        <v>2444.96</v>
      </c>
      <c r="J344" s="6" t="s">
        <v>10659</v>
      </c>
      <c r="K344" s="6" t="s">
        <v>11195</v>
      </c>
      <c r="M344" s="5"/>
    </row>
    <row r="345" spans="1:13" ht="14.25" customHeight="1">
      <c r="A345" s="6" t="s">
        <v>10971</v>
      </c>
      <c r="B345" s="6" t="s">
        <v>10513</v>
      </c>
      <c r="C345" s="168" t="s">
        <v>11196</v>
      </c>
      <c r="D345" s="4">
        <v>44094</v>
      </c>
      <c r="E345" s="6">
        <v>9031183795</v>
      </c>
      <c r="F345" s="6" t="s">
        <v>11197</v>
      </c>
      <c r="G345" s="6">
        <v>0</v>
      </c>
      <c r="H345" s="6">
        <v>752</v>
      </c>
      <c r="I345" s="6">
        <f t="shared" si="27"/>
        <v>887.3599999999999</v>
      </c>
      <c r="J345" s="6" t="s">
        <v>11198</v>
      </c>
      <c r="K345" s="6" t="s">
        <v>11199</v>
      </c>
      <c r="L345" s="5">
        <v>105</v>
      </c>
      <c r="M345" s="5"/>
    </row>
    <row r="346" spans="1:13" ht="14.25" customHeight="1">
      <c r="A346" s="6" t="s">
        <v>11020</v>
      </c>
      <c r="B346" s="6" t="s">
        <v>10513</v>
      </c>
      <c r="C346" s="168" t="s">
        <v>11200</v>
      </c>
      <c r="D346" s="4">
        <v>44094</v>
      </c>
      <c r="E346" s="6">
        <v>9430137544</v>
      </c>
      <c r="F346" s="305" t="s">
        <v>11201</v>
      </c>
      <c r="G346" s="6">
        <v>0</v>
      </c>
      <c r="H346" s="6">
        <v>2072</v>
      </c>
      <c r="I346" s="6">
        <f t="shared" si="27"/>
        <v>2444.96</v>
      </c>
      <c r="J346" s="6" t="s">
        <v>11202</v>
      </c>
      <c r="K346" s="6" t="s">
        <v>11203</v>
      </c>
      <c r="L346" s="5"/>
      <c r="M346" s="5"/>
    </row>
    <row r="347" spans="1:13" ht="14.25" customHeight="1">
      <c r="A347" s="6" t="s">
        <v>10971</v>
      </c>
      <c r="B347" s="6" t="s">
        <v>10513</v>
      </c>
      <c r="C347" s="168" t="s">
        <v>11204</v>
      </c>
      <c r="D347" s="4">
        <v>44094</v>
      </c>
      <c r="E347" s="6">
        <v>9430137544</v>
      </c>
      <c r="F347" s="6" t="s">
        <v>11205</v>
      </c>
      <c r="G347" s="6">
        <v>0</v>
      </c>
      <c r="H347" s="6">
        <v>752</v>
      </c>
      <c r="I347" s="6">
        <f t="shared" si="27"/>
        <v>887.3599999999999</v>
      </c>
      <c r="K347" s="6" t="s">
        <v>11206</v>
      </c>
      <c r="L347" s="5"/>
      <c r="M347" s="5"/>
    </row>
    <row r="348" spans="1:13" ht="14.25" customHeight="1">
      <c r="A348" s="6" t="s">
        <v>10971</v>
      </c>
      <c r="B348" s="6" t="s">
        <v>10513</v>
      </c>
      <c r="C348" s="168" t="s">
        <v>11207</v>
      </c>
      <c r="D348" s="4">
        <v>44094</v>
      </c>
      <c r="E348" s="6">
        <v>9122021104</v>
      </c>
      <c r="F348" s="6" t="s">
        <v>7153</v>
      </c>
      <c r="G348" s="6">
        <v>0</v>
      </c>
      <c r="H348" s="6">
        <v>752</v>
      </c>
      <c r="I348" s="6">
        <f t="shared" si="27"/>
        <v>887.3599999999999</v>
      </c>
      <c r="J348" s="6" t="s">
        <v>11160</v>
      </c>
      <c r="K348" s="6" t="s">
        <v>11208</v>
      </c>
      <c r="L348" s="5"/>
      <c r="M348" s="5"/>
    </row>
    <row r="349" spans="1:13" ht="14.25" customHeight="1">
      <c r="A349" s="6" t="s">
        <v>11020</v>
      </c>
      <c r="B349" s="6" t="s">
        <v>10513</v>
      </c>
      <c r="C349" s="168" t="s">
        <v>11209</v>
      </c>
      <c r="D349" s="4">
        <v>44095</v>
      </c>
      <c r="F349" s="6" t="s">
        <v>10676</v>
      </c>
      <c r="G349" s="6">
        <v>0</v>
      </c>
      <c r="H349" s="6">
        <v>2072</v>
      </c>
      <c r="I349" s="6">
        <f t="shared" si="27"/>
        <v>2444.96</v>
      </c>
      <c r="J349" s="6" t="s">
        <v>11210</v>
      </c>
      <c r="K349" s="306" t="s">
        <v>11211</v>
      </c>
      <c r="M349" s="5"/>
    </row>
    <row r="350" spans="1:13" ht="14.25" customHeight="1">
      <c r="A350" s="6" t="s">
        <v>10971</v>
      </c>
      <c r="B350" s="6" t="s">
        <v>10513</v>
      </c>
      <c r="C350" s="168" t="s">
        <v>11212</v>
      </c>
      <c r="D350" s="4">
        <v>44095</v>
      </c>
      <c r="E350" s="6">
        <v>9234467615</v>
      </c>
      <c r="F350" s="6" t="s">
        <v>11213</v>
      </c>
      <c r="G350" s="6">
        <v>0</v>
      </c>
      <c r="H350" s="6">
        <v>752</v>
      </c>
      <c r="I350" s="6">
        <f t="shared" si="27"/>
        <v>887.3599999999999</v>
      </c>
      <c r="K350" s="306" t="s">
        <v>11214</v>
      </c>
      <c r="M350" s="5"/>
    </row>
    <row r="351" spans="1:13" ht="14.25" customHeight="1">
      <c r="C351" s="168"/>
      <c r="D351" s="4"/>
      <c r="K351" s="306"/>
      <c r="M351" s="5"/>
    </row>
    <row r="352" spans="1:13" ht="14.25" customHeight="1">
      <c r="C352" s="168"/>
      <c r="D352" s="4"/>
      <c r="K352" s="306"/>
      <c r="M352" s="5"/>
    </row>
    <row r="353" spans="1:13" ht="14.25" customHeight="1">
      <c r="C353" s="168"/>
      <c r="D353" s="4"/>
      <c r="K353" s="306"/>
      <c r="M353" s="5"/>
    </row>
    <row r="354" spans="1:13" ht="14.25" customHeight="1">
      <c r="C354" s="168"/>
      <c r="D354" s="4"/>
      <c r="M354" s="5"/>
    </row>
    <row r="355" spans="1:13" ht="14.25" customHeight="1">
      <c r="C355" s="168"/>
      <c r="M355" s="5"/>
    </row>
    <row r="356" spans="1:13" ht="14.25" customHeight="1">
      <c r="A356" s="302">
        <f>COUNTIF($A325:$A355,"Bajaj2")</f>
        <v>19</v>
      </c>
      <c r="B356" s="302">
        <f>COUNTIF($A325:$A355,"Bajaj4")</f>
        <v>3</v>
      </c>
      <c r="C356" s="302"/>
      <c r="D356" s="302"/>
      <c r="E356" s="302"/>
      <c r="F356" s="302">
        <f>SUMIF(A326:A355,"Bajaj4",H326:H355)</f>
        <v>6216</v>
      </c>
      <c r="G356" s="302">
        <f>SUMIF(A326:A355,"Bajaj2",G326:G355)</f>
        <v>79</v>
      </c>
      <c r="H356" s="302">
        <f>SUMIF($A326:$A355,"Bajaj2",H326:H355)</f>
        <v>13597</v>
      </c>
      <c r="I356" s="302">
        <f>G356+H356</f>
        <v>13676</v>
      </c>
      <c r="J356" s="302">
        <f>I356*IF(A356&lt;3,0.025,IF(A356&lt;6,0.075,IF(A356&lt;11,0.1,IF(A356&lt;51,0.15,0.2))))+F356*IF(B356&lt;3,0.05,0.1)</f>
        <v>2673</v>
      </c>
      <c r="K356" s="302">
        <f>J356*0.95</f>
        <v>2539.35</v>
      </c>
      <c r="L356" s="6">
        <f>SUM(L326:L355)</f>
        <v>105</v>
      </c>
      <c r="M356" s="5"/>
    </row>
    <row r="357" spans="1:13" ht="14.25" customHeight="1">
      <c r="C357" s="168"/>
      <c r="M357" s="5"/>
    </row>
    <row r="358" spans="1:13" ht="14.25" customHeight="1">
      <c r="A358" s="6" t="s">
        <v>10971</v>
      </c>
      <c r="B358" s="6" t="s">
        <v>10513</v>
      </c>
      <c r="C358" s="168" t="s">
        <v>11215</v>
      </c>
      <c r="D358" s="4">
        <v>44105</v>
      </c>
      <c r="E358" s="6">
        <v>7541098675</v>
      </c>
      <c r="F358" s="6" t="s">
        <v>11216</v>
      </c>
      <c r="G358" s="6">
        <v>0</v>
      </c>
      <c r="H358" s="6">
        <v>752</v>
      </c>
      <c r="I358" s="6">
        <f t="shared" ref="I358:I394" si="28">(G358+H358)*1.18</f>
        <v>887.3599999999999</v>
      </c>
      <c r="J358" s="6" t="s">
        <v>10691</v>
      </c>
      <c r="K358" s="6" t="s">
        <v>11217</v>
      </c>
      <c r="L358" s="6">
        <v>0</v>
      </c>
      <c r="M358" s="5"/>
    </row>
    <row r="359" spans="1:13" ht="14.25" customHeight="1">
      <c r="A359" s="6" t="s">
        <v>10971</v>
      </c>
      <c r="B359" s="6" t="s">
        <v>10513</v>
      </c>
      <c r="C359" s="168" t="s">
        <v>11218</v>
      </c>
      <c r="D359" s="4">
        <v>44105</v>
      </c>
      <c r="E359" s="6">
        <v>8709357819</v>
      </c>
      <c r="F359" s="6" t="s">
        <v>11219</v>
      </c>
      <c r="G359" s="6">
        <v>0</v>
      </c>
      <c r="H359" s="6">
        <v>752</v>
      </c>
      <c r="I359" s="6">
        <f t="shared" si="28"/>
        <v>887.3599999999999</v>
      </c>
      <c r="J359" s="6" t="s">
        <v>11220</v>
      </c>
      <c r="K359" s="6" t="s">
        <v>11221</v>
      </c>
      <c r="L359" s="6">
        <v>37</v>
      </c>
      <c r="M359" s="5"/>
    </row>
    <row r="360" spans="1:13" ht="14.25" customHeight="1">
      <c r="A360" s="6" t="s">
        <v>10971</v>
      </c>
      <c r="B360" s="6" t="s">
        <v>10513</v>
      </c>
      <c r="C360" s="168" t="s">
        <v>11222</v>
      </c>
      <c r="D360" s="4">
        <v>44106</v>
      </c>
      <c r="E360" s="6">
        <v>8603237181</v>
      </c>
      <c r="F360" s="6" t="s">
        <v>11223</v>
      </c>
      <c r="G360" s="6">
        <v>0</v>
      </c>
      <c r="H360" s="6">
        <v>752</v>
      </c>
      <c r="I360" s="6">
        <f t="shared" si="28"/>
        <v>887.3599999999999</v>
      </c>
      <c r="J360" s="6" t="s">
        <v>10529</v>
      </c>
      <c r="K360" s="6" t="s">
        <v>11224</v>
      </c>
      <c r="L360" s="6">
        <v>18</v>
      </c>
      <c r="M360" s="5"/>
    </row>
    <row r="361" spans="1:13" ht="14.25" customHeight="1">
      <c r="A361" s="6">
        <v>4</v>
      </c>
      <c r="B361" s="6" t="s">
        <v>11225</v>
      </c>
      <c r="C361" s="168" t="s">
        <v>11226</v>
      </c>
      <c r="D361" s="4">
        <v>44106</v>
      </c>
      <c r="E361" s="6">
        <v>9031958801</v>
      </c>
      <c r="F361" s="6" t="s">
        <v>11227</v>
      </c>
      <c r="G361" s="6">
        <v>5617</v>
      </c>
      <c r="H361" s="6">
        <v>0</v>
      </c>
      <c r="I361" s="6">
        <f t="shared" si="28"/>
        <v>6628.0599999999995</v>
      </c>
      <c r="J361" s="6" t="s">
        <v>11228</v>
      </c>
      <c r="K361" s="6" t="s">
        <v>11229</v>
      </c>
      <c r="L361" s="6">
        <v>840</v>
      </c>
      <c r="M361" s="5"/>
    </row>
    <row r="362" spans="1:13" ht="14.25" customHeight="1">
      <c r="A362" s="6" t="s">
        <v>11020</v>
      </c>
      <c r="B362" s="6" t="s">
        <v>10936</v>
      </c>
      <c r="C362" s="168" t="s">
        <v>11230</v>
      </c>
      <c r="D362" s="4">
        <v>44115</v>
      </c>
      <c r="F362" s="6" t="s">
        <v>11231</v>
      </c>
      <c r="G362" s="6">
        <v>0</v>
      </c>
      <c r="H362" s="6">
        <v>3221</v>
      </c>
      <c r="I362" s="6">
        <f t="shared" si="28"/>
        <v>3800.7799999999997</v>
      </c>
      <c r="J362" s="6" t="s">
        <v>11232</v>
      </c>
      <c r="K362" s="6" t="s">
        <v>11233</v>
      </c>
      <c r="L362" s="6">
        <v>0</v>
      </c>
      <c r="M362" s="5"/>
    </row>
    <row r="363" spans="1:13" ht="14.25" customHeight="1">
      <c r="A363" s="6" t="s">
        <v>10971</v>
      </c>
      <c r="B363" s="6" t="s">
        <v>10936</v>
      </c>
      <c r="C363" s="168" t="s">
        <v>11234</v>
      </c>
      <c r="D363" s="4">
        <v>44111</v>
      </c>
      <c r="E363" s="6">
        <v>8092515320</v>
      </c>
      <c r="F363" s="6" t="s">
        <v>11235</v>
      </c>
      <c r="G363" s="6">
        <v>0</v>
      </c>
      <c r="H363" s="6">
        <v>752</v>
      </c>
      <c r="I363" s="6">
        <f t="shared" si="28"/>
        <v>887.3599999999999</v>
      </c>
      <c r="J363" s="6" t="s">
        <v>10691</v>
      </c>
      <c r="K363" s="6" t="s">
        <v>11236</v>
      </c>
      <c r="L363" s="6">
        <v>18</v>
      </c>
      <c r="M363" s="5"/>
    </row>
    <row r="364" spans="1:13" ht="14.25" customHeight="1">
      <c r="A364" s="6" t="s">
        <v>10971</v>
      </c>
      <c r="B364" s="6" t="s">
        <v>10936</v>
      </c>
      <c r="C364" s="168" t="s">
        <v>11237</v>
      </c>
      <c r="D364" s="4">
        <v>44115</v>
      </c>
      <c r="E364" s="6">
        <v>7209637288</v>
      </c>
      <c r="F364" s="6" t="s">
        <v>11238</v>
      </c>
      <c r="G364" s="6">
        <v>0</v>
      </c>
      <c r="H364" s="6">
        <v>752</v>
      </c>
      <c r="I364" s="6">
        <f t="shared" si="28"/>
        <v>887.3599999999999</v>
      </c>
      <c r="J364" s="6" t="s">
        <v>10529</v>
      </c>
      <c r="K364" s="6" t="s">
        <v>11239</v>
      </c>
      <c r="L364" s="6">
        <v>104</v>
      </c>
      <c r="M364" s="5"/>
    </row>
    <row r="365" spans="1:13" ht="14.25" customHeight="1">
      <c r="A365" s="6" t="s">
        <v>10971</v>
      </c>
      <c r="B365" s="6" t="s">
        <v>10936</v>
      </c>
      <c r="C365" s="168" t="s">
        <v>11240</v>
      </c>
      <c r="D365" s="4">
        <v>44117</v>
      </c>
      <c r="E365" s="6">
        <v>7209490065</v>
      </c>
      <c r="F365" s="6" t="s">
        <v>11241</v>
      </c>
      <c r="G365" s="6">
        <v>0</v>
      </c>
      <c r="H365" s="6">
        <v>752</v>
      </c>
      <c r="I365" s="6">
        <f t="shared" si="28"/>
        <v>887.3599999999999</v>
      </c>
      <c r="J365" s="6" t="s">
        <v>10529</v>
      </c>
      <c r="K365" s="6" t="s">
        <v>11242</v>
      </c>
      <c r="L365" s="6">
        <v>18</v>
      </c>
      <c r="M365" s="5"/>
    </row>
    <row r="366" spans="1:13" ht="14.25" customHeight="1">
      <c r="A366" s="6" t="s">
        <v>10971</v>
      </c>
      <c r="B366" s="6" t="s">
        <v>10936</v>
      </c>
      <c r="C366" s="168" t="s">
        <v>11243</v>
      </c>
      <c r="D366" s="4">
        <v>44117</v>
      </c>
      <c r="F366" s="6" t="s">
        <v>11244</v>
      </c>
      <c r="G366" s="6">
        <v>0</v>
      </c>
      <c r="H366" s="6">
        <v>1090</v>
      </c>
      <c r="I366" s="6">
        <f t="shared" si="28"/>
        <v>1286.2</v>
      </c>
      <c r="K366" s="6" t="s">
        <v>7423</v>
      </c>
      <c r="L366" s="6">
        <v>0</v>
      </c>
      <c r="M366" s="5"/>
    </row>
    <row r="367" spans="1:13" ht="14.25" customHeight="1">
      <c r="A367" s="6" t="s">
        <v>10971</v>
      </c>
      <c r="B367" s="6" t="s">
        <v>10936</v>
      </c>
      <c r="C367" s="168" t="s">
        <v>11245</v>
      </c>
      <c r="D367" s="4">
        <v>44119</v>
      </c>
      <c r="E367" s="6">
        <v>8789291079</v>
      </c>
      <c r="F367" s="6" t="s">
        <v>11246</v>
      </c>
      <c r="G367" s="6">
        <v>0</v>
      </c>
      <c r="H367" s="6">
        <v>752</v>
      </c>
      <c r="I367" s="6">
        <f t="shared" si="28"/>
        <v>887.3599999999999</v>
      </c>
      <c r="J367" s="6" t="s">
        <v>10538</v>
      </c>
      <c r="K367" s="6" t="s">
        <v>11247</v>
      </c>
      <c r="L367" s="6">
        <v>18</v>
      </c>
      <c r="M367" s="5"/>
    </row>
    <row r="368" spans="1:13" ht="14.25" customHeight="1">
      <c r="A368" s="6" t="s">
        <v>10971</v>
      </c>
      <c r="B368" s="6" t="s">
        <v>10936</v>
      </c>
      <c r="C368" s="168" t="s">
        <v>11248</v>
      </c>
      <c r="D368" s="4">
        <v>44120</v>
      </c>
      <c r="E368" s="6">
        <v>9835551974</v>
      </c>
      <c r="F368" s="6" t="s">
        <v>11249</v>
      </c>
      <c r="G368" s="6">
        <v>0</v>
      </c>
      <c r="H368" s="6">
        <v>752</v>
      </c>
      <c r="I368" s="6">
        <f t="shared" si="28"/>
        <v>887.3599999999999</v>
      </c>
      <c r="J368" s="6" t="s">
        <v>11250</v>
      </c>
      <c r="K368" s="6" t="s">
        <v>11251</v>
      </c>
      <c r="L368" s="6">
        <v>18</v>
      </c>
      <c r="M368" s="5"/>
    </row>
    <row r="369" spans="1:13" ht="14.25" customHeight="1">
      <c r="A369" s="6" t="s">
        <v>10971</v>
      </c>
      <c r="B369" s="6" t="s">
        <v>10936</v>
      </c>
      <c r="C369" s="168" t="s">
        <v>11252</v>
      </c>
      <c r="D369" s="4">
        <v>44121</v>
      </c>
      <c r="E369" s="6">
        <v>9931764268</v>
      </c>
      <c r="F369" s="6" t="s">
        <v>11253</v>
      </c>
      <c r="G369" s="6">
        <v>0</v>
      </c>
      <c r="H369" s="6">
        <v>752</v>
      </c>
      <c r="I369" s="6">
        <f t="shared" si="28"/>
        <v>887.3599999999999</v>
      </c>
      <c r="J369" s="6" t="s">
        <v>11254</v>
      </c>
      <c r="K369" s="6" t="s">
        <v>11255</v>
      </c>
      <c r="L369" s="6">
        <v>18</v>
      </c>
      <c r="M369" s="5"/>
    </row>
    <row r="370" spans="1:13" ht="14.25" customHeight="1">
      <c r="A370" s="6" t="s">
        <v>10971</v>
      </c>
      <c r="B370" s="6" t="s">
        <v>10936</v>
      </c>
      <c r="C370" s="168" t="s">
        <v>11256</v>
      </c>
      <c r="D370" s="4">
        <v>44121</v>
      </c>
      <c r="E370" s="6">
        <v>9934128085</v>
      </c>
      <c r="F370" s="6" t="s">
        <v>11257</v>
      </c>
      <c r="G370" s="6">
        <v>0</v>
      </c>
      <c r="H370" s="6">
        <v>1193</v>
      </c>
      <c r="I370" s="6">
        <f t="shared" si="28"/>
        <v>1407.74</v>
      </c>
      <c r="J370" s="6" t="s">
        <v>11258</v>
      </c>
      <c r="K370" s="6" t="s">
        <v>11259</v>
      </c>
      <c r="L370" s="6">
        <v>0</v>
      </c>
      <c r="M370" s="5"/>
    </row>
    <row r="371" spans="1:13" ht="14.25" customHeight="1">
      <c r="A371" s="6" t="s">
        <v>10971</v>
      </c>
      <c r="B371" s="6" t="s">
        <v>10936</v>
      </c>
      <c r="C371" s="168" t="s">
        <v>11260</v>
      </c>
      <c r="D371" s="4">
        <v>44122</v>
      </c>
      <c r="E371" s="6">
        <v>9971335718</v>
      </c>
      <c r="F371" s="6" t="s">
        <v>11261</v>
      </c>
      <c r="G371" s="6">
        <v>0</v>
      </c>
      <c r="H371" s="6">
        <v>752</v>
      </c>
      <c r="I371" s="6">
        <f t="shared" si="28"/>
        <v>887.3599999999999</v>
      </c>
      <c r="J371" s="6" t="s">
        <v>11262</v>
      </c>
      <c r="K371" s="6" t="s">
        <v>11263</v>
      </c>
      <c r="L371" s="6">
        <v>54</v>
      </c>
      <c r="M371" s="5"/>
    </row>
    <row r="372" spans="1:13" ht="14.25" customHeight="1">
      <c r="A372" s="6" t="s">
        <v>10971</v>
      </c>
      <c r="B372" s="6" t="s">
        <v>10936</v>
      </c>
      <c r="C372" s="168" t="s">
        <v>11264</v>
      </c>
      <c r="D372" s="4">
        <v>44122</v>
      </c>
      <c r="E372" s="6">
        <v>8092135990</v>
      </c>
      <c r="F372" s="6" t="s">
        <v>11265</v>
      </c>
      <c r="G372" s="6">
        <v>0</v>
      </c>
      <c r="H372" s="6">
        <v>752</v>
      </c>
      <c r="I372" s="6">
        <f t="shared" si="28"/>
        <v>887.3599999999999</v>
      </c>
      <c r="J372" s="6" t="s">
        <v>11220</v>
      </c>
      <c r="K372" s="6" t="s">
        <v>11266</v>
      </c>
      <c r="L372" s="6">
        <v>0</v>
      </c>
      <c r="M372" s="5"/>
    </row>
    <row r="373" spans="1:13" ht="14.25" customHeight="1">
      <c r="A373" s="6" t="s">
        <v>11020</v>
      </c>
      <c r="B373" s="6" t="s">
        <v>10936</v>
      </c>
      <c r="C373" s="168" t="s">
        <v>11267</v>
      </c>
      <c r="D373" s="4">
        <v>44122</v>
      </c>
      <c r="E373" s="6">
        <v>9234294035</v>
      </c>
      <c r="F373" s="6" t="s">
        <v>11268</v>
      </c>
      <c r="G373" s="6">
        <v>0</v>
      </c>
      <c r="H373" s="6">
        <v>3221</v>
      </c>
      <c r="I373" s="6">
        <f t="shared" si="28"/>
        <v>3800.7799999999997</v>
      </c>
      <c r="J373" s="6" t="s">
        <v>11269</v>
      </c>
      <c r="K373" s="6" t="s">
        <v>11270</v>
      </c>
      <c r="L373" s="6">
        <v>0</v>
      </c>
      <c r="M373" s="5"/>
    </row>
    <row r="374" spans="1:13" ht="14.25" customHeight="1">
      <c r="A374" s="6" t="s">
        <v>10971</v>
      </c>
      <c r="B374" s="6" t="s">
        <v>10513</v>
      </c>
      <c r="C374" s="168" t="s">
        <v>11271</v>
      </c>
      <c r="D374" s="4">
        <v>44123</v>
      </c>
      <c r="E374" s="6">
        <v>9771208895</v>
      </c>
      <c r="F374" s="6" t="s">
        <v>11272</v>
      </c>
      <c r="G374" s="6">
        <v>0</v>
      </c>
      <c r="H374" s="6">
        <v>752</v>
      </c>
      <c r="I374" s="6">
        <f t="shared" si="28"/>
        <v>887.3599999999999</v>
      </c>
      <c r="J374" s="6" t="s">
        <v>11273</v>
      </c>
      <c r="K374" s="6" t="s">
        <v>11274</v>
      </c>
      <c r="M374" s="5"/>
    </row>
    <row r="375" spans="1:13" ht="14.25" customHeight="1">
      <c r="A375" s="6" t="s">
        <v>10971</v>
      </c>
      <c r="B375" s="6" t="s">
        <v>10513</v>
      </c>
      <c r="C375" s="168" t="s">
        <v>11275</v>
      </c>
      <c r="D375" s="4">
        <v>44125</v>
      </c>
      <c r="E375" s="6">
        <v>9905307823</v>
      </c>
      <c r="F375" s="6" t="s">
        <v>11276</v>
      </c>
      <c r="G375" s="6">
        <v>0</v>
      </c>
      <c r="H375" s="6">
        <v>752</v>
      </c>
      <c r="I375" s="6">
        <f t="shared" si="28"/>
        <v>887.3599999999999</v>
      </c>
      <c r="J375" s="6" t="s">
        <v>10919</v>
      </c>
      <c r="K375" s="6" t="s">
        <v>11277</v>
      </c>
      <c r="L375" s="6">
        <v>18</v>
      </c>
      <c r="M375" s="5"/>
    </row>
    <row r="376" spans="1:13" ht="14.25" customHeight="1">
      <c r="A376" s="6" t="s">
        <v>10971</v>
      </c>
      <c r="B376" s="6" t="s">
        <v>10513</v>
      </c>
      <c r="C376" s="168" t="s">
        <v>11278</v>
      </c>
      <c r="D376" s="4">
        <v>44126</v>
      </c>
      <c r="E376" s="6">
        <v>9234529226</v>
      </c>
      <c r="F376" s="6" t="s">
        <v>10610</v>
      </c>
      <c r="G376" s="6">
        <v>0</v>
      </c>
      <c r="H376" s="6">
        <v>752</v>
      </c>
      <c r="I376" s="6">
        <f t="shared" si="28"/>
        <v>887.3599999999999</v>
      </c>
      <c r="J376" s="6" t="s">
        <v>11279</v>
      </c>
      <c r="K376" s="6" t="s">
        <v>11280</v>
      </c>
      <c r="L376" s="6">
        <v>0</v>
      </c>
      <c r="M376" s="5"/>
    </row>
    <row r="377" spans="1:13" ht="14.25" customHeight="1">
      <c r="A377" s="6" t="s">
        <v>10971</v>
      </c>
      <c r="B377" s="6" t="s">
        <v>10513</v>
      </c>
      <c r="C377" s="168" t="s">
        <v>11281</v>
      </c>
      <c r="D377" s="4">
        <v>44126</v>
      </c>
      <c r="E377" s="6">
        <v>9204390820</v>
      </c>
      <c r="F377" s="6" t="s">
        <v>11282</v>
      </c>
      <c r="G377" s="6">
        <v>0</v>
      </c>
      <c r="H377" s="6">
        <v>752</v>
      </c>
      <c r="I377" s="6">
        <f t="shared" si="28"/>
        <v>887.3599999999999</v>
      </c>
      <c r="J377" s="6" t="s">
        <v>10623</v>
      </c>
      <c r="K377" s="6" t="s">
        <v>11283</v>
      </c>
      <c r="L377" s="6">
        <v>37</v>
      </c>
      <c r="M377" s="5"/>
    </row>
    <row r="378" spans="1:13" ht="14.25" customHeight="1">
      <c r="A378" s="6" t="s">
        <v>10971</v>
      </c>
      <c r="B378" s="6" t="s">
        <v>10513</v>
      </c>
      <c r="C378" s="168" t="s">
        <v>11284</v>
      </c>
      <c r="D378" s="4">
        <v>44127</v>
      </c>
      <c r="E378" s="6">
        <v>7033381999</v>
      </c>
      <c r="F378" s="6" t="s">
        <v>10625</v>
      </c>
      <c r="G378" s="6">
        <v>0</v>
      </c>
      <c r="H378" s="6">
        <v>752</v>
      </c>
      <c r="I378" s="6">
        <f t="shared" si="28"/>
        <v>887.3599999999999</v>
      </c>
      <c r="J378" s="6" t="s">
        <v>10623</v>
      </c>
      <c r="K378" s="6" t="s">
        <v>11285</v>
      </c>
      <c r="M378" s="5"/>
    </row>
    <row r="379" spans="1:13" ht="14.25" customHeight="1">
      <c r="A379" s="6" t="s">
        <v>10971</v>
      </c>
      <c r="B379" s="6" t="s">
        <v>10513</v>
      </c>
      <c r="C379" s="168" t="s">
        <v>11286</v>
      </c>
      <c r="D379" s="4">
        <v>44128</v>
      </c>
      <c r="E379" s="6">
        <v>7488944494</v>
      </c>
      <c r="F379" s="6" t="s">
        <v>11287</v>
      </c>
      <c r="G379" s="6">
        <v>0</v>
      </c>
      <c r="H379" s="6">
        <v>752</v>
      </c>
      <c r="I379" s="6">
        <f t="shared" si="28"/>
        <v>887.3599999999999</v>
      </c>
      <c r="J379" s="6" t="s">
        <v>11288</v>
      </c>
      <c r="K379" s="6" t="s">
        <v>11289</v>
      </c>
      <c r="M379" s="5"/>
    </row>
    <row r="380" spans="1:13" ht="14.25" customHeight="1">
      <c r="A380" s="6" t="s">
        <v>10971</v>
      </c>
      <c r="B380" s="6" t="s">
        <v>10513</v>
      </c>
      <c r="C380" s="168" t="s">
        <v>11290</v>
      </c>
      <c r="D380" s="4">
        <v>44131</v>
      </c>
      <c r="E380" s="6">
        <v>9031709707</v>
      </c>
      <c r="F380" s="6" t="s">
        <v>2346</v>
      </c>
      <c r="G380" s="6">
        <v>0</v>
      </c>
      <c r="H380" s="6">
        <v>752</v>
      </c>
      <c r="I380" s="6">
        <f t="shared" si="28"/>
        <v>887.3599999999999</v>
      </c>
      <c r="J380" s="6" t="s">
        <v>11291</v>
      </c>
      <c r="K380" s="6" t="s">
        <v>11292</v>
      </c>
      <c r="M380" s="5"/>
    </row>
    <row r="381" spans="1:13" ht="14.25" customHeight="1">
      <c r="A381" s="6" t="s">
        <v>10935</v>
      </c>
      <c r="B381" s="6" t="s">
        <v>10936</v>
      </c>
      <c r="C381" s="168">
        <v>6.0732202347010304E+17</v>
      </c>
      <c r="D381" s="4">
        <v>44131</v>
      </c>
      <c r="E381" s="6">
        <v>7209356266</v>
      </c>
      <c r="F381" s="6" t="s">
        <v>11293</v>
      </c>
      <c r="G381" s="6">
        <v>0</v>
      </c>
      <c r="H381" s="6">
        <v>3221</v>
      </c>
      <c r="I381" s="6">
        <f t="shared" si="28"/>
        <v>3800.7799999999997</v>
      </c>
      <c r="J381" s="6" t="s">
        <v>11294</v>
      </c>
      <c r="K381" s="6" t="s">
        <v>10617</v>
      </c>
      <c r="M381" s="5"/>
    </row>
    <row r="382" spans="1:13" ht="14.25" customHeight="1">
      <c r="A382" s="6" t="s">
        <v>10971</v>
      </c>
      <c r="B382" s="6" t="s">
        <v>10505</v>
      </c>
      <c r="C382" s="168" t="s">
        <v>11295</v>
      </c>
      <c r="D382" s="4">
        <v>44132</v>
      </c>
      <c r="E382" s="6">
        <v>9234590344</v>
      </c>
      <c r="F382" s="6" t="s">
        <v>11296</v>
      </c>
      <c r="G382" s="6">
        <v>91</v>
      </c>
      <c r="H382" s="6">
        <v>752</v>
      </c>
      <c r="I382" s="6">
        <f t="shared" si="28"/>
        <v>994.7399999999999</v>
      </c>
      <c r="J382" s="6" t="s">
        <v>11220</v>
      </c>
      <c r="K382" s="6" t="s">
        <v>11297</v>
      </c>
      <c r="M382" s="5"/>
    </row>
    <row r="383" spans="1:13" ht="14.25" customHeight="1">
      <c r="A383" s="6" t="s">
        <v>10971</v>
      </c>
      <c r="B383" s="6" t="s">
        <v>10513</v>
      </c>
      <c r="C383" s="168" t="s">
        <v>11298</v>
      </c>
      <c r="D383" s="4">
        <v>44132</v>
      </c>
      <c r="E383" s="6">
        <v>8092875516</v>
      </c>
      <c r="F383" s="6" t="s">
        <v>11299</v>
      </c>
      <c r="G383" s="6">
        <v>0</v>
      </c>
      <c r="H383" s="6">
        <v>752</v>
      </c>
      <c r="I383" s="6">
        <f t="shared" si="28"/>
        <v>887.3599999999999</v>
      </c>
      <c r="J383" s="6" t="s">
        <v>11300</v>
      </c>
      <c r="K383" s="6" t="s">
        <v>11301</v>
      </c>
      <c r="M383" s="5"/>
    </row>
    <row r="384" spans="1:13" ht="14.25" customHeight="1">
      <c r="A384" s="6" t="s">
        <v>10971</v>
      </c>
      <c r="B384" s="6" t="s">
        <v>10513</v>
      </c>
      <c r="C384" s="168" t="s">
        <v>11302</v>
      </c>
      <c r="D384" s="4">
        <v>44132</v>
      </c>
      <c r="E384" s="6">
        <v>8002248388</v>
      </c>
      <c r="F384" s="6" t="s">
        <v>11303</v>
      </c>
      <c r="G384" s="6">
        <v>0</v>
      </c>
      <c r="H384" s="6">
        <v>752</v>
      </c>
      <c r="I384" s="6">
        <f t="shared" si="28"/>
        <v>887.3599999999999</v>
      </c>
      <c r="J384" s="6" t="s">
        <v>10553</v>
      </c>
      <c r="K384" s="6" t="s">
        <v>11304</v>
      </c>
      <c r="M384" s="5"/>
    </row>
    <row r="385" spans="1:13" ht="14.25" customHeight="1">
      <c r="A385" s="6" t="s">
        <v>10971</v>
      </c>
      <c r="B385" s="6" t="s">
        <v>10513</v>
      </c>
      <c r="C385" s="168" t="s">
        <v>11305</v>
      </c>
      <c r="D385" s="4">
        <v>44132</v>
      </c>
      <c r="E385" s="6">
        <v>7023905858</v>
      </c>
      <c r="F385" s="6" t="s">
        <v>11306</v>
      </c>
      <c r="G385" s="6">
        <v>0</v>
      </c>
      <c r="H385" s="6">
        <v>752</v>
      </c>
      <c r="I385" s="6">
        <f t="shared" si="28"/>
        <v>887.3599999999999</v>
      </c>
      <c r="J385" s="6" t="s">
        <v>11307</v>
      </c>
      <c r="K385" s="6" t="s">
        <v>11308</v>
      </c>
      <c r="M385" s="5"/>
    </row>
    <row r="386" spans="1:13" ht="14.25" customHeight="1">
      <c r="A386" s="6" t="s">
        <v>10971</v>
      </c>
      <c r="B386" s="6" t="s">
        <v>10513</v>
      </c>
      <c r="C386" s="168" t="s">
        <v>11309</v>
      </c>
      <c r="D386" s="4">
        <v>44132</v>
      </c>
      <c r="E386" s="6">
        <v>6299590154</v>
      </c>
      <c r="F386" s="6" t="s">
        <v>11244</v>
      </c>
      <c r="G386" s="6">
        <v>0</v>
      </c>
      <c r="H386" s="6">
        <v>752</v>
      </c>
      <c r="I386" s="6">
        <f t="shared" si="28"/>
        <v>887.3599999999999</v>
      </c>
      <c r="J386" s="6" t="s">
        <v>10576</v>
      </c>
      <c r="K386" s="6" t="s">
        <v>11310</v>
      </c>
      <c r="M386" s="5"/>
    </row>
    <row r="387" spans="1:13" ht="14.25" customHeight="1">
      <c r="A387" s="6" t="s">
        <v>10971</v>
      </c>
      <c r="B387" s="6" t="s">
        <v>10513</v>
      </c>
      <c r="C387" s="168" t="s">
        <v>11311</v>
      </c>
      <c r="D387" s="4">
        <v>44133</v>
      </c>
      <c r="E387" s="6">
        <v>9931335705</v>
      </c>
      <c r="F387" s="6" t="s">
        <v>11312</v>
      </c>
      <c r="G387" s="6">
        <v>0</v>
      </c>
      <c r="H387" s="6">
        <v>752</v>
      </c>
      <c r="I387" s="6">
        <f t="shared" si="28"/>
        <v>887.3599999999999</v>
      </c>
      <c r="J387" s="6" t="s">
        <v>11220</v>
      </c>
      <c r="K387" s="6" t="s">
        <v>11313</v>
      </c>
      <c r="M387" s="5"/>
    </row>
    <row r="388" spans="1:13" ht="14.25" customHeight="1">
      <c r="A388" s="6" t="s">
        <v>10971</v>
      </c>
      <c r="B388" s="6" t="s">
        <v>10513</v>
      </c>
      <c r="C388" s="168" t="s">
        <v>11314</v>
      </c>
      <c r="D388" s="4">
        <v>44133</v>
      </c>
      <c r="E388" s="6">
        <v>8709686098</v>
      </c>
      <c r="F388" s="6" t="s">
        <v>11315</v>
      </c>
      <c r="G388" s="6">
        <v>0</v>
      </c>
      <c r="H388" s="6">
        <v>752</v>
      </c>
      <c r="I388" s="6">
        <f t="shared" si="28"/>
        <v>887.3599999999999</v>
      </c>
      <c r="J388" s="6" t="s">
        <v>11316</v>
      </c>
      <c r="K388" s="6" t="s">
        <v>11317</v>
      </c>
      <c r="M388" s="5"/>
    </row>
    <row r="389" spans="1:13" ht="14.25" customHeight="1">
      <c r="A389" s="6" t="s">
        <v>10971</v>
      </c>
      <c r="B389" s="6" t="s">
        <v>10513</v>
      </c>
      <c r="C389" s="168" t="s">
        <v>11318</v>
      </c>
      <c r="D389" s="4">
        <v>44134</v>
      </c>
      <c r="E389" s="6">
        <v>9507188858</v>
      </c>
      <c r="F389" s="6" t="s">
        <v>11319</v>
      </c>
      <c r="G389" s="6">
        <v>0</v>
      </c>
      <c r="H389" s="6">
        <v>752</v>
      </c>
      <c r="I389" s="6">
        <f t="shared" si="28"/>
        <v>887.3599999999999</v>
      </c>
      <c r="J389" s="6" t="s">
        <v>11220</v>
      </c>
      <c r="K389" s="6" t="s">
        <v>11320</v>
      </c>
      <c r="M389" s="5"/>
    </row>
    <row r="390" spans="1:13" ht="14.25" customHeight="1">
      <c r="A390" s="6" t="s">
        <v>10971</v>
      </c>
      <c r="B390" s="6" t="s">
        <v>10513</v>
      </c>
      <c r="C390" s="168" t="s">
        <v>11321</v>
      </c>
      <c r="D390" s="4">
        <v>44134</v>
      </c>
      <c r="E390" s="6">
        <v>9999994767</v>
      </c>
      <c r="F390" s="6" t="s">
        <v>11322</v>
      </c>
      <c r="G390" s="6">
        <v>0</v>
      </c>
      <c r="H390" s="6">
        <v>752</v>
      </c>
      <c r="I390" s="6">
        <f t="shared" si="28"/>
        <v>887.3599999999999</v>
      </c>
      <c r="J390" s="6" t="s">
        <v>11323</v>
      </c>
      <c r="K390" s="6" t="s">
        <v>11324</v>
      </c>
      <c r="M390" s="5"/>
    </row>
    <row r="391" spans="1:13" ht="14.25" customHeight="1">
      <c r="A391" s="6" t="s">
        <v>10971</v>
      </c>
      <c r="B391" s="6" t="s">
        <v>10513</v>
      </c>
      <c r="C391" s="168" t="s">
        <v>11325</v>
      </c>
      <c r="D391" s="4">
        <v>44134</v>
      </c>
      <c r="E391" s="6">
        <v>9999994767</v>
      </c>
      <c r="F391" s="6" t="s">
        <v>11326</v>
      </c>
      <c r="G391" s="6">
        <v>0</v>
      </c>
      <c r="H391" s="6">
        <v>752</v>
      </c>
      <c r="I391" s="6">
        <f t="shared" si="28"/>
        <v>887.3599999999999</v>
      </c>
      <c r="J391" s="6" t="s">
        <v>11064</v>
      </c>
      <c r="K391" s="6" t="s">
        <v>11327</v>
      </c>
      <c r="M391" s="5"/>
    </row>
    <row r="392" spans="1:13" ht="14.25" customHeight="1">
      <c r="A392" s="6" t="s">
        <v>10971</v>
      </c>
      <c r="B392" s="6" t="s">
        <v>10513</v>
      </c>
      <c r="C392" s="168" t="s">
        <v>11328</v>
      </c>
      <c r="D392" s="4">
        <v>44135</v>
      </c>
      <c r="E392" s="168">
        <v>9431524098</v>
      </c>
      <c r="F392" s="6" t="s">
        <v>11329</v>
      </c>
      <c r="G392" s="6">
        <v>0</v>
      </c>
      <c r="H392" s="6">
        <v>752</v>
      </c>
      <c r="I392" s="6">
        <f t="shared" si="28"/>
        <v>887.3599999999999</v>
      </c>
      <c r="J392" s="6" t="s">
        <v>10683</v>
      </c>
      <c r="K392" s="6" t="s">
        <v>11330</v>
      </c>
      <c r="M392" s="5">
        <v>0</v>
      </c>
    </row>
    <row r="393" spans="1:13" ht="14.25" customHeight="1">
      <c r="A393" s="6" t="s">
        <v>11020</v>
      </c>
      <c r="B393" s="6" t="s">
        <v>10513</v>
      </c>
      <c r="C393" s="168" t="s">
        <v>11331</v>
      </c>
      <c r="D393" s="4">
        <v>44135</v>
      </c>
      <c r="E393" s="6">
        <v>9999994767</v>
      </c>
      <c r="F393" s="6" t="s">
        <v>11332</v>
      </c>
      <c r="G393" s="6">
        <v>0</v>
      </c>
      <c r="H393" s="6">
        <v>3221</v>
      </c>
      <c r="I393" s="6">
        <f t="shared" si="28"/>
        <v>3800.7799999999997</v>
      </c>
      <c r="J393" s="6" t="s">
        <v>11232</v>
      </c>
      <c r="K393" s="6" t="s">
        <v>11333</v>
      </c>
      <c r="M393" s="5">
        <v>0</v>
      </c>
    </row>
    <row r="394" spans="1:13" ht="14.25" customHeight="1">
      <c r="A394" s="6" t="s">
        <v>10971</v>
      </c>
      <c r="B394" s="6" t="s">
        <v>10513</v>
      </c>
      <c r="C394" s="168" t="s">
        <v>11334</v>
      </c>
      <c r="D394" s="4">
        <v>44135</v>
      </c>
      <c r="E394" s="6">
        <v>7488599397</v>
      </c>
      <c r="F394" s="6" t="s">
        <v>11335</v>
      </c>
      <c r="G394" s="6">
        <v>0</v>
      </c>
      <c r="H394" s="6">
        <v>752</v>
      </c>
      <c r="I394" s="6">
        <f t="shared" si="28"/>
        <v>887.3599999999999</v>
      </c>
      <c r="J394" s="6" t="s">
        <v>11336</v>
      </c>
      <c r="K394" s="6" t="s">
        <v>11337</v>
      </c>
      <c r="M394" s="5">
        <v>115</v>
      </c>
    </row>
    <row r="395" spans="1:13" ht="14.25" customHeight="1">
      <c r="A395" s="302">
        <f>COUNTIF($A358:$A394,"Bajaj2")</f>
        <v>32</v>
      </c>
      <c r="B395" s="302">
        <f>COUNTIF($A358:$A394,"Bajaj4")</f>
        <v>3</v>
      </c>
      <c r="C395" s="302"/>
      <c r="D395" s="302"/>
      <c r="E395" s="302"/>
      <c r="F395" s="302">
        <f>SUMIF(A358:A394,"Bajaj4",H358:H394)</f>
        <v>9663</v>
      </c>
      <c r="G395" s="302">
        <f>SUMIF(A358:A394,"Bajaj2",G358:G394)</f>
        <v>91</v>
      </c>
      <c r="H395" s="302">
        <f>SUMIF($A358:$A394,"Bajaj2",H358:H394)</f>
        <v>24843</v>
      </c>
      <c r="I395" s="302">
        <f>G395+H395</f>
        <v>24934</v>
      </c>
      <c r="J395" s="302">
        <f>I395*IF(A395&lt;3,0.025,IF(A395&lt;6,0.075,IF(A395&lt;11,0.1,IF(A395&lt;51,0.15,0.2))))+F395*IF(B395&lt;3,0.05,0.1)</f>
        <v>4706.3999999999996</v>
      </c>
      <c r="K395" s="302">
        <f>J395*0.95</f>
        <v>4471.079999999999</v>
      </c>
      <c r="L395" s="302">
        <f>SUM(L358:L394)</f>
        <v>1198</v>
      </c>
      <c r="M395" s="5"/>
    </row>
    <row r="396" spans="1:13" ht="14.25" customHeight="1">
      <c r="C396" s="168"/>
      <c r="F396" s="6">
        <f>F395*IF(B395&lt;3,0.05,0.1)</f>
        <v>966.30000000000007</v>
      </c>
      <c r="G396" s="6">
        <f>G361*15/100</f>
        <v>842.55</v>
      </c>
      <c r="M396" s="5"/>
    </row>
    <row r="397" spans="1:13" ht="14.25" customHeight="1">
      <c r="C397" s="168"/>
      <c r="M397" s="5"/>
    </row>
    <row r="398" spans="1:13" ht="14.25" customHeight="1">
      <c r="C398" s="168"/>
      <c r="M398" s="5"/>
    </row>
    <row r="399" spans="1:13" ht="14.25" customHeight="1">
      <c r="C399" s="168"/>
      <c r="M399" s="5"/>
    </row>
    <row r="400" spans="1:13" ht="14.25" customHeight="1">
      <c r="A400" s="6" t="s">
        <v>10971</v>
      </c>
      <c r="B400" s="6" t="s">
        <v>10513</v>
      </c>
      <c r="C400" s="168" t="s">
        <v>11338</v>
      </c>
      <c r="D400" s="4">
        <v>44136</v>
      </c>
      <c r="E400" s="6">
        <v>9031966005</v>
      </c>
      <c r="F400" s="6" t="s">
        <v>11339</v>
      </c>
      <c r="G400" s="6">
        <v>0</v>
      </c>
      <c r="H400" s="6">
        <v>752</v>
      </c>
      <c r="I400" s="6">
        <f t="shared" ref="I400:I421" si="29">(G400+H400)*1.18</f>
        <v>887.3599999999999</v>
      </c>
      <c r="J400" s="6" t="s">
        <v>11340</v>
      </c>
      <c r="K400" s="305" t="s">
        <v>11341</v>
      </c>
      <c r="L400" s="6">
        <f>(G400*1.5/100)+(H400*2.5/100)</f>
        <v>18.8</v>
      </c>
      <c r="M400" s="5">
        <v>18</v>
      </c>
    </row>
    <row r="401" spans="1:14" ht="14.25" customHeight="1">
      <c r="A401" s="6" t="s">
        <v>10971</v>
      </c>
      <c r="B401" s="6" t="s">
        <v>10505</v>
      </c>
      <c r="C401" s="16" t="s">
        <v>11342</v>
      </c>
      <c r="D401" s="4">
        <v>44137</v>
      </c>
      <c r="E401" s="6">
        <v>9162776363</v>
      </c>
      <c r="F401" s="6" t="s">
        <v>11343</v>
      </c>
      <c r="G401" s="6">
        <v>326</v>
      </c>
      <c r="H401" s="6">
        <v>752</v>
      </c>
      <c r="I401" s="6">
        <f t="shared" si="29"/>
        <v>1272.04</v>
      </c>
      <c r="J401" s="6" t="s">
        <v>11344</v>
      </c>
      <c r="K401" s="6" t="s">
        <v>11345</v>
      </c>
      <c r="L401" s="6">
        <f>(G401*16.5/100)</f>
        <v>53.79</v>
      </c>
      <c r="M401" s="5">
        <f>SUM(L401:L403)</f>
        <v>91.39</v>
      </c>
    </row>
    <row r="402" spans="1:14" ht="14.25" customHeight="1">
      <c r="A402" s="6" t="s">
        <v>10971</v>
      </c>
      <c r="B402" s="6" t="s">
        <v>10513</v>
      </c>
      <c r="C402" s="168" t="s">
        <v>11346</v>
      </c>
      <c r="D402" s="4">
        <v>44137</v>
      </c>
      <c r="E402" s="6">
        <v>9031950201</v>
      </c>
      <c r="F402" s="6" t="s">
        <v>11347</v>
      </c>
      <c r="G402" s="6">
        <v>0</v>
      </c>
      <c r="H402" s="6">
        <v>752</v>
      </c>
      <c r="I402" s="6">
        <f t="shared" si="29"/>
        <v>887.3599999999999</v>
      </c>
      <c r="J402" s="6" t="s">
        <v>10805</v>
      </c>
      <c r="K402" s="6" t="s">
        <v>11348</v>
      </c>
      <c r="L402" s="6">
        <f t="shared" ref="L402:L403" si="30">(G402*1.5/100)+(H402*2.5/100)</f>
        <v>18.8</v>
      </c>
      <c r="M402" s="5"/>
    </row>
    <row r="403" spans="1:14" ht="14.25" customHeight="1">
      <c r="A403" s="6" t="s">
        <v>10971</v>
      </c>
      <c r="B403" s="6" t="s">
        <v>10513</v>
      </c>
      <c r="C403" s="168" t="s">
        <v>11349</v>
      </c>
      <c r="D403" s="4">
        <v>44137</v>
      </c>
      <c r="E403" s="6">
        <v>6203311349</v>
      </c>
      <c r="F403" s="6" t="s">
        <v>11350</v>
      </c>
      <c r="G403" s="6">
        <v>0</v>
      </c>
      <c r="H403" s="6">
        <v>752</v>
      </c>
      <c r="I403" s="6">
        <f t="shared" si="29"/>
        <v>887.3599999999999</v>
      </c>
      <c r="K403" s="6" t="s">
        <v>11351</v>
      </c>
      <c r="L403" s="6">
        <f t="shared" si="30"/>
        <v>18.8</v>
      </c>
      <c r="M403" s="5"/>
      <c r="N403" s="6">
        <v>91</v>
      </c>
    </row>
    <row r="404" spans="1:14" ht="14.25" customHeight="1">
      <c r="A404" s="6" t="s">
        <v>10971</v>
      </c>
      <c r="B404" s="6" t="s">
        <v>10505</v>
      </c>
      <c r="C404" s="168" t="s">
        <v>11352</v>
      </c>
      <c r="D404" s="4">
        <v>44139</v>
      </c>
      <c r="E404" s="6">
        <v>9944844105</v>
      </c>
      <c r="F404" s="6" t="s">
        <v>11353</v>
      </c>
      <c r="G404" s="6">
        <v>517</v>
      </c>
      <c r="H404" s="6">
        <v>752</v>
      </c>
      <c r="I404" s="6">
        <f t="shared" si="29"/>
        <v>1497.4199999999998</v>
      </c>
      <c r="J404" s="6" t="s">
        <v>11354</v>
      </c>
      <c r="K404" s="6" t="s">
        <v>11355</v>
      </c>
      <c r="L404" s="6">
        <f>G404*18.5/100</f>
        <v>95.644999999999996</v>
      </c>
      <c r="M404" s="5">
        <v>113</v>
      </c>
    </row>
    <row r="405" spans="1:14" ht="14.25" customHeight="1">
      <c r="A405" s="6" t="s">
        <v>10971</v>
      </c>
      <c r="B405" s="6" t="s">
        <v>10936</v>
      </c>
      <c r="C405" s="168" t="s">
        <v>11356</v>
      </c>
      <c r="D405" s="4">
        <v>44141</v>
      </c>
      <c r="E405" s="6">
        <v>9931145822</v>
      </c>
      <c r="F405" s="6" t="s">
        <v>11357</v>
      </c>
      <c r="G405" s="6">
        <v>0</v>
      </c>
      <c r="H405" s="6">
        <v>752</v>
      </c>
      <c r="I405" s="6">
        <f t="shared" si="29"/>
        <v>887.3599999999999</v>
      </c>
      <c r="J405" s="6" t="s">
        <v>10805</v>
      </c>
      <c r="K405" s="6" t="s">
        <v>11358</v>
      </c>
      <c r="L405" s="6">
        <v>18</v>
      </c>
      <c r="M405" s="5">
        <v>0</v>
      </c>
    </row>
    <row r="406" spans="1:14" ht="14.25" customHeight="1">
      <c r="A406" s="6" t="s">
        <v>10971</v>
      </c>
      <c r="B406" s="6" t="s">
        <v>10936</v>
      </c>
      <c r="C406" s="168" t="s">
        <v>11359</v>
      </c>
      <c r="D406" s="4">
        <v>44141</v>
      </c>
      <c r="F406" s="6" t="s">
        <v>11360</v>
      </c>
      <c r="G406" s="6">
        <v>0</v>
      </c>
      <c r="H406" s="6">
        <v>752</v>
      </c>
      <c r="I406" s="6">
        <f t="shared" si="29"/>
        <v>887.3599999999999</v>
      </c>
      <c r="J406" s="6" t="s">
        <v>10805</v>
      </c>
      <c r="K406" s="6" t="s">
        <v>11361</v>
      </c>
      <c r="L406" s="6">
        <v>18</v>
      </c>
      <c r="M406" s="5">
        <v>37</v>
      </c>
    </row>
    <row r="407" spans="1:14" ht="14.25" customHeight="1">
      <c r="A407" s="6" t="s">
        <v>10971</v>
      </c>
      <c r="B407" s="6" t="s">
        <v>10936</v>
      </c>
      <c r="C407" s="168" t="s">
        <v>11362</v>
      </c>
      <c r="D407" s="4">
        <v>44142</v>
      </c>
      <c r="E407" s="6">
        <v>8797464037</v>
      </c>
      <c r="F407" s="6" t="s">
        <v>11363</v>
      </c>
      <c r="G407" s="6">
        <v>0</v>
      </c>
      <c r="H407" s="6">
        <v>752</v>
      </c>
      <c r="I407" s="6">
        <f t="shared" si="29"/>
        <v>887.3599999999999</v>
      </c>
      <c r="J407" s="6" t="s">
        <v>10576</v>
      </c>
      <c r="K407" s="6" t="s">
        <v>11364</v>
      </c>
      <c r="L407" s="6">
        <v>18</v>
      </c>
      <c r="M407" s="5">
        <v>18</v>
      </c>
    </row>
    <row r="408" spans="1:14" ht="14.25" customHeight="1">
      <c r="A408" s="6" t="s">
        <v>10971</v>
      </c>
      <c r="B408" s="6" t="s">
        <v>10936</v>
      </c>
      <c r="C408" s="168" t="s">
        <v>11365</v>
      </c>
      <c r="D408" s="4">
        <v>44144</v>
      </c>
      <c r="E408" s="6">
        <v>9204541220</v>
      </c>
      <c r="F408" s="6" t="s">
        <v>11366</v>
      </c>
      <c r="G408" s="6">
        <v>0</v>
      </c>
      <c r="H408" s="6">
        <v>752</v>
      </c>
      <c r="I408" s="6">
        <f t="shared" si="29"/>
        <v>887.3599999999999</v>
      </c>
      <c r="J408" s="6" t="s">
        <v>11015</v>
      </c>
      <c r="K408" s="6" t="s">
        <v>11367</v>
      </c>
      <c r="L408" s="6">
        <v>18</v>
      </c>
      <c r="M408" s="5">
        <v>18</v>
      </c>
    </row>
    <row r="409" spans="1:14" ht="14.25" customHeight="1">
      <c r="A409" s="6" t="s">
        <v>10971</v>
      </c>
      <c r="B409" s="6" t="s">
        <v>10505</v>
      </c>
      <c r="C409" s="168" t="s">
        <v>11368</v>
      </c>
      <c r="D409" s="4">
        <v>44145</v>
      </c>
      <c r="E409" s="6">
        <v>8235238981</v>
      </c>
      <c r="F409" s="6" t="s">
        <v>11369</v>
      </c>
      <c r="G409" s="6">
        <v>296</v>
      </c>
      <c r="H409" s="6">
        <v>752</v>
      </c>
      <c r="I409" s="6">
        <f t="shared" si="29"/>
        <v>1236.6399999999999</v>
      </c>
      <c r="J409" s="6" t="s">
        <v>10691</v>
      </c>
      <c r="K409" s="6" t="s">
        <v>11370</v>
      </c>
      <c r="L409" s="6">
        <f t="shared" ref="L409:L410" si="31">G409*16.5/100</f>
        <v>48.84</v>
      </c>
      <c r="M409" s="5"/>
    </row>
    <row r="410" spans="1:14" ht="14.25" customHeight="1">
      <c r="A410" s="6" t="s">
        <v>10971</v>
      </c>
      <c r="B410" s="6" t="s">
        <v>10505</v>
      </c>
      <c r="C410" s="168" t="s">
        <v>11371</v>
      </c>
      <c r="D410" s="4">
        <v>44145</v>
      </c>
      <c r="E410" s="6">
        <v>9031982071</v>
      </c>
      <c r="F410" s="6" t="s">
        <v>11372</v>
      </c>
      <c r="G410" s="6">
        <v>425</v>
      </c>
      <c r="H410" s="6">
        <v>702</v>
      </c>
      <c r="I410" s="6">
        <f t="shared" si="29"/>
        <v>1329.86</v>
      </c>
      <c r="J410" s="6" t="s">
        <v>10553</v>
      </c>
      <c r="K410" s="6" t="s">
        <v>11373</v>
      </c>
      <c r="L410" s="6">
        <f t="shared" si="31"/>
        <v>70.125</v>
      </c>
      <c r="M410" s="5">
        <v>140</v>
      </c>
    </row>
    <row r="411" spans="1:14" ht="14.25" customHeight="1">
      <c r="A411" s="6" t="s">
        <v>10971</v>
      </c>
      <c r="B411" s="6" t="s">
        <v>10936</v>
      </c>
      <c r="C411" s="168" t="s">
        <v>11374</v>
      </c>
      <c r="D411" s="4">
        <v>44147</v>
      </c>
      <c r="E411" s="6">
        <v>8252732844</v>
      </c>
      <c r="F411" s="6" t="s">
        <v>11375</v>
      </c>
      <c r="G411" s="6">
        <v>0</v>
      </c>
      <c r="H411" s="6">
        <v>752</v>
      </c>
      <c r="I411" s="6">
        <f t="shared" si="29"/>
        <v>887.3599999999999</v>
      </c>
      <c r="J411" s="6" t="s">
        <v>11376</v>
      </c>
      <c r="K411" s="6" t="s">
        <v>11377</v>
      </c>
      <c r="L411" s="6">
        <v>18</v>
      </c>
      <c r="M411" s="5">
        <v>18</v>
      </c>
    </row>
    <row r="412" spans="1:14" ht="14.25" customHeight="1">
      <c r="A412" s="6" t="s">
        <v>10971</v>
      </c>
      <c r="B412" s="6" t="s">
        <v>10936</v>
      </c>
      <c r="C412" s="168" t="s">
        <v>11378</v>
      </c>
      <c r="D412" s="4">
        <v>44148</v>
      </c>
      <c r="E412" s="6">
        <v>9835760251</v>
      </c>
      <c r="F412" s="6" t="s">
        <v>11379</v>
      </c>
      <c r="G412" s="6">
        <v>0</v>
      </c>
      <c r="H412" s="6">
        <v>752</v>
      </c>
      <c r="I412" s="6">
        <f t="shared" si="29"/>
        <v>887.3599999999999</v>
      </c>
      <c r="J412" s="6" t="s">
        <v>11380</v>
      </c>
      <c r="K412" s="6" t="s">
        <v>11381</v>
      </c>
      <c r="L412" s="6">
        <v>18</v>
      </c>
      <c r="M412" s="5">
        <v>18</v>
      </c>
    </row>
    <row r="413" spans="1:14" ht="14.25" customHeight="1">
      <c r="A413" s="6" t="s">
        <v>10971</v>
      </c>
      <c r="B413" s="6" t="s">
        <v>10936</v>
      </c>
      <c r="C413" s="168" t="s">
        <v>11382</v>
      </c>
      <c r="D413" s="4">
        <v>44150</v>
      </c>
      <c r="E413" s="6">
        <v>9162165941</v>
      </c>
      <c r="F413" s="6" t="s">
        <v>11383</v>
      </c>
      <c r="G413" s="6">
        <v>0</v>
      </c>
      <c r="H413" s="6">
        <v>752</v>
      </c>
      <c r="I413" s="6">
        <f t="shared" si="29"/>
        <v>887.3599999999999</v>
      </c>
      <c r="J413" s="6" t="s">
        <v>10623</v>
      </c>
      <c r="K413" s="6" t="s">
        <v>11384</v>
      </c>
      <c r="L413" s="6">
        <v>18</v>
      </c>
      <c r="M413" s="5">
        <v>18</v>
      </c>
    </row>
    <row r="414" spans="1:14" ht="14.25" customHeight="1">
      <c r="A414" s="6" t="s">
        <v>10971</v>
      </c>
      <c r="B414" s="6" t="s">
        <v>10936</v>
      </c>
      <c r="C414" s="168" t="s">
        <v>11385</v>
      </c>
      <c r="D414" s="4">
        <v>44152</v>
      </c>
      <c r="E414" s="6">
        <v>6201915584</v>
      </c>
      <c r="F414" s="6" t="s">
        <v>11386</v>
      </c>
      <c r="G414" s="6">
        <v>0</v>
      </c>
      <c r="H414" s="6">
        <v>752</v>
      </c>
      <c r="I414" s="6">
        <f t="shared" si="29"/>
        <v>887.3599999999999</v>
      </c>
      <c r="J414" s="6" t="s">
        <v>10576</v>
      </c>
      <c r="K414" s="6" t="s">
        <v>11387</v>
      </c>
      <c r="L414" s="6">
        <v>18</v>
      </c>
      <c r="M414" s="5">
        <v>18</v>
      </c>
    </row>
    <row r="415" spans="1:14" ht="14.25" customHeight="1">
      <c r="A415" s="6" t="s">
        <v>10971</v>
      </c>
      <c r="B415" s="6" t="s">
        <v>10936</v>
      </c>
      <c r="C415" s="168" t="s">
        <v>11388</v>
      </c>
      <c r="D415" s="4">
        <v>44157</v>
      </c>
      <c r="E415" s="6">
        <v>9162165941</v>
      </c>
      <c r="F415" s="6" t="s">
        <v>11389</v>
      </c>
      <c r="G415" s="6">
        <v>0</v>
      </c>
      <c r="H415" s="6">
        <v>752</v>
      </c>
      <c r="I415" s="6">
        <f t="shared" si="29"/>
        <v>887.3599999999999</v>
      </c>
      <c r="J415" s="6" t="s">
        <v>10623</v>
      </c>
      <c r="K415" s="6" t="s">
        <v>11390</v>
      </c>
      <c r="M415" s="5"/>
    </row>
    <row r="416" spans="1:14" ht="14.25" customHeight="1">
      <c r="A416" s="6" t="s">
        <v>11020</v>
      </c>
      <c r="B416" s="6" t="s">
        <v>10513</v>
      </c>
      <c r="C416" s="168" t="s">
        <v>11391</v>
      </c>
      <c r="D416" s="4">
        <v>44159</v>
      </c>
      <c r="E416" s="6">
        <v>9234554933</v>
      </c>
      <c r="F416" s="6" t="s">
        <v>10630</v>
      </c>
      <c r="G416" s="6">
        <v>0</v>
      </c>
      <c r="H416" s="6">
        <v>2072</v>
      </c>
      <c r="I416" s="6">
        <f t="shared" si="29"/>
        <v>2444.96</v>
      </c>
      <c r="J416" s="6" t="s">
        <v>10659</v>
      </c>
      <c r="K416" s="6" t="s">
        <v>11392</v>
      </c>
      <c r="M416" s="5"/>
    </row>
    <row r="417" spans="1:13" ht="14.25" customHeight="1">
      <c r="A417" s="6" t="s">
        <v>10971</v>
      </c>
      <c r="B417" s="6" t="s">
        <v>10513</v>
      </c>
      <c r="C417" s="168" t="s">
        <v>11393</v>
      </c>
      <c r="D417" s="4">
        <v>44159</v>
      </c>
      <c r="E417" s="6">
        <v>8083558255</v>
      </c>
      <c r="F417" s="6" t="s">
        <v>11394</v>
      </c>
      <c r="G417" s="6">
        <v>0</v>
      </c>
      <c r="H417" s="6">
        <v>752</v>
      </c>
      <c r="I417" s="6">
        <f t="shared" si="29"/>
        <v>887.3599999999999</v>
      </c>
      <c r="J417" s="6" t="s">
        <v>10553</v>
      </c>
      <c r="K417" s="6" t="s">
        <v>11395</v>
      </c>
      <c r="M417" s="5"/>
    </row>
    <row r="418" spans="1:13" ht="14.25" customHeight="1">
      <c r="A418" s="6" t="s">
        <v>10971</v>
      </c>
      <c r="B418" s="6" t="s">
        <v>10513</v>
      </c>
      <c r="C418" s="168" t="s">
        <v>11396</v>
      </c>
      <c r="D418" s="4">
        <v>44159</v>
      </c>
      <c r="E418" s="6">
        <v>7903911983</v>
      </c>
      <c r="F418" s="6" t="s">
        <v>11397</v>
      </c>
      <c r="G418" s="6">
        <v>0</v>
      </c>
      <c r="H418" s="6">
        <v>752</v>
      </c>
      <c r="I418" s="6">
        <f t="shared" si="29"/>
        <v>887.3599999999999</v>
      </c>
      <c r="J418" s="6" t="s">
        <v>11027</v>
      </c>
      <c r="K418" s="6" t="s">
        <v>11398</v>
      </c>
      <c r="M418" s="5"/>
    </row>
    <row r="419" spans="1:13" ht="14.25" customHeight="1">
      <c r="A419" s="6" t="s">
        <v>10971</v>
      </c>
      <c r="B419" s="6" t="s">
        <v>10513</v>
      </c>
      <c r="C419" s="168" t="s">
        <v>11399</v>
      </c>
      <c r="D419" s="4">
        <v>44161</v>
      </c>
      <c r="E419" s="6">
        <v>8434040389</v>
      </c>
      <c r="F419" s="6" t="s">
        <v>11400</v>
      </c>
      <c r="G419" s="6">
        <v>745</v>
      </c>
      <c r="H419" s="6">
        <v>752</v>
      </c>
      <c r="I419" s="6">
        <f t="shared" si="29"/>
        <v>1766.4599999999998</v>
      </c>
      <c r="J419" s="6" t="s">
        <v>10553</v>
      </c>
      <c r="K419" s="6" t="s">
        <v>11401</v>
      </c>
      <c r="M419" s="5"/>
    </row>
    <row r="420" spans="1:13" ht="14.25" customHeight="1">
      <c r="A420" s="6" t="s">
        <v>10971</v>
      </c>
      <c r="B420" s="6" t="s">
        <v>10513</v>
      </c>
      <c r="C420" s="16" t="s">
        <v>11402</v>
      </c>
      <c r="D420" s="4">
        <v>44163</v>
      </c>
      <c r="E420" s="6">
        <v>8434671734</v>
      </c>
      <c r="F420" s="6" t="s">
        <v>11403</v>
      </c>
      <c r="G420" s="6">
        <v>0</v>
      </c>
      <c r="H420" s="6">
        <v>752</v>
      </c>
      <c r="I420" s="6">
        <f t="shared" si="29"/>
        <v>887.3599999999999</v>
      </c>
      <c r="J420" s="6" t="s">
        <v>11404</v>
      </c>
      <c r="K420" s="6" t="s">
        <v>11405</v>
      </c>
    </row>
    <row r="421" spans="1:13" ht="14.25" customHeight="1">
      <c r="A421" s="6" t="s">
        <v>11020</v>
      </c>
      <c r="B421" s="6" t="s">
        <v>10513</v>
      </c>
      <c r="C421" s="16" t="s">
        <v>11406</v>
      </c>
      <c r="D421" s="4">
        <v>44164</v>
      </c>
      <c r="E421" s="6">
        <v>8235001988</v>
      </c>
      <c r="F421" s="6" t="s">
        <v>11407</v>
      </c>
      <c r="G421" s="6">
        <v>0</v>
      </c>
      <c r="H421" s="6">
        <v>3221</v>
      </c>
      <c r="I421" s="6">
        <f t="shared" si="29"/>
        <v>3800.7799999999997</v>
      </c>
      <c r="J421" s="6" t="s">
        <v>11408</v>
      </c>
      <c r="K421" s="6" t="s">
        <v>11409</v>
      </c>
      <c r="L421" s="6">
        <f>(H421*0.025)*0.95</f>
        <v>76.498750000000001</v>
      </c>
      <c r="M421" s="6">
        <v>78</v>
      </c>
    </row>
    <row r="422" spans="1:13" ht="14.25" customHeight="1">
      <c r="C422" s="168"/>
      <c r="M422" s="5"/>
    </row>
    <row r="423" spans="1:13" ht="14.25" customHeight="1">
      <c r="A423" s="302">
        <f>COUNTIF($A400:$A422,"Bajaj2")</f>
        <v>20</v>
      </c>
      <c r="B423" s="302">
        <f>COUNTIF($A400:$A422,"Bajaj4")</f>
        <v>2</v>
      </c>
      <c r="C423" s="302"/>
      <c r="D423" s="302"/>
      <c r="E423" s="302"/>
      <c r="F423" s="302">
        <f>SUMIF(A400:A422,"Bajaj4",H400:H422)</f>
        <v>5293</v>
      </c>
      <c r="G423" s="302">
        <f>SUMIF(A400:A422,"Bajaj2",G369:G422)</f>
        <v>91</v>
      </c>
      <c r="H423" s="302">
        <f>SUMIF($A400:$A422,"Bajaj2",H400:H422)</f>
        <v>14990</v>
      </c>
      <c r="I423" s="302">
        <f>G423+H423</f>
        <v>15081</v>
      </c>
      <c r="J423" s="302">
        <f>I423*IF(A423&lt;3,0.025,IF(A423&lt;6,0.075,IF(A423&lt;11,0.1,IF(A423&lt;51,0.15,0.2))))+F423*IF(B423&lt;3,0.05,0.1)</f>
        <v>2526.8000000000002</v>
      </c>
      <c r="K423" s="302">
        <f>J423*0.95</f>
        <v>2400.46</v>
      </c>
      <c r="L423" s="302">
        <f t="shared" ref="L423:M423" si="32">SUM(L400:L422)</f>
        <v>545.29874999999993</v>
      </c>
      <c r="M423" s="302">
        <f t="shared" si="32"/>
        <v>585.39</v>
      </c>
    </row>
    <row r="424" spans="1:13" ht="14.25" customHeight="1">
      <c r="C424" s="168"/>
      <c r="F424" s="6">
        <f>F423*IF(B423&lt;3,0.05,0.1)</f>
        <v>264.65000000000003</v>
      </c>
      <c r="M424" s="5"/>
    </row>
    <row r="425" spans="1:13" ht="14.25" customHeight="1">
      <c r="C425" s="168"/>
      <c r="M425" s="5"/>
    </row>
    <row r="426" spans="1:13" ht="14.25" customHeight="1">
      <c r="C426" s="168"/>
      <c r="M426" s="5"/>
    </row>
    <row r="427" spans="1:13" ht="14.25" customHeight="1">
      <c r="A427" s="6" t="s">
        <v>11066</v>
      </c>
      <c r="B427" s="6" t="s">
        <v>10513</v>
      </c>
      <c r="C427" s="168" t="s">
        <v>10885</v>
      </c>
      <c r="D427" s="4">
        <v>44173</v>
      </c>
      <c r="F427" s="6" t="s">
        <v>11410</v>
      </c>
      <c r="G427" s="6">
        <v>0</v>
      </c>
      <c r="H427" s="6">
        <v>752</v>
      </c>
      <c r="I427" s="6">
        <f t="shared" ref="I427:I437" si="33">(G427+H427)*1.18</f>
        <v>887.3599999999999</v>
      </c>
      <c r="J427" s="6" t="s">
        <v>11411</v>
      </c>
      <c r="K427" s="6" t="s">
        <v>11412</v>
      </c>
      <c r="L427" s="6">
        <v>18</v>
      </c>
      <c r="M427" s="5">
        <f t="shared" ref="M427:M437" si="34">H427*2.5/100</f>
        <v>18.8</v>
      </c>
    </row>
    <row r="428" spans="1:13" ht="14.25" customHeight="1">
      <c r="A428" s="6" t="s">
        <v>11066</v>
      </c>
      <c r="B428" s="6" t="s">
        <v>10513</v>
      </c>
      <c r="C428" s="168" t="s">
        <v>11413</v>
      </c>
      <c r="D428" s="4">
        <v>44174</v>
      </c>
      <c r="E428" s="6">
        <v>9031737893</v>
      </c>
      <c r="F428" s="6" t="s">
        <v>10735</v>
      </c>
      <c r="G428" s="6">
        <v>0</v>
      </c>
      <c r="H428" s="6">
        <v>752</v>
      </c>
      <c r="I428" s="6">
        <f t="shared" si="33"/>
        <v>887.3599999999999</v>
      </c>
      <c r="J428" s="6" t="s">
        <v>11414</v>
      </c>
      <c r="K428" s="6" t="s">
        <v>11415</v>
      </c>
      <c r="L428" s="6">
        <v>18</v>
      </c>
      <c r="M428" s="5">
        <f t="shared" si="34"/>
        <v>18.8</v>
      </c>
    </row>
    <row r="429" spans="1:13" ht="14.25" customHeight="1">
      <c r="A429" s="6" t="s">
        <v>11066</v>
      </c>
      <c r="B429" s="6" t="s">
        <v>10513</v>
      </c>
      <c r="C429" s="168" t="s">
        <v>11416</v>
      </c>
      <c r="D429" s="4">
        <v>44173</v>
      </c>
      <c r="E429" s="6">
        <v>7762822844</v>
      </c>
      <c r="F429" s="6" t="s">
        <v>11417</v>
      </c>
      <c r="G429" s="6">
        <v>0</v>
      </c>
      <c r="H429" s="6">
        <v>752</v>
      </c>
      <c r="I429" s="6">
        <f t="shared" si="33"/>
        <v>887.3599999999999</v>
      </c>
      <c r="J429" s="6" t="s">
        <v>10805</v>
      </c>
      <c r="K429" s="6" t="s">
        <v>10806</v>
      </c>
      <c r="L429" s="6">
        <v>18</v>
      </c>
      <c r="M429" s="5">
        <f t="shared" si="34"/>
        <v>18.8</v>
      </c>
    </row>
    <row r="430" spans="1:13" ht="14.25" customHeight="1">
      <c r="A430" s="6" t="s">
        <v>11066</v>
      </c>
      <c r="B430" s="6" t="s">
        <v>10513</v>
      </c>
      <c r="C430" s="168" t="s">
        <v>11418</v>
      </c>
      <c r="D430" s="4">
        <v>44186</v>
      </c>
      <c r="F430" s="6" t="s">
        <v>11419</v>
      </c>
      <c r="G430" s="6">
        <v>0</v>
      </c>
      <c r="H430" s="6">
        <v>752</v>
      </c>
      <c r="I430" s="6">
        <f t="shared" si="33"/>
        <v>887.3599999999999</v>
      </c>
      <c r="J430" s="6" t="s">
        <v>10579</v>
      </c>
      <c r="K430" s="6" t="s">
        <v>11420</v>
      </c>
      <c r="L430" s="6">
        <v>18</v>
      </c>
      <c r="M430" s="5">
        <f t="shared" si="34"/>
        <v>18.8</v>
      </c>
    </row>
    <row r="431" spans="1:13" ht="14.25" customHeight="1">
      <c r="A431" s="6" t="s">
        <v>11066</v>
      </c>
      <c r="B431" s="6" t="s">
        <v>10513</v>
      </c>
      <c r="C431" s="168" t="s">
        <v>11421</v>
      </c>
      <c r="D431" s="4">
        <v>44187</v>
      </c>
      <c r="E431" s="6">
        <v>8092535611</v>
      </c>
      <c r="F431" s="6" t="s">
        <v>1769</v>
      </c>
      <c r="G431" s="6">
        <v>0</v>
      </c>
      <c r="H431" s="6">
        <v>752</v>
      </c>
      <c r="I431" s="6">
        <f t="shared" si="33"/>
        <v>887.3599999999999</v>
      </c>
      <c r="J431" s="6" t="s">
        <v>11422</v>
      </c>
      <c r="K431" s="6" t="s">
        <v>11423</v>
      </c>
      <c r="L431" s="6">
        <v>18</v>
      </c>
      <c r="M431" s="5">
        <f t="shared" si="34"/>
        <v>18.8</v>
      </c>
    </row>
    <row r="432" spans="1:13" ht="14.25" customHeight="1">
      <c r="A432" s="6" t="s">
        <v>11066</v>
      </c>
      <c r="B432" s="6" t="s">
        <v>10513</v>
      </c>
      <c r="C432" s="168" t="s">
        <v>11424</v>
      </c>
      <c r="D432" s="4">
        <v>44187</v>
      </c>
      <c r="E432" s="6">
        <v>7033533918</v>
      </c>
      <c r="F432" s="6" t="s">
        <v>11425</v>
      </c>
      <c r="G432" s="6">
        <v>0</v>
      </c>
      <c r="H432" s="6">
        <v>752</v>
      </c>
      <c r="I432" s="6">
        <f t="shared" si="33"/>
        <v>887.3599999999999</v>
      </c>
      <c r="J432" s="6" t="s">
        <v>11426</v>
      </c>
      <c r="K432" s="6" t="s">
        <v>11427</v>
      </c>
      <c r="L432" s="6">
        <v>18</v>
      </c>
      <c r="M432" s="5">
        <f t="shared" si="34"/>
        <v>18.8</v>
      </c>
    </row>
    <row r="433" spans="1:13" ht="14.25" customHeight="1">
      <c r="A433" s="6" t="s">
        <v>11066</v>
      </c>
      <c r="B433" s="6" t="s">
        <v>10513</v>
      </c>
      <c r="C433" s="168" t="s">
        <v>11428</v>
      </c>
      <c r="D433" s="4">
        <v>44188</v>
      </c>
      <c r="E433" s="6">
        <v>8809414611</v>
      </c>
      <c r="F433" s="6" t="s">
        <v>11429</v>
      </c>
      <c r="G433" s="6">
        <v>0</v>
      </c>
      <c r="H433" s="6">
        <v>752</v>
      </c>
      <c r="I433" s="6">
        <f t="shared" si="33"/>
        <v>887.3599999999999</v>
      </c>
      <c r="J433" s="6" t="s">
        <v>11300</v>
      </c>
      <c r="K433" s="6" t="s">
        <v>11430</v>
      </c>
      <c r="L433" s="6">
        <v>18</v>
      </c>
      <c r="M433" s="5">
        <f t="shared" si="34"/>
        <v>18.8</v>
      </c>
    </row>
    <row r="434" spans="1:13" ht="14.25" customHeight="1">
      <c r="A434" s="6" t="s">
        <v>11116</v>
      </c>
      <c r="B434" s="6" t="s">
        <v>10513</v>
      </c>
      <c r="C434" s="168" t="s">
        <v>11431</v>
      </c>
      <c r="D434" s="4">
        <v>44191</v>
      </c>
      <c r="E434" s="6">
        <v>7488605735</v>
      </c>
      <c r="F434" s="6" t="s">
        <v>11432</v>
      </c>
      <c r="G434" s="6">
        <v>0</v>
      </c>
      <c r="H434" s="6">
        <v>2072</v>
      </c>
      <c r="I434" s="6">
        <f t="shared" si="33"/>
        <v>2444.96</v>
      </c>
      <c r="J434" s="6" t="s">
        <v>10706</v>
      </c>
      <c r="K434" s="6" t="s">
        <v>11433</v>
      </c>
      <c r="M434" s="5">
        <f t="shared" si="34"/>
        <v>51.8</v>
      </c>
    </row>
    <row r="435" spans="1:13" ht="14.25" customHeight="1">
      <c r="A435" s="6" t="s">
        <v>11066</v>
      </c>
      <c r="B435" s="6" t="s">
        <v>10513</v>
      </c>
      <c r="C435" s="168" t="s">
        <v>11434</v>
      </c>
      <c r="D435" s="4">
        <v>44192</v>
      </c>
      <c r="E435" s="6">
        <v>9546486692</v>
      </c>
      <c r="F435" s="6" t="s">
        <v>11435</v>
      </c>
      <c r="G435" s="6">
        <v>0</v>
      </c>
      <c r="H435" s="6">
        <v>752</v>
      </c>
      <c r="I435" s="6">
        <f t="shared" si="33"/>
        <v>887.3599999999999</v>
      </c>
      <c r="J435" s="6" t="s">
        <v>11436</v>
      </c>
      <c r="K435" s="6" t="s">
        <v>11437</v>
      </c>
      <c r="L435" s="6">
        <v>18</v>
      </c>
      <c r="M435" s="5">
        <f t="shared" si="34"/>
        <v>18.8</v>
      </c>
    </row>
    <row r="436" spans="1:13" ht="14.25" customHeight="1">
      <c r="A436" s="6" t="s">
        <v>11066</v>
      </c>
      <c r="B436" s="6" t="s">
        <v>10513</v>
      </c>
      <c r="C436" s="168" t="s">
        <v>11438</v>
      </c>
      <c r="D436" s="4">
        <v>44192</v>
      </c>
      <c r="E436" s="6">
        <v>9507188796</v>
      </c>
      <c r="F436" s="6" t="s">
        <v>11439</v>
      </c>
      <c r="G436" s="6">
        <v>0</v>
      </c>
      <c r="H436" s="6">
        <v>752</v>
      </c>
      <c r="I436" s="6">
        <f t="shared" si="33"/>
        <v>887.3599999999999</v>
      </c>
      <c r="J436" s="6" t="s">
        <v>10579</v>
      </c>
      <c r="K436" s="6" t="s">
        <v>11440</v>
      </c>
      <c r="L436" s="6">
        <v>18</v>
      </c>
      <c r="M436" s="5">
        <f t="shared" si="34"/>
        <v>18.8</v>
      </c>
    </row>
    <row r="437" spans="1:13" ht="14.25" customHeight="1">
      <c r="A437" s="6" t="s">
        <v>11066</v>
      </c>
      <c r="B437" s="6" t="s">
        <v>10513</v>
      </c>
      <c r="C437" s="168" t="s">
        <v>11441</v>
      </c>
      <c r="D437" s="4">
        <v>44193</v>
      </c>
      <c r="E437" s="6">
        <v>9110924591</v>
      </c>
      <c r="F437" s="6" t="s">
        <v>11442</v>
      </c>
      <c r="G437" s="6">
        <v>0</v>
      </c>
      <c r="H437" s="6">
        <v>752</v>
      </c>
      <c r="I437" s="6">
        <f t="shared" si="33"/>
        <v>887.3599999999999</v>
      </c>
      <c r="J437" s="6" t="s">
        <v>11300</v>
      </c>
      <c r="K437" s="6" t="s">
        <v>11443</v>
      </c>
      <c r="M437" s="5">
        <f t="shared" si="34"/>
        <v>18.8</v>
      </c>
    </row>
    <row r="438" spans="1:13" ht="14.25" customHeight="1">
      <c r="A438" s="302">
        <f>COUNTIF($A427:$A437,"Bajaj2")</f>
        <v>10</v>
      </c>
      <c r="B438" s="302">
        <f>COUNTIF($A427:$A437,"Bajaj4")</f>
        <v>1</v>
      </c>
      <c r="C438" s="302"/>
      <c r="D438" s="302"/>
      <c r="E438" s="302"/>
      <c r="F438" s="302">
        <f>SUMIF(A427:A437,"Bajaj4",H427:H437)</f>
        <v>2072</v>
      </c>
      <c r="G438" s="302">
        <f>SUMIF(A427:A437,"Bajaj2",G427:G437)</f>
        <v>0</v>
      </c>
      <c r="H438" s="302">
        <f>SUMIF($A427:$A437,"Bajaj2",H427:H437)</f>
        <v>7520</v>
      </c>
      <c r="I438" s="302">
        <f>G438+H438</f>
        <v>7520</v>
      </c>
      <c r="J438" s="302">
        <f>A438*IF(A438&lt;3,0.025,IF(A438&lt;6,100,IF(A438&lt;11,125,150)))+F438*IF(B438&lt;3,0.05,0.1)</f>
        <v>1353.6</v>
      </c>
      <c r="K438" s="302">
        <f>J438*0.95</f>
        <v>1285.9199999999998</v>
      </c>
      <c r="L438" s="302">
        <f t="shared" ref="L438:M438" si="35">SUM(L427:L437)</f>
        <v>162</v>
      </c>
      <c r="M438" s="302">
        <f t="shared" si="35"/>
        <v>239.8</v>
      </c>
    </row>
    <row r="439" spans="1:13" ht="14.25" customHeight="1">
      <c r="C439" s="168"/>
      <c r="M439" s="5"/>
    </row>
    <row r="440" spans="1:13" ht="14.25" customHeight="1">
      <c r="A440" s="6" t="s">
        <v>11066</v>
      </c>
      <c r="B440" s="6" t="s">
        <v>10936</v>
      </c>
      <c r="C440" s="168" t="s">
        <v>11444</v>
      </c>
      <c r="D440" s="4">
        <v>43831</v>
      </c>
      <c r="E440" s="6">
        <v>9798946742</v>
      </c>
      <c r="F440" s="6" t="s">
        <v>11445</v>
      </c>
      <c r="G440" s="6">
        <v>0</v>
      </c>
      <c r="H440" s="6">
        <v>752</v>
      </c>
      <c r="I440" s="6">
        <f t="shared" ref="I440:I452" si="36">(G440+H440)*1.18</f>
        <v>887.3599999999999</v>
      </c>
      <c r="J440" s="6" t="s">
        <v>10724</v>
      </c>
      <c r="K440" s="6" t="s">
        <v>11446</v>
      </c>
      <c r="L440" s="6">
        <v>18</v>
      </c>
      <c r="M440" s="5"/>
    </row>
    <row r="441" spans="1:13" ht="14.25" customHeight="1">
      <c r="A441" s="6" t="s">
        <v>11066</v>
      </c>
      <c r="B441" s="6" t="s">
        <v>10936</v>
      </c>
      <c r="C441" s="168" t="s">
        <v>11447</v>
      </c>
      <c r="D441" s="4">
        <v>44201</v>
      </c>
      <c r="E441" s="6">
        <v>6205770265</v>
      </c>
      <c r="F441" s="6" t="s">
        <v>11448</v>
      </c>
      <c r="G441" s="6">
        <v>0</v>
      </c>
      <c r="H441" s="6">
        <v>752</v>
      </c>
      <c r="I441" s="6">
        <f t="shared" si="36"/>
        <v>887.3599999999999</v>
      </c>
      <c r="J441" s="6" t="s">
        <v>10805</v>
      </c>
      <c r="K441" s="6" t="s">
        <v>11449</v>
      </c>
      <c r="L441" s="6">
        <v>0</v>
      </c>
      <c r="M441" s="5"/>
    </row>
    <row r="442" spans="1:13" ht="14.25" customHeight="1">
      <c r="A442" s="6" t="s">
        <v>11066</v>
      </c>
      <c r="B442" s="6" t="s">
        <v>10936</v>
      </c>
      <c r="C442" s="168" t="s">
        <v>11450</v>
      </c>
      <c r="D442" s="4">
        <v>44201</v>
      </c>
      <c r="E442" s="6">
        <v>8084522701</v>
      </c>
      <c r="F442" s="6" t="s">
        <v>11451</v>
      </c>
      <c r="G442" s="6">
        <v>0</v>
      </c>
      <c r="H442" s="6">
        <v>752</v>
      </c>
      <c r="I442" s="6">
        <f t="shared" si="36"/>
        <v>887.3599999999999</v>
      </c>
      <c r="J442" s="6" t="s">
        <v>11452</v>
      </c>
      <c r="K442" s="6" t="s">
        <v>11453</v>
      </c>
      <c r="L442" s="6">
        <v>35</v>
      </c>
      <c r="M442" s="5"/>
    </row>
    <row r="443" spans="1:13" ht="14.25" customHeight="1">
      <c r="A443" s="6" t="s">
        <v>11066</v>
      </c>
      <c r="B443" s="6" t="s">
        <v>10936</v>
      </c>
      <c r="C443" s="168" t="s">
        <v>11454</v>
      </c>
      <c r="D443" s="4">
        <v>44204</v>
      </c>
      <c r="E443" s="6">
        <v>8210893924</v>
      </c>
      <c r="F443" s="6" t="s">
        <v>11455</v>
      </c>
      <c r="G443" s="6">
        <v>0</v>
      </c>
      <c r="H443" s="6">
        <v>752</v>
      </c>
      <c r="I443" s="6">
        <f t="shared" si="36"/>
        <v>887.3599999999999</v>
      </c>
      <c r="J443" s="6" t="s">
        <v>11114</v>
      </c>
      <c r="K443" s="6" t="s">
        <v>11456</v>
      </c>
      <c r="M443" s="5"/>
    </row>
    <row r="444" spans="1:13" ht="14.25" customHeight="1">
      <c r="A444" s="6" t="s">
        <v>11066</v>
      </c>
      <c r="B444" s="6" t="s">
        <v>10936</v>
      </c>
      <c r="C444" s="168"/>
      <c r="D444" s="4"/>
      <c r="G444" s="6">
        <v>0</v>
      </c>
      <c r="H444" s="6">
        <v>752</v>
      </c>
      <c r="I444" s="6">
        <f t="shared" si="36"/>
        <v>887.3599999999999</v>
      </c>
      <c r="M444" s="5"/>
    </row>
    <row r="445" spans="1:13" ht="14.25" customHeight="1">
      <c r="A445" s="6" t="s">
        <v>11066</v>
      </c>
      <c r="B445" s="6" t="s">
        <v>10936</v>
      </c>
      <c r="C445" s="168" t="s">
        <v>11457</v>
      </c>
      <c r="D445" s="4">
        <v>44208</v>
      </c>
      <c r="E445" s="6">
        <v>9102977767</v>
      </c>
      <c r="F445" s="6" t="s">
        <v>11458</v>
      </c>
      <c r="G445" s="6">
        <v>0</v>
      </c>
      <c r="H445" s="6">
        <v>752</v>
      </c>
      <c r="I445" s="6">
        <f t="shared" si="36"/>
        <v>887.3599999999999</v>
      </c>
      <c r="J445" s="6" t="s">
        <v>11459</v>
      </c>
      <c r="K445" s="6" t="s">
        <v>11460</v>
      </c>
      <c r="M445" s="5"/>
    </row>
    <row r="446" spans="1:13" ht="14.25" customHeight="1">
      <c r="A446" s="6" t="s">
        <v>11066</v>
      </c>
      <c r="B446" s="6" t="s">
        <v>10936</v>
      </c>
      <c r="C446" s="168" t="s">
        <v>11461</v>
      </c>
      <c r="D446" s="4">
        <v>44209</v>
      </c>
      <c r="E446" s="6">
        <v>7903521205</v>
      </c>
      <c r="F446" s="6" t="s">
        <v>11462</v>
      </c>
      <c r="G446" s="6">
        <v>0</v>
      </c>
      <c r="H446" s="6">
        <v>1083</v>
      </c>
      <c r="I446" s="6">
        <f t="shared" si="36"/>
        <v>1277.9399999999998</v>
      </c>
      <c r="J446" s="6" t="s">
        <v>11340</v>
      </c>
      <c r="K446" s="6" t="s">
        <v>11463</v>
      </c>
      <c r="M446" s="5"/>
    </row>
    <row r="447" spans="1:13" ht="14.25" customHeight="1">
      <c r="A447" s="6" t="s">
        <v>11116</v>
      </c>
      <c r="B447" s="6" t="s">
        <v>10936</v>
      </c>
      <c r="C447" s="168"/>
      <c r="D447" s="4">
        <v>44211</v>
      </c>
      <c r="E447" s="6">
        <v>9430186524</v>
      </c>
      <c r="F447" s="6" t="s">
        <v>11464</v>
      </c>
      <c r="G447" s="6">
        <v>0</v>
      </c>
      <c r="H447" s="6">
        <v>3221</v>
      </c>
      <c r="I447" s="6">
        <f t="shared" si="36"/>
        <v>3800.7799999999997</v>
      </c>
      <c r="J447" s="6" t="s">
        <v>11465</v>
      </c>
      <c r="K447" s="6" t="s">
        <v>11466</v>
      </c>
      <c r="M447" s="5"/>
    </row>
    <row r="448" spans="1:13" ht="14.25" customHeight="1">
      <c r="A448" s="6" t="s">
        <v>11066</v>
      </c>
      <c r="B448" s="6" t="s">
        <v>10786</v>
      </c>
      <c r="C448" s="168"/>
      <c r="D448" s="4">
        <v>44213</v>
      </c>
      <c r="F448" s="6" t="s">
        <v>11467</v>
      </c>
      <c r="G448" s="6">
        <v>125</v>
      </c>
      <c r="H448" s="6">
        <v>752</v>
      </c>
      <c r="I448" s="6">
        <f t="shared" si="36"/>
        <v>1034.8599999999999</v>
      </c>
      <c r="M448" s="5"/>
    </row>
    <row r="449" spans="1:13" ht="14.25" customHeight="1">
      <c r="A449" s="6" t="s">
        <v>11116</v>
      </c>
      <c r="B449" s="6" t="s">
        <v>10936</v>
      </c>
      <c r="C449" s="168" t="s">
        <v>11468</v>
      </c>
      <c r="D449" s="4">
        <v>44214</v>
      </c>
      <c r="E449" s="6">
        <v>9304379180</v>
      </c>
      <c r="F449" s="6" t="s">
        <v>11469</v>
      </c>
      <c r="G449" s="6">
        <v>0</v>
      </c>
      <c r="H449" s="6">
        <v>2072</v>
      </c>
      <c r="I449" s="6">
        <f t="shared" si="36"/>
        <v>2444.96</v>
      </c>
      <c r="J449" s="6" t="s">
        <v>11210</v>
      </c>
      <c r="K449" s="6" t="s">
        <v>10871</v>
      </c>
      <c r="M449" s="5"/>
    </row>
    <row r="450" spans="1:13" ht="14.25" customHeight="1">
      <c r="A450" s="6" t="s">
        <v>11066</v>
      </c>
      <c r="B450" s="6" t="s">
        <v>10786</v>
      </c>
      <c r="C450" s="168" t="s">
        <v>11470</v>
      </c>
      <c r="D450" s="4">
        <v>44216</v>
      </c>
      <c r="E450" s="6">
        <v>9204789453</v>
      </c>
      <c r="F450" s="6" t="s">
        <v>11471</v>
      </c>
      <c r="G450" s="6">
        <v>288</v>
      </c>
      <c r="H450" s="6">
        <v>752</v>
      </c>
      <c r="I450" s="6">
        <f t="shared" si="36"/>
        <v>1227.2</v>
      </c>
      <c r="J450" s="6" t="s">
        <v>11472</v>
      </c>
      <c r="K450" s="6" t="s">
        <v>11473</v>
      </c>
      <c r="M450" s="5"/>
    </row>
    <row r="451" spans="1:13" ht="14.25" customHeight="1">
      <c r="A451" s="6" t="s">
        <v>11066</v>
      </c>
      <c r="B451" s="6" t="s">
        <v>10936</v>
      </c>
      <c r="C451" s="168" t="s">
        <v>11474</v>
      </c>
      <c r="D451" s="4">
        <v>44216</v>
      </c>
      <c r="F451" s="6" t="s">
        <v>11475</v>
      </c>
      <c r="G451" s="6">
        <v>0</v>
      </c>
      <c r="H451" s="6">
        <v>752</v>
      </c>
      <c r="I451" s="6">
        <f t="shared" si="36"/>
        <v>887.3599999999999</v>
      </c>
      <c r="J451" s="6" t="s">
        <v>11476</v>
      </c>
      <c r="K451" s="6" t="s">
        <v>10897</v>
      </c>
      <c r="M451" s="5"/>
    </row>
    <row r="452" spans="1:13" ht="14.25" customHeight="1">
      <c r="A452" s="6" t="s">
        <v>11066</v>
      </c>
      <c r="B452" s="6" t="s">
        <v>10936</v>
      </c>
      <c r="C452" s="168" t="s">
        <v>11477</v>
      </c>
      <c r="D452" s="4">
        <v>44217</v>
      </c>
      <c r="E452" s="6">
        <v>8709852547</v>
      </c>
      <c r="F452" s="6" t="s">
        <v>9681</v>
      </c>
      <c r="G452" s="6">
        <v>0</v>
      </c>
      <c r="H452" s="6">
        <v>752</v>
      </c>
      <c r="I452" s="6">
        <f t="shared" si="36"/>
        <v>887.3599999999999</v>
      </c>
      <c r="M452" s="5"/>
    </row>
    <row r="453" spans="1:13" ht="14.25" customHeight="1">
      <c r="C453" s="168"/>
      <c r="M453" s="5"/>
    </row>
    <row r="454" spans="1:13" ht="14.25" customHeight="1">
      <c r="C454" s="168"/>
      <c r="M454" s="5"/>
    </row>
    <row r="455" spans="1:13" ht="14.25" customHeight="1">
      <c r="C455" s="168"/>
      <c r="M455" s="5"/>
    </row>
    <row r="456" spans="1:13" ht="14.25" customHeight="1">
      <c r="C456" s="168"/>
      <c r="M456" s="5"/>
    </row>
    <row r="457" spans="1:13" ht="14.25" customHeight="1">
      <c r="C457" s="168"/>
      <c r="M457" s="5"/>
    </row>
    <row r="458" spans="1:13" ht="14.25" customHeight="1">
      <c r="C458" s="168"/>
      <c r="M458" s="5"/>
    </row>
    <row r="459" spans="1:13" ht="14.25" customHeight="1">
      <c r="C459" s="168"/>
      <c r="M459" s="5"/>
    </row>
    <row r="460" spans="1:13" ht="14.25" customHeight="1">
      <c r="A460" s="302">
        <f>COUNTIF($A440:$A459,"Bajaj2")</f>
        <v>11</v>
      </c>
      <c r="B460" s="302">
        <f>COUNTIF($A440:$A459,"Bajaj4")</f>
        <v>2</v>
      </c>
      <c r="C460" s="302"/>
      <c r="D460" s="302"/>
      <c r="E460" s="302"/>
      <c r="F460" s="302">
        <f>SUMIF(A440:A459,"Bajaj4",H440:H459)</f>
        <v>5293</v>
      </c>
      <c r="G460" s="302">
        <f>SUMIF(A440:A459,"Bajaj2",G440:G459)</f>
        <v>413</v>
      </c>
      <c r="H460" s="302">
        <f>SUMIF($A440:$A459,"Bajaj2",H440:H459)</f>
        <v>8603</v>
      </c>
      <c r="I460" s="302">
        <f>G460+H460</f>
        <v>9016</v>
      </c>
      <c r="J460" s="302">
        <f>A460*IF(A460&lt;3,0.025,IF(A460&lt;6,100,IF(A460&lt;11,125,150)))+F460*IF(B460&lt;3,0.05,0.1)</f>
        <v>1914.65</v>
      </c>
      <c r="K460" s="302">
        <f>J460*0.95</f>
        <v>1818.9175</v>
      </c>
      <c r="L460" s="302">
        <f>SUM(L440:L459)</f>
        <v>53</v>
      </c>
      <c r="M460" s="302">
        <f>K460-L460</f>
        <v>1765.9175</v>
      </c>
    </row>
    <row r="461" spans="1:13" ht="14.25" customHeight="1">
      <c r="C461" s="168"/>
      <c r="M461" s="5"/>
    </row>
    <row r="462" spans="1:13" ht="14.25" customHeight="1">
      <c r="A462" s="6" t="s">
        <v>11066</v>
      </c>
      <c r="B462" s="6" t="s">
        <v>10936</v>
      </c>
      <c r="C462" s="168" t="s">
        <v>11478</v>
      </c>
      <c r="D462" s="4">
        <v>44230</v>
      </c>
      <c r="G462" s="6">
        <v>0</v>
      </c>
      <c r="H462" s="6">
        <v>752</v>
      </c>
      <c r="I462" s="6">
        <f t="shared" ref="I462:I481" si="37">(G462+H462)*1.18</f>
        <v>887.3599999999999</v>
      </c>
      <c r="L462" s="6">
        <v>18</v>
      </c>
      <c r="M462" s="5"/>
    </row>
    <row r="463" spans="1:13" ht="14.25" customHeight="1">
      <c r="A463" s="6" t="s">
        <v>11066</v>
      </c>
      <c r="B463" s="6" t="s">
        <v>10936</v>
      </c>
      <c r="C463" s="168" t="s">
        <v>11479</v>
      </c>
      <c r="D463" s="4">
        <v>44231</v>
      </c>
      <c r="G463" s="6">
        <v>0</v>
      </c>
      <c r="H463" s="6">
        <v>752</v>
      </c>
      <c r="I463" s="6">
        <f t="shared" si="37"/>
        <v>887.3599999999999</v>
      </c>
      <c r="L463" s="6">
        <v>18</v>
      </c>
      <c r="M463" s="5"/>
    </row>
    <row r="464" spans="1:13" ht="14.25" customHeight="1">
      <c r="A464" s="6" t="s">
        <v>11066</v>
      </c>
      <c r="B464" s="6" t="s">
        <v>10936</v>
      </c>
      <c r="C464" s="168" t="s">
        <v>11480</v>
      </c>
      <c r="D464" s="4">
        <v>44234</v>
      </c>
      <c r="G464" s="6">
        <v>0</v>
      </c>
      <c r="H464" s="6">
        <v>752</v>
      </c>
      <c r="I464" s="6">
        <f t="shared" si="37"/>
        <v>887.3599999999999</v>
      </c>
      <c r="L464" s="6">
        <v>18</v>
      </c>
      <c r="M464" s="5"/>
    </row>
    <row r="465" spans="1:13" ht="14.25" customHeight="1">
      <c r="A465" s="6" t="s">
        <v>11066</v>
      </c>
      <c r="B465" s="6" t="s">
        <v>10936</v>
      </c>
      <c r="C465" s="168" t="s">
        <v>11481</v>
      </c>
      <c r="D465" s="4">
        <v>44233</v>
      </c>
      <c r="G465" s="6">
        <v>0</v>
      </c>
      <c r="H465" s="6">
        <v>752</v>
      </c>
      <c r="I465" s="6">
        <f t="shared" si="37"/>
        <v>887.3599999999999</v>
      </c>
      <c r="L465" s="6">
        <v>18</v>
      </c>
      <c r="M465" s="5"/>
    </row>
    <row r="466" spans="1:13" ht="14.25" customHeight="1">
      <c r="A466" s="6" t="s">
        <v>11066</v>
      </c>
      <c r="B466" s="6" t="s">
        <v>10936</v>
      </c>
      <c r="C466" s="168" t="s">
        <v>11482</v>
      </c>
      <c r="D466" s="4">
        <v>44233</v>
      </c>
      <c r="G466" s="6">
        <v>0</v>
      </c>
      <c r="H466" s="6">
        <v>482</v>
      </c>
      <c r="I466" s="6">
        <f t="shared" si="37"/>
        <v>568.76</v>
      </c>
      <c r="L466" s="6">
        <v>18</v>
      </c>
      <c r="M466" s="5"/>
    </row>
    <row r="467" spans="1:13" ht="14.25" customHeight="1">
      <c r="A467" s="6" t="s">
        <v>11066</v>
      </c>
      <c r="B467" s="6" t="s">
        <v>10936</v>
      </c>
      <c r="C467" s="168" t="s">
        <v>11483</v>
      </c>
      <c r="D467" s="4">
        <v>43866</v>
      </c>
      <c r="G467" s="6">
        <v>0</v>
      </c>
      <c r="H467" s="6">
        <v>752</v>
      </c>
      <c r="I467" s="6">
        <f t="shared" si="37"/>
        <v>887.3599999999999</v>
      </c>
      <c r="L467" s="6">
        <v>18</v>
      </c>
      <c r="M467" s="5"/>
    </row>
    <row r="468" spans="1:13" ht="14.25" customHeight="1">
      <c r="A468" s="6" t="s">
        <v>11066</v>
      </c>
      <c r="B468" s="6" t="s">
        <v>10936</v>
      </c>
      <c r="C468" s="168" t="s">
        <v>11484</v>
      </c>
      <c r="D468" s="4">
        <v>43866</v>
      </c>
      <c r="G468" s="6">
        <v>0</v>
      </c>
      <c r="H468" s="6">
        <v>752</v>
      </c>
      <c r="I468" s="6">
        <f t="shared" si="37"/>
        <v>887.3599999999999</v>
      </c>
      <c r="L468" s="6">
        <v>18</v>
      </c>
      <c r="M468" s="5"/>
    </row>
    <row r="469" spans="1:13" ht="14.25" customHeight="1">
      <c r="A469" s="6" t="s">
        <v>11066</v>
      </c>
      <c r="B469" s="6" t="s">
        <v>10936</v>
      </c>
      <c r="C469" s="168" t="s">
        <v>11485</v>
      </c>
      <c r="D469" s="4">
        <v>44234</v>
      </c>
      <c r="G469" s="6">
        <v>0</v>
      </c>
      <c r="H469" s="6">
        <v>752</v>
      </c>
      <c r="I469" s="6">
        <f t="shared" si="37"/>
        <v>887.3599999999999</v>
      </c>
      <c r="L469" s="6">
        <v>18</v>
      </c>
      <c r="M469" s="5"/>
    </row>
    <row r="470" spans="1:13" ht="14.25" customHeight="1">
      <c r="A470" s="6" t="s">
        <v>11066</v>
      </c>
      <c r="B470" s="6" t="s">
        <v>10936</v>
      </c>
      <c r="C470" s="168" t="s">
        <v>11486</v>
      </c>
      <c r="D470" s="4">
        <v>44234</v>
      </c>
      <c r="G470" s="6">
        <v>0</v>
      </c>
      <c r="H470" s="6">
        <v>752</v>
      </c>
      <c r="I470" s="6">
        <f t="shared" si="37"/>
        <v>887.3599999999999</v>
      </c>
      <c r="L470" s="6">
        <v>18</v>
      </c>
      <c r="M470" s="5"/>
    </row>
    <row r="471" spans="1:13" ht="14.25" customHeight="1">
      <c r="A471" s="6" t="s">
        <v>11066</v>
      </c>
      <c r="B471" s="6" t="s">
        <v>10936</v>
      </c>
      <c r="C471" s="168" t="s">
        <v>11487</v>
      </c>
      <c r="D471" s="4">
        <v>44235</v>
      </c>
      <c r="G471" s="6">
        <v>0</v>
      </c>
      <c r="H471" s="6">
        <v>752</v>
      </c>
      <c r="I471" s="6">
        <f t="shared" si="37"/>
        <v>887.3599999999999</v>
      </c>
      <c r="L471" s="6">
        <v>18</v>
      </c>
      <c r="M471" s="5"/>
    </row>
    <row r="472" spans="1:13" ht="14.25" customHeight="1">
      <c r="A472" s="6" t="s">
        <v>11066</v>
      </c>
      <c r="B472" s="6" t="s">
        <v>10936</v>
      </c>
      <c r="C472" s="168" t="s">
        <v>11488</v>
      </c>
      <c r="D472" s="4">
        <v>44235</v>
      </c>
      <c r="G472" s="6">
        <v>0</v>
      </c>
      <c r="H472" s="6">
        <v>752</v>
      </c>
      <c r="I472" s="6">
        <f t="shared" si="37"/>
        <v>887.3599999999999</v>
      </c>
      <c r="L472" s="6">
        <v>18</v>
      </c>
      <c r="M472" s="5"/>
    </row>
    <row r="473" spans="1:13" ht="14.25" customHeight="1">
      <c r="A473" s="6" t="s">
        <v>11066</v>
      </c>
      <c r="B473" s="6" t="s">
        <v>10936</v>
      </c>
      <c r="C473" s="168" t="s">
        <v>11489</v>
      </c>
      <c r="D473" s="4">
        <v>44237</v>
      </c>
      <c r="G473" s="6">
        <v>0</v>
      </c>
      <c r="H473" s="6">
        <v>752</v>
      </c>
      <c r="I473" s="6">
        <f t="shared" si="37"/>
        <v>887.3599999999999</v>
      </c>
      <c r="L473" s="6">
        <v>18</v>
      </c>
      <c r="M473" s="5"/>
    </row>
    <row r="474" spans="1:13" ht="14.25" customHeight="1">
      <c r="A474" s="6" t="s">
        <v>11066</v>
      </c>
      <c r="B474" s="6" t="s">
        <v>10936</v>
      </c>
      <c r="C474" s="168" t="s">
        <v>11490</v>
      </c>
      <c r="D474" s="4">
        <v>44240</v>
      </c>
      <c r="E474" s="6">
        <v>8521650025</v>
      </c>
      <c r="F474" s="6" t="s">
        <v>11491</v>
      </c>
      <c r="G474" s="6">
        <v>0</v>
      </c>
      <c r="H474" s="6">
        <v>752</v>
      </c>
      <c r="I474" s="6">
        <f t="shared" si="37"/>
        <v>887.3599999999999</v>
      </c>
      <c r="J474" s="6" t="s">
        <v>11492</v>
      </c>
      <c r="K474" s="6" t="s">
        <v>11493</v>
      </c>
      <c r="L474" s="6">
        <v>18</v>
      </c>
      <c r="M474" s="5"/>
    </row>
    <row r="475" spans="1:13" ht="14.25" customHeight="1">
      <c r="A475" s="6" t="s">
        <v>11116</v>
      </c>
      <c r="B475" s="6" t="s">
        <v>10936</v>
      </c>
      <c r="C475" s="168" t="s">
        <v>11494</v>
      </c>
      <c r="D475" s="4">
        <v>44240</v>
      </c>
      <c r="E475" s="6">
        <v>9608931932</v>
      </c>
      <c r="F475" s="6" t="s">
        <v>11495</v>
      </c>
      <c r="G475" s="6">
        <v>0</v>
      </c>
      <c r="H475" s="6">
        <v>3221</v>
      </c>
      <c r="I475" s="6">
        <f t="shared" si="37"/>
        <v>3800.7799999999997</v>
      </c>
      <c r="J475" s="6" t="s">
        <v>11496</v>
      </c>
      <c r="K475" s="6" t="s">
        <v>11497</v>
      </c>
      <c r="L475" s="6">
        <v>18</v>
      </c>
      <c r="M475" s="5"/>
    </row>
    <row r="476" spans="1:13" ht="14.25" customHeight="1">
      <c r="A476" s="6" t="s">
        <v>11116</v>
      </c>
      <c r="B476" s="6" t="s">
        <v>10936</v>
      </c>
      <c r="C476" s="168" t="s">
        <v>11498</v>
      </c>
      <c r="D476" s="4">
        <v>44240</v>
      </c>
      <c r="E476" s="6">
        <v>9234630862</v>
      </c>
      <c r="F476" s="6" t="s">
        <v>11499</v>
      </c>
      <c r="G476" s="6">
        <v>0</v>
      </c>
      <c r="H476" s="6">
        <v>3552</v>
      </c>
      <c r="I476" s="6">
        <f t="shared" si="37"/>
        <v>4191.3599999999997</v>
      </c>
      <c r="J476" s="6" t="s">
        <v>11500</v>
      </c>
      <c r="K476" s="6" t="s">
        <v>11501</v>
      </c>
      <c r="L476" s="6">
        <v>18</v>
      </c>
      <c r="M476" s="5"/>
    </row>
    <row r="477" spans="1:13" ht="14.25" customHeight="1">
      <c r="A477" s="6" t="s">
        <v>11066</v>
      </c>
      <c r="B477" s="6" t="s">
        <v>10936</v>
      </c>
      <c r="C477" s="168" t="s">
        <v>11502</v>
      </c>
      <c r="D477" s="4">
        <v>44241</v>
      </c>
      <c r="E477" s="6">
        <v>9263734419</v>
      </c>
      <c r="F477" s="6" t="s">
        <v>11503</v>
      </c>
      <c r="G477" s="6">
        <v>0</v>
      </c>
      <c r="H477" s="6">
        <v>752</v>
      </c>
      <c r="I477" s="6">
        <f t="shared" si="37"/>
        <v>887.3599999999999</v>
      </c>
      <c r="J477" s="6" t="s">
        <v>11492</v>
      </c>
      <c r="K477" s="6" t="s">
        <v>11504</v>
      </c>
      <c r="L477" s="6">
        <v>18</v>
      </c>
      <c r="M477" s="5"/>
    </row>
    <row r="478" spans="1:13" ht="14.25" customHeight="1">
      <c r="A478" s="6" t="s">
        <v>11066</v>
      </c>
      <c r="B478" s="6" t="s">
        <v>10936</v>
      </c>
      <c r="C478" s="168" t="s">
        <v>11505</v>
      </c>
      <c r="D478" s="4">
        <v>44241</v>
      </c>
      <c r="E478" s="6">
        <v>6299868064</v>
      </c>
      <c r="F478" s="6" t="s">
        <v>11506</v>
      </c>
      <c r="G478" s="6">
        <v>0</v>
      </c>
      <c r="H478" s="6">
        <v>752</v>
      </c>
      <c r="I478" s="6">
        <f t="shared" si="37"/>
        <v>887.3599999999999</v>
      </c>
      <c r="J478" s="6" t="s">
        <v>10881</v>
      </c>
      <c r="K478" s="6" t="s">
        <v>11507</v>
      </c>
      <c r="L478" s="6">
        <v>18</v>
      </c>
      <c r="M478" s="5"/>
    </row>
    <row r="479" spans="1:13" ht="14.25" customHeight="1">
      <c r="A479" s="6" t="s">
        <v>11066</v>
      </c>
      <c r="B479" s="6" t="s">
        <v>10936</v>
      </c>
      <c r="C479" s="168" t="s">
        <v>11508</v>
      </c>
      <c r="D479" s="4">
        <v>44241</v>
      </c>
      <c r="E479" s="6">
        <v>8873176783</v>
      </c>
      <c r="F479" s="6" t="s">
        <v>11509</v>
      </c>
      <c r="G479" s="6">
        <v>0</v>
      </c>
      <c r="H479" s="6">
        <v>752</v>
      </c>
      <c r="I479" s="6">
        <f t="shared" si="37"/>
        <v>887.3599999999999</v>
      </c>
      <c r="J479" s="6" t="s">
        <v>10529</v>
      </c>
      <c r="K479" s="6" t="s">
        <v>11510</v>
      </c>
      <c r="L479" s="6">
        <v>18</v>
      </c>
      <c r="M479" s="5"/>
    </row>
    <row r="480" spans="1:13" ht="14.25" customHeight="1">
      <c r="A480" s="6" t="s">
        <v>11066</v>
      </c>
      <c r="B480" s="6" t="s">
        <v>10936</v>
      </c>
      <c r="C480" s="168" t="s">
        <v>11489</v>
      </c>
      <c r="D480" s="4">
        <v>44241</v>
      </c>
      <c r="E480" s="6">
        <v>9470386166</v>
      </c>
      <c r="F480" s="6" t="s">
        <v>11511</v>
      </c>
      <c r="G480" s="6">
        <v>0</v>
      </c>
      <c r="H480" s="6">
        <v>752</v>
      </c>
      <c r="I480" s="6">
        <f t="shared" si="37"/>
        <v>887.3599999999999</v>
      </c>
      <c r="J480" s="6" t="s">
        <v>10805</v>
      </c>
      <c r="K480" s="6" t="s">
        <v>11512</v>
      </c>
      <c r="L480" s="6">
        <v>18</v>
      </c>
      <c r="M480" s="5"/>
    </row>
    <row r="481" spans="1:13" ht="14.25" customHeight="1">
      <c r="A481" s="6" t="s">
        <v>11066</v>
      </c>
      <c r="B481" s="6" t="s">
        <v>10936</v>
      </c>
      <c r="C481" s="168" t="s">
        <v>11508</v>
      </c>
      <c r="D481" s="4">
        <v>44242</v>
      </c>
      <c r="G481" s="6">
        <v>0</v>
      </c>
      <c r="H481" s="6">
        <v>752</v>
      </c>
      <c r="I481" s="6">
        <f t="shared" si="37"/>
        <v>887.3599999999999</v>
      </c>
      <c r="L481" s="6">
        <v>18</v>
      </c>
      <c r="M481" s="5"/>
    </row>
    <row r="482" spans="1:13" ht="14.25" customHeight="1">
      <c r="A482" s="6" t="s">
        <v>11066</v>
      </c>
      <c r="B482" s="6" t="s">
        <v>10936</v>
      </c>
      <c r="C482" s="168" t="s">
        <v>11513</v>
      </c>
      <c r="D482" s="4">
        <v>44242</v>
      </c>
      <c r="G482" s="6">
        <v>0</v>
      </c>
      <c r="H482" s="6">
        <v>752</v>
      </c>
      <c r="L482" s="6">
        <v>18</v>
      </c>
      <c r="M482" s="5"/>
    </row>
    <row r="483" spans="1:13" ht="14.25" customHeight="1">
      <c r="A483" s="6" t="s">
        <v>11066</v>
      </c>
      <c r="B483" s="6" t="s">
        <v>10936</v>
      </c>
      <c r="C483" s="168" t="s">
        <v>11514</v>
      </c>
      <c r="D483" s="4">
        <v>44244</v>
      </c>
      <c r="E483" s="6">
        <v>9934120572</v>
      </c>
      <c r="F483" s="6" t="s">
        <v>11515</v>
      </c>
      <c r="G483" s="6">
        <v>0</v>
      </c>
      <c r="H483" s="6">
        <v>752</v>
      </c>
      <c r="I483" s="6">
        <f t="shared" ref="I483:I489" si="38">(G483+H483)*1.18</f>
        <v>887.3599999999999</v>
      </c>
      <c r="J483" s="6" t="s">
        <v>11516</v>
      </c>
      <c r="K483" s="6" t="s">
        <v>11517</v>
      </c>
      <c r="L483" s="6">
        <v>18</v>
      </c>
      <c r="M483" s="5"/>
    </row>
    <row r="484" spans="1:13" ht="14.25" customHeight="1">
      <c r="A484" s="6" t="s">
        <v>11066</v>
      </c>
      <c r="B484" s="6" t="s">
        <v>10936</v>
      </c>
      <c r="C484" s="168" t="s">
        <v>11518</v>
      </c>
      <c r="D484" s="4">
        <v>44244</v>
      </c>
      <c r="G484" s="6">
        <v>0</v>
      </c>
      <c r="H484" s="6">
        <v>752</v>
      </c>
      <c r="I484" s="6">
        <f t="shared" si="38"/>
        <v>887.3599999999999</v>
      </c>
      <c r="L484" s="6">
        <v>18</v>
      </c>
      <c r="M484" s="5"/>
    </row>
    <row r="485" spans="1:13" ht="14.25" customHeight="1">
      <c r="A485" s="6" t="s">
        <v>11066</v>
      </c>
      <c r="B485" s="6" t="s">
        <v>10936</v>
      </c>
      <c r="C485" s="168" t="s">
        <v>11519</v>
      </c>
      <c r="D485" s="4">
        <v>44250</v>
      </c>
      <c r="G485" s="6">
        <v>0</v>
      </c>
      <c r="H485" s="6">
        <v>752</v>
      </c>
      <c r="I485" s="6">
        <f t="shared" si="38"/>
        <v>887.3599999999999</v>
      </c>
      <c r="L485" s="6">
        <v>18</v>
      </c>
      <c r="M485" s="5"/>
    </row>
    <row r="486" spans="1:13" ht="14.25" customHeight="1">
      <c r="A486" s="6" t="s">
        <v>11066</v>
      </c>
      <c r="B486" s="6" t="s">
        <v>10581</v>
      </c>
      <c r="C486" s="168" t="s">
        <v>11520</v>
      </c>
      <c r="D486" s="4">
        <v>44253</v>
      </c>
      <c r="G486" s="6">
        <v>0</v>
      </c>
      <c r="H486" s="6">
        <v>752</v>
      </c>
      <c r="I486" s="6">
        <f t="shared" si="38"/>
        <v>887.3599999999999</v>
      </c>
      <c r="L486" s="6">
        <v>18</v>
      </c>
      <c r="M486" s="5"/>
    </row>
    <row r="487" spans="1:13" ht="14.25" customHeight="1">
      <c r="A487" s="6" t="s">
        <v>11066</v>
      </c>
      <c r="B487" s="6" t="s">
        <v>10936</v>
      </c>
      <c r="C487" s="168" t="s">
        <v>11521</v>
      </c>
      <c r="D487" s="4">
        <v>44254</v>
      </c>
      <c r="G487" s="6">
        <v>0</v>
      </c>
      <c r="H487" s="6">
        <v>752</v>
      </c>
      <c r="I487" s="6">
        <f t="shared" si="38"/>
        <v>887.3599999999999</v>
      </c>
      <c r="L487" s="6">
        <v>18</v>
      </c>
      <c r="M487" s="5"/>
    </row>
    <row r="488" spans="1:13" ht="14.25" customHeight="1">
      <c r="A488" s="6" t="s">
        <v>11066</v>
      </c>
      <c r="B488" s="6" t="s">
        <v>10936</v>
      </c>
      <c r="C488" s="168" t="s">
        <v>11522</v>
      </c>
      <c r="D488" s="4">
        <v>44255</v>
      </c>
      <c r="E488" s="6">
        <v>7667927639</v>
      </c>
      <c r="F488" s="6" t="s">
        <v>11523</v>
      </c>
      <c r="G488" s="6">
        <v>0</v>
      </c>
      <c r="H488" s="6">
        <v>752</v>
      </c>
      <c r="I488" s="6">
        <f t="shared" si="38"/>
        <v>887.3599999999999</v>
      </c>
      <c r="J488" s="6" t="s">
        <v>10702</v>
      </c>
      <c r="K488" s="6" t="s">
        <v>11524</v>
      </c>
      <c r="L488" s="6">
        <v>18</v>
      </c>
      <c r="M488" s="5"/>
    </row>
    <row r="489" spans="1:13" ht="14.25" customHeight="1">
      <c r="A489" s="6" t="s">
        <v>11066</v>
      </c>
      <c r="B489" s="6" t="s">
        <v>10936</v>
      </c>
      <c r="C489" s="168" t="s">
        <v>11525</v>
      </c>
      <c r="D489" s="4">
        <v>44283</v>
      </c>
      <c r="F489" s="6" t="s">
        <v>11526</v>
      </c>
      <c r="G489" s="6">
        <v>0</v>
      </c>
      <c r="H489" s="6">
        <v>752</v>
      </c>
      <c r="I489" s="6">
        <f t="shared" si="38"/>
        <v>887.3599999999999</v>
      </c>
      <c r="K489" s="6" t="s">
        <v>11527</v>
      </c>
      <c r="L489" s="6">
        <v>18</v>
      </c>
      <c r="M489" s="5"/>
    </row>
    <row r="490" spans="1:13" ht="14.25" customHeight="1">
      <c r="C490" s="168"/>
      <c r="M490" s="5"/>
    </row>
    <row r="491" spans="1:13" ht="14.25" customHeight="1">
      <c r="C491" s="168"/>
      <c r="M491" s="5"/>
    </row>
    <row r="492" spans="1:13" ht="14.25" customHeight="1">
      <c r="C492" s="168"/>
      <c r="M492" s="5"/>
    </row>
    <row r="493" spans="1:13" ht="14.25" customHeight="1">
      <c r="C493" s="168"/>
      <c r="M493" s="5"/>
    </row>
    <row r="494" spans="1:13" s="395" customFormat="1" ht="14.25" customHeight="1">
      <c r="A494" s="394">
        <f>COUNTIF($A462:$A493,"Bajaj2")</f>
        <v>26</v>
      </c>
      <c r="B494" s="394">
        <f>COUNTIF($A462:$A493,"Bajaj4")</f>
        <v>2</v>
      </c>
      <c r="C494" s="394"/>
      <c r="D494" s="394"/>
      <c r="E494" s="394"/>
      <c r="F494" s="394">
        <f>SUMIF(A462:A493,"Bajaj4",H462:H493)</f>
        <v>6773</v>
      </c>
      <c r="G494" s="394">
        <f>SUMIF(A462:A493,"Bajaj2",G453:G493)</f>
        <v>413</v>
      </c>
      <c r="H494" s="394">
        <f>SUMIF($A462:$A493,"Bajaj2",H462:H493)</f>
        <v>19282</v>
      </c>
      <c r="I494" s="394">
        <f>G494+H494</f>
        <v>19695</v>
      </c>
      <c r="J494" s="394">
        <f>A494*IF(A494&lt;3,0.025,IF(A494&lt;6,100,IF(A494&lt;11,125,150)))+F494*IF(B494&lt;3,0.05,0.1)</f>
        <v>4238.6499999999996</v>
      </c>
      <c r="K494" s="394">
        <f>J494*0.95</f>
        <v>4026.7174999999993</v>
      </c>
      <c r="L494" s="394">
        <f>SUM(L462:L493)</f>
        <v>504</v>
      </c>
      <c r="M494" s="394">
        <f>K494-L494</f>
        <v>3522.7174999999993</v>
      </c>
    </row>
    <row r="495" spans="1:13" ht="14.25" customHeight="1">
      <c r="C495" s="168"/>
      <c r="M495" s="5"/>
    </row>
    <row r="496" spans="1:13" ht="14.25" customHeight="1">
      <c r="C496" s="168"/>
      <c r="M496" s="5"/>
    </row>
    <row r="497" spans="3:13" ht="14.25" customHeight="1">
      <c r="C497" s="168"/>
      <c r="M497" s="5"/>
    </row>
    <row r="498" spans="3:13" ht="14.25" customHeight="1">
      <c r="C498" s="168"/>
      <c r="M498" s="5"/>
    </row>
    <row r="499" spans="3:13" ht="14.25" customHeight="1">
      <c r="C499" s="168"/>
      <c r="M499" s="5"/>
    </row>
    <row r="500" spans="3:13" ht="14.25" customHeight="1">
      <c r="C500" s="168"/>
      <c r="M500" s="5"/>
    </row>
    <row r="501" spans="3:13" ht="14.25" customHeight="1">
      <c r="C501" s="168"/>
      <c r="M501" s="5"/>
    </row>
    <row r="502" spans="3:13" ht="14.25" customHeight="1">
      <c r="C502" s="168"/>
      <c r="M502" s="5"/>
    </row>
    <row r="503" spans="3:13" ht="14.25" customHeight="1">
      <c r="C503" s="168"/>
      <c r="M503" s="5"/>
    </row>
    <row r="504" spans="3:13" ht="14.25" customHeight="1">
      <c r="C504" s="168"/>
      <c r="M504" s="5"/>
    </row>
    <row r="505" spans="3:13" ht="14.25" customHeight="1">
      <c r="C505" s="168"/>
      <c r="M505" s="5"/>
    </row>
    <row r="506" spans="3:13" ht="14.25" customHeight="1">
      <c r="C506" s="168"/>
      <c r="M506" s="5"/>
    </row>
    <row r="507" spans="3:13" ht="14.25" customHeight="1">
      <c r="C507" s="168"/>
      <c r="M507" s="5"/>
    </row>
    <row r="508" spans="3:13" ht="14.25" customHeight="1">
      <c r="C508" s="168"/>
      <c r="M508" s="5"/>
    </row>
    <row r="509" spans="3:13" ht="14.25" customHeight="1">
      <c r="C509" s="168"/>
      <c r="M509" s="5"/>
    </row>
    <row r="510" spans="3:13" ht="14.25" customHeight="1">
      <c r="C510" s="168"/>
      <c r="M510" s="5"/>
    </row>
    <row r="511" spans="3:13" ht="14.25" customHeight="1">
      <c r="C511" s="168"/>
      <c r="M511" s="5"/>
    </row>
    <row r="512" spans="3:13" ht="14.25" customHeight="1">
      <c r="C512" s="168"/>
      <c r="M512" s="5"/>
    </row>
    <row r="513" spans="3:13" ht="14.25" customHeight="1">
      <c r="C513" s="168"/>
      <c r="M513" s="5"/>
    </row>
    <row r="514" spans="3:13" ht="14.25" customHeight="1">
      <c r="C514" s="168"/>
      <c r="M514" s="5"/>
    </row>
    <row r="515" spans="3:13" ht="14.25" customHeight="1">
      <c r="C515" s="168"/>
      <c r="M515" s="5"/>
    </row>
    <row r="516" spans="3:13" ht="14.25" customHeight="1">
      <c r="C516" s="168"/>
      <c r="M516" s="5"/>
    </row>
    <row r="517" spans="3:13" ht="14.25" customHeight="1">
      <c r="C517" s="168"/>
      <c r="M517" s="5"/>
    </row>
    <row r="518" spans="3:13" ht="14.25" customHeight="1">
      <c r="C518" s="168"/>
      <c r="M518" s="5"/>
    </row>
    <row r="519" spans="3:13" ht="14.25" customHeight="1">
      <c r="C519" s="168"/>
      <c r="M519" s="5"/>
    </row>
    <row r="520" spans="3:13" ht="14.25" customHeight="1">
      <c r="C520" s="168"/>
      <c r="M520" s="5"/>
    </row>
    <row r="521" spans="3:13" ht="14.25" customHeight="1">
      <c r="C521" s="168"/>
      <c r="M521" s="5"/>
    </row>
    <row r="522" spans="3:13" ht="14.25" customHeight="1">
      <c r="C522" s="168"/>
      <c r="M522" s="5"/>
    </row>
    <row r="523" spans="3:13" ht="14.25" customHeight="1">
      <c r="C523" s="168"/>
      <c r="M523" s="5"/>
    </row>
    <row r="524" spans="3:13" ht="14.25" customHeight="1">
      <c r="C524" s="168"/>
      <c r="M524" s="5"/>
    </row>
    <row r="525" spans="3:13" ht="14.25" customHeight="1">
      <c r="C525" s="168"/>
      <c r="M525" s="5"/>
    </row>
    <row r="526" spans="3:13" ht="14.25" customHeight="1">
      <c r="C526" s="168"/>
      <c r="M526" s="5"/>
    </row>
    <row r="527" spans="3:13" ht="14.25" customHeight="1">
      <c r="C527" s="168"/>
      <c r="M527" s="5"/>
    </row>
    <row r="528" spans="3:13" ht="14.25" customHeight="1">
      <c r="C528" s="168"/>
      <c r="M528" s="5"/>
    </row>
    <row r="529" spans="3:13" ht="14.25" customHeight="1">
      <c r="C529" s="168"/>
      <c r="M529" s="5"/>
    </row>
    <row r="530" spans="3:13" ht="14.25" customHeight="1">
      <c r="C530" s="168"/>
      <c r="M530" s="5"/>
    </row>
    <row r="531" spans="3:13" ht="14.25" customHeight="1">
      <c r="C531" s="168"/>
      <c r="M531" s="5"/>
    </row>
    <row r="532" spans="3:13" ht="14.25" customHeight="1">
      <c r="C532" s="168"/>
      <c r="M532" s="5"/>
    </row>
    <row r="533" spans="3:13" ht="14.25" customHeight="1">
      <c r="C533" s="168"/>
      <c r="M533" s="5"/>
    </row>
    <row r="534" spans="3:13" ht="14.25" customHeight="1">
      <c r="C534" s="168"/>
      <c r="M534" s="5"/>
    </row>
    <row r="535" spans="3:13" ht="14.25" customHeight="1">
      <c r="C535" s="168"/>
      <c r="M535" s="5"/>
    </row>
    <row r="536" spans="3:13" ht="14.25" customHeight="1">
      <c r="C536" s="168"/>
      <c r="M536" s="5"/>
    </row>
    <row r="537" spans="3:13" ht="14.25" customHeight="1">
      <c r="C537" s="168"/>
      <c r="M537" s="5"/>
    </row>
    <row r="538" spans="3:13" ht="14.25" customHeight="1">
      <c r="C538" s="168"/>
      <c r="M538" s="5"/>
    </row>
    <row r="539" spans="3:13" ht="14.25" customHeight="1">
      <c r="C539" s="168"/>
      <c r="M539" s="5"/>
    </row>
    <row r="540" spans="3:13" ht="14.25" customHeight="1">
      <c r="C540" s="168"/>
      <c r="M540" s="5"/>
    </row>
    <row r="541" spans="3:13" ht="14.25" customHeight="1">
      <c r="C541" s="168"/>
      <c r="M541" s="5"/>
    </row>
    <row r="542" spans="3:13" ht="14.25" customHeight="1">
      <c r="C542" s="168"/>
      <c r="M542" s="5"/>
    </row>
    <row r="543" spans="3:13" ht="14.25" customHeight="1">
      <c r="C543" s="168"/>
      <c r="M543" s="5"/>
    </row>
    <row r="544" spans="3:13" ht="14.25" customHeight="1">
      <c r="C544" s="168"/>
      <c r="M544" s="5"/>
    </row>
    <row r="545" spans="3:13" ht="14.25" customHeight="1">
      <c r="C545" s="168"/>
      <c r="M545" s="5"/>
    </row>
    <row r="546" spans="3:13" ht="14.25" customHeight="1">
      <c r="C546" s="168"/>
      <c r="M546" s="5"/>
    </row>
    <row r="547" spans="3:13" ht="14.25" customHeight="1">
      <c r="C547" s="168"/>
      <c r="M547" s="5"/>
    </row>
    <row r="548" spans="3:13" ht="14.25" customHeight="1">
      <c r="C548" s="168"/>
      <c r="M548" s="5"/>
    </row>
    <row r="549" spans="3:13" ht="14.25" customHeight="1">
      <c r="C549" s="168"/>
      <c r="M549" s="5"/>
    </row>
    <row r="550" spans="3:13" ht="14.25" customHeight="1">
      <c r="C550" s="168"/>
      <c r="M550" s="5"/>
    </row>
    <row r="551" spans="3:13" ht="14.25" customHeight="1">
      <c r="C551" s="168"/>
      <c r="M551" s="5"/>
    </row>
    <row r="552" spans="3:13" ht="14.25" customHeight="1">
      <c r="C552" s="168"/>
      <c r="M552" s="5"/>
    </row>
    <row r="553" spans="3:13" ht="14.25" customHeight="1">
      <c r="C553" s="168"/>
      <c r="M553" s="5"/>
    </row>
    <row r="554" spans="3:13" ht="14.25" customHeight="1">
      <c r="C554" s="168"/>
      <c r="M554" s="5"/>
    </row>
    <row r="555" spans="3:13" ht="14.25" customHeight="1">
      <c r="C555" s="168"/>
      <c r="M555" s="5"/>
    </row>
    <row r="556" spans="3:13" ht="14.25" customHeight="1">
      <c r="C556" s="168"/>
      <c r="M556" s="5"/>
    </row>
    <row r="557" spans="3:13" ht="14.25" customHeight="1">
      <c r="C557" s="168"/>
      <c r="M557" s="5"/>
    </row>
    <row r="558" spans="3:13" ht="14.25" customHeight="1">
      <c r="C558" s="168"/>
      <c r="M558" s="5"/>
    </row>
    <row r="559" spans="3:13" ht="14.25" customHeight="1">
      <c r="C559" s="168"/>
      <c r="M559" s="5"/>
    </row>
    <row r="560" spans="3:13" ht="14.25" customHeight="1">
      <c r="C560" s="168"/>
      <c r="M560" s="5"/>
    </row>
    <row r="561" spans="3:13" ht="14.25" customHeight="1">
      <c r="C561" s="168"/>
      <c r="M561" s="5"/>
    </row>
    <row r="562" spans="3:13" ht="14.25" customHeight="1">
      <c r="C562" s="168"/>
      <c r="M562" s="5"/>
    </row>
    <row r="563" spans="3:13" ht="14.25" customHeight="1">
      <c r="C563" s="168"/>
      <c r="M563" s="5"/>
    </row>
    <row r="564" spans="3:13" ht="14.25" customHeight="1">
      <c r="C564" s="168"/>
      <c r="M564" s="5"/>
    </row>
    <row r="565" spans="3:13" ht="14.25" customHeight="1">
      <c r="C565" s="168"/>
      <c r="M565" s="5"/>
    </row>
    <row r="566" spans="3:13" ht="14.25" customHeight="1">
      <c r="C566" s="168"/>
      <c r="M566" s="5"/>
    </row>
    <row r="567" spans="3:13" ht="14.25" customHeight="1">
      <c r="C567" s="168"/>
      <c r="M567" s="5"/>
    </row>
    <row r="568" spans="3:13" ht="14.25" customHeight="1">
      <c r="C568" s="168"/>
      <c r="M568" s="5"/>
    </row>
    <row r="569" spans="3:13" ht="14.25" customHeight="1">
      <c r="C569" s="168"/>
      <c r="M569" s="5"/>
    </row>
    <row r="570" spans="3:13" ht="14.25" customHeight="1">
      <c r="C570" s="168"/>
      <c r="M570" s="5"/>
    </row>
    <row r="571" spans="3:13" ht="14.25" customHeight="1">
      <c r="C571" s="168"/>
      <c r="M571" s="5"/>
    </row>
    <row r="572" spans="3:13" ht="14.25" customHeight="1">
      <c r="C572" s="168"/>
      <c r="M572" s="5"/>
    </row>
    <row r="573" spans="3:13" ht="14.25" customHeight="1">
      <c r="C573" s="168"/>
      <c r="M573" s="5"/>
    </row>
    <row r="574" spans="3:13" ht="14.25" customHeight="1">
      <c r="C574" s="168"/>
      <c r="M574" s="5"/>
    </row>
    <row r="575" spans="3:13" ht="14.25" customHeight="1">
      <c r="C575" s="168"/>
      <c r="M575" s="5"/>
    </row>
    <row r="576" spans="3:13" ht="14.25" customHeight="1">
      <c r="C576" s="168"/>
      <c r="M576" s="5"/>
    </row>
    <row r="577" spans="3:13" ht="14.25" customHeight="1">
      <c r="C577" s="168"/>
      <c r="M577" s="5"/>
    </row>
    <row r="578" spans="3:13" ht="14.25" customHeight="1">
      <c r="C578" s="168"/>
      <c r="M578" s="5"/>
    </row>
    <row r="579" spans="3:13" ht="14.25" customHeight="1">
      <c r="C579" s="168"/>
      <c r="M579" s="5"/>
    </row>
    <row r="580" spans="3:13" ht="14.25" customHeight="1">
      <c r="C580" s="168"/>
      <c r="M580" s="5"/>
    </row>
    <row r="581" spans="3:13" ht="14.25" customHeight="1">
      <c r="C581" s="168"/>
      <c r="M581" s="5"/>
    </row>
    <row r="582" spans="3:13" ht="14.25" customHeight="1">
      <c r="C582" s="168"/>
      <c r="M582" s="5"/>
    </row>
    <row r="583" spans="3:13" ht="14.25" customHeight="1">
      <c r="C583" s="168"/>
      <c r="M583" s="5"/>
    </row>
    <row r="584" spans="3:13" ht="14.25" customHeight="1">
      <c r="C584" s="168"/>
      <c r="M584" s="5"/>
    </row>
    <row r="585" spans="3:13" ht="14.25" customHeight="1">
      <c r="C585" s="168"/>
      <c r="M585" s="5"/>
    </row>
    <row r="586" spans="3:13" ht="14.25" customHeight="1">
      <c r="C586" s="168"/>
      <c r="M586" s="5"/>
    </row>
    <row r="587" spans="3:13" ht="14.25" customHeight="1">
      <c r="C587" s="168"/>
      <c r="M587" s="5"/>
    </row>
    <row r="588" spans="3:13" ht="14.25" customHeight="1">
      <c r="C588" s="168"/>
      <c r="M588" s="5"/>
    </row>
    <row r="589" spans="3:13" ht="14.25" customHeight="1">
      <c r="C589" s="168"/>
      <c r="M589" s="5"/>
    </row>
    <row r="590" spans="3:13" ht="14.25" customHeight="1">
      <c r="C590" s="168"/>
      <c r="M590" s="5"/>
    </row>
    <row r="591" spans="3:13" ht="14.25" customHeight="1">
      <c r="C591" s="168"/>
      <c r="M591" s="5"/>
    </row>
    <row r="592" spans="3:13" ht="14.25" customHeight="1">
      <c r="C592" s="168"/>
      <c r="M592" s="5"/>
    </row>
    <row r="593" spans="3:13" ht="14.25" customHeight="1">
      <c r="C593" s="168"/>
      <c r="M593" s="5"/>
    </row>
    <row r="594" spans="3:13" ht="14.25" customHeight="1">
      <c r="C594" s="168"/>
      <c r="M594" s="5"/>
    </row>
    <row r="595" spans="3:13" ht="14.25" customHeight="1">
      <c r="C595" s="168"/>
      <c r="M595" s="5"/>
    </row>
    <row r="596" spans="3:13" ht="14.25" customHeight="1">
      <c r="C596" s="168"/>
      <c r="M596" s="5"/>
    </row>
    <row r="597" spans="3:13" ht="14.25" customHeight="1">
      <c r="C597" s="168"/>
      <c r="M597" s="5"/>
    </row>
    <row r="598" spans="3:13" ht="14.25" customHeight="1">
      <c r="C598" s="168"/>
      <c r="M598" s="5"/>
    </row>
    <row r="599" spans="3:13" ht="14.25" customHeight="1">
      <c r="C599" s="168"/>
      <c r="M599" s="5"/>
    </row>
    <row r="600" spans="3:13" ht="14.25" customHeight="1">
      <c r="C600" s="168"/>
      <c r="M600" s="5"/>
    </row>
    <row r="601" spans="3:13" ht="14.25" customHeight="1">
      <c r="C601" s="168"/>
      <c r="M601" s="5"/>
    </row>
    <row r="602" spans="3:13" ht="14.25" customHeight="1">
      <c r="C602" s="168"/>
      <c r="M602" s="5"/>
    </row>
    <row r="603" spans="3:13" ht="14.25" customHeight="1">
      <c r="C603" s="168"/>
      <c r="M603" s="5"/>
    </row>
    <row r="604" spans="3:13" ht="14.25" customHeight="1">
      <c r="C604" s="168"/>
      <c r="M604" s="5"/>
    </row>
    <row r="605" spans="3:13" ht="14.25" customHeight="1">
      <c r="C605" s="168"/>
      <c r="M605" s="5"/>
    </row>
    <row r="606" spans="3:13" ht="14.25" customHeight="1">
      <c r="C606" s="168"/>
      <c r="M606" s="5"/>
    </row>
    <row r="607" spans="3:13" ht="14.25" customHeight="1">
      <c r="C607" s="168"/>
      <c r="M607" s="5"/>
    </row>
    <row r="608" spans="3:13" ht="14.25" customHeight="1">
      <c r="C608" s="168"/>
      <c r="M608" s="5"/>
    </row>
    <row r="609" spans="3:13" ht="14.25" customHeight="1">
      <c r="C609" s="168"/>
      <c r="M609" s="5"/>
    </row>
    <row r="610" spans="3:13" ht="14.25" customHeight="1">
      <c r="C610" s="168"/>
      <c r="M610" s="5"/>
    </row>
    <row r="611" spans="3:13" ht="14.25" customHeight="1">
      <c r="C611" s="168"/>
      <c r="M611" s="5"/>
    </row>
    <row r="612" spans="3:13" ht="14.25" customHeight="1">
      <c r="C612" s="168"/>
      <c r="M612" s="5"/>
    </row>
    <row r="613" spans="3:13" ht="14.25" customHeight="1">
      <c r="C613" s="168"/>
      <c r="M613" s="5"/>
    </row>
    <row r="614" spans="3:13" ht="14.25" customHeight="1">
      <c r="C614" s="168"/>
      <c r="M614" s="5"/>
    </row>
    <row r="615" spans="3:13" ht="14.25" customHeight="1">
      <c r="C615" s="168"/>
      <c r="M615" s="5"/>
    </row>
    <row r="616" spans="3:13" ht="14.25" customHeight="1">
      <c r="C616" s="168"/>
      <c r="M616" s="5"/>
    </row>
    <row r="617" spans="3:13" ht="14.25" customHeight="1">
      <c r="C617" s="168"/>
      <c r="M617" s="5"/>
    </row>
    <row r="618" spans="3:13" ht="14.25" customHeight="1">
      <c r="C618" s="168"/>
      <c r="M618" s="5"/>
    </row>
    <row r="619" spans="3:13" ht="14.25" customHeight="1">
      <c r="C619" s="168"/>
      <c r="M619" s="5"/>
    </row>
    <row r="620" spans="3:13" ht="14.25" customHeight="1">
      <c r="C620" s="168"/>
      <c r="M620" s="5"/>
    </row>
    <row r="621" spans="3:13" ht="14.25" customHeight="1">
      <c r="C621" s="168"/>
      <c r="M621" s="5"/>
    </row>
    <row r="622" spans="3:13" ht="14.25" customHeight="1">
      <c r="C622" s="168"/>
      <c r="M622" s="5"/>
    </row>
    <row r="623" spans="3:13" ht="14.25" customHeight="1">
      <c r="C623" s="168"/>
      <c r="M623" s="5"/>
    </row>
    <row r="624" spans="3:13" ht="14.25" customHeight="1">
      <c r="C624" s="168"/>
      <c r="M624" s="5"/>
    </row>
    <row r="625" spans="3:13" ht="14.25" customHeight="1">
      <c r="C625" s="168"/>
      <c r="M625" s="5"/>
    </row>
    <row r="626" spans="3:13" ht="14.25" customHeight="1">
      <c r="C626" s="168"/>
      <c r="M626" s="5"/>
    </row>
    <row r="627" spans="3:13" ht="14.25" customHeight="1">
      <c r="C627" s="168"/>
      <c r="M627" s="5"/>
    </row>
    <row r="628" spans="3:13" ht="14.25" customHeight="1">
      <c r="C628" s="168"/>
      <c r="M628" s="5"/>
    </row>
    <row r="629" spans="3:13" ht="14.25" customHeight="1">
      <c r="C629" s="168"/>
      <c r="M629" s="5"/>
    </row>
    <row r="630" spans="3:13" ht="14.25" customHeight="1">
      <c r="C630" s="168"/>
      <c r="M630" s="5"/>
    </row>
    <row r="631" spans="3:13" ht="14.25" customHeight="1">
      <c r="C631" s="168"/>
      <c r="M631" s="5"/>
    </row>
    <row r="632" spans="3:13" ht="14.25" customHeight="1">
      <c r="C632" s="168"/>
      <c r="M632" s="5"/>
    </row>
    <row r="633" spans="3:13" ht="14.25" customHeight="1">
      <c r="C633" s="168"/>
      <c r="M633" s="5"/>
    </row>
    <row r="634" spans="3:13" ht="14.25" customHeight="1">
      <c r="C634" s="168"/>
      <c r="M634" s="5"/>
    </row>
    <row r="635" spans="3:13" ht="14.25" customHeight="1">
      <c r="C635" s="168"/>
      <c r="M635" s="5"/>
    </row>
    <row r="636" spans="3:13" ht="14.25" customHeight="1">
      <c r="C636" s="168"/>
      <c r="M636" s="5"/>
    </row>
    <row r="637" spans="3:13" ht="14.25" customHeight="1">
      <c r="C637" s="168"/>
      <c r="M637" s="5"/>
    </row>
    <row r="638" spans="3:13" ht="14.25" customHeight="1">
      <c r="C638" s="168"/>
      <c r="M638" s="5"/>
    </row>
    <row r="639" spans="3:13" ht="14.25" customHeight="1">
      <c r="C639" s="168"/>
      <c r="M639" s="5"/>
    </row>
    <row r="640" spans="3:13" ht="14.25" customHeight="1">
      <c r="C640" s="168"/>
      <c r="M640" s="5"/>
    </row>
    <row r="641" spans="3:13" ht="14.25" customHeight="1">
      <c r="C641" s="168"/>
      <c r="M641" s="5"/>
    </row>
    <row r="642" spans="3:13" ht="14.25" customHeight="1">
      <c r="C642" s="168"/>
      <c r="M642" s="5"/>
    </row>
    <row r="643" spans="3:13" ht="14.25" customHeight="1">
      <c r="C643" s="168"/>
      <c r="M643" s="5"/>
    </row>
    <row r="644" spans="3:13" ht="14.25" customHeight="1">
      <c r="C644" s="168"/>
      <c r="M644" s="5"/>
    </row>
    <row r="645" spans="3:13" ht="14.25" customHeight="1">
      <c r="C645" s="168"/>
      <c r="M645" s="5"/>
    </row>
    <row r="646" spans="3:13" ht="14.25" customHeight="1">
      <c r="C646" s="168"/>
      <c r="M646" s="5"/>
    </row>
    <row r="647" spans="3:13" ht="14.25" customHeight="1">
      <c r="C647" s="168"/>
      <c r="M647" s="5"/>
    </row>
    <row r="648" spans="3:13" ht="14.25" customHeight="1">
      <c r="C648" s="168"/>
      <c r="M648" s="5"/>
    </row>
    <row r="649" spans="3:13" ht="14.25" customHeight="1">
      <c r="C649" s="168"/>
      <c r="M649" s="5"/>
    </row>
    <row r="650" spans="3:13" ht="14.25" customHeight="1">
      <c r="C650" s="168"/>
      <c r="M650" s="5"/>
    </row>
    <row r="651" spans="3:13" ht="14.25" customHeight="1">
      <c r="C651" s="168"/>
      <c r="M651" s="5"/>
    </row>
    <row r="652" spans="3:13" ht="14.25" customHeight="1">
      <c r="C652" s="168"/>
      <c r="M652" s="5"/>
    </row>
    <row r="653" spans="3:13" ht="14.25" customHeight="1">
      <c r="C653" s="168"/>
      <c r="M653" s="5"/>
    </row>
    <row r="654" spans="3:13" ht="14.25" customHeight="1">
      <c r="C654" s="168"/>
      <c r="M654" s="5"/>
    </row>
    <row r="655" spans="3:13" ht="14.25" customHeight="1">
      <c r="C655" s="168"/>
      <c r="M655" s="5"/>
    </row>
    <row r="656" spans="3:13" ht="14.25" customHeight="1">
      <c r="C656" s="168"/>
      <c r="M656" s="5"/>
    </row>
    <row r="657" spans="3:13" ht="14.25" customHeight="1">
      <c r="C657" s="168"/>
      <c r="M657" s="5"/>
    </row>
    <row r="658" spans="3:13" ht="14.25" customHeight="1">
      <c r="C658" s="168"/>
      <c r="M658" s="5"/>
    </row>
    <row r="659" spans="3:13" ht="14.25" customHeight="1">
      <c r="C659" s="168"/>
      <c r="M659" s="5"/>
    </row>
    <row r="660" spans="3:13" ht="14.25" customHeight="1">
      <c r="C660" s="168"/>
      <c r="M660" s="5"/>
    </row>
    <row r="661" spans="3:13" ht="14.25" customHeight="1">
      <c r="C661" s="168"/>
      <c r="M661" s="5"/>
    </row>
    <row r="662" spans="3:13" ht="14.25" customHeight="1">
      <c r="C662" s="168"/>
      <c r="M662" s="5"/>
    </row>
    <row r="663" spans="3:13" ht="14.25" customHeight="1">
      <c r="C663" s="168"/>
      <c r="M663" s="5"/>
    </row>
    <row r="664" spans="3:13" ht="14.25" customHeight="1">
      <c r="C664" s="168"/>
      <c r="M664" s="5"/>
    </row>
    <row r="665" spans="3:13" ht="14.25" customHeight="1">
      <c r="C665" s="168"/>
      <c r="M665" s="5"/>
    </row>
    <row r="666" spans="3:13" ht="14.25" customHeight="1">
      <c r="C666" s="168"/>
      <c r="M666" s="5"/>
    </row>
    <row r="667" spans="3:13" ht="14.25" customHeight="1">
      <c r="C667" s="168"/>
      <c r="M667" s="5"/>
    </row>
    <row r="668" spans="3:13" ht="14.25" customHeight="1">
      <c r="C668" s="168"/>
      <c r="M668" s="5"/>
    </row>
    <row r="669" spans="3:13" ht="14.25" customHeight="1">
      <c r="C669" s="168"/>
      <c r="M669" s="5"/>
    </row>
    <row r="670" spans="3:13" ht="14.25" customHeight="1">
      <c r="C670" s="168"/>
      <c r="M670" s="5"/>
    </row>
    <row r="671" spans="3:13" ht="14.25" customHeight="1">
      <c r="C671" s="168"/>
      <c r="M671" s="5"/>
    </row>
    <row r="672" spans="3:13" ht="14.25" customHeight="1">
      <c r="C672" s="168"/>
      <c r="M672" s="5"/>
    </row>
    <row r="673" spans="3:13" ht="14.25" customHeight="1">
      <c r="C673" s="168"/>
      <c r="M673" s="5"/>
    </row>
    <row r="674" spans="3:13" ht="14.25" customHeight="1">
      <c r="C674" s="168"/>
      <c r="M674" s="5"/>
    </row>
    <row r="675" spans="3:13" ht="14.25" customHeight="1">
      <c r="C675" s="168"/>
      <c r="M675" s="5"/>
    </row>
    <row r="676" spans="3:13" ht="14.25" customHeight="1">
      <c r="C676" s="168"/>
      <c r="M676" s="5"/>
    </row>
    <row r="677" spans="3:13" ht="14.25" customHeight="1">
      <c r="C677" s="168"/>
      <c r="M677" s="5"/>
    </row>
    <row r="678" spans="3:13" ht="14.25" customHeight="1">
      <c r="C678" s="168"/>
      <c r="M678" s="5"/>
    </row>
    <row r="679" spans="3:13" ht="14.25" customHeight="1">
      <c r="C679" s="168"/>
      <c r="M679" s="5"/>
    </row>
    <row r="680" spans="3:13" ht="14.25" customHeight="1">
      <c r="C680" s="168"/>
      <c r="M680" s="5"/>
    </row>
    <row r="681" spans="3:13" ht="14.25" customHeight="1">
      <c r="C681" s="168"/>
      <c r="M681" s="5"/>
    </row>
    <row r="682" spans="3:13" ht="14.25" customHeight="1">
      <c r="C682" s="168"/>
      <c r="M682" s="5"/>
    </row>
    <row r="683" spans="3:13" ht="14.25" customHeight="1">
      <c r="C683" s="168"/>
      <c r="M683" s="5"/>
    </row>
    <row r="684" spans="3:13" ht="14.25" customHeight="1">
      <c r="C684" s="168"/>
      <c r="M684" s="5"/>
    </row>
    <row r="685" spans="3:13" ht="14.25" customHeight="1">
      <c r="C685" s="168"/>
      <c r="M685" s="5"/>
    </row>
    <row r="686" spans="3:13" ht="14.25" customHeight="1">
      <c r="C686" s="168"/>
      <c r="M686" s="5"/>
    </row>
    <row r="687" spans="3:13" ht="14.25" customHeight="1">
      <c r="C687" s="168"/>
      <c r="M687" s="5"/>
    </row>
    <row r="688" spans="3:13" ht="14.25" customHeight="1">
      <c r="C688" s="168"/>
      <c r="M688" s="5"/>
    </row>
    <row r="689" spans="3:13" ht="14.25" customHeight="1">
      <c r="C689" s="168"/>
      <c r="M689" s="5"/>
    </row>
    <row r="690" spans="3:13" ht="14.25" customHeight="1">
      <c r="C690" s="168"/>
      <c r="M690" s="5"/>
    </row>
    <row r="691" spans="3:13" ht="14.25" customHeight="1">
      <c r="C691" s="168"/>
      <c r="M691" s="5"/>
    </row>
    <row r="692" spans="3:13" ht="14.25" customHeight="1">
      <c r="C692" s="168"/>
      <c r="M692" s="5"/>
    </row>
    <row r="693" spans="3:13" ht="14.25" customHeight="1">
      <c r="C693" s="168"/>
      <c r="M693" s="5"/>
    </row>
    <row r="694" spans="3:13" ht="14.25" customHeight="1">
      <c r="C694" s="168"/>
      <c r="M694" s="5"/>
    </row>
    <row r="695" spans="3:13" ht="14.25" customHeight="1">
      <c r="C695" s="168"/>
      <c r="M695" s="5"/>
    </row>
    <row r="696" spans="3:13" ht="14.25" customHeight="1">
      <c r="C696" s="168"/>
      <c r="M696" s="5"/>
    </row>
    <row r="697" spans="3:13" ht="14.25" customHeight="1">
      <c r="C697" s="168"/>
      <c r="M697" s="5"/>
    </row>
    <row r="698" spans="3:13" ht="14.25" customHeight="1">
      <c r="C698" s="168"/>
      <c r="M698" s="5"/>
    </row>
    <row r="699" spans="3:13" ht="14.25" customHeight="1">
      <c r="C699" s="168"/>
      <c r="M699" s="5"/>
    </row>
    <row r="700" spans="3:13" ht="14.25" customHeight="1">
      <c r="C700" s="168"/>
      <c r="M700" s="5"/>
    </row>
    <row r="701" spans="3:13" ht="14.25" customHeight="1">
      <c r="C701" s="168"/>
      <c r="M701" s="5"/>
    </row>
    <row r="702" spans="3:13" ht="14.25" customHeight="1">
      <c r="C702" s="168"/>
      <c r="M702" s="5"/>
    </row>
    <row r="703" spans="3:13" ht="14.25" customHeight="1">
      <c r="C703" s="168"/>
      <c r="M703" s="5"/>
    </row>
    <row r="704" spans="3:13" ht="14.25" customHeight="1">
      <c r="C704" s="168"/>
      <c r="M704" s="5"/>
    </row>
    <row r="705" spans="3:13" ht="14.25" customHeight="1">
      <c r="C705" s="168"/>
      <c r="M705" s="5"/>
    </row>
    <row r="706" spans="3:13" ht="14.25" customHeight="1">
      <c r="C706" s="168"/>
      <c r="M706" s="5"/>
    </row>
    <row r="707" spans="3:13" ht="14.25" customHeight="1">
      <c r="C707" s="168"/>
      <c r="M707" s="5"/>
    </row>
    <row r="708" spans="3:13" ht="14.25" customHeight="1">
      <c r="C708" s="168"/>
      <c r="M708" s="5"/>
    </row>
    <row r="709" spans="3:13" ht="14.25" customHeight="1">
      <c r="C709" s="168"/>
      <c r="M709" s="5"/>
    </row>
    <row r="710" spans="3:13" ht="14.25" customHeight="1">
      <c r="C710" s="168"/>
      <c r="M710" s="5"/>
    </row>
    <row r="711" spans="3:13" ht="14.25" customHeight="1">
      <c r="C711" s="168"/>
      <c r="M711" s="5"/>
    </row>
    <row r="712" spans="3:13" ht="14.25" customHeight="1">
      <c r="C712" s="168"/>
      <c r="M712" s="5"/>
    </row>
    <row r="713" spans="3:13" ht="14.25" customHeight="1">
      <c r="C713" s="168"/>
      <c r="M713" s="5"/>
    </row>
    <row r="714" spans="3:13" ht="14.25" customHeight="1">
      <c r="C714" s="168"/>
      <c r="M714" s="5"/>
    </row>
    <row r="715" spans="3:13" ht="14.25" customHeight="1">
      <c r="C715" s="168"/>
      <c r="M715" s="5"/>
    </row>
    <row r="716" spans="3:13" ht="14.25" customHeight="1">
      <c r="C716" s="168"/>
      <c r="M716" s="5"/>
    </row>
    <row r="717" spans="3:13" ht="14.25" customHeight="1">
      <c r="C717" s="168"/>
      <c r="M717" s="5"/>
    </row>
    <row r="718" spans="3:13" ht="14.25" customHeight="1">
      <c r="C718" s="168"/>
      <c r="M718" s="5"/>
    </row>
    <row r="719" spans="3:13" ht="14.25" customHeight="1">
      <c r="C719" s="168"/>
      <c r="M719" s="5"/>
    </row>
    <row r="720" spans="3:13" ht="14.25" customHeight="1">
      <c r="C720" s="168"/>
      <c r="M720" s="5"/>
    </row>
    <row r="721" spans="3:13" ht="14.25" customHeight="1">
      <c r="C721" s="168"/>
      <c r="M721" s="5"/>
    </row>
    <row r="722" spans="3:13" ht="14.25" customHeight="1">
      <c r="C722" s="168"/>
      <c r="M722" s="5"/>
    </row>
    <row r="723" spans="3:13" ht="14.25" customHeight="1">
      <c r="C723" s="168"/>
      <c r="M723" s="5"/>
    </row>
    <row r="724" spans="3:13" ht="14.25" customHeight="1">
      <c r="C724" s="168"/>
      <c r="M724" s="5"/>
    </row>
    <row r="725" spans="3:13" ht="14.25" customHeight="1">
      <c r="C725" s="168"/>
      <c r="M725" s="5"/>
    </row>
    <row r="726" spans="3:13" ht="14.25" customHeight="1">
      <c r="C726" s="168"/>
      <c r="M726" s="5"/>
    </row>
    <row r="727" spans="3:13" ht="14.25" customHeight="1">
      <c r="C727" s="168"/>
      <c r="M727" s="5"/>
    </row>
    <row r="728" spans="3:13" ht="14.25" customHeight="1">
      <c r="C728" s="168"/>
      <c r="M728" s="5"/>
    </row>
    <row r="729" spans="3:13" ht="14.25" customHeight="1">
      <c r="C729" s="168"/>
      <c r="M729" s="5"/>
    </row>
    <row r="730" spans="3:13" ht="14.25" customHeight="1">
      <c r="C730" s="168"/>
      <c r="M730" s="5"/>
    </row>
    <row r="731" spans="3:13" ht="14.25" customHeight="1">
      <c r="C731" s="168"/>
      <c r="M731" s="5"/>
    </row>
    <row r="732" spans="3:13" ht="14.25" customHeight="1">
      <c r="C732" s="168"/>
      <c r="M732" s="5"/>
    </row>
    <row r="733" spans="3:13" ht="14.25" customHeight="1">
      <c r="C733" s="168"/>
      <c r="M733" s="5"/>
    </row>
    <row r="734" spans="3:13" ht="14.25" customHeight="1">
      <c r="C734" s="168"/>
      <c r="M734" s="5"/>
    </row>
    <row r="735" spans="3:13" ht="14.25" customHeight="1">
      <c r="C735" s="168"/>
      <c r="M735" s="5"/>
    </row>
    <row r="736" spans="3:13" ht="14.25" customHeight="1">
      <c r="C736" s="168"/>
      <c r="M736" s="5"/>
    </row>
    <row r="737" spans="3:13" ht="14.25" customHeight="1">
      <c r="C737" s="168"/>
      <c r="M737" s="5"/>
    </row>
    <row r="738" spans="3:13" ht="14.25" customHeight="1">
      <c r="C738" s="168"/>
      <c r="M738" s="5"/>
    </row>
    <row r="739" spans="3:13" ht="14.25" customHeight="1">
      <c r="C739" s="168"/>
      <c r="M739" s="5"/>
    </row>
    <row r="740" spans="3:13" ht="14.25" customHeight="1">
      <c r="C740" s="168"/>
      <c r="M740" s="5"/>
    </row>
    <row r="741" spans="3:13" ht="14.25" customHeight="1">
      <c r="C741" s="168"/>
      <c r="M741" s="5"/>
    </row>
    <row r="742" spans="3:13" ht="14.25" customHeight="1">
      <c r="C742" s="168"/>
      <c r="M742" s="5"/>
    </row>
    <row r="743" spans="3:13" ht="14.25" customHeight="1">
      <c r="C743" s="168"/>
      <c r="M743" s="5"/>
    </row>
    <row r="744" spans="3:13" ht="14.25" customHeight="1">
      <c r="C744" s="168"/>
      <c r="M744" s="5"/>
    </row>
    <row r="745" spans="3:13" ht="14.25" customHeight="1">
      <c r="C745" s="168"/>
      <c r="M745" s="5"/>
    </row>
    <row r="746" spans="3:13" ht="14.25" customHeight="1">
      <c r="C746" s="168"/>
      <c r="M746" s="5"/>
    </row>
    <row r="747" spans="3:13" ht="14.25" customHeight="1">
      <c r="C747" s="168"/>
      <c r="M747" s="5"/>
    </row>
    <row r="748" spans="3:13" ht="14.25" customHeight="1">
      <c r="C748" s="168"/>
      <c r="M748" s="5"/>
    </row>
    <row r="749" spans="3:13" ht="14.25" customHeight="1">
      <c r="C749" s="168"/>
      <c r="M749" s="5"/>
    </row>
    <row r="750" spans="3:13" ht="14.25" customHeight="1">
      <c r="C750" s="168"/>
      <c r="M750" s="5"/>
    </row>
    <row r="751" spans="3:13" ht="14.25" customHeight="1">
      <c r="C751" s="168"/>
      <c r="M751" s="5"/>
    </row>
    <row r="752" spans="3:13" ht="14.25" customHeight="1">
      <c r="C752" s="168"/>
      <c r="M752" s="5"/>
    </row>
    <row r="753" spans="3:13" ht="14.25" customHeight="1">
      <c r="C753" s="168"/>
      <c r="M753" s="5"/>
    </row>
    <row r="754" spans="3:13" ht="14.25" customHeight="1">
      <c r="C754" s="168"/>
      <c r="M754" s="5"/>
    </row>
    <row r="755" spans="3:13" ht="14.25" customHeight="1">
      <c r="C755" s="168"/>
      <c r="M755" s="5"/>
    </row>
    <row r="756" spans="3:13" ht="14.25" customHeight="1">
      <c r="C756" s="168"/>
      <c r="M756" s="5"/>
    </row>
    <row r="757" spans="3:13" ht="14.25" customHeight="1">
      <c r="C757" s="168"/>
      <c r="M757" s="5"/>
    </row>
    <row r="758" spans="3:13" ht="14.25" customHeight="1">
      <c r="C758" s="168"/>
      <c r="M758" s="5"/>
    </row>
    <row r="759" spans="3:13" ht="14.25" customHeight="1">
      <c r="C759" s="168"/>
      <c r="M759" s="5"/>
    </row>
    <row r="760" spans="3:13" ht="14.25" customHeight="1">
      <c r="C760" s="168"/>
      <c r="M760" s="5"/>
    </row>
    <row r="761" spans="3:13" ht="14.25" customHeight="1">
      <c r="C761" s="168"/>
      <c r="M761" s="5"/>
    </row>
    <row r="762" spans="3:13" ht="14.25" customHeight="1">
      <c r="C762" s="168"/>
      <c r="M762" s="5"/>
    </row>
    <row r="763" spans="3:13" ht="14.25" customHeight="1">
      <c r="C763" s="168"/>
      <c r="M763" s="5"/>
    </row>
    <row r="764" spans="3:13" ht="14.25" customHeight="1">
      <c r="C764" s="168"/>
      <c r="M764" s="5"/>
    </row>
    <row r="765" spans="3:13" ht="14.25" customHeight="1">
      <c r="C765" s="168"/>
      <c r="M765" s="5"/>
    </row>
    <row r="766" spans="3:13" ht="14.25" customHeight="1">
      <c r="C766" s="168"/>
      <c r="M766" s="5"/>
    </row>
    <row r="767" spans="3:13" ht="14.25" customHeight="1">
      <c r="C767" s="168"/>
      <c r="M767" s="5"/>
    </row>
    <row r="768" spans="3:13" ht="14.25" customHeight="1">
      <c r="C768" s="168"/>
      <c r="M768" s="5"/>
    </row>
    <row r="769" spans="3:13" ht="14.25" customHeight="1">
      <c r="C769" s="168"/>
      <c r="M769" s="5"/>
    </row>
    <row r="770" spans="3:13" ht="14.25" customHeight="1">
      <c r="C770" s="168"/>
      <c r="M770" s="5"/>
    </row>
    <row r="771" spans="3:13" ht="14.25" customHeight="1">
      <c r="C771" s="168"/>
      <c r="M771" s="5"/>
    </row>
    <row r="772" spans="3:13" ht="14.25" customHeight="1">
      <c r="C772" s="168"/>
      <c r="M772" s="5"/>
    </row>
    <row r="773" spans="3:13" ht="14.25" customHeight="1">
      <c r="C773" s="168"/>
      <c r="M773" s="5"/>
    </row>
    <row r="774" spans="3:13" ht="14.25" customHeight="1">
      <c r="C774" s="168"/>
      <c r="M774" s="5"/>
    </row>
    <row r="775" spans="3:13" ht="14.25" customHeight="1">
      <c r="C775" s="168"/>
      <c r="M775" s="5"/>
    </row>
    <row r="776" spans="3:13" ht="14.25" customHeight="1">
      <c r="C776" s="168"/>
      <c r="M776" s="5"/>
    </row>
    <row r="777" spans="3:13" ht="14.25" customHeight="1">
      <c r="C777" s="168"/>
      <c r="M777" s="5"/>
    </row>
    <row r="778" spans="3:13" ht="14.25" customHeight="1">
      <c r="C778" s="168"/>
      <c r="M778" s="5"/>
    </row>
    <row r="779" spans="3:13" ht="14.25" customHeight="1">
      <c r="C779" s="168"/>
      <c r="M779" s="5"/>
    </row>
    <row r="780" spans="3:13" ht="14.25" customHeight="1">
      <c r="C780" s="168"/>
      <c r="M780" s="5"/>
    </row>
    <row r="781" spans="3:13" ht="14.25" customHeight="1">
      <c r="C781" s="168"/>
      <c r="M781" s="5"/>
    </row>
    <row r="782" spans="3:13" ht="14.25" customHeight="1">
      <c r="C782" s="168"/>
      <c r="M782" s="5"/>
    </row>
    <row r="783" spans="3:13" ht="14.25" customHeight="1">
      <c r="C783" s="168"/>
      <c r="M783" s="5"/>
    </row>
    <row r="784" spans="3:13" ht="14.25" customHeight="1">
      <c r="C784" s="168"/>
      <c r="M784" s="5"/>
    </row>
    <row r="785" spans="3:13" ht="14.25" customHeight="1">
      <c r="C785" s="168"/>
      <c r="M785" s="5"/>
    </row>
    <row r="786" spans="3:13" ht="14.25" customHeight="1">
      <c r="C786" s="168"/>
      <c r="M786" s="5"/>
    </row>
    <row r="787" spans="3:13" ht="14.25" customHeight="1">
      <c r="C787" s="168"/>
      <c r="M787" s="5"/>
    </row>
    <row r="788" spans="3:13" ht="14.25" customHeight="1">
      <c r="C788" s="168"/>
      <c r="M788" s="5"/>
    </row>
    <row r="789" spans="3:13" ht="14.25" customHeight="1">
      <c r="C789" s="168"/>
      <c r="M789" s="5"/>
    </row>
    <row r="790" spans="3:13" ht="14.25" customHeight="1">
      <c r="C790" s="168"/>
      <c r="M790" s="5"/>
    </row>
    <row r="791" spans="3:13" ht="14.25" customHeight="1">
      <c r="C791" s="168"/>
      <c r="M791" s="5"/>
    </row>
    <row r="792" spans="3:13" ht="14.25" customHeight="1">
      <c r="C792" s="168"/>
      <c r="M792" s="5"/>
    </row>
    <row r="793" spans="3:13" ht="14.25" customHeight="1">
      <c r="C793" s="168"/>
      <c r="M793" s="5"/>
    </row>
    <row r="794" spans="3:13" ht="14.25" customHeight="1">
      <c r="C794" s="168"/>
      <c r="M794" s="5"/>
    </row>
    <row r="795" spans="3:13" ht="14.25" customHeight="1">
      <c r="C795" s="168"/>
      <c r="M795" s="5"/>
    </row>
    <row r="796" spans="3:13" ht="14.25" customHeight="1">
      <c r="C796" s="168"/>
      <c r="M796" s="5"/>
    </row>
    <row r="797" spans="3:13" ht="14.25" customHeight="1">
      <c r="C797" s="168"/>
      <c r="M797" s="5"/>
    </row>
    <row r="798" spans="3:13" ht="14.25" customHeight="1">
      <c r="C798" s="168"/>
      <c r="M798" s="5"/>
    </row>
    <row r="799" spans="3:13" ht="14.25" customHeight="1">
      <c r="C799" s="168"/>
      <c r="M799" s="5"/>
    </row>
    <row r="800" spans="3:13" ht="14.25" customHeight="1">
      <c r="C800" s="168"/>
      <c r="M800" s="5"/>
    </row>
    <row r="801" spans="3:13" ht="14.25" customHeight="1">
      <c r="C801" s="168"/>
      <c r="M801" s="5"/>
    </row>
    <row r="802" spans="3:13" ht="14.25" customHeight="1">
      <c r="C802" s="168"/>
      <c r="M802" s="5"/>
    </row>
    <row r="803" spans="3:13" ht="14.25" customHeight="1">
      <c r="C803" s="168"/>
      <c r="M803" s="5"/>
    </row>
    <row r="804" spans="3:13" ht="14.25" customHeight="1">
      <c r="C804" s="168"/>
      <c r="M804" s="5"/>
    </row>
    <row r="805" spans="3:13" ht="14.25" customHeight="1">
      <c r="C805" s="168"/>
      <c r="M805" s="5"/>
    </row>
    <row r="806" spans="3:13" ht="14.25" customHeight="1">
      <c r="C806" s="168"/>
      <c r="M806" s="5"/>
    </row>
    <row r="807" spans="3:13" ht="14.25" customHeight="1">
      <c r="C807" s="168"/>
      <c r="M807" s="5"/>
    </row>
    <row r="808" spans="3:13" ht="14.25" customHeight="1">
      <c r="C808" s="168"/>
      <c r="M808" s="5"/>
    </row>
    <row r="809" spans="3:13" ht="14.25" customHeight="1">
      <c r="C809" s="168"/>
      <c r="M809" s="5"/>
    </row>
    <row r="810" spans="3:13" ht="14.25" customHeight="1">
      <c r="C810" s="168"/>
      <c r="M810" s="5"/>
    </row>
    <row r="811" spans="3:13" ht="14.25" customHeight="1">
      <c r="C811" s="168"/>
      <c r="M811" s="5"/>
    </row>
    <row r="812" spans="3:13" ht="14.25" customHeight="1">
      <c r="C812" s="168"/>
      <c r="M812" s="5"/>
    </row>
    <row r="813" spans="3:13" ht="14.25" customHeight="1">
      <c r="C813" s="168"/>
      <c r="M813" s="5"/>
    </row>
    <row r="814" spans="3:13" ht="14.25" customHeight="1">
      <c r="C814" s="168"/>
      <c r="M814" s="5"/>
    </row>
    <row r="815" spans="3:13" ht="14.25" customHeight="1">
      <c r="C815" s="168"/>
      <c r="M815" s="5"/>
    </row>
    <row r="816" spans="3:13" ht="14.25" customHeight="1">
      <c r="C816" s="168"/>
      <c r="M816" s="5"/>
    </row>
    <row r="817" spans="3:13" ht="14.25" customHeight="1">
      <c r="C817" s="168"/>
      <c r="M817" s="5"/>
    </row>
    <row r="818" spans="3:13" ht="14.25" customHeight="1">
      <c r="C818" s="168"/>
      <c r="M818" s="5"/>
    </row>
    <row r="819" spans="3:13" ht="14.25" customHeight="1">
      <c r="C819" s="168"/>
      <c r="M819" s="5"/>
    </row>
    <row r="820" spans="3:13" ht="14.25" customHeight="1">
      <c r="C820" s="168"/>
      <c r="M820" s="5"/>
    </row>
    <row r="821" spans="3:13" ht="14.25" customHeight="1">
      <c r="C821" s="168"/>
      <c r="M821" s="5"/>
    </row>
    <row r="822" spans="3:13" ht="14.25" customHeight="1">
      <c r="C822" s="168"/>
      <c r="M822" s="5"/>
    </row>
    <row r="823" spans="3:13" ht="14.25" customHeight="1">
      <c r="C823" s="168"/>
      <c r="M823" s="5"/>
    </row>
    <row r="824" spans="3:13" ht="14.25" customHeight="1">
      <c r="C824" s="168"/>
      <c r="M824" s="5"/>
    </row>
    <row r="825" spans="3:13" ht="14.25" customHeight="1">
      <c r="C825" s="168"/>
      <c r="M825" s="5"/>
    </row>
    <row r="826" spans="3:13" ht="14.25" customHeight="1">
      <c r="C826" s="168"/>
      <c r="M826" s="5"/>
    </row>
    <row r="827" spans="3:13" ht="14.25" customHeight="1">
      <c r="C827" s="168"/>
      <c r="M827" s="5"/>
    </row>
    <row r="828" spans="3:13" ht="14.25" customHeight="1">
      <c r="C828" s="168"/>
      <c r="M828" s="5"/>
    </row>
    <row r="829" spans="3:13" ht="14.25" customHeight="1">
      <c r="C829" s="168"/>
      <c r="M829" s="5"/>
    </row>
    <row r="830" spans="3:13" ht="14.25" customHeight="1">
      <c r="C830" s="168"/>
      <c r="M830" s="5"/>
    </row>
    <row r="831" spans="3:13" ht="14.25" customHeight="1">
      <c r="C831" s="168"/>
      <c r="M831" s="5"/>
    </row>
    <row r="832" spans="3:13" ht="14.25" customHeight="1">
      <c r="C832" s="168"/>
      <c r="M832" s="5"/>
    </row>
    <row r="833" spans="3:13" ht="14.25" customHeight="1">
      <c r="C833" s="168"/>
      <c r="M833" s="5"/>
    </row>
    <row r="834" spans="3:13" ht="14.25" customHeight="1">
      <c r="C834" s="168"/>
      <c r="M834" s="5"/>
    </row>
    <row r="835" spans="3:13" ht="14.25" customHeight="1">
      <c r="C835" s="168"/>
      <c r="M835" s="5"/>
    </row>
    <row r="836" spans="3:13" ht="14.25" customHeight="1">
      <c r="C836" s="168"/>
      <c r="M836" s="5"/>
    </row>
    <row r="837" spans="3:13" ht="14.25" customHeight="1">
      <c r="C837" s="168"/>
      <c r="M837" s="5"/>
    </row>
    <row r="838" spans="3:13" ht="14.25" customHeight="1">
      <c r="C838" s="168"/>
      <c r="M838" s="5"/>
    </row>
    <row r="839" spans="3:13" ht="14.25" customHeight="1">
      <c r="C839" s="168"/>
      <c r="M839" s="5"/>
    </row>
    <row r="840" spans="3:13" ht="14.25" customHeight="1">
      <c r="C840" s="168"/>
      <c r="M840" s="5"/>
    </row>
    <row r="841" spans="3:13" ht="14.25" customHeight="1">
      <c r="C841" s="168"/>
      <c r="M841" s="5"/>
    </row>
    <row r="842" spans="3:13" ht="14.25" customHeight="1">
      <c r="C842" s="168"/>
      <c r="M842" s="5"/>
    </row>
    <row r="843" spans="3:13" ht="14.25" customHeight="1">
      <c r="C843" s="168"/>
      <c r="M843" s="5"/>
    </row>
    <row r="844" spans="3:13" ht="14.25" customHeight="1">
      <c r="C844" s="168"/>
      <c r="M844" s="5"/>
    </row>
    <row r="845" spans="3:13" ht="14.25" customHeight="1">
      <c r="C845" s="168"/>
      <c r="M845" s="5"/>
    </row>
    <row r="846" spans="3:13" ht="14.25" customHeight="1">
      <c r="C846" s="168"/>
      <c r="M846" s="5"/>
    </row>
    <row r="847" spans="3:13" ht="14.25" customHeight="1">
      <c r="C847" s="168"/>
      <c r="M847" s="5"/>
    </row>
    <row r="848" spans="3:13" ht="14.25" customHeight="1">
      <c r="C848" s="168"/>
      <c r="M848" s="5"/>
    </row>
    <row r="849" spans="3:13" ht="14.25" customHeight="1">
      <c r="C849" s="168"/>
      <c r="M849" s="5"/>
    </row>
    <row r="850" spans="3:13" ht="14.25" customHeight="1">
      <c r="C850" s="168"/>
      <c r="M850" s="5"/>
    </row>
    <row r="851" spans="3:13" ht="14.25" customHeight="1">
      <c r="C851" s="168"/>
      <c r="M851" s="5"/>
    </row>
    <row r="852" spans="3:13" ht="14.25" customHeight="1">
      <c r="C852" s="168"/>
      <c r="M852" s="5"/>
    </row>
    <row r="853" spans="3:13" ht="14.25" customHeight="1">
      <c r="C853" s="168"/>
      <c r="M853" s="5"/>
    </row>
    <row r="854" spans="3:13" ht="14.25" customHeight="1">
      <c r="C854" s="168"/>
      <c r="M854" s="5"/>
    </row>
    <row r="855" spans="3:13" ht="14.25" customHeight="1">
      <c r="C855" s="168"/>
      <c r="M855" s="5"/>
    </row>
    <row r="856" spans="3:13" ht="14.25" customHeight="1">
      <c r="C856" s="168"/>
      <c r="M856" s="5"/>
    </row>
    <row r="857" spans="3:13" ht="14.25" customHeight="1">
      <c r="C857" s="168"/>
      <c r="M857" s="5"/>
    </row>
    <row r="858" spans="3:13" ht="14.25" customHeight="1">
      <c r="C858" s="168"/>
      <c r="M858" s="5"/>
    </row>
    <row r="859" spans="3:13" ht="14.25" customHeight="1">
      <c r="C859" s="168"/>
      <c r="M859" s="5"/>
    </row>
    <row r="860" spans="3:13" ht="14.25" customHeight="1">
      <c r="C860" s="168"/>
      <c r="M860" s="5"/>
    </row>
    <row r="861" spans="3:13" ht="14.25" customHeight="1">
      <c r="C861" s="168"/>
      <c r="M861" s="5"/>
    </row>
    <row r="862" spans="3:13" ht="14.25" customHeight="1">
      <c r="C862" s="168"/>
      <c r="M862" s="5"/>
    </row>
    <row r="863" spans="3:13" ht="14.25" customHeight="1">
      <c r="C863" s="168"/>
      <c r="M863" s="5"/>
    </row>
    <row r="864" spans="3:13" ht="14.25" customHeight="1">
      <c r="C864" s="168"/>
      <c r="M864" s="5"/>
    </row>
    <row r="865" spans="3:13" ht="14.25" customHeight="1">
      <c r="C865" s="168"/>
      <c r="M865" s="5"/>
    </row>
    <row r="866" spans="3:13" ht="14.25" customHeight="1">
      <c r="C866" s="168"/>
      <c r="M866" s="5"/>
    </row>
    <row r="867" spans="3:13" ht="14.25" customHeight="1">
      <c r="C867" s="168"/>
      <c r="M867" s="5"/>
    </row>
    <row r="868" spans="3:13" ht="14.25" customHeight="1">
      <c r="C868" s="168"/>
      <c r="M868" s="5"/>
    </row>
    <row r="869" spans="3:13" ht="14.25" customHeight="1">
      <c r="C869" s="168"/>
      <c r="M869" s="5"/>
    </row>
    <row r="870" spans="3:13" ht="14.25" customHeight="1">
      <c r="C870" s="168"/>
      <c r="M870" s="5"/>
    </row>
    <row r="871" spans="3:13" ht="14.25" customHeight="1">
      <c r="C871" s="168"/>
      <c r="M871" s="5"/>
    </row>
    <row r="872" spans="3:13" ht="14.25" customHeight="1">
      <c r="C872" s="168"/>
      <c r="M872" s="5"/>
    </row>
    <row r="873" spans="3:13" ht="14.25" customHeight="1">
      <c r="C873" s="168"/>
      <c r="M873" s="5"/>
    </row>
    <row r="874" spans="3:13" ht="14.25" customHeight="1">
      <c r="C874" s="168"/>
      <c r="M874" s="5"/>
    </row>
    <row r="875" spans="3:13" ht="14.25" customHeight="1">
      <c r="C875" s="168"/>
      <c r="M875" s="5"/>
    </row>
    <row r="876" spans="3:13" ht="14.25" customHeight="1">
      <c r="C876" s="168"/>
      <c r="M876" s="5"/>
    </row>
    <row r="877" spans="3:13" ht="14.25" customHeight="1">
      <c r="C877" s="168"/>
      <c r="M877" s="5"/>
    </row>
    <row r="878" spans="3:13" ht="14.25" customHeight="1">
      <c r="C878" s="168"/>
      <c r="M878" s="5"/>
    </row>
    <row r="879" spans="3:13" ht="14.25" customHeight="1">
      <c r="C879" s="168"/>
      <c r="M879" s="5"/>
    </row>
    <row r="880" spans="3:13" ht="14.25" customHeight="1">
      <c r="C880" s="168"/>
      <c r="M880" s="5"/>
    </row>
    <row r="881" spans="3:13" ht="14.25" customHeight="1">
      <c r="C881" s="168"/>
      <c r="M881" s="5"/>
    </row>
    <row r="882" spans="3:13" ht="14.25" customHeight="1">
      <c r="C882" s="168"/>
      <c r="M882" s="5"/>
    </row>
    <row r="883" spans="3:13" ht="14.25" customHeight="1">
      <c r="C883" s="168"/>
      <c r="M883" s="5"/>
    </row>
    <row r="884" spans="3:13" ht="14.25" customHeight="1">
      <c r="C884" s="168"/>
      <c r="M884" s="5"/>
    </row>
    <row r="885" spans="3:13" ht="14.25" customHeight="1">
      <c r="C885" s="168"/>
      <c r="M885" s="5"/>
    </row>
    <row r="886" spans="3:13" ht="14.25" customHeight="1">
      <c r="C886" s="168"/>
      <c r="M886" s="5"/>
    </row>
    <row r="887" spans="3:13" ht="14.25" customHeight="1">
      <c r="C887" s="168"/>
      <c r="M887" s="5"/>
    </row>
    <row r="888" spans="3:13" ht="14.25" customHeight="1">
      <c r="C888" s="168"/>
      <c r="M888" s="5"/>
    </row>
    <row r="889" spans="3:13" ht="14.25" customHeight="1">
      <c r="C889" s="168"/>
      <c r="M889" s="5"/>
    </row>
    <row r="890" spans="3:13" ht="14.25" customHeight="1">
      <c r="C890" s="168"/>
      <c r="M890" s="5"/>
    </row>
    <row r="891" spans="3:13" ht="14.25" customHeight="1">
      <c r="C891" s="168"/>
      <c r="M891" s="5"/>
    </row>
    <row r="892" spans="3:13" ht="14.25" customHeight="1">
      <c r="C892" s="168"/>
      <c r="M892" s="5"/>
    </row>
    <row r="893" spans="3:13" ht="14.25" customHeight="1">
      <c r="C893" s="168"/>
      <c r="M893" s="5"/>
    </row>
    <row r="894" spans="3:13" ht="14.25" customHeight="1">
      <c r="C894" s="168"/>
      <c r="M894" s="5"/>
    </row>
    <row r="895" spans="3:13" ht="14.25" customHeight="1">
      <c r="C895" s="168"/>
      <c r="M895" s="5"/>
    </row>
    <row r="896" spans="3:13" ht="14.25" customHeight="1">
      <c r="C896" s="168"/>
      <c r="M896" s="5"/>
    </row>
    <row r="897" spans="3:13" ht="14.25" customHeight="1">
      <c r="C897" s="168"/>
      <c r="M897" s="5"/>
    </row>
    <row r="898" spans="3:13" ht="14.25" customHeight="1">
      <c r="C898" s="168"/>
      <c r="M898" s="5"/>
    </row>
    <row r="899" spans="3:13" ht="14.25" customHeight="1">
      <c r="C899" s="168"/>
      <c r="M899" s="5"/>
    </row>
    <row r="900" spans="3:13" ht="14.25" customHeight="1">
      <c r="C900" s="168"/>
      <c r="M900" s="5"/>
    </row>
    <row r="901" spans="3:13" ht="14.25" customHeight="1">
      <c r="C901" s="168"/>
      <c r="M901" s="5"/>
    </row>
    <row r="902" spans="3:13" ht="14.25" customHeight="1">
      <c r="C902" s="168"/>
      <c r="M902" s="5"/>
    </row>
    <row r="903" spans="3:13" ht="14.25" customHeight="1">
      <c r="C903" s="168"/>
      <c r="M903" s="5"/>
    </row>
    <row r="904" spans="3:13" ht="14.25" customHeight="1">
      <c r="C904" s="168"/>
      <c r="M904" s="5"/>
    </row>
    <row r="905" spans="3:13" ht="14.25" customHeight="1">
      <c r="C905" s="168"/>
      <c r="M905" s="5"/>
    </row>
    <row r="906" spans="3:13" ht="14.25" customHeight="1">
      <c r="C906" s="168"/>
      <c r="M906" s="5"/>
    </row>
    <row r="907" spans="3:13" ht="14.25" customHeight="1">
      <c r="C907" s="168"/>
      <c r="M907" s="5"/>
    </row>
    <row r="908" spans="3:13" ht="14.25" customHeight="1">
      <c r="C908" s="168"/>
      <c r="M908" s="5"/>
    </row>
    <row r="909" spans="3:13" ht="14.25" customHeight="1">
      <c r="C909" s="168"/>
      <c r="M909" s="5"/>
    </row>
    <row r="910" spans="3:13" ht="14.25" customHeight="1">
      <c r="C910" s="168"/>
      <c r="M910" s="5"/>
    </row>
    <row r="911" spans="3:13" ht="14.25" customHeight="1">
      <c r="C911" s="168"/>
      <c r="M911" s="5"/>
    </row>
    <row r="912" spans="3:13" ht="14.25" customHeight="1">
      <c r="C912" s="168"/>
      <c r="M912" s="5"/>
    </row>
    <row r="913" spans="3:13" ht="14.25" customHeight="1">
      <c r="C913" s="168"/>
      <c r="M913" s="5"/>
    </row>
    <row r="914" spans="3:13" ht="14.25" customHeight="1">
      <c r="C914" s="168"/>
      <c r="M914" s="5"/>
    </row>
    <row r="915" spans="3:13" ht="14.25" customHeight="1">
      <c r="C915" s="168"/>
      <c r="M915" s="5"/>
    </row>
    <row r="916" spans="3:13" ht="14.25" customHeight="1">
      <c r="C916" s="168"/>
      <c r="M916" s="5"/>
    </row>
    <row r="917" spans="3:13" ht="14.25" customHeight="1">
      <c r="C917" s="168"/>
      <c r="M917" s="5"/>
    </row>
    <row r="918" spans="3:13" ht="14.25" customHeight="1">
      <c r="C918" s="168"/>
      <c r="M918" s="5"/>
    </row>
    <row r="919" spans="3:13" ht="14.25" customHeight="1">
      <c r="C919" s="168"/>
      <c r="M919" s="5"/>
    </row>
    <row r="920" spans="3:13" ht="14.25" customHeight="1">
      <c r="C920" s="168"/>
      <c r="M920" s="5"/>
    </row>
    <row r="921" spans="3:13" ht="14.25" customHeight="1">
      <c r="C921" s="168"/>
      <c r="M921" s="5"/>
    </row>
    <row r="922" spans="3:13" ht="14.25" customHeight="1">
      <c r="C922" s="168"/>
      <c r="M922" s="5"/>
    </row>
    <row r="923" spans="3:13" ht="14.25" customHeight="1">
      <c r="C923" s="168"/>
      <c r="M923" s="5"/>
    </row>
    <row r="924" spans="3:13" ht="14.25" customHeight="1">
      <c r="C924" s="168"/>
      <c r="M924" s="5"/>
    </row>
    <row r="925" spans="3:13" ht="14.25" customHeight="1">
      <c r="C925" s="168"/>
      <c r="M925" s="5"/>
    </row>
    <row r="926" spans="3:13" ht="14.25" customHeight="1">
      <c r="C926" s="168"/>
      <c r="M926" s="5"/>
    </row>
    <row r="927" spans="3:13" ht="14.25" customHeight="1">
      <c r="C927" s="168"/>
      <c r="M927" s="5"/>
    </row>
    <row r="928" spans="3:13" ht="14.25" customHeight="1">
      <c r="C928" s="168"/>
      <c r="M928" s="5"/>
    </row>
    <row r="929" spans="3:13" ht="14.25" customHeight="1">
      <c r="C929" s="168"/>
      <c r="M929" s="5"/>
    </row>
    <row r="930" spans="3:13" ht="14.25" customHeight="1">
      <c r="C930" s="168"/>
      <c r="M930" s="5"/>
    </row>
    <row r="931" spans="3:13" ht="14.25" customHeight="1">
      <c r="C931" s="168"/>
      <c r="M931" s="5"/>
    </row>
    <row r="932" spans="3:13" ht="14.25" customHeight="1">
      <c r="C932" s="168"/>
      <c r="M932" s="5"/>
    </row>
    <row r="933" spans="3:13" ht="14.25" customHeight="1">
      <c r="C933" s="168"/>
      <c r="M933" s="5"/>
    </row>
    <row r="934" spans="3:13" ht="14.25" customHeight="1">
      <c r="C934" s="168"/>
      <c r="M934" s="5"/>
    </row>
    <row r="935" spans="3:13" ht="14.25" customHeight="1">
      <c r="C935" s="168"/>
      <c r="M935" s="5"/>
    </row>
    <row r="936" spans="3:13" ht="14.25" customHeight="1">
      <c r="C936" s="168"/>
      <c r="M936" s="5"/>
    </row>
    <row r="937" spans="3:13" ht="14.25" customHeight="1">
      <c r="C937" s="168"/>
      <c r="M937" s="5"/>
    </row>
    <row r="938" spans="3:13" ht="14.25" customHeight="1">
      <c r="C938" s="168"/>
      <c r="M938" s="5"/>
    </row>
    <row r="939" spans="3:13" ht="14.25" customHeight="1">
      <c r="C939" s="168"/>
      <c r="M939" s="5"/>
    </row>
    <row r="940" spans="3:13" ht="14.25" customHeight="1">
      <c r="C940" s="168"/>
      <c r="M940" s="5"/>
    </row>
    <row r="941" spans="3:13" ht="14.25" customHeight="1">
      <c r="C941" s="168"/>
      <c r="M941" s="5"/>
    </row>
    <row r="942" spans="3:13" ht="14.25" customHeight="1">
      <c r="C942" s="168"/>
      <c r="M942" s="5"/>
    </row>
    <row r="943" spans="3:13" ht="14.25" customHeight="1">
      <c r="C943" s="168"/>
      <c r="M943" s="5"/>
    </row>
    <row r="944" spans="3:13" ht="14.25" customHeight="1">
      <c r="C944" s="168"/>
      <c r="M944" s="5"/>
    </row>
    <row r="945" spans="3:13" ht="14.25" customHeight="1">
      <c r="C945" s="168"/>
      <c r="M945" s="5"/>
    </row>
    <row r="946" spans="3:13" ht="14.25" customHeight="1">
      <c r="C946" s="168"/>
      <c r="M946" s="5"/>
    </row>
    <row r="947" spans="3:13" ht="14.25" customHeight="1">
      <c r="C947" s="168"/>
      <c r="M947" s="5"/>
    </row>
    <row r="948" spans="3:13" ht="14.25" customHeight="1">
      <c r="C948" s="168"/>
      <c r="M948" s="5"/>
    </row>
    <row r="949" spans="3:13" ht="14.25" customHeight="1">
      <c r="C949" s="168"/>
      <c r="M949" s="5"/>
    </row>
    <row r="950" spans="3:13" ht="14.25" customHeight="1">
      <c r="C950" s="168"/>
      <c r="M950" s="5"/>
    </row>
    <row r="951" spans="3:13" ht="14.25" customHeight="1">
      <c r="C951" s="168"/>
      <c r="M951" s="5"/>
    </row>
    <row r="952" spans="3:13" ht="14.25" customHeight="1">
      <c r="C952" s="168"/>
      <c r="M952" s="5"/>
    </row>
    <row r="953" spans="3:13" ht="14.25" customHeight="1">
      <c r="C953" s="168"/>
      <c r="M953" s="5"/>
    </row>
    <row r="954" spans="3:13" ht="14.25" customHeight="1">
      <c r="C954" s="168"/>
      <c r="M954" s="5"/>
    </row>
    <row r="955" spans="3:13" ht="14.25" customHeight="1">
      <c r="C955" s="168"/>
      <c r="M955" s="5"/>
    </row>
    <row r="956" spans="3:13" ht="14.25" customHeight="1">
      <c r="C956" s="168"/>
      <c r="M956" s="5"/>
    </row>
    <row r="957" spans="3:13" ht="14.25" customHeight="1">
      <c r="C957" s="168"/>
      <c r="M957" s="5"/>
    </row>
    <row r="958" spans="3:13" ht="14.25" customHeight="1">
      <c r="C958" s="168"/>
      <c r="M958" s="5"/>
    </row>
    <row r="959" spans="3:13" ht="14.25" customHeight="1">
      <c r="C959" s="168"/>
      <c r="M959" s="5"/>
    </row>
    <row r="960" spans="3:13" ht="14.25" customHeight="1">
      <c r="C960" s="168"/>
      <c r="M960" s="5"/>
    </row>
    <row r="961" spans="3:13" ht="14.25" customHeight="1">
      <c r="C961" s="168"/>
      <c r="M961" s="5"/>
    </row>
    <row r="962" spans="3:13" ht="14.25" customHeight="1">
      <c r="C962" s="168"/>
      <c r="M962" s="5"/>
    </row>
    <row r="963" spans="3:13" ht="14.25" customHeight="1">
      <c r="C963" s="168"/>
      <c r="M963" s="5"/>
    </row>
    <row r="964" spans="3:13" ht="14.25" customHeight="1">
      <c r="C964" s="168"/>
      <c r="M964" s="5"/>
    </row>
    <row r="965" spans="3:13" ht="14.25" customHeight="1">
      <c r="C965" s="168"/>
      <c r="M965" s="5"/>
    </row>
    <row r="966" spans="3:13" ht="14.25" customHeight="1">
      <c r="C966" s="168"/>
      <c r="M966" s="5"/>
    </row>
    <row r="967" spans="3:13" ht="14.25" customHeight="1">
      <c r="C967" s="168"/>
      <c r="M967" s="5"/>
    </row>
    <row r="968" spans="3:13" ht="14.25" customHeight="1">
      <c r="C968" s="168"/>
      <c r="M968" s="5"/>
    </row>
    <row r="969" spans="3:13" ht="14.25" customHeight="1">
      <c r="C969" s="168"/>
      <c r="M969" s="5"/>
    </row>
    <row r="970" spans="3:13" ht="14.25" customHeight="1">
      <c r="C970" s="168"/>
      <c r="M970" s="5"/>
    </row>
    <row r="971" spans="3:13" ht="14.25" customHeight="1">
      <c r="C971" s="168"/>
      <c r="M971" s="5"/>
    </row>
    <row r="972" spans="3:13" ht="14.25" customHeight="1">
      <c r="C972" s="168"/>
      <c r="M972" s="5"/>
    </row>
    <row r="973" spans="3:13" ht="14.25" customHeight="1">
      <c r="C973" s="168"/>
      <c r="M973" s="5"/>
    </row>
    <row r="974" spans="3:13" ht="14.25" customHeight="1">
      <c r="C974" s="168"/>
      <c r="M974" s="5"/>
    </row>
    <row r="975" spans="3:13" ht="14.25" customHeight="1">
      <c r="C975" s="168"/>
      <c r="M975" s="5"/>
    </row>
    <row r="976" spans="3:13" ht="14.25" customHeight="1">
      <c r="C976" s="168"/>
      <c r="M976" s="5"/>
    </row>
    <row r="977" spans="3:13" ht="14.25" customHeight="1">
      <c r="C977" s="168"/>
      <c r="M977" s="5"/>
    </row>
    <row r="978" spans="3:13" ht="14.25" customHeight="1">
      <c r="C978" s="168"/>
      <c r="M978" s="5"/>
    </row>
    <row r="979" spans="3:13" ht="14.25" customHeight="1">
      <c r="C979" s="168"/>
      <c r="M979" s="5"/>
    </row>
    <row r="980" spans="3:13" ht="14.25" customHeight="1">
      <c r="C980" s="168"/>
      <c r="M980" s="5"/>
    </row>
    <row r="981" spans="3:13" ht="14.25" customHeight="1">
      <c r="C981" s="168"/>
      <c r="M981" s="5"/>
    </row>
    <row r="982" spans="3:13" ht="14.25" customHeight="1">
      <c r="C982" s="168"/>
      <c r="M982" s="5"/>
    </row>
    <row r="983" spans="3:13" ht="14.25" customHeight="1">
      <c r="C983" s="168"/>
      <c r="M983" s="5"/>
    </row>
    <row r="984" spans="3:13" ht="14.25" customHeight="1">
      <c r="C984" s="168"/>
      <c r="M984" s="5"/>
    </row>
    <row r="985" spans="3:13" ht="14.25" customHeight="1">
      <c r="C985" s="168"/>
      <c r="M985" s="5"/>
    </row>
    <row r="986" spans="3:13" ht="14.25" customHeight="1">
      <c r="C986" s="168"/>
      <c r="M986" s="5"/>
    </row>
    <row r="987" spans="3:13" ht="14.25" customHeight="1">
      <c r="C987" s="168"/>
      <c r="M987" s="5"/>
    </row>
    <row r="988" spans="3:13" ht="14.25" customHeight="1">
      <c r="C988" s="168"/>
      <c r="M988" s="5"/>
    </row>
    <row r="989" spans="3:13" ht="14.25" customHeight="1">
      <c r="C989" s="168"/>
      <c r="M989" s="5"/>
    </row>
    <row r="990" spans="3:13" ht="14.25" customHeight="1">
      <c r="C990" s="168"/>
      <c r="M990" s="5"/>
    </row>
    <row r="991" spans="3:13" ht="14.25" customHeight="1">
      <c r="C991" s="168"/>
      <c r="M991" s="5"/>
    </row>
    <row r="992" spans="3:13" ht="14.25" customHeight="1">
      <c r="C992" s="168"/>
      <c r="M992" s="5"/>
    </row>
    <row r="993" spans="3:13" ht="14.25" customHeight="1">
      <c r="C993" s="168"/>
      <c r="M993" s="5"/>
    </row>
    <row r="994" spans="3:13" ht="14.25" customHeight="1">
      <c r="C994" s="168"/>
      <c r="M994" s="5"/>
    </row>
    <row r="995" spans="3:13" ht="14.25" customHeight="1">
      <c r="C995" s="168"/>
      <c r="M995" s="5"/>
    </row>
    <row r="996" spans="3:13" ht="14.25" customHeight="1">
      <c r="C996" s="168"/>
      <c r="M996" s="5"/>
    </row>
    <row r="997" spans="3:13" ht="14.25" customHeight="1">
      <c r="C997" s="168"/>
      <c r="M997" s="5"/>
    </row>
    <row r="998" spans="3:13" ht="14.25" customHeight="1">
      <c r="C998" s="168"/>
      <c r="M998" s="5"/>
    </row>
    <row r="999" spans="3:13" ht="14.25" customHeight="1">
      <c r="C999" s="168"/>
      <c r="M999" s="5"/>
    </row>
    <row r="1000" spans="3:13" ht="14.25" customHeight="1">
      <c r="C1000" s="168"/>
      <c r="M1000" s="5"/>
    </row>
  </sheetData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2"/>
  <sheetViews>
    <sheetView zoomScale="145" zoomScaleNormal="145" workbookViewId="0">
      <pane ySplit="1" topLeftCell="A272" activePane="bottomLeft" state="frozen"/>
      <selection pane="bottomLeft" activeCell="E286" sqref="E286"/>
    </sheetView>
  </sheetViews>
  <sheetFormatPr defaultColWidth="14.42578125" defaultRowHeight="15" customHeight="1"/>
  <cols>
    <col min="1" max="1" width="5.5703125" customWidth="1"/>
    <col min="2" max="2" width="10.7109375" customWidth="1"/>
    <col min="3" max="3" width="24.5703125" customWidth="1"/>
    <col min="4" max="4" width="13.5703125" customWidth="1"/>
    <col min="5" max="5" width="11.85546875" customWidth="1"/>
    <col min="6" max="6" width="14.7109375" customWidth="1"/>
    <col min="7" max="7" width="12" customWidth="1"/>
    <col min="8" max="8" width="15.85546875" customWidth="1"/>
    <col min="9" max="9" width="13.28515625" customWidth="1"/>
    <col min="10" max="10" width="18.7109375" customWidth="1"/>
    <col min="11" max="11" width="21.42578125" customWidth="1"/>
    <col min="12" max="12" width="28.28515625" customWidth="1"/>
    <col min="13" max="26" width="8.7109375" customWidth="1"/>
  </cols>
  <sheetData>
    <row r="1" spans="1:12" ht="14.25" customHeight="1">
      <c r="A1" s="6" t="s">
        <v>11528</v>
      </c>
      <c r="B1" s="6" t="s">
        <v>10</v>
      </c>
      <c r="C1" s="6" t="s">
        <v>7654</v>
      </c>
      <c r="D1" s="6" t="s">
        <v>11529</v>
      </c>
      <c r="E1" s="6" t="s">
        <v>14126</v>
      </c>
      <c r="G1" s="6" t="s">
        <v>274</v>
      </c>
      <c r="H1" s="6" t="s">
        <v>11530</v>
      </c>
      <c r="I1" s="6" t="s">
        <v>11531</v>
      </c>
      <c r="J1" s="6" t="s">
        <v>11532</v>
      </c>
      <c r="K1" s="12" t="s">
        <v>11533</v>
      </c>
      <c r="L1" s="12" t="s">
        <v>11534</v>
      </c>
    </row>
    <row r="2" spans="1:12" ht="14.25" customHeight="1">
      <c r="A2" s="6">
        <v>1</v>
      </c>
      <c r="B2" s="4">
        <v>43128</v>
      </c>
      <c r="C2" s="6" t="s">
        <v>11535</v>
      </c>
      <c r="D2" s="6">
        <v>9810495368</v>
      </c>
      <c r="H2" s="6" t="s">
        <v>11536</v>
      </c>
      <c r="I2" s="137" t="s">
        <v>11537</v>
      </c>
      <c r="J2" s="6" t="s">
        <v>6728</v>
      </c>
      <c r="K2" s="12" t="s">
        <v>11538</v>
      </c>
      <c r="L2" s="12"/>
    </row>
    <row r="3" spans="1:12" ht="14.25" customHeight="1">
      <c r="A3" s="6">
        <v>2</v>
      </c>
      <c r="B3" s="4">
        <v>43128</v>
      </c>
      <c r="C3" s="6" t="s">
        <v>11539</v>
      </c>
      <c r="D3" s="6">
        <v>7665006623</v>
      </c>
      <c r="H3" s="6" t="s">
        <v>11536</v>
      </c>
      <c r="I3" s="137" t="s">
        <v>11537</v>
      </c>
      <c r="J3" s="6" t="s">
        <v>6728</v>
      </c>
      <c r="K3" s="12" t="s">
        <v>11538</v>
      </c>
      <c r="L3" s="12"/>
    </row>
    <row r="4" spans="1:12" ht="14.25" customHeight="1">
      <c r="A4" s="6">
        <v>3</v>
      </c>
      <c r="B4" s="4">
        <v>43147</v>
      </c>
      <c r="C4" s="6" t="s">
        <v>11540</v>
      </c>
      <c r="H4" s="6" t="s">
        <v>11536</v>
      </c>
      <c r="I4" s="137" t="s">
        <v>11537</v>
      </c>
      <c r="J4" s="6" t="s">
        <v>6728</v>
      </c>
      <c r="K4" s="12"/>
      <c r="L4" s="12"/>
    </row>
    <row r="5" spans="1:12" ht="14.25" customHeight="1">
      <c r="A5" s="6">
        <v>4</v>
      </c>
      <c r="B5" s="4">
        <v>43147</v>
      </c>
      <c r="C5" s="6" t="s">
        <v>11541</v>
      </c>
      <c r="D5" s="6">
        <v>9031396437</v>
      </c>
      <c r="H5" s="6" t="s">
        <v>11542</v>
      </c>
      <c r="I5" s="137" t="s">
        <v>11537</v>
      </c>
      <c r="J5" s="6" t="s">
        <v>6728</v>
      </c>
      <c r="K5" s="12"/>
      <c r="L5" s="12"/>
    </row>
    <row r="6" spans="1:12" ht="14.25" customHeight="1">
      <c r="A6" s="6">
        <v>5</v>
      </c>
      <c r="B6" s="4">
        <v>43147</v>
      </c>
      <c r="C6" s="6" t="s">
        <v>11543</v>
      </c>
      <c r="D6" s="6">
        <v>9031396437</v>
      </c>
      <c r="H6" s="6" t="s">
        <v>11542</v>
      </c>
      <c r="I6" s="137" t="s">
        <v>11537</v>
      </c>
      <c r="J6" s="6" t="s">
        <v>6728</v>
      </c>
      <c r="K6" s="12"/>
      <c r="L6" s="12"/>
    </row>
    <row r="7" spans="1:12" ht="14.25" customHeight="1">
      <c r="A7" s="6">
        <v>6</v>
      </c>
      <c r="B7" s="4">
        <v>43168</v>
      </c>
      <c r="C7" s="6" t="s">
        <v>11543</v>
      </c>
      <c r="H7" s="6" t="s">
        <v>11542</v>
      </c>
      <c r="I7" s="38" t="s">
        <v>11537</v>
      </c>
      <c r="J7" s="6" t="s">
        <v>6728</v>
      </c>
      <c r="K7" s="12"/>
      <c r="L7" s="12"/>
    </row>
    <row r="8" spans="1:12" ht="14.25" customHeight="1">
      <c r="A8" s="6">
        <v>7</v>
      </c>
      <c r="B8" s="4">
        <v>43170</v>
      </c>
      <c r="C8" s="6" t="s">
        <v>11544</v>
      </c>
      <c r="H8" s="6" t="s">
        <v>11542</v>
      </c>
      <c r="I8" s="38" t="s">
        <v>11537</v>
      </c>
      <c r="J8" s="6" t="s">
        <v>6728</v>
      </c>
      <c r="K8" s="12"/>
      <c r="L8" s="12"/>
    </row>
    <row r="9" spans="1:12" ht="14.25" customHeight="1">
      <c r="A9" s="6">
        <v>7</v>
      </c>
      <c r="B9" s="4">
        <v>43171</v>
      </c>
      <c r="C9" s="6" t="s">
        <v>11545</v>
      </c>
      <c r="D9" s="6">
        <v>8228070960</v>
      </c>
      <c r="H9" s="6" t="s">
        <v>11546</v>
      </c>
      <c r="I9" s="38" t="s">
        <v>11537</v>
      </c>
      <c r="J9" s="6" t="s">
        <v>6728</v>
      </c>
      <c r="K9" s="12"/>
      <c r="L9" s="12"/>
    </row>
    <row r="10" spans="1:12" ht="14.25" customHeight="1">
      <c r="B10" s="4">
        <v>43180</v>
      </c>
      <c r="C10" s="6" t="s">
        <v>11547</v>
      </c>
      <c r="D10" s="6">
        <v>9931830641</v>
      </c>
      <c r="H10" s="6" t="s">
        <v>11546</v>
      </c>
      <c r="I10" s="38" t="s">
        <v>11537</v>
      </c>
      <c r="J10" s="6" t="s">
        <v>6728</v>
      </c>
      <c r="K10" s="12"/>
      <c r="L10" s="12"/>
    </row>
    <row r="11" spans="1:12" ht="14.25" customHeight="1">
      <c r="B11" s="4">
        <v>43182</v>
      </c>
      <c r="C11" s="6" t="s">
        <v>8600</v>
      </c>
      <c r="D11" s="6">
        <v>9304524553</v>
      </c>
      <c r="H11" s="6" t="s">
        <v>11546</v>
      </c>
      <c r="I11" s="38" t="s">
        <v>11537</v>
      </c>
      <c r="J11" s="6" t="s">
        <v>6728</v>
      </c>
      <c r="K11" s="12"/>
      <c r="L11" s="12"/>
    </row>
    <row r="12" spans="1:12" ht="14.25" customHeight="1">
      <c r="B12" s="4">
        <v>43182</v>
      </c>
      <c r="C12" s="6" t="s">
        <v>11548</v>
      </c>
      <c r="D12" s="6">
        <v>8581812162</v>
      </c>
      <c r="H12" s="6" t="s">
        <v>11546</v>
      </c>
      <c r="I12" s="38" t="s">
        <v>11537</v>
      </c>
      <c r="J12" s="6" t="s">
        <v>6728</v>
      </c>
      <c r="K12" s="12"/>
      <c r="L12" s="12"/>
    </row>
    <row r="13" spans="1:12" ht="14.25" customHeight="1">
      <c r="B13" s="4">
        <v>43182</v>
      </c>
      <c r="C13" s="6" t="s">
        <v>11549</v>
      </c>
      <c r="H13" s="6" t="s">
        <v>11536</v>
      </c>
      <c r="I13" s="38" t="s">
        <v>11537</v>
      </c>
      <c r="J13" s="6" t="s">
        <v>6728</v>
      </c>
      <c r="K13" s="12"/>
      <c r="L13" s="12"/>
    </row>
    <row r="14" spans="1:12" ht="14.25" customHeight="1">
      <c r="B14" s="4">
        <v>43183</v>
      </c>
      <c r="C14" s="6" t="s">
        <v>11550</v>
      </c>
      <c r="D14" s="6">
        <v>9234628324</v>
      </c>
      <c r="E14" s="6" t="s">
        <v>11551</v>
      </c>
      <c r="H14" s="6" t="s">
        <v>11536</v>
      </c>
      <c r="I14" s="38" t="s">
        <v>11537</v>
      </c>
      <c r="J14" s="6" t="s">
        <v>2457</v>
      </c>
      <c r="K14" s="12">
        <v>9431755312</v>
      </c>
      <c r="L14" s="12">
        <v>9471309728</v>
      </c>
    </row>
    <row r="15" spans="1:12" ht="14.25" customHeight="1">
      <c r="B15" s="4">
        <v>43196</v>
      </c>
      <c r="C15" s="6" t="s">
        <v>11552</v>
      </c>
      <c r="E15" s="6" t="s">
        <v>11553</v>
      </c>
      <c r="H15" s="6" t="s">
        <v>11554</v>
      </c>
      <c r="I15" s="38" t="s">
        <v>11537</v>
      </c>
      <c r="K15" s="12"/>
      <c r="L15" s="12"/>
    </row>
    <row r="16" spans="1:12" ht="14.25" customHeight="1">
      <c r="B16" s="4">
        <v>43196</v>
      </c>
      <c r="C16" s="6" t="s">
        <v>11555</v>
      </c>
      <c r="E16" s="6" t="s">
        <v>11556</v>
      </c>
      <c r="H16" s="6" t="s">
        <v>11554</v>
      </c>
      <c r="I16" s="38" t="s">
        <v>11537</v>
      </c>
      <c r="K16" s="12"/>
      <c r="L16" s="12"/>
    </row>
    <row r="17" spans="2:12" ht="14.25" customHeight="1">
      <c r="B17" s="4">
        <v>43196</v>
      </c>
      <c r="C17" s="6" t="s">
        <v>11555</v>
      </c>
      <c r="E17" s="6" t="s">
        <v>11557</v>
      </c>
      <c r="H17" s="6" t="s">
        <v>11554</v>
      </c>
      <c r="I17" s="38" t="s">
        <v>11537</v>
      </c>
      <c r="K17" s="12"/>
      <c r="L17" s="12"/>
    </row>
    <row r="18" spans="2:12" ht="14.25" customHeight="1">
      <c r="B18" s="4">
        <v>43196</v>
      </c>
      <c r="C18" s="6" t="s">
        <v>11558</v>
      </c>
      <c r="E18" s="6" t="s">
        <v>7314</v>
      </c>
      <c r="H18" s="6" t="s">
        <v>11554</v>
      </c>
      <c r="I18" s="38" t="s">
        <v>11537</v>
      </c>
      <c r="K18" s="12"/>
      <c r="L18" s="12"/>
    </row>
    <row r="19" spans="2:12" ht="14.25" customHeight="1">
      <c r="C19" s="6" t="s">
        <v>11559</v>
      </c>
      <c r="D19" s="6">
        <v>6200304767</v>
      </c>
      <c r="H19" s="307" t="s">
        <v>11560</v>
      </c>
      <c r="I19" s="308" t="s">
        <v>11537</v>
      </c>
      <c r="K19" s="12"/>
      <c r="L19" s="12"/>
    </row>
    <row r="20" spans="2:12" ht="14.25" customHeight="1">
      <c r="C20" s="30" t="s">
        <v>11561</v>
      </c>
      <c r="H20" s="307"/>
      <c r="I20" s="308"/>
      <c r="K20" s="12"/>
      <c r="L20" s="12"/>
    </row>
    <row r="21" spans="2:12" ht="14.25" customHeight="1">
      <c r="C21" s="30" t="s">
        <v>11562</v>
      </c>
      <c r="H21" s="307"/>
      <c r="I21" s="308"/>
      <c r="K21" s="12"/>
      <c r="L21" s="12"/>
    </row>
    <row r="22" spans="2:12" ht="14.25" customHeight="1">
      <c r="C22" s="30" t="s">
        <v>11563</v>
      </c>
      <c r="H22" s="307"/>
      <c r="I22" s="308"/>
      <c r="K22" s="12"/>
      <c r="L22" s="12"/>
    </row>
    <row r="23" spans="2:12" ht="14.25" customHeight="1">
      <c r="C23" s="30" t="s">
        <v>11564</v>
      </c>
      <c r="H23" s="307"/>
      <c r="I23" s="308"/>
      <c r="K23" s="12"/>
      <c r="L23" s="12"/>
    </row>
    <row r="24" spans="2:12" ht="14.25" customHeight="1">
      <c r="B24" s="4">
        <v>43708</v>
      </c>
      <c r="C24" s="30" t="s">
        <v>11565</v>
      </c>
      <c r="D24" s="6">
        <v>7043617971</v>
      </c>
      <c r="E24" s="6" t="s">
        <v>7314</v>
      </c>
      <c r="H24" s="6" t="s">
        <v>11566</v>
      </c>
      <c r="I24" s="137" t="s">
        <v>8116</v>
      </c>
      <c r="J24" s="6" t="s">
        <v>8191</v>
      </c>
      <c r="K24" s="12"/>
      <c r="L24" s="12"/>
    </row>
    <row r="25" spans="2:12" ht="14.25" customHeight="1">
      <c r="B25" s="4">
        <v>43674</v>
      </c>
      <c r="C25" s="30" t="s">
        <v>11567</v>
      </c>
      <c r="E25" s="6" t="s">
        <v>7314</v>
      </c>
      <c r="H25" s="6" t="s">
        <v>11568</v>
      </c>
      <c r="I25" s="137" t="s">
        <v>8290</v>
      </c>
      <c r="K25" s="12"/>
      <c r="L25" s="12"/>
    </row>
    <row r="26" spans="2:12" ht="14.25" customHeight="1">
      <c r="B26" s="4">
        <v>43687</v>
      </c>
      <c r="C26" s="30" t="s">
        <v>11569</v>
      </c>
      <c r="E26" s="6" t="s">
        <v>7314</v>
      </c>
      <c r="H26" s="6" t="s">
        <v>11568</v>
      </c>
      <c r="I26" s="137" t="s">
        <v>8290</v>
      </c>
      <c r="K26" s="12"/>
      <c r="L26" s="12"/>
    </row>
    <row r="27" spans="2:12" ht="14.25" customHeight="1">
      <c r="B27" s="4">
        <v>43695</v>
      </c>
      <c r="C27" s="30" t="s">
        <v>11570</v>
      </c>
      <c r="E27" s="6" t="s">
        <v>7314</v>
      </c>
      <c r="H27" s="6" t="s">
        <v>11568</v>
      </c>
      <c r="I27" s="137" t="s">
        <v>8290</v>
      </c>
      <c r="K27" s="12"/>
      <c r="L27" s="12"/>
    </row>
    <row r="28" spans="2:12" ht="14.25" customHeight="1">
      <c r="B28" s="4">
        <v>43706</v>
      </c>
      <c r="C28" s="30" t="s">
        <v>11571</v>
      </c>
      <c r="E28" s="6" t="s">
        <v>7314</v>
      </c>
      <c r="H28" s="6" t="s">
        <v>11568</v>
      </c>
      <c r="I28" s="137" t="s">
        <v>8290</v>
      </c>
      <c r="K28" s="12"/>
      <c r="L28" s="12"/>
    </row>
    <row r="29" spans="2:12" ht="14.25" customHeight="1">
      <c r="B29" s="4">
        <v>43713</v>
      </c>
      <c r="C29" s="30" t="s">
        <v>11572</v>
      </c>
      <c r="D29" s="6">
        <v>9431345759</v>
      </c>
      <c r="E29" s="6" t="s">
        <v>11573</v>
      </c>
      <c r="H29" s="6" t="s">
        <v>11566</v>
      </c>
      <c r="I29" s="137" t="s">
        <v>8116</v>
      </c>
      <c r="J29" s="6" t="s">
        <v>6728</v>
      </c>
      <c r="K29" s="12"/>
      <c r="L29" s="12"/>
    </row>
    <row r="30" spans="2:12" ht="14.25" customHeight="1">
      <c r="B30" s="4">
        <v>43713</v>
      </c>
      <c r="C30" s="30" t="s">
        <v>11574</v>
      </c>
      <c r="D30" s="6">
        <v>7209310758</v>
      </c>
      <c r="E30" s="6" t="s">
        <v>7314</v>
      </c>
      <c r="H30" s="6" t="s">
        <v>11566</v>
      </c>
      <c r="I30" s="137" t="s">
        <v>8116</v>
      </c>
      <c r="K30" s="12"/>
      <c r="L30" s="12"/>
    </row>
    <row r="31" spans="2:12" ht="14.25" customHeight="1">
      <c r="B31" s="4">
        <v>43716</v>
      </c>
      <c r="C31" s="30" t="s">
        <v>11575</v>
      </c>
      <c r="D31" s="6">
        <v>8809365355</v>
      </c>
      <c r="E31" s="6" t="s">
        <v>7314</v>
      </c>
      <c r="H31" s="6" t="s">
        <v>11566</v>
      </c>
      <c r="I31" s="137" t="s">
        <v>8116</v>
      </c>
      <c r="K31" s="309">
        <v>100015126910119</v>
      </c>
      <c r="L31" s="309" t="s">
        <v>11576</v>
      </c>
    </row>
    <row r="32" spans="2:12" ht="14.25" customHeight="1">
      <c r="B32" s="4">
        <v>43722</v>
      </c>
      <c r="C32" s="30" t="s">
        <v>8173</v>
      </c>
      <c r="D32" s="6">
        <v>7903798550</v>
      </c>
      <c r="E32" s="6" t="s">
        <v>7314</v>
      </c>
      <c r="H32" s="6" t="s">
        <v>11577</v>
      </c>
      <c r="I32" s="137" t="s">
        <v>3696</v>
      </c>
      <c r="K32" s="12">
        <v>190012889486</v>
      </c>
      <c r="L32" s="12"/>
    </row>
    <row r="33" spans="2:12" ht="14.25" customHeight="1">
      <c r="B33" s="4">
        <v>43725</v>
      </c>
      <c r="C33" s="30" t="s">
        <v>11578</v>
      </c>
      <c r="D33" s="6">
        <v>9955531957</v>
      </c>
      <c r="E33" s="6" t="s">
        <v>7314</v>
      </c>
      <c r="H33" s="6" t="s">
        <v>11577</v>
      </c>
      <c r="I33" s="137" t="s">
        <v>3696</v>
      </c>
      <c r="K33" s="12"/>
      <c r="L33" s="12"/>
    </row>
    <row r="34" spans="2:12" ht="14.25" customHeight="1">
      <c r="B34" s="4">
        <v>43725</v>
      </c>
      <c r="C34" s="30" t="s">
        <v>11579</v>
      </c>
      <c r="D34" s="6">
        <v>9835337812</v>
      </c>
      <c r="E34" s="6" t="s">
        <v>7314</v>
      </c>
      <c r="H34" s="6" t="s">
        <v>11577</v>
      </c>
      <c r="I34" s="137" t="s">
        <v>3696</v>
      </c>
      <c r="K34" s="12">
        <v>6</v>
      </c>
      <c r="L34" s="12"/>
    </row>
    <row r="35" spans="2:12" ht="14.25" customHeight="1">
      <c r="B35" s="4">
        <v>43730</v>
      </c>
      <c r="C35" s="30" t="s">
        <v>11580</v>
      </c>
      <c r="D35" s="6">
        <v>8340318636</v>
      </c>
      <c r="E35" s="6" t="s">
        <v>7314</v>
      </c>
      <c r="H35" s="6" t="s">
        <v>11577</v>
      </c>
      <c r="I35" s="137" t="s">
        <v>3696</v>
      </c>
      <c r="K35" s="12"/>
      <c r="L35" s="12"/>
    </row>
    <row r="36" spans="2:12" ht="14.25" customHeight="1">
      <c r="B36" s="4">
        <v>43733</v>
      </c>
      <c r="C36" s="30" t="s">
        <v>11581</v>
      </c>
      <c r="D36" s="6">
        <v>9031905223</v>
      </c>
      <c r="E36" s="6" t="s">
        <v>7314</v>
      </c>
      <c r="H36" s="6" t="s">
        <v>11582</v>
      </c>
      <c r="I36" s="137" t="s">
        <v>8116</v>
      </c>
      <c r="K36" s="12">
        <v>100015279045519</v>
      </c>
      <c r="L36" s="12" t="s">
        <v>11583</v>
      </c>
    </row>
    <row r="37" spans="2:12" ht="14.25" customHeight="1">
      <c r="B37" s="4">
        <v>43743</v>
      </c>
      <c r="C37" s="30" t="s">
        <v>8718</v>
      </c>
      <c r="D37" s="6">
        <v>8294696993</v>
      </c>
      <c r="E37" s="6" t="s">
        <v>7314</v>
      </c>
      <c r="H37" s="6" t="s">
        <v>11584</v>
      </c>
      <c r="I37" s="137" t="s">
        <v>8116</v>
      </c>
      <c r="J37" s="4">
        <v>43761</v>
      </c>
      <c r="K37" s="12">
        <v>100015311004919</v>
      </c>
      <c r="L37" s="12" t="s">
        <v>11585</v>
      </c>
    </row>
    <row r="38" spans="2:12" ht="14.25" customHeight="1">
      <c r="B38" s="4">
        <v>43746</v>
      </c>
      <c r="H38" s="6" t="s">
        <v>11584</v>
      </c>
      <c r="I38" s="137" t="s">
        <v>8116</v>
      </c>
      <c r="K38" s="12"/>
      <c r="L38" s="12"/>
    </row>
    <row r="39" spans="2:12" ht="14.25" customHeight="1">
      <c r="B39" s="4">
        <v>43750</v>
      </c>
      <c r="C39" s="30" t="s">
        <v>11586</v>
      </c>
      <c r="H39" s="6" t="s">
        <v>11584</v>
      </c>
      <c r="I39" s="137" t="s">
        <v>8116</v>
      </c>
      <c r="J39" s="4">
        <v>43767</v>
      </c>
      <c r="K39" s="12"/>
      <c r="L39" s="12"/>
    </row>
    <row r="40" spans="2:12" ht="14.25" customHeight="1">
      <c r="C40" s="30" t="s">
        <v>11587</v>
      </c>
      <c r="H40" s="6" t="s">
        <v>1878</v>
      </c>
      <c r="K40" s="12"/>
      <c r="L40" s="12"/>
    </row>
    <row r="41" spans="2:12" ht="14.25" customHeight="1">
      <c r="B41" s="4">
        <v>43754</v>
      </c>
      <c r="C41" s="30" t="s">
        <v>11588</v>
      </c>
      <c r="H41" s="6" t="s">
        <v>11589</v>
      </c>
      <c r="I41" s="137" t="s">
        <v>8290</v>
      </c>
      <c r="K41" s="12"/>
      <c r="L41" s="12"/>
    </row>
    <row r="42" spans="2:12" ht="14.25" customHeight="1">
      <c r="B42" s="4">
        <v>43754</v>
      </c>
      <c r="C42" s="30" t="s">
        <v>11590</v>
      </c>
      <c r="H42" s="6" t="s">
        <v>11589</v>
      </c>
      <c r="I42" s="137" t="s">
        <v>8290</v>
      </c>
      <c r="K42" s="12"/>
      <c r="L42" s="12"/>
    </row>
    <row r="43" spans="2:12" ht="14.25" customHeight="1">
      <c r="B43" s="4">
        <v>43754</v>
      </c>
      <c r="C43" s="30" t="s">
        <v>11591</v>
      </c>
      <c r="H43" s="6" t="s">
        <v>11589</v>
      </c>
      <c r="I43" s="137" t="s">
        <v>8290</v>
      </c>
      <c r="K43" s="12"/>
      <c r="L43" s="12"/>
    </row>
    <row r="44" spans="2:12" ht="14.25" customHeight="1">
      <c r="C44" s="30" t="s">
        <v>1527</v>
      </c>
      <c r="H44" s="6" t="s">
        <v>11592</v>
      </c>
      <c r="I44" s="137" t="s">
        <v>8290</v>
      </c>
      <c r="K44" s="12"/>
      <c r="L44" s="12"/>
    </row>
    <row r="45" spans="2:12" ht="14.25" customHeight="1">
      <c r="C45" s="30" t="s">
        <v>1527</v>
      </c>
      <c r="H45" s="6" t="s">
        <v>11592</v>
      </c>
      <c r="I45" s="137" t="s">
        <v>8290</v>
      </c>
      <c r="K45" s="12"/>
      <c r="L45" s="12"/>
    </row>
    <row r="46" spans="2:12" ht="14.25" customHeight="1">
      <c r="C46" s="30" t="s">
        <v>1527</v>
      </c>
      <c r="H46" s="6" t="s">
        <v>11592</v>
      </c>
      <c r="I46" s="137" t="s">
        <v>8290</v>
      </c>
      <c r="K46" s="12"/>
      <c r="L46" s="12"/>
    </row>
    <row r="47" spans="2:12" ht="14.25" customHeight="1">
      <c r="B47" s="4">
        <v>43759</v>
      </c>
      <c r="C47" s="30" t="s">
        <v>11593</v>
      </c>
      <c r="D47" s="6">
        <v>7295876646</v>
      </c>
      <c r="E47" s="6" t="s">
        <v>11573</v>
      </c>
      <c r="H47" s="6" t="s">
        <v>11584</v>
      </c>
      <c r="I47" s="137" t="s">
        <v>8290</v>
      </c>
      <c r="K47" s="12"/>
      <c r="L47" s="12"/>
    </row>
    <row r="48" spans="2:12" ht="14.25" customHeight="1">
      <c r="B48" s="4">
        <v>43766</v>
      </c>
      <c r="C48" s="30" t="s">
        <v>11594</v>
      </c>
      <c r="D48" s="6">
        <v>7033985889</v>
      </c>
      <c r="E48" s="6" t="s">
        <v>11573</v>
      </c>
      <c r="H48" s="6" t="s">
        <v>11584</v>
      </c>
      <c r="I48" s="137" t="s">
        <v>8290</v>
      </c>
      <c r="K48" s="12"/>
      <c r="L48" s="12"/>
    </row>
    <row r="49" spans="1:12" ht="14.25" customHeight="1">
      <c r="C49" s="30" t="s">
        <v>3255</v>
      </c>
      <c r="D49" s="6">
        <v>8227064613</v>
      </c>
      <c r="H49" s="6" t="s">
        <v>11589</v>
      </c>
      <c r="I49" s="137" t="s">
        <v>8290</v>
      </c>
      <c r="J49" s="4">
        <v>43795</v>
      </c>
      <c r="K49" s="12">
        <v>100015547972919</v>
      </c>
      <c r="L49" s="12" t="s">
        <v>11595</v>
      </c>
    </row>
    <row r="50" spans="1:12" ht="14.25" customHeight="1">
      <c r="A50" s="6" t="s">
        <v>9063</v>
      </c>
      <c r="B50" s="4">
        <v>43787</v>
      </c>
      <c r="C50" s="30" t="s">
        <v>11596</v>
      </c>
      <c r="D50" s="6">
        <v>9572856979</v>
      </c>
      <c r="H50" s="6" t="s">
        <v>11597</v>
      </c>
      <c r="I50" s="137" t="s">
        <v>8290</v>
      </c>
      <c r="J50" s="4">
        <v>43791</v>
      </c>
      <c r="K50" s="12">
        <v>100015724286319</v>
      </c>
      <c r="L50" s="12" t="s">
        <v>11598</v>
      </c>
    </row>
    <row r="51" spans="1:12" ht="14.25" customHeight="1">
      <c r="B51" s="4">
        <v>43797</v>
      </c>
      <c r="C51" s="30" t="s">
        <v>11599</v>
      </c>
      <c r="D51" s="6">
        <v>7209501855</v>
      </c>
      <c r="H51" s="6" t="s">
        <v>11600</v>
      </c>
      <c r="I51" s="137" t="s">
        <v>11601</v>
      </c>
      <c r="K51" s="12"/>
      <c r="L51" s="12"/>
    </row>
    <row r="52" spans="1:12" ht="14.25" customHeight="1">
      <c r="B52" s="4">
        <v>43800</v>
      </c>
      <c r="C52" s="30" t="s">
        <v>7781</v>
      </c>
      <c r="D52" s="6">
        <v>8804803000</v>
      </c>
      <c r="E52" s="6" t="s">
        <v>7411</v>
      </c>
      <c r="H52" s="6" t="s">
        <v>11602</v>
      </c>
      <c r="I52" s="137" t="s">
        <v>8116</v>
      </c>
      <c r="J52" s="4">
        <v>43815</v>
      </c>
      <c r="K52" s="12">
        <v>100015676172919</v>
      </c>
      <c r="L52" s="12" t="s">
        <v>11603</v>
      </c>
    </row>
    <row r="53" spans="1:12" ht="14.25" customHeight="1">
      <c r="B53" s="4">
        <v>43822</v>
      </c>
      <c r="C53" s="30" t="s">
        <v>11604</v>
      </c>
      <c r="D53" s="6">
        <v>8092231804</v>
      </c>
      <c r="E53" s="6" t="s">
        <v>7411</v>
      </c>
      <c r="H53" s="6" t="s">
        <v>11602</v>
      </c>
      <c r="I53" s="137" t="s">
        <v>8116</v>
      </c>
      <c r="J53" s="4">
        <v>43838</v>
      </c>
      <c r="K53" s="310">
        <v>100015825786119</v>
      </c>
      <c r="L53" s="310" t="s">
        <v>11605</v>
      </c>
    </row>
    <row r="54" spans="1:12" ht="14.25" customHeight="1">
      <c r="B54" s="4">
        <v>43824</v>
      </c>
      <c r="C54" s="30" t="s">
        <v>11606</v>
      </c>
      <c r="D54" s="6">
        <v>9263448314</v>
      </c>
      <c r="E54" s="6" t="s">
        <v>7411</v>
      </c>
      <c r="H54" s="6" t="s">
        <v>11602</v>
      </c>
      <c r="I54" s="137" t="s">
        <v>8116</v>
      </c>
      <c r="J54" s="4">
        <v>43839</v>
      </c>
      <c r="K54" s="12"/>
      <c r="L54" s="12"/>
    </row>
    <row r="55" spans="1:12" ht="14.25" customHeight="1">
      <c r="B55" s="4">
        <v>43824</v>
      </c>
      <c r="C55" s="30" t="s">
        <v>7523</v>
      </c>
      <c r="D55" s="6">
        <v>7631194435</v>
      </c>
      <c r="H55" s="6" t="s">
        <v>11602</v>
      </c>
      <c r="I55" s="137" t="s">
        <v>8116</v>
      </c>
      <c r="J55" s="4">
        <v>43839</v>
      </c>
      <c r="K55" s="12"/>
      <c r="L55" s="12"/>
    </row>
    <row r="56" spans="1:12" ht="14.25" customHeight="1">
      <c r="B56" s="4">
        <v>43828</v>
      </c>
      <c r="C56" s="30" t="s">
        <v>11607</v>
      </c>
      <c r="D56" s="6">
        <v>9939278339</v>
      </c>
      <c r="E56" s="6" t="s">
        <v>11608</v>
      </c>
      <c r="H56" s="6" t="s">
        <v>11609</v>
      </c>
      <c r="I56" s="137" t="s">
        <v>8116</v>
      </c>
      <c r="J56" s="4">
        <v>43844</v>
      </c>
      <c r="K56" s="12">
        <v>100015873488319</v>
      </c>
      <c r="L56" s="12" t="s">
        <v>11610</v>
      </c>
    </row>
    <row r="57" spans="1:12" ht="14.25" customHeight="1">
      <c r="B57" s="4">
        <v>43838</v>
      </c>
      <c r="C57" s="30" t="s">
        <v>11611</v>
      </c>
      <c r="D57" s="6">
        <v>8789590873</v>
      </c>
      <c r="E57" s="6" t="s">
        <v>7314</v>
      </c>
      <c r="H57" s="6" t="s">
        <v>11609</v>
      </c>
      <c r="I57" s="137" t="s">
        <v>8116</v>
      </c>
      <c r="J57" s="4">
        <v>43854</v>
      </c>
      <c r="K57" s="12"/>
      <c r="L57" s="12"/>
    </row>
    <row r="58" spans="1:12" ht="14.25" customHeight="1">
      <c r="C58" s="30" t="s">
        <v>11612</v>
      </c>
      <c r="H58" s="6" t="s">
        <v>11609</v>
      </c>
      <c r="I58" s="137" t="s">
        <v>8116</v>
      </c>
      <c r="K58" s="12"/>
      <c r="L58" s="12"/>
    </row>
    <row r="59" spans="1:12" ht="14.25" customHeight="1">
      <c r="A59" s="6" t="s">
        <v>11613</v>
      </c>
      <c r="C59" s="30" t="s">
        <v>11614</v>
      </c>
      <c r="D59" s="6">
        <v>9955462727</v>
      </c>
      <c r="E59" s="6" t="s">
        <v>7314</v>
      </c>
      <c r="H59" s="6" t="s">
        <v>11615</v>
      </c>
      <c r="I59" s="137" t="s">
        <v>8116</v>
      </c>
      <c r="K59" s="12"/>
      <c r="L59" s="12"/>
    </row>
    <row r="60" spans="1:12" ht="14.25" customHeight="1">
      <c r="A60" s="6" t="s">
        <v>11616</v>
      </c>
      <c r="B60" s="4">
        <v>43851</v>
      </c>
      <c r="C60" s="30" t="s">
        <v>11617</v>
      </c>
      <c r="D60" s="6">
        <v>9123468947</v>
      </c>
      <c r="H60" s="6" t="s">
        <v>11618</v>
      </c>
      <c r="I60" s="137" t="s">
        <v>8910</v>
      </c>
      <c r="K60" s="12"/>
      <c r="L60" s="12"/>
    </row>
    <row r="61" spans="1:12" ht="14.25" customHeight="1">
      <c r="A61" s="6" t="s">
        <v>11616</v>
      </c>
      <c r="B61" s="4">
        <v>43851</v>
      </c>
      <c r="C61" s="311" t="s">
        <v>11619</v>
      </c>
      <c r="H61" s="6" t="s">
        <v>11618</v>
      </c>
      <c r="I61" s="137" t="s">
        <v>8910</v>
      </c>
      <c r="K61" s="12"/>
      <c r="L61" s="12"/>
    </row>
    <row r="62" spans="1:12" ht="14.25" customHeight="1">
      <c r="B62" s="4">
        <v>43883</v>
      </c>
      <c r="C62" s="30" t="s">
        <v>11620</v>
      </c>
      <c r="H62" s="6" t="s">
        <v>11618</v>
      </c>
      <c r="I62" s="137" t="s">
        <v>8910</v>
      </c>
      <c r="K62" s="12"/>
      <c r="L62" s="12"/>
    </row>
    <row r="63" spans="1:12" ht="14.25" customHeight="1">
      <c r="C63" s="30" t="s">
        <v>11621</v>
      </c>
      <c r="H63" s="6" t="s">
        <v>11618</v>
      </c>
      <c r="I63" s="137" t="s">
        <v>8910</v>
      </c>
      <c r="K63" s="12"/>
      <c r="L63" s="12"/>
    </row>
    <row r="64" spans="1:12" ht="14.25" customHeight="1">
      <c r="C64" s="30" t="s">
        <v>11622</v>
      </c>
      <c r="H64" s="6" t="s">
        <v>11618</v>
      </c>
      <c r="I64" s="137" t="s">
        <v>8910</v>
      </c>
      <c r="K64" s="12"/>
      <c r="L64" s="12"/>
    </row>
    <row r="65" spans="1:13" ht="14.25" customHeight="1">
      <c r="B65" s="4">
        <v>43871</v>
      </c>
      <c r="C65" s="30" t="s">
        <v>11623</v>
      </c>
      <c r="D65" s="6">
        <v>7979020542</v>
      </c>
      <c r="E65" s="6" t="s">
        <v>7314</v>
      </c>
      <c r="H65" s="6" t="s">
        <v>11624</v>
      </c>
      <c r="I65" s="137" t="s">
        <v>3696</v>
      </c>
      <c r="J65" s="4">
        <v>43888</v>
      </c>
      <c r="K65" s="12" t="s">
        <v>11625</v>
      </c>
      <c r="L65" s="12"/>
    </row>
    <row r="66" spans="1:13" ht="14.25" customHeight="1">
      <c r="B66" s="4">
        <v>43874</v>
      </c>
      <c r="C66" s="30" t="s">
        <v>11626</v>
      </c>
      <c r="D66" s="6">
        <v>7979707686</v>
      </c>
      <c r="E66" s="6" t="s">
        <v>7314</v>
      </c>
      <c r="H66" s="6" t="s">
        <v>11624</v>
      </c>
      <c r="I66" s="137" t="s">
        <v>3696</v>
      </c>
      <c r="K66" s="12"/>
      <c r="L66" s="12"/>
    </row>
    <row r="67" spans="1:13" ht="14.25" customHeight="1">
      <c r="B67" s="4">
        <v>43875</v>
      </c>
      <c r="C67" s="30" t="s">
        <v>11499</v>
      </c>
      <c r="D67" s="6">
        <v>9102777856</v>
      </c>
      <c r="E67" s="6" t="s">
        <v>7314</v>
      </c>
      <c r="H67" s="6" t="s">
        <v>11624</v>
      </c>
      <c r="I67" s="137" t="s">
        <v>3696</v>
      </c>
      <c r="K67" s="12"/>
      <c r="L67" s="12"/>
    </row>
    <row r="68" spans="1:13" ht="14.25" customHeight="1">
      <c r="B68" s="4">
        <v>43875</v>
      </c>
      <c r="C68" s="30" t="s">
        <v>11627</v>
      </c>
      <c r="D68" s="6">
        <v>9708277278</v>
      </c>
      <c r="E68" s="6" t="s">
        <v>7314</v>
      </c>
      <c r="H68" s="6" t="s">
        <v>11624</v>
      </c>
      <c r="I68" s="137" t="s">
        <v>3696</v>
      </c>
      <c r="J68" s="4">
        <v>43893</v>
      </c>
      <c r="K68" s="12">
        <v>100016231408720</v>
      </c>
      <c r="L68" s="311" t="s">
        <v>11628</v>
      </c>
    </row>
    <row r="69" spans="1:13" ht="14.25" customHeight="1">
      <c r="A69" s="6" t="s">
        <v>11616</v>
      </c>
      <c r="B69" s="4">
        <v>43902</v>
      </c>
      <c r="C69" s="30" t="s">
        <v>2031</v>
      </c>
      <c r="D69" s="6">
        <v>7091556451</v>
      </c>
      <c r="E69" s="6" t="s">
        <v>7314</v>
      </c>
      <c r="H69" s="6" t="s">
        <v>11629</v>
      </c>
      <c r="I69" s="137" t="s">
        <v>9229</v>
      </c>
      <c r="J69" s="4">
        <v>43916</v>
      </c>
      <c r="K69" s="12"/>
      <c r="L69" s="12" t="s">
        <v>11630</v>
      </c>
    </row>
    <row r="70" spans="1:13" ht="14.25" customHeight="1">
      <c r="A70" s="6" t="s">
        <v>11631</v>
      </c>
      <c r="B70" s="4">
        <v>29572</v>
      </c>
      <c r="C70" s="30" t="s">
        <v>11632</v>
      </c>
      <c r="D70" s="6">
        <v>6205211012</v>
      </c>
      <c r="E70" s="6" t="s">
        <v>7314</v>
      </c>
      <c r="H70" s="6" t="s">
        <v>11629</v>
      </c>
      <c r="I70" s="137" t="s">
        <v>9229</v>
      </c>
      <c r="J70" s="4">
        <v>43920</v>
      </c>
      <c r="K70" s="12">
        <v>100016393276120</v>
      </c>
      <c r="L70" s="12" t="s">
        <v>11633</v>
      </c>
    </row>
    <row r="71" spans="1:13" ht="14.25" customHeight="1">
      <c r="A71" s="6" t="s">
        <v>11634</v>
      </c>
      <c r="B71" s="4">
        <v>43991</v>
      </c>
      <c r="C71" s="30" t="s">
        <v>11635</v>
      </c>
      <c r="D71" s="6">
        <v>8825195700</v>
      </c>
      <c r="E71" s="6" t="s">
        <v>7314</v>
      </c>
      <c r="H71" s="38" t="s">
        <v>11636</v>
      </c>
      <c r="I71" s="137" t="s">
        <v>3696</v>
      </c>
      <c r="J71" s="4">
        <v>44082</v>
      </c>
      <c r="K71" s="12"/>
      <c r="L71" s="12"/>
    </row>
    <row r="72" spans="1:13" ht="14.25" customHeight="1">
      <c r="E72" s="6" t="s">
        <v>7314</v>
      </c>
      <c r="H72" s="6" t="s">
        <v>1878</v>
      </c>
      <c r="K72" s="12"/>
      <c r="L72" s="12"/>
    </row>
    <row r="73" spans="1:13" ht="14.25" customHeight="1">
      <c r="H73" s="6" t="s">
        <v>1878</v>
      </c>
      <c r="K73" s="12"/>
      <c r="L73" s="12"/>
    </row>
    <row r="74" spans="1:13" ht="14.25" customHeight="1">
      <c r="A74" s="6" t="s">
        <v>11631</v>
      </c>
      <c r="B74" s="4">
        <v>44013</v>
      </c>
      <c r="C74" s="30" t="s">
        <v>4079</v>
      </c>
      <c r="D74" s="6">
        <v>9031734009</v>
      </c>
      <c r="H74" s="6" t="s">
        <v>11637</v>
      </c>
      <c r="I74" s="137" t="s">
        <v>3696</v>
      </c>
      <c r="K74" s="12"/>
      <c r="L74" s="312" t="s">
        <v>11638</v>
      </c>
      <c r="M74" s="312"/>
    </row>
    <row r="75" spans="1:13" ht="14.25" customHeight="1">
      <c r="B75" s="4">
        <v>44082</v>
      </c>
      <c r="C75" s="30" t="s">
        <v>11639</v>
      </c>
      <c r="D75" s="6">
        <v>9334332165</v>
      </c>
      <c r="E75" s="6" t="s">
        <v>7314</v>
      </c>
      <c r="H75" s="38" t="s">
        <v>11636</v>
      </c>
      <c r="I75" s="137" t="s">
        <v>3696</v>
      </c>
      <c r="J75" s="4">
        <v>44084</v>
      </c>
      <c r="K75" s="12">
        <v>100017307254320</v>
      </c>
      <c r="L75" s="312" t="s">
        <v>11640</v>
      </c>
      <c r="M75" s="312"/>
    </row>
    <row r="76" spans="1:13" ht="14.25" customHeight="1">
      <c r="B76" s="4">
        <v>44105</v>
      </c>
      <c r="C76" s="30" t="s">
        <v>7981</v>
      </c>
      <c r="D76" s="6">
        <v>7260045036</v>
      </c>
      <c r="E76" s="6" t="s">
        <v>7314</v>
      </c>
      <c r="H76" s="38" t="s">
        <v>11641</v>
      </c>
      <c r="I76" s="137" t="s">
        <v>3696</v>
      </c>
      <c r="J76" s="4">
        <v>44123</v>
      </c>
      <c r="K76" s="12"/>
      <c r="L76" s="12"/>
    </row>
    <row r="77" spans="1:13" ht="14.25" customHeight="1">
      <c r="B77" s="4">
        <v>44113</v>
      </c>
      <c r="C77" s="30" t="s">
        <v>4649</v>
      </c>
      <c r="D77" s="6">
        <v>8210463626</v>
      </c>
      <c r="E77" s="6" t="s">
        <v>7314</v>
      </c>
      <c r="H77" s="6" t="s">
        <v>11642</v>
      </c>
      <c r="I77" s="137" t="s">
        <v>9229</v>
      </c>
      <c r="J77" s="6" t="s">
        <v>11643</v>
      </c>
      <c r="K77" s="4">
        <v>36221</v>
      </c>
      <c r="L77" s="12"/>
    </row>
    <row r="78" spans="1:13" ht="14.25" customHeight="1">
      <c r="B78" s="4">
        <v>44113</v>
      </c>
      <c r="C78" s="30" t="s">
        <v>11644</v>
      </c>
      <c r="D78" s="6">
        <v>82</v>
      </c>
      <c r="E78" s="6" t="s">
        <v>7314</v>
      </c>
      <c r="H78" s="6" t="s">
        <v>11642</v>
      </c>
      <c r="I78" s="137" t="s">
        <v>9229</v>
      </c>
      <c r="J78" s="6" t="s">
        <v>11643</v>
      </c>
      <c r="K78" s="12"/>
      <c r="L78" s="12"/>
    </row>
    <row r="79" spans="1:13" ht="14.25" customHeight="1">
      <c r="A79" s="6" t="s">
        <v>11631</v>
      </c>
      <c r="B79" s="4">
        <v>44119</v>
      </c>
      <c r="C79" s="30" t="s">
        <v>11645</v>
      </c>
      <c r="D79" s="6">
        <v>8235238981</v>
      </c>
      <c r="E79" s="6" t="s">
        <v>11646</v>
      </c>
      <c r="H79" s="6" t="s">
        <v>11647</v>
      </c>
      <c r="I79" s="137" t="s">
        <v>3696</v>
      </c>
      <c r="J79" s="6" t="s">
        <v>8501</v>
      </c>
      <c r="K79" s="12"/>
      <c r="L79" s="12"/>
    </row>
    <row r="80" spans="1:13" ht="14.25" customHeight="1">
      <c r="B80" s="4">
        <v>44126</v>
      </c>
      <c r="C80" s="30" t="s">
        <v>11648</v>
      </c>
      <c r="D80" s="6">
        <v>9508218504</v>
      </c>
      <c r="E80" s="6" t="s">
        <v>7314</v>
      </c>
      <c r="H80" s="6" t="s">
        <v>11649</v>
      </c>
      <c r="I80" s="137" t="s">
        <v>9229</v>
      </c>
      <c r="J80" s="4">
        <v>44245</v>
      </c>
      <c r="K80" s="12"/>
      <c r="L80" s="12"/>
    </row>
    <row r="81" spans="2:12" ht="14.25" customHeight="1">
      <c r="B81" s="4">
        <v>44135</v>
      </c>
      <c r="C81" s="30" t="s">
        <v>11650</v>
      </c>
      <c r="H81" s="6" t="s">
        <v>11642</v>
      </c>
      <c r="I81" s="137" t="s">
        <v>9229</v>
      </c>
      <c r="J81" s="6" t="s">
        <v>8501</v>
      </c>
      <c r="K81" s="12"/>
      <c r="L81" s="12"/>
    </row>
    <row r="82" spans="2:12" ht="14.25" customHeight="1">
      <c r="B82" s="4">
        <v>44160</v>
      </c>
      <c r="C82" s="30" t="s">
        <v>11651</v>
      </c>
      <c r="E82" s="6" t="s">
        <v>7411</v>
      </c>
      <c r="H82" s="6" t="s">
        <v>11642</v>
      </c>
      <c r="I82" s="137" t="s">
        <v>9229</v>
      </c>
      <c r="J82" s="4">
        <v>44182</v>
      </c>
      <c r="K82" s="12"/>
      <c r="L82" s="12"/>
    </row>
    <row r="83" spans="2:12" ht="14.25" customHeight="1">
      <c r="B83" s="4">
        <v>44160</v>
      </c>
      <c r="C83" s="30" t="s">
        <v>11652</v>
      </c>
      <c r="E83" s="6" t="s">
        <v>7411</v>
      </c>
      <c r="H83" s="6" t="s">
        <v>11642</v>
      </c>
      <c r="I83" s="137" t="s">
        <v>9229</v>
      </c>
      <c r="J83" s="4">
        <v>44245</v>
      </c>
      <c r="K83" s="12"/>
      <c r="L83" s="12"/>
    </row>
    <row r="84" spans="2:12" ht="14.25" customHeight="1">
      <c r="B84" s="4">
        <v>44161</v>
      </c>
      <c r="C84" s="30" t="s">
        <v>11653</v>
      </c>
      <c r="D84" s="6">
        <v>9931018604</v>
      </c>
      <c r="E84" s="6" t="s">
        <v>11646</v>
      </c>
      <c r="H84" s="6" t="s">
        <v>11654</v>
      </c>
      <c r="I84" s="137" t="s">
        <v>3696</v>
      </c>
      <c r="J84" s="4">
        <v>44186</v>
      </c>
      <c r="K84" s="4">
        <v>44183</v>
      </c>
      <c r="L84" s="12"/>
    </row>
    <row r="85" spans="2:12" ht="14.25" customHeight="1">
      <c r="B85" s="4">
        <v>44174</v>
      </c>
      <c r="C85" s="30" t="s">
        <v>11655</v>
      </c>
      <c r="D85" s="6">
        <v>7021099764</v>
      </c>
      <c r="E85" s="6" t="s">
        <v>7411</v>
      </c>
      <c r="H85" s="6" t="s">
        <v>11656</v>
      </c>
      <c r="I85" s="137" t="s">
        <v>3696</v>
      </c>
      <c r="J85" s="4">
        <v>44185</v>
      </c>
      <c r="K85" s="12">
        <v>100018114601320</v>
      </c>
      <c r="L85" s="12" t="s">
        <v>11657</v>
      </c>
    </row>
    <row r="86" spans="2:12" ht="14.25" customHeight="1">
      <c r="B86" s="4">
        <v>44174</v>
      </c>
      <c r="C86" s="30" t="s">
        <v>3109</v>
      </c>
      <c r="D86" s="6">
        <v>9304439663</v>
      </c>
      <c r="E86" s="6" t="s">
        <v>7411</v>
      </c>
      <c r="H86" s="6" t="s">
        <v>11656</v>
      </c>
      <c r="I86" s="137" t="s">
        <v>3696</v>
      </c>
      <c r="J86" s="4">
        <v>44185</v>
      </c>
      <c r="K86" s="12">
        <v>100018114601720</v>
      </c>
      <c r="L86" s="81" t="s">
        <v>11658</v>
      </c>
    </row>
    <row r="87" spans="2:12" ht="14.25" customHeight="1">
      <c r="B87" s="4">
        <v>44181</v>
      </c>
      <c r="C87" s="30" t="s">
        <v>11659</v>
      </c>
      <c r="D87" s="6">
        <v>9031787790</v>
      </c>
      <c r="E87" s="6" t="s">
        <v>7411</v>
      </c>
      <c r="H87" s="6" t="s">
        <v>11656</v>
      </c>
      <c r="I87" s="137" t="s">
        <v>3696</v>
      </c>
      <c r="J87" s="4">
        <v>44245</v>
      </c>
      <c r="K87" s="12">
        <v>100018164924921</v>
      </c>
      <c r="L87" s="313" t="s">
        <v>11660</v>
      </c>
    </row>
    <row r="88" spans="2:12" ht="14.25" customHeight="1">
      <c r="B88" s="4">
        <v>44167</v>
      </c>
      <c r="C88" s="30" t="s">
        <v>4685</v>
      </c>
      <c r="D88" s="6">
        <v>6202144394</v>
      </c>
      <c r="E88" s="6" t="s">
        <v>7411</v>
      </c>
      <c r="H88" s="6" t="s">
        <v>11661</v>
      </c>
      <c r="I88" s="137" t="s">
        <v>3696</v>
      </c>
      <c r="K88" s="12">
        <v>100018114637520</v>
      </c>
      <c r="L88" s="12" t="s">
        <v>11662</v>
      </c>
    </row>
    <row r="89" spans="2:12" ht="14.25" customHeight="1">
      <c r="B89" s="4">
        <v>44199</v>
      </c>
      <c r="C89" s="30" t="s">
        <v>1008</v>
      </c>
      <c r="D89" s="6">
        <v>8340157175</v>
      </c>
      <c r="E89" s="6" t="s">
        <v>7411</v>
      </c>
      <c r="H89" s="6" t="s">
        <v>11661</v>
      </c>
      <c r="I89" s="137" t="s">
        <v>3696</v>
      </c>
      <c r="J89" s="6" t="s">
        <v>11663</v>
      </c>
      <c r="K89" s="12"/>
      <c r="L89" s="12"/>
    </row>
    <row r="90" spans="2:12" ht="14.25" customHeight="1">
      <c r="B90" s="4">
        <v>44228</v>
      </c>
      <c r="C90" s="30" t="s">
        <v>11664</v>
      </c>
      <c r="D90" s="6">
        <v>9608387160</v>
      </c>
      <c r="E90" s="6" t="s">
        <v>7411</v>
      </c>
      <c r="H90" s="6" t="s">
        <v>11661</v>
      </c>
      <c r="I90" s="137" t="s">
        <v>3696</v>
      </c>
      <c r="K90" s="12"/>
      <c r="L90" s="12"/>
    </row>
    <row r="91" spans="2:12" ht="14.25" customHeight="1">
      <c r="B91" s="4">
        <v>44237</v>
      </c>
      <c r="C91" s="30" t="s">
        <v>11579</v>
      </c>
      <c r="D91" s="6">
        <v>9835337812</v>
      </c>
      <c r="E91" s="6" t="s">
        <v>7411</v>
      </c>
      <c r="H91" s="6" t="s">
        <v>11661</v>
      </c>
      <c r="I91" s="137" t="s">
        <v>3696</v>
      </c>
      <c r="J91" s="4">
        <v>44260</v>
      </c>
      <c r="K91" s="12"/>
      <c r="L91" s="12"/>
    </row>
    <row r="92" spans="2:12" ht="14.25" customHeight="1">
      <c r="B92" s="4">
        <v>44240</v>
      </c>
      <c r="C92" s="30" t="s">
        <v>11665</v>
      </c>
      <c r="D92" s="6">
        <v>9693273379</v>
      </c>
      <c r="E92" s="6" t="s">
        <v>7411</v>
      </c>
      <c r="H92" s="6" t="s">
        <v>11666</v>
      </c>
      <c r="I92" s="137" t="s">
        <v>9229</v>
      </c>
      <c r="J92" s="4">
        <v>44243</v>
      </c>
      <c r="K92" s="12">
        <v>100018173841121</v>
      </c>
      <c r="L92" s="313" t="s">
        <v>11667</v>
      </c>
    </row>
    <row r="93" spans="2:12" ht="14.25" customHeight="1">
      <c r="B93" s="4">
        <v>44240</v>
      </c>
      <c r="C93" s="30" t="s">
        <v>11668</v>
      </c>
      <c r="D93" s="6">
        <v>8797690557</v>
      </c>
      <c r="E93" s="6" t="s">
        <v>7411</v>
      </c>
      <c r="H93" s="6" t="s">
        <v>11666</v>
      </c>
      <c r="I93" s="137" t="s">
        <v>9229</v>
      </c>
      <c r="J93" s="4">
        <v>44243</v>
      </c>
      <c r="K93" s="12">
        <v>100018173841321</v>
      </c>
      <c r="L93" s="313" t="s">
        <v>11669</v>
      </c>
    </row>
    <row r="94" spans="2:12" ht="14.25" customHeight="1">
      <c r="B94" s="4">
        <v>44244</v>
      </c>
      <c r="C94" s="30" t="s">
        <v>11670</v>
      </c>
      <c r="D94" s="6">
        <v>8789585949</v>
      </c>
      <c r="E94" s="6" t="s">
        <v>7411</v>
      </c>
      <c r="H94" s="6" t="s">
        <v>11671</v>
      </c>
      <c r="I94" s="137" t="s">
        <v>9229</v>
      </c>
      <c r="J94" s="4">
        <v>44246</v>
      </c>
      <c r="K94" s="12">
        <v>100018173864921</v>
      </c>
      <c r="L94" s="12" t="s">
        <v>11672</v>
      </c>
    </row>
    <row r="95" spans="2:12" ht="14.25" customHeight="1">
      <c r="B95" s="4">
        <v>44254</v>
      </c>
      <c r="C95" s="30" t="s">
        <v>11673</v>
      </c>
      <c r="D95" s="6">
        <v>8092171255</v>
      </c>
      <c r="E95" s="6" t="s">
        <v>7411</v>
      </c>
      <c r="H95" s="6" t="s">
        <v>11661</v>
      </c>
      <c r="I95" s="137" t="s">
        <v>3696</v>
      </c>
      <c r="J95" s="4">
        <v>44279</v>
      </c>
      <c r="K95" s="12"/>
      <c r="L95" s="12"/>
    </row>
    <row r="96" spans="2:12" ht="14.25" customHeight="1">
      <c r="B96" s="4">
        <v>44256</v>
      </c>
      <c r="C96" s="30" t="s">
        <v>2084</v>
      </c>
      <c r="D96" s="6">
        <v>8797804720</v>
      </c>
      <c r="E96" s="6" t="s">
        <v>7411</v>
      </c>
      <c r="H96" s="6" t="s">
        <v>11674</v>
      </c>
      <c r="I96" s="137" t="s">
        <v>9229</v>
      </c>
      <c r="J96" s="4">
        <v>44257</v>
      </c>
      <c r="K96" s="12"/>
      <c r="L96" s="12"/>
    </row>
    <row r="97" spans="2:12" ht="14.25" customHeight="1">
      <c r="B97" s="4">
        <v>44263</v>
      </c>
      <c r="C97" s="30" t="s">
        <v>2851</v>
      </c>
      <c r="D97" s="6">
        <v>9102977767</v>
      </c>
      <c r="E97" s="6" t="s">
        <v>7411</v>
      </c>
      <c r="H97" s="6" t="s">
        <v>11674</v>
      </c>
      <c r="I97" s="137" t="s">
        <v>9229</v>
      </c>
      <c r="J97" s="4">
        <v>44265</v>
      </c>
      <c r="K97" s="12"/>
      <c r="L97" s="12"/>
    </row>
    <row r="98" spans="2:12" ht="14.25" customHeight="1">
      <c r="B98" s="4">
        <v>44268</v>
      </c>
      <c r="C98" s="30" t="s">
        <v>5232</v>
      </c>
      <c r="D98" s="6">
        <v>8709464598</v>
      </c>
      <c r="E98" s="6" t="s">
        <v>7411</v>
      </c>
      <c r="H98" s="6" t="s">
        <v>11674</v>
      </c>
      <c r="I98" s="137" t="s">
        <v>9229</v>
      </c>
      <c r="J98" s="4">
        <v>44270</v>
      </c>
      <c r="K98" s="12" t="s">
        <v>11675</v>
      </c>
      <c r="L98" s="12"/>
    </row>
    <row r="99" spans="2:12" ht="14.25" customHeight="1">
      <c r="B99" s="4">
        <v>44272</v>
      </c>
      <c r="C99" s="30" t="s">
        <v>11676</v>
      </c>
      <c r="D99" s="6">
        <v>7033661166</v>
      </c>
      <c r="E99" s="6" t="s">
        <v>7411</v>
      </c>
      <c r="H99" s="6" t="s">
        <v>11677</v>
      </c>
      <c r="I99" s="137" t="s">
        <v>3696</v>
      </c>
      <c r="K99" s="12"/>
      <c r="L99" s="12"/>
    </row>
    <row r="100" spans="2:12" ht="14.25" customHeight="1">
      <c r="B100" s="4">
        <v>44279</v>
      </c>
      <c r="C100" s="30" t="s">
        <v>11678</v>
      </c>
      <c r="D100" s="6">
        <v>8825273705</v>
      </c>
      <c r="E100" s="6" t="s">
        <v>7411</v>
      </c>
      <c r="H100" s="6" t="s">
        <v>11677</v>
      </c>
      <c r="I100" s="137" t="s">
        <v>3696</v>
      </c>
      <c r="K100" s="12"/>
      <c r="L100" s="314" t="s">
        <v>11679</v>
      </c>
    </row>
    <row r="101" spans="2:12" ht="14.25" customHeight="1">
      <c r="C101" s="30" t="s">
        <v>11680</v>
      </c>
      <c r="H101" s="6" t="s">
        <v>11677</v>
      </c>
      <c r="I101" s="137" t="s">
        <v>3696</v>
      </c>
      <c r="K101" s="12"/>
      <c r="L101" s="12"/>
    </row>
    <row r="102" spans="2:12" ht="14.25" customHeight="1">
      <c r="B102" s="158">
        <v>44290</v>
      </c>
      <c r="C102" s="48" t="s">
        <v>11681</v>
      </c>
      <c r="D102" s="47">
        <v>7091336551</v>
      </c>
      <c r="E102" s="47" t="s">
        <v>11573</v>
      </c>
      <c r="F102" s="47"/>
      <c r="G102" s="47"/>
      <c r="H102" s="47" t="s">
        <v>11682</v>
      </c>
      <c r="I102" s="47" t="s">
        <v>9229</v>
      </c>
      <c r="J102" s="47"/>
      <c r="K102" s="315" t="s">
        <v>11683</v>
      </c>
      <c r="L102" s="315"/>
    </row>
    <row r="103" spans="2:12" ht="14.25" customHeight="1">
      <c r="B103" s="4">
        <v>44291</v>
      </c>
      <c r="C103" s="30" t="s">
        <v>11684</v>
      </c>
      <c r="D103" s="6">
        <v>9205019131</v>
      </c>
      <c r="E103" s="6" t="s">
        <v>7411</v>
      </c>
      <c r="H103" s="6" t="s">
        <v>11682</v>
      </c>
      <c r="I103" s="137" t="s">
        <v>9229</v>
      </c>
      <c r="K103" s="12"/>
      <c r="L103" s="12"/>
    </row>
    <row r="104" spans="2:12" ht="14.25" customHeight="1">
      <c r="B104" s="4">
        <v>44292</v>
      </c>
      <c r="C104" s="48" t="s">
        <v>11685</v>
      </c>
      <c r="D104" s="6">
        <v>9934188094</v>
      </c>
      <c r="E104" s="6" t="s">
        <v>7411</v>
      </c>
      <c r="H104" s="6" t="s">
        <v>11682</v>
      </c>
      <c r="I104" s="137" t="s">
        <v>9229</v>
      </c>
      <c r="J104" s="4">
        <v>44319</v>
      </c>
      <c r="K104" s="12" t="s">
        <v>11686</v>
      </c>
      <c r="L104" s="12"/>
    </row>
    <row r="105" spans="2:12" ht="14.25" customHeight="1">
      <c r="C105" s="30" t="s">
        <v>11687</v>
      </c>
      <c r="D105" s="6">
        <v>9556961015</v>
      </c>
      <c r="G105" s="4">
        <v>35794</v>
      </c>
      <c r="H105" s="6" t="s">
        <v>11688</v>
      </c>
      <c r="I105" s="137" t="s">
        <v>11689</v>
      </c>
      <c r="J105" s="4">
        <v>44321</v>
      </c>
      <c r="K105" s="12"/>
      <c r="L105" s="12" t="s">
        <v>11690</v>
      </c>
    </row>
    <row r="106" spans="2:12" ht="14.25" customHeight="1">
      <c r="B106" s="4">
        <v>44305</v>
      </c>
      <c r="C106" s="30" t="s">
        <v>11691</v>
      </c>
      <c r="D106" s="30">
        <v>7759072420</v>
      </c>
      <c r="E106" s="6" t="s">
        <v>7411</v>
      </c>
      <c r="H106" s="6" t="s">
        <v>11688</v>
      </c>
      <c r="I106" s="137" t="s">
        <v>11689</v>
      </c>
      <c r="K106" s="12" t="s">
        <v>11692</v>
      </c>
      <c r="L106" s="12"/>
    </row>
    <row r="107" spans="2:12" ht="14.25" customHeight="1">
      <c r="B107" s="4">
        <v>44306</v>
      </c>
      <c r="C107" s="30" t="s">
        <v>11693</v>
      </c>
      <c r="D107" s="6">
        <v>7004661019</v>
      </c>
      <c r="E107" s="6" t="s">
        <v>7411</v>
      </c>
      <c r="H107" s="6" t="s">
        <v>11694</v>
      </c>
      <c r="I107" s="38" t="s">
        <v>9229</v>
      </c>
      <c r="J107" s="4">
        <v>44328</v>
      </c>
      <c r="K107" s="12" t="s">
        <v>11631</v>
      </c>
      <c r="L107" s="12"/>
    </row>
    <row r="108" spans="2:12" ht="14.25" customHeight="1">
      <c r="B108" s="4">
        <v>44309</v>
      </c>
      <c r="C108" s="30" t="s">
        <v>5038</v>
      </c>
      <c r="D108" s="6">
        <v>8409169079</v>
      </c>
      <c r="E108" s="6" t="s">
        <v>7411</v>
      </c>
      <c r="H108" s="6" t="s">
        <v>11688</v>
      </c>
      <c r="I108" s="38" t="s">
        <v>9229</v>
      </c>
      <c r="J108" s="4">
        <v>44333</v>
      </c>
      <c r="K108" s="12" t="s">
        <v>11631</v>
      </c>
      <c r="L108" s="12"/>
    </row>
    <row r="109" spans="2:12" ht="14.25" customHeight="1">
      <c r="C109" s="30" t="s">
        <v>11695</v>
      </c>
      <c r="H109" s="6" t="s">
        <v>11688</v>
      </c>
      <c r="I109" s="38" t="s">
        <v>9229</v>
      </c>
      <c r="K109" s="12"/>
      <c r="L109" s="12"/>
    </row>
    <row r="110" spans="2:12" ht="14.25" customHeight="1">
      <c r="B110" s="4">
        <v>44328</v>
      </c>
      <c r="C110" s="30" t="s">
        <v>11696</v>
      </c>
      <c r="D110" s="6">
        <v>6302972253</v>
      </c>
      <c r="E110" s="6" t="s">
        <v>7411</v>
      </c>
      <c r="H110" s="6" t="s">
        <v>11697</v>
      </c>
      <c r="I110" s="38" t="s">
        <v>9229</v>
      </c>
      <c r="K110" s="12"/>
      <c r="L110" s="12"/>
    </row>
    <row r="111" spans="2:12" ht="14.25" customHeight="1">
      <c r="B111" s="4">
        <v>44358</v>
      </c>
      <c r="C111" s="30" t="s">
        <v>11698</v>
      </c>
      <c r="D111" s="6">
        <v>9162525813</v>
      </c>
      <c r="E111" s="6" t="s">
        <v>7411</v>
      </c>
      <c r="H111" s="6" t="s">
        <v>11697</v>
      </c>
      <c r="I111" s="38" t="s">
        <v>9229</v>
      </c>
      <c r="J111" s="4">
        <v>44362</v>
      </c>
      <c r="K111" s="12" t="s">
        <v>11683</v>
      </c>
      <c r="L111" s="6" t="s">
        <v>11699</v>
      </c>
    </row>
    <row r="112" spans="2:12" ht="14.25" customHeight="1">
      <c r="B112" s="4">
        <v>44361</v>
      </c>
      <c r="C112" s="30" t="s">
        <v>5487</v>
      </c>
      <c r="D112" s="6">
        <v>9955494023</v>
      </c>
      <c r="E112" s="6" t="s">
        <v>7411</v>
      </c>
      <c r="H112" s="6" t="s">
        <v>11697</v>
      </c>
      <c r="I112" s="38" t="s">
        <v>9229</v>
      </c>
      <c r="J112" s="4">
        <v>44362</v>
      </c>
      <c r="K112" s="12" t="s">
        <v>11634</v>
      </c>
      <c r="L112" s="12"/>
    </row>
    <row r="113" spans="2:12" ht="14.25" customHeight="1">
      <c r="B113" s="4">
        <v>44366</v>
      </c>
      <c r="C113" s="30" t="s">
        <v>11700</v>
      </c>
      <c r="D113" s="6">
        <v>9931316895</v>
      </c>
      <c r="K113" s="12"/>
      <c r="L113" s="12"/>
    </row>
    <row r="114" spans="2:12" ht="14.25" customHeight="1">
      <c r="B114" s="4">
        <v>44370</v>
      </c>
      <c r="C114" s="30" t="s">
        <v>5651</v>
      </c>
      <c r="D114" s="6">
        <v>8969726404</v>
      </c>
      <c r="H114" s="6" t="s">
        <v>11701</v>
      </c>
      <c r="I114" s="38" t="s">
        <v>9229</v>
      </c>
      <c r="J114" s="4">
        <v>44379</v>
      </c>
      <c r="K114" s="12" t="s">
        <v>11683</v>
      </c>
      <c r="L114" s="12"/>
    </row>
    <row r="115" spans="2:12" ht="14.25" customHeight="1">
      <c r="B115" s="4">
        <v>44370</v>
      </c>
      <c r="C115" s="30" t="s">
        <v>11702</v>
      </c>
      <c r="D115" s="6">
        <v>9955025985</v>
      </c>
      <c r="H115" s="6" t="s">
        <v>11701</v>
      </c>
      <c r="I115" s="38" t="s">
        <v>9229</v>
      </c>
      <c r="J115" s="4">
        <v>44379</v>
      </c>
      <c r="K115" s="12" t="s">
        <v>11683</v>
      </c>
      <c r="L115" s="12"/>
    </row>
    <row r="116" spans="2:12" ht="14.25" customHeight="1">
      <c r="B116" s="4">
        <v>44373</v>
      </c>
      <c r="C116" s="30" t="s">
        <v>11703</v>
      </c>
      <c r="D116" s="6">
        <v>9431953434</v>
      </c>
      <c r="H116" s="6" t="s">
        <v>11704</v>
      </c>
      <c r="I116" s="38" t="s">
        <v>9229</v>
      </c>
      <c r="K116" s="12"/>
      <c r="L116" s="12"/>
    </row>
    <row r="117" spans="2:12" ht="14.25" customHeight="1">
      <c r="B117" s="4">
        <v>44380</v>
      </c>
      <c r="C117" s="30" t="s">
        <v>5414</v>
      </c>
      <c r="H117" s="6" t="s">
        <v>11705</v>
      </c>
      <c r="I117" s="38" t="s">
        <v>9229</v>
      </c>
      <c r="J117" s="4">
        <v>44384</v>
      </c>
      <c r="K117" s="12" t="s">
        <v>11634</v>
      </c>
      <c r="L117" s="12"/>
    </row>
    <row r="118" spans="2:12" ht="14.25" customHeight="1">
      <c r="B118" s="4">
        <v>44383</v>
      </c>
      <c r="C118" s="30" t="s">
        <v>11706</v>
      </c>
      <c r="D118" s="6">
        <v>8789408277</v>
      </c>
      <c r="G118" s="4">
        <v>37471</v>
      </c>
      <c r="H118" s="6" t="s">
        <v>11707</v>
      </c>
      <c r="I118" s="38" t="s">
        <v>11708</v>
      </c>
      <c r="K118" s="12"/>
      <c r="L118" s="12"/>
    </row>
    <row r="119" spans="2:12" ht="14.25" customHeight="1">
      <c r="C119" s="30" t="s">
        <v>11709</v>
      </c>
      <c r="D119" s="6">
        <v>8809070417</v>
      </c>
      <c r="G119" s="4">
        <v>35767</v>
      </c>
      <c r="H119" s="6" t="s">
        <v>11710</v>
      </c>
      <c r="I119" s="38" t="s">
        <v>11711</v>
      </c>
      <c r="J119" s="4">
        <v>44495</v>
      </c>
      <c r="K119" s="6" t="s">
        <v>11712</v>
      </c>
      <c r="L119" s="12"/>
    </row>
    <row r="120" spans="2:12" ht="14.25" customHeight="1">
      <c r="B120" s="4">
        <v>44445</v>
      </c>
      <c r="C120" s="30" t="s">
        <v>4507</v>
      </c>
      <c r="D120" s="6">
        <v>8235432847</v>
      </c>
      <c r="E120" s="6" t="s">
        <v>7411</v>
      </c>
      <c r="G120" s="4">
        <v>35125</v>
      </c>
      <c r="H120" s="6" t="s">
        <v>11713</v>
      </c>
      <c r="I120" s="38" t="s">
        <v>9229</v>
      </c>
      <c r="J120" s="4">
        <v>44481</v>
      </c>
      <c r="K120" s="12" t="s">
        <v>11631</v>
      </c>
      <c r="L120" s="12" t="s">
        <v>11714</v>
      </c>
    </row>
    <row r="121" spans="2:12" ht="14.25" customHeight="1">
      <c r="B121" s="4">
        <v>44445</v>
      </c>
      <c r="C121" s="30" t="s">
        <v>11715</v>
      </c>
      <c r="D121" s="6">
        <v>9641125137</v>
      </c>
      <c r="E121" s="6" t="s">
        <v>7411</v>
      </c>
      <c r="G121" s="4">
        <v>29932</v>
      </c>
      <c r="H121" s="6" t="s">
        <v>11716</v>
      </c>
      <c r="I121" s="38" t="s">
        <v>9229</v>
      </c>
      <c r="K121" s="12"/>
      <c r="L121" s="12" t="s">
        <v>11714</v>
      </c>
    </row>
    <row r="122" spans="2:12" ht="14.25" customHeight="1">
      <c r="C122" s="30" t="s">
        <v>11717</v>
      </c>
      <c r="D122" s="6">
        <v>9641125137</v>
      </c>
      <c r="H122" s="6" t="s">
        <v>11716</v>
      </c>
      <c r="I122" s="38" t="s">
        <v>9229</v>
      </c>
      <c r="K122" s="12"/>
      <c r="L122" s="12"/>
    </row>
    <row r="123" spans="2:12" ht="14.25" customHeight="1">
      <c r="C123" s="30" t="s">
        <v>11718</v>
      </c>
      <c r="D123" s="6">
        <v>9641125137</v>
      </c>
      <c r="H123" s="6" t="s">
        <v>11716</v>
      </c>
      <c r="I123" s="38" t="s">
        <v>9229</v>
      </c>
      <c r="K123" s="12"/>
      <c r="L123" s="12"/>
    </row>
    <row r="124" spans="2:12" ht="14.25" customHeight="1">
      <c r="C124" s="30" t="s">
        <v>5372</v>
      </c>
      <c r="D124" s="6">
        <v>8757307377</v>
      </c>
      <c r="G124" s="4">
        <v>37723</v>
      </c>
      <c r="H124" s="6" t="s">
        <v>11719</v>
      </c>
      <c r="I124" s="38" t="s">
        <v>11720</v>
      </c>
      <c r="J124" s="4">
        <v>37723</v>
      </c>
      <c r="K124" s="12"/>
      <c r="L124" s="12"/>
    </row>
    <row r="125" spans="2:12" ht="14.25" customHeight="1">
      <c r="B125" s="4">
        <v>44463</v>
      </c>
      <c r="C125" s="30" t="s">
        <v>6590</v>
      </c>
      <c r="D125" s="6">
        <v>8210825009</v>
      </c>
      <c r="E125" s="6" t="s">
        <v>7314</v>
      </c>
      <c r="G125" s="4">
        <v>35927</v>
      </c>
      <c r="H125" s="6" t="s">
        <v>11721</v>
      </c>
      <c r="I125" s="38" t="s">
        <v>9229</v>
      </c>
      <c r="J125" s="4">
        <v>44503</v>
      </c>
      <c r="K125" s="12"/>
      <c r="L125" s="12"/>
    </row>
    <row r="126" spans="2:12" ht="14.25" customHeight="1">
      <c r="B126" s="4">
        <v>44464</v>
      </c>
      <c r="C126" s="30" t="s">
        <v>6116</v>
      </c>
      <c r="D126" s="6">
        <v>8409949983</v>
      </c>
      <c r="E126" s="6" t="s">
        <v>9063</v>
      </c>
      <c r="G126" s="4">
        <v>37824</v>
      </c>
      <c r="H126" s="6" t="s">
        <v>11722</v>
      </c>
      <c r="I126" s="38" t="s">
        <v>9229</v>
      </c>
      <c r="K126" s="12"/>
      <c r="L126" s="12"/>
    </row>
    <row r="127" spans="2:12" ht="14.25" customHeight="1">
      <c r="B127" s="4">
        <v>44485</v>
      </c>
      <c r="C127" s="30" t="s">
        <v>11723</v>
      </c>
      <c r="D127" s="6">
        <v>7050378791</v>
      </c>
      <c r="E127" s="6" t="s">
        <v>7411</v>
      </c>
      <c r="F127" s="6" t="s">
        <v>11714</v>
      </c>
      <c r="G127" s="4">
        <v>36472</v>
      </c>
      <c r="H127" s="6" t="s">
        <v>11724</v>
      </c>
      <c r="I127" s="38" t="s">
        <v>9229</v>
      </c>
      <c r="K127" s="12" t="s">
        <v>11725</v>
      </c>
      <c r="L127" s="12"/>
    </row>
    <row r="128" spans="2:12" ht="14.25" customHeight="1">
      <c r="B128" s="4">
        <v>44485</v>
      </c>
      <c r="C128" s="30" t="s">
        <v>11726</v>
      </c>
      <c r="D128" s="6">
        <v>7050378791</v>
      </c>
      <c r="E128" s="6" t="s">
        <v>7411</v>
      </c>
      <c r="F128" s="6" t="s">
        <v>11714</v>
      </c>
      <c r="G128" s="4">
        <v>37867</v>
      </c>
      <c r="H128" s="6" t="s">
        <v>11724</v>
      </c>
      <c r="I128" s="38" t="s">
        <v>9229</v>
      </c>
      <c r="K128" s="12" t="s">
        <v>11725</v>
      </c>
      <c r="L128" s="12"/>
    </row>
    <row r="129" spans="2:12" ht="14.25" customHeight="1">
      <c r="B129" s="4">
        <v>44499</v>
      </c>
      <c r="C129" s="30" t="s">
        <v>11727</v>
      </c>
      <c r="D129" s="6">
        <v>8825395036</v>
      </c>
      <c r="E129" s="6" t="s">
        <v>7411</v>
      </c>
      <c r="F129" s="6" t="s">
        <v>11631</v>
      </c>
      <c r="G129" s="4">
        <v>36146</v>
      </c>
      <c r="H129" s="6" t="s">
        <v>11728</v>
      </c>
      <c r="I129" s="38" t="s">
        <v>9229</v>
      </c>
      <c r="K129" s="12"/>
      <c r="L129" s="12"/>
    </row>
    <row r="130" spans="2:12" ht="14.25" customHeight="1">
      <c r="B130" s="4">
        <v>44499</v>
      </c>
      <c r="C130" s="30" t="s">
        <v>11653</v>
      </c>
      <c r="E130" s="6" t="s">
        <v>11551</v>
      </c>
      <c r="F130" s="6" t="s">
        <v>11714</v>
      </c>
      <c r="H130" s="6" t="s">
        <v>11729</v>
      </c>
      <c r="I130" s="38" t="s">
        <v>9229</v>
      </c>
      <c r="J130" s="4">
        <v>44537</v>
      </c>
      <c r="K130" s="12" t="s">
        <v>11725</v>
      </c>
      <c r="L130" s="12"/>
    </row>
    <row r="131" spans="2:12" ht="14.25" customHeight="1">
      <c r="B131" s="4">
        <v>44513</v>
      </c>
      <c r="C131" s="30" t="s">
        <v>11730</v>
      </c>
      <c r="D131" s="6">
        <v>8897956136</v>
      </c>
      <c r="E131" s="6" t="s">
        <v>7411</v>
      </c>
      <c r="F131" s="6" t="s">
        <v>11714</v>
      </c>
      <c r="G131" s="4">
        <v>37616</v>
      </c>
      <c r="H131" s="6" t="s">
        <v>11731</v>
      </c>
      <c r="I131" s="38" t="s">
        <v>9229</v>
      </c>
      <c r="K131" s="12"/>
      <c r="L131" s="12"/>
    </row>
    <row r="132" spans="2:12" ht="14.25" customHeight="1">
      <c r="B132" s="4">
        <v>44511</v>
      </c>
      <c r="C132" s="30" t="s">
        <v>11653</v>
      </c>
      <c r="E132" s="6" t="s">
        <v>11551</v>
      </c>
      <c r="F132" s="6" t="s">
        <v>11714</v>
      </c>
      <c r="H132" s="6" t="s">
        <v>11729</v>
      </c>
      <c r="I132" s="38" t="s">
        <v>9229</v>
      </c>
      <c r="J132" s="4">
        <v>44537</v>
      </c>
      <c r="K132" s="12" t="s">
        <v>11725</v>
      </c>
      <c r="L132" s="12"/>
    </row>
    <row r="133" spans="2:12" ht="14.25" customHeight="1">
      <c r="B133" s="4">
        <v>44517</v>
      </c>
      <c r="C133" s="30" t="s">
        <v>11732</v>
      </c>
      <c r="D133" s="6">
        <v>8789882083</v>
      </c>
      <c r="E133" s="6" t="s">
        <v>7411</v>
      </c>
      <c r="H133" s="6" t="s">
        <v>11733</v>
      </c>
      <c r="I133" s="38" t="s">
        <v>9229</v>
      </c>
      <c r="J133" s="4">
        <v>37672</v>
      </c>
      <c r="K133" s="12" t="s">
        <v>11725</v>
      </c>
      <c r="L133" s="12" t="s">
        <v>11631</v>
      </c>
    </row>
    <row r="134" spans="2:12" ht="14.25" customHeight="1">
      <c r="B134" s="4">
        <v>44524</v>
      </c>
      <c r="C134" s="30" t="s">
        <v>11734</v>
      </c>
      <c r="D134" s="6">
        <v>7631066168</v>
      </c>
      <c r="E134" s="6" t="s">
        <v>7411</v>
      </c>
      <c r="F134" s="6" t="s">
        <v>11714</v>
      </c>
      <c r="G134" s="4">
        <v>30979</v>
      </c>
      <c r="H134" s="6" t="s">
        <v>11735</v>
      </c>
      <c r="I134" s="38" t="s">
        <v>9229</v>
      </c>
      <c r="K134" s="12"/>
      <c r="L134" s="12"/>
    </row>
    <row r="135" spans="2:12" ht="14.25" customHeight="1">
      <c r="C135" s="30" t="s">
        <v>3059</v>
      </c>
      <c r="D135" s="6">
        <v>9007882224</v>
      </c>
      <c r="E135" s="6" t="s">
        <v>11736</v>
      </c>
      <c r="F135" s="6" t="s">
        <v>11714</v>
      </c>
      <c r="G135" s="4">
        <v>33847</v>
      </c>
      <c r="H135" s="6" t="s">
        <v>11737</v>
      </c>
      <c r="I135" s="38" t="s">
        <v>9229</v>
      </c>
      <c r="K135" s="12" t="s">
        <v>11725</v>
      </c>
      <c r="L135" s="12"/>
    </row>
    <row r="136" spans="2:12" ht="14.25" customHeight="1">
      <c r="C136" s="30" t="s">
        <v>11684</v>
      </c>
      <c r="D136" s="6">
        <v>9205019131</v>
      </c>
      <c r="E136" s="6" t="s">
        <v>7411</v>
      </c>
      <c r="F136" s="6" t="s">
        <v>11714</v>
      </c>
      <c r="G136" s="4">
        <v>33507</v>
      </c>
      <c r="H136" s="6" t="s">
        <v>11738</v>
      </c>
      <c r="I136" s="38" t="s">
        <v>9229</v>
      </c>
      <c r="K136" s="12" t="s">
        <v>11725</v>
      </c>
      <c r="L136" s="12"/>
    </row>
    <row r="137" spans="2:12" ht="14.25" customHeight="1">
      <c r="B137" s="4">
        <v>44399</v>
      </c>
      <c r="C137" s="30" t="s">
        <v>6116</v>
      </c>
      <c r="D137" s="6">
        <v>8409949983</v>
      </c>
      <c r="E137" s="6" t="s">
        <v>7411</v>
      </c>
      <c r="F137" s="6" t="s">
        <v>11714</v>
      </c>
      <c r="G137" s="4">
        <v>37824</v>
      </c>
      <c r="H137" s="6" t="s">
        <v>11739</v>
      </c>
      <c r="I137" s="38" t="s">
        <v>9229</v>
      </c>
      <c r="K137" s="12" t="s">
        <v>11725</v>
      </c>
      <c r="L137" s="12"/>
    </row>
    <row r="138" spans="2:12" ht="14.25" customHeight="1">
      <c r="B138" s="4">
        <v>44399</v>
      </c>
      <c r="C138" s="30" t="s">
        <v>11740</v>
      </c>
      <c r="D138" s="6">
        <v>6202900720</v>
      </c>
      <c r="E138" s="6" t="s">
        <v>7411</v>
      </c>
      <c r="F138" s="6" t="s">
        <v>11714</v>
      </c>
      <c r="G138" s="4">
        <v>36821</v>
      </c>
      <c r="H138" s="6" t="s">
        <v>11741</v>
      </c>
      <c r="I138" s="38" t="s">
        <v>9229</v>
      </c>
      <c r="K138" s="12" t="s">
        <v>11725</v>
      </c>
      <c r="L138" s="12"/>
    </row>
    <row r="139" spans="2:12" ht="14.25" customHeight="1">
      <c r="C139" s="30" t="s">
        <v>11742</v>
      </c>
      <c r="D139" s="6">
        <v>7563061743</v>
      </c>
      <c r="E139" s="6" t="s">
        <v>7411</v>
      </c>
      <c r="F139" s="6" t="s">
        <v>11743</v>
      </c>
      <c r="G139" s="4">
        <v>35987</v>
      </c>
      <c r="H139" s="6" t="s">
        <v>11744</v>
      </c>
      <c r="I139" s="38" t="s">
        <v>9229</v>
      </c>
      <c r="J139" s="47"/>
      <c r="K139" s="12" t="s">
        <v>11725</v>
      </c>
      <c r="L139" s="315"/>
    </row>
    <row r="140" spans="2:12" ht="14.25" customHeight="1">
      <c r="B140" s="4">
        <v>44568</v>
      </c>
      <c r="C140" s="30" t="s">
        <v>6682</v>
      </c>
      <c r="D140" s="6">
        <v>7856886204</v>
      </c>
      <c r="E140" s="6" t="s">
        <v>7411</v>
      </c>
      <c r="G140" s="4">
        <v>37946</v>
      </c>
      <c r="H140" s="6" t="s">
        <v>11745</v>
      </c>
      <c r="I140" s="38" t="s">
        <v>9229</v>
      </c>
      <c r="K140" s="12" t="s">
        <v>11725</v>
      </c>
      <c r="L140" s="12"/>
    </row>
    <row r="141" spans="2:12" ht="14.25" customHeight="1">
      <c r="B141" s="4">
        <v>44568</v>
      </c>
      <c r="C141" s="30" t="s">
        <v>11746</v>
      </c>
      <c r="D141" s="6">
        <v>6200356242</v>
      </c>
      <c r="E141" s="6" t="s">
        <v>7411</v>
      </c>
      <c r="F141" s="6" t="s">
        <v>11714</v>
      </c>
      <c r="G141" s="4">
        <v>27417</v>
      </c>
      <c r="H141" s="6" t="s">
        <v>11747</v>
      </c>
      <c r="I141" s="492" t="s">
        <v>11758</v>
      </c>
      <c r="K141" s="12" t="s">
        <v>11725</v>
      </c>
      <c r="L141" s="12"/>
    </row>
    <row r="142" spans="2:12" ht="14.25" customHeight="1">
      <c r="C142" s="30" t="s">
        <v>11748</v>
      </c>
      <c r="D142" s="6">
        <v>7260062347</v>
      </c>
      <c r="E142" s="6" t="s">
        <v>7411</v>
      </c>
      <c r="F142" s="6" t="s">
        <v>11714</v>
      </c>
      <c r="G142" s="4">
        <v>35728</v>
      </c>
      <c r="H142" s="6" t="s">
        <v>11749</v>
      </c>
      <c r="I142" s="38" t="s">
        <v>11720</v>
      </c>
      <c r="K142" s="12"/>
      <c r="L142" s="12"/>
    </row>
    <row r="143" spans="2:12" ht="14.25" customHeight="1">
      <c r="B143" s="4">
        <v>44580</v>
      </c>
      <c r="C143" s="30" t="s">
        <v>11750</v>
      </c>
      <c r="D143" s="6">
        <v>7091493399</v>
      </c>
      <c r="E143" s="6" t="s">
        <v>7411</v>
      </c>
      <c r="F143" s="6" t="s">
        <v>11714</v>
      </c>
      <c r="G143" s="4">
        <v>32605</v>
      </c>
      <c r="H143" s="6" t="s">
        <v>11751</v>
      </c>
      <c r="I143" s="38" t="s">
        <v>11720</v>
      </c>
      <c r="K143" s="12"/>
      <c r="L143" s="12"/>
    </row>
    <row r="144" spans="2:12" ht="14.25" customHeight="1">
      <c r="B144" s="4">
        <v>44581</v>
      </c>
      <c r="C144" s="30" t="s">
        <v>11752</v>
      </c>
      <c r="D144" s="6">
        <v>7011152603</v>
      </c>
      <c r="E144" s="6" t="s">
        <v>7411</v>
      </c>
      <c r="G144" s="4">
        <v>36007</v>
      </c>
      <c r="H144" s="6" t="s">
        <v>11751</v>
      </c>
      <c r="I144" s="38" t="s">
        <v>11720</v>
      </c>
      <c r="K144" s="12"/>
      <c r="L144" s="12" t="s">
        <v>11753</v>
      </c>
    </row>
    <row r="145" spans="2:12" ht="14.25" customHeight="1">
      <c r="B145" s="4">
        <v>44581</v>
      </c>
      <c r="C145" s="30" t="s">
        <v>2986</v>
      </c>
      <c r="D145" s="6">
        <v>8207352736</v>
      </c>
      <c r="E145" s="6" t="s">
        <v>7411</v>
      </c>
      <c r="G145" s="4">
        <v>37110</v>
      </c>
      <c r="H145" s="6" t="s">
        <v>11754</v>
      </c>
      <c r="I145" s="38" t="s">
        <v>11720</v>
      </c>
      <c r="K145" s="12"/>
      <c r="L145" s="12" t="s">
        <v>11663</v>
      </c>
    </row>
    <row r="146" spans="2:12" ht="14.25" customHeight="1">
      <c r="B146" s="4">
        <v>44582</v>
      </c>
      <c r="C146" s="30" t="s">
        <v>11755</v>
      </c>
      <c r="D146" s="6">
        <v>9835356644</v>
      </c>
      <c r="E146" s="6" t="s">
        <v>11573</v>
      </c>
      <c r="F146" s="6" t="s">
        <v>11743</v>
      </c>
      <c r="G146" s="4">
        <v>27191</v>
      </c>
      <c r="H146" s="6" t="s">
        <v>11754</v>
      </c>
      <c r="I146" s="38" t="s">
        <v>11720</v>
      </c>
      <c r="J146" s="4">
        <v>44585</v>
      </c>
      <c r="K146" s="12"/>
      <c r="L146" s="12"/>
    </row>
    <row r="147" spans="2:12" ht="14.25" customHeight="1">
      <c r="B147" s="4">
        <v>44575</v>
      </c>
      <c r="C147" s="30" t="s">
        <v>12779</v>
      </c>
      <c r="D147" s="6"/>
      <c r="E147" s="6"/>
      <c r="F147" s="6"/>
      <c r="G147" s="4">
        <v>37147</v>
      </c>
      <c r="H147" s="6" t="s">
        <v>12780</v>
      </c>
      <c r="I147" s="38"/>
      <c r="J147" s="4"/>
      <c r="K147" s="12"/>
      <c r="L147" s="12"/>
    </row>
    <row r="148" spans="2:12" ht="14.25" customHeight="1">
      <c r="B148" s="4">
        <v>44603</v>
      </c>
      <c r="C148" s="30" t="s">
        <v>11756</v>
      </c>
      <c r="D148" s="6">
        <v>9160692545</v>
      </c>
      <c r="E148" s="6" t="s">
        <v>7411</v>
      </c>
      <c r="G148" s="4">
        <v>31350</v>
      </c>
      <c r="H148" s="6" t="s">
        <v>11757</v>
      </c>
      <c r="I148" s="38" t="s">
        <v>11758</v>
      </c>
      <c r="K148" s="12"/>
      <c r="L148" s="12"/>
    </row>
    <row r="149" spans="2:12" ht="14.25" customHeight="1">
      <c r="B149" s="4">
        <v>44603</v>
      </c>
      <c r="C149" s="30" t="s">
        <v>11759</v>
      </c>
      <c r="D149" s="6">
        <v>7488717436</v>
      </c>
      <c r="E149" s="6" t="s">
        <v>7411</v>
      </c>
      <c r="G149" s="4">
        <v>35125</v>
      </c>
      <c r="H149" s="6" t="s">
        <v>11757</v>
      </c>
      <c r="I149" s="38" t="s">
        <v>11758</v>
      </c>
      <c r="K149" s="12"/>
      <c r="L149" s="12"/>
    </row>
    <row r="150" spans="2:12" ht="14.25" customHeight="1">
      <c r="B150" s="4">
        <v>44603</v>
      </c>
      <c r="C150" s="30" t="s">
        <v>7056</v>
      </c>
      <c r="D150" s="6">
        <v>6206035278</v>
      </c>
      <c r="E150" s="6" t="s">
        <v>7411</v>
      </c>
      <c r="G150" s="4">
        <v>37820</v>
      </c>
      <c r="H150" s="6" t="s">
        <v>11757</v>
      </c>
      <c r="I150" s="38" t="s">
        <v>11758</v>
      </c>
      <c r="K150" s="12"/>
      <c r="L150" s="12"/>
    </row>
    <row r="151" spans="2:12" ht="14.25" customHeight="1">
      <c r="B151" s="4">
        <v>44612</v>
      </c>
      <c r="C151" s="30" t="s">
        <v>3686</v>
      </c>
      <c r="D151" s="6">
        <v>9696615803</v>
      </c>
      <c r="E151" s="6" t="s">
        <v>7411</v>
      </c>
      <c r="G151" s="4">
        <v>36855</v>
      </c>
      <c r="H151" s="6" t="s">
        <v>11760</v>
      </c>
      <c r="I151" s="6" t="s">
        <v>11758</v>
      </c>
      <c r="K151" s="12"/>
      <c r="L151" s="12"/>
    </row>
    <row r="152" spans="2:12" ht="14.25" customHeight="1">
      <c r="B152" s="4">
        <v>44612</v>
      </c>
      <c r="C152" s="30" t="s">
        <v>4769</v>
      </c>
      <c r="D152" s="6">
        <v>9696615803</v>
      </c>
      <c r="E152" s="6" t="s">
        <v>7411</v>
      </c>
      <c r="G152" s="4">
        <v>28960</v>
      </c>
      <c r="H152" s="6" t="s">
        <v>11760</v>
      </c>
      <c r="I152" s="6" t="s">
        <v>11758</v>
      </c>
      <c r="K152" s="12"/>
      <c r="L152" s="12"/>
    </row>
    <row r="153" spans="2:12" ht="14.25" customHeight="1">
      <c r="C153" s="30" t="s">
        <v>11761</v>
      </c>
      <c r="H153" s="6" t="s">
        <v>11762</v>
      </c>
      <c r="I153" s="492" t="s">
        <v>13377</v>
      </c>
      <c r="K153" s="12"/>
      <c r="L153" s="12"/>
    </row>
    <row r="154" spans="2:12" ht="14.25" customHeight="1">
      <c r="C154" s="30" t="s">
        <v>11763</v>
      </c>
      <c r="I154" s="492" t="s">
        <v>13377</v>
      </c>
      <c r="K154" s="12"/>
      <c r="L154" s="12"/>
    </row>
    <row r="155" spans="2:12" ht="14.25" customHeight="1">
      <c r="B155" s="386">
        <v>44646</v>
      </c>
      <c r="C155" s="385" t="s">
        <v>12227</v>
      </c>
      <c r="D155">
        <v>7979984867</v>
      </c>
      <c r="E155" s="384" t="s">
        <v>7411</v>
      </c>
      <c r="F155" s="384" t="s">
        <v>11714</v>
      </c>
      <c r="G155" s="386">
        <v>34662</v>
      </c>
      <c r="H155" s="384" t="s">
        <v>12226</v>
      </c>
      <c r="I155" s="492" t="s">
        <v>13377</v>
      </c>
      <c r="J155" s="383" t="s">
        <v>12225</v>
      </c>
      <c r="K155" s="387" t="s">
        <v>11725</v>
      </c>
      <c r="L155" s="12"/>
    </row>
    <row r="156" spans="2:12" ht="14.25" customHeight="1">
      <c r="B156" s="386">
        <v>44648</v>
      </c>
      <c r="C156" s="30" t="s">
        <v>12238</v>
      </c>
      <c r="D156">
        <v>9534014199</v>
      </c>
      <c r="E156" s="384" t="s">
        <v>7411</v>
      </c>
      <c r="F156" s="384" t="s">
        <v>11714</v>
      </c>
      <c r="G156" s="386">
        <v>33623</v>
      </c>
      <c r="H156" s="388" t="s">
        <v>1878</v>
      </c>
      <c r="K156" s="12"/>
      <c r="L156" s="12" t="s">
        <v>12239</v>
      </c>
    </row>
    <row r="157" spans="2:12" ht="14.25" customHeight="1">
      <c r="C157" s="30" t="s">
        <v>6116</v>
      </c>
      <c r="D157">
        <v>8409949983</v>
      </c>
      <c r="E157" s="390" t="s">
        <v>7411</v>
      </c>
      <c r="F157" s="384" t="s">
        <v>11714</v>
      </c>
      <c r="G157" s="386">
        <v>37824</v>
      </c>
      <c r="H157" s="390" t="s">
        <v>12263</v>
      </c>
      <c r="I157" s="391" t="s">
        <v>11720</v>
      </c>
      <c r="K157" s="12"/>
      <c r="L157" s="12"/>
    </row>
    <row r="158" spans="2:12" ht="14.25" customHeight="1">
      <c r="C158" s="30" t="s">
        <v>12276</v>
      </c>
      <c r="F158" s="393" t="s">
        <v>11683</v>
      </c>
      <c r="H158" s="390" t="s">
        <v>12263</v>
      </c>
      <c r="I158" s="391" t="s">
        <v>11720</v>
      </c>
      <c r="K158" s="12"/>
      <c r="L158" s="12"/>
    </row>
    <row r="159" spans="2:12" ht="14.25" customHeight="1">
      <c r="C159" s="30" t="s">
        <v>12291</v>
      </c>
      <c r="D159">
        <v>7992278846</v>
      </c>
      <c r="E159" t="s">
        <v>7411</v>
      </c>
      <c r="F159" s="393" t="s">
        <v>11683</v>
      </c>
      <c r="H159" s="390" t="s">
        <v>12263</v>
      </c>
      <c r="I159" s="391" t="s">
        <v>11720</v>
      </c>
      <c r="K159" s="12"/>
      <c r="L159" s="12"/>
    </row>
    <row r="160" spans="2:12" ht="14.25" customHeight="1">
      <c r="C160" s="30" t="s">
        <v>12487</v>
      </c>
      <c r="D160">
        <v>8102132787</v>
      </c>
      <c r="E160" t="s">
        <v>7411</v>
      </c>
      <c r="G160" s="386">
        <v>35211</v>
      </c>
      <c r="H160" s="408" t="s">
        <v>12496</v>
      </c>
      <c r="I160" s="391" t="s">
        <v>11720</v>
      </c>
      <c r="K160" s="12"/>
      <c r="L160" s="12"/>
    </row>
    <row r="161" spans="2:12" ht="14.25" customHeight="1">
      <c r="G161" s="386">
        <v>24330</v>
      </c>
      <c r="H161" s="408" t="s">
        <v>12497</v>
      </c>
      <c r="I161" s="391" t="s">
        <v>11720</v>
      </c>
      <c r="K161" s="12"/>
      <c r="L161" s="12"/>
    </row>
    <row r="162" spans="2:12" ht="14.25" customHeight="1">
      <c r="B162" s="386">
        <v>44693</v>
      </c>
      <c r="C162" s="30" t="s">
        <v>12530</v>
      </c>
      <c r="D162">
        <v>9060888390</v>
      </c>
      <c r="E162" t="s">
        <v>7411</v>
      </c>
      <c r="F162" t="s">
        <v>11743</v>
      </c>
      <c r="G162" s="386">
        <v>35136</v>
      </c>
      <c r="H162" s="408" t="s">
        <v>12496</v>
      </c>
      <c r="I162" s="391" t="s">
        <v>11689</v>
      </c>
      <c r="K162" s="12"/>
      <c r="L162" s="12"/>
    </row>
    <row r="163" spans="2:12" ht="14.25" customHeight="1">
      <c r="B163" s="386">
        <v>44714</v>
      </c>
      <c r="C163" s="30" t="s">
        <v>2573</v>
      </c>
      <c r="F163" t="s">
        <v>11686</v>
      </c>
      <c r="H163" s="408" t="s">
        <v>12496</v>
      </c>
      <c r="I163" s="391" t="s">
        <v>11758</v>
      </c>
      <c r="K163" s="12"/>
      <c r="L163" s="12">
        <v>52000</v>
      </c>
    </row>
    <row r="164" spans="2:12" ht="14.25" customHeight="1">
      <c r="B164" s="386">
        <v>44716</v>
      </c>
      <c r="C164" s="30" t="s">
        <v>12616</v>
      </c>
      <c r="D164">
        <v>9199562454</v>
      </c>
      <c r="E164" t="s">
        <v>7411</v>
      </c>
      <c r="F164" t="s">
        <v>11686</v>
      </c>
      <c r="G164" s="386">
        <v>37353</v>
      </c>
      <c r="H164" s="433" t="s">
        <v>12617</v>
      </c>
      <c r="I164" s="391" t="s">
        <v>11720</v>
      </c>
      <c r="K164" s="12"/>
      <c r="L164" s="12">
        <f>2840*24</f>
        <v>68160</v>
      </c>
    </row>
    <row r="165" spans="2:12" ht="14.25" customHeight="1">
      <c r="B165" s="386">
        <v>44716</v>
      </c>
      <c r="C165" s="30" t="s">
        <v>12621</v>
      </c>
      <c r="D165">
        <v>9263445537</v>
      </c>
      <c r="E165" t="s">
        <v>7411</v>
      </c>
      <c r="F165" t="s">
        <v>11686</v>
      </c>
      <c r="G165" s="386">
        <v>28101</v>
      </c>
      <c r="H165" s="433" t="s">
        <v>12617</v>
      </c>
      <c r="I165" s="391" t="s">
        <v>11720</v>
      </c>
      <c r="K165" s="12"/>
      <c r="L165" s="12"/>
    </row>
    <row r="166" spans="2:12" ht="14.25" customHeight="1">
      <c r="C166" s="30" t="s">
        <v>2346</v>
      </c>
      <c r="F166" t="s">
        <v>11686</v>
      </c>
      <c r="H166" s="433" t="s">
        <v>12617</v>
      </c>
      <c r="I166" s="391" t="s">
        <v>11720</v>
      </c>
      <c r="K166" s="12"/>
      <c r="L166" s="12">
        <f>L164-L163</f>
        <v>16160</v>
      </c>
    </row>
    <row r="167" spans="2:12" ht="14.25" customHeight="1">
      <c r="B167" s="386">
        <v>44732</v>
      </c>
      <c r="C167" s="30" t="s">
        <v>12713</v>
      </c>
      <c r="D167">
        <v>9123405500</v>
      </c>
      <c r="G167" s="473">
        <v>36977</v>
      </c>
      <c r="H167" s="408" t="s">
        <v>12496</v>
      </c>
      <c r="I167" s="391" t="s">
        <v>11720</v>
      </c>
      <c r="K167" s="12"/>
      <c r="L167" s="12"/>
    </row>
    <row r="168" spans="2:12" ht="14.25" customHeight="1">
      <c r="B168" s="386">
        <v>44732</v>
      </c>
      <c r="C168" s="30" t="s">
        <v>12714</v>
      </c>
      <c r="D168">
        <v>8210087356</v>
      </c>
      <c r="G168" s="386">
        <v>34485</v>
      </c>
      <c r="H168" s="472" t="s">
        <v>12715</v>
      </c>
      <c r="I168" s="391" t="s">
        <v>11720</v>
      </c>
      <c r="K168" s="12"/>
      <c r="L168" s="12"/>
    </row>
    <row r="169" spans="2:12" ht="14.25" customHeight="1">
      <c r="B169" s="386">
        <v>44742</v>
      </c>
      <c r="C169" s="30" t="s">
        <v>12779</v>
      </c>
      <c r="F169" t="s">
        <v>11686</v>
      </c>
      <c r="G169" s="386">
        <v>37147</v>
      </c>
      <c r="H169" s="513" t="s">
        <v>12781</v>
      </c>
      <c r="I169" s="391" t="s">
        <v>11758</v>
      </c>
      <c r="K169" s="12"/>
      <c r="L169" s="12"/>
    </row>
    <row r="170" spans="2:12" ht="14.25" customHeight="1">
      <c r="B170" s="386">
        <v>44743</v>
      </c>
      <c r="C170" s="30" t="s">
        <v>12789</v>
      </c>
      <c r="D170">
        <v>7903082835</v>
      </c>
      <c r="F170" t="s">
        <v>11714</v>
      </c>
      <c r="G170" s="386">
        <v>37268</v>
      </c>
      <c r="H170" s="493" t="s">
        <v>12790</v>
      </c>
      <c r="I170" s="391" t="s">
        <v>11720</v>
      </c>
      <c r="K170" s="12"/>
      <c r="L170" s="12"/>
    </row>
    <row r="171" spans="2:12" ht="14.25" customHeight="1">
      <c r="B171" s="386">
        <v>44743</v>
      </c>
      <c r="C171" s="30" t="s">
        <v>12846</v>
      </c>
      <c r="D171">
        <v>8709866299</v>
      </c>
      <c r="G171" s="386">
        <v>37978</v>
      </c>
      <c r="K171" s="12"/>
      <c r="L171" s="12"/>
    </row>
    <row r="172" spans="2:12" ht="14.25" customHeight="1">
      <c r="B172" s="386">
        <v>44754</v>
      </c>
      <c r="C172" s="30" t="s">
        <v>12857</v>
      </c>
      <c r="D172">
        <v>8444854188</v>
      </c>
      <c r="E172" t="s">
        <v>7411</v>
      </c>
      <c r="F172" t="s">
        <v>11714</v>
      </c>
      <c r="G172" s="386">
        <v>33367</v>
      </c>
      <c r="H172" t="s">
        <v>12858</v>
      </c>
      <c r="I172" s="391" t="s">
        <v>11720</v>
      </c>
      <c r="J172" s="386">
        <v>44780</v>
      </c>
      <c r="K172" s="12"/>
      <c r="L172" s="12"/>
    </row>
    <row r="173" spans="2:12" ht="14.25" customHeight="1">
      <c r="B173" s="386">
        <v>44780</v>
      </c>
      <c r="C173" s="30" t="s">
        <v>13086</v>
      </c>
      <c r="D173">
        <v>8102554200</v>
      </c>
      <c r="E173" t="s">
        <v>7411</v>
      </c>
      <c r="F173" t="s">
        <v>11714</v>
      </c>
      <c r="G173" s="386">
        <v>37518</v>
      </c>
      <c r="H173" t="s">
        <v>13087</v>
      </c>
      <c r="I173" s="391" t="s">
        <v>11720</v>
      </c>
      <c r="K173" s="12"/>
      <c r="L173" s="12"/>
    </row>
    <row r="174" spans="2:12" ht="14.25" customHeight="1">
      <c r="B174" s="386">
        <v>44791</v>
      </c>
      <c r="C174" s="30" t="s">
        <v>13126</v>
      </c>
      <c r="D174">
        <v>9576199025</v>
      </c>
      <c r="E174" t="s">
        <v>7411</v>
      </c>
      <c r="F174" t="s">
        <v>11714</v>
      </c>
      <c r="G174" s="386">
        <v>27020</v>
      </c>
      <c r="H174" t="s">
        <v>13122</v>
      </c>
      <c r="I174" s="391" t="s">
        <v>11720</v>
      </c>
      <c r="J174" t="s">
        <v>13127</v>
      </c>
      <c r="K174" s="12"/>
      <c r="L174" s="12"/>
    </row>
    <row r="175" spans="2:12" ht="14.25" customHeight="1">
      <c r="C175" s="30" t="s">
        <v>13123</v>
      </c>
      <c r="F175" t="s">
        <v>11714</v>
      </c>
      <c r="H175" t="s">
        <v>13122</v>
      </c>
      <c r="I175" s="391" t="s">
        <v>11720</v>
      </c>
      <c r="J175" s="386">
        <v>44810</v>
      </c>
      <c r="K175" s="12"/>
      <c r="L175" s="12"/>
    </row>
    <row r="176" spans="2:12" ht="14.25" customHeight="1">
      <c r="C176" s="30" t="s">
        <v>13124</v>
      </c>
      <c r="F176" t="s">
        <v>11714</v>
      </c>
      <c r="H176" t="s">
        <v>13122</v>
      </c>
      <c r="I176" s="391" t="s">
        <v>11720</v>
      </c>
      <c r="J176" s="386">
        <v>44810</v>
      </c>
      <c r="K176" s="12"/>
      <c r="L176" s="12"/>
    </row>
    <row r="177" spans="2:12" ht="14.25" customHeight="1">
      <c r="B177" s="386">
        <v>44791</v>
      </c>
      <c r="C177" s="30" t="s">
        <v>13125</v>
      </c>
      <c r="F177" t="s">
        <v>11714</v>
      </c>
      <c r="H177" t="s">
        <v>13122</v>
      </c>
      <c r="I177" s="391" t="s">
        <v>11720</v>
      </c>
      <c r="J177" s="386">
        <v>44810</v>
      </c>
      <c r="K177" s="12"/>
      <c r="L177" s="12"/>
    </row>
    <row r="178" spans="2:12" ht="14.25" customHeight="1">
      <c r="B178" s="386">
        <v>44791</v>
      </c>
      <c r="C178" s="30" t="s">
        <v>13131</v>
      </c>
      <c r="D178">
        <v>9060063554</v>
      </c>
      <c r="F178" t="s">
        <v>11631</v>
      </c>
      <c r="G178" s="386">
        <v>38211</v>
      </c>
      <c r="H178" t="s">
        <v>13130</v>
      </c>
      <c r="I178" s="391" t="s">
        <v>11720</v>
      </c>
      <c r="K178" s="12"/>
      <c r="L178" s="12"/>
    </row>
    <row r="179" spans="2:12" ht="14.25" customHeight="1">
      <c r="B179" s="386">
        <v>44802</v>
      </c>
      <c r="C179" s="30" t="s">
        <v>13177</v>
      </c>
      <c r="D179">
        <v>8697541070</v>
      </c>
      <c r="F179" t="s">
        <v>11631</v>
      </c>
      <c r="G179" s="386">
        <v>17750</v>
      </c>
      <c r="H179" t="s">
        <v>13178</v>
      </c>
      <c r="I179" s="391" t="s">
        <v>11720</v>
      </c>
      <c r="J179" s="386">
        <v>44824</v>
      </c>
      <c r="K179" s="12"/>
      <c r="L179" s="12"/>
    </row>
    <row r="180" spans="2:12" ht="14.25" customHeight="1">
      <c r="B180" s="386">
        <v>44808</v>
      </c>
      <c r="C180" s="30" t="s">
        <v>13195</v>
      </c>
      <c r="D180">
        <v>9798777928</v>
      </c>
      <c r="F180" t="s">
        <v>11714</v>
      </c>
      <c r="G180" s="386">
        <v>23091</v>
      </c>
      <c r="H180" t="s">
        <v>13196</v>
      </c>
      <c r="I180" s="391" t="s">
        <v>11720</v>
      </c>
      <c r="J180" s="386">
        <v>44833</v>
      </c>
      <c r="K180" s="12"/>
      <c r="L180" s="12"/>
    </row>
    <row r="181" spans="2:12" ht="14.25" customHeight="1">
      <c r="B181" s="386">
        <v>44810</v>
      </c>
      <c r="C181" s="30" t="s">
        <v>13218</v>
      </c>
      <c r="D181">
        <v>6207198064</v>
      </c>
      <c r="F181" t="s">
        <v>11714</v>
      </c>
      <c r="G181" s="386">
        <v>36273</v>
      </c>
      <c r="H181" t="s">
        <v>13217</v>
      </c>
      <c r="I181" s="391" t="s">
        <v>11720</v>
      </c>
      <c r="K181" s="12"/>
      <c r="L181" s="12"/>
    </row>
    <row r="182" spans="2:12" ht="14.25" customHeight="1">
      <c r="B182" s="386">
        <v>44814</v>
      </c>
      <c r="C182" s="30" t="s">
        <v>13244</v>
      </c>
      <c r="D182">
        <v>8789886585</v>
      </c>
      <c r="F182" t="s">
        <v>11743</v>
      </c>
      <c r="G182" s="386">
        <v>25914</v>
      </c>
      <c r="H182" t="s">
        <v>13246</v>
      </c>
      <c r="K182" s="12"/>
      <c r="L182" s="12"/>
    </row>
    <row r="183" spans="2:12" ht="14.25" customHeight="1">
      <c r="B183" s="386">
        <v>44814</v>
      </c>
      <c r="C183" s="30" t="s">
        <v>13245</v>
      </c>
      <c r="D183">
        <v>9053101827</v>
      </c>
      <c r="F183" t="s">
        <v>11743</v>
      </c>
      <c r="G183" s="386">
        <v>35701</v>
      </c>
      <c r="H183" t="s">
        <v>13246</v>
      </c>
      <c r="K183" s="12"/>
      <c r="L183" s="12"/>
    </row>
    <row r="184" spans="2:12" ht="14.25" customHeight="1">
      <c r="C184" s="30" t="s">
        <v>13291</v>
      </c>
      <c r="D184">
        <v>9031505571</v>
      </c>
      <c r="G184" s="386">
        <v>38211</v>
      </c>
      <c r="H184" t="s">
        <v>13130</v>
      </c>
      <c r="I184" s="391" t="s">
        <v>13492</v>
      </c>
      <c r="K184" s="12"/>
      <c r="L184" s="12"/>
    </row>
    <row r="185" spans="2:12" ht="14.25" customHeight="1">
      <c r="C185" s="30" t="s">
        <v>13324</v>
      </c>
      <c r="G185" s="386">
        <v>37046</v>
      </c>
      <c r="H185" t="s">
        <v>13130</v>
      </c>
      <c r="I185" s="391" t="s">
        <v>13492</v>
      </c>
      <c r="K185" s="12"/>
      <c r="L185" s="12"/>
    </row>
    <row r="186" spans="2:12" ht="14.25" customHeight="1">
      <c r="C186" s="30" t="s">
        <v>13332</v>
      </c>
      <c r="D186">
        <v>9200648891</v>
      </c>
      <c r="G186" s="386">
        <v>36256</v>
      </c>
      <c r="H186" t="s">
        <v>13334</v>
      </c>
      <c r="I186" s="606" t="s">
        <v>11720</v>
      </c>
      <c r="K186" s="12"/>
      <c r="L186" s="12"/>
    </row>
    <row r="187" spans="2:12" ht="14.25" customHeight="1">
      <c r="C187" s="30" t="s">
        <v>13333</v>
      </c>
      <c r="D187">
        <v>7667602718</v>
      </c>
      <c r="G187" s="386">
        <v>36188</v>
      </c>
      <c r="H187" t="s">
        <v>13334</v>
      </c>
      <c r="I187" s="606" t="s">
        <v>11720</v>
      </c>
      <c r="K187" s="12"/>
      <c r="L187" s="12"/>
    </row>
    <row r="188" spans="2:12" ht="14.25" customHeight="1">
      <c r="B188" s="386">
        <v>44854</v>
      </c>
      <c r="C188" s="30" t="s">
        <v>5224</v>
      </c>
      <c r="D188">
        <v>8789552082</v>
      </c>
      <c r="F188" t="s">
        <v>11743</v>
      </c>
      <c r="H188" t="s">
        <v>13334</v>
      </c>
      <c r="I188" s="391"/>
      <c r="K188" s="12"/>
      <c r="L188" s="12"/>
    </row>
    <row r="189" spans="2:12" ht="14.25" customHeight="1">
      <c r="B189" s="386">
        <v>44855</v>
      </c>
      <c r="C189" s="30" t="s">
        <v>13357</v>
      </c>
      <c r="D189">
        <v>8107133654</v>
      </c>
      <c r="F189" t="s">
        <v>11743</v>
      </c>
      <c r="G189" s="386">
        <v>37046</v>
      </c>
      <c r="H189" t="s">
        <v>13130</v>
      </c>
      <c r="I189" s="606" t="s">
        <v>11720</v>
      </c>
      <c r="K189" s="12"/>
      <c r="L189" s="12"/>
    </row>
    <row r="190" spans="2:12" ht="14.25" customHeight="1">
      <c r="C190" s="30" t="s">
        <v>13376</v>
      </c>
      <c r="D190">
        <v>9297699926</v>
      </c>
      <c r="H190" t="s">
        <v>13334</v>
      </c>
      <c r="K190" s="12"/>
      <c r="L190" s="12"/>
    </row>
    <row r="191" spans="2:12" ht="14.25" customHeight="1">
      <c r="C191" s="30" t="s">
        <v>13379</v>
      </c>
      <c r="D191">
        <v>8210774870</v>
      </c>
      <c r="H191" t="s">
        <v>13334</v>
      </c>
      <c r="K191" s="12"/>
      <c r="L191" s="12"/>
    </row>
    <row r="192" spans="2:12" ht="14.25" customHeight="1">
      <c r="B192" s="386">
        <v>44888</v>
      </c>
      <c r="C192" s="30" t="s">
        <v>13439</v>
      </c>
      <c r="D192">
        <v>8210796022</v>
      </c>
      <c r="F192" t="s">
        <v>11714</v>
      </c>
      <c r="G192" s="386">
        <v>28208</v>
      </c>
      <c r="H192" t="s">
        <v>13440</v>
      </c>
      <c r="I192" s="606" t="s">
        <v>11720</v>
      </c>
      <c r="J192" s="386">
        <v>44903</v>
      </c>
      <c r="K192" s="12"/>
      <c r="L192" s="12"/>
    </row>
    <row r="193" spans="2:12" ht="14.25" customHeight="1">
      <c r="B193" s="386">
        <v>44892</v>
      </c>
      <c r="C193" s="30" t="s">
        <v>13454</v>
      </c>
      <c r="D193">
        <v>8210089396</v>
      </c>
      <c r="F193" t="s">
        <v>11714</v>
      </c>
      <c r="G193" s="386">
        <v>34481</v>
      </c>
      <c r="H193" t="s">
        <v>13453</v>
      </c>
      <c r="I193" s="606" t="s">
        <v>11720</v>
      </c>
      <c r="J193" s="633" t="s">
        <v>13455</v>
      </c>
      <c r="K193" s="12"/>
      <c r="L193" s="12"/>
    </row>
    <row r="194" spans="2:12" ht="14.25" customHeight="1">
      <c r="B194" s="386">
        <v>44894</v>
      </c>
      <c r="C194" s="30" t="s">
        <v>13463</v>
      </c>
      <c r="D194">
        <v>9031703893</v>
      </c>
      <c r="F194" t="s">
        <v>11714</v>
      </c>
      <c r="G194" s="386">
        <v>38009</v>
      </c>
      <c r="H194" t="s">
        <v>13453</v>
      </c>
      <c r="I194" s="606" t="s">
        <v>11720</v>
      </c>
      <c r="K194" s="12"/>
      <c r="L194" s="12"/>
    </row>
    <row r="195" spans="2:12" ht="14.25" customHeight="1">
      <c r="B195" s="386">
        <v>44897</v>
      </c>
      <c r="C195" s="30" t="s">
        <v>13391</v>
      </c>
      <c r="D195">
        <v>9608956144</v>
      </c>
      <c r="F195" t="s">
        <v>11714</v>
      </c>
      <c r="G195" s="386">
        <v>38240</v>
      </c>
      <c r="H195" t="s">
        <v>13467</v>
      </c>
      <c r="I195" s="606" t="s">
        <v>11720</v>
      </c>
      <c r="K195" s="12"/>
      <c r="L195" s="12"/>
    </row>
    <row r="196" spans="2:12" ht="14.25" customHeight="1">
      <c r="B196" s="386">
        <v>44906</v>
      </c>
      <c r="C196" s="30" t="s">
        <v>13482</v>
      </c>
      <c r="D196">
        <v>9199929672</v>
      </c>
      <c r="F196" t="s">
        <v>11714</v>
      </c>
      <c r="G196" s="386">
        <v>41908</v>
      </c>
      <c r="H196" t="s">
        <v>13483</v>
      </c>
      <c r="I196" s="606" t="s">
        <v>11720</v>
      </c>
      <c r="K196" s="12"/>
      <c r="L196" s="12"/>
    </row>
    <row r="197" spans="2:12" ht="14.25" customHeight="1">
      <c r="B197" s="386">
        <v>44906</v>
      </c>
      <c r="C197" s="30" t="s">
        <v>11445</v>
      </c>
      <c r="D197">
        <v>9199929672</v>
      </c>
      <c r="F197" t="s">
        <v>11714</v>
      </c>
      <c r="G197" s="386">
        <v>28287</v>
      </c>
      <c r="H197" t="s">
        <v>13483</v>
      </c>
      <c r="I197" s="606" t="s">
        <v>11720</v>
      </c>
      <c r="K197" s="12"/>
      <c r="L197" s="12"/>
    </row>
    <row r="198" spans="2:12" ht="14.25" customHeight="1">
      <c r="B198" s="386">
        <v>44913</v>
      </c>
      <c r="C198" s="30" t="s">
        <v>1560</v>
      </c>
      <c r="D198">
        <v>7979718006</v>
      </c>
      <c r="F198" t="s">
        <v>11714</v>
      </c>
      <c r="G198" s="386">
        <v>35115</v>
      </c>
      <c r="H198" t="s">
        <v>13496</v>
      </c>
      <c r="I198" s="646" t="s">
        <v>13492</v>
      </c>
      <c r="K198" s="12"/>
      <c r="L198" s="12"/>
    </row>
    <row r="199" spans="2:12" ht="14.25" customHeight="1">
      <c r="B199" s="386">
        <v>44916</v>
      </c>
      <c r="C199" s="30" t="s">
        <v>13506</v>
      </c>
      <c r="D199">
        <v>7488095011</v>
      </c>
      <c r="F199" t="s">
        <v>11714</v>
      </c>
      <c r="G199" s="386">
        <v>35820</v>
      </c>
      <c r="H199" t="s">
        <v>13507</v>
      </c>
      <c r="I199" s="646" t="s">
        <v>13492</v>
      </c>
      <c r="J199" s="386">
        <v>44932</v>
      </c>
      <c r="K199" s="12"/>
      <c r="L199" s="12"/>
    </row>
    <row r="200" spans="2:12" ht="14.25" customHeight="1">
      <c r="B200" s="386">
        <v>44940</v>
      </c>
      <c r="C200" s="30" t="s">
        <v>13557</v>
      </c>
      <c r="D200">
        <v>9334237402</v>
      </c>
      <c r="F200" t="s">
        <v>11714</v>
      </c>
      <c r="G200" s="386">
        <v>26299</v>
      </c>
      <c r="H200" t="s">
        <v>13507</v>
      </c>
      <c r="I200" s="646" t="s">
        <v>13492</v>
      </c>
      <c r="K200" s="12"/>
      <c r="L200" s="12"/>
    </row>
    <row r="201" spans="2:12" ht="14.25" customHeight="1">
      <c r="B201" s="386">
        <v>44954</v>
      </c>
      <c r="C201" s="30" t="s">
        <v>13580</v>
      </c>
      <c r="D201">
        <v>7061011009</v>
      </c>
      <c r="F201" t="s">
        <v>11616</v>
      </c>
      <c r="H201" t="s">
        <v>13507</v>
      </c>
      <c r="I201" s="646" t="s">
        <v>13492</v>
      </c>
      <c r="K201" s="12"/>
      <c r="L201" s="12"/>
    </row>
    <row r="202" spans="2:12" ht="14.25" customHeight="1">
      <c r="C202" s="30" t="s">
        <v>1120</v>
      </c>
      <c r="H202" t="s">
        <v>13496</v>
      </c>
      <c r="I202" s="646" t="s">
        <v>13492</v>
      </c>
      <c r="K202" s="12"/>
      <c r="L202" s="12"/>
    </row>
    <row r="203" spans="2:12" ht="14.25" customHeight="1">
      <c r="C203" s="30" t="s">
        <v>13583</v>
      </c>
      <c r="H203" t="s">
        <v>13507</v>
      </c>
      <c r="I203" s="646" t="s">
        <v>13492</v>
      </c>
      <c r="K203" s="12"/>
      <c r="L203" s="12"/>
    </row>
    <row r="204" spans="2:12" ht="14.25" customHeight="1">
      <c r="C204" s="30" t="s">
        <v>13582</v>
      </c>
      <c r="H204" t="s">
        <v>13496</v>
      </c>
      <c r="I204" s="646" t="s">
        <v>13492</v>
      </c>
      <c r="K204" s="12"/>
      <c r="L204" s="12"/>
    </row>
    <row r="205" spans="2:12" ht="14.25" customHeight="1">
      <c r="C205" s="30" t="s">
        <v>13584</v>
      </c>
      <c r="H205" t="s">
        <v>13483</v>
      </c>
      <c r="I205" s="606" t="s">
        <v>11720</v>
      </c>
      <c r="K205" s="12"/>
      <c r="L205" s="12"/>
    </row>
    <row r="206" spans="2:12" ht="14.25" customHeight="1">
      <c r="B206" s="386">
        <v>44964</v>
      </c>
      <c r="C206" s="30" t="s">
        <v>13595</v>
      </c>
      <c r="D206">
        <v>7004479558</v>
      </c>
      <c r="F206" t="s">
        <v>11714</v>
      </c>
      <c r="H206" t="s">
        <v>13596</v>
      </c>
      <c r="I206" s="646" t="s">
        <v>13492</v>
      </c>
      <c r="K206" s="12"/>
      <c r="L206" s="12"/>
    </row>
    <row r="207" spans="2:12" ht="14.25" customHeight="1">
      <c r="B207" s="386">
        <v>44965</v>
      </c>
      <c r="C207" s="30" t="s">
        <v>13602</v>
      </c>
      <c r="D207">
        <v>7255854088</v>
      </c>
      <c r="F207" t="s">
        <v>11714</v>
      </c>
      <c r="G207" s="386">
        <v>44977</v>
      </c>
      <c r="H207" t="s">
        <v>13603</v>
      </c>
      <c r="I207" s="646" t="s">
        <v>13492</v>
      </c>
      <c r="K207" s="12"/>
      <c r="L207" s="12"/>
    </row>
    <row r="208" spans="2:12" ht="14.25" customHeight="1">
      <c r="B208" s="386">
        <v>44967</v>
      </c>
      <c r="C208" s="30" t="s">
        <v>13612</v>
      </c>
      <c r="D208">
        <v>7979728816</v>
      </c>
      <c r="F208" t="s">
        <v>11714</v>
      </c>
      <c r="G208" s="386">
        <v>44978</v>
      </c>
      <c r="H208" t="s">
        <v>13603</v>
      </c>
      <c r="I208" s="646" t="s">
        <v>13492</v>
      </c>
      <c r="K208" s="12"/>
      <c r="L208" s="12"/>
    </row>
    <row r="209" spans="2:12" ht="14.25" customHeight="1">
      <c r="B209" s="386">
        <v>44972</v>
      </c>
      <c r="C209" s="30" t="s">
        <v>13618</v>
      </c>
      <c r="F209" t="s">
        <v>11714</v>
      </c>
      <c r="G209" s="386"/>
      <c r="H209" t="s">
        <v>13603</v>
      </c>
      <c r="I209" s="646" t="s">
        <v>13492</v>
      </c>
      <c r="J209" t="s">
        <v>13619</v>
      </c>
      <c r="K209" s="12"/>
      <c r="L209" s="12"/>
    </row>
    <row r="210" spans="2:12" ht="14.25" customHeight="1">
      <c r="B210" s="386">
        <v>44979</v>
      </c>
      <c r="C210" s="30" t="s">
        <v>13634</v>
      </c>
      <c r="D210">
        <v>7260031160</v>
      </c>
      <c r="F210" t="s">
        <v>11714</v>
      </c>
      <c r="G210" s="386">
        <v>44991</v>
      </c>
      <c r="H210" t="s">
        <v>13596</v>
      </c>
      <c r="I210" s="646" t="s">
        <v>13492</v>
      </c>
      <c r="J210" t="s">
        <v>934</v>
      </c>
      <c r="K210" s="12"/>
      <c r="L210" s="12"/>
    </row>
    <row r="211" spans="2:12" ht="14.25" customHeight="1">
      <c r="B211" s="386">
        <v>44980</v>
      </c>
      <c r="C211" s="30" t="s">
        <v>13635</v>
      </c>
      <c r="D211">
        <v>9431393604</v>
      </c>
      <c r="F211" t="s">
        <v>11714</v>
      </c>
      <c r="G211" s="386">
        <v>44991</v>
      </c>
      <c r="H211" t="s">
        <v>13596</v>
      </c>
      <c r="I211" s="646" t="s">
        <v>13492</v>
      </c>
      <c r="K211" s="12"/>
      <c r="L211" s="12"/>
    </row>
    <row r="212" spans="2:12" ht="14.25" customHeight="1">
      <c r="B212" s="386">
        <v>44981</v>
      </c>
      <c r="C212" s="30" t="s">
        <v>13636</v>
      </c>
      <c r="D212">
        <v>9431393604</v>
      </c>
      <c r="F212" t="s">
        <v>11714</v>
      </c>
      <c r="G212" s="386">
        <v>44991</v>
      </c>
      <c r="H212" t="s">
        <v>13596</v>
      </c>
      <c r="I212" s="646" t="s">
        <v>13492</v>
      </c>
      <c r="K212" s="12"/>
      <c r="L212" s="12"/>
    </row>
    <row r="213" spans="2:12" ht="14.25" customHeight="1">
      <c r="B213" s="386">
        <v>44982</v>
      </c>
      <c r="C213" s="30" t="s">
        <v>13637</v>
      </c>
      <c r="D213">
        <v>9431393604</v>
      </c>
      <c r="F213" t="s">
        <v>11714</v>
      </c>
      <c r="G213" s="386">
        <v>44991</v>
      </c>
      <c r="H213" t="s">
        <v>13596</v>
      </c>
      <c r="I213" s="646" t="s">
        <v>13492</v>
      </c>
      <c r="K213" s="12"/>
      <c r="L213" s="12"/>
    </row>
    <row r="214" spans="2:12" ht="14.25" customHeight="1">
      <c r="B214" s="386">
        <v>44982</v>
      </c>
      <c r="C214" s="30" t="s">
        <v>13638</v>
      </c>
      <c r="D214">
        <v>9431393604</v>
      </c>
      <c r="F214" t="s">
        <v>11714</v>
      </c>
      <c r="I214" s="646" t="s">
        <v>13492</v>
      </c>
      <c r="K214" s="12"/>
      <c r="L214" s="12"/>
    </row>
    <row r="215" spans="2:12" ht="14.25" customHeight="1">
      <c r="B215" s="386">
        <v>44958</v>
      </c>
      <c r="C215" s="30" t="s">
        <v>13648</v>
      </c>
      <c r="D215">
        <v>8252329213</v>
      </c>
      <c r="F215" t="s">
        <v>11714</v>
      </c>
      <c r="G215" s="386">
        <v>44999</v>
      </c>
      <c r="H215" t="s">
        <v>13647</v>
      </c>
      <c r="I215" s="646" t="s">
        <v>13492</v>
      </c>
      <c r="K215" s="12"/>
      <c r="L215" s="12"/>
    </row>
    <row r="216" spans="2:12" ht="14.25" customHeight="1">
      <c r="C216" s="30" t="s">
        <v>13826</v>
      </c>
      <c r="D216">
        <v>7319799147</v>
      </c>
      <c r="H216" s="714" t="s">
        <v>13827</v>
      </c>
    </row>
    <row r="217" spans="2:12" ht="14.25" customHeight="1">
      <c r="C217" s="30" t="s">
        <v>13828</v>
      </c>
      <c r="D217">
        <v>9304470189</v>
      </c>
      <c r="H217" s="714" t="s">
        <v>13827</v>
      </c>
      <c r="I217" s="646" t="s">
        <v>13492</v>
      </c>
      <c r="K217" s="12"/>
      <c r="L217" s="12"/>
    </row>
    <row r="218" spans="2:12" ht="14.25" customHeight="1">
      <c r="B218" s="386">
        <v>45003</v>
      </c>
      <c r="C218" s="30" t="s">
        <v>13705</v>
      </c>
      <c r="D218">
        <v>9703654662</v>
      </c>
      <c r="F218" t="s">
        <v>11692</v>
      </c>
      <c r="H218" t="s">
        <v>13707</v>
      </c>
      <c r="I218" s="646" t="s">
        <v>13492</v>
      </c>
      <c r="K218" s="12"/>
      <c r="L218" s="12"/>
    </row>
    <row r="219" spans="2:12" ht="14.25" customHeight="1">
      <c r="B219" s="386">
        <v>45003</v>
      </c>
      <c r="C219" s="30" t="s">
        <v>13706</v>
      </c>
      <c r="D219">
        <v>9703654662</v>
      </c>
      <c r="F219" t="s">
        <v>11692</v>
      </c>
      <c r="H219" t="s">
        <v>13707</v>
      </c>
      <c r="I219" s="646" t="s">
        <v>13492</v>
      </c>
      <c r="K219" s="12"/>
      <c r="L219" s="12"/>
    </row>
    <row r="220" spans="2:12" ht="14.25" customHeight="1">
      <c r="B220" s="386">
        <v>45010</v>
      </c>
      <c r="C220" s="30" t="s">
        <v>7358</v>
      </c>
      <c r="D220">
        <v>7739990511</v>
      </c>
      <c r="F220" t="s">
        <v>13752</v>
      </c>
      <c r="G220" s="386">
        <v>35998</v>
      </c>
      <c r="H220" t="s">
        <v>13751</v>
      </c>
      <c r="I220" s="646" t="s">
        <v>13492</v>
      </c>
      <c r="K220" s="12"/>
      <c r="L220" s="12"/>
    </row>
    <row r="221" spans="2:12" ht="14.25" customHeight="1">
      <c r="C221" s="30" t="s">
        <v>12714</v>
      </c>
      <c r="H221" t="s">
        <v>13751</v>
      </c>
      <c r="I221" s="646" t="s">
        <v>13492</v>
      </c>
      <c r="K221" s="12"/>
      <c r="L221" s="12"/>
    </row>
    <row r="222" spans="2:12" ht="14.25" customHeight="1">
      <c r="B222" s="386">
        <v>45023</v>
      </c>
      <c r="C222" s="30" t="s">
        <v>13839</v>
      </c>
      <c r="D222">
        <v>9771243020</v>
      </c>
      <c r="E222" s="386">
        <v>45043</v>
      </c>
      <c r="F222" t="s">
        <v>11714</v>
      </c>
      <c r="G222" s="386">
        <v>36644</v>
      </c>
      <c r="H222" t="s">
        <v>13840</v>
      </c>
      <c r="I222" s="646" t="s">
        <v>13492</v>
      </c>
      <c r="K222" s="12"/>
      <c r="L222" s="12"/>
    </row>
    <row r="223" spans="2:12" ht="14.25" customHeight="1">
      <c r="B223" s="386">
        <v>45023</v>
      </c>
      <c r="C223" s="30" t="s">
        <v>5090</v>
      </c>
      <c r="D223">
        <v>9525264346</v>
      </c>
      <c r="E223" s="386">
        <v>45043</v>
      </c>
      <c r="F223" t="s">
        <v>11714</v>
      </c>
      <c r="G223" s="386">
        <v>37407</v>
      </c>
      <c r="H223" t="s">
        <v>13840</v>
      </c>
      <c r="I223" s="646" t="s">
        <v>13492</v>
      </c>
      <c r="K223" s="12"/>
      <c r="L223" s="12"/>
    </row>
    <row r="224" spans="2:12" ht="14.25" customHeight="1">
      <c r="B224" s="386">
        <v>45023</v>
      </c>
      <c r="C224" s="30" t="s">
        <v>13841</v>
      </c>
      <c r="D224">
        <v>8873176695</v>
      </c>
      <c r="E224" s="386">
        <v>45043</v>
      </c>
      <c r="F224" t="s">
        <v>11714</v>
      </c>
      <c r="G224" s="386">
        <v>36402</v>
      </c>
      <c r="H224" t="s">
        <v>13840</v>
      </c>
      <c r="I224" s="646" t="s">
        <v>13492</v>
      </c>
      <c r="K224" s="12"/>
      <c r="L224" s="12"/>
    </row>
    <row r="225" spans="2:12" ht="14.25" customHeight="1">
      <c r="B225" s="386">
        <v>45045</v>
      </c>
      <c r="C225" s="30" t="s">
        <v>11653</v>
      </c>
      <c r="D225">
        <v>9931018604</v>
      </c>
      <c r="F225" t="s">
        <v>11551</v>
      </c>
      <c r="H225" t="s">
        <v>13840</v>
      </c>
      <c r="I225" s="646" t="s">
        <v>13492</v>
      </c>
      <c r="K225" s="12"/>
      <c r="L225" s="12"/>
    </row>
    <row r="226" spans="2:12" ht="14.25" customHeight="1">
      <c r="B226" s="386">
        <v>45049</v>
      </c>
      <c r="C226" s="30" t="s">
        <v>13920</v>
      </c>
      <c r="D226">
        <v>8092876772</v>
      </c>
      <c r="G226" s="386">
        <v>37708</v>
      </c>
      <c r="H226" s="714" t="s">
        <v>13827</v>
      </c>
      <c r="I226" s="646" t="s">
        <v>13492</v>
      </c>
      <c r="K226" s="12"/>
      <c r="L226" s="12"/>
    </row>
    <row r="227" spans="2:12" ht="14.25" customHeight="1">
      <c r="B227" s="386">
        <v>45050</v>
      </c>
      <c r="C227" s="30" t="s">
        <v>13925</v>
      </c>
      <c r="D227">
        <v>9006918962</v>
      </c>
      <c r="G227" s="386">
        <v>45064</v>
      </c>
      <c r="H227" s="714" t="s">
        <v>13827</v>
      </c>
      <c r="I227" s="646" t="s">
        <v>13492</v>
      </c>
      <c r="K227" s="12"/>
      <c r="L227" s="12"/>
    </row>
    <row r="228" spans="2:12" ht="14.25" customHeight="1">
      <c r="B228" s="386">
        <v>45066</v>
      </c>
      <c r="C228" s="30" t="s">
        <v>14003</v>
      </c>
      <c r="D228">
        <v>7764982535</v>
      </c>
      <c r="G228" s="386">
        <v>38068</v>
      </c>
      <c r="H228" s="764" t="s">
        <v>14004</v>
      </c>
      <c r="I228" s="492" t="s">
        <v>14005</v>
      </c>
      <c r="K228" s="12"/>
      <c r="L228" s="12"/>
    </row>
    <row r="229" spans="2:12" ht="14.25" customHeight="1">
      <c r="B229" s="386">
        <v>45068</v>
      </c>
      <c r="C229" s="30" t="s">
        <v>14015</v>
      </c>
      <c r="D229">
        <v>9931567350</v>
      </c>
      <c r="H229" s="764" t="s">
        <v>14004</v>
      </c>
      <c r="I229" s="492" t="s">
        <v>14005</v>
      </c>
      <c r="K229" s="12"/>
      <c r="L229" s="12"/>
    </row>
    <row r="230" spans="2:12" ht="14.25" customHeight="1">
      <c r="B230" s="386">
        <v>45068</v>
      </c>
      <c r="C230" s="30" t="s">
        <v>14022</v>
      </c>
      <c r="D230">
        <v>9523484066</v>
      </c>
      <c r="E230" s="386">
        <v>45085</v>
      </c>
      <c r="F230" t="s">
        <v>11631</v>
      </c>
      <c r="G230" s="386">
        <v>37097</v>
      </c>
      <c r="H230" s="764" t="s">
        <v>14004</v>
      </c>
      <c r="I230" s="492" t="s">
        <v>14005</v>
      </c>
      <c r="K230" s="12"/>
      <c r="L230" s="12"/>
    </row>
    <row r="231" spans="2:12" ht="14.25" customHeight="1">
      <c r="B231" s="386">
        <v>45075</v>
      </c>
      <c r="C231" s="30" t="s">
        <v>8118</v>
      </c>
      <c r="D231">
        <v>7250550087</v>
      </c>
      <c r="F231" t="s">
        <v>11616</v>
      </c>
      <c r="G231" s="386">
        <v>27784</v>
      </c>
      <c r="H231" s="764" t="s">
        <v>14004</v>
      </c>
      <c r="I231" s="492" t="s">
        <v>14005</v>
      </c>
      <c r="K231" s="12"/>
      <c r="L231" s="12"/>
    </row>
    <row r="232" spans="2:12" ht="14.25" customHeight="1">
      <c r="B232" s="386">
        <v>45077</v>
      </c>
      <c r="C232" s="30" t="s">
        <v>14057</v>
      </c>
      <c r="D232">
        <v>9955197437</v>
      </c>
      <c r="G232" s="386">
        <v>24473</v>
      </c>
      <c r="H232" s="764" t="s">
        <v>14004</v>
      </c>
      <c r="I232" s="492" t="s">
        <v>14005</v>
      </c>
      <c r="K232" s="12"/>
      <c r="L232" s="12"/>
    </row>
    <row r="233" spans="2:12" ht="14.25" customHeight="1">
      <c r="B233" s="386">
        <v>45083</v>
      </c>
      <c r="C233" s="30" t="s">
        <v>14121</v>
      </c>
      <c r="D233">
        <v>7209165658</v>
      </c>
      <c r="G233" s="386">
        <v>37738</v>
      </c>
      <c r="H233" s="789" t="s">
        <v>14090</v>
      </c>
      <c r="I233" s="492" t="s">
        <v>14005</v>
      </c>
      <c r="K233" s="12"/>
      <c r="L233" s="12"/>
    </row>
    <row r="234" spans="2:12" ht="14.25" customHeight="1">
      <c r="B234" s="386">
        <v>45083</v>
      </c>
      <c r="C234" s="30" t="s">
        <v>14122</v>
      </c>
      <c r="D234">
        <v>9835373078</v>
      </c>
      <c r="G234" t="s">
        <v>14123</v>
      </c>
      <c r="H234" s="789" t="s">
        <v>14090</v>
      </c>
      <c r="I234" s="492" t="s">
        <v>14005</v>
      </c>
      <c r="K234" s="12"/>
      <c r="L234" s="12"/>
    </row>
    <row r="235" spans="2:12" ht="14.25" customHeight="1">
      <c r="B235" s="386">
        <v>45083</v>
      </c>
      <c r="C235" s="30" t="s">
        <v>14124</v>
      </c>
      <c r="D235">
        <v>8797123078</v>
      </c>
      <c r="G235" s="386">
        <v>27176</v>
      </c>
      <c r="H235" s="789" t="s">
        <v>14090</v>
      </c>
      <c r="I235" s="492" t="s">
        <v>14005</v>
      </c>
      <c r="K235" s="12"/>
      <c r="L235" s="12"/>
    </row>
    <row r="236" spans="2:12" ht="14.25" customHeight="1">
      <c r="B236" s="386">
        <v>45083</v>
      </c>
      <c r="H236" s="789" t="s">
        <v>14090</v>
      </c>
      <c r="I236" s="492" t="s">
        <v>14005</v>
      </c>
      <c r="K236" s="12"/>
      <c r="L236" s="12"/>
    </row>
    <row r="237" spans="2:12" ht="14.25" customHeight="1">
      <c r="B237" s="386">
        <v>45083</v>
      </c>
      <c r="H237" s="789" t="s">
        <v>14090</v>
      </c>
      <c r="I237" s="492" t="s">
        <v>14005</v>
      </c>
      <c r="K237" s="12"/>
      <c r="L237" s="12"/>
    </row>
    <row r="238" spans="2:12" ht="14.25" customHeight="1">
      <c r="B238" s="386">
        <v>45083</v>
      </c>
      <c r="C238" t="s">
        <v>10030</v>
      </c>
      <c r="F238" t="s">
        <v>11743</v>
      </c>
      <c r="G238" s="386">
        <v>35739</v>
      </c>
      <c r="H238" s="792" t="s">
        <v>14100</v>
      </c>
      <c r="I238" s="492" t="s">
        <v>14005</v>
      </c>
      <c r="K238" s="12"/>
      <c r="L238" s="12"/>
    </row>
    <row r="239" spans="2:12" ht="14.25" customHeight="1">
      <c r="B239" s="386">
        <v>45085</v>
      </c>
      <c r="C239" t="s">
        <v>14101</v>
      </c>
      <c r="G239" s="386">
        <v>29562</v>
      </c>
      <c r="H239" s="792" t="s">
        <v>14100</v>
      </c>
      <c r="I239" s="492" t="s">
        <v>14005</v>
      </c>
      <c r="K239" s="12"/>
      <c r="L239" s="12"/>
    </row>
    <row r="240" spans="2:12" ht="14.25" customHeight="1">
      <c r="B240" s="386">
        <v>45088</v>
      </c>
      <c r="C240" t="s">
        <v>1274</v>
      </c>
      <c r="D240">
        <v>9031056405</v>
      </c>
      <c r="G240" s="386">
        <v>37015</v>
      </c>
      <c r="H240" s="797" t="s">
        <v>14119</v>
      </c>
      <c r="I240" s="492" t="s">
        <v>14005</v>
      </c>
      <c r="J240" t="s">
        <v>13619</v>
      </c>
      <c r="K240" s="12"/>
      <c r="L240" s="12"/>
    </row>
    <row r="241" spans="2:12" ht="14.25" customHeight="1">
      <c r="B241" s="386">
        <v>45088</v>
      </c>
      <c r="C241" t="s">
        <v>14120</v>
      </c>
      <c r="D241">
        <v>9031056405</v>
      </c>
      <c r="H241" s="797" t="s">
        <v>14119</v>
      </c>
      <c r="I241" s="492" t="s">
        <v>14005</v>
      </c>
      <c r="J241" t="s">
        <v>13619</v>
      </c>
      <c r="K241" s="12"/>
      <c r="L241" s="12"/>
    </row>
    <row r="242" spans="2:12" ht="14.25" customHeight="1">
      <c r="B242" s="386">
        <v>45088</v>
      </c>
      <c r="C242" t="s">
        <v>9651</v>
      </c>
      <c r="D242">
        <v>7542926214</v>
      </c>
      <c r="E242" s="386">
        <v>45103</v>
      </c>
      <c r="G242" s="386">
        <v>32175</v>
      </c>
      <c r="H242" s="798" t="s">
        <v>14125</v>
      </c>
      <c r="I242" s="492" t="s">
        <v>14005</v>
      </c>
      <c r="K242" s="12"/>
      <c r="L242" s="12"/>
    </row>
    <row r="243" spans="2:12" ht="14.25" customHeight="1">
      <c r="B243" s="386">
        <v>45088</v>
      </c>
      <c r="C243" t="s">
        <v>14127</v>
      </c>
      <c r="D243">
        <v>7542926214</v>
      </c>
      <c r="E243" s="386">
        <v>45103</v>
      </c>
      <c r="G243" s="386">
        <v>42718</v>
      </c>
      <c r="H243" s="798" t="s">
        <v>14125</v>
      </c>
      <c r="I243" s="492" t="s">
        <v>14005</v>
      </c>
      <c r="K243" s="12"/>
      <c r="L243" s="12"/>
    </row>
    <row r="244" spans="2:12" ht="14.25" customHeight="1">
      <c r="B244" s="386">
        <v>45088</v>
      </c>
      <c r="C244" t="s">
        <v>14128</v>
      </c>
      <c r="D244">
        <v>7542926214</v>
      </c>
      <c r="E244" s="386">
        <v>45103</v>
      </c>
      <c r="H244" s="798" t="s">
        <v>14125</v>
      </c>
      <c r="I244" s="492" t="s">
        <v>14005</v>
      </c>
      <c r="K244" s="12"/>
      <c r="L244" s="12"/>
    </row>
    <row r="245" spans="2:12" ht="14.25" customHeight="1">
      <c r="B245" s="386">
        <v>45088</v>
      </c>
      <c r="C245" t="s">
        <v>14129</v>
      </c>
      <c r="D245">
        <v>7542926214</v>
      </c>
      <c r="E245" s="386">
        <v>45103</v>
      </c>
      <c r="G245" s="386">
        <v>43160</v>
      </c>
      <c r="H245" s="798" t="s">
        <v>14125</v>
      </c>
      <c r="I245" s="492" t="s">
        <v>14005</v>
      </c>
      <c r="K245" s="12"/>
      <c r="L245" s="12"/>
    </row>
    <row r="246" spans="2:12" ht="14.25" customHeight="1">
      <c r="B246" s="386">
        <v>45097</v>
      </c>
      <c r="C246" t="s">
        <v>14181</v>
      </c>
      <c r="D246">
        <v>7542926214</v>
      </c>
      <c r="E246" s="386">
        <v>45112</v>
      </c>
      <c r="G246" s="386">
        <v>39676</v>
      </c>
      <c r="H246" s="797" t="s">
        <v>14119</v>
      </c>
      <c r="I246" s="657" t="s">
        <v>13492</v>
      </c>
      <c r="K246" s="12"/>
      <c r="L246" s="12"/>
    </row>
    <row r="247" spans="2:12" ht="14.25" customHeight="1">
      <c r="B247" s="386">
        <v>45105</v>
      </c>
      <c r="E247" s="386">
        <v>45108</v>
      </c>
      <c r="H247" s="926" t="s">
        <v>14119</v>
      </c>
      <c r="I247" s="657" t="s">
        <v>13492</v>
      </c>
      <c r="K247" s="12"/>
      <c r="L247" s="12"/>
    </row>
    <row r="248" spans="2:12" ht="14.25" customHeight="1">
      <c r="B248" s="386">
        <v>45109</v>
      </c>
      <c r="C248" t="s">
        <v>14268</v>
      </c>
      <c r="D248">
        <v>7091311830</v>
      </c>
      <c r="E248" s="386">
        <v>45121</v>
      </c>
      <c r="G248" s="386">
        <v>29253</v>
      </c>
      <c r="H248" s="797" t="s">
        <v>14119</v>
      </c>
      <c r="I248" s="657" t="s">
        <v>13492</v>
      </c>
      <c r="K248" s="12"/>
      <c r="L248" s="12"/>
    </row>
    <row r="249" spans="2:12" ht="14.25" customHeight="1">
      <c r="B249" s="386">
        <v>45125</v>
      </c>
      <c r="C249" t="s">
        <v>14383</v>
      </c>
      <c r="D249">
        <v>9576679775</v>
      </c>
      <c r="E249" s="386">
        <v>45135</v>
      </c>
      <c r="G249" s="386">
        <v>22901</v>
      </c>
      <c r="H249" s="831" t="s">
        <v>14387</v>
      </c>
      <c r="I249" s="492" t="s">
        <v>13492</v>
      </c>
      <c r="K249" s="12"/>
      <c r="L249" s="12"/>
    </row>
    <row r="250" spans="2:12" ht="14.25" customHeight="1">
      <c r="B250" s="386">
        <v>45125</v>
      </c>
      <c r="C250" t="s">
        <v>14396</v>
      </c>
      <c r="D250">
        <v>7209275851</v>
      </c>
      <c r="E250" s="386">
        <v>45135</v>
      </c>
      <c r="G250" s="386">
        <v>27030</v>
      </c>
      <c r="H250" s="831" t="s">
        <v>14387</v>
      </c>
      <c r="I250" s="492" t="s">
        <v>13492</v>
      </c>
      <c r="K250" s="12"/>
      <c r="L250" s="12"/>
    </row>
    <row r="251" spans="2:12" ht="14.25" customHeight="1">
      <c r="B251" s="386">
        <v>45125</v>
      </c>
      <c r="C251" t="s">
        <v>14397</v>
      </c>
      <c r="D251">
        <v>9576679775</v>
      </c>
      <c r="E251" s="386">
        <v>45135</v>
      </c>
      <c r="G251" s="386">
        <v>27395</v>
      </c>
      <c r="H251" s="831" t="s">
        <v>14387</v>
      </c>
      <c r="I251" s="492" t="s">
        <v>13492</v>
      </c>
      <c r="K251" s="12"/>
      <c r="L251" s="12"/>
    </row>
    <row r="252" spans="2:12" ht="14.25" customHeight="1">
      <c r="B252" s="386">
        <v>45125</v>
      </c>
      <c r="C252" t="s">
        <v>14398</v>
      </c>
      <c r="D252">
        <v>7209275851</v>
      </c>
      <c r="E252" s="386">
        <v>45135</v>
      </c>
      <c r="G252" s="386">
        <v>23625</v>
      </c>
      <c r="H252" s="831" t="s">
        <v>14387</v>
      </c>
      <c r="I252" s="492" t="s">
        <v>13492</v>
      </c>
      <c r="K252" s="12"/>
      <c r="L252" s="12"/>
    </row>
    <row r="253" spans="2:12" ht="14.25" customHeight="1">
      <c r="B253" s="499">
        <v>45136</v>
      </c>
      <c r="C253" s="463" t="s">
        <v>14496</v>
      </c>
      <c r="D253" s="463">
        <v>9142269192</v>
      </c>
      <c r="E253" s="463" t="s">
        <v>11753</v>
      </c>
      <c r="F253" s="463">
        <v>200</v>
      </c>
      <c r="G253" s="499">
        <v>37242</v>
      </c>
      <c r="H253" s="463" t="s">
        <v>14495</v>
      </c>
      <c r="I253" s="853" t="s">
        <v>13492</v>
      </c>
      <c r="K253" s="12"/>
      <c r="L253" s="12"/>
    </row>
    <row r="254" spans="2:12" ht="14.25" customHeight="1">
      <c r="C254" s="839" t="s">
        <v>14445</v>
      </c>
      <c r="H254" s="839" t="s">
        <v>14446</v>
      </c>
      <c r="I254" s="606" t="s">
        <v>14005</v>
      </c>
      <c r="K254" s="12"/>
      <c r="L254" s="12"/>
    </row>
    <row r="255" spans="2:12" ht="14.25" customHeight="1">
      <c r="B255" s="386">
        <v>45139</v>
      </c>
      <c r="C255" s="857" t="s">
        <v>14514</v>
      </c>
      <c r="D255">
        <v>8102549019</v>
      </c>
      <c r="E255" s="386">
        <v>45147</v>
      </c>
      <c r="G255" s="386">
        <v>36211</v>
      </c>
      <c r="H255" s="839" t="s">
        <v>14446</v>
      </c>
      <c r="I255" s="606" t="s">
        <v>14005</v>
      </c>
      <c r="K255" s="12"/>
      <c r="L255" s="12"/>
    </row>
    <row r="256" spans="2:12" ht="14.25" customHeight="1">
      <c r="B256" s="386">
        <v>45139</v>
      </c>
      <c r="C256" s="857" t="s">
        <v>14515</v>
      </c>
      <c r="D256">
        <v>8804096244</v>
      </c>
      <c r="E256" s="386">
        <v>45147</v>
      </c>
      <c r="G256" s="386">
        <v>36124</v>
      </c>
      <c r="H256" s="839" t="s">
        <v>14446</v>
      </c>
      <c r="I256" s="606" t="s">
        <v>14005</v>
      </c>
      <c r="K256" s="12"/>
      <c r="L256" s="12"/>
    </row>
    <row r="257" spans="2:12" ht="14.25" customHeight="1">
      <c r="B257" s="386">
        <v>45146</v>
      </c>
      <c r="C257" s="865" t="s">
        <v>7511</v>
      </c>
      <c r="D257">
        <v>9279241882</v>
      </c>
      <c r="E257" s="386">
        <v>45154</v>
      </c>
      <c r="F257" t="s">
        <v>11714</v>
      </c>
      <c r="G257" s="386">
        <v>20876</v>
      </c>
      <c r="H257" s="865" t="s">
        <v>14545</v>
      </c>
      <c r="I257" s="606" t="s">
        <v>13492</v>
      </c>
      <c r="K257" s="12"/>
      <c r="L257" s="12"/>
    </row>
    <row r="258" spans="2:12" ht="14.25" customHeight="1">
      <c r="B258" s="386">
        <v>45166</v>
      </c>
      <c r="C258" s="886" t="s">
        <v>14618</v>
      </c>
      <c r="D258">
        <v>8757864446</v>
      </c>
      <c r="E258" s="386">
        <v>45166</v>
      </c>
      <c r="F258" t="s">
        <v>11551</v>
      </c>
      <c r="G258" s="386">
        <v>31405</v>
      </c>
      <c r="H258" s="865" t="s">
        <v>14545</v>
      </c>
      <c r="I258" s="606" t="s">
        <v>13492</v>
      </c>
      <c r="K258" s="12"/>
      <c r="L258" s="12"/>
    </row>
    <row r="259" spans="2:12" ht="14.25" customHeight="1">
      <c r="B259" s="386">
        <v>45187</v>
      </c>
      <c r="C259" s="891" t="s">
        <v>14634</v>
      </c>
      <c r="D259">
        <v>8271312110</v>
      </c>
      <c r="G259" s="386">
        <v>30168</v>
      </c>
      <c r="H259" s="492" t="s">
        <v>14635</v>
      </c>
      <c r="I259" s="606" t="s">
        <v>13492</v>
      </c>
      <c r="K259" s="12"/>
      <c r="L259" s="12"/>
    </row>
    <row r="260" spans="2:12" ht="14.25" customHeight="1">
      <c r="B260" s="386">
        <v>45188</v>
      </c>
      <c r="C260" s="901" t="s">
        <v>14664</v>
      </c>
      <c r="D260">
        <v>8271312110</v>
      </c>
      <c r="G260" s="386">
        <v>25213</v>
      </c>
      <c r="H260" s="901" t="s">
        <v>14663</v>
      </c>
      <c r="I260" s="606" t="s">
        <v>13492</v>
      </c>
      <c r="K260" s="12"/>
      <c r="L260" s="12"/>
    </row>
    <row r="261" spans="2:12" ht="14.25" customHeight="1">
      <c r="B261" s="386">
        <v>45188</v>
      </c>
      <c r="C261" s="901" t="s">
        <v>14634</v>
      </c>
      <c r="H261" s="901" t="s">
        <v>14663</v>
      </c>
      <c r="I261" s="606" t="s">
        <v>13492</v>
      </c>
      <c r="K261" s="12"/>
      <c r="L261" s="12"/>
    </row>
    <row r="262" spans="2:12" ht="14.25" customHeight="1">
      <c r="C262" s="908" t="s">
        <v>14680</v>
      </c>
      <c r="D262">
        <v>7903591993</v>
      </c>
      <c r="G262" s="386">
        <v>26317</v>
      </c>
      <c r="H262" s="911" t="s">
        <v>14686</v>
      </c>
      <c r="I262" s="606" t="s">
        <v>13492</v>
      </c>
      <c r="K262" s="12"/>
      <c r="L262" s="12"/>
    </row>
    <row r="263" spans="2:12" ht="14.25" customHeight="1">
      <c r="C263" s="911" t="s">
        <v>14687</v>
      </c>
      <c r="G263" s="386">
        <v>28286</v>
      </c>
      <c r="H263" s="911" t="s">
        <v>14686</v>
      </c>
      <c r="I263" s="606" t="s">
        <v>13492</v>
      </c>
      <c r="K263" s="12"/>
      <c r="L263" s="12"/>
    </row>
    <row r="264" spans="2:12" ht="14.25" customHeight="1">
      <c r="C264" s="917" t="s">
        <v>13612</v>
      </c>
      <c r="D264">
        <v>7979728816</v>
      </c>
      <c r="F264" t="s">
        <v>14709</v>
      </c>
      <c r="G264" s="386">
        <v>33195</v>
      </c>
      <c r="H264" s="917" t="s">
        <v>14706</v>
      </c>
      <c r="I264" s="606" t="s">
        <v>13492</v>
      </c>
      <c r="J264" s="919"/>
      <c r="K264" s="12"/>
      <c r="L264" s="12"/>
    </row>
    <row r="265" spans="2:12" ht="14.25" customHeight="1">
      <c r="B265" s="386">
        <v>45215</v>
      </c>
      <c r="C265" s="919" t="s">
        <v>14708</v>
      </c>
      <c r="D265">
        <v>9297699926</v>
      </c>
      <c r="G265" s="386">
        <v>45121</v>
      </c>
      <c r="H265" s="919" t="s">
        <v>13246</v>
      </c>
      <c r="K265" s="12"/>
      <c r="L265" s="12"/>
    </row>
    <row r="266" spans="2:12" ht="14.25" customHeight="1">
      <c r="B266" s="386">
        <v>45217</v>
      </c>
      <c r="C266" s="921" t="s">
        <v>14520</v>
      </c>
      <c r="D266">
        <v>9608686379</v>
      </c>
      <c r="E266" s="386">
        <v>45226</v>
      </c>
      <c r="F266" s="921" t="s">
        <v>14715</v>
      </c>
      <c r="G266" s="386">
        <v>33874</v>
      </c>
      <c r="H266" s="917" t="s">
        <v>14706</v>
      </c>
      <c r="I266" s="606" t="s">
        <v>13492</v>
      </c>
      <c r="K266" s="12"/>
      <c r="L266" s="12"/>
    </row>
    <row r="267" spans="2:12" ht="14.25" customHeight="1">
      <c r="B267" s="386">
        <v>45231</v>
      </c>
      <c r="C267" s="928" t="s">
        <v>14737</v>
      </c>
      <c r="G267" s="386">
        <v>33199</v>
      </c>
      <c r="H267" s="929" t="s">
        <v>14741</v>
      </c>
      <c r="I267" s="606" t="s">
        <v>14742</v>
      </c>
      <c r="K267" s="12"/>
      <c r="L267" s="12"/>
    </row>
    <row r="268" spans="2:12" ht="14.25" customHeight="1">
      <c r="B268" s="386">
        <v>45247</v>
      </c>
      <c r="C268" s="938" t="s">
        <v>14765</v>
      </c>
      <c r="D268">
        <v>7488981006</v>
      </c>
      <c r="G268" s="386">
        <v>36508</v>
      </c>
      <c r="H268" s="917" t="s">
        <v>14706</v>
      </c>
      <c r="I268" s="606" t="s">
        <v>13492</v>
      </c>
      <c r="K268" s="12"/>
      <c r="L268" s="12"/>
    </row>
    <row r="269" spans="2:12" ht="14.25" customHeight="1">
      <c r="K269" s="12"/>
      <c r="L269" s="12"/>
    </row>
    <row r="270" spans="2:12" ht="14.25" customHeight="1">
      <c r="B270" s="386">
        <v>45253</v>
      </c>
      <c r="C270" s="960" t="s">
        <v>14777</v>
      </c>
      <c r="H270" s="960" t="s">
        <v>14778</v>
      </c>
      <c r="I270" s="606" t="s">
        <v>13492</v>
      </c>
      <c r="K270" s="12"/>
      <c r="L270" s="12"/>
    </row>
    <row r="271" spans="2:12" ht="14.25" customHeight="1">
      <c r="B271" s="386">
        <v>45269</v>
      </c>
      <c r="C271" s="970" t="s">
        <v>14819</v>
      </c>
      <c r="D271">
        <v>8917380947</v>
      </c>
      <c r="H271" s="970" t="s">
        <v>13246</v>
      </c>
      <c r="K271" s="12"/>
      <c r="L271" s="12"/>
    </row>
    <row r="272" spans="2:12" ht="14.25" customHeight="1">
      <c r="B272" s="386">
        <v>45269</v>
      </c>
      <c r="C272" s="971" t="s">
        <v>14820</v>
      </c>
      <c r="D272">
        <v>9821167282</v>
      </c>
      <c r="G272" s="386">
        <v>34610</v>
      </c>
      <c r="H272" s="971" t="s">
        <v>14821</v>
      </c>
      <c r="I272" s="606" t="s">
        <v>13492</v>
      </c>
      <c r="K272" s="12"/>
      <c r="L272" s="12"/>
    </row>
    <row r="273" spans="2:12" ht="14.25" customHeight="1">
      <c r="B273" s="386">
        <v>45269</v>
      </c>
      <c r="C273" s="971" t="s">
        <v>14822</v>
      </c>
      <c r="G273" s="386">
        <v>26664</v>
      </c>
      <c r="H273" s="971" t="s">
        <v>14821</v>
      </c>
      <c r="I273" s="606" t="s">
        <v>13492</v>
      </c>
      <c r="K273" s="12"/>
      <c r="L273" s="12"/>
    </row>
    <row r="274" spans="2:12" ht="14.25" customHeight="1">
      <c r="B274" s="386">
        <v>45269</v>
      </c>
      <c r="C274" s="971" t="s">
        <v>14823</v>
      </c>
      <c r="G274" s="386">
        <v>22672</v>
      </c>
      <c r="H274" s="971" t="s">
        <v>14821</v>
      </c>
      <c r="I274" s="606" t="s">
        <v>13492</v>
      </c>
      <c r="K274" s="12"/>
      <c r="L274" s="12"/>
    </row>
    <row r="275" spans="2:12" ht="14.25" customHeight="1">
      <c r="B275" s="386">
        <v>45271</v>
      </c>
      <c r="C275" s="972" t="s">
        <v>14825</v>
      </c>
      <c r="D275">
        <v>7209432960</v>
      </c>
      <c r="G275" s="386">
        <v>38083</v>
      </c>
      <c r="H275" s="929" t="s">
        <v>14741</v>
      </c>
      <c r="I275" s="606" t="s">
        <v>14742</v>
      </c>
      <c r="J275" t="s">
        <v>14826</v>
      </c>
      <c r="K275" s="12" t="s">
        <v>14827</v>
      </c>
      <c r="L275" s="12"/>
    </row>
    <row r="276" spans="2:12" ht="14.25" customHeight="1">
      <c r="B276" s="386">
        <v>45271</v>
      </c>
      <c r="C276" s="973" t="s">
        <v>10263</v>
      </c>
      <c r="F276" t="s">
        <v>11714</v>
      </c>
      <c r="H276" s="929" t="s">
        <v>14741</v>
      </c>
      <c r="I276" s="606" t="s">
        <v>14742</v>
      </c>
      <c r="K276" s="12"/>
      <c r="L276" s="12"/>
    </row>
    <row r="277" spans="2:12" ht="14.25" customHeight="1">
      <c r="B277" s="386">
        <v>45272</v>
      </c>
      <c r="C277" s="975" t="s">
        <v>14834</v>
      </c>
      <c r="F277" t="s">
        <v>11714</v>
      </c>
      <c r="H277" s="929" t="s">
        <v>14741</v>
      </c>
      <c r="I277" s="606" t="s">
        <v>14742</v>
      </c>
      <c r="K277" s="12"/>
      <c r="L277" s="12"/>
    </row>
    <row r="278" spans="2:12" ht="14.25" customHeight="1">
      <c r="F278" t="s">
        <v>11714</v>
      </c>
      <c r="G278" s="386">
        <v>39747</v>
      </c>
      <c r="H278" s="978" t="s">
        <v>14844</v>
      </c>
      <c r="I278" s="646" t="s">
        <v>14855</v>
      </c>
      <c r="K278" s="12"/>
      <c r="L278" s="12"/>
    </row>
    <row r="279" spans="2:12" ht="14.25" customHeight="1">
      <c r="H279" s="981" t="s">
        <v>14844</v>
      </c>
      <c r="I279" s="646" t="s">
        <v>14855</v>
      </c>
      <c r="K279" s="12"/>
      <c r="L279" s="12"/>
    </row>
    <row r="280" spans="2:12" ht="14.25" customHeight="1">
      <c r="B280" s="386">
        <v>45275</v>
      </c>
      <c r="C280" t="s">
        <v>14845</v>
      </c>
      <c r="H280" s="978" t="s">
        <v>14844</v>
      </c>
      <c r="I280" s="646" t="s">
        <v>14855</v>
      </c>
      <c r="K280" s="12"/>
      <c r="L280" s="12"/>
    </row>
    <row r="281" spans="2:12" ht="14.25" customHeight="1">
      <c r="B281" s="386">
        <v>45275</v>
      </c>
      <c r="C281" t="s">
        <v>14846</v>
      </c>
      <c r="F281" t="s">
        <v>14848</v>
      </c>
      <c r="G281" s="386">
        <v>37351</v>
      </c>
      <c r="H281" s="978" t="s">
        <v>14847</v>
      </c>
      <c r="I281" s="646" t="s">
        <v>13492</v>
      </c>
      <c r="K281" s="12"/>
      <c r="L281" s="12"/>
    </row>
    <row r="282" spans="2:12" ht="14.25" customHeight="1">
      <c r="B282" s="386">
        <v>45287</v>
      </c>
      <c r="C282" t="s">
        <v>14886</v>
      </c>
      <c r="D282">
        <v>6287188998</v>
      </c>
      <c r="E282" s="386">
        <v>45292</v>
      </c>
      <c r="F282" t="s">
        <v>14848</v>
      </c>
      <c r="G282" s="386">
        <v>37317</v>
      </c>
      <c r="H282" s="1000" t="s">
        <v>14887</v>
      </c>
      <c r="I282" s="646" t="s">
        <v>13492</v>
      </c>
      <c r="J282" s="386"/>
      <c r="K282" s="12"/>
      <c r="L282" s="12"/>
    </row>
    <row r="283" spans="2:12" ht="14.25" customHeight="1">
      <c r="B283" s="386">
        <v>45289</v>
      </c>
      <c r="C283" t="s">
        <v>14890</v>
      </c>
      <c r="D283">
        <v>9046772118</v>
      </c>
      <c r="E283" s="386">
        <v>45293</v>
      </c>
      <c r="F283" t="s">
        <v>14848</v>
      </c>
      <c r="G283" s="386">
        <v>36504</v>
      </c>
      <c r="H283" s="1000" t="s">
        <v>14887</v>
      </c>
      <c r="I283" s="646" t="s">
        <v>13492</v>
      </c>
      <c r="K283" s="12"/>
      <c r="L283" s="12"/>
    </row>
    <row r="284" spans="2:12" ht="14.25" customHeight="1">
      <c r="B284" s="386">
        <v>45295</v>
      </c>
      <c r="C284" t="s">
        <v>8072</v>
      </c>
      <c r="D284">
        <v>9006360044</v>
      </c>
      <c r="E284" s="386">
        <v>45300</v>
      </c>
      <c r="F284" t="s">
        <v>14848</v>
      </c>
      <c r="G284" s="386">
        <v>24226</v>
      </c>
      <c r="H284" s="978" t="s">
        <v>14847</v>
      </c>
      <c r="I284" s="646" t="s">
        <v>13492</v>
      </c>
      <c r="K284" s="12"/>
      <c r="L284" s="12"/>
    </row>
    <row r="285" spans="2:12" ht="14.25" customHeight="1">
      <c r="B285" s="386">
        <v>45296</v>
      </c>
      <c r="C285" t="s">
        <v>14936</v>
      </c>
      <c r="D285">
        <v>9204776268</v>
      </c>
      <c r="E285" s="386">
        <v>45303</v>
      </c>
      <c r="F285" t="s">
        <v>14848</v>
      </c>
      <c r="G285" s="386">
        <v>27234</v>
      </c>
      <c r="H285" s="978" t="s">
        <v>14847</v>
      </c>
      <c r="I285" s="646" t="s">
        <v>13492</v>
      </c>
      <c r="K285" s="12"/>
      <c r="L285" s="12"/>
    </row>
    <row r="286" spans="2:12" ht="14.25" customHeight="1">
      <c r="K286" s="12"/>
      <c r="L286" s="12"/>
    </row>
    <row r="287" spans="2:12" ht="14.25" customHeight="1">
      <c r="K287" s="12"/>
      <c r="L287" s="12"/>
    </row>
    <row r="288" spans="2:12" ht="14.25" customHeight="1">
      <c r="K288" s="12"/>
      <c r="L288" s="12"/>
    </row>
    <row r="289" spans="11:12" ht="14.25" customHeight="1">
      <c r="K289" s="12"/>
      <c r="L289" s="12"/>
    </row>
    <row r="290" spans="11:12" ht="14.25" customHeight="1">
      <c r="K290" s="12"/>
      <c r="L290" s="12"/>
    </row>
    <row r="291" spans="11:12" ht="14.25" customHeight="1">
      <c r="K291" s="12"/>
      <c r="L291" s="12"/>
    </row>
    <row r="292" spans="11:12" ht="14.25" customHeight="1">
      <c r="K292" s="12"/>
      <c r="L292" s="12"/>
    </row>
    <row r="293" spans="11:12" ht="14.25" customHeight="1">
      <c r="K293" s="12"/>
      <c r="L293" s="12"/>
    </row>
    <row r="294" spans="11:12" ht="14.25" customHeight="1">
      <c r="K294" s="12"/>
      <c r="L294" s="12"/>
    </row>
    <row r="295" spans="11:12" ht="14.25" customHeight="1">
      <c r="K295" s="12"/>
      <c r="L295" s="12"/>
    </row>
    <row r="296" spans="11:12" ht="14.25" customHeight="1">
      <c r="K296" s="12"/>
      <c r="L296" s="12"/>
    </row>
    <row r="297" spans="11:12" ht="14.25" customHeight="1">
      <c r="K297" s="12"/>
      <c r="L297" s="12"/>
    </row>
    <row r="298" spans="11:12" ht="14.25" customHeight="1">
      <c r="K298" s="12"/>
      <c r="L298" s="12"/>
    </row>
    <row r="299" spans="11:12" ht="14.25" customHeight="1">
      <c r="K299" s="12"/>
      <c r="L299" s="12"/>
    </row>
    <row r="300" spans="11:12" ht="14.25" customHeight="1">
      <c r="K300" s="12"/>
      <c r="L300" s="12"/>
    </row>
    <row r="301" spans="11:12" ht="14.25" customHeight="1">
      <c r="K301" s="12"/>
      <c r="L301" s="12"/>
    </row>
    <row r="302" spans="11:12" ht="14.25" customHeight="1">
      <c r="K302" s="12"/>
      <c r="L302" s="12"/>
    </row>
    <row r="303" spans="11:12" ht="14.25" customHeight="1">
      <c r="K303" s="12"/>
      <c r="L303" s="12"/>
    </row>
    <row r="304" spans="11:12" ht="14.25" customHeight="1">
      <c r="K304" s="12"/>
      <c r="L304" s="12"/>
    </row>
    <row r="305" spans="11:12" ht="14.25" customHeight="1">
      <c r="K305" s="12"/>
      <c r="L305" s="12"/>
    </row>
    <row r="306" spans="11:12" ht="14.25" customHeight="1">
      <c r="K306" s="12"/>
      <c r="L306" s="12"/>
    </row>
    <row r="307" spans="11:12" ht="14.25" customHeight="1">
      <c r="K307" s="12"/>
      <c r="L307" s="12"/>
    </row>
    <row r="308" spans="11:12" ht="14.25" customHeight="1">
      <c r="K308" s="12"/>
      <c r="L308" s="12"/>
    </row>
    <row r="309" spans="11:12" ht="14.25" customHeight="1">
      <c r="K309" s="12"/>
      <c r="L309" s="12"/>
    </row>
    <row r="310" spans="11:12" ht="14.25" customHeight="1">
      <c r="K310" s="12"/>
      <c r="L310" s="12"/>
    </row>
    <row r="311" spans="11:12" ht="14.25" customHeight="1">
      <c r="K311" s="12"/>
      <c r="L311" s="12"/>
    </row>
    <row r="312" spans="11:12" ht="14.25" customHeight="1">
      <c r="K312" s="12"/>
      <c r="L312" s="12"/>
    </row>
    <row r="313" spans="11:12" ht="14.25" customHeight="1">
      <c r="K313" s="12"/>
      <c r="L313" s="12"/>
    </row>
    <row r="314" spans="11:12" ht="14.25" customHeight="1">
      <c r="K314" s="12"/>
      <c r="L314" s="12"/>
    </row>
    <row r="315" spans="11:12" ht="14.25" customHeight="1">
      <c r="K315" s="12"/>
      <c r="L315" s="12"/>
    </row>
    <row r="316" spans="11:12" ht="14.25" customHeight="1">
      <c r="K316" s="12"/>
      <c r="L316" s="12"/>
    </row>
    <row r="317" spans="11:12" ht="14.25" customHeight="1">
      <c r="K317" s="12"/>
      <c r="L317" s="12"/>
    </row>
    <row r="318" spans="11:12" ht="14.25" customHeight="1">
      <c r="K318" s="12"/>
      <c r="L318" s="12"/>
    </row>
    <row r="319" spans="11:12" ht="14.25" customHeight="1">
      <c r="K319" s="12"/>
      <c r="L319" s="12"/>
    </row>
    <row r="320" spans="11:12" ht="14.25" customHeight="1">
      <c r="K320" s="12"/>
      <c r="L320" s="12"/>
    </row>
    <row r="321" spans="11:12" ht="14.25" customHeight="1">
      <c r="K321" s="12"/>
      <c r="L321" s="12"/>
    </row>
    <row r="322" spans="11:12" ht="14.25" customHeight="1">
      <c r="K322" s="12"/>
      <c r="L322" s="12"/>
    </row>
    <row r="323" spans="11:12" ht="14.25" customHeight="1">
      <c r="K323" s="12"/>
      <c r="L323" s="12"/>
    </row>
    <row r="324" spans="11:12" ht="14.25" customHeight="1">
      <c r="K324" s="12"/>
      <c r="L324" s="12"/>
    </row>
    <row r="325" spans="11:12" ht="14.25" customHeight="1">
      <c r="K325" s="12"/>
      <c r="L325" s="12"/>
    </row>
    <row r="326" spans="11:12" ht="14.25" customHeight="1">
      <c r="K326" s="12"/>
      <c r="L326" s="12"/>
    </row>
    <row r="327" spans="11:12" ht="14.25" customHeight="1">
      <c r="K327" s="12"/>
      <c r="L327" s="12"/>
    </row>
    <row r="328" spans="11:12" ht="14.25" customHeight="1">
      <c r="K328" s="12"/>
      <c r="L328" s="12"/>
    </row>
    <row r="329" spans="11:12" ht="14.25" customHeight="1">
      <c r="K329" s="12"/>
      <c r="L329" s="12"/>
    </row>
    <row r="330" spans="11:12" ht="14.25" customHeight="1">
      <c r="K330" s="12"/>
      <c r="L330" s="12"/>
    </row>
    <row r="331" spans="11:12" ht="14.25" customHeight="1">
      <c r="K331" s="12"/>
      <c r="L331" s="12"/>
    </row>
    <row r="332" spans="11:12" ht="14.25" customHeight="1">
      <c r="K332" s="12"/>
      <c r="L332" s="12"/>
    </row>
    <row r="333" spans="11:12" ht="14.25" customHeight="1">
      <c r="K333" s="12"/>
      <c r="L333" s="12"/>
    </row>
    <row r="334" spans="11:12" ht="14.25" customHeight="1">
      <c r="K334" s="12"/>
      <c r="L334" s="12"/>
    </row>
    <row r="335" spans="11:12" ht="14.25" customHeight="1">
      <c r="K335" s="12"/>
      <c r="L335" s="12"/>
    </row>
    <row r="336" spans="11:12" ht="14.25" customHeight="1">
      <c r="K336" s="12"/>
      <c r="L336" s="12"/>
    </row>
    <row r="337" spans="11:12" ht="14.25" customHeight="1">
      <c r="K337" s="12"/>
      <c r="L337" s="12"/>
    </row>
    <row r="338" spans="11:12" ht="14.25" customHeight="1">
      <c r="K338" s="12"/>
      <c r="L338" s="12"/>
    </row>
    <row r="339" spans="11:12" ht="14.25" customHeight="1">
      <c r="K339" s="12"/>
      <c r="L339" s="12"/>
    </row>
    <row r="340" spans="11:12" ht="14.25" customHeight="1">
      <c r="K340" s="12"/>
      <c r="L340" s="12"/>
    </row>
    <row r="341" spans="11:12" ht="14.25" customHeight="1">
      <c r="K341" s="12"/>
      <c r="L341" s="12"/>
    </row>
    <row r="342" spans="11:12" ht="14.25" customHeight="1">
      <c r="K342" s="12"/>
      <c r="L342" s="12"/>
    </row>
    <row r="343" spans="11:12" ht="14.25" customHeight="1">
      <c r="K343" s="12"/>
      <c r="L343" s="12"/>
    </row>
    <row r="344" spans="11:12" ht="14.25" customHeight="1">
      <c r="K344" s="12"/>
      <c r="L344" s="12"/>
    </row>
    <row r="345" spans="11:12" ht="14.25" customHeight="1">
      <c r="K345" s="12"/>
      <c r="L345" s="12"/>
    </row>
    <row r="346" spans="11:12" ht="14.25" customHeight="1">
      <c r="K346" s="12"/>
      <c r="L346" s="12"/>
    </row>
    <row r="347" spans="11:12" ht="14.25" customHeight="1">
      <c r="K347" s="12"/>
      <c r="L347" s="12"/>
    </row>
    <row r="348" spans="11:12" ht="14.25" customHeight="1">
      <c r="K348" s="12"/>
      <c r="L348" s="12"/>
    </row>
    <row r="349" spans="11:12" ht="14.25" customHeight="1">
      <c r="K349" s="12"/>
      <c r="L349" s="12"/>
    </row>
    <row r="350" spans="11:12" ht="14.25" customHeight="1">
      <c r="K350" s="12"/>
      <c r="L350" s="12"/>
    </row>
    <row r="351" spans="11:12" ht="14.25" customHeight="1">
      <c r="K351" s="12"/>
      <c r="L351" s="12"/>
    </row>
    <row r="352" spans="11:12" ht="14.25" customHeight="1">
      <c r="K352" s="12"/>
      <c r="L352" s="12"/>
    </row>
    <row r="353" spans="11:12" ht="14.25" customHeight="1">
      <c r="K353" s="12"/>
      <c r="L353" s="12"/>
    </row>
    <row r="354" spans="11:12" ht="14.25" customHeight="1">
      <c r="K354" s="12"/>
      <c r="L354" s="12"/>
    </row>
    <row r="355" spans="11:12" ht="14.25" customHeight="1">
      <c r="K355" s="12"/>
      <c r="L355" s="12"/>
    </row>
    <row r="356" spans="11:12" ht="14.25" customHeight="1">
      <c r="K356" s="12"/>
      <c r="L356" s="12"/>
    </row>
    <row r="357" spans="11:12" ht="14.25" customHeight="1">
      <c r="K357" s="12"/>
      <c r="L357" s="12"/>
    </row>
    <row r="358" spans="11:12" ht="14.25" customHeight="1">
      <c r="K358" s="12"/>
      <c r="L358" s="12"/>
    </row>
    <row r="359" spans="11:12" ht="14.25" customHeight="1">
      <c r="K359" s="12"/>
      <c r="L359" s="12"/>
    </row>
    <row r="360" spans="11:12" ht="14.25" customHeight="1">
      <c r="K360" s="12"/>
      <c r="L360" s="12"/>
    </row>
    <row r="361" spans="11:12" ht="14.25" customHeight="1">
      <c r="K361" s="12"/>
      <c r="L361" s="12"/>
    </row>
    <row r="362" spans="11:12" ht="14.25" customHeight="1">
      <c r="K362" s="12"/>
      <c r="L362" s="12"/>
    </row>
    <row r="363" spans="11:12" ht="14.25" customHeight="1">
      <c r="K363" s="12"/>
      <c r="L363" s="12"/>
    </row>
    <row r="364" spans="11:12" ht="14.25" customHeight="1">
      <c r="K364" s="12"/>
      <c r="L364" s="12"/>
    </row>
    <row r="365" spans="11:12" ht="14.25" customHeight="1">
      <c r="K365" s="12"/>
      <c r="L365" s="12"/>
    </row>
    <row r="366" spans="11:12" ht="14.25" customHeight="1">
      <c r="K366" s="12"/>
      <c r="L366" s="12"/>
    </row>
    <row r="367" spans="11:12" ht="14.25" customHeight="1">
      <c r="K367" s="12"/>
      <c r="L367" s="12"/>
    </row>
    <row r="368" spans="11:12" ht="14.25" customHeight="1">
      <c r="K368" s="12"/>
      <c r="L368" s="12"/>
    </row>
    <row r="369" spans="11:12" ht="14.25" customHeight="1">
      <c r="K369" s="12"/>
      <c r="L369" s="12"/>
    </row>
    <row r="370" spans="11:12" ht="14.25" customHeight="1">
      <c r="K370" s="12"/>
      <c r="L370" s="12"/>
    </row>
    <row r="371" spans="11:12" ht="14.25" customHeight="1">
      <c r="K371" s="12"/>
      <c r="L371" s="12"/>
    </row>
    <row r="372" spans="11:12" ht="14.25" customHeight="1">
      <c r="K372" s="12"/>
      <c r="L372" s="12"/>
    </row>
    <row r="373" spans="11:12" ht="14.25" customHeight="1">
      <c r="K373" s="12"/>
      <c r="L373" s="12"/>
    </row>
    <row r="374" spans="11:12" ht="14.25" customHeight="1">
      <c r="K374" s="12"/>
      <c r="L374" s="12"/>
    </row>
    <row r="375" spans="11:12" ht="14.25" customHeight="1">
      <c r="K375" s="12"/>
      <c r="L375" s="12"/>
    </row>
    <row r="376" spans="11:12" ht="14.25" customHeight="1">
      <c r="K376" s="12"/>
      <c r="L376" s="12"/>
    </row>
    <row r="377" spans="11:12" ht="14.25" customHeight="1">
      <c r="K377" s="12"/>
      <c r="L377" s="12"/>
    </row>
    <row r="378" spans="11:12" ht="14.25" customHeight="1">
      <c r="K378" s="12"/>
      <c r="L378" s="12"/>
    </row>
    <row r="379" spans="11:12" ht="14.25" customHeight="1">
      <c r="K379" s="12"/>
      <c r="L379" s="12"/>
    </row>
    <row r="380" spans="11:12" ht="14.25" customHeight="1">
      <c r="K380" s="12"/>
      <c r="L380" s="12"/>
    </row>
    <row r="381" spans="11:12" ht="14.25" customHeight="1">
      <c r="K381" s="12"/>
      <c r="L381" s="12"/>
    </row>
    <row r="382" spans="11:12" ht="14.25" customHeight="1">
      <c r="K382" s="12"/>
      <c r="L382" s="12"/>
    </row>
    <row r="383" spans="11:12" ht="14.25" customHeight="1">
      <c r="K383" s="12"/>
      <c r="L383" s="12"/>
    </row>
    <row r="384" spans="11:12" ht="14.25" customHeight="1">
      <c r="K384" s="12"/>
      <c r="L384" s="12"/>
    </row>
    <row r="385" spans="11:12" ht="14.25" customHeight="1">
      <c r="K385" s="12"/>
      <c r="L385" s="12"/>
    </row>
    <row r="386" spans="11:12" ht="14.25" customHeight="1">
      <c r="K386" s="12"/>
      <c r="L386" s="12"/>
    </row>
    <row r="387" spans="11:12" ht="14.25" customHeight="1">
      <c r="K387" s="12"/>
      <c r="L387" s="12"/>
    </row>
    <row r="388" spans="11:12" ht="14.25" customHeight="1">
      <c r="K388" s="12"/>
      <c r="L388" s="12"/>
    </row>
    <row r="389" spans="11:12" ht="14.25" customHeight="1">
      <c r="K389" s="12"/>
      <c r="L389" s="12"/>
    </row>
    <row r="390" spans="11:12" ht="14.25" customHeight="1">
      <c r="K390" s="12"/>
      <c r="L390" s="12"/>
    </row>
    <row r="391" spans="11:12" ht="14.25" customHeight="1">
      <c r="K391" s="12"/>
      <c r="L391" s="12"/>
    </row>
    <row r="392" spans="11:12" ht="14.25" customHeight="1">
      <c r="K392" s="12"/>
      <c r="L392" s="12"/>
    </row>
    <row r="393" spans="11:12" ht="14.25" customHeight="1">
      <c r="K393" s="12"/>
      <c r="L393" s="12"/>
    </row>
    <row r="394" spans="11:12" ht="14.25" customHeight="1">
      <c r="K394" s="12"/>
      <c r="L394" s="12"/>
    </row>
    <row r="395" spans="11:12" ht="14.25" customHeight="1">
      <c r="K395" s="12"/>
      <c r="L395" s="12"/>
    </row>
    <row r="396" spans="11:12" ht="14.25" customHeight="1">
      <c r="K396" s="12"/>
      <c r="L396" s="12"/>
    </row>
    <row r="397" spans="11:12" ht="14.25" customHeight="1">
      <c r="K397" s="12"/>
      <c r="L397" s="12"/>
    </row>
    <row r="398" spans="11:12" ht="14.25" customHeight="1">
      <c r="K398" s="12"/>
      <c r="L398" s="12"/>
    </row>
    <row r="399" spans="11:12" ht="14.25" customHeight="1">
      <c r="K399" s="12"/>
      <c r="L399" s="12"/>
    </row>
    <row r="400" spans="11:12" ht="14.25" customHeight="1">
      <c r="K400" s="12"/>
      <c r="L400" s="12"/>
    </row>
    <row r="401" spans="11:12" ht="14.25" customHeight="1">
      <c r="K401" s="12"/>
      <c r="L401" s="12"/>
    </row>
    <row r="402" spans="11:12" ht="14.25" customHeight="1">
      <c r="K402" s="12"/>
      <c r="L402" s="12"/>
    </row>
    <row r="403" spans="11:12" ht="14.25" customHeight="1">
      <c r="K403" s="12"/>
      <c r="L403" s="12"/>
    </row>
    <row r="404" spans="11:12" ht="14.25" customHeight="1">
      <c r="K404" s="12"/>
      <c r="L404" s="12"/>
    </row>
    <row r="405" spans="11:12" ht="14.25" customHeight="1">
      <c r="K405" s="12"/>
      <c r="L405" s="12"/>
    </row>
    <row r="406" spans="11:12" ht="14.25" customHeight="1">
      <c r="K406" s="12"/>
      <c r="L406" s="12"/>
    </row>
    <row r="407" spans="11:12" ht="14.25" customHeight="1">
      <c r="K407" s="12"/>
      <c r="L407" s="12"/>
    </row>
    <row r="408" spans="11:12" ht="14.25" customHeight="1">
      <c r="K408" s="12"/>
      <c r="L408" s="12"/>
    </row>
    <row r="409" spans="11:12" ht="14.25" customHeight="1">
      <c r="K409" s="12"/>
      <c r="L409" s="12"/>
    </row>
    <row r="410" spans="11:12" ht="14.25" customHeight="1">
      <c r="K410" s="12"/>
      <c r="L410" s="12"/>
    </row>
    <row r="411" spans="11:12" ht="14.25" customHeight="1">
      <c r="K411" s="12"/>
      <c r="L411" s="12"/>
    </row>
    <row r="412" spans="11:12" ht="14.25" customHeight="1">
      <c r="K412" s="12"/>
      <c r="L412" s="12"/>
    </row>
    <row r="413" spans="11:12" ht="14.25" customHeight="1">
      <c r="K413" s="12"/>
      <c r="L413" s="12"/>
    </row>
    <row r="414" spans="11:12" ht="14.25" customHeight="1">
      <c r="K414" s="12"/>
      <c r="L414" s="12"/>
    </row>
    <row r="415" spans="11:12" ht="14.25" customHeight="1">
      <c r="K415" s="12"/>
      <c r="L415" s="12"/>
    </row>
    <row r="416" spans="11:12" ht="14.25" customHeight="1">
      <c r="K416" s="12"/>
      <c r="L416" s="12"/>
    </row>
    <row r="417" spans="11:12" ht="14.25" customHeight="1">
      <c r="K417" s="12"/>
      <c r="L417" s="12"/>
    </row>
    <row r="418" spans="11:12" ht="14.25" customHeight="1">
      <c r="K418" s="12"/>
      <c r="L418" s="12"/>
    </row>
    <row r="419" spans="11:12" ht="14.25" customHeight="1">
      <c r="K419" s="12"/>
      <c r="L419" s="12"/>
    </row>
    <row r="420" spans="11:12" ht="14.25" customHeight="1">
      <c r="K420" s="12"/>
      <c r="L420" s="12"/>
    </row>
    <row r="421" spans="11:12" ht="14.25" customHeight="1">
      <c r="K421" s="12"/>
      <c r="L421" s="12"/>
    </row>
    <row r="422" spans="11:12" ht="14.25" customHeight="1">
      <c r="K422" s="12"/>
      <c r="L422" s="12"/>
    </row>
    <row r="423" spans="11:12" ht="14.25" customHeight="1">
      <c r="K423" s="12"/>
      <c r="L423" s="12"/>
    </row>
    <row r="424" spans="11:12" ht="14.25" customHeight="1">
      <c r="K424" s="12"/>
      <c r="L424" s="12"/>
    </row>
    <row r="425" spans="11:12" ht="14.25" customHeight="1">
      <c r="K425" s="12"/>
      <c r="L425" s="12"/>
    </row>
    <row r="426" spans="11:12" ht="14.25" customHeight="1">
      <c r="K426" s="12"/>
      <c r="L426" s="12"/>
    </row>
    <row r="427" spans="11:12" ht="14.25" customHeight="1">
      <c r="K427" s="12"/>
      <c r="L427" s="12"/>
    </row>
    <row r="428" spans="11:12" ht="14.25" customHeight="1">
      <c r="K428" s="12"/>
      <c r="L428" s="12"/>
    </row>
    <row r="429" spans="11:12" ht="14.25" customHeight="1">
      <c r="K429" s="12"/>
      <c r="L429" s="12"/>
    </row>
    <row r="430" spans="11:12" ht="14.25" customHeight="1">
      <c r="K430" s="12"/>
      <c r="L430" s="12"/>
    </row>
    <row r="431" spans="11:12" ht="14.25" customHeight="1">
      <c r="K431" s="12"/>
      <c r="L431" s="12"/>
    </row>
    <row r="432" spans="11:12" ht="14.25" customHeight="1">
      <c r="K432" s="12"/>
      <c r="L432" s="12"/>
    </row>
    <row r="433" spans="11:12" ht="14.25" customHeight="1">
      <c r="K433" s="12"/>
      <c r="L433" s="12"/>
    </row>
    <row r="434" spans="11:12" ht="14.25" customHeight="1">
      <c r="K434" s="12"/>
      <c r="L434" s="12"/>
    </row>
    <row r="435" spans="11:12" ht="14.25" customHeight="1">
      <c r="K435" s="12"/>
      <c r="L435" s="12"/>
    </row>
    <row r="436" spans="11:12" ht="14.25" customHeight="1">
      <c r="K436" s="12"/>
      <c r="L436" s="12"/>
    </row>
    <row r="437" spans="11:12" ht="14.25" customHeight="1">
      <c r="K437" s="12"/>
      <c r="L437" s="12"/>
    </row>
    <row r="438" spans="11:12" ht="14.25" customHeight="1">
      <c r="K438" s="12"/>
      <c r="L438" s="12"/>
    </row>
    <row r="439" spans="11:12" ht="14.25" customHeight="1">
      <c r="K439" s="12"/>
      <c r="L439" s="12"/>
    </row>
    <row r="440" spans="11:12" ht="14.25" customHeight="1">
      <c r="K440" s="12"/>
      <c r="L440" s="12"/>
    </row>
    <row r="441" spans="11:12" ht="14.25" customHeight="1">
      <c r="K441" s="12"/>
      <c r="L441" s="12"/>
    </row>
    <row r="442" spans="11:12" ht="14.25" customHeight="1">
      <c r="K442" s="12"/>
      <c r="L442" s="12"/>
    </row>
    <row r="443" spans="11:12" ht="14.25" customHeight="1">
      <c r="K443" s="12"/>
      <c r="L443" s="12"/>
    </row>
    <row r="444" spans="11:12" ht="14.25" customHeight="1">
      <c r="K444" s="12"/>
      <c r="L444" s="12"/>
    </row>
    <row r="445" spans="11:12" ht="14.25" customHeight="1">
      <c r="K445" s="12"/>
      <c r="L445" s="12"/>
    </row>
    <row r="446" spans="11:12" ht="14.25" customHeight="1">
      <c r="K446" s="12"/>
      <c r="L446" s="12"/>
    </row>
    <row r="447" spans="11:12" ht="14.25" customHeight="1">
      <c r="K447" s="12"/>
      <c r="L447" s="12"/>
    </row>
    <row r="448" spans="11:12" ht="14.25" customHeight="1">
      <c r="K448" s="12"/>
      <c r="L448" s="12"/>
    </row>
    <row r="449" spans="11:12" ht="14.25" customHeight="1">
      <c r="K449" s="12"/>
      <c r="L449" s="12"/>
    </row>
    <row r="450" spans="11:12" ht="14.25" customHeight="1">
      <c r="K450" s="12"/>
      <c r="L450" s="12"/>
    </row>
    <row r="451" spans="11:12" ht="14.25" customHeight="1">
      <c r="K451" s="12"/>
      <c r="L451" s="12"/>
    </row>
    <row r="452" spans="11:12" ht="14.25" customHeight="1">
      <c r="K452" s="12"/>
      <c r="L452" s="12"/>
    </row>
    <row r="453" spans="11:12" ht="14.25" customHeight="1">
      <c r="K453" s="12"/>
      <c r="L453" s="12"/>
    </row>
    <row r="454" spans="11:12" ht="14.25" customHeight="1">
      <c r="K454" s="12"/>
      <c r="L454" s="12"/>
    </row>
    <row r="455" spans="11:12" ht="14.25" customHeight="1">
      <c r="K455" s="12"/>
      <c r="L455" s="12"/>
    </row>
    <row r="456" spans="11:12" ht="14.25" customHeight="1">
      <c r="K456" s="12"/>
      <c r="L456" s="12"/>
    </row>
    <row r="457" spans="11:12" ht="14.25" customHeight="1">
      <c r="K457" s="12"/>
      <c r="L457" s="12"/>
    </row>
    <row r="458" spans="11:12" ht="14.25" customHeight="1">
      <c r="K458" s="12"/>
      <c r="L458" s="12"/>
    </row>
    <row r="459" spans="11:12" ht="14.25" customHeight="1">
      <c r="K459" s="12"/>
      <c r="L459" s="12"/>
    </row>
    <row r="460" spans="11:12" ht="14.25" customHeight="1">
      <c r="K460" s="12"/>
      <c r="L460" s="12"/>
    </row>
    <row r="461" spans="11:12" ht="14.25" customHeight="1">
      <c r="K461" s="12"/>
      <c r="L461" s="12"/>
    </row>
    <row r="462" spans="11:12" ht="14.25" customHeight="1">
      <c r="K462" s="12"/>
      <c r="L462" s="12"/>
    </row>
    <row r="463" spans="11:12" ht="14.25" customHeight="1">
      <c r="K463" s="12"/>
      <c r="L463" s="12"/>
    </row>
    <row r="464" spans="11:12" ht="14.25" customHeight="1">
      <c r="K464" s="12"/>
      <c r="L464" s="12"/>
    </row>
    <row r="465" spans="11:12" ht="14.25" customHeight="1">
      <c r="K465" s="12"/>
      <c r="L465" s="12"/>
    </row>
    <row r="466" spans="11:12" ht="14.25" customHeight="1">
      <c r="K466" s="12"/>
      <c r="L466" s="12"/>
    </row>
    <row r="467" spans="11:12" ht="14.25" customHeight="1">
      <c r="K467" s="12"/>
      <c r="L467" s="12"/>
    </row>
    <row r="468" spans="11:12" ht="14.25" customHeight="1">
      <c r="K468" s="12"/>
      <c r="L468" s="12"/>
    </row>
    <row r="469" spans="11:12" ht="14.25" customHeight="1">
      <c r="K469" s="12"/>
      <c r="L469" s="12"/>
    </row>
    <row r="470" spans="11:12" ht="14.25" customHeight="1">
      <c r="K470" s="12"/>
      <c r="L470" s="12"/>
    </row>
    <row r="471" spans="11:12" ht="14.25" customHeight="1">
      <c r="K471" s="12"/>
      <c r="L471" s="12"/>
    </row>
    <row r="472" spans="11:12" ht="14.25" customHeight="1">
      <c r="K472" s="12"/>
      <c r="L472" s="12"/>
    </row>
    <row r="473" spans="11:12" ht="14.25" customHeight="1">
      <c r="K473" s="12"/>
      <c r="L473" s="12"/>
    </row>
    <row r="474" spans="11:12" ht="14.25" customHeight="1">
      <c r="K474" s="12"/>
      <c r="L474" s="12"/>
    </row>
    <row r="475" spans="11:12" ht="14.25" customHeight="1">
      <c r="K475" s="12"/>
      <c r="L475" s="12"/>
    </row>
    <row r="476" spans="11:12" ht="14.25" customHeight="1">
      <c r="K476" s="12"/>
      <c r="L476" s="12"/>
    </row>
    <row r="477" spans="11:12" ht="14.25" customHeight="1">
      <c r="K477" s="12"/>
      <c r="L477" s="12"/>
    </row>
    <row r="478" spans="11:12" ht="14.25" customHeight="1">
      <c r="K478" s="12"/>
      <c r="L478" s="12"/>
    </row>
    <row r="479" spans="11:12" ht="14.25" customHeight="1">
      <c r="K479" s="12"/>
      <c r="L479" s="12"/>
    </row>
    <row r="480" spans="11:12" ht="14.25" customHeight="1">
      <c r="K480" s="12"/>
      <c r="L480" s="12"/>
    </row>
    <row r="481" spans="11:12" ht="14.25" customHeight="1">
      <c r="K481" s="12"/>
      <c r="L481" s="12"/>
    </row>
    <row r="482" spans="11:12" ht="14.25" customHeight="1">
      <c r="K482" s="12"/>
      <c r="L482" s="12"/>
    </row>
    <row r="483" spans="11:12" ht="14.25" customHeight="1">
      <c r="K483" s="12"/>
      <c r="L483" s="12"/>
    </row>
    <row r="484" spans="11:12" ht="14.25" customHeight="1">
      <c r="K484" s="12"/>
      <c r="L484" s="12"/>
    </row>
    <row r="485" spans="11:12" ht="14.25" customHeight="1">
      <c r="K485" s="12"/>
      <c r="L485" s="12"/>
    </row>
    <row r="486" spans="11:12" ht="14.25" customHeight="1">
      <c r="K486" s="12"/>
      <c r="L486" s="12"/>
    </row>
    <row r="487" spans="11:12" ht="14.25" customHeight="1">
      <c r="K487" s="12"/>
      <c r="L487" s="12"/>
    </row>
    <row r="488" spans="11:12" ht="14.25" customHeight="1">
      <c r="K488" s="12"/>
      <c r="L488" s="12"/>
    </row>
    <row r="489" spans="11:12" ht="14.25" customHeight="1">
      <c r="K489" s="12"/>
      <c r="L489" s="12"/>
    </row>
    <row r="490" spans="11:12" ht="14.25" customHeight="1">
      <c r="K490" s="12"/>
      <c r="L490" s="12"/>
    </row>
    <row r="491" spans="11:12" ht="14.25" customHeight="1">
      <c r="K491" s="12"/>
      <c r="L491" s="12"/>
    </row>
    <row r="492" spans="11:12" ht="14.25" customHeight="1">
      <c r="K492" s="12"/>
      <c r="L492" s="12"/>
    </row>
    <row r="493" spans="11:12" ht="14.25" customHeight="1">
      <c r="K493" s="12"/>
      <c r="L493" s="12"/>
    </row>
    <row r="494" spans="11:12" ht="14.25" customHeight="1">
      <c r="K494" s="12"/>
      <c r="L494" s="12"/>
    </row>
    <row r="495" spans="11:12" ht="14.25" customHeight="1">
      <c r="K495" s="12"/>
      <c r="L495" s="12"/>
    </row>
    <row r="496" spans="11:12" ht="14.25" customHeight="1">
      <c r="K496" s="12"/>
      <c r="L496" s="12"/>
    </row>
    <row r="497" spans="11:12" ht="14.25" customHeight="1">
      <c r="K497" s="12"/>
      <c r="L497" s="12"/>
    </row>
    <row r="498" spans="11:12" ht="14.25" customHeight="1">
      <c r="K498" s="12"/>
      <c r="L498" s="12"/>
    </row>
    <row r="499" spans="11:12" ht="14.25" customHeight="1">
      <c r="K499" s="12"/>
      <c r="L499" s="12"/>
    </row>
    <row r="500" spans="11:12" ht="14.25" customHeight="1">
      <c r="K500" s="12"/>
      <c r="L500" s="12"/>
    </row>
    <row r="501" spans="11:12" ht="14.25" customHeight="1">
      <c r="K501" s="12"/>
      <c r="L501" s="12"/>
    </row>
    <row r="502" spans="11:12" ht="14.25" customHeight="1">
      <c r="K502" s="12"/>
      <c r="L502" s="12"/>
    </row>
    <row r="503" spans="11:12" ht="14.25" customHeight="1">
      <c r="K503" s="12"/>
      <c r="L503" s="12"/>
    </row>
    <row r="504" spans="11:12" ht="14.25" customHeight="1">
      <c r="K504" s="12"/>
      <c r="L504" s="12"/>
    </row>
    <row r="505" spans="11:12" ht="14.25" customHeight="1">
      <c r="K505" s="12"/>
      <c r="L505" s="12"/>
    </row>
    <row r="506" spans="11:12" ht="14.25" customHeight="1">
      <c r="K506" s="12"/>
      <c r="L506" s="12"/>
    </row>
    <row r="507" spans="11:12" ht="14.25" customHeight="1">
      <c r="K507" s="12"/>
      <c r="L507" s="12"/>
    </row>
    <row r="508" spans="11:12" ht="14.25" customHeight="1">
      <c r="K508" s="12"/>
      <c r="L508" s="12"/>
    </row>
    <row r="509" spans="11:12" ht="14.25" customHeight="1">
      <c r="K509" s="12"/>
      <c r="L509" s="12"/>
    </row>
    <row r="510" spans="11:12" ht="14.25" customHeight="1">
      <c r="K510" s="12"/>
      <c r="L510" s="12"/>
    </row>
    <row r="511" spans="11:12" ht="14.25" customHeight="1">
      <c r="K511" s="12"/>
      <c r="L511" s="12"/>
    </row>
    <row r="512" spans="11:12" ht="14.25" customHeight="1">
      <c r="K512" s="12"/>
      <c r="L512" s="12"/>
    </row>
    <row r="513" spans="11:12" ht="14.25" customHeight="1">
      <c r="K513" s="12"/>
      <c r="L513" s="12"/>
    </row>
    <row r="514" spans="11:12" ht="14.25" customHeight="1">
      <c r="K514" s="12"/>
      <c r="L514" s="12"/>
    </row>
    <row r="515" spans="11:12" ht="14.25" customHeight="1">
      <c r="K515" s="12"/>
      <c r="L515" s="12"/>
    </row>
    <row r="516" spans="11:12" ht="14.25" customHeight="1">
      <c r="K516" s="12"/>
      <c r="L516" s="12"/>
    </row>
    <row r="517" spans="11:12" ht="14.25" customHeight="1">
      <c r="K517" s="12"/>
      <c r="L517" s="12"/>
    </row>
    <row r="518" spans="11:12" ht="14.25" customHeight="1">
      <c r="K518" s="12"/>
      <c r="L518" s="12"/>
    </row>
    <row r="519" spans="11:12" ht="14.25" customHeight="1">
      <c r="K519" s="12"/>
      <c r="L519" s="12"/>
    </row>
    <row r="520" spans="11:12" ht="14.25" customHeight="1">
      <c r="K520" s="12"/>
      <c r="L520" s="12"/>
    </row>
    <row r="521" spans="11:12" ht="14.25" customHeight="1">
      <c r="K521" s="12"/>
      <c r="L521" s="12"/>
    </row>
    <row r="522" spans="11:12" ht="14.25" customHeight="1">
      <c r="K522" s="12"/>
      <c r="L522" s="12"/>
    </row>
    <row r="523" spans="11:12" ht="14.25" customHeight="1">
      <c r="K523" s="12"/>
      <c r="L523" s="12"/>
    </row>
    <row r="524" spans="11:12" ht="14.25" customHeight="1">
      <c r="K524" s="12"/>
      <c r="L524" s="12"/>
    </row>
    <row r="525" spans="11:12" ht="14.25" customHeight="1">
      <c r="K525" s="12"/>
      <c r="L525" s="12"/>
    </row>
    <row r="526" spans="11:12" ht="14.25" customHeight="1">
      <c r="K526" s="12"/>
      <c r="L526" s="12"/>
    </row>
    <row r="527" spans="11:12" ht="14.25" customHeight="1">
      <c r="K527" s="12"/>
      <c r="L527" s="12"/>
    </row>
    <row r="528" spans="11:12" ht="14.25" customHeight="1">
      <c r="K528" s="12"/>
      <c r="L528" s="12"/>
    </row>
    <row r="529" spans="11:12" ht="14.25" customHeight="1">
      <c r="K529" s="12"/>
      <c r="L529" s="12"/>
    </row>
    <row r="530" spans="11:12" ht="14.25" customHeight="1">
      <c r="K530" s="12"/>
      <c r="L530" s="12"/>
    </row>
    <row r="531" spans="11:12" ht="14.25" customHeight="1">
      <c r="K531" s="12"/>
      <c r="L531" s="12"/>
    </row>
    <row r="532" spans="11:12" ht="14.25" customHeight="1">
      <c r="K532" s="12"/>
      <c r="L532" s="12"/>
    </row>
    <row r="533" spans="11:12" ht="14.25" customHeight="1">
      <c r="K533" s="12"/>
      <c r="L533" s="12"/>
    </row>
    <row r="534" spans="11:12" ht="14.25" customHeight="1">
      <c r="K534" s="12"/>
      <c r="L534" s="12"/>
    </row>
    <row r="535" spans="11:12" ht="14.25" customHeight="1">
      <c r="K535" s="12"/>
      <c r="L535" s="12"/>
    </row>
    <row r="536" spans="11:12" ht="14.25" customHeight="1">
      <c r="K536" s="12"/>
      <c r="L536" s="12"/>
    </row>
    <row r="537" spans="11:12" ht="14.25" customHeight="1">
      <c r="K537" s="12"/>
      <c r="L537" s="12"/>
    </row>
    <row r="538" spans="11:12" ht="14.25" customHeight="1">
      <c r="K538" s="12"/>
      <c r="L538" s="12"/>
    </row>
    <row r="539" spans="11:12" ht="14.25" customHeight="1">
      <c r="K539" s="12"/>
      <c r="L539" s="12"/>
    </row>
    <row r="540" spans="11:12" ht="14.25" customHeight="1">
      <c r="K540" s="12"/>
      <c r="L540" s="12"/>
    </row>
    <row r="541" spans="11:12" ht="14.25" customHeight="1">
      <c r="K541" s="12"/>
      <c r="L541" s="12"/>
    </row>
    <row r="542" spans="11:12" ht="14.25" customHeight="1">
      <c r="K542" s="12"/>
      <c r="L542" s="12"/>
    </row>
    <row r="543" spans="11:12" ht="14.25" customHeight="1">
      <c r="K543" s="12"/>
      <c r="L543" s="12"/>
    </row>
    <row r="544" spans="11:12" ht="14.25" customHeight="1">
      <c r="K544" s="12"/>
      <c r="L544" s="12"/>
    </row>
    <row r="545" spans="11:12" ht="14.25" customHeight="1">
      <c r="K545" s="12"/>
      <c r="L545" s="12"/>
    </row>
    <row r="546" spans="11:12" ht="14.25" customHeight="1">
      <c r="K546" s="12"/>
      <c r="L546" s="12"/>
    </row>
    <row r="547" spans="11:12" ht="14.25" customHeight="1">
      <c r="K547" s="12"/>
      <c r="L547" s="12"/>
    </row>
    <row r="548" spans="11:12" ht="14.25" customHeight="1">
      <c r="K548" s="12"/>
      <c r="L548" s="12"/>
    </row>
    <row r="549" spans="11:12" ht="14.25" customHeight="1">
      <c r="K549" s="12"/>
      <c r="L549" s="12"/>
    </row>
    <row r="550" spans="11:12" ht="14.25" customHeight="1">
      <c r="K550" s="12"/>
      <c r="L550" s="12"/>
    </row>
    <row r="551" spans="11:12" ht="14.25" customHeight="1">
      <c r="K551" s="12"/>
      <c r="L551" s="12"/>
    </row>
    <row r="552" spans="11:12" ht="14.25" customHeight="1">
      <c r="K552" s="12"/>
      <c r="L552" s="12"/>
    </row>
    <row r="553" spans="11:12" ht="14.25" customHeight="1">
      <c r="K553" s="12"/>
      <c r="L553" s="12"/>
    </row>
    <row r="554" spans="11:12" ht="14.25" customHeight="1">
      <c r="K554" s="12"/>
      <c r="L554" s="12"/>
    </row>
    <row r="555" spans="11:12" ht="14.25" customHeight="1">
      <c r="K555" s="12"/>
      <c r="L555" s="12"/>
    </row>
    <row r="556" spans="11:12" ht="14.25" customHeight="1">
      <c r="K556" s="12"/>
      <c r="L556" s="12"/>
    </row>
    <row r="557" spans="11:12" ht="14.25" customHeight="1">
      <c r="K557" s="12"/>
      <c r="L557" s="12"/>
    </row>
    <row r="558" spans="11:12" ht="14.25" customHeight="1">
      <c r="K558" s="12"/>
      <c r="L558" s="12"/>
    </row>
    <row r="559" spans="11:12" ht="14.25" customHeight="1">
      <c r="K559" s="12"/>
      <c r="L559" s="12"/>
    </row>
    <row r="560" spans="11:12" ht="14.25" customHeight="1">
      <c r="K560" s="12"/>
      <c r="L560" s="12"/>
    </row>
    <row r="561" spans="11:12" ht="14.25" customHeight="1">
      <c r="K561" s="12"/>
      <c r="L561" s="12"/>
    </row>
    <row r="562" spans="11:12" ht="14.25" customHeight="1">
      <c r="K562" s="12"/>
      <c r="L562" s="12"/>
    </row>
    <row r="563" spans="11:12" ht="14.25" customHeight="1">
      <c r="K563" s="12"/>
      <c r="L563" s="12"/>
    </row>
    <row r="564" spans="11:12" ht="14.25" customHeight="1">
      <c r="K564" s="12"/>
      <c r="L564" s="12"/>
    </row>
    <row r="565" spans="11:12" ht="14.25" customHeight="1">
      <c r="K565" s="12"/>
      <c r="L565" s="12"/>
    </row>
    <row r="566" spans="11:12" ht="14.25" customHeight="1">
      <c r="K566" s="12"/>
      <c r="L566" s="12"/>
    </row>
    <row r="567" spans="11:12" ht="14.25" customHeight="1">
      <c r="K567" s="12"/>
      <c r="L567" s="12"/>
    </row>
    <row r="568" spans="11:12" ht="14.25" customHeight="1">
      <c r="K568" s="12"/>
      <c r="L568" s="12"/>
    </row>
    <row r="569" spans="11:12" ht="14.25" customHeight="1">
      <c r="K569" s="12"/>
      <c r="L569" s="12"/>
    </row>
    <row r="570" spans="11:12" ht="14.25" customHeight="1">
      <c r="K570" s="12"/>
      <c r="L570" s="12"/>
    </row>
    <row r="571" spans="11:12" ht="14.25" customHeight="1">
      <c r="K571" s="12"/>
      <c r="L571" s="12"/>
    </row>
    <row r="572" spans="11:12" ht="14.25" customHeight="1">
      <c r="K572" s="12"/>
      <c r="L572" s="12"/>
    </row>
    <row r="573" spans="11:12" ht="14.25" customHeight="1">
      <c r="K573" s="12"/>
      <c r="L573" s="12"/>
    </row>
    <row r="574" spans="11:12" ht="14.25" customHeight="1">
      <c r="K574" s="12"/>
      <c r="L574" s="12"/>
    </row>
    <row r="575" spans="11:12" ht="14.25" customHeight="1">
      <c r="K575" s="12"/>
      <c r="L575" s="12"/>
    </row>
    <row r="576" spans="11:12" ht="14.25" customHeight="1">
      <c r="K576" s="12"/>
      <c r="L576" s="12"/>
    </row>
    <row r="577" spans="11:12" ht="14.25" customHeight="1">
      <c r="K577" s="12"/>
      <c r="L577" s="12"/>
    </row>
    <row r="578" spans="11:12" ht="14.25" customHeight="1">
      <c r="K578" s="12"/>
      <c r="L578" s="12"/>
    </row>
    <row r="579" spans="11:12" ht="14.25" customHeight="1">
      <c r="K579" s="12"/>
      <c r="L579" s="12"/>
    </row>
    <row r="580" spans="11:12" ht="14.25" customHeight="1">
      <c r="K580" s="12"/>
      <c r="L580" s="12"/>
    </row>
    <row r="581" spans="11:12" ht="14.25" customHeight="1">
      <c r="K581" s="12"/>
      <c r="L581" s="12"/>
    </row>
    <row r="582" spans="11:12" ht="14.25" customHeight="1">
      <c r="K582" s="12"/>
      <c r="L582" s="12"/>
    </row>
    <row r="583" spans="11:12" ht="14.25" customHeight="1">
      <c r="K583" s="12"/>
      <c r="L583" s="12"/>
    </row>
    <row r="584" spans="11:12" ht="14.25" customHeight="1">
      <c r="K584" s="12"/>
      <c r="L584" s="12"/>
    </row>
    <row r="585" spans="11:12" ht="14.25" customHeight="1">
      <c r="K585" s="12"/>
      <c r="L585" s="12"/>
    </row>
    <row r="586" spans="11:12" ht="14.25" customHeight="1">
      <c r="K586" s="12"/>
      <c r="L586" s="12"/>
    </row>
    <row r="587" spans="11:12" ht="14.25" customHeight="1">
      <c r="K587" s="12"/>
      <c r="L587" s="12"/>
    </row>
    <row r="588" spans="11:12" ht="14.25" customHeight="1">
      <c r="K588" s="12"/>
      <c r="L588" s="12"/>
    </row>
    <row r="589" spans="11:12" ht="14.25" customHeight="1">
      <c r="K589" s="12"/>
      <c r="L589" s="12"/>
    </row>
    <row r="590" spans="11:12" ht="14.25" customHeight="1">
      <c r="K590" s="12"/>
      <c r="L590" s="12"/>
    </row>
    <row r="591" spans="11:12" ht="14.25" customHeight="1">
      <c r="K591" s="12"/>
      <c r="L591" s="12"/>
    </row>
    <row r="592" spans="11:12" ht="14.25" customHeight="1">
      <c r="K592" s="12"/>
      <c r="L592" s="12"/>
    </row>
    <row r="593" spans="11:12" ht="14.25" customHeight="1">
      <c r="K593" s="12"/>
      <c r="L593" s="12"/>
    </row>
    <row r="594" spans="11:12" ht="14.25" customHeight="1">
      <c r="K594" s="12"/>
      <c r="L594" s="12"/>
    </row>
    <row r="595" spans="11:12" ht="14.25" customHeight="1">
      <c r="K595" s="12"/>
      <c r="L595" s="12"/>
    </row>
    <row r="596" spans="11:12" ht="14.25" customHeight="1">
      <c r="K596" s="12"/>
      <c r="L596" s="12"/>
    </row>
    <row r="597" spans="11:12" ht="14.25" customHeight="1">
      <c r="K597" s="12"/>
      <c r="L597" s="12"/>
    </row>
    <row r="598" spans="11:12" ht="14.25" customHeight="1">
      <c r="K598" s="12"/>
      <c r="L598" s="12"/>
    </row>
    <row r="599" spans="11:12" ht="14.25" customHeight="1">
      <c r="K599" s="12"/>
      <c r="L599" s="12"/>
    </row>
    <row r="600" spans="11:12" ht="14.25" customHeight="1">
      <c r="K600" s="12"/>
      <c r="L600" s="12"/>
    </row>
    <row r="601" spans="11:12" ht="14.25" customHeight="1">
      <c r="K601" s="12"/>
      <c r="L601" s="12"/>
    </row>
    <row r="602" spans="11:12" ht="14.25" customHeight="1">
      <c r="K602" s="12"/>
      <c r="L602" s="12"/>
    </row>
    <row r="603" spans="11:12" ht="14.25" customHeight="1">
      <c r="K603" s="12"/>
      <c r="L603" s="12"/>
    </row>
    <row r="604" spans="11:12" ht="14.25" customHeight="1">
      <c r="K604" s="12"/>
      <c r="L604" s="12"/>
    </row>
    <row r="605" spans="11:12" ht="14.25" customHeight="1">
      <c r="K605" s="12"/>
      <c r="L605" s="12"/>
    </row>
    <row r="606" spans="11:12" ht="14.25" customHeight="1">
      <c r="K606" s="12"/>
      <c r="L606" s="12"/>
    </row>
    <row r="607" spans="11:12" ht="14.25" customHeight="1">
      <c r="K607" s="12"/>
      <c r="L607" s="12"/>
    </row>
    <row r="608" spans="11:12" ht="14.25" customHeight="1">
      <c r="K608" s="12"/>
      <c r="L608" s="12"/>
    </row>
    <row r="609" spans="11:12" ht="14.25" customHeight="1">
      <c r="K609" s="12"/>
      <c r="L609" s="12"/>
    </row>
    <row r="610" spans="11:12" ht="14.25" customHeight="1">
      <c r="K610" s="12"/>
      <c r="L610" s="12"/>
    </row>
    <row r="611" spans="11:12" ht="14.25" customHeight="1">
      <c r="K611" s="12"/>
      <c r="L611" s="12"/>
    </row>
    <row r="612" spans="11:12" ht="14.25" customHeight="1">
      <c r="K612" s="12"/>
      <c r="L612" s="12"/>
    </row>
    <row r="613" spans="11:12" ht="14.25" customHeight="1">
      <c r="K613" s="12"/>
      <c r="L613" s="12"/>
    </row>
    <row r="614" spans="11:12" ht="14.25" customHeight="1">
      <c r="K614" s="12"/>
      <c r="L614" s="12"/>
    </row>
    <row r="615" spans="11:12" ht="14.25" customHeight="1">
      <c r="K615" s="12"/>
      <c r="L615" s="12"/>
    </row>
    <row r="616" spans="11:12" ht="14.25" customHeight="1">
      <c r="K616" s="12"/>
      <c r="L616" s="12"/>
    </row>
    <row r="617" spans="11:12" ht="14.25" customHeight="1">
      <c r="K617" s="12"/>
      <c r="L617" s="12"/>
    </row>
    <row r="618" spans="11:12" ht="14.25" customHeight="1">
      <c r="K618" s="12"/>
      <c r="L618" s="12"/>
    </row>
    <row r="619" spans="11:12" ht="14.25" customHeight="1">
      <c r="K619" s="12"/>
      <c r="L619" s="12"/>
    </row>
    <row r="620" spans="11:12" ht="14.25" customHeight="1">
      <c r="K620" s="12"/>
      <c r="L620" s="12"/>
    </row>
    <row r="621" spans="11:12" ht="14.25" customHeight="1">
      <c r="K621" s="12"/>
      <c r="L621" s="12"/>
    </row>
    <row r="622" spans="11:12" ht="14.25" customHeight="1">
      <c r="K622" s="12"/>
      <c r="L622" s="12"/>
    </row>
    <row r="623" spans="11:12" ht="14.25" customHeight="1">
      <c r="K623" s="12"/>
      <c r="L623" s="12"/>
    </row>
    <row r="624" spans="11:12" ht="14.25" customHeight="1">
      <c r="K624" s="12"/>
      <c r="L624" s="12"/>
    </row>
    <row r="625" spans="11:12" ht="14.25" customHeight="1">
      <c r="K625" s="12"/>
      <c r="L625" s="12"/>
    </row>
    <row r="626" spans="11:12" ht="14.25" customHeight="1">
      <c r="K626" s="12"/>
      <c r="L626" s="12"/>
    </row>
    <row r="627" spans="11:12" ht="14.25" customHeight="1">
      <c r="K627" s="12"/>
      <c r="L627" s="12"/>
    </row>
    <row r="628" spans="11:12" ht="14.25" customHeight="1">
      <c r="K628" s="12"/>
      <c r="L628" s="12"/>
    </row>
    <row r="629" spans="11:12" ht="14.25" customHeight="1">
      <c r="K629" s="12"/>
      <c r="L629" s="12"/>
    </row>
    <row r="630" spans="11:12" ht="14.25" customHeight="1">
      <c r="K630" s="12"/>
      <c r="L630" s="12"/>
    </row>
    <row r="631" spans="11:12" ht="14.25" customHeight="1">
      <c r="K631" s="12"/>
      <c r="L631" s="12"/>
    </row>
    <row r="632" spans="11:12" ht="14.25" customHeight="1">
      <c r="K632" s="12"/>
      <c r="L632" s="12"/>
    </row>
    <row r="633" spans="11:12" ht="14.25" customHeight="1">
      <c r="K633" s="12"/>
      <c r="L633" s="12"/>
    </row>
    <row r="634" spans="11:12" ht="14.25" customHeight="1">
      <c r="K634" s="12"/>
      <c r="L634" s="12"/>
    </row>
    <row r="635" spans="11:12" ht="14.25" customHeight="1">
      <c r="K635" s="12"/>
      <c r="L635" s="12"/>
    </row>
    <row r="636" spans="11:12" ht="14.25" customHeight="1">
      <c r="K636" s="12"/>
      <c r="L636" s="12"/>
    </row>
    <row r="637" spans="11:12" ht="14.25" customHeight="1">
      <c r="K637" s="12"/>
      <c r="L637" s="12"/>
    </row>
    <row r="638" spans="11:12" ht="14.25" customHeight="1">
      <c r="K638" s="12"/>
      <c r="L638" s="12"/>
    </row>
    <row r="639" spans="11:12" ht="14.25" customHeight="1">
      <c r="K639" s="12"/>
      <c r="L639" s="12"/>
    </row>
    <row r="640" spans="11:12" ht="14.25" customHeight="1">
      <c r="K640" s="12"/>
      <c r="L640" s="12"/>
    </row>
    <row r="641" spans="11:12" ht="14.25" customHeight="1">
      <c r="K641" s="12"/>
      <c r="L641" s="12"/>
    </row>
    <row r="642" spans="11:12" ht="14.25" customHeight="1">
      <c r="K642" s="12"/>
      <c r="L642" s="12"/>
    </row>
    <row r="643" spans="11:12" ht="14.25" customHeight="1">
      <c r="K643" s="12"/>
      <c r="L643" s="12"/>
    </row>
    <row r="644" spans="11:12" ht="14.25" customHeight="1">
      <c r="K644" s="12"/>
      <c r="L644" s="12"/>
    </row>
    <row r="645" spans="11:12" ht="14.25" customHeight="1">
      <c r="K645" s="12"/>
      <c r="L645" s="12"/>
    </row>
    <row r="646" spans="11:12" ht="14.25" customHeight="1">
      <c r="K646" s="12"/>
      <c r="L646" s="12"/>
    </row>
    <row r="647" spans="11:12" ht="14.25" customHeight="1">
      <c r="K647" s="12"/>
      <c r="L647" s="12"/>
    </row>
    <row r="648" spans="11:12" ht="14.25" customHeight="1">
      <c r="K648" s="12"/>
      <c r="L648" s="12"/>
    </row>
    <row r="649" spans="11:12" ht="14.25" customHeight="1">
      <c r="K649" s="12"/>
      <c r="L649" s="12"/>
    </row>
    <row r="650" spans="11:12" ht="14.25" customHeight="1">
      <c r="K650" s="12"/>
      <c r="L650" s="12"/>
    </row>
    <row r="651" spans="11:12" ht="14.25" customHeight="1">
      <c r="K651" s="12"/>
      <c r="L651" s="12"/>
    </row>
    <row r="652" spans="11:12" ht="14.25" customHeight="1">
      <c r="K652" s="12"/>
      <c r="L652" s="12"/>
    </row>
    <row r="653" spans="11:12" ht="14.25" customHeight="1">
      <c r="K653" s="12"/>
      <c r="L653" s="12"/>
    </row>
    <row r="654" spans="11:12" ht="14.25" customHeight="1">
      <c r="K654" s="12"/>
      <c r="L654" s="12"/>
    </row>
    <row r="655" spans="11:12" ht="14.25" customHeight="1">
      <c r="K655" s="12"/>
      <c r="L655" s="12"/>
    </row>
    <row r="656" spans="11:12" ht="14.25" customHeight="1">
      <c r="K656" s="12"/>
      <c r="L656" s="12"/>
    </row>
    <row r="657" spans="11:12" ht="14.25" customHeight="1">
      <c r="K657" s="12"/>
      <c r="L657" s="12"/>
    </row>
    <row r="658" spans="11:12" ht="14.25" customHeight="1">
      <c r="K658" s="12"/>
      <c r="L658" s="12"/>
    </row>
    <row r="659" spans="11:12" ht="14.25" customHeight="1">
      <c r="K659" s="12"/>
      <c r="L659" s="12"/>
    </row>
    <row r="660" spans="11:12" ht="14.25" customHeight="1">
      <c r="K660" s="12"/>
      <c r="L660" s="12"/>
    </row>
    <row r="661" spans="11:12" ht="14.25" customHeight="1">
      <c r="K661" s="12"/>
      <c r="L661" s="12"/>
    </row>
    <row r="662" spans="11:12" ht="14.25" customHeight="1">
      <c r="K662" s="12"/>
      <c r="L662" s="12"/>
    </row>
    <row r="663" spans="11:12" ht="14.25" customHeight="1">
      <c r="K663" s="12"/>
      <c r="L663" s="12"/>
    </row>
    <row r="664" spans="11:12" ht="14.25" customHeight="1">
      <c r="K664" s="12"/>
      <c r="L664" s="12"/>
    </row>
    <row r="665" spans="11:12" ht="14.25" customHeight="1">
      <c r="K665" s="12"/>
      <c r="L665" s="12"/>
    </row>
    <row r="666" spans="11:12" ht="14.25" customHeight="1">
      <c r="K666" s="12"/>
      <c r="L666" s="12"/>
    </row>
    <row r="667" spans="11:12" ht="14.25" customHeight="1">
      <c r="K667" s="12"/>
      <c r="L667" s="12"/>
    </row>
    <row r="668" spans="11:12" ht="14.25" customHeight="1">
      <c r="K668" s="12"/>
      <c r="L668" s="12"/>
    </row>
    <row r="669" spans="11:12" ht="14.25" customHeight="1">
      <c r="K669" s="12"/>
      <c r="L669" s="12"/>
    </row>
    <row r="670" spans="11:12" ht="14.25" customHeight="1">
      <c r="K670" s="12"/>
      <c r="L670" s="12"/>
    </row>
    <row r="671" spans="11:12" ht="14.25" customHeight="1">
      <c r="K671" s="12"/>
      <c r="L671" s="12"/>
    </row>
    <row r="672" spans="11:12" ht="14.25" customHeight="1">
      <c r="K672" s="12"/>
      <c r="L672" s="12"/>
    </row>
    <row r="673" spans="11:12" ht="14.25" customHeight="1">
      <c r="K673" s="12"/>
      <c r="L673" s="12"/>
    </row>
    <row r="674" spans="11:12" ht="14.25" customHeight="1">
      <c r="K674" s="12"/>
      <c r="L674" s="12"/>
    </row>
    <row r="675" spans="11:12" ht="14.25" customHeight="1">
      <c r="K675" s="12"/>
      <c r="L675" s="12"/>
    </row>
    <row r="676" spans="11:12" ht="14.25" customHeight="1">
      <c r="K676" s="12"/>
      <c r="L676" s="12"/>
    </row>
    <row r="677" spans="11:12" ht="14.25" customHeight="1">
      <c r="K677" s="12"/>
      <c r="L677" s="12"/>
    </row>
    <row r="678" spans="11:12" ht="14.25" customHeight="1">
      <c r="K678" s="12"/>
      <c r="L678" s="12"/>
    </row>
    <row r="679" spans="11:12" ht="14.25" customHeight="1">
      <c r="K679" s="12"/>
      <c r="L679" s="12"/>
    </row>
    <row r="680" spans="11:12" ht="14.25" customHeight="1">
      <c r="K680" s="12"/>
      <c r="L680" s="12"/>
    </row>
    <row r="681" spans="11:12" ht="14.25" customHeight="1">
      <c r="K681" s="12"/>
      <c r="L681" s="12"/>
    </row>
    <row r="682" spans="11:12" ht="14.25" customHeight="1">
      <c r="K682" s="12"/>
      <c r="L682" s="12"/>
    </row>
    <row r="683" spans="11:12" ht="14.25" customHeight="1">
      <c r="K683" s="12"/>
      <c r="L683" s="12"/>
    </row>
    <row r="684" spans="11:12" ht="14.25" customHeight="1">
      <c r="K684" s="12"/>
      <c r="L684" s="12"/>
    </row>
    <row r="685" spans="11:12" ht="14.25" customHeight="1">
      <c r="K685" s="12"/>
      <c r="L685" s="12"/>
    </row>
    <row r="686" spans="11:12" ht="14.25" customHeight="1">
      <c r="K686" s="12"/>
      <c r="L686" s="12"/>
    </row>
    <row r="687" spans="11:12" ht="14.25" customHeight="1">
      <c r="K687" s="12"/>
      <c r="L687" s="12"/>
    </row>
    <row r="688" spans="11:12" ht="14.25" customHeight="1">
      <c r="K688" s="12"/>
      <c r="L688" s="12"/>
    </row>
    <row r="689" spans="11:12" ht="14.25" customHeight="1">
      <c r="K689" s="12"/>
      <c r="L689" s="12"/>
    </row>
    <row r="690" spans="11:12" ht="14.25" customHeight="1">
      <c r="K690" s="12"/>
      <c r="L690" s="12"/>
    </row>
    <row r="691" spans="11:12" ht="14.25" customHeight="1">
      <c r="K691" s="12"/>
      <c r="L691" s="12"/>
    </row>
    <row r="692" spans="11:12" ht="14.25" customHeight="1">
      <c r="K692" s="12"/>
      <c r="L692" s="12"/>
    </row>
    <row r="693" spans="11:12" ht="14.25" customHeight="1">
      <c r="K693" s="12"/>
      <c r="L693" s="12"/>
    </row>
    <row r="694" spans="11:12" ht="14.25" customHeight="1">
      <c r="K694" s="12"/>
      <c r="L694" s="12"/>
    </row>
    <row r="695" spans="11:12" ht="14.25" customHeight="1">
      <c r="K695" s="12"/>
      <c r="L695" s="12"/>
    </row>
    <row r="696" spans="11:12" ht="14.25" customHeight="1">
      <c r="K696" s="12"/>
      <c r="L696" s="12"/>
    </row>
    <row r="697" spans="11:12" ht="14.25" customHeight="1">
      <c r="K697" s="12"/>
      <c r="L697" s="12"/>
    </row>
    <row r="698" spans="11:12" ht="14.25" customHeight="1">
      <c r="K698" s="12"/>
      <c r="L698" s="12"/>
    </row>
    <row r="699" spans="11:12" ht="14.25" customHeight="1">
      <c r="K699" s="12"/>
      <c r="L699" s="12"/>
    </row>
    <row r="700" spans="11:12" ht="14.25" customHeight="1">
      <c r="K700" s="12"/>
      <c r="L700" s="12"/>
    </row>
    <row r="701" spans="11:12" ht="14.25" customHeight="1">
      <c r="K701" s="12"/>
      <c r="L701" s="12"/>
    </row>
    <row r="702" spans="11:12" ht="14.25" customHeight="1">
      <c r="K702" s="12"/>
      <c r="L702" s="12"/>
    </row>
    <row r="703" spans="11:12" ht="14.25" customHeight="1">
      <c r="K703" s="12"/>
      <c r="L703" s="12"/>
    </row>
    <row r="704" spans="11:12" ht="14.25" customHeight="1">
      <c r="K704" s="12"/>
      <c r="L704" s="12"/>
    </row>
    <row r="705" spans="11:12" ht="14.25" customHeight="1">
      <c r="K705" s="12"/>
      <c r="L705" s="12"/>
    </row>
    <row r="706" spans="11:12" ht="14.25" customHeight="1">
      <c r="K706" s="12"/>
      <c r="L706" s="12"/>
    </row>
    <row r="707" spans="11:12" ht="14.25" customHeight="1">
      <c r="K707" s="12"/>
      <c r="L707" s="12"/>
    </row>
    <row r="708" spans="11:12" ht="14.25" customHeight="1">
      <c r="K708" s="12"/>
      <c r="L708" s="12"/>
    </row>
    <row r="709" spans="11:12" ht="14.25" customHeight="1">
      <c r="K709" s="12"/>
      <c r="L709" s="12"/>
    </row>
    <row r="710" spans="11:12" ht="14.25" customHeight="1">
      <c r="K710" s="12"/>
      <c r="L710" s="12"/>
    </row>
    <row r="711" spans="11:12" ht="14.25" customHeight="1">
      <c r="K711" s="12"/>
      <c r="L711" s="12"/>
    </row>
    <row r="712" spans="11:12" ht="14.25" customHeight="1">
      <c r="K712" s="12"/>
      <c r="L712" s="12"/>
    </row>
    <row r="713" spans="11:12" ht="14.25" customHeight="1">
      <c r="K713" s="12"/>
      <c r="L713" s="12"/>
    </row>
    <row r="714" spans="11:12" ht="14.25" customHeight="1">
      <c r="K714" s="12"/>
      <c r="L714" s="12"/>
    </row>
    <row r="715" spans="11:12" ht="14.25" customHeight="1">
      <c r="K715" s="12"/>
      <c r="L715" s="12"/>
    </row>
    <row r="716" spans="11:12" ht="14.25" customHeight="1">
      <c r="K716" s="12"/>
      <c r="L716" s="12"/>
    </row>
    <row r="717" spans="11:12" ht="14.25" customHeight="1">
      <c r="K717" s="12"/>
      <c r="L717" s="12"/>
    </row>
    <row r="718" spans="11:12" ht="14.25" customHeight="1">
      <c r="K718" s="12"/>
      <c r="L718" s="12"/>
    </row>
    <row r="719" spans="11:12" ht="14.25" customHeight="1">
      <c r="K719" s="12"/>
      <c r="L719" s="12"/>
    </row>
    <row r="720" spans="11:12" ht="14.25" customHeight="1">
      <c r="K720" s="12"/>
      <c r="L720" s="12"/>
    </row>
    <row r="721" spans="11:12" ht="14.25" customHeight="1">
      <c r="K721" s="12"/>
      <c r="L721" s="12"/>
    </row>
    <row r="722" spans="11:12" ht="14.25" customHeight="1">
      <c r="K722" s="12"/>
      <c r="L722" s="12"/>
    </row>
    <row r="723" spans="11:12" ht="14.25" customHeight="1">
      <c r="K723" s="12"/>
      <c r="L723" s="12"/>
    </row>
    <row r="724" spans="11:12" ht="14.25" customHeight="1">
      <c r="K724" s="12"/>
      <c r="L724" s="12"/>
    </row>
    <row r="725" spans="11:12" ht="14.25" customHeight="1">
      <c r="K725" s="12"/>
      <c r="L725" s="12"/>
    </row>
    <row r="726" spans="11:12" ht="14.25" customHeight="1">
      <c r="K726" s="12"/>
      <c r="L726" s="12"/>
    </row>
    <row r="727" spans="11:12" ht="14.25" customHeight="1">
      <c r="K727" s="12"/>
      <c r="L727" s="12"/>
    </row>
    <row r="728" spans="11:12" ht="14.25" customHeight="1">
      <c r="K728" s="12"/>
      <c r="L728" s="12"/>
    </row>
    <row r="729" spans="11:12" ht="14.25" customHeight="1">
      <c r="K729" s="12"/>
      <c r="L729" s="12"/>
    </row>
    <row r="730" spans="11:12" ht="14.25" customHeight="1">
      <c r="K730" s="12"/>
      <c r="L730" s="12"/>
    </row>
    <row r="731" spans="11:12" ht="14.25" customHeight="1">
      <c r="K731" s="12"/>
      <c r="L731" s="12"/>
    </row>
    <row r="732" spans="11:12" ht="14.25" customHeight="1">
      <c r="K732" s="12"/>
      <c r="L732" s="12"/>
    </row>
    <row r="733" spans="11:12" ht="14.25" customHeight="1">
      <c r="K733" s="12"/>
      <c r="L733" s="12"/>
    </row>
    <row r="734" spans="11:12" ht="14.25" customHeight="1">
      <c r="K734" s="12"/>
      <c r="L734" s="12"/>
    </row>
    <row r="735" spans="11:12" ht="14.25" customHeight="1">
      <c r="K735" s="12"/>
      <c r="L735" s="12"/>
    </row>
    <row r="736" spans="11:12" ht="14.25" customHeight="1">
      <c r="K736" s="12"/>
      <c r="L736" s="12"/>
    </row>
    <row r="737" spans="11:12" ht="14.25" customHeight="1">
      <c r="K737" s="12"/>
      <c r="L737" s="12"/>
    </row>
    <row r="738" spans="11:12" ht="14.25" customHeight="1">
      <c r="K738" s="12"/>
      <c r="L738" s="12"/>
    </row>
    <row r="739" spans="11:12" ht="14.25" customHeight="1">
      <c r="K739" s="12"/>
      <c r="L739" s="12"/>
    </row>
    <row r="740" spans="11:12" ht="14.25" customHeight="1">
      <c r="K740" s="12"/>
      <c r="L740" s="12"/>
    </row>
    <row r="741" spans="11:12" ht="14.25" customHeight="1">
      <c r="K741" s="12"/>
      <c r="L741" s="12"/>
    </row>
    <row r="742" spans="11:12" ht="14.25" customHeight="1">
      <c r="K742" s="12"/>
      <c r="L742" s="12"/>
    </row>
    <row r="743" spans="11:12" ht="14.25" customHeight="1">
      <c r="K743" s="12"/>
      <c r="L743" s="12"/>
    </row>
    <row r="744" spans="11:12" ht="14.25" customHeight="1">
      <c r="K744" s="12"/>
      <c r="L744" s="12"/>
    </row>
    <row r="745" spans="11:12" ht="14.25" customHeight="1">
      <c r="K745" s="12"/>
      <c r="L745" s="12"/>
    </row>
    <row r="746" spans="11:12" ht="14.25" customHeight="1">
      <c r="K746" s="12"/>
      <c r="L746" s="12"/>
    </row>
    <row r="747" spans="11:12" ht="14.25" customHeight="1">
      <c r="K747" s="12"/>
      <c r="L747" s="12"/>
    </row>
    <row r="748" spans="11:12" ht="14.25" customHeight="1">
      <c r="K748" s="12"/>
      <c r="L748" s="12"/>
    </row>
    <row r="749" spans="11:12" ht="14.25" customHeight="1">
      <c r="K749" s="12"/>
      <c r="L749" s="12"/>
    </row>
    <row r="750" spans="11:12" ht="14.25" customHeight="1">
      <c r="K750" s="12"/>
      <c r="L750" s="12"/>
    </row>
    <row r="751" spans="11:12" ht="14.25" customHeight="1">
      <c r="K751" s="12"/>
      <c r="L751" s="12"/>
    </row>
    <row r="752" spans="11:12" ht="14.25" customHeight="1">
      <c r="K752" s="12"/>
      <c r="L752" s="12"/>
    </row>
    <row r="753" spans="11:12" ht="14.25" customHeight="1">
      <c r="K753" s="12"/>
      <c r="L753" s="12"/>
    </row>
    <row r="754" spans="11:12" ht="14.25" customHeight="1">
      <c r="K754" s="12"/>
      <c r="L754" s="12"/>
    </row>
    <row r="755" spans="11:12" ht="14.25" customHeight="1">
      <c r="K755" s="12"/>
      <c r="L755" s="12"/>
    </row>
    <row r="756" spans="11:12" ht="14.25" customHeight="1">
      <c r="K756" s="12"/>
      <c r="L756" s="12"/>
    </row>
    <row r="757" spans="11:12" ht="14.25" customHeight="1">
      <c r="K757" s="12"/>
      <c r="L757" s="12"/>
    </row>
    <row r="758" spans="11:12" ht="14.25" customHeight="1">
      <c r="K758" s="12"/>
      <c r="L758" s="12"/>
    </row>
    <row r="759" spans="11:12" ht="14.25" customHeight="1">
      <c r="K759" s="12"/>
      <c r="L759" s="12"/>
    </row>
    <row r="760" spans="11:12" ht="14.25" customHeight="1">
      <c r="K760" s="12"/>
      <c r="L760" s="12"/>
    </row>
    <row r="761" spans="11:12" ht="14.25" customHeight="1">
      <c r="K761" s="12"/>
      <c r="L761" s="12"/>
    </row>
    <row r="762" spans="11:12" ht="14.25" customHeight="1">
      <c r="K762" s="12"/>
      <c r="L762" s="12"/>
    </row>
    <row r="763" spans="11:12" ht="14.25" customHeight="1">
      <c r="K763" s="12"/>
      <c r="L763" s="12"/>
    </row>
    <row r="764" spans="11:12" ht="14.25" customHeight="1">
      <c r="K764" s="12"/>
      <c r="L764" s="12"/>
    </row>
    <row r="765" spans="11:12" ht="14.25" customHeight="1">
      <c r="K765" s="12"/>
      <c r="L765" s="12"/>
    </row>
    <row r="766" spans="11:12" ht="14.25" customHeight="1">
      <c r="K766" s="12"/>
      <c r="L766" s="12"/>
    </row>
    <row r="767" spans="11:12" ht="14.25" customHeight="1">
      <c r="K767" s="12"/>
      <c r="L767" s="12"/>
    </row>
    <row r="768" spans="11:12" ht="14.25" customHeight="1">
      <c r="K768" s="12"/>
      <c r="L768" s="12"/>
    </row>
    <row r="769" spans="11:12" ht="14.25" customHeight="1">
      <c r="K769" s="12"/>
      <c r="L769" s="12"/>
    </row>
    <row r="770" spans="11:12" ht="14.25" customHeight="1">
      <c r="K770" s="12"/>
      <c r="L770" s="12"/>
    </row>
    <row r="771" spans="11:12" ht="14.25" customHeight="1">
      <c r="K771" s="12"/>
      <c r="L771" s="12"/>
    </row>
    <row r="772" spans="11:12" ht="14.25" customHeight="1">
      <c r="K772" s="12"/>
      <c r="L772" s="12"/>
    </row>
    <row r="773" spans="11:12" ht="14.25" customHeight="1">
      <c r="K773" s="12"/>
      <c r="L773" s="12"/>
    </row>
    <row r="774" spans="11:12" ht="14.25" customHeight="1">
      <c r="K774" s="12"/>
      <c r="L774" s="12"/>
    </row>
    <row r="775" spans="11:12" ht="14.25" customHeight="1">
      <c r="K775" s="12"/>
      <c r="L775" s="12"/>
    </row>
    <row r="776" spans="11:12" ht="14.25" customHeight="1">
      <c r="K776" s="12"/>
      <c r="L776" s="12"/>
    </row>
    <row r="777" spans="11:12" ht="14.25" customHeight="1">
      <c r="K777" s="12"/>
      <c r="L777" s="12"/>
    </row>
    <row r="778" spans="11:12" ht="14.25" customHeight="1">
      <c r="K778" s="12"/>
      <c r="L778" s="12"/>
    </row>
    <row r="779" spans="11:12" ht="14.25" customHeight="1">
      <c r="K779" s="12"/>
      <c r="L779" s="12"/>
    </row>
    <row r="780" spans="11:12" ht="14.25" customHeight="1">
      <c r="K780" s="12"/>
      <c r="L780" s="12"/>
    </row>
    <row r="781" spans="11:12" ht="14.25" customHeight="1">
      <c r="K781" s="12"/>
      <c r="L781" s="12"/>
    </row>
    <row r="782" spans="11:12" ht="14.25" customHeight="1">
      <c r="K782" s="12"/>
      <c r="L782" s="12"/>
    </row>
    <row r="783" spans="11:12" ht="14.25" customHeight="1">
      <c r="K783" s="12"/>
      <c r="L783" s="12"/>
    </row>
    <row r="784" spans="11:12" ht="14.25" customHeight="1">
      <c r="K784" s="12"/>
      <c r="L784" s="12"/>
    </row>
    <row r="785" spans="11:12" ht="14.25" customHeight="1">
      <c r="K785" s="12"/>
      <c r="L785" s="12"/>
    </row>
    <row r="786" spans="11:12" ht="14.25" customHeight="1">
      <c r="K786" s="12"/>
      <c r="L786" s="12"/>
    </row>
    <row r="787" spans="11:12" ht="14.25" customHeight="1">
      <c r="K787" s="12"/>
      <c r="L787" s="12"/>
    </row>
    <row r="788" spans="11:12" ht="14.25" customHeight="1">
      <c r="K788" s="12"/>
      <c r="L788" s="12"/>
    </row>
    <row r="789" spans="11:12" ht="14.25" customHeight="1">
      <c r="K789" s="12"/>
      <c r="L789" s="12"/>
    </row>
    <row r="790" spans="11:12" ht="14.25" customHeight="1">
      <c r="K790" s="12"/>
      <c r="L790" s="12"/>
    </row>
    <row r="791" spans="11:12" ht="14.25" customHeight="1">
      <c r="K791" s="12"/>
      <c r="L791" s="12"/>
    </row>
    <row r="792" spans="11:12" ht="14.25" customHeight="1">
      <c r="K792" s="12"/>
      <c r="L792" s="12"/>
    </row>
    <row r="793" spans="11:12" ht="14.25" customHeight="1">
      <c r="K793" s="12"/>
      <c r="L793" s="12"/>
    </row>
    <row r="794" spans="11:12" ht="14.25" customHeight="1">
      <c r="K794" s="12"/>
      <c r="L794" s="12"/>
    </row>
    <row r="795" spans="11:12" ht="14.25" customHeight="1">
      <c r="K795" s="12"/>
      <c r="L795" s="12"/>
    </row>
    <row r="796" spans="11:12" ht="14.25" customHeight="1">
      <c r="K796" s="12"/>
      <c r="L796" s="12"/>
    </row>
    <row r="797" spans="11:12" ht="14.25" customHeight="1">
      <c r="K797" s="12"/>
      <c r="L797" s="12"/>
    </row>
    <row r="798" spans="11:12" ht="14.25" customHeight="1">
      <c r="K798" s="12"/>
      <c r="L798" s="12"/>
    </row>
    <row r="799" spans="11:12" ht="14.25" customHeight="1">
      <c r="K799" s="12"/>
      <c r="L799" s="12"/>
    </row>
    <row r="800" spans="11:12" ht="14.25" customHeight="1">
      <c r="K800" s="12"/>
      <c r="L800" s="12"/>
    </row>
    <row r="801" spans="11:12" ht="14.25" customHeight="1">
      <c r="K801" s="12"/>
      <c r="L801" s="12"/>
    </row>
    <row r="802" spans="11:12" ht="14.25" customHeight="1">
      <c r="K802" s="12"/>
      <c r="L802" s="12"/>
    </row>
    <row r="803" spans="11:12" ht="14.25" customHeight="1">
      <c r="K803" s="12"/>
      <c r="L803" s="12"/>
    </row>
    <row r="804" spans="11:12" ht="14.25" customHeight="1">
      <c r="K804" s="12"/>
      <c r="L804" s="12"/>
    </row>
    <row r="805" spans="11:12" ht="14.25" customHeight="1">
      <c r="K805" s="12"/>
      <c r="L805" s="12"/>
    </row>
    <row r="806" spans="11:12" ht="14.25" customHeight="1">
      <c r="K806" s="12"/>
      <c r="L806" s="12"/>
    </row>
    <row r="807" spans="11:12" ht="14.25" customHeight="1">
      <c r="K807" s="12"/>
      <c r="L807" s="12"/>
    </row>
    <row r="808" spans="11:12" ht="14.25" customHeight="1">
      <c r="K808" s="12"/>
      <c r="L808" s="12"/>
    </row>
    <row r="809" spans="11:12" ht="14.25" customHeight="1">
      <c r="K809" s="12"/>
      <c r="L809" s="12"/>
    </row>
    <row r="810" spans="11:12" ht="14.25" customHeight="1">
      <c r="K810" s="12"/>
      <c r="L810" s="12"/>
    </row>
    <row r="811" spans="11:12" ht="14.25" customHeight="1">
      <c r="K811" s="12"/>
      <c r="L811" s="12"/>
    </row>
    <row r="812" spans="11:12" ht="14.25" customHeight="1">
      <c r="K812" s="12"/>
      <c r="L812" s="12"/>
    </row>
    <row r="813" spans="11:12" ht="14.25" customHeight="1">
      <c r="K813" s="12"/>
      <c r="L813" s="12"/>
    </row>
    <row r="814" spans="11:12" ht="14.25" customHeight="1">
      <c r="K814" s="12"/>
      <c r="L814" s="12"/>
    </row>
    <row r="815" spans="11:12" ht="14.25" customHeight="1">
      <c r="K815" s="12"/>
      <c r="L815" s="12"/>
    </row>
    <row r="816" spans="11:12" ht="14.25" customHeight="1">
      <c r="K816" s="12"/>
      <c r="L816" s="12"/>
    </row>
    <row r="817" spans="11:12" ht="14.25" customHeight="1">
      <c r="K817" s="12"/>
      <c r="L817" s="12"/>
    </row>
    <row r="818" spans="11:12" ht="14.25" customHeight="1">
      <c r="K818" s="12"/>
      <c r="L818" s="12"/>
    </row>
    <row r="819" spans="11:12" ht="14.25" customHeight="1">
      <c r="K819" s="12"/>
      <c r="L819" s="12"/>
    </row>
    <row r="820" spans="11:12" ht="14.25" customHeight="1">
      <c r="K820" s="12"/>
      <c r="L820" s="12"/>
    </row>
    <row r="821" spans="11:12" ht="14.25" customHeight="1">
      <c r="K821" s="12"/>
      <c r="L821" s="12"/>
    </row>
    <row r="822" spans="11:12" ht="14.25" customHeight="1">
      <c r="K822" s="12"/>
      <c r="L822" s="12"/>
    </row>
    <row r="823" spans="11:12" ht="14.25" customHeight="1">
      <c r="K823" s="12"/>
      <c r="L823" s="12"/>
    </row>
    <row r="824" spans="11:12" ht="14.25" customHeight="1">
      <c r="K824" s="12"/>
      <c r="L824" s="12"/>
    </row>
    <row r="825" spans="11:12" ht="14.25" customHeight="1">
      <c r="K825" s="12"/>
      <c r="L825" s="12"/>
    </row>
    <row r="826" spans="11:12" ht="14.25" customHeight="1">
      <c r="K826" s="12"/>
      <c r="L826" s="12"/>
    </row>
    <row r="827" spans="11:12" ht="14.25" customHeight="1">
      <c r="K827" s="12"/>
      <c r="L827" s="12"/>
    </row>
    <row r="828" spans="11:12" ht="14.25" customHeight="1">
      <c r="K828" s="12"/>
      <c r="L828" s="12"/>
    </row>
    <row r="829" spans="11:12" ht="14.25" customHeight="1">
      <c r="K829" s="12"/>
      <c r="L829" s="12"/>
    </row>
    <row r="830" spans="11:12" ht="14.25" customHeight="1">
      <c r="K830" s="12"/>
      <c r="L830" s="12"/>
    </row>
    <row r="831" spans="11:12" ht="14.25" customHeight="1">
      <c r="K831" s="12"/>
      <c r="L831" s="12"/>
    </row>
    <row r="832" spans="11:12" ht="14.25" customHeight="1">
      <c r="K832" s="12"/>
      <c r="L832" s="12"/>
    </row>
    <row r="833" spans="11:12" ht="14.25" customHeight="1">
      <c r="K833" s="12"/>
      <c r="L833" s="12"/>
    </row>
    <row r="834" spans="11:12" ht="14.25" customHeight="1">
      <c r="K834" s="12"/>
      <c r="L834" s="12"/>
    </row>
    <row r="835" spans="11:12" ht="14.25" customHeight="1">
      <c r="K835" s="12"/>
      <c r="L835" s="12"/>
    </row>
    <row r="836" spans="11:12" ht="14.25" customHeight="1">
      <c r="K836" s="12"/>
      <c r="L836" s="12"/>
    </row>
    <row r="837" spans="11:12" ht="14.25" customHeight="1">
      <c r="K837" s="12"/>
      <c r="L837" s="12"/>
    </row>
    <row r="838" spans="11:12" ht="14.25" customHeight="1">
      <c r="K838" s="12"/>
      <c r="L838" s="12"/>
    </row>
    <row r="839" spans="11:12" ht="14.25" customHeight="1">
      <c r="K839" s="12"/>
      <c r="L839" s="12"/>
    </row>
    <row r="840" spans="11:12" ht="14.25" customHeight="1">
      <c r="K840" s="12"/>
      <c r="L840" s="12"/>
    </row>
    <row r="841" spans="11:12" ht="14.25" customHeight="1">
      <c r="K841" s="12"/>
      <c r="L841" s="12"/>
    </row>
    <row r="842" spans="11:12" ht="14.25" customHeight="1">
      <c r="K842" s="12"/>
      <c r="L842" s="12"/>
    </row>
    <row r="843" spans="11:12" ht="14.25" customHeight="1">
      <c r="K843" s="12"/>
      <c r="L843" s="12"/>
    </row>
    <row r="844" spans="11:12" ht="14.25" customHeight="1">
      <c r="K844" s="12"/>
      <c r="L844" s="12"/>
    </row>
    <row r="845" spans="11:12" ht="14.25" customHeight="1">
      <c r="K845" s="12"/>
      <c r="L845" s="12"/>
    </row>
    <row r="846" spans="11:12" ht="14.25" customHeight="1">
      <c r="K846" s="12"/>
      <c r="L846" s="12"/>
    </row>
    <row r="847" spans="11:12" ht="14.25" customHeight="1">
      <c r="K847" s="12"/>
      <c r="L847" s="12"/>
    </row>
    <row r="848" spans="11:12" ht="14.25" customHeight="1">
      <c r="K848" s="12"/>
      <c r="L848" s="12"/>
    </row>
    <row r="849" spans="11:12" ht="14.25" customHeight="1">
      <c r="K849" s="12"/>
      <c r="L849" s="12"/>
    </row>
    <row r="850" spans="11:12" ht="14.25" customHeight="1">
      <c r="K850" s="12"/>
      <c r="L850" s="12"/>
    </row>
    <row r="851" spans="11:12" ht="14.25" customHeight="1">
      <c r="K851" s="12"/>
      <c r="L851" s="12"/>
    </row>
    <row r="852" spans="11:12" ht="14.25" customHeight="1">
      <c r="K852" s="12"/>
      <c r="L852" s="12"/>
    </row>
    <row r="853" spans="11:12" ht="14.25" customHeight="1">
      <c r="K853" s="12"/>
      <c r="L853" s="12"/>
    </row>
    <row r="854" spans="11:12" ht="14.25" customHeight="1">
      <c r="K854" s="12"/>
      <c r="L854" s="12"/>
    </row>
    <row r="855" spans="11:12" ht="14.25" customHeight="1">
      <c r="K855" s="12"/>
      <c r="L855" s="12"/>
    </row>
    <row r="856" spans="11:12" ht="14.25" customHeight="1">
      <c r="K856" s="12"/>
      <c r="L856" s="12"/>
    </row>
    <row r="857" spans="11:12" ht="14.25" customHeight="1">
      <c r="K857" s="12"/>
      <c r="L857" s="12"/>
    </row>
    <row r="858" spans="11:12" ht="14.25" customHeight="1">
      <c r="K858" s="12"/>
      <c r="L858" s="12"/>
    </row>
    <row r="859" spans="11:12" ht="14.25" customHeight="1">
      <c r="K859" s="12"/>
      <c r="L859" s="12"/>
    </row>
    <row r="860" spans="11:12" ht="14.25" customHeight="1">
      <c r="K860" s="12"/>
      <c r="L860" s="12"/>
    </row>
    <row r="861" spans="11:12" ht="14.25" customHeight="1">
      <c r="K861" s="12"/>
      <c r="L861" s="12"/>
    </row>
    <row r="862" spans="11:12" ht="14.25" customHeight="1">
      <c r="K862" s="12"/>
      <c r="L862" s="12"/>
    </row>
    <row r="863" spans="11:12" ht="14.25" customHeight="1">
      <c r="K863" s="12"/>
      <c r="L863" s="12"/>
    </row>
    <row r="864" spans="11:12" ht="14.25" customHeight="1">
      <c r="K864" s="12"/>
      <c r="L864" s="12"/>
    </row>
    <row r="865" spans="11:12" ht="14.25" customHeight="1">
      <c r="K865" s="12"/>
      <c r="L865" s="12"/>
    </row>
    <row r="866" spans="11:12" ht="14.25" customHeight="1">
      <c r="K866" s="12"/>
      <c r="L866" s="12"/>
    </row>
    <row r="867" spans="11:12" ht="14.25" customHeight="1">
      <c r="K867" s="12"/>
      <c r="L867" s="12"/>
    </row>
    <row r="868" spans="11:12" ht="14.25" customHeight="1">
      <c r="K868" s="12"/>
      <c r="L868" s="12"/>
    </row>
    <row r="869" spans="11:12" ht="14.25" customHeight="1">
      <c r="K869" s="12"/>
      <c r="L869" s="12"/>
    </row>
    <row r="870" spans="11:12" ht="14.25" customHeight="1">
      <c r="K870" s="12"/>
      <c r="L870" s="12"/>
    </row>
    <row r="871" spans="11:12" ht="14.25" customHeight="1">
      <c r="K871" s="12"/>
      <c r="L871" s="12"/>
    </row>
    <row r="872" spans="11:12" ht="14.25" customHeight="1">
      <c r="K872" s="12"/>
      <c r="L872" s="12"/>
    </row>
    <row r="873" spans="11:12" ht="14.25" customHeight="1">
      <c r="K873" s="12"/>
      <c r="L873" s="12"/>
    </row>
    <row r="874" spans="11:12" ht="14.25" customHeight="1">
      <c r="K874" s="12"/>
      <c r="L874" s="12"/>
    </row>
    <row r="875" spans="11:12" ht="14.25" customHeight="1">
      <c r="K875" s="12"/>
      <c r="L875" s="12"/>
    </row>
    <row r="876" spans="11:12" ht="14.25" customHeight="1">
      <c r="K876" s="12"/>
      <c r="L876" s="12"/>
    </row>
    <row r="877" spans="11:12" ht="14.25" customHeight="1">
      <c r="K877" s="12"/>
      <c r="L877" s="12"/>
    </row>
    <row r="878" spans="11:12" ht="14.25" customHeight="1">
      <c r="K878" s="12"/>
      <c r="L878" s="12"/>
    </row>
    <row r="879" spans="11:12" ht="14.25" customHeight="1">
      <c r="K879" s="12"/>
      <c r="L879" s="12"/>
    </row>
    <row r="880" spans="11:12" ht="14.25" customHeight="1">
      <c r="K880" s="12"/>
      <c r="L880" s="12"/>
    </row>
    <row r="881" spans="11:12" ht="14.25" customHeight="1">
      <c r="K881" s="12"/>
      <c r="L881" s="12"/>
    </row>
    <row r="882" spans="11:12" ht="14.25" customHeight="1">
      <c r="K882" s="12"/>
      <c r="L882" s="12"/>
    </row>
    <row r="883" spans="11:12" ht="14.25" customHeight="1">
      <c r="K883" s="12"/>
      <c r="L883" s="12"/>
    </row>
    <row r="884" spans="11:12" ht="14.25" customHeight="1">
      <c r="K884" s="12"/>
      <c r="L884" s="12"/>
    </row>
    <row r="885" spans="11:12" ht="14.25" customHeight="1">
      <c r="K885" s="12"/>
      <c r="L885" s="12"/>
    </row>
    <row r="886" spans="11:12" ht="14.25" customHeight="1">
      <c r="K886" s="12"/>
      <c r="L886" s="12"/>
    </row>
    <row r="887" spans="11:12" ht="14.25" customHeight="1">
      <c r="K887" s="12"/>
      <c r="L887" s="12"/>
    </row>
    <row r="888" spans="11:12" ht="14.25" customHeight="1">
      <c r="K888" s="12"/>
      <c r="L888" s="12"/>
    </row>
    <row r="889" spans="11:12" ht="14.25" customHeight="1">
      <c r="K889" s="12"/>
      <c r="L889" s="12"/>
    </row>
    <row r="890" spans="11:12" ht="14.25" customHeight="1">
      <c r="K890" s="12"/>
      <c r="L890" s="12"/>
    </row>
    <row r="891" spans="11:12" ht="14.25" customHeight="1">
      <c r="K891" s="12"/>
      <c r="L891" s="12"/>
    </row>
    <row r="892" spans="11:12" ht="14.25" customHeight="1">
      <c r="K892" s="12"/>
      <c r="L892" s="12"/>
    </row>
    <row r="893" spans="11:12" ht="14.25" customHeight="1">
      <c r="K893" s="12"/>
      <c r="L893" s="12"/>
    </row>
    <row r="894" spans="11:12" ht="14.25" customHeight="1">
      <c r="K894" s="12"/>
      <c r="L894" s="12"/>
    </row>
    <row r="895" spans="11:12" ht="14.25" customHeight="1">
      <c r="K895" s="12"/>
      <c r="L895" s="12"/>
    </row>
    <row r="896" spans="11:12" ht="14.25" customHeight="1">
      <c r="K896" s="12"/>
      <c r="L896" s="12"/>
    </row>
    <row r="897" spans="11:12" ht="14.25" customHeight="1">
      <c r="K897" s="12"/>
      <c r="L897" s="12"/>
    </row>
    <row r="898" spans="11:12" ht="14.25" customHeight="1">
      <c r="K898" s="12"/>
      <c r="L898" s="12"/>
    </row>
    <row r="899" spans="11:12" ht="14.25" customHeight="1">
      <c r="K899" s="12"/>
      <c r="L899" s="12"/>
    </row>
    <row r="900" spans="11:12" ht="14.25" customHeight="1">
      <c r="K900" s="12"/>
      <c r="L900" s="12"/>
    </row>
    <row r="901" spans="11:12" ht="14.25" customHeight="1">
      <c r="K901" s="12"/>
      <c r="L901" s="12"/>
    </row>
    <row r="902" spans="11:12" ht="14.25" customHeight="1">
      <c r="K902" s="12"/>
      <c r="L902" s="12"/>
    </row>
    <row r="903" spans="11:12" ht="14.25" customHeight="1">
      <c r="K903" s="12"/>
      <c r="L903" s="12"/>
    </row>
    <row r="904" spans="11:12" ht="14.25" customHeight="1">
      <c r="K904" s="12"/>
      <c r="L904" s="12"/>
    </row>
    <row r="905" spans="11:12" ht="14.25" customHeight="1">
      <c r="K905" s="12"/>
      <c r="L905" s="12"/>
    </row>
    <row r="906" spans="11:12" ht="14.25" customHeight="1">
      <c r="K906" s="12"/>
      <c r="L906" s="12"/>
    </row>
    <row r="907" spans="11:12" ht="14.25" customHeight="1">
      <c r="K907" s="12"/>
      <c r="L907" s="12"/>
    </row>
    <row r="908" spans="11:12" ht="14.25" customHeight="1">
      <c r="K908" s="12"/>
      <c r="L908" s="12"/>
    </row>
    <row r="909" spans="11:12" ht="14.25" customHeight="1">
      <c r="K909" s="12"/>
      <c r="L909" s="12"/>
    </row>
    <row r="910" spans="11:12" ht="14.25" customHeight="1">
      <c r="K910" s="12"/>
      <c r="L910" s="12"/>
    </row>
    <row r="911" spans="11:12" ht="14.25" customHeight="1">
      <c r="K911" s="12"/>
      <c r="L911" s="12"/>
    </row>
    <row r="912" spans="11:12" ht="14.25" customHeight="1">
      <c r="K912" s="12"/>
      <c r="L912" s="12"/>
    </row>
    <row r="913" spans="11:12" ht="14.25" customHeight="1">
      <c r="K913" s="12"/>
      <c r="L913" s="12"/>
    </row>
    <row r="914" spans="11:12" ht="14.25" customHeight="1">
      <c r="K914" s="12"/>
      <c r="L914" s="12"/>
    </row>
    <row r="915" spans="11:12" ht="14.25" customHeight="1">
      <c r="K915" s="12"/>
      <c r="L915" s="12"/>
    </row>
    <row r="916" spans="11:12" ht="14.25" customHeight="1">
      <c r="K916" s="12"/>
      <c r="L916" s="12"/>
    </row>
    <row r="917" spans="11:12" ht="14.25" customHeight="1">
      <c r="K917" s="12"/>
      <c r="L917" s="12"/>
    </row>
    <row r="918" spans="11:12" ht="14.25" customHeight="1">
      <c r="K918" s="12"/>
      <c r="L918" s="12"/>
    </row>
    <row r="919" spans="11:12" ht="14.25" customHeight="1">
      <c r="K919" s="12"/>
      <c r="L919" s="12"/>
    </row>
    <row r="920" spans="11:12" ht="14.25" customHeight="1">
      <c r="K920" s="12"/>
      <c r="L920" s="12"/>
    </row>
    <row r="921" spans="11:12" ht="14.25" customHeight="1">
      <c r="K921" s="12"/>
      <c r="L921" s="12"/>
    </row>
    <row r="922" spans="11:12" ht="14.25" customHeight="1">
      <c r="K922" s="12"/>
      <c r="L922" s="12"/>
    </row>
    <row r="923" spans="11:12" ht="14.25" customHeight="1">
      <c r="K923" s="12"/>
      <c r="L923" s="12"/>
    </row>
    <row r="924" spans="11:12" ht="14.25" customHeight="1">
      <c r="K924" s="12"/>
      <c r="L924" s="12"/>
    </row>
    <row r="925" spans="11:12" ht="14.25" customHeight="1">
      <c r="K925" s="12"/>
      <c r="L925" s="12"/>
    </row>
    <row r="926" spans="11:12" ht="14.25" customHeight="1">
      <c r="K926" s="12"/>
      <c r="L926" s="12"/>
    </row>
    <row r="927" spans="11:12" ht="14.25" customHeight="1">
      <c r="K927" s="12"/>
      <c r="L927" s="12"/>
    </row>
    <row r="928" spans="11:12" ht="14.25" customHeight="1">
      <c r="K928" s="12"/>
      <c r="L928" s="12"/>
    </row>
    <row r="929" spans="11:12" ht="14.25" customHeight="1">
      <c r="K929" s="12"/>
      <c r="L929" s="12"/>
    </row>
    <row r="930" spans="11:12" ht="14.25" customHeight="1">
      <c r="K930" s="12"/>
      <c r="L930" s="12"/>
    </row>
    <row r="931" spans="11:12" ht="14.25" customHeight="1">
      <c r="K931" s="12"/>
      <c r="L931" s="12"/>
    </row>
    <row r="932" spans="11:12" ht="14.25" customHeight="1">
      <c r="K932" s="12"/>
      <c r="L932" s="12"/>
    </row>
    <row r="933" spans="11:12" ht="14.25" customHeight="1">
      <c r="K933" s="12"/>
      <c r="L933" s="12"/>
    </row>
    <row r="934" spans="11:12" ht="14.25" customHeight="1">
      <c r="K934" s="12"/>
      <c r="L934" s="12"/>
    </row>
    <row r="935" spans="11:12" ht="14.25" customHeight="1">
      <c r="K935" s="12"/>
      <c r="L935" s="12"/>
    </row>
    <row r="936" spans="11:12" ht="14.25" customHeight="1">
      <c r="K936" s="12"/>
      <c r="L936" s="12"/>
    </row>
    <row r="937" spans="11:12" ht="14.25" customHeight="1">
      <c r="K937" s="12"/>
      <c r="L937" s="12"/>
    </row>
    <row r="938" spans="11:12" ht="14.25" customHeight="1">
      <c r="K938" s="12"/>
      <c r="L938" s="12"/>
    </row>
    <row r="939" spans="11:12" ht="14.25" customHeight="1">
      <c r="K939" s="12"/>
      <c r="L939" s="12"/>
    </row>
    <row r="940" spans="11:12" ht="14.25" customHeight="1">
      <c r="K940" s="12"/>
      <c r="L940" s="12"/>
    </row>
    <row r="941" spans="11:12" ht="14.25" customHeight="1">
      <c r="K941" s="12"/>
      <c r="L941" s="12"/>
    </row>
    <row r="942" spans="11:12" ht="14.25" customHeight="1">
      <c r="K942" s="12"/>
      <c r="L942" s="12"/>
    </row>
    <row r="943" spans="11:12" ht="14.25" customHeight="1">
      <c r="K943" s="12"/>
      <c r="L943" s="12"/>
    </row>
    <row r="944" spans="11:12" ht="14.25" customHeight="1">
      <c r="K944" s="12"/>
      <c r="L944" s="12"/>
    </row>
    <row r="945" spans="11:12" ht="14.25" customHeight="1">
      <c r="K945" s="12"/>
      <c r="L945" s="12"/>
    </row>
    <row r="946" spans="11:12" ht="14.25" customHeight="1">
      <c r="K946" s="12"/>
      <c r="L946" s="12"/>
    </row>
    <row r="947" spans="11:12" ht="14.25" customHeight="1">
      <c r="K947" s="12"/>
      <c r="L947" s="12"/>
    </row>
    <row r="948" spans="11:12" ht="14.25" customHeight="1">
      <c r="K948" s="12"/>
      <c r="L948" s="12"/>
    </row>
    <row r="949" spans="11:12" ht="14.25" customHeight="1">
      <c r="K949" s="12"/>
      <c r="L949" s="12"/>
    </row>
    <row r="950" spans="11:12" ht="14.25" customHeight="1">
      <c r="K950" s="12"/>
      <c r="L950" s="12"/>
    </row>
    <row r="951" spans="11:12" ht="14.25" customHeight="1">
      <c r="K951" s="12"/>
      <c r="L951" s="12"/>
    </row>
    <row r="952" spans="11:12" ht="14.25" customHeight="1">
      <c r="K952" s="12"/>
      <c r="L952" s="12"/>
    </row>
    <row r="953" spans="11:12" ht="14.25" customHeight="1">
      <c r="K953" s="12"/>
      <c r="L953" s="12"/>
    </row>
    <row r="954" spans="11:12" ht="14.25" customHeight="1">
      <c r="K954" s="12"/>
      <c r="L954" s="12"/>
    </row>
    <row r="955" spans="11:12" ht="14.25" customHeight="1">
      <c r="K955" s="12"/>
      <c r="L955" s="12"/>
    </row>
    <row r="956" spans="11:12" ht="14.25" customHeight="1">
      <c r="K956" s="12"/>
      <c r="L956" s="12"/>
    </row>
    <row r="957" spans="11:12" ht="14.25" customHeight="1">
      <c r="K957" s="12"/>
      <c r="L957" s="12"/>
    </row>
    <row r="958" spans="11:12" ht="14.25" customHeight="1">
      <c r="K958" s="12"/>
      <c r="L958" s="12"/>
    </row>
    <row r="959" spans="11:12" ht="14.25" customHeight="1">
      <c r="K959" s="12"/>
      <c r="L959" s="12"/>
    </row>
    <row r="960" spans="11:12" ht="14.25" customHeight="1">
      <c r="K960" s="12"/>
      <c r="L960" s="12"/>
    </row>
    <row r="961" spans="11:12" ht="14.25" customHeight="1">
      <c r="K961" s="12"/>
      <c r="L961" s="12"/>
    </row>
    <row r="962" spans="11:12" ht="14.25" customHeight="1">
      <c r="K962" s="12"/>
      <c r="L962" s="12"/>
    </row>
    <row r="963" spans="11:12" ht="14.25" customHeight="1">
      <c r="K963" s="12"/>
      <c r="L963" s="12"/>
    </row>
    <row r="964" spans="11:12" ht="14.25" customHeight="1">
      <c r="K964" s="12"/>
      <c r="L964" s="12"/>
    </row>
    <row r="965" spans="11:12" ht="14.25" customHeight="1">
      <c r="K965" s="12"/>
      <c r="L965" s="12"/>
    </row>
    <row r="966" spans="11:12" ht="14.25" customHeight="1">
      <c r="K966" s="12"/>
      <c r="L966" s="12"/>
    </row>
    <row r="967" spans="11:12" ht="14.25" customHeight="1">
      <c r="K967" s="12"/>
      <c r="L967" s="12"/>
    </row>
    <row r="968" spans="11:12" ht="14.25" customHeight="1">
      <c r="K968" s="12"/>
      <c r="L968" s="12"/>
    </row>
    <row r="969" spans="11:12" ht="14.25" customHeight="1">
      <c r="K969" s="12"/>
      <c r="L969" s="12"/>
    </row>
    <row r="970" spans="11:12" ht="14.25" customHeight="1">
      <c r="K970" s="12"/>
      <c r="L970" s="12"/>
    </row>
    <row r="971" spans="11:12" ht="14.25" customHeight="1">
      <c r="K971" s="12"/>
      <c r="L971" s="12"/>
    </row>
    <row r="972" spans="11:12" ht="14.25" customHeight="1">
      <c r="K972" s="12"/>
      <c r="L972" s="12"/>
    </row>
    <row r="973" spans="11:12" ht="14.25" customHeight="1">
      <c r="K973" s="12"/>
      <c r="L973" s="12"/>
    </row>
    <row r="974" spans="11:12" ht="14.25" customHeight="1">
      <c r="K974" s="12"/>
      <c r="L974" s="12"/>
    </row>
    <row r="975" spans="11:12" ht="14.25" customHeight="1">
      <c r="K975" s="12"/>
      <c r="L975" s="12"/>
    </row>
    <row r="976" spans="11:12" ht="14.25" customHeight="1">
      <c r="K976" s="12"/>
      <c r="L976" s="12"/>
    </row>
    <row r="977" spans="11:12" ht="14.25" customHeight="1">
      <c r="K977" s="12"/>
      <c r="L977" s="12"/>
    </row>
    <row r="978" spans="11:12" ht="14.25" customHeight="1">
      <c r="K978" s="12"/>
      <c r="L978" s="12"/>
    </row>
    <row r="979" spans="11:12" ht="14.25" customHeight="1">
      <c r="K979" s="12"/>
      <c r="L979" s="12"/>
    </row>
    <row r="980" spans="11:12" ht="14.25" customHeight="1">
      <c r="K980" s="12"/>
      <c r="L980" s="12"/>
    </row>
    <row r="981" spans="11:12" ht="14.25" customHeight="1">
      <c r="K981" s="12"/>
      <c r="L981" s="12"/>
    </row>
    <row r="982" spans="11:12" ht="14.25" customHeight="1">
      <c r="K982" s="12"/>
      <c r="L982" s="12"/>
    </row>
    <row r="983" spans="11:12" ht="14.25" customHeight="1">
      <c r="K983" s="12"/>
      <c r="L983" s="12"/>
    </row>
    <row r="984" spans="11:12" ht="14.25" customHeight="1">
      <c r="K984" s="12"/>
      <c r="L984" s="12"/>
    </row>
    <row r="985" spans="11:12" ht="14.25" customHeight="1">
      <c r="K985" s="12"/>
      <c r="L985" s="12"/>
    </row>
    <row r="986" spans="11:12" ht="14.25" customHeight="1">
      <c r="K986" s="12"/>
      <c r="L986" s="12"/>
    </row>
    <row r="987" spans="11:12" ht="14.25" customHeight="1">
      <c r="K987" s="12"/>
      <c r="L987" s="12"/>
    </row>
    <row r="988" spans="11:12" ht="14.25" customHeight="1">
      <c r="K988" s="12"/>
      <c r="L988" s="12"/>
    </row>
    <row r="989" spans="11:12" ht="14.25" customHeight="1">
      <c r="K989" s="12"/>
      <c r="L989" s="12"/>
    </row>
    <row r="990" spans="11:12" ht="14.25" customHeight="1">
      <c r="K990" s="12"/>
      <c r="L990" s="12"/>
    </row>
    <row r="991" spans="11:12" ht="14.25" customHeight="1">
      <c r="K991" s="12"/>
      <c r="L991" s="12"/>
    </row>
    <row r="992" spans="11:12" ht="14.25" customHeight="1">
      <c r="K992" s="12"/>
      <c r="L992" s="12"/>
    </row>
    <row r="993" spans="11:12" ht="14.25" customHeight="1">
      <c r="K993" s="12"/>
      <c r="L993" s="12"/>
    </row>
    <row r="994" spans="11:12" ht="14.25" customHeight="1">
      <c r="K994" s="12"/>
      <c r="L994" s="12"/>
    </row>
    <row r="995" spans="11:12" ht="14.25" customHeight="1">
      <c r="K995" s="12"/>
      <c r="L995" s="12"/>
    </row>
    <row r="996" spans="11:12" ht="14.25" customHeight="1">
      <c r="K996" s="12"/>
      <c r="L996" s="12"/>
    </row>
    <row r="997" spans="11:12" ht="14.25" customHeight="1">
      <c r="K997" s="12"/>
      <c r="L997" s="12"/>
    </row>
    <row r="998" spans="11:12" ht="14.25" customHeight="1">
      <c r="K998" s="12"/>
      <c r="L998" s="12"/>
    </row>
    <row r="999" spans="11:12" ht="14.25" customHeight="1">
      <c r="K999" s="12"/>
      <c r="L999" s="12"/>
    </row>
    <row r="1000" spans="11:12" ht="14.25" customHeight="1">
      <c r="K1000" s="12"/>
      <c r="L1000" s="12"/>
    </row>
    <row r="1001" spans="11:12" ht="14.25" customHeight="1">
      <c r="K1001" s="12"/>
      <c r="L1001" s="12"/>
    </row>
    <row r="1002" spans="11:12" ht="14.25" customHeight="1">
      <c r="K1002" s="12"/>
      <c r="L1002" s="12"/>
    </row>
  </sheetData>
  <phoneticPr fontId="607" type="noConversion"/>
  <hyperlinks>
    <hyperlink ref="H71" r:id="rId1" xr:uid="{00000000-0004-0000-0600-000000000000}"/>
    <hyperlink ref="H75" r:id="rId2" xr:uid="{00000000-0004-0000-0600-000001000000}"/>
    <hyperlink ref="H76" r:id="rId3" xr:uid="{00000000-0004-0000-0600-000002000000}"/>
    <hyperlink ref="K155" r:id="rId4" xr:uid="{00000000-0004-0000-0600-000003000000}"/>
    <hyperlink ref="I157" r:id="rId5" xr:uid="{00000000-0004-0000-0600-000004000000}"/>
    <hyperlink ref="I158" r:id="rId6" xr:uid="{00000000-0004-0000-0600-000005000000}"/>
    <hyperlink ref="I159" r:id="rId7" xr:uid="{00000000-0004-0000-0600-000006000000}"/>
    <hyperlink ref="I160" r:id="rId8" xr:uid="{00000000-0004-0000-0600-000007000000}"/>
    <hyperlink ref="I161" r:id="rId9" xr:uid="{00000000-0004-0000-0600-000008000000}"/>
    <hyperlink ref="I163" r:id="rId10" xr:uid="{00000000-0004-0000-0600-00000A000000}"/>
    <hyperlink ref="I164" r:id="rId11" xr:uid="{00000000-0004-0000-0600-00000B000000}"/>
    <hyperlink ref="I165" r:id="rId12" xr:uid="{00000000-0004-0000-0600-00000C000000}"/>
    <hyperlink ref="I166" r:id="rId13" xr:uid="{00000000-0004-0000-0600-00000D000000}"/>
    <hyperlink ref="I167" r:id="rId14" xr:uid="{B17166C1-BF6E-446F-A155-9A941EF6BC8E}"/>
    <hyperlink ref="I168" r:id="rId15" xr:uid="{748C8380-DD23-4630-A3B4-6E2354425786}"/>
    <hyperlink ref="I141" r:id="rId16" xr:uid="{417B07CF-2ECB-4E93-99E2-C72C8158EB53}"/>
    <hyperlink ref="I169" r:id="rId17" xr:uid="{BD18EE3A-2107-465E-9695-98C16C359373}"/>
    <hyperlink ref="I170" r:id="rId18" xr:uid="{BE4A15C7-FB9C-4C17-A143-6E42CD366463}"/>
    <hyperlink ref="I172" r:id="rId19" xr:uid="{E8F4F289-384A-4D63-8FB3-2BAC79AD4CC1}"/>
    <hyperlink ref="I173" r:id="rId20" xr:uid="{5A988C11-08B7-4948-97F3-919CC569988E}"/>
    <hyperlink ref="I174" r:id="rId21" xr:uid="{D5972B79-51D3-4CD3-8745-DD3A031399A0}"/>
    <hyperlink ref="I175" r:id="rId22" xr:uid="{83281A51-2FDB-4E47-BD6D-3A0EE5C00695}"/>
    <hyperlink ref="I176" r:id="rId23" xr:uid="{DD68D644-6D0C-4DA5-A98E-F9B7E45536A4}"/>
    <hyperlink ref="I177" r:id="rId24" xr:uid="{EAFD1CE9-DC2F-4A11-A26C-CDE0A3B05F90}"/>
    <hyperlink ref="I178" r:id="rId25" xr:uid="{0802F3D3-6E23-4C5C-BC8E-765AC804DDD4}"/>
    <hyperlink ref="I179" r:id="rId26" xr:uid="{E204AF8A-29AE-4230-BC0B-DEF9C4D26B73}"/>
    <hyperlink ref="I180" r:id="rId27" xr:uid="{53B0816E-D54B-48D4-B430-E59D4A930693}"/>
    <hyperlink ref="I181" r:id="rId28" xr:uid="{E8F9F5E8-E8BA-436E-B534-98FA19CA400F}"/>
    <hyperlink ref="I184" r:id="rId29" xr:uid="{0929E623-3B26-43C7-8695-2EB930E4359A}"/>
    <hyperlink ref="I162" r:id="rId30" display="Pass@2022" xr:uid="{CE57529D-CB60-4CF2-868D-3CC1B53BC42D}"/>
    <hyperlink ref="I153" r:id="rId31" xr:uid="{10F38A3D-3FCA-4AFB-876A-6A6872B5C293}"/>
    <hyperlink ref="I154" r:id="rId32" xr:uid="{2E0B5EEF-50E7-4661-9048-321A9531FB29}"/>
    <hyperlink ref="I155" r:id="rId33" xr:uid="{65C71E3F-FE34-4ECD-B6DA-869DE8EFCC10}"/>
    <hyperlink ref="I185" r:id="rId34" xr:uid="{86FEE977-D10A-49BB-BECC-9101A6373AF1}"/>
    <hyperlink ref="I198" r:id="rId35" xr:uid="{8B0A76DB-0EE1-45F6-8DD2-809C19FAB8AD}"/>
    <hyperlink ref="I199" r:id="rId36" xr:uid="{21A0EB55-8FEE-4D90-807C-A542355AC43C}"/>
    <hyperlink ref="I200" r:id="rId37" xr:uid="{E0CCC235-336B-4446-8ED8-BBADD5979C79}"/>
    <hyperlink ref="I201" r:id="rId38" xr:uid="{924AFAA4-14A8-476B-9D65-A70A1A50782A}"/>
    <hyperlink ref="I202" r:id="rId39" xr:uid="{681171D6-F048-45D3-BAC2-699D8590C16B}"/>
    <hyperlink ref="I203" r:id="rId40" xr:uid="{2497235B-2DFA-4EB5-AE64-6E2939CAE94F}"/>
    <hyperlink ref="I204" r:id="rId41" xr:uid="{59E23672-ED5E-4405-9C16-EAEC0FB0147D}"/>
    <hyperlink ref="I206" r:id="rId42" xr:uid="{9E2C489D-CA7F-42F9-9EC8-F718E314B6BE}"/>
    <hyperlink ref="I207" r:id="rId43" xr:uid="{DDC9AD0B-3185-461A-8ADD-4A8D5EAA8026}"/>
    <hyperlink ref="I208" r:id="rId44" xr:uid="{BF12DE83-5F33-4320-A628-ADF08BE14607}"/>
    <hyperlink ref="I209" r:id="rId45" xr:uid="{5CA578A5-184B-4C5F-B531-EC77BDF4461C}"/>
    <hyperlink ref="I210" r:id="rId46" xr:uid="{7DCC2F26-0E03-466F-9135-0F548F1C9B95}"/>
    <hyperlink ref="I211" r:id="rId47" xr:uid="{34B3DE56-78BD-4C89-9FFB-CF37716C608F}"/>
    <hyperlink ref="I212" r:id="rId48" xr:uid="{E0210A54-CD7B-452D-A6E6-76CC700151FE}"/>
    <hyperlink ref="I213" r:id="rId49" xr:uid="{3A2F18C6-9AFF-40E7-8541-02248461EF09}"/>
    <hyperlink ref="I214" r:id="rId50" xr:uid="{49572DC9-6786-4EA6-969B-28CE90F471BC}"/>
    <hyperlink ref="I215" r:id="rId51" xr:uid="{BF6F8B90-C667-4E63-94B8-DA151B603B3C}"/>
    <hyperlink ref="I217" r:id="rId52" xr:uid="{C401A371-0AB0-44F4-BC73-B646FB0B12E1}"/>
    <hyperlink ref="I218" r:id="rId53" xr:uid="{D05A338A-7264-4E76-831E-757A5AE0DB1E}"/>
    <hyperlink ref="I219" r:id="rId54" xr:uid="{B29AFA8A-5B78-4092-A413-1331A385436A}"/>
    <hyperlink ref="I220" r:id="rId55" xr:uid="{10998562-C5EB-43E7-A543-C353BF2AD8C1}"/>
    <hyperlink ref="I221" r:id="rId56" xr:uid="{B54CB429-1F79-4BE5-91AF-825C39BBA1E4}"/>
    <hyperlink ref="I222" r:id="rId57" xr:uid="{68CCEC39-48D1-4D63-AF54-57B246E91F46}"/>
    <hyperlink ref="I223" r:id="rId58" xr:uid="{91103D03-BFF5-46D9-8838-E0B6A74FBD04}"/>
    <hyperlink ref="I224" r:id="rId59" xr:uid="{AEAE3CB4-0E15-4E4D-A03B-8E0F9C3B8E53}"/>
    <hyperlink ref="I225" r:id="rId60" xr:uid="{154E1F3B-BB68-4733-9D68-9FC71A5CE1B8}"/>
    <hyperlink ref="I226" r:id="rId61" xr:uid="{A23B552F-9101-4AFE-9C5D-0588DC654E6C}"/>
    <hyperlink ref="I227" r:id="rId62" xr:uid="{9899B1B7-E377-4167-B9C2-EABF9C6B5B8B}"/>
    <hyperlink ref="I228" r:id="rId63" xr:uid="{2FC45013-3639-4337-B005-D14333EC6B9F}"/>
    <hyperlink ref="I229" r:id="rId64" xr:uid="{75DFD3AA-347C-49FA-AC86-5422E719C2E1}"/>
    <hyperlink ref="I230" r:id="rId65" xr:uid="{94A394C2-0EB8-4937-8B44-99CA6A2D9E0A}"/>
    <hyperlink ref="I231" r:id="rId66" xr:uid="{5AF070AF-223F-440B-A047-0E06277AC77A}"/>
    <hyperlink ref="I232" r:id="rId67" xr:uid="{F2B99062-E5C1-4EE5-BF2C-DC14A58E899A}"/>
    <hyperlink ref="I233" r:id="rId68" xr:uid="{A7E353F6-28B0-438D-837F-9BF772039FDA}"/>
    <hyperlink ref="I234:I238" r:id="rId69" display="Mypass@23" xr:uid="{8E0F42F0-DA06-4D33-8A65-D0B9C3BED102}"/>
    <hyperlink ref="I239" r:id="rId70" xr:uid="{CE36F91A-3DAD-465E-AD95-3595F21F304A}"/>
    <hyperlink ref="I240" r:id="rId71" xr:uid="{591F1111-2594-473F-A209-0AEFEB7A00BF}"/>
    <hyperlink ref="I241" r:id="rId72" xr:uid="{81F6436A-74B9-414D-8FC8-0E84546128F5}"/>
    <hyperlink ref="I242" r:id="rId73" xr:uid="{05C10940-8713-44B6-B254-E8D53E199A45}"/>
    <hyperlink ref="I243" r:id="rId74" xr:uid="{5D1F19BC-319F-44B1-AE32-98F5FCA223B2}"/>
    <hyperlink ref="I244" r:id="rId75" xr:uid="{F8334DD2-268C-4D6A-A57E-A7AD0E5C8943}"/>
    <hyperlink ref="I245" r:id="rId76" xr:uid="{DAEA7101-B67F-4524-A414-91023EC090C1}"/>
    <hyperlink ref="I249" r:id="rId77" xr:uid="{64C92F0A-ED01-4558-9377-E4F7AF79DD5C}"/>
    <hyperlink ref="I250" r:id="rId78" xr:uid="{8C828E6D-DD1C-44C2-BBC4-E46415E7FBBB}"/>
    <hyperlink ref="I251" r:id="rId79" xr:uid="{A9E7E77C-936B-4BA8-AF98-E72187DF46D7}"/>
    <hyperlink ref="I252" r:id="rId80" xr:uid="{3F927290-528E-4C0C-BA70-89EDD80D888A}"/>
    <hyperlink ref="I253" r:id="rId81" xr:uid="{9EA4E977-1AF6-4FC5-A1A9-F6068A6C364A}"/>
    <hyperlink ref="I246" r:id="rId82" xr:uid="{8781CBE9-CD1B-4DCA-8623-FF088819A0D5}"/>
    <hyperlink ref="I247" r:id="rId83" xr:uid="{982B1128-868A-422E-9C66-B95F328AE8EF}"/>
    <hyperlink ref="I248" r:id="rId84" xr:uid="{EF3C5CB5-C405-45E8-86C4-334C315D25B1}"/>
    <hyperlink ref="H259" r:id="rId85" xr:uid="{64B423FC-4E23-4569-90CE-A4D328709153}"/>
    <hyperlink ref="I281" r:id="rId86" xr:uid="{3B7236EF-9306-46EA-8673-7038008BC12A}"/>
    <hyperlink ref="I278" r:id="rId87" xr:uid="{0B3558C1-472B-4898-9D1C-9CB7A0F15D16}"/>
    <hyperlink ref="I279" r:id="rId88" xr:uid="{F4BB5F07-870C-4FD3-9946-67B786D3DBE8}"/>
    <hyperlink ref="I280" r:id="rId89" xr:uid="{E2991A92-3A23-4E2A-8ADE-401CDE780CF9}"/>
    <hyperlink ref="I282" r:id="rId90" xr:uid="{AB358905-D467-447D-8EDE-4EC3ED963A48}"/>
    <hyperlink ref="I283" r:id="rId91" xr:uid="{73D879E3-8EE6-48C8-9449-3292785CA3B5}"/>
    <hyperlink ref="I284" r:id="rId92" xr:uid="{C1FB16C0-F489-4E1C-B2B6-6BB36D27138D}"/>
    <hyperlink ref="I285" r:id="rId93" xr:uid="{1A774364-9C35-410E-8D85-2AC25E705154}"/>
  </hyperlinks>
  <pageMargins left="0.7" right="0.7" top="0.75" bottom="0.75" header="0" footer="0"/>
  <pageSetup orientation="portrait" r:id="rId9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defaultColWidth="14.42578125" defaultRowHeight="15" customHeight="1"/>
  <cols>
    <col min="1" max="1" width="5.5703125" customWidth="1"/>
    <col min="2" max="2" width="10.7109375" customWidth="1"/>
    <col min="3" max="3" width="15.140625" customWidth="1"/>
    <col min="4" max="4" width="20.5703125" customWidth="1"/>
    <col min="5" max="5" width="11.28515625" customWidth="1"/>
    <col min="6" max="6" width="10.28515625" customWidth="1"/>
    <col min="7" max="7" width="5.28515625" customWidth="1"/>
    <col min="8" max="8" width="13.28515625" customWidth="1"/>
    <col min="9" max="26" width="8.7109375" customWidth="1"/>
  </cols>
  <sheetData>
    <row r="1" spans="1:8" ht="14.25" customHeight="1">
      <c r="A1" s="6" t="s">
        <v>11528</v>
      </c>
      <c r="B1" s="7" t="s">
        <v>10</v>
      </c>
      <c r="C1" s="305" t="s">
        <v>11772</v>
      </c>
      <c r="D1" s="6" t="s">
        <v>7654</v>
      </c>
      <c r="E1" s="6" t="s">
        <v>11529</v>
      </c>
      <c r="F1" s="6" t="s">
        <v>7406</v>
      </c>
      <c r="G1" s="6" t="s">
        <v>11773</v>
      </c>
    </row>
    <row r="2" spans="1:8" ht="14.25" customHeight="1">
      <c r="B2" s="23"/>
      <c r="C2" s="305"/>
      <c r="H2" s="38"/>
    </row>
    <row r="3" spans="1:8" ht="14.25" customHeight="1">
      <c r="B3" s="23"/>
      <c r="C3" s="305"/>
      <c r="H3" s="38"/>
    </row>
    <row r="4" spans="1:8" ht="14.25" customHeight="1">
      <c r="B4" s="23"/>
      <c r="C4" s="305"/>
      <c r="H4" s="38"/>
    </row>
    <row r="5" spans="1:8" ht="14.25" customHeight="1">
      <c r="B5" s="23"/>
      <c r="C5" s="305"/>
      <c r="H5" s="38"/>
    </row>
    <row r="6" spans="1:8" ht="14.25" customHeight="1">
      <c r="B6" s="23">
        <v>43526</v>
      </c>
      <c r="C6" s="305">
        <v>700078285174</v>
      </c>
      <c r="D6" s="6" t="s">
        <v>11011</v>
      </c>
      <c r="E6" s="6">
        <v>9263614261</v>
      </c>
      <c r="F6" s="4">
        <v>30682</v>
      </c>
      <c r="G6" s="6">
        <v>150</v>
      </c>
      <c r="H6" s="38" t="s">
        <v>11774</v>
      </c>
    </row>
    <row r="7" spans="1:8" ht="14.25" customHeight="1">
      <c r="B7" s="23">
        <v>43526</v>
      </c>
      <c r="C7" s="305">
        <v>700043150616</v>
      </c>
      <c r="D7" s="6" t="s">
        <v>11775</v>
      </c>
      <c r="E7" s="6">
        <v>9204037109</v>
      </c>
      <c r="F7" s="4">
        <v>33151</v>
      </c>
      <c r="G7" s="6">
        <v>95</v>
      </c>
      <c r="H7" s="38" t="s">
        <v>11774</v>
      </c>
    </row>
    <row r="8" spans="1:8" ht="14.25" customHeight="1">
      <c r="B8" s="23">
        <v>33239</v>
      </c>
      <c r="C8" s="305">
        <v>700044151638</v>
      </c>
      <c r="D8" s="6" t="s">
        <v>11776</v>
      </c>
      <c r="E8" s="6">
        <v>9204244233</v>
      </c>
      <c r="F8" s="4">
        <v>33239</v>
      </c>
      <c r="G8" s="6">
        <v>95</v>
      </c>
      <c r="H8" s="38" t="s">
        <v>11774</v>
      </c>
    </row>
    <row r="9" spans="1:8" ht="14.25" customHeight="1">
      <c r="B9" s="23">
        <v>43529</v>
      </c>
      <c r="C9" s="305">
        <v>700037750502</v>
      </c>
      <c r="D9" s="6" t="s">
        <v>7832</v>
      </c>
      <c r="E9" s="6">
        <v>9631069599</v>
      </c>
      <c r="F9" s="4">
        <v>35685</v>
      </c>
      <c r="G9" s="6">
        <v>64</v>
      </c>
      <c r="H9" s="38"/>
    </row>
    <row r="10" spans="1:8" ht="14.25" customHeight="1">
      <c r="B10" s="23">
        <v>43529</v>
      </c>
      <c r="C10" s="305">
        <v>700052606387</v>
      </c>
      <c r="D10" s="6" t="s">
        <v>11777</v>
      </c>
      <c r="E10" s="6">
        <v>9939174288</v>
      </c>
      <c r="F10" s="4">
        <v>31558</v>
      </c>
      <c r="G10" s="6">
        <v>120</v>
      </c>
      <c r="H10" s="38" t="s">
        <v>11774</v>
      </c>
    </row>
    <row r="11" spans="1:8" ht="14.25" customHeight="1">
      <c r="B11" s="23">
        <v>43529</v>
      </c>
      <c r="C11" s="305">
        <v>700044820659</v>
      </c>
      <c r="E11" s="6">
        <v>7209720712</v>
      </c>
      <c r="F11" s="4">
        <v>33171</v>
      </c>
      <c r="G11" s="6">
        <v>95</v>
      </c>
      <c r="H11" s="38" t="s">
        <v>11774</v>
      </c>
    </row>
    <row r="12" spans="1:8" ht="14.25" customHeight="1">
      <c r="B12" s="23"/>
      <c r="C12" s="305"/>
      <c r="H12" s="38"/>
    </row>
    <row r="13" spans="1:8" ht="14.25" customHeight="1">
      <c r="B13" s="23"/>
      <c r="C13" s="305"/>
      <c r="H13" s="38"/>
    </row>
    <row r="14" spans="1:8" ht="14.25" customHeight="1">
      <c r="B14" s="23"/>
      <c r="C14" s="305"/>
      <c r="H14" s="38"/>
    </row>
    <row r="15" spans="1:8" ht="14.25" customHeight="1">
      <c r="B15" s="23"/>
      <c r="C15" s="305"/>
      <c r="H15" s="38"/>
    </row>
    <row r="16" spans="1:8" ht="14.25" customHeight="1">
      <c r="B16" s="23"/>
      <c r="C16" s="305"/>
      <c r="H16" s="38"/>
    </row>
    <row r="17" spans="2:8" ht="14.25" customHeight="1">
      <c r="B17" s="23"/>
      <c r="C17" s="305"/>
      <c r="H17" s="38"/>
    </row>
    <row r="18" spans="2:8" ht="14.25" customHeight="1">
      <c r="B18" s="23"/>
      <c r="C18" s="305"/>
      <c r="H18" s="38"/>
    </row>
    <row r="19" spans="2:8" ht="14.25" customHeight="1">
      <c r="B19" s="7"/>
      <c r="C19" s="305"/>
      <c r="G19" s="307"/>
      <c r="H19" s="308"/>
    </row>
    <row r="20" spans="2:8" ht="14.25" customHeight="1">
      <c r="B20" s="7"/>
      <c r="C20" s="305"/>
      <c r="D20" s="30"/>
      <c r="G20" s="307"/>
      <c r="H20" s="308"/>
    </row>
    <row r="21" spans="2:8" ht="14.25" customHeight="1">
      <c r="B21" s="7"/>
      <c r="C21" s="305"/>
      <c r="D21" s="30"/>
      <c r="G21" s="307"/>
      <c r="H21" s="308"/>
    </row>
    <row r="22" spans="2:8" ht="14.25" customHeight="1">
      <c r="B22" s="7"/>
      <c r="C22" s="305"/>
      <c r="D22" s="30"/>
      <c r="G22" s="307"/>
      <c r="H22" s="308"/>
    </row>
    <row r="23" spans="2:8" ht="14.25" customHeight="1">
      <c r="B23" s="7"/>
      <c r="C23" s="305"/>
      <c r="D23" s="30"/>
      <c r="G23" s="307"/>
      <c r="H23" s="308"/>
    </row>
    <row r="24" spans="2:8" ht="14.25" customHeight="1">
      <c r="B24" s="7"/>
      <c r="C24" s="305"/>
    </row>
    <row r="25" spans="2:8" ht="14.25" customHeight="1">
      <c r="B25" s="7"/>
      <c r="C25" s="305"/>
    </row>
    <row r="26" spans="2:8" ht="14.25" customHeight="1">
      <c r="B26" s="7"/>
      <c r="C26" s="305"/>
    </row>
    <row r="27" spans="2:8" ht="14.25" customHeight="1">
      <c r="B27" s="7"/>
      <c r="C27" s="305"/>
    </row>
    <row r="28" spans="2:8" ht="14.25" customHeight="1">
      <c r="B28" s="7"/>
      <c r="C28" s="305"/>
    </row>
    <row r="29" spans="2:8" ht="14.25" customHeight="1">
      <c r="B29" s="7"/>
      <c r="C29" s="305"/>
    </row>
    <row r="30" spans="2:8" ht="14.25" customHeight="1">
      <c r="B30" s="7"/>
      <c r="C30" s="305"/>
    </row>
    <row r="31" spans="2:8" ht="14.25" customHeight="1">
      <c r="B31" s="7"/>
      <c r="C31" s="305"/>
    </row>
    <row r="32" spans="2:8" ht="14.25" customHeight="1">
      <c r="B32" s="7"/>
      <c r="C32" s="305"/>
    </row>
    <row r="33" spans="2:3" ht="14.25" customHeight="1">
      <c r="B33" s="7"/>
      <c r="C33" s="305"/>
    </row>
    <row r="34" spans="2:3" ht="14.25" customHeight="1">
      <c r="B34" s="7"/>
      <c r="C34" s="305"/>
    </row>
    <row r="35" spans="2:3" ht="14.25" customHeight="1">
      <c r="B35" s="7"/>
      <c r="C35" s="305"/>
    </row>
    <row r="36" spans="2:3" ht="14.25" customHeight="1">
      <c r="B36" s="7"/>
      <c r="C36" s="305"/>
    </row>
    <row r="37" spans="2:3" ht="14.25" customHeight="1">
      <c r="B37" s="7"/>
      <c r="C37" s="305"/>
    </row>
    <row r="38" spans="2:3" ht="14.25" customHeight="1">
      <c r="B38" s="7"/>
      <c r="C38" s="305"/>
    </row>
    <row r="39" spans="2:3" ht="14.25" customHeight="1">
      <c r="B39" s="7"/>
      <c r="C39" s="305"/>
    </row>
    <row r="40" spans="2:3" ht="14.25" customHeight="1">
      <c r="B40" s="7"/>
      <c r="C40" s="305"/>
    </row>
    <row r="41" spans="2:3" ht="14.25" customHeight="1">
      <c r="B41" s="7"/>
      <c r="C41" s="305"/>
    </row>
    <row r="42" spans="2:3" ht="14.25" customHeight="1">
      <c r="B42" s="7"/>
      <c r="C42" s="305"/>
    </row>
    <row r="43" spans="2:3" ht="14.25" customHeight="1">
      <c r="B43" s="7"/>
      <c r="C43" s="305"/>
    </row>
    <row r="44" spans="2:3" ht="14.25" customHeight="1">
      <c r="B44" s="7"/>
      <c r="C44" s="305"/>
    </row>
    <row r="45" spans="2:3" ht="14.25" customHeight="1">
      <c r="B45" s="7"/>
      <c r="C45" s="305"/>
    </row>
    <row r="46" spans="2:3" ht="14.25" customHeight="1">
      <c r="B46" s="7"/>
      <c r="C46" s="305"/>
    </row>
    <row r="47" spans="2:3" ht="14.25" customHeight="1">
      <c r="B47" s="7"/>
      <c r="C47" s="305"/>
    </row>
    <row r="48" spans="2:3" ht="14.25" customHeight="1">
      <c r="B48" s="7"/>
      <c r="C48" s="305"/>
    </row>
    <row r="49" spans="2:3" ht="14.25" customHeight="1">
      <c r="B49" s="7"/>
      <c r="C49" s="305"/>
    </row>
    <row r="50" spans="2:3" ht="14.25" customHeight="1">
      <c r="B50" s="7"/>
      <c r="C50" s="305"/>
    </row>
    <row r="51" spans="2:3" ht="14.25" customHeight="1">
      <c r="B51" s="7"/>
      <c r="C51" s="305"/>
    </row>
    <row r="52" spans="2:3" ht="14.25" customHeight="1">
      <c r="B52" s="7"/>
      <c r="C52" s="305"/>
    </row>
    <row r="53" spans="2:3" ht="14.25" customHeight="1">
      <c r="B53" s="7"/>
      <c r="C53" s="305"/>
    </row>
    <row r="54" spans="2:3" ht="14.25" customHeight="1">
      <c r="B54" s="7"/>
      <c r="C54" s="305"/>
    </row>
    <row r="55" spans="2:3" ht="14.25" customHeight="1">
      <c r="B55" s="7"/>
      <c r="C55" s="305"/>
    </row>
    <row r="56" spans="2:3" ht="14.25" customHeight="1">
      <c r="B56" s="7"/>
      <c r="C56" s="305"/>
    </row>
    <row r="57" spans="2:3" ht="14.25" customHeight="1">
      <c r="B57" s="7"/>
      <c r="C57" s="305"/>
    </row>
    <row r="58" spans="2:3" ht="14.25" customHeight="1">
      <c r="B58" s="7"/>
      <c r="C58" s="305"/>
    </row>
    <row r="59" spans="2:3" ht="14.25" customHeight="1">
      <c r="B59" s="7"/>
      <c r="C59" s="305"/>
    </row>
    <row r="60" spans="2:3" ht="14.25" customHeight="1">
      <c r="B60" s="7"/>
      <c r="C60" s="305"/>
    </row>
    <row r="61" spans="2:3" ht="14.25" customHeight="1">
      <c r="B61" s="7"/>
      <c r="C61" s="305"/>
    </row>
    <row r="62" spans="2:3" ht="14.25" customHeight="1">
      <c r="B62" s="7"/>
      <c r="C62" s="305"/>
    </row>
    <row r="63" spans="2:3" ht="14.25" customHeight="1">
      <c r="B63" s="7"/>
      <c r="C63" s="305"/>
    </row>
    <row r="64" spans="2:3" ht="14.25" customHeight="1">
      <c r="B64" s="7"/>
      <c r="C64" s="305"/>
    </row>
    <row r="65" spans="2:3" ht="14.25" customHeight="1">
      <c r="B65" s="7"/>
      <c r="C65" s="305"/>
    </row>
    <row r="66" spans="2:3" ht="14.25" customHeight="1">
      <c r="B66" s="7"/>
      <c r="C66" s="305"/>
    </row>
    <row r="67" spans="2:3" ht="14.25" customHeight="1">
      <c r="B67" s="7"/>
      <c r="C67" s="305"/>
    </row>
    <row r="68" spans="2:3" ht="14.25" customHeight="1">
      <c r="B68" s="7"/>
      <c r="C68" s="305"/>
    </row>
    <row r="69" spans="2:3" ht="14.25" customHeight="1">
      <c r="B69" s="7"/>
      <c r="C69" s="305"/>
    </row>
    <row r="70" spans="2:3" ht="14.25" customHeight="1">
      <c r="B70" s="7"/>
      <c r="C70" s="305"/>
    </row>
    <row r="71" spans="2:3" ht="14.25" customHeight="1">
      <c r="B71" s="7"/>
      <c r="C71" s="305"/>
    </row>
    <row r="72" spans="2:3" ht="14.25" customHeight="1">
      <c r="B72" s="7"/>
      <c r="C72" s="305"/>
    </row>
    <row r="73" spans="2:3" ht="14.25" customHeight="1">
      <c r="B73" s="7"/>
      <c r="C73" s="305"/>
    </row>
    <row r="74" spans="2:3" ht="14.25" customHeight="1">
      <c r="B74" s="7"/>
      <c r="C74" s="305"/>
    </row>
    <row r="75" spans="2:3" ht="14.25" customHeight="1">
      <c r="B75" s="7"/>
      <c r="C75" s="305"/>
    </row>
    <row r="76" spans="2:3" ht="14.25" customHeight="1">
      <c r="B76" s="7"/>
      <c r="C76" s="305"/>
    </row>
    <row r="77" spans="2:3" ht="14.25" customHeight="1">
      <c r="B77" s="7"/>
      <c r="C77" s="305"/>
    </row>
    <row r="78" spans="2:3" ht="14.25" customHeight="1">
      <c r="B78" s="7"/>
      <c r="C78" s="305"/>
    </row>
    <row r="79" spans="2:3" ht="14.25" customHeight="1">
      <c r="B79" s="7"/>
      <c r="C79" s="305"/>
    </row>
    <row r="80" spans="2:3" ht="14.25" customHeight="1">
      <c r="B80" s="7"/>
      <c r="C80" s="305"/>
    </row>
    <row r="81" spans="2:3" ht="14.25" customHeight="1">
      <c r="B81" s="7"/>
      <c r="C81" s="305"/>
    </row>
    <row r="82" spans="2:3" ht="14.25" customHeight="1">
      <c r="B82" s="7"/>
      <c r="C82" s="305"/>
    </row>
    <row r="83" spans="2:3" ht="14.25" customHeight="1">
      <c r="B83" s="7"/>
      <c r="C83" s="305"/>
    </row>
    <row r="84" spans="2:3" ht="14.25" customHeight="1">
      <c r="B84" s="7"/>
      <c r="C84" s="305"/>
    </row>
    <row r="85" spans="2:3" ht="14.25" customHeight="1">
      <c r="B85" s="7"/>
      <c r="C85" s="305"/>
    </row>
    <row r="86" spans="2:3" ht="14.25" customHeight="1">
      <c r="B86" s="7"/>
      <c r="C86" s="305"/>
    </row>
    <row r="87" spans="2:3" ht="14.25" customHeight="1">
      <c r="B87" s="7"/>
      <c r="C87" s="305"/>
    </row>
    <row r="88" spans="2:3" ht="14.25" customHeight="1">
      <c r="B88" s="7"/>
      <c r="C88" s="305"/>
    </row>
    <row r="89" spans="2:3" ht="14.25" customHeight="1">
      <c r="B89" s="7"/>
      <c r="C89" s="305"/>
    </row>
    <row r="90" spans="2:3" ht="14.25" customHeight="1">
      <c r="B90" s="7"/>
      <c r="C90" s="305"/>
    </row>
    <row r="91" spans="2:3" ht="14.25" customHeight="1">
      <c r="B91" s="7"/>
      <c r="C91" s="305"/>
    </row>
    <row r="92" spans="2:3" ht="14.25" customHeight="1">
      <c r="B92" s="7"/>
      <c r="C92" s="305"/>
    </row>
    <row r="93" spans="2:3" ht="14.25" customHeight="1">
      <c r="B93" s="7"/>
      <c r="C93" s="305"/>
    </row>
    <row r="94" spans="2:3" ht="14.25" customHeight="1">
      <c r="B94" s="7"/>
      <c r="C94" s="305"/>
    </row>
    <row r="95" spans="2:3" ht="14.25" customHeight="1">
      <c r="B95" s="7"/>
      <c r="C95" s="305"/>
    </row>
    <row r="96" spans="2:3" ht="14.25" customHeight="1">
      <c r="B96" s="7"/>
      <c r="C96" s="305"/>
    </row>
    <row r="97" spans="2:3" ht="14.25" customHeight="1">
      <c r="B97" s="7"/>
      <c r="C97" s="305"/>
    </row>
    <row r="98" spans="2:3" ht="14.25" customHeight="1">
      <c r="B98" s="7"/>
      <c r="C98" s="305"/>
    </row>
    <row r="99" spans="2:3" ht="14.25" customHeight="1">
      <c r="B99" s="7"/>
      <c r="C99" s="305"/>
    </row>
    <row r="100" spans="2:3" ht="14.25" customHeight="1">
      <c r="B100" s="7"/>
      <c r="C100" s="305"/>
    </row>
    <row r="101" spans="2:3" ht="14.25" customHeight="1">
      <c r="B101" s="7"/>
      <c r="C101" s="305"/>
    </row>
    <row r="102" spans="2:3" ht="14.25" customHeight="1">
      <c r="B102" s="7"/>
      <c r="C102" s="305"/>
    </row>
    <row r="103" spans="2:3" ht="14.25" customHeight="1">
      <c r="B103" s="7"/>
      <c r="C103" s="305"/>
    </row>
    <row r="104" spans="2:3" ht="14.25" customHeight="1">
      <c r="B104" s="7"/>
      <c r="C104" s="305"/>
    </row>
    <row r="105" spans="2:3" ht="14.25" customHeight="1">
      <c r="B105" s="7"/>
      <c r="C105" s="305"/>
    </row>
    <row r="106" spans="2:3" ht="14.25" customHeight="1">
      <c r="B106" s="7"/>
      <c r="C106" s="305"/>
    </row>
    <row r="107" spans="2:3" ht="14.25" customHeight="1">
      <c r="B107" s="7"/>
      <c r="C107" s="305"/>
    </row>
    <row r="108" spans="2:3" ht="14.25" customHeight="1">
      <c r="B108" s="7"/>
      <c r="C108" s="305"/>
    </row>
    <row r="109" spans="2:3" ht="14.25" customHeight="1">
      <c r="B109" s="7"/>
      <c r="C109" s="305"/>
    </row>
    <row r="110" spans="2:3" ht="14.25" customHeight="1">
      <c r="B110" s="7"/>
      <c r="C110" s="305"/>
    </row>
    <row r="111" spans="2:3" ht="14.25" customHeight="1">
      <c r="B111" s="7"/>
      <c r="C111" s="305"/>
    </row>
    <row r="112" spans="2:3" ht="14.25" customHeight="1">
      <c r="B112" s="7"/>
      <c r="C112" s="305"/>
    </row>
    <row r="113" spans="2:3" ht="14.25" customHeight="1">
      <c r="B113" s="7"/>
      <c r="C113" s="305"/>
    </row>
    <row r="114" spans="2:3" ht="14.25" customHeight="1">
      <c r="B114" s="7"/>
      <c r="C114" s="305"/>
    </row>
    <row r="115" spans="2:3" ht="14.25" customHeight="1">
      <c r="B115" s="7"/>
      <c r="C115" s="305"/>
    </row>
    <row r="116" spans="2:3" ht="14.25" customHeight="1">
      <c r="B116" s="7"/>
      <c r="C116" s="305"/>
    </row>
    <row r="117" spans="2:3" ht="14.25" customHeight="1">
      <c r="B117" s="7"/>
      <c r="C117" s="305"/>
    </row>
    <row r="118" spans="2:3" ht="14.25" customHeight="1">
      <c r="B118" s="7"/>
      <c r="C118" s="305"/>
    </row>
    <row r="119" spans="2:3" ht="14.25" customHeight="1">
      <c r="B119" s="7"/>
      <c r="C119" s="305"/>
    </row>
    <row r="120" spans="2:3" ht="14.25" customHeight="1">
      <c r="B120" s="7"/>
      <c r="C120" s="305"/>
    </row>
    <row r="121" spans="2:3" ht="14.25" customHeight="1">
      <c r="B121" s="7"/>
      <c r="C121" s="305"/>
    </row>
    <row r="122" spans="2:3" ht="14.25" customHeight="1">
      <c r="B122" s="7"/>
      <c r="C122" s="305"/>
    </row>
    <row r="123" spans="2:3" ht="14.25" customHeight="1">
      <c r="B123" s="7"/>
      <c r="C123" s="305"/>
    </row>
    <row r="124" spans="2:3" ht="14.25" customHeight="1">
      <c r="B124" s="7"/>
      <c r="C124" s="305"/>
    </row>
    <row r="125" spans="2:3" ht="14.25" customHeight="1">
      <c r="B125" s="7"/>
      <c r="C125" s="305"/>
    </row>
    <row r="126" spans="2:3" ht="14.25" customHeight="1">
      <c r="B126" s="7"/>
      <c r="C126" s="305"/>
    </row>
    <row r="127" spans="2:3" ht="14.25" customHeight="1">
      <c r="B127" s="7"/>
      <c r="C127" s="305"/>
    </row>
    <row r="128" spans="2:3" ht="14.25" customHeight="1">
      <c r="B128" s="7"/>
      <c r="C128" s="305"/>
    </row>
    <row r="129" spans="2:3" ht="14.25" customHeight="1">
      <c r="B129" s="7"/>
      <c r="C129" s="305"/>
    </row>
    <row r="130" spans="2:3" ht="14.25" customHeight="1">
      <c r="B130" s="7"/>
      <c r="C130" s="305"/>
    </row>
    <row r="131" spans="2:3" ht="14.25" customHeight="1">
      <c r="B131" s="7"/>
      <c r="C131" s="305"/>
    </row>
    <row r="132" spans="2:3" ht="14.25" customHeight="1">
      <c r="B132" s="7"/>
      <c r="C132" s="305"/>
    </row>
    <row r="133" spans="2:3" ht="14.25" customHeight="1">
      <c r="B133" s="7"/>
      <c r="C133" s="305"/>
    </row>
    <row r="134" spans="2:3" ht="14.25" customHeight="1">
      <c r="B134" s="7"/>
      <c r="C134" s="305"/>
    </row>
    <row r="135" spans="2:3" ht="14.25" customHeight="1">
      <c r="B135" s="7"/>
      <c r="C135" s="305"/>
    </row>
    <row r="136" spans="2:3" ht="14.25" customHeight="1">
      <c r="B136" s="7"/>
      <c r="C136" s="305"/>
    </row>
    <row r="137" spans="2:3" ht="14.25" customHeight="1">
      <c r="B137" s="7"/>
      <c r="C137" s="305"/>
    </row>
    <row r="138" spans="2:3" ht="14.25" customHeight="1">
      <c r="B138" s="7"/>
      <c r="C138" s="305"/>
    </row>
    <row r="139" spans="2:3" ht="14.25" customHeight="1">
      <c r="B139" s="7"/>
      <c r="C139" s="305"/>
    </row>
    <row r="140" spans="2:3" ht="14.25" customHeight="1">
      <c r="B140" s="7"/>
      <c r="C140" s="305"/>
    </row>
    <row r="141" spans="2:3" ht="14.25" customHeight="1">
      <c r="B141" s="7"/>
      <c r="C141" s="305"/>
    </row>
    <row r="142" spans="2:3" ht="14.25" customHeight="1">
      <c r="B142" s="7"/>
      <c r="C142" s="305"/>
    </row>
    <row r="143" spans="2:3" ht="14.25" customHeight="1">
      <c r="B143" s="7"/>
      <c r="C143" s="305"/>
    </row>
    <row r="144" spans="2:3" ht="14.25" customHeight="1">
      <c r="B144" s="7"/>
      <c r="C144" s="305"/>
    </row>
    <row r="145" spans="2:3" ht="14.25" customHeight="1">
      <c r="B145" s="7"/>
      <c r="C145" s="305"/>
    </row>
    <row r="146" spans="2:3" ht="14.25" customHeight="1">
      <c r="B146" s="7"/>
      <c r="C146" s="305"/>
    </row>
    <row r="147" spans="2:3" ht="14.25" customHeight="1">
      <c r="B147" s="7"/>
      <c r="C147" s="305"/>
    </row>
    <row r="148" spans="2:3" ht="14.25" customHeight="1">
      <c r="B148" s="7"/>
      <c r="C148" s="305"/>
    </row>
    <row r="149" spans="2:3" ht="14.25" customHeight="1">
      <c r="B149" s="7"/>
      <c r="C149" s="305"/>
    </row>
    <row r="150" spans="2:3" ht="14.25" customHeight="1">
      <c r="B150" s="7"/>
      <c r="C150" s="305"/>
    </row>
    <row r="151" spans="2:3" ht="14.25" customHeight="1">
      <c r="B151" s="7"/>
      <c r="C151" s="305"/>
    </row>
    <row r="152" spans="2:3" ht="14.25" customHeight="1">
      <c r="B152" s="7"/>
      <c r="C152" s="305"/>
    </row>
    <row r="153" spans="2:3" ht="14.25" customHeight="1">
      <c r="B153" s="7"/>
      <c r="C153" s="305"/>
    </row>
    <row r="154" spans="2:3" ht="14.25" customHeight="1">
      <c r="B154" s="7"/>
      <c r="C154" s="305"/>
    </row>
    <row r="155" spans="2:3" ht="14.25" customHeight="1">
      <c r="B155" s="7"/>
      <c r="C155" s="305"/>
    </row>
    <row r="156" spans="2:3" ht="14.25" customHeight="1">
      <c r="B156" s="7"/>
      <c r="C156" s="305"/>
    </row>
    <row r="157" spans="2:3" ht="14.25" customHeight="1">
      <c r="B157" s="7"/>
      <c r="C157" s="305"/>
    </row>
    <row r="158" spans="2:3" ht="14.25" customHeight="1">
      <c r="B158" s="7"/>
      <c r="C158" s="305"/>
    </row>
    <row r="159" spans="2:3" ht="14.25" customHeight="1">
      <c r="B159" s="7"/>
      <c r="C159" s="305"/>
    </row>
    <row r="160" spans="2:3" ht="14.25" customHeight="1">
      <c r="B160" s="7"/>
      <c r="C160" s="305"/>
    </row>
    <row r="161" spans="2:3" ht="14.25" customHeight="1">
      <c r="B161" s="7"/>
      <c r="C161" s="305"/>
    </row>
    <row r="162" spans="2:3" ht="14.25" customHeight="1">
      <c r="B162" s="7"/>
      <c r="C162" s="305"/>
    </row>
    <row r="163" spans="2:3" ht="14.25" customHeight="1">
      <c r="B163" s="7"/>
      <c r="C163" s="305"/>
    </row>
    <row r="164" spans="2:3" ht="14.25" customHeight="1">
      <c r="B164" s="7"/>
      <c r="C164" s="305"/>
    </row>
    <row r="165" spans="2:3" ht="14.25" customHeight="1">
      <c r="B165" s="7"/>
      <c r="C165" s="305"/>
    </row>
    <row r="166" spans="2:3" ht="14.25" customHeight="1">
      <c r="B166" s="7"/>
      <c r="C166" s="305"/>
    </row>
    <row r="167" spans="2:3" ht="14.25" customHeight="1">
      <c r="B167" s="7"/>
      <c r="C167" s="305"/>
    </row>
    <row r="168" spans="2:3" ht="14.25" customHeight="1">
      <c r="B168" s="7"/>
      <c r="C168" s="305"/>
    </row>
    <row r="169" spans="2:3" ht="14.25" customHeight="1">
      <c r="B169" s="7"/>
      <c r="C169" s="305"/>
    </row>
    <row r="170" spans="2:3" ht="14.25" customHeight="1">
      <c r="B170" s="7"/>
      <c r="C170" s="305"/>
    </row>
    <row r="171" spans="2:3" ht="14.25" customHeight="1">
      <c r="B171" s="7"/>
      <c r="C171" s="305"/>
    </row>
    <row r="172" spans="2:3" ht="14.25" customHeight="1">
      <c r="B172" s="7"/>
      <c r="C172" s="305"/>
    </row>
    <row r="173" spans="2:3" ht="14.25" customHeight="1">
      <c r="B173" s="7"/>
      <c r="C173" s="305"/>
    </row>
    <row r="174" spans="2:3" ht="14.25" customHeight="1">
      <c r="B174" s="7"/>
      <c r="C174" s="305"/>
    </row>
    <row r="175" spans="2:3" ht="14.25" customHeight="1">
      <c r="B175" s="7"/>
      <c r="C175" s="305"/>
    </row>
    <row r="176" spans="2:3" ht="14.25" customHeight="1">
      <c r="B176" s="7"/>
      <c r="C176" s="305"/>
    </row>
    <row r="177" spans="2:3" ht="14.25" customHeight="1">
      <c r="B177" s="7"/>
      <c r="C177" s="305"/>
    </row>
    <row r="178" spans="2:3" ht="14.25" customHeight="1">
      <c r="B178" s="7"/>
      <c r="C178" s="305"/>
    </row>
    <row r="179" spans="2:3" ht="14.25" customHeight="1">
      <c r="B179" s="7"/>
      <c r="C179" s="305"/>
    </row>
    <row r="180" spans="2:3" ht="14.25" customHeight="1">
      <c r="B180" s="7"/>
      <c r="C180" s="305"/>
    </row>
    <row r="181" spans="2:3" ht="14.25" customHeight="1">
      <c r="B181" s="7"/>
      <c r="C181" s="305"/>
    </row>
    <row r="182" spans="2:3" ht="14.25" customHeight="1">
      <c r="B182" s="7"/>
      <c r="C182" s="305"/>
    </row>
    <row r="183" spans="2:3" ht="14.25" customHeight="1">
      <c r="B183" s="7"/>
      <c r="C183" s="305"/>
    </row>
    <row r="184" spans="2:3" ht="14.25" customHeight="1">
      <c r="B184" s="7"/>
      <c r="C184" s="305"/>
    </row>
    <row r="185" spans="2:3" ht="14.25" customHeight="1">
      <c r="B185" s="7"/>
      <c r="C185" s="305"/>
    </row>
    <row r="186" spans="2:3" ht="14.25" customHeight="1">
      <c r="B186" s="7"/>
      <c r="C186" s="305"/>
    </row>
    <row r="187" spans="2:3" ht="14.25" customHeight="1">
      <c r="B187" s="7"/>
      <c r="C187" s="305"/>
    </row>
    <row r="188" spans="2:3" ht="14.25" customHeight="1">
      <c r="B188" s="7"/>
      <c r="C188" s="305"/>
    </row>
    <row r="189" spans="2:3" ht="14.25" customHeight="1">
      <c r="B189" s="7"/>
      <c r="C189" s="305"/>
    </row>
    <row r="190" spans="2:3" ht="14.25" customHeight="1">
      <c r="B190" s="7"/>
      <c r="C190" s="305"/>
    </row>
    <row r="191" spans="2:3" ht="14.25" customHeight="1">
      <c r="B191" s="7"/>
      <c r="C191" s="305"/>
    </row>
    <row r="192" spans="2:3" ht="14.25" customHeight="1">
      <c r="B192" s="7"/>
      <c r="C192" s="305"/>
    </row>
    <row r="193" spans="2:3" ht="14.25" customHeight="1">
      <c r="B193" s="7"/>
      <c r="C193" s="305"/>
    </row>
    <row r="194" spans="2:3" ht="14.25" customHeight="1">
      <c r="B194" s="7"/>
      <c r="C194" s="305"/>
    </row>
    <row r="195" spans="2:3" ht="14.25" customHeight="1">
      <c r="B195" s="7"/>
      <c r="C195" s="305"/>
    </row>
    <row r="196" spans="2:3" ht="14.25" customHeight="1">
      <c r="B196" s="7"/>
      <c r="C196" s="305"/>
    </row>
    <row r="197" spans="2:3" ht="14.25" customHeight="1">
      <c r="B197" s="7"/>
      <c r="C197" s="305"/>
    </row>
    <row r="198" spans="2:3" ht="14.25" customHeight="1">
      <c r="B198" s="7"/>
      <c r="C198" s="305"/>
    </row>
    <row r="199" spans="2:3" ht="14.25" customHeight="1">
      <c r="B199" s="7"/>
      <c r="C199" s="305"/>
    </row>
    <row r="200" spans="2:3" ht="14.25" customHeight="1">
      <c r="B200" s="7"/>
      <c r="C200" s="305"/>
    </row>
    <row r="201" spans="2:3" ht="14.25" customHeight="1">
      <c r="B201" s="7"/>
      <c r="C201" s="305"/>
    </row>
    <row r="202" spans="2:3" ht="14.25" customHeight="1">
      <c r="B202" s="7"/>
      <c r="C202" s="305"/>
    </row>
    <row r="203" spans="2:3" ht="14.25" customHeight="1">
      <c r="B203" s="7"/>
      <c r="C203" s="305"/>
    </row>
    <row r="204" spans="2:3" ht="14.25" customHeight="1">
      <c r="B204" s="7"/>
      <c r="C204" s="305"/>
    </row>
    <row r="205" spans="2:3" ht="14.25" customHeight="1">
      <c r="B205" s="7"/>
      <c r="C205" s="305"/>
    </row>
    <row r="206" spans="2:3" ht="14.25" customHeight="1">
      <c r="B206" s="7"/>
      <c r="C206" s="305"/>
    </row>
    <row r="207" spans="2:3" ht="14.25" customHeight="1">
      <c r="B207" s="7"/>
      <c r="C207" s="305"/>
    </row>
    <row r="208" spans="2:3" ht="14.25" customHeight="1">
      <c r="B208" s="7"/>
      <c r="C208" s="305"/>
    </row>
    <row r="209" spans="2:3" ht="14.25" customHeight="1">
      <c r="B209" s="7"/>
      <c r="C209" s="305"/>
    </row>
    <row r="210" spans="2:3" ht="14.25" customHeight="1">
      <c r="B210" s="7"/>
      <c r="C210" s="305"/>
    </row>
    <row r="211" spans="2:3" ht="14.25" customHeight="1">
      <c r="B211" s="7"/>
      <c r="C211" s="305"/>
    </row>
    <row r="212" spans="2:3" ht="14.25" customHeight="1">
      <c r="B212" s="7"/>
      <c r="C212" s="305"/>
    </row>
    <row r="213" spans="2:3" ht="14.25" customHeight="1">
      <c r="B213" s="7"/>
      <c r="C213" s="305"/>
    </row>
    <row r="214" spans="2:3" ht="14.25" customHeight="1">
      <c r="B214" s="7"/>
      <c r="C214" s="305"/>
    </row>
    <row r="215" spans="2:3" ht="14.25" customHeight="1">
      <c r="B215" s="7"/>
      <c r="C215" s="305"/>
    </row>
    <row r="216" spans="2:3" ht="14.25" customHeight="1">
      <c r="B216" s="7"/>
      <c r="C216" s="305"/>
    </row>
    <row r="217" spans="2:3" ht="14.25" customHeight="1">
      <c r="B217" s="7"/>
      <c r="C217" s="305"/>
    </row>
    <row r="218" spans="2:3" ht="14.25" customHeight="1">
      <c r="B218" s="7"/>
      <c r="C218" s="305"/>
    </row>
    <row r="219" spans="2:3" ht="14.25" customHeight="1">
      <c r="B219" s="7"/>
      <c r="C219" s="305"/>
    </row>
    <row r="220" spans="2:3" ht="14.25" customHeight="1">
      <c r="B220" s="7"/>
      <c r="C220" s="305"/>
    </row>
    <row r="221" spans="2:3" ht="14.25" customHeight="1">
      <c r="B221" s="7"/>
      <c r="C221" s="305"/>
    </row>
    <row r="222" spans="2:3" ht="14.25" customHeight="1">
      <c r="B222" s="7"/>
      <c r="C222" s="305"/>
    </row>
    <row r="223" spans="2:3" ht="14.25" customHeight="1">
      <c r="B223" s="7"/>
      <c r="C223" s="305"/>
    </row>
    <row r="224" spans="2:3" ht="14.25" customHeight="1">
      <c r="B224" s="7"/>
      <c r="C224" s="305"/>
    </row>
    <row r="225" spans="2:3" ht="14.25" customHeight="1">
      <c r="B225" s="7"/>
      <c r="C225" s="305"/>
    </row>
    <row r="226" spans="2:3" ht="14.25" customHeight="1">
      <c r="B226" s="7"/>
      <c r="C226" s="305"/>
    </row>
    <row r="227" spans="2:3" ht="14.25" customHeight="1">
      <c r="B227" s="7"/>
      <c r="C227" s="305"/>
    </row>
    <row r="228" spans="2:3" ht="14.25" customHeight="1">
      <c r="B228" s="7"/>
      <c r="C228" s="305"/>
    </row>
    <row r="229" spans="2:3" ht="14.25" customHeight="1">
      <c r="B229" s="7"/>
      <c r="C229" s="305"/>
    </row>
    <row r="230" spans="2:3" ht="14.25" customHeight="1">
      <c r="B230" s="7"/>
      <c r="C230" s="305"/>
    </row>
    <row r="231" spans="2:3" ht="14.25" customHeight="1">
      <c r="B231" s="7"/>
      <c r="C231" s="305"/>
    </row>
    <row r="232" spans="2:3" ht="14.25" customHeight="1">
      <c r="B232" s="7"/>
      <c r="C232" s="305"/>
    </row>
    <row r="233" spans="2:3" ht="14.25" customHeight="1">
      <c r="B233" s="7"/>
      <c r="C233" s="305"/>
    </row>
    <row r="234" spans="2:3" ht="14.25" customHeight="1">
      <c r="B234" s="7"/>
      <c r="C234" s="305"/>
    </row>
    <row r="235" spans="2:3" ht="14.25" customHeight="1">
      <c r="B235" s="7"/>
      <c r="C235" s="305"/>
    </row>
    <row r="236" spans="2:3" ht="14.25" customHeight="1">
      <c r="B236" s="7"/>
      <c r="C236" s="305"/>
    </row>
    <row r="237" spans="2:3" ht="14.25" customHeight="1">
      <c r="B237" s="7"/>
      <c r="C237" s="305"/>
    </row>
    <row r="238" spans="2:3" ht="14.25" customHeight="1">
      <c r="B238" s="7"/>
      <c r="C238" s="305"/>
    </row>
    <row r="239" spans="2:3" ht="14.25" customHeight="1">
      <c r="B239" s="7"/>
      <c r="C239" s="305"/>
    </row>
    <row r="240" spans="2:3" ht="14.25" customHeight="1">
      <c r="B240" s="7"/>
      <c r="C240" s="305"/>
    </row>
    <row r="241" spans="2:3" ht="14.25" customHeight="1">
      <c r="B241" s="7"/>
      <c r="C241" s="305"/>
    </row>
    <row r="242" spans="2:3" ht="14.25" customHeight="1">
      <c r="B242" s="7"/>
      <c r="C242" s="305"/>
    </row>
    <row r="243" spans="2:3" ht="14.25" customHeight="1">
      <c r="B243" s="7"/>
      <c r="C243" s="305"/>
    </row>
    <row r="244" spans="2:3" ht="14.25" customHeight="1">
      <c r="B244" s="7"/>
      <c r="C244" s="305"/>
    </row>
    <row r="245" spans="2:3" ht="14.25" customHeight="1">
      <c r="B245" s="7"/>
      <c r="C245" s="305"/>
    </row>
    <row r="246" spans="2:3" ht="14.25" customHeight="1">
      <c r="B246" s="7"/>
      <c r="C246" s="305"/>
    </row>
    <row r="247" spans="2:3" ht="14.25" customHeight="1">
      <c r="B247" s="7"/>
      <c r="C247" s="305"/>
    </row>
    <row r="248" spans="2:3" ht="14.25" customHeight="1">
      <c r="B248" s="7"/>
      <c r="C248" s="305"/>
    </row>
    <row r="249" spans="2:3" ht="14.25" customHeight="1">
      <c r="B249" s="7"/>
      <c r="C249" s="305"/>
    </row>
    <row r="250" spans="2:3" ht="14.25" customHeight="1">
      <c r="B250" s="7"/>
      <c r="C250" s="305"/>
    </row>
    <row r="251" spans="2:3" ht="14.25" customHeight="1">
      <c r="B251" s="7"/>
      <c r="C251" s="305"/>
    </row>
    <row r="252" spans="2:3" ht="14.25" customHeight="1">
      <c r="B252" s="7"/>
      <c r="C252" s="305"/>
    </row>
    <row r="253" spans="2:3" ht="14.25" customHeight="1">
      <c r="B253" s="7"/>
      <c r="C253" s="305"/>
    </row>
    <row r="254" spans="2:3" ht="14.25" customHeight="1">
      <c r="B254" s="7"/>
      <c r="C254" s="305"/>
    </row>
    <row r="255" spans="2:3" ht="14.25" customHeight="1">
      <c r="B255" s="7"/>
      <c r="C255" s="305"/>
    </row>
    <row r="256" spans="2:3" ht="14.25" customHeight="1">
      <c r="B256" s="7"/>
      <c r="C256" s="305"/>
    </row>
    <row r="257" spans="2:3" ht="14.25" customHeight="1">
      <c r="B257" s="7"/>
      <c r="C257" s="305"/>
    </row>
    <row r="258" spans="2:3" ht="14.25" customHeight="1">
      <c r="B258" s="7"/>
      <c r="C258" s="305"/>
    </row>
    <row r="259" spans="2:3" ht="14.25" customHeight="1">
      <c r="B259" s="7"/>
      <c r="C259" s="305"/>
    </row>
    <row r="260" spans="2:3" ht="14.25" customHeight="1">
      <c r="B260" s="7"/>
      <c r="C260" s="305"/>
    </row>
    <row r="261" spans="2:3" ht="14.25" customHeight="1">
      <c r="B261" s="7"/>
      <c r="C261" s="305"/>
    </row>
    <row r="262" spans="2:3" ht="14.25" customHeight="1">
      <c r="B262" s="7"/>
      <c r="C262" s="305"/>
    </row>
    <row r="263" spans="2:3" ht="14.25" customHeight="1">
      <c r="B263" s="7"/>
      <c r="C263" s="305"/>
    </row>
    <row r="264" spans="2:3" ht="14.25" customHeight="1">
      <c r="B264" s="7"/>
      <c r="C264" s="305"/>
    </row>
    <row r="265" spans="2:3" ht="14.25" customHeight="1">
      <c r="B265" s="7"/>
      <c r="C265" s="305"/>
    </row>
    <row r="266" spans="2:3" ht="14.25" customHeight="1">
      <c r="B266" s="7"/>
      <c r="C266" s="305"/>
    </row>
    <row r="267" spans="2:3" ht="14.25" customHeight="1">
      <c r="B267" s="7"/>
      <c r="C267" s="305"/>
    </row>
    <row r="268" spans="2:3" ht="14.25" customHeight="1">
      <c r="B268" s="7"/>
      <c r="C268" s="305"/>
    </row>
    <row r="269" spans="2:3" ht="14.25" customHeight="1">
      <c r="B269" s="7"/>
      <c r="C269" s="305"/>
    </row>
    <row r="270" spans="2:3" ht="14.25" customHeight="1">
      <c r="B270" s="7"/>
      <c r="C270" s="305"/>
    </row>
    <row r="271" spans="2:3" ht="14.25" customHeight="1">
      <c r="B271" s="7"/>
      <c r="C271" s="305"/>
    </row>
    <row r="272" spans="2:3" ht="14.25" customHeight="1">
      <c r="B272" s="7"/>
      <c r="C272" s="305"/>
    </row>
    <row r="273" spans="2:3" ht="14.25" customHeight="1">
      <c r="B273" s="7"/>
      <c r="C273" s="305"/>
    </row>
    <row r="274" spans="2:3" ht="14.25" customHeight="1">
      <c r="B274" s="7"/>
      <c r="C274" s="305"/>
    </row>
    <row r="275" spans="2:3" ht="14.25" customHeight="1">
      <c r="B275" s="7"/>
      <c r="C275" s="305"/>
    </row>
    <row r="276" spans="2:3" ht="14.25" customHeight="1">
      <c r="B276" s="7"/>
      <c r="C276" s="305"/>
    </row>
    <row r="277" spans="2:3" ht="14.25" customHeight="1">
      <c r="B277" s="7"/>
      <c r="C277" s="305"/>
    </row>
    <row r="278" spans="2:3" ht="14.25" customHeight="1">
      <c r="B278" s="7"/>
      <c r="C278" s="305"/>
    </row>
    <row r="279" spans="2:3" ht="14.25" customHeight="1">
      <c r="B279" s="7"/>
      <c r="C279" s="305"/>
    </row>
    <row r="280" spans="2:3" ht="14.25" customHeight="1">
      <c r="B280" s="7"/>
      <c r="C280" s="305"/>
    </row>
    <row r="281" spans="2:3" ht="14.25" customHeight="1">
      <c r="B281" s="7"/>
      <c r="C281" s="305"/>
    </row>
    <row r="282" spans="2:3" ht="14.25" customHeight="1">
      <c r="B282" s="7"/>
      <c r="C282" s="305"/>
    </row>
    <row r="283" spans="2:3" ht="14.25" customHeight="1">
      <c r="B283" s="7"/>
      <c r="C283" s="305"/>
    </row>
    <row r="284" spans="2:3" ht="14.25" customHeight="1">
      <c r="B284" s="7"/>
      <c r="C284" s="305"/>
    </row>
    <row r="285" spans="2:3" ht="14.25" customHeight="1">
      <c r="B285" s="7"/>
      <c r="C285" s="305"/>
    </row>
    <row r="286" spans="2:3" ht="14.25" customHeight="1">
      <c r="B286" s="7"/>
      <c r="C286" s="305"/>
    </row>
    <row r="287" spans="2:3" ht="14.25" customHeight="1">
      <c r="B287" s="7"/>
      <c r="C287" s="305"/>
    </row>
    <row r="288" spans="2:3" ht="14.25" customHeight="1">
      <c r="B288" s="7"/>
      <c r="C288" s="305"/>
    </row>
    <row r="289" spans="2:3" ht="14.25" customHeight="1">
      <c r="B289" s="7"/>
      <c r="C289" s="305"/>
    </row>
    <row r="290" spans="2:3" ht="14.25" customHeight="1">
      <c r="B290" s="7"/>
      <c r="C290" s="305"/>
    </row>
    <row r="291" spans="2:3" ht="14.25" customHeight="1">
      <c r="B291" s="7"/>
      <c r="C291" s="305"/>
    </row>
    <row r="292" spans="2:3" ht="14.25" customHeight="1">
      <c r="B292" s="7"/>
      <c r="C292" s="305"/>
    </row>
    <row r="293" spans="2:3" ht="14.25" customHeight="1">
      <c r="B293" s="7"/>
      <c r="C293" s="305"/>
    </row>
    <row r="294" spans="2:3" ht="14.25" customHeight="1">
      <c r="B294" s="7"/>
      <c r="C294" s="305"/>
    </row>
    <row r="295" spans="2:3" ht="14.25" customHeight="1">
      <c r="B295" s="7"/>
      <c r="C295" s="305"/>
    </row>
    <row r="296" spans="2:3" ht="14.25" customHeight="1">
      <c r="B296" s="7"/>
      <c r="C296" s="305"/>
    </row>
    <row r="297" spans="2:3" ht="14.25" customHeight="1">
      <c r="B297" s="7"/>
      <c r="C297" s="305"/>
    </row>
    <row r="298" spans="2:3" ht="14.25" customHeight="1">
      <c r="B298" s="7"/>
      <c r="C298" s="305"/>
    </row>
    <row r="299" spans="2:3" ht="14.25" customHeight="1">
      <c r="B299" s="7"/>
      <c r="C299" s="305"/>
    </row>
    <row r="300" spans="2:3" ht="14.25" customHeight="1">
      <c r="B300" s="7"/>
      <c r="C300" s="305"/>
    </row>
    <row r="301" spans="2:3" ht="14.25" customHeight="1">
      <c r="B301" s="7"/>
      <c r="C301" s="305"/>
    </row>
    <row r="302" spans="2:3" ht="14.25" customHeight="1">
      <c r="B302" s="7"/>
      <c r="C302" s="305"/>
    </row>
    <row r="303" spans="2:3" ht="14.25" customHeight="1">
      <c r="B303" s="7"/>
      <c r="C303" s="305"/>
    </row>
    <row r="304" spans="2:3" ht="14.25" customHeight="1">
      <c r="B304" s="7"/>
      <c r="C304" s="305"/>
    </row>
    <row r="305" spans="2:3" ht="14.25" customHeight="1">
      <c r="B305" s="7"/>
      <c r="C305" s="305"/>
    </row>
    <row r="306" spans="2:3" ht="14.25" customHeight="1">
      <c r="B306" s="7"/>
      <c r="C306" s="305"/>
    </row>
    <row r="307" spans="2:3" ht="14.25" customHeight="1">
      <c r="B307" s="7"/>
      <c r="C307" s="305"/>
    </row>
    <row r="308" spans="2:3" ht="14.25" customHeight="1">
      <c r="B308" s="7"/>
      <c r="C308" s="305"/>
    </row>
    <row r="309" spans="2:3" ht="14.25" customHeight="1">
      <c r="B309" s="7"/>
      <c r="C309" s="305"/>
    </row>
    <row r="310" spans="2:3" ht="14.25" customHeight="1">
      <c r="B310" s="7"/>
      <c r="C310" s="305"/>
    </row>
    <row r="311" spans="2:3" ht="14.25" customHeight="1">
      <c r="B311" s="7"/>
      <c r="C311" s="305"/>
    </row>
    <row r="312" spans="2:3" ht="14.25" customHeight="1">
      <c r="B312" s="7"/>
      <c r="C312" s="305"/>
    </row>
    <row r="313" spans="2:3" ht="14.25" customHeight="1">
      <c r="B313" s="7"/>
      <c r="C313" s="305"/>
    </row>
    <row r="314" spans="2:3" ht="14.25" customHeight="1">
      <c r="B314" s="7"/>
      <c r="C314" s="305"/>
    </row>
    <row r="315" spans="2:3" ht="14.25" customHeight="1">
      <c r="B315" s="7"/>
      <c r="C315" s="305"/>
    </row>
    <row r="316" spans="2:3" ht="14.25" customHeight="1">
      <c r="B316" s="7"/>
      <c r="C316" s="305"/>
    </row>
    <row r="317" spans="2:3" ht="14.25" customHeight="1">
      <c r="B317" s="7"/>
      <c r="C317" s="305"/>
    </row>
    <row r="318" spans="2:3" ht="14.25" customHeight="1">
      <c r="B318" s="7"/>
      <c r="C318" s="305"/>
    </row>
    <row r="319" spans="2:3" ht="14.25" customHeight="1">
      <c r="B319" s="7"/>
      <c r="C319" s="305"/>
    </row>
    <row r="320" spans="2:3" ht="14.25" customHeight="1">
      <c r="B320" s="7"/>
      <c r="C320" s="305"/>
    </row>
    <row r="321" spans="2:3" ht="14.25" customHeight="1">
      <c r="B321" s="7"/>
      <c r="C321" s="305"/>
    </row>
    <row r="322" spans="2:3" ht="14.25" customHeight="1">
      <c r="B322" s="7"/>
      <c r="C322" s="305"/>
    </row>
    <row r="323" spans="2:3" ht="14.25" customHeight="1">
      <c r="B323" s="7"/>
      <c r="C323" s="305"/>
    </row>
    <row r="324" spans="2:3" ht="14.25" customHeight="1">
      <c r="B324" s="7"/>
      <c r="C324" s="305"/>
    </row>
    <row r="325" spans="2:3" ht="14.25" customHeight="1">
      <c r="B325" s="7"/>
      <c r="C325" s="305"/>
    </row>
    <row r="326" spans="2:3" ht="14.25" customHeight="1">
      <c r="B326" s="7"/>
      <c r="C326" s="305"/>
    </row>
    <row r="327" spans="2:3" ht="14.25" customHeight="1">
      <c r="B327" s="7"/>
      <c r="C327" s="305"/>
    </row>
    <row r="328" spans="2:3" ht="14.25" customHeight="1">
      <c r="B328" s="7"/>
      <c r="C328" s="305"/>
    </row>
    <row r="329" spans="2:3" ht="14.25" customHeight="1">
      <c r="B329" s="7"/>
      <c r="C329" s="305"/>
    </row>
    <row r="330" spans="2:3" ht="14.25" customHeight="1">
      <c r="B330" s="7"/>
      <c r="C330" s="305"/>
    </row>
    <row r="331" spans="2:3" ht="14.25" customHeight="1">
      <c r="B331" s="7"/>
      <c r="C331" s="305"/>
    </row>
    <row r="332" spans="2:3" ht="14.25" customHeight="1">
      <c r="B332" s="7"/>
      <c r="C332" s="305"/>
    </row>
    <row r="333" spans="2:3" ht="14.25" customHeight="1">
      <c r="B333" s="7"/>
      <c r="C333" s="305"/>
    </row>
    <row r="334" spans="2:3" ht="14.25" customHeight="1">
      <c r="B334" s="7"/>
      <c r="C334" s="305"/>
    </row>
    <row r="335" spans="2:3" ht="14.25" customHeight="1">
      <c r="B335" s="7"/>
      <c r="C335" s="305"/>
    </row>
    <row r="336" spans="2:3" ht="14.25" customHeight="1">
      <c r="B336" s="7"/>
      <c r="C336" s="305"/>
    </row>
    <row r="337" spans="2:3" ht="14.25" customHeight="1">
      <c r="B337" s="7"/>
      <c r="C337" s="305"/>
    </row>
    <row r="338" spans="2:3" ht="14.25" customHeight="1">
      <c r="B338" s="7"/>
      <c r="C338" s="305"/>
    </row>
    <row r="339" spans="2:3" ht="14.25" customHeight="1">
      <c r="B339" s="7"/>
      <c r="C339" s="305"/>
    </row>
    <row r="340" spans="2:3" ht="14.25" customHeight="1">
      <c r="B340" s="7"/>
      <c r="C340" s="305"/>
    </row>
    <row r="341" spans="2:3" ht="14.25" customHeight="1">
      <c r="B341" s="7"/>
      <c r="C341" s="305"/>
    </row>
    <row r="342" spans="2:3" ht="14.25" customHeight="1">
      <c r="B342" s="7"/>
      <c r="C342" s="305"/>
    </row>
    <row r="343" spans="2:3" ht="14.25" customHeight="1">
      <c r="B343" s="7"/>
      <c r="C343" s="305"/>
    </row>
    <row r="344" spans="2:3" ht="14.25" customHeight="1">
      <c r="B344" s="7"/>
      <c r="C344" s="305"/>
    </row>
    <row r="345" spans="2:3" ht="14.25" customHeight="1">
      <c r="B345" s="7"/>
      <c r="C345" s="305"/>
    </row>
    <row r="346" spans="2:3" ht="14.25" customHeight="1">
      <c r="B346" s="7"/>
      <c r="C346" s="305"/>
    </row>
    <row r="347" spans="2:3" ht="14.25" customHeight="1">
      <c r="B347" s="7"/>
      <c r="C347" s="305"/>
    </row>
    <row r="348" spans="2:3" ht="14.25" customHeight="1">
      <c r="B348" s="7"/>
      <c r="C348" s="305"/>
    </row>
    <row r="349" spans="2:3" ht="14.25" customHeight="1">
      <c r="B349" s="7"/>
      <c r="C349" s="305"/>
    </row>
    <row r="350" spans="2:3" ht="14.25" customHeight="1">
      <c r="B350" s="7"/>
      <c r="C350" s="305"/>
    </row>
    <row r="351" spans="2:3" ht="14.25" customHeight="1">
      <c r="B351" s="7"/>
      <c r="C351" s="305"/>
    </row>
    <row r="352" spans="2:3" ht="14.25" customHeight="1">
      <c r="B352" s="7"/>
      <c r="C352" s="305"/>
    </row>
    <row r="353" spans="2:3" ht="14.25" customHeight="1">
      <c r="B353" s="7"/>
      <c r="C353" s="305"/>
    </row>
    <row r="354" spans="2:3" ht="14.25" customHeight="1">
      <c r="B354" s="7"/>
      <c r="C354" s="305"/>
    </row>
    <row r="355" spans="2:3" ht="14.25" customHeight="1">
      <c r="B355" s="7"/>
      <c r="C355" s="305"/>
    </row>
    <row r="356" spans="2:3" ht="14.25" customHeight="1">
      <c r="B356" s="7"/>
      <c r="C356" s="305"/>
    </row>
    <row r="357" spans="2:3" ht="14.25" customHeight="1">
      <c r="B357" s="7"/>
      <c r="C357" s="305"/>
    </row>
    <row r="358" spans="2:3" ht="14.25" customHeight="1">
      <c r="B358" s="7"/>
      <c r="C358" s="305"/>
    </row>
    <row r="359" spans="2:3" ht="14.25" customHeight="1">
      <c r="B359" s="7"/>
      <c r="C359" s="305"/>
    </row>
    <row r="360" spans="2:3" ht="14.25" customHeight="1">
      <c r="B360" s="7"/>
      <c r="C360" s="305"/>
    </row>
    <row r="361" spans="2:3" ht="14.25" customHeight="1">
      <c r="B361" s="7"/>
      <c r="C361" s="305"/>
    </row>
    <row r="362" spans="2:3" ht="14.25" customHeight="1">
      <c r="B362" s="7"/>
      <c r="C362" s="305"/>
    </row>
    <row r="363" spans="2:3" ht="14.25" customHeight="1">
      <c r="B363" s="7"/>
      <c r="C363" s="305"/>
    </row>
    <row r="364" spans="2:3" ht="14.25" customHeight="1">
      <c r="B364" s="7"/>
      <c r="C364" s="305"/>
    </row>
    <row r="365" spans="2:3" ht="14.25" customHeight="1">
      <c r="B365" s="7"/>
      <c r="C365" s="305"/>
    </row>
    <row r="366" spans="2:3" ht="14.25" customHeight="1">
      <c r="B366" s="7"/>
      <c r="C366" s="305"/>
    </row>
    <row r="367" spans="2:3" ht="14.25" customHeight="1">
      <c r="B367" s="7"/>
      <c r="C367" s="305"/>
    </row>
    <row r="368" spans="2:3" ht="14.25" customHeight="1">
      <c r="B368" s="7"/>
      <c r="C368" s="305"/>
    </row>
    <row r="369" spans="2:3" ht="14.25" customHeight="1">
      <c r="B369" s="7"/>
      <c r="C369" s="305"/>
    </row>
    <row r="370" spans="2:3" ht="14.25" customHeight="1">
      <c r="B370" s="7"/>
      <c r="C370" s="305"/>
    </row>
    <row r="371" spans="2:3" ht="14.25" customHeight="1">
      <c r="B371" s="7"/>
      <c r="C371" s="305"/>
    </row>
    <row r="372" spans="2:3" ht="14.25" customHeight="1">
      <c r="B372" s="7"/>
      <c r="C372" s="305"/>
    </row>
    <row r="373" spans="2:3" ht="14.25" customHeight="1">
      <c r="B373" s="7"/>
      <c r="C373" s="305"/>
    </row>
    <row r="374" spans="2:3" ht="14.25" customHeight="1">
      <c r="B374" s="7"/>
      <c r="C374" s="305"/>
    </row>
    <row r="375" spans="2:3" ht="14.25" customHeight="1">
      <c r="B375" s="7"/>
      <c r="C375" s="305"/>
    </row>
    <row r="376" spans="2:3" ht="14.25" customHeight="1">
      <c r="B376" s="7"/>
      <c r="C376" s="305"/>
    </row>
    <row r="377" spans="2:3" ht="14.25" customHeight="1">
      <c r="B377" s="7"/>
      <c r="C377" s="305"/>
    </row>
    <row r="378" spans="2:3" ht="14.25" customHeight="1">
      <c r="B378" s="7"/>
      <c r="C378" s="305"/>
    </row>
    <row r="379" spans="2:3" ht="14.25" customHeight="1">
      <c r="B379" s="7"/>
      <c r="C379" s="305"/>
    </row>
    <row r="380" spans="2:3" ht="14.25" customHeight="1">
      <c r="B380" s="7"/>
      <c r="C380" s="305"/>
    </row>
    <row r="381" spans="2:3" ht="14.25" customHeight="1">
      <c r="B381" s="7"/>
      <c r="C381" s="305"/>
    </row>
    <row r="382" spans="2:3" ht="14.25" customHeight="1">
      <c r="B382" s="7"/>
      <c r="C382" s="305"/>
    </row>
    <row r="383" spans="2:3" ht="14.25" customHeight="1">
      <c r="B383" s="7"/>
      <c r="C383" s="305"/>
    </row>
    <row r="384" spans="2:3" ht="14.25" customHeight="1">
      <c r="B384" s="7"/>
      <c r="C384" s="305"/>
    </row>
    <row r="385" spans="2:3" ht="14.25" customHeight="1">
      <c r="B385" s="7"/>
      <c r="C385" s="305"/>
    </row>
    <row r="386" spans="2:3" ht="14.25" customHeight="1">
      <c r="B386" s="7"/>
      <c r="C386" s="305"/>
    </row>
    <row r="387" spans="2:3" ht="14.25" customHeight="1">
      <c r="B387" s="7"/>
      <c r="C387" s="305"/>
    </row>
    <row r="388" spans="2:3" ht="14.25" customHeight="1">
      <c r="B388" s="7"/>
      <c r="C388" s="305"/>
    </row>
    <row r="389" spans="2:3" ht="14.25" customHeight="1">
      <c r="B389" s="7"/>
      <c r="C389" s="305"/>
    </row>
    <row r="390" spans="2:3" ht="14.25" customHeight="1">
      <c r="B390" s="7"/>
      <c r="C390" s="305"/>
    </row>
    <row r="391" spans="2:3" ht="14.25" customHeight="1">
      <c r="B391" s="7"/>
      <c r="C391" s="305"/>
    </row>
    <row r="392" spans="2:3" ht="14.25" customHeight="1">
      <c r="B392" s="7"/>
      <c r="C392" s="305"/>
    </row>
    <row r="393" spans="2:3" ht="14.25" customHeight="1">
      <c r="B393" s="7"/>
      <c r="C393" s="305"/>
    </row>
    <row r="394" spans="2:3" ht="14.25" customHeight="1">
      <c r="B394" s="7"/>
      <c r="C394" s="305"/>
    </row>
    <row r="395" spans="2:3" ht="14.25" customHeight="1">
      <c r="B395" s="7"/>
      <c r="C395" s="305"/>
    </row>
    <row r="396" spans="2:3" ht="14.25" customHeight="1">
      <c r="B396" s="7"/>
      <c r="C396" s="305"/>
    </row>
    <row r="397" spans="2:3" ht="14.25" customHeight="1">
      <c r="B397" s="7"/>
      <c r="C397" s="305"/>
    </row>
    <row r="398" spans="2:3" ht="14.25" customHeight="1">
      <c r="B398" s="7"/>
      <c r="C398" s="305"/>
    </row>
    <row r="399" spans="2:3" ht="14.25" customHeight="1">
      <c r="B399" s="7"/>
      <c r="C399" s="305"/>
    </row>
    <row r="400" spans="2:3" ht="14.25" customHeight="1">
      <c r="B400" s="7"/>
      <c r="C400" s="305"/>
    </row>
    <row r="401" spans="2:3" ht="14.25" customHeight="1">
      <c r="B401" s="7"/>
      <c r="C401" s="305"/>
    </row>
    <row r="402" spans="2:3" ht="14.25" customHeight="1">
      <c r="B402" s="7"/>
      <c r="C402" s="305"/>
    </row>
    <row r="403" spans="2:3" ht="14.25" customHeight="1">
      <c r="B403" s="7"/>
      <c r="C403" s="305"/>
    </row>
    <row r="404" spans="2:3" ht="14.25" customHeight="1">
      <c r="B404" s="7"/>
      <c r="C404" s="305"/>
    </row>
    <row r="405" spans="2:3" ht="14.25" customHeight="1">
      <c r="B405" s="7"/>
      <c r="C405" s="305"/>
    </row>
    <row r="406" spans="2:3" ht="14.25" customHeight="1">
      <c r="B406" s="7"/>
      <c r="C406" s="305"/>
    </row>
    <row r="407" spans="2:3" ht="14.25" customHeight="1">
      <c r="B407" s="7"/>
      <c r="C407" s="305"/>
    </row>
    <row r="408" spans="2:3" ht="14.25" customHeight="1">
      <c r="B408" s="7"/>
      <c r="C408" s="305"/>
    </row>
    <row r="409" spans="2:3" ht="14.25" customHeight="1">
      <c r="B409" s="7"/>
      <c r="C409" s="305"/>
    </row>
    <row r="410" spans="2:3" ht="14.25" customHeight="1">
      <c r="B410" s="7"/>
      <c r="C410" s="305"/>
    </row>
    <row r="411" spans="2:3" ht="14.25" customHeight="1">
      <c r="B411" s="7"/>
      <c r="C411" s="305"/>
    </row>
    <row r="412" spans="2:3" ht="14.25" customHeight="1">
      <c r="B412" s="7"/>
      <c r="C412" s="305"/>
    </row>
    <row r="413" spans="2:3" ht="14.25" customHeight="1">
      <c r="B413" s="7"/>
      <c r="C413" s="305"/>
    </row>
    <row r="414" spans="2:3" ht="14.25" customHeight="1">
      <c r="B414" s="7"/>
      <c r="C414" s="305"/>
    </row>
    <row r="415" spans="2:3" ht="14.25" customHeight="1">
      <c r="B415" s="7"/>
      <c r="C415" s="305"/>
    </row>
    <row r="416" spans="2:3" ht="14.25" customHeight="1">
      <c r="B416" s="7"/>
      <c r="C416" s="305"/>
    </row>
    <row r="417" spans="2:3" ht="14.25" customHeight="1">
      <c r="B417" s="7"/>
      <c r="C417" s="305"/>
    </row>
    <row r="418" spans="2:3" ht="14.25" customHeight="1">
      <c r="B418" s="7"/>
      <c r="C418" s="305"/>
    </row>
    <row r="419" spans="2:3" ht="14.25" customHeight="1">
      <c r="B419" s="7"/>
      <c r="C419" s="305"/>
    </row>
    <row r="420" spans="2:3" ht="14.25" customHeight="1">
      <c r="B420" s="7"/>
      <c r="C420" s="305"/>
    </row>
    <row r="421" spans="2:3" ht="14.25" customHeight="1">
      <c r="B421" s="7"/>
      <c r="C421" s="305"/>
    </row>
    <row r="422" spans="2:3" ht="14.25" customHeight="1">
      <c r="B422" s="7"/>
      <c r="C422" s="305"/>
    </row>
    <row r="423" spans="2:3" ht="14.25" customHeight="1">
      <c r="B423" s="7"/>
      <c r="C423" s="305"/>
    </row>
    <row r="424" spans="2:3" ht="14.25" customHeight="1">
      <c r="B424" s="7"/>
      <c r="C424" s="305"/>
    </row>
    <row r="425" spans="2:3" ht="14.25" customHeight="1">
      <c r="B425" s="7"/>
      <c r="C425" s="305"/>
    </row>
    <row r="426" spans="2:3" ht="14.25" customHeight="1">
      <c r="B426" s="7"/>
      <c r="C426" s="305"/>
    </row>
    <row r="427" spans="2:3" ht="14.25" customHeight="1">
      <c r="B427" s="7"/>
      <c r="C427" s="305"/>
    </row>
    <row r="428" spans="2:3" ht="14.25" customHeight="1">
      <c r="B428" s="7"/>
      <c r="C428" s="305"/>
    </row>
    <row r="429" spans="2:3" ht="14.25" customHeight="1">
      <c r="B429" s="7"/>
      <c r="C429" s="305"/>
    </row>
    <row r="430" spans="2:3" ht="14.25" customHeight="1">
      <c r="B430" s="7"/>
      <c r="C430" s="305"/>
    </row>
    <row r="431" spans="2:3" ht="14.25" customHeight="1">
      <c r="B431" s="7"/>
      <c r="C431" s="305"/>
    </row>
    <row r="432" spans="2:3" ht="14.25" customHeight="1">
      <c r="B432" s="7"/>
      <c r="C432" s="305"/>
    </row>
    <row r="433" spans="2:3" ht="14.25" customHeight="1">
      <c r="B433" s="7"/>
      <c r="C433" s="305"/>
    </row>
    <row r="434" spans="2:3" ht="14.25" customHeight="1">
      <c r="B434" s="7"/>
      <c r="C434" s="305"/>
    </row>
    <row r="435" spans="2:3" ht="14.25" customHeight="1">
      <c r="B435" s="7"/>
      <c r="C435" s="305"/>
    </row>
    <row r="436" spans="2:3" ht="14.25" customHeight="1">
      <c r="B436" s="7"/>
      <c r="C436" s="305"/>
    </row>
    <row r="437" spans="2:3" ht="14.25" customHeight="1">
      <c r="B437" s="7"/>
      <c r="C437" s="305"/>
    </row>
    <row r="438" spans="2:3" ht="14.25" customHeight="1">
      <c r="B438" s="7"/>
      <c r="C438" s="305"/>
    </row>
    <row r="439" spans="2:3" ht="14.25" customHeight="1">
      <c r="B439" s="7"/>
      <c r="C439" s="305"/>
    </row>
    <row r="440" spans="2:3" ht="14.25" customHeight="1">
      <c r="B440" s="7"/>
      <c r="C440" s="305"/>
    </row>
    <row r="441" spans="2:3" ht="14.25" customHeight="1">
      <c r="B441" s="7"/>
      <c r="C441" s="305"/>
    </row>
    <row r="442" spans="2:3" ht="14.25" customHeight="1">
      <c r="B442" s="7"/>
      <c r="C442" s="305"/>
    </row>
    <row r="443" spans="2:3" ht="14.25" customHeight="1">
      <c r="B443" s="7"/>
      <c r="C443" s="305"/>
    </row>
    <row r="444" spans="2:3" ht="14.25" customHeight="1">
      <c r="B444" s="7"/>
      <c r="C444" s="305"/>
    </row>
    <row r="445" spans="2:3" ht="14.25" customHeight="1">
      <c r="B445" s="7"/>
      <c r="C445" s="305"/>
    </row>
    <row r="446" spans="2:3" ht="14.25" customHeight="1">
      <c r="B446" s="7"/>
      <c r="C446" s="305"/>
    </row>
    <row r="447" spans="2:3" ht="14.25" customHeight="1">
      <c r="B447" s="7"/>
      <c r="C447" s="305"/>
    </row>
    <row r="448" spans="2:3" ht="14.25" customHeight="1">
      <c r="B448" s="7"/>
      <c r="C448" s="305"/>
    </row>
    <row r="449" spans="2:3" ht="14.25" customHeight="1">
      <c r="B449" s="7"/>
      <c r="C449" s="305"/>
    </row>
    <row r="450" spans="2:3" ht="14.25" customHeight="1">
      <c r="B450" s="7"/>
      <c r="C450" s="305"/>
    </row>
    <row r="451" spans="2:3" ht="14.25" customHeight="1">
      <c r="B451" s="7"/>
      <c r="C451" s="305"/>
    </row>
    <row r="452" spans="2:3" ht="14.25" customHeight="1">
      <c r="B452" s="7"/>
      <c r="C452" s="305"/>
    </row>
    <row r="453" spans="2:3" ht="14.25" customHeight="1">
      <c r="B453" s="7"/>
      <c r="C453" s="305"/>
    </row>
    <row r="454" spans="2:3" ht="14.25" customHeight="1">
      <c r="B454" s="7"/>
      <c r="C454" s="305"/>
    </row>
    <row r="455" spans="2:3" ht="14.25" customHeight="1">
      <c r="B455" s="7"/>
      <c r="C455" s="305"/>
    </row>
    <row r="456" spans="2:3" ht="14.25" customHeight="1">
      <c r="B456" s="7"/>
      <c r="C456" s="305"/>
    </row>
    <row r="457" spans="2:3" ht="14.25" customHeight="1">
      <c r="B457" s="7"/>
      <c r="C457" s="305"/>
    </row>
    <row r="458" spans="2:3" ht="14.25" customHeight="1">
      <c r="B458" s="7"/>
      <c r="C458" s="305"/>
    </row>
    <row r="459" spans="2:3" ht="14.25" customHeight="1">
      <c r="B459" s="7"/>
      <c r="C459" s="305"/>
    </row>
    <row r="460" spans="2:3" ht="14.25" customHeight="1">
      <c r="B460" s="7"/>
      <c r="C460" s="305"/>
    </row>
    <row r="461" spans="2:3" ht="14.25" customHeight="1">
      <c r="B461" s="7"/>
      <c r="C461" s="305"/>
    </row>
    <row r="462" spans="2:3" ht="14.25" customHeight="1">
      <c r="B462" s="7"/>
      <c r="C462" s="305"/>
    </row>
    <row r="463" spans="2:3" ht="14.25" customHeight="1">
      <c r="B463" s="7"/>
      <c r="C463" s="305"/>
    </row>
    <row r="464" spans="2:3" ht="14.25" customHeight="1">
      <c r="B464" s="7"/>
      <c r="C464" s="305"/>
    </row>
    <row r="465" spans="2:3" ht="14.25" customHeight="1">
      <c r="B465" s="7"/>
      <c r="C465" s="305"/>
    </row>
    <row r="466" spans="2:3" ht="14.25" customHeight="1">
      <c r="B466" s="7"/>
      <c r="C466" s="305"/>
    </row>
    <row r="467" spans="2:3" ht="14.25" customHeight="1">
      <c r="B467" s="7"/>
      <c r="C467" s="305"/>
    </row>
    <row r="468" spans="2:3" ht="14.25" customHeight="1">
      <c r="B468" s="7"/>
      <c r="C468" s="305"/>
    </row>
    <row r="469" spans="2:3" ht="14.25" customHeight="1">
      <c r="B469" s="7"/>
      <c r="C469" s="305"/>
    </row>
    <row r="470" spans="2:3" ht="14.25" customHeight="1">
      <c r="B470" s="7"/>
      <c r="C470" s="305"/>
    </row>
    <row r="471" spans="2:3" ht="14.25" customHeight="1">
      <c r="B471" s="7"/>
      <c r="C471" s="305"/>
    </row>
    <row r="472" spans="2:3" ht="14.25" customHeight="1">
      <c r="B472" s="7"/>
      <c r="C472" s="305"/>
    </row>
    <row r="473" spans="2:3" ht="14.25" customHeight="1">
      <c r="B473" s="7"/>
      <c r="C473" s="305"/>
    </row>
    <row r="474" spans="2:3" ht="14.25" customHeight="1">
      <c r="B474" s="7"/>
      <c r="C474" s="305"/>
    </row>
    <row r="475" spans="2:3" ht="14.25" customHeight="1">
      <c r="B475" s="7"/>
      <c r="C475" s="305"/>
    </row>
    <row r="476" spans="2:3" ht="14.25" customHeight="1">
      <c r="B476" s="7"/>
      <c r="C476" s="305"/>
    </row>
    <row r="477" spans="2:3" ht="14.25" customHeight="1">
      <c r="B477" s="7"/>
      <c r="C477" s="305"/>
    </row>
    <row r="478" spans="2:3" ht="14.25" customHeight="1">
      <c r="B478" s="7"/>
      <c r="C478" s="305"/>
    </row>
    <row r="479" spans="2:3" ht="14.25" customHeight="1">
      <c r="B479" s="7"/>
      <c r="C479" s="305"/>
    </row>
    <row r="480" spans="2:3" ht="14.25" customHeight="1">
      <c r="B480" s="7"/>
      <c r="C480" s="305"/>
    </row>
    <row r="481" spans="2:3" ht="14.25" customHeight="1">
      <c r="B481" s="7"/>
      <c r="C481" s="305"/>
    </row>
    <row r="482" spans="2:3" ht="14.25" customHeight="1">
      <c r="B482" s="7"/>
      <c r="C482" s="305"/>
    </row>
    <row r="483" spans="2:3" ht="14.25" customHeight="1">
      <c r="B483" s="7"/>
      <c r="C483" s="305"/>
    </row>
    <row r="484" spans="2:3" ht="14.25" customHeight="1">
      <c r="B484" s="7"/>
      <c r="C484" s="305"/>
    </row>
    <row r="485" spans="2:3" ht="14.25" customHeight="1">
      <c r="B485" s="7"/>
      <c r="C485" s="305"/>
    </row>
    <row r="486" spans="2:3" ht="14.25" customHeight="1">
      <c r="B486" s="7"/>
      <c r="C486" s="305"/>
    </row>
    <row r="487" spans="2:3" ht="14.25" customHeight="1">
      <c r="B487" s="7"/>
      <c r="C487" s="305"/>
    </row>
    <row r="488" spans="2:3" ht="14.25" customHeight="1">
      <c r="B488" s="7"/>
      <c r="C488" s="305"/>
    </row>
    <row r="489" spans="2:3" ht="14.25" customHeight="1">
      <c r="B489" s="7"/>
      <c r="C489" s="305"/>
    </row>
    <row r="490" spans="2:3" ht="14.25" customHeight="1">
      <c r="B490" s="7"/>
      <c r="C490" s="305"/>
    </row>
    <row r="491" spans="2:3" ht="14.25" customHeight="1">
      <c r="B491" s="7"/>
      <c r="C491" s="305"/>
    </row>
    <row r="492" spans="2:3" ht="14.25" customHeight="1">
      <c r="B492" s="7"/>
      <c r="C492" s="305"/>
    </row>
    <row r="493" spans="2:3" ht="14.25" customHeight="1">
      <c r="B493" s="7"/>
      <c r="C493" s="305"/>
    </row>
    <row r="494" spans="2:3" ht="14.25" customHeight="1">
      <c r="B494" s="7"/>
      <c r="C494" s="305"/>
    </row>
    <row r="495" spans="2:3" ht="14.25" customHeight="1">
      <c r="B495" s="7"/>
      <c r="C495" s="305"/>
    </row>
    <row r="496" spans="2:3" ht="14.25" customHeight="1">
      <c r="B496" s="7"/>
      <c r="C496" s="305"/>
    </row>
    <row r="497" spans="2:3" ht="14.25" customHeight="1">
      <c r="B497" s="7"/>
      <c r="C497" s="305"/>
    </row>
    <row r="498" spans="2:3" ht="14.25" customHeight="1">
      <c r="B498" s="7"/>
      <c r="C498" s="305"/>
    </row>
    <row r="499" spans="2:3" ht="14.25" customHeight="1">
      <c r="B499" s="7"/>
      <c r="C499" s="305"/>
    </row>
    <row r="500" spans="2:3" ht="14.25" customHeight="1">
      <c r="B500" s="7"/>
      <c r="C500" s="305"/>
    </row>
    <row r="501" spans="2:3" ht="14.25" customHeight="1">
      <c r="B501" s="7"/>
      <c r="C501" s="305"/>
    </row>
    <row r="502" spans="2:3" ht="14.25" customHeight="1">
      <c r="B502" s="7"/>
      <c r="C502" s="305"/>
    </row>
    <row r="503" spans="2:3" ht="14.25" customHeight="1">
      <c r="B503" s="7"/>
      <c r="C503" s="305"/>
    </row>
    <row r="504" spans="2:3" ht="14.25" customHeight="1">
      <c r="B504" s="7"/>
      <c r="C504" s="305"/>
    </row>
    <row r="505" spans="2:3" ht="14.25" customHeight="1">
      <c r="B505" s="7"/>
      <c r="C505" s="305"/>
    </row>
    <row r="506" spans="2:3" ht="14.25" customHeight="1">
      <c r="B506" s="7"/>
      <c r="C506" s="305"/>
    </row>
    <row r="507" spans="2:3" ht="14.25" customHeight="1">
      <c r="B507" s="7"/>
      <c r="C507" s="305"/>
    </row>
    <row r="508" spans="2:3" ht="14.25" customHeight="1">
      <c r="B508" s="7"/>
      <c r="C508" s="305"/>
    </row>
    <row r="509" spans="2:3" ht="14.25" customHeight="1">
      <c r="B509" s="7"/>
      <c r="C509" s="305"/>
    </row>
    <row r="510" spans="2:3" ht="14.25" customHeight="1">
      <c r="B510" s="7"/>
      <c r="C510" s="305"/>
    </row>
    <row r="511" spans="2:3" ht="14.25" customHeight="1">
      <c r="B511" s="7"/>
      <c r="C511" s="305"/>
    </row>
    <row r="512" spans="2:3" ht="14.25" customHeight="1">
      <c r="B512" s="7"/>
      <c r="C512" s="305"/>
    </row>
    <row r="513" spans="2:3" ht="14.25" customHeight="1">
      <c r="B513" s="7"/>
      <c r="C513" s="305"/>
    </row>
    <row r="514" spans="2:3" ht="14.25" customHeight="1">
      <c r="B514" s="7"/>
      <c r="C514" s="305"/>
    </row>
    <row r="515" spans="2:3" ht="14.25" customHeight="1">
      <c r="B515" s="7"/>
      <c r="C515" s="305"/>
    </row>
    <row r="516" spans="2:3" ht="14.25" customHeight="1">
      <c r="B516" s="7"/>
      <c r="C516" s="305"/>
    </row>
    <row r="517" spans="2:3" ht="14.25" customHeight="1">
      <c r="B517" s="7"/>
      <c r="C517" s="305"/>
    </row>
    <row r="518" spans="2:3" ht="14.25" customHeight="1">
      <c r="B518" s="7"/>
      <c r="C518" s="305"/>
    </row>
    <row r="519" spans="2:3" ht="14.25" customHeight="1">
      <c r="B519" s="7"/>
      <c r="C519" s="305"/>
    </row>
    <row r="520" spans="2:3" ht="14.25" customHeight="1">
      <c r="B520" s="7"/>
      <c r="C520" s="305"/>
    </row>
    <row r="521" spans="2:3" ht="14.25" customHeight="1">
      <c r="B521" s="7"/>
      <c r="C521" s="305"/>
    </row>
    <row r="522" spans="2:3" ht="14.25" customHeight="1">
      <c r="B522" s="7"/>
      <c r="C522" s="305"/>
    </row>
    <row r="523" spans="2:3" ht="14.25" customHeight="1">
      <c r="B523" s="7"/>
      <c r="C523" s="305"/>
    </row>
    <row r="524" spans="2:3" ht="14.25" customHeight="1">
      <c r="B524" s="7"/>
      <c r="C524" s="305"/>
    </row>
    <row r="525" spans="2:3" ht="14.25" customHeight="1">
      <c r="B525" s="7"/>
      <c r="C525" s="305"/>
    </row>
    <row r="526" spans="2:3" ht="14.25" customHeight="1">
      <c r="B526" s="7"/>
      <c r="C526" s="305"/>
    </row>
    <row r="527" spans="2:3" ht="14.25" customHeight="1">
      <c r="B527" s="7"/>
      <c r="C527" s="305"/>
    </row>
    <row r="528" spans="2:3" ht="14.25" customHeight="1">
      <c r="B528" s="7"/>
      <c r="C528" s="305"/>
    </row>
    <row r="529" spans="2:3" ht="14.25" customHeight="1">
      <c r="B529" s="7"/>
      <c r="C529" s="305"/>
    </row>
    <row r="530" spans="2:3" ht="14.25" customHeight="1">
      <c r="B530" s="7"/>
      <c r="C530" s="305"/>
    </row>
    <row r="531" spans="2:3" ht="14.25" customHeight="1">
      <c r="B531" s="7"/>
      <c r="C531" s="305"/>
    </row>
    <row r="532" spans="2:3" ht="14.25" customHeight="1">
      <c r="B532" s="7"/>
      <c r="C532" s="305"/>
    </row>
    <row r="533" spans="2:3" ht="14.25" customHeight="1">
      <c r="B533" s="7"/>
      <c r="C533" s="305"/>
    </row>
    <row r="534" spans="2:3" ht="14.25" customHeight="1">
      <c r="B534" s="7"/>
      <c r="C534" s="305"/>
    </row>
    <row r="535" spans="2:3" ht="14.25" customHeight="1">
      <c r="B535" s="7"/>
      <c r="C535" s="305"/>
    </row>
    <row r="536" spans="2:3" ht="14.25" customHeight="1">
      <c r="B536" s="7"/>
      <c r="C536" s="305"/>
    </row>
    <row r="537" spans="2:3" ht="14.25" customHeight="1">
      <c r="B537" s="7"/>
      <c r="C537" s="305"/>
    </row>
    <row r="538" spans="2:3" ht="14.25" customHeight="1">
      <c r="B538" s="7"/>
      <c r="C538" s="305"/>
    </row>
    <row r="539" spans="2:3" ht="14.25" customHeight="1">
      <c r="B539" s="7"/>
      <c r="C539" s="305"/>
    </row>
    <row r="540" spans="2:3" ht="14.25" customHeight="1">
      <c r="B540" s="7"/>
      <c r="C540" s="305"/>
    </row>
    <row r="541" spans="2:3" ht="14.25" customHeight="1">
      <c r="B541" s="7"/>
      <c r="C541" s="305"/>
    </row>
    <row r="542" spans="2:3" ht="14.25" customHeight="1">
      <c r="B542" s="7"/>
      <c r="C542" s="305"/>
    </row>
    <row r="543" spans="2:3" ht="14.25" customHeight="1">
      <c r="B543" s="7"/>
      <c r="C543" s="305"/>
    </row>
    <row r="544" spans="2:3" ht="14.25" customHeight="1">
      <c r="B544" s="7"/>
      <c r="C544" s="305"/>
    </row>
    <row r="545" spans="2:3" ht="14.25" customHeight="1">
      <c r="B545" s="7"/>
      <c r="C545" s="305"/>
    </row>
    <row r="546" spans="2:3" ht="14.25" customHeight="1">
      <c r="B546" s="7"/>
      <c r="C546" s="305"/>
    </row>
    <row r="547" spans="2:3" ht="14.25" customHeight="1">
      <c r="B547" s="7"/>
      <c r="C547" s="305"/>
    </row>
    <row r="548" spans="2:3" ht="14.25" customHeight="1">
      <c r="B548" s="7"/>
      <c r="C548" s="305"/>
    </row>
    <row r="549" spans="2:3" ht="14.25" customHeight="1">
      <c r="B549" s="7"/>
      <c r="C549" s="305"/>
    </row>
    <row r="550" spans="2:3" ht="14.25" customHeight="1">
      <c r="B550" s="7"/>
      <c r="C550" s="305"/>
    </row>
    <row r="551" spans="2:3" ht="14.25" customHeight="1">
      <c r="B551" s="7"/>
      <c r="C551" s="305"/>
    </row>
    <row r="552" spans="2:3" ht="14.25" customHeight="1">
      <c r="B552" s="7"/>
      <c r="C552" s="305"/>
    </row>
    <row r="553" spans="2:3" ht="14.25" customHeight="1">
      <c r="B553" s="7"/>
      <c r="C553" s="305"/>
    </row>
    <row r="554" spans="2:3" ht="14.25" customHeight="1">
      <c r="B554" s="7"/>
      <c r="C554" s="305"/>
    </row>
    <row r="555" spans="2:3" ht="14.25" customHeight="1">
      <c r="B555" s="7"/>
      <c r="C555" s="305"/>
    </row>
    <row r="556" spans="2:3" ht="14.25" customHeight="1">
      <c r="B556" s="7"/>
      <c r="C556" s="305"/>
    </row>
    <row r="557" spans="2:3" ht="14.25" customHeight="1">
      <c r="B557" s="7"/>
      <c r="C557" s="305"/>
    </row>
    <row r="558" spans="2:3" ht="14.25" customHeight="1">
      <c r="B558" s="7"/>
      <c r="C558" s="305"/>
    </row>
    <row r="559" spans="2:3" ht="14.25" customHeight="1">
      <c r="B559" s="7"/>
      <c r="C559" s="305"/>
    </row>
    <row r="560" spans="2:3" ht="14.25" customHeight="1">
      <c r="B560" s="7"/>
      <c r="C560" s="305"/>
    </row>
    <row r="561" spans="2:3" ht="14.25" customHeight="1">
      <c r="B561" s="7"/>
      <c r="C561" s="305"/>
    </row>
    <row r="562" spans="2:3" ht="14.25" customHeight="1">
      <c r="B562" s="7"/>
      <c r="C562" s="305"/>
    </row>
    <row r="563" spans="2:3" ht="14.25" customHeight="1">
      <c r="B563" s="7"/>
      <c r="C563" s="305"/>
    </row>
    <row r="564" spans="2:3" ht="14.25" customHeight="1">
      <c r="B564" s="7"/>
      <c r="C564" s="305"/>
    </row>
    <row r="565" spans="2:3" ht="14.25" customHeight="1">
      <c r="B565" s="7"/>
      <c r="C565" s="305"/>
    </row>
    <row r="566" spans="2:3" ht="14.25" customHeight="1">
      <c r="B566" s="7"/>
      <c r="C566" s="305"/>
    </row>
    <row r="567" spans="2:3" ht="14.25" customHeight="1">
      <c r="B567" s="7"/>
      <c r="C567" s="305"/>
    </row>
    <row r="568" spans="2:3" ht="14.25" customHeight="1">
      <c r="B568" s="7"/>
      <c r="C568" s="305"/>
    </row>
    <row r="569" spans="2:3" ht="14.25" customHeight="1">
      <c r="B569" s="7"/>
      <c r="C569" s="305"/>
    </row>
    <row r="570" spans="2:3" ht="14.25" customHeight="1">
      <c r="B570" s="7"/>
      <c r="C570" s="305"/>
    </row>
    <row r="571" spans="2:3" ht="14.25" customHeight="1">
      <c r="B571" s="7"/>
      <c r="C571" s="305"/>
    </row>
    <row r="572" spans="2:3" ht="14.25" customHeight="1">
      <c r="B572" s="7"/>
      <c r="C572" s="305"/>
    </row>
    <row r="573" spans="2:3" ht="14.25" customHeight="1">
      <c r="B573" s="7"/>
      <c r="C573" s="305"/>
    </row>
    <row r="574" spans="2:3" ht="14.25" customHeight="1">
      <c r="B574" s="7"/>
      <c r="C574" s="305"/>
    </row>
    <row r="575" spans="2:3" ht="14.25" customHeight="1">
      <c r="B575" s="7"/>
      <c r="C575" s="305"/>
    </row>
    <row r="576" spans="2:3" ht="14.25" customHeight="1">
      <c r="B576" s="7"/>
      <c r="C576" s="305"/>
    </row>
    <row r="577" spans="2:3" ht="14.25" customHeight="1">
      <c r="B577" s="7"/>
      <c r="C577" s="305"/>
    </row>
    <row r="578" spans="2:3" ht="14.25" customHeight="1">
      <c r="B578" s="7"/>
      <c r="C578" s="305"/>
    </row>
    <row r="579" spans="2:3" ht="14.25" customHeight="1">
      <c r="B579" s="7"/>
      <c r="C579" s="305"/>
    </row>
    <row r="580" spans="2:3" ht="14.25" customHeight="1">
      <c r="B580" s="7"/>
      <c r="C580" s="305"/>
    </row>
    <row r="581" spans="2:3" ht="14.25" customHeight="1">
      <c r="B581" s="7"/>
      <c r="C581" s="305"/>
    </row>
    <row r="582" spans="2:3" ht="14.25" customHeight="1">
      <c r="B582" s="7"/>
      <c r="C582" s="305"/>
    </row>
    <row r="583" spans="2:3" ht="14.25" customHeight="1">
      <c r="B583" s="7"/>
      <c r="C583" s="305"/>
    </row>
    <row r="584" spans="2:3" ht="14.25" customHeight="1">
      <c r="B584" s="7"/>
      <c r="C584" s="305"/>
    </row>
    <row r="585" spans="2:3" ht="14.25" customHeight="1">
      <c r="B585" s="7"/>
      <c r="C585" s="305"/>
    </row>
    <row r="586" spans="2:3" ht="14.25" customHeight="1">
      <c r="B586" s="7"/>
      <c r="C586" s="305"/>
    </row>
    <row r="587" spans="2:3" ht="14.25" customHeight="1">
      <c r="B587" s="7"/>
      <c r="C587" s="305"/>
    </row>
    <row r="588" spans="2:3" ht="14.25" customHeight="1">
      <c r="B588" s="7"/>
      <c r="C588" s="305"/>
    </row>
    <row r="589" spans="2:3" ht="14.25" customHeight="1">
      <c r="B589" s="7"/>
      <c r="C589" s="305"/>
    </row>
    <row r="590" spans="2:3" ht="14.25" customHeight="1">
      <c r="B590" s="7"/>
      <c r="C590" s="305"/>
    </row>
    <row r="591" spans="2:3" ht="14.25" customHeight="1">
      <c r="B591" s="7"/>
      <c r="C591" s="305"/>
    </row>
    <row r="592" spans="2:3" ht="14.25" customHeight="1">
      <c r="B592" s="7"/>
      <c r="C592" s="305"/>
    </row>
    <row r="593" spans="2:3" ht="14.25" customHeight="1">
      <c r="B593" s="7"/>
      <c r="C593" s="305"/>
    </row>
    <row r="594" spans="2:3" ht="14.25" customHeight="1">
      <c r="B594" s="7"/>
      <c r="C594" s="305"/>
    </row>
    <row r="595" spans="2:3" ht="14.25" customHeight="1">
      <c r="B595" s="7"/>
      <c r="C595" s="305"/>
    </row>
    <row r="596" spans="2:3" ht="14.25" customHeight="1">
      <c r="B596" s="7"/>
      <c r="C596" s="305"/>
    </row>
    <row r="597" spans="2:3" ht="14.25" customHeight="1">
      <c r="B597" s="7"/>
      <c r="C597" s="305"/>
    </row>
    <row r="598" spans="2:3" ht="14.25" customHeight="1">
      <c r="B598" s="7"/>
      <c r="C598" s="305"/>
    </row>
    <row r="599" spans="2:3" ht="14.25" customHeight="1">
      <c r="B599" s="7"/>
      <c r="C599" s="305"/>
    </row>
    <row r="600" spans="2:3" ht="14.25" customHeight="1">
      <c r="B600" s="7"/>
      <c r="C600" s="305"/>
    </row>
    <row r="601" spans="2:3" ht="14.25" customHeight="1">
      <c r="B601" s="7"/>
      <c r="C601" s="305"/>
    </row>
    <row r="602" spans="2:3" ht="14.25" customHeight="1">
      <c r="B602" s="7"/>
      <c r="C602" s="305"/>
    </row>
    <row r="603" spans="2:3" ht="14.25" customHeight="1">
      <c r="B603" s="7"/>
      <c r="C603" s="305"/>
    </row>
    <row r="604" spans="2:3" ht="14.25" customHeight="1">
      <c r="B604" s="7"/>
      <c r="C604" s="305"/>
    </row>
    <row r="605" spans="2:3" ht="14.25" customHeight="1">
      <c r="B605" s="7"/>
      <c r="C605" s="305"/>
    </row>
    <row r="606" spans="2:3" ht="14.25" customHeight="1">
      <c r="B606" s="7"/>
      <c r="C606" s="305"/>
    </row>
    <row r="607" spans="2:3" ht="14.25" customHeight="1">
      <c r="B607" s="7"/>
      <c r="C607" s="305"/>
    </row>
    <row r="608" spans="2:3" ht="14.25" customHeight="1">
      <c r="B608" s="7"/>
      <c r="C608" s="305"/>
    </row>
    <row r="609" spans="2:3" ht="14.25" customHeight="1">
      <c r="B609" s="7"/>
      <c r="C609" s="305"/>
    </row>
    <row r="610" spans="2:3" ht="14.25" customHeight="1">
      <c r="B610" s="7"/>
      <c r="C610" s="305"/>
    </row>
    <row r="611" spans="2:3" ht="14.25" customHeight="1">
      <c r="B611" s="7"/>
      <c r="C611" s="305"/>
    </row>
    <row r="612" spans="2:3" ht="14.25" customHeight="1">
      <c r="B612" s="7"/>
      <c r="C612" s="305"/>
    </row>
    <row r="613" spans="2:3" ht="14.25" customHeight="1">
      <c r="B613" s="7"/>
      <c r="C613" s="305"/>
    </row>
    <row r="614" spans="2:3" ht="14.25" customHeight="1">
      <c r="B614" s="7"/>
      <c r="C614" s="305"/>
    </row>
    <row r="615" spans="2:3" ht="14.25" customHeight="1">
      <c r="B615" s="7"/>
      <c r="C615" s="305"/>
    </row>
    <row r="616" spans="2:3" ht="14.25" customHeight="1">
      <c r="B616" s="7"/>
      <c r="C616" s="305"/>
    </row>
    <row r="617" spans="2:3" ht="14.25" customHeight="1">
      <c r="B617" s="7"/>
      <c r="C617" s="305"/>
    </row>
    <row r="618" spans="2:3" ht="14.25" customHeight="1">
      <c r="B618" s="7"/>
      <c r="C618" s="305"/>
    </row>
    <row r="619" spans="2:3" ht="14.25" customHeight="1">
      <c r="B619" s="7"/>
      <c r="C619" s="305"/>
    </row>
    <row r="620" spans="2:3" ht="14.25" customHeight="1">
      <c r="B620" s="7"/>
      <c r="C620" s="305"/>
    </row>
    <row r="621" spans="2:3" ht="14.25" customHeight="1">
      <c r="B621" s="7"/>
      <c r="C621" s="305"/>
    </row>
    <row r="622" spans="2:3" ht="14.25" customHeight="1">
      <c r="B622" s="7"/>
      <c r="C622" s="305"/>
    </row>
    <row r="623" spans="2:3" ht="14.25" customHeight="1">
      <c r="B623" s="7"/>
      <c r="C623" s="305"/>
    </row>
    <row r="624" spans="2:3" ht="14.25" customHeight="1">
      <c r="B624" s="7"/>
      <c r="C624" s="305"/>
    </row>
    <row r="625" spans="2:3" ht="14.25" customHeight="1">
      <c r="B625" s="7"/>
      <c r="C625" s="305"/>
    </row>
    <row r="626" spans="2:3" ht="14.25" customHeight="1">
      <c r="B626" s="7"/>
      <c r="C626" s="305"/>
    </row>
    <row r="627" spans="2:3" ht="14.25" customHeight="1">
      <c r="B627" s="7"/>
      <c r="C627" s="305"/>
    </row>
    <row r="628" spans="2:3" ht="14.25" customHeight="1">
      <c r="B628" s="7"/>
      <c r="C628" s="305"/>
    </row>
    <row r="629" spans="2:3" ht="14.25" customHeight="1">
      <c r="B629" s="7"/>
      <c r="C629" s="305"/>
    </row>
    <row r="630" spans="2:3" ht="14.25" customHeight="1">
      <c r="B630" s="7"/>
      <c r="C630" s="305"/>
    </row>
    <row r="631" spans="2:3" ht="14.25" customHeight="1">
      <c r="B631" s="7"/>
      <c r="C631" s="305"/>
    </row>
    <row r="632" spans="2:3" ht="14.25" customHeight="1">
      <c r="B632" s="7"/>
      <c r="C632" s="305"/>
    </row>
    <row r="633" spans="2:3" ht="14.25" customHeight="1">
      <c r="B633" s="7"/>
      <c r="C633" s="305"/>
    </row>
    <row r="634" spans="2:3" ht="14.25" customHeight="1">
      <c r="B634" s="7"/>
      <c r="C634" s="305"/>
    </row>
    <row r="635" spans="2:3" ht="14.25" customHeight="1">
      <c r="B635" s="7"/>
      <c r="C635" s="305"/>
    </row>
    <row r="636" spans="2:3" ht="14.25" customHeight="1">
      <c r="B636" s="7"/>
      <c r="C636" s="305"/>
    </row>
    <row r="637" spans="2:3" ht="14.25" customHeight="1">
      <c r="B637" s="7"/>
      <c r="C637" s="305"/>
    </row>
    <row r="638" spans="2:3" ht="14.25" customHeight="1">
      <c r="B638" s="7"/>
      <c r="C638" s="305"/>
    </row>
    <row r="639" spans="2:3" ht="14.25" customHeight="1">
      <c r="B639" s="7"/>
      <c r="C639" s="305"/>
    </row>
    <row r="640" spans="2:3" ht="14.25" customHeight="1">
      <c r="B640" s="7"/>
      <c r="C640" s="305"/>
    </row>
    <row r="641" spans="2:3" ht="14.25" customHeight="1">
      <c r="B641" s="7"/>
      <c r="C641" s="305"/>
    </row>
    <row r="642" spans="2:3" ht="14.25" customHeight="1">
      <c r="B642" s="7"/>
      <c r="C642" s="305"/>
    </row>
    <row r="643" spans="2:3" ht="14.25" customHeight="1">
      <c r="B643" s="7"/>
      <c r="C643" s="305"/>
    </row>
    <row r="644" spans="2:3" ht="14.25" customHeight="1">
      <c r="B644" s="7"/>
      <c r="C644" s="305"/>
    </row>
    <row r="645" spans="2:3" ht="14.25" customHeight="1">
      <c r="B645" s="7"/>
      <c r="C645" s="305"/>
    </row>
    <row r="646" spans="2:3" ht="14.25" customHeight="1">
      <c r="B646" s="7"/>
      <c r="C646" s="305"/>
    </row>
    <row r="647" spans="2:3" ht="14.25" customHeight="1">
      <c r="B647" s="7"/>
      <c r="C647" s="305"/>
    </row>
    <row r="648" spans="2:3" ht="14.25" customHeight="1">
      <c r="B648" s="7"/>
      <c r="C648" s="305"/>
    </row>
    <row r="649" spans="2:3" ht="14.25" customHeight="1">
      <c r="B649" s="7"/>
      <c r="C649" s="305"/>
    </row>
    <row r="650" spans="2:3" ht="14.25" customHeight="1">
      <c r="B650" s="7"/>
      <c r="C650" s="305"/>
    </row>
    <row r="651" spans="2:3" ht="14.25" customHeight="1">
      <c r="B651" s="7"/>
      <c r="C651" s="305"/>
    </row>
    <row r="652" spans="2:3" ht="14.25" customHeight="1">
      <c r="B652" s="7"/>
      <c r="C652" s="305"/>
    </row>
    <row r="653" spans="2:3" ht="14.25" customHeight="1">
      <c r="B653" s="7"/>
      <c r="C653" s="305"/>
    </row>
    <row r="654" spans="2:3" ht="14.25" customHeight="1">
      <c r="B654" s="7"/>
      <c r="C654" s="305"/>
    </row>
    <row r="655" spans="2:3" ht="14.25" customHeight="1">
      <c r="B655" s="7"/>
      <c r="C655" s="305"/>
    </row>
    <row r="656" spans="2:3" ht="14.25" customHeight="1">
      <c r="B656" s="7"/>
      <c r="C656" s="305"/>
    </row>
    <row r="657" spans="2:3" ht="14.25" customHeight="1">
      <c r="B657" s="7"/>
      <c r="C657" s="305"/>
    </row>
    <row r="658" spans="2:3" ht="14.25" customHeight="1">
      <c r="B658" s="7"/>
      <c r="C658" s="305"/>
    </row>
    <row r="659" spans="2:3" ht="14.25" customHeight="1">
      <c r="B659" s="7"/>
      <c r="C659" s="305"/>
    </row>
    <row r="660" spans="2:3" ht="14.25" customHeight="1">
      <c r="B660" s="7"/>
      <c r="C660" s="305"/>
    </row>
    <row r="661" spans="2:3" ht="14.25" customHeight="1">
      <c r="B661" s="7"/>
      <c r="C661" s="305"/>
    </row>
    <row r="662" spans="2:3" ht="14.25" customHeight="1">
      <c r="B662" s="7"/>
      <c r="C662" s="305"/>
    </row>
    <row r="663" spans="2:3" ht="14.25" customHeight="1">
      <c r="B663" s="7"/>
      <c r="C663" s="305"/>
    </row>
    <row r="664" spans="2:3" ht="14.25" customHeight="1">
      <c r="B664" s="7"/>
      <c r="C664" s="305"/>
    </row>
    <row r="665" spans="2:3" ht="14.25" customHeight="1">
      <c r="B665" s="7"/>
      <c r="C665" s="305"/>
    </row>
    <row r="666" spans="2:3" ht="14.25" customHeight="1">
      <c r="B666" s="7"/>
      <c r="C666" s="305"/>
    </row>
    <row r="667" spans="2:3" ht="14.25" customHeight="1">
      <c r="B667" s="7"/>
      <c r="C667" s="305"/>
    </row>
    <row r="668" spans="2:3" ht="14.25" customHeight="1">
      <c r="B668" s="7"/>
      <c r="C668" s="305"/>
    </row>
    <row r="669" spans="2:3" ht="14.25" customHeight="1">
      <c r="B669" s="7"/>
      <c r="C669" s="305"/>
    </row>
    <row r="670" spans="2:3" ht="14.25" customHeight="1">
      <c r="B670" s="7"/>
      <c r="C670" s="305"/>
    </row>
    <row r="671" spans="2:3" ht="14.25" customHeight="1">
      <c r="B671" s="7"/>
      <c r="C671" s="305"/>
    </row>
    <row r="672" spans="2:3" ht="14.25" customHeight="1">
      <c r="B672" s="7"/>
      <c r="C672" s="305"/>
    </row>
    <row r="673" spans="2:3" ht="14.25" customHeight="1">
      <c r="B673" s="7"/>
      <c r="C673" s="305"/>
    </row>
    <row r="674" spans="2:3" ht="14.25" customHeight="1">
      <c r="B674" s="7"/>
      <c r="C674" s="305"/>
    </row>
    <row r="675" spans="2:3" ht="14.25" customHeight="1">
      <c r="B675" s="7"/>
      <c r="C675" s="305"/>
    </row>
    <row r="676" spans="2:3" ht="14.25" customHeight="1">
      <c r="B676" s="7"/>
      <c r="C676" s="305"/>
    </row>
    <row r="677" spans="2:3" ht="14.25" customHeight="1">
      <c r="B677" s="7"/>
      <c r="C677" s="305"/>
    </row>
    <row r="678" spans="2:3" ht="14.25" customHeight="1">
      <c r="B678" s="7"/>
      <c r="C678" s="305"/>
    </row>
    <row r="679" spans="2:3" ht="14.25" customHeight="1">
      <c r="B679" s="7"/>
      <c r="C679" s="305"/>
    </row>
    <row r="680" spans="2:3" ht="14.25" customHeight="1">
      <c r="B680" s="7"/>
      <c r="C680" s="305"/>
    </row>
    <row r="681" spans="2:3" ht="14.25" customHeight="1">
      <c r="B681" s="7"/>
      <c r="C681" s="305"/>
    </row>
    <row r="682" spans="2:3" ht="14.25" customHeight="1">
      <c r="B682" s="7"/>
      <c r="C682" s="305"/>
    </row>
    <row r="683" spans="2:3" ht="14.25" customHeight="1">
      <c r="B683" s="7"/>
      <c r="C683" s="305"/>
    </row>
    <row r="684" spans="2:3" ht="14.25" customHeight="1">
      <c r="B684" s="7"/>
      <c r="C684" s="305"/>
    </row>
    <row r="685" spans="2:3" ht="14.25" customHeight="1">
      <c r="B685" s="7"/>
      <c r="C685" s="305"/>
    </row>
    <row r="686" spans="2:3" ht="14.25" customHeight="1">
      <c r="B686" s="7"/>
      <c r="C686" s="305"/>
    </row>
    <row r="687" spans="2:3" ht="14.25" customHeight="1">
      <c r="B687" s="7"/>
      <c r="C687" s="305"/>
    </row>
    <row r="688" spans="2:3" ht="14.25" customHeight="1">
      <c r="B688" s="7"/>
      <c r="C688" s="305"/>
    </row>
    <row r="689" spans="2:3" ht="14.25" customHeight="1">
      <c r="B689" s="7"/>
      <c r="C689" s="305"/>
    </row>
    <row r="690" spans="2:3" ht="14.25" customHeight="1">
      <c r="B690" s="7"/>
      <c r="C690" s="305"/>
    </row>
    <row r="691" spans="2:3" ht="14.25" customHeight="1">
      <c r="B691" s="7"/>
      <c r="C691" s="305"/>
    </row>
    <row r="692" spans="2:3" ht="14.25" customHeight="1">
      <c r="B692" s="7"/>
      <c r="C692" s="305"/>
    </row>
    <row r="693" spans="2:3" ht="14.25" customHeight="1">
      <c r="B693" s="7"/>
      <c r="C693" s="305"/>
    </row>
    <row r="694" spans="2:3" ht="14.25" customHeight="1">
      <c r="B694" s="7"/>
      <c r="C694" s="305"/>
    </row>
    <row r="695" spans="2:3" ht="14.25" customHeight="1">
      <c r="B695" s="7"/>
      <c r="C695" s="305"/>
    </row>
    <row r="696" spans="2:3" ht="14.25" customHeight="1">
      <c r="B696" s="7"/>
      <c r="C696" s="305"/>
    </row>
    <row r="697" spans="2:3" ht="14.25" customHeight="1">
      <c r="B697" s="7"/>
      <c r="C697" s="305"/>
    </row>
    <row r="698" spans="2:3" ht="14.25" customHeight="1">
      <c r="B698" s="7"/>
      <c r="C698" s="305"/>
    </row>
    <row r="699" spans="2:3" ht="14.25" customHeight="1">
      <c r="B699" s="7"/>
      <c r="C699" s="305"/>
    </row>
    <row r="700" spans="2:3" ht="14.25" customHeight="1">
      <c r="B700" s="7"/>
      <c r="C700" s="305"/>
    </row>
    <row r="701" spans="2:3" ht="14.25" customHeight="1">
      <c r="B701" s="7"/>
      <c r="C701" s="305"/>
    </row>
    <row r="702" spans="2:3" ht="14.25" customHeight="1">
      <c r="B702" s="7"/>
      <c r="C702" s="305"/>
    </row>
    <row r="703" spans="2:3" ht="14.25" customHeight="1">
      <c r="B703" s="7"/>
      <c r="C703" s="305"/>
    </row>
    <row r="704" spans="2:3" ht="14.25" customHeight="1">
      <c r="B704" s="7"/>
      <c r="C704" s="305"/>
    </row>
    <row r="705" spans="2:3" ht="14.25" customHeight="1">
      <c r="B705" s="7"/>
      <c r="C705" s="305"/>
    </row>
    <row r="706" spans="2:3" ht="14.25" customHeight="1">
      <c r="B706" s="7"/>
      <c r="C706" s="305"/>
    </row>
    <row r="707" spans="2:3" ht="14.25" customHeight="1">
      <c r="B707" s="7"/>
      <c r="C707" s="305"/>
    </row>
    <row r="708" spans="2:3" ht="14.25" customHeight="1">
      <c r="B708" s="7"/>
      <c r="C708" s="305"/>
    </row>
    <row r="709" spans="2:3" ht="14.25" customHeight="1">
      <c r="B709" s="7"/>
      <c r="C709" s="305"/>
    </row>
    <row r="710" spans="2:3" ht="14.25" customHeight="1">
      <c r="B710" s="7"/>
      <c r="C710" s="305"/>
    </row>
    <row r="711" spans="2:3" ht="14.25" customHeight="1">
      <c r="B711" s="7"/>
      <c r="C711" s="305"/>
    </row>
    <row r="712" spans="2:3" ht="14.25" customHeight="1">
      <c r="B712" s="7"/>
      <c r="C712" s="305"/>
    </row>
    <row r="713" spans="2:3" ht="14.25" customHeight="1">
      <c r="B713" s="7"/>
      <c r="C713" s="305"/>
    </row>
    <row r="714" spans="2:3" ht="14.25" customHeight="1">
      <c r="B714" s="7"/>
      <c r="C714" s="305"/>
    </row>
    <row r="715" spans="2:3" ht="14.25" customHeight="1">
      <c r="B715" s="7"/>
      <c r="C715" s="305"/>
    </row>
    <row r="716" spans="2:3" ht="14.25" customHeight="1">
      <c r="B716" s="7"/>
      <c r="C716" s="305"/>
    </row>
    <row r="717" spans="2:3" ht="14.25" customHeight="1">
      <c r="B717" s="7"/>
      <c r="C717" s="305"/>
    </row>
    <row r="718" spans="2:3" ht="14.25" customHeight="1">
      <c r="B718" s="7"/>
      <c r="C718" s="305"/>
    </row>
    <row r="719" spans="2:3" ht="14.25" customHeight="1">
      <c r="B719" s="7"/>
      <c r="C719" s="305"/>
    </row>
    <row r="720" spans="2:3" ht="14.25" customHeight="1">
      <c r="B720" s="7"/>
      <c r="C720" s="305"/>
    </row>
    <row r="721" spans="2:3" ht="14.25" customHeight="1">
      <c r="B721" s="7"/>
      <c r="C721" s="305"/>
    </row>
    <row r="722" spans="2:3" ht="14.25" customHeight="1">
      <c r="B722" s="7"/>
      <c r="C722" s="305"/>
    </row>
    <row r="723" spans="2:3" ht="14.25" customHeight="1">
      <c r="B723" s="7"/>
      <c r="C723" s="305"/>
    </row>
    <row r="724" spans="2:3" ht="14.25" customHeight="1">
      <c r="B724" s="7"/>
      <c r="C724" s="305"/>
    </row>
    <row r="725" spans="2:3" ht="14.25" customHeight="1">
      <c r="B725" s="7"/>
      <c r="C725" s="305"/>
    </row>
    <row r="726" spans="2:3" ht="14.25" customHeight="1">
      <c r="B726" s="7"/>
      <c r="C726" s="305"/>
    </row>
    <row r="727" spans="2:3" ht="14.25" customHeight="1">
      <c r="B727" s="7"/>
      <c r="C727" s="305"/>
    </row>
    <row r="728" spans="2:3" ht="14.25" customHeight="1">
      <c r="B728" s="7"/>
      <c r="C728" s="305"/>
    </row>
    <row r="729" spans="2:3" ht="14.25" customHeight="1">
      <c r="B729" s="7"/>
      <c r="C729" s="305"/>
    </row>
    <row r="730" spans="2:3" ht="14.25" customHeight="1">
      <c r="B730" s="7"/>
      <c r="C730" s="305"/>
    </row>
    <row r="731" spans="2:3" ht="14.25" customHeight="1">
      <c r="B731" s="7"/>
      <c r="C731" s="305"/>
    </row>
    <row r="732" spans="2:3" ht="14.25" customHeight="1">
      <c r="B732" s="7"/>
      <c r="C732" s="305"/>
    </row>
    <row r="733" spans="2:3" ht="14.25" customHeight="1">
      <c r="B733" s="7"/>
      <c r="C733" s="305"/>
    </row>
    <row r="734" spans="2:3" ht="14.25" customHeight="1">
      <c r="B734" s="7"/>
      <c r="C734" s="305"/>
    </row>
    <row r="735" spans="2:3" ht="14.25" customHeight="1">
      <c r="B735" s="7"/>
      <c r="C735" s="305"/>
    </row>
    <row r="736" spans="2:3" ht="14.25" customHeight="1">
      <c r="B736" s="7"/>
      <c r="C736" s="305"/>
    </row>
    <row r="737" spans="2:3" ht="14.25" customHeight="1">
      <c r="B737" s="7"/>
      <c r="C737" s="305"/>
    </row>
    <row r="738" spans="2:3" ht="14.25" customHeight="1">
      <c r="B738" s="7"/>
      <c r="C738" s="305"/>
    </row>
    <row r="739" spans="2:3" ht="14.25" customHeight="1">
      <c r="B739" s="7"/>
      <c r="C739" s="305"/>
    </row>
    <row r="740" spans="2:3" ht="14.25" customHeight="1">
      <c r="B740" s="7"/>
      <c r="C740" s="305"/>
    </row>
    <row r="741" spans="2:3" ht="14.25" customHeight="1">
      <c r="B741" s="7"/>
      <c r="C741" s="305"/>
    </row>
    <row r="742" spans="2:3" ht="14.25" customHeight="1">
      <c r="B742" s="7"/>
      <c r="C742" s="305"/>
    </row>
    <row r="743" spans="2:3" ht="14.25" customHeight="1">
      <c r="B743" s="7"/>
      <c r="C743" s="305"/>
    </row>
    <row r="744" spans="2:3" ht="14.25" customHeight="1">
      <c r="B744" s="7"/>
      <c r="C744" s="305"/>
    </row>
    <row r="745" spans="2:3" ht="14.25" customHeight="1">
      <c r="B745" s="7"/>
      <c r="C745" s="305"/>
    </row>
    <row r="746" spans="2:3" ht="14.25" customHeight="1">
      <c r="B746" s="7"/>
      <c r="C746" s="305"/>
    </row>
    <row r="747" spans="2:3" ht="14.25" customHeight="1">
      <c r="B747" s="7"/>
      <c r="C747" s="305"/>
    </row>
    <row r="748" spans="2:3" ht="14.25" customHeight="1">
      <c r="B748" s="7"/>
      <c r="C748" s="305"/>
    </row>
    <row r="749" spans="2:3" ht="14.25" customHeight="1">
      <c r="B749" s="7"/>
      <c r="C749" s="305"/>
    </row>
    <row r="750" spans="2:3" ht="14.25" customHeight="1">
      <c r="B750" s="7"/>
      <c r="C750" s="305"/>
    </row>
    <row r="751" spans="2:3" ht="14.25" customHeight="1">
      <c r="B751" s="7"/>
      <c r="C751" s="305"/>
    </row>
    <row r="752" spans="2:3" ht="14.25" customHeight="1">
      <c r="B752" s="7"/>
      <c r="C752" s="305"/>
    </row>
    <row r="753" spans="2:3" ht="14.25" customHeight="1">
      <c r="B753" s="7"/>
      <c r="C753" s="305"/>
    </row>
    <row r="754" spans="2:3" ht="14.25" customHeight="1">
      <c r="B754" s="7"/>
      <c r="C754" s="305"/>
    </row>
    <row r="755" spans="2:3" ht="14.25" customHeight="1">
      <c r="B755" s="7"/>
      <c r="C755" s="305"/>
    </row>
    <row r="756" spans="2:3" ht="14.25" customHeight="1">
      <c r="B756" s="7"/>
      <c r="C756" s="305"/>
    </row>
    <row r="757" spans="2:3" ht="14.25" customHeight="1">
      <c r="B757" s="7"/>
      <c r="C757" s="305"/>
    </row>
    <row r="758" spans="2:3" ht="14.25" customHeight="1">
      <c r="B758" s="7"/>
      <c r="C758" s="305"/>
    </row>
    <row r="759" spans="2:3" ht="14.25" customHeight="1">
      <c r="B759" s="7"/>
      <c r="C759" s="305"/>
    </row>
    <row r="760" spans="2:3" ht="14.25" customHeight="1">
      <c r="B760" s="7"/>
      <c r="C760" s="305"/>
    </row>
    <row r="761" spans="2:3" ht="14.25" customHeight="1">
      <c r="B761" s="7"/>
      <c r="C761" s="305"/>
    </row>
    <row r="762" spans="2:3" ht="14.25" customHeight="1">
      <c r="B762" s="7"/>
      <c r="C762" s="305"/>
    </row>
    <row r="763" spans="2:3" ht="14.25" customHeight="1">
      <c r="B763" s="7"/>
      <c r="C763" s="305"/>
    </row>
    <row r="764" spans="2:3" ht="14.25" customHeight="1">
      <c r="B764" s="7"/>
      <c r="C764" s="305"/>
    </row>
    <row r="765" spans="2:3" ht="14.25" customHeight="1">
      <c r="B765" s="7"/>
      <c r="C765" s="305"/>
    </row>
    <row r="766" spans="2:3" ht="14.25" customHeight="1">
      <c r="B766" s="7"/>
      <c r="C766" s="305"/>
    </row>
    <row r="767" spans="2:3" ht="14.25" customHeight="1">
      <c r="B767" s="7"/>
      <c r="C767" s="305"/>
    </row>
    <row r="768" spans="2:3" ht="14.25" customHeight="1">
      <c r="B768" s="7"/>
      <c r="C768" s="305"/>
    </row>
    <row r="769" spans="2:3" ht="14.25" customHeight="1">
      <c r="B769" s="7"/>
      <c r="C769" s="305"/>
    </row>
    <row r="770" spans="2:3" ht="14.25" customHeight="1">
      <c r="B770" s="7"/>
      <c r="C770" s="305"/>
    </row>
    <row r="771" spans="2:3" ht="14.25" customHeight="1">
      <c r="B771" s="7"/>
      <c r="C771" s="305"/>
    </row>
    <row r="772" spans="2:3" ht="14.25" customHeight="1">
      <c r="B772" s="7"/>
      <c r="C772" s="305"/>
    </row>
    <row r="773" spans="2:3" ht="14.25" customHeight="1">
      <c r="B773" s="7"/>
      <c r="C773" s="305"/>
    </row>
    <row r="774" spans="2:3" ht="14.25" customHeight="1">
      <c r="B774" s="7"/>
      <c r="C774" s="305"/>
    </row>
    <row r="775" spans="2:3" ht="14.25" customHeight="1">
      <c r="B775" s="7"/>
      <c r="C775" s="305"/>
    </row>
    <row r="776" spans="2:3" ht="14.25" customHeight="1">
      <c r="B776" s="7"/>
      <c r="C776" s="305"/>
    </row>
    <row r="777" spans="2:3" ht="14.25" customHeight="1">
      <c r="B777" s="7"/>
      <c r="C777" s="305"/>
    </row>
    <row r="778" spans="2:3" ht="14.25" customHeight="1">
      <c r="B778" s="7"/>
      <c r="C778" s="305"/>
    </row>
    <row r="779" spans="2:3" ht="14.25" customHeight="1">
      <c r="B779" s="7"/>
      <c r="C779" s="305"/>
    </row>
    <row r="780" spans="2:3" ht="14.25" customHeight="1">
      <c r="B780" s="7"/>
      <c r="C780" s="305"/>
    </row>
    <row r="781" spans="2:3" ht="14.25" customHeight="1">
      <c r="B781" s="7"/>
      <c r="C781" s="305"/>
    </row>
    <row r="782" spans="2:3" ht="14.25" customHeight="1">
      <c r="B782" s="7"/>
      <c r="C782" s="305"/>
    </row>
    <row r="783" spans="2:3" ht="14.25" customHeight="1">
      <c r="B783" s="7"/>
      <c r="C783" s="305"/>
    </row>
    <row r="784" spans="2:3" ht="14.25" customHeight="1">
      <c r="B784" s="7"/>
      <c r="C784" s="305"/>
    </row>
    <row r="785" spans="2:3" ht="14.25" customHeight="1">
      <c r="B785" s="7"/>
      <c r="C785" s="305"/>
    </row>
    <row r="786" spans="2:3" ht="14.25" customHeight="1">
      <c r="B786" s="7"/>
      <c r="C786" s="305"/>
    </row>
    <row r="787" spans="2:3" ht="14.25" customHeight="1">
      <c r="B787" s="7"/>
      <c r="C787" s="305"/>
    </row>
    <row r="788" spans="2:3" ht="14.25" customHeight="1">
      <c r="B788" s="7"/>
      <c r="C788" s="305"/>
    </row>
    <row r="789" spans="2:3" ht="14.25" customHeight="1">
      <c r="B789" s="7"/>
      <c r="C789" s="305"/>
    </row>
    <row r="790" spans="2:3" ht="14.25" customHeight="1">
      <c r="B790" s="7"/>
      <c r="C790" s="305"/>
    </row>
    <row r="791" spans="2:3" ht="14.25" customHeight="1">
      <c r="B791" s="7"/>
      <c r="C791" s="305"/>
    </row>
    <row r="792" spans="2:3" ht="14.25" customHeight="1">
      <c r="B792" s="7"/>
      <c r="C792" s="305"/>
    </row>
    <row r="793" spans="2:3" ht="14.25" customHeight="1">
      <c r="B793" s="7"/>
      <c r="C793" s="305"/>
    </row>
    <row r="794" spans="2:3" ht="14.25" customHeight="1">
      <c r="B794" s="7"/>
      <c r="C794" s="305"/>
    </row>
    <row r="795" spans="2:3" ht="14.25" customHeight="1">
      <c r="B795" s="7"/>
      <c r="C795" s="305"/>
    </row>
    <row r="796" spans="2:3" ht="14.25" customHeight="1">
      <c r="B796" s="7"/>
      <c r="C796" s="305"/>
    </row>
    <row r="797" spans="2:3" ht="14.25" customHeight="1">
      <c r="B797" s="7"/>
      <c r="C797" s="305"/>
    </row>
    <row r="798" spans="2:3" ht="14.25" customHeight="1">
      <c r="B798" s="7"/>
      <c r="C798" s="305"/>
    </row>
    <row r="799" spans="2:3" ht="14.25" customHeight="1">
      <c r="B799" s="7"/>
      <c r="C799" s="305"/>
    </row>
    <row r="800" spans="2:3" ht="14.25" customHeight="1">
      <c r="B800" s="7"/>
      <c r="C800" s="305"/>
    </row>
    <row r="801" spans="2:3" ht="14.25" customHeight="1">
      <c r="B801" s="7"/>
      <c r="C801" s="305"/>
    </row>
    <row r="802" spans="2:3" ht="14.25" customHeight="1">
      <c r="B802" s="7"/>
      <c r="C802" s="305"/>
    </row>
    <row r="803" spans="2:3" ht="14.25" customHeight="1">
      <c r="B803" s="7"/>
      <c r="C803" s="305"/>
    </row>
    <row r="804" spans="2:3" ht="14.25" customHeight="1">
      <c r="B804" s="7"/>
      <c r="C804" s="305"/>
    </row>
    <row r="805" spans="2:3" ht="14.25" customHeight="1">
      <c r="B805" s="7"/>
      <c r="C805" s="305"/>
    </row>
    <row r="806" spans="2:3" ht="14.25" customHeight="1">
      <c r="B806" s="7"/>
      <c r="C806" s="305"/>
    </row>
    <row r="807" spans="2:3" ht="14.25" customHeight="1">
      <c r="B807" s="7"/>
      <c r="C807" s="305"/>
    </row>
    <row r="808" spans="2:3" ht="14.25" customHeight="1">
      <c r="B808" s="7"/>
      <c r="C808" s="305"/>
    </row>
    <row r="809" spans="2:3" ht="14.25" customHeight="1">
      <c r="B809" s="7"/>
      <c r="C809" s="305"/>
    </row>
    <row r="810" spans="2:3" ht="14.25" customHeight="1">
      <c r="B810" s="7"/>
      <c r="C810" s="305"/>
    </row>
    <row r="811" spans="2:3" ht="14.25" customHeight="1">
      <c r="B811" s="7"/>
      <c r="C811" s="305"/>
    </row>
    <row r="812" spans="2:3" ht="14.25" customHeight="1">
      <c r="B812" s="7"/>
      <c r="C812" s="305"/>
    </row>
    <row r="813" spans="2:3" ht="14.25" customHeight="1">
      <c r="B813" s="7"/>
      <c r="C813" s="305"/>
    </row>
    <row r="814" spans="2:3" ht="14.25" customHeight="1">
      <c r="B814" s="7"/>
      <c r="C814" s="305"/>
    </row>
    <row r="815" spans="2:3" ht="14.25" customHeight="1">
      <c r="B815" s="7"/>
      <c r="C815" s="305"/>
    </row>
    <row r="816" spans="2:3" ht="14.25" customHeight="1">
      <c r="B816" s="7"/>
      <c r="C816" s="305"/>
    </row>
    <row r="817" spans="2:3" ht="14.25" customHeight="1">
      <c r="B817" s="7"/>
      <c r="C817" s="305"/>
    </row>
    <row r="818" spans="2:3" ht="14.25" customHeight="1">
      <c r="B818" s="7"/>
      <c r="C818" s="305"/>
    </row>
    <row r="819" spans="2:3" ht="14.25" customHeight="1">
      <c r="B819" s="7"/>
      <c r="C819" s="305"/>
    </row>
    <row r="820" spans="2:3" ht="14.25" customHeight="1">
      <c r="B820" s="7"/>
      <c r="C820" s="305"/>
    </row>
    <row r="821" spans="2:3" ht="14.25" customHeight="1">
      <c r="B821" s="7"/>
      <c r="C821" s="305"/>
    </row>
    <row r="822" spans="2:3" ht="14.25" customHeight="1">
      <c r="B822" s="7"/>
      <c r="C822" s="305"/>
    </row>
    <row r="823" spans="2:3" ht="14.25" customHeight="1">
      <c r="B823" s="7"/>
      <c r="C823" s="305"/>
    </row>
    <row r="824" spans="2:3" ht="14.25" customHeight="1">
      <c r="B824" s="7"/>
      <c r="C824" s="305"/>
    </row>
    <row r="825" spans="2:3" ht="14.25" customHeight="1">
      <c r="B825" s="7"/>
      <c r="C825" s="305"/>
    </row>
    <row r="826" spans="2:3" ht="14.25" customHeight="1">
      <c r="B826" s="7"/>
      <c r="C826" s="305"/>
    </row>
    <row r="827" spans="2:3" ht="14.25" customHeight="1">
      <c r="B827" s="7"/>
      <c r="C827" s="305"/>
    </row>
    <row r="828" spans="2:3" ht="14.25" customHeight="1">
      <c r="B828" s="7"/>
      <c r="C828" s="305"/>
    </row>
    <row r="829" spans="2:3" ht="14.25" customHeight="1">
      <c r="B829" s="7"/>
      <c r="C829" s="305"/>
    </row>
    <row r="830" spans="2:3" ht="14.25" customHeight="1">
      <c r="B830" s="7"/>
      <c r="C830" s="305"/>
    </row>
    <row r="831" spans="2:3" ht="14.25" customHeight="1">
      <c r="B831" s="7"/>
      <c r="C831" s="305"/>
    </row>
    <row r="832" spans="2:3" ht="14.25" customHeight="1">
      <c r="B832" s="7"/>
      <c r="C832" s="305"/>
    </row>
    <row r="833" spans="2:3" ht="14.25" customHeight="1">
      <c r="B833" s="7"/>
      <c r="C833" s="305"/>
    </row>
    <row r="834" spans="2:3" ht="14.25" customHeight="1">
      <c r="B834" s="7"/>
      <c r="C834" s="305"/>
    </row>
    <row r="835" spans="2:3" ht="14.25" customHeight="1">
      <c r="B835" s="7"/>
      <c r="C835" s="305"/>
    </row>
    <row r="836" spans="2:3" ht="14.25" customHeight="1">
      <c r="B836" s="7"/>
      <c r="C836" s="305"/>
    </row>
    <row r="837" spans="2:3" ht="14.25" customHeight="1">
      <c r="B837" s="7"/>
      <c r="C837" s="305"/>
    </row>
    <row r="838" spans="2:3" ht="14.25" customHeight="1">
      <c r="B838" s="7"/>
      <c r="C838" s="305"/>
    </row>
    <row r="839" spans="2:3" ht="14.25" customHeight="1">
      <c r="B839" s="7"/>
      <c r="C839" s="305"/>
    </row>
    <row r="840" spans="2:3" ht="14.25" customHeight="1">
      <c r="B840" s="7"/>
      <c r="C840" s="305"/>
    </row>
    <row r="841" spans="2:3" ht="14.25" customHeight="1">
      <c r="B841" s="7"/>
      <c r="C841" s="305"/>
    </row>
    <row r="842" spans="2:3" ht="14.25" customHeight="1">
      <c r="B842" s="7"/>
      <c r="C842" s="305"/>
    </row>
    <row r="843" spans="2:3" ht="14.25" customHeight="1">
      <c r="B843" s="7"/>
      <c r="C843" s="305"/>
    </row>
    <row r="844" spans="2:3" ht="14.25" customHeight="1">
      <c r="B844" s="7"/>
      <c r="C844" s="305"/>
    </row>
    <row r="845" spans="2:3" ht="14.25" customHeight="1">
      <c r="B845" s="7"/>
      <c r="C845" s="305"/>
    </row>
    <row r="846" spans="2:3" ht="14.25" customHeight="1">
      <c r="B846" s="7"/>
      <c r="C846" s="305"/>
    </row>
    <row r="847" spans="2:3" ht="14.25" customHeight="1">
      <c r="B847" s="7"/>
      <c r="C847" s="305"/>
    </row>
    <row r="848" spans="2:3" ht="14.25" customHeight="1">
      <c r="B848" s="7"/>
      <c r="C848" s="305"/>
    </row>
    <row r="849" spans="2:3" ht="14.25" customHeight="1">
      <c r="B849" s="7"/>
      <c r="C849" s="305"/>
    </row>
    <row r="850" spans="2:3" ht="14.25" customHeight="1">
      <c r="B850" s="7"/>
      <c r="C850" s="305"/>
    </row>
    <row r="851" spans="2:3" ht="14.25" customHeight="1">
      <c r="B851" s="7"/>
      <c r="C851" s="305"/>
    </row>
    <row r="852" spans="2:3" ht="14.25" customHeight="1">
      <c r="B852" s="7"/>
      <c r="C852" s="305"/>
    </row>
    <row r="853" spans="2:3" ht="14.25" customHeight="1">
      <c r="B853" s="7"/>
      <c r="C853" s="305"/>
    </row>
    <row r="854" spans="2:3" ht="14.25" customHeight="1">
      <c r="B854" s="7"/>
      <c r="C854" s="305"/>
    </row>
    <row r="855" spans="2:3" ht="14.25" customHeight="1">
      <c r="B855" s="7"/>
      <c r="C855" s="305"/>
    </row>
    <row r="856" spans="2:3" ht="14.25" customHeight="1">
      <c r="B856" s="7"/>
      <c r="C856" s="305"/>
    </row>
    <row r="857" spans="2:3" ht="14.25" customHeight="1">
      <c r="B857" s="7"/>
      <c r="C857" s="305"/>
    </row>
    <row r="858" spans="2:3" ht="14.25" customHeight="1">
      <c r="B858" s="7"/>
      <c r="C858" s="305"/>
    </row>
    <row r="859" spans="2:3" ht="14.25" customHeight="1">
      <c r="B859" s="7"/>
      <c r="C859" s="305"/>
    </row>
    <row r="860" spans="2:3" ht="14.25" customHeight="1">
      <c r="B860" s="7"/>
      <c r="C860" s="305"/>
    </row>
    <row r="861" spans="2:3" ht="14.25" customHeight="1">
      <c r="B861" s="7"/>
      <c r="C861" s="305"/>
    </row>
    <row r="862" spans="2:3" ht="14.25" customHeight="1">
      <c r="B862" s="7"/>
      <c r="C862" s="305"/>
    </row>
    <row r="863" spans="2:3" ht="14.25" customHeight="1">
      <c r="B863" s="7"/>
      <c r="C863" s="305"/>
    </row>
    <row r="864" spans="2:3" ht="14.25" customHeight="1">
      <c r="B864" s="7"/>
      <c r="C864" s="305"/>
    </row>
    <row r="865" spans="2:3" ht="14.25" customHeight="1">
      <c r="B865" s="7"/>
      <c r="C865" s="305"/>
    </row>
    <row r="866" spans="2:3" ht="14.25" customHeight="1">
      <c r="B866" s="7"/>
      <c r="C866" s="305"/>
    </row>
    <row r="867" spans="2:3" ht="14.25" customHeight="1">
      <c r="B867" s="7"/>
      <c r="C867" s="305"/>
    </row>
    <row r="868" spans="2:3" ht="14.25" customHeight="1">
      <c r="B868" s="7"/>
      <c r="C868" s="305"/>
    </row>
    <row r="869" spans="2:3" ht="14.25" customHeight="1">
      <c r="B869" s="7"/>
      <c r="C869" s="305"/>
    </row>
    <row r="870" spans="2:3" ht="14.25" customHeight="1">
      <c r="B870" s="7"/>
      <c r="C870" s="305"/>
    </row>
    <row r="871" spans="2:3" ht="14.25" customHeight="1">
      <c r="B871" s="7"/>
      <c r="C871" s="305"/>
    </row>
    <row r="872" spans="2:3" ht="14.25" customHeight="1">
      <c r="B872" s="7"/>
      <c r="C872" s="305"/>
    </row>
    <row r="873" spans="2:3" ht="14.25" customHeight="1">
      <c r="B873" s="7"/>
      <c r="C873" s="305"/>
    </row>
    <row r="874" spans="2:3" ht="14.25" customHeight="1">
      <c r="B874" s="7"/>
      <c r="C874" s="305"/>
    </row>
    <row r="875" spans="2:3" ht="14.25" customHeight="1">
      <c r="B875" s="7"/>
      <c r="C875" s="305"/>
    </row>
    <row r="876" spans="2:3" ht="14.25" customHeight="1">
      <c r="B876" s="7"/>
      <c r="C876" s="305"/>
    </row>
    <row r="877" spans="2:3" ht="14.25" customHeight="1">
      <c r="B877" s="7"/>
      <c r="C877" s="305"/>
    </row>
    <row r="878" spans="2:3" ht="14.25" customHeight="1">
      <c r="B878" s="7"/>
      <c r="C878" s="305"/>
    </row>
    <row r="879" spans="2:3" ht="14.25" customHeight="1">
      <c r="B879" s="7"/>
      <c r="C879" s="305"/>
    </row>
    <row r="880" spans="2:3" ht="14.25" customHeight="1">
      <c r="B880" s="7"/>
      <c r="C880" s="305"/>
    </row>
    <row r="881" spans="2:3" ht="14.25" customHeight="1">
      <c r="B881" s="7"/>
      <c r="C881" s="305"/>
    </row>
    <row r="882" spans="2:3" ht="14.25" customHeight="1">
      <c r="B882" s="7"/>
      <c r="C882" s="305"/>
    </row>
    <row r="883" spans="2:3" ht="14.25" customHeight="1">
      <c r="B883" s="7"/>
      <c r="C883" s="305"/>
    </row>
    <row r="884" spans="2:3" ht="14.25" customHeight="1">
      <c r="B884" s="7"/>
      <c r="C884" s="305"/>
    </row>
    <row r="885" spans="2:3" ht="14.25" customHeight="1">
      <c r="B885" s="7"/>
      <c r="C885" s="305"/>
    </row>
    <row r="886" spans="2:3" ht="14.25" customHeight="1">
      <c r="B886" s="7"/>
      <c r="C886" s="305"/>
    </row>
    <row r="887" spans="2:3" ht="14.25" customHeight="1">
      <c r="B887" s="7"/>
      <c r="C887" s="305"/>
    </row>
    <row r="888" spans="2:3" ht="14.25" customHeight="1">
      <c r="B888" s="7"/>
      <c r="C888" s="305"/>
    </row>
    <row r="889" spans="2:3" ht="14.25" customHeight="1">
      <c r="B889" s="7"/>
      <c r="C889" s="305"/>
    </row>
    <row r="890" spans="2:3" ht="14.25" customHeight="1">
      <c r="B890" s="7"/>
      <c r="C890" s="305"/>
    </row>
    <row r="891" spans="2:3" ht="14.25" customHeight="1">
      <c r="B891" s="7"/>
      <c r="C891" s="305"/>
    </row>
    <row r="892" spans="2:3" ht="14.25" customHeight="1">
      <c r="B892" s="7"/>
      <c r="C892" s="305"/>
    </row>
    <row r="893" spans="2:3" ht="14.25" customHeight="1">
      <c r="B893" s="7"/>
      <c r="C893" s="305"/>
    </row>
    <row r="894" spans="2:3" ht="14.25" customHeight="1">
      <c r="B894" s="7"/>
      <c r="C894" s="305"/>
    </row>
    <row r="895" spans="2:3" ht="14.25" customHeight="1">
      <c r="B895" s="7"/>
      <c r="C895" s="305"/>
    </row>
    <row r="896" spans="2:3" ht="14.25" customHeight="1">
      <c r="B896" s="7"/>
      <c r="C896" s="305"/>
    </row>
    <row r="897" spans="2:3" ht="14.25" customHeight="1">
      <c r="B897" s="7"/>
      <c r="C897" s="305"/>
    </row>
    <row r="898" spans="2:3" ht="14.25" customHeight="1">
      <c r="B898" s="7"/>
      <c r="C898" s="305"/>
    </row>
    <row r="899" spans="2:3" ht="14.25" customHeight="1">
      <c r="B899" s="7"/>
      <c r="C899" s="305"/>
    </row>
    <row r="900" spans="2:3" ht="14.25" customHeight="1">
      <c r="B900" s="7"/>
      <c r="C900" s="305"/>
    </row>
    <row r="901" spans="2:3" ht="14.25" customHeight="1">
      <c r="B901" s="7"/>
      <c r="C901" s="305"/>
    </row>
    <row r="902" spans="2:3" ht="14.25" customHeight="1">
      <c r="B902" s="7"/>
      <c r="C902" s="305"/>
    </row>
    <row r="903" spans="2:3" ht="14.25" customHeight="1">
      <c r="B903" s="7"/>
      <c r="C903" s="305"/>
    </row>
    <row r="904" spans="2:3" ht="14.25" customHeight="1">
      <c r="B904" s="7"/>
      <c r="C904" s="305"/>
    </row>
    <row r="905" spans="2:3" ht="14.25" customHeight="1">
      <c r="B905" s="7"/>
      <c r="C905" s="305"/>
    </row>
    <row r="906" spans="2:3" ht="14.25" customHeight="1">
      <c r="B906" s="7"/>
      <c r="C906" s="305"/>
    </row>
    <row r="907" spans="2:3" ht="14.25" customHeight="1">
      <c r="B907" s="7"/>
      <c r="C907" s="305"/>
    </row>
    <row r="908" spans="2:3" ht="14.25" customHeight="1">
      <c r="B908" s="7"/>
      <c r="C908" s="305"/>
    </row>
    <row r="909" spans="2:3" ht="14.25" customHeight="1">
      <c r="B909" s="7"/>
      <c r="C909" s="305"/>
    </row>
    <row r="910" spans="2:3" ht="14.25" customHeight="1">
      <c r="B910" s="7"/>
      <c r="C910" s="305"/>
    </row>
    <row r="911" spans="2:3" ht="14.25" customHeight="1">
      <c r="B911" s="7"/>
      <c r="C911" s="305"/>
    </row>
    <row r="912" spans="2:3" ht="14.25" customHeight="1">
      <c r="B912" s="7"/>
      <c r="C912" s="305"/>
    </row>
    <row r="913" spans="2:3" ht="14.25" customHeight="1">
      <c r="B913" s="7"/>
      <c r="C913" s="305"/>
    </row>
    <row r="914" spans="2:3" ht="14.25" customHeight="1">
      <c r="B914" s="7"/>
      <c r="C914" s="305"/>
    </row>
    <row r="915" spans="2:3" ht="14.25" customHeight="1">
      <c r="B915" s="7"/>
      <c r="C915" s="305"/>
    </row>
    <row r="916" spans="2:3" ht="14.25" customHeight="1">
      <c r="B916" s="7"/>
      <c r="C916" s="305"/>
    </row>
    <row r="917" spans="2:3" ht="14.25" customHeight="1">
      <c r="B917" s="7"/>
      <c r="C917" s="305"/>
    </row>
    <row r="918" spans="2:3" ht="14.25" customHeight="1">
      <c r="B918" s="7"/>
      <c r="C918" s="305"/>
    </row>
    <row r="919" spans="2:3" ht="14.25" customHeight="1">
      <c r="B919" s="7"/>
      <c r="C919" s="305"/>
    </row>
    <row r="920" spans="2:3" ht="14.25" customHeight="1">
      <c r="B920" s="7"/>
      <c r="C920" s="305"/>
    </row>
    <row r="921" spans="2:3" ht="14.25" customHeight="1">
      <c r="B921" s="7"/>
      <c r="C921" s="305"/>
    </row>
    <row r="922" spans="2:3" ht="14.25" customHeight="1">
      <c r="B922" s="7"/>
      <c r="C922" s="305"/>
    </row>
    <row r="923" spans="2:3" ht="14.25" customHeight="1">
      <c r="B923" s="7"/>
      <c r="C923" s="305"/>
    </row>
    <row r="924" spans="2:3" ht="14.25" customHeight="1">
      <c r="B924" s="7"/>
      <c r="C924" s="305"/>
    </row>
    <row r="925" spans="2:3" ht="14.25" customHeight="1">
      <c r="B925" s="7"/>
      <c r="C925" s="305"/>
    </row>
    <row r="926" spans="2:3" ht="14.25" customHeight="1">
      <c r="B926" s="7"/>
      <c r="C926" s="305"/>
    </row>
    <row r="927" spans="2:3" ht="14.25" customHeight="1">
      <c r="B927" s="7"/>
      <c r="C927" s="305"/>
    </row>
    <row r="928" spans="2:3" ht="14.25" customHeight="1">
      <c r="B928" s="7"/>
      <c r="C928" s="305"/>
    </row>
    <row r="929" spans="2:3" ht="14.25" customHeight="1">
      <c r="B929" s="7"/>
      <c r="C929" s="305"/>
    </row>
    <row r="930" spans="2:3" ht="14.25" customHeight="1">
      <c r="B930" s="7"/>
      <c r="C930" s="305"/>
    </row>
    <row r="931" spans="2:3" ht="14.25" customHeight="1">
      <c r="B931" s="7"/>
      <c r="C931" s="305"/>
    </row>
    <row r="932" spans="2:3" ht="14.25" customHeight="1">
      <c r="B932" s="7"/>
      <c r="C932" s="305"/>
    </row>
    <row r="933" spans="2:3" ht="14.25" customHeight="1">
      <c r="B933" s="7"/>
      <c r="C933" s="305"/>
    </row>
    <row r="934" spans="2:3" ht="14.25" customHeight="1">
      <c r="B934" s="7"/>
      <c r="C934" s="305"/>
    </row>
    <row r="935" spans="2:3" ht="14.25" customHeight="1">
      <c r="B935" s="7"/>
      <c r="C935" s="305"/>
    </row>
    <row r="936" spans="2:3" ht="14.25" customHeight="1">
      <c r="B936" s="7"/>
      <c r="C936" s="305"/>
    </row>
    <row r="937" spans="2:3" ht="14.25" customHeight="1">
      <c r="B937" s="7"/>
      <c r="C937" s="305"/>
    </row>
    <row r="938" spans="2:3" ht="14.25" customHeight="1">
      <c r="B938" s="7"/>
      <c r="C938" s="305"/>
    </row>
    <row r="939" spans="2:3" ht="14.25" customHeight="1">
      <c r="B939" s="7"/>
      <c r="C939" s="305"/>
    </row>
    <row r="940" spans="2:3" ht="14.25" customHeight="1">
      <c r="B940" s="7"/>
      <c r="C940" s="305"/>
    </row>
    <row r="941" spans="2:3" ht="14.25" customHeight="1">
      <c r="B941" s="7"/>
      <c r="C941" s="305"/>
    </row>
    <row r="942" spans="2:3" ht="14.25" customHeight="1">
      <c r="B942" s="7"/>
      <c r="C942" s="305"/>
    </row>
    <row r="943" spans="2:3" ht="14.25" customHeight="1">
      <c r="B943" s="7"/>
      <c r="C943" s="305"/>
    </row>
    <row r="944" spans="2:3" ht="14.25" customHeight="1">
      <c r="B944" s="7"/>
      <c r="C944" s="305"/>
    </row>
    <row r="945" spans="2:3" ht="14.25" customHeight="1">
      <c r="B945" s="7"/>
      <c r="C945" s="305"/>
    </row>
    <row r="946" spans="2:3" ht="14.25" customHeight="1">
      <c r="B946" s="7"/>
      <c r="C946" s="305"/>
    </row>
    <row r="947" spans="2:3" ht="14.25" customHeight="1">
      <c r="B947" s="7"/>
      <c r="C947" s="305"/>
    </row>
    <row r="948" spans="2:3" ht="14.25" customHeight="1">
      <c r="B948" s="7"/>
      <c r="C948" s="305"/>
    </row>
    <row r="949" spans="2:3" ht="14.25" customHeight="1">
      <c r="B949" s="7"/>
      <c r="C949" s="305"/>
    </row>
    <row r="950" spans="2:3" ht="14.25" customHeight="1">
      <c r="B950" s="7"/>
      <c r="C950" s="305"/>
    </row>
    <row r="951" spans="2:3" ht="14.25" customHeight="1">
      <c r="B951" s="7"/>
      <c r="C951" s="305"/>
    </row>
    <row r="952" spans="2:3" ht="14.25" customHeight="1">
      <c r="B952" s="7"/>
      <c r="C952" s="305"/>
    </row>
    <row r="953" spans="2:3" ht="14.25" customHeight="1">
      <c r="B953" s="7"/>
      <c r="C953" s="305"/>
    </row>
    <row r="954" spans="2:3" ht="14.25" customHeight="1">
      <c r="B954" s="7"/>
      <c r="C954" s="305"/>
    </row>
    <row r="955" spans="2:3" ht="14.25" customHeight="1">
      <c r="B955" s="7"/>
      <c r="C955" s="305"/>
    </row>
    <row r="956" spans="2:3" ht="14.25" customHeight="1">
      <c r="B956" s="7"/>
      <c r="C956" s="305"/>
    </row>
    <row r="957" spans="2:3" ht="14.25" customHeight="1">
      <c r="B957" s="7"/>
      <c r="C957" s="305"/>
    </row>
    <row r="958" spans="2:3" ht="14.25" customHeight="1">
      <c r="B958" s="7"/>
      <c r="C958" s="305"/>
    </row>
    <row r="959" spans="2:3" ht="14.25" customHeight="1">
      <c r="B959" s="7"/>
      <c r="C959" s="305"/>
    </row>
    <row r="960" spans="2:3" ht="14.25" customHeight="1">
      <c r="B960" s="7"/>
      <c r="C960" s="305"/>
    </row>
    <row r="961" spans="2:3" ht="14.25" customHeight="1">
      <c r="B961" s="7"/>
      <c r="C961" s="305"/>
    </row>
    <row r="962" spans="2:3" ht="14.25" customHeight="1">
      <c r="B962" s="7"/>
      <c r="C962" s="305"/>
    </row>
    <row r="963" spans="2:3" ht="14.25" customHeight="1">
      <c r="B963" s="7"/>
      <c r="C963" s="305"/>
    </row>
    <row r="964" spans="2:3" ht="14.25" customHeight="1">
      <c r="B964" s="7"/>
      <c r="C964" s="305"/>
    </row>
    <row r="965" spans="2:3" ht="14.25" customHeight="1">
      <c r="B965" s="7"/>
      <c r="C965" s="305"/>
    </row>
    <row r="966" spans="2:3" ht="14.25" customHeight="1">
      <c r="B966" s="7"/>
      <c r="C966" s="305"/>
    </row>
    <row r="967" spans="2:3" ht="14.25" customHeight="1">
      <c r="B967" s="7"/>
      <c r="C967" s="305"/>
    </row>
    <row r="968" spans="2:3" ht="14.25" customHeight="1">
      <c r="B968" s="7"/>
      <c r="C968" s="305"/>
    </row>
    <row r="969" spans="2:3" ht="14.25" customHeight="1">
      <c r="B969" s="7"/>
      <c r="C969" s="305"/>
    </row>
    <row r="970" spans="2:3" ht="14.25" customHeight="1">
      <c r="B970" s="7"/>
      <c r="C970" s="305"/>
    </row>
    <row r="971" spans="2:3" ht="14.25" customHeight="1">
      <c r="B971" s="7"/>
      <c r="C971" s="305"/>
    </row>
    <row r="972" spans="2:3" ht="14.25" customHeight="1">
      <c r="B972" s="7"/>
      <c r="C972" s="305"/>
    </row>
    <row r="973" spans="2:3" ht="14.25" customHeight="1">
      <c r="B973" s="7"/>
      <c r="C973" s="305"/>
    </row>
    <row r="974" spans="2:3" ht="14.25" customHeight="1">
      <c r="B974" s="7"/>
      <c r="C974" s="305"/>
    </row>
    <row r="975" spans="2:3" ht="14.25" customHeight="1">
      <c r="B975" s="7"/>
      <c r="C975" s="305"/>
    </row>
    <row r="976" spans="2:3" ht="14.25" customHeight="1">
      <c r="B976" s="7"/>
      <c r="C976" s="305"/>
    </row>
    <row r="977" spans="2:3" ht="14.25" customHeight="1">
      <c r="B977" s="7"/>
      <c r="C977" s="305"/>
    </row>
    <row r="978" spans="2:3" ht="14.25" customHeight="1">
      <c r="B978" s="7"/>
      <c r="C978" s="305"/>
    </row>
    <row r="979" spans="2:3" ht="14.25" customHeight="1">
      <c r="B979" s="7"/>
      <c r="C979" s="305"/>
    </row>
    <row r="980" spans="2:3" ht="14.25" customHeight="1">
      <c r="B980" s="7"/>
      <c r="C980" s="305"/>
    </row>
    <row r="981" spans="2:3" ht="14.25" customHeight="1">
      <c r="B981" s="7"/>
      <c r="C981" s="305"/>
    </row>
    <row r="982" spans="2:3" ht="14.25" customHeight="1">
      <c r="B982" s="7"/>
      <c r="C982" s="305"/>
    </row>
    <row r="983" spans="2:3" ht="14.25" customHeight="1">
      <c r="B983" s="7"/>
      <c r="C983" s="305"/>
    </row>
    <row r="984" spans="2:3" ht="14.25" customHeight="1">
      <c r="B984" s="7"/>
      <c r="C984" s="305"/>
    </row>
    <row r="985" spans="2:3" ht="14.25" customHeight="1">
      <c r="B985" s="7"/>
      <c r="C985" s="305"/>
    </row>
    <row r="986" spans="2:3" ht="14.25" customHeight="1">
      <c r="B986" s="7"/>
      <c r="C986" s="305"/>
    </row>
    <row r="987" spans="2:3" ht="14.25" customHeight="1">
      <c r="B987" s="7"/>
      <c r="C987" s="305"/>
    </row>
    <row r="988" spans="2:3" ht="14.25" customHeight="1">
      <c r="B988" s="7"/>
      <c r="C988" s="305"/>
    </row>
    <row r="989" spans="2:3" ht="14.25" customHeight="1">
      <c r="B989" s="7"/>
      <c r="C989" s="305"/>
    </row>
    <row r="990" spans="2:3" ht="14.25" customHeight="1">
      <c r="B990" s="7"/>
      <c r="C990" s="305"/>
    </row>
    <row r="991" spans="2:3" ht="14.25" customHeight="1">
      <c r="B991" s="7"/>
      <c r="C991" s="305"/>
    </row>
    <row r="992" spans="2:3" ht="14.25" customHeight="1">
      <c r="B992" s="7"/>
      <c r="C992" s="305"/>
    </row>
    <row r="993" spans="2:3" ht="14.25" customHeight="1">
      <c r="B993" s="7"/>
      <c r="C993" s="305"/>
    </row>
    <row r="994" spans="2:3" ht="14.25" customHeight="1">
      <c r="B994" s="7"/>
      <c r="C994" s="305"/>
    </row>
    <row r="995" spans="2:3" ht="14.25" customHeight="1">
      <c r="B995" s="7"/>
      <c r="C995" s="305"/>
    </row>
    <row r="996" spans="2:3" ht="14.25" customHeight="1">
      <c r="B996" s="7"/>
      <c r="C996" s="305"/>
    </row>
    <row r="997" spans="2:3" ht="14.25" customHeight="1">
      <c r="B997" s="7"/>
      <c r="C997" s="305"/>
    </row>
    <row r="998" spans="2:3" ht="14.25" customHeight="1">
      <c r="B998" s="7"/>
      <c r="C998" s="305"/>
    </row>
    <row r="999" spans="2:3" ht="14.25" customHeight="1">
      <c r="B999" s="7"/>
      <c r="C999" s="305"/>
    </row>
    <row r="1000" spans="2:3" ht="14.25" customHeight="1">
      <c r="B1000" s="7"/>
      <c r="C1000" s="305"/>
    </row>
  </sheetData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6"/>
  <sheetViews>
    <sheetView zoomScale="115" zoomScaleNormal="115" workbookViewId="0">
      <pane ySplit="1" topLeftCell="A154" activePane="bottomLeft" state="frozen"/>
      <selection pane="bottomLeft" activeCell="C165" sqref="C165"/>
    </sheetView>
  </sheetViews>
  <sheetFormatPr defaultColWidth="14.42578125" defaultRowHeight="18.75" customHeight="1"/>
  <cols>
    <col min="1" max="1" width="18.7109375" style="483" customWidth="1"/>
    <col min="2" max="2" width="33.5703125" style="483" customWidth="1"/>
    <col min="3" max="3" width="23.140625" style="483" customWidth="1"/>
    <col min="4" max="4" width="16.42578125" style="488" customWidth="1"/>
    <col min="5" max="5" width="18.28515625" style="488" customWidth="1"/>
    <col min="6" max="6" width="20.28515625" style="488" customWidth="1"/>
    <col min="7" max="7" width="16.85546875" style="824" customWidth="1"/>
    <col min="8" max="8" width="15.28515625" style="846" customWidth="1"/>
    <col min="9" max="9" width="8.7109375" style="483" customWidth="1"/>
    <col min="10" max="10" width="38.5703125" style="483" customWidth="1"/>
    <col min="11" max="27" width="8.7109375" style="483" customWidth="1"/>
    <col min="28" max="16384" width="14.42578125" style="483"/>
  </cols>
  <sheetData>
    <row r="1" spans="1:11" s="490" customFormat="1" ht="18.75" customHeight="1">
      <c r="A1" s="490" t="s">
        <v>12889</v>
      </c>
      <c r="B1" s="490" t="s">
        <v>7654</v>
      </c>
      <c r="C1" s="490" t="s">
        <v>10371</v>
      </c>
      <c r="D1" s="343" t="s">
        <v>274</v>
      </c>
      <c r="E1" s="343" t="s">
        <v>12764</v>
      </c>
      <c r="F1" s="533" t="s">
        <v>11778</v>
      </c>
      <c r="G1" s="823" t="s">
        <v>280</v>
      </c>
      <c r="H1" s="844" t="s">
        <v>14160</v>
      </c>
      <c r="I1" s="490" t="s">
        <v>14326</v>
      </c>
    </row>
    <row r="2" spans="1:11" ht="18.75" customHeight="1">
      <c r="A2" s="270" t="s">
        <v>11782</v>
      </c>
      <c r="B2" s="270" t="s">
        <v>11783</v>
      </c>
      <c r="C2" s="484" t="s">
        <v>11784</v>
      </c>
      <c r="D2" s="487" t="s">
        <v>11785</v>
      </c>
      <c r="E2" s="489">
        <v>45130</v>
      </c>
      <c r="F2" s="535"/>
      <c r="G2" s="825">
        <v>7033533918</v>
      </c>
      <c r="H2" s="845"/>
      <c r="I2" s="483">
        <v>150</v>
      </c>
    </row>
    <row r="3" spans="1:11" ht="18.75" customHeight="1">
      <c r="A3" s="270" t="s">
        <v>11917</v>
      </c>
      <c r="B3" s="270" t="s">
        <v>11918</v>
      </c>
      <c r="C3" s="270" t="s">
        <v>11919</v>
      </c>
      <c r="E3" s="489">
        <v>45128</v>
      </c>
      <c r="G3" s="826">
        <v>9234612204</v>
      </c>
      <c r="H3" s="846">
        <v>10130</v>
      </c>
      <c r="I3" s="483">
        <v>250</v>
      </c>
    </row>
    <row r="4" spans="1:11" ht="18.75" customHeight="1">
      <c r="A4" s="483" t="s">
        <v>14432</v>
      </c>
      <c r="B4" s="483" t="s">
        <v>14433</v>
      </c>
      <c r="C4" s="492" t="s">
        <v>14434</v>
      </c>
      <c r="D4" s="489">
        <v>26299</v>
      </c>
      <c r="E4" s="489">
        <v>45128</v>
      </c>
      <c r="G4" s="824">
        <v>8051068088</v>
      </c>
      <c r="H4" s="846">
        <v>0</v>
      </c>
      <c r="I4" s="483">
        <v>200</v>
      </c>
    </row>
    <row r="5" spans="1:11" ht="18.75" customHeight="1">
      <c r="A5" s="483" t="s">
        <v>14442</v>
      </c>
      <c r="B5" s="483" t="s">
        <v>14443</v>
      </c>
      <c r="C5" s="492" t="s">
        <v>14444</v>
      </c>
      <c r="E5" s="489">
        <v>45128</v>
      </c>
      <c r="G5" s="824">
        <v>9304694569</v>
      </c>
      <c r="H5" s="846">
        <v>3440</v>
      </c>
    </row>
    <row r="6" spans="1:11" ht="18.75" customHeight="1">
      <c r="A6" s="483" t="s">
        <v>12969</v>
      </c>
      <c r="B6" s="483" t="s">
        <v>12970</v>
      </c>
      <c r="C6" s="492" t="s">
        <v>11720</v>
      </c>
      <c r="E6" s="489">
        <v>45127</v>
      </c>
      <c r="G6" s="824">
        <v>8280177646</v>
      </c>
      <c r="H6" s="846">
        <v>0</v>
      </c>
      <c r="I6" s="483">
        <v>200</v>
      </c>
    </row>
    <row r="7" spans="1:11" ht="18.75" customHeight="1">
      <c r="A7" s="483" t="s">
        <v>14418</v>
      </c>
      <c r="B7" s="483" t="s">
        <v>14419</v>
      </c>
      <c r="C7" s="492" t="s">
        <v>14420</v>
      </c>
      <c r="D7" s="489">
        <v>28185</v>
      </c>
      <c r="E7" s="489">
        <v>45127</v>
      </c>
      <c r="G7" s="824">
        <v>8102093509</v>
      </c>
      <c r="H7" s="846">
        <v>0</v>
      </c>
      <c r="I7" s="483">
        <v>200</v>
      </c>
    </row>
    <row r="8" spans="1:11" ht="18.75" customHeight="1">
      <c r="A8" s="834" t="s">
        <v>14421</v>
      </c>
      <c r="B8" s="483" t="s">
        <v>12682</v>
      </c>
      <c r="C8" s="492" t="s">
        <v>14422</v>
      </c>
      <c r="E8" s="489">
        <v>45127</v>
      </c>
      <c r="G8" s="824">
        <v>7004289437</v>
      </c>
      <c r="H8" s="846">
        <v>0</v>
      </c>
      <c r="I8" s="483">
        <v>200</v>
      </c>
      <c r="K8" s="483">
        <f>H8*I8*J8/36500</f>
        <v>0</v>
      </c>
    </row>
    <row r="9" spans="1:11" ht="18.75" customHeight="1">
      <c r="A9" s="270" t="s">
        <v>11825</v>
      </c>
      <c r="B9" s="270" t="s">
        <v>11826</v>
      </c>
      <c r="C9" t="s">
        <v>14427</v>
      </c>
      <c r="D9" s="438">
        <v>21949</v>
      </c>
      <c r="E9" s="489">
        <v>45127</v>
      </c>
      <c r="F9" s="447">
        <v>714958601214</v>
      </c>
      <c r="G9" s="826">
        <v>9905040647</v>
      </c>
      <c r="H9" s="846">
        <v>0</v>
      </c>
      <c r="I9" s="483">
        <v>250</v>
      </c>
    </row>
    <row r="10" spans="1:11" ht="18.75" customHeight="1">
      <c r="A10" s="483" t="s">
        <v>14385</v>
      </c>
      <c r="B10" s="483" t="s">
        <v>14384</v>
      </c>
      <c r="C10" s="483" t="s">
        <v>14386</v>
      </c>
      <c r="D10" s="489">
        <v>29174</v>
      </c>
      <c r="E10" s="489">
        <v>45127</v>
      </c>
      <c r="G10" s="824">
        <v>8210876461</v>
      </c>
      <c r="I10" s="483">
        <v>200</v>
      </c>
    </row>
    <row r="11" spans="1:11" ht="18.75" customHeight="1">
      <c r="A11" s="483" t="s">
        <v>14428</v>
      </c>
      <c r="B11" s="483" t="s">
        <v>14429</v>
      </c>
      <c r="C11" s="492" t="s">
        <v>14430</v>
      </c>
      <c r="E11" s="489">
        <v>45127</v>
      </c>
      <c r="G11" s="824">
        <v>8603317931</v>
      </c>
      <c r="H11" s="846">
        <v>8290</v>
      </c>
      <c r="I11" s="483">
        <v>300</v>
      </c>
    </row>
    <row r="12" spans="1:11" ht="18.75" customHeight="1">
      <c r="A12" s="483" t="s">
        <v>12978</v>
      </c>
      <c r="B12" s="483" t="s">
        <v>12979</v>
      </c>
      <c r="C12" s="528" t="s">
        <v>14414</v>
      </c>
      <c r="E12" s="489">
        <v>45126</v>
      </c>
      <c r="G12" s="824">
        <v>8757528714</v>
      </c>
      <c r="H12" s="846">
        <v>8550</v>
      </c>
      <c r="I12" s="483">
        <v>300</v>
      </c>
    </row>
    <row r="13" spans="1:11" ht="18.75" customHeight="1">
      <c r="A13" s="483" t="s">
        <v>14330</v>
      </c>
      <c r="B13" s="483" t="s">
        <v>14331</v>
      </c>
      <c r="C13" s="483" t="s">
        <v>14332</v>
      </c>
      <c r="E13" s="489">
        <v>45126</v>
      </c>
      <c r="H13" s="846">
        <v>4960</v>
      </c>
    </row>
    <row r="14" spans="1:11" ht="18.75" customHeight="1">
      <c r="A14" s="270" t="s">
        <v>11914</v>
      </c>
      <c r="B14" s="270" t="s">
        <v>11915</v>
      </c>
      <c r="C14" s="270" t="s">
        <v>11916</v>
      </c>
      <c r="E14" s="489">
        <v>45125</v>
      </c>
      <c r="G14" s="826">
        <v>9386030301</v>
      </c>
      <c r="H14" s="846">
        <v>2600</v>
      </c>
      <c r="I14" s="483">
        <v>200</v>
      </c>
    </row>
    <row r="15" spans="1:11" ht="18.75" customHeight="1">
      <c r="A15" s="270" t="s">
        <v>11822</v>
      </c>
      <c r="B15" s="270" t="s">
        <v>11823</v>
      </c>
      <c r="C15" s="484" t="s">
        <v>11824</v>
      </c>
      <c r="D15" s="438">
        <v>29240</v>
      </c>
      <c r="E15" s="438">
        <v>45125</v>
      </c>
      <c r="F15" s="447">
        <v>963206446972</v>
      </c>
      <c r="G15" s="825">
        <v>8603206132</v>
      </c>
      <c r="H15" s="845"/>
    </row>
    <row r="16" spans="1:11" ht="18.75" customHeight="1">
      <c r="A16" s="483" t="s">
        <v>14401</v>
      </c>
      <c r="B16" s="483" t="s">
        <v>13039</v>
      </c>
      <c r="C16" s="492" t="s">
        <v>14402</v>
      </c>
      <c r="E16" s="489">
        <v>45125</v>
      </c>
      <c r="G16" s="824">
        <v>9279136634</v>
      </c>
      <c r="H16" s="846">
        <v>7140</v>
      </c>
    </row>
    <row r="17" spans="1:9" ht="18.75" customHeight="1">
      <c r="A17" s="483" t="s">
        <v>14403</v>
      </c>
      <c r="B17" s="483" t="s">
        <v>14404</v>
      </c>
      <c r="C17" s="492" t="s">
        <v>14405</v>
      </c>
      <c r="E17" s="489">
        <v>45125</v>
      </c>
      <c r="G17" s="824">
        <v>8210789515</v>
      </c>
      <c r="H17" s="846">
        <v>8450</v>
      </c>
    </row>
    <row r="18" spans="1:9" ht="18.75" customHeight="1">
      <c r="A18" s="483" t="s">
        <v>14377</v>
      </c>
      <c r="B18" s="483" t="s">
        <v>14379</v>
      </c>
      <c r="C18" s="492" t="s">
        <v>14378</v>
      </c>
      <c r="E18" s="489">
        <v>45124</v>
      </c>
      <c r="G18" s="824">
        <v>9835931837</v>
      </c>
      <c r="H18" s="846">
        <v>10700</v>
      </c>
      <c r="I18" s="483">
        <v>200</v>
      </c>
    </row>
    <row r="19" spans="1:9" ht="18.75" customHeight="1">
      <c r="A19" s="483" t="s">
        <v>14381</v>
      </c>
      <c r="B19" s="483" t="s">
        <v>14380</v>
      </c>
      <c r="C19" s="492" t="s">
        <v>14382</v>
      </c>
      <c r="E19" s="489">
        <v>45124</v>
      </c>
      <c r="G19" s="824">
        <v>9835931837</v>
      </c>
      <c r="H19" s="846">
        <v>16100</v>
      </c>
      <c r="I19" s="483">
        <v>200</v>
      </c>
    </row>
    <row r="20" spans="1:9" ht="18.75" customHeight="1">
      <c r="A20" s="270" t="s">
        <v>11894</v>
      </c>
      <c r="B20" s="270" t="s">
        <v>11895</v>
      </c>
      <c r="C20" s="528" t="s">
        <v>14355</v>
      </c>
      <c r="E20" s="489">
        <v>45124</v>
      </c>
      <c r="H20" s="846">
        <v>4500</v>
      </c>
    </row>
    <row r="21" spans="1:9" ht="18.75" customHeight="1">
      <c r="A21" s="483" t="s">
        <v>13446</v>
      </c>
      <c r="B21" s="483" t="s">
        <v>13447</v>
      </c>
      <c r="C21" s="528" t="s">
        <v>13448</v>
      </c>
      <c r="E21" s="489">
        <v>45124</v>
      </c>
      <c r="G21" s="824">
        <v>9204280126</v>
      </c>
    </row>
    <row r="22" spans="1:9" ht="18.75" customHeight="1">
      <c r="A22" s="483" t="s">
        <v>14349</v>
      </c>
      <c r="B22" s="483" t="s">
        <v>14350</v>
      </c>
      <c r="C22" t="s">
        <v>14351</v>
      </c>
      <c r="D22" s="489">
        <v>26538</v>
      </c>
      <c r="E22" s="489">
        <v>45123</v>
      </c>
      <c r="G22" s="824">
        <v>8797946237</v>
      </c>
      <c r="H22" s="846">
        <v>28330</v>
      </c>
      <c r="I22" s="483">
        <v>350</v>
      </c>
    </row>
    <row r="23" spans="1:9" ht="18.75" customHeight="1">
      <c r="A23" s="483" t="s">
        <v>14357</v>
      </c>
      <c r="B23" s="483" t="s">
        <v>14358</v>
      </c>
      <c r="C23" s="483" t="s">
        <v>14356</v>
      </c>
      <c r="D23" s="489">
        <v>22423</v>
      </c>
      <c r="E23" s="489">
        <v>45123</v>
      </c>
      <c r="G23" s="824">
        <v>8797462622</v>
      </c>
      <c r="H23" s="846">
        <v>9897</v>
      </c>
      <c r="I23" s="483">
        <v>200</v>
      </c>
    </row>
    <row r="24" spans="1:9" ht="18.75" customHeight="1">
      <c r="A24" s="483" t="s">
        <v>14359</v>
      </c>
      <c r="B24" s="483" t="s">
        <v>14360</v>
      </c>
      <c r="C24" s="483" t="s">
        <v>14361</v>
      </c>
      <c r="E24" s="489">
        <v>45123</v>
      </c>
      <c r="G24" s="824">
        <v>9279552871</v>
      </c>
      <c r="H24" s="846">
        <v>8680</v>
      </c>
      <c r="I24" s="483">
        <v>250</v>
      </c>
    </row>
    <row r="25" spans="1:9" ht="18.75" customHeight="1">
      <c r="A25" s="483" t="s">
        <v>12941</v>
      </c>
      <c r="B25" s="483" t="s">
        <v>5381</v>
      </c>
      <c r="C25" t="s">
        <v>14176</v>
      </c>
      <c r="D25" s="489">
        <v>28012</v>
      </c>
      <c r="E25" s="489">
        <v>45122</v>
      </c>
      <c r="G25" s="824">
        <v>8797579335</v>
      </c>
      <c r="H25" s="846">
        <v>13210</v>
      </c>
    </row>
    <row r="26" spans="1:9" ht="18.75" customHeight="1">
      <c r="A26" s="270" t="s">
        <v>11796</v>
      </c>
      <c r="B26" s="270" t="s">
        <v>11797</v>
      </c>
      <c r="C26" s="484" t="s">
        <v>11798</v>
      </c>
      <c r="D26" s="438">
        <v>28550</v>
      </c>
      <c r="E26" s="438">
        <v>45120</v>
      </c>
      <c r="F26" s="447">
        <v>573458807266</v>
      </c>
      <c r="G26" s="825">
        <v>9470030023</v>
      </c>
      <c r="H26" s="845">
        <v>0</v>
      </c>
      <c r="I26" s="270">
        <v>250</v>
      </c>
    </row>
    <row r="27" spans="1:9" ht="18.75" customHeight="1">
      <c r="A27" s="270" t="s">
        <v>11888</v>
      </c>
      <c r="B27" s="270" t="s">
        <v>11889</v>
      </c>
      <c r="C27" s="270" t="s">
        <v>11890</v>
      </c>
      <c r="E27" s="489">
        <v>45120</v>
      </c>
    </row>
    <row r="28" spans="1:9" ht="18.75" customHeight="1">
      <c r="A28" s="270" t="s">
        <v>11871</v>
      </c>
      <c r="B28" s="270" t="s">
        <v>11872</v>
      </c>
      <c r="C28" s="484" t="s">
        <v>11873</v>
      </c>
      <c r="E28" s="489">
        <v>45120</v>
      </c>
      <c r="G28" s="824">
        <v>8789100766</v>
      </c>
      <c r="H28" s="846">
        <v>19260</v>
      </c>
      <c r="I28" s="483">
        <f>952820-50000-2100-121947-150000-75000</f>
        <v>553773</v>
      </c>
    </row>
    <row r="29" spans="1:9" ht="18.75" customHeight="1">
      <c r="A29" s="483" t="s">
        <v>12865</v>
      </c>
      <c r="B29" s="483" t="s">
        <v>12866</v>
      </c>
      <c r="C29" s="391" t="s">
        <v>12867</v>
      </c>
      <c r="E29" s="489">
        <v>45120</v>
      </c>
    </row>
    <row r="30" spans="1:9" ht="18.75" customHeight="1">
      <c r="A30" s="270" t="s">
        <v>11848</v>
      </c>
      <c r="B30" s="270" t="s">
        <v>11849</v>
      </c>
      <c r="C30" s="484" t="s">
        <v>11850</v>
      </c>
      <c r="D30" s="438">
        <v>28035</v>
      </c>
      <c r="E30" s="438">
        <v>45120</v>
      </c>
      <c r="F30" s="447"/>
      <c r="G30" s="824">
        <v>8084704220</v>
      </c>
      <c r="H30" s="846">
        <v>5610</v>
      </c>
    </row>
    <row r="31" spans="1:9" ht="18.75" customHeight="1">
      <c r="A31" s="483" t="s">
        <v>14309</v>
      </c>
      <c r="B31" s="483" t="s">
        <v>14310</v>
      </c>
      <c r="C31" t="s">
        <v>14308</v>
      </c>
      <c r="D31" s="489">
        <v>25184</v>
      </c>
      <c r="E31" s="489">
        <v>45120</v>
      </c>
      <c r="G31" s="824">
        <v>9608521433</v>
      </c>
      <c r="I31" s="483">
        <v>200</v>
      </c>
    </row>
    <row r="32" spans="1:9" ht="18.75" customHeight="1">
      <c r="A32" s="483" t="s">
        <v>14327</v>
      </c>
      <c r="B32" s="483" t="s">
        <v>14328</v>
      </c>
      <c r="C32" t="s">
        <v>14329</v>
      </c>
      <c r="E32" s="489">
        <v>45120</v>
      </c>
      <c r="G32" s="824">
        <v>8296092664</v>
      </c>
      <c r="H32" s="846">
        <v>4640</v>
      </c>
      <c r="I32" s="483">
        <v>300</v>
      </c>
    </row>
    <row r="33" spans="1:9" ht="18.75" customHeight="1">
      <c r="A33" s="483" t="s">
        <v>14333</v>
      </c>
      <c r="B33" s="483" t="s">
        <v>14334</v>
      </c>
      <c r="C33" t="s">
        <v>14335</v>
      </c>
      <c r="D33" s="489">
        <v>25102</v>
      </c>
      <c r="E33" s="489">
        <v>45120</v>
      </c>
      <c r="G33" s="824">
        <v>8797178310</v>
      </c>
      <c r="H33" s="846">
        <v>1050</v>
      </c>
      <c r="I33" s="483">
        <v>250</v>
      </c>
    </row>
    <row r="34" spans="1:9" ht="18.75" customHeight="1">
      <c r="A34" s="483" t="s">
        <v>14336</v>
      </c>
      <c r="B34" s="483" t="s">
        <v>14338</v>
      </c>
      <c r="C34" t="s">
        <v>14337</v>
      </c>
      <c r="D34" s="489">
        <v>22811</v>
      </c>
      <c r="E34" s="489">
        <v>45120</v>
      </c>
      <c r="H34" s="846">
        <v>3000</v>
      </c>
      <c r="I34" s="483">
        <v>300</v>
      </c>
    </row>
    <row r="35" spans="1:9" ht="18.75" customHeight="1">
      <c r="A35" s="483" t="s">
        <v>13042</v>
      </c>
      <c r="B35" s="483" t="s">
        <v>6936</v>
      </c>
      <c r="C35" s="492" t="s">
        <v>13043</v>
      </c>
      <c r="E35" s="489">
        <v>45119</v>
      </c>
      <c r="F35" s="488">
        <v>11000</v>
      </c>
      <c r="G35" s="824">
        <v>9102012423</v>
      </c>
    </row>
    <row r="36" spans="1:9" ht="18.75" customHeight="1">
      <c r="A36" s="483" t="s">
        <v>14311</v>
      </c>
      <c r="B36" s="483" t="s">
        <v>13034</v>
      </c>
      <c r="C36" s="492" t="s">
        <v>13035</v>
      </c>
      <c r="E36" s="489">
        <v>45119</v>
      </c>
    </row>
    <row r="37" spans="1:9" ht="18.75" customHeight="1">
      <c r="A37" s="483" t="s">
        <v>13001</v>
      </c>
      <c r="B37" s="483" t="s">
        <v>13002</v>
      </c>
      <c r="C37" s="492" t="s">
        <v>14324</v>
      </c>
      <c r="E37" s="489">
        <v>45119</v>
      </c>
      <c r="F37" s="488">
        <v>0</v>
      </c>
      <c r="G37" s="824">
        <v>6200881788</v>
      </c>
      <c r="H37" s="846">
        <v>5460</v>
      </c>
      <c r="I37" s="483">
        <v>300</v>
      </c>
    </row>
    <row r="38" spans="1:9" ht="18.75" customHeight="1">
      <c r="A38" s="270" t="s">
        <v>11810</v>
      </c>
      <c r="B38" s="270" t="s">
        <v>10955</v>
      </c>
      <c r="C38" s="484" t="s">
        <v>11811</v>
      </c>
      <c r="D38" s="438">
        <v>18798</v>
      </c>
      <c r="E38" s="438">
        <v>45119</v>
      </c>
      <c r="F38" s="447"/>
      <c r="H38" s="845"/>
    </row>
    <row r="39" spans="1:9" ht="18.75" customHeight="1">
      <c r="A39" s="483" t="s">
        <v>12952</v>
      </c>
      <c r="B39" s="483" t="s">
        <v>12953</v>
      </c>
      <c r="C39" s="492" t="s">
        <v>14454</v>
      </c>
      <c r="E39" s="438">
        <v>45134</v>
      </c>
      <c r="G39" s="824">
        <v>9031734009</v>
      </c>
      <c r="I39" s="483">
        <v>200</v>
      </c>
    </row>
    <row r="40" spans="1:9" ht="18.75" customHeight="1">
      <c r="A40" s="270" t="s">
        <v>11920</v>
      </c>
      <c r="B40" s="270" t="s">
        <v>5729</v>
      </c>
      <c r="C40" s="270" t="s">
        <v>11921</v>
      </c>
      <c r="E40" s="489">
        <v>45119</v>
      </c>
      <c r="G40" s="826">
        <v>9031395170</v>
      </c>
    </row>
    <row r="41" spans="1:9" ht="18.75" customHeight="1">
      <c r="A41" s="483" t="s">
        <v>12898</v>
      </c>
      <c r="B41" s="483" t="s">
        <v>12899</v>
      </c>
      <c r="C41" s="492" t="s">
        <v>12900</v>
      </c>
      <c r="E41" s="489">
        <v>45118</v>
      </c>
      <c r="G41" s="824">
        <v>8809659800</v>
      </c>
      <c r="H41" s="846">
        <v>3570</v>
      </c>
    </row>
    <row r="42" spans="1:9" ht="18.75" customHeight="1">
      <c r="A42" s="270" t="s">
        <v>11805</v>
      </c>
      <c r="B42" s="270" t="s">
        <v>11806</v>
      </c>
      <c r="C42" s="484" t="s">
        <v>11807</v>
      </c>
      <c r="D42" s="438">
        <v>28494</v>
      </c>
      <c r="E42" s="438">
        <v>45118</v>
      </c>
      <c r="F42" s="447">
        <v>383671701192</v>
      </c>
      <c r="G42" s="825">
        <v>7903634461</v>
      </c>
      <c r="H42" s="845">
        <v>7100</v>
      </c>
      <c r="I42" s="270"/>
    </row>
    <row r="43" spans="1:9" ht="18.75" customHeight="1">
      <c r="A43" s="270" t="s">
        <v>11922</v>
      </c>
      <c r="B43" s="270" t="s">
        <v>11923</v>
      </c>
      <c r="C43" s="270" t="s">
        <v>11924</v>
      </c>
      <c r="D43" s="438">
        <v>27854</v>
      </c>
      <c r="E43" s="438">
        <v>45118</v>
      </c>
      <c r="G43" s="826">
        <v>7209948535</v>
      </c>
      <c r="H43" s="846">
        <v>9905715273</v>
      </c>
    </row>
    <row r="44" spans="1:9" ht="18.75" customHeight="1">
      <c r="A44" s="483" t="s">
        <v>12824</v>
      </c>
      <c r="B44" s="483" t="s">
        <v>12825</v>
      </c>
      <c r="C44" s="391" t="s">
        <v>12826</v>
      </c>
      <c r="D44" s="489">
        <v>22947</v>
      </c>
      <c r="E44" s="489">
        <v>45117</v>
      </c>
      <c r="G44" s="824">
        <v>8434671734</v>
      </c>
    </row>
    <row r="45" spans="1:9" ht="18.75" customHeight="1">
      <c r="A45" s="483" t="s">
        <v>14295</v>
      </c>
      <c r="B45" s="483" t="s">
        <v>14296</v>
      </c>
      <c r="C45" s="492" t="s">
        <v>14297</v>
      </c>
      <c r="D45" s="489">
        <v>31901</v>
      </c>
      <c r="E45" s="489">
        <v>45117</v>
      </c>
      <c r="G45" s="824">
        <v>7781037685</v>
      </c>
      <c r="H45" s="846">
        <v>10500</v>
      </c>
    </row>
    <row r="46" spans="1:9" ht="18.75" customHeight="1">
      <c r="A46" s="483" t="s">
        <v>14300</v>
      </c>
      <c r="B46" s="483" t="s">
        <v>14299</v>
      </c>
      <c r="C46" s="492" t="s">
        <v>14307</v>
      </c>
      <c r="D46" s="489">
        <v>27080</v>
      </c>
      <c r="E46" s="489">
        <v>45117</v>
      </c>
      <c r="G46" s="824">
        <v>7209611537</v>
      </c>
      <c r="H46" s="846">
        <v>160</v>
      </c>
    </row>
    <row r="47" spans="1:9" ht="18.75" customHeight="1">
      <c r="A47" s="483" t="s">
        <v>14302</v>
      </c>
      <c r="B47" s="483" t="s">
        <v>14301</v>
      </c>
      <c r="C47" s="492" t="s">
        <v>14303</v>
      </c>
      <c r="E47" s="489">
        <v>45117</v>
      </c>
      <c r="G47" s="824">
        <v>9304837622</v>
      </c>
      <c r="H47" s="846">
        <v>7610</v>
      </c>
    </row>
    <row r="48" spans="1:9" ht="18.75" customHeight="1">
      <c r="A48" s="483" t="s">
        <v>14304</v>
      </c>
      <c r="B48" s="483" t="s">
        <v>14305</v>
      </c>
      <c r="C48" s="492" t="s">
        <v>14306</v>
      </c>
      <c r="E48" s="489">
        <v>45117</v>
      </c>
      <c r="G48" s="824">
        <v>6205972699</v>
      </c>
      <c r="H48" s="846">
        <v>41020</v>
      </c>
    </row>
    <row r="49" spans="1:10" ht="18.75" customHeight="1">
      <c r="A49" s="483" t="s">
        <v>13032</v>
      </c>
      <c r="B49" s="483" t="s">
        <v>11467</v>
      </c>
      <c r="C49" s="492" t="s">
        <v>13033</v>
      </c>
      <c r="E49" s="489">
        <v>45117</v>
      </c>
      <c r="F49" s="488">
        <v>12420</v>
      </c>
    </row>
    <row r="50" spans="1:10" ht="18.75" customHeight="1">
      <c r="A50" s="270" t="s">
        <v>14288</v>
      </c>
      <c r="B50" s="270" t="s">
        <v>11910</v>
      </c>
      <c r="C50" s="270" t="s">
        <v>11911</v>
      </c>
      <c r="E50" s="489">
        <v>45116</v>
      </c>
      <c r="G50" s="824">
        <v>8252679991</v>
      </c>
    </row>
    <row r="51" spans="1:10" ht="18.75" customHeight="1">
      <c r="A51" s="483" t="s">
        <v>14232</v>
      </c>
      <c r="B51" s="483" t="s">
        <v>14233</v>
      </c>
      <c r="C51" s="492" t="s">
        <v>14234</v>
      </c>
      <c r="E51" s="489">
        <v>45105</v>
      </c>
      <c r="G51" s="824">
        <v>9955980111</v>
      </c>
      <c r="H51" s="846">
        <v>7360</v>
      </c>
    </row>
    <row r="52" spans="1:10" ht="18.75" customHeight="1">
      <c r="A52" s="483" t="s">
        <v>14235</v>
      </c>
      <c r="B52" s="483" t="s">
        <v>14236</v>
      </c>
      <c r="C52" s="492" t="s">
        <v>14237</v>
      </c>
      <c r="E52" s="489">
        <v>45105</v>
      </c>
      <c r="G52" s="824">
        <v>7974928772</v>
      </c>
      <c r="H52" s="846">
        <v>2450</v>
      </c>
    </row>
    <row r="53" spans="1:10" ht="18.75" customHeight="1">
      <c r="A53" s="270" t="s">
        <v>11857</v>
      </c>
      <c r="B53" s="270" t="s">
        <v>11858</v>
      </c>
      <c r="C53" s="484" t="s">
        <v>11859</v>
      </c>
      <c r="D53" s="438">
        <v>29530</v>
      </c>
      <c r="E53" s="438">
        <v>45101</v>
      </c>
      <c r="F53" s="488">
        <v>11070</v>
      </c>
      <c r="G53" s="824">
        <v>9308457927</v>
      </c>
    </row>
    <row r="54" spans="1:10" ht="18.75" customHeight="1">
      <c r="A54" s="483" t="s">
        <v>14208</v>
      </c>
      <c r="B54" s="483" t="s">
        <v>14210</v>
      </c>
      <c r="C54" s="492" t="s">
        <v>14209</v>
      </c>
      <c r="E54" s="489">
        <v>45101</v>
      </c>
      <c r="G54" s="824">
        <v>8797588334</v>
      </c>
      <c r="H54" s="846">
        <v>3510</v>
      </c>
    </row>
    <row r="55" spans="1:10" ht="18.75" customHeight="1">
      <c r="A55" s="483" t="s">
        <v>14191</v>
      </c>
      <c r="B55" s="483" t="s">
        <v>14192</v>
      </c>
      <c r="C55" s="492" t="s">
        <v>14193</v>
      </c>
      <c r="E55" s="489">
        <v>45100</v>
      </c>
      <c r="G55" s="824">
        <v>9234686740</v>
      </c>
    </row>
    <row r="56" spans="1:10" ht="18.75" customHeight="1">
      <c r="A56" s="483" t="s">
        <v>14195</v>
      </c>
      <c r="B56" s="483" t="s">
        <v>14194</v>
      </c>
      <c r="C56" s="646" t="s">
        <v>14193</v>
      </c>
      <c r="E56" s="489">
        <v>45100</v>
      </c>
    </row>
    <row r="57" spans="1:10" ht="18.75" customHeight="1">
      <c r="A57" s="483" t="s">
        <v>14196</v>
      </c>
      <c r="B57" s="528" t="s">
        <v>12972</v>
      </c>
      <c r="C57" s="646" t="s">
        <v>14197</v>
      </c>
      <c r="E57" s="489">
        <v>45100</v>
      </c>
      <c r="G57" s="824">
        <v>9204255634</v>
      </c>
      <c r="H57" s="846">
        <v>10710</v>
      </c>
    </row>
    <row r="58" spans="1:10" ht="18.75" customHeight="1">
      <c r="A58" s="893" t="s">
        <v>14184</v>
      </c>
      <c r="B58" s="893" t="s">
        <v>14185</v>
      </c>
      <c r="C58" s="893" t="s">
        <v>14186</v>
      </c>
      <c r="D58" s="894"/>
      <c r="E58" s="895">
        <v>45098</v>
      </c>
      <c r="F58" s="894"/>
      <c r="G58" s="896">
        <v>9523911312</v>
      </c>
      <c r="H58" s="897">
        <v>5602</v>
      </c>
      <c r="I58" s="893"/>
      <c r="J58" s="893"/>
    </row>
    <row r="59" spans="1:10" ht="18.75" customHeight="1">
      <c r="A59" s="483" t="s">
        <v>12998</v>
      </c>
      <c r="B59" s="483" t="s">
        <v>12999</v>
      </c>
      <c r="C59" s="492" t="s">
        <v>14182</v>
      </c>
      <c r="E59" s="489">
        <v>45097</v>
      </c>
      <c r="F59" s="488">
        <v>4850</v>
      </c>
      <c r="G59" s="824">
        <v>9955955911</v>
      </c>
    </row>
    <row r="60" spans="1:10" ht="18.75" customHeight="1">
      <c r="A60" s="483" t="s">
        <v>14166</v>
      </c>
      <c r="B60" s="483" t="s">
        <v>13895</v>
      </c>
      <c r="C60" s="492" t="s">
        <v>14167</v>
      </c>
      <c r="D60" s="489">
        <v>27458</v>
      </c>
      <c r="E60" s="489">
        <v>45097</v>
      </c>
      <c r="F60" s="488">
        <v>24280296581</v>
      </c>
      <c r="G60" s="824">
        <v>8235230872</v>
      </c>
      <c r="H60" s="846">
        <v>2300</v>
      </c>
      <c r="I60" s="492" t="s">
        <v>14168</v>
      </c>
      <c r="J60" s="483" t="s">
        <v>14169</v>
      </c>
    </row>
    <row r="61" spans="1:10" ht="18.75" customHeight="1">
      <c r="A61" s="483" t="s">
        <v>14179</v>
      </c>
      <c r="B61" s="483" t="s">
        <v>14183</v>
      </c>
      <c r="C61" s="483" t="s">
        <v>14180</v>
      </c>
      <c r="E61" s="489">
        <v>45097</v>
      </c>
    </row>
    <row r="62" spans="1:10" ht="18.75" customHeight="1">
      <c r="A62" s="270" t="s">
        <v>12738</v>
      </c>
      <c r="B62" s="270" t="s">
        <v>12725</v>
      </c>
      <c r="C62" s="801" t="s">
        <v>14170</v>
      </c>
      <c r="E62" s="489">
        <v>45096</v>
      </c>
      <c r="G62" s="824">
        <v>9931714273</v>
      </c>
      <c r="H62" s="846">
        <v>680</v>
      </c>
    </row>
    <row r="63" spans="1:10" ht="18.75" customHeight="1">
      <c r="A63" s="483" t="s">
        <v>14172</v>
      </c>
      <c r="B63" s="483" t="s">
        <v>488</v>
      </c>
      <c r="C63" s="528" t="s">
        <v>14171</v>
      </c>
      <c r="D63" s="489">
        <v>27139</v>
      </c>
      <c r="E63" s="489">
        <v>45096</v>
      </c>
      <c r="G63" s="824">
        <v>6205100363</v>
      </c>
      <c r="H63" s="846">
        <v>5380</v>
      </c>
    </row>
    <row r="64" spans="1:10" ht="18.75" customHeight="1">
      <c r="A64" s="483" t="s">
        <v>14177</v>
      </c>
      <c r="C64" s="528" t="s">
        <v>14178</v>
      </c>
      <c r="E64" s="489">
        <v>45095</v>
      </c>
    </row>
    <row r="65" spans="1:9" ht="18.75" customHeight="1">
      <c r="A65" s="270" t="s">
        <v>11891</v>
      </c>
      <c r="B65" s="270" t="s">
        <v>11892</v>
      </c>
      <c r="C65" s="270" t="s">
        <v>11893</v>
      </c>
      <c r="D65" s="438">
        <v>23754</v>
      </c>
      <c r="E65" s="438">
        <v>45094</v>
      </c>
      <c r="F65" s="488">
        <v>3650</v>
      </c>
      <c r="G65" s="826">
        <v>9204696356</v>
      </c>
    </row>
    <row r="66" spans="1:9" ht="18.75" customHeight="1">
      <c r="A66" s="483" t="s">
        <v>14163</v>
      </c>
      <c r="B66" s="483" t="s">
        <v>13971</v>
      </c>
      <c r="C66" s="483" t="s">
        <v>14164</v>
      </c>
      <c r="D66" s="489">
        <v>24716</v>
      </c>
      <c r="E66" s="489">
        <v>45093</v>
      </c>
      <c r="G66" s="824">
        <v>9234544362</v>
      </c>
      <c r="H66" s="846">
        <v>10320</v>
      </c>
    </row>
    <row r="67" spans="1:9" ht="18.75" customHeight="1">
      <c r="A67" s="483" t="s">
        <v>11880</v>
      </c>
      <c r="B67" s="483" t="s">
        <v>12966</v>
      </c>
      <c r="C67" s="492" t="s">
        <v>12967</v>
      </c>
      <c r="E67" s="489">
        <v>45092</v>
      </c>
      <c r="G67" s="824">
        <v>9955906594</v>
      </c>
      <c r="H67" s="846">
        <v>14010</v>
      </c>
    </row>
    <row r="68" spans="1:9" ht="18.75" customHeight="1">
      <c r="A68" s="270" t="s">
        <v>11912</v>
      </c>
      <c r="B68" s="270" t="s">
        <v>11913</v>
      </c>
      <c r="C68" s="528" t="s">
        <v>12972</v>
      </c>
      <c r="E68" s="489">
        <v>45092</v>
      </c>
      <c r="G68" s="826">
        <v>9234686751</v>
      </c>
      <c r="H68" s="846">
        <v>11730</v>
      </c>
    </row>
    <row r="69" spans="1:9" ht="18.75" customHeight="1">
      <c r="A69" s="483" t="s">
        <v>12758</v>
      </c>
      <c r="B69" s="270" t="s">
        <v>12759</v>
      </c>
      <c r="C69" s="486" t="s">
        <v>12760</v>
      </c>
      <c r="D69" s="489">
        <v>27070</v>
      </c>
      <c r="E69" s="489">
        <v>45091</v>
      </c>
      <c r="G69" s="824">
        <v>6206098052</v>
      </c>
      <c r="H69" s="846">
        <v>22630</v>
      </c>
    </row>
    <row r="70" spans="1:9" ht="18.75" customHeight="1">
      <c r="A70" s="483" t="s">
        <v>14152</v>
      </c>
      <c r="B70" s="483" t="s">
        <v>14114</v>
      </c>
      <c r="C70" s="492" t="s">
        <v>14153</v>
      </c>
      <c r="D70" s="489">
        <v>23735</v>
      </c>
      <c r="E70" s="489">
        <v>45091</v>
      </c>
      <c r="G70" s="824">
        <v>9234413453</v>
      </c>
    </row>
    <row r="71" spans="1:9" ht="18.75" customHeight="1">
      <c r="A71" s="483" t="s">
        <v>14141</v>
      </c>
      <c r="B71" s="483" t="s">
        <v>14142</v>
      </c>
      <c r="C71" s="483" t="s">
        <v>14143</v>
      </c>
      <c r="D71" s="489">
        <v>19495</v>
      </c>
      <c r="E71" s="489">
        <v>45090</v>
      </c>
      <c r="G71" s="824">
        <v>9234550363</v>
      </c>
    </row>
    <row r="72" spans="1:9" ht="18.75" customHeight="1">
      <c r="A72" s="483" t="s">
        <v>14146</v>
      </c>
      <c r="C72" s="492" t="s">
        <v>14147</v>
      </c>
      <c r="E72" s="489">
        <v>45090</v>
      </c>
      <c r="G72" s="824">
        <v>7250111700</v>
      </c>
    </row>
    <row r="73" spans="1:9" ht="18.75" customHeight="1">
      <c r="A73" s="483" t="s">
        <v>14108</v>
      </c>
      <c r="B73" s="483" t="s">
        <v>14109</v>
      </c>
      <c r="C73" s="492" t="s">
        <v>14110</v>
      </c>
      <c r="D73" s="489">
        <v>30441</v>
      </c>
      <c r="E73" s="489">
        <v>45086</v>
      </c>
      <c r="G73" s="824">
        <v>9852533183</v>
      </c>
    </row>
    <row r="74" spans="1:9" ht="18.75" customHeight="1">
      <c r="A74" s="483" t="s">
        <v>14406</v>
      </c>
      <c r="B74" s="483" t="s">
        <v>963</v>
      </c>
      <c r="C74" s="492" t="s">
        <v>14407</v>
      </c>
      <c r="E74" s="489">
        <v>45083</v>
      </c>
    </row>
    <row r="75" spans="1:9" ht="18.75" customHeight="1">
      <c r="A75" s="270" t="s">
        <v>11877</v>
      </c>
      <c r="B75" s="270" t="s">
        <v>6314</v>
      </c>
      <c r="C75" s="270" t="s">
        <v>11878</v>
      </c>
      <c r="D75" s="334" t="s">
        <v>11879</v>
      </c>
      <c r="E75" s="438">
        <v>45082</v>
      </c>
      <c r="G75" s="826">
        <v>9771441692</v>
      </c>
    </row>
    <row r="76" spans="1:9" ht="18.75" customHeight="1">
      <c r="A76" s="483" t="s">
        <v>14083</v>
      </c>
      <c r="B76" s="483" t="s">
        <v>14084</v>
      </c>
      <c r="C76" s="528" t="s">
        <v>14085</v>
      </c>
      <c r="D76" s="489">
        <v>30487</v>
      </c>
      <c r="E76" s="489">
        <v>45080</v>
      </c>
      <c r="G76" s="824">
        <v>8789978416</v>
      </c>
    </row>
    <row r="77" spans="1:9" ht="18.75" customHeight="1">
      <c r="A77" s="483" t="s">
        <v>13450</v>
      </c>
      <c r="B77" s="483" t="s">
        <v>14426</v>
      </c>
      <c r="C77" s="528" t="s">
        <v>13451</v>
      </c>
      <c r="E77" s="489">
        <v>44890</v>
      </c>
      <c r="G77" s="824">
        <v>6201843720</v>
      </c>
    </row>
    <row r="78" spans="1:9" ht="18.75" customHeight="1">
      <c r="A78" s="483" t="s">
        <v>13354</v>
      </c>
      <c r="B78" s="483" t="s">
        <v>7670</v>
      </c>
      <c r="C78" s="492" t="s">
        <v>13353</v>
      </c>
      <c r="E78" s="489">
        <v>45141</v>
      </c>
      <c r="G78" s="824">
        <v>7870064254</v>
      </c>
      <c r="I78" s="483">
        <v>200</v>
      </c>
    </row>
    <row r="79" spans="1:9" ht="18.75" customHeight="1">
      <c r="A79" s="483" t="s">
        <v>13110</v>
      </c>
      <c r="B79" s="483" t="s">
        <v>12101</v>
      </c>
      <c r="C79" s="492" t="s">
        <v>13111</v>
      </c>
      <c r="E79" s="489">
        <v>44786</v>
      </c>
      <c r="F79" s="488">
        <v>1500</v>
      </c>
      <c r="G79" s="824">
        <v>8084871616</v>
      </c>
      <c r="H79" s="846">
        <v>9900</v>
      </c>
      <c r="I79" s="483">
        <v>400</v>
      </c>
    </row>
    <row r="80" spans="1:9" ht="18.75" customHeight="1">
      <c r="A80" s="485" t="s">
        <v>11902</v>
      </c>
      <c r="B80" s="270" t="s">
        <v>11903</v>
      </c>
      <c r="C80" s="270" t="s">
        <v>11904</v>
      </c>
      <c r="E80" s="489">
        <v>44774</v>
      </c>
      <c r="G80" s="826">
        <v>8235229224</v>
      </c>
    </row>
    <row r="81" spans="1:9" ht="18.75" customHeight="1">
      <c r="A81" s="270" t="s">
        <v>11882</v>
      </c>
      <c r="B81" s="270" t="s">
        <v>11883</v>
      </c>
      <c r="C81" s="270" t="s">
        <v>11884</v>
      </c>
      <c r="E81" s="489">
        <v>44773</v>
      </c>
      <c r="G81" s="826">
        <v>7979052016</v>
      </c>
      <c r="H81" s="846">
        <v>5480</v>
      </c>
      <c r="I81" s="483">
        <v>400</v>
      </c>
    </row>
    <row r="82" spans="1:9" ht="18.75" customHeight="1">
      <c r="A82" s="483" t="s">
        <v>13056</v>
      </c>
      <c r="B82" s="483" t="s">
        <v>13057</v>
      </c>
      <c r="C82" s="528" t="s">
        <v>13058</v>
      </c>
      <c r="E82" s="489">
        <v>44773</v>
      </c>
      <c r="F82" s="488">
        <v>4380</v>
      </c>
      <c r="G82" s="824">
        <v>9835951591</v>
      </c>
    </row>
    <row r="83" spans="1:9" ht="18.75" customHeight="1">
      <c r="A83" s="483" t="s">
        <v>13059</v>
      </c>
      <c r="B83" s="483" t="s">
        <v>13060</v>
      </c>
      <c r="C83" s="492" t="s">
        <v>13061</v>
      </c>
      <c r="E83" s="489">
        <v>44773</v>
      </c>
      <c r="F83" s="488" t="s">
        <v>13065</v>
      </c>
      <c r="G83" s="824">
        <v>9234630979</v>
      </c>
    </row>
    <row r="84" spans="1:9" ht="18.75" customHeight="1">
      <c r="A84" s="483" t="s">
        <v>13062</v>
      </c>
      <c r="B84" s="483" t="s">
        <v>13063</v>
      </c>
      <c r="C84" s="492" t="s">
        <v>13064</v>
      </c>
      <c r="E84" s="489">
        <v>44773</v>
      </c>
      <c r="F84" s="488" t="s">
        <v>13066</v>
      </c>
      <c r="G84" s="824">
        <v>7857928426</v>
      </c>
    </row>
    <row r="85" spans="1:9" ht="18.75" customHeight="1">
      <c r="A85" s="270" t="s">
        <v>11846</v>
      </c>
      <c r="B85" s="270" t="s">
        <v>11847</v>
      </c>
      <c r="C85" s="492" t="s">
        <v>13048</v>
      </c>
      <c r="D85" s="438">
        <v>33368</v>
      </c>
      <c r="E85" s="438">
        <v>45138</v>
      </c>
      <c r="F85" s="447"/>
      <c r="G85" s="826">
        <v>8092161676</v>
      </c>
      <c r="I85" s="483">
        <v>300</v>
      </c>
    </row>
    <row r="86" spans="1:9" ht="18.75" customHeight="1">
      <c r="A86" s="483" t="s">
        <v>13030</v>
      </c>
      <c r="B86" s="483" t="s">
        <v>13031</v>
      </c>
      <c r="C86" s="528" t="s">
        <v>13029</v>
      </c>
      <c r="E86" s="489">
        <v>45138</v>
      </c>
      <c r="G86" s="824">
        <v>7979827467</v>
      </c>
      <c r="I86" s="483">
        <v>300</v>
      </c>
    </row>
    <row r="87" spans="1:9" ht="18.75" customHeight="1">
      <c r="A87" s="483" t="s">
        <v>13044</v>
      </c>
      <c r="B87" s="483" t="s">
        <v>13045</v>
      </c>
      <c r="C87" s="483" t="s">
        <v>13046</v>
      </c>
      <c r="E87" s="489">
        <v>44771</v>
      </c>
    </row>
    <row r="88" spans="1:9" ht="18.75" customHeight="1">
      <c r="A88" s="270" t="s">
        <v>11815</v>
      </c>
      <c r="B88" s="270" t="s">
        <v>11816</v>
      </c>
      <c r="C88" s="484" t="s">
        <v>11817</v>
      </c>
      <c r="D88" s="438">
        <v>22262</v>
      </c>
      <c r="E88" s="438">
        <v>45131</v>
      </c>
      <c r="F88" s="447"/>
      <c r="H88" s="845">
        <v>990</v>
      </c>
      <c r="I88" s="483">
        <v>200</v>
      </c>
    </row>
    <row r="89" spans="1:9" ht="18.75" customHeight="1">
      <c r="A89" s="270" t="s">
        <v>11908</v>
      </c>
      <c r="B89" s="270" t="s">
        <v>5661</v>
      </c>
      <c r="C89" s="270" t="s">
        <v>11909</v>
      </c>
      <c r="E89" s="489">
        <v>45136</v>
      </c>
      <c r="G89" s="824">
        <v>7909044681</v>
      </c>
      <c r="H89" s="846">
        <v>29565</v>
      </c>
      <c r="I89" s="483">
        <v>400</v>
      </c>
    </row>
    <row r="90" spans="1:9" ht="18.75" customHeight="1">
      <c r="A90" s="483" t="s">
        <v>13015</v>
      </c>
      <c r="B90" s="483" t="s">
        <v>13017</v>
      </c>
      <c r="C90" s="492" t="s">
        <v>13016</v>
      </c>
      <c r="E90" s="489">
        <v>44770</v>
      </c>
      <c r="F90" s="488">
        <v>4605</v>
      </c>
      <c r="G90" s="824">
        <v>6280684856</v>
      </c>
    </row>
    <row r="91" spans="1:9" ht="18.75" customHeight="1">
      <c r="A91" s="483" t="s">
        <v>13024</v>
      </c>
      <c r="B91" s="483" t="s">
        <v>13025</v>
      </c>
      <c r="C91" s="492" t="s">
        <v>13026</v>
      </c>
      <c r="E91" s="489">
        <v>45131</v>
      </c>
      <c r="G91" s="824">
        <v>9835575359</v>
      </c>
      <c r="I91" s="483">
        <v>200</v>
      </c>
    </row>
    <row r="92" spans="1:9" ht="18.75" customHeight="1">
      <c r="A92" s="483" t="s">
        <v>12988</v>
      </c>
      <c r="B92" s="483" t="s">
        <v>12989</v>
      </c>
      <c r="C92" s="492" t="s">
        <v>12787</v>
      </c>
      <c r="D92" s="489">
        <v>27042</v>
      </c>
      <c r="E92" s="489">
        <v>44769</v>
      </c>
      <c r="F92" s="488" t="s">
        <v>13000</v>
      </c>
      <c r="G92" s="824">
        <v>8603207615</v>
      </c>
    </row>
    <row r="93" spans="1:9" ht="18.75" customHeight="1">
      <c r="A93" s="483" t="s">
        <v>12975</v>
      </c>
      <c r="B93" s="483" t="s">
        <v>12974</v>
      </c>
      <c r="C93" s="492" t="s">
        <v>12976</v>
      </c>
      <c r="E93" s="489">
        <v>44767</v>
      </c>
      <c r="G93" s="824">
        <v>9028327454</v>
      </c>
    </row>
    <row r="94" spans="1:9" ht="18.75" customHeight="1">
      <c r="A94" s="483" t="s">
        <v>12977</v>
      </c>
      <c r="B94" s="483" t="s">
        <v>13121</v>
      </c>
      <c r="C94" s="492" t="s">
        <v>12971</v>
      </c>
      <c r="E94" s="489">
        <v>44767</v>
      </c>
      <c r="G94" s="824">
        <v>8603174456</v>
      </c>
    </row>
    <row r="95" spans="1:9" ht="18.75" customHeight="1">
      <c r="A95" s="483" t="s">
        <v>12961</v>
      </c>
      <c r="B95" s="483" t="s">
        <v>12954</v>
      </c>
      <c r="C95" s="492" t="s">
        <v>11720</v>
      </c>
      <c r="E95" s="489">
        <v>44766</v>
      </c>
      <c r="G95" s="824">
        <v>8235667939</v>
      </c>
    </row>
    <row r="96" spans="1:9" ht="18.75" customHeight="1">
      <c r="A96" s="483" t="s">
        <v>12941</v>
      </c>
      <c r="B96" s="483" t="s">
        <v>5381</v>
      </c>
      <c r="C96" s="492" t="s">
        <v>12968</v>
      </c>
      <c r="E96" s="489">
        <v>44766</v>
      </c>
    </row>
    <row r="97" spans="1:9" ht="18.75" customHeight="1">
      <c r="A97" s="483" t="s">
        <v>12942</v>
      </c>
      <c r="B97" s="483" t="s">
        <v>12943</v>
      </c>
      <c r="C97" s="528" t="s">
        <v>12944</v>
      </c>
      <c r="D97" s="489">
        <v>28859</v>
      </c>
      <c r="E97" s="489">
        <v>45136</v>
      </c>
      <c r="F97" s="534">
        <v>596020707724</v>
      </c>
      <c r="G97" s="824">
        <v>7004519122</v>
      </c>
      <c r="I97" s="483">
        <v>200</v>
      </c>
    </row>
    <row r="98" spans="1:9" ht="18.75" customHeight="1">
      <c r="A98" s="483" t="s">
        <v>12890</v>
      </c>
      <c r="B98" s="483" t="s">
        <v>12891</v>
      </c>
      <c r="C98" s="528" t="s">
        <v>12892</v>
      </c>
      <c r="D98" s="489">
        <v>26040</v>
      </c>
      <c r="E98" s="489">
        <v>44761</v>
      </c>
      <c r="G98" s="824">
        <v>9263388612</v>
      </c>
    </row>
    <row r="99" spans="1:9" ht="18.75" customHeight="1">
      <c r="A99" s="483" t="s">
        <v>12893</v>
      </c>
      <c r="B99" s="483" t="s">
        <v>12894</v>
      </c>
      <c r="C99" s="847" t="s">
        <v>12895</v>
      </c>
      <c r="E99" s="489">
        <v>45131</v>
      </c>
      <c r="G99" s="824">
        <v>8409006780</v>
      </c>
      <c r="I99" s="483">
        <v>300</v>
      </c>
    </row>
    <row r="100" spans="1:9" ht="18.75" customHeight="1">
      <c r="A100" s="483" t="s">
        <v>12868</v>
      </c>
      <c r="B100" s="483" t="s">
        <v>2362</v>
      </c>
      <c r="C100" s="828" t="s">
        <v>12869</v>
      </c>
      <c r="D100" s="489">
        <v>25144</v>
      </c>
      <c r="E100" s="489">
        <v>44756</v>
      </c>
      <c r="G100" s="824">
        <v>9939369225</v>
      </c>
    </row>
    <row r="101" spans="1:9" ht="18.75" customHeight="1">
      <c r="A101" s="483" t="s">
        <v>12788</v>
      </c>
      <c r="B101" s="483" t="s">
        <v>1213</v>
      </c>
      <c r="C101" s="391" t="s">
        <v>12787</v>
      </c>
      <c r="E101" s="489">
        <v>44747</v>
      </c>
      <c r="G101" s="824">
        <v>7903129619</v>
      </c>
    </row>
    <row r="102" spans="1:9" ht="18.75" customHeight="1">
      <c r="A102" s="270" t="s">
        <v>12739</v>
      </c>
      <c r="B102" s="270" t="s">
        <v>1213</v>
      </c>
      <c r="C102" s="508" t="s">
        <v>12716</v>
      </c>
      <c r="D102" s="489">
        <v>26567</v>
      </c>
      <c r="E102" s="489">
        <v>44746</v>
      </c>
    </row>
    <row r="103" spans="1:9" ht="18.75" customHeight="1">
      <c r="A103" s="483" t="s">
        <v>12801</v>
      </c>
      <c r="B103" s="483" t="s">
        <v>12800</v>
      </c>
      <c r="C103" s="828" t="s">
        <v>12802</v>
      </c>
      <c r="D103" s="489">
        <v>32872</v>
      </c>
      <c r="E103" s="489">
        <v>44743</v>
      </c>
      <c r="G103" s="824">
        <v>7033299165</v>
      </c>
    </row>
    <row r="104" spans="1:9" ht="18.75" customHeight="1">
      <c r="A104" s="483" t="s">
        <v>13142</v>
      </c>
      <c r="B104" s="483" t="s">
        <v>13143</v>
      </c>
      <c r="C104" s="492" t="s">
        <v>13144</v>
      </c>
      <c r="D104" s="489">
        <v>27915</v>
      </c>
      <c r="E104" s="489">
        <v>44743</v>
      </c>
      <c r="G104" s="824">
        <v>9771913810</v>
      </c>
    </row>
    <row r="105" spans="1:9" ht="18.75" customHeight="1">
      <c r="A105" s="270" t="s">
        <v>11779</v>
      </c>
      <c r="B105" s="270" t="s">
        <v>11780</v>
      </c>
      <c r="C105" s="270" t="s">
        <v>11781</v>
      </c>
      <c r="D105" s="487">
        <v>25904</v>
      </c>
      <c r="E105" s="489">
        <v>44743</v>
      </c>
      <c r="F105" s="447">
        <v>588814688761</v>
      </c>
      <c r="G105" s="825">
        <v>9279234168</v>
      </c>
      <c r="H105" s="845"/>
    </row>
    <row r="106" spans="1:9" ht="18.75" customHeight="1">
      <c r="A106" s="270" t="s">
        <v>11786</v>
      </c>
      <c r="B106" s="270" t="s">
        <v>11787</v>
      </c>
      <c r="C106" s="484" t="s">
        <v>11788</v>
      </c>
      <c r="D106" s="487">
        <v>21108</v>
      </c>
      <c r="E106" s="489">
        <v>44743</v>
      </c>
      <c r="F106" s="447">
        <v>346553267336</v>
      </c>
      <c r="G106" s="825">
        <v>7033628523</v>
      </c>
      <c r="H106" s="845"/>
      <c r="I106" s="270"/>
    </row>
    <row r="107" spans="1:9" ht="18.75" customHeight="1">
      <c r="A107" s="270" t="s">
        <v>11789</v>
      </c>
      <c r="B107" s="270" t="s">
        <v>11790</v>
      </c>
      <c r="C107" s="484" t="s">
        <v>11791</v>
      </c>
      <c r="D107" s="487" t="s">
        <v>11792</v>
      </c>
      <c r="E107" s="489">
        <v>44743</v>
      </c>
      <c r="F107" s="447">
        <v>734464059996</v>
      </c>
      <c r="G107" s="826">
        <v>9162591889</v>
      </c>
      <c r="H107" s="845"/>
    </row>
    <row r="108" spans="1:9" ht="18.75" customHeight="1">
      <c r="A108" s="270" t="s">
        <v>11793</v>
      </c>
      <c r="B108" s="270" t="s">
        <v>11794</v>
      </c>
      <c r="C108" s="484" t="s">
        <v>11795</v>
      </c>
      <c r="D108" s="438">
        <v>35248</v>
      </c>
      <c r="E108" s="489">
        <v>44743</v>
      </c>
      <c r="F108" s="447">
        <v>506165653927</v>
      </c>
      <c r="G108" s="825">
        <v>8092161674</v>
      </c>
      <c r="H108" s="845"/>
    </row>
    <row r="109" spans="1:9" ht="18.75" customHeight="1">
      <c r="A109" s="270" t="s">
        <v>11799</v>
      </c>
      <c r="B109" s="270" t="s">
        <v>11800</v>
      </c>
      <c r="C109" s="842" t="s">
        <v>11801</v>
      </c>
      <c r="D109" s="438">
        <v>23416</v>
      </c>
      <c r="E109" s="489">
        <v>44743</v>
      </c>
      <c r="F109" s="447">
        <v>500897133270</v>
      </c>
      <c r="G109" s="825">
        <v>9431345961</v>
      </c>
      <c r="H109" s="845"/>
    </row>
    <row r="110" spans="1:9" ht="18.75" customHeight="1">
      <c r="A110" s="270" t="s">
        <v>11802</v>
      </c>
      <c r="B110" s="270" t="s">
        <v>11803</v>
      </c>
      <c r="C110" s="270" t="s">
        <v>11804</v>
      </c>
      <c r="D110" s="438">
        <v>29234</v>
      </c>
      <c r="E110" s="489">
        <v>44743</v>
      </c>
      <c r="F110" s="447"/>
      <c r="H110" s="845"/>
    </row>
    <row r="111" spans="1:9" ht="18.75" customHeight="1">
      <c r="A111" s="270" t="s">
        <v>11808</v>
      </c>
      <c r="B111" s="270" t="s">
        <v>10467</v>
      </c>
      <c r="C111" s="484" t="s">
        <v>11809</v>
      </c>
      <c r="D111" s="438">
        <v>30301</v>
      </c>
      <c r="E111" s="489">
        <v>44743</v>
      </c>
      <c r="F111" s="447">
        <v>311043095182</v>
      </c>
      <c r="G111" s="825">
        <v>7903634461</v>
      </c>
      <c r="H111" s="845"/>
      <c r="I111" s="270"/>
    </row>
    <row r="112" spans="1:9" ht="18.75" customHeight="1">
      <c r="A112" s="270" t="s">
        <v>11812</v>
      </c>
      <c r="B112" s="270" t="s">
        <v>11813</v>
      </c>
      <c r="C112" s="484" t="s">
        <v>11814</v>
      </c>
      <c r="D112" s="438">
        <v>18798</v>
      </c>
      <c r="E112" s="489">
        <v>44743</v>
      </c>
      <c r="F112" s="447"/>
      <c r="H112" s="845"/>
    </row>
    <row r="113" spans="1:10" ht="18.75" customHeight="1">
      <c r="A113" s="270" t="s">
        <v>11818</v>
      </c>
      <c r="B113" s="270" t="s">
        <v>11819</v>
      </c>
      <c r="C113" s="484" t="s">
        <v>11820</v>
      </c>
      <c r="D113" s="438">
        <v>32666</v>
      </c>
      <c r="E113" s="489">
        <v>44743</v>
      </c>
      <c r="F113" s="447">
        <v>785214127251</v>
      </c>
      <c r="G113" s="826" t="s">
        <v>11821</v>
      </c>
      <c r="H113" s="845"/>
    </row>
    <row r="114" spans="1:10" ht="18.75" customHeight="1">
      <c r="A114" s="270" t="s">
        <v>11827</v>
      </c>
      <c r="B114" s="270" t="s">
        <v>11828</v>
      </c>
      <c r="C114" s="484" t="s">
        <v>11829</v>
      </c>
      <c r="D114" s="438">
        <v>22532</v>
      </c>
      <c r="E114" s="489">
        <v>44743</v>
      </c>
      <c r="F114" s="447">
        <v>791523597998</v>
      </c>
      <c r="G114" s="826">
        <v>9334883756</v>
      </c>
    </row>
    <row r="115" spans="1:10" ht="18.75" customHeight="1">
      <c r="A115" s="270" t="s">
        <v>11830</v>
      </c>
      <c r="B115" s="270" t="s">
        <v>4976</v>
      </c>
      <c r="C115" s="484" t="s">
        <v>11831</v>
      </c>
      <c r="D115" s="438">
        <v>33668</v>
      </c>
      <c r="E115" s="489">
        <v>44743</v>
      </c>
      <c r="F115" s="447"/>
    </row>
    <row r="116" spans="1:10" ht="18.75" customHeight="1">
      <c r="A116" s="270" t="s">
        <v>836</v>
      </c>
      <c r="B116" s="270" t="s">
        <v>835</v>
      </c>
      <c r="C116" s="484" t="s">
        <v>11832</v>
      </c>
      <c r="D116" s="438">
        <v>26665</v>
      </c>
      <c r="E116" s="489">
        <v>44743</v>
      </c>
      <c r="F116" s="447"/>
    </row>
    <row r="117" spans="1:10" ht="18.75" customHeight="1">
      <c r="A117" s="270" t="s">
        <v>11833</v>
      </c>
      <c r="B117" s="270" t="s">
        <v>11834</v>
      </c>
      <c r="C117" s="484" t="s">
        <v>11835</v>
      </c>
      <c r="D117" s="438">
        <v>25937</v>
      </c>
      <c r="E117" s="489">
        <v>44743</v>
      </c>
      <c r="F117" s="447"/>
    </row>
    <row r="118" spans="1:10" ht="18.75" customHeight="1">
      <c r="A118" s="270" t="s">
        <v>11836</v>
      </c>
      <c r="B118" s="270" t="s">
        <v>2975</v>
      </c>
      <c r="C118" s="484" t="s">
        <v>11837</v>
      </c>
      <c r="D118" s="438">
        <v>28491</v>
      </c>
      <c r="E118" s="489">
        <v>44743</v>
      </c>
      <c r="F118" s="447"/>
    </row>
    <row r="119" spans="1:10" ht="18.75" customHeight="1">
      <c r="A119" s="270" t="s">
        <v>11838</v>
      </c>
      <c r="B119" s="270" t="s">
        <v>11839</v>
      </c>
      <c r="C119" s="484" t="s">
        <v>11840</v>
      </c>
      <c r="E119" s="489">
        <v>44743</v>
      </c>
      <c r="F119" s="447"/>
    </row>
    <row r="120" spans="1:10" ht="18.75" customHeight="1">
      <c r="A120" s="270" t="s">
        <v>11841</v>
      </c>
      <c r="B120" s="270" t="s">
        <v>3541</v>
      </c>
      <c r="C120" s="484" t="s">
        <v>11842</v>
      </c>
      <c r="D120" s="438">
        <v>34770</v>
      </c>
      <c r="E120" s="489">
        <v>44743</v>
      </c>
      <c r="F120" s="447">
        <v>341564678480</v>
      </c>
      <c r="G120" s="826">
        <v>6203684208</v>
      </c>
      <c r="H120" s="845"/>
    </row>
    <row r="121" spans="1:10" ht="18.75" customHeight="1">
      <c r="A121" s="270" t="s">
        <v>11843</v>
      </c>
      <c r="B121" s="270" t="s">
        <v>11844</v>
      </c>
      <c r="C121" s="484" t="s">
        <v>11845</v>
      </c>
      <c r="D121" s="438">
        <v>31157</v>
      </c>
      <c r="E121" s="489">
        <v>44743</v>
      </c>
      <c r="F121" s="447"/>
    </row>
    <row r="122" spans="1:10" ht="18.75" customHeight="1">
      <c r="A122" s="270" t="s">
        <v>11851</v>
      </c>
      <c r="B122" s="270" t="s">
        <v>11852</v>
      </c>
      <c r="C122" s="484" t="s">
        <v>11853</v>
      </c>
      <c r="D122" s="438">
        <v>23895</v>
      </c>
      <c r="E122" s="489">
        <v>44743</v>
      </c>
    </row>
    <row r="123" spans="1:10" ht="18.75" customHeight="1">
      <c r="A123" s="270" t="s">
        <v>11854</v>
      </c>
      <c r="B123" s="270" t="s">
        <v>11855</v>
      </c>
      <c r="C123" s="484" t="s">
        <v>11856</v>
      </c>
      <c r="D123" s="438">
        <v>23141</v>
      </c>
      <c r="E123" s="489">
        <v>44743</v>
      </c>
    </row>
    <row r="124" spans="1:10" ht="18.75" customHeight="1">
      <c r="A124" s="270" t="s">
        <v>11860</v>
      </c>
      <c r="C124" s="484" t="s">
        <v>11861</v>
      </c>
      <c r="E124" s="489">
        <v>44743</v>
      </c>
      <c r="H124" s="846">
        <v>40000</v>
      </c>
      <c r="J124" s="483">
        <v>3</v>
      </c>
    </row>
    <row r="125" spans="1:10" ht="18.75" customHeight="1">
      <c r="A125" s="270" t="s">
        <v>11862</v>
      </c>
      <c r="B125" s="270" t="s">
        <v>11863</v>
      </c>
      <c r="C125" s="484" t="s">
        <v>11864</v>
      </c>
      <c r="D125" s="438">
        <v>28111</v>
      </c>
      <c r="E125" s="489">
        <v>44743</v>
      </c>
    </row>
    <row r="126" spans="1:10" ht="18.75" customHeight="1">
      <c r="A126" s="270" t="s">
        <v>11865</v>
      </c>
      <c r="B126" s="270" t="s">
        <v>11866</v>
      </c>
      <c r="C126" s="484" t="s">
        <v>11867</v>
      </c>
      <c r="E126" s="489">
        <v>44743</v>
      </c>
    </row>
    <row r="127" spans="1:10" ht="18.75" customHeight="1">
      <c r="A127" s="270" t="s">
        <v>11868</v>
      </c>
      <c r="B127" s="270" t="s">
        <v>11869</v>
      </c>
      <c r="C127" s="484" t="s">
        <v>11870</v>
      </c>
      <c r="E127" s="489">
        <v>44743</v>
      </c>
    </row>
    <row r="128" spans="1:10" ht="18.75" customHeight="1">
      <c r="A128" s="270" t="s">
        <v>11874</v>
      </c>
      <c r="B128" s="270" t="s">
        <v>11875</v>
      </c>
      <c r="C128" s="270" t="s">
        <v>11876</v>
      </c>
      <c r="D128" s="438">
        <v>19680</v>
      </c>
      <c r="E128" s="489">
        <v>44743</v>
      </c>
    </row>
    <row r="129" spans="1:7" ht="18.75" customHeight="1">
      <c r="A129" s="270" t="s">
        <v>11880</v>
      </c>
      <c r="B129" s="270" t="s">
        <v>13047</v>
      </c>
      <c r="C129" s="270" t="s">
        <v>11881</v>
      </c>
      <c r="D129" s="438">
        <v>25510</v>
      </c>
      <c r="E129" s="489">
        <v>44743</v>
      </c>
      <c r="G129" s="826">
        <v>9955906594</v>
      </c>
    </row>
    <row r="130" spans="1:7" ht="18.75" customHeight="1">
      <c r="A130" s="270" t="s">
        <v>11885</v>
      </c>
      <c r="B130" s="270" t="s">
        <v>11886</v>
      </c>
      <c r="C130" s="843" t="s">
        <v>11887</v>
      </c>
      <c r="E130" s="489">
        <v>44743</v>
      </c>
    </row>
    <row r="131" spans="1:7" ht="18.75" customHeight="1">
      <c r="A131" s="270" t="s">
        <v>11896</v>
      </c>
      <c r="B131" s="270" t="s">
        <v>11897</v>
      </c>
      <c r="C131" s="843" t="s">
        <v>11898</v>
      </c>
      <c r="D131" s="438">
        <v>18751</v>
      </c>
      <c r="E131" s="489">
        <v>44743</v>
      </c>
      <c r="G131" s="826">
        <v>9693117540</v>
      </c>
    </row>
    <row r="132" spans="1:7" ht="18.75" customHeight="1">
      <c r="A132" s="270" t="s">
        <v>11899</v>
      </c>
      <c r="B132" s="270" t="s">
        <v>11900</v>
      </c>
      <c r="C132" s="270" t="s">
        <v>11901</v>
      </c>
      <c r="D132" s="438">
        <v>27575</v>
      </c>
      <c r="E132" s="489">
        <v>44743</v>
      </c>
      <c r="G132" s="826">
        <v>7070139828</v>
      </c>
    </row>
    <row r="133" spans="1:7" ht="18.75" customHeight="1">
      <c r="A133" s="485" t="s">
        <v>11905</v>
      </c>
      <c r="B133" s="270" t="s">
        <v>11906</v>
      </c>
      <c r="C133" s="843" t="s">
        <v>11907</v>
      </c>
      <c r="E133" s="489">
        <v>44743</v>
      </c>
    </row>
    <row r="134" spans="1:7" ht="18.75" customHeight="1">
      <c r="A134" s="270" t="s">
        <v>12684</v>
      </c>
      <c r="B134" s="270" t="s">
        <v>12682</v>
      </c>
      <c r="C134" s="837" t="s">
        <v>12683</v>
      </c>
      <c r="D134" s="489">
        <v>28906</v>
      </c>
      <c r="E134" s="489">
        <v>44743</v>
      </c>
      <c r="G134" s="826">
        <v>6295717297</v>
      </c>
    </row>
    <row r="135" spans="1:7" ht="18.75" customHeight="1">
      <c r="A135" s="483" t="s">
        <v>12939</v>
      </c>
      <c r="C135" s="646" t="s">
        <v>12940</v>
      </c>
      <c r="E135" s="489">
        <v>44743</v>
      </c>
      <c r="G135" s="824">
        <v>8987449246</v>
      </c>
    </row>
    <row r="136" spans="1:7" ht="18.75" customHeight="1">
      <c r="A136" s="483" t="s">
        <v>12941</v>
      </c>
      <c r="E136" s="489">
        <v>44743</v>
      </c>
      <c r="G136" s="824">
        <v>8797579335</v>
      </c>
    </row>
    <row r="137" spans="1:7" ht="18.75" customHeight="1">
      <c r="A137" s="483" t="s">
        <v>12980</v>
      </c>
      <c r="B137" s="483" t="s">
        <v>12981</v>
      </c>
      <c r="C137" s="829" t="s">
        <v>8791</v>
      </c>
      <c r="E137" s="489">
        <v>44743</v>
      </c>
      <c r="G137" s="824">
        <v>8709465697</v>
      </c>
    </row>
    <row r="138" spans="1:7" ht="18.75" customHeight="1">
      <c r="A138" s="483" t="s">
        <v>12982</v>
      </c>
      <c r="B138" s="483" t="s">
        <v>12983</v>
      </c>
      <c r="C138" s="829" t="s">
        <v>8791</v>
      </c>
      <c r="D138" s="489">
        <v>27395</v>
      </c>
      <c r="E138" s="489">
        <v>44743</v>
      </c>
      <c r="G138" s="824">
        <v>6200186843</v>
      </c>
    </row>
    <row r="139" spans="1:7" ht="18.75" customHeight="1">
      <c r="A139" s="483" t="s">
        <v>12986</v>
      </c>
      <c r="B139" s="483" t="s">
        <v>12987</v>
      </c>
      <c r="C139" s="829" t="s">
        <v>13072</v>
      </c>
      <c r="D139" s="489">
        <v>16265</v>
      </c>
      <c r="E139" s="489">
        <v>44743</v>
      </c>
      <c r="G139" s="824">
        <v>8603714185</v>
      </c>
    </row>
    <row r="140" spans="1:7" ht="18.75" customHeight="1">
      <c r="A140" s="483" t="s">
        <v>12990</v>
      </c>
      <c r="B140" s="483" t="s">
        <v>12991</v>
      </c>
      <c r="C140" s="483" t="s">
        <v>8791</v>
      </c>
      <c r="D140" s="489">
        <v>24628</v>
      </c>
      <c r="E140" s="489">
        <v>44743</v>
      </c>
      <c r="G140" s="824">
        <v>9006320016</v>
      </c>
    </row>
    <row r="141" spans="1:7" ht="18.75" customHeight="1">
      <c r="A141" s="483" t="s">
        <v>12996</v>
      </c>
      <c r="B141" s="483" t="s">
        <v>12997</v>
      </c>
      <c r="C141" s="483" t="s">
        <v>8791</v>
      </c>
      <c r="D141" s="489">
        <v>29236</v>
      </c>
      <c r="E141" s="489">
        <v>44743</v>
      </c>
      <c r="G141" s="824">
        <v>9031764327</v>
      </c>
    </row>
    <row r="142" spans="1:7" ht="18.75" customHeight="1">
      <c r="A142" s="483" t="s">
        <v>13003</v>
      </c>
      <c r="B142" s="483" t="s">
        <v>13004</v>
      </c>
      <c r="C142" s="483" t="s">
        <v>8791</v>
      </c>
      <c r="E142" s="489">
        <v>44743</v>
      </c>
      <c r="G142" s="824">
        <v>6203956812</v>
      </c>
    </row>
    <row r="143" spans="1:7" ht="18.75" customHeight="1">
      <c r="A143" s="483" t="s">
        <v>13018</v>
      </c>
      <c r="B143" s="483" t="s">
        <v>13019</v>
      </c>
      <c r="C143" s="483" t="s">
        <v>13020</v>
      </c>
      <c r="E143" s="489">
        <v>44743</v>
      </c>
      <c r="G143" s="824">
        <v>9199250421</v>
      </c>
    </row>
    <row r="144" spans="1:7" ht="18.75" customHeight="1">
      <c r="A144" s="483" t="s">
        <v>13021</v>
      </c>
      <c r="B144" s="483" t="s">
        <v>13022</v>
      </c>
      <c r="C144" s="483" t="s">
        <v>13023</v>
      </c>
      <c r="E144" s="489">
        <v>44743</v>
      </c>
      <c r="G144" s="824">
        <v>9470975455</v>
      </c>
    </row>
    <row r="145" spans="1:9" ht="18.75" customHeight="1">
      <c r="A145" s="483" t="s">
        <v>13027</v>
      </c>
      <c r="B145" s="483" t="s">
        <v>13028</v>
      </c>
      <c r="C145" s="483" t="s">
        <v>13072</v>
      </c>
      <c r="E145" s="489">
        <v>44743</v>
      </c>
      <c r="G145" s="824">
        <v>8709475008</v>
      </c>
    </row>
    <row r="146" spans="1:9" ht="18.75" customHeight="1">
      <c r="A146" s="483" t="s">
        <v>13067</v>
      </c>
      <c r="B146" s="483" t="s">
        <v>13068</v>
      </c>
      <c r="C146" s="483" t="s">
        <v>13069</v>
      </c>
      <c r="E146" s="489">
        <v>44743</v>
      </c>
      <c r="G146" s="824">
        <v>9431953562</v>
      </c>
    </row>
    <row r="147" spans="1:9" ht="18.75" customHeight="1">
      <c r="A147" s="483" t="s">
        <v>13070</v>
      </c>
      <c r="B147" s="483" t="s">
        <v>12989</v>
      </c>
      <c r="C147" s="483" t="s">
        <v>13069</v>
      </c>
      <c r="E147" s="489">
        <v>44743</v>
      </c>
      <c r="G147" s="824">
        <v>9204258430</v>
      </c>
    </row>
    <row r="148" spans="1:9" ht="18.75" customHeight="1">
      <c r="A148" s="483" t="s">
        <v>13433</v>
      </c>
      <c r="B148" s="483" t="s">
        <v>13434</v>
      </c>
      <c r="C148" s="528" t="s">
        <v>13432</v>
      </c>
      <c r="D148" s="489">
        <v>27347</v>
      </c>
      <c r="E148" s="489">
        <v>44743</v>
      </c>
      <c r="G148" s="824">
        <v>8789113141</v>
      </c>
    </row>
    <row r="149" spans="1:9" ht="18.75" customHeight="1">
      <c r="A149" s="483" t="s">
        <v>13517</v>
      </c>
      <c r="B149" s="483" t="s">
        <v>5634</v>
      </c>
      <c r="C149" t="s">
        <v>13518</v>
      </c>
      <c r="D149" s="489">
        <v>27091</v>
      </c>
      <c r="E149" s="489">
        <v>44743</v>
      </c>
      <c r="G149" s="824">
        <v>7909087990</v>
      </c>
    </row>
    <row r="150" spans="1:9" ht="18.75" customHeight="1">
      <c r="A150" s="483" t="s">
        <v>14150</v>
      </c>
      <c r="B150" s="483" t="s">
        <v>14151</v>
      </c>
      <c r="C150" t="s">
        <v>14149</v>
      </c>
      <c r="D150" s="489">
        <v>29204</v>
      </c>
      <c r="E150" s="489">
        <v>44743</v>
      </c>
      <c r="G150" s="824">
        <v>9835970660</v>
      </c>
    </row>
    <row r="151" spans="1:9" ht="18.75" customHeight="1">
      <c r="A151" s="483" t="s">
        <v>14144</v>
      </c>
      <c r="B151" s="483" t="s">
        <v>14145</v>
      </c>
      <c r="E151" s="489">
        <v>44743</v>
      </c>
    </row>
    <row r="152" spans="1:9" ht="18.75" customHeight="1">
      <c r="A152" s="583" t="s">
        <v>12827</v>
      </c>
      <c r="B152" s="583" t="s">
        <v>12821</v>
      </c>
      <c r="C152" s="832" t="s">
        <v>13269</v>
      </c>
      <c r="D152" s="584"/>
      <c r="E152" s="585">
        <v>44719</v>
      </c>
      <c r="F152" s="584"/>
    </row>
    <row r="153" spans="1:9" ht="18.75" customHeight="1">
      <c r="A153" s="483" t="s">
        <v>14447</v>
      </c>
      <c r="C153" s="492" t="s">
        <v>14448</v>
      </c>
    </row>
    <row r="154" spans="1:9" ht="18.75" customHeight="1">
      <c r="A154" s="483" t="s">
        <v>14456</v>
      </c>
      <c r="B154" s="483" t="s">
        <v>7670</v>
      </c>
      <c r="C154" s="492" t="s">
        <v>14457</v>
      </c>
      <c r="E154" s="489">
        <v>45134</v>
      </c>
      <c r="G154" s="824">
        <v>7889664213</v>
      </c>
      <c r="I154" s="483">
        <v>100</v>
      </c>
    </row>
    <row r="155" spans="1:9" ht="18.75" customHeight="1">
      <c r="A155" s="483" t="s">
        <v>14458</v>
      </c>
      <c r="B155" s="483" t="s">
        <v>14459</v>
      </c>
      <c r="E155" s="489">
        <v>45134</v>
      </c>
      <c r="G155" s="824">
        <v>9589737210</v>
      </c>
    </row>
    <row r="156" spans="1:9" ht="18.75" customHeight="1">
      <c r="A156" s="483" t="s">
        <v>14460</v>
      </c>
      <c r="B156" s="483" t="s">
        <v>9369</v>
      </c>
      <c r="C156" s="492" t="s">
        <v>14461</v>
      </c>
      <c r="E156" s="489">
        <v>45135</v>
      </c>
      <c r="G156" s="824">
        <v>7004842583</v>
      </c>
      <c r="I156" s="483">
        <v>300</v>
      </c>
    </row>
    <row r="157" spans="1:9" ht="18.75" customHeight="1">
      <c r="A157" s="483" t="s">
        <v>14463</v>
      </c>
      <c r="C157" s="492" t="s">
        <v>14462</v>
      </c>
      <c r="E157" s="489">
        <v>45135</v>
      </c>
      <c r="G157" s="824">
        <v>8235429755</v>
      </c>
      <c r="I157" s="483">
        <v>300</v>
      </c>
    </row>
    <row r="158" spans="1:9" ht="18.75" customHeight="1">
      <c r="A158" s="483" t="s">
        <v>14466</v>
      </c>
      <c r="B158" s="483" t="s">
        <v>14464</v>
      </c>
      <c r="C158" s="492" t="s">
        <v>14465</v>
      </c>
    </row>
    <row r="159" spans="1:9" ht="18.75" customHeight="1">
      <c r="A159" s="483" t="s">
        <v>14477</v>
      </c>
      <c r="B159" s="483" t="s">
        <v>14478</v>
      </c>
      <c r="C159" s="492" t="s">
        <v>14479</v>
      </c>
      <c r="E159" s="489">
        <v>45134</v>
      </c>
      <c r="G159" s="824">
        <v>9801967745</v>
      </c>
      <c r="H159" s="846">
        <v>7470</v>
      </c>
      <c r="I159" s="483">
        <v>300</v>
      </c>
    </row>
    <row r="160" spans="1:9" ht="18.75" customHeight="1">
      <c r="A160" s="483" t="s">
        <v>14483</v>
      </c>
      <c r="B160" s="483" t="s">
        <v>14485</v>
      </c>
      <c r="C160" s="492" t="s">
        <v>14484</v>
      </c>
      <c r="G160" s="824">
        <v>9875564973</v>
      </c>
    </row>
    <row r="161" spans="1:10" ht="18.75" customHeight="1">
      <c r="A161" s="483" t="s">
        <v>14487</v>
      </c>
      <c r="B161" s="483" t="s">
        <v>14488</v>
      </c>
      <c r="C161" s="492" t="s">
        <v>14489</v>
      </c>
      <c r="E161" s="489">
        <v>45136</v>
      </c>
      <c r="G161" s="824">
        <v>8709842494</v>
      </c>
      <c r="I161" s="483">
        <v>350</v>
      </c>
    </row>
    <row r="162" spans="1:10" ht="18.75" customHeight="1">
      <c r="A162" s="483" t="s">
        <v>14490</v>
      </c>
      <c r="B162" s="483" t="s">
        <v>14492</v>
      </c>
      <c r="C162" s="492" t="s">
        <v>14491</v>
      </c>
      <c r="E162" s="489">
        <v>45136</v>
      </c>
      <c r="G162" s="824">
        <v>9835359293</v>
      </c>
      <c r="H162" s="846">
        <v>9760</v>
      </c>
      <c r="I162" s="483">
        <v>400</v>
      </c>
    </row>
    <row r="163" spans="1:10" ht="18.75" customHeight="1">
      <c r="A163" s="483" t="s">
        <v>14499</v>
      </c>
      <c r="B163" s="483" t="s">
        <v>14500</v>
      </c>
      <c r="C163" s="492" t="s">
        <v>14501</v>
      </c>
      <c r="E163" s="489">
        <v>45138</v>
      </c>
      <c r="H163" s="846">
        <v>13001</v>
      </c>
    </row>
    <row r="164" spans="1:10" ht="18.75" customHeight="1">
      <c r="A164" s="483" t="s">
        <v>14506</v>
      </c>
      <c r="B164" s="483" t="s">
        <v>14507</v>
      </c>
      <c r="D164" s="489">
        <v>23090</v>
      </c>
    </row>
    <row r="165" spans="1:10" ht="18.75" customHeight="1">
      <c r="A165" s="483" t="s">
        <v>14557</v>
      </c>
      <c r="B165" s="483" t="s">
        <v>14558</v>
      </c>
      <c r="C165" s="492" t="s">
        <v>14559</v>
      </c>
      <c r="E165" s="489">
        <v>45150</v>
      </c>
      <c r="G165" s="824">
        <v>7209656257</v>
      </c>
      <c r="H165" s="846">
        <v>12360</v>
      </c>
      <c r="I165" s="483">
        <v>500</v>
      </c>
    </row>
    <row r="166" spans="1:10" ht="18.75" customHeight="1">
      <c r="A166" s="483" t="s">
        <v>14562</v>
      </c>
      <c r="B166" s="483" t="s">
        <v>1682</v>
      </c>
      <c r="C166" s="492" t="s">
        <v>14563</v>
      </c>
      <c r="G166" s="824">
        <v>9608333434</v>
      </c>
    </row>
    <row r="167" spans="1:10" ht="18.75" customHeight="1">
      <c r="A167" s="483" t="s">
        <v>14570</v>
      </c>
      <c r="B167" s="483" t="s">
        <v>1991</v>
      </c>
      <c r="C167" s="492" t="s">
        <v>14571</v>
      </c>
    </row>
    <row r="168" spans="1:10" ht="18.75" customHeight="1">
      <c r="A168" s="483" t="s">
        <v>14700</v>
      </c>
      <c r="B168" s="483" t="s">
        <v>14701</v>
      </c>
      <c r="C168" s="492" t="s">
        <v>14407</v>
      </c>
      <c r="D168" s="489">
        <v>17899</v>
      </c>
    </row>
    <row r="169" spans="1:10" ht="18.75" customHeight="1">
      <c r="A169" s="483" t="s">
        <v>14730</v>
      </c>
      <c r="B169" s="483" t="s">
        <v>7910</v>
      </c>
      <c r="C169" s="492" t="s">
        <v>14729</v>
      </c>
    </row>
    <row r="170" spans="1:10" ht="18.75" customHeight="1">
      <c r="A170" s="483" t="s">
        <v>14738</v>
      </c>
      <c r="B170" s="483" t="s">
        <v>14739</v>
      </c>
      <c r="C170" s="492" t="s">
        <v>14740</v>
      </c>
      <c r="D170" s="489">
        <v>34761</v>
      </c>
      <c r="F170" s="488">
        <v>455011794359</v>
      </c>
      <c r="G170" s="824">
        <v>9204486584</v>
      </c>
    </row>
    <row r="171" spans="1:10" ht="18.75" customHeight="1">
      <c r="A171" s="483" t="s">
        <v>14873</v>
      </c>
      <c r="B171" s="483" t="s">
        <v>14874</v>
      </c>
      <c r="C171" s="492" t="s">
        <v>14875</v>
      </c>
      <c r="D171" s="489">
        <v>29156</v>
      </c>
      <c r="G171" s="824">
        <v>8294403318</v>
      </c>
    </row>
    <row r="172" spans="1:10" ht="18.75" customHeight="1">
      <c r="A172" s="483" t="s">
        <v>14897</v>
      </c>
      <c r="B172" s="483" t="s">
        <v>14898</v>
      </c>
      <c r="C172" s="492" t="s">
        <v>14899</v>
      </c>
      <c r="G172" s="824">
        <v>8340605039</v>
      </c>
    </row>
    <row r="174" spans="1:10" ht="18.75" customHeight="1">
      <c r="H174" s="924">
        <v>565850</v>
      </c>
      <c r="I174" s="483">
        <v>0.25</v>
      </c>
      <c r="J174" s="483">
        <f>H174*I174</f>
        <v>141462.5</v>
      </c>
    </row>
    <row r="175" spans="1:10" ht="18.75" customHeight="1">
      <c r="H175" s="924">
        <v>168540</v>
      </c>
      <c r="I175" s="483">
        <v>0.25</v>
      </c>
      <c r="J175" s="483">
        <f>H175*I175</f>
        <v>42135</v>
      </c>
    </row>
    <row r="176" spans="1:10" ht="18.75" customHeight="1">
      <c r="J176" s="483">
        <f>SUM(J174:J175)</f>
        <v>183597.5</v>
      </c>
    </row>
  </sheetData>
  <sortState xmlns:xlrd2="http://schemas.microsoft.com/office/spreadsheetml/2017/richdata2" ref="A2:J153">
    <sortCondition descending="1" ref="E2:E153"/>
  </sortState>
  <hyperlinks>
    <hyperlink ref="C134" r:id="rId1" xr:uid="{F50658D5-E90A-4FAF-AF03-414896FAACBA}"/>
    <hyperlink ref="C102" r:id="rId2" xr:uid="{1374AA1A-8112-4C4F-A65E-FC3472581B99}"/>
    <hyperlink ref="C62" r:id="rId3" xr:uid="{D3F3B83B-BEEF-4189-B1A2-7CB688F0C66A}"/>
    <hyperlink ref="C69" r:id="rId4" xr:uid="{ADC49C70-A3C8-4A87-87E8-A02548E5F3CD}"/>
    <hyperlink ref="C101" r:id="rId5" xr:uid="{9C867EBA-500B-4FDF-AEF7-DE2AA7882316}"/>
    <hyperlink ref="C103" r:id="rId6" xr:uid="{6BCD93C1-1CD7-4A4B-B1AB-E5E304B0AA88}"/>
    <hyperlink ref="C44" r:id="rId7" xr:uid="{9DAD17BD-ECC3-4C16-8CB1-F5326E7D0785}"/>
    <hyperlink ref="C29" r:id="rId8" xr:uid="{79829409-43C5-42A2-AE36-5BABDE3464AC}"/>
    <hyperlink ref="C100" r:id="rId9" xr:uid="{F477D16A-9AD6-46C5-B187-586CCB250F52}"/>
    <hyperlink ref="C98" r:id="rId10" xr:uid="{9FCFC024-7A13-41D4-920D-00E8970206A3}"/>
    <hyperlink ref="C41" r:id="rId11" xr:uid="{2349CB44-6273-443D-8C02-907E62173567}"/>
    <hyperlink ref="C135" r:id="rId12" xr:uid="{4A13A7D3-8D1D-4035-852E-FD11DBAEAFAF}"/>
    <hyperlink ref="C97" r:id="rId13" xr:uid="{3A9BDC4D-F9D1-4FBC-AA0A-4E23C5CF5024}"/>
    <hyperlink ref="C39" r:id="rId14" xr:uid="{F8628216-42DD-4117-8CE5-D5D8AC172850}"/>
    <hyperlink ref="C95" r:id="rId15" xr:uid="{C563102B-A374-4231-B9B2-38A3E3501219}"/>
    <hyperlink ref="C67" r:id="rId16" xr:uid="{18C02F22-79F8-4AAF-A707-FEFBD595216E}"/>
    <hyperlink ref="C96" r:id="rId17" xr:uid="{49E205E8-4485-4763-BEA5-D76D0E50EEF2}"/>
    <hyperlink ref="C94" r:id="rId18" xr:uid="{365C9D63-6E55-4ACA-BDB4-FD7D145FCC57}"/>
    <hyperlink ref="C68" r:id="rId19" xr:uid="{C0670A70-ADE2-47B6-B5CF-B0A04142FB22}"/>
    <hyperlink ref="C6" r:id="rId20" xr:uid="{65B888F1-6A3F-4C28-84C6-EC5298F0FFF0}"/>
    <hyperlink ref="C93" r:id="rId21" xr:uid="{208B2CC9-EC31-4F42-8A1B-124DD667B7F1}"/>
    <hyperlink ref="C12" r:id="rId22" xr:uid="{017517A3-F3BD-4567-A66D-9F67AD638524}"/>
    <hyperlink ref="C92" r:id="rId23" xr:uid="{25116B7D-9346-485A-80D2-7BAF0B465842}"/>
    <hyperlink ref="C59" r:id="rId24" xr:uid="{4A4FA873-2578-45BE-A252-311B4498893E}"/>
    <hyperlink ref="C37" r:id="rId25" xr:uid="{A64F96AD-AE5B-4D32-99BF-6AC4460F0DF3}"/>
    <hyperlink ref="C90" r:id="rId26" xr:uid="{981561E0-0F61-4ECF-A901-5EFBB42FE8B5}"/>
    <hyperlink ref="C91" r:id="rId27" xr:uid="{F7C75836-6021-41E2-B304-B235FAAFE892}"/>
    <hyperlink ref="C86" r:id="rId28" xr:uid="{844D517B-90C0-4423-BED9-A0ABD70866CC}"/>
    <hyperlink ref="C49" r:id="rId29" xr:uid="{AA995465-13D8-41D3-A2B6-F963C2DC0835}"/>
    <hyperlink ref="C36" r:id="rId30" xr:uid="{ACCD0E7D-E844-4F24-8BF0-08BB7E175C36}"/>
    <hyperlink ref="C35" r:id="rId31" xr:uid="{1FDBEB89-195C-4B1E-988D-95618F9BD19A}"/>
    <hyperlink ref="C85" r:id="rId32" xr:uid="{5FCA93A5-E047-4CEA-8FB5-9E5808356DFE}"/>
    <hyperlink ref="C82" r:id="rId33" xr:uid="{FB39C6B8-C787-481D-89FB-9AE87D1D6258}"/>
    <hyperlink ref="C83" r:id="rId34" xr:uid="{D87FF963-F700-4B4E-9B79-395379F50D10}"/>
    <hyperlink ref="C84" r:id="rId35" xr:uid="{3B162CF9-E8ED-4118-9006-092B0590F49A}"/>
    <hyperlink ref="C79" r:id="rId36" xr:uid="{19876F0B-F3BD-439A-8848-974855975A2A}"/>
    <hyperlink ref="C104" r:id="rId37" xr:uid="{AF8647F3-DD0A-42B6-9AA5-C7B97CEEB682}"/>
    <hyperlink ref="C152" r:id="rId38" xr:uid="{C5C761D3-2E7F-436F-80D4-10C7B675DB95}"/>
    <hyperlink ref="C78" r:id="rId39" xr:uid="{7AFFDC08-9E9A-4C9B-9A54-EA668D6F032B}"/>
    <hyperlink ref="C148" r:id="rId40" xr:uid="{8F7054B0-DCD8-4A39-BF73-7D68D0DAC3F0}"/>
    <hyperlink ref="C21" r:id="rId41" xr:uid="{5BFDCE9E-7D81-42A6-A277-D5CD47B8C0EE}"/>
    <hyperlink ref="C77" r:id="rId42" xr:uid="{8291C7F8-DEFE-49A7-A7D9-4C378AE7E32D}"/>
    <hyperlink ref="C76" r:id="rId43" xr:uid="{43083FB3-15A8-4BCC-91BD-A47897593F4B}"/>
    <hyperlink ref="C73" r:id="rId44" xr:uid="{54E66587-B8E6-4D6C-B7C3-630A03123336}"/>
    <hyperlink ref="C72" r:id="rId45" xr:uid="{F58196A2-A6F3-45BC-B76A-107C70C0E408}"/>
    <hyperlink ref="C70" r:id="rId46" xr:uid="{95C089CA-0DC1-4F9D-863D-6DF35D896D39}"/>
    <hyperlink ref="C60" r:id="rId47" xr:uid="{2CA2C987-00A0-40DC-B463-05458A1E2123}"/>
    <hyperlink ref="I60" r:id="rId48" xr:uid="{F94A010E-3504-4383-985B-8B5612241538}"/>
    <hyperlink ref="C63" r:id="rId49" xr:uid="{FBAEBEE6-EF46-470B-B66D-219740536AF6}"/>
    <hyperlink ref="C64" r:id="rId50" xr:uid="{38632A50-F61D-4F05-84DC-E7ADBD639D69}"/>
    <hyperlink ref="C55" r:id="rId51" xr:uid="{899DF456-B064-442F-8B6A-143DEC8E1F50}"/>
    <hyperlink ref="C56" r:id="rId52" xr:uid="{9BEB16DD-3500-477C-94CB-113EA60D36A7}"/>
    <hyperlink ref="C57" r:id="rId53" xr:uid="{552FE4FA-9604-4032-815F-A307812453DC}"/>
    <hyperlink ref="C54" r:id="rId54" xr:uid="{52D5B24E-FB4A-40DD-83BD-F94FBA7EE1B8}"/>
    <hyperlink ref="C51" r:id="rId55" xr:uid="{68907927-CC53-407C-8780-1D7C77792572}"/>
    <hyperlink ref="C52" r:id="rId56" xr:uid="{32A5D9AF-57BF-4571-9342-9E779DDE8E52}"/>
    <hyperlink ref="C45" r:id="rId57" xr:uid="{8E2C6DFB-F72A-4F37-ADB1-44E0685A2E49}"/>
    <hyperlink ref="C47" r:id="rId58" xr:uid="{9A303AE5-39ED-44B1-828A-5E35C807F78A}"/>
    <hyperlink ref="C48" r:id="rId59" xr:uid="{91F121DF-B43B-4B94-A2FE-662AE412C9CD}"/>
    <hyperlink ref="C46" r:id="rId60" xr:uid="{C5C64A5C-0E2D-45B0-B138-52F6FADF7CD7}"/>
    <hyperlink ref="B57" r:id="rId61" xr:uid="{0CF482B6-3241-4F5C-B891-55AF4CAD703B}"/>
    <hyperlink ref="C20" r:id="rId62" xr:uid="{1F8E979B-5312-4199-AA9F-ECA160BE2351}"/>
    <hyperlink ref="C18" r:id="rId63" xr:uid="{08784DB8-B853-4637-903C-5D665039ACC4}"/>
    <hyperlink ref="C19" r:id="rId64" xr:uid="{88DC957C-17B0-48B6-950D-8E5B7C423BDA}"/>
    <hyperlink ref="C16" r:id="rId65" xr:uid="{53963941-91D3-4642-9981-7FF2C1F341B3}"/>
    <hyperlink ref="C17" r:id="rId66" xr:uid="{10745D20-B0ED-4D0E-82B1-B9E3B6300D45}"/>
    <hyperlink ref="C74" r:id="rId67" xr:uid="{88A7A062-3E49-4953-9136-E95F374FBCFA}"/>
    <hyperlink ref="C7" r:id="rId68" xr:uid="{B3EBBAB9-2C7C-4E23-87F8-3D4D87D18F9D}"/>
    <hyperlink ref="C8" r:id="rId69" xr:uid="{8243D5B4-08BB-43D2-ACE7-59B7C92DD4B9}"/>
    <hyperlink ref="C11" r:id="rId70" xr:uid="{CC122F64-0332-4AE2-B726-EE8B6EE16E0C}"/>
    <hyperlink ref="C4" r:id="rId71" xr:uid="{492E848C-6F6C-4A3A-8B01-FD902D64ED9C}"/>
    <hyperlink ref="C5" r:id="rId72" xr:uid="{2E6A61DB-E22E-4A30-B9E1-108483EA9039}"/>
    <hyperlink ref="C153" r:id="rId73" xr:uid="{0AB78116-25F8-4410-8512-293CBBA7AC8C}"/>
    <hyperlink ref="C154" r:id="rId74" xr:uid="{F89268BC-552A-4644-A909-C30A808159CA}"/>
    <hyperlink ref="C156" r:id="rId75" xr:uid="{E94B13EF-27C0-43F3-821A-E3C8725C7B62}"/>
    <hyperlink ref="C157" r:id="rId76" xr:uid="{AC47DF90-C6AD-44A1-979E-FDF8B69E983B}"/>
    <hyperlink ref="C158" r:id="rId77" xr:uid="{5C1B738B-7287-451D-AF45-689ECBBE8F62}"/>
    <hyperlink ref="C159" r:id="rId78" xr:uid="{D5FE59C4-76B9-4630-893F-39559F0F935B}"/>
    <hyperlink ref="C160" r:id="rId79" xr:uid="{6AADDE4B-9F30-49EE-B3B6-61CE9DE01E45}"/>
    <hyperlink ref="C161" r:id="rId80" xr:uid="{B5D4826A-B010-4117-BB6C-0BA3FDDEA016}"/>
    <hyperlink ref="C162" r:id="rId81" xr:uid="{54596692-71DE-4D8A-AD22-9C3F0AC812B0}"/>
    <hyperlink ref="C163" r:id="rId82" xr:uid="{F24FBDF0-90AD-451E-BCEB-43251C5234E5}"/>
    <hyperlink ref="C165" r:id="rId83" xr:uid="{57BC178D-B110-41CB-AE90-E2F96EF7C839}"/>
    <hyperlink ref="C166" r:id="rId84" xr:uid="{2B014960-E1E0-4863-B925-FF750256ABB8}"/>
    <hyperlink ref="C167" r:id="rId85" xr:uid="{93AE9D58-6687-48E1-A0A3-A1B8E29CEA06}"/>
    <hyperlink ref="C168" r:id="rId86" xr:uid="{447396AA-D1A9-4D44-A7F5-1FB8A70AD4A2}"/>
    <hyperlink ref="C169" r:id="rId87" xr:uid="{66142D89-02AC-431B-AE10-9BA3E9D751D8}"/>
    <hyperlink ref="C170" r:id="rId88" xr:uid="{79C0A5CB-6E98-4D7E-816A-94FF329F99A4}"/>
    <hyperlink ref="C171" r:id="rId89" xr:uid="{0594C734-984B-4BF5-814C-497723B210B3}"/>
    <hyperlink ref="C172" r:id="rId90" xr:uid="{990F8824-512F-47BB-ACAF-6ADF887E805A}"/>
  </hyperlinks>
  <pageMargins left="0.7" right="0.7" top="0.75" bottom="0.75" header="0" footer="0"/>
  <pageSetup paperSize="9" orientation="portrait" r:id="rId9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8"/>
  <sheetViews>
    <sheetView topLeftCell="C1" zoomScale="70" zoomScaleNormal="70" workbookViewId="0">
      <pane ySplit="2" topLeftCell="A209" activePane="bottomLeft" state="frozen"/>
      <selection pane="bottomLeft" activeCell="F232" sqref="F232"/>
    </sheetView>
  </sheetViews>
  <sheetFormatPr defaultColWidth="14.42578125" defaultRowHeight="15" customHeight="1"/>
  <cols>
    <col min="1" max="1" width="15.28515625" customWidth="1"/>
    <col min="2" max="2" width="18.7109375" customWidth="1"/>
    <col min="3" max="3" width="33" customWidth="1"/>
    <col min="4" max="4" width="16.140625" style="448" customWidth="1"/>
    <col min="5" max="5" width="21.140625" style="448" customWidth="1"/>
    <col min="6" max="6" width="21.85546875" customWidth="1"/>
    <col min="7" max="7" width="41.140625" customWidth="1"/>
    <col min="8" max="8" width="29.140625" customWidth="1"/>
    <col min="9" max="9" width="15.42578125" style="448" customWidth="1"/>
    <col min="10" max="10" width="115.85546875" customWidth="1"/>
    <col min="11" max="11" width="9.140625" customWidth="1"/>
    <col min="12" max="12" width="14.5703125" customWidth="1"/>
    <col min="13" max="13" width="9.140625" customWidth="1"/>
    <col min="14" max="14" width="11.28515625" customWidth="1"/>
    <col min="15" max="15" width="13.28515625" customWidth="1"/>
    <col min="16" max="16" width="19.140625" customWidth="1"/>
    <col min="17" max="26" width="9.140625" customWidth="1"/>
  </cols>
  <sheetData>
    <row r="1" spans="1:26" ht="18" customHeight="1">
      <c r="A1" s="319" t="s">
        <v>11925</v>
      </c>
      <c r="B1" s="320" t="s">
        <v>11926</v>
      </c>
      <c r="C1" s="321"/>
      <c r="D1" s="323" t="s">
        <v>7406</v>
      </c>
      <c r="E1" s="323"/>
      <c r="F1" s="322" t="s">
        <v>11927</v>
      </c>
      <c r="G1" s="320" t="s">
        <v>11928</v>
      </c>
      <c r="H1" s="320"/>
      <c r="I1" s="320" t="s">
        <v>11929</v>
      </c>
      <c r="J1" s="320"/>
      <c r="K1" s="320" t="s">
        <v>11930</v>
      </c>
      <c r="L1" s="320" t="s">
        <v>11931</v>
      </c>
      <c r="M1" s="320" t="s">
        <v>11932</v>
      </c>
      <c r="N1" s="320" t="s">
        <v>11933</v>
      </c>
      <c r="O1" s="320" t="s">
        <v>11934</v>
      </c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</row>
    <row r="2" spans="1:26" ht="18" customHeight="1">
      <c r="A2" s="324"/>
      <c r="B2" s="325"/>
      <c r="C2" s="326"/>
      <c r="D2" s="327"/>
      <c r="E2" s="438"/>
      <c r="F2" s="270"/>
      <c r="G2" s="325"/>
      <c r="H2" s="325"/>
      <c r="I2" s="325"/>
      <c r="J2" s="325"/>
      <c r="K2" s="325"/>
      <c r="L2" s="328">
        <f>SUM(L4:L396)</f>
        <v>40400</v>
      </c>
      <c r="M2" s="328"/>
      <c r="N2" s="328"/>
      <c r="O2" s="328">
        <f>SUM(O4:O396)</f>
        <v>37750</v>
      </c>
      <c r="P2" s="328">
        <f>O2-L2</f>
        <v>-2650</v>
      </c>
      <c r="Q2" s="270"/>
      <c r="R2" s="270"/>
      <c r="S2" s="270"/>
      <c r="T2" s="270"/>
      <c r="U2" s="270"/>
      <c r="V2" s="270"/>
      <c r="W2" s="270"/>
      <c r="X2" s="270"/>
      <c r="Y2" s="270"/>
      <c r="Z2" s="270"/>
    </row>
    <row r="3" spans="1:26" ht="18" customHeight="1">
      <c r="A3" s="329">
        <v>43227</v>
      </c>
      <c r="B3" s="330">
        <v>955062118</v>
      </c>
      <c r="C3" s="331" t="s">
        <v>11604</v>
      </c>
      <c r="D3" s="439">
        <v>36016</v>
      </c>
      <c r="E3" s="439" t="s">
        <v>12343</v>
      </c>
      <c r="F3" s="332"/>
      <c r="G3" s="333"/>
      <c r="H3" s="332"/>
      <c r="I3" s="336" t="s">
        <v>11935</v>
      </c>
      <c r="J3" s="332" t="s">
        <v>11936</v>
      </c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</row>
    <row r="4" spans="1:26" ht="18" customHeight="1">
      <c r="A4" s="324">
        <v>43513</v>
      </c>
      <c r="B4" s="270">
        <v>506354419</v>
      </c>
      <c r="C4" s="326" t="s">
        <v>11937</v>
      </c>
      <c r="D4" s="438">
        <v>34341</v>
      </c>
      <c r="E4" s="438" t="s">
        <v>12344</v>
      </c>
      <c r="F4" s="270" t="s">
        <v>11938</v>
      </c>
      <c r="G4" s="334"/>
      <c r="H4" s="270"/>
      <c r="I4" s="334" t="s">
        <v>11939</v>
      </c>
      <c r="J4" s="270">
        <v>4300</v>
      </c>
      <c r="K4" s="270">
        <v>4300</v>
      </c>
      <c r="L4" s="270">
        <f t="shared" ref="L4:L10" si="0">J4-K4</f>
        <v>0</v>
      </c>
      <c r="M4" s="270">
        <v>3500</v>
      </c>
      <c r="N4" s="270">
        <v>3500</v>
      </c>
      <c r="O4" s="270">
        <f t="shared" ref="O4:O38" si="1">M4-N4</f>
        <v>0</v>
      </c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</row>
    <row r="5" spans="1:26" ht="18" customHeight="1">
      <c r="A5" s="324"/>
      <c r="B5" s="335" t="s">
        <v>11940</v>
      </c>
      <c r="C5" s="326" t="s">
        <v>11941</v>
      </c>
      <c r="D5" s="438">
        <v>20973</v>
      </c>
      <c r="E5" s="438" t="s">
        <v>12345</v>
      </c>
      <c r="F5" s="270"/>
      <c r="G5" s="334"/>
      <c r="H5" s="270"/>
      <c r="I5" s="334" t="s">
        <v>11942</v>
      </c>
      <c r="J5" s="270">
        <v>4800</v>
      </c>
      <c r="K5" s="270">
        <f>3000+1800</f>
        <v>4800</v>
      </c>
      <c r="L5" s="270">
        <f t="shared" si="0"/>
        <v>0</v>
      </c>
      <c r="M5" s="270">
        <v>4000</v>
      </c>
      <c r="N5" s="270">
        <v>4000</v>
      </c>
      <c r="O5" s="270">
        <f t="shared" si="1"/>
        <v>0</v>
      </c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</row>
    <row r="6" spans="1:26" ht="18" customHeight="1">
      <c r="A6" s="324">
        <v>43568</v>
      </c>
      <c r="B6" s="270"/>
      <c r="C6" s="326" t="s">
        <v>11943</v>
      </c>
      <c r="D6" s="438"/>
      <c r="E6" s="438" t="s">
        <v>12346</v>
      </c>
      <c r="F6" s="270"/>
      <c r="G6" s="334"/>
      <c r="H6" s="270"/>
      <c r="I6" s="334" t="s">
        <v>11944</v>
      </c>
      <c r="J6" s="270">
        <v>2800</v>
      </c>
      <c r="K6" s="270">
        <v>2800</v>
      </c>
      <c r="L6" s="270">
        <f t="shared" si="0"/>
        <v>0</v>
      </c>
      <c r="M6" s="270">
        <v>2500</v>
      </c>
      <c r="N6" s="270">
        <v>2500</v>
      </c>
      <c r="O6" s="270">
        <f t="shared" si="1"/>
        <v>0</v>
      </c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</row>
    <row r="7" spans="1:26" ht="18" customHeight="1">
      <c r="A7" s="329"/>
      <c r="B7" s="332">
        <v>2072130619</v>
      </c>
      <c r="C7" s="331" t="s">
        <v>5609</v>
      </c>
      <c r="D7" s="439"/>
      <c r="E7" s="439" t="s">
        <v>12347</v>
      </c>
      <c r="F7" s="332" t="s">
        <v>11938</v>
      </c>
      <c r="G7" s="336"/>
      <c r="H7" s="332"/>
      <c r="I7" s="336" t="s">
        <v>11945</v>
      </c>
      <c r="J7" s="332">
        <v>4300</v>
      </c>
      <c r="K7" s="332">
        <v>4300</v>
      </c>
      <c r="L7" s="332">
        <f t="shared" si="0"/>
        <v>0</v>
      </c>
      <c r="M7" s="332">
        <v>3500</v>
      </c>
      <c r="N7" s="332">
        <v>3500</v>
      </c>
      <c r="O7" s="332">
        <f t="shared" si="1"/>
        <v>0</v>
      </c>
      <c r="P7" s="332" t="s">
        <v>11946</v>
      </c>
      <c r="Q7" s="332"/>
      <c r="R7" s="332"/>
      <c r="S7" s="332"/>
      <c r="T7" s="332"/>
      <c r="U7" s="332"/>
      <c r="V7" s="332"/>
      <c r="W7" s="332"/>
      <c r="X7" s="332"/>
      <c r="Y7" s="332"/>
      <c r="Z7" s="332"/>
    </row>
    <row r="8" spans="1:26" ht="18" customHeight="1">
      <c r="A8" s="324"/>
      <c r="B8" s="270"/>
      <c r="C8" s="326" t="s">
        <v>11947</v>
      </c>
      <c r="D8" s="438"/>
      <c r="E8" s="438" t="s">
        <v>12348</v>
      </c>
      <c r="F8" s="270"/>
      <c r="G8" s="334"/>
      <c r="H8" s="270"/>
      <c r="I8" s="334" t="s">
        <v>11944</v>
      </c>
      <c r="J8" s="270">
        <v>4700</v>
      </c>
      <c r="K8" s="270">
        <v>4700</v>
      </c>
      <c r="L8" s="270">
        <f t="shared" si="0"/>
        <v>0</v>
      </c>
      <c r="M8" s="270">
        <v>3400</v>
      </c>
      <c r="N8" s="270">
        <v>3400</v>
      </c>
      <c r="O8" s="270">
        <f t="shared" si="1"/>
        <v>0</v>
      </c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</row>
    <row r="9" spans="1:26" ht="18" customHeight="1">
      <c r="A9" s="329">
        <v>43698</v>
      </c>
      <c r="B9" s="332">
        <v>4733277619</v>
      </c>
      <c r="C9" s="331" t="s">
        <v>2954</v>
      </c>
      <c r="D9" s="439">
        <v>29537</v>
      </c>
      <c r="E9" s="439" t="s">
        <v>12349</v>
      </c>
      <c r="F9" s="332"/>
      <c r="G9" s="336"/>
      <c r="H9" s="332"/>
      <c r="I9" s="336" t="s">
        <v>11948</v>
      </c>
      <c r="J9" s="332">
        <v>4600</v>
      </c>
      <c r="K9" s="332">
        <f>3000+1600</f>
        <v>4600</v>
      </c>
      <c r="L9" s="332">
        <f t="shared" si="0"/>
        <v>0</v>
      </c>
      <c r="M9" s="332">
        <v>3700</v>
      </c>
      <c r="N9" s="332">
        <f>3000+700</f>
        <v>3700</v>
      </c>
      <c r="O9" s="332">
        <f t="shared" si="1"/>
        <v>0</v>
      </c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</row>
    <row r="10" spans="1:26" ht="18" customHeight="1">
      <c r="A10" s="329">
        <v>43699</v>
      </c>
      <c r="B10" s="332" t="s">
        <v>11949</v>
      </c>
      <c r="C10" s="331" t="s">
        <v>11950</v>
      </c>
      <c r="D10" s="439">
        <v>36613</v>
      </c>
      <c r="E10" s="439" t="s">
        <v>12350</v>
      </c>
      <c r="F10" s="332"/>
      <c r="G10" s="336"/>
      <c r="H10" s="332"/>
      <c r="I10" s="336" t="s">
        <v>11948</v>
      </c>
      <c r="J10" s="332">
        <v>4500</v>
      </c>
      <c r="K10" s="332">
        <v>4500</v>
      </c>
      <c r="L10" s="332">
        <f t="shared" si="0"/>
        <v>0</v>
      </c>
      <c r="M10" s="332">
        <v>3700</v>
      </c>
      <c r="N10" s="332">
        <v>3700</v>
      </c>
      <c r="O10" s="332">
        <f t="shared" si="1"/>
        <v>0</v>
      </c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</row>
    <row r="11" spans="1:26" ht="18" customHeight="1">
      <c r="A11" s="329"/>
      <c r="B11" s="332"/>
      <c r="C11" s="331" t="s">
        <v>11950</v>
      </c>
      <c r="D11" s="439"/>
      <c r="E11" s="439" t="s">
        <v>12351</v>
      </c>
      <c r="F11" s="332"/>
      <c r="G11" s="336"/>
      <c r="H11" s="332"/>
      <c r="I11" s="336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</row>
    <row r="12" spans="1:26" ht="18" customHeight="1">
      <c r="A12" s="329"/>
      <c r="B12" s="332"/>
      <c r="C12" s="331" t="s">
        <v>11950</v>
      </c>
      <c r="D12" s="439"/>
      <c r="E12" s="439" t="s">
        <v>12352</v>
      </c>
      <c r="F12" s="332"/>
      <c r="G12" s="336"/>
      <c r="H12" s="332"/>
      <c r="I12" s="336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 spans="1:26" ht="18" customHeight="1">
      <c r="A13" s="335"/>
      <c r="B13" s="270">
        <v>2735580119</v>
      </c>
      <c r="C13" s="337" t="s">
        <v>11951</v>
      </c>
      <c r="D13" s="438">
        <v>23023</v>
      </c>
      <c r="E13" s="440" t="s">
        <v>12353</v>
      </c>
      <c r="F13" s="270"/>
      <c r="G13" s="334"/>
      <c r="H13" s="270"/>
      <c r="I13" s="334" t="s">
        <v>11944</v>
      </c>
      <c r="J13" s="270">
        <v>1700</v>
      </c>
      <c r="K13" s="270">
        <v>1700</v>
      </c>
      <c r="L13" s="270">
        <f t="shared" ref="L13:L38" si="2">J13-K13</f>
        <v>0</v>
      </c>
      <c r="M13" s="270">
        <v>1200</v>
      </c>
      <c r="N13" s="270">
        <v>1200</v>
      </c>
      <c r="O13" s="270">
        <f t="shared" si="1"/>
        <v>0</v>
      </c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spans="1:26" ht="18" customHeight="1">
      <c r="A14" s="324">
        <v>43713</v>
      </c>
      <c r="B14" s="270"/>
      <c r="C14" s="337" t="s">
        <v>11952</v>
      </c>
      <c r="D14" s="438"/>
      <c r="E14" s="440" t="s">
        <v>12354</v>
      </c>
      <c r="F14" s="270" t="s">
        <v>11938</v>
      </c>
      <c r="G14" s="334"/>
      <c r="H14" s="270"/>
      <c r="I14" s="334" t="s">
        <v>11944</v>
      </c>
      <c r="J14" s="270">
        <f>1700+1100</f>
        <v>2800</v>
      </c>
      <c r="K14" s="270">
        <v>2800</v>
      </c>
      <c r="L14" s="270">
        <f t="shared" si="2"/>
        <v>0</v>
      </c>
      <c r="M14" s="270">
        <f>1300+1100</f>
        <v>2400</v>
      </c>
      <c r="N14" s="270">
        <v>2400</v>
      </c>
      <c r="O14" s="270">
        <f t="shared" si="1"/>
        <v>0</v>
      </c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spans="1:26" ht="18" customHeight="1">
      <c r="A15" s="324">
        <v>43713</v>
      </c>
      <c r="B15" s="270"/>
      <c r="C15" s="337" t="s">
        <v>11953</v>
      </c>
      <c r="D15" s="438"/>
      <c r="E15" s="440" t="s">
        <v>12355</v>
      </c>
      <c r="F15" s="270" t="s">
        <v>11938</v>
      </c>
      <c r="G15" s="334"/>
      <c r="H15" s="270"/>
      <c r="I15" s="334" t="s">
        <v>11948</v>
      </c>
      <c r="J15" s="270">
        <f>1700+500</f>
        <v>2200</v>
      </c>
      <c r="K15" s="270">
        <v>2200</v>
      </c>
      <c r="L15" s="270">
        <f t="shared" si="2"/>
        <v>0</v>
      </c>
      <c r="M15" s="270">
        <f>1300+400</f>
        <v>1700</v>
      </c>
      <c r="N15" s="270">
        <v>1700</v>
      </c>
      <c r="O15" s="270">
        <f t="shared" si="1"/>
        <v>0</v>
      </c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spans="1:26" ht="18" customHeight="1">
      <c r="A16" s="329">
        <v>43713</v>
      </c>
      <c r="B16" s="332">
        <v>2767761419</v>
      </c>
      <c r="C16" s="331" t="s">
        <v>11954</v>
      </c>
      <c r="D16" s="439">
        <v>35227</v>
      </c>
      <c r="E16" s="439" t="s">
        <v>12356</v>
      </c>
      <c r="F16" s="332"/>
      <c r="G16" s="336"/>
      <c r="H16" s="332"/>
      <c r="I16" s="336" t="s">
        <v>11948</v>
      </c>
      <c r="J16" s="332">
        <v>4600</v>
      </c>
      <c r="K16" s="332">
        <v>4600</v>
      </c>
      <c r="L16" s="332">
        <f t="shared" si="2"/>
        <v>0</v>
      </c>
      <c r="M16" s="332">
        <v>3700</v>
      </c>
      <c r="N16" s="332">
        <f t="shared" ref="N16:N18" si="3">1500+2200</f>
        <v>3700</v>
      </c>
      <c r="O16" s="332">
        <f t="shared" si="1"/>
        <v>0</v>
      </c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</row>
    <row r="17" spans="1:26" ht="18" customHeight="1">
      <c r="A17" s="329"/>
      <c r="B17" s="332">
        <v>2767761419</v>
      </c>
      <c r="C17" s="331" t="s">
        <v>11954</v>
      </c>
      <c r="D17" s="439"/>
      <c r="E17" s="439" t="s">
        <v>12357</v>
      </c>
      <c r="F17" s="332"/>
      <c r="G17" s="336"/>
      <c r="H17" s="332"/>
      <c r="I17" s="336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spans="1:26" ht="18" customHeight="1">
      <c r="A18" s="329">
        <v>43716</v>
      </c>
      <c r="B18" s="332" t="s">
        <v>11955</v>
      </c>
      <c r="C18" s="331" t="s">
        <v>11847</v>
      </c>
      <c r="D18" s="439">
        <v>33368</v>
      </c>
      <c r="E18" s="439" t="s">
        <v>12358</v>
      </c>
      <c r="F18" s="332"/>
      <c r="G18" s="336"/>
      <c r="H18" s="332"/>
      <c r="I18" s="336" t="s">
        <v>11948</v>
      </c>
      <c r="J18" s="332">
        <v>4500</v>
      </c>
      <c r="K18" s="332">
        <f>2000+2500</f>
        <v>4500</v>
      </c>
      <c r="L18" s="332">
        <f t="shared" si="2"/>
        <v>0</v>
      </c>
      <c r="M18" s="332">
        <v>3700</v>
      </c>
      <c r="N18" s="332">
        <f t="shared" si="3"/>
        <v>3700</v>
      </c>
      <c r="O18" s="332">
        <f t="shared" si="1"/>
        <v>0</v>
      </c>
      <c r="P18" s="332" t="s">
        <v>11956</v>
      </c>
      <c r="Q18" s="332"/>
      <c r="R18" s="332"/>
      <c r="S18" s="332"/>
      <c r="T18" s="332"/>
      <c r="U18" s="332"/>
      <c r="V18" s="332"/>
      <c r="W18" s="332"/>
      <c r="X18" s="332"/>
      <c r="Y18" s="332"/>
      <c r="Z18" s="332"/>
    </row>
    <row r="19" spans="1:26" ht="18" customHeight="1">
      <c r="A19" s="324">
        <v>43719</v>
      </c>
      <c r="B19" s="270"/>
      <c r="C19" s="326" t="s">
        <v>1258</v>
      </c>
      <c r="D19" s="438"/>
      <c r="E19" s="438" t="s">
        <v>12359</v>
      </c>
      <c r="F19" s="270"/>
      <c r="G19" s="334"/>
      <c r="H19" s="270"/>
      <c r="I19" s="334" t="s">
        <v>11944</v>
      </c>
      <c r="J19" s="270">
        <v>2900</v>
      </c>
      <c r="K19" s="270">
        <v>2900</v>
      </c>
      <c r="L19" s="270">
        <f t="shared" si="2"/>
        <v>0</v>
      </c>
      <c r="M19" s="270">
        <v>2400</v>
      </c>
      <c r="N19" s="270">
        <v>2400</v>
      </c>
      <c r="O19" s="270">
        <f t="shared" si="1"/>
        <v>0</v>
      </c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spans="1:26" ht="18" customHeight="1">
      <c r="A20" s="329">
        <v>43719</v>
      </c>
      <c r="B20" s="332">
        <v>2896050719</v>
      </c>
      <c r="C20" s="331" t="s">
        <v>2080</v>
      </c>
      <c r="D20" s="439">
        <v>27936</v>
      </c>
      <c r="E20" s="439" t="s">
        <v>12360</v>
      </c>
      <c r="F20" s="332"/>
      <c r="G20" s="336"/>
      <c r="H20" s="332"/>
      <c r="I20" s="336" t="s">
        <v>11948</v>
      </c>
      <c r="J20" s="332">
        <v>4400</v>
      </c>
      <c r="K20" s="332">
        <v>4400</v>
      </c>
      <c r="L20" s="332">
        <f t="shared" si="2"/>
        <v>0</v>
      </c>
      <c r="M20" s="332">
        <v>3700</v>
      </c>
      <c r="N20" s="332">
        <f>2500+1200</f>
        <v>3700</v>
      </c>
      <c r="O20" s="332">
        <f t="shared" si="1"/>
        <v>0</v>
      </c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</row>
    <row r="21" spans="1:26" ht="18" customHeight="1">
      <c r="A21" s="324">
        <v>43735</v>
      </c>
      <c r="B21" s="270"/>
      <c r="C21" s="338" t="s">
        <v>11957</v>
      </c>
      <c r="D21" s="438"/>
      <c r="E21" s="441" t="s">
        <v>12361</v>
      </c>
      <c r="F21" s="270"/>
      <c r="G21" s="334"/>
      <c r="H21" s="270"/>
      <c r="I21" s="334" t="s">
        <v>11944</v>
      </c>
      <c r="J21" s="270">
        <f>1100+1700</f>
        <v>2800</v>
      </c>
      <c r="K21" s="270">
        <v>2800</v>
      </c>
      <c r="L21" s="270">
        <f t="shared" si="2"/>
        <v>0</v>
      </c>
      <c r="M21" s="270">
        <f>1100+1300</f>
        <v>2400</v>
      </c>
      <c r="N21" s="270">
        <v>2400</v>
      </c>
      <c r="O21" s="270">
        <f t="shared" si="1"/>
        <v>0</v>
      </c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spans="1:26" ht="18" customHeight="1">
      <c r="A22" s="329">
        <v>43751</v>
      </c>
      <c r="B22" s="332">
        <v>3617237319</v>
      </c>
      <c r="C22" s="331" t="s">
        <v>11958</v>
      </c>
      <c r="D22" s="439">
        <v>24901</v>
      </c>
      <c r="E22" s="439" t="s">
        <v>12362</v>
      </c>
      <c r="F22" s="332"/>
      <c r="G22" s="336">
        <v>1083670820</v>
      </c>
      <c r="H22" s="332"/>
      <c r="I22" s="336" t="s">
        <v>11948</v>
      </c>
      <c r="J22" s="332">
        <v>4500</v>
      </c>
      <c r="K22" s="332">
        <f>1500+3000</f>
        <v>4500</v>
      </c>
      <c r="L22" s="332">
        <f t="shared" si="2"/>
        <v>0</v>
      </c>
      <c r="M22" s="332">
        <v>3700</v>
      </c>
      <c r="N22" s="332">
        <f>1500+2200</f>
        <v>3700</v>
      </c>
      <c r="O22" s="332">
        <f t="shared" si="1"/>
        <v>0</v>
      </c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</row>
    <row r="23" spans="1:26" ht="18" customHeight="1">
      <c r="A23" s="329">
        <v>43751</v>
      </c>
      <c r="B23" s="332">
        <v>3617765419</v>
      </c>
      <c r="C23" s="331" t="s">
        <v>11959</v>
      </c>
      <c r="D23" s="439">
        <v>26456</v>
      </c>
      <c r="E23" s="439" t="s">
        <v>12363</v>
      </c>
      <c r="F23" s="332"/>
      <c r="G23" s="336"/>
      <c r="H23" s="332"/>
      <c r="I23" s="336" t="s">
        <v>11948</v>
      </c>
      <c r="J23" s="332">
        <v>4200</v>
      </c>
      <c r="K23" s="332">
        <f>1500+2700</f>
        <v>4200</v>
      </c>
      <c r="L23" s="332">
        <f t="shared" si="2"/>
        <v>0</v>
      </c>
      <c r="M23" s="332">
        <v>3700</v>
      </c>
      <c r="N23" s="332">
        <v>3700</v>
      </c>
      <c r="O23" s="332">
        <f t="shared" si="1"/>
        <v>0</v>
      </c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</row>
    <row r="24" spans="1:26" ht="18" customHeight="1">
      <c r="A24" s="329">
        <v>43753</v>
      </c>
      <c r="B24" s="332">
        <v>3618088419</v>
      </c>
      <c r="C24" s="331" t="s">
        <v>11960</v>
      </c>
      <c r="D24" s="439">
        <v>32152</v>
      </c>
      <c r="E24" s="439" t="s">
        <v>12364</v>
      </c>
      <c r="F24" s="332"/>
      <c r="G24" s="339">
        <v>1083441220</v>
      </c>
      <c r="H24" s="332"/>
      <c r="I24" s="336" t="s">
        <v>11948</v>
      </c>
      <c r="J24" s="332">
        <v>4300</v>
      </c>
      <c r="K24" s="332">
        <f>3000+1300</f>
        <v>4300</v>
      </c>
      <c r="L24" s="332">
        <f t="shared" si="2"/>
        <v>0</v>
      </c>
      <c r="M24" s="332">
        <v>3700</v>
      </c>
      <c r="N24" s="332">
        <f t="shared" ref="N24:N26" si="4">1500+2200</f>
        <v>3700</v>
      </c>
      <c r="O24" s="332">
        <f t="shared" si="1"/>
        <v>0</v>
      </c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</row>
    <row r="25" spans="1:26" ht="18" customHeight="1">
      <c r="A25" s="329">
        <v>43759</v>
      </c>
      <c r="B25" s="332">
        <v>3769626919</v>
      </c>
      <c r="C25" s="331" t="s">
        <v>11961</v>
      </c>
      <c r="D25" s="439">
        <v>33758</v>
      </c>
      <c r="E25" s="439" t="s">
        <v>12365</v>
      </c>
      <c r="F25" s="332"/>
      <c r="G25" s="336">
        <v>934847220</v>
      </c>
      <c r="H25" s="332"/>
      <c r="I25" s="336" t="s">
        <v>11948</v>
      </c>
      <c r="J25" s="332">
        <f>4300+500</f>
        <v>4800</v>
      </c>
      <c r="K25" s="332">
        <f>2500+2300</f>
        <v>4800</v>
      </c>
      <c r="L25" s="332">
        <f t="shared" si="2"/>
        <v>0</v>
      </c>
      <c r="M25" s="332">
        <v>3700</v>
      </c>
      <c r="N25" s="332">
        <f t="shared" si="4"/>
        <v>3700</v>
      </c>
      <c r="O25" s="332">
        <f t="shared" si="1"/>
        <v>0</v>
      </c>
      <c r="P25" s="332"/>
      <c r="Q25" s="332">
        <v>4000</v>
      </c>
      <c r="R25" s="332"/>
      <c r="S25" s="332"/>
      <c r="T25" s="332"/>
      <c r="U25" s="332"/>
      <c r="V25" s="332"/>
      <c r="W25" s="332"/>
      <c r="X25" s="332"/>
      <c r="Y25" s="332"/>
      <c r="Z25" s="332"/>
    </row>
    <row r="26" spans="1:26" ht="18" customHeight="1">
      <c r="A26" s="329">
        <v>43764</v>
      </c>
      <c r="B26" s="332">
        <v>3868186019</v>
      </c>
      <c r="C26" s="331" t="s">
        <v>11962</v>
      </c>
      <c r="D26" s="439">
        <v>35278</v>
      </c>
      <c r="E26" s="439" t="s">
        <v>12366</v>
      </c>
      <c r="F26" s="332"/>
      <c r="G26" s="336"/>
      <c r="H26" s="332"/>
      <c r="I26" s="336" t="s">
        <v>11948</v>
      </c>
      <c r="J26" s="332">
        <v>4300</v>
      </c>
      <c r="K26" s="332">
        <v>4300</v>
      </c>
      <c r="L26" s="332">
        <f t="shared" si="2"/>
        <v>0</v>
      </c>
      <c r="M26" s="332">
        <v>3700</v>
      </c>
      <c r="N26" s="332">
        <f t="shared" si="4"/>
        <v>3700</v>
      </c>
      <c r="O26" s="332">
        <f t="shared" si="1"/>
        <v>0</v>
      </c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</row>
    <row r="27" spans="1:26" ht="18" customHeight="1">
      <c r="A27" s="329">
        <v>43768</v>
      </c>
      <c r="B27" s="332">
        <v>3888169819</v>
      </c>
      <c r="C27" s="331" t="s">
        <v>11963</v>
      </c>
      <c r="D27" s="439">
        <v>37915</v>
      </c>
      <c r="E27" s="439" t="s">
        <v>12367</v>
      </c>
      <c r="F27" s="332"/>
      <c r="G27" s="336"/>
      <c r="H27" s="332"/>
      <c r="I27" s="336" t="s">
        <v>11948</v>
      </c>
      <c r="J27" s="332">
        <v>3000</v>
      </c>
      <c r="K27" s="332">
        <v>3000</v>
      </c>
      <c r="L27" s="332">
        <f t="shared" si="2"/>
        <v>0</v>
      </c>
      <c r="M27" s="332">
        <v>2700</v>
      </c>
      <c r="N27" s="332">
        <f>1500+1200</f>
        <v>2700</v>
      </c>
      <c r="O27" s="332">
        <f t="shared" si="1"/>
        <v>0</v>
      </c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</row>
    <row r="28" spans="1:26" ht="18" customHeight="1">
      <c r="A28" s="329">
        <v>43752</v>
      </c>
      <c r="B28" s="332">
        <v>4138167919</v>
      </c>
      <c r="C28" s="331" t="s">
        <v>9785</v>
      </c>
      <c r="D28" s="439">
        <v>35804</v>
      </c>
      <c r="E28" s="439" t="s">
        <v>12368</v>
      </c>
      <c r="F28" s="332"/>
      <c r="G28" s="336"/>
      <c r="H28" s="332"/>
      <c r="I28" s="336" t="s">
        <v>11948</v>
      </c>
      <c r="J28" s="332">
        <v>4500</v>
      </c>
      <c r="K28" s="332">
        <f>2500+2000</f>
        <v>4500</v>
      </c>
      <c r="L28" s="332">
        <f t="shared" si="2"/>
        <v>0</v>
      </c>
      <c r="M28" s="332">
        <v>3700</v>
      </c>
      <c r="N28" s="332">
        <f t="shared" ref="N28:N30" si="5">1500+1000+1200</f>
        <v>3700</v>
      </c>
      <c r="O28" s="332">
        <f t="shared" si="1"/>
        <v>0</v>
      </c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</row>
    <row r="29" spans="1:26" ht="18" customHeight="1">
      <c r="A29" s="329">
        <v>43752</v>
      </c>
      <c r="B29" s="332">
        <v>4150091319</v>
      </c>
      <c r="C29" s="331" t="s">
        <v>11964</v>
      </c>
      <c r="D29" s="439">
        <v>35531</v>
      </c>
      <c r="E29" s="439" t="s">
        <v>12369</v>
      </c>
      <c r="F29" s="332"/>
      <c r="G29" s="336">
        <v>1036735220</v>
      </c>
      <c r="H29" s="332"/>
      <c r="I29" s="336" t="s">
        <v>11948</v>
      </c>
      <c r="J29" s="332">
        <v>4300</v>
      </c>
      <c r="K29" s="332">
        <f>2000+2300</f>
        <v>4300</v>
      </c>
      <c r="L29" s="332">
        <f t="shared" si="2"/>
        <v>0</v>
      </c>
      <c r="M29" s="332">
        <v>3700</v>
      </c>
      <c r="N29" s="332">
        <f t="shared" si="5"/>
        <v>3700</v>
      </c>
      <c r="O29" s="332">
        <f t="shared" si="1"/>
        <v>0</v>
      </c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</row>
    <row r="30" spans="1:26" ht="18" customHeight="1">
      <c r="A30" s="329">
        <v>43752</v>
      </c>
      <c r="B30" s="332">
        <v>4150679619</v>
      </c>
      <c r="C30" s="331" t="s">
        <v>3841</v>
      </c>
      <c r="D30" s="439">
        <v>36170</v>
      </c>
      <c r="E30" s="439" t="s">
        <v>12370</v>
      </c>
      <c r="F30" s="332"/>
      <c r="G30" s="336"/>
      <c r="H30" s="332"/>
      <c r="I30" s="336" t="s">
        <v>11948</v>
      </c>
      <c r="J30" s="332">
        <v>4300</v>
      </c>
      <c r="K30" s="332">
        <v>4300</v>
      </c>
      <c r="L30" s="332">
        <f t="shared" si="2"/>
        <v>0</v>
      </c>
      <c r="M30" s="332">
        <v>3700</v>
      </c>
      <c r="N30" s="332">
        <f t="shared" si="5"/>
        <v>3700</v>
      </c>
      <c r="O30" s="332">
        <f t="shared" si="1"/>
        <v>0</v>
      </c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</row>
    <row r="31" spans="1:26" ht="18" customHeight="1">
      <c r="A31" s="329">
        <v>43756</v>
      </c>
      <c r="B31" s="332">
        <v>4218308919</v>
      </c>
      <c r="C31" s="331" t="s">
        <v>11965</v>
      </c>
      <c r="D31" s="439">
        <v>35643</v>
      </c>
      <c r="E31" s="439" t="s">
        <v>12371</v>
      </c>
      <c r="F31" s="332"/>
      <c r="G31" s="336">
        <v>1079233420</v>
      </c>
      <c r="H31" s="332"/>
      <c r="I31" s="336" t="s">
        <v>11948</v>
      </c>
      <c r="J31" s="332">
        <v>3300</v>
      </c>
      <c r="K31" s="332">
        <f>2000+1200</f>
        <v>3200</v>
      </c>
      <c r="L31" s="332">
        <f t="shared" si="2"/>
        <v>100</v>
      </c>
      <c r="M31" s="332">
        <v>2700</v>
      </c>
      <c r="N31" s="332">
        <f>1500+700+500</f>
        <v>2700</v>
      </c>
      <c r="O31" s="332">
        <f t="shared" si="1"/>
        <v>0</v>
      </c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</row>
    <row r="32" spans="1:26" ht="18" customHeight="1">
      <c r="A32" s="329">
        <v>43795</v>
      </c>
      <c r="B32" s="332"/>
      <c r="C32" s="331" t="s">
        <v>8378</v>
      </c>
      <c r="D32" s="439"/>
      <c r="E32" s="439" t="s">
        <v>12372</v>
      </c>
      <c r="F32" s="332"/>
      <c r="G32" s="336"/>
      <c r="H32" s="332"/>
      <c r="I32" s="336" t="s">
        <v>11573</v>
      </c>
      <c r="J32" s="332">
        <v>2500</v>
      </c>
      <c r="K32" s="332">
        <v>2500</v>
      </c>
      <c r="L32" s="332">
        <f t="shared" si="2"/>
        <v>0</v>
      </c>
      <c r="M32" s="332">
        <v>1900</v>
      </c>
      <c r="N32" s="332">
        <v>1900</v>
      </c>
      <c r="O32" s="332">
        <f t="shared" si="1"/>
        <v>0</v>
      </c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</row>
    <row r="33" spans="1:26" ht="18" customHeight="1">
      <c r="A33" s="340">
        <v>43824</v>
      </c>
      <c r="B33" s="341">
        <v>4853253819</v>
      </c>
      <c r="C33" s="342" t="s">
        <v>11966</v>
      </c>
      <c r="D33" s="442">
        <v>34439</v>
      </c>
      <c r="E33" s="442" t="s">
        <v>12373</v>
      </c>
      <c r="F33" s="341" t="s">
        <v>11967</v>
      </c>
      <c r="G33" s="343" t="s">
        <v>11968</v>
      </c>
      <c r="H33" s="341"/>
      <c r="I33" s="343" t="s">
        <v>11948</v>
      </c>
      <c r="J33" s="341">
        <f>4300+500+300+500</f>
        <v>5600</v>
      </c>
      <c r="K33" s="341">
        <f>2500+3300</f>
        <v>5800</v>
      </c>
      <c r="L33" s="341">
        <f t="shared" si="2"/>
        <v>-200</v>
      </c>
      <c r="M33" s="341">
        <f>3700+400+500+500</f>
        <v>5100</v>
      </c>
      <c r="N33" s="341">
        <v>1500</v>
      </c>
      <c r="O33" s="341">
        <f t="shared" si="1"/>
        <v>3600</v>
      </c>
      <c r="P33" s="341" t="s">
        <v>11969</v>
      </c>
      <c r="Q33" s="341"/>
      <c r="R33" s="341"/>
      <c r="S33" s="341"/>
      <c r="T33" s="341"/>
      <c r="U33" s="341"/>
      <c r="V33" s="341"/>
      <c r="W33" s="341"/>
      <c r="X33" s="341"/>
      <c r="Y33" s="341"/>
      <c r="Z33" s="341"/>
    </row>
    <row r="34" spans="1:26" ht="18" customHeight="1">
      <c r="A34" s="329">
        <v>43832</v>
      </c>
      <c r="B34" s="332">
        <v>42323620</v>
      </c>
      <c r="C34" s="331" t="s">
        <v>11970</v>
      </c>
      <c r="D34" s="439">
        <v>34722</v>
      </c>
      <c r="E34" s="439" t="s">
        <v>12374</v>
      </c>
      <c r="F34" s="332" t="s">
        <v>11971</v>
      </c>
      <c r="G34" s="336">
        <v>2793709520</v>
      </c>
      <c r="H34" s="332"/>
      <c r="I34" s="336" t="s">
        <v>11972</v>
      </c>
      <c r="J34" s="332">
        <v>3200</v>
      </c>
      <c r="K34" s="332">
        <f>2000+1200</f>
        <v>3200</v>
      </c>
      <c r="L34" s="332">
        <f t="shared" si="2"/>
        <v>0</v>
      </c>
      <c r="M34" s="332">
        <v>2700</v>
      </c>
      <c r="N34" s="332">
        <f t="shared" ref="N34:N35" si="6">1500+1200</f>
        <v>2700</v>
      </c>
      <c r="O34" s="332">
        <f t="shared" si="1"/>
        <v>0</v>
      </c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</row>
    <row r="35" spans="1:26" ht="18" customHeight="1">
      <c r="A35" s="329">
        <v>43836</v>
      </c>
      <c r="B35" s="332">
        <v>67495620</v>
      </c>
      <c r="C35" s="331" t="s">
        <v>11973</v>
      </c>
      <c r="D35" s="439">
        <v>29110</v>
      </c>
      <c r="E35" s="439" t="s">
        <v>12375</v>
      </c>
      <c r="F35" s="332" t="s">
        <v>11974</v>
      </c>
      <c r="G35" s="344">
        <v>3352360720</v>
      </c>
      <c r="H35" s="341"/>
      <c r="I35" s="336" t="s">
        <v>11972</v>
      </c>
      <c r="J35" s="332">
        <v>3000</v>
      </c>
      <c r="K35" s="332">
        <f>1500+1500</f>
        <v>3000</v>
      </c>
      <c r="L35" s="332">
        <f t="shared" si="2"/>
        <v>0</v>
      </c>
      <c r="M35" s="332">
        <v>2700</v>
      </c>
      <c r="N35" s="332">
        <f t="shared" si="6"/>
        <v>2700</v>
      </c>
      <c r="O35" s="332">
        <f t="shared" si="1"/>
        <v>0</v>
      </c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</row>
    <row r="36" spans="1:26" ht="18" customHeight="1">
      <c r="A36" s="345"/>
      <c r="B36" s="332">
        <v>137821120</v>
      </c>
      <c r="C36" s="331" t="s">
        <v>10955</v>
      </c>
      <c r="D36" s="439">
        <v>18798</v>
      </c>
      <c r="E36" s="439" t="s">
        <v>12376</v>
      </c>
      <c r="F36" s="332"/>
      <c r="G36" s="336"/>
      <c r="H36" s="332"/>
      <c r="I36" s="336" t="s">
        <v>11573</v>
      </c>
      <c r="J36" s="332">
        <v>1700</v>
      </c>
      <c r="K36" s="332">
        <v>1700</v>
      </c>
      <c r="L36" s="332">
        <f t="shared" si="2"/>
        <v>0</v>
      </c>
      <c r="M36" s="332">
        <v>1300</v>
      </c>
      <c r="N36" s="332">
        <v>1300</v>
      </c>
      <c r="O36" s="332">
        <f t="shared" si="1"/>
        <v>0</v>
      </c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</row>
    <row r="37" spans="1:26" ht="18" customHeight="1">
      <c r="A37" s="345"/>
      <c r="B37" s="332">
        <v>156980820</v>
      </c>
      <c r="C37" s="331" t="s">
        <v>11495</v>
      </c>
      <c r="D37" s="439">
        <v>27764</v>
      </c>
      <c r="E37" s="439" t="s">
        <v>12377</v>
      </c>
      <c r="F37" s="332" t="s">
        <v>11975</v>
      </c>
      <c r="G37" s="346">
        <v>3538908020</v>
      </c>
      <c r="H37" s="332"/>
      <c r="I37" s="336" t="s">
        <v>11948</v>
      </c>
      <c r="J37" s="332">
        <v>4300</v>
      </c>
      <c r="K37" s="332">
        <f>2000+1000</f>
        <v>3000</v>
      </c>
      <c r="L37" s="332">
        <f t="shared" si="2"/>
        <v>1300</v>
      </c>
      <c r="M37" s="332">
        <v>3700</v>
      </c>
      <c r="N37" s="332">
        <v>3700</v>
      </c>
      <c r="O37" s="332">
        <f t="shared" si="1"/>
        <v>0</v>
      </c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</row>
    <row r="38" spans="1:26" ht="18" customHeight="1">
      <c r="A38" s="331">
        <v>43848</v>
      </c>
      <c r="B38" s="332"/>
      <c r="C38" s="331" t="s">
        <v>11976</v>
      </c>
      <c r="D38" s="439">
        <v>34629</v>
      </c>
      <c r="E38" s="439" t="s">
        <v>12378</v>
      </c>
      <c r="F38" s="347" t="s">
        <v>11977</v>
      </c>
      <c r="G38" s="336">
        <v>259918020</v>
      </c>
      <c r="H38" s="332"/>
      <c r="I38" s="336" t="s">
        <v>11948</v>
      </c>
      <c r="J38" s="332">
        <v>4800</v>
      </c>
      <c r="K38" s="332">
        <v>4000</v>
      </c>
      <c r="L38" s="332">
        <f t="shared" si="2"/>
        <v>800</v>
      </c>
      <c r="M38" s="332">
        <v>3700</v>
      </c>
      <c r="N38" s="332">
        <f>1500+2200</f>
        <v>3700</v>
      </c>
      <c r="O38" s="332">
        <f t="shared" si="1"/>
        <v>0</v>
      </c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</row>
    <row r="39" spans="1:26" ht="18" customHeight="1">
      <c r="A39" s="326">
        <v>43848</v>
      </c>
      <c r="B39" s="270">
        <v>260000020</v>
      </c>
      <c r="C39" s="348" t="s">
        <v>11978</v>
      </c>
      <c r="D39" s="438">
        <v>34669</v>
      </c>
      <c r="E39" s="443" t="s">
        <v>12379</v>
      </c>
      <c r="F39" s="349" t="s">
        <v>11979</v>
      </c>
      <c r="G39" s="334"/>
      <c r="H39" s="270"/>
      <c r="I39" s="334" t="s">
        <v>11948</v>
      </c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</row>
    <row r="40" spans="1:26" ht="18" customHeight="1">
      <c r="A40" s="329">
        <v>43850</v>
      </c>
      <c r="B40" s="332">
        <v>273088420</v>
      </c>
      <c r="C40" s="331" t="s">
        <v>3738</v>
      </c>
      <c r="D40" s="439">
        <v>27395</v>
      </c>
      <c r="E40" s="439" t="s">
        <v>12380</v>
      </c>
      <c r="F40" s="332"/>
      <c r="G40" s="339">
        <v>3352316220</v>
      </c>
      <c r="H40" s="332"/>
      <c r="I40" s="336" t="s">
        <v>11948</v>
      </c>
      <c r="J40" s="332">
        <v>4500</v>
      </c>
      <c r="K40" s="332">
        <v>4500</v>
      </c>
      <c r="L40" s="332">
        <f t="shared" ref="L40:L171" si="7">J40-K40</f>
        <v>0</v>
      </c>
      <c r="M40" s="332">
        <v>3700</v>
      </c>
      <c r="N40" s="332">
        <f>1500+2000+200</f>
        <v>3700</v>
      </c>
      <c r="O40" s="332">
        <f>M40-N40</f>
        <v>0</v>
      </c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</row>
    <row r="41" spans="1:26" ht="18" customHeight="1">
      <c r="A41" s="345"/>
      <c r="B41" s="332"/>
      <c r="C41" s="331" t="s">
        <v>10880</v>
      </c>
      <c r="D41" s="439">
        <v>20041</v>
      </c>
      <c r="E41" s="439" t="s">
        <v>12381</v>
      </c>
      <c r="F41" s="332"/>
      <c r="G41" s="336"/>
      <c r="H41" s="332"/>
      <c r="I41" s="336" t="s">
        <v>11980</v>
      </c>
      <c r="J41" s="332">
        <v>5000</v>
      </c>
      <c r="K41" s="332">
        <v>5000</v>
      </c>
      <c r="L41" s="270">
        <f t="shared" si="7"/>
        <v>0</v>
      </c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</row>
    <row r="42" spans="1:26" ht="18" customHeight="1">
      <c r="A42" s="350">
        <v>43862</v>
      </c>
      <c r="B42" s="351">
        <v>466444120</v>
      </c>
      <c r="C42" s="352" t="s">
        <v>11981</v>
      </c>
      <c r="D42" s="444">
        <v>26304</v>
      </c>
      <c r="E42" s="444" t="s">
        <v>12382</v>
      </c>
      <c r="F42" s="351"/>
      <c r="G42" s="353">
        <v>804604721</v>
      </c>
      <c r="H42" s="351"/>
      <c r="I42" s="358" t="s">
        <v>11982</v>
      </c>
      <c r="J42" s="351">
        <v>3300</v>
      </c>
      <c r="K42" s="351">
        <v>3300</v>
      </c>
      <c r="L42" s="351">
        <f t="shared" si="7"/>
        <v>0</v>
      </c>
      <c r="M42" s="351">
        <v>2700</v>
      </c>
      <c r="N42" s="351">
        <f>1500+1200</f>
        <v>2700</v>
      </c>
      <c r="O42" s="351">
        <f t="shared" ref="O42:O168" si="8">M42-N42</f>
        <v>0</v>
      </c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</row>
    <row r="43" spans="1:26" ht="18" customHeight="1">
      <c r="A43" s="345"/>
      <c r="B43" s="332"/>
      <c r="C43" s="331" t="s">
        <v>11983</v>
      </c>
      <c r="D43" s="439"/>
      <c r="E43" s="439" t="s">
        <v>12383</v>
      </c>
      <c r="F43" s="332"/>
      <c r="G43" s="336"/>
      <c r="H43" s="332"/>
      <c r="I43" s="336" t="s">
        <v>11980</v>
      </c>
      <c r="J43" s="332">
        <v>1500</v>
      </c>
      <c r="K43" s="332">
        <v>1500</v>
      </c>
      <c r="L43" s="332">
        <f t="shared" si="7"/>
        <v>0</v>
      </c>
      <c r="M43" s="332">
        <v>1300</v>
      </c>
      <c r="N43" s="332">
        <v>1300</v>
      </c>
      <c r="O43" s="332">
        <f t="shared" si="8"/>
        <v>0</v>
      </c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</row>
    <row r="44" spans="1:26" ht="18" customHeight="1">
      <c r="A44" s="345"/>
      <c r="B44" s="332"/>
      <c r="C44" s="331" t="s">
        <v>11984</v>
      </c>
      <c r="D44" s="439"/>
      <c r="E44" s="439" t="s">
        <v>12384</v>
      </c>
      <c r="F44" s="332"/>
      <c r="G44" s="336"/>
      <c r="H44" s="332"/>
      <c r="I44" s="336" t="s">
        <v>11985</v>
      </c>
      <c r="J44" s="332">
        <v>1400</v>
      </c>
      <c r="K44" s="332">
        <v>1400</v>
      </c>
      <c r="L44" s="332">
        <f t="shared" si="7"/>
        <v>0</v>
      </c>
      <c r="M44" s="332">
        <v>1100</v>
      </c>
      <c r="N44" s="332">
        <v>1100</v>
      </c>
      <c r="O44" s="332">
        <f t="shared" si="8"/>
        <v>0</v>
      </c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</row>
    <row r="45" spans="1:26" ht="18" customHeight="1">
      <c r="A45" s="345"/>
      <c r="B45" s="332">
        <v>584124220</v>
      </c>
      <c r="C45" s="331" t="s">
        <v>11986</v>
      </c>
      <c r="D45" s="439">
        <v>34669</v>
      </c>
      <c r="E45" s="439" t="s">
        <v>12379</v>
      </c>
      <c r="F45" s="332" t="s">
        <v>11987</v>
      </c>
      <c r="G45" s="339">
        <v>3352289120</v>
      </c>
      <c r="H45" s="332"/>
      <c r="I45" s="336" t="s">
        <v>11948</v>
      </c>
      <c r="J45" s="332">
        <v>4800</v>
      </c>
      <c r="K45" s="332">
        <v>4800</v>
      </c>
      <c r="L45" s="332">
        <f t="shared" si="7"/>
        <v>0</v>
      </c>
      <c r="M45" s="332">
        <v>3700</v>
      </c>
      <c r="N45" s="332">
        <f>1500+2200</f>
        <v>3700</v>
      </c>
      <c r="O45" s="332">
        <f t="shared" si="8"/>
        <v>0</v>
      </c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</row>
    <row r="46" spans="1:26" ht="18" customHeight="1">
      <c r="A46" s="345"/>
      <c r="B46" s="332">
        <v>598977420</v>
      </c>
      <c r="C46" s="331" t="s">
        <v>11959</v>
      </c>
      <c r="D46" s="439">
        <v>30935</v>
      </c>
      <c r="E46" s="439" t="s">
        <v>12385</v>
      </c>
      <c r="F46" s="332"/>
      <c r="G46" s="336"/>
      <c r="H46" s="332"/>
      <c r="I46" s="336" t="s">
        <v>11985</v>
      </c>
      <c r="J46" s="332">
        <v>1500</v>
      </c>
      <c r="K46" s="332">
        <v>1500</v>
      </c>
      <c r="L46" s="332">
        <f t="shared" si="7"/>
        <v>0</v>
      </c>
      <c r="M46" s="332">
        <v>1100</v>
      </c>
      <c r="N46" s="332">
        <v>1100</v>
      </c>
      <c r="O46" s="332">
        <f t="shared" si="8"/>
        <v>0</v>
      </c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</row>
    <row r="47" spans="1:26" ht="18" customHeight="1">
      <c r="A47" s="324"/>
      <c r="B47" s="270">
        <v>824093420</v>
      </c>
      <c r="C47" s="326" t="s">
        <v>11988</v>
      </c>
      <c r="D47" s="438">
        <v>35049</v>
      </c>
      <c r="E47" s="438" t="s">
        <v>12383</v>
      </c>
      <c r="F47" s="354"/>
      <c r="G47" s="355"/>
      <c r="H47" s="270"/>
      <c r="I47" s="334" t="s">
        <v>11989</v>
      </c>
      <c r="J47" s="270">
        <v>3200</v>
      </c>
      <c r="K47" s="270">
        <v>1000</v>
      </c>
      <c r="L47" s="270">
        <f t="shared" si="7"/>
        <v>2200</v>
      </c>
      <c r="M47" s="270">
        <v>2700</v>
      </c>
      <c r="N47" s="270">
        <v>1500</v>
      </c>
      <c r="O47" s="270">
        <f t="shared" si="8"/>
        <v>1200</v>
      </c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</row>
    <row r="48" spans="1:26" ht="18" customHeight="1">
      <c r="A48" s="324">
        <v>43892</v>
      </c>
      <c r="B48" s="270">
        <v>899858420</v>
      </c>
      <c r="C48" s="326" t="s">
        <v>11990</v>
      </c>
      <c r="D48" s="438">
        <v>33604</v>
      </c>
      <c r="E48" s="438" t="s">
        <v>12386</v>
      </c>
      <c r="F48" s="354"/>
      <c r="G48" s="355" t="s">
        <v>11968</v>
      </c>
      <c r="H48" s="270"/>
      <c r="I48" s="334" t="s">
        <v>11991</v>
      </c>
      <c r="J48" s="270">
        <v>4700</v>
      </c>
      <c r="K48" s="270">
        <f>2500+2200</f>
        <v>4700</v>
      </c>
      <c r="L48" s="270">
        <f t="shared" si="7"/>
        <v>0</v>
      </c>
      <c r="M48" s="270">
        <v>3700</v>
      </c>
      <c r="N48" s="270">
        <v>1500</v>
      </c>
      <c r="O48" s="270">
        <f t="shared" si="8"/>
        <v>2200</v>
      </c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</row>
    <row r="49" spans="1:26" ht="18" customHeight="1">
      <c r="A49" s="329">
        <v>43899</v>
      </c>
      <c r="B49" s="332"/>
      <c r="C49" s="331" t="s">
        <v>11992</v>
      </c>
      <c r="D49" s="439">
        <v>33012</v>
      </c>
      <c r="E49" s="439" t="s">
        <v>12387</v>
      </c>
      <c r="F49" s="347"/>
      <c r="G49" s="336"/>
      <c r="H49" s="332"/>
      <c r="I49" s="336" t="s">
        <v>11646</v>
      </c>
      <c r="J49" s="332">
        <v>1500</v>
      </c>
      <c r="K49" s="332">
        <v>1500</v>
      </c>
      <c r="L49" s="332">
        <f t="shared" si="7"/>
        <v>0</v>
      </c>
      <c r="M49" s="332"/>
      <c r="N49" s="332"/>
      <c r="O49" s="332">
        <f t="shared" si="8"/>
        <v>0</v>
      </c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</row>
    <row r="50" spans="1:26" ht="18" customHeight="1">
      <c r="A50" s="329">
        <v>43901</v>
      </c>
      <c r="B50" s="332"/>
      <c r="C50" s="331" t="s">
        <v>11419</v>
      </c>
      <c r="D50" s="439">
        <v>25995</v>
      </c>
      <c r="E50" s="439" t="s">
        <v>12388</v>
      </c>
      <c r="F50" s="347"/>
      <c r="G50" s="356"/>
      <c r="H50" s="332"/>
      <c r="I50" s="336" t="s">
        <v>11646</v>
      </c>
      <c r="J50" s="332">
        <v>1700</v>
      </c>
      <c r="K50" s="332">
        <v>1700</v>
      </c>
      <c r="L50" s="332">
        <f t="shared" si="7"/>
        <v>0</v>
      </c>
      <c r="M50" s="332">
        <v>1300</v>
      </c>
      <c r="N50" s="332">
        <v>1300</v>
      </c>
      <c r="O50" s="332">
        <f t="shared" si="8"/>
        <v>0</v>
      </c>
      <c r="P50" s="332" t="s">
        <v>12486</v>
      </c>
      <c r="Q50" s="332"/>
      <c r="R50" s="332"/>
      <c r="S50" s="332"/>
      <c r="T50" s="332"/>
      <c r="U50" s="332"/>
      <c r="V50" s="332"/>
      <c r="W50" s="332"/>
      <c r="X50" s="332"/>
      <c r="Y50" s="332"/>
      <c r="Z50" s="332"/>
    </row>
    <row r="51" spans="1:26" ht="18" customHeight="1">
      <c r="A51" s="329"/>
      <c r="B51" s="332"/>
      <c r="C51" s="331" t="s">
        <v>11993</v>
      </c>
      <c r="D51" s="439"/>
      <c r="E51" s="439" t="s">
        <v>12389</v>
      </c>
      <c r="F51" s="347"/>
      <c r="G51" s="356"/>
      <c r="H51" s="332"/>
      <c r="I51" s="336"/>
      <c r="J51" s="332">
        <f>2200+1700+400</f>
        <v>4300</v>
      </c>
      <c r="K51" s="332">
        <v>3000</v>
      </c>
      <c r="L51" s="332">
        <f t="shared" si="7"/>
        <v>1300</v>
      </c>
      <c r="M51" s="332">
        <v>2700</v>
      </c>
      <c r="N51" s="332">
        <v>2700</v>
      </c>
      <c r="O51" s="332">
        <f t="shared" si="8"/>
        <v>0</v>
      </c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</row>
    <row r="52" spans="1:26" ht="18" customHeight="1">
      <c r="A52" s="329">
        <v>43910</v>
      </c>
      <c r="B52" s="332"/>
      <c r="C52" s="331" t="s">
        <v>11994</v>
      </c>
      <c r="D52" s="439"/>
      <c r="E52" s="439" t="s">
        <v>12390</v>
      </c>
      <c r="F52" s="347" t="s">
        <v>11995</v>
      </c>
      <c r="G52" s="356"/>
      <c r="H52" s="332"/>
      <c r="I52" s="336" t="s">
        <v>11985</v>
      </c>
      <c r="J52" s="332">
        <f>1500+400</f>
        <v>1900</v>
      </c>
      <c r="K52" s="332">
        <v>1900</v>
      </c>
      <c r="L52" s="332">
        <f t="shared" si="7"/>
        <v>0</v>
      </c>
      <c r="M52" s="332">
        <v>1600</v>
      </c>
      <c r="N52" s="332">
        <v>1600</v>
      </c>
      <c r="O52" s="332">
        <f t="shared" si="8"/>
        <v>0</v>
      </c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</row>
    <row r="53" spans="1:26" ht="18" customHeight="1">
      <c r="A53" s="329">
        <v>44078</v>
      </c>
      <c r="B53" s="332">
        <v>2509951020</v>
      </c>
      <c r="C53" s="331" t="s">
        <v>11996</v>
      </c>
      <c r="D53" s="439">
        <v>30330</v>
      </c>
      <c r="E53" s="439" t="s">
        <v>12391</v>
      </c>
      <c r="F53" s="347" t="s">
        <v>11997</v>
      </c>
      <c r="G53" s="356"/>
      <c r="H53" s="332"/>
      <c r="I53" s="336" t="s">
        <v>11985</v>
      </c>
      <c r="J53" s="332">
        <v>1500</v>
      </c>
      <c r="K53" s="332">
        <v>1500</v>
      </c>
      <c r="L53" s="332">
        <f t="shared" si="7"/>
        <v>0</v>
      </c>
      <c r="M53" s="332">
        <v>1200</v>
      </c>
      <c r="N53" s="332">
        <v>1200</v>
      </c>
      <c r="O53" s="332">
        <f t="shared" si="8"/>
        <v>0</v>
      </c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</row>
    <row r="54" spans="1:26" ht="18" customHeight="1">
      <c r="A54" s="345"/>
      <c r="B54" s="332">
        <v>2499081620</v>
      </c>
      <c r="C54" s="331" t="s">
        <v>11998</v>
      </c>
      <c r="D54" s="439">
        <v>27603</v>
      </c>
      <c r="E54" s="439" t="s">
        <v>12392</v>
      </c>
      <c r="F54" s="332"/>
      <c r="G54" s="336"/>
      <c r="H54" s="332"/>
      <c r="I54" s="336" t="s">
        <v>11985</v>
      </c>
      <c r="J54" s="332">
        <v>1500</v>
      </c>
      <c r="K54" s="332">
        <v>1500</v>
      </c>
      <c r="L54" s="332">
        <f t="shared" si="7"/>
        <v>0</v>
      </c>
      <c r="M54" s="332">
        <v>1200</v>
      </c>
      <c r="N54" s="332">
        <v>1200</v>
      </c>
      <c r="O54" s="332">
        <f t="shared" si="8"/>
        <v>0</v>
      </c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</row>
    <row r="55" spans="1:26" ht="18" customHeight="1">
      <c r="A55" s="329">
        <v>44102</v>
      </c>
      <c r="B55" s="332"/>
      <c r="C55" s="331" t="s">
        <v>11999</v>
      </c>
      <c r="D55" s="439"/>
      <c r="E55" s="439" t="s">
        <v>12393</v>
      </c>
      <c r="F55" s="332"/>
      <c r="G55" s="336"/>
      <c r="H55" s="332"/>
      <c r="I55" s="336" t="s">
        <v>11985</v>
      </c>
      <c r="J55" s="332">
        <v>1800</v>
      </c>
      <c r="K55" s="332">
        <v>1800</v>
      </c>
      <c r="L55" s="332">
        <f t="shared" si="7"/>
        <v>0</v>
      </c>
      <c r="M55" s="332">
        <v>1400</v>
      </c>
      <c r="N55" s="332">
        <v>1400</v>
      </c>
      <c r="O55" s="332">
        <f t="shared" si="8"/>
        <v>0</v>
      </c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</row>
    <row r="56" spans="1:26" ht="18" customHeight="1">
      <c r="A56" s="329">
        <v>44103</v>
      </c>
      <c r="B56" s="332"/>
      <c r="C56" s="331" t="s">
        <v>12000</v>
      </c>
      <c r="D56" s="439"/>
      <c r="E56" s="439" t="s">
        <v>12394</v>
      </c>
      <c r="F56" s="332"/>
      <c r="G56" s="336"/>
      <c r="H56" s="332"/>
      <c r="I56" s="336" t="s">
        <v>11985</v>
      </c>
      <c r="J56" s="332">
        <v>2000</v>
      </c>
      <c r="K56" s="332">
        <v>2000</v>
      </c>
      <c r="L56" s="332">
        <f t="shared" si="7"/>
        <v>0</v>
      </c>
      <c r="M56" s="332">
        <v>1500</v>
      </c>
      <c r="N56" s="332">
        <v>1500</v>
      </c>
      <c r="O56" s="332">
        <f t="shared" si="8"/>
        <v>0</v>
      </c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</row>
    <row r="57" spans="1:26" ht="18" customHeight="1">
      <c r="A57" s="350">
        <v>44110</v>
      </c>
      <c r="B57" s="351"/>
      <c r="C57" s="352" t="s">
        <v>12001</v>
      </c>
      <c r="D57" s="444"/>
      <c r="E57" s="444" t="s">
        <v>12395</v>
      </c>
      <c r="F57" s="357"/>
      <c r="G57" s="358"/>
      <c r="H57" s="270"/>
      <c r="I57" s="358" t="s">
        <v>11985</v>
      </c>
      <c r="J57" s="351">
        <v>7400</v>
      </c>
      <c r="K57" s="351">
        <f>6000+1400</f>
        <v>7400</v>
      </c>
      <c r="L57" s="351">
        <f t="shared" si="7"/>
        <v>0</v>
      </c>
      <c r="M57" s="351">
        <f>1500+2100*2+1400</f>
        <v>7100</v>
      </c>
      <c r="N57" s="351">
        <f>6000+1100</f>
        <v>7100</v>
      </c>
      <c r="O57" s="351">
        <f t="shared" si="8"/>
        <v>0</v>
      </c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</row>
    <row r="58" spans="1:26" ht="18" customHeight="1">
      <c r="A58" s="329">
        <v>44109</v>
      </c>
      <c r="B58" s="332"/>
      <c r="C58" s="331" t="s">
        <v>12002</v>
      </c>
      <c r="D58" s="439"/>
      <c r="E58" s="439" t="s">
        <v>12396</v>
      </c>
      <c r="F58" s="357"/>
      <c r="G58" s="336"/>
      <c r="H58" s="332"/>
      <c r="I58" s="336" t="s">
        <v>12003</v>
      </c>
      <c r="J58" s="332">
        <v>1500</v>
      </c>
      <c r="K58" s="332">
        <v>1500</v>
      </c>
      <c r="L58" s="332">
        <f t="shared" si="7"/>
        <v>0</v>
      </c>
      <c r="M58" s="332">
        <v>1300</v>
      </c>
      <c r="N58" s="332">
        <v>1300</v>
      </c>
      <c r="O58" s="332">
        <f t="shared" si="8"/>
        <v>0</v>
      </c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</row>
    <row r="59" spans="1:26" ht="18" customHeight="1">
      <c r="A59" s="345"/>
      <c r="B59" s="332"/>
      <c r="C59" s="331" t="s">
        <v>12004</v>
      </c>
      <c r="D59" s="439"/>
      <c r="E59" s="439" t="s">
        <v>12397</v>
      </c>
      <c r="F59" s="357"/>
      <c r="G59" s="336"/>
      <c r="H59" s="270"/>
      <c r="I59" s="336" t="s">
        <v>12005</v>
      </c>
      <c r="J59" s="332">
        <v>1500</v>
      </c>
      <c r="K59" s="332">
        <v>1500</v>
      </c>
      <c r="L59" s="332">
        <f t="shared" si="7"/>
        <v>0</v>
      </c>
      <c r="M59" s="332">
        <v>1200</v>
      </c>
      <c r="N59" s="332">
        <v>1200</v>
      </c>
      <c r="O59" s="332">
        <f t="shared" si="8"/>
        <v>0</v>
      </c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</row>
    <row r="60" spans="1:26" ht="18" customHeight="1">
      <c r="A60" s="345"/>
      <c r="B60" s="359">
        <v>3502052020</v>
      </c>
      <c r="C60" s="331" t="s">
        <v>12006</v>
      </c>
      <c r="D60" s="439">
        <v>24211</v>
      </c>
      <c r="E60" s="439" t="s">
        <v>12398</v>
      </c>
      <c r="F60" s="360"/>
      <c r="G60" s="336"/>
      <c r="H60" s="332"/>
      <c r="I60" s="336" t="s">
        <v>12007</v>
      </c>
      <c r="J60" s="332">
        <v>3500</v>
      </c>
      <c r="K60" s="332">
        <v>3500</v>
      </c>
      <c r="L60" s="332">
        <f t="shared" si="7"/>
        <v>0</v>
      </c>
      <c r="M60" s="332">
        <v>3000</v>
      </c>
      <c r="N60" s="270">
        <f>2000+1000</f>
        <v>3000</v>
      </c>
      <c r="O60" s="270">
        <f t="shared" si="8"/>
        <v>0</v>
      </c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</row>
    <row r="61" spans="1:26" ht="18" customHeight="1">
      <c r="A61" s="324">
        <v>44150</v>
      </c>
      <c r="B61" s="141">
        <v>3382242720</v>
      </c>
      <c r="C61" s="332" t="s">
        <v>12008</v>
      </c>
      <c r="D61" s="438">
        <v>29112</v>
      </c>
      <c r="E61" s="336" t="s">
        <v>12399</v>
      </c>
      <c r="F61" s="357" t="s">
        <v>12009</v>
      </c>
      <c r="G61" s="334"/>
      <c r="H61" s="270"/>
      <c r="I61" s="334" t="s">
        <v>11991</v>
      </c>
      <c r="J61" s="270">
        <v>4500</v>
      </c>
      <c r="K61" s="270">
        <f>3000+1500</f>
        <v>4500</v>
      </c>
      <c r="L61" s="332">
        <f t="shared" si="7"/>
        <v>0</v>
      </c>
      <c r="M61" s="270">
        <v>3700</v>
      </c>
      <c r="N61" s="270">
        <v>1500</v>
      </c>
      <c r="O61" s="270">
        <f t="shared" si="8"/>
        <v>2200</v>
      </c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</row>
    <row r="62" spans="1:26" ht="18" customHeight="1">
      <c r="A62" s="324">
        <v>37576</v>
      </c>
      <c r="B62" s="141">
        <v>3367893920</v>
      </c>
      <c r="C62" s="332" t="s">
        <v>12010</v>
      </c>
      <c r="D62" s="438">
        <v>36494</v>
      </c>
      <c r="E62" s="336" t="s">
        <v>12400</v>
      </c>
      <c r="F62" s="357">
        <v>44237</v>
      </c>
      <c r="G62" s="334"/>
      <c r="H62" s="270"/>
      <c r="I62" s="334" t="s">
        <v>11991</v>
      </c>
      <c r="J62" s="270">
        <f>4300+400+300</f>
        <v>5000</v>
      </c>
      <c r="K62" s="270">
        <f t="shared" ref="K62:K63" si="9">2500+2500</f>
        <v>5000</v>
      </c>
      <c r="L62" s="270">
        <f t="shared" si="7"/>
        <v>0</v>
      </c>
      <c r="M62" s="270">
        <f t="shared" ref="M62:M63" si="10">3700+400</f>
        <v>4100</v>
      </c>
      <c r="N62" s="270">
        <v>1500</v>
      </c>
      <c r="O62" s="270">
        <f t="shared" si="8"/>
        <v>2600</v>
      </c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</row>
    <row r="63" spans="1:26" ht="18" customHeight="1">
      <c r="A63" s="324">
        <v>37576</v>
      </c>
      <c r="B63" s="270">
        <v>3367961220</v>
      </c>
      <c r="C63" s="332" t="s">
        <v>4563</v>
      </c>
      <c r="D63" s="438">
        <v>37346</v>
      </c>
      <c r="E63" s="336" t="s">
        <v>12400</v>
      </c>
      <c r="F63" s="357">
        <v>44232</v>
      </c>
      <c r="G63" s="334"/>
      <c r="H63" s="270"/>
      <c r="I63" s="334" t="s">
        <v>11991</v>
      </c>
      <c r="J63" s="270">
        <f>4300+400</f>
        <v>4700</v>
      </c>
      <c r="K63" s="270">
        <f t="shared" si="9"/>
        <v>5000</v>
      </c>
      <c r="L63" s="270">
        <f t="shared" si="7"/>
        <v>-300</v>
      </c>
      <c r="M63" s="270">
        <f t="shared" si="10"/>
        <v>4100</v>
      </c>
      <c r="N63" s="270">
        <v>1500</v>
      </c>
      <c r="O63" s="270">
        <f t="shared" si="8"/>
        <v>2600</v>
      </c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</row>
    <row r="64" spans="1:26" ht="18" customHeight="1">
      <c r="A64" s="324">
        <v>44166</v>
      </c>
      <c r="B64" s="270">
        <v>3563341920</v>
      </c>
      <c r="C64" s="331" t="s">
        <v>1912</v>
      </c>
      <c r="D64" s="439">
        <v>36377</v>
      </c>
      <c r="E64" s="439" t="s">
        <v>12401</v>
      </c>
      <c r="F64" s="361" t="s">
        <v>12011</v>
      </c>
      <c r="G64" s="362">
        <v>804042521</v>
      </c>
      <c r="H64" s="332"/>
      <c r="I64" s="336" t="s">
        <v>11991</v>
      </c>
      <c r="J64" s="332">
        <v>4500</v>
      </c>
      <c r="K64" s="332">
        <f t="shared" ref="K64:K65" si="11">2500+1000</f>
        <v>3500</v>
      </c>
      <c r="L64" s="332">
        <f t="shared" si="7"/>
        <v>1000</v>
      </c>
      <c r="M64" s="332">
        <v>4100</v>
      </c>
      <c r="N64" s="332">
        <f t="shared" ref="N64:N65" si="12">1600+1000+1500</f>
        <v>4100</v>
      </c>
      <c r="O64" s="332">
        <f t="shared" si="8"/>
        <v>0</v>
      </c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</row>
    <row r="65" spans="1:26" ht="18" customHeight="1">
      <c r="A65" s="324">
        <v>44166</v>
      </c>
      <c r="B65" s="270">
        <v>3564414420</v>
      </c>
      <c r="C65" s="331" t="s">
        <v>4596</v>
      </c>
      <c r="D65" s="439">
        <v>37414</v>
      </c>
      <c r="E65" s="439" t="s">
        <v>12402</v>
      </c>
      <c r="F65" s="361"/>
      <c r="G65" s="346">
        <v>798828121</v>
      </c>
      <c r="H65" s="332"/>
      <c r="I65" s="336" t="s">
        <v>11991</v>
      </c>
      <c r="J65" s="332">
        <v>4500</v>
      </c>
      <c r="K65" s="332">
        <f t="shared" si="11"/>
        <v>3500</v>
      </c>
      <c r="L65" s="332">
        <f t="shared" si="7"/>
        <v>1000</v>
      </c>
      <c r="M65" s="332">
        <v>4100</v>
      </c>
      <c r="N65" s="332">
        <f t="shared" si="12"/>
        <v>4100</v>
      </c>
      <c r="O65" s="332">
        <f t="shared" si="8"/>
        <v>0</v>
      </c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</row>
    <row r="66" spans="1:26" ht="18" customHeight="1">
      <c r="A66" s="329">
        <v>44168</v>
      </c>
      <c r="B66" s="332">
        <v>3609103020</v>
      </c>
      <c r="C66" s="332" t="s">
        <v>12012</v>
      </c>
      <c r="D66" s="439">
        <v>21705</v>
      </c>
      <c r="E66" s="336" t="s">
        <v>12403</v>
      </c>
      <c r="F66" s="361"/>
      <c r="G66" s="336"/>
      <c r="H66" s="332"/>
      <c r="I66" s="336" t="s">
        <v>11985</v>
      </c>
      <c r="J66" s="332">
        <v>1700</v>
      </c>
      <c r="K66" s="332">
        <v>1700</v>
      </c>
      <c r="L66" s="332">
        <f t="shared" si="7"/>
        <v>0</v>
      </c>
      <c r="M66" s="332">
        <v>1300</v>
      </c>
      <c r="N66" s="332">
        <v>1300</v>
      </c>
      <c r="O66" s="332">
        <f t="shared" si="8"/>
        <v>0</v>
      </c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</row>
    <row r="67" spans="1:26" ht="18" customHeight="1">
      <c r="A67" s="324">
        <v>44172</v>
      </c>
      <c r="B67" s="270">
        <v>3653545020</v>
      </c>
      <c r="C67" s="332" t="s">
        <v>12013</v>
      </c>
      <c r="D67" s="438">
        <v>37441</v>
      </c>
      <c r="E67" s="336" t="s">
        <v>12404</v>
      </c>
      <c r="F67" s="363" t="s">
        <v>12014</v>
      </c>
      <c r="G67" s="334"/>
      <c r="H67" s="270"/>
      <c r="I67" s="334" t="s">
        <v>11991</v>
      </c>
      <c r="J67" s="270">
        <v>4700</v>
      </c>
      <c r="K67" s="270">
        <v>4700</v>
      </c>
      <c r="L67" s="270">
        <f t="shared" si="7"/>
        <v>0</v>
      </c>
      <c r="M67" s="270">
        <v>4100</v>
      </c>
      <c r="N67" s="270">
        <f>2000+2100</f>
        <v>4100</v>
      </c>
      <c r="O67" s="270">
        <f t="shared" si="8"/>
        <v>0</v>
      </c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</row>
    <row r="68" spans="1:26" ht="18" customHeight="1">
      <c r="A68" s="345"/>
      <c r="B68" s="332">
        <v>3770683020</v>
      </c>
      <c r="C68" s="332" t="s">
        <v>12015</v>
      </c>
      <c r="D68" s="439">
        <v>21740</v>
      </c>
      <c r="E68" s="336" t="s">
        <v>12405</v>
      </c>
      <c r="F68" s="361"/>
      <c r="G68" s="336"/>
      <c r="H68" s="332"/>
      <c r="I68" s="336" t="s">
        <v>11573</v>
      </c>
      <c r="J68" s="332">
        <v>2100</v>
      </c>
      <c r="K68" s="332">
        <v>2100</v>
      </c>
      <c r="L68" s="332">
        <f t="shared" si="7"/>
        <v>0</v>
      </c>
      <c r="M68" s="332">
        <v>1800</v>
      </c>
      <c r="N68" s="332">
        <v>1800</v>
      </c>
      <c r="O68" s="332">
        <f t="shared" si="8"/>
        <v>0</v>
      </c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</row>
    <row r="69" spans="1:26" ht="18" customHeight="1">
      <c r="A69" s="329">
        <v>44183</v>
      </c>
      <c r="B69" s="364">
        <v>3837603220</v>
      </c>
      <c r="C69" s="332" t="s">
        <v>12016</v>
      </c>
      <c r="D69" s="439">
        <v>19953</v>
      </c>
      <c r="E69" s="336" t="s">
        <v>12406</v>
      </c>
      <c r="F69" s="365"/>
      <c r="G69" s="336"/>
      <c r="H69" s="270"/>
      <c r="I69" s="336" t="s">
        <v>11573</v>
      </c>
      <c r="J69" s="332">
        <v>1300</v>
      </c>
      <c r="K69" s="332">
        <v>0</v>
      </c>
      <c r="L69" s="332">
        <f t="shared" si="7"/>
        <v>1300</v>
      </c>
      <c r="M69" s="332">
        <v>1300</v>
      </c>
      <c r="N69" s="332">
        <v>1300</v>
      </c>
      <c r="O69" s="332">
        <f t="shared" si="8"/>
        <v>0</v>
      </c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</row>
    <row r="70" spans="1:26" ht="18" customHeight="1">
      <c r="A70" s="324">
        <v>44184</v>
      </c>
      <c r="B70" s="270">
        <v>3850961920</v>
      </c>
      <c r="C70" s="332" t="s">
        <v>12017</v>
      </c>
      <c r="D70" s="438">
        <v>30913</v>
      </c>
      <c r="E70" s="336" t="s">
        <v>12407</v>
      </c>
      <c r="F70" s="360">
        <v>44237</v>
      </c>
      <c r="G70" s="334"/>
      <c r="H70" s="270"/>
      <c r="I70" s="334" t="s">
        <v>12018</v>
      </c>
      <c r="J70" s="270">
        <v>4700</v>
      </c>
      <c r="K70" s="270">
        <v>4700</v>
      </c>
      <c r="L70" s="270">
        <f t="shared" si="7"/>
        <v>0</v>
      </c>
      <c r="M70" s="270">
        <v>4100</v>
      </c>
      <c r="N70" s="270">
        <f>2000+2100</f>
        <v>4100</v>
      </c>
      <c r="O70" s="270">
        <f t="shared" si="8"/>
        <v>0</v>
      </c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</row>
    <row r="71" spans="1:26" ht="18" customHeight="1">
      <c r="A71" s="329">
        <v>44184</v>
      </c>
      <c r="B71" s="332"/>
      <c r="C71" s="332" t="s">
        <v>12019</v>
      </c>
      <c r="D71" s="439"/>
      <c r="E71" s="336" t="s">
        <v>12408</v>
      </c>
      <c r="F71" s="361"/>
      <c r="G71" s="336"/>
      <c r="H71" s="332"/>
      <c r="I71" s="336" t="s">
        <v>12020</v>
      </c>
      <c r="J71" s="332">
        <v>2800</v>
      </c>
      <c r="K71" s="332">
        <v>2800</v>
      </c>
      <c r="L71" s="332">
        <f t="shared" si="7"/>
        <v>0</v>
      </c>
      <c r="M71" s="332">
        <f>1200+600+200</f>
        <v>2000</v>
      </c>
      <c r="N71" s="332">
        <v>2000</v>
      </c>
      <c r="O71" s="332">
        <f t="shared" si="8"/>
        <v>0</v>
      </c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</row>
    <row r="72" spans="1:26" ht="18" customHeight="1">
      <c r="A72" s="324">
        <v>44184</v>
      </c>
      <c r="B72" s="270">
        <v>3864625320</v>
      </c>
      <c r="C72" s="332" t="s">
        <v>12021</v>
      </c>
      <c r="D72" s="438">
        <v>27300</v>
      </c>
      <c r="E72" s="336" t="s">
        <v>12409</v>
      </c>
      <c r="F72" s="357" t="s">
        <v>12022</v>
      </c>
      <c r="G72" s="334"/>
      <c r="H72" s="270"/>
      <c r="I72" s="334" t="s">
        <v>12018</v>
      </c>
      <c r="J72" s="270">
        <f>4700+300</f>
        <v>5000</v>
      </c>
      <c r="K72" s="270">
        <f>2500+300+2200</f>
        <v>5000</v>
      </c>
      <c r="L72" s="270">
        <f t="shared" si="7"/>
        <v>0</v>
      </c>
      <c r="M72" s="270">
        <v>4100</v>
      </c>
      <c r="N72" s="270">
        <f>2000+300+1800</f>
        <v>4100</v>
      </c>
      <c r="O72" s="270">
        <f t="shared" si="8"/>
        <v>0</v>
      </c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</row>
    <row r="73" spans="1:26" ht="18" customHeight="1">
      <c r="A73" s="350">
        <v>44188</v>
      </c>
      <c r="B73" s="351">
        <v>3931606220</v>
      </c>
      <c r="C73" s="351" t="s">
        <v>8876</v>
      </c>
      <c r="D73" s="444">
        <v>37314</v>
      </c>
      <c r="E73" s="358" t="s">
        <v>12410</v>
      </c>
      <c r="F73" s="366" t="s">
        <v>12022</v>
      </c>
      <c r="G73" s="358"/>
      <c r="H73" s="351"/>
      <c r="I73" s="358" t="s">
        <v>12018</v>
      </c>
      <c r="J73" s="351">
        <v>4700</v>
      </c>
      <c r="K73" s="351">
        <f>2500+2200</f>
        <v>4700</v>
      </c>
      <c r="L73" s="351">
        <f t="shared" si="7"/>
        <v>0</v>
      </c>
      <c r="M73" s="351">
        <v>4100</v>
      </c>
      <c r="N73" s="270">
        <f>1600+2500</f>
        <v>4100</v>
      </c>
      <c r="O73" s="270">
        <f t="shared" si="8"/>
        <v>0</v>
      </c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</row>
    <row r="74" spans="1:26" ht="18" customHeight="1">
      <c r="A74" s="329">
        <v>44195</v>
      </c>
      <c r="B74" s="332">
        <v>3976656220</v>
      </c>
      <c r="C74" s="332" t="s">
        <v>11895</v>
      </c>
      <c r="D74" s="439">
        <v>29945</v>
      </c>
      <c r="E74" s="336" t="s">
        <v>12411</v>
      </c>
      <c r="F74" s="357"/>
      <c r="G74" s="336"/>
      <c r="H74" s="332"/>
      <c r="I74" s="336" t="s">
        <v>11573</v>
      </c>
      <c r="J74" s="332">
        <v>1700</v>
      </c>
      <c r="K74" s="332">
        <v>500</v>
      </c>
      <c r="L74" s="332">
        <f t="shared" si="7"/>
        <v>1200</v>
      </c>
      <c r="M74" s="332">
        <v>1300</v>
      </c>
      <c r="N74" s="332">
        <v>1300</v>
      </c>
      <c r="O74" s="332">
        <f t="shared" si="8"/>
        <v>0</v>
      </c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</row>
    <row r="75" spans="1:26" ht="18" customHeight="1">
      <c r="A75" s="329">
        <v>44202</v>
      </c>
      <c r="B75" s="332">
        <v>71130821</v>
      </c>
      <c r="C75" s="332" t="s">
        <v>11858</v>
      </c>
      <c r="D75" s="439">
        <v>29530</v>
      </c>
      <c r="E75" s="336" t="s">
        <v>12412</v>
      </c>
      <c r="F75" s="360" t="s">
        <v>1845</v>
      </c>
      <c r="G75" s="336" t="s">
        <v>12023</v>
      </c>
      <c r="H75" s="332"/>
      <c r="I75" s="336" t="s">
        <v>11573</v>
      </c>
      <c r="J75" s="332">
        <v>2700</v>
      </c>
      <c r="K75" s="332">
        <v>2700</v>
      </c>
      <c r="L75" s="332">
        <f t="shared" si="7"/>
        <v>0</v>
      </c>
      <c r="M75" s="332">
        <v>1200</v>
      </c>
      <c r="N75" s="332">
        <v>1200</v>
      </c>
      <c r="O75" s="332">
        <f t="shared" si="8"/>
        <v>0</v>
      </c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</row>
    <row r="76" spans="1:26" ht="18" customHeight="1">
      <c r="A76" s="350">
        <v>44207</v>
      </c>
      <c r="B76" s="351">
        <v>140986421</v>
      </c>
      <c r="C76" s="351" t="s">
        <v>12024</v>
      </c>
      <c r="D76" s="444">
        <v>31607</v>
      </c>
      <c r="E76" s="358" t="s">
        <v>12413</v>
      </c>
      <c r="F76" s="366" t="s">
        <v>12022</v>
      </c>
      <c r="G76" s="358"/>
      <c r="H76" s="351"/>
      <c r="I76" s="358" t="s">
        <v>12025</v>
      </c>
      <c r="J76" s="351">
        <v>3500</v>
      </c>
      <c r="K76" s="351">
        <v>3500</v>
      </c>
      <c r="L76" s="351">
        <f t="shared" si="7"/>
        <v>0</v>
      </c>
      <c r="M76" s="351">
        <v>3100</v>
      </c>
      <c r="N76" s="351">
        <f>2000+1100</f>
        <v>3100</v>
      </c>
      <c r="O76" s="351">
        <f t="shared" si="8"/>
        <v>0</v>
      </c>
      <c r="P76" s="351" t="s">
        <v>478</v>
      </c>
      <c r="Q76" s="270"/>
      <c r="R76" s="270"/>
      <c r="S76" s="270"/>
      <c r="T76" s="270"/>
      <c r="U76" s="270"/>
      <c r="V76" s="270"/>
      <c r="W76" s="270"/>
      <c r="X76" s="270"/>
      <c r="Y76" s="270"/>
      <c r="Z76" s="270"/>
    </row>
    <row r="77" spans="1:26" ht="18" customHeight="1">
      <c r="A77" s="329">
        <v>44207</v>
      </c>
      <c r="B77" s="332"/>
      <c r="C77" s="332" t="s">
        <v>12026</v>
      </c>
      <c r="D77" s="439">
        <v>29229</v>
      </c>
      <c r="E77" s="336" t="s">
        <v>12413</v>
      </c>
      <c r="F77" s="360"/>
      <c r="G77" s="336"/>
      <c r="H77" s="332"/>
      <c r="I77" s="336" t="s">
        <v>12027</v>
      </c>
      <c r="J77" s="332">
        <f>1700+1100</f>
        <v>2800</v>
      </c>
      <c r="K77" s="332">
        <v>2800</v>
      </c>
      <c r="L77" s="332">
        <f t="shared" si="7"/>
        <v>0</v>
      </c>
      <c r="M77" s="332">
        <v>1300</v>
      </c>
      <c r="N77" s="332">
        <v>1300</v>
      </c>
      <c r="O77" s="332">
        <f t="shared" si="8"/>
        <v>0</v>
      </c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</row>
    <row r="78" spans="1:26" ht="18" customHeight="1">
      <c r="A78" s="324">
        <v>44209</v>
      </c>
      <c r="B78" s="270">
        <v>181148621</v>
      </c>
      <c r="C78" s="270" t="s">
        <v>12028</v>
      </c>
      <c r="D78" s="438">
        <v>34980</v>
      </c>
      <c r="E78" s="334" t="s">
        <v>12414</v>
      </c>
      <c r="F78" s="357" t="s">
        <v>12022</v>
      </c>
      <c r="G78" s="334">
        <v>7978419984</v>
      </c>
      <c r="H78" s="270"/>
      <c r="I78" s="334" t="s">
        <v>12018</v>
      </c>
      <c r="J78" s="270">
        <v>5000</v>
      </c>
      <c r="K78" s="270">
        <f>3000+2000</f>
        <v>5000</v>
      </c>
      <c r="L78" s="270">
        <f t="shared" si="7"/>
        <v>0</v>
      </c>
      <c r="M78" s="270">
        <f>4100+300</f>
        <v>4400</v>
      </c>
      <c r="N78" s="270">
        <f>2500+300+1600</f>
        <v>4400</v>
      </c>
      <c r="O78" s="270">
        <f t="shared" si="8"/>
        <v>0</v>
      </c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</row>
    <row r="79" spans="1:26" ht="18" customHeight="1">
      <c r="A79" s="367">
        <v>44209</v>
      </c>
      <c r="B79" s="368">
        <v>179280521</v>
      </c>
      <c r="C79" s="368" t="s">
        <v>12029</v>
      </c>
      <c r="D79" s="438">
        <v>31339</v>
      </c>
      <c r="E79" s="376" t="s">
        <v>12415</v>
      </c>
      <c r="F79" s="369">
        <v>44279</v>
      </c>
      <c r="G79" s="334"/>
      <c r="H79" s="270"/>
      <c r="I79" s="334" t="s">
        <v>12018</v>
      </c>
      <c r="J79" s="270">
        <v>4500</v>
      </c>
      <c r="K79" s="270">
        <f>2500+2000</f>
        <v>4500</v>
      </c>
      <c r="L79" s="270">
        <f t="shared" si="7"/>
        <v>0</v>
      </c>
      <c r="M79" s="270">
        <v>4400</v>
      </c>
      <c r="N79" s="270">
        <f>2500+1900</f>
        <v>4400</v>
      </c>
      <c r="O79" s="270">
        <f t="shared" si="8"/>
        <v>0</v>
      </c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</row>
    <row r="80" spans="1:26" ht="18" customHeight="1">
      <c r="A80" s="324">
        <v>44217</v>
      </c>
      <c r="B80" s="270">
        <v>318184621</v>
      </c>
      <c r="C80" s="332" t="s">
        <v>12030</v>
      </c>
      <c r="D80" s="438">
        <v>32653</v>
      </c>
      <c r="E80" s="336" t="s">
        <v>12416</v>
      </c>
      <c r="F80" s="357">
        <v>44267</v>
      </c>
      <c r="G80" s="334"/>
      <c r="H80" s="270"/>
      <c r="I80" s="334" t="s">
        <v>12018</v>
      </c>
      <c r="J80" s="270">
        <v>5000</v>
      </c>
      <c r="K80" s="270">
        <f>2600+2400</f>
        <v>5000</v>
      </c>
      <c r="L80" s="270">
        <f t="shared" si="7"/>
        <v>0</v>
      </c>
      <c r="M80" s="270">
        <f>4100+300</f>
        <v>4400</v>
      </c>
      <c r="N80" s="270">
        <f>2000+300+2100</f>
        <v>4400</v>
      </c>
      <c r="O80" s="270">
        <f t="shared" si="8"/>
        <v>0</v>
      </c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</row>
    <row r="81" spans="1:26" ht="18" customHeight="1">
      <c r="A81" s="335"/>
      <c r="B81" s="270">
        <v>285290821</v>
      </c>
      <c r="C81" s="332" t="s">
        <v>12031</v>
      </c>
      <c r="D81" s="438">
        <v>36484</v>
      </c>
      <c r="E81" s="336" t="s">
        <v>12417</v>
      </c>
      <c r="F81" s="357" t="s">
        <v>12032</v>
      </c>
      <c r="G81" s="334"/>
      <c r="H81" s="270"/>
      <c r="I81" s="334" t="s">
        <v>12018</v>
      </c>
      <c r="J81" s="270">
        <v>5000</v>
      </c>
      <c r="K81" s="270">
        <f>2000+3000</f>
        <v>5000</v>
      </c>
      <c r="L81" s="270">
        <f t="shared" si="7"/>
        <v>0</v>
      </c>
      <c r="M81" s="270">
        <v>4100</v>
      </c>
      <c r="N81" s="270">
        <f>2000+300+1800</f>
        <v>4100</v>
      </c>
      <c r="O81" s="270">
        <f t="shared" si="8"/>
        <v>0</v>
      </c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</row>
    <row r="82" spans="1:26" ht="18" customHeight="1">
      <c r="A82" s="329">
        <v>44222</v>
      </c>
      <c r="B82" s="332"/>
      <c r="C82" s="332" t="s">
        <v>12033</v>
      </c>
      <c r="D82" s="439">
        <v>20937</v>
      </c>
      <c r="E82" s="336" t="s">
        <v>12418</v>
      </c>
      <c r="F82" s="360" t="s">
        <v>12034</v>
      </c>
      <c r="G82" s="336"/>
      <c r="H82" s="332"/>
      <c r="I82" s="336" t="s">
        <v>11985</v>
      </c>
      <c r="J82" s="332">
        <v>3100</v>
      </c>
      <c r="K82" s="332">
        <v>3100</v>
      </c>
      <c r="L82" s="332">
        <f t="shared" si="7"/>
        <v>0</v>
      </c>
      <c r="M82" s="332">
        <v>1400</v>
      </c>
      <c r="N82" s="332">
        <v>1400</v>
      </c>
      <c r="O82" s="332">
        <f t="shared" si="8"/>
        <v>0</v>
      </c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</row>
    <row r="83" spans="1:26" ht="18" customHeight="1">
      <c r="A83" s="324">
        <v>44224</v>
      </c>
      <c r="B83" s="270">
        <v>407553221</v>
      </c>
      <c r="C83" s="332" t="s">
        <v>8778</v>
      </c>
      <c r="D83" s="438">
        <v>36148</v>
      </c>
      <c r="E83" s="336" t="s">
        <v>12419</v>
      </c>
      <c r="F83" s="357" t="s">
        <v>12035</v>
      </c>
      <c r="G83" s="334"/>
      <c r="H83" s="270"/>
      <c r="I83" s="334" t="s">
        <v>12018</v>
      </c>
      <c r="J83" s="270">
        <v>5000</v>
      </c>
      <c r="K83" s="270">
        <f>2500+2500</f>
        <v>5000</v>
      </c>
      <c r="L83" s="270">
        <f t="shared" si="7"/>
        <v>0</v>
      </c>
      <c r="M83" s="270">
        <v>4400</v>
      </c>
      <c r="N83" s="270">
        <f>2000+300+2100</f>
        <v>4400</v>
      </c>
      <c r="O83" s="270">
        <f t="shared" si="8"/>
        <v>0</v>
      </c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</row>
    <row r="84" spans="1:26" ht="18" customHeight="1">
      <c r="A84" s="329">
        <v>44224</v>
      </c>
      <c r="B84" s="332">
        <v>9534014105</v>
      </c>
      <c r="C84" s="332" t="s">
        <v>12036</v>
      </c>
      <c r="D84" s="439"/>
      <c r="E84" s="336" t="s">
        <v>12420</v>
      </c>
      <c r="F84" s="360" t="s">
        <v>1845</v>
      </c>
      <c r="G84" s="336">
        <v>6201309013</v>
      </c>
      <c r="H84" s="332"/>
      <c r="I84" s="336" t="s">
        <v>12037</v>
      </c>
      <c r="J84" s="332">
        <v>1500</v>
      </c>
      <c r="K84" s="332">
        <v>1500</v>
      </c>
      <c r="L84" s="332">
        <f t="shared" si="7"/>
        <v>0</v>
      </c>
      <c r="M84" s="332">
        <v>1100</v>
      </c>
      <c r="N84" s="332">
        <v>1100</v>
      </c>
      <c r="O84" s="332">
        <f t="shared" si="8"/>
        <v>0</v>
      </c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</row>
    <row r="85" spans="1:26" ht="18" customHeight="1">
      <c r="A85" s="324">
        <v>44225</v>
      </c>
      <c r="B85" s="270">
        <v>432920321</v>
      </c>
      <c r="C85" s="270" t="s">
        <v>12038</v>
      </c>
      <c r="D85" s="438">
        <v>36204</v>
      </c>
      <c r="E85" s="334" t="s">
        <v>12421</v>
      </c>
      <c r="F85" s="357" t="s">
        <v>12039</v>
      </c>
      <c r="G85" s="334">
        <v>7004404580</v>
      </c>
      <c r="H85" s="270"/>
      <c r="I85" s="334" t="s">
        <v>12018</v>
      </c>
      <c r="J85" s="270">
        <v>5000</v>
      </c>
      <c r="K85" s="270">
        <f>2500+500</f>
        <v>3000</v>
      </c>
      <c r="L85" s="270">
        <f t="shared" si="7"/>
        <v>2000</v>
      </c>
      <c r="M85" s="270">
        <v>4100</v>
      </c>
      <c r="N85" s="270">
        <f>2000+300</f>
        <v>2300</v>
      </c>
      <c r="O85" s="270">
        <f t="shared" si="8"/>
        <v>1800</v>
      </c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</row>
    <row r="86" spans="1:26" ht="18" customHeight="1">
      <c r="A86" s="350">
        <v>44228</v>
      </c>
      <c r="B86" s="351"/>
      <c r="C86" s="351" t="s">
        <v>12040</v>
      </c>
      <c r="D86" s="444">
        <v>18804</v>
      </c>
      <c r="E86" s="358" t="s">
        <v>12422</v>
      </c>
      <c r="F86" s="351" t="s">
        <v>12041</v>
      </c>
      <c r="G86" s="358"/>
      <c r="H86" s="351"/>
      <c r="I86" s="358" t="s">
        <v>11985</v>
      </c>
      <c r="J86" s="351">
        <v>1700</v>
      </c>
      <c r="K86" s="351">
        <v>1700</v>
      </c>
      <c r="L86" s="351">
        <f t="shared" si="7"/>
        <v>0</v>
      </c>
      <c r="M86" s="351">
        <v>1400</v>
      </c>
      <c r="N86" s="270">
        <v>1400</v>
      </c>
      <c r="O86" s="270">
        <f t="shared" si="8"/>
        <v>0</v>
      </c>
      <c r="P86" s="270"/>
      <c r="Q86" s="270"/>
      <c r="R86" s="270"/>
      <c r="S86" s="270">
        <f>435*4+50</f>
        <v>1790</v>
      </c>
      <c r="T86" s="270"/>
      <c r="U86" s="270"/>
      <c r="V86" s="270"/>
      <c r="W86" s="270"/>
      <c r="X86" s="270"/>
      <c r="Y86" s="270"/>
      <c r="Z86" s="270"/>
    </row>
    <row r="87" spans="1:26" ht="18" customHeight="1">
      <c r="A87" s="324">
        <v>44243</v>
      </c>
      <c r="B87" s="270">
        <v>708049521</v>
      </c>
      <c r="C87" s="270" t="s">
        <v>12042</v>
      </c>
      <c r="D87" s="438">
        <v>36642</v>
      </c>
      <c r="E87" s="334" t="s">
        <v>12423</v>
      </c>
      <c r="F87" s="270" t="s">
        <v>12043</v>
      </c>
      <c r="G87" s="334"/>
      <c r="H87" s="270"/>
      <c r="I87" s="334" t="s">
        <v>12018</v>
      </c>
      <c r="J87" s="270">
        <v>5000</v>
      </c>
      <c r="K87" s="270">
        <f>2500+2500</f>
        <v>5000</v>
      </c>
      <c r="L87" s="270">
        <f t="shared" si="7"/>
        <v>0</v>
      </c>
      <c r="M87" s="270">
        <v>4100</v>
      </c>
      <c r="N87" s="270">
        <f>2000+300+1800</f>
        <v>4100</v>
      </c>
      <c r="O87" s="270">
        <f t="shared" si="8"/>
        <v>0</v>
      </c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</row>
    <row r="88" spans="1:26" ht="18" customHeight="1">
      <c r="A88" s="324">
        <v>44243</v>
      </c>
      <c r="B88" s="270">
        <v>714568121</v>
      </c>
      <c r="C88" s="270" t="s">
        <v>12044</v>
      </c>
      <c r="D88" s="438">
        <v>35942</v>
      </c>
      <c r="E88" s="334" t="s">
        <v>12424</v>
      </c>
      <c r="F88" s="270" t="s">
        <v>12045</v>
      </c>
      <c r="G88" s="334"/>
      <c r="H88" s="270"/>
      <c r="I88" s="334" t="s">
        <v>12018</v>
      </c>
      <c r="J88" s="270">
        <f>5000+400+750</f>
        <v>6150</v>
      </c>
      <c r="K88" s="270">
        <f>2500+2000+500</f>
        <v>5000</v>
      </c>
      <c r="L88" s="270">
        <f t="shared" si="7"/>
        <v>1150</v>
      </c>
      <c r="M88" s="270">
        <f>4100+300+400+750</f>
        <v>5550</v>
      </c>
      <c r="N88" s="270">
        <f>2000+300+2500+750</f>
        <v>5550</v>
      </c>
      <c r="O88" s="270">
        <f t="shared" si="8"/>
        <v>0</v>
      </c>
      <c r="P88" s="270">
        <v>9835566462</v>
      </c>
      <c r="Q88" s="270"/>
      <c r="R88" s="270"/>
      <c r="S88" s="270"/>
      <c r="T88" s="270"/>
      <c r="U88" s="270"/>
      <c r="V88" s="270"/>
      <c r="W88" s="270"/>
      <c r="X88" s="270"/>
      <c r="Y88" s="270"/>
      <c r="Z88" s="270"/>
    </row>
    <row r="89" spans="1:26" ht="18" customHeight="1">
      <c r="A89" s="367">
        <v>44244</v>
      </c>
      <c r="B89" s="368">
        <v>725349921</v>
      </c>
      <c r="C89" s="368" t="s">
        <v>12046</v>
      </c>
      <c r="D89" s="438">
        <v>32432</v>
      </c>
      <c r="E89" s="376" t="s">
        <v>12425</v>
      </c>
      <c r="F89" s="368" t="s">
        <v>8501</v>
      </c>
      <c r="G89" s="334"/>
      <c r="H89" s="270"/>
      <c r="I89" s="334">
        <v>2</v>
      </c>
      <c r="J89" s="270">
        <v>3500</v>
      </c>
      <c r="K89" s="270">
        <f>2100+1500</f>
        <v>3600</v>
      </c>
      <c r="L89" s="270">
        <f t="shared" si="7"/>
        <v>-100</v>
      </c>
      <c r="M89" s="270">
        <v>3100</v>
      </c>
      <c r="N89" s="270">
        <f>1600+1500</f>
        <v>3100</v>
      </c>
      <c r="O89" s="270">
        <f t="shared" si="8"/>
        <v>0</v>
      </c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</row>
    <row r="90" spans="1:26" ht="18" customHeight="1">
      <c r="A90" s="324">
        <v>44250</v>
      </c>
      <c r="B90" s="351"/>
      <c r="C90" s="351" t="s">
        <v>789</v>
      </c>
      <c r="D90" s="444">
        <v>23747</v>
      </c>
      <c r="E90" s="358" t="s">
        <v>12426</v>
      </c>
      <c r="F90" s="351"/>
      <c r="G90" s="358"/>
      <c r="H90" s="351"/>
      <c r="I90" s="358" t="s">
        <v>12047</v>
      </c>
      <c r="J90" s="351">
        <v>1900</v>
      </c>
      <c r="K90" s="351">
        <v>1900</v>
      </c>
      <c r="L90" s="351">
        <f t="shared" si="7"/>
        <v>0</v>
      </c>
      <c r="M90" s="351">
        <v>1400</v>
      </c>
      <c r="N90" s="351">
        <v>1400</v>
      </c>
      <c r="O90" s="351">
        <f t="shared" si="8"/>
        <v>0</v>
      </c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</row>
    <row r="91" spans="1:26" ht="18" customHeight="1">
      <c r="A91" s="324">
        <v>44251</v>
      </c>
      <c r="B91" s="389">
        <v>830927621</v>
      </c>
      <c r="C91" s="389" t="s">
        <v>12048</v>
      </c>
      <c r="D91" s="438">
        <v>33769</v>
      </c>
      <c r="E91" s="446" t="s">
        <v>12427</v>
      </c>
      <c r="F91" s="389" t="s">
        <v>12633</v>
      </c>
      <c r="G91" s="334"/>
      <c r="H91" s="270"/>
      <c r="I91" s="334" t="s">
        <v>12049</v>
      </c>
      <c r="J91" s="270">
        <f>3800+500+550</f>
        <v>4850</v>
      </c>
      <c r="K91" s="270">
        <f>2000+2300</f>
        <v>4300</v>
      </c>
      <c r="L91" s="270">
        <f t="shared" si="7"/>
        <v>550</v>
      </c>
      <c r="M91" s="270">
        <f>3400+400+550</f>
        <v>4350</v>
      </c>
      <c r="N91" s="270">
        <f>2000+300+1500+550</f>
        <v>4350</v>
      </c>
      <c r="O91" s="270">
        <f t="shared" si="8"/>
        <v>0</v>
      </c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</row>
    <row r="92" spans="1:26" ht="18" customHeight="1">
      <c r="A92" s="324">
        <v>44252</v>
      </c>
      <c r="B92" s="368">
        <v>862666821</v>
      </c>
      <c r="C92" s="368" t="s">
        <v>1708</v>
      </c>
      <c r="D92" s="438">
        <v>37274</v>
      </c>
      <c r="E92" s="376" t="s">
        <v>12428</v>
      </c>
      <c r="F92" s="368"/>
      <c r="G92" s="334"/>
      <c r="H92" s="270"/>
      <c r="I92" s="334" t="s">
        <v>12018</v>
      </c>
      <c r="J92" s="270">
        <v>5000</v>
      </c>
      <c r="K92" s="270">
        <f>2500+2500</f>
        <v>5000</v>
      </c>
      <c r="L92" s="270">
        <f t="shared" si="7"/>
        <v>0</v>
      </c>
      <c r="M92" s="270">
        <f>4100+300</f>
        <v>4400</v>
      </c>
      <c r="N92" s="270">
        <f>1600+300+2500</f>
        <v>4400</v>
      </c>
      <c r="O92" s="270">
        <f t="shared" si="8"/>
        <v>0</v>
      </c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</row>
    <row r="93" spans="1:26" ht="18" customHeight="1">
      <c r="A93" s="324">
        <v>44255</v>
      </c>
      <c r="B93" s="270">
        <v>892908021</v>
      </c>
      <c r="C93" s="270" t="s">
        <v>12050</v>
      </c>
      <c r="D93" s="438">
        <v>27030</v>
      </c>
      <c r="E93" s="334" t="s">
        <v>12429</v>
      </c>
      <c r="F93" s="270" t="s">
        <v>12051</v>
      </c>
      <c r="G93" s="334"/>
      <c r="H93" s="270"/>
      <c r="I93" s="334" t="s">
        <v>12052</v>
      </c>
      <c r="J93" s="270">
        <f>3500+300</f>
        <v>3800</v>
      </c>
      <c r="K93" s="270">
        <v>2000</v>
      </c>
      <c r="L93" s="270">
        <f t="shared" si="7"/>
        <v>1800</v>
      </c>
      <c r="M93" s="270">
        <f>3100+300</f>
        <v>3400</v>
      </c>
      <c r="N93" s="270">
        <v>1500</v>
      </c>
      <c r="O93" s="270">
        <f t="shared" si="8"/>
        <v>1900</v>
      </c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</row>
    <row r="94" spans="1:26" ht="18" customHeight="1">
      <c r="A94" s="324">
        <v>44269</v>
      </c>
      <c r="B94" s="270">
        <v>1104129821</v>
      </c>
      <c r="C94" s="368" t="s">
        <v>5310</v>
      </c>
      <c r="D94" s="438">
        <v>37340</v>
      </c>
      <c r="E94" s="376" t="s">
        <v>12430</v>
      </c>
      <c r="F94" s="368" t="s">
        <v>12053</v>
      </c>
      <c r="G94" s="334"/>
      <c r="H94" s="270"/>
      <c r="I94" s="334" t="s">
        <v>12018</v>
      </c>
      <c r="J94" s="270">
        <f>5000+500</f>
        <v>5500</v>
      </c>
      <c r="K94" s="270">
        <f>2500+3000</f>
        <v>5500</v>
      </c>
      <c r="L94" s="270">
        <f t="shared" si="7"/>
        <v>0</v>
      </c>
      <c r="M94" s="270">
        <f>4400+400</f>
        <v>4800</v>
      </c>
      <c r="N94" s="270">
        <f>2000+2800</f>
        <v>4800</v>
      </c>
      <c r="O94" s="270">
        <f t="shared" si="8"/>
        <v>0</v>
      </c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</row>
    <row r="95" spans="1:26" ht="18" customHeight="1">
      <c r="A95" s="329">
        <v>44288</v>
      </c>
      <c r="B95" s="332"/>
      <c r="C95" s="332" t="s">
        <v>12054</v>
      </c>
      <c r="D95" s="439">
        <v>20459</v>
      </c>
      <c r="E95" s="336" t="s">
        <v>12431</v>
      </c>
      <c r="F95" s="332" t="s">
        <v>8501</v>
      </c>
      <c r="G95" s="336"/>
      <c r="H95" s="332"/>
      <c r="I95" s="336" t="s">
        <v>11985</v>
      </c>
      <c r="J95" s="332">
        <v>2000</v>
      </c>
      <c r="K95" s="332">
        <v>2000</v>
      </c>
      <c r="L95" s="332">
        <f t="shared" si="7"/>
        <v>0</v>
      </c>
      <c r="M95" s="332">
        <v>1800</v>
      </c>
      <c r="N95" s="332">
        <v>1800</v>
      </c>
      <c r="O95" s="332">
        <f t="shared" si="8"/>
        <v>0</v>
      </c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</row>
    <row r="96" spans="1:26" ht="18" customHeight="1">
      <c r="A96" s="370"/>
      <c r="B96" s="371">
        <v>1480294421</v>
      </c>
      <c r="C96" s="371" t="s">
        <v>12055</v>
      </c>
      <c r="D96" s="816">
        <v>33284</v>
      </c>
      <c r="E96" s="372" t="s">
        <v>12432</v>
      </c>
      <c r="F96" s="371"/>
      <c r="G96" s="372"/>
      <c r="H96" s="371"/>
      <c r="I96" s="372" t="s">
        <v>12018</v>
      </c>
      <c r="J96" s="371">
        <v>5000</v>
      </c>
      <c r="K96" s="371">
        <v>2000</v>
      </c>
      <c r="L96" s="371">
        <f t="shared" si="7"/>
        <v>3000</v>
      </c>
      <c r="M96" s="371">
        <v>4400</v>
      </c>
      <c r="N96" s="371">
        <v>2000</v>
      </c>
      <c r="O96" s="371">
        <f t="shared" si="8"/>
        <v>2400</v>
      </c>
      <c r="P96" s="371" t="s">
        <v>12056</v>
      </c>
      <c r="Q96" s="371"/>
      <c r="R96" s="371"/>
      <c r="S96" s="371"/>
      <c r="T96" s="371"/>
      <c r="U96" s="371"/>
      <c r="V96" s="371"/>
      <c r="W96" s="371"/>
      <c r="X96" s="371"/>
      <c r="Y96" s="371"/>
      <c r="Z96" s="371"/>
    </row>
    <row r="97" spans="1:26" ht="18" customHeight="1">
      <c r="A97" s="324"/>
      <c r="B97" s="270"/>
      <c r="C97" s="270" t="s">
        <v>12057</v>
      </c>
      <c r="D97" s="438"/>
      <c r="E97" s="334" t="s">
        <v>12433</v>
      </c>
      <c r="F97" s="270"/>
      <c r="G97" s="334"/>
      <c r="H97" s="270"/>
      <c r="I97" s="334" t="s">
        <v>2692</v>
      </c>
      <c r="J97" s="270">
        <v>1600</v>
      </c>
      <c r="K97" s="270">
        <v>1600</v>
      </c>
      <c r="L97" s="270">
        <f t="shared" si="7"/>
        <v>0</v>
      </c>
      <c r="M97" s="270">
        <v>1200</v>
      </c>
      <c r="N97" s="270">
        <v>1200</v>
      </c>
      <c r="O97" s="270">
        <f t="shared" si="8"/>
        <v>0</v>
      </c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</row>
    <row r="98" spans="1:26" ht="18" customHeight="1">
      <c r="A98" s="324">
        <v>44300</v>
      </c>
      <c r="B98" s="270">
        <v>1505084721</v>
      </c>
      <c r="C98" s="368" t="s">
        <v>7153</v>
      </c>
      <c r="D98" s="438">
        <v>29221</v>
      </c>
      <c r="E98" s="376" t="s">
        <v>12434</v>
      </c>
      <c r="F98" s="368" t="s">
        <v>12043</v>
      </c>
      <c r="G98" s="334"/>
      <c r="H98" s="270"/>
      <c r="I98" s="334" t="s">
        <v>12018</v>
      </c>
      <c r="J98" s="270">
        <f>5000+400</f>
        <v>5400</v>
      </c>
      <c r="K98" s="270">
        <f>3000+2400</f>
        <v>5400</v>
      </c>
      <c r="L98" s="270">
        <f t="shared" si="7"/>
        <v>0</v>
      </c>
      <c r="M98" s="270">
        <f t="shared" ref="M98:M102" si="13">4400+400</f>
        <v>4800</v>
      </c>
      <c r="N98" s="270">
        <f t="shared" ref="N98:N100" si="14">2000+2800</f>
        <v>4800</v>
      </c>
      <c r="O98" s="270">
        <f t="shared" si="8"/>
        <v>0</v>
      </c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</row>
    <row r="99" spans="1:26" ht="18" customHeight="1">
      <c r="A99" s="324">
        <v>44354</v>
      </c>
      <c r="B99" s="368">
        <v>1753029121</v>
      </c>
      <c r="C99" s="368" t="s">
        <v>11752</v>
      </c>
      <c r="D99" s="438">
        <v>36007</v>
      </c>
      <c r="E99" s="376" t="s">
        <v>12435</v>
      </c>
      <c r="F99" s="368" t="s">
        <v>12058</v>
      </c>
      <c r="G99" s="334"/>
      <c r="H99" s="270"/>
      <c r="I99" s="334" t="s">
        <v>12018</v>
      </c>
      <c r="J99" s="270">
        <f>5000+500</f>
        <v>5500</v>
      </c>
      <c r="K99" s="270">
        <f>3000+2500</f>
        <v>5500</v>
      </c>
      <c r="L99" s="270">
        <f t="shared" si="7"/>
        <v>0</v>
      </c>
      <c r="M99" s="270">
        <f t="shared" si="13"/>
        <v>4800</v>
      </c>
      <c r="N99" s="270">
        <f t="shared" si="14"/>
        <v>4800</v>
      </c>
      <c r="O99" s="270">
        <f t="shared" si="8"/>
        <v>0</v>
      </c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</row>
    <row r="100" spans="1:26" ht="18" customHeight="1">
      <c r="A100" s="324">
        <v>44370</v>
      </c>
      <c r="B100" s="368">
        <v>1929779421</v>
      </c>
      <c r="C100" s="368" t="s">
        <v>12059</v>
      </c>
      <c r="D100" s="438">
        <v>36743</v>
      </c>
      <c r="E100" s="376" t="s">
        <v>12436</v>
      </c>
      <c r="F100" s="368"/>
      <c r="G100" s="334"/>
      <c r="H100" s="270"/>
      <c r="I100" s="334" t="s">
        <v>12018</v>
      </c>
      <c r="J100" s="270">
        <f>5000+600</f>
        <v>5600</v>
      </c>
      <c r="K100" s="270">
        <f>2500+3100</f>
        <v>5600</v>
      </c>
      <c r="L100" s="270">
        <f t="shared" si="7"/>
        <v>0</v>
      </c>
      <c r="M100" s="270">
        <f t="shared" si="13"/>
        <v>4800</v>
      </c>
      <c r="N100" s="270">
        <f t="shared" si="14"/>
        <v>4800</v>
      </c>
      <c r="O100" s="270">
        <f t="shared" si="8"/>
        <v>0</v>
      </c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</row>
    <row r="101" spans="1:26" ht="18" customHeight="1">
      <c r="A101" s="324">
        <v>44371</v>
      </c>
      <c r="B101" s="270">
        <v>1948596621</v>
      </c>
      <c r="C101" s="270" t="s">
        <v>12060</v>
      </c>
      <c r="D101" s="438">
        <v>35900</v>
      </c>
      <c r="E101" s="334" t="s">
        <v>12437</v>
      </c>
      <c r="F101" s="270"/>
      <c r="G101" s="334"/>
      <c r="H101" s="270"/>
      <c r="I101" s="334" t="s">
        <v>12018</v>
      </c>
      <c r="J101" s="270">
        <f>5000+500</f>
        <v>5500</v>
      </c>
      <c r="K101" s="270">
        <v>2400</v>
      </c>
      <c r="L101" s="270">
        <f t="shared" si="7"/>
        <v>3100</v>
      </c>
      <c r="M101" s="270">
        <f t="shared" si="13"/>
        <v>4800</v>
      </c>
      <c r="N101" s="270">
        <v>2000</v>
      </c>
      <c r="O101" s="270">
        <f t="shared" si="8"/>
        <v>2800</v>
      </c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</row>
    <row r="102" spans="1:26" ht="18" customHeight="1">
      <c r="A102" s="335"/>
      <c r="B102" s="368">
        <v>1972303421</v>
      </c>
      <c r="C102" s="368" t="s">
        <v>2031</v>
      </c>
      <c r="D102" s="438">
        <v>36825</v>
      </c>
      <c r="E102" s="376" t="s">
        <v>12438</v>
      </c>
      <c r="F102" s="368" t="s">
        <v>12058</v>
      </c>
      <c r="G102" s="334"/>
      <c r="H102" s="270"/>
      <c r="I102" s="334" t="s">
        <v>12018</v>
      </c>
      <c r="J102" s="270">
        <f>5000+400</f>
        <v>5400</v>
      </c>
      <c r="K102" s="270">
        <v>5000</v>
      </c>
      <c r="L102" s="270">
        <f t="shared" si="7"/>
        <v>400</v>
      </c>
      <c r="M102" s="270">
        <f t="shared" si="13"/>
        <v>4800</v>
      </c>
      <c r="N102" s="270">
        <f>2000+2800</f>
        <v>4800</v>
      </c>
      <c r="O102" s="270">
        <f t="shared" si="8"/>
        <v>0</v>
      </c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</row>
    <row r="103" spans="1:26" ht="18" customHeight="1">
      <c r="A103" s="335"/>
      <c r="B103" s="428"/>
      <c r="C103" s="428" t="s">
        <v>12061</v>
      </c>
      <c r="D103" s="438">
        <v>35346</v>
      </c>
      <c r="E103" s="445" t="s">
        <v>12383</v>
      </c>
      <c r="F103" s="368" t="s">
        <v>12058</v>
      </c>
      <c r="G103" s="334"/>
      <c r="H103" s="270"/>
      <c r="I103" s="334"/>
      <c r="J103" s="270"/>
      <c r="K103" s="270"/>
      <c r="L103" s="270">
        <f t="shared" si="7"/>
        <v>0</v>
      </c>
      <c r="M103" s="270"/>
      <c r="N103" s="270"/>
      <c r="O103" s="270">
        <f t="shared" si="8"/>
        <v>0</v>
      </c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</row>
    <row r="104" spans="1:26" ht="18" customHeight="1">
      <c r="A104" s="324">
        <v>44384</v>
      </c>
      <c r="B104" s="368"/>
      <c r="C104" s="368" t="s">
        <v>12062</v>
      </c>
      <c r="D104" s="438">
        <v>18056</v>
      </c>
      <c r="E104" s="376" t="s">
        <v>12439</v>
      </c>
      <c r="F104" s="368"/>
      <c r="G104" s="334"/>
      <c r="H104" s="270"/>
      <c r="I104" s="334" t="s">
        <v>11985</v>
      </c>
      <c r="J104" s="270">
        <v>2000</v>
      </c>
      <c r="K104" s="270">
        <v>2000</v>
      </c>
      <c r="L104" s="270">
        <f t="shared" si="7"/>
        <v>0</v>
      </c>
      <c r="M104" s="270">
        <v>1400</v>
      </c>
      <c r="N104" s="270">
        <v>1400</v>
      </c>
      <c r="O104" s="270">
        <f t="shared" si="8"/>
        <v>0</v>
      </c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</row>
    <row r="105" spans="1:26" ht="18" customHeight="1">
      <c r="A105" s="324">
        <v>44386</v>
      </c>
      <c r="B105" s="368"/>
      <c r="C105" s="368" t="s">
        <v>12063</v>
      </c>
      <c r="D105" s="438">
        <v>17770</v>
      </c>
      <c r="E105" s="376" t="s">
        <v>12440</v>
      </c>
      <c r="F105" s="368"/>
      <c r="G105" s="334"/>
      <c r="H105" s="270"/>
      <c r="I105" s="334" t="s">
        <v>11985</v>
      </c>
      <c r="J105" s="270">
        <v>2000</v>
      </c>
      <c r="K105" s="270">
        <v>2000</v>
      </c>
      <c r="L105" s="270">
        <f t="shared" si="7"/>
        <v>0</v>
      </c>
      <c r="M105" s="270">
        <v>1400</v>
      </c>
      <c r="N105" s="270">
        <v>1400</v>
      </c>
      <c r="O105" s="270">
        <f t="shared" si="8"/>
        <v>0</v>
      </c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</row>
    <row r="106" spans="1:26" ht="18" customHeight="1">
      <c r="A106" s="324">
        <v>44385</v>
      </c>
      <c r="B106" s="368"/>
      <c r="C106" s="368" t="s">
        <v>12064</v>
      </c>
      <c r="D106" s="438">
        <v>35013</v>
      </c>
      <c r="E106" s="376" t="s">
        <v>12441</v>
      </c>
      <c r="F106" s="368"/>
      <c r="G106" s="334" t="s">
        <v>12065</v>
      </c>
      <c r="H106" s="270"/>
      <c r="I106" s="334">
        <v>2</v>
      </c>
      <c r="J106" s="270">
        <f>3700+400</f>
        <v>4100</v>
      </c>
      <c r="K106" s="270">
        <f>2000+2100</f>
        <v>4100</v>
      </c>
      <c r="L106" s="270">
        <f t="shared" si="7"/>
        <v>0</v>
      </c>
      <c r="M106" s="270">
        <f>3100+400</f>
        <v>3500</v>
      </c>
      <c r="N106" s="270">
        <f>2000+1500</f>
        <v>3500</v>
      </c>
      <c r="O106" s="270">
        <f t="shared" si="8"/>
        <v>0</v>
      </c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</row>
    <row r="107" spans="1:26" ht="18" customHeight="1">
      <c r="A107" s="324">
        <v>44389</v>
      </c>
      <c r="B107" s="270">
        <v>2187460921</v>
      </c>
      <c r="C107" s="270" t="s">
        <v>5717</v>
      </c>
      <c r="D107" s="438">
        <v>35855</v>
      </c>
      <c r="E107" s="334" t="s">
        <v>12442</v>
      </c>
      <c r="F107" s="373" t="s">
        <v>12066</v>
      </c>
      <c r="G107" s="334"/>
      <c r="H107" s="270"/>
      <c r="I107" s="334" t="s">
        <v>12018</v>
      </c>
      <c r="J107" s="270">
        <f>5000+500</f>
        <v>5500</v>
      </c>
      <c r="K107" s="270">
        <f>2500+3000</f>
        <v>5500</v>
      </c>
      <c r="L107" s="270">
        <f t="shared" si="7"/>
        <v>0</v>
      </c>
      <c r="M107" s="270">
        <v>4400</v>
      </c>
      <c r="N107" s="270">
        <f>2000+2400</f>
        <v>4400</v>
      </c>
      <c r="O107" s="270">
        <f t="shared" si="8"/>
        <v>0</v>
      </c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</row>
    <row r="108" spans="1:26" ht="18" customHeight="1">
      <c r="A108" s="324">
        <v>44387</v>
      </c>
      <c r="B108" s="368"/>
      <c r="C108" s="368" t="s">
        <v>5629</v>
      </c>
      <c r="D108" s="438">
        <v>27760</v>
      </c>
      <c r="E108" s="376" t="s">
        <v>12383</v>
      </c>
      <c r="F108" s="368"/>
      <c r="G108" s="334"/>
      <c r="H108" s="270"/>
      <c r="I108" s="334" t="s">
        <v>11985</v>
      </c>
      <c r="J108" s="270">
        <v>2000</v>
      </c>
      <c r="K108" s="270">
        <v>2000</v>
      </c>
      <c r="L108" s="270">
        <f t="shared" si="7"/>
        <v>0</v>
      </c>
      <c r="M108" s="270">
        <v>1400</v>
      </c>
      <c r="N108" s="270">
        <v>1400</v>
      </c>
      <c r="O108" s="270">
        <f t="shared" si="8"/>
        <v>0</v>
      </c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</row>
    <row r="109" spans="1:26" ht="18" customHeight="1">
      <c r="A109" s="324">
        <v>44389</v>
      </c>
      <c r="B109" s="389">
        <v>2199487021</v>
      </c>
      <c r="C109" s="389" t="s">
        <v>12067</v>
      </c>
      <c r="D109" s="438">
        <v>34675</v>
      </c>
      <c r="E109" s="446" t="s">
        <v>12443</v>
      </c>
      <c r="F109" s="389" t="s">
        <v>8501</v>
      </c>
      <c r="G109" s="334"/>
      <c r="H109" s="270"/>
      <c r="I109" s="334" t="s">
        <v>12018</v>
      </c>
      <c r="J109" s="270">
        <v>5000</v>
      </c>
      <c r="K109" s="270">
        <f>2500+2500</f>
        <v>5000</v>
      </c>
      <c r="L109" s="270">
        <f t="shared" si="7"/>
        <v>0</v>
      </c>
      <c r="M109" s="270">
        <v>4400</v>
      </c>
      <c r="N109" s="270">
        <f>2500+1900</f>
        <v>4400</v>
      </c>
      <c r="O109" s="270">
        <f t="shared" si="8"/>
        <v>0</v>
      </c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</row>
    <row r="110" spans="1:26" ht="18" customHeight="1">
      <c r="A110" s="324">
        <v>44398</v>
      </c>
      <c r="B110" s="368"/>
      <c r="C110" s="368" t="s">
        <v>10804</v>
      </c>
      <c r="D110" s="438" t="s">
        <v>12068</v>
      </c>
      <c r="E110" s="376" t="s">
        <v>12444</v>
      </c>
      <c r="F110" s="368"/>
      <c r="G110" s="334"/>
      <c r="H110" s="270"/>
      <c r="I110" s="334" t="s">
        <v>11985</v>
      </c>
      <c r="J110" s="270">
        <v>4400</v>
      </c>
      <c r="K110" s="270">
        <v>4400</v>
      </c>
      <c r="L110" s="270">
        <f t="shared" si="7"/>
        <v>0</v>
      </c>
      <c r="M110" s="270">
        <v>3400</v>
      </c>
      <c r="N110" s="270">
        <v>3400</v>
      </c>
      <c r="O110" s="270">
        <f t="shared" si="8"/>
        <v>0</v>
      </c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</row>
    <row r="111" spans="1:26" ht="18" customHeight="1">
      <c r="A111" s="324">
        <v>44398</v>
      </c>
      <c r="B111" s="368"/>
      <c r="C111" s="368" t="s">
        <v>12069</v>
      </c>
      <c r="D111" s="438">
        <v>30368</v>
      </c>
      <c r="E111" s="376" t="s">
        <v>12445</v>
      </c>
      <c r="F111" s="374"/>
      <c r="G111" s="334"/>
      <c r="H111" s="270"/>
      <c r="I111" s="334" t="s">
        <v>11985</v>
      </c>
      <c r="J111" s="270">
        <v>3500</v>
      </c>
      <c r="K111" s="270">
        <v>3500</v>
      </c>
      <c r="L111" s="270">
        <f t="shared" si="7"/>
        <v>0</v>
      </c>
      <c r="M111" s="270">
        <v>2500</v>
      </c>
      <c r="N111" s="270">
        <v>2500</v>
      </c>
      <c r="O111" s="270">
        <f t="shared" si="8"/>
        <v>0</v>
      </c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</row>
    <row r="112" spans="1:26" ht="18" customHeight="1">
      <c r="A112" s="324">
        <v>44402</v>
      </c>
      <c r="B112" s="368"/>
      <c r="C112" s="368" t="s">
        <v>12070</v>
      </c>
      <c r="D112" s="438"/>
      <c r="E112" s="376" t="s">
        <v>12383</v>
      </c>
      <c r="F112" s="368"/>
      <c r="G112" s="334"/>
      <c r="H112" s="270"/>
      <c r="I112" s="334" t="s">
        <v>11985</v>
      </c>
      <c r="J112" s="270">
        <v>1850</v>
      </c>
      <c r="K112" s="270">
        <v>1850</v>
      </c>
      <c r="L112" s="270">
        <f t="shared" si="7"/>
        <v>0</v>
      </c>
      <c r="M112" s="270">
        <v>1500</v>
      </c>
      <c r="N112" s="270">
        <v>1500</v>
      </c>
      <c r="O112" s="270">
        <f t="shared" si="8"/>
        <v>0</v>
      </c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</row>
    <row r="113" spans="1:26" ht="18" customHeight="1">
      <c r="A113" s="324">
        <v>44402</v>
      </c>
      <c r="B113" s="368"/>
      <c r="C113" s="368" t="s">
        <v>12071</v>
      </c>
      <c r="D113" s="438">
        <v>26191</v>
      </c>
      <c r="E113" s="376" t="s">
        <v>12446</v>
      </c>
      <c r="F113" s="368"/>
      <c r="G113" s="334"/>
      <c r="H113" s="270"/>
      <c r="I113" s="334" t="s">
        <v>11985</v>
      </c>
      <c r="J113" s="270">
        <v>2900</v>
      </c>
      <c r="K113" s="270">
        <v>2900</v>
      </c>
      <c r="L113" s="270">
        <f t="shared" si="7"/>
        <v>0</v>
      </c>
      <c r="M113" s="270">
        <f>1100+1400</f>
        <v>2500</v>
      </c>
      <c r="N113" s="270">
        <v>2500</v>
      </c>
      <c r="O113" s="270">
        <f t="shared" si="8"/>
        <v>0</v>
      </c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</row>
    <row r="114" spans="1:26" ht="18" customHeight="1">
      <c r="A114" s="324">
        <v>44416</v>
      </c>
      <c r="B114" s="368"/>
      <c r="C114" s="368" t="s">
        <v>12072</v>
      </c>
      <c r="D114" s="438">
        <v>37044</v>
      </c>
      <c r="E114" s="376" t="s">
        <v>12447</v>
      </c>
      <c r="F114" s="368"/>
      <c r="G114" s="334"/>
      <c r="H114" s="270"/>
      <c r="I114" s="334" t="s">
        <v>12073</v>
      </c>
      <c r="J114" s="270">
        <v>4200</v>
      </c>
      <c r="K114" s="270">
        <f>2000+2200</f>
        <v>4200</v>
      </c>
      <c r="L114" s="270">
        <f t="shared" si="7"/>
        <v>0</v>
      </c>
      <c r="M114" s="270">
        <v>3800</v>
      </c>
      <c r="N114" s="270">
        <f>2000+1800</f>
        <v>3800</v>
      </c>
      <c r="O114" s="270">
        <f t="shared" si="8"/>
        <v>0</v>
      </c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</row>
    <row r="115" spans="1:26" ht="18" customHeight="1">
      <c r="A115" s="324">
        <v>44416</v>
      </c>
      <c r="B115" s="368"/>
      <c r="C115" s="368" t="s">
        <v>12074</v>
      </c>
      <c r="D115" s="438">
        <v>25586</v>
      </c>
      <c r="E115" s="376" t="s">
        <v>12448</v>
      </c>
      <c r="F115" s="368"/>
      <c r="G115" s="334"/>
      <c r="H115" s="270"/>
      <c r="I115" s="334" t="s">
        <v>11985</v>
      </c>
      <c r="J115" s="270"/>
      <c r="K115" s="270"/>
      <c r="L115" s="270">
        <f t="shared" si="7"/>
        <v>0</v>
      </c>
      <c r="M115" s="270">
        <v>3800</v>
      </c>
      <c r="N115" s="270">
        <v>3800</v>
      </c>
      <c r="O115" s="270">
        <f t="shared" si="8"/>
        <v>0</v>
      </c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</row>
    <row r="116" spans="1:26" ht="18" customHeight="1">
      <c r="A116" s="324">
        <v>44416</v>
      </c>
      <c r="B116" s="368"/>
      <c r="C116" s="368" t="s">
        <v>5958</v>
      </c>
      <c r="D116" s="438">
        <v>37787</v>
      </c>
      <c r="E116" s="376" t="s">
        <v>12449</v>
      </c>
      <c r="F116" s="368"/>
      <c r="G116" s="334"/>
      <c r="H116" s="270"/>
      <c r="I116" s="334" t="s">
        <v>12018</v>
      </c>
      <c r="J116" s="270">
        <v>5700</v>
      </c>
      <c r="K116" s="270">
        <f>2500+3200</f>
        <v>5700</v>
      </c>
      <c r="L116" s="270">
        <f t="shared" si="7"/>
        <v>0</v>
      </c>
      <c r="M116" s="270">
        <v>5100</v>
      </c>
      <c r="N116" s="270">
        <f>2500+2600</f>
        <v>5100</v>
      </c>
      <c r="O116" s="270">
        <f t="shared" si="8"/>
        <v>0</v>
      </c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</row>
    <row r="117" spans="1:26" ht="18" customHeight="1">
      <c r="A117" s="324">
        <v>44443</v>
      </c>
      <c r="B117" s="368">
        <v>2969875721</v>
      </c>
      <c r="C117" s="368" t="s">
        <v>12075</v>
      </c>
      <c r="D117" s="438">
        <v>36803</v>
      </c>
      <c r="E117" s="376" t="s">
        <v>12450</v>
      </c>
      <c r="F117" s="368" t="s">
        <v>12076</v>
      </c>
      <c r="G117" s="334"/>
      <c r="H117" s="270"/>
      <c r="I117" s="334" t="s">
        <v>12018</v>
      </c>
      <c r="J117" s="270">
        <v>5700</v>
      </c>
      <c r="K117" s="270">
        <f>2900+2800</f>
        <v>5700</v>
      </c>
      <c r="L117" s="270">
        <f t="shared" si="7"/>
        <v>0</v>
      </c>
      <c r="M117" s="270">
        <v>5000</v>
      </c>
      <c r="N117" s="270">
        <f>3500+1500</f>
        <v>5000</v>
      </c>
      <c r="O117" s="270">
        <f t="shared" si="8"/>
        <v>0</v>
      </c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</row>
    <row r="118" spans="1:26" ht="18" customHeight="1">
      <c r="A118" s="324">
        <v>44449</v>
      </c>
      <c r="B118" s="389">
        <v>3069356821</v>
      </c>
      <c r="C118" s="389" t="s">
        <v>12077</v>
      </c>
      <c r="D118" s="438">
        <v>37525</v>
      </c>
      <c r="E118" s="446" t="s">
        <v>12451</v>
      </c>
      <c r="F118" s="389"/>
      <c r="G118" s="141">
        <v>4068194822</v>
      </c>
      <c r="H118" s="270"/>
      <c r="I118" s="334" t="s">
        <v>12018</v>
      </c>
      <c r="J118" s="270">
        <v>5800</v>
      </c>
      <c r="K118" s="270">
        <f>3000+2800</f>
        <v>5800</v>
      </c>
      <c r="L118" s="270">
        <f t="shared" si="7"/>
        <v>0</v>
      </c>
      <c r="M118" s="270">
        <v>4800</v>
      </c>
      <c r="N118" s="270">
        <f>2500+2300</f>
        <v>4800</v>
      </c>
      <c r="O118" s="270">
        <f t="shared" si="8"/>
        <v>0</v>
      </c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</row>
    <row r="119" spans="1:26" ht="18" customHeight="1">
      <c r="A119" s="324">
        <v>44449</v>
      </c>
      <c r="B119" s="368">
        <v>3074618521</v>
      </c>
      <c r="C119" s="368" t="s">
        <v>12078</v>
      </c>
      <c r="D119" s="438">
        <v>33465</v>
      </c>
      <c r="E119" s="376" t="s">
        <v>12452</v>
      </c>
      <c r="F119" s="368" t="s">
        <v>12079</v>
      </c>
      <c r="G119" s="375">
        <v>4575101021</v>
      </c>
      <c r="H119" s="270"/>
      <c r="I119" s="334" t="s">
        <v>12018</v>
      </c>
      <c r="J119" s="270">
        <v>5700</v>
      </c>
      <c r="K119" s="270">
        <f>3000+2700</f>
        <v>5700</v>
      </c>
      <c r="L119" s="270">
        <f t="shared" si="7"/>
        <v>0</v>
      </c>
      <c r="M119" s="270">
        <v>5100</v>
      </c>
      <c r="N119" s="270">
        <f>2500+2600</f>
        <v>5100</v>
      </c>
      <c r="O119" s="270">
        <f t="shared" si="8"/>
        <v>0</v>
      </c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</row>
    <row r="120" spans="1:26" ht="18" customHeight="1">
      <c r="A120" s="324">
        <v>44454</v>
      </c>
      <c r="B120" s="368"/>
      <c r="C120" s="368" t="s">
        <v>12080</v>
      </c>
      <c r="D120" s="438">
        <v>28156</v>
      </c>
      <c r="E120" s="376" t="s">
        <v>12453</v>
      </c>
      <c r="F120" s="368"/>
      <c r="G120" s="334"/>
      <c r="H120" s="270"/>
      <c r="I120" s="334" t="s">
        <v>11985</v>
      </c>
      <c r="J120" s="270">
        <v>1700</v>
      </c>
      <c r="K120" s="270">
        <v>1700</v>
      </c>
      <c r="L120" s="270">
        <f t="shared" si="7"/>
        <v>0</v>
      </c>
      <c r="M120" s="270">
        <v>1200</v>
      </c>
      <c r="N120" s="270">
        <v>1200</v>
      </c>
      <c r="O120" s="270">
        <f t="shared" si="8"/>
        <v>0</v>
      </c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</row>
    <row r="121" spans="1:26" ht="18" customHeight="1">
      <c r="A121" s="324">
        <v>44455</v>
      </c>
      <c r="B121" s="389">
        <v>3156054221</v>
      </c>
      <c r="C121" s="389" t="s">
        <v>12081</v>
      </c>
      <c r="D121" s="438">
        <v>37198</v>
      </c>
      <c r="E121" s="446" t="s">
        <v>12454</v>
      </c>
      <c r="F121" s="389" t="s">
        <v>8501</v>
      </c>
      <c r="G121" s="391">
        <v>1606643422</v>
      </c>
      <c r="H121" s="270"/>
      <c r="I121" s="334" t="s">
        <v>12018</v>
      </c>
      <c r="J121" s="270">
        <v>5700</v>
      </c>
      <c r="K121" s="270">
        <f>2500+3200</f>
        <v>5700</v>
      </c>
      <c r="L121" s="270">
        <f t="shared" si="7"/>
        <v>0</v>
      </c>
      <c r="M121" s="270">
        <v>4800</v>
      </c>
      <c r="N121" s="270">
        <f>2500+2300</f>
        <v>4800</v>
      </c>
      <c r="O121" s="270">
        <f t="shared" si="8"/>
        <v>0</v>
      </c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</row>
    <row r="122" spans="1:26" ht="18" customHeight="1">
      <c r="A122" s="324">
        <v>44457</v>
      </c>
      <c r="B122" s="389">
        <v>3188289721</v>
      </c>
      <c r="C122" s="389" t="s">
        <v>6116</v>
      </c>
      <c r="D122" s="438">
        <v>37824</v>
      </c>
      <c r="E122" s="446" t="s">
        <v>12455</v>
      </c>
      <c r="F122" s="389" t="s">
        <v>8501</v>
      </c>
      <c r="G122" s="334"/>
      <c r="H122" s="270"/>
      <c r="I122" s="334" t="s">
        <v>12018</v>
      </c>
      <c r="J122" s="270">
        <v>5700</v>
      </c>
      <c r="K122" s="270">
        <f>3000+2700</f>
        <v>5700</v>
      </c>
      <c r="L122" s="270">
        <f t="shared" si="7"/>
        <v>0</v>
      </c>
      <c r="M122" s="270">
        <v>4800</v>
      </c>
      <c r="N122" s="270">
        <f>2500+2300</f>
        <v>4800</v>
      </c>
      <c r="O122" s="270">
        <f t="shared" si="8"/>
        <v>0</v>
      </c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</row>
    <row r="123" spans="1:26" ht="18" customHeight="1">
      <c r="A123" s="367">
        <v>44457</v>
      </c>
      <c r="B123" s="368" t="s">
        <v>12082</v>
      </c>
      <c r="C123" s="368" t="s">
        <v>12083</v>
      </c>
      <c r="D123" s="438">
        <v>29707</v>
      </c>
      <c r="E123" s="376" t="s">
        <v>12456</v>
      </c>
      <c r="F123" s="368"/>
      <c r="G123" s="334"/>
      <c r="H123" s="270"/>
      <c r="I123" s="334" t="s">
        <v>12084</v>
      </c>
      <c r="J123" s="270">
        <v>2000</v>
      </c>
      <c r="K123" s="270">
        <f>1500+500</f>
        <v>2000</v>
      </c>
      <c r="L123" s="270">
        <f t="shared" si="7"/>
        <v>0</v>
      </c>
      <c r="M123" s="270">
        <v>1500</v>
      </c>
      <c r="N123" s="270">
        <v>1500</v>
      </c>
      <c r="O123" s="270">
        <f t="shared" si="8"/>
        <v>0</v>
      </c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</row>
    <row r="124" spans="1:26" ht="18" customHeight="1">
      <c r="A124" s="324">
        <v>44462</v>
      </c>
      <c r="B124" s="368">
        <v>3336165421</v>
      </c>
      <c r="C124" s="368" t="s">
        <v>7549</v>
      </c>
      <c r="D124" s="438">
        <v>31070</v>
      </c>
      <c r="E124" s="376" t="s">
        <v>12457</v>
      </c>
      <c r="F124" s="368" t="s">
        <v>12076</v>
      </c>
      <c r="G124" s="334"/>
      <c r="H124" s="270"/>
      <c r="I124" s="334" t="s">
        <v>12085</v>
      </c>
      <c r="J124" s="270">
        <v>4500</v>
      </c>
      <c r="K124" s="270">
        <f>2500+2000</f>
        <v>4500</v>
      </c>
      <c r="L124" s="270">
        <f t="shared" si="7"/>
        <v>0</v>
      </c>
      <c r="M124" s="270">
        <v>3900</v>
      </c>
      <c r="N124" s="270">
        <f>2000+1900</f>
        <v>3900</v>
      </c>
      <c r="O124" s="270">
        <f t="shared" si="8"/>
        <v>0</v>
      </c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</row>
    <row r="125" spans="1:26" ht="18" customHeight="1">
      <c r="A125" s="324">
        <v>44462</v>
      </c>
      <c r="B125" s="389">
        <v>3277993021</v>
      </c>
      <c r="C125" s="389" t="s">
        <v>12086</v>
      </c>
      <c r="D125" s="438">
        <v>44462</v>
      </c>
      <c r="E125" s="446" t="s">
        <v>12458</v>
      </c>
      <c r="F125" s="389"/>
      <c r="G125" s="141">
        <v>661382522</v>
      </c>
      <c r="H125" s="270"/>
      <c r="I125" s="334" t="s">
        <v>12018</v>
      </c>
      <c r="J125" s="270">
        <f>5500+100</f>
        <v>5600</v>
      </c>
      <c r="K125" s="270">
        <f>3000+2600</f>
        <v>5600</v>
      </c>
      <c r="L125" s="270">
        <f t="shared" si="7"/>
        <v>0</v>
      </c>
      <c r="M125" s="270">
        <v>5100</v>
      </c>
      <c r="N125" s="270">
        <f>2500+2600</f>
        <v>5100</v>
      </c>
      <c r="O125" s="270">
        <f t="shared" si="8"/>
        <v>0</v>
      </c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</row>
    <row r="126" spans="1:26" ht="18" customHeight="1">
      <c r="A126" s="335"/>
      <c r="B126" s="368"/>
      <c r="C126" s="368" t="s">
        <v>12087</v>
      </c>
      <c r="D126" s="438">
        <v>20475</v>
      </c>
      <c r="E126" s="376" t="s">
        <v>12459</v>
      </c>
      <c r="F126" s="368" t="s">
        <v>8501</v>
      </c>
      <c r="G126" s="334"/>
      <c r="H126" s="270"/>
      <c r="I126" s="334" t="s">
        <v>11985</v>
      </c>
      <c r="J126" s="270">
        <v>2000</v>
      </c>
      <c r="K126" s="270">
        <v>2000</v>
      </c>
      <c r="L126" s="270">
        <f t="shared" si="7"/>
        <v>0</v>
      </c>
      <c r="M126" s="270">
        <v>1300</v>
      </c>
      <c r="N126" s="270">
        <v>1300</v>
      </c>
      <c r="O126" s="270">
        <f t="shared" si="8"/>
        <v>0</v>
      </c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</row>
    <row r="127" spans="1:26" ht="18" customHeight="1">
      <c r="A127" s="324">
        <v>44474</v>
      </c>
      <c r="B127" s="389">
        <v>3443911421</v>
      </c>
      <c r="C127" s="389" t="s">
        <v>12088</v>
      </c>
      <c r="D127" s="438">
        <v>37817</v>
      </c>
      <c r="E127" s="446" t="s">
        <v>12460</v>
      </c>
      <c r="F127" s="368" t="s">
        <v>8501</v>
      </c>
      <c r="G127" s="334">
        <v>1602015922</v>
      </c>
      <c r="H127" s="270"/>
      <c r="I127" s="334" t="s">
        <v>12018</v>
      </c>
      <c r="J127" s="270">
        <v>5500</v>
      </c>
      <c r="K127" s="270">
        <f>2500+3000</f>
        <v>5500</v>
      </c>
      <c r="L127" s="270">
        <f t="shared" si="7"/>
        <v>0</v>
      </c>
      <c r="M127" s="270">
        <v>4800</v>
      </c>
      <c r="N127" s="270">
        <f>2500+2300</f>
        <v>4800</v>
      </c>
      <c r="O127" s="270">
        <f t="shared" si="8"/>
        <v>0</v>
      </c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</row>
    <row r="128" spans="1:26" ht="18" customHeight="1">
      <c r="A128" s="324">
        <v>44479</v>
      </c>
      <c r="B128" s="368">
        <v>3518415621</v>
      </c>
      <c r="C128" s="368" t="s">
        <v>12089</v>
      </c>
      <c r="D128" s="438">
        <v>34609</v>
      </c>
      <c r="E128" s="376" t="s">
        <v>12461</v>
      </c>
      <c r="F128" s="368" t="s">
        <v>12076</v>
      </c>
      <c r="G128" s="334"/>
      <c r="H128" s="270"/>
      <c r="I128" s="334" t="s">
        <v>12018</v>
      </c>
      <c r="J128" s="270">
        <v>5500</v>
      </c>
      <c r="K128" s="270">
        <f>3000+2500</f>
        <v>5500</v>
      </c>
      <c r="L128" s="270">
        <f t="shared" si="7"/>
        <v>0</v>
      </c>
      <c r="M128" s="270">
        <v>5100</v>
      </c>
      <c r="N128" s="270">
        <f t="shared" ref="N128:N129" si="15">2500+2600</f>
        <v>5100</v>
      </c>
      <c r="O128" s="270">
        <f t="shared" si="8"/>
        <v>0</v>
      </c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</row>
    <row r="129" spans="1:26" ht="18" customHeight="1">
      <c r="A129" s="324">
        <v>44483</v>
      </c>
      <c r="B129" s="368">
        <v>3572358621</v>
      </c>
      <c r="C129" s="368" t="s">
        <v>12090</v>
      </c>
      <c r="D129" s="438">
        <v>37803</v>
      </c>
      <c r="E129" s="376" t="s">
        <v>12462</v>
      </c>
      <c r="F129" s="368" t="s">
        <v>12076</v>
      </c>
      <c r="G129" s="334"/>
      <c r="H129" s="270"/>
      <c r="I129" s="334" t="s">
        <v>12018</v>
      </c>
      <c r="J129" s="270">
        <v>5800</v>
      </c>
      <c r="K129" s="270">
        <f>3000+2800</f>
        <v>5800</v>
      </c>
      <c r="L129" s="270">
        <f t="shared" si="7"/>
        <v>0</v>
      </c>
      <c r="M129" s="270">
        <v>5100</v>
      </c>
      <c r="N129" s="270">
        <f t="shared" si="15"/>
        <v>5100</v>
      </c>
      <c r="O129" s="270">
        <f t="shared" si="8"/>
        <v>0</v>
      </c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</row>
    <row r="130" spans="1:26" ht="18" customHeight="1">
      <c r="A130" s="324">
        <v>44493</v>
      </c>
      <c r="B130" s="368">
        <v>3685956321</v>
      </c>
      <c r="C130" s="368" t="s">
        <v>9323</v>
      </c>
      <c r="D130" s="438">
        <v>25623</v>
      </c>
      <c r="E130" s="376" t="s">
        <v>12463</v>
      </c>
      <c r="F130" s="368" t="s">
        <v>12076</v>
      </c>
      <c r="G130" s="334"/>
      <c r="H130" s="270"/>
      <c r="I130" s="334" t="s">
        <v>12018</v>
      </c>
      <c r="J130" s="270">
        <v>5800</v>
      </c>
      <c r="K130" s="270">
        <f t="shared" ref="K130:K132" si="16">3000+2800</f>
        <v>5800</v>
      </c>
      <c r="L130" s="270">
        <f t="shared" si="7"/>
        <v>0</v>
      </c>
      <c r="M130" s="270">
        <v>5300</v>
      </c>
      <c r="N130" s="270">
        <f t="shared" ref="N130:N131" si="17">3000+2300</f>
        <v>5300</v>
      </c>
      <c r="O130" s="270">
        <f t="shared" si="8"/>
        <v>0</v>
      </c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</row>
    <row r="131" spans="1:26" ht="18" customHeight="1">
      <c r="A131" s="324">
        <v>44493</v>
      </c>
      <c r="B131" s="368">
        <v>3686003321</v>
      </c>
      <c r="C131" s="368" t="s">
        <v>12091</v>
      </c>
      <c r="D131" s="438">
        <v>25625</v>
      </c>
      <c r="E131" s="376" t="s">
        <v>12464</v>
      </c>
      <c r="F131" s="368" t="s">
        <v>12076</v>
      </c>
      <c r="G131" s="334"/>
      <c r="H131" s="270"/>
      <c r="I131" s="334" t="s">
        <v>12018</v>
      </c>
      <c r="J131" s="270">
        <v>5800</v>
      </c>
      <c r="K131" s="270">
        <f t="shared" si="16"/>
        <v>5800</v>
      </c>
      <c r="L131" s="270">
        <f t="shared" si="7"/>
        <v>0</v>
      </c>
      <c r="M131" s="270">
        <v>5300</v>
      </c>
      <c r="N131" s="270">
        <f t="shared" si="17"/>
        <v>5300</v>
      </c>
      <c r="O131" s="270">
        <f t="shared" si="8"/>
        <v>0</v>
      </c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</row>
    <row r="132" spans="1:26" ht="18" customHeight="1">
      <c r="A132" s="324">
        <v>44518</v>
      </c>
      <c r="B132" s="368">
        <v>4014981421</v>
      </c>
      <c r="C132" s="368" t="s">
        <v>12092</v>
      </c>
      <c r="D132" s="438">
        <v>30628</v>
      </c>
      <c r="E132" s="376" t="s">
        <v>12465</v>
      </c>
      <c r="F132" s="368" t="s">
        <v>12093</v>
      </c>
      <c r="G132" s="334"/>
      <c r="H132" s="270"/>
      <c r="I132" s="334" t="s">
        <v>12018</v>
      </c>
      <c r="J132" s="270">
        <f>5500+300</f>
        <v>5800</v>
      </c>
      <c r="K132" s="270">
        <f t="shared" si="16"/>
        <v>5800</v>
      </c>
      <c r="L132" s="270">
        <f t="shared" si="7"/>
        <v>0</v>
      </c>
      <c r="M132" s="270">
        <f>4800+300</f>
        <v>5100</v>
      </c>
      <c r="N132" s="270">
        <f>2500+2600</f>
        <v>5100</v>
      </c>
      <c r="O132" s="270">
        <f t="shared" si="8"/>
        <v>0</v>
      </c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</row>
    <row r="133" spans="1:26" ht="18" customHeight="1">
      <c r="A133" s="324">
        <v>44522</v>
      </c>
      <c r="B133" s="368">
        <v>3915462621</v>
      </c>
      <c r="C133" s="368" t="s">
        <v>12094</v>
      </c>
      <c r="D133" s="438">
        <v>34346</v>
      </c>
      <c r="E133" s="376" t="s">
        <v>12466</v>
      </c>
      <c r="F133" s="368" t="s">
        <v>12076</v>
      </c>
      <c r="G133" s="334"/>
      <c r="H133" s="270"/>
      <c r="I133" s="334" t="s">
        <v>12018</v>
      </c>
      <c r="J133" s="270">
        <f>5500</f>
        <v>5500</v>
      </c>
      <c r="K133" s="270">
        <f>3000+2500</f>
        <v>5500</v>
      </c>
      <c r="L133" s="270">
        <f t="shared" si="7"/>
        <v>0</v>
      </c>
      <c r="M133" s="270">
        <f>4800</f>
        <v>4800</v>
      </c>
      <c r="N133" s="270">
        <f>2500+2300</f>
        <v>4800</v>
      </c>
      <c r="O133" s="270">
        <f t="shared" si="8"/>
        <v>0</v>
      </c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</row>
    <row r="134" spans="1:26" ht="18" customHeight="1">
      <c r="A134" s="335"/>
      <c r="B134" s="389">
        <v>4282754721</v>
      </c>
      <c r="C134" s="389" t="s">
        <v>12095</v>
      </c>
      <c r="D134" s="438">
        <v>27549</v>
      </c>
      <c r="E134" s="446" t="s">
        <v>12467</v>
      </c>
      <c r="F134" s="368" t="s">
        <v>12624</v>
      </c>
      <c r="G134" s="334" t="s">
        <v>3544</v>
      </c>
      <c r="H134" s="270"/>
      <c r="I134" s="334" t="s">
        <v>11985</v>
      </c>
      <c r="J134" s="270">
        <v>3800</v>
      </c>
      <c r="K134" s="270">
        <v>3800</v>
      </c>
      <c r="L134" s="270">
        <f t="shared" si="7"/>
        <v>0</v>
      </c>
      <c r="M134" s="270">
        <v>3000</v>
      </c>
      <c r="N134" s="270">
        <v>3000</v>
      </c>
      <c r="O134" s="270">
        <f t="shared" si="8"/>
        <v>0</v>
      </c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</row>
    <row r="135" spans="1:26" ht="18" customHeight="1">
      <c r="A135" s="335"/>
      <c r="B135" s="368"/>
      <c r="C135" s="368" t="s">
        <v>2080</v>
      </c>
      <c r="D135" s="438"/>
      <c r="E135" s="376" t="s">
        <v>12360</v>
      </c>
      <c r="F135" s="368"/>
      <c r="G135" s="376"/>
      <c r="H135" s="270"/>
      <c r="I135" s="334" t="s">
        <v>12096</v>
      </c>
      <c r="J135" s="270">
        <v>1800</v>
      </c>
      <c r="K135" s="270">
        <v>1800</v>
      </c>
      <c r="L135" s="270">
        <f t="shared" si="7"/>
        <v>0</v>
      </c>
      <c r="M135" s="270">
        <v>1200</v>
      </c>
      <c r="N135" s="270">
        <v>1200</v>
      </c>
      <c r="O135" s="270">
        <f t="shared" si="8"/>
        <v>0</v>
      </c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</row>
    <row r="136" spans="1:26" ht="18" customHeight="1">
      <c r="A136" s="335" t="s">
        <v>12097</v>
      </c>
      <c r="B136" s="389">
        <v>4327748521</v>
      </c>
      <c r="C136" s="389" t="s">
        <v>6298</v>
      </c>
      <c r="D136" s="438">
        <v>37888</v>
      </c>
      <c r="E136" s="446" t="s">
        <v>12468</v>
      </c>
      <c r="F136" s="368" t="s">
        <v>8501</v>
      </c>
      <c r="G136" s="334"/>
      <c r="H136" s="270"/>
      <c r="I136" s="334" t="s">
        <v>12018</v>
      </c>
      <c r="J136" s="270">
        <v>5500</v>
      </c>
      <c r="K136" s="270">
        <f t="shared" ref="K136:K137" si="18">3000+2500</f>
        <v>5500</v>
      </c>
      <c r="L136" s="270">
        <f t="shared" si="7"/>
        <v>0</v>
      </c>
      <c r="M136" s="270">
        <v>4800</v>
      </c>
      <c r="N136" s="270">
        <f t="shared" ref="N136:N137" si="19">2500+2300</f>
        <v>4800</v>
      </c>
      <c r="O136" s="270">
        <f t="shared" si="8"/>
        <v>0</v>
      </c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</row>
    <row r="137" spans="1:26" ht="18" customHeight="1">
      <c r="A137" s="324">
        <v>44544</v>
      </c>
      <c r="B137" s="389">
        <v>4361447321</v>
      </c>
      <c r="C137" s="389" t="s">
        <v>12098</v>
      </c>
      <c r="D137" s="438">
        <v>37964</v>
      </c>
      <c r="E137" s="446" t="s">
        <v>12469</v>
      </c>
      <c r="F137" s="368" t="s">
        <v>8501</v>
      </c>
      <c r="G137" s="334"/>
      <c r="H137" s="270"/>
      <c r="I137" s="334" t="s">
        <v>12018</v>
      </c>
      <c r="J137" s="270">
        <v>5500</v>
      </c>
      <c r="K137" s="270">
        <f t="shared" si="18"/>
        <v>5500</v>
      </c>
      <c r="L137" s="270">
        <f t="shared" si="7"/>
        <v>0</v>
      </c>
      <c r="M137" s="270">
        <v>4800</v>
      </c>
      <c r="N137" s="270">
        <f t="shared" si="19"/>
        <v>4800</v>
      </c>
      <c r="O137" s="270">
        <f t="shared" si="8"/>
        <v>0</v>
      </c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</row>
    <row r="138" spans="1:26" ht="18" customHeight="1">
      <c r="A138" s="335"/>
      <c r="B138" s="368"/>
      <c r="C138" s="368" t="s">
        <v>12099</v>
      </c>
      <c r="D138" s="438"/>
      <c r="E138" s="376" t="s">
        <v>12470</v>
      </c>
      <c r="F138" s="368" t="s">
        <v>12100</v>
      </c>
      <c r="G138" s="376"/>
      <c r="H138" s="270"/>
      <c r="I138" s="334"/>
      <c r="J138" s="270">
        <v>4200</v>
      </c>
      <c r="K138" s="270">
        <v>4200</v>
      </c>
      <c r="L138" s="270">
        <f t="shared" si="7"/>
        <v>0</v>
      </c>
      <c r="M138" s="270">
        <v>3700</v>
      </c>
      <c r="N138" s="270">
        <v>3700</v>
      </c>
      <c r="O138" s="270">
        <f t="shared" si="8"/>
        <v>0</v>
      </c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</row>
    <row r="139" spans="1:26" ht="18" customHeight="1">
      <c r="A139" s="335"/>
      <c r="B139" s="377"/>
      <c r="C139" s="377" t="s">
        <v>12101</v>
      </c>
      <c r="D139" s="438">
        <v>23540</v>
      </c>
      <c r="E139" s="378" t="s">
        <v>12471</v>
      </c>
      <c r="F139" s="377" t="s">
        <v>12102</v>
      </c>
      <c r="G139" s="378"/>
      <c r="H139" s="270"/>
      <c r="I139" s="334" t="s">
        <v>12085</v>
      </c>
      <c r="J139" s="270">
        <v>4200</v>
      </c>
      <c r="K139" s="270">
        <f>2500+1700</f>
        <v>4200</v>
      </c>
      <c r="L139" s="270">
        <f t="shared" si="7"/>
        <v>0</v>
      </c>
      <c r="M139" s="270">
        <v>3700</v>
      </c>
      <c r="N139" s="270">
        <f>2500+1200</f>
        <v>3700</v>
      </c>
      <c r="O139" s="270">
        <f t="shared" si="8"/>
        <v>0</v>
      </c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</row>
    <row r="140" spans="1:26" ht="18" customHeight="1">
      <c r="A140" s="335"/>
      <c r="B140" s="368"/>
      <c r="C140" s="368" t="s">
        <v>12103</v>
      </c>
      <c r="D140" s="438">
        <v>18813</v>
      </c>
      <c r="E140" s="376" t="s">
        <v>12472</v>
      </c>
      <c r="F140" s="368" t="s">
        <v>8501</v>
      </c>
      <c r="G140" s="376"/>
      <c r="H140" s="270"/>
      <c r="I140" s="334" t="s">
        <v>12027</v>
      </c>
      <c r="J140" s="270">
        <v>1900</v>
      </c>
      <c r="K140" s="270">
        <v>1900</v>
      </c>
      <c r="L140" s="270">
        <f t="shared" si="7"/>
        <v>0</v>
      </c>
      <c r="M140" s="270">
        <v>1400</v>
      </c>
      <c r="N140" s="270">
        <v>1400</v>
      </c>
      <c r="O140" s="270">
        <f t="shared" si="8"/>
        <v>0</v>
      </c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</row>
    <row r="141" spans="1:26" ht="18" customHeight="1">
      <c r="A141" s="324">
        <v>44599</v>
      </c>
      <c r="B141" s="368"/>
      <c r="C141" s="368" t="s">
        <v>12104</v>
      </c>
      <c r="D141" s="438">
        <v>23747</v>
      </c>
      <c r="E141" s="376" t="s">
        <v>12473</v>
      </c>
      <c r="F141" s="368" t="s">
        <v>8501</v>
      </c>
      <c r="G141" s="334"/>
      <c r="H141" s="270"/>
      <c r="I141" s="334" t="s">
        <v>12027</v>
      </c>
      <c r="J141" s="270">
        <v>1500</v>
      </c>
      <c r="K141" s="270">
        <v>1500</v>
      </c>
      <c r="L141" s="270">
        <f t="shared" si="7"/>
        <v>0</v>
      </c>
      <c r="M141" s="270">
        <v>1200</v>
      </c>
      <c r="N141" s="270">
        <v>1200</v>
      </c>
      <c r="O141" s="270">
        <f t="shared" si="8"/>
        <v>0</v>
      </c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</row>
    <row r="142" spans="1:26" ht="18" customHeight="1">
      <c r="A142" s="335"/>
      <c r="B142" s="368"/>
      <c r="C142" s="368" t="s">
        <v>12105</v>
      </c>
      <c r="D142" s="438">
        <v>30822</v>
      </c>
      <c r="E142" s="376" t="s">
        <v>12474</v>
      </c>
      <c r="F142" s="368" t="s">
        <v>8501</v>
      </c>
      <c r="G142" s="334"/>
      <c r="H142" s="270"/>
      <c r="I142" s="334" t="s">
        <v>11985</v>
      </c>
      <c r="J142" s="270">
        <v>1900</v>
      </c>
      <c r="K142" s="270">
        <v>1900</v>
      </c>
      <c r="L142" s="270">
        <f t="shared" si="7"/>
        <v>0</v>
      </c>
      <c r="M142" s="270">
        <v>1300</v>
      </c>
      <c r="N142" s="270">
        <v>1300</v>
      </c>
      <c r="O142" s="270">
        <f t="shared" si="8"/>
        <v>0</v>
      </c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</row>
    <row r="143" spans="1:26" ht="18" customHeight="1">
      <c r="A143" s="335"/>
      <c r="B143" s="389">
        <v>729478722</v>
      </c>
      <c r="C143" s="389" t="s">
        <v>6955</v>
      </c>
      <c r="D143" s="438">
        <v>30176</v>
      </c>
      <c r="E143" s="446" t="s">
        <v>12475</v>
      </c>
      <c r="F143" s="368" t="s">
        <v>8501</v>
      </c>
      <c r="G143" s="334"/>
      <c r="H143" s="270"/>
      <c r="I143" s="334" t="s">
        <v>12106</v>
      </c>
      <c r="J143" s="270">
        <f>1800+500</f>
        <v>2300</v>
      </c>
      <c r="K143" s="270">
        <v>2300</v>
      </c>
      <c r="L143" s="270">
        <f t="shared" si="7"/>
        <v>0</v>
      </c>
      <c r="M143" s="270">
        <f>1300+400</f>
        <v>1700</v>
      </c>
      <c r="N143" s="270">
        <v>1700</v>
      </c>
      <c r="O143" s="270">
        <f t="shared" si="8"/>
        <v>0</v>
      </c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</row>
    <row r="144" spans="1:26" ht="18" customHeight="1">
      <c r="A144" s="324">
        <v>44605</v>
      </c>
      <c r="B144" s="389">
        <v>639494122</v>
      </c>
      <c r="C144" s="389" t="s">
        <v>12107</v>
      </c>
      <c r="D144" s="438">
        <v>33732</v>
      </c>
      <c r="E144" s="446" t="s">
        <v>12476</v>
      </c>
      <c r="F144" s="368" t="s">
        <v>8501</v>
      </c>
      <c r="G144" s="334"/>
      <c r="H144" s="270"/>
      <c r="I144" s="334" t="s">
        <v>7411</v>
      </c>
      <c r="J144" s="270">
        <v>5500</v>
      </c>
      <c r="K144" s="270">
        <v>4000</v>
      </c>
      <c r="L144" s="270">
        <f>J144-K144-1500</f>
        <v>0</v>
      </c>
      <c r="M144" s="270">
        <v>4800</v>
      </c>
      <c r="N144" s="270">
        <f>2500+2300</f>
        <v>4800</v>
      </c>
      <c r="O144" s="270">
        <f t="shared" si="8"/>
        <v>0</v>
      </c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</row>
    <row r="145" spans="1:26" ht="18" customHeight="1">
      <c r="A145" s="324">
        <v>44613</v>
      </c>
      <c r="B145" s="270">
        <v>736550822</v>
      </c>
      <c r="C145" s="270" t="s">
        <v>6921</v>
      </c>
      <c r="D145" s="438">
        <v>35549</v>
      </c>
      <c r="E145" s="334" t="s">
        <v>12477</v>
      </c>
      <c r="F145" s="270" t="s">
        <v>12862</v>
      </c>
      <c r="G145" s="334">
        <v>8336027836</v>
      </c>
      <c r="H145" s="270"/>
      <c r="I145" s="334" t="s">
        <v>7411</v>
      </c>
      <c r="J145" s="270">
        <v>5500</v>
      </c>
      <c r="K145" s="270">
        <v>5500</v>
      </c>
      <c r="L145" s="270">
        <f t="shared" si="7"/>
        <v>0</v>
      </c>
      <c r="M145" s="270">
        <v>4800</v>
      </c>
      <c r="N145" s="270">
        <f>2500+2300</f>
        <v>4800</v>
      </c>
      <c r="O145" s="270">
        <f t="shared" si="8"/>
        <v>0</v>
      </c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</row>
    <row r="146" spans="1:26" ht="18" customHeight="1">
      <c r="A146" s="335"/>
      <c r="B146" s="368">
        <v>744478022</v>
      </c>
      <c r="C146" s="368" t="s">
        <v>12108</v>
      </c>
      <c r="D146" s="438">
        <v>35158</v>
      </c>
      <c r="E146" s="368" t="s">
        <v>12478</v>
      </c>
      <c r="F146" s="368" t="s">
        <v>13078</v>
      </c>
      <c r="G146" s="334"/>
      <c r="H146" s="270"/>
      <c r="I146" s="334" t="s">
        <v>7411</v>
      </c>
      <c r="J146" s="270">
        <v>5500</v>
      </c>
      <c r="K146" s="270">
        <f>3000+2500</f>
        <v>5500</v>
      </c>
      <c r="L146" s="270">
        <f t="shared" si="7"/>
        <v>0</v>
      </c>
      <c r="M146" s="270">
        <v>4800</v>
      </c>
      <c r="N146" s="270">
        <f>2500+2300</f>
        <v>4800</v>
      </c>
      <c r="O146" s="270">
        <f t="shared" si="8"/>
        <v>0</v>
      </c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</row>
    <row r="147" spans="1:26" ht="18" customHeight="1">
      <c r="A147" s="335"/>
      <c r="B147" s="389">
        <v>342016222</v>
      </c>
      <c r="C147" s="389" t="s">
        <v>12109</v>
      </c>
      <c r="D147" s="438">
        <v>30326</v>
      </c>
      <c r="E147" s="446" t="s">
        <v>12479</v>
      </c>
      <c r="F147" s="389"/>
      <c r="G147" s="334"/>
      <c r="H147" s="270"/>
      <c r="I147" s="334" t="s">
        <v>11985</v>
      </c>
      <c r="J147" s="270">
        <v>1900</v>
      </c>
      <c r="K147" s="270">
        <v>1900</v>
      </c>
      <c r="L147" s="270">
        <f t="shared" si="7"/>
        <v>0</v>
      </c>
      <c r="M147" s="270">
        <v>1300</v>
      </c>
      <c r="N147" s="270">
        <v>1300</v>
      </c>
      <c r="O147" s="270">
        <f t="shared" si="8"/>
        <v>0</v>
      </c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</row>
    <row r="148" spans="1:26" ht="18" customHeight="1">
      <c r="A148" s="324">
        <v>44618</v>
      </c>
      <c r="B148" s="389"/>
      <c r="C148" s="389" t="s">
        <v>12110</v>
      </c>
      <c r="D148" s="438"/>
      <c r="E148" s="446" t="s">
        <v>12480</v>
      </c>
      <c r="F148" s="389" t="s">
        <v>12111</v>
      </c>
      <c r="G148" s="334"/>
      <c r="H148" s="270"/>
      <c r="I148" s="334" t="s">
        <v>12112</v>
      </c>
      <c r="J148" s="270">
        <v>4200</v>
      </c>
      <c r="K148" s="270">
        <v>4200</v>
      </c>
      <c r="L148" s="270">
        <f t="shared" si="7"/>
        <v>0</v>
      </c>
      <c r="M148" s="270">
        <v>3600</v>
      </c>
      <c r="N148" s="270">
        <v>3600</v>
      </c>
      <c r="O148" s="270">
        <f t="shared" si="8"/>
        <v>0</v>
      </c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</row>
    <row r="149" spans="1:26" ht="18" customHeight="1">
      <c r="A149" s="335" t="s">
        <v>7287</v>
      </c>
      <c r="B149" s="270">
        <v>1197292822</v>
      </c>
      <c r="C149" s="270" t="s">
        <v>12113</v>
      </c>
      <c r="D149" s="438">
        <v>34977</v>
      </c>
      <c r="E149" s="334" t="s">
        <v>12481</v>
      </c>
      <c r="F149" s="270"/>
      <c r="G149" s="334"/>
      <c r="H149" s="270"/>
      <c r="I149" s="334" t="s">
        <v>7411</v>
      </c>
      <c r="J149" s="270">
        <f>5500+600</f>
        <v>6100</v>
      </c>
      <c r="K149" s="270">
        <v>6100</v>
      </c>
      <c r="L149" s="270">
        <f t="shared" si="7"/>
        <v>0</v>
      </c>
      <c r="M149" s="270">
        <f>4800+600</f>
        <v>5400</v>
      </c>
      <c r="N149" s="270">
        <f>2500+2300+600</f>
        <v>5400</v>
      </c>
      <c r="O149" s="270">
        <f t="shared" si="8"/>
        <v>0</v>
      </c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</row>
    <row r="150" spans="1:26" ht="18" customHeight="1">
      <c r="A150" s="324">
        <v>44645</v>
      </c>
      <c r="B150" s="389">
        <v>1257832422</v>
      </c>
      <c r="C150" s="389" t="s">
        <v>12220</v>
      </c>
      <c r="D150" s="438">
        <v>22282</v>
      </c>
      <c r="E150" s="446" t="s">
        <v>12482</v>
      </c>
      <c r="F150" s="389" t="s">
        <v>1111</v>
      </c>
      <c r="G150" s="391">
        <v>2306728622</v>
      </c>
      <c r="H150" s="270"/>
      <c r="I150" s="334" t="s">
        <v>7411</v>
      </c>
      <c r="J150" s="270">
        <v>6000</v>
      </c>
      <c r="K150" s="270">
        <f>5000+1000</f>
        <v>6000</v>
      </c>
      <c r="L150" s="270">
        <f t="shared" si="7"/>
        <v>0</v>
      </c>
      <c r="M150" s="270">
        <v>5100</v>
      </c>
      <c r="N150" s="270">
        <f>3000+2100</f>
        <v>5100</v>
      </c>
      <c r="O150" s="270">
        <f t="shared" si="8"/>
        <v>0</v>
      </c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</row>
    <row r="151" spans="1:26" ht="18" customHeight="1">
      <c r="A151" s="324">
        <v>44669</v>
      </c>
      <c r="B151" s="428">
        <v>1549851422</v>
      </c>
      <c r="C151" s="428" t="s">
        <v>12314</v>
      </c>
      <c r="D151" s="438">
        <v>27927</v>
      </c>
      <c r="E151" s="445" t="s">
        <v>12483</v>
      </c>
      <c r="F151" s="389" t="s">
        <v>12043</v>
      </c>
      <c r="G151" s="522">
        <v>2933433022</v>
      </c>
      <c r="H151" s="270"/>
      <c r="I151" s="334" t="s">
        <v>7411</v>
      </c>
      <c r="J151" s="270">
        <v>5500</v>
      </c>
      <c r="K151" s="270">
        <f>3000+2500</f>
        <v>5500</v>
      </c>
      <c r="L151" s="270">
        <f t="shared" si="7"/>
        <v>0</v>
      </c>
      <c r="M151" s="270">
        <v>4800</v>
      </c>
      <c r="N151" s="270">
        <f>2500+2300</f>
        <v>4800</v>
      </c>
      <c r="O151" s="270">
        <f t="shared" si="8"/>
        <v>0</v>
      </c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</row>
    <row r="152" spans="1:26" ht="18" customHeight="1">
      <c r="A152" s="324">
        <v>44673</v>
      </c>
      <c r="B152" s="389">
        <v>1621702322</v>
      </c>
      <c r="C152" s="389" t="s">
        <v>12321</v>
      </c>
      <c r="D152" s="817">
        <v>32854</v>
      </c>
      <c r="E152" s="446" t="s">
        <v>12484</v>
      </c>
      <c r="F152" s="389" t="s">
        <v>12043</v>
      </c>
      <c r="G152" s="446"/>
      <c r="H152" s="389"/>
      <c r="I152" s="446" t="s">
        <v>7411</v>
      </c>
      <c r="J152" s="389">
        <v>5500</v>
      </c>
      <c r="K152" s="270">
        <f>3000+2500</f>
        <v>5500</v>
      </c>
      <c r="L152" s="270">
        <f t="shared" si="7"/>
        <v>0</v>
      </c>
      <c r="M152" s="270">
        <v>4800</v>
      </c>
      <c r="N152" s="270">
        <f>2500+2300</f>
        <v>4800</v>
      </c>
      <c r="O152" s="270">
        <f t="shared" si="8"/>
        <v>0</v>
      </c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</row>
    <row r="153" spans="1:26" ht="18" customHeight="1">
      <c r="A153" s="335"/>
      <c r="B153" s="389"/>
      <c r="C153" s="389" t="s">
        <v>6661</v>
      </c>
      <c r="D153" s="438">
        <v>20531</v>
      </c>
      <c r="E153" s="446" t="s">
        <v>12485</v>
      </c>
      <c r="F153" s="389" t="s">
        <v>12041</v>
      </c>
      <c r="G153" s="334"/>
      <c r="H153" s="270"/>
      <c r="I153" s="334" t="s">
        <v>12342</v>
      </c>
      <c r="J153" s="270">
        <v>1500</v>
      </c>
      <c r="K153" s="270">
        <v>1500</v>
      </c>
      <c r="L153" s="270">
        <f t="shared" si="7"/>
        <v>0</v>
      </c>
      <c r="M153" s="270">
        <v>1300</v>
      </c>
      <c r="N153" s="270">
        <v>1300</v>
      </c>
      <c r="O153" s="270">
        <f t="shared" si="8"/>
        <v>0</v>
      </c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</row>
    <row r="154" spans="1:26" ht="18" customHeight="1">
      <c r="A154" s="324">
        <v>37389</v>
      </c>
      <c r="B154" s="270">
        <v>1918056222</v>
      </c>
      <c r="C154" s="270" t="s">
        <v>12519</v>
      </c>
      <c r="D154" s="438"/>
      <c r="E154" s="447">
        <v>918298097289</v>
      </c>
      <c r="F154" s="270"/>
      <c r="G154" s="334">
        <v>4829113122</v>
      </c>
      <c r="H154" s="270"/>
      <c r="I154" s="334" t="s">
        <v>7314</v>
      </c>
      <c r="J154" s="270">
        <v>5500</v>
      </c>
      <c r="K154" s="270">
        <f>3000+2500</f>
        <v>5500</v>
      </c>
      <c r="L154" s="270">
        <f t="shared" si="7"/>
        <v>0</v>
      </c>
      <c r="M154" s="270">
        <v>4800</v>
      </c>
      <c r="N154" s="270">
        <f>2500+2300</f>
        <v>4800</v>
      </c>
      <c r="O154" s="270">
        <f t="shared" si="8"/>
        <v>0</v>
      </c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</row>
    <row r="155" spans="1:26" ht="18" customHeight="1">
      <c r="A155" s="324">
        <v>44716</v>
      </c>
      <c r="B155" s="389">
        <v>2201767722</v>
      </c>
      <c r="C155" s="389" t="s">
        <v>5860</v>
      </c>
      <c r="D155" s="438">
        <v>38139</v>
      </c>
      <c r="E155" s="512">
        <v>916200941544</v>
      </c>
      <c r="F155" s="512">
        <v>918986633830</v>
      </c>
      <c r="G155" s="334" t="s">
        <v>13281</v>
      </c>
      <c r="H155" s="270"/>
      <c r="I155" s="334" t="s">
        <v>7411</v>
      </c>
      <c r="J155" s="270">
        <v>5500</v>
      </c>
      <c r="K155" s="270">
        <f>3000+2500</f>
        <v>5500</v>
      </c>
      <c r="L155" s="270">
        <f t="shared" si="7"/>
        <v>0</v>
      </c>
      <c r="M155" s="270">
        <v>4800</v>
      </c>
      <c r="N155" s="270">
        <f>2500+2300</f>
        <v>4800</v>
      </c>
      <c r="O155" s="270">
        <f t="shared" si="8"/>
        <v>0</v>
      </c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</row>
    <row r="156" spans="1:26" ht="18" customHeight="1">
      <c r="A156" s="324">
        <v>44716</v>
      </c>
      <c r="B156" s="389">
        <v>2201767722</v>
      </c>
      <c r="C156" s="389" t="s">
        <v>12615</v>
      </c>
      <c r="D156" s="817">
        <v>28859</v>
      </c>
      <c r="E156" s="512">
        <v>917004519122</v>
      </c>
      <c r="F156" s="389" t="s">
        <v>13274</v>
      </c>
      <c r="G156" s="446"/>
      <c r="H156" s="389"/>
      <c r="I156" s="446" t="s">
        <v>7411</v>
      </c>
      <c r="J156" s="389">
        <v>5500</v>
      </c>
      <c r="K156" s="389">
        <f>3000+2500</f>
        <v>5500</v>
      </c>
      <c r="L156" s="389">
        <f t="shared" si="7"/>
        <v>0</v>
      </c>
      <c r="M156" s="389">
        <v>4800</v>
      </c>
      <c r="N156" s="389">
        <f>2500+2300</f>
        <v>4800</v>
      </c>
      <c r="O156" s="270">
        <f t="shared" si="8"/>
        <v>0</v>
      </c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</row>
    <row r="157" spans="1:26" ht="18" customHeight="1">
      <c r="A157" s="827">
        <v>44724</v>
      </c>
      <c r="B157" s="389">
        <v>2335229422</v>
      </c>
      <c r="C157" s="389" t="s">
        <v>11445</v>
      </c>
      <c r="D157" s="817">
        <v>33826</v>
      </c>
      <c r="E157" s="512">
        <v>918102147187</v>
      </c>
      <c r="F157" s="389"/>
      <c r="G157" s="446">
        <v>3732332222</v>
      </c>
      <c r="H157" s="389" t="s">
        <v>7411</v>
      </c>
      <c r="I157" s="446" t="s">
        <v>12018</v>
      </c>
      <c r="J157" s="389">
        <v>5500</v>
      </c>
      <c r="K157" s="389">
        <f>3000+2500</f>
        <v>5500</v>
      </c>
      <c r="L157" s="389">
        <f t="shared" si="7"/>
        <v>0</v>
      </c>
      <c r="M157" s="389">
        <v>4800</v>
      </c>
      <c r="N157" s="389">
        <f>2500+2300</f>
        <v>4800</v>
      </c>
      <c r="O157" s="270">
        <f t="shared" si="8"/>
        <v>0</v>
      </c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</row>
    <row r="158" spans="1:26" ht="18" customHeight="1">
      <c r="A158" s="324">
        <v>44725</v>
      </c>
      <c r="B158" s="389">
        <v>2328728222</v>
      </c>
      <c r="C158" s="389" t="s">
        <v>12648</v>
      </c>
      <c r="D158" s="817">
        <v>33920</v>
      </c>
      <c r="E158" s="512">
        <v>917870880705</v>
      </c>
      <c r="F158" s="389" t="s">
        <v>12034</v>
      </c>
      <c r="G158" s="446"/>
      <c r="H158" s="389" t="s">
        <v>7411</v>
      </c>
      <c r="I158" s="446" t="s">
        <v>12018</v>
      </c>
      <c r="J158" s="389">
        <f>5500+400+100</f>
        <v>6000</v>
      </c>
      <c r="K158" s="389">
        <f>2500+2000+1500</f>
        <v>6000</v>
      </c>
      <c r="L158" s="389">
        <f t="shared" si="7"/>
        <v>0</v>
      </c>
      <c r="M158" s="389">
        <f>4800+400</f>
        <v>5200</v>
      </c>
      <c r="N158" s="389">
        <f>2500+700+2000</f>
        <v>5200</v>
      </c>
      <c r="O158" s="389">
        <f t="shared" si="8"/>
        <v>0</v>
      </c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</row>
    <row r="159" spans="1:26" ht="18" customHeight="1">
      <c r="A159" s="324">
        <v>44733</v>
      </c>
      <c r="B159" s="389">
        <v>2485914222</v>
      </c>
      <c r="C159" s="389" t="s">
        <v>11918</v>
      </c>
      <c r="D159" s="438">
        <v>21562</v>
      </c>
      <c r="E159" s="512">
        <v>919234612204</v>
      </c>
      <c r="F159" s="389" t="s">
        <v>12717</v>
      </c>
      <c r="G159" s="334"/>
      <c r="H159" s="270" t="s">
        <v>11985</v>
      </c>
      <c r="I159" s="334" t="s">
        <v>11985</v>
      </c>
      <c r="J159" s="270">
        <v>1800</v>
      </c>
      <c r="K159" s="270">
        <v>1800</v>
      </c>
      <c r="L159" s="270">
        <f t="shared" si="7"/>
        <v>0</v>
      </c>
      <c r="M159" s="270">
        <v>1300</v>
      </c>
      <c r="N159" s="270">
        <v>1300</v>
      </c>
      <c r="O159" s="270">
        <f t="shared" si="8"/>
        <v>0</v>
      </c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</row>
    <row r="160" spans="1:26" ht="18" customHeight="1">
      <c r="B160" s="270">
        <v>1379294922</v>
      </c>
      <c r="C160" s="270" t="s">
        <v>12724</v>
      </c>
      <c r="D160" s="438">
        <v>28397</v>
      </c>
      <c r="J160" s="270">
        <v>5000</v>
      </c>
      <c r="K160" s="270">
        <v>5000</v>
      </c>
      <c r="L160" s="270">
        <f t="shared" si="7"/>
        <v>0</v>
      </c>
      <c r="M160" s="270">
        <f>5000</f>
        <v>5000</v>
      </c>
      <c r="N160" s="573">
        <f>3000+2000</f>
        <v>5000</v>
      </c>
      <c r="O160" s="270">
        <f t="shared" si="8"/>
        <v>0</v>
      </c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</row>
    <row r="161" spans="1:26" ht="18" customHeight="1">
      <c r="B161" s="950">
        <v>2599979722</v>
      </c>
      <c r="C161" s="950" t="s">
        <v>12765</v>
      </c>
      <c r="D161" s="951">
        <v>37155</v>
      </c>
      <c r="E161" s="952">
        <v>919836372800</v>
      </c>
      <c r="F161" s="958"/>
      <c r="G161" s="958"/>
      <c r="H161" s="958"/>
      <c r="I161" s="953" t="s">
        <v>12018</v>
      </c>
      <c r="J161" s="950">
        <f>5500+400+1500</f>
        <v>7400</v>
      </c>
      <c r="K161" s="950">
        <f>3000+2900+1500</f>
        <v>7400</v>
      </c>
      <c r="L161" s="950">
        <f t="shared" si="7"/>
        <v>0</v>
      </c>
      <c r="M161" s="950">
        <f>5100+2000</f>
        <v>7100</v>
      </c>
      <c r="N161" s="950">
        <f>3000+2100+2000</f>
        <v>7100</v>
      </c>
      <c r="O161" s="950">
        <f t="shared" si="8"/>
        <v>0</v>
      </c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</row>
    <row r="162" spans="1:26" ht="18" customHeight="1">
      <c r="A162" s="324">
        <v>44753</v>
      </c>
      <c r="B162" s="389">
        <v>2764541822</v>
      </c>
      <c r="C162" s="389" t="s">
        <v>3686</v>
      </c>
      <c r="D162" s="817">
        <v>30128</v>
      </c>
      <c r="E162" s="512">
        <v>918235232583</v>
      </c>
      <c r="F162" s="653">
        <v>44965</v>
      </c>
      <c r="G162" s="446"/>
      <c r="H162" s="270" t="s">
        <v>7411</v>
      </c>
      <c r="I162" s="334" t="s">
        <v>12018</v>
      </c>
      <c r="J162" s="270">
        <f>5500+500</f>
        <v>6000</v>
      </c>
      <c r="K162" s="270">
        <f>3000+3000</f>
        <v>6000</v>
      </c>
      <c r="L162" s="270">
        <f t="shared" si="7"/>
        <v>0</v>
      </c>
      <c r="M162" s="270">
        <f>4800+400</f>
        <v>5200</v>
      </c>
      <c r="N162" s="270">
        <f>2500+2700</f>
        <v>5200</v>
      </c>
      <c r="O162" s="270">
        <f t="shared" si="8"/>
        <v>0</v>
      </c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</row>
    <row r="163" spans="1:26" ht="18" customHeight="1">
      <c r="A163" s="324">
        <v>44759</v>
      </c>
      <c r="B163" s="270">
        <v>2850505122</v>
      </c>
      <c r="C163" s="270" t="s">
        <v>12880</v>
      </c>
      <c r="D163" s="438">
        <v>34744</v>
      </c>
      <c r="E163" s="447">
        <v>919065618910</v>
      </c>
      <c r="F163" s="270" t="s">
        <v>13594</v>
      </c>
      <c r="G163" s="334">
        <v>4919917522</v>
      </c>
      <c r="H163" s="270" t="s">
        <v>7411</v>
      </c>
      <c r="I163" s="334" t="s">
        <v>12018</v>
      </c>
      <c r="J163" s="270">
        <v>5500</v>
      </c>
      <c r="K163" s="270">
        <f>2500+3000</f>
        <v>5500</v>
      </c>
      <c r="L163" s="270">
        <f t="shared" si="7"/>
        <v>0</v>
      </c>
      <c r="M163" s="270">
        <v>4800</v>
      </c>
      <c r="N163" s="270">
        <f>2500+2300</f>
        <v>4800</v>
      </c>
      <c r="O163" s="270">
        <f t="shared" si="8"/>
        <v>0</v>
      </c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</row>
    <row r="164" spans="1:26" ht="18" customHeight="1">
      <c r="A164" s="324">
        <v>44759</v>
      </c>
      <c r="B164" s="389"/>
      <c r="C164" s="389" t="s">
        <v>13116</v>
      </c>
      <c r="D164" s="438"/>
      <c r="E164" s="512">
        <v>919279250587</v>
      </c>
      <c r="F164" s="389" t="s">
        <v>13118</v>
      </c>
      <c r="G164" s="334"/>
      <c r="H164" s="270" t="s">
        <v>13117</v>
      </c>
      <c r="I164" s="334"/>
      <c r="J164" s="270">
        <v>5200</v>
      </c>
      <c r="K164" s="270">
        <v>5200</v>
      </c>
      <c r="L164" s="270">
        <f t="shared" si="7"/>
        <v>0</v>
      </c>
      <c r="M164" s="270">
        <v>4800</v>
      </c>
      <c r="N164" s="270">
        <v>4800</v>
      </c>
      <c r="O164" s="270">
        <f t="shared" si="8"/>
        <v>0</v>
      </c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</row>
    <row r="165" spans="1:26" ht="18" customHeight="1">
      <c r="A165" s="335"/>
      <c r="B165" s="328">
        <v>3473872722</v>
      </c>
      <c r="C165" s="328" t="s">
        <v>11343</v>
      </c>
      <c r="D165" s="438"/>
      <c r="E165" s="579">
        <v>918271665898</v>
      </c>
      <c r="F165" s="270"/>
      <c r="G165" s="334"/>
      <c r="H165" s="270"/>
      <c r="I165" s="334" t="s">
        <v>13181</v>
      </c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</row>
    <row r="166" spans="1:26" ht="18" customHeight="1">
      <c r="A166" s="324">
        <v>44804</v>
      </c>
      <c r="B166" s="389">
        <v>3495027122</v>
      </c>
      <c r="C166" s="389" t="s">
        <v>13184</v>
      </c>
      <c r="D166" s="438">
        <v>35270</v>
      </c>
      <c r="E166" s="512">
        <v>917903517966</v>
      </c>
      <c r="F166" s="389"/>
      <c r="G166" s="446" t="s">
        <v>12043</v>
      </c>
      <c r="H166" s="270"/>
      <c r="I166" s="334" t="s">
        <v>12018</v>
      </c>
      <c r="J166" s="270">
        <v>5500</v>
      </c>
      <c r="K166" s="270">
        <f>3000+2500</f>
        <v>5500</v>
      </c>
      <c r="L166" s="270">
        <f t="shared" si="7"/>
        <v>0</v>
      </c>
      <c r="M166" s="270">
        <f>4800+100</f>
        <v>4900</v>
      </c>
      <c r="N166" s="270">
        <f>2500+2400</f>
        <v>4900</v>
      </c>
      <c r="O166" s="270">
        <f t="shared" si="8"/>
        <v>0</v>
      </c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</row>
    <row r="167" spans="1:26" ht="18" customHeight="1">
      <c r="A167" s="324">
        <v>44813</v>
      </c>
      <c r="B167" s="389">
        <v>3619128922</v>
      </c>
      <c r="C167" s="389" t="s">
        <v>13238</v>
      </c>
      <c r="D167" s="817">
        <v>37477</v>
      </c>
      <c r="E167" s="512">
        <v>918340545792</v>
      </c>
      <c r="F167" s="389"/>
      <c r="G167" s="446"/>
      <c r="H167" s="389"/>
      <c r="I167" s="446" t="s">
        <v>12018</v>
      </c>
      <c r="J167" s="389">
        <v>5500</v>
      </c>
      <c r="K167" s="389">
        <v>5500</v>
      </c>
      <c r="L167" s="389">
        <f t="shared" si="7"/>
        <v>0</v>
      </c>
      <c r="M167" s="389">
        <f>4800+100</f>
        <v>4900</v>
      </c>
      <c r="N167" s="389">
        <f>2500+2400</f>
        <v>4900</v>
      </c>
      <c r="O167" s="270">
        <f t="shared" si="8"/>
        <v>0</v>
      </c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</row>
    <row r="168" spans="1:26" ht="18" customHeight="1">
      <c r="A168" s="324">
        <v>44815</v>
      </c>
      <c r="B168" s="389">
        <v>3633114622</v>
      </c>
      <c r="C168" s="389" t="s">
        <v>13247</v>
      </c>
      <c r="D168" s="817">
        <v>31778</v>
      </c>
      <c r="E168" s="512">
        <v>916200448906</v>
      </c>
      <c r="F168" s="389"/>
      <c r="G168" s="446"/>
      <c r="H168" s="389"/>
      <c r="I168" s="446" t="s">
        <v>12018</v>
      </c>
      <c r="J168" s="389">
        <v>5500</v>
      </c>
      <c r="K168" s="389">
        <f>4000+1500</f>
        <v>5500</v>
      </c>
      <c r="L168" s="389">
        <f t="shared" si="7"/>
        <v>0</v>
      </c>
      <c r="M168" s="389">
        <v>4800</v>
      </c>
      <c r="N168" s="389">
        <f>2500+2300</f>
        <v>4800</v>
      </c>
      <c r="O168" s="270">
        <f t="shared" si="8"/>
        <v>0</v>
      </c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</row>
    <row r="169" spans="1:26" ht="18" customHeight="1">
      <c r="A169" s="335"/>
      <c r="B169" s="389">
        <v>3662340522</v>
      </c>
      <c r="C169" s="389" t="s">
        <v>11343</v>
      </c>
      <c r="D169" s="817">
        <v>25208</v>
      </c>
      <c r="E169" s="512">
        <v>918271665898</v>
      </c>
      <c r="F169" s="389"/>
      <c r="G169" s="446"/>
      <c r="H169" s="389"/>
      <c r="I169" s="446">
        <v>2</v>
      </c>
      <c r="J169" s="389">
        <f>4500+500</f>
        <v>5000</v>
      </c>
      <c r="K169" s="389">
        <f>2500+2500</f>
        <v>5000</v>
      </c>
      <c r="L169" s="389">
        <f>J169-K169</f>
        <v>0</v>
      </c>
      <c r="M169" s="389">
        <f>3850+800+400</f>
        <v>5050</v>
      </c>
      <c r="N169" s="389">
        <f>2500+2500</f>
        <v>5000</v>
      </c>
      <c r="O169" s="270">
        <f>M169-N169</f>
        <v>50</v>
      </c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</row>
    <row r="170" spans="1:26" ht="18" customHeight="1">
      <c r="A170" s="324">
        <v>44822</v>
      </c>
      <c r="B170" s="389">
        <v>3728954222</v>
      </c>
      <c r="C170" s="389" t="s">
        <v>13280</v>
      </c>
      <c r="D170" s="817">
        <v>30236</v>
      </c>
      <c r="E170" s="512">
        <v>919204730087</v>
      </c>
      <c r="F170" s="653">
        <v>44958</v>
      </c>
      <c r="G170" s="668" t="s">
        <v>13383</v>
      </c>
      <c r="H170" s="389"/>
      <c r="I170" s="446" t="s">
        <v>12018</v>
      </c>
      <c r="J170" s="389">
        <v>5500</v>
      </c>
      <c r="K170" s="389">
        <f>3000+2500</f>
        <v>5500</v>
      </c>
      <c r="L170" s="389">
        <f t="shared" si="7"/>
        <v>0</v>
      </c>
      <c r="M170" s="389">
        <f>4800+100</f>
        <v>4900</v>
      </c>
      <c r="N170" s="389">
        <f>2500+2400</f>
        <v>4900</v>
      </c>
      <c r="O170" s="270">
        <f t="shared" ref="O170:O171" si="20">M170-N170</f>
        <v>0</v>
      </c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</row>
    <row r="171" spans="1:26" ht="18" customHeight="1">
      <c r="A171" s="324">
        <v>44829</v>
      </c>
      <c r="B171" s="389">
        <v>3825414322</v>
      </c>
      <c r="C171" s="389" t="s">
        <v>12196</v>
      </c>
      <c r="D171" s="817">
        <v>37510</v>
      </c>
      <c r="E171" s="512">
        <v>918092191457</v>
      </c>
      <c r="F171" s="653">
        <v>45289</v>
      </c>
      <c r="G171" s="446">
        <v>4908954622</v>
      </c>
      <c r="H171" s="389"/>
      <c r="I171" s="446" t="s">
        <v>12018</v>
      </c>
      <c r="J171" s="389">
        <v>5500</v>
      </c>
      <c r="K171" s="389">
        <f>3000+2500</f>
        <v>5500</v>
      </c>
      <c r="L171" s="389">
        <f t="shared" si="7"/>
        <v>0</v>
      </c>
      <c r="M171" s="389">
        <v>4800</v>
      </c>
      <c r="N171" s="389">
        <f>2500+2300</f>
        <v>4800</v>
      </c>
      <c r="O171" s="389">
        <f t="shared" si="20"/>
        <v>0</v>
      </c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</row>
    <row r="172" spans="1:26" s="958" customFormat="1" ht="18" customHeight="1">
      <c r="A172" s="949">
        <v>44829</v>
      </c>
      <c r="B172" s="966">
        <v>889224423</v>
      </c>
      <c r="C172" s="950" t="s">
        <v>13298</v>
      </c>
      <c r="D172" s="951">
        <v>33923</v>
      </c>
      <c r="E172" s="952">
        <v>918789573411</v>
      </c>
      <c r="F172" s="950" t="s">
        <v>14353</v>
      </c>
      <c r="G172" s="985" t="s">
        <v>13626</v>
      </c>
      <c r="H172" s="950"/>
      <c r="I172" s="953" t="s">
        <v>12018</v>
      </c>
      <c r="J172" s="950">
        <v>5500</v>
      </c>
      <c r="K172" s="950">
        <f>3000+1000</f>
        <v>4000</v>
      </c>
      <c r="L172" s="950">
        <f t="shared" ref="L172:L178" si="21">J172-K172</f>
        <v>1500</v>
      </c>
      <c r="M172" s="950">
        <v>4800</v>
      </c>
      <c r="N172" s="950">
        <f>2500+2300</f>
        <v>4800</v>
      </c>
      <c r="O172" s="950">
        <f t="shared" ref="O172:O193" si="22">M172-N172</f>
        <v>0</v>
      </c>
      <c r="P172" s="950"/>
      <c r="Q172" s="950"/>
      <c r="R172" s="950"/>
      <c r="S172" s="950"/>
      <c r="T172" s="950"/>
      <c r="U172" s="950"/>
      <c r="V172" s="950"/>
      <c r="W172" s="950"/>
      <c r="X172" s="950"/>
      <c r="Y172" s="950"/>
      <c r="Z172" s="950"/>
    </row>
    <row r="173" spans="1:26" ht="18" customHeight="1">
      <c r="A173" s="335"/>
      <c r="B173" s="389">
        <v>3956979322</v>
      </c>
      <c r="C173" s="389" t="s">
        <v>13325</v>
      </c>
      <c r="D173" s="817">
        <v>36010</v>
      </c>
      <c r="E173" s="512">
        <v>918709398170</v>
      </c>
      <c r="F173" s="653">
        <v>45012</v>
      </c>
      <c r="G173" s="446"/>
      <c r="H173" s="389"/>
      <c r="I173" s="446" t="s">
        <v>12018</v>
      </c>
      <c r="J173" s="389">
        <v>5500</v>
      </c>
      <c r="K173" s="389">
        <f>3000+2500</f>
        <v>5500</v>
      </c>
      <c r="L173" s="389">
        <f t="shared" si="21"/>
        <v>0</v>
      </c>
      <c r="M173" s="389">
        <v>4800</v>
      </c>
      <c r="N173" s="389">
        <f>2500+2300</f>
        <v>4800</v>
      </c>
      <c r="O173" s="270">
        <f t="shared" si="22"/>
        <v>0</v>
      </c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</row>
    <row r="174" spans="1:26" ht="18" customHeight="1">
      <c r="A174" s="324">
        <v>44861</v>
      </c>
      <c r="B174" s="389">
        <v>4195306722</v>
      </c>
      <c r="C174" s="389" t="s">
        <v>13369</v>
      </c>
      <c r="D174" s="817"/>
      <c r="E174" s="512">
        <v>919780140716</v>
      </c>
      <c r="F174" s="389" t="s">
        <v>478</v>
      </c>
      <c r="G174" s="446"/>
      <c r="H174" s="389" t="s">
        <v>13373</v>
      </c>
      <c r="I174" s="446"/>
      <c r="J174" s="389">
        <v>2900</v>
      </c>
      <c r="K174" s="389">
        <f>2200+700</f>
        <v>2900</v>
      </c>
      <c r="L174" s="389">
        <f t="shared" si="21"/>
        <v>0</v>
      </c>
      <c r="M174" s="389">
        <v>2500</v>
      </c>
      <c r="N174" s="389">
        <v>2500</v>
      </c>
      <c r="O174" s="270">
        <f t="shared" si="22"/>
        <v>0</v>
      </c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</row>
    <row r="175" spans="1:26" s="878" customFormat="1" ht="18" customHeight="1">
      <c r="A175" s="827">
        <v>44862</v>
      </c>
      <c r="B175" s="389">
        <v>4201271822</v>
      </c>
      <c r="C175" s="389" t="s">
        <v>13372</v>
      </c>
      <c r="D175" s="817">
        <v>29657</v>
      </c>
      <c r="E175" s="512">
        <v>918674893552</v>
      </c>
      <c r="F175" s="389" t="s">
        <v>14354</v>
      </c>
      <c r="G175" s="446" t="s">
        <v>12043</v>
      </c>
      <c r="H175" s="389"/>
      <c r="I175" s="446" t="s">
        <v>12018</v>
      </c>
      <c r="J175" s="389">
        <v>6000</v>
      </c>
      <c r="K175" s="389">
        <f>3000+3000</f>
        <v>6000</v>
      </c>
      <c r="L175" s="389">
        <f t="shared" si="21"/>
        <v>0</v>
      </c>
      <c r="M175" s="389">
        <v>5200</v>
      </c>
      <c r="N175" s="389">
        <f>2500+2700</f>
        <v>5200</v>
      </c>
      <c r="O175" s="389">
        <f t="shared" si="22"/>
        <v>0</v>
      </c>
      <c r="P175" s="389"/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</row>
    <row r="176" spans="1:26" s="878" customFormat="1" ht="18" customHeight="1">
      <c r="A176" s="827">
        <v>44866</v>
      </c>
      <c r="B176" s="389">
        <v>4259513922</v>
      </c>
      <c r="C176" s="389" t="s">
        <v>13364</v>
      </c>
      <c r="D176" s="817">
        <v>38270</v>
      </c>
      <c r="E176" s="512">
        <v>919470353182</v>
      </c>
      <c r="F176" s="878" t="s">
        <v>11938</v>
      </c>
      <c r="G176" s="446" t="s">
        <v>13452</v>
      </c>
      <c r="H176" s="389" t="s">
        <v>7411</v>
      </c>
      <c r="I176" s="446" t="s">
        <v>12018</v>
      </c>
      <c r="J176" s="389">
        <v>6000</v>
      </c>
      <c r="K176" s="389">
        <f>3000+3000</f>
        <v>6000</v>
      </c>
      <c r="L176" s="389">
        <f t="shared" si="21"/>
        <v>0</v>
      </c>
      <c r="M176" s="389">
        <v>4900</v>
      </c>
      <c r="N176" s="389">
        <f>2500+2400</f>
        <v>4900</v>
      </c>
      <c r="O176" s="389">
        <f t="shared" si="22"/>
        <v>0</v>
      </c>
      <c r="P176" s="389"/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</row>
    <row r="177" spans="1:26" s="878" customFormat="1" ht="18" customHeight="1">
      <c r="A177" s="815"/>
      <c r="B177" s="984">
        <v>634297623</v>
      </c>
      <c r="C177" s="389" t="s">
        <v>13391</v>
      </c>
      <c r="D177" s="817">
        <v>38240</v>
      </c>
      <c r="E177" s="512">
        <v>919608956144</v>
      </c>
      <c r="F177" s="389" t="s">
        <v>11938</v>
      </c>
      <c r="G177" s="446" t="s">
        <v>12043</v>
      </c>
      <c r="H177" s="389" t="s">
        <v>7411</v>
      </c>
      <c r="I177" s="446" t="s">
        <v>12018</v>
      </c>
      <c r="J177" s="389">
        <v>5500</v>
      </c>
      <c r="K177" s="389">
        <f>3000+2500</f>
        <v>5500</v>
      </c>
      <c r="L177" s="389">
        <f t="shared" si="21"/>
        <v>0</v>
      </c>
      <c r="M177" s="389">
        <v>4800</v>
      </c>
      <c r="N177" s="389">
        <f>3000+1800</f>
        <v>4800</v>
      </c>
      <c r="O177" s="389">
        <f t="shared" si="22"/>
        <v>0</v>
      </c>
      <c r="P177" s="389"/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</row>
    <row r="178" spans="1:26" s="878" customFormat="1" ht="18" customHeight="1">
      <c r="A178" s="827">
        <v>44949</v>
      </c>
      <c r="B178" s="717">
        <v>292667823</v>
      </c>
      <c r="C178" s="717" t="s">
        <v>7085</v>
      </c>
      <c r="D178" s="818">
        <v>35720</v>
      </c>
      <c r="E178" s="718">
        <v>919199916336</v>
      </c>
      <c r="F178" s="717" t="s">
        <v>12043</v>
      </c>
      <c r="G178" s="719" t="s">
        <v>13449</v>
      </c>
      <c r="H178" s="717" t="s">
        <v>7411</v>
      </c>
      <c r="I178" s="719" t="s">
        <v>12018</v>
      </c>
      <c r="J178" s="717">
        <v>5500</v>
      </c>
      <c r="K178" s="717">
        <f>3000+2500</f>
        <v>5500</v>
      </c>
      <c r="L178" s="717">
        <f t="shared" si="21"/>
        <v>0</v>
      </c>
      <c r="M178" s="717">
        <v>4800</v>
      </c>
      <c r="N178" s="717">
        <f>3000+1800</f>
        <v>4800</v>
      </c>
      <c r="O178" s="717">
        <f t="shared" si="22"/>
        <v>0</v>
      </c>
      <c r="P178" s="389" t="s">
        <v>13838</v>
      </c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</row>
    <row r="179" spans="1:26" s="878" customFormat="1" ht="18" customHeight="1">
      <c r="A179" s="827">
        <v>44902</v>
      </c>
      <c r="B179" s="389">
        <v>497978223</v>
      </c>
      <c r="C179" s="389" t="s">
        <v>13478</v>
      </c>
      <c r="D179" s="817">
        <v>29209</v>
      </c>
      <c r="E179" s="512">
        <v>919031353035</v>
      </c>
      <c r="F179" s="389" t="s">
        <v>11938</v>
      </c>
      <c r="G179" s="446"/>
      <c r="H179" s="389" t="s">
        <v>7411</v>
      </c>
      <c r="I179" s="446" t="s">
        <v>12018</v>
      </c>
      <c r="J179" s="389">
        <v>5500</v>
      </c>
      <c r="K179" s="389">
        <f>3000+2500</f>
        <v>5500</v>
      </c>
      <c r="L179" s="389">
        <f t="shared" ref="L179:L193" si="23">J179-K179</f>
        <v>0</v>
      </c>
      <c r="M179" s="389">
        <v>4900</v>
      </c>
      <c r="N179" s="389">
        <f>2500+2400</f>
        <v>4900</v>
      </c>
      <c r="O179" s="389">
        <f t="shared" si="22"/>
        <v>0</v>
      </c>
      <c r="P179" s="389"/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</row>
    <row r="180" spans="1:26" ht="18" customHeight="1">
      <c r="A180" s="324">
        <v>44903</v>
      </c>
      <c r="B180" s="428">
        <v>513495523</v>
      </c>
      <c r="C180" s="428" t="s">
        <v>13604</v>
      </c>
      <c r="D180" s="819">
        <v>23409</v>
      </c>
      <c r="E180" s="720">
        <v>917667199206</v>
      </c>
      <c r="F180" s="428" t="s">
        <v>11938</v>
      </c>
      <c r="G180" s="445"/>
      <c r="H180" s="428" t="s">
        <v>7411</v>
      </c>
      <c r="I180" s="445" t="s">
        <v>12018</v>
      </c>
      <c r="J180" s="428">
        <v>5500</v>
      </c>
      <c r="K180" s="428">
        <f>3000+2500</f>
        <v>5500</v>
      </c>
      <c r="L180" s="428">
        <f t="shared" si="23"/>
        <v>0</v>
      </c>
      <c r="M180" s="428">
        <v>4900</v>
      </c>
      <c r="N180" s="428">
        <f>2500+2400</f>
        <v>4900</v>
      </c>
      <c r="O180" s="428">
        <f t="shared" si="22"/>
        <v>0</v>
      </c>
      <c r="P180" s="270" t="s">
        <v>13843</v>
      </c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</row>
    <row r="181" spans="1:26" ht="18" customHeight="1">
      <c r="A181" s="324">
        <v>44911</v>
      </c>
      <c r="B181" s="389">
        <v>4813797222</v>
      </c>
      <c r="C181" s="389" t="s">
        <v>13493</v>
      </c>
      <c r="D181" s="817"/>
      <c r="E181" s="512">
        <v>917255865733</v>
      </c>
      <c r="F181" s="389"/>
      <c r="G181" s="446"/>
      <c r="H181" s="389" t="s">
        <v>13494</v>
      </c>
      <c r="I181" s="446"/>
      <c r="J181" s="389">
        <v>1700</v>
      </c>
      <c r="K181" s="389">
        <v>1700</v>
      </c>
      <c r="L181" s="389">
        <f t="shared" si="23"/>
        <v>0</v>
      </c>
      <c r="M181" s="389">
        <v>1300</v>
      </c>
      <c r="N181" s="389">
        <v>1300</v>
      </c>
      <c r="O181" s="270">
        <f t="shared" si="22"/>
        <v>0</v>
      </c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</row>
    <row r="182" spans="1:26" ht="18" customHeight="1">
      <c r="A182" s="324">
        <v>44915</v>
      </c>
      <c r="B182" s="270">
        <v>873455423</v>
      </c>
      <c r="C182" s="270" t="s">
        <v>13505</v>
      </c>
      <c r="D182" s="438"/>
      <c r="E182" s="447">
        <v>917050492415</v>
      </c>
      <c r="F182" s="270" t="s">
        <v>13674</v>
      </c>
      <c r="G182" s="334"/>
      <c r="H182" s="270"/>
      <c r="I182" s="334" t="s">
        <v>12018</v>
      </c>
      <c r="J182" s="270">
        <v>6000</v>
      </c>
      <c r="K182" s="270">
        <v>6000</v>
      </c>
      <c r="L182" s="270">
        <f t="shared" si="23"/>
        <v>0</v>
      </c>
      <c r="M182" s="270">
        <v>5200</v>
      </c>
      <c r="N182" s="270">
        <f>3000+2200</f>
        <v>5200</v>
      </c>
      <c r="O182" s="270">
        <f t="shared" si="22"/>
        <v>0</v>
      </c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</row>
    <row r="183" spans="1:26" ht="18" customHeight="1">
      <c r="A183" s="324">
        <v>44923</v>
      </c>
      <c r="B183" s="270">
        <v>901952123</v>
      </c>
      <c r="C183" s="270" t="s">
        <v>8631</v>
      </c>
      <c r="D183" s="438">
        <v>28185</v>
      </c>
      <c r="E183" s="447">
        <v>918102093509</v>
      </c>
      <c r="F183" s="270"/>
      <c r="G183" s="334" t="s">
        <v>13626</v>
      </c>
      <c r="H183" s="270" t="s">
        <v>7411</v>
      </c>
      <c r="I183" s="334" t="s">
        <v>12018</v>
      </c>
      <c r="J183" s="270">
        <v>5500</v>
      </c>
      <c r="K183" s="270">
        <f>3000+2500</f>
        <v>5500</v>
      </c>
      <c r="L183" s="270">
        <f t="shared" si="23"/>
        <v>0</v>
      </c>
      <c r="M183" s="270">
        <v>4900</v>
      </c>
      <c r="N183" s="270">
        <f>2500+2400</f>
        <v>4900</v>
      </c>
      <c r="O183" s="270">
        <f t="shared" si="22"/>
        <v>0</v>
      </c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</row>
    <row r="184" spans="1:26" ht="18" customHeight="1">
      <c r="A184" s="335"/>
      <c r="B184" s="270"/>
      <c r="C184" s="270" t="s">
        <v>13556</v>
      </c>
      <c r="D184" s="438">
        <v>33393</v>
      </c>
      <c r="E184" s="447">
        <v>917250238627</v>
      </c>
      <c r="F184" s="270"/>
      <c r="G184" s="334" t="s">
        <v>13574</v>
      </c>
      <c r="H184" s="270" t="s">
        <v>12027</v>
      </c>
      <c r="I184" s="334"/>
      <c r="J184" s="270">
        <v>4700</v>
      </c>
      <c r="K184" s="270">
        <v>4700</v>
      </c>
      <c r="L184" s="270">
        <f t="shared" si="23"/>
        <v>0</v>
      </c>
      <c r="M184" s="270">
        <v>4200</v>
      </c>
      <c r="N184" s="270">
        <v>4200</v>
      </c>
      <c r="O184" s="270">
        <f t="shared" si="22"/>
        <v>0</v>
      </c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</row>
    <row r="185" spans="1:26" ht="18" customHeight="1">
      <c r="A185" s="324">
        <v>44944</v>
      </c>
      <c r="B185" s="389"/>
      <c r="C185" s="389" t="s">
        <v>13564</v>
      </c>
      <c r="D185" s="817"/>
      <c r="E185" s="512">
        <v>917280073412</v>
      </c>
      <c r="F185" s="389" t="s">
        <v>13842</v>
      </c>
      <c r="G185" s="446" t="s">
        <v>13574</v>
      </c>
      <c r="H185" s="389" t="s">
        <v>13565</v>
      </c>
      <c r="I185" s="446" t="s">
        <v>13566</v>
      </c>
      <c r="J185" s="389">
        <v>5900</v>
      </c>
      <c r="K185" s="389">
        <v>5900</v>
      </c>
      <c r="L185" s="389">
        <f t="shared" si="23"/>
        <v>0</v>
      </c>
      <c r="M185" s="389">
        <f>1200+4100</f>
        <v>5300</v>
      </c>
      <c r="N185" s="389">
        <v>5300</v>
      </c>
      <c r="O185" s="270">
        <f t="shared" si="22"/>
        <v>0</v>
      </c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</row>
    <row r="186" spans="1:26" ht="18" customHeight="1">
      <c r="A186" s="335"/>
      <c r="B186" s="270">
        <v>476106623</v>
      </c>
      <c r="C186" s="270" t="s">
        <v>13609</v>
      </c>
      <c r="D186" s="438">
        <v>26707</v>
      </c>
      <c r="E186" s="447">
        <v>919835749353</v>
      </c>
      <c r="F186" s="270"/>
      <c r="G186" s="334" t="s">
        <v>2692</v>
      </c>
      <c r="H186" s="270" t="s">
        <v>11573</v>
      </c>
      <c r="I186" s="334"/>
      <c r="J186" s="270">
        <v>1700</v>
      </c>
      <c r="K186" s="270">
        <v>1700</v>
      </c>
      <c r="L186" s="270">
        <f t="shared" si="23"/>
        <v>0</v>
      </c>
      <c r="M186" s="270">
        <v>1300</v>
      </c>
      <c r="N186" s="270">
        <v>1300</v>
      </c>
      <c r="O186" s="270">
        <f t="shared" si="22"/>
        <v>0</v>
      </c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</row>
    <row r="187" spans="1:26" ht="18" customHeight="1">
      <c r="A187" s="324">
        <v>44964</v>
      </c>
      <c r="B187" s="389"/>
      <c r="C187" s="389" t="s">
        <v>13593</v>
      </c>
      <c r="D187" s="817"/>
      <c r="E187" s="512">
        <v>919304883771</v>
      </c>
      <c r="F187" s="389"/>
      <c r="G187" s="446"/>
      <c r="H187" s="389" t="s">
        <v>13592</v>
      </c>
      <c r="I187" s="446"/>
      <c r="J187" s="389">
        <v>2500</v>
      </c>
      <c r="K187" s="389">
        <v>2500</v>
      </c>
      <c r="L187" s="389">
        <f t="shared" si="23"/>
        <v>0</v>
      </c>
      <c r="M187" s="389">
        <v>1700</v>
      </c>
      <c r="N187" s="389">
        <v>1700</v>
      </c>
      <c r="O187" s="270">
        <f t="shared" si="22"/>
        <v>0</v>
      </c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</row>
    <row r="188" spans="1:26" ht="18" customHeight="1">
      <c r="A188" s="324">
        <v>44965</v>
      </c>
      <c r="B188" s="389">
        <v>1418582223</v>
      </c>
      <c r="C188" s="389" t="s">
        <v>13597</v>
      </c>
      <c r="D188" s="817">
        <v>36214</v>
      </c>
      <c r="E188" s="512">
        <v>918825107674</v>
      </c>
      <c r="F188" s="389" t="s">
        <v>11938</v>
      </c>
      <c r="G188" s="446"/>
      <c r="H188" s="389" t="s">
        <v>13181</v>
      </c>
      <c r="I188" s="446"/>
      <c r="J188" s="389">
        <v>4700</v>
      </c>
      <c r="K188" s="389">
        <f>2500+2200</f>
        <v>4700</v>
      </c>
      <c r="L188" s="389">
        <f t="shared" si="23"/>
        <v>0</v>
      </c>
      <c r="M188" s="389">
        <v>3800</v>
      </c>
      <c r="N188" s="389">
        <f>2500+1300</f>
        <v>3800</v>
      </c>
      <c r="O188" s="270">
        <f t="shared" si="22"/>
        <v>0</v>
      </c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</row>
    <row r="189" spans="1:26" ht="18" customHeight="1">
      <c r="A189" s="815"/>
      <c r="B189" s="389">
        <v>1968063423</v>
      </c>
      <c r="C189" s="389" t="s">
        <v>13727</v>
      </c>
      <c r="D189" s="817">
        <v>30116</v>
      </c>
      <c r="E189" s="512">
        <v>916202621692</v>
      </c>
      <c r="F189" s="389" t="s">
        <v>11938</v>
      </c>
      <c r="G189" s="817">
        <v>45113</v>
      </c>
      <c r="H189" s="389" t="s">
        <v>7314</v>
      </c>
      <c r="I189" s="446" t="s">
        <v>12018</v>
      </c>
      <c r="J189" s="389">
        <v>5500</v>
      </c>
      <c r="K189" s="389">
        <f>3000+2500</f>
        <v>5500</v>
      </c>
      <c r="L189" s="389">
        <f t="shared" si="23"/>
        <v>0</v>
      </c>
      <c r="M189" s="389">
        <v>4900</v>
      </c>
      <c r="N189" s="270">
        <f>2500+2400</f>
        <v>4900</v>
      </c>
      <c r="O189" s="270">
        <f t="shared" si="22"/>
        <v>0</v>
      </c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</row>
    <row r="190" spans="1:26" ht="18" customHeight="1">
      <c r="A190" s="324">
        <v>45014</v>
      </c>
      <c r="B190" s="270">
        <v>3994870423</v>
      </c>
      <c r="C190" s="270" t="s">
        <v>6611</v>
      </c>
      <c r="D190" s="438">
        <v>37460</v>
      </c>
      <c r="E190" s="447">
        <v>919304540858</v>
      </c>
      <c r="F190" s="334" t="s">
        <v>14710</v>
      </c>
      <c r="H190" s="270" t="s">
        <v>7314</v>
      </c>
      <c r="I190" s="334" t="s">
        <v>12018</v>
      </c>
      <c r="J190" s="270">
        <f>5500+500</f>
        <v>6000</v>
      </c>
      <c r="K190" s="270">
        <f>3000+3000</f>
        <v>6000</v>
      </c>
      <c r="L190" s="270">
        <f t="shared" si="23"/>
        <v>0</v>
      </c>
      <c r="M190" s="270">
        <v>4800</v>
      </c>
      <c r="N190" s="270">
        <f>2500+2300</f>
        <v>4800</v>
      </c>
      <c r="O190" s="270">
        <f t="shared" si="22"/>
        <v>0</v>
      </c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</row>
    <row r="191" spans="1:26" ht="18" customHeight="1">
      <c r="A191" s="335"/>
      <c r="B191" s="270"/>
      <c r="C191" s="270" t="s">
        <v>11999</v>
      </c>
      <c r="D191" s="438"/>
      <c r="E191" s="447">
        <v>918092138922</v>
      </c>
      <c r="F191" s="270" t="s">
        <v>14075</v>
      </c>
      <c r="G191" s="334"/>
      <c r="H191" s="270" t="s">
        <v>13815</v>
      </c>
      <c r="I191" s="334" t="s">
        <v>12085</v>
      </c>
      <c r="J191" s="270">
        <v>4000</v>
      </c>
      <c r="K191" s="270">
        <v>4000</v>
      </c>
      <c r="L191" s="270">
        <f t="shared" si="23"/>
        <v>0</v>
      </c>
      <c r="M191" s="270">
        <v>3600</v>
      </c>
      <c r="N191" s="270">
        <v>3600</v>
      </c>
      <c r="O191" s="270">
        <f t="shared" si="22"/>
        <v>0</v>
      </c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</row>
    <row r="192" spans="1:26" ht="18" customHeight="1">
      <c r="A192" s="335"/>
      <c r="B192" s="389"/>
      <c r="C192" s="389" t="s">
        <v>13816</v>
      </c>
      <c r="D192" s="438"/>
      <c r="E192" s="512">
        <v>919905040647</v>
      </c>
      <c r="F192" s="389" t="s">
        <v>478</v>
      </c>
      <c r="G192" s="334" t="s">
        <v>13818</v>
      </c>
      <c r="H192" s="270" t="s">
        <v>13817</v>
      </c>
      <c r="I192" s="334"/>
      <c r="J192" s="270">
        <v>1700</v>
      </c>
      <c r="K192" s="270">
        <v>1700</v>
      </c>
      <c r="L192" s="270">
        <f t="shared" si="23"/>
        <v>0</v>
      </c>
      <c r="M192" s="270">
        <v>1200</v>
      </c>
      <c r="N192" s="270">
        <v>1200</v>
      </c>
      <c r="O192" s="270">
        <f t="shared" si="22"/>
        <v>0</v>
      </c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</row>
    <row r="193" spans="1:26" ht="18" customHeight="1">
      <c r="A193" s="324">
        <v>45047</v>
      </c>
      <c r="B193" s="389"/>
      <c r="C193" s="389" t="s">
        <v>13829</v>
      </c>
      <c r="D193" s="817"/>
      <c r="E193" s="512">
        <v>917250482933</v>
      </c>
      <c r="F193" s="389" t="s">
        <v>14323</v>
      </c>
      <c r="G193" s="446" t="s">
        <v>13830</v>
      </c>
      <c r="H193" s="389"/>
      <c r="I193" s="446"/>
      <c r="J193" s="389">
        <f>2500+1500</f>
        <v>4000</v>
      </c>
      <c r="K193" s="389">
        <f>1500+500+1000+1000</f>
        <v>4000</v>
      </c>
      <c r="L193" s="389">
        <f t="shared" si="23"/>
        <v>0</v>
      </c>
      <c r="M193" s="389">
        <f>2000+1400</f>
        <v>3400</v>
      </c>
      <c r="N193" s="389">
        <f>2000+1400</f>
        <v>3400</v>
      </c>
      <c r="O193" s="389">
        <f t="shared" si="22"/>
        <v>0</v>
      </c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</row>
    <row r="194" spans="1:26" s="878" customFormat="1" ht="18" customHeight="1">
      <c r="A194" s="986">
        <v>44707</v>
      </c>
      <c r="B194" s="389">
        <v>3192649923</v>
      </c>
      <c r="C194" s="389" t="s">
        <v>12579</v>
      </c>
      <c r="D194" s="817">
        <v>33970</v>
      </c>
      <c r="E194" s="512">
        <v>919204218016</v>
      </c>
      <c r="F194" s="446" t="s">
        <v>8501</v>
      </c>
      <c r="G194" s="987"/>
      <c r="H194" s="389"/>
      <c r="I194" s="446" t="s">
        <v>7411</v>
      </c>
      <c r="J194" s="389">
        <v>5500</v>
      </c>
      <c r="K194" s="389">
        <f>3000+2500</f>
        <v>5500</v>
      </c>
      <c r="L194" s="389">
        <f t="shared" ref="L194:L217" si="24">J194-K194</f>
        <v>0</v>
      </c>
      <c r="M194" s="389">
        <v>4800</v>
      </c>
      <c r="N194" s="389">
        <f>2500+2300</f>
        <v>4800</v>
      </c>
      <c r="O194" s="389">
        <f t="shared" ref="O194:O199" si="25">M194-N194</f>
        <v>0</v>
      </c>
      <c r="P194" s="389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</row>
    <row r="195" spans="1:26" ht="18" customHeight="1">
      <c r="A195" s="335"/>
      <c r="B195" s="389"/>
      <c r="C195" s="389" t="s">
        <v>13691</v>
      </c>
      <c r="D195" s="438"/>
      <c r="E195" s="512">
        <v>919308309351</v>
      </c>
      <c r="F195" s="389"/>
      <c r="G195" s="334"/>
      <c r="H195" s="270"/>
      <c r="I195" s="334" t="s">
        <v>13872</v>
      </c>
      <c r="J195" s="270">
        <v>1700</v>
      </c>
      <c r="K195" s="270">
        <v>1700</v>
      </c>
      <c r="L195" s="270">
        <f t="shared" si="24"/>
        <v>0</v>
      </c>
      <c r="M195" s="270">
        <v>1300</v>
      </c>
      <c r="N195" s="270">
        <v>1300</v>
      </c>
      <c r="O195" s="270">
        <f t="shared" si="25"/>
        <v>0</v>
      </c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</row>
    <row r="196" spans="1:26" s="878" customFormat="1" ht="18" customHeight="1">
      <c r="A196" s="827">
        <v>45035</v>
      </c>
      <c r="B196" s="992">
        <v>3473345823</v>
      </c>
      <c r="C196" s="389" t="s">
        <v>13886</v>
      </c>
      <c r="D196" s="817">
        <v>38370</v>
      </c>
      <c r="E196" s="512">
        <v>917461074948</v>
      </c>
      <c r="F196" s="389"/>
      <c r="G196" s="446" t="s">
        <v>478</v>
      </c>
      <c r="H196" s="389"/>
      <c r="I196" s="446" t="s">
        <v>12018</v>
      </c>
      <c r="J196" s="389">
        <v>5500</v>
      </c>
      <c r="K196" s="389">
        <f>3000+2500</f>
        <v>5500</v>
      </c>
      <c r="L196" s="389">
        <f t="shared" si="24"/>
        <v>0</v>
      </c>
      <c r="M196" s="389">
        <v>4900</v>
      </c>
      <c r="N196" s="389">
        <f>2500+2400</f>
        <v>4900</v>
      </c>
      <c r="O196" s="389">
        <f t="shared" si="25"/>
        <v>0</v>
      </c>
      <c r="P196" s="389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</row>
    <row r="197" spans="1:26" ht="18" customHeight="1">
      <c r="A197" s="815"/>
      <c r="B197" s="914">
        <v>2873892723</v>
      </c>
      <c r="C197" s="717" t="s">
        <v>13885</v>
      </c>
      <c r="D197" s="818">
        <v>38427</v>
      </c>
      <c r="E197" s="718">
        <v>917677842838</v>
      </c>
      <c r="F197" s="389" t="s">
        <v>11938</v>
      </c>
      <c r="G197" s="446"/>
      <c r="H197" s="389"/>
      <c r="I197" s="446" t="s">
        <v>12018</v>
      </c>
      <c r="J197" s="389">
        <v>5500</v>
      </c>
      <c r="K197" s="389">
        <f>3000+2500</f>
        <v>5500</v>
      </c>
      <c r="L197" s="389">
        <f t="shared" si="24"/>
        <v>0</v>
      </c>
      <c r="M197" s="389">
        <v>4900</v>
      </c>
      <c r="N197" s="270">
        <f>2500+2500</f>
        <v>5000</v>
      </c>
      <c r="O197" s="270">
        <f t="shared" si="25"/>
        <v>-100</v>
      </c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</row>
    <row r="198" spans="1:26" ht="18" customHeight="1">
      <c r="A198" s="324">
        <v>45040</v>
      </c>
      <c r="B198" s="389">
        <v>1466231123</v>
      </c>
      <c r="C198" s="389" t="s">
        <v>13898</v>
      </c>
      <c r="D198" s="817">
        <v>26754</v>
      </c>
      <c r="E198" s="512">
        <v>919234604219</v>
      </c>
      <c r="F198" s="389" t="s">
        <v>11938</v>
      </c>
      <c r="G198" s="446"/>
      <c r="H198" s="389"/>
      <c r="I198" s="446" t="s">
        <v>13899</v>
      </c>
      <c r="J198" s="389">
        <v>1700</v>
      </c>
      <c r="K198" s="389">
        <v>1700</v>
      </c>
      <c r="L198" s="389">
        <f t="shared" si="24"/>
        <v>0</v>
      </c>
      <c r="M198" s="389">
        <v>1300</v>
      </c>
      <c r="N198" s="389">
        <v>1300</v>
      </c>
      <c r="O198" s="389">
        <f t="shared" si="25"/>
        <v>0</v>
      </c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</row>
    <row r="199" spans="1:26" ht="18" customHeight="1">
      <c r="A199" s="954">
        <v>45061</v>
      </c>
      <c r="B199" s="955">
        <v>3994984223</v>
      </c>
      <c r="C199" s="955" t="s">
        <v>13976</v>
      </c>
      <c r="D199" s="956">
        <v>37867</v>
      </c>
      <c r="E199" s="957">
        <v>919798528846</v>
      </c>
      <c r="F199" s="955">
        <v>7519966508</v>
      </c>
      <c r="G199" s="946" t="s">
        <v>12043</v>
      </c>
      <c r="H199" s="942"/>
      <c r="I199" s="946" t="s">
        <v>12018</v>
      </c>
      <c r="J199" s="942">
        <v>5500</v>
      </c>
      <c r="K199" s="942">
        <f>3000+2500</f>
        <v>5500</v>
      </c>
      <c r="L199" s="942">
        <f t="shared" si="24"/>
        <v>0</v>
      </c>
      <c r="M199" s="942">
        <v>4900</v>
      </c>
      <c r="N199" s="942">
        <f>2500+2400</f>
        <v>4900</v>
      </c>
      <c r="O199" s="942">
        <f t="shared" si="25"/>
        <v>0</v>
      </c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</row>
    <row r="200" spans="1:26" ht="18" customHeight="1">
      <c r="A200" s="324">
        <v>45063</v>
      </c>
      <c r="B200" s="270"/>
      <c r="C200" s="270" t="s">
        <v>6546</v>
      </c>
      <c r="D200" s="438">
        <v>33748</v>
      </c>
      <c r="E200" s="447">
        <v>917070360382</v>
      </c>
      <c r="G200" s="334"/>
      <c r="H200" s="270"/>
      <c r="I200" s="334"/>
      <c r="J200" s="270"/>
      <c r="K200" s="270"/>
      <c r="L200" s="270"/>
      <c r="M200" s="270">
        <v>0</v>
      </c>
      <c r="N200" s="270">
        <v>0</v>
      </c>
      <c r="O200" s="270">
        <f t="shared" ref="O200:O209" si="26">M200-N200</f>
        <v>0</v>
      </c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</row>
    <row r="201" spans="1:26" ht="18" customHeight="1">
      <c r="A201" s="324">
        <v>45076</v>
      </c>
      <c r="B201" s="270">
        <v>1984814023</v>
      </c>
      <c r="C201" s="270" t="s">
        <v>13960</v>
      </c>
      <c r="D201" s="438">
        <v>38471</v>
      </c>
      <c r="E201" s="447">
        <v>917004062939</v>
      </c>
      <c r="F201" s="328" t="s">
        <v>14665</v>
      </c>
      <c r="G201" s="334" t="s">
        <v>14912</v>
      </c>
      <c r="H201" s="270"/>
      <c r="I201" s="779" t="s">
        <v>12018</v>
      </c>
      <c r="J201" s="270">
        <v>5500</v>
      </c>
      <c r="K201" s="270">
        <f>3000+2500</f>
        <v>5500</v>
      </c>
      <c r="L201" s="270">
        <f t="shared" si="24"/>
        <v>0</v>
      </c>
      <c r="M201" s="270">
        <v>4900</v>
      </c>
      <c r="N201" s="270">
        <v>2500</v>
      </c>
      <c r="O201" s="270">
        <f t="shared" si="26"/>
        <v>2400</v>
      </c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</row>
    <row r="202" spans="1:26" ht="18" customHeight="1">
      <c r="A202" s="324">
        <v>45078</v>
      </c>
      <c r="B202" s="270">
        <v>2026308823</v>
      </c>
      <c r="C202" s="389" t="s">
        <v>14069</v>
      </c>
      <c r="D202" s="817">
        <v>36167</v>
      </c>
      <c r="E202" s="512">
        <v>919771768870</v>
      </c>
      <c r="F202" s="389" t="s">
        <v>478</v>
      </c>
      <c r="G202" s="446" t="s">
        <v>14683</v>
      </c>
      <c r="H202" s="389"/>
      <c r="I202" s="446" t="s">
        <v>12085</v>
      </c>
      <c r="J202" s="389">
        <v>4300</v>
      </c>
      <c r="K202" s="389">
        <f>2500+1800</f>
        <v>4300</v>
      </c>
      <c r="L202" s="389">
        <f t="shared" si="24"/>
        <v>0</v>
      </c>
      <c r="M202" s="389">
        <v>3600</v>
      </c>
      <c r="N202" s="389">
        <f>2000+1600</f>
        <v>3600</v>
      </c>
      <c r="O202" s="389">
        <f t="shared" si="26"/>
        <v>0</v>
      </c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</row>
    <row r="203" spans="1:26" ht="18" customHeight="1">
      <c r="A203" s="324">
        <v>45079</v>
      </c>
      <c r="B203" s="270"/>
      <c r="C203" s="270" t="s">
        <v>14074</v>
      </c>
      <c r="D203" s="438">
        <v>22809</v>
      </c>
      <c r="E203" s="447">
        <v>919939644298</v>
      </c>
      <c r="F203" s="270" t="s">
        <v>1111</v>
      </c>
      <c r="G203" s="334"/>
      <c r="H203" s="270"/>
      <c r="I203" s="334" t="s">
        <v>12027</v>
      </c>
      <c r="J203" s="270">
        <v>5500</v>
      </c>
      <c r="K203" s="270">
        <v>5500</v>
      </c>
      <c r="L203" s="270">
        <f t="shared" si="24"/>
        <v>0</v>
      </c>
      <c r="M203" s="270">
        <v>5100</v>
      </c>
      <c r="N203" s="270">
        <v>5100</v>
      </c>
      <c r="O203" s="270">
        <f t="shared" si="26"/>
        <v>0</v>
      </c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</row>
    <row r="204" spans="1:26" ht="18" customHeight="1">
      <c r="A204" s="827">
        <v>45079</v>
      </c>
      <c r="B204" s="389">
        <v>2043023823</v>
      </c>
      <c r="C204" s="389" t="s">
        <v>14076</v>
      </c>
      <c r="D204" s="817">
        <v>24727</v>
      </c>
      <c r="E204" s="512">
        <v>917209393027</v>
      </c>
      <c r="F204" s="389"/>
      <c r="G204" s="446"/>
      <c r="H204" s="389"/>
      <c r="I204" s="446" t="s">
        <v>12027</v>
      </c>
      <c r="J204" s="389">
        <v>1700</v>
      </c>
      <c r="K204" s="389">
        <v>1700</v>
      </c>
      <c r="L204" s="389">
        <f t="shared" si="24"/>
        <v>0</v>
      </c>
      <c r="M204" s="389">
        <v>1300</v>
      </c>
      <c r="N204" s="389">
        <v>1300</v>
      </c>
      <c r="O204" s="389">
        <f t="shared" si="26"/>
        <v>0</v>
      </c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</row>
    <row r="205" spans="1:26" ht="18" customHeight="1">
      <c r="A205" s="324">
        <v>45081</v>
      </c>
      <c r="B205" s="270"/>
      <c r="C205" s="270" t="s">
        <v>14088</v>
      </c>
      <c r="D205" s="438">
        <v>22839</v>
      </c>
      <c r="E205" s="447">
        <v>918797357063</v>
      </c>
      <c r="G205" s="270" t="s">
        <v>14155</v>
      </c>
      <c r="H205" s="270"/>
      <c r="I205" s="334" t="s">
        <v>11985</v>
      </c>
      <c r="J205" s="270">
        <v>1700</v>
      </c>
      <c r="K205" s="270">
        <v>1700</v>
      </c>
      <c r="L205" s="270">
        <f t="shared" si="24"/>
        <v>0</v>
      </c>
      <c r="M205" s="270">
        <v>1300</v>
      </c>
      <c r="N205" s="270">
        <v>1300</v>
      </c>
      <c r="O205" s="270">
        <f t="shared" si="26"/>
        <v>0</v>
      </c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</row>
    <row r="206" spans="1:26" ht="18" customHeight="1">
      <c r="A206" s="815"/>
      <c r="B206" s="389"/>
      <c r="C206" s="389" t="s">
        <v>14105</v>
      </c>
      <c r="D206" s="817"/>
      <c r="E206" s="512">
        <v>917209497812</v>
      </c>
      <c r="F206" s="389"/>
      <c r="G206" s="446"/>
      <c r="H206" s="389"/>
      <c r="I206" s="446" t="s">
        <v>9108</v>
      </c>
      <c r="J206" s="389">
        <v>1500</v>
      </c>
      <c r="K206" s="389">
        <v>1500</v>
      </c>
      <c r="L206" s="389">
        <f t="shared" si="24"/>
        <v>0</v>
      </c>
      <c r="M206" s="389">
        <v>1200</v>
      </c>
      <c r="N206" s="389">
        <v>1200</v>
      </c>
      <c r="O206" s="389">
        <f t="shared" si="26"/>
        <v>0</v>
      </c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</row>
    <row r="207" spans="1:26" ht="18" customHeight="1">
      <c r="A207" s="324">
        <v>45087</v>
      </c>
      <c r="B207" s="270">
        <v>2152017723</v>
      </c>
      <c r="C207" s="270" t="s">
        <v>14113</v>
      </c>
      <c r="D207" s="438">
        <v>31674</v>
      </c>
      <c r="E207" s="447">
        <v>918797206027</v>
      </c>
      <c r="F207" s="326" t="s">
        <v>13626</v>
      </c>
      <c r="G207" s="334"/>
      <c r="H207" s="270"/>
      <c r="I207" s="334" t="s">
        <v>12018</v>
      </c>
      <c r="J207" s="270">
        <v>5500</v>
      </c>
      <c r="K207" s="270">
        <f>3000+2500</f>
        <v>5500</v>
      </c>
      <c r="L207" s="270">
        <f t="shared" si="24"/>
        <v>0</v>
      </c>
      <c r="M207" s="270">
        <v>4900</v>
      </c>
      <c r="N207" s="270">
        <f>2500+2400</f>
        <v>4900</v>
      </c>
      <c r="O207" s="270">
        <f t="shared" si="26"/>
        <v>0</v>
      </c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</row>
    <row r="208" spans="1:26" ht="18" customHeight="1">
      <c r="A208" s="324">
        <v>45090</v>
      </c>
      <c r="B208" s="389">
        <v>2187739123</v>
      </c>
      <c r="C208" s="389" t="s">
        <v>14154</v>
      </c>
      <c r="D208" s="817">
        <v>26538</v>
      </c>
      <c r="E208" s="512"/>
      <c r="F208" s="389" t="s">
        <v>11938</v>
      </c>
      <c r="G208" s="446"/>
      <c r="H208" s="389"/>
      <c r="I208" s="446" t="s">
        <v>12027</v>
      </c>
      <c r="J208" s="389">
        <v>1700</v>
      </c>
      <c r="K208" s="389">
        <v>1700</v>
      </c>
      <c r="L208" s="389">
        <f t="shared" si="24"/>
        <v>0</v>
      </c>
      <c r="M208" s="389">
        <v>1300</v>
      </c>
      <c r="N208" s="389">
        <v>1300</v>
      </c>
      <c r="O208" s="389">
        <f t="shared" si="26"/>
        <v>0</v>
      </c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</row>
    <row r="209" spans="1:26" ht="18" customHeight="1">
      <c r="A209" s="941">
        <v>45195</v>
      </c>
      <c r="B209" s="942">
        <v>3729667223</v>
      </c>
      <c r="C209" s="942" t="s">
        <v>14225</v>
      </c>
      <c r="D209" s="943">
        <v>36601</v>
      </c>
      <c r="E209" s="944">
        <v>919065675300</v>
      </c>
      <c r="F209" s="945"/>
      <c r="G209" s="946"/>
      <c r="H209" s="942"/>
      <c r="I209" s="946" t="s">
        <v>12018</v>
      </c>
      <c r="J209" s="942">
        <v>5500</v>
      </c>
      <c r="K209" s="942">
        <f>3000+2500</f>
        <v>5500</v>
      </c>
      <c r="L209" s="942">
        <f t="shared" si="24"/>
        <v>0</v>
      </c>
      <c r="M209" s="942">
        <v>4900</v>
      </c>
      <c r="N209" s="942">
        <f>2500+2400</f>
        <v>4900</v>
      </c>
      <c r="O209" s="942">
        <f t="shared" si="26"/>
        <v>0</v>
      </c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</row>
    <row r="210" spans="1:26" ht="18" customHeight="1">
      <c r="A210" s="949">
        <v>45103</v>
      </c>
      <c r="B210" s="966">
        <v>3668300823</v>
      </c>
      <c r="C210" s="950" t="s">
        <v>14226</v>
      </c>
      <c r="D210" s="951">
        <v>33427</v>
      </c>
      <c r="E210" s="952"/>
      <c r="F210" s="953" t="s">
        <v>13626</v>
      </c>
      <c r="G210" s="953" t="s">
        <v>14647</v>
      </c>
      <c r="H210" s="950"/>
      <c r="I210" s="953" t="s">
        <v>12018</v>
      </c>
      <c r="J210" s="950">
        <v>5400</v>
      </c>
      <c r="K210" s="950">
        <f>3000+2400</f>
        <v>5400</v>
      </c>
      <c r="L210" s="950">
        <f t="shared" si="24"/>
        <v>0</v>
      </c>
      <c r="M210" s="950">
        <v>4900</v>
      </c>
      <c r="N210" s="950">
        <f>2500+2400</f>
        <v>4900</v>
      </c>
      <c r="O210" s="950">
        <f t="shared" ref="O210:O217" si="27">M210-N210</f>
        <v>0</v>
      </c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</row>
    <row r="211" spans="1:26" ht="18" customHeight="1">
      <c r="A211" s="949">
        <v>45103</v>
      </c>
      <c r="B211" s="950">
        <v>3668363023</v>
      </c>
      <c r="C211" s="950" t="s">
        <v>14227</v>
      </c>
      <c r="D211" s="951">
        <v>35598</v>
      </c>
      <c r="E211" s="952"/>
      <c r="F211" s="953" t="s">
        <v>13626</v>
      </c>
      <c r="G211" s="951">
        <v>45255</v>
      </c>
      <c r="H211" s="950"/>
      <c r="I211" s="953" t="s">
        <v>12018</v>
      </c>
      <c r="J211" s="950">
        <v>5400</v>
      </c>
      <c r="K211" s="950">
        <f>3000+2400</f>
        <v>5400</v>
      </c>
      <c r="L211" s="950">
        <f t="shared" si="24"/>
        <v>0</v>
      </c>
      <c r="M211" s="950">
        <v>4900</v>
      </c>
      <c r="N211" s="950">
        <f>2500+2400</f>
        <v>4900</v>
      </c>
      <c r="O211" s="950">
        <f t="shared" si="27"/>
        <v>0</v>
      </c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</row>
    <row r="212" spans="1:26" ht="18" customHeight="1">
      <c r="A212" s="949">
        <v>45105</v>
      </c>
      <c r="B212" s="950">
        <v>3684460523</v>
      </c>
      <c r="C212" s="950" t="s">
        <v>14238</v>
      </c>
      <c r="D212" s="951">
        <v>30533</v>
      </c>
      <c r="E212" s="952">
        <v>918709271105</v>
      </c>
      <c r="F212" s="953" t="s">
        <v>13626</v>
      </c>
      <c r="G212" s="951">
        <v>45255</v>
      </c>
      <c r="H212" s="950"/>
      <c r="I212" s="953" t="s">
        <v>12018</v>
      </c>
      <c r="J212" s="950">
        <v>5500</v>
      </c>
      <c r="K212" s="950">
        <f>3000+2500</f>
        <v>5500</v>
      </c>
      <c r="L212" s="950">
        <f t="shared" si="24"/>
        <v>0</v>
      </c>
      <c r="M212" s="950">
        <v>4900</v>
      </c>
      <c r="N212" s="950">
        <f>2500+2400</f>
        <v>4900</v>
      </c>
      <c r="O212" s="950">
        <f t="shared" si="27"/>
        <v>0</v>
      </c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</row>
    <row r="213" spans="1:26" ht="18" customHeight="1">
      <c r="A213" s="815"/>
      <c r="B213" s="389"/>
      <c r="C213" s="389" t="s">
        <v>7910</v>
      </c>
      <c r="D213" s="817"/>
      <c r="E213" s="512">
        <v>919234221972</v>
      </c>
      <c r="F213" s="389" t="s">
        <v>1111</v>
      </c>
      <c r="G213" s="446"/>
      <c r="H213" s="389"/>
      <c r="I213" s="446" t="s">
        <v>11985</v>
      </c>
      <c r="J213" s="389">
        <v>1500</v>
      </c>
      <c r="K213" s="389">
        <v>1500</v>
      </c>
      <c r="L213" s="389">
        <f t="shared" si="24"/>
        <v>0</v>
      </c>
      <c r="M213" s="389">
        <v>1300</v>
      </c>
      <c r="N213" s="389">
        <v>1300</v>
      </c>
      <c r="O213" s="389">
        <f t="shared" si="27"/>
        <v>0</v>
      </c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</row>
    <row r="214" spans="1:26" ht="18" customHeight="1">
      <c r="A214" s="815"/>
      <c r="B214" s="389"/>
      <c r="C214" s="389" t="s">
        <v>14269</v>
      </c>
      <c r="D214" s="817"/>
      <c r="E214" s="512">
        <v>917209497812</v>
      </c>
      <c r="G214" s="446" t="s">
        <v>14270</v>
      </c>
      <c r="H214" s="389"/>
      <c r="I214" s="389" t="s">
        <v>13592</v>
      </c>
      <c r="J214" s="389">
        <v>1500</v>
      </c>
      <c r="K214" s="389">
        <v>1500</v>
      </c>
      <c r="L214" s="389">
        <f t="shared" si="24"/>
        <v>0</v>
      </c>
      <c r="M214" s="389">
        <v>1200</v>
      </c>
      <c r="N214" s="389">
        <v>1200</v>
      </c>
      <c r="O214" s="389">
        <f t="shared" si="27"/>
        <v>0</v>
      </c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</row>
    <row r="215" spans="1:26" ht="18" customHeight="1">
      <c r="A215" s="324">
        <v>45111</v>
      </c>
      <c r="B215" s="270"/>
      <c r="C215" s="270" t="s">
        <v>10741</v>
      </c>
      <c r="D215" s="438">
        <v>29343</v>
      </c>
      <c r="E215" s="447">
        <v>919931195820</v>
      </c>
      <c r="F215" s="270" t="s">
        <v>14352</v>
      </c>
      <c r="G215" s="334"/>
      <c r="H215" s="270"/>
      <c r="I215" s="334"/>
      <c r="J215" s="270">
        <v>1500</v>
      </c>
      <c r="K215" s="270">
        <v>1500</v>
      </c>
      <c r="L215" s="270">
        <f t="shared" si="24"/>
        <v>0</v>
      </c>
      <c r="M215" s="270">
        <v>1400</v>
      </c>
      <c r="N215" s="270">
        <v>1400</v>
      </c>
      <c r="O215" s="270">
        <f t="shared" si="27"/>
        <v>0</v>
      </c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</row>
    <row r="216" spans="1:26" ht="18" customHeight="1">
      <c r="A216" s="335"/>
      <c r="B216" s="270">
        <v>2528669823</v>
      </c>
      <c r="C216" s="270" t="s">
        <v>13978</v>
      </c>
      <c r="D216" s="438">
        <v>38239</v>
      </c>
      <c r="E216" s="447">
        <v>919931471556</v>
      </c>
      <c r="F216" s="326">
        <v>45157</v>
      </c>
      <c r="G216" s="334" t="s">
        <v>14857</v>
      </c>
      <c r="H216" s="270"/>
      <c r="I216" s="334" t="s">
        <v>12018</v>
      </c>
      <c r="J216" s="270">
        <v>5500</v>
      </c>
      <c r="K216" s="270">
        <f>3000+2500</f>
        <v>5500</v>
      </c>
      <c r="L216" s="270">
        <f t="shared" si="24"/>
        <v>0</v>
      </c>
      <c r="M216" s="270">
        <v>4900</v>
      </c>
      <c r="N216" s="270">
        <f>2500+2400</f>
        <v>4900</v>
      </c>
      <c r="O216" s="270">
        <f t="shared" si="27"/>
        <v>0</v>
      </c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</row>
    <row r="217" spans="1:26" ht="18" customHeight="1">
      <c r="A217" s="335"/>
      <c r="B217" s="270"/>
      <c r="C217" s="389" t="s">
        <v>14291</v>
      </c>
      <c r="D217" s="817"/>
      <c r="E217" s="512">
        <v>919279250587</v>
      </c>
      <c r="F217" s="389" t="s">
        <v>14416</v>
      </c>
      <c r="G217" s="446"/>
      <c r="H217" s="389"/>
      <c r="I217" s="446" t="s">
        <v>11985</v>
      </c>
      <c r="J217" s="389">
        <v>4500</v>
      </c>
      <c r="K217" s="389">
        <v>4500</v>
      </c>
      <c r="L217" s="389">
        <f t="shared" si="24"/>
        <v>0</v>
      </c>
      <c r="M217" s="389">
        <v>4000</v>
      </c>
      <c r="N217" s="389">
        <v>4000</v>
      </c>
      <c r="O217" s="389">
        <f t="shared" si="27"/>
        <v>0</v>
      </c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</row>
    <row r="218" spans="1:26" ht="18" customHeight="1">
      <c r="A218" s="335"/>
      <c r="B218" s="270"/>
      <c r="C218" s="389" t="s">
        <v>14298</v>
      </c>
      <c r="D218" s="817">
        <v>23877</v>
      </c>
      <c r="E218" s="512">
        <v>919801343027</v>
      </c>
      <c r="F218" s="389" t="s">
        <v>14417</v>
      </c>
      <c r="G218" s="446"/>
      <c r="H218" s="389"/>
      <c r="I218" s="446" t="s">
        <v>11985</v>
      </c>
      <c r="J218" s="389">
        <v>4500</v>
      </c>
      <c r="K218" s="389">
        <v>4500</v>
      </c>
      <c r="L218" s="389">
        <f t="shared" ref="L218:L219" si="28">J218-K218</f>
        <v>0</v>
      </c>
      <c r="M218" s="389">
        <v>4000</v>
      </c>
      <c r="N218" s="389">
        <v>4000</v>
      </c>
      <c r="O218" s="389">
        <f t="shared" ref="O218:O219" si="29">M218-N218</f>
        <v>0</v>
      </c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</row>
    <row r="219" spans="1:26" ht="18" customHeight="1">
      <c r="A219" s="941">
        <v>45195</v>
      </c>
      <c r="B219" s="389">
        <v>3729602523</v>
      </c>
      <c r="C219" s="389" t="s">
        <v>5067</v>
      </c>
      <c r="D219" s="817">
        <v>37563</v>
      </c>
      <c r="E219" s="512">
        <v>917033989059</v>
      </c>
      <c r="F219" s="653" t="s">
        <v>13626</v>
      </c>
      <c r="G219" s="446"/>
      <c r="H219" s="389"/>
      <c r="I219" s="446" t="s">
        <v>12018</v>
      </c>
      <c r="J219" s="389">
        <v>5500</v>
      </c>
      <c r="K219" s="389">
        <f>3000+2500</f>
        <v>5500</v>
      </c>
      <c r="L219" s="389">
        <f t="shared" si="28"/>
        <v>0</v>
      </c>
      <c r="M219" s="389">
        <v>4900</v>
      </c>
      <c r="N219" s="389">
        <f>2500+2400</f>
        <v>4900</v>
      </c>
      <c r="O219" s="389">
        <f t="shared" si="29"/>
        <v>0</v>
      </c>
      <c r="P219" s="270"/>
      <c r="Q219" s="270"/>
      <c r="R219" s="270" t="s">
        <v>14824</v>
      </c>
      <c r="S219" s="270"/>
      <c r="T219" s="270"/>
      <c r="U219" s="270"/>
      <c r="V219" s="270"/>
      <c r="W219" s="270"/>
      <c r="X219" s="270"/>
      <c r="Y219" s="270"/>
      <c r="Z219" s="270"/>
    </row>
    <row r="220" spans="1:26" s="878" customFormat="1" ht="18" customHeight="1">
      <c r="A220" s="827">
        <v>45130</v>
      </c>
      <c r="B220" s="389">
        <v>2265020123</v>
      </c>
      <c r="C220" s="389" t="s">
        <v>14451</v>
      </c>
      <c r="D220" s="817">
        <v>24451</v>
      </c>
      <c r="E220" s="512">
        <v>919709107355</v>
      </c>
      <c r="I220" s="446" t="s">
        <v>11985</v>
      </c>
      <c r="J220" s="389">
        <v>1700</v>
      </c>
      <c r="K220" s="389">
        <f>1200+500</f>
        <v>1700</v>
      </c>
      <c r="L220" s="389">
        <f t="shared" ref="L220:L225" si="30">J220-K220</f>
        <v>0</v>
      </c>
      <c r="M220" s="389">
        <v>1300</v>
      </c>
      <c r="N220" s="389">
        <v>1300</v>
      </c>
      <c r="O220" s="389">
        <f t="shared" ref="O220:O225" si="31">M220-N220</f>
        <v>0</v>
      </c>
      <c r="P220" s="389"/>
      <c r="Q220" s="389"/>
      <c r="R220" s="389"/>
      <c r="S220" s="389"/>
      <c r="T220" s="389"/>
      <c r="U220" s="389"/>
      <c r="V220" s="389"/>
      <c r="W220" s="389"/>
      <c r="X220" s="389"/>
      <c r="Y220" s="389"/>
      <c r="Z220" s="389"/>
    </row>
    <row r="221" spans="1:26" ht="18" customHeight="1">
      <c r="A221" s="941">
        <v>45250</v>
      </c>
      <c r="B221" s="942">
        <v>4394839923</v>
      </c>
      <c r="C221" s="942" t="s">
        <v>14476</v>
      </c>
      <c r="D221" s="943">
        <v>20350</v>
      </c>
      <c r="E221" s="944">
        <v>919852438170</v>
      </c>
      <c r="F221" s="945" t="s">
        <v>14726</v>
      </c>
      <c r="G221" s="946"/>
      <c r="H221" s="942"/>
      <c r="I221" s="946" t="s">
        <v>12018</v>
      </c>
      <c r="J221" s="942">
        <v>5700</v>
      </c>
      <c r="K221" s="942">
        <f>2500+1200+1000+500+500</f>
        <v>5700</v>
      </c>
      <c r="L221" s="942">
        <f t="shared" si="30"/>
        <v>0</v>
      </c>
      <c r="M221" s="942">
        <v>4900</v>
      </c>
      <c r="N221" s="942">
        <f>2000+2900</f>
        <v>4900</v>
      </c>
      <c r="O221" s="942">
        <f t="shared" si="31"/>
        <v>0</v>
      </c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</row>
    <row r="222" spans="1:26" ht="18" customHeight="1">
      <c r="A222" s="941">
        <v>45136</v>
      </c>
      <c r="B222" s="942">
        <v>3994573223</v>
      </c>
      <c r="C222" s="942" t="s">
        <v>14497</v>
      </c>
      <c r="D222" s="943">
        <v>35676</v>
      </c>
      <c r="E222" s="944">
        <v>918822716325</v>
      </c>
      <c r="F222" s="945" t="s">
        <v>14710</v>
      </c>
      <c r="G222" s="943"/>
      <c r="H222" s="942"/>
      <c r="I222" s="946" t="s">
        <v>12018</v>
      </c>
      <c r="J222" s="942">
        <v>5500</v>
      </c>
      <c r="K222" s="942">
        <f>3000+2500</f>
        <v>5500</v>
      </c>
      <c r="L222" s="942">
        <f t="shared" si="30"/>
        <v>0</v>
      </c>
      <c r="M222" s="942">
        <v>4900</v>
      </c>
      <c r="N222" s="942">
        <f>2500+2400</f>
        <v>4900</v>
      </c>
      <c r="O222" s="942">
        <f t="shared" si="31"/>
        <v>0</v>
      </c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</row>
    <row r="223" spans="1:26" ht="18" customHeight="1">
      <c r="A223" s="941">
        <v>45136</v>
      </c>
      <c r="B223" s="942">
        <v>2873769023</v>
      </c>
      <c r="C223" s="942" t="s">
        <v>14498</v>
      </c>
      <c r="D223" s="943">
        <v>38529</v>
      </c>
      <c r="E223" s="944">
        <v>917070911538</v>
      </c>
      <c r="F223" s="945" t="s">
        <v>14710</v>
      </c>
      <c r="G223" s="943"/>
      <c r="H223" s="942"/>
      <c r="I223" s="946" t="s">
        <v>12018</v>
      </c>
      <c r="J223" s="942">
        <v>5500</v>
      </c>
      <c r="K223" s="942">
        <f>2500+3000</f>
        <v>5500</v>
      </c>
      <c r="L223" s="942">
        <f t="shared" si="30"/>
        <v>0</v>
      </c>
      <c r="M223" s="942">
        <v>4900</v>
      </c>
      <c r="N223" s="942">
        <f>2500+2400</f>
        <v>4900</v>
      </c>
      <c r="O223" s="942">
        <f t="shared" si="31"/>
        <v>0</v>
      </c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</row>
    <row r="224" spans="1:26" ht="18" customHeight="1">
      <c r="A224" s="941">
        <v>45250</v>
      </c>
      <c r="B224" s="942">
        <v>4394920423</v>
      </c>
      <c r="C224" s="942" t="s">
        <v>14518</v>
      </c>
      <c r="D224" s="943">
        <v>35353</v>
      </c>
      <c r="E224" s="944">
        <v>917991103560</v>
      </c>
      <c r="F224" s="947" t="s">
        <v>14725</v>
      </c>
      <c r="G224" s="946"/>
      <c r="H224" s="942"/>
      <c r="I224" s="946" t="s">
        <v>12018</v>
      </c>
      <c r="J224" s="942">
        <v>5500</v>
      </c>
      <c r="K224" s="942">
        <v>3000</v>
      </c>
      <c r="L224" s="942">
        <f t="shared" si="30"/>
        <v>2500</v>
      </c>
      <c r="M224" s="942">
        <v>4900</v>
      </c>
      <c r="N224" s="942">
        <f>2500+2400</f>
        <v>4900</v>
      </c>
      <c r="O224" s="942">
        <f t="shared" si="31"/>
        <v>0</v>
      </c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</row>
    <row r="225" spans="1:26" ht="18" customHeight="1">
      <c r="A225" s="941">
        <v>45145</v>
      </c>
      <c r="B225" s="942">
        <v>399481823</v>
      </c>
      <c r="C225" s="942" t="s">
        <v>14544</v>
      </c>
      <c r="D225" s="943">
        <v>36801</v>
      </c>
      <c r="E225" s="944">
        <v>919608781143</v>
      </c>
      <c r="F225" s="945" t="s">
        <v>12043</v>
      </c>
      <c r="G225" s="943"/>
      <c r="H225" s="942"/>
      <c r="I225" s="946" t="s">
        <v>12018</v>
      </c>
      <c r="J225" s="942">
        <v>5500</v>
      </c>
      <c r="K225" s="942">
        <f>2500+2000</f>
        <v>4500</v>
      </c>
      <c r="L225" s="942">
        <f t="shared" si="30"/>
        <v>1000</v>
      </c>
      <c r="M225" s="942">
        <v>4900</v>
      </c>
      <c r="N225" s="942">
        <f>2500+2400</f>
        <v>4900</v>
      </c>
      <c r="O225" s="942">
        <f t="shared" si="31"/>
        <v>0</v>
      </c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</row>
    <row r="226" spans="1:26" ht="18" customHeight="1">
      <c r="A226" s="827">
        <v>45145</v>
      </c>
      <c r="B226" s="389">
        <v>8935997973</v>
      </c>
      <c r="C226" s="389" t="s">
        <v>14431</v>
      </c>
      <c r="D226" s="817">
        <v>26895</v>
      </c>
      <c r="E226" s="512">
        <v>918935997973</v>
      </c>
      <c r="F226" s="389" t="s">
        <v>11938</v>
      </c>
      <c r="G226" s="446"/>
      <c r="H226" s="389"/>
      <c r="I226" s="446" t="s">
        <v>11985</v>
      </c>
      <c r="J226" s="389">
        <v>1600</v>
      </c>
      <c r="K226" s="389">
        <v>1600</v>
      </c>
      <c r="L226" s="389">
        <f t="shared" ref="L226:L244" si="32">J226-K226</f>
        <v>0</v>
      </c>
      <c r="M226" s="389">
        <v>1300</v>
      </c>
      <c r="N226" s="389">
        <v>1300</v>
      </c>
      <c r="O226" s="389">
        <f t="shared" ref="O226:O244" si="33">M226-N226</f>
        <v>0</v>
      </c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</row>
    <row r="227" spans="1:26" ht="18" customHeight="1">
      <c r="A227" s="941">
        <v>45146</v>
      </c>
      <c r="B227" s="942">
        <v>3994748223</v>
      </c>
      <c r="C227" s="942" t="s">
        <v>14546</v>
      </c>
      <c r="D227" s="943">
        <v>30691</v>
      </c>
      <c r="E227" s="944">
        <v>917488177612</v>
      </c>
      <c r="F227" s="945" t="s">
        <v>12043</v>
      </c>
      <c r="G227" s="943">
        <v>45279</v>
      </c>
      <c r="H227" s="942"/>
      <c r="I227" s="946" t="s">
        <v>12018</v>
      </c>
      <c r="J227" s="942">
        <v>5500</v>
      </c>
      <c r="K227" s="942">
        <f>3000+2500</f>
        <v>5500</v>
      </c>
      <c r="L227" s="942">
        <f t="shared" si="32"/>
        <v>0</v>
      </c>
      <c r="M227" s="942">
        <v>4900</v>
      </c>
      <c r="N227" s="942">
        <f>2500+2400</f>
        <v>4900</v>
      </c>
      <c r="O227" s="942">
        <f t="shared" si="33"/>
        <v>0</v>
      </c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</row>
    <row r="228" spans="1:26" ht="18" customHeight="1">
      <c r="A228" s="941">
        <v>45250</v>
      </c>
      <c r="B228" s="942">
        <v>4394957123</v>
      </c>
      <c r="C228" s="942" t="s">
        <v>14626</v>
      </c>
      <c r="D228" s="943">
        <v>32528</v>
      </c>
      <c r="E228" s="944">
        <v>917992235737</v>
      </c>
      <c r="F228" s="948"/>
      <c r="G228" s="942"/>
      <c r="H228" s="942"/>
      <c r="I228" s="946" t="s">
        <v>12018</v>
      </c>
      <c r="J228" s="942">
        <v>5500</v>
      </c>
      <c r="K228" s="942">
        <f>3000+2500</f>
        <v>5500</v>
      </c>
      <c r="L228" s="942">
        <f t="shared" si="32"/>
        <v>0</v>
      </c>
      <c r="M228" s="942">
        <v>4900</v>
      </c>
      <c r="N228" s="942">
        <f>2400+2500</f>
        <v>4900</v>
      </c>
      <c r="O228" s="942">
        <f t="shared" si="33"/>
        <v>0</v>
      </c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</row>
    <row r="229" spans="1:26" ht="18" customHeight="1">
      <c r="A229" s="827">
        <v>45189</v>
      </c>
      <c r="B229" s="389"/>
      <c r="C229" s="389" t="s">
        <v>14636</v>
      </c>
      <c r="D229" s="817">
        <v>20428</v>
      </c>
      <c r="E229" s="512">
        <v>919771550850</v>
      </c>
      <c r="F229" s="389" t="s">
        <v>14647</v>
      </c>
      <c r="G229" s="878"/>
      <c r="H229" s="878"/>
      <c r="I229" s="916" t="s">
        <v>14638</v>
      </c>
      <c r="J229" s="389">
        <v>2000</v>
      </c>
      <c r="K229" s="389">
        <v>1700</v>
      </c>
      <c r="L229" s="389">
        <f t="shared" si="32"/>
        <v>300</v>
      </c>
      <c r="M229" s="389">
        <v>1800</v>
      </c>
      <c r="N229" s="270">
        <v>1800</v>
      </c>
      <c r="O229" s="270">
        <f t="shared" si="33"/>
        <v>0</v>
      </c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</row>
    <row r="230" spans="1:26" ht="18" customHeight="1">
      <c r="A230" s="827">
        <v>45189</v>
      </c>
      <c r="B230" s="389"/>
      <c r="C230" s="389" t="s">
        <v>14636</v>
      </c>
      <c r="D230" s="817">
        <v>20428</v>
      </c>
      <c r="E230" s="512">
        <v>919771550850</v>
      </c>
      <c r="F230" s="389" t="s">
        <v>11938</v>
      </c>
      <c r="G230" s="446"/>
      <c r="H230" s="389"/>
      <c r="I230" s="446" t="s">
        <v>11985</v>
      </c>
      <c r="J230" s="389">
        <v>1700</v>
      </c>
      <c r="K230" s="389">
        <v>1700</v>
      </c>
      <c r="L230" s="389">
        <f t="shared" si="32"/>
        <v>0</v>
      </c>
      <c r="M230" s="389">
        <v>1300</v>
      </c>
      <c r="N230" s="270">
        <v>1300</v>
      </c>
      <c r="O230" s="270">
        <f t="shared" si="33"/>
        <v>0</v>
      </c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</row>
    <row r="231" spans="1:26" ht="18" customHeight="1">
      <c r="A231" s="324">
        <v>45189</v>
      </c>
      <c r="B231" s="270">
        <v>3652578623</v>
      </c>
      <c r="C231" s="270" t="s">
        <v>14637</v>
      </c>
      <c r="D231" s="438">
        <v>31550</v>
      </c>
      <c r="E231" s="447">
        <v>917033298239</v>
      </c>
      <c r="F231" s="270"/>
      <c r="G231" s="334" t="s">
        <v>14932</v>
      </c>
      <c r="H231" s="270"/>
      <c r="I231" s="334" t="s">
        <v>12018</v>
      </c>
      <c r="J231" s="270">
        <v>5500</v>
      </c>
      <c r="K231" s="270">
        <f>3000+2500</f>
        <v>5500</v>
      </c>
      <c r="L231" s="270">
        <f t="shared" si="32"/>
        <v>0</v>
      </c>
      <c r="M231" s="270">
        <v>4900</v>
      </c>
      <c r="N231" s="270">
        <f>2500+2400</f>
        <v>4900</v>
      </c>
      <c r="O231" s="270">
        <f t="shared" si="33"/>
        <v>0</v>
      </c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</row>
    <row r="232" spans="1:26" ht="18" customHeight="1">
      <c r="A232" s="941">
        <v>45250</v>
      </c>
      <c r="B232" s="942">
        <v>4394990923</v>
      </c>
      <c r="C232" s="942" t="s">
        <v>14641</v>
      </c>
      <c r="D232" s="943">
        <v>34949</v>
      </c>
      <c r="E232" s="944">
        <v>916260447345</v>
      </c>
      <c r="F232" s="942" t="s">
        <v>13626</v>
      </c>
      <c r="G232" s="943">
        <v>45307</v>
      </c>
      <c r="H232" s="942"/>
      <c r="I232" s="946" t="s">
        <v>12018</v>
      </c>
      <c r="J232" s="942">
        <v>5500</v>
      </c>
      <c r="K232" s="942">
        <f>3000+2500</f>
        <v>5500</v>
      </c>
      <c r="L232" s="942">
        <f t="shared" si="32"/>
        <v>0</v>
      </c>
      <c r="M232" s="942">
        <v>4900</v>
      </c>
      <c r="N232" s="942">
        <f>2500+2400</f>
        <v>4900</v>
      </c>
      <c r="O232" s="942">
        <f t="shared" si="33"/>
        <v>0</v>
      </c>
      <c r="P232" s="270"/>
      <c r="Q232" s="270"/>
      <c r="R232" s="270">
        <f>4800+2500+1300</f>
        <v>8600</v>
      </c>
      <c r="S232" s="270"/>
      <c r="T232" s="270"/>
      <c r="U232" s="270"/>
      <c r="V232" s="270"/>
      <c r="W232" s="270"/>
      <c r="X232" s="270"/>
      <c r="Y232" s="270"/>
      <c r="Z232" s="270"/>
    </row>
    <row r="233" spans="1:26" ht="18" customHeight="1">
      <c r="A233" s="827">
        <v>45191</v>
      </c>
      <c r="B233" s="389"/>
      <c r="C233" s="389" t="s">
        <v>7019</v>
      </c>
      <c r="D233" s="817">
        <v>25933</v>
      </c>
      <c r="E233" s="512">
        <v>919570121221</v>
      </c>
      <c r="F233" s="389" t="s">
        <v>13842</v>
      </c>
      <c r="G233" s="446"/>
      <c r="H233" s="389"/>
      <c r="I233" s="446" t="s">
        <v>14646</v>
      </c>
      <c r="J233" s="389">
        <v>1700</v>
      </c>
      <c r="K233" s="389">
        <v>1700</v>
      </c>
      <c r="L233" s="389">
        <f t="shared" si="32"/>
        <v>0</v>
      </c>
      <c r="M233" s="389">
        <v>1300</v>
      </c>
      <c r="N233" s="389">
        <v>1300</v>
      </c>
      <c r="O233" s="389">
        <f t="shared" si="33"/>
        <v>0</v>
      </c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</row>
    <row r="234" spans="1:26" s="878" customFormat="1" ht="18" customHeight="1">
      <c r="A234" s="827">
        <v>45210</v>
      </c>
      <c r="B234" s="389"/>
      <c r="C234" s="389" t="s">
        <v>14692</v>
      </c>
      <c r="D234" s="817"/>
      <c r="E234" s="512">
        <v>8670225647</v>
      </c>
      <c r="F234" s="389" t="s">
        <v>478</v>
      </c>
      <c r="G234" s="817">
        <v>45286</v>
      </c>
      <c r="H234" s="389"/>
      <c r="I234" s="446" t="s">
        <v>12096</v>
      </c>
      <c r="J234" s="389">
        <v>1700</v>
      </c>
      <c r="K234" s="389">
        <v>1700</v>
      </c>
      <c r="L234" s="389">
        <f t="shared" si="32"/>
        <v>0</v>
      </c>
      <c r="M234" s="389">
        <v>1200</v>
      </c>
      <c r="N234" s="389">
        <v>1200</v>
      </c>
      <c r="O234" s="389">
        <f t="shared" si="33"/>
        <v>0</v>
      </c>
      <c r="P234" s="389"/>
      <c r="Q234" s="389"/>
      <c r="R234" s="389"/>
      <c r="S234" s="389"/>
      <c r="T234" s="389"/>
      <c r="U234" s="389"/>
      <c r="V234" s="389"/>
      <c r="W234" s="389"/>
      <c r="X234" s="389"/>
      <c r="Y234" s="389"/>
      <c r="Z234" s="389"/>
    </row>
    <row r="235" spans="1:26" ht="18" customHeight="1">
      <c r="A235" s="827">
        <v>45210</v>
      </c>
      <c r="B235" s="389">
        <v>3910254023</v>
      </c>
      <c r="C235" s="389" t="s">
        <v>14693</v>
      </c>
      <c r="D235" s="817"/>
      <c r="E235" s="512">
        <v>917209643556</v>
      </c>
      <c r="F235" s="389"/>
      <c r="G235" s="446"/>
      <c r="H235" s="389"/>
      <c r="I235" s="446" t="s">
        <v>14694</v>
      </c>
      <c r="J235" s="389">
        <v>1700</v>
      </c>
      <c r="K235" s="389">
        <v>1700</v>
      </c>
      <c r="L235" s="389">
        <f t="shared" si="32"/>
        <v>0</v>
      </c>
      <c r="M235" s="389">
        <v>1300</v>
      </c>
      <c r="N235" s="389">
        <v>1300</v>
      </c>
      <c r="O235" s="389">
        <f t="shared" si="33"/>
        <v>0</v>
      </c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</row>
    <row r="236" spans="1:26" ht="18" customHeight="1">
      <c r="A236" s="815"/>
      <c r="B236" s="389"/>
      <c r="C236" s="389" t="s">
        <v>14703</v>
      </c>
      <c r="D236" s="817"/>
      <c r="E236" s="447">
        <v>919835932956</v>
      </c>
      <c r="F236" s="389"/>
      <c r="G236" s="446"/>
      <c r="H236" s="389"/>
      <c r="I236" s="446" t="s">
        <v>14702</v>
      </c>
      <c r="J236" s="389">
        <v>8200</v>
      </c>
      <c r="K236" s="389">
        <v>8200</v>
      </c>
      <c r="L236" s="389">
        <f t="shared" si="32"/>
        <v>0</v>
      </c>
      <c r="M236" s="389">
        <v>8000</v>
      </c>
      <c r="N236" s="389">
        <v>8000</v>
      </c>
      <c r="O236" s="389">
        <f t="shared" si="33"/>
        <v>0</v>
      </c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</row>
    <row r="237" spans="1:26" ht="18" customHeight="1">
      <c r="A237" s="335"/>
      <c r="B237" s="270"/>
      <c r="C237" s="270"/>
      <c r="D237" s="438"/>
      <c r="E237" s="447">
        <v>917033298422</v>
      </c>
      <c r="F237" s="270"/>
      <c r="G237" s="334"/>
      <c r="H237" s="270"/>
      <c r="I237" s="334"/>
      <c r="J237" s="270"/>
      <c r="K237" s="270"/>
      <c r="L237" s="270">
        <f t="shared" si="32"/>
        <v>0</v>
      </c>
      <c r="M237" s="270"/>
      <c r="N237" s="270"/>
      <c r="O237" s="270">
        <f t="shared" si="33"/>
        <v>0</v>
      </c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</row>
    <row r="238" spans="1:26" ht="18" customHeight="1">
      <c r="A238" s="815"/>
      <c r="B238" s="389"/>
      <c r="C238" s="389" t="s">
        <v>14236</v>
      </c>
      <c r="D238" s="817"/>
      <c r="E238" s="512">
        <v>917974928772</v>
      </c>
      <c r="F238" s="389"/>
      <c r="G238" s="446"/>
      <c r="H238" s="389"/>
      <c r="I238" s="446" t="s">
        <v>14756</v>
      </c>
      <c r="J238" s="389">
        <v>3000</v>
      </c>
      <c r="K238" s="389">
        <v>3000</v>
      </c>
      <c r="L238" s="389">
        <f t="shared" si="32"/>
        <v>0</v>
      </c>
      <c r="M238" s="389">
        <v>2500</v>
      </c>
      <c r="N238" s="389">
        <v>2500</v>
      </c>
      <c r="O238" s="389">
        <f t="shared" si="33"/>
        <v>0</v>
      </c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</row>
    <row r="239" spans="1:26" s="878" customFormat="1" ht="18" customHeight="1">
      <c r="A239" s="815"/>
      <c r="B239" s="389"/>
      <c r="C239" s="389" t="s">
        <v>14775</v>
      </c>
      <c r="D239" s="817">
        <v>24290</v>
      </c>
      <c r="E239" s="512">
        <v>919836372800</v>
      </c>
      <c r="F239" s="389"/>
      <c r="G239" s="446" t="s">
        <v>478</v>
      </c>
      <c r="H239" s="389"/>
      <c r="I239" s="446" t="s">
        <v>11573</v>
      </c>
      <c r="J239" s="389">
        <v>1700</v>
      </c>
      <c r="K239" s="389">
        <v>1700</v>
      </c>
      <c r="L239" s="389">
        <f t="shared" si="32"/>
        <v>0</v>
      </c>
      <c r="M239" s="389">
        <v>1300</v>
      </c>
      <c r="N239" s="389">
        <v>1300</v>
      </c>
      <c r="O239" s="389">
        <f t="shared" si="33"/>
        <v>0</v>
      </c>
      <c r="P239" s="389"/>
      <c r="Q239" s="389"/>
      <c r="R239" s="389"/>
      <c r="S239" s="389"/>
      <c r="T239" s="389"/>
      <c r="U239" s="389"/>
      <c r="V239" s="389"/>
      <c r="W239" s="389"/>
      <c r="X239" s="389"/>
      <c r="Y239" s="389"/>
      <c r="Z239" s="389"/>
    </row>
    <row r="240" spans="1:26" ht="18" customHeight="1">
      <c r="A240" s="324">
        <v>45262</v>
      </c>
      <c r="B240" s="270"/>
      <c r="C240" s="270" t="s">
        <v>14810</v>
      </c>
      <c r="D240" s="438">
        <v>37257</v>
      </c>
      <c r="E240" s="447">
        <v>916203994148</v>
      </c>
      <c r="F240" s="270" t="s">
        <v>14838</v>
      </c>
      <c r="G240" s="438">
        <v>44942</v>
      </c>
      <c r="H240" s="270"/>
      <c r="I240" s="334" t="s">
        <v>12018</v>
      </c>
      <c r="J240" s="270">
        <v>5500</v>
      </c>
      <c r="K240" s="270">
        <v>2500</v>
      </c>
      <c r="L240" s="270">
        <f t="shared" si="32"/>
        <v>3000</v>
      </c>
      <c r="M240" s="270">
        <v>4900</v>
      </c>
      <c r="N240" s="270">
        <v>2500</v>
      </c>
      <c r="O240" s="270">
        <f t="shared" si="33"/>
        <v>2400</v>
      </c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</row>
    <row r="241" spans="1:26" ht="18" customHeight="1">
      <c r="A241" s="324">
        <v>45262</v>
      </c>
      <c r="B241" s="270"/>
      <c r="C241" s="270" t="s">
        <v>14811</v>
      </c>
      <c r="D241" s="438">
        <v>27030</v>
      </c>
      <c r="E241" s="447">
        <v>918804259165</v>
      </c>
      <c r="F241" s="270" t="s">
        <v>14838</v>
      </c>
      <c r="G241" s="438">
        <v>45281</v>
      </c>
      <c r="H241" s="270"/>
      <c r="I241" s="334" t="s">
        <v>12018</v>
      </c>
      <c r="J241" s="270">
        <f>5500+200</f>
        <v>5700</v>
      </c>
      <c r="K241" s="270">
        <v>2700</v>
      </c>
      <c r="L241" s="270">
        <f t="shared" si="32"/>
        <v>3000</v>
      </c>
      <c r="M241" s="270">
        <v>5000</v>
      </c>
      <c r="N241" s="270">
        <v>2500</v>
      </c>
      <c r="O241" s="270">
        <f t="shared" si="33"/>
        <v>2500</v>
      </c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</row>
    <row r="242" spans="1:26" ht="18" customHeight="1">
      <c r="A242" s="324">
        <v>45263</v>
      </c>
      <c r="B242" s="270"/>
      <c r="C242" s="270" t="s">
        <v>14814</v>
      </c>
      <c r="D242" s="438">
        <v>31177</v>
      </c>
      <c r="E242" s="447">
        <v>917209444760</v>
      </c>
      <c r="F242" s="270" t="s">
        <v>14838</v>
      </c>
      <c r="G242" s="438">
        <v>45283</v>
      </c>
      <c r="H242" s="270"/>
      <c r="I242" s="334" t="s">
        <v>12018</v>
      </c>
      <c r="J242" s="270">
        <v>5500</v>
      </c>
      <c r="K242" s="270">
        <v>3000</v>
      </c>
      <c r="L242" s="270">
        <f t="shared" si="32"/>
        <v>2500</v>
      </c>
      <c r="M242" s="270">
        <v>4900</v>
      </c>
      <c r="N242" s="270">
        <v>2500</v>
      </c>
      <c r="O242" s="270">
        <f t="shared" si="33"/>
        <v>2400</v>
      </c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</row>
    <row r="243" spans="1:26" ht="18" customHeight="1">
      <c r="A243" s="324">
        <v>45283</v>
      </c>
      <c r="B243" s="270">
        <v>4817857323</v>
      </c>
      <c r="C243" s="270" t="s">
        <v>14866</v>
      </c>
      <c r="D243" s="438">
        <v>32217</v>
      </c>
      <c r="E243" s="447">
        <v>917033298422</v>
      </c>
      <c r="F243" s="270"/>
      <c r="G243" s="334"/>
      <c r="H243" s="270" t="s">
        <v>14867</v>
      </c>
      <c r="I243" s="334" t="s">
        <v>12018</v>
      </c>
      <c r="J243" s="270">
        <v>5500</v>
      </c>
      <c r="K243" s="270">
        <v>3000</v>
      </c>
      <c r="L243" s="270">
        <f t="shared" si="32"/>
        <v>2500</v>
      </c>
      <c r="M243" s="270">
        <v>4900</v>
      </c>
      <c r="N243" s="270">
        <v>2500</v>
      </c>
      <c r="O243" s="270">
        <f t="shared" si="33"/>
        <v>2400</v>
      </c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</row>
    <row r="244" spans="1:26" ht="18" customHeight="1">
      <c r="A244" s="1004">
        <v>45294</v>
      </c>
      <c r="B244" s="483">
        <v>43094424</v>
      </c>
      <c r="C244" s="270" t="s">
        <v>6832</v>
      </c>
      <c r="D244" s="489">
        <v>38579</v>
      </c>
      <c r="E244" s="447">
        <v>918210945861</v>
      </c>
      <c r="F244" s="270"/>
      <c r="G244" s="334"/>
      <c r="H244" s="270"/>
      <c r="I244" s="334" t="s">
        <v>12018</v>
      </c>
      <c r="J244" s="270">
        <v>5500</v>
      </c>
      <c r="K244" s="270">
        <v>3000</v>
      </c>
      <c r="L244" s="270">
        <f t="shared" si="32"/>
        <v>2500</v>
      </c>
      <c r="M244" s="270">
        <v>4900</v>
      </c>
      <c r="N244" s="270">
        <v>2500</v>
      </c>
      <c r="O244" s="270">
        <f t="shared" si="33"/>
        <v>2400</v>
      </c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</row>
    <row r="245" spans="1:26" ht="18" customHeight="1">
      <c r="A245" s="335"/>
      <c r="B245" s="270"/>
      <c r="C245" s="270"/>
      <c r="D245" s="438"/>
      <c r="E245" s="447"/>
      <c r="F245" s="270"/>
      <c r="G245" s="334"/>
      <c r="H245" s="270"/>
      <c r="I245" s="334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</row>
    <row r="246" spans="1:26" ht="18" customHeight="1">
      <c r="A246" s="335"/>
      <c r="B246" s="270"/>
      <c r="C246" s="270"/>
      <c r="D246" s="438"/>
      <c r="E246" s="447"/>
      <c r="F246" s="270"/>
      <c r="G246" s="334"/>
      <c r="H246" s="270"/>
      <c r="I246" s="334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</row>
    <row r="247" spans="1:26" ht="18" customHeight="1">
      <c r="A247" s="335"/>
      <c r="B247" s="270"/>
      <c r="C247" s="270"/>
      <c r="D247" s="438"/>
      <c r="E247" s="334"/>
      <c r="F247" s="270"/>
      <c r="G247" s="334"/>
      <c r="H247" s="270"/>
      <c r="I247" s="334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</row>
    <row r="248" spans="1:26" ht="18" customHeight="1">
      <c r="A248" s="335"/>
      <c r="B248" s="270"/>
      <c r="C248" s="270"/>
      <c r="D248" s="438"/>
      <c r="E248" s="334"/>
      <c r="F248" s="270"/>
      <c r="G248" s="334"/>
      <c r="H248" s="270"/>
      <c r="I248" s="334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</row>
    <row r="249" spans="1:26" ht="18" customHeight="1">
      <c r="A249" s="335"/>
      <c r="B249" s="270"/>
      <c r="C249" s="270"/>
      <c r="D249" s="438"/>
      <c r="E249" s="334"/>
      <c r="F249" s="270"/>
      <c r="G249" s="334"/>
      <c r="H249" s="270"/>
      <c r="I249" s="334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</row>
    <row r="250" spans="1:26" ht="18" customHeight="1">
      <c r="A250" s="335"/>
      <c r="B250" s="270"/>
      <c r="C250" s="270"/>
      <c r="D250" s="438"/>
      <c r="E250" s="334"/>
      <c r="F250" s="270"/>
      <c r="G250" s="334"/>
      <c r="H250" s="270"/>
      <c r="I250" s="334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</row>
    <row r="251" spans="1:26" ht="18" customHeight="1">
      <c r="A251" s="335"/>
      <c r="B251" s="270"/>
      <c r="C251" s="270"/>
      <c r="D251" s="438"/>
      <c r="E251" s="334"/>
      <c r="F251" s="270"/>
      <c r="G251" s="334"/>
      <c r="H251" s="270"/>
      <c r="I251" s="334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</row>
    <row r="252" spans="1:26" ht="18" customHeight="1">
      <c r="A252" s="335"/>
      <c r="B252" s="270"/>
      <c r="C252" s="270"/>
      <c r="D252" s="438"/>
      <c r="E252" s="334"/>
      <c r="F252" s="270"/>
      <c r="G252" s="334"/>
      <c r="H252" s="270"/>
      <c r="I252" s="334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</row>
    <row r="253" spans="1:26" ht="18" customHeight="1">
      <c r="A253" s="335"/>
      <c r="B253" s="270"/>
      <c r="C253" s="270"/>
      <c r="D253" s="438"/>
      <c r="E253" s="334"/>
      <c r="F253" s="270"/>
      <c r="G253" s="334"/>
      <c r="H253" s="270"/>
      <c r="I253" s="334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</row>
    <row r="254" spans="1:26" ht="18" customHeight="1">
      <c r="A254" s="335"/>
      <c r="B254" s="270"/>
      <c r="C254" s="270"/>
      <c r="D254" s="438"/>
      <c r="E254" s="334"/>
      <c r="F254" s="270"/>
      <c r="G254" s="334"/>
      <c r="H254" s="270"/>
      <c r="I254" s="334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</row>
    <row r="255" spans="1:26" ht="18" customHeight="1">
      <c r="A255" s="335"/>
      <c r="B255" s="270"/>
      <c r="C255" s="270"/>
      <c r="D255" s="438"/>
      <c r="E255" s="334"/>
      <c r="F255" s="270"/>
      <c r="G255" s="334"/>
      <c r="H255" s="270"/>
      <c r="I255" s="334"/>
      <c r="J255" s="270">
        <f>21*2+17*1.5</f>
        <v>67.5</v>
      </c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</row>
    <row r="256" spans="1:26" ht="18" customHeight="1">
      <c r="A256" s="335"/>
      <c r="B256" s="270"/>
      <c r="C256" s="270"/>
      <c r="D256" s="438"/>
      <c r="E256" s="334"/>
      <c r="F256" s="270"/>
      <c r="G256" s="334"/>
      <c r="H256" s="270"/>
      <c r="I256" s="334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</row>
    <row r="257" spans="1:26" ht="18" customHeight="1">
      <c r="A257" s="335"/>
      <c r="B257" s="270"/>
      <c r="C257" s="270"/>
      <c r="D257" s="438"/>
      <c r="E257" s="334"/>
      <c r="F257" s="270"/>
      <c r="G257" s="334"/>
      <c r="H257" s="270"/>
      <c r="I257" s="334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</row>
    <row r="258" spans="1:26" ht="18" customHeight="1">
      <c r="A258" s="335"/>
      <c r="B258" s="270"/>
      <c r="C258" s="270"/>
      <c r="D258" s="438"/>
      <c r="E258" s="334"/>
      <c r="F258" s="270"/>
      <c r="G258" s="334"/>
      <c r="H258" s="270"/>
      <c r="I258" s="334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</row>
    <row r="259" spans="1:26" ht="18" customHeight="1">
      <c r="A259" s="335"/>
      <c r="B259" s="270"/>
      <c r="C259" s="270"/>
      <c r="D259" s="438"/>
      <c r="E259" s="334"/>
      <c r="F259" s="270"/>
      <c r="G259" s="334"/>
      <c r="H259" s="270"/>
      <c r="I259" s="334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</row>
    <row r="260" spans="1:26" ht="18" customHeight="1">
      <c r="A260" s="335"/>
      <c r="B260" s="270"/>
      <c r="C260" s="270"/>
      <c r="D260" s="438"/>
      <c r="E260" s="334"/>
      <c r="F260" s="270"/>
      <c r="G260" s="334"/>
      <c r="H260" s="270"/>
      <c r="I260" s="334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</row>
    <row r="261" spans="1:26" ht="18" customHeight="1">
      <c r="A261" s="335"/>
      <c r="B261" s="270"/>
      <c r="C261" s="270"/>
      <c r="D261" s="438"/>
      <c r="E261" s="334"/>
      <c r="F261" s="270"/>
      <c r="G261" s="334"/>
      <c r="H261" s="270"/>
      <c r="I261" s="334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</row>
    <row r="262" spans="1:26" ht="18" customHeight="1">
      <c r="A262" s="335"/>
      <c r="B262" s="270"/>
      <c r="C262" s="270"/>
      <c r="D262" s="438"/>
      <c r="E262" s="334"/>
      <c r="F262" s="270"/>
      <c r="G262" s="334"/>
      <c r="H262" s="270"/>
      <c r="I262" s="334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</row>
    <row r="263" spans="1:26" ht="18" customHeight="1">
      <c r="A263" s="335"/>
      <c r="B263" s="270"/>
      <c r="C263" s="270"/>
      <c r="D263" s="438"/>
      <c r="E263" s="334"/>
      <c r="F263" s="270"/>
      <c r="G263" s="334"/>
      <c r="H263" s="270"/>
      <c r="I263" s="334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</row>
    <row r="264" spans="1:26" ht="18" customHeight="1">
      <c r="A264" s="335"/>
      <c r="B264" s="270"/>
      <c r="C264" s="270"/>
      <c r="D264" s="438"/>
      <c r="E264" s="334"/>
      <c r="F264" s="270"/>
      <c r="G264" s="334"/>
      <c r="H264" s="270"/>
      <c r="I264" s="334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</row>
    <row r="265" spans="1:26" ht="18" customHeight="1">
      <c r="A265" s="335"/>
      <c r="B265" s="270"/>
      <c r="C265" s="270"/>
      <c r="D265" s="438"/>
      <c r="E265" s="334"/>
      <c r="F265" s="270"/>
      <c r="G265" s="334"/>
      <c r="H265" s="270"/>
      <c r="I265" s="334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</row>
    <row r="266" spans="1:26" ht="18" customHeight="1">
      <c r="A266" s="335"/>
      <c r="B266" s="270"/>
      <c r="C266" s="270"/>
      <c r="D266" s="438"/>
      <c r="E266" s="334"/>
      <c r="F266" s="270"/>
      <c r="G266" s="334"/>
      <c r="H266" s="270"/>
      <c r="I266" s="334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</row>
    <row r="267" spans="1:26" ht="18" customHeight="1">
      <c r="A267" s="335"/>
      <c r="B267" s="270"/>
      <c r="C267" s="270"/>
      <c r="D267" s="438"/>
      <c r="E267" s="334"/>
      <c r="F267" s="270"/>
      <c r="G267" s="334"/>
      <c r="H267" s="270"/>
      <c r="I267" s="334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</row>
    <row r="268" spans="1:26" ht="18" customHeight="1">
      <c r="A268" s="335"/>
      <c r="B268" s="270"/>
      <c r="C268" s="270"/>
      <c r="D268" s="438"/>
      <c r="E268" s="334"/>
      <c r="F268" s="270"/>
      <c r="G268" s="334"/>
      <c r="H268" s="270"/>
      <c r="I268" s="334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</row>
    <row r="269" spans="1:26" ht="18" customHeight="1">
      <c r="A269" s="335"/>
      <c r="B269" s="270"/>
      <c r="C269" s="270"/>
      <c r="D269" s="438"/>
      <c r="E269" s="334"/>
      <c r="F269" s="270"/>
      <c r="G269" s="334"/>
      <c r="H269" s="270"/>
      <c r="I269" s="334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</row>
    <row r="270" spans="1:26" ht="18" customHeight="1">
      <c r="A270" s="335"/>
      <c r="B270" s="270"/>
      <c r="C270" s="270"/>
      <c r="D270" s="438"/>
      <c r="E270" s="334"/>
      <c r="F270" s="270"/>
      <c r="G270" s="334"/>
      <c r="H270" s="270"/>
      <c r="I270" s="334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</row>
    <row r="271" spans="1:26" ht="18" customHeight="1">
      <c r="A271" s="335"/>
      <c r="B271" s="270"/>
      <c r="C271" s="270"/>
      <c r="D271" s="438"/>
      <c r="E271" s="334"/>
      <c r="F271" s="270"/>
      <c r="G271" s="334"/>
      <c r="H271" s="270"/>
      <c r="I271" s="334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</row>
    <row r="272" spans="1:26" ht="18" customHeight="1">
      <c r="A272" s="335"/>
      <c r="B272" s="270"/>
      <c r="C272" s="270"/>
      <c r="D272" s="438"/>
      <c r="E272" s="334"/>
      <c r="F272" s="270"/>
      <c r="G272" s="334"/>
      <c r="H272" s="270"/>
      <c r="I272" s="334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</row>
    <row r="273" spans="1:26" ht="18" customHeight="1">
      <c r="A273" s="335"/>
      <c r="B273" s="270"/>
      <c r="C273" s="270"/>
      <c r="D273" s="438"/>
      <c r="E273" s="334"/>
      <c r="F273" s="270"/>
      <c r="G273" s="334"/>
      <c r="H273" s="270"/>
      <c r="I273" s="334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</row>
    <row r="274" spans="1:26" ht="18" customHeight="1">
      <c r="A274" s="335"/>
      <c r="B274" s="270"/>
      <c r="C274" s="270"/>
      <c r="D274" s="438"/>
      <c r="E274" s="334"/>
      <c r="F274" s="270"/>
      <c r="G274" s="334"/>
      <c r="H274" s="270"/>
      <c r="I274" s="334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</row>
    <row r="275" spans="1:26" ht="18" customHeight="1">
      <c r="A275" s="335"/>
      <c r="B275" s="270"/>
      <c r="C275" s="270"/>
      <c r="D275" s="438"/>
      <c r="E275" s="334"/>
      <c r="F275" s="270"/>
      <c r="G275" s="334"/>
      <c r="H275" s="270"/>
      <c r="I275" s="334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</row>
    <row r="276" spans="1:26" ht="18" customHeight="1">
      <c r="A276" s="335"/>
      <c r="B276" s="270"/>
      <c r="C276" s="270"/>
      <c r="D276" s="438"/>
      <c r="E276" s="334"/>
      <c r="F276" s="270"/>
      <c r="G276" s="334"/>
      <c r="H276" s="270"/>
      <c r="I276" s="334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</row>
    <row r="277" spans="1:26" ht="18" customHeight="1">
      <c r="A277" s="335"/>
      <c r="B277" s="270"/>
      <c r="C277" s="270"/>
      <c r="D277" s="438"/>
      <c r="E277" s="334"/>
      <c r="F277" s="270"/>
      <c r="G277" s="334"/>
      <c r="H277" s="270"/>
      <c r="I277" s="334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</row>
    <row r="278" spans="1:26" ht="18" customHeight="1">
      <c r="A278" s="335"/>
      <c r="B278" s="270"/>
      <c r="C278" s="270"/>
      <c r="D278" s="438"/>
      <c r="E278" s="334"/>
      <c r="F278" s="270"/>
      <c r="G278" s="334"/>
      <c r="H278" s="270"/>
      <c r="I278" s="334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</row>
    <row r="279" spans="1:26" ht="18" customHeight="1">
      <c r="A279" s="335"/>
      <c r="B279" s="270"/>
      <c r="C279" s="270"/>
      <c r="D279" s="438"/>
      <c r="E279" s="334"/>
      <c r="F279" s="270"/>
      <c r="G279" s="334"/>
      <c r="H279" s="270"/>
      <c r="I279" s="334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</row>
    <row r="280" spans="1:26" ht="18" customHeight="1">
      <c r="A280" s="335"/>
      <c r="B280" s="270"/>
      <c r="C280" s="270"/>
      <c r="D280" s="438"/>
      <c r="E280" s="334"/>
      <c r="F280" s="270"/>
      <c r="G280" s="334"/>
      <c r="H280" s="270"/>
      <c r="I280" s="334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</row>
    <row r="281" spans="1:26" ht="18" customHeight="1">
      <c r="A281" s="335"/>
      <c r="B281" s="270"/>
      <c r="C281" s="270"/>
      <c r="D281" s="438"/>
      <c r="E281" s="334"/>
      <c r="F281" s="270"/>
      <c r="G281" s="334"/>
      <c r="H281" s="270"/>
      <c r="I281" s="334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</row>
    <row r="282" spans="1:26" ht="18" customHeight="1">
      <c r="A282" s="335"/>
      <c r="B282" s="270"/>
      <c r="C282" s="270"/>
      <c r="D282" s="438"/>
      <c r="E282" s="334"/>
      <c r="F282" s="270"/>
      <c r="G282" s="334"/>
      <c r="H282" s="270"/>
      <c r="I282" s="334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</row>
    <row r="283" spans="1:26" ht="18" customHeight="1">
      <c r="A283" s="335"/>
      <c r="B283" s="270"/>
      <c r="C283" s="270"/>
      <c r="D283" s="438"/>
      <c r="E283" s="334"/>
      <c r="F283" s="270"/>
      <c r="G283" s="334"/>
      <c r="H283" s="270"/>
      <c r="I283" s="334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</row>
    <row r="284" spans="1:26" ht="18" customHeight="1">
      <c r="A284" s="335"/>
      <c r="B284" s="270"/>
      <c r="C284" s="270"/>
      <c r="D284" s="438"/>
      <c r="E284" s="334"/>
      <c r="F284" s="270"/>
      <c r="G284" s="334"/>
      <c r="H284" s="270"/>
      <c r="I284" s="334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</row>
    <row r="285" spans="1:26" ht="18" customHeight="1">
      <c r="A285" s="335"/>
      <c r="B285" s="270"/>
      <c r="C285" s="270"/>
      <c r="D285" s="438"/>
      <c r="E285" s="334"/>
      <c r="F285" s="270"/>
      <c r="G285" s="334"/>
      <c r="H285" s="270"/>
      <c r="I285" s="334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</row>
    <row r="286" spans="1:26" ht="18" customHeight="1">
      <c r="A286" s="335"/>
      <c r="B286" s="270"/>
      <c r="C286" s="270"/>
      <c r="D286" s="438"/>
      <c r="E286" s="334"/>
      <c r="F286" s="270"/>
      <c r="G286" s="334"/>
      <c r="H286" s="270"/>
      <c r="I286" s="334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</row>
    <row r="287" spans="1:26" ht="18" customHeight="1">
      <c r="A287" s="335"/>
      <c r="B287" s="270"/>
      <c r="C287" s="270"/>
      <c r="D287" s="438"/>
      <c r="E287" s="334"/>
      <c r="F287" s="270"/>
      <c r="G287" s="334"/>
      <c r="H287" s="270"/>
      <c r="I287" s="334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</row>
    <row r="288" spans="1:26" ht="18" customHeight="1">
      <c r="A288" s="335"/>
      <c r="B288" s="270"/>
      <c r="C288" s="270"/>
      <c r="D288" s="438"/>
      <c r="E288" s="334"/>
      <c r="F288" s="270"/>
      <c r="G288" s="334"/>
      <c r="H288" s="270"/>
      <c r="I288" s="334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</row>
    <row r="289" spans="1:26" ht="18" customHeight="1">
      <c r="A289" s="335"/>
      <c r="B289" s="270"/>
      <c r="C289" s="270"/>
      <c r="D289" s="438"/>
      <c r="E289" s="334"/>
      <c r="F289" s="270"/>
      <c r="G289" s="334"/>
      <c r="H289" s="270"/>
      <c r="I289" s="334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</row>
    <row r="290" spans="1:26" ht="18" customHeight="1">
      <c r="A290" s="335"/>
      <c r="B290" s="270"/>
      <c r="C290" s="270"/>
      <c r="D290" s="438"/>
      <c r="E290" s="334"/>
      <c r="F290" s="270"/>
      <c r="G290" s="334"/>
      <c r="H290" s="270"/>
      <c r="I290" s="334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</row>
    <row r="291" spans="1:26" ht="18" customHeight="1">
      <c r="A291" s="335"/>
      <c r="B291" s="270"/>
      <c r="C291" s="270"/>
      <c r="D291" s="438"/>
      <c r="E291" s="334"/>
      <c r="F291" s="270"/>
      <c r="G291" s="334"/>
      <c r="H291" s="270"/>
      <c r="I291" s="334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</row>
    <row r="292" spans="1:26" ht="18" customHeight="1">
      <c r="A292" s="335"/>
      <c r="B292" s="270"/>
      <c r="C292" s="270"/>
      <c r="D292" s="438"/>
      <c r="E292" s="334"/>
      <c r="F292" s="270"/>
      <c r="G292" s="334"/>
      <c r="H292" s="270"/>
      <c r="I292" s="334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</row>
    <row r="293" spans="1:26" ht="18" customHeight="1">
      <c r="A293" s="335"/>
      <c r="B293" s="270"/>
      <c r="C293" s="270"/>
      <c r="D293" s="438"/>
      <c r="E293" s="334"/>
      <c r="F293" s="270"/>
      <c r="G293" s="334"/>
      <c r="H293" s="270"/>
      <c r="I293" s="334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</row>
    <row r="294" spans="1:26" ht="18" customHeight="1">
      <c r="A294" s="335"/>
      <c r="B294" s="270"/>
      <c r="C294" s="270"/>
      <c r="D294" s="438"/>
      <c r="E294" s="334"/>
      <c r="F294" s="270"/>
      <c r="G294" s="334"/>
      <c r="H294" s="270"/>
      <c r="I294" s="334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</row>
    <row r="295" spans="1:26" ht="18" customHeight="1">
      <c r="A295" s="335"/>
      <c r="B295" s="270"/>
      <c r="C295" s="270"/>
      <c r="D295" s="438"/>
      <c r="E295" s="334"/>
      <c r="F295" s="270"/>
      <c r="G295" s="334"/>
      <c r="H295" s="270"/>
      <c r="I295" s="334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</row>
    <row r="296" spans="1:26" ht="18" customHeight="1">
      <c r="A296" s="335"/>
      <c r="B296" s="270"/>
      <c r="C296" s="270"/>
      <c r="D296" s="438"/>
      <c r="E296" s="334"/>
      <c r="F296" s="270"/>
      <c r="G296" s="334"/>
      <c r="H296" s="270"/>
      <c r="I296" s="334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</row>
    <row r="297" spans="1:26" ht="18" customHeight="1">
      <c r="A297" s="335"/>
      <c r="B297" s="270"/>
      <c r="C297" s="270"/>
      <c r="D297" s="438"/>
      <c r="E297" s="334"/>
      <c r="F297" s="270"/>
      <c r="G297" s="334"/>
      <c r="H297" s="270"/>
      <c r="I297" s="334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</row>
    <row r="298" spans="1:26" ht="18" customHeight="1">
      <c r="A298" s="335"/>
      <c r="B298" s="270"/>
      <c r="C298" s="270"/>
      <c r="D298" s="438"/>
      <c r="E298" s="334"/>
      <c r="F298" s="270"/>
      <c r="G298" s="334"/>
      <c r="H298" s="270"/>
      <c r="I298" s="334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</row>
    <row r="299" spans="1:26" ht="18" customHeight="1">
      <c r="A299" s="335"/>
      <c r="B299" s="270"/>
      <c r="C299" s="270"/>
      <c r="D299" s="438"/>
      <c r="E299" s="334"/>
      <c r="F299" s="270"/>
      <c r="G299" s="334"/>
      <c r="H299" s="270"/>
      <c r="I299" s="334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</row>
    <row r="300" spans="1:26" ht="18" customHeight="1">
      <c r="A300" s="335"/>
      <c r="B300" s="270"/>
      <c r="C300" s="270"/>
      <c r="D300" s="438"/>
      <c r="E300" s="334"/>
      <c r="F300" s="270"/>
      <c r="G300" s="334"/>
      <c r="H300" s="270"/>
      <c r="I300" s="334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</row>
    <row r="301" spans="1:26" ht="18" customHeight="1">
      <c r="A301" s="335"/>
      <c r="B301" s="270"/>
      <c r="C301" s="270"/>
      <c r="D301" s="438"/>
      <c r="E301" s="334"/>
      <c r="F301" s="270"/>
      <c r="G301" s="334"/>
      <c r="H301" s="270"/>
      <c r="I301" s="334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</row>
    <row r="302" spans="1:26" ht="18" customHeight="1">
      <c r="A302" s="335"/>
      <c r="B302" s="270"/>
      <c r="C302" s="270"/>
      <c r="D302" s="438"/>
      <c r="E302" s="334"/>
      <c r="F302" s="270"/>
      <c r="G302" s="334"/>
      <c r="H302" s="270"/>
      <c r="I302" s="334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</row>
    <row r="303" spans="1:26" ht="18" customHeight="1">
      <c r="A303" s="335"/>
      <c r="B303" s="270"/>
      <c r="C303" s="270"/>
      <c r="D303" s="438"/>
      <c r="E303" s="334"/>
      <c r="F303" s="270"/>
      <c r="G303" s="334"/>
      <c r="H303" s="270"/>
      <c r="I303" s="334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</row>
    <row r="304" spans="1:26" ht="18" customHeight="1">
      <c r="A304" s="335"/>
      <c r="B304" s="270"/>
      <c r="C304" s="270"/>
      <c r="D304" s="438"/>
      <c r="E304" s="334"/>
      <c r="F304" s="270"/>
      <c r="G304" s="334"/>
      <c r="H304" s="270"/>
      <c r="I304" s="334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</row>
    <row r="305" spans="1:26" ht="18" customHeight="1">
      <c r="A305" s="335"/>
      <c r="B305" s="270"/>
      <c r="C305" s="270"/>
      <c r="D305" s="438"/>
      <c r="E305" s="334"/>
      <c r="F305" s="270"/>
      <c r="G305" s="334"/>
      <c r="H305" s="270"/>
      <c r="I305" s="334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</row>
    <row r="306" spans="1:26" ht="18" customHeight="1">
      <c r="A306" s="335"/>
      <c r="B306" s="270"/>
      <c r="C306" s="270"/>
      <c r="D306" s="438"/>
      <c r="E306" s="334"/>
      <c r="F306" s="270"/>
      <c r="G306" s="334"/>
      <c r="H306" s="270"/>
      <c r="I306" s="334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</row>
    <row r="307" spans="1:26" ht="18" customHeight="1">
      <c r="A307" s="335"/>
      <c r="B307" s="270"/>
      <c r="C307" s="270"/>
      <c r="D307" s="438"/>
      <c r="E307" s="334"/>
      <c r="F307" s="270"/>
      <c r="G307" s="334"/>
      <c r="H307" s="270"/>
      <c r="I307" s="334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</row>
    <row r="308" spans="1:26" ht="18" customHeight="1">
      <c r="A308" s="335"/>
      <c r="B308" s="270"/>
      <c r="C308" s="270"/>
      <c r="D308" s="438"/>
      <c r="E308" s="334"/>
      <c r="F308" s="270"/>
      <c r="G308" s="334"/>
      <c r="H308" s="270"/>
      <c r="I308" s="334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</row>
    <row r="309" spans="1:26" ht="18" customHeight="1">
      <c r="A309" s="335"/>
      <c r="B309" s="270"/>
      <c r="C309" s="270"/>
      <c r="D309" s="438"/>
      <c r="E309" s="334"/>
      <c r="F309" s="270"/>
      <c r="G309" s="334"/>
      <c r="H309" s="270"/>
      <c r="I309" s="334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</row>
    <row r="310" spans="1:26" ht="18" customHeight="1">
      <c r="A310" s="335"/>
      <c r="B310" s="270"/>
      <c r="C310" s="270"/>
      <c r="D310" s="438"/>
      <c r="E310" s="334"/>
      <c r="F310" s="270"/>
      <c r="G310" s="334"/>
      <c r="H310" s="270"/>
      <c r="I310" s="334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</row>
    <row r="311" spans="1:26" ht="18" customHeight="1">
      <c r="A311" s="335"/>
      <c r="B311" s="270"/>
      <c r="C311" s="270"/>
      <c r="D311" s="438"/>
      <c r="E311" s="334"/>
      <c r="F311" s="270"/>
      <c r="G311" s="334"/>
      <c r="H311" s="270"/>
      <c r="I311" s="334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</row>
    <row r="312" spans="1:26" ht="18" customHeight="1">
      <c r="A312" s="335"/>
      <c r="B312" s="270"/>
      <c r="C312" s="270"/>
      <c r="D312" s="438"/>
      <c r="E312" s="334"/>
      <c r="F312" s="270"/>
      <c r="G312" s="334"/>
      <c r="H312" s="270"/>
      <c r="I312" s="334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</row>
    <row r="313" spans="1:26" ht="18" customHeight="1">
      <c r="A313" s="335"/>
      <c r="B313" s="270"/>
      <c r="C313" s="270"/>
      <c r="D313" s="438"/>
      <c r="E313" s="334"/>
      <c r="F313" s="270"/>
      <c r="G313" s="334"/>
      <c r="H313" s="270"/>
      <c r="I313" s="334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</row>
    <row r="314" spans="1:26" ht="18" customHeight="1">
      <c r="A314" s="335"/>
      <c r="B314" s="270"/>
      <c r="C314" s="270"/>
      <c r="D314" s="438"/>
      <c r="E314" s="334"/>
      <c r="F314" s="270"/>
      <c r="G314" s="334"/>
      <c r="H314" s="270"/>
      <c r="I314" s="334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</row>
    <row r="315" spans="1:26" ht="18" customHeight="1">
      <c r="A315" s="335"/>
      <c r="B315" s="270"/>
      <c r="C315" s="270"/>
      <c r="D315" s="438"/>
      <c r="E315" s="334"/>
      <c r="F315" s="270"/>
      <c r="G315" s="334"/>
      <c r="H315" s="270"/>
      <c r="I315" s="334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</row>
    <row r="316" spans="1:26" ht="18" customHeight="1">
      <c r="A316" s="335"/>
      <c r="B316" s="270"/>
      <c r="C316" s="270"/>
      <c r="D316" s="438"/>
      <c r="E316" s="334"/>
      <c r="F316" s="270"/>
      <c r="G316" s="334"/>
      <c r="H316" s="270"/>
      <c r="I316" s="334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</row>
    <row r="317" spans="1:26" ht="18" customHeight="1">
      <c r="A317" s="335"/>
      <c r="B317" s="270"/>
      <c r="C317" s="270"/>
      <c r="D317" s="438"/>
      <c r="E317" s="334"/>
      <c r="F317" s="270"/>
      <c r="G317" s="334"/>
      <c r="H317" s="270"/>
      <c r="I317" s="334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</row>
    <row r="318" spans="1:26" ht="18" customHeight="1">
      <c r="A318" s="335"/>
      <c r="B318" s="270"/>
      <c r="C318" s="270"/>
      <c r="D318" s="438"/>
      <c r="E318" s="334"/>
      <c r="F318" s="270"/>
      <c r="G318" s="334"/>
      <c r="H318" s="270"/>
      <c r="I318" s="334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</row>
    <row r="319" spans="1:26" ht="18" customHeight="1">
      <c r="A319" s="335"/>
      <c r="B319" s="270"/>
      <c r="C319" s="270"/>
      <c r="D319" s="438"/>
      <c r="E319" s="334"/>
      <c r="F319" s="270"/>
      <c r="G319" s="334"/>
      <c r="H319" s="270"/>
      <c r="I319" s="334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</row>
    <row r="320" spans="1:26" ht="18" customHeight="1">
      <c r="A320" s="335"/>
      <c r="B320" s="270"/>
      <c r="C320" s="270"/>
      <c r="D320" s="438"/>
      <c r="E320" s="334"/>
      <c r="F320" s="270"/>
      <c r="G320" s="334"/>
      <c r="H320" s="270"/>
      <c r="I320" s="334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</row>
    <row r="321" spans="1:26" ht="18" customHeight="1">
      <c r="A321" s="335"/>
      <c r="B321" s="270"/>
      <c r="C321" s="270"/>
      <c r="D321" s="438"/>
      <c r="E321" s="334"/>
      <c r="F321" s="270"/>
      <c r="G321" s="334"/>
      <c r="H321" s="270"/>
      <c r="I321" s="334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</row>
    <row r="322" spans="1:26" ht="18" customHeight="1">
      <c r="A322" s="335"/>
      <c r="B322" s="270"/>
      <c r="C322" s="270"/>
      <c r="D322" s="438"/>
      <c r="E322" s="334"/>
      <c r="F322" s="270"/>
      <c r="G322" s="334"/>
      <c r="H322" s="270"/>
      <c r="I322" s="334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</row>
    <row r="323" spans="1:26" ht="18" customHeight="1">
      <c r="A323" s="335"/>
      <c r="B323" s="270"/>
      <c r="C323" s="270"/>
      <c r="D323" s="438"/>
      <c r="E323" s="334"/>
      <c r="F323" s="270"/>
      <c r="G323" s="334"/>
      <c r="H323" s="270"/>
      <c r="I323" s="334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</row>
    <row r="324" spans="1:26" ht="18" customHeight="1">
      <c r="A324" s="335"/>
      <c r="B324" s="270"/>
      <c r="C324" s="270"/>
      <c r="D324" s="438"/>
      <c r="E324" s="334"/>
      <c r="F324" s="270"/>
      <c r="G324" s="334"/>
      <c r="H324" s="270"/>
      <c r="I324" s="334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</row>
    <row r="325" spans="1:26" ht="18" customHeight="1">
      <c r="A325" s="335"/>
      <c r="B325" s="270"/>
      <c r="C325" s="270"/>
      <c r="D325" s="438"/>
      <c r="E325" s="334"/>
      <c r="F325" s="270"/>
      <c r="G325" s="334"/>
      <c r="H325" s="270"/>
      <c r="I325" s="334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</row>
    <row r="326" spans="1:26" ht="18" customHeight="1">
      <c r="A326" s="335"/>
      <c r="B326" s="270"/>
      <c r="C326" s="270"/>
      <c r="D326" s="438"/>
      <c r="E326" s="334"/>
      <c r="F326" s="270"/>
      <c r="G326" s="334"/>
      <c r="H326" s="270"/>
      <c r="I326" s="334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</row>
    <row r="327" spans="1:26" ht="18" customHeight="1">
      <c r="A327" s="335"/>
      <c r="B327" s="270"/>
      <c r="C327" s="270"/>
      <c r="D327" s="438"/>
      <c r="E327" s="334"/>
      <c r="F327" s="270"/>
      <c r="G327" s="334"/>
      <c r="H327" s="270"/>
      <c r="I327" s="334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</row>
    <row r="328" spans="1:26" ht="18" customHeight="1">
      <c r="A328" s="335"/>
      <c r="B328" s="270"/>
      <c r="C328" s="270"/>
      <c r="D328" s="438"/>
      <c r="E328" s="334"/>
      <c r="F328" s="270"/>
      <c r="G328" s="334"/>
      <c r="H328" s="270"/>
      <c r="I328" s="334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</row>
    <row r="329" spans="1:26" ht="18" customHeight="1">
      <c r="A329" s="335"/>
      <c r="B329" s="270"/>
      <c r="C329" s="270"/>
      <c r="D329" s="438"/>
      <c r="E329" s="334"/>
      <c r="F329" s="270"/>
      <c r="G329" s="334"/>
      <c r="H329" s="270"/>
      <c r="I329" s="334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</row>
    <row r="330" spans="1:26" ht="18" customHeight="1">
      <c r="A330" s="335"/>
      <c r="B330" s="270"/>
      <c r="C330" s="270"/>
      <c r="D330" s="438"/>
      <c r="E330" s="334"/>
      <c r="F330" s="270"/>
      <c r="G330" s="334"/>
      <c r="H330" s="270"/>
      <c r="I330" s="334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</row>
    <row r="331" spans="1:26" ht="18" customHeight="1">
      <c r="A331" s="335"/>
      <c r="B331" s="270"/>
      <c r="C331" s="270"/>
      <c r="D331" s="438"/>
      <c r="E331" s="334"/>
      <c r="F331" s="270"/>
      <c r="G331" s="334"/>
      <c r="H331" s="270"/>
      <c r="I331" s="334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</row>
    <row r="332" spans="1:26" ht="18" customHeight="1">
      <c r="A332" s="335"/>
      <c r="B332" s="270"/>
      <c r="C332" s="270"/>
      <c r="D332" s="438"/>
      <c r="E332" s="334"/>
      <c r="F332" s="270"/>
      <c r="G332" s="334"/>
      <c r="H332" s="270"/>
      <c r="I332" s="334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</row>
    <row r="333" spans="1:26" ht="18" customHeight="1">
      <c r="A333" s="335"/>
      <c r="B333" s="270"/>
      <c r="C333" s="270"/>
      <c r="D333" s="438"/>
      <c r="E333" s="334"/>
      <c r="F333" s="270"/>
      <c r="G333" s="334"/>
      <c r="H333" s="270"/>
      <c r="I333" s="334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</row>
    <row r="334" spans="1:26" ht="18" customHeight="1">
      <c r="A334" s="335"/>
      <c r="B334" s="270"/>
      <c r="C334" s="270"/>
      <c r="D334" s="438"/>
      <c r="E334" s="334"/>
      <c r="F334" s="270"/>
      <c r="G334" s="334"/>
      <c r="H334" s="270"/>
      <c r="I334" s="334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</row>
    <row r="335" spans="1:26" ht="18" customHeight="1">
      <c r="A335" s="335"/>
      <c r="B335" s="270"/>
      <c r="C335" s="270"/>
      <c r="D335" s="438"/>
      <c r="E335" s="334"/>
      <c r="F335" s="270"/>
      <c r="G335" s="334"/>
      <c r="H335" s="270"/>
      <c r="I335" s="334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</row>
    <row r="336" spans="1:26" ht="18" customHeight="1">
      <c r="A336" s="335"/>
      <c r="B336" s="270"/>
      <c r="C336" s="270"/>
      <c r="D336" s="438"/>
      <c r="E336" s="334"/>
      <c r="F336" s="270"/>
      <c r="G336" s="334"/>
      <c r="H336" s="270"/>
      <c r="I336" s="334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</row>
    <row r="337" spans="1:26" ht="18" customHeight="1">
      <c r="A337" s="335"/>
      <c r="B337" s="270"/>
      <c r="C337" s="270"/>
      <c r="D337" s="438"/>
      <c r="E337" s="334"/>
      <c r="F337" s="270"/>
      <c r="G337" s="334"/>
      <c r="H337" s="270"/>
      <c r="I337" s="334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</row>
    <row r="338" spans="1:26" ht="18" customHeight="1">
      <c r="A338" s="335"/>
      <c r="B338" s="270"/>
      <c r="C338" s="270"/>
      <c r="D338" s="438"/>
      <c r="E338" s="334"/>
      <c r="F338" s="270"/>
      <c r="G338" s="334"/>
      <c r="H338" s="270"/>
      <c r="I338" s="334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</row>
    <row r="339" spans="1:26" ht="18" customHeight="1">
      <c r="A339" s="335"/>
      <c r="B339" s="270"/>
      <c r="C339" s="270"/>
      <c r="D339" s="438"/>
      <c r="E339" s="334"/>
      <c r="F339" s="270"/>
      <c r="G339" s="334"/>
      <c r="H339" s="270"/>
      <c r="I339" s="334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</row>
    <row r="340" spans="1:26" ht="18" customHeight="1">
      <c r="A340" s="335"/>
      <c r="B340" s="270"/>
      <c r="C340" s="270"/>
      <c r="D340" s="438"/>
      <c r="E340" s="334"/>
      <c r="F340" s="270"/>
      <c r="G340" s="334"/>
      <c r="H340" s="270"/>
      <c r="I340" s="334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</row>
    <row r="341" spans="1:26" ht="18" customHeight="1">
      <c r="A341" s="335"/>
      <c r="B341" s="270"/>
      <c r="C341" s="270"/>
      <c r="D341" s="438"/>
      <c r="E341" s="334"/>
      <c r="F341" s="270"/>
      <c r="G341" s="334"/>
      <c r="H341" s="270"/>
      <c r="I341" s="334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</row>
    <row r="342" spans="1:26" ht="18" customHeight="1">
      <c r="A342" s="335"/>
      <c r="B342" s="270"/>
      <c r="C342" s="270"/>
      <c r="D342" s="438"/>
      <c r="E342" s="334"/>
      <c r="F342" s="270"/>
      <c r="G342" s="334"/>
      <c r="H342" s="270"/>
      <c r="I342" s="334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</row>
    <row r="343" spans="1:26" ht="18" customHeight="1">
      <c r="A343" s="335"/>
      <c r="B343" s="270"/>
      <c r="C343" s="270"/>
      <c r="D343" s="438"/>
      <c r="E343" s="334"/>
      <c r="F343" s="270"/>
      <c r="G343" s="334"/>
      <c r="H343" s="270"/>
      <c r="I343" s="334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</row>
    <row r="344" spans="1:26" ht="18" customHeight="1">
      <c r="A344" s="335"/>
      <c r="B344" s="270"/>
      <c r="C344" s="270"/>
      <c r="D344" s="438"/>
      <c r="E344" s="334"/>
      <c r="F344" s="270"/>
      <c r="G344" s="334"/>
      <c r="H344" s="270"/>
      <c r="I344" s="334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</row>
    <row r="345" spans="1:26" ht="18" customHeight="1">
      <c r="A345" s="335"/>
      <c r="B345" s="270"/>
      <c r="C345" s="270"/>
      <c r="D345" s="438"/>
      <c r="E345" s="334"/>
      <c r="F345" s="270"/>
      <c r="G345" s="334"/>
      <c r="H345" s="270"/>
      <c r="I345" s="334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</row>
    <row r="346" spans="1:26" ht="18" customHeight="1">
      <c r="A346" s="335"/>
      <c r="B346" s="270"/>
      <c r="C346" s="270"/>
      <c r="D346" s="438"/>
      <c r="E346" s="334"/>
      <c r="F346" s="270"/>
      <c r="G346" s="334"/>
      <c r="H346" s="270"/>
      <c r="I346" s="334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</row>
    <row r="347" spans="1:26" ht="18" customHeight="1">
      <c r="A347" s="335"/>
      <c r="B347" s="270"/>
      <c r="C347" s="270"/>
      <c r="D347" s="438"/>
      <c r="E347" s="334"/>
      <c r="F347" s="270"/>
      <c r="G347" s="334"/>
      <c r="H347" s="270"/>
      <c r="I347" s="334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</row>
    <row r="348" spans="1:26" ht="18" customHeight="1">
      <c r="A348" s="335"/>
      <c r="B348" s="270"/>
      <c r="C348" s="270"/>
      <c r="D348" s="438"/>
      <c r="E348" s="334"/>
      <c r="F348" s="270"/>
      <c r="G348" s="334"/>
      <c r="H348" s="270"/>
      <c r="I348" s="334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</row>
    <row r="349" spans="1:26" ht="18" customHeight="1">
      <c r="A349" s="335"/>
      <c r="B349" s="270"/>
      <c r="C349" s="270"/>
      <c r="D349" s="438"/>
      <c r="E349" s="334"/>
      <c r="F349" s="270"/>
      <c r="G349" s="334"/>
      <c r="H349" s="270"/>
      <c r="I349" s="334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</row>
    <row r="350" spans="1:26" ht="18" customHeight="1">
      <c r="A350" s="335"/>
      <c r="B350" s="270"/>
      <c r="C350" s="270"/>
      <c r="D350" s="438"/>
      <c r="E350" s="334"/>
      <c r="F350" s="270"/>
      <c r="G350" s="334"/>
      <c r="H350" s="270"/>
      <c r="I350" s="334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</row>
    <row r="351" spans="1:26" ht="18" customHeight="1">
      <c r="A351" s="335"/>
      <c r="B351" s="270"/>
      <c r="C351" s="270"/>
      <c r="D351" s="438"/>
      <c r="E351" s="334"/>
      <c r="F351" s="270"/>
      <c r="G351" s="334"/>
      <c r="H351" s="270"/>
      <c r="I351" s="334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</row>
    <row r="352" spans="1:26" ht="18" customHeight="1">
      <c r="A352" s="335"/>
      <c r="B352" s="270"/>
      <c r="C352" s="270"/>
      <c r="D352" s="438"/>
      <c r="E352" s="334"/>
      <c r="F352" s="270"/>
      <c r="G352" s="334"/>
      <c r="H352" s="270"/>
      <c r="I352" s="334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</row>
    <row r="353" spans="1:26" ht="18" customHeight="1">
      <c r="A353" s="335"/>
      <c r="B353" s="270"/>
      <c r="C353" s="270"/>
      <c r="D353" s="438"/>
      <c r="E353" s="334"/>
      <c r="F353" s="270"/>
      <c r="G353" s="334"/>
      <c r="H353" s="270"/>
      <c r="I353" s="334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</row>
    <row r="354" spans="1:26" ht="18" customHeight="1">
      <c r="A354" s="335"/>
      <c r="B354" s="270"/>
      <c r="C354" s="270"/>
      <c r="D354" s="438"/>
      <c r="E354" s="334"/>
      <c r="F354" s="270"/>
      <c r="G354" s="334"/>
      <c r="H354" s="270"/>
      <c r="I354" s="334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</row>
    <row r="355" spans="1:26" ht="18" customHeight="1">
      <c r="A355" s="335"/>
      <c r="B355" s="270"/>
      <c r="C355" s="270"/>
      <c r="D355" s="438"/>
      <c r="E355" s="334"/>
      <c r="F355" s="270"/>
      <c r="G355" s="334"/>
      <c r="H355" s="270"/>
      <c r="I355" s="334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</row>
    <row r="356" spans="1:26" ht="18" customHeight="1">
      <c r="A356" s="335"/>
      <c r="B356" s="270"/>
      <c r="C356" s="270"/>
      <c r="D356" s="438"/>
      <c r="E356" s="334"/>
      <c r="F356" s="270"/>
      <c r="G356" s="334"/>
      <c r="H356" s="270"/>
      <c r="I356" s="334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</row>
    <row r="357" spans="1:26" ht="18" customHeight="1">
      <c r="A357" s="335"/>
      <c r="B357" s="270"/>
      <c r="C357" s="270"/>
      <c r="D357" s="438"/>
      <c r="E357" s="334"/>
      <c r="F357" s="270"/>
      <c r="G357" s="334"/>
      <c r="H357" s="270"/>
      <c r="I357" s="334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</row>
    <row r="358" spans="1:26" ht="18" customHeight="1">
      <c r="A358" s="335"/>
      <c r="B358" s="270"/>
      <c r="C358" s="270"/>
      <c r="D358" s="438"/>
      <c r="E358" s="334"/>
      <c r="F358" s="270"/>
      <c r="G358" s="334"/>
      <c r="H358" s="270"/>
      <c r="I358" s="334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</row>
    <row r="359" spans="1:26" ht="18" customHeight="1">
      <c r="A359" s="335"/>
      <c r="B359" s="270"/>
      <c r="C359" s="270"/>
      <c r="D359" s="438"/>
      <c r="E359" s="334"/>
      <c r="F359" s="270"/>
      <c r="G359" s="334"/>
      <c r="H359" s="270"/>
      <c r="I359" s="334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</row>
    <row r="360" spans="1:26" ht="18" customHeight="1">
      <c r="A360" s="335"/>
      <c r="B360" s="270"/>
      <c r="C360" s="270"/>
      <c r="D360" s="438"/>
      <c r="E360" s="334"/>
      <c r="F360" s="270"/>
      <c r="G360" s="334"/>
      <c r="H360" s="270"/>
      <c r="I360" s="334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</row>
    <row r="361" spans="1:26" ht="18" customHeight="1">
      <c r="A361" s="335"/>
      <c r="B361" s="270"/>
      <c r="C361" s="270"/>
      <c r="D361" s="438"/>
      <c r="E361" s="334"/>
      <c r="F361" s="270"/>
      <c r="G361" s="334"/>
      <c r="H361" s="270"/>
      <c r="I361" s="334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</row>
    <row r="362" spans="1:26" ht="18" customHeight="1">
      <c r="A362" s="335"/>
      <c r="B362" s="270"/>
      <c r="C362" s="270"/>
      <c r="D362" s="438"/>
      <c r="E362" s="334"/>
      <c r="F362" s="270"/>
      <c r="G362" s="334"/>
      <c r="H362" s="270"/>
      <c r="I362" s="334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</row>
    <row r="363" spans="1:26" ht="18" customHeight="1">
      <c r="A363" s="335"/>
      <c r="B363" s="270"/>
      <c r="C363" s="270"/>
      <c r="D363" s="438"/>
      <c r="E363" s="334"/>
      <c r="F363" s="270"/>
      <c r="G363" s="334"/>
      <c r="H363" s="270"/>
      <c r="I363" s="334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</row>
    <row r="364" spans="1:26" ht="18" customHeight="1">
      <c r="A364" s="335"/>
      <c r="B364" s="270"/>
      <c r="C364" s="270"/>
      <c r="D364" s="438"/>
      <c r="E364" s="334"/>
      <c r="F364" s="270"/>
      <c r="G364" s="334"/>
      <c r="H364" s="270"/>
      <c r="I364" s="334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</row>
    <row r="365" spans="1:26" ht="18" customHeight="1">
      <c r="A365" s="335"/>
      <c r="B365" s="270"/>
      <c r="C365" s="270"/>
      <c r="D365" s="438"/>
      <c r="E365" s="334"/>
      <c r="F365" s="270"/>
      <c r="G365" s="334"/>
      <c r="H365" s="270"/>
      <c r="I365" s="334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</row>
    <row r="366" spans="1:26" ht="18" customHeight="1">
      <c r="A366" s="335"/>
      <c r="B366" s="270"/>
      <c r="C366" s="270"/>
      <c r="D366" s="438"/>
      <c r="E366" s="334"/>
      <c r="F366" s="270"/>
      <c r="G366" s="334"/>
      <c r="H366" s="270"/>
      <c r="I366" s="334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</row>
    <row r="367" spans="1:26" ht="18" customHeight="1">
      <c r="A367" s="335"/>
      <c r="B367" s="270"/>
      <c r="C367" s="270"/>
      <c r="D367" s="438"/>
      <c r="E367" s="334"/>
      <c r="F367" s="270"/>
      <c r="G367" s="334"/>
      <c r="H367" s="270"/>
      <c r="I367" s="334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</row>
    <row r="368" spans="1:26" ht="18" customHeight="1">
      <c r="A368" s="335"/>
      <c r="B368" s="270"/>
      <c r="C368" s="270"/>
      <c r="D368" s="438"/>
      <c r="E368" s="334"/>
      <c r="F368" s="270"/>
      <c r="G368" s="334"/>
      <c r="H368" s="270"/>
      <c r="I368" s="334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</row>
    <row r="369" spans="1:26" ht="18" customHeight="1">
      <c r="A369" s="335"/>
      <c r="B369" s="270"/>
      <c r="C369" s="270"/>
      <c r="D369" s="438"/>
      <c r="E369" s="334"/>
      <c r="F369" s="270"/>
      <c r="G369" s="334"/>
      <c r="H369" s="270"/>
      <c r="I369" s="334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</row>
    <row r="370" spans="1:26" ht="18" customHeight="1">
      <c r="A370" s="335"/>
      <c r="B370" s="270"/>
      <c r="C370" s="270"/>
      <c r="D370" s="438"/>
      <c r="E370" s="334"/>
      <c r="F370" s="270"/>
      <c r="G370" s="334"/>
      <c r="H370" s="270"/>
      <c r="I370" s="334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</row>
    <row r="371" spans="1:26" ht="18" customHeight="1">
      <c r="A371" s="335"/>
      <c r="B371" s="270"/>
      <c r="C371" s="270"/>
      <c r="D371" s="438"/>
      <c r="E371" s="334"/>
      <c r="F371" s="270"/>
      <c r="G371" s="334"/>
      <c r="H371" s="270"/>
      <c r="I371" s="334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</row>
    <row r="372" spans="1:26" ht="18" customHeight="1">
      <c r="A372" s="335"/>
      <c r="B372" s="270"/>
      <c r="C372" s="270"/>
      <c r="D372" s="438"/>
      <c r="E372" s="334"/>
      <c r="F372" s="270"/>
      <c r="G372" s="334"/>
      <c r="H372" s="270"/>
      <c r="I372" s="334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</row>
    <row r="373" spans="1:26" ht="18" customHeight="1">
      <c r="A373" s="335"/>
      <c r="B373" s="270"/>
      <c r="C373" s="270"/>
      <c r="D373" s="438"/>
      <c r="E373" s="334"/>
      <c r="F373" s="270"/>
      <c r="G373" s="334"/>
      <c r="H373" s="270"/>
      <c r="I373" s="334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</row>
    <row r="374" spans="1:26" ht="18" customHeight="1">
      <c r="A374" s="335"/>
      <c r="B374" s="270"/>
      <c r="C374" s="270"/>
      <c r="D374" s="438"/>
      <c r="E374" s="334"/>
      <c r="F374" s="270"/>
      <c r="G374" s="334"/>
      <c r="H374" s="270"/>
      <c r="I374" s="334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</row>
    <row r="375" spans="1:26" ht="18" customHeight="1">
      <c r="A375" s="335"/>
      <c r="B375" s="270"/>
      <c r="C375" s="270"/>
      <c r="D375" s="438"/>
      <c r="E375" s="334"/>
      <c r="F375" s="270"/>
      <c r="G375" s="334"/>
      <c r="H375" s="270"/>
      <c r="I375" s="334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</row>
    <row r="376" spans="1:26" ht="18" customHeight="1">
      <c r="A376" s="335"/>
      <c r="B376" s="270"/>
      <c r="C376" s="270"/>
      <c r="D376" s="438"/>
      <c r="E376" s="334"/>
      <c r="F376" s="270"/>
      <c r="G376" s="334"/>
      <c r="H376" s="270"/>
      <c r="I376" s="334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</row>
    <row r="377" spans="1:26" ht="18" customHeight="1">
      <c r="A377" s="335"/>
      <c r="B377" s="270"/>
      <c r="C377" s="270"/>
      <c r="D377" s="438"/>
      <c r="E377" s="334"/>
      <c r="F377" s="270"/>
      <c r="G377" s="334"/>
      <c r="H377" s="270"/>
      <c r="I377" s="334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</row>
    <row r="378" spans="1:26" ht="18" customHeight="1">
      <c r="A378" s="335"/>
      <c r="B378" s="270"/>
      <c r="C378" s="270"/>
      <c r="D378" s="438"/>
      <c r="E378" s="334"/>
      <c r="F378" s="270"/>
      <c r="G378" s="334"/>
      <c r="H378" s="270"/>
      <c r="I378" s="334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</row>
    <row r="379" spans="1:26" ht="18" customHeight="1">
      <c r="A379" s="335"/>
      <c r="B379" s="270"/>
      <c r="C379" s="270"/>
      <c r="D379" s="438"/>
      <c r="E379" s="334"/>
      <c r="F379" s="270"/>
      <c r="G379" s="334"/>
      <c r="H379" s="270"/>
      <c r="I379" s="334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</row>
    <row r="380" spans="1:26" ht="18" customHeight="1">
      <c r="A380" s="335"/>
      <c r="B380" s="270"/>
      <c r="C380" s="270"/>
      <c r="D380" s="438"/>
      <c r="E380" s="334"/>
      <c r="F380" s="270"/>
      <c r="G380" s="334"/>
      <c r="H380" s="270"/>
      <c r="I380" s="334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</row>
    <row r="381" spans="1:26" ht="18" customHeight="1">
      <c r="A381" s="335"/>
      <c r="B381" s="270"/>
      <c r="C381" s="270"/>
      <c r="D381" s="438"/>
      <c r="E381" s="334"/>
      <c r="F381" s="270"/>
      <c r="G381" s="334"/>
      <c r="H381" s="270"/>
      <c r="I381" s="334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</row>
    <row r="382" spans="1:26" ht="18" customHeight="1">
      <c r="A382" s="335"/>
      <c r="B382" s="270"/>
      <c r="C382" s="270"/>
      <c r="D382" s="438"/>
      <c r="E382" s="334"/>
      <c r="F382" s="270"/>
      <c r="G382" s="334"/>
      <c r="H382" s="270"/>
      <c r="I382" s="334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</row>
    <row r="383" spans="1:26" ht="18" customHeight="1">
      <c r="A383" s="335"/>
      <c r="B383" s="270"/>
      <c r="C383" s="270"/>
      <c r="D383" s="438"/>
      <c r="E383" s="334"/>
      <c r="F383" s="270"/>
      <c r="G383" s="334"/>
      <c r="H383" s="270"/>
      <c r="I383" s="334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</row>
    <row r="384" spans="1:26" ht="18" customHeight="1">
      <c r="A384" s="335"/>
      <c r="B384" s="270"/>
      <c r="C384" s="270"/>
      <c r="D384" s="438"/>
      <c r="E384" s="334"/>
      <c r="F384" s="270"/>
      <c r="G384" s="334"/>
      <c r="H384" s="270"/>
      <c r="I384" s="334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</row>
    <row r="385" spans="1:26" ht="18" customHeight="1">
      <c r="A385" s="335"/>
      <c r="B385" s="270"/>
      <c r="C385" s="270"/>
      <c r="D385" s="438"/>
      <c r="E385" s="334"/>
      <c r="F385" s="270"/>
      <c r="G385" s="334"/>
      <c r="H385" s="270"/>
      <c r="I385" s="334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</row>
    <row r="386" spans="1:26" ht="18" customHeight="1">
      <c r="A386" s="335"/>
      <c r="B386" s="270"/>
      <c r="C386" s="270"/>
      <c r="D386" s="438"/>
      <c r="E386" s="334"/>
      <c r="F386" s="270"/>
      <c r="G386" s="334"/>
      <c r="H386" s="270"/>
      <c r="I386" s="334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</row>
    <row r="387" spans="1:26" ht="18" customHeight="1">
      <c r="A387" s="335"/>
      <c r="B387" s="270"/>
      <c r="C387" s="270"/>
      <c r="D387" s="438"/>
      <c r="E387" s="334"/>
      <c r="F387" s="270"/>
      <c r="G387" s="334"/>
      <c r="H387" s="270"/>
      <c r="I387" s="334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</row>
    <row r="388" spans="1:26" ht="18" customHeight="1">
      <c r="A388" s="335"/>
      <c r="B388" s="270"/>
      <c r="C388" s="270"/>
      <c r="D388" s="438"/>
      <c r="E388" s="334"/>
      <c r="F388" s="270"/>
      <c r="G388" s="334"/>
      <c r="H388" s="270"/>
      <c r="I388" s="334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</row>
    <row r="389" spans="1:26" ht="18" customHeight="1">
      <c r="A389" s="335"/>
      <c r="B389" s="270"/>
      <c r="C389" s="270"/>
      <c r="D389" s="438"/>
      <c r="E389" s="334"/>
      <c r="F389" s="270"/>
      <c r="G389" s="334"/>
      <c r="H389" s="270"/>
      <c r="I389" s="334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</row>
    <row r="390" spans="1:26" ht="18" customHeight="1">
      <c r="A390" s="335"/>
      <c r="B390" s="270"/>
      <c r="C390" s="270"/>
      <c r="D390" s="438"/>
      <c r="E390" s="334"/>
      <c r="F390" s="270"/>
      <c r="G390" s="334"/>
      <c r="H390" s="270"/>
      <c r="I390" s="334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</row>
    <row r="391" spans="1:26" ht="18" customHeight="1">
      <c r="A391" s="335"/>
      <c r="B391" s="270"/>
      <c r="C391" s="270"/>
      <c r="D391" s="438"/>
      <c r="E391" s="334"/>
      <c r="F391" s="270"/>
      <c r="G391" s="334"/>
      <c r="H391" s="270"/>
      <c r="I391" s="334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</row>
    <row r="392" spans="1:26" ht="18" customHeight="1">
      <c r="A392" s="335"/>
      <c r="B392" s="270"/>
      <c r="C392" s="270"/>
      <c r="D392" s="438"/>
      <c r="E392" s="334"/>
      <c r="F392" s="270"/>
      <c r="G392" s="334"/>
      <c r="H392" s="270"/>
      <c r="I392" s="334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</row>
    <row r="393" spans="1:26" ht="18" customHeight="1">
      <c r="A393" s="335"/>
      <c r="B393" s="270"/>
      <c r="C393" s="270"/>
      <c r="D393" s="438"/>
      <c r="E393" s="334"/>
      <c r="F393" s="270"/>
      <c r="G393" s="334"/>
      <c r="H393" s="270"/>
      <c r="I393" s="334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</row>
    <row r="394" spans="1:26" ht="18" customHeight="1">
      <c r="A394" s="335"/>
      <c r="B394" s="270"/>
      <c r="C394" s="270"/>
      <c r="D394" s="438"/>
      <c r="E394" s="334"/>
      <c r="F394" s="270"/>
      <c r="G394" s="334"/>
      <c r="H394" s="270"/>
      <c r="I394" s="334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</row>
    <row r="395" spans="1:26" ht="18" customHeight="1">
      <c r="A395" s="335"/>
      <c r="B395" s="270"/>
      <c r="C395" s="270"/>
      <c r="D395" s="438"/>
      <c r="E395" s="334"/>
      <c r="F395" s="270"/>
      <c r="G395" s="334"/>
      <c r="H395" s="270"/>
      <c r="I395" s="334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</row>
    <row r="396" spans="1:26" ht="18" customHeight="1">
      <c r="A396" s="335"/>
      <c r="B396" s="270"/>
      <c r="C396" s="270"/>
      <c r="D396" s="438"/>
      <c r="E396" s="334"/>
      <c r="F396" s="270"/>
      <c r="G396" s="334"/>
      <c r="H396" s="270"/>
      <c r="I396" s="334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</row>
    <row r="397" spans="1:26" ht="18" customHeight="1">
      <c r="A397" s="335"/>
      <c r="B397" s="270"/>
      <c r="C397" s="270"/>
      <c r="D397" s="438"/>
      <c r="E397" s="334"/>
      <c r="F397" s="270"/>
      <c r="G397" s="334"/>
      <c r="H397" s="270"/>
      <c r="I397" s="334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</row>
    <row r="398" spans="1:26" ht="18" customHeight="1">
      <c r="A398" s="335"/>
      <c r="B398" s="270"/>
      <c r="C398" s="270"/>
      <c r="D398" s="438"/>
      <c r="E398" s="334"/>
      <c r="F398" s="270"/>
      <c r="G398" s="334"/>
      <c r="H398" s="270"/>
      <c r="I398" s="334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</row>
    <row r="399" spans="1:26" ht="18" customHeight="1">
      <c r="A399" s="335"/>
      <c r="B399" s="270"/>
      <c r="C399" s="270"/>
      <c r="D399" s="438"/>
      <c r="E399" s="334"/>
      <c r="F399" s="270"/>
      <c r="G399" s="334"/>
      <c r="H399" s="270"/>
      <c r="I399" s="334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</row>
    <row r="400" spans="1:26" ht="18" customHeight="1">
      <c r="A400" s="335"/>
      <c r="B400" s="270"/>
      <c r="C400" s="270"/>
      <c r="D400" s="438"/>
      <c r="E400" s="334"/>
      <c r="F400" s="270"/>
      <c r="G400" s="334"/>
      <c r="H400" s="270"/>
      <c r="I400" s="334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</row>
    <row r="401" spans="1:26" ht="18" customHeight="1">
      <c r="A401" s="335"/>
      <c r="B401" s="270"/>
      <c r="C401" s="270"/>
      <c r="D401" s="438"/>
      <c r="E401" s="334"/>
      <c r="F401" s="270"/>
      <c r="G401" s="334"/>
      <c r="H401" s="270"/>
      <c r="I401" s="334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</row>
    <row r="402" spans="1:26" ht="18" customHeight="1">
      <c r="A402" s="335"/>
      <c r="B402" s="270"/>
      <c r="C402" s="270"/>
      <c r="D402" s="438"/>
      <c r="E402" s="334"/>
      <c r="F402" s="270"/>
      <c r="G402" s="334"/>
      <c r="H402" s="270"/>
      <c r="I402" s="334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</row>
    <row r="403" spans="1:26" ht="18" customHeight="1">
      <c r="A403" s="335"/>
      <c r="B403" s="270"/>
      <c r="C403" s="270"/>
      <c r="D403" s="438"/>
      <c r="E403" s="334"/>
      <c r="F403" s="270"/>
      <c r="G403" s="334"/>
      <c r="H403" s="270"/>
      <c r="I403" s="334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</row>
    <row r="404" spans="1:26" ht="18" customHeight="1">
      <c r="A404" s="335"/>
      <c r="B404" s="270"/>
      <c r="C404" s="270"/>
      <c r="D404" s="438"/>
      <c r="E404" s="334"/>
      <c r="F404" s="270"/>
      <c r="G404" s="334"/>
      <c r="H404" s="270"/>
      <c r="I404" s="334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</row>
    <row r="405" spans="1:26" ht="18" customHeight="1">
      <c r="A405" s="335"/>
      <c r="B405" s="270"/>
      <c r="C405" s="270"/>
      <c r="D405" s="438"/>
      <c r="E405" s="334"/>
      <c r="F405" s="270"/>
      <c r="G405" s="334"/>
      <c r="H405" s="270"/>
      <c r="I405" s="334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</row>
    <row r="406" spans="1:26" ht="18" customHeight="1">
      <c r="A406" s="335"/>
      <c r="B406" s="270"/>
      <c r="C406" s="270"/>
      <c r="D406" s="438"/>
      <c r="E406" s="334"/>
      <c r="F406" s="270"/>
      <c r="G406" s="334"/>
      <c r="H406" s="270"/>
      <c r="I406" s="334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</row>
    <row r="407" spans="1:26" ht="18" customHeight="1">
      <c r="A407" s="335"/>
      <c r="B407" s="270"/>
      <c r="C407" s="270"/>
      <c r="D407" s="438"/>
      <c r="E407" s="334"/>
      <c r="F407" s="270"/>
      <c r="G407" s="334"/>
      <c r="H407" s="270"/>
      <c r="I407" s="334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</row>
    <row r="408" spans="1:26" ht="18" customHeight="1">
      <c r="A408" s="335"/>
      <c r="B408" s="270"/>
      <c r="C408" s="270"/>
      <c r="D408" s="438"/>
      <c r="E408" s="334"/>
      <c r="F408" s="270"/>
      <c r="G408" s="334"/>
      <c r="H408" s="270"/>
      <c r="I408" s="334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</row>
    <row r="409" spans="1:26" ht="18" customHeight="1">
      <c r="A409" s="335"/>
      <c r="B409" s="270"/>
      <c r="C409" s="270"/>
      <c r="D409" s="438"/>
      <c r="E409" s="334"/>
      <c r="F409" s="270"/>
      <c r="G409" s="334"/>
      <c r="H409" s="270"/>
      <c r="I409" s="334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</row>
    <row r="410" spans="1:26" ht="18" customHeight="1">
      <c r="A410" s="335"/>
      <c r="B410" s="270"/>
      <c r="C410" s="270"/>
      <c r="D410" s="438"/>
      <c r="E410" s="334"/>
      <c r="F410" s="270"/>
      <c r="G410" s="334"/>
      <c r="H410" s="270"/>
      <c r="I410" s="334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</row>
    <row r="411" spans="1:26" ht="18" customHeight="1">
      <c r="A411" s="335"/>
      <c r="B411" s="270"/>
      <c r="C411" s="270"/>
      <c r="D411" s="438"/>
      <c r="E411" s="334"/>
      <c r="F411" s="270"/>
      <c r="G411" s="334"/>
      <c r="H411" s="270"/>
      <c r="I411" s="334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</row>
    <row r="412" spans="1:26" ht="18" customHeight="1">
      <c r="A412" s="335"/>
      <c r="B412" s="270"/>
      <c r="C412" s="270"/>
      <c r="D412" s="438"/>
      <c r="E412" s="334"/>
      <c r="F412" s="270"/>
      <c r="G412" s="334"/>
      <c r="H412" s="270"/>
      <c r="I412" s="334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</row>
    <row r="413" spans="1:26" ht="18" customHeight="1">
      <c r="A413" s="335"/>
      <c r="B413" s="270"/>
      <c r="C413" s="270"/>
      <c r="D413" s="438"/>
      <c r="E413" s="334"/>
      <c r="F413" s="270"/>
      <c r="G413" s="334"/>
      <c r="H413" s="270"/>
      <c r="I413" s="334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</row>
    <row r="414" spans="1:26" ht="18" customHeight="1">
      <c r="A414" s="335"/>
      <c r="B414" s="270"/>
      <c r="C414" s="270"/>
      <c r="D414" s="438"/>
      <c r="E414" s="334"/>
      <c r="F414" s="270"/>
      <c r="G414" s="334"/>
      <c r="H414" s="270"/>
      <c r="I414" s="334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</row>
    <row r="415" spans="1:26" ht="18" customHeight="1">
      <c r="A415" s="335"/>
      <c r="B415" s="270"/>
      <c r="C415" s="270"/>
      <c r="D415" s="438"/>
      <c r="E415" s="334"/>
      <c r="F415" s="270"/>
      <c r="G415" s="334"/>
      <c r="H415" s="270"/>
      <c r="I415" s="334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</row>
    <row r="416" spans="1:26" ht="18" customHeight="1">
      <c r="A416" s="335"/>
      <c r="B416" s="270"/>
      <c r="C416" s="270"/>
      <c r="D416" s="438"/>
      <c r="E416" s="334"/>
      <c r="F416" s="270"/>
      <c r="G416" s="334"/>
      <c r="H416" s="270"/>
      <c r="I416" s="334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</row>
    <row r="417" spans="1:26" ht="18" customHeight="1">
      <c r="A417" s="335"/>
      <c r="B417" s="270"/>
      <c r="C417" s="270"/>
      <c r="D417" s="438"/>
      <c r="E417" s="334"/>
      <c r="F417" s="270"/>
      <c r="G417" s="334"/>
      <c r="H417" s="270"/>
      <c r="I417" s="334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</row>
    <row r="418" spans="1:26" ht="18" customHeight="1">
      <c r="A418" s="335"/>
      <c r="B418" s="270"/>
      <c r="C418" s="270"/>
      <c r="D418" s="438"/>
      <c r="E418" s="334"/>
      <c r="F418" s="270"/>
      <c r="G418" s="334"/>
      <c r="H418" s="270"/>
      <c r="I418" s="334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</row>
    <row r="419" spans="1:26" ht="18" customHeight="1">
      <c r="A419" s="335"/>
      <c r="B419" s="270"/>
      <c r="C419" s="270"/>
      <c r="D419" s="438"/>
      <c r="E419" s="334"/>
      <c r="F419" s="270"/>
      <c r="G419" s="334"/>
      <c r="H419" s="270"/>
      <c r="I419" s="334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</row>
    <row r="420" spans="1:26" ht="18" customHeight="1">
      <c r="A420" s="335"/>
      <c r="B420" s="270"/>
      <c r="C420" s="270"/>
      <c r="D420" s="438"/>
      <c r="E420" s="334"/>
      <c r="F420" s="270"/>
      <c r="G420" s="334"/>
      <c r="H420" s="270"/>
      <c r="I420" s="334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</row>
    <row r="421" spans="1:26" ht="18" customHeight="1">
      <c r="A421" s="335"/>
      <c r="B421" s="270"/>
      <c r="C421" s="270"/>
      <c r="D421" s="438"/>
      <c r="E421" s="334"/>
      <c r="F421" s="270"/>
      <c r="G421" s="334"/>
      <c r="H421" s="270"/>
      <c r="I421" s="334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</row>
    <row r="422" spans="1:26" ht="18" customHeight="1">
      <c r="A422" s="335"/>
      <c r="B422" s="270"/>
      <c r="C422" s="270"/>
      <c r="D422" s="438"/>
      <c r="E422" s="334"/>
      <c r="F422" s="270"/>
      <c r="G422" s="334"/>
      <c r="H422" s="270"/>
      <c r="I422" s="334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</row>
    <row r="423" spans="1:26" ht="18" customHeight="1">
      <c r="A423" s="335"/>
      <c r="B423" s="270"/>
      <c r="C423" s="270"/>
      <c r="D423" s="438"/>
      <c r="E423" s="334"/>
      <c r="F423" s="270"/>
      <c r="G423" s="334"/>
      <c r="H423" s="270"/>
      <c r="I423" s="334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</row>
    <row r="424" spans="1:26" ht="18" customHeight="1">
      <c r="A424" s="335"/>
      <c r="B424" s="270"/>
      <c r="C424" s="270"/>
      <c r="D424" s="438"/>
      <c r="E424" s="334"/>
      <c r="F424" s="270"/>
      <c r="G424" s="334"/>
      <c r="H424" s="270"/>
      <c r="I424" s="334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</row>
    <row r="425" spans="1:26" ht="18" customHeight="1">
      <c r="A425" s="335"/>
      <c r="B425" s="270"/>
      <c r="C425" s="270"/>
      <c r="D425" s="438"/>
      <c r="E425" s="334"/>
      <c r="F425" s="270"/>
      <c r="G425" s="334"/>
      <c r="H425" s="270"/>
      <c r="I425" s="334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</row>
    <row r="426" spans="1:26" ht="18" customHeight="1">
      <c r="A426" s="335"/>
      <c r="B426" s="270"/>
      <c r="C426" s="270"/>
      <c r="D426" s="438"/>
      <c r="E426" s="334"/>
      <c r="F426" s="270"/>
      <c r="G426" s="334"/>
      <c r="H426" s="270"/>
      <c r="I426" s="334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</row>
    <row r="427" spans="1:26" ht="18" customHeight="1">
      <c r="A427" s="335"/>
      <c r="B427" s="270"/>
      <c r="C427" s="270"/>
      <c r="D427" s="438"/>
      <c r="E427" s="334"/>
      <c r="F427" s="270"/>
      <c r="G427" s="334"/>
      <c r="H427" s="270"/>
      <c r="I427" s="334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</row>
    <row r="428" spans="1:26" ht="18" customHeight="1">
      <c r="A428" s="335"/>
      <c r="B428" s="270"/>
      <c r="C428" s="270"/>
      <c r="D428" s="438"/>
      <c r="E428" s="334"/>
      <c r="F428" s="270"/>
      <c r="G428" s="334"/>
      <c r="H428" s="270"/>
      <c r="I428" s="334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</row>
    <row r="429" spans="1:26" ht="18" customHeight="1">
      <c r="A429" s="335"/>
      <c r="B429" s="270"/>
      <c r="C429" s="270"/>
      <c r="D429" s="438"/>
      <c r="E429" s="334"/>
      <c r="F429" s="270"/>
      <c r="G429" s="334"/>
      <c r="H429" s="270"/>
      <c r="I429" s="334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</row>
    <row r="430" spans="1:26" ht="18" customHeight="1">
      <c r="A430" s="335"/>
      <c r="B430" s="270"/>
      <c r="C430" s="270"/>
      <c r="D430" s="438"/>
      <c r="E430" s="334"/>
      <c r="F430" s="270"/>
      <c r="G430" s="334"/>
      <c r="H430" s="270"/>
      <c r="I430" s="334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</row>
    <row r="431" spans="1:26" ht="18" customHeight="1">
      <c r="A431" s="335"/>
      <c r="B431" s="270"/>
      <c r="C431" s="270"/>
      <c r="D431" s="438"/>
      <c r="E431" s="334"/>
      <c r="F431" s="270"/>
      <c r="G431" s="334"/>
      <c r="H431" s="270"/>
      <c r="I431" s="334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</row>
    <row r="432" spans="1:26" ht="18" customHeight="1">
      <c r="A432" s="335"/>
      <c r="B432" s="270"/>
      <c r="C432" s="270"/>
      <c r="D432" s="438"/>
      <c r="E432" s="334"/>
      <c r="F432" s="270"/>
      <c r="G432" s="334"/>
      <c r="H432" s="270"/>
      <c r="I432" s="334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</row>
    <row r="433" spans="1:26" ht="18" customHeight="1">
      <c r="A433" s="335"/>
      <c r="B433" s="270"/>
      <c r="C433" s="270"/>
      <c r="D433" s="438"/>
      <c r="E433" s="334"/>
      <c r="F433" s="270"/>
      <c r="G433" s="334"/>
      <c r="H433" s="270"/>
      <c r="I433" s="334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</row>
    <row r="434" spans="1:26" ht="18" customHeight="1">
      <c r="A434" s="335"/>
      <c r="B434" s="270"/>
      <c r="C434" s="270"/>
      <c r="D434" s="438"/>
      <c r="E434" s="334"/>
      <c r="F434" s="270"/>
      <c r="G434" s="334"/>
      <c r="H434" s="270"/>
      <c r="I434" s="334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</row>
    <row r="435" spans="1:26" ht="18" customHeight="1">
      <c r="A435" s="335"/>
      <c r="B435" s="270"/>
      <c r="C435" s="270"/>
      <c r="D435" s="438"/>
      <c r="E435" s="334"/>
      <c r="F435" s="270"/>
      <c r="G435" s="334"/>
      <c r="H435" s="270"/>
      <c r="I435" s="334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</row>
    <row r="436" spans="1:26" ht="18" customHeight="1">
      <c r="A436" s="335"/>
      <c r="B436" s="270"/>
      <c r="C436" s="270"/>
      <c r="D436" s="438"/>
      <c r="E436" s="334"/>
      <c r="F436" s="270"/>
      <c r="G436" s="334"/>
      <c r="H436" s="270"/>
      <c r="I436" s="334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</row>
    <row r="437" spans="1:26" ht="18" customHeight="1">
      <c r="A437" s="335"/>
      <c r="B437" s="270"/>
      <c r="C437" s="270"/>
      <c r="D437" s="438"/>
      <c r="E437" s="334"/>
      <c r="F437" s="270"/>
      <c r="G437" s="334"/>
      <c r="H437" s="270"/>
      <c r="I437" s="334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</row>
    <row r="438" spans="1:26" ht="18" customHeight="1">
      <c r="A438" s="335"/>
      <c r="B438" s="270"/>
      <c r="C438" s="270"/>
      <c r="D438" s="438"/>
      <c r="E438" s="334"/>
      <c r="F438" s="270"/>
      <c r="G438" s="334"/>
      <c r="H438" s="270"/>
      <c r="I438" s="334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</row>
    <row r="439" spans="1:26" ht="18" customHeight="1">
      <c r="A439" s="335"/>
      <c r="B439" s="270"/>
      <c r="C439" s="270"/>
      <c r="D439" s="438"/>
      <c r="E439" s="334"/>
      <c r="F439" s="270"/>
      <c r="G439" s="334"/>
      <c r="H439" s="270"/>
      <c r="I439" s="334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</row>
    <row r="440" spans="1:26" ht="18" customHeight="1">
      <c r="A440" s="335"/>
      <c r="B440" s="270"/>
      <c r="C440" s="270"/>
      <c r="D440" s="438"/>
      <c r="E440" s="334"/>
      <c r="F440" s="270"/>
      <c r="G440" s="334"/>
      <c r="H440" s="270"/>
      <c r="I440" s="334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</row>
    <row r="441" spans="1:26" ht="18" customHeight="1">
      <c r="A441" s="335"/>
      <c r="B441" s="270"/>
      <c r="C441" s="270"/>
      <c r="D441" s="438"/>
      <c r="E441" s="334"/>
      <c r="F441" s="270"/>
      <c r="G441" s="334"/>
      <c r="H441" s="270"/>
      <c r="I441" s="334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</row>
    <row r="442" spans="1:26" ht="18" customHeight="1">
      <c r="A442" s="335"/>
      <c r="B442" s="270"/>
      <c r="C442" s="270"/>
      <c r="D442" s="438"/>
      <c r="E442" s="334"/>
      <c r="F442" s="270"/>
      <c r="G442" s="334"/>
      <c r="H442" s="270"/>
      <c r="I442" s="334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</row>
    <row r="443" spans="1:26" ht="18" customHeight="1">
      <c r="A443" s="335"/>
      <c r="B443" s="270"/>
      <c r="C443" s="270"/>
      <c r="D443" s="438"/>
      <c r="E443" s="334"/>
      <c r="F443" s="270"/>
      <c r="G443" s="334"/>
      <c r="H443" s="270"/>
      <c r="I443" s="334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</row>
    <row r="444" spans="1:26" ht="18" customHeight="1">
      <c r="A444" s="335"/>
      <c r="B444" s="270"/>
      <c r="C444" s="270"/>
      <c r="D444" s="438"/>
      <c r="E444" s="334"/>
      <c r="F444" s="270"/>
      <c r="G444" s="334"/>
      <c r="H444" s="270"/>
      <c r="I444" s="334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</row>
    <row r="445" spans="1:26" ht="18" customHeight="1">
      <c r="A445" s="335"/>
      <c r="B445" s="270"/>
      <c r="C445" s="270"/>
      <c r="D445" s="438"/>
      <c r="E445" s="334"/>
      <c r="F445" s="270"/>
      <c r="G445" s="334"/>
      <c r="H445" s="270"/>
      <c r="I445" s="334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</row>
    <row r="446" spans="1:26" ht="18" customHeight="1">
      <c r="A446" s="335"/>
      <c r="B446" s="270"/>
      <c r="C446" s="270"/>
      <c r="D446" s="438"/>
      <c r="E446" s="334"/>
      <c r="F446" s="270"/>
      <c r="G446" s="334"/>
      <c r="H446" s="270"/>
      <c r="I446" s="334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</row>
    <row r="447" spans="1:26" ht="18" customHeight="1">
      <c r="A447" s="335"/>
      <c r="B447" s="270"/>
      <c r="C447" s="270"/>
      <c r="D447" s="438"/>
      <c r="E447" s="334"/>
      <c r="F447" s="270"/>
      <c r="G447" s="334"/>
      <c r="H447" s="270"/>
      <c r="I447" s="334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</row>
    <row r="448" spans="1:26" ht="18" customHeight="1">
      <c r="A448" s="335"/>
      <c r="B448" s="270"/>
      <c r="C448" s="270"/>
      <c r="D448" s="438"/>
      <c r="E448" s="334"/>
      <c r="F448" s="270"/>
      <c r="G448" s="334"/>
      <c r="H448" s="270"/>
      <c r="I448" s="334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</row>
    <row r="449" spans="1:26" ht="18" customHeight="1">
      <c r="A449" s="335"/>
      <c r="B449" s="270"/>
      <c r="C449" s="270"/>
      <c r="D449" s="438"/>
      <c r="E449" s="334"/>
      <c r="F449" s="270"/>
      <c r="G449" s="334"/>
      <c r="H449" s="270"/>
      <c r="I449" s="334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</row>
    <row r="450" spans="1:26" ht="18" customHeight="1">
      <c r="A450" s="335"/>
      <c r="B450" s="270"/>
      <c r="C450" s="270"/>
      <c r="D450" s="438"/>
      <c r="E450" s="334"/>
      <c r="F450" s="270"/>
      <c r="G450" s="334"/>
      <c r="H450" s="270"/>
      <c r="I450" s="334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</row>
    <row r="451" spans="1:26" ht="18" customHeight="1">
      <c r="A451" s="335"/>
      <c r="B451" s="270"/>
      <c r="C451" s="270"/>
      <c r="D451" s="438"/>
      <c r="E451" s="334"/>
      <c r="F451" s="270"/>
      <c r="G451" s="334"/>
      <c r="H451" s="270"/>
      <c r="I451" s="334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</row>
    <row r="452" spans="1:26" ht="18" customHeight="1">
      <c r="A452" s="335"/>
      <c r="B452" s="270"/>
      <c r="C452" s="270"/>
      <c r="D452" s="438"/>
      <c r="E452" s="334"/>
      <c r="F452" s="270"/>
      <c r="G452" s="334"/>
      <c r="H452" s="270"/>
      <c r="I452" s="334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</row>
    <row r="453" spans="1:26" ht="18" customHeight="1">
      <c r="A453" s="335"/>
      <c r="B453" s="270"/>
      <c r="C453" s="270"/>
      <c r="D453" s="438"/>
      <c r="E453" s="334"/>
      <c r="F453" s="270"/>
      <c r="G453" s="334"/>
      <c r="H453" s="270"/>
      <c r="I453" s="334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</row>
    <row r="454" spans="1:26" ht="18" customHeight="1">
      <c r="A454" s="335"/>
      <c r="B454" s="270"/>
      <c r="C454" s="270"/>
      <c r="D454" s="438"/>
      <c r="E454" s="334"/>
      <c r="F454" s="270"/>
      <c r="G454" s="334"/>
      <c r="H454" s="270"/>
      <c r="I454" s="334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</row>
    <row r="455" spans="1:26" ht="18" customHeight="1">
      <c r="A455" s="335"/>
      <c r="B455" s="270"/>
      <c r="C455" s="270"/>
      <c r="D455" s="438"/>
      <c r="E455" s="334"/>
      <c r="F455" s="270"/>
      <c r="G455" s="334"/>
      <c r="H455" s="270"/>
      <c r="I455" s="334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</row>
    <row r="456" spans="1:26" ht="18" customHeight="1">
      <c r="A456" s="335"/>
      <c r="B456" s="270"/>
      <c r="C456" s="270"/>
      <c r="D456" s="438"/>
      <c r="E456" s="334"/>
      <c r="F456" s="270"/>
      <c r="G456" s="334"/>
      <c r="H456" s="270"/>
      <c r="I456" s="334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</row>
    <row r="457" spans="1:26" ht="18" customHeight="1">
      <c r="A457" s="335"/>
      <c r="B457" s="270"/>
      <c r="C457" s="270"/>
      <c r="D457" s="438"/>
      <c r="E457" s="334"/>
      <c r="F457" s="270"/>
      <c r="G457" s="334"/>
      <c r="H457" s="270"/>
      <c r="I457" s="334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</row>
    <row r="458" spans="1:26" ht="18" customHeight="1">
      <c r="A458" s="335"/>
      <c r="B458" s="270"/>
      <c r="C458" s="270"/>
      <c r="D458" s="438"/>
      <c r="E458" s="334"/>
      <c r="F458" s="270"/>
      <c r="G458" s="334"/>
      <c r="H458" s="270"/>
      <c r="I458" s="334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</row>
    <row r="459" spans="1:26" ht="18" customHeight="1">
      <c r="A459" s="335"/>
      <c r="B459" s="270"/>
      <c r="C459" s="270"/>
      <c r="D459" s="438"/>
      <c r="E459" s="334"/>
      <c r="F459" s="270"/>
      <c r="G459" s="334"/>
      <c r="H459" s="270"/>
      <c r="I459" s="334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</row>
    <row r="460" spans="1:26" ht="18" customHeight="1">
      <c r="A460" s="335"/>
      <c r="B460" s="270"/>
      <c r="C460" s="270"/>
      <c r="D460" s="438"/>
      <c r="E460" s="334"/>
      <c r="F460" s="270"/>
      <c r="G460" s="334"/>
      <c r="H460" s="270"/>
      <c r="I460" s="334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</row>
    <row r="461" spans="1:26" ht="18" customHeight="1">
      <c r="A461" s="335"/>
      <c r="B461" s="270"/>
      <c r="C461" s="270"/>
      <c r="D461" s="438"/>
      <c r="E461" s="334"/>
      <c r="F461" s="270"/>
      <c r="G461" s="334"/>
      <c r="H461" s="270"/>
      <c r="I461" s="334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</row>
    <row r="462" spans="1:26" ht="18" customHeight="1">
      <c r="A462" s="335"/>
      <c r="B462" s="270"/>
      <c r="C462" s="270"/>
      <c r="D462" s="438"/>
      <c r="E462" s="334"/>
      <c r="F462" s="270"/>
      <c r="G462" s="334"/>
      <c r="H462" s="270"/>
      <c r="I462" s="334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</row>
    <row r="463" spans="1:26" ht="18" customHeight="1">
      <c r="A463" s="335"/>
      <c r="B463" s="270"/>
      <c r="C463" s="270"/>
      <c r="D463" s="438"/>
      <c r="E463" s="334"/>
      <c r="F463" s="270"/>
      <c r="G463" s="334"/>
      <c r="H463" s="270"/>
      <c r="I463" s="334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</row>
    <row r="464" spans="1:26" ht="18" customHeight="1">
      <c r="A464" s="335"/>
      <c r="B464" s="270"/>
      <c r="C464" s="270"/>
      <c r="D464" s="438"/>
      <c r="E464" s="334"/>
      <c r="F464" s="270"/>
      <c r="G464" s="334"/>
      <c r="H464" s="270"/>
      <c r="I464" s="334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</row>
    <row r="465" spans="1:26" ht="18" customHeight="1">
      <c r="A465" s="335"/>
      <c r="B465" s="270"/>
      <c r="C465" s="270"/>
      <c r="D465" s="438"/>
      <c r="E465" s="334"/>
      <c r="F465" s="270"/>
      <c r="G465" s="334"/>
      <c r="H465" s="270"/>
      <c r="I465" s="334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</row>
    <row r="466" spans="1:26" ht="18" customHeight="1">
      <c r="A466" s="335"/>
      <c r="B466" s="270"/>
      <c r="C466" s="270"/>
      <c r="D466" s="438"/>
      <c r="E466" s="334"/>
      <c r="F466" s="270"/>
      <c r="G466" s="334"/>
      <c r="H466" s="270"/>
      <c r="I466" s="334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</row>
    <row r="467" spans="1:26" ht="18" customHeight="1">
      <c r="A467" s="335"/>
      <c r="B467" s="270"/>
      <c r="C467" s="270"/>
      <c r="D467" s="438"/>
      <c r="E467" s="334"/>
      <c r="F467" s="270"/>
      <c r="G467" s="334"/>
      <c r="H467" s="270"/>
      <c r="I467" s="334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</row>
    <row r="468" spans="1:26" ht="18" customHeight="1">
      <c r="A468" s="335"/>
      <c r="B468" s="270"/>
      <c r="C468" s="270"/>
      <c r="D468" s="438"/>
      <c r="E468" s="334"/>
      <c r="F468" s="270"/>
      <c r="G468" s="334"/>
      <c r="H468" s="270"/>
      <c r="I468" s="334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</row>
    <row r="469" spans="1:26" ht="18" customHeight="1">
      <c r="A469" s="335"/>
      <c r="B469" s="270"/>
      <c r="C469" s="270"/>
      <c r="D469" s="438"/>
      <c r="E469" s="334"/>
      <c r="F469" s="270"/>
      <c r="G469" s="334"/>
      <c r="H469" s="270"/>
      <c r="I469" s="334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</row>
    <row r="470" spans="1:26" ht="18" customHeight="1">
      <c r="A470" s="335"/>
      <c r="B470" s="270"/>
      <c r="C470" s="270"/>
      <c r="D470" s="438"/>
      <c r="E470" s="334"/>
      <c r="F470" s="270"/>
      <c r="G470" s="334"/>
      <c r="H470" s="270"/>
      <c r="I470" s="334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</row>
    <row r="471" spans="1:26" ht="18" customHeight="1">
      <c r="A471" s="335"/>
      <c r="B471" s="270"/>
      <c r="C471" s="270"/>
      <c r="D471" s="438"/>
      <c r="E471" s="334"/>
      <c r="F471" s="270"/>
      <c r="G471" s="334"/>
      <c r="H471" s="270"/>
      <c r="I471" s="334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</row>
    <row r="472" spans="1:26" ht="18" customHeight="1">
      <c r="A472" s="335"/>
      <c r="B472" s="270"/>
      <c r="C472" s="270"/>
      <c r="D472" s="438"/>
      <c r="E472" s="334"/>
      <c r="F472" s="270"/>
      <c r="G472" s="334"/>
      <c r="H472" s="270"/>
      <c r="I472" s="334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</row>
    <row r="473" spans="1:26" ht="18" customHeight="1">
      <c r="A473" s="335"/>
      <c r="B473" s="270"/>
      <c r="C473" s="270"/>
      <c r="D473" s="438"/>
      <c r="E473" s="334"/>
      <c r="F473" s="270"/>
      <c r="G473" s="334"/>
      <c r="H473" s="270"/>
      <c r="I473" s="334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</row>
    <row r="474" spans="1:26" ht="18" customHeight="1">
      <c r="A474" s="335"/>
      <c r="B474" s="270"/>
      <c r="C474" s="270"/>
      <c r="D474" s="438"/>
      <c r="E474" s="334"/>
      <c r="F474" s="270"/>
      <c r="G474" s="334"/>
      <c r="H474" s="270"/>
      <c r="I474" s="334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</row>
    <row r="475" spans="1:26" ht="18" customHeight="1">
      <c r="A475" s="335"/>
      <c r="B475" s="270"/>
      <c r="C475" s="270"/>
      <c r="D475" s="438"/>
      <c r="E475" s="334"/>
      <c r="F475" s="270"/>
      <c r="G475" s="334"/>
      <c r="H475" s="270"/>
      <c r="I475" s="334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</row>
    <row r="476" spans="1:26" ht="18" customHeight="1">
      <c r="A476" s="335"/>
      <c r="B476" s="270"/>
      <c r="C476" s="270"/>
      <c r="D476" s="438"/>
      <c r="E476" s="334"/>
      <c r="F476" s="270"/>
      <c r="G476" s="334"/>
      <c r="H476" s="270"/>
      <c r="I476" s="334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</row>
    <row r="477" spans="1:26" ht="18" customHeight="1">
      <c r="A477" s="335"/>
      <c r="B477" s="270"/>
      <c r="C477" s="270"/>
      <c r="D477" s="438"/>
      <c r="E477" s="334"/>
      <c r="F477" s="270"/>
      <c r="G477" s="334"/>
      <c r="H477" s="270"/>
      <c r="I477" s="334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</row>
    <row r="478" spans="1:26" ht="18" customHeight="1">
      <c r="A478" s="335"/>
      <c r="B478" s="270"/>
      <c r="C478" s="270"/>
      <c r="D478" s="438"/>
      <c r="E478" s="334"/>
      <c r="F478" s="270"/>
      <c r="G478" s="334"/>
      <c r="H478" s="270"/>
      <c r="I478" s="334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</row>
    <row r="479" spans="1:26" ht="18" customHeight="1">
      <c r="A479" s="335"/>
      <c r="B479" s="270"/>
      <c r="C479" s="270"/>
      <c r="D479" s="438"/>
      <c r="E479" s="334"/>
      <c r="F479" s="270"/>
      <c r="G479" s="334"/>
      <c r="H479" s="270"/>
      <c r="I479" s="334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</row>
    <row r="480" spans="1:26" ht="18" customHeight="1">
      <c r="A480" s="335"/>
      <c r="B480" s="270"/>
      <c r="C480" s="270"/>
      <c r="D480" s="438"/>
      <c r="E480" s="334"/>
      <c r="F480" s="270"/>
      <c r="G480" s="334"/>
      <c r="H480" s="270"/>
      <c r="I480" s="334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</row>
    <row r="481" spans="1:26" ht="18" customHeight="1">
      <c r="A481" s="335"/>
      <c r="B481" s="270"/>
      <c r="C481" s="270"/>
      <c r="D481" s="438"/>
      <c r="E481" s="334"/>
      <c r="F481" s="270"/>
      <c r="G481" s="334"/>
      <c r="H481" s="270"/>
      <c r="I481" s="334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</row>
    <row r="482" spans="1:26" ht="18" customHeight="1">
      <c r="A482" s="335"/>
      <c r="B482" s="270"/>
      <c r="C482" s="270"/>
      <c r="D482" s="438"/>
      <c r="E482" s="334"/>
      <c r="F482" s="270"/>
      <c r="G482" s="334"/>
      <c r="H482" s="270"/>
      <c r="I482" s="334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</row>
    <row r="483" spans="1:26" ht="18" customHeight="1">
      <c r="A483" s="335"/>
      <c r="B483" s="270"/>
      <c r="C483" s="270"/>
      <c r="D483" s="438"/>
      <c r="E483" s="334"/>
      <c r="F483" s="270"/>
      <c r="G483" s="334"/>
      <c r="H483" s="270"/>
      <c r="I483" s="334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</row>
    <row r="484" spans="1:26" ht="18" customHeight="1">
      <c r="A484" s="335"/>
      <c r="B484" s="270"/>
      <c r="C484" s="270"/>
      <c r="D484" s="438"/>
      <c r="E484" s="334"/>
      <c r="F484" s="270"/>
      <c r="G484" s="334"/>
      <c r="H484" s="270"/>
      <c r="I484" s="334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</row>
    <row r="485" spans="1:26" ht="18" customHeight="1">
      <c r="A485" s="335"/>
      <c r="B485" s="270"/>
      <c r="C485" s="270"/>
      <c r="D485" s="438"/>
      <c r="E485" s="334"/>
      <c r="F485" s="270"/>
      <c r="G485" s="334"/>
      <c r="H485" s="270"/>
      <c r="I485" s="334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</row>
    <row r="486" spans="1:26" ht="18" customHeight="1">
      <c r="A486" s="335"/>
      <c r="B486" s="270"/>
      <c r="C486" s="270"/>
      <c r="D486" s="438"/>
      <c r="E486" s="334"/>
      <c r="F486" s="270"/>
      <c r="G486" s="334"/>
      <c r="H486" s="270"/>
      <c r="I486" s="334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</row>
    <row r="487" spans="1:26" ht="18" customHeight="1">
      <c r="A487" s="335"/>
      <c r="B487" s="270"/>
      <c r="C487" s="270"/>
      <c r="D487" s="438"/>
      <c r="E487" s="334"/>
      <c r="F487" s="270"/>
      <c r="G487" s="334"/>
      <c r="H487" s="270"/>
      <c r="I487" s="334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</row>
    <row r="488" spans="1:26" ht="18" customHeight="1">
      <c r="A488" s="335"/>
      <c r="B488" s="270"/>
      <c r="C488" s="270"/>
      <c r="D488" s="438"/>
      <c r="E488" s="334"/>
      <c r="F488" s="270"/>
      <c r="G488" s="334"/>
      <c r="H488" s="270"/>
      <c r="I488" s="334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</row>
    <row r="489" spans="1:26" ht="18" customHeight="1">
      <c r="A489" s="335"/>
      <c r="B489" s="270"/>
      <c r="C489" s="270"/>
      <c r="D489" s="438"/>
      <c r="E489" s="334"/>
      <c r="F489" s="270"/>
      <c r="G489" s="334"/>
      <c r="H489" s="270"/>
      <c r="I489" s="334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</row>
    <row r="490" spans="1:26" ht="18" customHeight="1">
      <c r="A490" s="335"/>
      <c r="B490" s="270"/>
      <c r="C490" s="270"/>
      <c r="D490" s="438"/>
      <c r="E490" s="334"/>
      <c r="F490" s="270"/>
      <c r="G490" s="334"/>
      <c r="H490" s="270"/>
      <c r="I490" s="334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</row>
    <row r="491" spans="1:26" ht="18" customHeight="1">
      <c r="A491" s="335"/>
      <c r="B491" s="270"/>
      <c r="C491" s="270"/>
      <c r="D491" s="438"/>
      <c r="E491" s="334"/>
      <c r="F491" s="270"/>
      <c r="G491" s="334"/>
      <c r="H491" s="270"/>
      <c r="I491" s="334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</row>
    <row r="492" spans="1:26" ht="18" customHeight="1">
      <c r="A492" s="335"/>
      <c r="B492" s="270"/>
      <c r="C492" s="270"/>
      <c r="D492" s="438"/>
      <c r="E492" s="334"/>
      <c r="F492" s="270"/>
      <c r="G492" s="334"/>
      <c r="H492" s="270"/>
      <c r="I492" s="334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</row>
    <row r="493" spans="1:26" ht="18" customHeight="1">
      <c r="A493" s="335"/>
      <c r="B493" s="270"/>
      <c r="C493" s="270"/>
      <c r="D493" s="438"/>
      <c r="E493" s="334"/>
      <c r="F493" s="270"/>
      <c r="G493" s="334"/>
      <c r="H493" s="270"/>
      <c r="I493" s="334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</row>
    <row r="494" spans="1:26" ht="18" customHeight="1">
      <c r="A494" s="335"/>
      <c r="B494" s="270"/>
      <c r="C494" s="270"/>
      <c r="D494" s="438"/>
      <c r="E494" s="334"/>
      <c r="F494" s="270"/>
      <c r="G494" s="334"/>
      <c r="H494" s="270"/>
      <c r="I494" s="334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</row>
    <row r="495" spans="1:26" ht="18" customHeight="1">
      <c r="A495" s="335"/>
      <c r="B495" s="270"/>
      <c r="C495" s="270"/>
      <c r="D495" s="438"/>
      <c r="E495" s="334"/>
      <c r="F495" s="270"/>
      <c r="G495" s="334"/>
      <c r="H495" s="270"/>
      <c r="I495" s="334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</row>
    <row r="496" spans="1:26" ht="18" customHeight="1">
      <c r="A496" s="335"/>
      <c r="B496" s="270"/>
      <c r="C496" s="270"/>
      <c r="D496" s="438"/>
      <c r="E496" s="334"/>
      <c r="F496" s="270"/>
      <c r="G496" s="334"/>
      <c r="H496" s="270"/>
      <c r="I496" s="334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</row>
    <row r="497" spans="1:26" ht="18" customHeight="1">
      <c r="A497" s="335"/>
      <c r="B497" s="270"/>
      <c r="C497" s="270"/>
      <c r="D497" s="438"/>
      <c r="E497" s="334"/>
      <c r="F497" s="270"/>
      <c r="G497" s="334"/>
      <c r="H497" s="270"/>
      <c r="I497" s="334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</row>
    <row r="498" spans="1:26" ht="18" customHeight="1">
      <c r="A498" s="335"/>
      <c r="B498" s="270"/>
      <c r="C498" s="270"/>
      <c r="D498" s="438"/>
      <c r="E498" s="334"/>
      <c r="F498" s="270"/>
      <c r="G498" s="334"/>
      <c r="H498" s="270"/>
      <c r="I498" s="334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</row>
    <row r="499" spans="1:26" ht="18" customHeight="1">
      <c r="A499" s="335"/>
      <c r="B499" s="270"/>
      <c r="C499" s="270"/>
      <c r="D499" s="438"/>
      <c r="E499" s="334"/>
      <c r="F499" s="270"/>
      <c r="G499" s="334"/>
      <c r="H499" s="270"/>
      <c r="I499" s="334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</row>
    <row r="500" spans="1:26" ht="18" customHeight="1">
      <c r="A500" s="335"/>
      <c r="B500" s="270"/>
      <c r="C500" s="270"/>
      <c r="D500" s="438"/>
      <c r="E500" s="334"/>
      <c r="F500" s="270"/>
      <c r="G500" s="334"/>
      <c r="H500" s="270"/>
      <c r="I500" s="334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</row>
    <row r="501" spans="1:26" ht="18" customHeight="1">
      <c r="A501" s="335"/>
      <c r="B501" s="270"/>
      <c r="C501" s="270"/>
      <c r="D501" s="438"/>
      <c r="E501" s="334"/>
      <c r="F501" s="270"/>
      <c r="G501" s="334"/>
      <c r="H501" s="270"/>
      <c r="I501" s="334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</row>
    <row r="502" spans="1:26" ht="18" customHeight="1">
      <c r="A502" s="335"/>
      <c r="B502" s="270"/>
      <c r="C502" s="270"/>
      <c r="D502" s="438"/>
      <c r="E502" s="334"/>
      <c r="F502" s="270"/>
      <c r="G502" s="334"/>
      <c r="H502" s="270"/>
      <c r="I502" s="334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</row>
    <row r="503" spans="1:26" ht="18" customHeight="1">
      <c r="A503" s="335"/>
      <c r="B503" s="270"/>
      <c r="C503" s="270"/>
      <c r="D503" s="438"/>
      <c r="E503" s="334"/>
      <c r="F503" s="270"/>
      <c r="G503" s="334"/>
      <c r="H503" s="270"/>
      <c r="I503" s="334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</row>
    <row r="504" spans="1:26" ht="18" customHeight="1">
      <c r="A504" s="335"/>
      <c r="B504" s="270"/>
      <c r="C504" s="270"/>
      <c r="D504" s="438"/>
      <c r="E504" s="334"/>
      <c r="F504" s="270"/>
      <c r="G504" s="334"/>
      <c r="H504" s="270"/>
      <c r="I504" s="334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</row>
    <row r="505" spans="1:26" ht="18" customHeight="1">
      <c r="A505" s="335"/>
      <c r="B505" s="270"/>
      <c r="C505" s="270"/>
      <c r="D505" s="438"/>
      <c r="E505" s="334"/>
      <c r="F505" s="270"/>
      <c r="G505" s="334"/>
      <c r="H505" s="270"/>
      <c r="I505" s="334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</row>
    <row r="506" spans="1:26" ht="18" customHeight="1">
      <c r="A506" s="335"/>
      <c r="B506" s="270"/>
      <c r="C506" s="270"/>
      <c r="D506" s="438"/>
      <c r="E506" s="334"/>
      <c r="F506" s="270"/>
      <c r="G506" s="334"/>
      <c r="H506" s="270"/>
      <c r="I506" s="334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</row>
    <row r="507" spans="1:26" ht="18" customHeight="1">
      <c r="A507" s="335"/>
      <c r="B507" s="270"/>
      <c r="C507" s="270"/>
      <c r="D507" s="438"/>
      <c r="E507" s="334"/>
      <c r="F507" s="270"/>
      <c r="G507" s="334"/>
      <c r="H507" s="270"/>
      <c r="I507" s="334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</row>
    <row r="508" spans="1:26" ht="18" customHeight="1">
      <c r="A508" s="335"/>
      <c r="B508" s="270"/>
      <c r="C508" s="270"/>
      <c r="D508" s="438"/>
      <c r="E508" s="334"/>
      <c r="F508" s="270"/>
      <c r="G508" s="334"/>
      <c r="H508" s="270"/>
      <c r="I508" s="334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</row>
    <row r="509" spans="1:26" ht="18" customHeight="1">
      <c r="A509" s="335"/>
      <c r="B509" s="270"/>
      <c r="C509" s="270"/>
      <c r="D509" s="438"/>
      <c r="E509" s="334"/>
      <c r="F509" s="270"/>
      <c r="G509" s="334"/>
      <c r="H509" s="270"/>
      <c r="I509" s="334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</row>
    <row r="510" spans="1:26" ht="18" customHeight="1">
      <c r="A510" s="335"/>
      <c r="B510" s="270"/>
      <c r="C510" s="270"/>
      <c r="D510" s="438"/>
      <c r="E510" s="334"/>
      <c r="F510" s="270"/>
      <c r="G510" s="334"/>
      <c r="H510" s="270"/>
      <c r="I510" s="334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</row>
    <row r="511" spans="1:26" ht="18" customHeight="1">
      <c r="A511" s="335"/>
      <c r="B511" s="270"/>
      <c r="C511" s="270"/>
      <c r="D511" s="438"/>
      <c r="E511" s="334"/>
      <c r="F511" s="270"/>
      <c r="G511" s="334"/>
      <c r="H511" s="270"/>
      <c r="I511" s="334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</row>
    <row r="512" spans="1:26" ht="18" customHeight="1">
      <c r="A512" s="335"/>
      <c r="B512" s="270"/>
      <c r="C512" s="270"/>
      <c r="D512" s="438"/>
      <c r="E512" s="334"/>
      <c r="F512" s="270"/>
      <c r="G512" s="334"/>
      <c r="H512" s="270"/>
      <c r="I512" s="334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</row>
    <row r="513" spans="1:26" ht="18" customHeight="1">
      <c r="A513" s="335"/>
      <c r="B513" s="270"/>
      <c r="C513" s="270"/>
      <c r="D513" s="438"/>
      <c r="E513" s="334"/>
      <c r="F513" s="270"/>
      <c r="G513" s="334"/>
      <c r="H513" s="270"/>
      <c r="I513" s="334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</row>
    <row r="514" spans="1:26" ht="18" customHeight="1">
      <c r="A514" s="335"/>
      <c r="B514" s="270"/>
      <c r="C514" s="270"/>
      <c r="D514" s="438"/>
      <c r="E514" s="334"/>
      <c r="F514" s="270"/>
      <c r="G514" s="334"/>
      <c r="H514" s="270"/>
      <c r="I514" s="334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</row>
    <row r="515" spans="1:26" ht="18" customHeight="1">
      <c r="A515" s="335"/>
      <c r="B515" s="270"/>
      <c r="C515" s="270"/>
      <c r="D515" s="438"/>
      <c r="E515" s="334"/>
      <c r="F515" s="270"/>
      <c r="G515" s="334"/>
      <c r="H515" s="270"/>
      <c r="I515" s="334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</row>
    <row r="516" spans="1:26" ht="18" customHeight="1">
      <c r="A516" s="335"/>
      <c r="B516" s="270"/>
      <c r="C516" s="270"/>
      <c r="D516" s="438"/>
      <c r="E516" s="334"/>
      <c r="F516" s="270"/>
      <c r="G516" s="334"/>
      <c r="H516" s="270"/>
      <c r="I516" s="334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</row>
    <row r="517" spans="1:26" ht="18" customHeight="1">
      <c r="A517" s="335"/>
      <c r="B517" s="270"/>
      <c r="C517" s="270"/>
      <c r="D517" s="438"/>
      <c r="E517" s="334"/>
      <c r="F517" s="270"/>
      <c r="G517" s="334"/>
      <c r="H517" s="270"/>
      <c r="I517" s="334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</row>
    <row r="518" spans="1:26" ht="18" customHeight="1">
      <c r="A518" s="335"/>
      <c r="B518" s="270"/>
      <c r="C518" s="270"/>
      <c r="D518" s="438"/>
      <c r="E518" s="334"/>
      <c r="F518" s="270"/>
      <c r="G518" s="334"/>
      <c r="H518" s="270"/>
      <c r="I518" s="334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</row>
    <row r="519" spans="1:26" ht="18" customHeight="1">
      <c r="A519" s="335"/>
      <c r="B519" s="270"/>
      <c r="C519" s="270"/>
      <c r="D519" s="438"/>
      <c r="E519" s="334"/>
      <c r="F519" s="270"/>
      <c r="G519" s="334"/>
      <c r="H519" s="270"/>
      <c r="I519" s="334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</row>
    <row r="520" spans="1:26" ht="18" customHeight="1">
      <c r="A520" s="335"/>
      <c r="B520" s="270"/>
      <c r="C520" s="270"/>
      <c r="D520" s="438"/>
      <c r="E520" s="334"/>
      <c r="F520" s="270"/>
      <c r="G520" s="334"/>
      <c r="H520" s="270"/>
      <c r="I520" s="334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</row>
    <row r="521" spans="1:26" ht="18" customHeight="1">
      <c r="A521" s="335"/>
      <c r="B521" s="270"/>
      <c r="C521" s="270"/>
      <c r="D521" s="438"/>
      <c r="E521" s="334"/>
      <c r="F521" s="270"/>
      <c r="G521" s="334"/>
      <c r="H521" s="270"/>
      <c r="I521" s="334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</row>
    <row r="522" spans="1:26" ht="18" customHeight="1">
      <c r="A522" s="335"/>
      <c r="B522" s="270"/>
      <c r="C522" s="270"/>
      <c r="D522" s="438"/>
      <c r="E522" s="334"/>
      <c r="F522" s="270"/>
      <c r="G522" s="334"/>
      <c r="H522" s="270"/>
      <c r="I522" s="334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</row>
    <row r="523" spans="1:26" ht="18" customHeight="1">
      <c r="A523" s="335"/>
      <c r="B523" s="270"/>
      <c r="C523" s="270"/>
      <c r="D523" s="438"/>
      <c r="E523" s="334"/>
      <c r="F523" s="270"/>
      <c r="G523" s="334"/>
      <c r="H523" s="270"/>
      <c r="I523" s="334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</row>
    <row r="524" spans="1:26" ht="18" customHeight="1">
      <c r="A524" s="335"/>
      <c r="B524" s="270"/>
      <c r="C524" s="270"/>
      <c r="D524" s="438"/>
      <c r="E524" s="334"/>
      <c r="F524" s="270"/>
      <c r="G524" s="334"/>
      <c r="H524" s="270"/>
      <c r="I524" s="334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</row>
    <row r="525" spans="1:26" ht="18" customHeight="1">
      <c r="A525" s="335"/>
      <c r="B525" s="270"/>
      <c r="C525" s="270"/>
      <c r="D525" s="438"/>
      <c r="E525" s="334"/>
      <c r="F525" s="270"/>
      <c r="G525" s="334"/>
      <c r="H525" s="270"/>
      <c r="I525" s="334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</row>
    <row r="526" spans="1:26" ht="18" customHeight="1">
      <c r="A526" s="335"/>
      <c r="B526" s="270"/>
      <c r="C526" s="270"/>
      <c r="D526" s="438"/>
      <c r="E526" s="334"/>
      <c r="F526" s="270"/>
      <c r="G526" s="334"/>
      <c r="H526" s="270"/>
      <c r="I526" s="334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</row>
    <row r="527" spans="1:26" ht="18" customHeight="1">
      <c r="A527" s="335"/>
      <c r="B527" s="270"/>
      <c r="C527" s="270"/>
      <c r="D527" s="438"/>
      <c r="E527" s="334"/>
      <c r="F527" s="270"/>
      <c r="G527" s="334"/>
      <c r="H527" s="270"/>
      <c r="I527" s="334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</row>
    <row r="528" spans="1:26" ht="18" customHeight="1">
      <c r="A528" s="335"/>
      <c r="B528" s="270"/>
      <c r="C528" s="270"/>
      <c r="D528" s="438"/>
      <c r="E528" s="334"/>
      <c r="F528" s="270"/>
      <c r="G528" s="334"/>
      <c r="H528" s="270"/>
      <c r="I528" s="334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</row>
    <row r="529" spans="1:26" ht="18" customHeight="1">
      <c r="A529" s="335"/>
      <c r="B529" s="270"/>
      <c r="C529" s="270"/>
      <c r="D529" s="438"/>
      <c r="E529" s="334"/>
      <c r="F529" s="270"/>
      <c r="G529" s="334"/>
      <c r="H529" s="270"/>
      <c r="I529" s="334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</row>
    <row r="530" spans="1:26" ht="18" customHeight="1">
      <c r="A530" s="335"/>
      <c r="B530" s="270"/>
      <c r="C530" s="270"/>
      <c r="D530" s="438"/>
      <c r="E530" s="334"/>
      <c r="F530" s="270"/>
      <c r="G530" s="334"/>
      <c r="H530" s="270"/>
      <c r="I530" s="334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</row>
    <row r="531" spans="1:26" ht="18" customHeight="1">
      <c r="A531" s="335"/>
      <c r="B531" s="270"/>
      <c r="C531" s="270"/>
      <c r="D531" s="438"/>
      <c r="E531" s="334"/>
      <c r="F531" s="270"/>
      <c r="G531" s="334"/>
      <c r="H531" s="270"/>
      <c r="I531" s="334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</row>
    <row r="532" spans="1:26" ht="18" customHeight="1">
      <c r="A532" s="335"/>
      <c r="B532" s="270"/>
      <c r="C532" s="270"/>
      <c r="D532" s="438"/>
      <c r="E532" s="334"/>
      <c r="F532" s="270"/>
      <c r="G532" s="334"/>
      <c r="H532" s="270"/>
      <c r="I532" s="334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</row>
    <row r="533" spans="1:26" ht="18" customHeight="1">
      <c r="A533" s="335"/>
      <c r="B533" s="270"/>
      <c r="C533" s="270"/>
      <c r="D533" s="438"/>
      <c r="E533" s="334"/>
      <c r="F533" s="270"/>
      <c r="G533" s="334"/>
      <c r="H533" s="270"/>
      <c r="I533" s="334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</row>
    <row r="534" spans="1:26" ht="18" customHeight="1">
      <c r="A534" s="335"/>
      <c r="B534" s="270"/>
      <c r="C534" s="270"/>
      <c r="D534" s="438"/>
      <c r="E534" s="334"/>
      <c r="F534" s="270"/>
      <c r="G534" s="334"/>
      <c r="H534" s="270"/>
      <c r="I534" s="334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</row>
    <row r="535" spans="1:26" ht="18" customHeight="1">
      <c r="A535" s="335"/>
      <c r="B535" s="270"/>
      <c r="C535" s="270"/>
      <c r="D535" s="438"/>
      <c r="E535" s="334"/>
      <c r="F535" s="270"/>
      <c r="G535" s="334"/>
      <c r="H535" s="270"/>
      <c r="I535" s="334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</row>
    <row r="536" spans="1:26" ht="18" customHeight="1">
      <c r="A536" s="335"/>
      <c r="B536" s="270"/>
      <c r="C536" s="270"/>
      <c r="D536" s="438"/>
      <c r="E536" s="334"/>
      <c r="F536" s="270"/>
      <c r="G536" s="334"/>
      <c r="H536" s="270"/>
      <c r="I536" s="334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</row>
    <row r="537" spans="1:26" ht="18" customHeight="1">
      <c r="A537" s="335"/>
      <c r="B537" s="270"/>
      <c r="C537" s="270"/>
      <c r="D537" s="438"/>
      <c r="E537" s="334"/>
      <c r="F537" s="270"/>
      <c r="G537" s="334"/>
      <c r="H537" s="270"/>
      <c r="I537" s="334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</row>
    <row r="538" spans="1:26" ht="18" customHeight="1">
      <c r="A538" s="335"/>
      <c r="B538" s="270"/>
      <c r="C538" s="270"/>
      <c r="D538" s="438"/>
      <c r="E538" s="334"/>
      <c r="F538" s="270"/>
      <c r="G538" s="334"/>
      <c r="H538" s="270"/>
      <c r="I538" s="334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</row>
    <row r="539" spans="1:26" ht="18" customHeight="1">
      <c r="A539" s="335"/>
      <c r="B539" s="270"/>
      <c r="C539" s="270"/>
      <c r="D539" s="438"/>
      <c r="E539" s="334"/>
      <c r="F539" s="270"/>
      <c r="G539" s="334"/>
      <c r="H539" s="270"/>
      <c r="I539" s="334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</row>
    <row r="540" spans="1:26" ht="18" customHeight="1">
      <c r="A540" s="335"/>
      <c r="B540" s="270"/>
      <c r="C540" s="270"/>
      <c r="D540" s="438"/>
      <c r="E540" s="334"/>
      <c r="F540" s="270"/>
      <c r="G540" s="334"/>
      <c r="H540" s="270"/>
      <c r="I540" s="334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</row>
    <row r="541" spans="1:26" ht="18" customHeight="1">
      <c r="A541" s="335"/>
      <c r="B541" s="270"/>
      <c r="C541" s="270"/>
      <c r="D541" s="438"/>
      <c r="E541" s="334"/>
      <c r="F541" s="270"/>
      <c r="G541" s="334"/>
      <c r="H541" s="270"/>
      <c r="I541" s="334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</row>
    <row r="542" spans="1:26" ht="18" customHeight="1">
      <c r="A542" s="335"/>
      <c r="B542" s="270"/>
      <c r="C542" s="270"/>
      <c r="D542" s="438"/>
      <c r="E542" s="334"/>
      <c r="F542" s="270"/>
      <c r="G542" s="334"/>
      <c r="H542" s="270"/>
      <c r="I542" s="334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</row>
    <row r="543" spans="1:26" ht="18" customHeight="1">
      <c r="A543" s="335"/>
      <c r="B543" s="270"/>
      <c r="C543" s="270"/>
      <c r="D543" s="438"/>
      <c r="E543" s="334"/>
      <c r="F543" s="270"/>
      <c r="G543" s="334"/>
      <c r="H543" s="270"/>
      <c r="I543" s="334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</row>
    <row r="544" spans="1:26" ht="18" customHeight="1">
      <c r="A544" s="335"/>
      <c r="B544" s="270"/>
      <c r="C544" s="270"/>
      <c r="D544" s="438"/>
      <c r="E544" s="334"/>
      <c r="F544" s="270"/>
      <c r="G544" s="334"/>
      <c r="H544" s="270"/>
      <c r="I544" s="334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</row>
    <row r="545" spans="1:26" ht="18" customHeight="1">
      <c r="A545" s="335"/>
      <c r="B545" s="270"/>
      <c r="C545" s="270"/>
      <c r="D545" s="438"/>
      <c r="E545" s="334"/>
      <c r="F545" s="270"/>
      <c r="G545" s="334"/>
      <c r="H545" s="270"/>
      <c r="I545" s="334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</row>
    <row r="546" spans="1:26" ht="18" customHeight="1">
      <c r="A546" s="335"/>
      <c r="B546" s="270"/>
      <c r="C546" s="270"/>
      <c r="D546" s="438"/>
      <c r="E546" s="334"/>
      <c r="F546" s="270"/>
      <c r="G546" s="334"/>
      <c r="H546" s="270"/>
      <c r="I546" s="334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</row>
    <row r="547" spans="1:26" ht="18" customHeight="1">
      <c r="A547" s="335"/>
      <c r="B547" s="270"/>
      <c r="C547" s="270"/>
      <c r="D547" s="438"/>
      <c r="E547" s="334"/>
      <c r="F547" s="270"/>
      <c r="G547" s="334"/>
      <c r="H547" s="270"/>
      <c r="I547" s="334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</row>
    <row r="548" spans="1:26" ht="18" customHeight="1">
      <c r="A548" s="335"/>
      <c r="B548" s="270"/>
      <c r="C548" s="270"/>
      <c r="D548" s="438"/>
      <c r="E548" s="334"/>
      <c r="F548" s="270"/>
      <c r="G548" s="334"/>
      <c r="H548" s="270"/>
      <c r="I548" s="334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</row>
    <row r="549" spans="1:26" ht="18" customHeight="1">
      <c r="A549" s="335"/>
      <c r="B549" s="270"/>
      <c r="C549" s="270"/>
      <c r="D549" s="438"/>
      <c r="E549" s="334"/>
      <c r="F549" s="270"/>
      <c r="G549" s="334"/>
      <c r="H549" s="270"/>
      <c r="I549" s="334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</row>
    <row r="550" spans="1:26" ht="18" customHeight="1">
      <c r="A550" s="335"/>
      <c r="B550" s="270"/>
      <c r="C550" s="270"/>
      <c r="D550" s="438"/>
      <c r="E550" s="334"/>
      <c r="F550" s="270"/>
      <c r="G550" s="334"/>
      <c r="H550" s="270"/>
      <c r="I550" s="334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</row>
    <row r="551" spans="1:26" ht="18" customHeight="1">
      <c r="A551" s="335"/>
      <c r="B551" s="270"/>
      <c r="C551" s="270"/>
      <c r="D551" s="438"/>
      <c r="E551" s="334"/>
      <c r="F551" s="270"/>
      <c r="G551" s="334"/>
      <c r="H551" s="270"/>
      <c r="I551" s="334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</row>
    <row r="552" spans="1:26" ht="18" customHeight="1">
      <c r="A552" s="335"/>
      <c r="B552" s="270"/>
      <c r="C552" s="270"/>
      <c r="D552" s="438"/>
      <c r="E552" s="334"/>
      <c r="F552" s="270"/>
      <c r="G552" s="334"/>
      <c r="H552" s="270"/>
      <c r="I552" s="334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</row>
    <row r="553" spans="1:26" ht="18" customHeight="1">
      <c r="A553" s="335"/>
      <c r="B553" s="270"/>
      <c r="C553" s="270"/>
      <c r="D553" s="438"/>
      <c r="E553" s="334"/>
      <c r="F553" s="270"/>
      <c r="G553" s="334"/>
      <c r="H553" s="270"/>
      <c r="I553" s="334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</row>
    <row r="554" spans="1:26" ht="18" customHeight="1">
      <c r="A554" s="335"/>
      <c r="B554" s="270"/>
      <c r="C554" s="270"/>
      <c r="D554" s="438"/>
      <c r="E554" s="334"/>
      <c r="F554" s="270"/>
      <c r="G554" s="334"/>
      <c r="H554" s="270"/>
      <c r="I554" s="334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</row>
    <row r="555" spans="1:26" ht="18" customHeight="1">
      <c r="A555" s="335"/>
      <c r="B555" s="270"/>
      <c r="C555" s="270"/>
      <c r="D555" s="438"/>
      <c r="E555" s="334"/>
      <c r="F555" s="270"/>
      <c r="G555" s="334"/>
      <c r="H555" s="270"/>
      <c r="I555" s="334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</row>
    <row r="556" spans="1:26" ht="18" customHeight="1">
      <c r="A556" s="335"/>
      <c r="B556" s="270"/>
      <c r="C556" s="270"/>
      <c r="D556" s="438"/>
      <c r="E556" s="334"/>
      <c r="F556" s="270"/>
      <c r="G556" s="334"/>
      <c r="H556" s="270"/>
      <c r="I556" s="334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</row>
    <row r="557" spans="1:26" ht="18" customHeight="1">
      <c r="A557" s="335"/>
      <c r="B557" s="270"/>
      <c r="C557" s="270"/>
      <c r="D557" s="438"/>
      <c r="E557" s="334"/>
      <c r="F557" s="270"/>
      <c r="G557" s="334"/>
      <c r="H557" s="270"/>
      <c r="I557" s="334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</row>
    <row r="558" spans="1:26" ht="18" customHeight="1">
      <c r="A558" s="335"/>
      <c r="B558" s="270"/>
      <c r="C558" s="270"/>
      <c r="D558" s="438"/>
      <c r="E558" s="334"/>
      <c r="F558" s="270"/>
      <c r="G558" s="334"/>
      <c r="H558" s="270"/>
      <c r="I558" s="334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</row>
    <row r="559" spans="1:26" ht="18" customHeight="1">
      <c r="A559" s="335"/>
      <c r="B559" s="270"/>
      <c r="C559" s="270"/>
      <c r="D559" s="438"/>
      <c r="E559" s="334"/>
      <c r="F559" s="270"/>
      <c r="G559" s="334"/>
      <c r="H559" s="270"/>
      <c r="I559" s="334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</row>
    <row r="560" spans="1:26" ht="18" customHeight="1">
      <c r="A560" s="335"/>
      <c r="B560" s="270"/>
      <c r="C560" s="270"/>
      <c r="D560" s="438"/>
      <c r="E560" s="334"/>
      <c r="F560" s="270"/>
      <c r="G560" s="334"/>
      <c r="H560" s="270"/>
      <c r="I560" s="334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</row>
    <row r="561" spans="1:26" ht="18" customHeight="1">
      <c r="A561" s="335"/>
      <c r="B561" s="270"/>
      <c r="C561" s="270"/>
      <c r="D561" s="438"/>
      <c r="E561" s="334"/>
      <c r="F561" s="270"/>
      <c r="G561" s="334"/>
      <c r="H561" s="270"/>
      <c r="I561" s="334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</row>
    <row r="562" spans="1:26" ht="18" customHeight="1">
      <c r="A562" s="335"/>
      <c r="B562" s="270"/>
      <c r="C562" s="270"/>
      <c r="D562" s="438"/>
      <c r="E562" s="334"/>
      <c r="F562" s="270"/>
      <c r="G562" s="334"/>
      <c r="H562" s="270"/>
      <c r="I562" s="334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</row>
    <row r="563" spans="1:26" ht="18" customHeight="1">
      <c r="A563" s="335"/>
      <c r="B563" s="270"/>
      <c r="C563" s="270"/>
      <c r="D563" s="438"/>
      <c r="E563" s="334"/>
      <c r="F563" s="270"/>
      <c r="G563" s="334"/>
      <c r="H563" s="270"/>
      <c r="I563" s="334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</row>
    <row r="564" spans="1:26" ht="18" customHeight="1">
      <c r="A564" s="335"/>
      <c r="B564" s="270"/>
      <c r="C564" s="270"/>
      <c r="D564" s="438"/>
      <c r="E564" s="334"/>
      <c r="F564" s="270"/>
      <c r="G564" s="334"/>
      <c r="H564" s="270"/>
      <c r="I564" s="334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</row>
    <row r="565" spans="1:26" ht="18" customHeight="1">
      <c r="A565" s="335"/>
      <c r="B565" s="270"/>
      <c r="C565" s="270"/>
      <c r="D565" s="438"/>
      <c r="E565" s="334"/>
      <c r="F565" s="270"/>
      <c r="G565" s="334"/>
      <c r="H565" s="270"/>
      <c r="I565" s="334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</row>
    <row r="566" spans="1:26" ht="18" customHeight="1">
      <c r="A566" s="335"/>
      <c r="B566" s="270"/>
      <c r="C566" s="270"/>
      <c r="D566" s="438"/>
      <c r="E566" s="334"/>
      <c r="F566" s="270"/>
      <c r="G566" s="334"/>
      <c r="H566" s="270"/>
      <c r="I566" s="334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</row>
    <row r="567" spans="1:26" ht="18" customHeight="1">
      <c r="A567" s="335"/>
      <c r="B567" s="270"/>
      <c r="C567" s="270"/>
      <c r="D567" s="438"/>
      <c r="E567" s="334"/>
      <c r="F567" s="270"/>
      <c r="G567" s="334"/>
      <c r="H567" s="270"/>
      <c r="I567" s="334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</row>
    <row r="568" spans="1:26" ht="18" customHeight="1">
      <c r="A568" s="335"/>
      <c r="B568" s="270"/>
      <c r="C568" s="270"/>
      <c r="D568" s="438"/>
      <c r="E568" s="334"/>
      <c r="F568" s="270"/>
      <c r="G568" s="334"/>
      <c r="H568" s="270"/>
      <c r="I568" s="334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</row>
    <row r="569" spans="1:26" ht="18" customHeight="1">
      <c r="A569" s="335"/>
      <c r="B569" s="270"/>
      <c r="C569" s="270"/>
      <c r="D569" s="438"/>
      <c r="E569" s="334"/>
      <c r="F569" s="270"/>
      <c r="G569" s="334"/>
      <c r="H569" s="270"/>
      <c r="I569" s="334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</row>
    <row r="570" spans="1:26" ht="18" customHeight="1">
      <c r="A570" s="335"/>
      <c r="B570" s="270"/>
      <c r="C570" s="270"/>
      <c r="D570" s="438"/>
      <c r="E570" s="334"/>
      <c r="F570" s="270"/>
      <c r="G570" s="334"/>
      <c r="H570" s="270"/>
      <c r="I570" s="334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</row>
    <row r="571" spans="1:26" ht="18" customHeight="1">
      <c r="A571" s="335"/>
      <c r="B571" s="270"/>
      <c r="C571" s="270"/>
      <c r="D571" s="438"/>
      <c r="E571" s="334"/>
      <c r="F571" s="270"/>
      <c r="G571" s="334"/>
      <c r="H571" s="270"/>
      <c r="I571" s="334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</row>
    <row r="572" spans="1:26" ht="18" customHeight="1">
      <c r="A572" s="335"/>
      <c r="B572" s="270"/>
      <c r="C572" s="270"/>
      <c r="D572" s="438"/>
      <c r="E572" s="334"/>
      <c r="F572" s="270"/>
      <c r="G572" s="334"/>
      <c r="H572" s="270"/>
      <c r="I572" s="334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</row>
    <row r="573" spans="1:26" ht="18" customHeight="1">
      <c r="A573" s="335"/>
      <c r="B573" s="270"/>
      <c r="C573" s="270"/>
      <c r="D573" s="438"/>
      <c r="E573" s="334"/>
      <c r="F573" s="270"/>
      <c r="G573" s="334"/>
      <c r="H573" s="270"/>
      <c r="I573" s="334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</row>
    <row r="574" spans="1:26" ht="18" customHeight="1">
      <c r="A574" s="335"/>
      <c r="B574" s="270"/>
      <c r="C574" s="270"/>
      <c r="D574" s="438"/>
      <c r="E574" s="334"/>
      <c r="F574" s="270"/>
      <c r="G574" s="334"/>
      <c r="H574" s="270"/>
      <c r="I574" s="334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</row>
    <row r="575" spans="1:26" ht="18" customHeight="1">
      <c r="A575" s="335"/>
      <c r="B575" s="270"/>
      <c r="C575" s="270"/>
      <c r="D575" s="438"/>
      <c r="E575" s="334"/>
      <c r="F575" s="270"/>
      <c r="G575" s="334"/>
      <c r="H575" s="270"/>
      <c r="I575" s="334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</row>
    <row r="576" spans="1:26" ht="18" customHeight="1">
      <c r="A576" s="335"/>
      <c r="B576" s="270"/>
      <c r="C576" s="270"/>
      <c r="D576" s="438"/>
      <c r="E576" s="334"/>
      <c r="F576" s="270"/>
      <c r="G576" s="334"/>
      <c r="H576" s="270"/>
      <c r="I576" s="334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</row>
    <row r="577" spans="1:26" ht="18" customHeight="1">
      <c r="A577" s="335"/>
      <c r="B577" s="270"/>
      <c r="C577" s="270"/>
      <c r="D577" s="438"/>
      <c r="E577" s="334"/>
      <c r="F577" s="270"/>
      <c r="G577" s="334"/>
      <c r="H577" s="270"/>
      <c r="I577" s="334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</row>
    <row r="578" spans="1:26" ht="18" customHeight="1">
      <c r="A578" s="335"/>
      <c r="B578" s="270"/>
      <c r="C578" s="270"/>
      <c r="D578" s="438"/>
      <c r="E578" s="334"/>
      <c r="F578" s="270"/>
      <c r="G578" s="334"/>
      <c r="H578" s="270"/>
      <c r="I578" s="334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</row>
    <row r="579" spans="1:26" ht="18" customHeight="1">
      <c r="A579" s="335"/>
      <c r="B579" s="270"/>
      <c r="C579" s="270"/>
      <c r="D579" s="438"/>
      <c r="E579" s="334"/>
      <c r="F579" s="270"/>
      <c r="G579" s="334"/>
      <c r="H579" s="270"/>
      <c r="I579" s="334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</row>
    <row r="580" spans="1:26" ht="18" customHeight="1">
      <c r="A580" s="335"/>
      <c r="B580" s="270"/>
      <c r="C580" s="270"/>
      <c r="D580" s="438"/>
      <c r="E580" s="334"/>
      <c r="F580" s="270"/>
      <c r="G580" s="334"/>
      <c r="H580" s="270"/>
      <c r="I580" s="334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</row>
    <row r="581" spans="1:26" ht="18" customHeight="1">
      <c r="A581" s="335"/>
      <c r="B581" s="270"/>
      <c r="C581" s="270"/>
      <c r="D581" s="438"/>
      <c r="E581" s="334"/>
      <c r="F581" s="270"/>
      <c r="G581" s="334"/>
      <c r="H581" s="270"/>
      <c r="I581" s="334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</row>
    <row r="582" spans="1:26" ht="18" customHeight="1">
      <c r="A582" s="335"/>
      <c r="B582" s="270"/>
      <c r="C582" s="270"/>
      <c r="D582" s="438"/>
      <c r="E582" s="334"/>
      <c r="F582" s="270"/>
      <c r="G582" s="334"/>
      <c r="H582" s="270"/>
      <c r="I582" s="334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</row>
    <row r="583" spans="1:26" ht="18" customHeight="1">
      <c r="A583" s="335"/>
      <c r="B583" s="270"/>
      <c r="C583" s="270"/>
      <c r="D583" s="438"/>
      <c r="E583" s="334"/>
      <c r="F583" s="270"/>
      <c r="G583" s="334"/>
      <c r="H583" s="270"/>
      <c r="I583" s="334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</row>
    <row r="584" spans="1:26" ht="18" customHeight="1">
      <c r="A584" s="335"/>
      <c r="B584" s="270"/>
      <c r="C584" s="270"/>
      <c r="D584" s="438"/>
      <c r="E584" s="334"/>
      <c r="F584" s="270"/>
      <c r="G584" s="334"/>
      <c r="H584" s="270"/>
      <c r="I584" s="334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</row>
    <row r="585" spans="1:26" ht="18" customHeight="1">
      <c r="A585" s="335"/>
      <c r="B585" s="270"/>
      <c r="C585" s="270"/>
      <c r="D585" s="438"/>
      <c r="E585" s="334"/>
      <c r="F585" s="270"/>
      <c r="G585" s="334"/>
      <c r="H585" s="270"/>
      <c r="I585" s="334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</row>
    <row r="586" spans="1:26" ht="18" customHeight="1">
      <c r="A586" s="335"/>
      <c r="B586" s="270"/>
      <c r="C586" s="270"/>
      <c r="D586" s="438"/>
      <c r="E586" s="334"/>
      <c r="F586" s="270"/>
      <c r="G586" s="334"/>
      <c r="H586" s="270"/>
      <c r="I586" s="334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</row>
    <row r="587" spans="1:26" ht="18" customHeight="1">
      <c r="A587" s="335"/>
      <c r="B587" s="270"/>
      <c r="C587" s="270"/>
      <c r="D587" s="438"/>
      <c r="E587" s="334"/>
      <c r="F587" s="270"/>
      <c r="G587" s="334"/>
      <c r="H587" s="270"/>
      <c r="I587" s="334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</row>
    <row r="588" spans="1:26" ht="18" customHeight="1">
      <c r="A588" s="335"/>
      <c r="B588" s="270"/>
      <c r="C588" s="270"/>
      <c r="D588" s="438"/>
      <c r="E588" s="334"/>
      <c r="F588" s="270"/>
      <c r="G588" s="334"/>
      <c r="H588" s="270"/>
      <c r="I588" s="334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</row>
    <row r="589" spans="1:26" ht="18" customHeight="1">
      <c r="A589" s="335"/>
      <c r="B589" s="270"/>
      <c r="C589" s="270"/>
      <c r="D589" s="438"/>
      <c r="E589" s="334"/>
      <c r="F589" s="270"/>
      <c r="G589" s="334"/>
      <c r="H589" s="270"/>
      <c r="I589" s="334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</row>
    <row r="590" spans="1:26" ht="18" customHeight="1">
      <c r="A590" s="335"/>
      <c r="B590" s="270"/>
      <c r="C590" s="270"/>
      <c r="D590" s="438"/>
      <c r="E590" s="334"/>
      <c r="F590" s="270"/>
      <c r="G590" s="334"/>
      <c r="H590" s="270"/>
      <c r="I590" s="334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</row>
    <row r="591" spans="1:26" ht="18" customHeight="1">
      <c r="A591" s="335"/>
      <c r="B591" s="270"/>
      <c r="C591" s="270"/>
      <c r="D591" s="438"/>
      <c r="E591" s="334"/>
      <c r="F591" s="270"/>
      <c r="G591" s="334"/>
      <c r="H591" s="270"/>
      <c r="I591" s="334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</row>
    <row r="592" spans="1:26" ht="18" customHeight="1">
      <c r="A592" s="335"/>
      <c r="B592" s="270"/>
      <c r="C592" s="270"/>
      <c r="D592" s="438"/>
      <c r="E592" s="334"/>
      <c r="F592" s="270"/>
      <c r="G592" s="334"/>
      <c r="H592" s="270"/>
      <c r="I592" s="334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</row>
    <row r="593" spans="1:26" ht="18" customHeight="1">
      <c r="A593" s="335"/>
      <c r="B593" s="270"/>
      <c r="C593" s="270"/>
      <c r="D593" s="438"/>
      <c r="E593" s="334"/>
      <c r="F593" s="270"/>
      <c r="G593" s="334"/>
      <c r="H593" s="270"/>
      <c r="I593" s="334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</row>
    <row r="594" spans="1:26" ht="18" customHeight="1">
      <c r="A594" s="335"/>
      <c r="B594" s="270"/>
      <c r="C594" s="270"/>
      <c r="D594" s="438"/>
      <c r="E594" s="334"/>
      <c r="F594" s="270"/>
      <c r="G594" s="334"/>
      <c r="H594" s="270"/>
      <c r="I594" s="334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</row>
    <row r="595" spans="1:26" ht="18" customHeight="1">
      <c r="A595" s="335"/>
      <c r="B595" s="270"/>
      <c r="C595" s="270"/>
      <c r="D595" s="438"/>
      <c r="E595" s="334"/>
      <c r="F595" s="270"/>
      <c r="G595" s="334"/>
      <c r="H595" s="270"/>
      <c r="I595" s="334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</row>
    <row r="596" spans="1:26" ht="18" customHeight="1">
      <c r="A596" s="335"/>
      <c r="B596" s="270"/>
      <c r="C596" s="270"/>
      <c r="D596" s="438"/>
      <c r="E596" s="334"/>
      <c r="F596" s="270"/>
      <c r="G596" s="334"/>
      <c r="H596" s="270"/>
      <c r="I596" s="334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</row>
    <row r="597" spans="1:26" ht="18" customHeight="1">
      <c r="A597" s="335"/>
      <c r="B597" s="270"/>
      <c r="C597" s="270"/>
      <c r="D597" s="438"/>
      <c r="E597" s="334"/>
      <c r="F597" s="270"/>
      <c r="G597" s="334"/>
      <c r="H597" s="270"/>
      <c r="I597" s="334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</row>
    <row r="598" spans="1:26" ht="18" customHeight="1">
      <c r="A598" s="335"/>
      <c r="B598" s="270"/>
      <c r="C598" s="270"/>
      <c r="D598" s="438"/>
      <c r="E598" s="334"/>
      <c r="F598" s="270"/>
      <c r="G598" s="334"/>
      <c r="H598" s="270"/>
      <c r="I598" s="334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</row>
    <row r="599" spans="1:26" ht="18" customHeight="1">
      <c r="A599" s="335"/>
      <c r="B599" s="270"/>
      <c r="C599" s="270"/>
      <c r="D599" s="438"/>
      <c r="E599" s="334"/>
      <c r="F599" s="270"/>
      <c r="G599" s="334"/>
      <c r="H599" s="270"/>
      <c r="I599" s="334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</row>
    <row r="600" spans="1:26" ht="18" customHeight="1">
      <c r="A600" s="335"/>
      <c r="B600" s="270"/>
      <c r="C600" s="270"/>
      <c r="D600" s="438"/>
      <c r="E600" s="334"/>
      <c r="F600" s="270"/>
      <c r="G600" s="334"/>
      <c r="H600" s="270"/>
      <c r="I600" s="334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</row>
    <row r="601" spans="1:26" ht="18" customHeight="1">
      <c r="A601" s="335"/>
      <c r="B601" s="270"/>
      <c r="C601" s="270"/>
      <c r="D601" s="438"/>
      <c r="E601" s="334"/>
      <c r="F601" s="270"/>
      <c r="G601" s="334"/>
      <c r="H601" s="270"/>
      <c r="I601" s="334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</row>
    <row r="602" spans="1:26" ht="18" customHeight="1">
      <c r="A602" s="335"/>
      <c r="B602" s="270"/>
      <c r="C602" s="270"/>
      <c r="D602" s="438"/>
      <c r="E602" s="334"/>
      <c r="F602" s="270"/>
      <c r="G602" s="334"/>
      <c r="H602" s="270"/>
      <c r="I602" s="334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</row>
    <row r="603" spans="1:26" ht="18" customHeight="1">
      <c r="A603" s="335"/>
      <c r="B603" s="270"/>
      <c r="C603" s="270"/>
      <c r="D603" s="438"/>
      <c r="E603" s="334"/>
      <c r="F603" s="270"/>
      <c r="G603" s="334"/>
      <c r="H603" s="270"/>
      <c r="I603" s="334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</row>
    <row r="604" spans="1:26" ht="18" customHeight="1">
      <c r="A604" s="335"/>
      <c r="B604" s="270"/>
      <c r="C604" s="270"/>
      <c r="D604" s="438"/>
      <c r="E604" s="334"/>
      <c r="F604" s="270"/>
      <c r="G604" s="334"/>
      <c r="H604" s="270"/>
      <c r="I604" s="334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</row>
    <row r="605" spans="1:26" ht="18" customHeight="1">
      <c r="A605" s="335"/>
      <c r="B605" s="270"/>
      <c r="C605" s="270"/>
      <c r="D605" s="438"/>
      <c r="E605" s="334"/>
      <c r="F605" s="270"/>
      <c r="G605" s="334"/>
      <c r="H605" s="270"/>
      <c r="I605" s="334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</row>
    <row r="606" spans="1:26" ht="18" customHeight="1">
      <c r="A606" s="335"/>
      <c r="B606" s="270"/>
      <c r="C606" s="270"/>
      <c r="D606" s="438"/>
      <c r="E606" s="334"/>
      <c r="F606" s="270"/>
      <c r="G606" s="334"/>
      <c r="H606" s="270"/>
      <c r="I606" s="334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</row>
    <row r="607" spans="1:26" ht="18" customHeight="1">
      <c r="A607" s="335"/>
      <c r="B607" s="270"/>
      <c r="C607" s="270"/>
      <c r="D607" s="438"/>
      <c r="E607" s="334"/>
      <c r="F607" s="270"/>
      <c r="G607" s="334"/>
      <c r="H607" s="270"/>
      <c r="I607" s="334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</row>
    <row r="608" spans="1:26" ht="18" customHeight="1">
      <c r="A608" s="335"/>
      <c r="B608" s="270"/>
      <c r="C608" s="270"/>
      <c r="D608" s="438"/>
      <c r="E608" s="334"/>
      <c r="F608" s="270"/>
      <c r="G608" s="334"/>
      <c r="H608" s="270"/>
      <c r="I608" s="334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</row>
    <row r="609" spans="1:26" ht="18" customHeight="1">
      <c r="A609" s="335"/>
      <c r="B609" s="270"/>
      <c r="C609" s="270"/>
      <c r="D609" s="438"/>
      <c r="E609" s="334"/>
      <c r="F609" s="270"/>
      <c r="G609" s="334"/>
      <c r="H609" s="270"/>
      <c r="I609" s="334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</row>
    <row r="610" spans="1:26" ht="18" customHeight="1">
      <c r="A610" s="335"/>
      <c r="B610" s="270"/>
      <c r="C610" s="270"/>
      <c r="D610" s="438"/>
      <c r="E610" s="334"/>
      <c r="F610" s="270"/>
      <c r="G610" s="334"/>
      <c r="H610" s="270"/>
      <c r="I610" s="334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</row>
    <row r="611" spans="1:26" ht="18" customHeight="1">
      <c r="A611" s="335"/>
      <c r="B611" s="270"/>
      <c r="C611" s="270"/>
      <c r="D611" s="438"/>
      <c r="E611" s="334"/>
      <c r="F611" s="270"/>
      <c r="G611" s="334"/>
      <c r="H611" s="270"/>
      <c r="I611" s="334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</row>
    <row r="612" spans="1:26" ht="18" customHeight="1">
      <c r="A612" s="335"/>
      <c r="B612" s="270"/>
      <c r="C612" s="270"/>
      <c r="D612" s="438"/>
      <c r="E612" s="334"/>
      <c r="F612" s="270"/>
      <c r="G612" s="334"/>
      <c r="H612" s="270"/>
      <c r="I612" s="334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</row>
    <row r="613" spans="1:26" ht="18" customHeight="1">
      <c r="A613" s="335"/>
      <c r="B613" s="270"/>
      <c r="C613" s="270"/>
      <c r="D613" s="438"/>
      <c r="E613" s="334"/>
      <c r="F613" s="270"/>
      <c r="G613" s="334"/>
      <c r="H613" s="270"/>
      <c r="I613" s="334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</row>
    <row r="614" spans="1:26" ht="18" customHeight="1">
      <c r="A614" s="335"/>
      <c r="B614" s="270"/>
      <c r="C614" s="270"/>
      <c r="D614" s="438"/>
      <c r="E614" s="334"/>
      <c r="F614" s="270"/>
      <c r="G614" s="334"/>
      <c r="H614" s="270"/>
      <c r="I614" s="334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</row>
    <row r="615" spans="1:26" ht="18" customHeight="1">
      <c r="A615" s="335"/>
      <c r="B615" s="270"/>
      <c r="C615" s="270"/>
      <c r="D615" s="438"/>
      <c r="E615" s="334"/>
      <c r="F615" s="270"/>
      <c r="G615" s="334"/>
      <c r="H615" s="270"/>
      <c r="I615" s="334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</row>
    <row r="616" spans="1:26" ht="18" customHeight="1">
      <c r="A616" s="335"/>
      <c r="B616" s="270"/>
      <c r="C616" s="270"/>
      <c r="D616" s="438"/>
      <c r="E616" s="334"/>
      <c r="F616" s="270"/>
      <c r="G616" s="334"/>
      <c r="H616" s="270"/>
      <c r="I616" s="334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</row>
    <row r="617" spans="1:26" ht="18" customHeight="1">
      <c r="A617" s="335"/>
      <c r="B617" s="270"/>
      <c r="C617" s="270"/>
      <c r="D617" s="438"/>
      <c r="E617" s="334"/>
      <c r="F617" s="270"/>
      <c r="G617" s="334"/>
      <c r="H617" s="270"/>
      <c r="I617" s="334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</row>
    <row r="618" spans="1:26" ht="18" customHeight="1">
      <c r="A618" s="335"/>
      <c r="B618" s="270"/>
      <c r="C618" s="270"/>
      <c r="D618" s="438"/>
      <c r="E618" s="334"/>
      <c r="F618" s="270"/>
      <c r="G618" s="334"/>
      <c r="H618" s="270"/>
      <c r="I618" s="334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</row>
    <row r="619" spans="1:26" ht="18" customHeight="1">
      <c r="A619" s="335"/>
      <c r="B619" s="270"/>
      <c r="C619" s="270"/>
      <c r="D619" s="438"/>
      <c r="E619" s="334"/>
      <c r="F619" s="270"/>
      <c r="G619" s="334"/>
      <c r="H619" s="270"/>
      <c r="I619" s="334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</row>
    <row r="620" spans="1:26" ht="18" customHeight="1">
      <c r="A620" s="335"/>
      <c r="B620" s="270"/>
      <c r="C620" s="270"/>
      <c r="D620" s="438"/>
      <c r="E620" s="334"/>
      <c r="F620" s="270"/>
      <c r="G620" s="334"/>
      <c r="H620" s="270"/>
      <c r="I620" s="334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</row>
    <row r="621" spans="1:26" ht="18" customHeight="1">
      <c r="A621" s="335"/>
      <c r="B621" s="270"/>
      <c r="C621" s="270"/>
      <c r="D621" s="438"/>
      <c r="E621" s="334"/>
      <c r="F621" s="270"/>
      <c r="G621" s="334"/>
      <c r="H621" s="270"/>
      <c r="I621" s="334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</row>
    <row r="622" spans="1:26" ht="18" customHeight="1">
      <c r="A622" s="335"/>
      <c r="B622" s="270"/>
      <c r="C622" s="270"/>
      <c r="D622" s="438"/>
      <c r="E622" s="334"/>
      <c r="F622" s="270"/>
      <c r="G622" s="334"/>
      <c r="H622" s="270"/>
      <c r="I622" s="334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</row>
    <row r="623" spans="1:26" ht="18" customHeight="1">
      <c r="A623" s="335"/>
      <c r="B623" s="270"/>
      <c r="C623" s="270"/>
      <c r="D623" s="438"/>
      <c r="E623" s="334"/>
      <c r="F623" s="270"/>
      <c r="G623" s="334"/>
      <c r="H623" s="270"/>
      <c r="I623" s="334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</row>
    <row r="624" spans="1:26" ht="18" customHeight="1">
      <c r="A624" s="335"/>
      <c r="B624" s="270"/>
      <c r="C624" s="270"/>
      <c r="D624" s="438"/>
      <c r="E624" s="334"/>
      <c r="F624" s="270"/>
      <c r="G624" s="334"/>
      <c r="H624" s="270"/>
      <c r="I624" s="334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</row>
    <row r="625" spans="1:26" ht="18" customHeight="1">
      <c r="A625" s="335"/>
      <c r="B625" s="270"/>
      <c r="C625" s="270"/>
      <c r="D625" s="438"/>
      <c r="E625" s="334"/>
      <c r="F625" s="270"/>
      <c r="G625" s="334"/>
      <c r="H625" s="270"/>
      <c r="I625" s="334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</row>
    <row r="626" spans="1:26" ht="18" customHeight="1">
      <c r="A626" s="335"/>
      <c r="B626" s="270"/>
      <c r="C626" s="270"/>
      <c r="D626" s="438"/>
      <c r="E626" s="334"/>
      <c r="F626" s="270"/>
      <c r="G626" s="334"/>
      <c r="H626" s="270"/>
      <c r="I626" s="334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</row>
    <row r="627" spans="1:26" ht="18" customHeight="1">
      <c r="A627" s="335"/>
      <c r="B627" s="270"/>
      <c r="C627" s="270"/>
      <c r="D627" s="438"/>
      <c r="E627" s="334"/>
      <c r="F627" s="270"/>
      <c r="G627" s="334"/>
      <c r="H627" s="270"/>
      <c r="I627" s="334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</row>
    <row r="628" spans="1:26" ht="18" customHeight="1">
      <c r="A628" s="335"/>
      <c r="B628" s="270"/>
      <c r="C628" s="270"/>
      <c r="D628" s="438"/>
      <c r="E628" s="334"/>
      <c r="F628" s="270"/>
      <c r="G628" s="334"/>
      <c r="H628" s="270"/>
      <c r="I628" s="334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</row>
    <row r="629" spans="1:26" ht="18" customHeight="1">
      <c r="A629" s="335"/>
      <c r="B629" s="270"/>
      <c r="C629" s="270"/>
      <c r="D629" s="438"/>
      <c r="E629" s="334"/>
      <c r="F629" s="270"/>
      <c r="G629" s="334"/>
      <c r="H629" s="270"/>
      <c r="I629" s="334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</row>
    <row r="630" spans="1:26" ht="18" customHeight="1">
      <c r="A630" s="335"/>
      <c r="B630" s="270"/>
      <c r="C630" s="270"/>
      <c r="D630" s="438"/>
      <c r="E630" s="334"/>
      <c r="F630" s="270"/>
      <c r="G630" s="334"/>
      <c r="H630" s="270"/>
      <c r="I630" s="334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</row>
    <row r="631" spans="1:26" ht="18" customHeight="1">
      <c r="A631" s="335"/>
      <c r="B631" s="270"/>
      <c r="C631" s="270"/>
      <c r="D631" s="438"/>
      <c r="E631" s="334"/>
      <c r="F631" s="270"/>
      <c r="G631" s="334"/>
      <c r="H631" s="270"/>
      <c r="I631" s="334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</row>
    <row r="632" spans="1:26" ht="18" customHeight="1">
      <c r="A632" s="335"/>
      <c r="B632" s="270"/>
      <c r="C632" s="270"/>
      <c r="D632" s="438"/>
      <c r="E632" s="334"/>
      <c r="F632" s="270"/>
      <c r="G632" s="334"/>
      <c r="H632" s="270"/>
      <c r="I632" s="334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</row>
    <row r="633" spans="1:26" ht="18" customHeight="1">
      <c r="A633" s="335"/>
      <c r="B633" s="270"/>
      <c r="C633" s="270"/>
      <c r="D633" s="438"/>
      <c r="E633" s="334"/>
      <c r="F633" s="270"/>
      <c r="G633" s="334"/>
      <c r="H633" s="270"/>
      <c r="I633" s="334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</row>
    <row r="634" spans="1:26" ht="18" customHeight="1">
      <c r="A634" s="335"/>
      <c r="B634" s="270"/>
      <c r="C634" s="270"/>
      <c r="D634" s="438"/>
      <c r="E634" s="334"/>
      <c r="F634" s="270"/>
      <c r="G634" s="334"/>
      <c r="H634" s="270"/>
      <c r="I634" s="334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</row>
    <row r="635" spans="1:26" ht="18" customHeight="1">
      <c r="A635" s="335"/>
      <c r="B635" s="270"/>
      <c r="C635" s="270"/>
      <c r="D635" s="438"/>
      <c r="E635" s="334"/>
      <c r="F635" s="270"/>
      <c r="G635" s="334"/>
      <c r="H635" s="270"/>
      <c r="I635" s="334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</row>
    <row r="636" spans="1:26" ht="18" customHeight="1">
      <c r="A636" s="335"/>
      <c r="B636" s="270"/>
      <c r="C636" s="270"/>
      <c r="D636" s="438"/>
      <c r="E636" s="334"/>
      <c r="F636" s="270"/>
      <c r="G636" s="334"/>
      <c r="H636" s="270"/>
      <c r="I636" s="334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</row>
    <row r="637" spans="1:26" ht="18" customHeight="1">
      <c r="A637" s="335"/>
      <c r="B637" s="270"/>
      <c r="C637" s="270"/>
      <c r="D637" s="438"/>
      <c r="E637" s="334"/>
      <c r="F637" s="270"/>
      <c r="G637" s="334"/>
      <c r="H637" s="270"/>
      <c r="I637" s="334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</row>
    <row r="638" spans="1:26" ht="18" customHeight="1">
      <c r="A638" s="335"/>
      <c r="B638" s="270"/>
      <c r="C638" s="270"/>
      <c r="D638" s="438"/>
      <c r="E638" s="334"/>
      <c r="F638" s="270"/>
      <c r="G638" s="334"/>
      <c r="H638" s="270"/>
      <c r="I638" s="334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</row>
    <row r="639" spans="1:26" ht="18" customHeight="1">
      <c r="A639" s="335"/>
      <c r="B639" s="270"/>
      <c r="C639" s="270"/>
      <c r="D639" s="438"/>
      <c r="E639" s="334"/>
      <c r="F639" s="270"/>
      <c r="G639" s="334"/>
      <c r="H639" s="270"/>
      <c r="I639" s="334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</row>
    <row r="640" spans="1:26" ht="18" customHeight="1">
      <c r="A640" s="335"/>
      <c r="B640" s="270"/>
      <c r="C640" s="270"/>
      <c r="D640" s="438"/>
      <c r="E640" s="334"/>
      <c r="F640" s="270"/>
      <c r="G640" s="334"/>
      <c r="H640" s="270"/>
      <c r="I640" s="334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</row>
    <row r="641" spans="1:26" ht="18" customHeight="1">
      <c r="A641" s="335"/>
      <c r="B641" s="270"/>
      <c r="C641" s="270"/>
      <c r="D641" s="438"/>
      <c r="E641" s="334"/>
      <c r="F641" s="270"/>
      <c r="G641" s="334"/>
      <c r="H641" s="270"/>
      <c r="I641" s="334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</row>
    <row r="642" spans="1:26" ht="18" customHeight="1">
      <c r="A642" s="335"/>
      <c r="B642" s="270"/>
      <c r="C642" s="270"/>
      <c r="D642" s="438"/>
      <c r="E642" s="334"/>
      <c r="F642" s="270"/>
      <c r="G642" s="334"/>
      <c r="H642" s="270"/>
      <c r="I642" s="334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</row>
    <row r="643" spans="1:26" ht="18" customHeight="1">
      <c r="A643" s="335"/>
      <c r="B643" s="270"/>
      <c r="C643" s="270"/>
      <c r="D643" s="438"/>
      <c r="E643" s="334"/>
      <c r="F643" s="270"/>
      <c r="G643" s="334"/>
      <c r="H643" s="270"/>
      <c r="I643" s="334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</row>
    <row r="644" spans="1:26" ht="18" customHeight="1">
      <c r="A644" s="335"/>
      <c r="B644" s="270"/>
      <c r="C644" s="270"/>
      <c r="D644" s="438"/>
      <c r="E644" s="334"/>
      <c r="F644" s="270"/>
      <c r="G644" s="334"/>
      <c r="H644" s="270"/>
      <c r="I644" s="334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</row>
    <row r="645" spans="1:26" ht="18" customHeight="1">
      <c r="A645" s="335"/>
      <c r="B645" s="270"/>
      <c r="C645" s="270"/>
      <c r="D645" s="438"/>
      <c r="E645" s="334"/>
      <c r="F645" s="270"/>
      <c r="G645" s="334"/>
      <c r="H645" s="270"/>
      <c r="I645" s="334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</row>
    <row r="646" spans="1:26" ht="18" customHeight="1">
      <c r="A646" s="335"/>
      <c r="B646" s="270"/>
      <c r="C646" s="270"/>
      <c r="D646" s="438"/>
      <c r="E646" s="334"/>
      <c r="F646" s="270"/>
      <c r="G646" s="334"/>
      <c r="H646" s="270"/>
      <c r="I646" s="334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</row>
    <row r="647" spans="1:26" ht="18" customHeight="1">
      <c r="A647" s="335"/>
      <c r="B647" s="270"/>
      <c r="C647" s="270"/>
      <c r="D647" s="438"/>
      <c r="E647" s="334"/>
      <c r="F647" s="270"/>
      <c r="G647" s="334"/>
      <c r="H647" s="270"/>
      <c r="I647" s="334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</row>
    <row r="648" spans="1:26" ht="18" customHeight="1">
      <c r="A648" s="335"/>
      <c r="B648" s="270"/>
      <c r="C648" s="270"/>
      <c r="D648" s="438"/>
      <c r="E648" s="334"/>
      <c r="F648" s="270"/>
      <c r="G648" s="334"/>
      <c r="H648" s="270"/>
      <c r="I648" s="334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</row>
    <row r="649" spans="1:26" ht="18" customHeight="1">
      <c r="A649" s="335"/>
      <c r="B649" s="270"/>
      <c r="C649" s="270"/>
      <c r="D649" s="438"/>
      <c r="E649" s="334"/>
      <c r="F649" s="270"/>
      <c r="G649" s="334"/>
      <c r="H649" s="270"/>
      <c r="I649" s="334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</row>
    <row r="650" spans="1:26" ht="18" customHeight="1">
      <c r="A650" s="335"/>
      <c r="B650" s="270"/>
      <c r="C650" s="270"/>
      <c r="D650" s="438"/>
      <c r="E650" s="334"/>
      <c r="F650" s="270"/>
      <c r="G650" s="334"/>
      <c r="H650" s="270"/>
      <c r="I650" s="334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</row>
    <row r="651" spans="1:26" ht="18" customHeight="1">
      <c r="A651" s="335"/>
      <c r="B651" s="270"/>
      <c r="C651" s="270"/>
      <c r="D651" s="438"/>
      <c r="E651" s="334"/>
      <c r="F651" s="270"/>
      <c r="G651" s="334"/>
      <c r="H651" s="270"/>
      <c r="I651" s="334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</row>
    <row r="652" spans="1:26" ht="18" customHeight="1">
      <c r="A652" s="335"/>
      <c r="B652" s="270"/>
      <c r="C652" s="270"/>
      <c r="D652" s="438"/>
      <c r="E652" s="334"/>
      <c r="F652" s="270"/>
      <c r="G652" s="334"/>
      <c r="H652" s="270"/>
      <c r="I652" s="334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</row>
    <row r="653" spans="1:26" ht="18" customHeight="1">
      <c r="A653" s="335"/>
      <c r="B653" s="270"/>
      <c r="C653" s="270"/>
      <c r="D653" s="438"/>
      <c r="E653" s="334"/>
      <c r="F653" s="270"/>
      <c r="G653" s="334"/>
      <c r="H653" s="270"/>
      <c r="I653" s="334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</row>
    <row r="654" spans="1:26" ht="18" customHeight="1">
      <c r="A654" s="335"/>
      <c r="B654" s="270"/>
      <c r="C654" s="270"/>
      <c r="D654" s="438"/>
      <c r="E654" s="334"/>
      <c r="F654" s="270"/>
      <c r="G654" s="334"/>
      <c r="H654" s="270"/>
      <c r="I654" s="334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</row>
    <row r="655" spans="1:26" ht="18" customHeight="1">
      <c r="A655" s="335"/>
      <c r="B655" s="270"/>
      <c r="C655" s="270"/>
      <c r="D655" s="438"/>
      <c r="E655" s="334"/>
      <c r="F655" s="270"/>
      <c r="G655" s="334"/>
      <c r="H655" s="270"/>
      <c r="I655" s="334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</row>
    <row r="656" spans="1:26" ht="18" customHeight="1">
      <c r="A656" s="335"/>
      <c r="B656" s="270"/>
      <c r="C656" s="270"/>
      <c r="D656" s="438"/>
      <c r="E656" s="334"/>
      <c r="F656" s="270"/>
      <c r="G656" s="334"/>
      <c r="H656" s="270"/>
      <c r="I656" s="334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</row>
    <row r="657" spans="1:26" ht="18" customHeight="1">
      <c r="A657" s="335"/>
      <c r="B657" s="270"/>
      <c r="C657" s="270"/>
      <c r="D657" s="438"/>
      <c r="E657" s="334"/>
      <c r="F657" s="270"/>
      <c r="G657" s="334"/>
      <c r="H657" s="270"/>
      <c r="I657" s="334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</row>
    <row r="658" spans="1:26" ht="18" customHeight="1">
      <c r="A658" s="335"/>
      <c r="B658" s="270"/>
      <c r="C658" s="270"/>
      <c r="D658" s="438"/>
      <c r="E658" s="334"/>
      <c r="F658" s="270"/>
      <c r="G658" s="334"/>
      <c r="H658" s="270"/>
      <c r="I658" s="334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</row>
    <row r="659" spans="1:26" ht="18" customHeight="1">
      <c r="A659" s="335"/>
      <c r="B659" s="270"/>
      <c r="C659" s="270"/>
      <c r="D659" s="438"/>
      <c r="E659" s="334"/>
      <c r="F659" s="270"/>
      <c r="G659" s="334"/>
      <c r="H659" s="270"/>
      <c r="I659" s="334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</row>
    <row r="660" spans="1:26" ht="18" customHeight="1">
      <c r="A660" s="335"/>
      <c r="B660" s="270"/>
      <c r="C660" s="270"/>
      <c r="D660" s="438"/>
      <c r="E660" s="334"/>
      <c r="F660" s="270"/>
      <c r="G660" s="334"/>
      <c r="H660" s="270"/>
      <c r="I660" s="334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</row>
    <row r="661" spans="1:26" ht="18" customHeight="1">
      <c r="A661" s="335"/>
      <c r="B661" s="270"/>
      <c r="C661" s="270"/>
      <c r="D661" s="438"/>
      <c r="E661" s="334"/>
      <c r="F661" s="270"/>
      <c r="G661" s="334"/>
      <c r="H661" s="270"/>
      <c r="I661" s="334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</row>
    <row r="662" spans="1:26" ht="18" customHeight="1">
      <c r="A662" s="335"/>
      <c r="B662" s="270"/>
      <c r="C662" s="270"/>
      <c r="D662" s="438"/>
      <c r="E662" s="334"/>
      <c r="F662" s="270"/>
      <c r="G662" s="334"/>
      <c r="H662" s="270"/>
      <c r="I662" s="334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</row>
    <row r="663" spans="1:26" ht="18" customHeight="1">
      <c r="A663" s="335"/>
      <c r="B663" s="270"/>
      <c r="C663" s="270"/>
      <c r="D663" s="438"/>
      <c r="E663" s="334"/>
      <c r="F663" s="270"/>
      <c r="G663" s="334"/>
      <c r="H663" s="270"/>
      <c r="I663" s="334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</row>
    <row r="664" spans="1:26" ht="18" customHeight="1">
      <c r="A664" s="335"/>
      <c r="B664" s="270"/>
      <c r="C664" s="270"/>
      <c r="D664" s="438"/>
      <c r="E664" s="334"/>
      <c r="F664" s="270"/>
      <c r="G664" s="334"/>
      <c r="H664" s="270"/>
      <c r="I664" s="334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</row>
    <row r="665" spans="1:26" ht="18" customHeight="1">
      <c r="A665" s="335"/>
      <c r="B665" s="270"/>
      <c r="C665" s="270"/>
      <c r="D665" s="438"/>
      <c r="E665" s="334"/>
      <c r="F665" s="270"/>
      <c r="G665" s="334"/>
      <c r="H665" s="270"/>
      <c r="I665" s="334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</row>
    <row r="666" spans="1:26" ht="18" customHeight="1">
      <c r="A666" s="335"/>
      <c r="B666" s="270"/>
      <c r="C666" s="270"/>
      <c r="D666" s="438"/>
      <c r="E666" s="334"/>
      <c r="F666" s="270"/>
      <c r="G666" s="334"/>
      <c r="H666" s="270"/>
      <c r="I666" s="334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</row>
    <row r="667" spans="1:26" ht="18" customHeight="1">
      <c r="A667" s="335"/>
      <c r="B667" s="270"/>
      <c r="C667" s="270"/>
      <c r="D667" s="438"/>
      <c r="E667" s="334"/>
      <c r="F667" s="270"/>
      <c r="G667" s="334"/>
      <c r="H667" s="270"/>
      <c r="I667" s="334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</row>
    <row r="668" spans="1:26" ht="18" customHeight="1">
      <c r="A668" s="335"/>
      <c r="B668" s="270"/>
      <c r="C668" s="270"/>
      <c r="D668" s="438"/>
      <c r="E668" s="334"/>
      <c r="F668" s="270"/>
      <c r="G668" s="334"/>
      <c r="H668" s="270"/>
      <c r="I668" s="334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</row>
    <row r="669" spans="1:26" ht="18" customHeight="1">
      <c r="A669" s="335"/>
      <c r="B669" s="270"/>
      <c r="C669" s="270"/>
      <c r="D669" s="438"/>
      <c r="E669" s="334"/>
      <c r="F669" s="270"/>
      <c r="G669" s="334"/>
      <c r="H669" s="270"/>
      <c r="I669" s="334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</row>
    <row r="670" spans="1:26" ht="18" customHeight="1">
      <c r="A670" s="335"/>
      <c r="B670" s="270"/>
      <c r="C670" s="270"/>
      <c r="D670" s="438"/>
      <c r="E670" s="334"/>
      <c r="F670" s="270"/>
      <c r="G670" s="334"/>
      <c r="H670" s="270"/>
      <c r="I670" s="334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</row>
    <row r="671" spans="1:26" ht="18" customHeight="1">
      <c r="A671" s="335"/>
      <c r="B671" s="270"/>
      <c r="C671" s="270"/>
      <c r="D671" s="438"/>
      <c r="E671" s="334"/>
      <c r="F671" s="270"/>
      <c r="G671" s="334"/>
      <c r="H671" s="270"/>
      <c r="I671" s="334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</row>
    <row r="672" spans="1:26" ht="18" customHeight="1">
      <c r="A672" s="335"/>
      <c r="B672" s="270"/>
      <c r="C672" s="270"/>
      <c r="D672" s="438"/>
      <c r="E672" s="334"/>
      <c r="F672" s="270"/>
      <c r="G672" s="334"/>
      <c r="H672" s="270"/>
      <c r="I672" s="334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</row>
    <row r="673" spans="1:26" ht="18" customHeight="1">
      <c r="A673" s="335"/>
      <c r="B673" s="270"/>
      <c r="C673" s="270"/>
      <c r="D673" s="438"/>
      <c r="E673" s="334"/>
      <c r="F673" s="270"/>
      <c r="G673" s="334"/>
      <c r="H673" s="270"/>
      <c r="I673" s="334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</row>
    <row r="674" spans="1:26" ht="18" customHeight="1">
      <c r="A674" s="335"/>
      <c r="B674" s="270"/>
      <c r="C674" s="270"/>
      <c r="D674" s="438"/>
      <c r="E674" s="334"/>
      <c r="F674" s="270"/>
      <c r="G674" s="334"/>
      <c r="H674" s="270"/>
      <c r="I674" s="334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</row>
    <row r="675" spans="1:26" ht="18" customHeight="1">
      <c r="A675" s="335"/>
      <c r="B675" s="270"/>
      <c r="C675" s="270"/>
      <c r="D675" s="438"/>
      <c r="E675" s="334"/>
      <c r="F675" s="270"/>
      <c r="G675" s="334"/>
      <c r="H675" s="270"/>
      <c r="I675" s="334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</row>
    <row r="676" spans="1:26" ht="18" customHeight="1">
      <c r="A676" s="335"/>
      <c r="B676" s="270"/>
      <c r="C676" s="270"/>
      <c r="D676" s="438"/>
      <c r="E676" s="334"/>
      <c r="F676" s="270"/>
      <c r="G676" s="334"/>
      <c r="H676" s="270"/>
      <c r="I676" s="334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</row>
    <row r="677" spans="1:26" ht="18" customHeight="1">
      <c r="A677" s="335"/>
      <c r="B677" s="270"/>
      <c r="C677" s="270"/>
      <c r="D677" s="438"/>
      <c r="E677" s="334"/>
      <c r="F677" s="270"/>
      <c r="G677" s="334"/>
      <c r="H677" s="270"/>
      <c r="I677" s="334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</row>
    <row r="678" spans="1:26" ht="18" customHeight="1">
      <c r="A678" s="335"/>
      <c r="B678" s="270"/>
      <c r="C678" s="270"/>
      <c r="D678" s="438"/>
      <c r="E678" s="334"/>
      <c r="F678" s="270"/>
      <c r="G678" s="334"/>
      <c r="H678" s="270"/>
      <c r="I678" s="334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</row>
    <row r="679" spans="1:26" ht="18" customHeight="1">
      <c r="A679" s="335"/>
      <c r="B679" s="270"/>
      <c r="C679" s="270"/>
      <c r="D679" s="438"/>
      <c r="E679" s="334"/>
      <c r="F679" s="270"/>
      <c r="G679" s="334"/>
      <c r="H679" s="270"/>
      <c r="I679" s="334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</row>
    <row r="680" spans="1:26" ht="18" customHeight="1">
      <c r="A680" s="335"/>
      <c r="B680" s="270"/>
      <c r="C680" s="270"/>
      <c r="D680" s="438"/>
      <c r="E680" s="334"/>
      <c r="F680" s="270"/>
      <c r="G680" s="334"/>
      <c r="H680" s="270"/>
      <c r="I680" s="334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</row>
    <row r="681" spans="1:26" ht="18" customHeight="1">
      <c r="A681" s="335"/>
      <c r="B681" s="270"/>
      <c r="C681" s="270"/>
      <c r="D681" s="438"/>
      <c r="E681" s="334"/>
      <c r="F681" s="270"/>
      <c r="G681" s="334"/>
      <c r="H681" s="270"/>
      <c r="I681" s="334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</row>
    <row r="682" spans="1:26" ht="18" customHeight="1">
      <c r="A682" s="335"/>
      <c r="B682" s="270"/>
      <c r="C682" s="270"/>
      <c r="D682" s="438"/>
      <c r="E682" s="334"/>
      <c r="F682" s="270"/>
      <c r="G682" s="334"/>
      <c r="H682" s="270"/>
      <c r="I682" s="334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</row>
    <row r="683" spans="1:26" ht="18" customHeight="1">
      <c r="A683" s="335"/>
      <c r="B683" s="270"/>
      <c r="C683" s="270"/>
      <c r="D683" s="438"/>
      <c r="E683" s="334"/>
      <c r="F683" s="270"/>
      <c r="G683" s="334"/>
      <c r="H683" s="270"/>
      <c r="I683" s="334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</row>
    <row r="684" spans="1:26" ht="18" customHeight="1">
      <c r="A684" s="335"/>
      <c r="B684" s="270"/>
      <c r="C684" s="270"/>
      <c r="D684" s="438"/>
      <c r="E684" s="334"/>
      <c r="F684" s="270"/>
      <c r="G684" s="334"/>
      <c r="H684" s="270"/>
      <c r="I684" s="334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</row>
    <row r="685" spans="1:26" ht="18" customHeight="1">
      <c r="A685" s="335"/>
      <c r="B685" s="270"/>
      <c r="C685" s="270"/>
      <c r="D685" s="438"/>
      <c r="E685" s="334"/>
      <c r="F685" s="270"/>
      <c r="G685" s="334"/>
      <c r="H685" s="270"/>
      <c r="I685" s="334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</row>
    <row r="686" spans="1:26" ht="18" customHeight="1">
      <c r="A686" s="335"/>
      <c r="B686" s="270"/>
      <c r="C686" s="270"/>
      <c r="D686" s="438"/>
      <c r="E686" s="334"/>
      <c r="F686" s="270"/>
      <c r="G686" s="334"/>
      <c r="H686" s="270"/>
      <c r="I686" s="334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</row>
    <row r="687" spans="1:26" ht="18" customHeight="1">
      <c r="A687" s="335"/>
      <c r="B687" s="270"/>
      <c r="C687" s="270"/>
      <c r="D687" s="438"/>
      <c r="E687" s="334"/>
      <c r="F687" s="270"/>
      <c r="G687" s="334"/>
      <c r="H687" s="270"/>
      <c r="I687" s="334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</row>
    <row r="688" spans="1:26" ht="18" customHeight="1">
      <c r="A688" s="335"/>
      <c r="B688" s="270"/>
      <c r="C688" s="270"/>
      <c r="D688" s="438"/>
      <c r="E688" s="334"/>
      <c r="F688" s="270"/>
      <c r="G688" s="334"/>
      <c r="H688" s="270"/>
      <c r="I688" s="334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</row>
    <row r="689" spans="1:26" ht="18" customHeight="1">
      <c r="A689" s="335"/>
      <c r="B689" s="270"/>
      <c r="C689" s="270"/>
      <c r="D689" s="438"/>
      <c r="E689" s="334"/>
      <c r="F689" s="270"/>
      <c r="G689" s="334"/>
      <c r="H689" s="270"/>
      <c r="I689" s="334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</row>
    <row r="690" spans="1:26" ht="18" customHeight="1">
      <c r="A690" s="335"/>
      <c r="B690" s="270"/>
      <c r="C690" s="270"/>
      <c r="D690" s="438"/>
      <c r="E690" s="334"/>
      <c r="F690" s="270"/>
      <c r="G690" s="334"/>
      <c r="H690" s="270"/>
      <c r="I690" s="334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</row>
    <row r="691" spans="1:26" ht="18" customHeight="1">
      <c r="A691" s="335"/>
      <c r="B691" s="270"/>
      <c r="C691" s="270"/>
      <c r="D691" s="438"/>
      <c r="E691" s="334"/>
      <c r="F691" s="270"/>
      <c r="G691" s="334"/>
      <c r="H691" s="270"/>
      <c r="I691" s="334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</row>
    <row r="692" spans="1:26" ht="18" customHeight="1">
      <c r="A692" s="335"/>
      <c r="B692" s="270"/>
      <c r="C692" s="270"/>
      <c r="D692" s="438"/>
      <c r="E692" s="334"/>
      <c r="F692" s="270"/>
      <c r="G692" s="334"/>
      <c r="H692" s="270"/>
      <c r="I692" s="334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</row>
    <row r="693" spans="1:26" ht="18" customHeight="1">
      <c r="A693" s="335"/>
      <c r="B693" s="270"/>
      <c r="C693" s="270"/>
      <c r="D693" s="438"/>
      <c r="E693" s="334"/>
      <c r="F693" s="270"/>
      <c r="G693" s="334"/>
      <c r="H693" s="270"/>
      <c r="I693" s="334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</row>
    <row r="694" spans="1:26" ht="18" customHeight="1">
      <c r="A694" s="335"/>
      <c r="B694" s="270"/>
      <c r="C694" s="270"/>
      <c r="D694" s="438"/>
      <c r="E694" s="334"/>
      <c r="F694" s="270"/>
      <c r="G694" s="334"/>
      <c r="H694" s="270"/>
      <c r="I694" s="334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</row>
    <row r="695" spans="1:26" ht="18" customHeight="1">
      <c r="A695" s="335"/>
      <c r="B695" s="270"/>
      <c r="C695" s="270"/>
      <c r="D695" s="438"/>
      <c r="E695" s="334"/>
      <c r="F695" s="270"/>
      <c r="G695" s="334"/>
      <c r="H695" s="270"/>
      <c r="I695" s="334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</row>
    <row r="696" spans="1:26" ht="18" customHeight="1">
      <c r="A696" s="335"/>
      <c r="B696" s="270"/>
      <c r="C696" s="270"/>
      <c r="D696" s="438"/>
      <c r="E696" s="334"/>
      <c r="F696" s="270"/>
      <c r="G696" s="334"/>
      <c r="H696" s="270"/>
      <c r="I696" s="334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</row>
    <row r="697" spans="1:26" ht="18" customHeight="1">
      <c r="A697" s="335"/>
      <c r="B697" s="270"/>
      <c r="C697" s="270"/>
      <c r="D697" s="438"/>
      <c r="E697" s="334"/>
      <c r="F697" s="270"/>
      <c r="G697" s="334"/>
      <c r="H697" s="270"/>
      <c r="I697" s="334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</row>
    <row r="698" spans="1:26" ht="18" customHeight="1">
      <c r="A698" s="335"/>
      <c r="B698" s="270"/>
      <c r="C698" s="270"/>
      <c r="D698" s="438"/>
      <c r="E698" s="334"/>
      <c r="F698" s="270"/>
      <c r="G698" s="334"/>
      <c r="H698" s="270"/>
      <c r="I698" s="334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</row>
    <row r="699" spans="1:26" ht="18" customHeight="1">
      <c r="A699" s="335"/>
      <c r="B699" s="270"/>
      <c r="C699" s="270"/>
      <c r="D699" s="438"/>
      <c r="E699" s="334"/>
      <c r="F699" s="270"/>
      <c r="G699" s="334"/>
      <c r="H699" s="270"/>
      <c r="I699" s="334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</row>
    <row r="700" spans="1:26" ht="18" customHeight="1">
      <c r="A700" s="335"/>
      <c r="B700" s="270"/>
      <c r="C700" s="270"/>
      <c r="D700" s="438"/>
      <c r="E700" s="334"/>
      <c r="F700" s="270"/>
      <c r="G700" s="334"/>
      <c r="H700" s="270"/>
      <c r="I700" s="334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</row>
    <row r="701" spans="1:26" ht="18" customHeight="1">
      <c r="A701" s="335"/>
      <c r="B701" s="270"/>
      <c r="C701" s="270"/>
      <c r="D701" s="438"/>
      <c r="E701" s="334"/>
      <c r="F701" s="270"/>
      <c r="G701" s="334"/>
      <c r="H701" s="270"/>
      <c r="I701" s="334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</row>
    <row r="702" spans="1:26" ht="18" customHeight="1">
      <c r="A702" s="335"/>
      <c r="B702" s="270"/>
      <c r="C702" s="270"/>
      <c r="D702" s="438"/>
      <c r="E702" s="334"/>
      <c r="F702" s="270"/>
      <c r="G702" s="334"/>
      <c r="H702" s="270"/>
      <c r="I702" s="334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</row>
    <row r="703" spans="1:26" ht="18" customHeight="1">
      <c r="A703" s="335"/>
      <c r="B703" s="270"/>
      <c r="C703" s="270"/>
      <c r="D703" s="438"/>
      <c r="E703" s="334"/>
      <c r="F703" s="270"/>
      <c r="G703" s="334"/>
      <c r="H703" s="270"/>
      <c r="I703" s="334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</row>
    <row r="704" spans="1:26" ht="18" customHeight="1">
      <c r="A704" s="335"/>
      <c r="B704" s="270"/>
      <c r="C704" s="270"/>
      <c r="D704" s="438"/>
      <c r="E704" s="334"/>
      <c r="F704" s="270"/>
      <c r="G704" s="334"/>
      <c r="H704" s="270"/>
      <c r="I704" s="334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</row>
    <row r="705" spans="1:26" ht="18" customHeight="1">
      <c r="A705" s="335"/>
      <c r="B705" s="270"/>
      <c r="C705" s="270"/>
      <c r="D705" s="438"/>
      <c r="E705" s="334"/>
      <c r="F705" s="270"/>
      <c r="G705" s="334"/>
      <c r="H705" s="270"/>
      <c r="I705" s="334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</row>
    <row r="706" spans="1:26" ht="18" customHeight="1">
      <c r="A706" s="335"/>
      <c r="B706" s="270"/>
      <c r="C706" s="270"/>
      <c r="D706" s="438"/>
      <c r="E706" s="334"/>
      <c r="F706" s="270"/>
      <c r="G706" s="334"/>
      <c r="H706" s="270"/>
      <c r="I706" s="334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</row>
    <row r="707" spans="1:26" ht="18" customHeight="1">
      <c r="A707" s="335"/>
      <c r="B707" s="270"/>
      <c r="C707" s="270"/>
      <c r="D707" s="438"/>
      <c r="E707" s="334"/>
      <c r="F707" s="270"/>
      <c r="G707" s="334"/>
      <c r="H707" s="270"/>
      <c r="I707" s="334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</row>
    <row r="708" spans="1:26" ht="18" customHeight="1">
      <c r="A708" s="335"/>
      <c r="B708" s="270"/>
      <c r="C708" s="270"/>
      <c r="D708" s="438"/>
      <c r="E708" s="334"/>
      <c r="F708" s="270"/>
      <c r="G708" s="334"/>
      <c r="H708" s="270"/>
      <c r="I708" s="334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</row>
    <row r="709" spans="1:26" ht="18" customHeight="1">
      <c r="A709" s="335"/>
      <c r="B709" s="270"/>
      <c r="C709" s="270"/>
      <c r="D709" s="438"/>
      <c r="E709" s="334"/>
      <c r="F709" s="270"/>
      <c r="G709" s="334"/>
      <c r="H709" s="270"/>
      <c r="I709" s="334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</row>
    <row r="710" spans="1:26" ht="18" customHeight="1">
      <c r="A710" s="335"/>
      <c r="B710" s="270"/>
      <c r="C710" s="270"/>
      <c r="D710" s="438"/>
      <c r="E710" s="334"/>
      <c r="F710" s="270"/>
      <c r="G710" s="334"/>
      <c r="H710" s="270"/>
      <c r="I710" s="334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</row>
    <row r="711" spans="1:26" ht="18" customHeight="1">
      <c r="A711" s="335"/>
      <c r="B711" s="270"/>
      <c r="C711" s="270"/>
      <c r="D711" s="438"/>
      <c r="E711" s="334"/>
      <c r="F711" s="270"/>
      <c r="G711" s="334"/>
      <c r="H711" s="270"/>
      <c r="I711" s="334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</row>
    <row r="712" spans="1:26" ht="18" customHeight="1">
      <c r="A712" s="335"/>
      <c r="B712" s="270"/>
      <c r="C712" s="270"/>
      <c r="D712" s="438"/>
      <c r="E712" s="334"/>
      <c r="F712" s="270"/>
      <c r="G712" s="334"/>
      <c r="H712" s="270"/>
      <c r="I712" s="334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</row>
    <row r="713" spans="1:26" ht="18" customHeight="1">
      <c r="A713" s="335"/>
      <c r="B713" s="270"/>
      <c r="C713" s="270"/>
      <c r="D713" s="438"/>
      <c r="E713" s="334"/>
      <c r="F713" s="270"/>
      <c r="G713" s="334"/>
      <c r="H713" s="270"/>
      <c r="I713" s="334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</row>
    <row r="714" spans="1:26" ht="18" customHeight="1">
      <c r="A714" s="335"/>
      <c r="B714" s="270"/>
      <c r="C714" s="270"/>
      <c r="D714" s="438"/>
      <c r="E714" s="334"/>
      <c r="F714" s="270"/>
      <c r="G714" s="334"/>
      <c r="H714" s="270"/>
      <c r="I714" s="334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</row>
    <row r="715" spans="1:26" ht="18" customHeight="1">
      <c r="A715" s="335"/>
      <c r="B715" s="270"/>
      <c r="C715" s="270"/>
      <c r="D715" s="438"/>
      <c r="E715" s="334"/>
      <c r="F715" s="270"/>
      <c r="G715" s="334"/>
      <c r="H715" s="270"/>
      <c r="I715" s="334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</row>
    <row r="716" spans="1:26" ht="18" customHeight="1">
      <c r="A716" s="335"/>
      <c r="B716" s="270"/>
      <c r="C716" s="270"/>
      <c r="D716" s="438"/>
      <c r="E716" s="334"/>
      <c r="F716" s="270"/>
      <c r="G716" s="334"/>
      <c r="H716" s="270"/>
      <c r="I716" s="334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</row>
    <row r="717" spans="1:26" ht="18" customHeight="1">
      <c r="A717" s="335"/>
      <c r="B717" s="270"/>
      <c r="C717" s="270"/>
      <c r="D717" s="438"/>
      <c r="E717" s="334"/>
      <c r="F717" s="270"/>
      <c r="G717" s="334"/>
      <c r="H717" s="270"/>
      <c r="I717" s="334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</row>
    <row r="718" spans="1:26" ht="18" customHeight="1">
      <c r="A718" s="335"/>
      <c r="B718" s="270"/>
      <c r="C718" s="270"/>
      <c r="D718" s="438"/>
      <c r="E718" s="334"/>
      <c r="F718" s="270"/>
      <c r="G718" s="334"/>
      <c r="H718" s="270"/>
      <c r="I718" s="334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</row>
    <row r="719" spans="1:26" ht="18" customHeight="1">
      <c r="A719" s="335"/>
      <c r="B719" s="270"/>
      <c r="C719" s="270"/>
      <c r="D719" s="438"/>
      <c r="E719" s="334"/>
      <c r="F719" s="270"/>
      <c r="G719" s="334"/>
      <c r="H719" s="270"/>
      <c r="I719" s="334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</row>
    <row r="720" spans="1:26" ht="18" customHeight="1">
      <c r="A720" s="335"/>
      <c r="B720" s="270"/>
      <c r="C720" s="270"/>
      <c r="D720" s="438"/>
      <c r="E720" s="334"/>
      <c r="F720" s="270"/>
      <c r="G720" s="334"/>
      <c r="H720" s="270"/>
      <c r="I720" s="334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</row>
    <row r="721" spans="1:26" ht="18" customHeight="1">
      <c r="A721" s="335"/>
      <c r="B721" s="270"/>
      <c r="C721" s="270"/>
      <c r="D721" s="438"/>
      <c r="E721" s="334"/>
      <c r="F721" s="270"/>
      <c r="G721" s="334"/>
      <c r="H721" s="270"/>
      <c r="I721" s="334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</row>
    <row r="722" spans="1:26" ht="18" customHeight="1">
      <c r="A722" s="335"/>
      <c r="B722" s="270"/>
      <c r="C722" s="270"/>
      <c r="D722" s="438"/>
      <c r="E722" s="334"/>
      <c r="F722" s="270"/>
      <c r="G722" s="334"/>
      <c r="H722" s="270"/>
      <c r="I722" s="334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</row>
    <row r="723" spans="1:26" ht="18" customHeight="1">
      <c r="A723" s="335"/>
      <c r="B723" s="270"/>
      <c r="C723" s="270"/>
      <c r="D723" s="438"/>
      <c r="E723" s="334"/>
      <c r="F723" s="270"/>
      <c r="G723" s="334"/>
      <c r="H723" s="270"/>
      <c r="I723" s="334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</row>
    <row r="724" spans="1:26" ht="18" customHeight="1">
      <c r="A724" s="335"/>
      <c r="B724" s="270"/>
      <c r="C724" s="270"/>
      <c r="D724" s="438"/>
      <c r="E724" s="334"/>
      <c r="F724" s="270"/>
      <c r="G724" s="334"/>
      <c r="H724" s="270"/>
      <c r="I724" s="334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</row>
    <row r="725" spans="1:26" ht="18" customHeight="1">
      <c r="A725" s="335"/>
      <c r="B725" s="270"/>
      <c r="C725" s="270"/>
      <c r="D725" s="438"/>
      <c r="E725" s="334"/>
      <c r="F725" s="270"/>
      <c r="G725" s="334"/>
      <c r="H725" s="270"/>
      <c r="I725" s="334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</row>
    <row r="726" spans="1:26" ht="18" customHeight="1">
      <c r="A726" s="335"/>
      <c r="B726" s="270"/>
      <c r="C726" s="270"/>
      <c r="D726" s="438"/>
      <c r="E726" s="334"/>
      <c r="F726" s="270"/>
      <c r="G726" s="334"/>
      <c r="H726" s="270"/>
      <c r="I726" s="334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</row>
    <row r="727" spans="1:26" ht="18" customHeight="1">
      <c r="A727" s="335"/>
      <c r="B727" s="270"/>
      <c r="C727" s="270"/>
      <c r="D727" s="438"/>
      <c r="E727" s="334"/>
      <c r="F727" s="270"/>
      <c r="G727" s="334"/>
      <c r="H727" s="270"/>
      <c r="I727" s="334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</row>
    <row r="728" spans="1:26" ht="18" customHeight="1">
      <c r="A728" s="335"/>
      <c r="B728" s="270"/>
      <c r="C728" s="270"/>
      <c r="D728" s="438"/>
      <c r="E728" s="334"/>
      <c r="F728" s="270"/>
      <c r="G728" s="334"/>
      <c r="H728" s="270"/>
      <c r="I728" s="334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</row>
    <row r="729" spans="1:26" ht="18" customHeight="1">
      <c r="A729" s="335"/>
      <c r="B729" s="270"/>
      <c r="C729" s="270"/>
      <c r="D729" s="438"/>
      <c r="E729" s="334"/>
      <c r="F729" s="270"/>
      <c r="G729" s="334"/>
      <c r="H729" s="270"/>
      <c r="I729" s="334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</row>
    <row r="730" spans="1:26" ht="18" customHeight="1">
      <c r="A730" s="335"/>
      <c r="B730" s="270"/>
      <c r="C730" s="270"/>
      <c r="D730" s="438"/>
      <c r="E730" s="334"/>
      <c r="F730" s="270"/>
      <c r="G730" s="334"/>
      <c r="H730" s="270"/>
      <c r="I730" s="334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</row>
    <row r="731" spans="1:26" ht="18" customHeight="1">
      <c r="A731" s="335"/>
      <c r="B731" s="270"/>
      <c r="C731" s="270"/>
      <c r="D731" s="438"/>
      <c r="E731" s="334"/>
      <c r="F731" s="270"/>
      <c r="G731" s="334"/>
      <c r="H731" s="270"/>
      <c r="I731" s="334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</row>
    <row r="732" spans="1:26" ht="18" customHeight="1">
      <c r="A732" s="335"/>
      <c r="B732" s="270"/>
      <c r="C732" s="270"/>
      <c r="D732" s="438"/>
      <c r="E732" s="334"/>
      <c r="F732" s="270"/>
      <c r="G732" s="334"/>
      <c r="H732" s="270"/>
      <c r="I732" s="334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</row>
    <row r="733" spans="1:26" ht="18" customHeight="1">
      <c r="A733" s="335"/>
      <c r="B733" s="270"/>
      <c r="C733" s="270"/>
      <c r="D733" s="438"/>
      <c r="E733" s="334"/>
      <c r="F733" s="270"/>
      <c r="G733" s="334"/>
      <c r="H733" s="270"/>
      <c r="I733" s="334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</row>
    <row r="734" spans="1:26" ht="18" customHeight="1">
      <c r="A734" s="335"/>
      <c r="B734" s="270"/>
      <c r="C734" s="270"/>
      <c r="D734" s="438"/>
      <c r="E734" s="334"/>
      <c r="F734" s="270"/>
      <c r="G734" s="334"/>
      <c r="H734" s="270"/>
      <c r="I734" s="334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</row>
    <row r="735" spans="1:26" ht="18" customHeight="1">
      <c r="A735" s="335"/>
      <c r="B735" s="270"/>
      <c r="C735" s="270"/>
      <c r="D735" s="438"/>
      <c r="E735" s="334"/>
      <c r="F735" s="270"/>
      <c r="G735" s="334"/>
      <c r="H735" s="270"/>
      <c r="I735" s="334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</row>
    <row r="736" spans="1:26" ht="18" customHeight="1">
      <c r="A736" s="335"/>
      <c r="B736" s="270"/>
      <c r="C736" s="270"/>
      <c r="D736" s="438"/>
      <c r="E736" s="334"/>
      <c r="F736" s="270"/>
      <c r="G736" s="334"/>
      <c r="H736" s="270"/>
      <c r="I736" s="334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</row>
    <row r="737" spans="1:26" ht="18" customHeight="1">
      <c r="A737" s="335"/>
      <c r="B737" s="270"/>
      <c r="C737" s="270"/>
      <c r="D737" s="438"/>
      <c r="E737" s="334"/>
      <c r="F737" s="270"/>
      <c r="G737" s="334"/>
      <c r="H737" s="270"/>
      <c r="I737" s="334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</row>
    <row r="738" spans="1:26" ht="18" customHeight="1">
      <c r="A738" s="335"/>
      <c r="B738" s="270"/>
      <c r="C738" s="270"/>
      <c r="D738" s="438"/>
      <c r="E738" s="334"/>
      <c r="F738" s="270"/>
      <c r="G738" s="334"/>
      <c r="H738" s="270"/>
      <c r="I738" s="334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</row>
    <row r="739" spans="1:26" ht="18" customHeight="1">
      <c r="A739" s="335"/>
      <c r="B739" s="270"/>
      <c r="C739" s="270"/>
      <c r="D739" s="438"/>
      <c r="E739" s="334"/>
      <c r="F739" s="270"/>
      <c r="G739" s="334"/>
      <c r="H739" s="270"/>
      <c r="I739" s="334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</row>
    <row r="740" spans="1:26" ht="18" customHeight="1">
      <c r="A740" s="335"/>
      <c r="B740" s="270"/>
      <c r="C740" s="270"/>
      <c r="D740" s="438"/>
      <c r="E740" s="334"/>
      <c r="F740" s="270"/>
      <c r="G740" s="334"/>
      <c r="H740" s="270"/>
      <c r="I740" s="334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</row>
    <row r="741" spans="1:26" ht="18" customHeight="1">
      <c r="A741" s="335"/>
      <c r="B741" s="270"/>
      <c r="C741" s="270"/>
      <c r="D741" s="438"/>
      <c r="E741" s="334"/>
      <c r="F741" s="270"/>
      <c r="G741" s="334"/>
      <c r="H741" s="270"/>
      <c r="I741" s="334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</row>
    <row r="742" spans="1:26" ht="18" customHeight="1">
      <c r="A742" s="335"/>
      <c r="B742" s="270"/>
      <c r="C742" s="270"/>
      <c r="D742" s="438"/>
      <c r="E742" s="334"/>
      <c r="F742" s="270"/>
      <c r="G742" s="334"/>
      <c r="H742" s="270"/>
      <c r="I742" s="334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</row>
    <row r="743" spans="1:26" ht="18" customHeight="1">
      <c r="A743" s="335"/>
      <c r="B743" s="270"/>
      <c r="C743" s="270"/>
      <c r="D743" s="438"/>
      <c r="E743" s="334"/>
      <c r="F743" s="270"/>
      <c r="G743" s="334"/>
      <c r="H743" s="270"/>
      <c r="I743" s="334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</row>
    <row r="744" spans="1:26" ht="18" customHeight="1">
      <c r="A744" s="335"/>
      <c r="B744" s="270"/>
      <c r="C744" s="270"/>
      <c r="D744" s="438"/>
      <c r="E744" s="334"/>
      <c r="F744" s="270"/>
      <c r="G744" s="334"/>
      <c r="H744" s="270"/>
      <c r="I744" s="334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</row>
    <row r="745" spans="1:26" ht="18" customHeight="1">
      <c r="A745" s="335"/>
      <c r="B745" s="270"/>
      <c r="C745" s="270"/>
      <c r="D745" s="438"/>
      <c r="E745" s="334"/>
      <c r="F745" s="270"/>
      <c r="G745" s="334"/>
      <c r="H745" s="270"/>
      <c r="I745" s="334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</row>
    <row r="746" spans="1:26" ht="18" customHeight="1">
      <c r="A746" s="335"/>
      <c r="B746" s="270"/>
      <c r="C746" s="270"/>
      <c r="D746" s="438"/>
      <c r="E746" s="334"/>
      <c r="F746" s="270"/>
      <c r="G746" s="334"/>
      <c r="H746" s="270"/>
      <c r="I746" s="334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</row>
    <row r="747" spans="1:26" ht="18" customHeight="1">
      <c r="A747" s="335"/>
      <c r="B747" s="270"/>
      <c r="C747" s="270"/>
      <c r="D747" s="438"/>
      <c r="E747" s="334"/>
      <c r="F747" s="270"/>
      <c r="G747" s="334"/>
      <c r="H747" s="270"/>
      <c r="I747" s="334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</row>
    <row r="748" spans="1:26" ht="18" customHeight="1">
      <c r="A748" s="335"/>
      <c r="B748" s="270"/>
      <c r="C748" s="270"/>
      <c r="D748" s="438"/>
      <c r="E748" s="334"/>
      <c r="F748" s="270"/>
      <c r="G748" s="334"/>
      <c r="H748" s="270"/>
      <c r="I748" s="334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</row>
    <row r="749" spans="1:26" ht="18" customHeight="1">
      <c r="A749" s="335"/>
      <c r="B749" s="270"/>
      <c r="C749" s="270"/>
      <c r="D749" s="438"/>
      <c r="E749" s="334"/>
      <c r="F749" s="270"/>
      <c r="G749" s="334"/>
      <c r="H749" s="270"/>
      <c r="I749" s="334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</row>
    <row r="750" spans="1:26" ht="18" customHeight="1">
      <c r="A750" s="335"/>
      <c r="B750" s="270"/>
      <c r="C750" s="270"/>
      <c r="D750" s="438"/>
      <c r="E750" s="334"/>
      <c r="F750" s="270"/>
      <c r="G750" s="334"/>
      <c r="H750" s="270"/>
      <c r="I750" s="334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</row>
    <row r="751" spans="1:26" ht="18" customHeight="1">
      <c r="A751" s="335"/>
      <c r="B751" s="270"/>
      <c r="C751" s="270"/>
      <c r="D751" s="438"/>
      <c r="E751" s="334"/>
      <c r="F751" s="270"/>
      <c r="G751" s="334"/>
      <c r="H751" s="270"/>
      <c r="I751" s="334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</row>
    <row r="752" spans="1:26" ht="18" customHeight="1">
      <c r="A752" s="335"/>
      <c r="B752" s="270"/>
      <c r="C752" s="270"/>
      <c r="D752" s="438"/>
      <c r="E752" s="334"/>
      <c r="F752" s="270"/>
      <c r="G752" s="334"/>
      <c r="H752" s="270"/>
      <c r="I752" s="334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</row>
    <row r="753" spans="1:26" ht="18" customHeight="1">
      <c r="A753" s="335"/>
      <c r="B753" s="270"/>
      <c r="C753" s="270"/>
      <c r="D753" s="438"/>
      <c r="E753" s="334"/>
      <c r="F753" s="270"/>
      <c r="G753" s="334"/>
      <c r="H753" s="270"/>
      <c r="I753" s="334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</row>
    <row r="754" spans="1:26" ht="18" customHeight="1">
      <c r="A754" s="335"/>
      <c r="B754" s="270"/>
      <c r="C754" s="270"/>
      <c r="D754" s="438"/>
      <c r="E754" s="334"/>
      <c r="F754" s="270"/>
      <c r="G754" s="334"/>
      <c r="H754" s="270"/>
      <c r="I754" s="334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</row>
    <row r="755" spans="1:26" ht="18" customHeight="1">
      <c r="A755" s="335"/>
      <c r="B755" s="270"/>
      <c r="C755" s="270"/>
      <c r="D755" s="438"/>
      <c r="E755" s="334"/>
      <c r="F755" s="270"/>
      <c r="G755" s="334"/>
      <c r="H755" s="270"/>
      <c r="I755" s="334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</row>
    <row r="756" spans="1:26" ht="18" customHeight="1">
      <c r="A756" s="335"/>
      <c r="B756" s="270"/>
      <c r="C756" s="270"/>
      <c r="D756" s="438"/>
      <c r="E756" s="334"/>
      <c r="F756" s="270"/>
      <c r="G756" s="334"/>
      <c r="H756" s="270"/>
      <c r="I756" s="334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</row>
    <row r="757" spans="1:26" ht="18" customHeight="1">
      <c r="A757" s="335"/>
      <c r="B757" s="270"/>
      <c r="C757" s="270"/>
      <c r="D757" s="438"/>
      <c r="E757" s="334"/>
      <c r="F757" s="270"/>
      <c r="G757" s="334"/>
      <c r="H757" s="270"/>
      <c r="I757" s="334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</row>
    <row r="758" spans="1:26" ht="18" customHeight="1">
      <c r="A758" s="335"/>
      <c r="B758" s="270"/>
      <c r="C758" s="270"/>
      <c r="D758" s="438"/>
      <c r="E758" s="334"/>
      <c r="F758" s="270"/>
      <c r="G758" s="334"/>
      <c r="H758" s="270"/>
      <c r="I758" s="334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</row>
    <row r="759" spans="1:26" ht="18" customHeight="1">
      <c r="A759" s="335"/>
      <c r="B759" s="270"/>
      <c r="C759" s="270"/>
      <c r="D759" s="438"/>
      <c r="E759" s="334"/>
      <c r="F759" s="270"/>
      <c r="G759" s="334"/>
      <c r="H759" s="270"/>
      <c r="I759" s="334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</row>
    <row r="760" spans="1:26" ht="18" customHeight="1">
      <c r="A760" s="335"/>
      <c r="B760" s="270"/>
      <c r="C760" s="270"/>
      <c r="D760" s="438"/>
      <c r="E760" s="334"/>
      <c r="F760" s="270"/>
      <c r="G760" s="334"/>
      <c r="H760" s="270"/>
      <c r="I760" s="334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</row>
    <row r="761" spans="1:26" ht="18" customHeight="1">
      <c r="A761" s="335"/>
      <c r="B761" s="270"/>
      <c r="C761" s="270"/>
      <c r="D761" s="438"/>
      <c r="E761" s="334"/>
      <c r="F761" s="270"/>
      <c r="G761" s="334"/>
      <c r="H761" s="270"/>
      <c r="I761" s="334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</row>
    <row r="762" spans="1:26" ht="18" customHeight="1">
      <c r="A762" s="335"/>
      <c r="B762" s="270"/>
      <c r="C762" s="270"/>
      <c r="D762" s="438"/>
      <c r="E762" s="334"/>
      <c r="F762" s="270"/>
      <c r="G762" s="334"/>
      <c r="H762" s="270"/>
      <c r="I762" s="334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</row>
    <row r="763" spans="1:26" ht="18" customHeight="1">
      <c r="A763" s="335"/>
      <c r="B763" s="270"/>
      <c r="C763" s="270"/>
      <c r="D763" s="438"/>
      <c r="E763" s="334"/>
      <c r="F763" s="270"/>
      <c r="G763" s="334"/>
      <c r="H763" s="270"/>
      <c r="I763" s="334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</row>
    <row r="764" spans="1:26" ht="18" customHeight="1">
      <c r="A764" s="335"/>
      <c r="B764" s="270"/>
      <c r="C764" s="270"/>
      <c r="D764" s="438"/>
      <c r="E764" s="334"/>
      <c r="F764" s="270"/>
      <c r="G764" s="334"/>
      <c r="H764" s="270"/>
      <c r="I764" s="334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</row>
    <row r="765" spans="1:26" ht="18" customHeight="1">
      <c r="A765" s="335"/>
      <c r="B765" s="270"/>
      <c r="C765" s="270"/>
      <c r="D765" s="438"/>
      <c r="E765" s="334"/>
      <c r="F765" s="270"/>
      <c r="G765" s="334"/>
      <c r="H765" s="270"/>
      <c r="I765" s="334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</row>
    <row r="766" spans="1:26" ht="18" customHeight="1">
      <c r="A766" s="335"/>
      <c r="B766" s="270"/>
      <c r="C766" s="270"/>
      <c r="D766" s="438"/>
      <c r="E766" s="334"/>
      <c r="F766" s="270"/>
      <c r="G766" s="334"/>
      <c r="H766" s="270"/>
      <c r="I766" s="334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</row>
    <row r="767" spans="1:26" ht="18" customHeight="1">
      <c r="A767" s="335"/>
      <c r="B767" s="270"/>
      <c r="C767" s="270"/>
      <c r="D767" s="438"/>
      <c r="E767" s="334"/>
      <c r="F767" s="270"/>
      <c r="G767" s="334"/>
      <c r="H767" s="270"/>
      <c r="I767" s="334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</row>
    <row r="768" spans="1:26" ht="18" customHeight="1">
      <c r="A768" s="335"/>
      <c r="B768" s="270"/>
      <c r="C768" s="270"/>
      <c r="D768" s="438"/>
      <c r="E768" s="334"/>
      <c r="F768" s="270"/>
      <c r="G768" s="334"/>
      <c r="H768" s="270"/>
      <c r="I768" s="334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</row>
    <row r="769" spans="1:26" ht="18" customHeight="1">
      <c r="A769" s="335"/>
      <c r="B769" s="270"/>
      <c r="C769" s="270"/>
      <c r="D769" s="438"/>
      <c r="E769" s="334"/>
      <c r="F769" s="270"/>
      <c r="G769" s="334"/>
      <c r="H769" s="270"/>
      <c r="I769" s="334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</row>
    <row r="770" spans="1:26" ht="18" customHeight="1">
      <c r="A770" s="335"/>
      <c r="B770" s="270"/>
      <c r="C770" s="270"/>
      <c r="D770" s="438"/>
      <c r="E770" s="334"/>
      <c r="F770" s="270"/>
      <c r="G770" s="334"/>
      <c r="H770" s="270"/>
      <c r="I770" s="334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</row>
    <row r="771" spans="1:26" ht="18" customHeight="1">
      <c r="A771" s="335"/>
      <c r="B771" s="270"/>
      <c r="C771" s="270"/>
      <c r="D771" s="438"/>
      <c r="E771" s="334"/>
      <c r="F771" s="270"/>
      <c r="G771" s="334"/>
      <c r="H771" s="270"/>
      <c r="I771" s="334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</row>
    <row r="772" spans="1:26" ht="18" customHeight="1">
      <c r="A772" s="335"/>
      <c r="B772" s="270"/>
      <c r="C772" s="270"/>
      <c r="D772" s="438"/>
      <c r="E772" s="334"/>
      <c r="F772" s="270"/>
      <c r="G772" s="334"/>
      <c r="H772" s="270"/>
      <c r="I772" s="334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</row>
    <row r="773" spans="1:26" ht="18" customHeight="1">
      <c r="A773" s="335"/>
      <c r="B773" s="270"/>
      <c r="C773" s="270"/>
      <c r="D773" s="438"/>
      <c r="E773" s="334"/>
      <c r="F773" s="270"/>
      <c r="G773" s="334"/>
      <c r="H773" s="270"/>
      <c r="I773" s="334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</row>
    <row r="774" spans="1:26" ht="18" customHeight="1">
      <c r="A774" s="335"/>
      <c r="B774" s="270"/>
      <c r="C774" s="270"/>
      <c r="D774" s="438"/>
      <c r="E774" s="334"/>
      <c r="F774" s="270"/>
      <c r="G774" s="334"/>
      <c r="H774" s="270"/>
      <c r="I774" s="334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</row>
    <row r="775" spans="1:26" ht="18" customHeight="1">
      <c r="A775" s="335"/>
      <c r="B775" s="270"/>
      <c r="C775" s="270"/>
      <c r="D775" s="438"/>
      <c r="E775" s="334"/>
      <c r="F775" s="270"/>
      <c r="G775" s="334"/>
      <c r="H775" s="270"/>
      <c r="I775" s="334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</row>
    <row r="776" spans="1:26" ht="18" customHeight="1">
      <c r="A776" s="335"/>
      <c r="B776" s="270"/>
      <c r="C776" s="270"/>
      <c r="D776" s="438"/>
      <c r="E776" s="334"/>
      <c r="F776" s="270"/>
      <c r="G776" s="334"/>
      <c r="H776" s="270"/>
      <c r="I776" s="334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</row>
    <row r="777" spans="1:26" ht="18" customHeight="1">
      <c r="A777" s="335"/>
      <c r="B777" s="270"/>
      <c r="C777" s="270"/>
      <c r="D777" s="438"/>
      <c r="E777" s="334"/>
      <c r="F777" s="270"/>
      <c r="G777" s="334"/>
      <c r="H777" s="270"/>
      <c r="I777" s="334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</row>
    <row r="778" spans="1:26" ht="18" customHeight="1">
      <c r="A778" s="335"/>
      <c r="B778" s="270"/>
      <c r="C778" s="270"/>
      <c r="D778" s="438"/>
      <c r="E778" s="334"/>
      <c r="F778" s="270"/>
      <c r="G778" s="334"/>
      <c r="H778" s="270"/>
      <c r="I778" s="334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</row>
    <row r="779" spans="1:26" ht="18" customHeight="1">
      <c r="A779" s="335"/>
      <c r="B779" s="270"/>
      <c r="C779" s="270"/>
      <c r="D779" s="438"/>
      <c r="E779" s="334"/>
      <c r="F779" s="270"/>
      <c r="G779" s="334"/>
      <c r="H779" s="270"/>
      <c r="I779" s="334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</row>
    <row r="780" spans="1:26" ht="18" customHeight="1">
      <c r="A780" s="335"/>
      <c r="B780" s="270"/>
      <c r="C780" s="270"/>
      <c r="D780" s="438"/>
      <c r="E780" s="334"/>
      <c r="F780" s="270"/>
      <c r="G780" s="334"/>
      <c r="H780" s="270"/>
      <c r="I780" s="334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</row>
    <row r="781" spans="1:26" ht="18" customHeight="1">
      <c r="A781" s="335"/>
      <c r="B781" s="270"/>
      <c r="C781" s="270"/>
      <c r="D781" s="438"/>
      <c r="E781" s="334"/>
      <c r="F781" s="270"/>
      <c r="G781" s="334"/>
      <c r="H781" s="270"/>
      <c r="I781" s="334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</row>
    <row r="782" spans="1:26" ht="18" customHeight="1">
      <c r="A782" s="335"/>
      <c r="B782" s="270"/>
      <c r="C782" s="270"/>
      <c r="D782" s="438"/>
      <c r="E782" s="334"/>
      <c r="F782" s="270"/>
      <c r="G782" s="334"/>
      <c r="H782" s="270"/>
      <c r="I782" s="334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</row>
    <row r="783" spans="1:26" ht="18" customHeight="1">
      <c r="A783" s="335"/>
      <c r="B783" s="270"/>
      <c r="C783" s="270"/>
      <c r="D783" s="438"/>
      <c r="E783" s="334"/>
      <c r="F783" s="270"/>
      <c r="G783" s="334"/>
      <c r="H783" s="270"/>
      <c r="I783" s="334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</row>
    <row r="784" spans="1:26" ht="18" customHeight="1">
      <c r="A784" s="335"/>
      <c r="B784" s="270"/>
      <c r="C784" s="270"/>
      <c r="D784" s="438"/>
      <c r="E784" s="334"/>
      <c r="F784" s="270"/>
      <c r="G784" s="334"/>
      <c r="H784" s="270"/>
      <c r="I784" s="334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</row>
    <row r="785" spans="1:26" ht="18" customHeight="1">
      <c r="A785" s="335"/>
      <c r="B785" s="270"/>
      <c r="C785" s="270"/>
      <c r="D785" s="438"/>
      <c r="E785" s="334"/>
      <c r="F785" s="270"/>
      <c r="G785" s="334"/>
      <c r="H785" s="270"/>
      <c r="I785" s="334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</row>
    <row r="786" spans="1:26" ht="18" customHeight="1">
      <c r="A786" s="335"/>
      <c r="B786" s="270"/>
      <c r="C786" s="270"/>
      <c r="D786" s="438"/>
      <c r="E786" s="334"/>
      <c r="F786" s="270"/>
      <c r="G786" s="334"/>
      <c r="H786" s="270"/>
      <c r="I786" s="334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</row>
    <row r="787" spans="1:26" ht="18" customHeight="1">
      <c r="A787" s="335"/>
      <c r="B787" s="270"/>
      <c r="C787" s="270"/>
      <c r="D787" s="438"/>
      <c r="E787" s="334"/>
      <c r="F787" s="270"/>
      <c r="G787" s="334"/>
      <c r="H787" s="270"/>
      <c r="I787" s="334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</row>
    <row r="788" spans="1:26" ht="18" customHeight="1">
      <c r="A788" s="335"/>
      <c r="B788" s="270"/>
      <c r="C788" s="270"/>
      <c r="D788" s="438"/>
      <c r="E788" s="334"/>
      <c r="F788" s="270"/>
      <c r="G788" s="334"/>
      <c r="H788" s="270"/>
      <c r="I788" s="334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</row>
    <row r="789" spans="1:26" ht="18" customHeight="1">
      <c r="A789" s="335"/>
      <c r="B789" s="270"/>
      <c r="C789" s="270"/>
      <c r="D789" s="438"/>
      <c r="E789" s="334"/>
      <c r="F789" s="270"/>
      <c r="G789" s="334"/>
      <c r="H789" s="270"/>
      <c r="I789" s="334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</row>
    <row r="790" spans="1:26" ht="18" customHeight="1">
      <c r="A790" s="335"/>
      <c r="B790" s="270"/>
      <c r="C790" s="270"/>
      <c r="D790" s="438"/>
      <c r="E790" s="334"/>
      <c r="F790" s="270"/>
      <c r="G790" s="334"/>
      <c r="H790" s="270"/>
      <c r="I790" s="334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</row>
    <row r="791" spans="1:26" ht="18" customHeight="1">
      <c r="A791" s="335"/>
      <c r="B791" s="270"/>
      <c r="C791" s="270"/>
      <c r="D791" s="438"/>
      <c r="E791" s="334"/>
      <c r="F791" s="270"/>
      <c r="G791" s="334"/>
      <c r="H791" s="270"/>
      <c r="I791" s="334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</row>
    <row r="792" spans="1:26" ht="18" customHeight="1">
      <c r="A792" s="335"/>
      <c r="B792" s="270"/>
      <c r="C792" s="270"/>
      <c r="D792" s="438"/>
      <c r="E792" s="334"/>
      <c r="F792" s="270"/>
      <c r="G792" s="334"/>
      <c r="H792" s="270"/>
      <c r="I792" s="334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</row>
    <row r="793" spans="1:26" ht="18" customHeight="1">
      <c r="A793" s="335"/>
      <c r="B793" s="270"/>
      <c r="C793" s="270"/>
      <c r="D793" s="438"/>
      <c r="E793" s="334"/>
      <c r="F793" s="270"/>
      <c r="G793" s="334"/>
      <c r="H793" s="270"/>
      <c r="I793" s="334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</row>
    <row r="794" spans="1:26" ht="18" customHeight="1">
      <c r="A794" s="335"/>
      <c r="B794" s="270"/>
      <c r="C794" s="270"/>
      <c r="D794" s="438"/>
      <c r="E794" s="334"/>
      <c r="F794" s="270"/>
      <c r="G794" s="334"/>
      <c r="H794" s="270"/>
      <c r="I794" s="334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</row>
    <row r="795" spans="1:26" ht="18" customHeight="1">
      <c r="A795" s="335"/>
      <c r="B795" s="270"/>
      <c r="C795" s="270"/>
      <c r="D795" s="438"/>
      <c r="E795" s="334"/>
      <c r="F795" s="270"/>
      <c r="G795" s="334"/>
      <c r="H795" s="270"/>
      <c r="I795" s="334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</row>
    <row r="796" spans="1:26" ht="18" customHeight="1">
      <c r="A796" s="335"/>
      <c r="B796" s="270"/>
      <c r="C796" s="270"/>
      <c r="D796" s="438"/>
      <c r="E796" s="334"/>
      <c r="F796" s="270"/>
      <c r="G796" s="334"/>
      <c r="H796" s="270"/>
      <c r="I796" s="334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</row>
    <row r="797" spans="1:26" ht="18" customHeight="1">
      <c r="A797" s="335"/>
      <c r="B797" s="270"/>
      <c r="C797" s="270"/>
      <c r="D797" s="438"/>
      <c r="E797" s="334"/>
      <c r="F797" s="270"/>
      <c r="G797" s="334"/>
      <c r="H797" s="270"/>
      <c r="I797" s="334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</row>
    <row r="798" spans="1:26" ht="18" customHeight="1">
      <c r="A798" s="335"/>
      <c r="B798" s="270"/>
      <c r="C798" s="270"/>
      <c r="D798" s="438"/>
      <c r="E798" s="334"/>
      <c r="F798" s="270"/>
      <c r="G798" s="334"/>
      <c r="H798" s="270"/>
      <c r="I798" s="334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</row>
    <row r="799" spans="1:26" ht="18" customHeight="1">
      <c r="A799" s="335"/>
      <c r="B799" s="270"/>
      <c r="C799" s="270"/>
      <c r="D799" s="438"/>
      <c r="E799" s="334"/>
      <c r="F799" s="270"/>
      <c r="G799" s="334"/>
      <c r="H799" s="270"/>
      <c r="I799" s="334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</row>
    <row r="800" spans="1:26" ht="18" customHeight="1">
      <c r="A800" s="335"/>
      <c r="B800" s="270"/>
      <c r="C800" s="270"/>
      <c r="D800" s="438"/>
      <c r="E800" s="334"/>
      <c r="F800" s="270"/>
      <c r="G800" s="334"/>
      <c r="H800" s="270"/>
      <c r="I800" s="334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</row>
    <row r="801" spans="1:26" ht="18" customHeight="1">
      <c r="A801" s="335"/>
      <c r="B801" s="270"/>
      <c r="C801" s="270"/>
      <c r="D801" s="438"/>
      <c r="E801" s="334"/>
      <c r="F801" s="270"/>
      <c r="G801" s="334"/>
      <c r="H801" s="270"/>
      <c r="I801" s="334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</row>
    <row r="802" spans="1:26" ht="18" customHeight="1">
      <c r="A802" s="335"/>
      <c r="B802" s="270"/>
      <c r="C802" s="270"/>
      <c r="D802" s="438"/>
      <c r="E802" s="334"/>
      <c r="F802" s="270"/>
      <c r="G802" s="334"/>
      <c r="H802" s="270"/>
      <c r="I802" s="334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</row>
    <row r="803" spans="1:26" ht="18" customHeight="1">
      <c r="A803" s="335"/>
      <c r="B803" s="270"/>
      <c r="C803" s="270"/>
      <c r="D803" s="438"/>
      <c r="E803" s="334"/>
      <c r="F803" s="270"/>
      <c r="G803" s="334"/>
      <c r="H803" s="270"/>
      <c r="I803" s="334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</row>
    <row r="804" spans="1:26" ht="18" customHeight="1">
      <c r="A804" s="335"/>
      <c r="B804" s="270"/>
      <c r="C804" s="270"/>
      <c r="D804" s="438"/>
      <c r="E804" s="334"/>
      <c r="F804" s="270"/>
      <c r="G804" s="334"/>
      <c r="H804" s="270"/>
      <c r="I804" s="334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</row>
    <row r="805" spans="1:26" ht="18" customHeight="1">
      <c r="A805" s="335"/>
      <c r="B805" s="270"/>
      <c r="C805" s="270"/>
      <c r="D805" s="438"/>
      <c r="E805" s="334"/>
      <c r="F805" s="270"/>
      <c r="G805" s="334"/>
      <c r="H805" s="270"/>
      <c r="I805" s="334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</row>
    <row r="806" spans="1:26" ht="18" customHeight="1">
      <c r="A806" s="335"/>
      <c r="B806" s="270"/>
      <c r="C806" s="270"/>
      <c r="D806" s="438"/>
      <c r="E806" s="334"/>
      <c r="F806" s="270"/>
      <c r="G806" s="334"/>
      <c r="H806" s="270"/>
      <c r="I806" s="334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</row>
    <row r="807" spans="1:26" ht="18" customHeight="1">
      <c r="A807" s="335"/>
      <c r="B807" s="270"/>
      <c r="C807" s="270"/>
      <c r="D807" s="438"/>
      <c r="E807" s="334"/>
      <c r="F807" s="270"/>
      <c r="G807" s="334"/>
      <c r="H807" s="270"/>
      <c r="I807" s="334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</row>
    <row r="808" spans="1:26" ht="18" customHeight="1">
      <c r="A808" s="335"/>
      <c r="B808" s="270"/>
      <c r="C808" s="270"/>
      <c r="D808" s="438"/>
      <c r="E808" s="334"/>
      <c r="F808" s="270"/>
      <c r="G808" s="334"/>
      <c r="H808" s="270"/>
      <c r="I808" s="334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</row>
    <row r="809" spans="1:26" ht="18" customHeight="1">
      <c r="A809" s="335"/>
      <c r="B809" s="270"/>
      <c r="C809" s="270"/>
      <c r="D809" s="438"/>
      <c r="E809" s="334"/>
      <c r="F809" s="270"/>
      <c r="G809" s="334"/>
      <c r="H809" s="270"/>
      <c r="I809" s="334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</row>
    <row r="810" spans="1:26" ht="18" customHeight="1">
      <c r="A810" s="335"/>
      <c r="B810" s="270"/>
      <c r="C810" s="270"/>
      <c r="D810" s="438"/>
      <c r="E810" s="334"/>
      <c r="F810" s="270"/>
      <c r="G810" s="334"/>
      <c r="H810" s="270"/>
      <c r="I810" s="334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</row>
    <row r="811" spans="1:26" ht="18" customHeight="1">
      <c r="A811" s="335"/>
      <c r="B811" s="270"/>
      <c r="C811" s="270"/>
      <c r="D811" s="438"/>
      <c r="E811" s="334"/>
      <c r="F811" s="270"/>
      <c r="G811" s="334"/>
      <c r="H811" s="270"/>
      <c r="I811" s="334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</row>
    <row r="812" spans="1:26" ht="18" customHeight="1">
      <c r="A812" s="335"/>
      <c r="B812" s="270"/>
      <c r="C812" s="270"/>
      <c r="D812" s="438"/>
      <c r="E812" s="334"/>
      <c r="F812" s="270"/>
      <c r="G812" s="334"/>
      <c r="H812" s="270"/>
      <c r="I812" s="334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</row>
    <row r="813" spans="1:26" ht="18" customHeight="1">
      <c r="A813" s="335"/>
      <c r="B813" s="270"/>
      <c r="C813" s="270"/>
      <c r="D813" s="438"/>
      <c r="E813" s="334"/>
      <c r="F813" s="270"/>
      <c r="G813" s="334"/>
      <c r="H813" s="270"/>
      <c r="I813" s="334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</row>
    <row r="814" spans="1:26" ht="18" customHeight="1">
      <c r="A814" s="335"/>
      <c r="B814" s="270"/>
      <c r="C814" s="270"/>
      <c r="D814" s="438"/>
      <c r="E814" s="334"/>
      <c r="F814" s="270"/>
      <c r="G814" s="334"/>
      <c r="H814" s="270"/>
      <c r="I814" s="334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</row>
    <row r="815" spans="1:26" ht="18" customHeight="1">
      <c r="A815" s="335"/>
      <c r="B815" s="270"/>
      <c r="C815" s="270"/>
      <c r="D815" s="438"/>
      <c r="E815" s="334"/>
      <c r="F815" s="270"/>
      <c r="G815" s="334"/>
      <c r="H815" s="270"/>
      <c r="I815" s="334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</row>
    <row r="816" spans="1:26" ht="18" customHeight="1">
      <c r="A816" s="335"/>
      <c r="B816" s="270"/>
      <c r="C816" s="270"/>
      <c r="D816" s="438"/>
      <c r="E816" s="334"/>
      <c r="F816" s="270"/>
      <c r="G816" s="334"/>
      <c r="H816" s="270"/>
      <c r="I816" s="334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</row>
    <row r="817" spans="1:26" ht="18" customHeight="1">
      <c r="A817" s="335"/>
      <c r="B817" s="270"/>
      <c r="C817" s="270"/>
      <c r="D817" s="438"/>
      <c r="E817" s="334"/>
      <c r="F817" s="270"/>
      <c r="G817" s="334"/>
      <c r="H817" s="270"/>
      <c r="I817" s="334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</row>
    <row r="818" spans="1:26" ht="18" customHeight="1">
      <c r="A818" s="335"/>
      <c r="B818" s="270"/>
      <c r="C818" s="270"/>
      <c r="D818" s="438"/>
      <c r="E818" s="334"/>
      <c r="F818" s="270"/>
      <c r="G818" s="334"/>
      <c r="H818" s="270"/>
      <c r="I818" s="334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</row>
    <row r="819" spans="1:26" ht="18" customHeight="1">
      <c r="A819" s="335"/>
      <c r="B819" s="270"/>
      <c r="C819" s="270"/>
      <c r="D819" s="438"/>
      <c r="E819" s="334"/>
      <c r="F819" s="270"/>
      <c r="G819" s="334"/>
      <c r="H819" s="270"/>
      <c r="I819" s="334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</row>
    <row r="820" spans="1:26" ht="18" customHeight="1">
      <c r="A820" s="335"/>
      <c r="B820" s="270"/>
      <c r="C820" s="270"/>
      <c r="D820" s="438"/>
      <c r="E820" s="334"/>
      <c r="F820" s="270"/>
      <c r="G820" s="334"/>
      <c r="H820" s="270"/>
      <c r="I820" s="334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</row>
    <row r="821" spans="1:26" ht="18" customHeight="1">
      <c r="A821" s="335"/>
      <c r="B821" s="270"/>
      <c r="C821" s="270"/>
      <c r="D821" s="438"/>
      <c r="E821" s="334"/>
      <c r="F821" s="270"/>
      <c r="G821" s="334"/>
      <c r="H821" s="270"/>
      <c r="I821" s="334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</row>
    <row r="822" spans="1:26" ht="18" customHeight="1">
      <c r="A822" s="335"/>
      <c r="B822" s="270"/>
      <c r="C822" s="270"/>
      <c r="D822" s="438"/>
      <c r="E822" s="334"/>
      <c r="F822" s="270"/>
      <c r="G822" s="334"/>
      <c r="H822" s="270"/>
      <c r="I822" s="334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</row>
    <row r="823" spans="1:26" ht="18" customHeight="1">
      <c r="A823" s="335"/>
      <c r="B823" s="270"/>
      <c r="C823" s="270"/>
      <c r="D823" s="438"/>
      <c r="E823" s="334"/>
      <c r="F823" s="270"/>
      <c r="G823" s="334"/>
      <c r="H823" s="270"/>
      <c r="I823" s="334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</row>
    <row r="824" spans="1:26" ht="18" customHeight="1">
      <c r="A824" s="335"/>
      <c r="B824" s="270"/>
      <c r="C824" s="270"/>
      <c r="D824" s="438"/>
      <c r="E824" s="334"/>
      <c r="F824" s="270"/>
      <c r="G824" s="334"/>
      <c r="H824" s="270"/>
      <c r="I824" s="334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</row>
    <row r="825" spans="1:26" ht="18" customHeight="1">
      <c r="A825" s="335"/>
      <c r="B825" s="270"/>
      <c r="C825" s="270"/>
      <c r="D825" s="438"/>
      <c r="E825" s="334"/>
      <c r="F825" s="270"/>
      <c r="G825" s="334"/>
      <c r="H825" s="270"/>
      <c r="I825" s="334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</row>
    <row r="826" spans="1:26" ht="18" customHeight="1">
      <c r="A826" s="335"/>
      <c r="B826" s="270"/>
      <c r="C826" s="270"/>
      <c r="D826" s="438"/>
      <c r="E826" s="334"/>
      <c r="F826" s="270"/>
      <c r="G826" s="334"/>
      <c r="H826" s="270"/>
      <c r="I826" s="334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</row>
    <row r="827" spans="1:26" ht="18" customHeight="1">
      <c r="A827" s="335"/>
      <c r="B827" s="270"/>
      <c r="C827" s="270"/>
      <c r="D827" s="438"/>
      <c r="E827" s="334"/>
      <c r="F827" s="270"/>
      <c r="G827" s="334"/>
      <c r="H827" s="270"/>
      <c r="I827" s="334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</row>
    <row r="828" spans="1:26" ht="18" customHeight="1">
      <c r="A828" s="335"/>
      <c r="B828" s="270"/>
      <c r="C828" s="270"/>
      <c r="D828" s="438"/>
      <c r="E828" s="334"/>
      <c r="F828" s="270"/>
      <c r="G828" s="334"/>
      <c r="H828" s="270"/>
      <c r="I828" s="334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</row>
    <row r="829" spans="1:26" ht="18" customHeight="1">
      <c r="A829" s="335"/>
      <c r="B829" s="270"/>
      <c r="C829" s="270"/>
      <c r="D829" s="438"/>
      <c r="E829" s="334"/>
      <c r="F829" s="270"/>
      <c r="G829" s="334"/>
      <c r="H829" s="270"/>
      <c r="I829" s="334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</row>
    <row r="830" spans="1:26" ht="18" customHeight="1">
      <c r="A830" s="335"/>
      <c r="B830" s="270"/>
      <c r="C830" s="270"/>
      <c r="D830" s="438"/>
      <c r="E830" s="334"/>
      <c r="F830" s="270"/>
      <c r="G830" s="334"/>
      <c r="H830" s="270"/>
      <c r="I830" s="334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</row>
    <row r="831" spans="1:26" ht="18" customHeight="1">
      <c r="A831" s="335"/>
      <c r="B831" s="270"/>
      <c r="C831" s="270"/>
      <c r="D831" s="438"/>
      <c r="E831" s="334"/>
      <c r="F831" s="270"/>
      <c r="G831" s="334"/>
      <c r="H831" s="270"/>
      <c r="I831" s="334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</row>
    <row r="832" spans="1:26" ht="18" customHeight="1">
      <c r="A832" s="335"/>
      <c r="B832" s="270"/>
      <c r="C832" s="270"/>
      <c r="D832" s="438"/>
      <c r="E832" s="334"/>
      <c r="F832" s="270"/>
      <c r="G832" s="334"/>
      <c r="H832" s="270"/>
      <c r="I832" s="334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</row>
    <row r="833" spans="1:26" ht="18" customHeight="1">
      <c r="A833" s="335"/>
      <c r="B833" s="270"/>
      <c r="C833" s="270"/>
      <c r="D833" s="438"/>
      <c r="E833" s="334"/>
      <c r="F833" s="270"/>
      <c r="G833" s="334"/>
      <c r="H833" s="270"/>
      <c r="I833" s="334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</row>
    <row r="834" spans="1:26" ht="18" customHeight="1">
      <c r="A834" s="335"/>
      <c r="B834" s="270"/>
      <c r="C834" s="270"/>
      <c r="D834" s="438"/>
      <c r="E834" s="334"/>
      <c r="F834" s="270"/>
      <c r="G834" s="334"/>
      <c r="H834" s="270"/>
      <c r="I834" s="334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</row>
    <row r="835" spans="1:26" ht="18" customHeight="1">
      <c r="A835" s="335"/>
      <c r="B835" s="270"/>
      <c r="C835" s="270"/>
      <c r="D835" s="438"/>
      <c r="E835" s="334"/>
      <c r="F835" s="270"/>
      <c r="G835" s="334"/>
      <c r="H835" s="270"/>
      <c r="I835" s="334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</row>
    <row r="836" spans="1:26" ht="18" customHeight="1">
      <c r="A836" s="335"/>
      <c r="B836" s="270"/>
      <c r="C836" s="270"/>
      <c r="D836" s="438"/>
      <c r="E836" s="334"/>
      <c r="F836" s="270"/>
      <c r="G836" s="334"/>
      <c r="H836" s="270"/>
      <c r="I836" s="334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</row>
    <row r="837" spans="1:26" ht="18" customHeight="1">
      <c r="A837" s="335"/>
      <c r="B837" s="270"/>
      <c r="C837" s="270"/>
      <c r="D837" s="438"/>
      <c r="E837" s="334"/>
      <c r="F837" s="270"/>
      <c r="G837" s="334"/>
      <c r="H837" s="270"/>
      <c r="I837" s="334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</row>
    <row r="838" spans="1:26" ht="18" customHeight="1">
      <c r="A838" s="335"/>
      <c r="B838" s="270"/>
      <c r="C838" s="270"/>
      <c r="D838" s="438"/>
      <c r="E838" s="334"/>
      <c r="F838" s="270"/>
      <c r="G838" s="334"/>
      <c r="H838" s="270"/>
      <c r="I838" s="334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</row>
    <row r="839" spans="1:26" ht="18" customHeight="1">
      <c r="A839" s="335"/>
      <c r="B839" s="270"/>
      <c r="C839" s="270"/>
      <c r="D839" s="438"/>
      <c r="E839" s="334"/>
      <c r="F839" s="270"/>
      <c r="G839" s="334"/>
      <c r="H839" s="270"/>
      <c r="I839" s="334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</row>
    <row r="840" spans="1:26" ht="18" customHeight="1">
      <c r="A840" s="335"/>
      <c r="B840" s="270"/>
      <c r="C840" s="270"/>
      <c r="D840" s="438"/>
      <c r="E840" s="334"/>
      <c r="F840" s="270"/>
      <c r="G840" s="334"/>
      <c r="H840" s="270"/>
      <c r="I840" s="334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</row>
    <row r="841" spans="1:26" ht="18" customHeight="1">
      <c r="A841" s="335"/>
      <c r="B841" s="270"/>
      <c r="C841" s="270"/>
      <c r="D841" s="438"/>
      <c r="E841" s="334"/>
      <c r="F841" s="270"/>
      <c r="G841" s="334"/>
      <c r="H841" s="270"/>
      <c r="I841" s="334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</row>
    <row r="842" spans="1:26" ht="18" customHeight="1">
      <c r="A842" s="335"/>
      <c r="B842" s="270"/>
      <c r="C842" s="270"/>
      <c r="D842" s="438"/>
      <c r="E842" s="334"/>
      <c r="F842" s="270"/>
      <c r="G842" s="334"/>
      <c r="H842" s="270"/>
      <c r="I842" s="334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</row>
    <row r="843" spans="1:26" ht="18" customHeight="1">
      <c r="A843" s="335"/>
      <c r="B843" s="270"/>
      <c r="C843" s="270"/>
      <c r="D843" s="438"/>
      <c r="E843" s="334"/>
      <c r="F843" s="270"/>
      <c r="G843" s="334"/>
      <c r="H843" s="270"/>
      <c r="I843" s="334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</row>
    <row r="844" spans="1:26" ht="18" customHeight="1">
      <c r="A844" s="335"/>
      <c r="B844" s="270"/>
      <c r="C844" s="270"/>
      <c r="D844" s="438"/>
      <c r="E844" s="334"/>
      <c r="F844" s="270"/>
      <c r="G844" s="334"/>
      <c r="H844" s="270"/>
      <c r="I844" s="334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</row>
    <row r="845" spans="1:26" ht="18" customHeight="1">
      <c r="A845" s="335"/>
      <c r="B845" s="270"/>
      <c r="C845" s="270"/>
      <c r="D845" s="438"/>
      <c r="E845" s="334"/>
      <c r="F845" s="270"/>
      <c r="G845" s="334"/>
      <c r="H845" s="270"/>
      <c r="I845" s="334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</row>
    <row r="846" spans="1:26" ht="18" customHeight="1">
      <c r="A846" s="335"/>
      <c r="B846" s="270"/>
      <c r="C846" s="270"/>
      <c r="D846" s="438"/>
      <c r="E846" s="334"/>
      <c r="F846" s="270"/>
      <c r="G846" s="334"/>
      <c r="H846" s="270"/>
      <c r="I846" s="334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</row>
    <row r="847" spans="1:26" ht="18" customHeight="1">
      <c r="A847" s="335"/>
      <c r="B847" s="270"/>
      <c r="C847" s="270"/>
      <c r="D847" s="438"/>
      <c r="E847" s="334"/>
      <c r="F847" s="270"/>
      <c r="G847" s="334"/>
      <c r="H847" s="270"/>
      <c r="I847" s="334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</row>
    <row r="848" spans="1:26" ht="18" customHeight="1">
      <c r="A848" s="335"/>
      <c r="B848" s="270"/>
      <c r="C848" s="270"/>
      <c r="D848" s="438"/>
      <c r="E848" s="334"/>
      <c r="F848" s="270"/>
      <c r="G848" s="334"/>
      <c r="H848" s="270"/>
      <c r="I848" s="334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</row>
    <row r="849" spans="1:26" ht="18" customHeight="1">
      <c r="A849" s="335"/>
      <c r="B849" s="270"/>
      <c r="C849" s="270"/>
      <c r="D849" s="438"/>
      <c r="E849" s="334"/>
      <c r="F849" s="270"/>
      <c r="G849" s="334"/>
      <c r="H849" s="270"/>
      <c r="I849" s="334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</row>
    <row r="850" spans="1:26" ht="18" customHeight="1">
      <c r="A850" s="335"/>
      <c r="B850" s="270"/>
      <c r="C850" s="270"/>
      <c r="D850" s="438"/>
      <c r="E850" s="334"/>
      <c r="F850" s="270"/>
      <c r="G850" s="334"/>
      <c r="H850" s="270"/>
      <c r="I850" s="334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</row>
    <row r="851" spans="1:26" ht="18" customHeight="1">
      <c r="A851" s="335"/>
      <c r="B851" s="270"/>
      <c r="C851" s="270"/>
      <c r="D851" s="438"/>
      <c r="E851" s="334"/>
      <c r="F851" s="270"/>
      <c r="G851" s="334"/>
      <c r="H851" s="270"/>
      <c r="I851" s="334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</row>
    <row r="852" spans="1:26" ht="18" customHeight="1">
      <c r="A852" s="335"/>
      <c r="B852" s="270"/>
      <c r="C852" s="270"/>
      <c r="D852" s="438"/>
      <c r="E852" s="334"/>
      <c r="F852" s="270"/>
      <c r="G852" s="334"/>
      <c r="H852" s="270"/>
      <c r="I852" s="334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</row>
    <row r="853" spans="1:26" ht="18" customHeight="1">
      <c r="A853" s="335"/>
      <c r="B853" s="270"/>
      <c r="C853" s="270"/>
      <c r="D853" s="438"/>
      <c r="E853" s="334"/>
      <c r="F853" s="270"/>
      <c r="G853" s="334"/>
      <c r="H853" s="270"/>
      <c r="I853" s="334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</row>
    <row r="854" spans="1:26" ht="18" customHeight="1">
      <c r="A854" s="335"/>
      <c r="B854" s="270"/>
      <c r="C854" s="270"/>
      <c r="D854" s="438"/>
      <c r="E854" s="334"/>
      <c r="F854" s="270"/>
      <c r="G854" s="334"/>
      <c r="H854" s="270"/>
      <c r="I854" s="334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</row>
    <row r="855" spans="1:26" ht="18" customHeight="1">
      <c r="A855" s="335"/>
      <c r="B855" s="270"/>
      <c r="C855" s="270"/>
      <c r="D855" s="438"/>
      <c r="E855" s="334"/>
      <c r="F855" s="270"/>
      <c r="G855" s="334"/>
      <c r="H855" s="270"/>
      <c r="I855" s="334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</row>
    <row r="856" spans="1:26" ht="18" customHeight="1">
      <c r="A856" s="335"/>
      <c r="B856" s="270"/>
      <c r="C856" s="270"/>
      <c r="D856" s="438"/>
      <c r="E856" s="334"/>
      <c r="F856" s="270"/>
      <c r="G856" s="334"/>
      <c r="H856" s="270"/>
      <c r="I856" s="334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</row>
    <row r="857" spans="1:26" ht="18" customHeight="1">
      <c r="A857" s="335"/>
      <c r="B857" s="270"/>
      <c r="C857" s="270"/>
      <c r="D857" s="438"/>
      <c r="E857" s="334"/>
      <c r="F857" s="270"/>
      <c r="G857" s="334"/>
      <c r="H857" s="270"/>
      <c r="I857" s="334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</row>
    <row r="858" spans="1:26" ht="18" customHeight="1">
      <c r="A858" s="335"/>
      <c r="B858" s="270"/>
      <c r="C858" s="270"/>
      <c r="D858" s="438"/>
      <c r="E858" s="334"/>
      <c r="F858" s="270"/>
      <c r="G858" s="334"/>
      <c r="H858" s="270"/>
      <c r="I858" s="334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</row>
    <row r="859" spans="1:26" ht="18" customHeight="1">
      <c r="A859" s="335"/>
      <c r="B859" s="270"/>
      <c r="C859" s="270"/>
      <c r="D859" s="438"/>
      <c r="E859" s="334"/>
      <c r="F859" s="270"/>
      <c r="G859" s="334"/>
      <c r="H859" s="270"/>
      <c r="I859" s="334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</row>
    <row r="860" spans="1:26" ht="18" customHeight="1">
      <c r="A860" s="335"/>
      <c r="B860" s="270"/>
      <c r="C860" s="270"/>
      <c r="D860" s="438"/>
      <c r="E860" s="334"/>
      <c r="F860" s="270"/>
      <c r="G860" s="334"/>
      <c r="H860" s="270"/>
      <c r="I860" s="334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</row>
    <row r="861" spans="1:26" ht="18" customHeight="1">
      <c r="A861" s="335"/>
      <c r="B861" s="270"/>
      <c r="C861" s="270"/>
      <c r="D861" s="438"/>
      <c r="E861" s="334"/>
      <c r="F861" s="270"/>
      <c r="G861" s="334"/>
      <c r="H861" s="270"/>
      <c r="I861" s="334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</row>
    <row r="862" spans="1:26" ht="18" customHeight="1">
      <c r="A862" s="335"/>
      <c r="B862" s="270"/>
      <c r="C862" s="270"/>
      <c r="D862" s="438"/>
      <c r="E862" s="334"/>
      <c r="F862" s="270"/>
      <c r="G862" s="334"/>
      <c r="H862" s="270"/>
      <c r="I862" s="334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</row>
    <row r="863" spans="1:26" ht="18" customHeight="1">
      <c r="A863" s="335"/>
      <c r="B863" s="270"/>
      <c r="C863" s="270"/>
      <c r="D863" s="438"/>
      <c r="E863" s="334"/>
      <c r="F863" s="270"/>
      <c r="G863" s="334"/>
      <c r="H863" s="270"/>
      <c r="I863" s="334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</row>
    <row r="864" spans="1:26" ht="18" customHeight="1">
      <c r="A864" s="335"/>
      <c r="B864" s="270"/>
      <c r="C864" s="270"/>
      <c r="D864" s="438"/>
      <c r="E864" s="334"/>
      <c r="F864" s="270"/>
      <c r="G864" s="334"/>
      <c r="H864" s="270"/>
      <c r="I864" s="334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</row>
    <row r="865" spans="1:26" ht="18" customHeight="1">
      <c r="A865" s="335"/>
      <c r="B865" s="270"/>
      <c r="C865" s="270"/>
      <c r="D865" s="438"/>
      <c r="E865" s="334"/>
      <c r="F865" s="270"/>
      <c r="G865" s="334"/>
      <c r="H865" s="270"/>
      <c r="I865" s="334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</row>
    <row r="866" spans="1:26" ht="18" customHeight="1">
      <c r="A866" s="335"/>
      <c r="B866" s="270"/>
      <c r="C866" s="270"/>
      <c r="D866" s="438"/>
      <c r="E866" s="334"/>
      <c r="F866" s="270"/>
      <c r="G866" s="334"/>
      <c r="H866" s="270"/>
      <c r="I866" s="334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</row>
    <row r="867" spans="1:26" ht="18" customHeight="1">
      <c r="A867" s="335"/>
      <c r="B867" s="270"/>
      <c r="C867" s="270"/>
      <c r="D867" s="438"/>
      <c r="E867" s="334"/>
      <c r="F867" s="270"/>
      <c r="G867" s="334"/>
      <c r="H867" s="270"/>
      <c r="I867" s="334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</row>
    <row r="868" spans="1:26" ht="18" customHeight="1">
      <c r="A868" s="335"/>
      <c r="B868" s="270"/>
      <c r="C868" s="270"/>
      <c r="D868" s="438"/>
      <c r="E868" s="334"/>
      <c r="F868" s="270"/>
      <c r="G868" s="334"/>
      <c r="H868" s="270"/>
      <c r="I868" s="334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</row>
    <row r="869" spans="1:26" ht="18" customHeight="1">
      <c r="A869" s="335"/>
      <c r="B869" s="270"/>
      <c r="C869" s="270"/>
      <c r="D869" s="438"/>
      <c r="E869" s="334"/>
      <c r="F869" s="270"/>
      <c r="G869" s="334"/>
      <c r="H869" s="270"/>
      <c r="I869" s="334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</row>
    <row r="870" spans="1:26" ht="18" customHeight="1">
      <c r="A870" s="335"/>
      <c r="B870" s="270"/>
      <c r="C870" s="270"/>
      <c r="D870" s="438"/>
      <c r="E870" s="334"/>
      <c r="F870" s="270"/>
      <c r="G870" s="334"/>
      <c r="H870" s="270"/>
      <c r="I870" s="334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</row>
    <row r="871" spans="1:26" ht="18" customHeight="1">
      <c r="A871" s="335"/>
      <c r="B871" s="270"/>
      <c r="C871" s="270"/>
      <c r="D871" s="438"/>
      <c r="E871" s="334"/>
      <c r="F871" s="270"/>
      <c r="G871" s="334"/>
      <c r="H871" s="270"/>
      <c r="I871" s="334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</row>
    <row r="872" spans="1:26" ht="18" customHeight="1">
      <c r="A872" s="335"/>
      <c r="B872" s="270"/>
      <c r="C872" s="270"/>
      <c r="D872" s="438"/>
      <c r="E872" s="334"/>
      <c r="F872" s="270"/>
      <c r="G872" s="334"/>
      <c r="H872" s="270"/>
      <c r="I872" s="334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</row>
    <row r="873" spans="1:26" ht="18" customHeight="1">
      <c r="A873" s="335"/>
      <c r="B873" s="270"/>
      <c r="C873" s="270"/>
      <c r="D873" s="438"/>
      <c r="E873" s="334"/>
      <c r="F873" s="270"/>
      <c r="G873" s="334"/>
      <c r="H873" s="270"/>
      <c r="I873" s="334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</row>
    <row r="874" spans="1:26" ht="18" customHeight="1">
      <c r="A874" s="335"/>
      <c r="B874" s="270"/>
      <c r="C874" s="270"/>
      <c r="D874" s="438"/>
      <c r="E874" s="334"/>
      <c r="F874" s="270"/>
      <c r="G874" s="334"/>
      <c r="H874" s="270"/>
      <c r="I874" s="334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</row>
    <row r="875" spans="1:26" ht="18" customHeight="1">
      <c r="A875" s="335"/>
      <c r="B875" s="270"/>
      <c r="C875" s="270"/>
      <c r="D875" s="438"/>
      <c r="E875" s="334"/>
      <c r="F875" s="270"/>
      <c r="G875" s="334"/>
      <c r="H875" s="270"/>
      <c r="I875" s="334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</row>
    <row r="876" spans="1:26" ht="18" customHeight="1">
      <c r="A876" s="335"/>
      <c r="B876" s="270"/>
      <c r="C876" s="270"/>
      <c r="D876" s="438"/>
      <c r="E876" s="334"/>
      <c r="F876" s="270"/>
      <c r="G876" s="334"/>
      <c r="H876" s="270"/>
      <c r="I876" s="334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</row>
    <row r="877" spans="1:26" ht="18" customHeight="1">
      <c r="A877" s="335"/>
      <c r="B877" s="270"/>
      <c r="C877" s="270"/>
      <c r="D877" s="438"/>
      <c r="E877" s="334"/>
      <c r="F877" s="270"/>
      <c r="G877" s="334"/>
      <c r="H877" s="270"/>
      <c r="I877" s="334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</row>
    <row r="878" spans="1:26" ht="18" customHeight="1">
      <c r="A878" s="335"/>
      <c r="B878" s="270"/>
      <c r="C878" s="270"/>
      <c r="D878" s="438"/>
      <c r="E878" s="334"/>
      <c r="F878" s="270"/>
      <c r="G878" s="334"/>
      <c r="H878" s="270"/>
      <c r="I878" s="334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</row>
    <row r="879" spans="1:26" ht="18" customHeight="1">
      <c r="A879" s="335"/>
      <c r="B879" s="270"/>
      <c r="C879" s="270"/>
      <c r="D879" s="438"/>
      <c r="E879" s="334"/>
      <c r="F879" s="270"/>
      <c r="G879" s="334"/>
      <c r="H879" s="270"/>
      <c r="I879" s="334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</row>
    <row r="880" spans="1:26" ht="18" customHeight="1">
      <c r="A880" s="335"/>
      <c r="B880" s="270"/>
      <c r="C880" s="270"/>
      <c r="D880" s="438"/>
      <c r="E880" s="334"/>
      <c r="F880" s="270"/>
      <c r="G880" s="334"/>
      <c r="H880" s="270"/>
      <c r="I880" s="334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</row>
    <row r="881" spans="1:26" ht="18" customHeight="1">
      <c r="A881" s="335"/>
      <c r="B881" s="270"/>
      <c r="C881" s="270"/>
      <c r="D881" s="438"/>
      <c r="E881" s="334"/>
      <c r="F881" s="270"/>
      <c r="G881" s="334"/>
      <c r="H881" s="270"/>
      <c r="I881" s="334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</row>
    <row r="882" spans="1:26" ht="18" customHeight="1">
      <c r="A882" s="335"/>
      <c r="B882" s="270"/>
      <c r="C882" s="270"/>
      <c r="D882" s="438"/>
      <c r="E882" s="334"/>
      <c r="F882" s="270"/>
      <c r="G882" s="334"/>
      <c r="H882" s="270"/>
      <c r="I882" s="334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</row>
    <row r="883" spans="1:26" ht="18" customHeight="1">
      <c r="A883" s="335"/>
      <c r="B883" s="270"/>
      <c r="C883" s="270"/>
      <c r="D883" s="438"/>
      <c r="E883" s="334"/>
      <c r="F883" s="270"/>
      <c r="G883" s="334"/>
      <c r="H883" s="270"/>
      <c r="I883" s="334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</row>
    <row r="884" spans="1:26" ht="18" customHeight="1">
      <c r="A884" s="335"/>
      <c r="B884" s="270"/>
      <c r="C884" s="270"/>
      <c r="D884" s="438"/>
      <c r="E884" s="334"/>
      <c r="F884" s="270"/>
      <c r="G884" s="334"/>
      <c r="H884" s="270"/>
      <c r="I884" s="334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</row>
    <row r="885" spans="1:26" ht="18" customHeight="1">
      <c r="A885" s="335"/>
      <c r="B885" s="270"/>
      <c r="C885" s="270"/>
      <c r="D885" s="438"/>
      <c r="E885" s="334"/>
      <c r="F885" s="270"/>
      <c r="G885" s="334"/>
      <c r="H885" s="270"/>
      <c r="I885" s="334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</row>
    <row r="886" spans="1:26" ht="18" customHeight="1">
      <c r="A886" s="335"/>
      <c r="B886" s="270"/>
      <c r="C886" s="270"/>
      <c r="D886" s="438"/>
      <c r="E886" s="334"/>
      <c r="F886" s="270"/>
      <c r="G886" s="334"/>
      <c r="H886" s="270"/>
      <c r="I886" s="334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</row>
    <row r="887" spans="1:26" ht="18" customHeight="1">
      <c r="A887" s="335"/>
      <c r="B887" s="270"/>
      <c r="C887" s="270"/>
      <c r="D887" s="438"/>
      <c r="E887" s="334"/>
      <c r="F887" s="270"/>
      <c r="G887" s="334"/>
      <c r="H887" s="270"/>
      <c r="I887" s="334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</row>
    <row r="888" spans="1:26" ht="18" customHeight="1">
      <c r="A888" s="335"/>
      <c r="B888" s="270"/>
      <c r="C888" s="270"/>
      <c r="D888" s="438"/>
      <c r="E888" s="334"/>
      <c r="F888" s="270"/>
      <c r="G888" s="334"/>
      <c r="H888" s="270"/>
      <c r="I888" s="334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</row>
    <row r="889" spans="1:26" ht="18" customHeight="1">
      <c r="A889" s="335"/>
      <c r="B889" s="270"/>
      <c r="C889" s="270"/>
      <c r="D889" s="438"/>
      <c r="E889" s="334"/>
      <c r="F889" s="270"/>
      <c r="G889" s="334"/>
      <c r="H889" s="270"/>
      <c r="I889" s="334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</row>
    <row r="890" spans="1:26" ht="18" customHeight="1">
      <c r="A890" s="335"/>
      <c r="B890" s="270"/>
      <c r="C890" s="270"/>
      <c r="D890" s="438"/>
      <c r="E890" s="334"/>
      <c r="F890" s="270"/>
      <c r="G890" s="334"/>
      <c r="H890" s="270"/>
      <c r="I890" s="334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</row>
    <row r="891" spans="1:26" ht="18" customHeight="1">
      <c r="A891" s="335"/>
      <c r="B891" s="270"/>
      <c r="C891" s="270"/>
      <c r="D891" s="438"/>
      <c r="E891" s="334"/>
      <c r="F891" s="270"/>
      <c r="G891" s="334"/>
      <c r="H891" s="270"/>
      <c r="I891" s="334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</row>
    <row r="892" spans="1:26" ht="18" customHeight="1">
      <c r="A892" s="335"/>
      <c r="B892" s="270"/>
      <c r="C892" s="270"/>
      <c r="D892" s="438"/>
      <c r="E892" s="334"/>
      <c r="F892" s="270"/>
      <c r="G892" s="334"/>
      <c r="H892" s="270"/>
      <c r="I892" s="334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</row>
    <row r="893" spans="1:26" ht="18" customHeight="1">
      <c r="A893" s="335"/>
      <c r="B893" s="270"/>
      <c r="C893" s="270"/>
      <c r="D893" s="438"/>
      <c r="E893" s="334"/>
      <c r="F893" s="270"/>
      <c r="G893" s="334"/>
      <c r="H893" s="270"/>
      <c r="I893" s="334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</row>
    <row r="894" spans="1:26" ht="18" customHeight="1">
      <c r="A894" s="335"/>
      <c r="B894" s="270"/>
      <c r="C894" s="270"/>
      <c r="D894" s="438"/>
      <c r="E894" s="334"/>
      <c r="F894" s="270"/>
      <c r="G894" s="334"/>
      <c r="H894" s="270"/>
      <c r="I894" s="334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</row>
    <row r="895" spans="1:26" ht="18" customHeight="1">
      <c r="A895" s="335"/>
      <c r="B895" s="270"/>
      <c r="C895" s="270"/>
      <c r="D895" s="438"/>
      <c r="E895" s="334"/>
      <c r="F895" s="270"/>
      <c r="G895" s="334"/>
      <c r="H895" s="270"/>
      <c r="I895" s="334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</row>
    <row r="896" spans="1:26" ht="18" customHeight="1">
      <c r="A896" s="335"/>
      <c r="B896" s="270"/>
      <c r="C896" s="270"/>
      <c r="D896" s="438"/>
      <c r="E896" s="334"/>
      <c r="F896" s="270"/>
      <c r="G896" s="334"/>
      <c r="H896" s="270"/>
      <c r="I896" s="334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</row>
    <row r="897" spans="1:26" ht="18" customHeight="1">
      <c r="A897" s="335"/>
      <c r="B897" s="270"/>
      <c r="C897" s="270"/>
      <c r="D897" s="438"/>
      <c r="E897" s="334"/>
      <c r="F897" s="270"/>
      <c r="G897" s="334"/>
      <c r="H897" s="270"/>
      <c r="I897" s="334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</row>
    <row r="898" spans="1:26" ht="18" customHeight="1">
      <c r="A898" s="335"/>
      <c r="B898" s="270"/>
      <c r="C898" s="270"/>
      <c r="D898" s="438"/>
      <c r="E898" s="334"/>
      <c r="F898" s="270"/>
      <c r="G898" s="334"/>
      <c r="H898" s="270"/>
      <c r="I898" s="334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</row>
    <row r="899" spans="1:26" ht="18" customHeight="1">
      <c r="A899" s="335"/>
      <c r="B899" s="270"/>
      <c r="C899" s="270"/>
      <c r="D899" s="438"/>
      <c r="E899" s="334"/>
      <c r="F899" s="270"/>
      <c r="G899" s="334"/>
      <c r="H899" s="270"/>
      <c r="I899" s="334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</row>
    <row r="900" spans="1:26" ht="18" customHeight="1">
      <c r="A900" s="335"/>
      <c r="B900" s="270"/>
      <c r="C900" s="270"/>
      <c r="D900" s="438"/>
      <c r="E900" s="334"/>
      <c r="F900" s="270"/>
      <c r="G900" s="334"/>
      <c r="H900" s="270"/>
      <c r="I900" s="334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</row>
    <row r="901" spans="1:26" ht="18" customHeight="1">
      <c r="A901" s="335"/>
      <c r="B901" s="270"/>
      <c r="C901" s="270"/>
      <c r="D901" s="438"/>
      <c r="E901" s="334"/>
      <c r="F901" s="270"/>
      <c r="G901" s="334"/>
      <c r="H901" s="270"/>
      <c r="I901" s="334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</row>
    <row r="902" spans="1:26" ht="18" customHeight="1">
      <c r="A902" s="335"/>
      <c r="B902" s="270"/>
      <c r="C902" s="270"/>
      <c r="D902" s="438"/>
      <c r="E902" s="334"/>
      <c r="F902" s="270"/>
      <c r="G902" s="334"/>
      <c r="H902" s="270"/>
      <c r="I902" s="334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</row>
    <row r="903" spans="1:26" ht="18" customHeight="1">
      <c r="A903" s="335"/>
      <c r="B903" s="270"/>
      <c r="C903" s="270"/>
      <c r="D903" s="438"/>
      <c r="E903" s="334"/>
      <c r="F903" s="270"/>
      <c r="G903" s="334"/>
      <c r="H903" s="270"/>
      <c r="I903" s="334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</row>
    <row r="904" spans="1:26" ht="18" customHeight="1">
      <c r="A904" s="335"/>
      <c r="B904" s="270"/>
      <c r="C904" s="270"/>
      <c r="D904" s="438"/>
      <c r="E904" s="334"/>
      <c r="F904" s="270"/>
      <c r="G904" s="334"/>
      <c r="H904" s="270"/>
      <c r="I904" s="334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</row>
    <row r="905" spans="1:26" ht="18" customHeight="1">
      <c r="A905" s="335"/>
      <c r="B905" s="270"/>
      <c r="C905" s="270"/>
      <c r="D905" s="438"/>
      <c r="E905" s="334"/>
      <c r="F905" s="270"/>
      <c r="G905" s="334"/>
      <c r="H905" s="270"/>
      <c r="I905" s="334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</row>
    <row r="906" spans="1:26" ht="18" customHeight="1">
      <c r="A906" s="335"/>
      <c r="B906" s="270"/>
      <c r="C906" s="270"/>
      <c r="D906" s="438"/>
      <c r="E906" s="334"/>
      <c r="F906" s="270"/>
      <c r="G906" s="334"/>
      <c r="H906" s="270"/>
      <c r="I906" s="334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</row>
    <row r="907" spans="1:26" ht="18" customHeight="1">
      <c r="A907" s="335"/>
      <c r="B907" s="270"/>
      <c r="C907" s="270"/>
      <c r="D907" s="438"/>
      <c r="E907" s="334"/>
      <c r="F907" s="270"/>
      <c r="G907" s="334"/>
      <c r="H907" s="270"/>
      <c r="I907" s="334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</row>
    <row r="908" spans="1:26" ht="18" customHeight="1">
      <c r="A908" s="335"/>
      <c r="B908" s="270"/>
      <c r="C908" s="270"/>
      <c r="D908" s="438"/>
      <c r="E908" s="334"/>
      <c r="F908" s="270"/>
      <c r="G908" s="334"/>
      <c r="H908" s="270"/>
      <c r="I908" s="334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</row>
    <row r="909" spans="1:26" ht="18" customHeight="1">
      <c r="A909" s="335"/>
      <c r="B909" s="270"/>
      <c r="C909" s="270"/>
      <c r="D909" s="438"/>
      <c r="E909" s="334"/>
      <c r="F909" s="270"/>
      <c r="G909" s="334"/>
      <c r="H909" s="270"/>
      <c r="I909" s="334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</row>
    <row r="910" spans="1:26" ht="18" customHeight="1">
      <c r="A910" s="335"/>
      <c r="B910" s="270"/>
      <c r="C910" s="270"/>
      <c r="D910" s="438"/>
      <c r="E910" s="334"/>
      <c r="F910" s="270"/>
      <c r="G910" s="334"/>
      <c r="H910" s="270"/>
      <c r="I910" s="334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</row>
    <row r="911" spans="1:26" ht="18" customHeight="1">
      <c r="A911" s="335"/>
      <c r="B911" s="270"/>
      <c r="C911" s="270"/>
      <c r="D911" s="438"/>
      <c r="E911" s="334"/>
      <c r="F911" s="270"/>
      <c r="G911" s="334"/>
      <c r="H911" s="270"/>
      <c r="I911" s="334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</row>
    <row r="912" spans="1:26" ht="18" customHeight="1">
      <c r="A912" s="335"/>
      <c r="B912" s="270"/>
      <c r="C912" s="270"/>
      <c r="D912" s="438"/>
      <c r="E912" s="334"/>
      <c r="F912" s="270"/>
      <c r="G912" s="334"/>
      <c r="H912" s="270"/>
      <c r="I912" s="334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</row>
    <row r="913" spans="1:26" ht="18" customHeight="1">
      <c r="A913" s="335"/>
      <c r="B913" s="270"/>
      <c r="C913" s="270"/>
      <c r="D913" s="438"/>
      <c r="E913" s="334"/>
      <c r="F913" s="270"/>
      <c r="G913" s="334"/>
      <c r="H913" s="270"/>
      <c r="I913" s="334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</row>
    <row r="914" spans="1:26" ht="18" customHeight="1">
      <c r="A914" s="335"/>
      <c r="B914" s="270"/>
      <c r="C914" s="270"/>
      <c r="D914" s="438"/>
      <c r="E914" s="334"/>
      <c r="F914" s="270"/>
      <c r="G914" s="334"/>
      <c r="H914" s="270"/>
      <c r="I914" s="334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</row>
    <row r="915" spans="1:26" ht="18" customHeight="1">
      <c r="A915" s="335"/>
      <c r="B915" s="270"/>
      <c r="C915" s="270"/>
      <c r="D915" s="438"/>
      <c r="E915" s="334"/>
      <c r="F915" s="270"/>
      <c r="G915" s="334"/>
      <c r="H915" s="270"/>
      <c r="I915" s="334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</row>
    <row r="916" spans="1:26" ht="18" customHeight="1">
      <c r="A916" s="335"/>
      <c r="B916" s="270"/>
      <c r="C916" s="270"/>
      <c r="D916" s="438"/>
      <c r="E916" s="334"/>
      <c r="F916" s="270"/>
      <c r="G916" s="334"/>
      <c r="H916" s="270"/>
      <c r="I916" s="334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</row>
    <row r="917" spans="1:26" ht="18" customHeight="1">
      <c r="A917" s="335"/>
      <c r="B917" s="270"/>
      <c r="C917" s="270"/>
      <c r="D917" s="438"/>
      <c r="E917" s="334"/>
      <c r="F917" s="270"/>
      <c r="G917" s="334"/>
      <c r="H917" s="270"/>
      <c r="I917" s="334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</row>
    <row r="918" spans="1:26" ht="18" customHeight="1">
      <c r="A918" s="335"/>
      <c r="B918" s="270"/>
      <c r="C918" s="270"/>
      <c r="D918" s="438"/>
      <c r="E918" s="334"/>
      <c r="F918" s="270"/>
      <c r="G918" s="334"/>
      <c r="H918" s="270"/>
      <c r="I918" s="334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</row>
    <row r="919" spans="1:26" ht="18" customHeight="1">
      <c r="A919" s="335"/>
      <c r="B919" s="270"/>
      <c r="C919" s="270"/>
      <c r="D919" s="438"/>
      <c r="E919" s="334"/>
      <c r="F919" s="270"/>
      <c r="G919" s="334"/>
      <c r="H919" s="270"/>
      <c r="I919" s="334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</row>
    <row r="920" spans="1:26" ht="18" customHeight="1">
      <c r="A920" s="335"/>
      <c r="B920" s="270"/>
      <c r="C920" s="270"/>
      <c r="D920" s="438"/>
      <c r="E920" s="334"/>
      <c r="F920" s="270"/>
      <c r="G920" s="334"/>
      <c r="H920" s="270"/>
      <c r="I920" s="334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</row>
    <row r="921" spans="1:26" ht="18" customHeight="1">
      <c r="A921" s="335"/>
      <c r="B921" s="270"/>
      <c r="C921" s="270"/>
      <c r="D921" s="438"/>
      <c r="E921" s="334"/>
      <c r="F921" s="270"/>
      <c r="G921" s="334"/>
      <c r="H921" s="270"/>
      <c r="I921" s="334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</row>
    <row r="922" spans="1:26" ht="18" customHeight="1">
      <c r="A922" s="335"/>
      <c r="B922" s="270"/>
      <c r="C922" s="270"/>
      <c r="D922" s="438"/>
      <c r="E922" s="334"/>
      <c r="F922" s="270"/>
      <c r="G922" s="334"/>
      <c r="H922" s="270"/>
      <c r="I922" s="334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</row>
    <row r="923" spans="1:26" ht="18" customHeight="1">
      <c r="A923" s="335"/>
      <c r="B923" s="270"/>
      <c r="C923" s="270"/>
      <c r="D923" s="438"/>
      <c r="E923" s="334"/>
      <c r="F923" s="270"/>
      <c r="G923" s="334"/>
      <c r="H923" s="270"/>
      <c r="I923" s="334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</row>
    <row r="924" spans="1:26" ht="18" customHeight="1">
      <c r="A924" s="335"/>
      <c r="B924" s="270"/>
      <c r="C924" s="270"/>
      <c r="D924" s="438"/>
      <c r="E924" s="334"/>
      <c r="F924" s="270"/>
      <c r="G924" s="334"/>
      <c r="H924" s="270"/>
      <c r="I924" s="334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</row>
    <row r="925" spans="1:26" ht="18" customHeight="1">
      <c r="A925" s="335"/>
      <c r="B925" s="270"/>
      <c r="C925" s="270"/>
      <c r="D925" s="438"/>
      <c r="E925" s="334"/>
      <c r="F925" s="270"/>
      <c r="G925" s="334"/>
      <c r="H925" s="270"/>
      <c r="I925" s="334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</row>
    <row r="926" spans="1:26" ht="18" customHeight="1">
      <c r="A926" s="335"/>
      <c r="B926" s="270"/>
      <c r="C926" s="270"/>
      <c r="D926" s="438"/>
      <c r="E926" s="334"/>
      <c r="F926" s="270"/>
      <c r="G926" s="334"/>
      <c r="H926" s="270"/>
      <c r="I926" s="334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</row>
    <row r="927" spans="1:26" ht="18" customHeight="1">
      <c r="A927" s="335"/>
      <c r="B927" s="270"/>
      <c r="C927" s="270"/>
      <c r="D927" s="438"/>
      <c r="E927" s="334"/>
      <c r="F927" s="270"/>
      <c r="G927" s="334"/>
      <c r="H927" s="270"/>
      <c r="I927" s="334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</row>
    <row r="928" spans="1:26" ht="18" customHeight="1">
      <c r="A928" s="335"/>
      <c r="B928" s="270"/>
      <c r="C928" s="270"/>
      <c r="D928" s="438"/>
      <c r="E928" s="334"/>
      <c r="F928" s="270"/>
      <c r="G928" s="334"/>
      <c r="H928" s="270"/>
      <c r="I928" s="334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</row>
    <row r="929" spans="1:26" ht="18" customHeight="1">
      <c r="A929" s="335"/>
      <c r="B929" s="270"/>
      <c r="C929" s="270"/>
      <c r="D929" s="438"/>
      <c r="E929" s="334"/>
      <c r="F929" s="270"/>
      <c r="G929" s="334"/>
      <c r="H929" s="270"/>
      <c r="I929" s="334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</row>
    <row r="930" spans="1:26" ht="18" customHeight="1">
      <c r="A930" s="335"/>
      <c r="B930" s="270"/>
      <c r="C930" s="270"/>
      <c r="D930" s="438"/>
      <c r="E930" s="334"/>
      <c r="F930" s="270"/>
      <c r="G930" s="334"/>
      <c r="H930" s="270"/>
      <c r="I930" s="334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</row>
    <row r="931" spans="1:26" ht="18" customHeight="1">
      <c r="A931" s="335"/>
      <c r="B931" s="270"/>
      <c r="C931" s="270"/>
      <c r="D931" s="438"/>
      <c r="E931" s="334"/>
      <c r="F931" s="270"/>
      <c r="G931" s="334"/>
      <c r="H931" s="270"/>
      <c r="I931" s="334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</row>
    <row r="932" spans="1:26" ht="18" customHeight="1">
      <c r="A932" s="335"/>
      <c r="B932" s="270"/>
      <c r="C932" s="270"/>
      <c r="D932" s="438"/>
      <c r="E932" s="334"/>
      <c r="F932" s="270"/>
      <c r="G932" s="334"/>
      <c r="H932" s="270"/>
      <c r="I932" s="334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</row>
    <row r="933" spans="1:26" ht="18" customHeight="1">
      <c r="A933" s="335"/>
      <c r="B933" s="270"/>
      <c r="C933" s="270"/>
      <c r="D933" s="438"/>
      <c r="E933" s="334"/>
      <c r="F933" s="270"/>
      <c r="G933" s="334"/>
      <c r="H933" s="270"/>
      <c r="I933" s="334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</row>
    <row r="934" spans="1:26" ht="18" customHeight="1">
      <c r="A934" s="335"/>
      <c r="B934" s="270"/>
      <c r="C934" s="270"/>
      <c r="D934" s="438"/>
      <c r="E934" s="334"/>
      <c r="F934" s="270"/>
      <c r="G934" s="334"/>
      <c r="H934" s="270"/>
      <c r="I934" s="334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</row>
    <row r="935" spans="1:26" ht="18" customHeight="1">
      <c r="A935" s="335"/>
      <c r="B935" s="270"/>
      <c r="C935" s="270"/>
      <c r="D935" s="438"/>
      <c r="E935" s="334"/>
      <c r="F935" s="270"/>
      <c r="G935" s="334"/>
      <c r="H935" s="270"/>
      <c r="I935" s="334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</row>
    <row r="936" spans="1:26" ht="18" customHeight="1">
      <c r="A936" s="335"/>
      <c r="B936" s="270"/>
      <c r="C936" s="270"/>
      <c r="D936" s="438"/>
      <c r="E936" s="334"/>
      <c r="F936" s="270"/>
      <c r="G936" s="334"/>
      <c r="H936" s="270"/>
      <c r="I936" s="334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</row>
    <row r="937" spans="1:26" ht="18" customHeight="1">
      <c r="A937" s="335"/>
      <c r="B937" s="270"/>
      <c r="C937" s="270"/>
      <c r="D937" s="438"/>
      <c r="E937" s="334"/>
      <c r="F937" s="270"/>
      <c r="G937" s="334"/>
      <c r="H937" s="270"/>
      <c r="I937" s="334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</row>
    <row r="938" spans="1:26" ht="18" customHeight="1">
      <c r="A938" s="335"/>
      <c r="B938" s="270"/>
      <c r="C938" s="270"/>
      <c r="D938" s="438"/>
      <c r="E938" s="334"/>
      <c r="F938" s="270"/>
      <c r="G938" s="334"/>
      <c r="H938" s="270"/>
      <c r="I938" s="334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</row>
    <row r="939" spans="1:26" ht="18" customHeight="1">
      <c r="A939" s="335"/>
      <c r="B939" s="270"/>
      <c r="C939" s="270"/>
      <c r="D939" s="438"/>
      <c r="E939" s="334"/>
      <c r="F939" s="270"/>
      <c r="G939" s="334"/>
      <c r="H939" s="270"/>
      <c r="I939" s="334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</row>
    <row r="940" spans="1:26" ht="18" customHeight="1">
      <c r="A940" s="335"/>
      <c r="B940" s="270"/>
      <c r="C940" s="270"/>
      <c r="D940" s="438"/>
      <c r="E940" s="334"/>
      <c r="F940" s="270"/>
      <c r="G940" s="334"/>
      <c r="H940" s="270"/>
      <c r="I940" s="334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</row>
    <row r="941" spans="1:26" ht="18" customHeight="1">
      <c r="A941" s="335"/>
      <c r="B941" s="270"/>
      <c r="C941" s="270"/>
      <c r="D941" s="438"/>
      <c r="E941" s="334"/>
      <c r="F941" s="270"/>
      <c r="G941" s="334"/>
      <c r="H941" s="270"/>
      <c r="I941" s="334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</row>
    <row r="942" spans="1:26" ht="18" customHeight="1">
      <c r="A942" s="335"/>
      <c r="B942" s="270"/>
      <c r="C942" s="270"/>
      <c r="D942" s="438"/>
      <c r="E942" s="334"/>
      <c r="F942" s="270"/>
      <c r="G942" s="334"/>
      <c r="H942" s="270"/>
      <c r="I942" s="334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</row>
    <row r="943" spans="1:26" ht="18" customHeight="1">
      <c r="A943" s="335"/>
      <c r="B943" s="270"/>
      <c r="C943" s="270"/>
      <c r="D943" s="438"/>
      <c r="E943" s="334"/>
      <c r="F943" s="270"/>
      <c r="G943" s="334"/>
      <c r="H943" s="270"/>
      <c r="I943" s="334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</row>
    <row r="944" spans="1:26" ht="18" customHeight="1">
      <c r="A944" s="335"/>
      <c r="B944" s="270"/>
      <c r="C944" s="270"/>
      <c r="D944" s="438"/>
      <c r="E944" s="334"/>
      <c r="F944" s="270"/>
      <c r="G944" s="334"/>
      <c r="H944" s="270"/>
      <c r="I944" s="334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</row>
    <row r="945" spans="1:26" ht="18" customHeight="1">
      <c r="A945" s="335"/>
      <c r="B945" s="270"/>
      <c r="C945" s="270"/>
      <c r="D945" s="438"/>
      <c r="E945" s="334"/>
      <c r="F945" s="270"/>
      <c r="G945" s="334"/>
      <c r="H945" s="270"/>
      <c r="I945" s="334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</row>
    <row r="946" spans="1:26" ht="18" customHeight="1">
      <c r="A946" s="335"/>
      <c r="B946" s="270"/>
      <c r="C946" s="270"/>
      <c r="D946" s="438"/>
      <c r="E946" s="334"/>
      <c r="F946" s="270"/>
      <c r="G946" s="334"/>
      <c r="H946" s="270"/>
      <c r="I946" s="334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</row>
    <row r="947" spans="1:26" ht="18" customHeight="1">
      <c r="A947" s="335"/>
      <c r="B947" s="270"/>
      <c r="C947" s="270"/>
      <c r="D947" s="438"/>
      <c r="E947" s="334"/>
      <c r="F947" s="270"/>
      <c r="G947" s="334"/>
      <c r="H947" s="270"/>
      <c r="I947" s="334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</row>
    <row r="948" spans="1:26" ht="18" customHeight="1">
      <c r="A948" s="335"/>
      <c r="B948" s="270"/>
      <c r="C948" s="270"/>
      <c r="D948" s="438"/>
      <c r="E948" s="334"/>
      <c r="F948" s="270"/>
      <c r="G948" s="334"/>
      <c r="H948" s="270"/>
      <c r="I948" s="334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</row>
    <row r="949" spans="1:26" ht="18" customHeight="1">
      <c r="A949" s="335"/>
      <c r="B949" s="270"/>
      <c r="C949" s="270"/>
      <c r="D949" s="438"/>
      <c r="E949" s="334"/>
      <c r="F949" s="270"/>
      <c r="G949" s="334"/>
      <c r="H949" s="270"/>
      <c r="I949" s="334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</row>
    <row r="950" spans="1:26" ht="18" customHeight="1">
      <c r="A950" s="335"/>
      <c r="B950" s="270"/>
      <c r="C950" s="270"/>
      <c r="D950" s="438"/>
      <c r="E950" s="334"/>
      <c r="F950" s="270"/>
      <c r="G950" s="334"/>
      <c r="H950" s="270"/>
      <c r="I950" s="334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</row>
    <row r="951" spans="1:26" ht="18" customHeight="1">
      <c r="A951" s="335"/>
      <c r="B951" s="270"/>
      <c r="C951" s="270"/>
      <c r="D951" s="438"/>
      <c r="E951" s="334"/>
      <c r="F951" s="270"/>
      <c r="G951" s="334"/>
      <c r="H951" s="270"/>
      <c r="I951" s="334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</row>
    <row r="952" spans="1:26" ht="18" customHeight="1">
      <c r="A952" s="335"/>
      <c r="B952" s="270"/>
      <c r="C952" s="270"/>
      <c r="D952" s="438"/>
      <c r="E952" s="334"/>
      <c r="F952" s="270"/>
      <c r="G952" s="334"/>
      <c r="H952" s="270"/>
      <c r="I952" s="334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</row>
    <row r="953" spans="1:26" ht="18" customHeight="1">
      <c r="A953" s="335"/>
      <c r="B953" s="270"/>
      <c r="C953" s="270"/>
      <c r="D953" s="438"/>
      <c r="E953" s="334"/>
      <c r="F953" s="270"/>
      <c r="G953" s="334"/>
      <c r="H953" s="270"/>
      <c r="I953" s="334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</row>
    <row r="954" spans="1:26" ht="18" customHeight="1">
      <c r="A954" s="335"/>
      <c r="B954" s="270"/>
      <c r="C954" s="270"/>
      <c r="D954" s="438"/>
      <c r="E954" s="334"/>
      <c r="F954" s="270"/>
      <c r="G954" s="334"/>
      <c r="H954" s="270"/>
      <c r="I954" s="334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</row>
    <row r="955" spans="1:26" ht="18" customHeight="1">
      <c r="A955" s="335"/>
      <c r="B955" s="270"/>
      <c r="C955" s="270"/>
      <c r="D955" s="438"/>
      <c r="E955" s="334"/>
      <c r="F955" s="270"/>
      <c r="G955" s="334"/>
      <c r="H955" s="270"/>
      <c r="I955" s="334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</row>
    <row r="956" spans="1:26" ht="18" customHeight="1">
      <c r="A956" s="335"/>
      <c r="B956" s="270"/>
      <c r="C956" s="270"/>
      <c r="D956" s="438"/>
      <c r="E956" s="334"/>
      <c r="F956" s="270"/>
      <c r="G956" s="334"/>
      <c r="H956" s="270"/>
      <c r="I956" s="334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</row>
    <row r="957" spans="1:26" ht="18" customHeight="1">
      <c r="A957" s="335"/>
      <c r="B957" s="270"/>
      <c r="C957" s="270"/>
      <c r="D957" s="438"/>
      <c r="E957" s="334"/>
      <c r="F957" s="270"/>
      <c r="G957" s="334"/>
      <c r="H957" s="270"/>
      <c r="I957" s="334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</row>
    <row r="958" spans="1:26" ht="18" customHeight="1">
      <c r="A958" s="335"/>
      <c r="B958" s="270"/>
      <c r="C958" s="270"/>
      <c r="D958" s="438"/>
      <c r="E958" s="334"/>
      <c r="F958" s="270"/>
      <c r="G958" s="334"/>
      <c r="H958" s="270"/>
      <c r="I958" s="334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</row>
    <row r="959" spans="1:26" ht="18" customHeight="1">
      <c r="A959" s="335"/>
      <c r="B959" s="270"/>
      <c r="C959" s="270"/>
      <c r="D959" s="438"/>
      <c r="E959" s="334"/>
      <c r="F959" s="270"/>
      <c r="G959" s="334"/>
      <c r="H959" s="270"/>
      <c r="I959" s="334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</row>
    <row r="960" spans="1:26" ht="18" customHeight="1">
      <c r="A960" s="335"/>
      <c r="B960" s="270"/>
      <c r="C960" s="270"/>
      <c r="D960" s="438"/>
      <c r="E960" s="334"/>
      <c r="F960" s="270"/>
      <c r="G960" s="334"/>
      <c r="H960" s="270"/>
      <c r="I960" s="334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</row>
    <row r="961" spans="1:26" ht="18" customHeight="1">
      <c r="A961" s="335"/>
      <c r="B961" s="270"/>
      <c r="C961" s="270"/>
      <c r="D961" s="438"/>
      <c r="E961" s="334"/>
      <c r="F961" s="270"/>
      <c r="G961" s="334"/>
      <c r="H961" s="270"/>
      <c r="I961" s="334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</row>
    <row r="962" spans="1:26" ht="18" customHeight="1">
      <c r="A962" s="335"/>
      <c r="B962" s="270"/>
      <c r="C962" s="270"/>
      <c r="D962" s="438"/>
      <c r="E962" s="334"/>
      <c r="F962" s="270"/>
      <c r="G962" s="334"/>
      <c r="H962" s="270"/>
      <c r="I962" s="334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</row>
    <row r="963" spans="1:26" ht="18" customHeight="1">
      <c r="A963" s="335"/>
      <c r="B963" s="270"/>
      <c r="C963" s="270"/>
      <c r="D963" s="438"/>
      <c r="E963" s="334"/>
      <c r="F963" s="270"/>
      <c r="G963" s="334"/>
      <c r="H963" s="270"/>
      <c r="I963" s="334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</row>
    <row r="964" spans="1:26" ht="18" customHeight="1">
      <c r="A964" s="335"/>
      <c r="B964" s="270"/>
      <c r="C964" s="270"/>
      <c r="D964" s="438"/>
      <c r="E964" s="334"/>
      <c r="F964" s="270"/>
      <c r="G964" s="334"/>
      <c r="H964" s="270"/>
      <c r="I964" s="334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</row>
    <row r="965" spans="1:26" ht="18" customHeight="1">
      <c r="A965" s="335"/>
      <c r="B965" s="270"/>
      <c r="C965" s="270"/>
      <c r="D965" s="438"/>
      <c r="E965" s="334"/>
      <c r="F965" s="270"/>
      <c r="G965" s="334"/>
      <c r="H965" s="270"/>
      <c r="I965" s="334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</row>
    <row r="966" spans="1:26" ht="18" customHeight="1">
      <c r="A966" s="335"/>
      <c r="B966" s="270"/>
      <c r="C966" s="270"/>
      <c r="D966" s="438"/>
      <c r="E966" s="334"/>
      <c r="F966" s="270"/>
      <c r="G966" s="334"/>
      <c r="H966" s="270"/>
      <c r="I966" s="334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</row>
    <row r="967" spans="1:26" ht="18" customHeight="1">
      <c r="A967" s="335"/>
      <c r="B967" s="270"/>
      <c r="C967" s="270"/>
      <c r="D967" s="438"/>
      <c r="E967" s="334"/>
      <c r="F967" s="270"/>
      <c r="G967" s="334"/>
      <c r="H967" s="270"/>
      <c r="I967" s="334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</row>
    <row r="968" spans="1:26" ht="18" customHeight="1">
      <c r="A968" s="335"/>
      <c r="B968" s="270"/>
      <c r="C968" s="270"/>
      <c r="D968" s="438"/>
      <c r="E968" s="334"/>
      <c r="F968" s="270"/>
      <c r="G968" s="334"/>
      <c r="H968" s="270"/>
      <c r="I968" s="334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</row>
    <row r="969" spans="1:26" ht="18" customHeight="1">
      <c r="A969" s="335"/>
      <c r="B969" s="270"/>
      <c r="C969" s="270"/>
      <c r="D969" s="438"/>
      <c r="E969" s="334"/>
      <c r="F969" s="270"/>
      <c r="G969" s="334"/>
      <c r="H969" s="270"/>
      <c r="I969" s="334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</row>
    <row r="970" spans="1:26" ht="18" customHeight="1">
      <c r="A970" s="335"/>
      <c r="B970" s="270"/>
      <c r="C970" s="270"/>
      <c r="D970" s="438"/>
      <c r="E970" s="334"/>
      <c r="F970" s="270"/>
      <c r="G970" s="334"/>
      <c r="H970" s="270"/>
      <c r="I970" s="334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</row>
    <row r="971" spans="1:26" ht="18" customHeight="1">
      <c r="A971" s="335"/>
      <c r="B971" s="270"/>
      <c r="C971" s="270"/>
      <c r="D971" s="438"/>
      <c r="E971" s="334"/>
      <c r="F971" s="270"/>
      <c r="G971" s="334"/>
      <c r="H971" s="270"/>
      <c r="I971" s="334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</row>
    <row r="972" spans="1:26" ht="18" customHeight="1">
      <c r="A972" s="335"/>
      <c r="B972" s="270"/>
      <c r="C972" s="270"/>
      <c r="D972" s="438"/>
      <c r="E972" s="334"/>
      <c r="F972" s="270"/>
      <c r="G972" s="334"/>
      <c r="H972" s="270"/>
      <c r="I972" s="334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</row>
    <row r="973" spans="1:26" ht="18" customHeight="1">
      <c r="A973" s="335"/>
      <c r="B973" s="270"/>
      <c r="C973" s="270"/>
      <c r="D973" s="438"/>
      <c r="E973" s="334"/>
      <c r="F973" s="270"/>
      <c r="G973" s="334"/>
      <c r="H973" s="270"/>
      <c r="I973" s="334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</row>
    <row r="974" spans="1:26" ht="18" customHeight="1">
      <c r="A974" s="335"/>
      <c r="B974" s="270"/>
      <c r="C974" s="270"/>
      <c r="D974" s="438"/>
      <c r="E974" s="334"/>
      <c r="F974" s="270"/>
      <c r="G974" s="334"/>
      <c r="H974" s="270"/>
      <c r="I974" s="334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</row>
    <row r="975" spans="1:26" ht="18" customHeight="1">
      <c r="A975" s="335"/>
      <c r="B975" s="270"/>
      <c r="C975" s="270"/>
      <c r="D975" s="438"/>
      <c r="E975" s="334"/>
      <c r="F975" s="270"/>
      <c r="G975" s="334"/>
      <c r="H975" s="270"/>
      <c r="I975" s="334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</row>
    <row r="976" spans="1:26" ht="18" customHeight="1">
      <c r="A976" s="335"/>
      <c r="B976" s="270"/>
      <c r="C976" s="270"/>
      <c r="D976" s="438"/>
      <c r="E976" s="334"/>
      <c r="F976" s="270"/>
      <c r="G976" s="334"/>
      <c r="H976" s="270"/>
      <c r="I976" s="334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</row>
    <row r="977" spans="1:26" ht="18" customHeight="1">
      <c r="A977" s="335"/>
      <c r="B977" s="270"/>
      <c r="C977" s="270"/>
      <c r="D977" s="438"/>
      <c r="E977" s="334"/>
      <c r="F977" s="270"/>
      <c r="G977" s="334"/>
      <c r="H977" s="270"/>
      <c r="I977" s="334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</row>
    <row r="978" spans="1:26" ht="18" customHeight="1">
      <c r="A978" s="335"/>
      <c r="B978" s="270"/>
      <c r="C978" s="270"/>
      <c r="D978" s="438"/>
      <c r="E978" s="334"/>
      <c r="F978" s="270"/>
      <c r="G978" s="334"/>
      <c r="H978" s="270"/>
      <c r="I978" s="334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</row>
    <row r="979" spans="1:26" ht="18" customHeight="1">
      <c r="A979" s="335"/>
      <c r="B979" s="270"/>
      <c r="C979" s="270"/>
      <c r="D979" s="438"/>
      <c r="E979" s="334"/>
      <c r="F979" s="270"/>
      <c r="G979" s="334"/>
      <c r="H979" s="270"/>
      <c r="I979" s="334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</row>
    <row r="980" spans="1:26" ht="18" customHeight="1">
      <c r="A980" s="335"/>
      <c r="B980" s="270"/>
      <c r="C980" s="270"/>
      <c r="D980" s="438"/>
      <c r="E980" s="334"/>
      <c r="F980" s="270"/>
      <c r="G980" s="334"/>
      <c r="H980" s="270"/>
      <c r="I980" s="334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</row>
    <row r="981" spans="1:26" ht="18" customHeight="1">
      <c r="A981" s="335"/>
      <c r="B981" s="270"/>
      <c r="C981" s="270"/>
      <c r="D981" s="438"/>
      <c r="E981" s="334"/>
      <c r="F981" s="270"/>
      <c r="G981" s="334"/>
      <c r="H981" s="270"/>
      <c r="I981" s="334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</row>
    <row r="982" spans="1:26" ht="18" customHeight="1">
      <c r="A982" s="335"/>
      <c r="B982" s="270"/>
      <c r="C982" s="270"/>
      <c r="D982" s="438"/>
      <c r="E982" s="334"/>
      <c r="F982" s="270"/>
      <c r="G982" s="334"/>
      <c r="H982" s="270"/>
      <c r="I982" s="334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</row>
    <row r="983" spans="1:26" ht="18" customHeight="1">
      <c r="A983" s="335"/>
      <c r="B983" s="270"/>
      <c r="C983" s="270"/>
      <c r="D983" s="438"/>
      <c r="E983" s="334"/>
      <c r="F983" s="270"/>
      <c r="G983" s="334"/>
      <c r="H983" s="270"/>
      <c r="I983" s="334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</row>
    <row r="984" spans="1:26" ht="18" customHeight="1">
      <c r="A984" s="335"/>
      <c r="B984" s="270"/>
      <c r="C984" s="270"/>
      <c r="D984" s="438"/>
      <c r="E984" s="334"/>
      <c r="F984" s="270"/>
      <c r="G984" s="334"/>
      <c r="H984" s="270"/>
      <c r="I984" s="334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</row>
    <row r="985" spans="1:26" ht="18" customHeight="1">
      <c r="A985" s="335"/>
      <c r="B985" s="270"/>
      <c r="C985" s="270"/>
      <c r="D985" s="438"/>
      <c r="E985" s="334"/>
      <c r="F985" s="270"/>
      <c r="G985" s="334"/>
      <c r="H985" s="270"/>
      <c r="I985" s="334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</row>
    <row r="986" spans="1:26" ht="18" customHeight="1">
      <c r="A986" s="335"/>
      <c r="B986" s="270"/>
      <c r="C986" s="270"/>
      <c r="D986" s="438"/>
      <c r="E986" s="334"/>
      <c r="F986" s="270"/>
      <c r="G986" s="334"/>
      <c r="H986" s="270"/>
      <c r="I986" s="334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</row>
    <row r="987" spans="1:26" ht="18" customHeight="1">
      <c r="A987" s="335"/>
      <c r="B987" s="270"/>
      <c r="C987" s="270"/>
      <c r="D987" s="438"/>
      <c r="E987" s="334"/>
      <c r="F987" s="270"/>
      <c r="G987" s="334"/>
      <c r="H987" s="270"/>
      <c r="I987" s="334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</row>
    <row r="988" spans="1:26" ht="18" customHeight="1">
      <c r="A988" s="335"/>
      <c r="B988" s="270"/>
      <c r="C988" s="270"/>
      <c r="D988" s="438"/>
      <c r="E988" s="334"/>
      <c r="F988" s="270"/>
      <c r="G988" s="334"/>
      <c r="H988" s="270"/>
      <c r="I988" s="334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</row>
    <row r="989" spans="1:26" ht="18" customHeight="1">
      <c r="A989" s="335"/>
      <c r="B989" s="270"/>
      <c r="C989" s="270"/>
      <c r="D989" s="438"/>
      <c r="E989" s="334"/>
      <c r="F989" s="270"/>
      <c r="G989" s="334"/>
      <c r="H989" s="270"/>
      <c r="I989" s="334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</row>
    <row r="990" spans="1:26" ht="18" customHeight="1">
      <c r="A990" s="335"/>
      <c r="B990" s="270"/>
      <c r="C990" s="270"/>
      <c r="D990" s="438"/>
      <c r="E990" s="334"/>
      <c r="F990" s="270"/>
      <c r="G990" s="334"/>
      <c r="H990" s="270"/>
      <c r="I990" s="334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</row>
    <row r="991" spans="1:26" ht="18" customHeight="1">
      <c r="A991" s="335"/>
      <c r="B991" s="270"/>
      <c r="C991" s="270"/>
      <c r="D991" s="438"/>
      <c r="E991" s="334"/>
      <c r="F991" s="270"/>
      <c r="G991" s="334"/>
      <c r="H991" s="270"/>
      <c r="I991" s="334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</row>
    <row r="992" spans="1:26" ht="18" customHeight="1">
      <c r="A992" s="335"/>
      <c r="B992" s="270"/>
      <c r="C992" s="270"/>
      <c r="D992" s="438"/>
      <c r="E992" s="334"/>
      <c r="F992" s="270"/>
      <c r="G992" s="334"/>
      <c r="H992" s="270"/>
      <c r="I992" s="334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</row>
    <row r="993" spans="1:26" ht="18" customHeight="1">
      <c r="A993" s="335"/>
      <c r="B993" s="270"/>
      <c r="C993" s="270"/>
      <c r="D993" s="438"/>
      <c r="E993" s="334"/>
      <c r="F993" s="270"/>
      <c r="G993" s="334"/>
      <c r="H993" s="270"/>
      <c r="I993" s="334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</row>
    <row r="994" spans="1:26" ht="18" customHeight="1">
      <c r="A994" s="335"/>
      <c r="B994" s="270"/>
      <c r="C994" s="270"/>
      <c r="D994" s="438"/>
      <c r="E994" s="334"/>
      <c r="F994" s="270"/>
      <c r="G994" s="334"/>
      <c r="H994" s="270"/>
      <c r="I994" s="334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</row>
    <row r="995" spans="1:26" ht="18" customHeight="1">
      <c r="A995" s="335"/>
      <c r="B995" s="270"/>
      <c r="C995" s="270"/>
      <c r="D995" s="438"/>
      <c r="E995" s="334"/>
      <c r="F995" s="270"/>
      <c r="G995" s="334"/>
      <c r="H995" s="270"/>
      <c r="I995" s="334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</row>
    <row r="996" spans="1:26" ht="18" customHeight="1">
      <c r="A996" s="335"/>
      <c r="B996" s="270"/>
      <c r="C996" s="270"/>
      <c r="D996" s="438"/>
      <c r="E996" s="334"/>
      <c r="F996" s="270"/>
      <c r="G996" s="334"/>
      <c r="H996" s="270"/>
      <c r="I996" s="334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</row>
    <row r="997" spans="1:26" ht="18" customHeight="1">
      <c r="A997" s="335"/>
      <c r="B997" s="270"/>
      <c r="C997" s="270"/>
      <c r="D997" s="438"/>
      <c r="E997" s="334"/>
      <c r="F997" s="270"/>
      <c r="G997" s="334"/>
      <c r="H997" s="270"/>
      <c r="I997" s="334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</row>
    <row r="998" spans="1:26" ht="18" customHeight="1">
      <c r="A998" s="335"/>
      <c r="B998" s="270"/>
      <c r="C998" s="270"/>
      <c r="D998" s="438"/>
      <c r="E998" s="334"/>
      <c r="F998" s="270"/>
      <c r="G998" s="334"/>
      <c r="H998" s="270"/>
      <c r="I998" s="334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</row>
  </sheetData>
  <hyperlinks>
    <hyperlink ref="G24" r:id="rId1" display="https://sarathi.parivahan.gov.in/sarathiservicecov28/applViewStages.do?applNum=1083441220&amp;dateOfBirth=10-01-1988" xr:uid="{00000000-0004-0000-0900-000000000000}"/>
    <hyperlink ref="G35" r:id="rId2" display="https://sarathi.parivahan.gov.in/sarathiservicecov3/applViewStages.do?applNum=3352360720&amp;dateOfBirth=12-09-1979" xr:uid="{00000000-0004-0000-0900-000001000000}"/>
    <hyperlink ref="F38" r:id="rId3" xr:uid="{00000000-0004-0000-0900-000002000000}"/>
    <hyperlink ref="F39" r:id="rId4" xr:uid="{00000000-0004-0000-0900-000003000000}"/>
    <hyperlink ref="G40" r:id="rId5" display="https://sarathi.parivahan.gov.in/sarathiservicecov3/applViewStages.do?applNum=3352316220&amp;dateOfBirth=01-01-1975" xr:uid="{00000000-0004-0000-0900-000004000000}"/>
    <hyperlink ref="G45" r:id="rId6" display="https://sarathi.parivahan.gov.in/sarathiservicecov19/applViewStages.do?applNum=3352289120&amp;dateOfBirth=01-12-1994" xr:uid="{00000000-0004-0000-0900-000005000000}"/>
    <hyperlink ref="F136" r:id="rId7" display="swansinweb@" xr:uid="{00000000-0004-0000-0900-000006000000}"/>
    <hyperlink ref="G121" r:id="rId8" display="https://sarathi.parivahan.gov.in/sarathiservice/applViewStages.do" xr:uid="{00000000-0004-0000-0900-000007000000}"/>
    <hyperlink ref="G150" r:id="rId9" display="https://sarathi.parivahan.gov.in/sarathiservice/applViewStages.do" xr:uid="{969CFFEB-2435-4520-95EE-ED022DAF3239}"/>
    <hyperlink ref="B189" r:id="rId10" display="https://sarathi.parivahan.gov.in/sarathiservice/applViewStages.do" xr:uid="{078C0A5C-95FC-4680-83C7-AE6C4F4CA101}"/>
  </hyperlinks>
  <pageMargins left="0.7" right="0.7" top="0.75" bottom="0.75" header="0" footer="0"/>
  <pageSetup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selection activeCell="G26" sqref="G26"/>
    </sheetView>
  </sheetViews>
  <sheetFormatPr defaultColWidth="14.42578125" defaultRowHeight="15" customHeight="1"/>
  <cols>
    <col min="1" max="1" width="20.28515625" customWidth="1"/>
    <col min="2" max="2" width="34" customWidth="1"/>
    <col min="3" max="3" width="21.5703125" customWidth="1"/>
    <col min="4" max="4" width="12.42578125" customWidth="1"/>
    <col min="5" max="5" width="11" customWidth="1"/>
    <col min="6" max="7" width="8.7109375" customWidth="1"/>
    <col min="8" max="8" width="11.5703125" customWidth="1"/>
    <col min="9" max="9" width="19" customWidth="1"/>
    <col min="10" max="10" width="17" customWidth="1"/>
    <col min="11" max="11" width="11" customWidth="1"/>
    <col min="12" max="26" width="8.7109375" customWidth="1"/>
  </cols>
  <sheetData>
    <row r="1" spans="1:11" ht="14.25" customHeight="1">
      <c r="A1" s="4"/>
      <c r="I1" s="6" t="s">
        <v>12114</v>
      </c>
      <c r="J1" s="6" t="s">
        <v>12115</v>
      </c>
    </row>
    <row r="2" spans="1:11" ht="14.25" customHeight="1">
      <c r="A2" s="4" t="s">
        <v>12116</v>
      </c>
      <c r="B2" s="38" t="s">
        <v>12117</v>
      </c>
      <c r="C2" s="6" t="s">
        <v>12118</v>
      </c>
      <c r="E2" s="4">
        <v>43860</v>
      </c>
      <c r="H2" s="4">
        <v>44160</v>
      </c>
      <c r="I2" s="6" t="s">
        <v>12119</v>
      </c>
      <c r="J2" s="6" t="s">
        <v>7538</v>
      </c>
      <c r="K2" s="6">
        <v>9905150414</v>
      </c>
    </row>
    <row r="3" spans="1:11" ht="14.25" customHeight="1">
      <c r="B3" s="38" t="s">
        <v>12120</v>
      </c>
      <c r="C3" s="6" t="s">
        <v>12121</v>
      </c>
      <c r="H3" s="4">
        <v>44263</v>
      </c>
      <c r="I3" s="6" t="s">
        <v>12122</v>
      </c>
      <c r="J3" s="6" t="s">
        <v>12123</v>
      </c>
      <c r="K3" s="6">
        <v>7209611697</v>
      </c>
    </row>
    <row r="4" spans="1:11" ht="14.25" customHeight="1">
      <c r="B4" s="38" t="s">
        <v>12124</v>
      </c>
      <c r="C4" s="6" t="s">
        <v>12125</v>
      </c>
      <c r="D4" s="24"/>
    </row>
    <row r="5" spans="1:11" ht="14.25" customHeight="1">
      <c r="A5" s="4"/>
      <c r="B5" s="38" t="s">
        <v>12126</v>
      </c>
      <c r="C5" s="6" t="s">
        <v>12127</v>
      </c>
    </row>
    <row r="6" spans="1:11" ht="14.25" customHeight="1">
      <c r="A6" s="4"/>
      <c r="B6" s="38" t="s">
        <v>12128</v>
      </c>
      <c r="C6" s="6" t="s">
        <v>12127</v>
      </c>
      <c r="D6" s="6">
        <v>9199535912</v>
      </c>
      <c r="E6" s="6" t="s">
        <v>6728</v>
      </c>
    </row>
    <row r="7" spans="1:11" ht="14.25" customHeight="1">
      <c r="A7" s="4"/>
      <c r="B7" s="38" t="s">
        <v>12129</v>
      </c>
      <c r="C7" s="137" t="s">
        <v>12130</v>
      </c>
    </row>
    <row r="8" spans="1:11" ht="14.25" customHeight="1">
      <c r="A8" s="4"/>
      <c r="B8" s="38" t="s">
        <v>12131</v>
      </c>
      <c r="C8" s="137" t="s">
        <v>12132</v>
      </c>
    </row>
    <row r="9" spans="1:11" ht="14.25" customHeight="1">
      <c r="A9" s="4"/>
      <c r="B9" s="38" t="s">
        <v>12133</v>
      </c>
      <c r="C9" s="137" t="s">
        <v>12134</v>
      </c>
    </row>
    <row r="10" spans="1:11" ht="14.25" customHeight="1">
      <c r="B10" s="38" t="s">
        <v>12135</v>
      </c>
      <c r="C10" s="137" t="s">
        <v>12136</v>
      </c>
    </row>
    <row r="11" spans="1:11" ht="14.25" customHeight="1">
      <c r="B11" s="38" t="s">
        <v>4364</v>
      </c>
      <c r="C11" s="137" t="s">
        <v>12137</v>
      </c>
    </row>
    <row r="12" spans="1:11" ht="14.25" customHeight="1">
      <c r="B12" s="38" t="s">
        <v>12138</v>
      </c>
      <c r="C12" s="137" t="s">
        <v>12139</v>
      </c>
    </row>
    <row r="13" spans="1:11" ht="14.25" customHeight="1">
      <c r="B13" s="38" t="s">
        <v>12140</v>
      </c>
      <c r="C13" s="137" t="s">
        <v>12141</v>
      </c>
    </row>
    <row r="14" spans="1:11" ht="14.25" customHeight="1">
      <c r="B14" s="38" t="s">
        <v>12142</v>
      </c>
      <c r="C14" s="137" t="s">
        <v>9229</v>
      </c>
      <c r="D14" s="6">
        <v>9031395170</v>
      </c>
    </row>
    <row r="15" spans="1:11" ht="14.25" customHeight="1">
      <c r="B15" s="38" t="s">
        <v>12143</v>
      </c>
      <c r="C15" s="137" t="s">
        <v>9229</v>
      </c>
      <c r="D15" s="6">
        <v>9162478021</v>
      </c>
    </row>
    <row r="16" spans="1:11" ht="14.25" customHeight="1">
      <c r="A16" s="6" t="s">
        <v>12144</v>
      </c>
      <c r="B16" s="6" t="s">
        <v>12145</v>
      </c>
      <c r="C16" s="6" t="s">
        <v>9229</v>
      </c>
      <c r="D16" s="6">
        <v>9835927917</v>
      </c>
      <c r="E16" s="6" t="s">
        <v>12146</v>
      </c>
    </row>
    <row r="17" spans="1:6" ht="14.25" customHeight="1">
      <c r="A17" s="6" t="s">
        <v>12147</v>
      </c>
      <c r="B17" s="6" t="s">
        <v>12148</v>
      </c>
      <c r="C17" s="6" t="s">
        <v>12149</v>
      </c>
      <c r="D17" s="6">
        <v>9263780311</v>
      </c>
      <c r="F17" s="6">
        <f>3221*1.18</f>
        <v>3800.7799999999997</v>
      </c>
    </row>
    <row r="18" spans="1:6" ht="14.25" customHeight="1">
      <c r="B18" s="391" t="s">
        <v>12498</v>
      </c>
      <c r="C18" s="391" t="s">
        <v>12499</v>
      </c>
      <c r="D18" s="6">
        <v>8540895682</v>
      </c>
    </row>
    <row r="19" spans="1:6" ht="14.25" customHeight="1">
      <c r="A19" s="6" t="s">
        <v>12147</v>
      </c>
      <c r="B19" s="6" t="s">
        <v>12148</v>
      </c>
      <c r="C19" s="6" t="s">
        <v>12149</v>
      </c>
      <c r="D19" s="6">
        <v>6206606533</v>
      </c>
    </row>
    <row r="20" spans="1:6" ht="14.25" customHeight="1">
      <c r="A20" s="6" t="s">
        <v>13297</v>
      </c>
      <c r="B20" s="492" t="s">
        <v>13296</v>
      </c>
      <c r="C20" s="492" t="s">
        <v>13295</v>
      </c>
      <c r="D20" s="6">
        <v>8789573411</v>
      </c>
    </row>
    <row r="21" spans="1:6" ht="14.25" customHeight="1">
      <c r="A21" s="6" t="s">
        <v>13540</v>
      </c>
      <c r="B21" s="492" t="s">
        <v>13538</v>
      </c>
      <c r="C21" s="657" t="s">
        <v>13539</v>
      </c>
      <c r="D21" s="6">
        <v>8084425826</v>
      </c>
    </row>
    <row r="22" spans="1:6" ht="14.25" customHeight="1">
      <c r="A22" s="6" t="s">
        <v>13568</v>
      </c>
      <c r="B22" s="492" t="s">
        <v>13567</v>
      </c>
      <c r="C22" s="657" t="s">
        <v>13539</v>
      </c>
      <c r="D22" s="6">
        <v>9334623691</v>
      </c>
    </row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spans="2:4" ht="14.25" customHeight="1">
      <c r="B33" s="466" t="s">
        <v>12675</v>
      </c>
      <c r="C33" s="467" t="s">
        <v>12676</v>
      </c>
      <c r="D33">
        <v>6206606533</v>
      </c>
    </row>
    <row r="34" spans="2:4" ht="14.25" customHeight="1"/>
    <row r="35" spans="2:4" ht="14.25" customHeight="1"/>
    <row r="36" spans="2:4" ht="14.25" customHeight="1"/>
    <row r="37" spans="2:4" ht="14.25" customHeight="1"/>
    <row r="38" spans="2:4" ht="14.25" customHeight="1"/>
    <row r="39" spans="2:4" ht="14.25" customHeight="1"/>
    <row r="40" spans="2:4" ht="14.25" customHeight="1"/>
    <row r="41" spans="2:4" ht="14.25" customHeight="1"/>
    <row r="42" spans="2:4" ht="14.25" customHeight="1"/>
    <row r="43" spans="2:4" ht="14.25" customHeight="1"/>
    <row r="44" spans="2:4" ht="14.25" customHeight="1"/>
    <row r="45" spans="2:4" ht="14.25" customHeight="1"/>
    <row r="46" spans="2:4" ht="14.25" customHeight="1"/>
    <row r="47" spans="2:4" ht="14.25" customHeight="1"/>
    <row r="48" spans="2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8" r:id="rId15" xr:uid="{00000000-0004-0000-0A00-00000E000000}"/>
    <hyperlink ref="C18" r:id="rId16" xr:uid="{00000000-0004-0000-0A00-00000F000000}"/>
    <hyperlink ref="C20" r:id="rId17" xr:uid="{6648D42F-40C5-4034-AE3E-FAEF10CE764C}"/>
    <hyperlink ref="B20" r:id="rId18" xr:uid="{93869102-D4B4-4722-919C-8674EEF45DBA}"/>
    <hyperlink ref="B21" r:id="rId19" display="mailto:kumarichaman545@gmail.com" xr:uid="{E14323D0-78C1-4604-9983-96D064DAD041}"/>
    <hyperlink ref="C21" r:id="rId20" xr:uid="{D1F6FB66-C803-4A52-981A-C398F33817E5}"/>
    <hyperlink ref="B22" r:id="rId21" xr:uid="{0A723493-7586-4908-B1D7-88AA36B24551}"/>
    <hyperlink ref="C22" r:id="rId22" xr:uid="{4CFDB970-F55E-412E-9F8C-B21239EF7510}"/>
  </hyperlinks>
  <pageMargins left="0.7" right="0.7" top="0.75" bottom="0.75" header="0" footer="0"/>
  <pageSetup paperSize="9" orientation="portrait" r:id="rId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>
      <pane ySplit="2" topLeftCell="A3" activePane="bottomLeft" state="frozen"/>
      <selection pane="bottomLeft" activeCell="B31" sqref="B31"/>
    </sheetView>
  </sheetViews>
  <sheetFormatPr defaultColWidth="14.42578125" defaultRowHeight="15" customHeight="1"/>
  <cols>
    <col min="1" max="1" width="10.28515625" customWidth="1"/>
    <col min="2" max="2" width="22.140625" customWidth="1"/>
    <col min="3" max="3" width="11.5703125" customWidth="1"/>
    <col min="4" max="4" width="18.7109375" customWidth="1"/>
    <col min="5" max="5" width="25.85546875" customWidth="1"/>
    <col min="6" max="6" width="12.7109375" customWidth="1"/>
    <col min="7" max="26" width="8.7109375" customWidth="1"/>
  </cols>
  <sheetData>
    <row r="1" spans="1:6" ht="14.25" customHeight="1"/>
    <row r="2" spans="1:6" ht="14.25" customHeight="1">
      <c r="C2" s="16" t="s">
        <v>274</v>
      </c>
    </row>
    <row r="3" spans="1:6" ht="14.25" customHeight="1">
      <c r="A3" s="152">
        <v>43469</v>
      </c>
      <c r="B3" s="6" t="s">
        <v>1213</v>
      </c>
      <c r="C3" s="4">
        <v>26567</v>
      </c>
      <c r="D3" s="6">
        <v>9031723901</v>
      </c>
      <c r="E3" s="6" t="s">
        <v>12150</v>
      </c>
      <c r="F3" s="6" t="s">
        <v>1845</v>
      </c>
    </row>
    <row r="4" spans="1:6" ht="14.25" customHeight="1">
      <c r="A4" s="152">
        <v>43380</v>
      </c>
      <c r="B4" s="6" t="s">
        <v>12151</v>
      </c>
      <c r="C4" s="4">
        <v>36047</v>
      </c>
      <c r="D4" s="6">
        <v>7209866505</v>
      </c>
      <c r="E4" s="6" t="s">
        <v>12152</v>
      </c>
      <c r="F4" s="6" t="s">
        <v>1845</v>
      </c>
    </row>
    <row r="5" spans="1:6" ht="14.25" customHeight="1">
      <c r="A5" s="152">
        <v>43380</v>
      </c>
      <c r="B5" s="6" t="s">
        <v>12153</v>
      </c>
      <c r="C5" s="4">
        <v>32874</v>
      </c>
      <c r="D5" s="6">
        <v>7759928837</v>
      </c>
      <c r="E5" s="6" t="s">
        <v>12154</v>
      </c>
      <c r="F5" s="6" t="s">
        <v>1845</v>
      </c>
    </row>
    <row r="6" spans="1:6" ht="14.25" customHeight="1">
      <c r="A6" s="152">
        <v>43381</v>
      </c>
      <c r="B6" s="6" t="s">
        <v>12155</v>
      </c>
      <c r="C6" s="4">
        <v>38536</v>
      </c>
      <c r="D6" s="6">
        <v>9470386166</v>
      </c>
      <c r="E6" s="6" t="s">
        <v>12156</v>
      </c>
      <c r="F6" s="6" t="s">
        <v>1845</v>
      </c>
    </row>
    <row r="7" spans="1:6" ht="14.25" customHeight="1">
      <c r="A7" s="152">
        <v>43434</v>
      </c>
      <c r="B7" s="6" t="s">
        <v>12157</v>
      </c>
      <c r="C7" s="4">
        <v>33225</v>
      </c>
      <c r="D7" s="6">
        <v>8235699862</v>
      </c>
      <c r="E7" s="6" t="s">
        <v>12158</v>
      </c>
      <c r="F7" s="6" t="s">
        <v>7576</v>
      </c>
    </row>
    <row r="8" spans="1:6" ht="14.25" customHeight="1">
      <c r="A8" s="152">
        <v>43460</v>
      </c>
      <c r="B8" s="6" t="s">
        <v>12159</v>
      </c>
      <c r="C8" s="4">
        <v>26679</v>
      </c>
      <c r="D8" s="6">
        <v>9031737312</v>
      </c>
      <c r="E8" s="6" t="s">
        <v>12160</v>
      </c>
      <c r="F8" s="6" t="s">
        <v>12161</v>
      </c>
    </row>
    <row r="9" spans="1:6" ht="14.25" customHeight="1">
      <c r="A9" s="152">
        <v>43469</v>
      </c>
      <c r="B9" s="6" t="s">
        <v>12162</v>
      </c>
      <c r="C9" s="4">
        <v>26299</v>
      </c>
      <c r="D9" s="6">
        <v>7464087566</v>
      </c>
      <c r="E9" s="6" t="s">
        <v>12163</v>
      </c>
      <c r="F9" s="6" t="s">
        <v>1845</v>
      </c>
    </row>
    <row r="10" spans="1:6" ht="14.25" customHeight="1">
      <c r="A10" s="152">
        <v>43469</v>
      </c>
      <c r="B10" s="6" t="s">
        <v>12164</v>
      </c>
      <c r="C10" s="4">
        <v>34700</v>
      </c>
      <c r="D10" s="6" t="s">
        <v>12165</v>
      </c>
      <c r="E10" s="6" t="s">
        <v>12166</v>
      </c>
      <c r="F10" s="6" t="s">
        <v>12161</v>
      </c>
    </row>
    <row r="11" spans="1:6" ht="14.25" customHeight="1">
      <c r="A11" s="152">
        <v>43474</v>
      </c>
      <c r="B11" s="6" t="s">
        <v>12167</v>
      </c>
      <c r="C11" s="4">
        <v>35087</v>
      </c>
      <c r="D11" s="6">
        <v>7209181167</v>
      </c>
      <c r="E11" s="6" t="s">
        <v>12168</v>
      </c>
      <c r="F11" s="6" t="s">
        <v>1845</v>
      </c>
    </row>
    <row r="12" spans="1:6" ht="14.25" customHeight="1">
      <c r="A12" s="152">
        <v>43516</v>
      </c>
      <c r="B12" s="6" t="s">
        <v>862</v>
      </c>
      <c r="C12" s="4">
        <v>34700</v>
      </c>
      <c r="D12" s="6">
        <v>9263294720</v>
      </c>
      <c r="E12" s="6" t="s">
        <v>12169</v>
      </c>
      <c r="F12" s="6" t="s">
        <v>12161</v>
      </c>
    </row>
    <row r="13" spans="1:6" ht="14.25" customHeight="1">
      <c r="A13" s="4">
        <v>43524</v>
      </c>
      <c r="B13" s="6" t="s">
        <v>12170</v>
      </c>
      <c r="C13" s="4">
        <v>40419</v>
      </c>
      <c r="D13" s="6">
        <v>9973516071</v>
      </c>
      <c r="E13" s="6" t="s">
        <v>12171</v>
      </c>
      <c r="F13" s="6" t="s">
        <v>7576</v>
      </c>
    </row>
    <row r="14" spans="1:6" ht="14.25" customHeight="1">
      <c r="A14" s="4">
        <v>43524</v>
      </c>
      <c r="B14" s="6" t="s">
        <v>12172</v>
      </c>
      <c r="C14" s="4">
        <v>37782</v>
      </c>
      <c r="D14" s="6">
        <v>9279831153</v>
      </c>
      <c r="E14" s="6" t="s">
        <v>12173</v>
      </c>
      <c r="F14" s="6" t="s">
        <v>12161</v>
      </c>
    </row>
    <row r="15" spans="1:6" ht="14.25" customHeight="1">
      <c r="A15" s="4">
        <v>43542</v>
      </c>
      <c r="B15" s="6" t="s">
        <v>12174</v>
      </c>
      <c r="C15" s="4">
        <v>26705</v>
      </c>
      <c r="D15" s="6">
        <v>9234378840</v>
      </c>
      <c r="E15" s="6" t="s">
        <v>12175</v>
      </c>
      <c r="F15" s="6" t="s">
        <v>12161</v>
      </c>
    </row>
    <row r="16" spans="1:6" ht="14.25" customHeight="1">
      <c r="A16" s="4">
        <v>43544</v>
      </c>
      <c r="B16" s="6" t="s">
        <v>12176</v>
      </c>
      <c r="C16" s="4">
        <v>33239</v>
      </c>
      <c r="D16" s="6">
        <v>9264262741</v>
      </c>
      <c r="E16" s="6" t="s">
        <v>12177</v>
      </c>
      <c r="F16" s="6" t="s">
        <v>12161</v>
      </c>
    </row>
    <row r="17" spans="1:6" ht="14.25" customHeight="1">
      <c r="A17" s="4">
        <v>43630</v>
      </c>
      <c r="B17" s="6" t="s">
        <v>12178</v>
      </c>
      <c r="C17" s="4">
        <v>33970</v>
      </c>
      <c r="D17" s="6">
        <v>7870963162</v>
      </c>
      <c r="E17" s="6" t="s">
        <v>12179</v>
      </c>
    </row>
    <row r="18" spans="1:6" ht="14.25" customHeight="1">
      <c r="A18" s="4">
        <v>43645</v>
      </c>
      <c r="B18" s="6" t="s">
        <v>4263</v>
      </c>
      <c r="C18" s="4">
        <v>30317</v>
      </c>
      <c r="D18" s="6">
        <v>9798478996</v>
      </c>
      <c r="E18" s="6" t="s">
        <v>12180</v>
      </c>
    </row>
    <row r="19" spans="1:6" ht="14.25" customHeight="1">
      <c r="A19" s="4">
        <v>43650</v>
      </c>
      <c r="B19" s="6" t="s">
        <v>12181</v>
      </c>
      <c r="C19" s="4">
        <v>26149</v>
      </c>
      <c r="D19" s="6">
        <v>7209935119</v>
      </c>
      <c r="E19" s="6" t="s">
        <v>12182</v>
      </c>
    </row>
    <row r="20" spans="1:6" ht="14.25" customHeight="1">
      <c r="A20" s="4">
        <v>43762</v>
      </c>
      <c r="B20" s="6" t="s">
        <v>12183</v>
      </c>
      <c r="C20" s="4">
        <v>28771</v>
      </c>
      <c r="D20" s="6">
        <v>8797665064</v>
      </c>
      <c r="E20" s="6" t="s">
        <v>12184</v>
      </c>
    </row>
    <row r="21" spans="1:6" ht="14.25" customHeight="1">
      <c r="A21" s="4">
        <v>43812</v>
      </c>
      <c r="B21" s="6" t="s">
        <v>3474</v>
      </c>
      <c r="C21" s="4">
        <v>35744</v>
      </c>
      <c r="D21" s="6">
        <v>8809398991</v>
      </c>
      <c r="E21" s="6" t="s">
        <v>12185</v>
      </c>
    </row>
    <row r="22" spans="1:6" ht="14.25" customHeight="1">
      <c r="A22" s="4">
        <v>43846</v>
      </c>
      <c r="B22" s="6" t="s">
        <v>3583</v>
      </c>
      <c r="C22" s="4">
        <v>35065</v>
      </c>
      <c r="E22" s="6" t="s">
        <v>12186</v>
      </c>
    </row>
    <row r="23" spans="1:6" ht="14.25" customHeight="1">
      <c r="A23" s="4">
        <v>43846</v>
      </c>
      <c r="B23" s="6" t="s">
        <v>848</v>
      </c>
      <c r="C23" s="4">
        <v>36161</v>
      </c>
      <c r="D23" s="6">
        <v>6207569001</v>
      </c>
      <c r="E23" s="6" t="s">
        <v>12187</v>
      </c>
    </row>
    <row r="24" spans="1:6" ht="14.25" customHeight="1">
      <c r="A24" s="4">
        <v>43998</v>
      </c>
      <c r="B24" s="6" t="s">
        <v>12188</v>
      </c>
      <c r="C24" s="4">
        <v>27991</v>
      </c>
      <c r="D24" s="6">
        <v>9279787031</v>
      </c>
      <c r="E24" s="6" t="s">
        <v>12189</v>
      </c>
    </row>
    <row r="25" spans="1:6" ht="14.25" customHeight="1">
      <c r="A25" s="4">
        <v>43572</v>
      </c>
      <c r="B25" s="6" t="s">
        <v>12190</v>
      </c>
      <c r="C25" s="4">
        <v>29587</v>
      </c>
      <c r="D25" s="6">
        <v>8409701579</v>
      </c>
      <c r="E25" s="6" t="s">
        <v>12191</v>
      </c>
    </row>
    <row r="26" spans="1:6" ht="14.25" customHeight="1">
      <c r="A26" s="994">
        <v>45284</v>
      </c>
      <c r="B26" s="993" t="s">
        <v>14871</v>
      </c>
      <c r="C26" s="994">
        <v>40496</v>
      </c>
      <c r="D26" s="993">
        <v>8986670325</v>
      </c>
      <c r="E26" s="993" t="s">
        <v>14870</v>
      </c>
      <c r="F26" s="995" t="s">
        <v>12161</v>
      </c>
    </row>
    <row r="27" spans="1:6" ht="14.25" customHeight="1">
      <c r="A27" s="386">
        <v>45298</v>
      </c>
      <c r="B27" s="6" t="s">
        <v>14914</v>
      </c>
      <c r="C27" s="386">
        <v>39689</v>
      </c>
      <c r="D27" s="6">
        <v>6203304986</v>
      </c>
      <c r="E27" s="6" t="s">
        <v>14913</v>
      </c>
      <c r="F27" s="995" t="s">
        <v>12161</v>
      </c>
    </row>
    <row r="28" spans="1:6" ht="14.25" customHeight="1">
      <c r="A28" s="386">
        <v>45298</v>
      </c>
      <c r="B28" s="6" t="s">
        <v>12257</v>
      </c>
      <c r="C28" s="386">
        <v>40496</v>
      </c>
      <c r="D28" s="6">
        <v>6203304986</v>
      </c>
      <c r="F28" s="995" t="s">
        <v>12161</v>
      </c>
    </row>
    <row r="29" spans="1:6" ht="14.25" customHeight="1">
      <c r="A29" s="386">
        <v>44933</v>
      </c>
    </row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/>
  <cols>
    <col min="1" max="1" width="6.85546875" customWidth="1"/>
    <col min="2" max="2" width="15" customWidth="1"/>
    <col min="3" max="3" width="33.5703125" customWidth="1"/>
    <col min="4" max="4" width="20" customWidth="1"/>
    <col min="5" max="5" width="8.7109375" customWidth="1"/>
    <col min="6" max="6" width="25" customWidth="1"/>
    <col min="7" max="7" width="17.7109375" customWidth="1"/>
    <col min="8" max="26" width="8.7109375" customWidth="1"/>
  </cols>
  <sheetData>
    <row r="1" spans="1:26" ht="14.25" customHeight="1">
      <c r="C1" s="316" t="s">
        <v>11764</v>
      </c>
      <c r="F1" s="6" t="s">
        <v>11765</v>
      </c>
    </row>
    <row r="2" spans="1:26" ht="14.25" customHeight="1"/>
    <row r="3" spans="1:26" ht="37.5" customHeight="1">
      <c r="A3" s="317" t="s">
        <v>11766</v>
      </c>
      <c r="B3" s="317" t="s">
        <v>10</v>
      </c>
      <c r="C3" s="317" t="s">
        <v>11767</v>
      </c>
      <c r="D3" s="317" t="s">
        <v>11768</v>
      </c>
      <c r="E3" s="317" t="s">
        <v>11769</v>
      </c>
      <c r="F3" s="317" t="s">
        <v>11770</v>
      </c>
      <c r="G3" s="317" t="s">
        <v>11771</v>
      </c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</row>
    <row r="4" spans="1:26" ht="27.75" customHeight="1">
      <c r="A4" s="318"/>
      <c r="B4" s="318"/>
      <c r="C4" s="318"/>
      <c r="D4" s="318"/>
      <c r="E4" s="318"/>
      <c r="F4" s="318"/>
      <c r="G4" s="318"/>
    </row>
    <row r="5" spans="1:26" ht="27.75" customHeight="1">
      <c r="A5" s="318"/>
      <c r="B5" s="318"/>
      <c r="C5" s="318"/>
      <c r="D5" s="318"/>
      <c r="E5" s="318"/>
      <c r="F5" s="318"/>
      <c r="G5" s="318"/>
    </row>
    <row r="6" spans="1:26" ht="27.75" customHeight="1">
      <c r="A6" s="318"/>
      <c r="B6" s="318"/>
      <c r="C6" s="318"/>
      <c r="D6" s="318"/>
      <c r="E6" s="318"/>
      <c r="F6" s="318"/>
      <c r="G6" s="318"/>
    </row>
    <row r="7" spans="1:26" ht="27.75" customHeight="1">
      <c r="A7" s="318"/>
      <c r="B7" s="318"/>
      <c r="C7" s="318"/>
      <c r="D7" s="318"/>
      <c r="E7" s="318"/>
      <c r="F7" s="318"/>
      <c r="G7" s="318"/>
    </row>
    <row r="8" spans="1:26" ht="27.75" customHeight="1">
      <c r="A8" s="318"/>
      <c r="B8" s="318"/>
      <c r="C8" s="318"/>
      <c r="D8" s="318"/>
      <c r="E8" s="318"/>
      <c r="F8" s="318"/>
      <c r="G8" s="318"/>
    </row>
    <row r="9" spans="1:26" ht="27.75" customHeight="1">
      <c r="A9" s="318"/>
      <c r="B9" s="318"/>
      <c r="C9" s="318"/>
      <c r="D9" s="318"/>
      <c r="E9" s="318"/>
      <c r="F9" s="318"/>
      <c r="G9" s="318"/>
    </row>
    <row r="10" spans="1:26" ht="27.75" customHeight="1">
      <c r="A10" s="318"/>
      <c r="B10" s="318"/>
      <c r="C10" s="318"/>
      <c r="D10" s="318"/>
      <c r="E10" s="318"/>
      <c r="F10" s="318"/>
      <c r="G10" s="318"/>
    </row>
    <row r="11" spans="1:26" ht="27.75" customHeight="1">
      <c r="A11" s="318"/>
      <c r="B11" s="318"/>
      <c r="C11" s="318"/>
      <c r="D11" s="318"/>
      <c r="E11" s="318"/>
      <c r="F11" s="318"/>
      <c r="G11" s="318"/>
    </row>
    <row r="12" spans="1:26" ht="27.75" customHeight="1">
      <c r="A12" s="318"/>
      <c r="B12" s="318"/>
      <c r="C12" s="318"/>
      <c r="D12" s="318"/>
      <c r="E12" s="318"/>
      <c r="F12" s="318"/>
      <c r="G12" s="318"/>
    </row>
    <row r="13" spans="1:26" ht="27.75" customHeight="1">
      <c r="A13" s="318"/>
      <c r="B13" s="318"/>
      <c r="C13" s="318"/>
      <c r="D13" s="318"/>
      <c r="E13" s="318"/>
      <c r="F13" s="318"/>
      <c r="G13" s="318"/>
    </row>
    <row r="14" spans="1:26" ht="27.75" customHeight="1">
      <c r="A14" s="318"/>
      <c r="B14" s="318"/>
      <c r="C14" s="318"/>
      <c r="D14" s="318"/>
      <c r="E14" s="318"/>
      <c r="F14" s="318"/>
      <c r="G14" s="318"/>
    </row>
    <row r="15" spans="1:26" ht="27.75" customHeight="1">
      <c r="A15" s="318"/>
      <c r="B15" s="318"/>
      <c r="C15" s="318"/>
      <c r="D15" s="318"/>
      <c r="E15" s="318"/>
      <c r="F15" s="318"/>
      <c r="G15" s="318"/>
    </row>
    <row r="16" spans="1:26" ht="27.75" customHeight="1">
      <c r="A16" s="318"/>
      <c r="B16" s="318"/>
      <c r="C16" s="318"/>
      <c r="D16" s="318"/>
      <c r="E16" s="318"/>
      <c r="F16" s="318"/>
      <c r="G16" s="318"/>
    </row>
    <row r="17" spans="1:7" ht="27.75" customHeight="1">
      <c r="A17" s="318"/>
      <c r="B17" s="318"/>
      <c r="C17" s="318"/>
      <c r="D17" s="318"/>
      <c r="E17" s="318"/>
      <c r="F17" s="318"/>
      <c r="G17" s="318"/>
    </row>
    <row r="18" spans="1:7" ht="27.75" customHeight="1">
      <c r="A18" s="318"/>
      <c r="B18" s="318"/>
      <c r="C18" s="318"/>
      <c r="D18" s="318"/>
      <c r="E18" s="318"/>
      <c r="F18" s="318"/>
      <c r="G18" s="318"/>
    </row>
    <row r="19" spans="1:7" ht="27.75" customHeight="1">
      <c r="A19" s="318"/>
      <c r="B19" s="318"/>
      <c r="C19" s="318"/>
      <c r="D19" s="318"/>
      <c r="E19" s="318"/>
      <c r="F19" s="318"/>
      <c r="G19" s="318"/>
    </row>
    <row r="20" spans="1:7" ht="27.75" customHeight="1">
      <c r="A20" s="318"/>
      <c r="B20" s="318"/>
      <c r="C20" s="318"/>
      <c r="D20" s="318"/>
      <c r="E20" s="318"/>
      <c r="F20" s="318"/>
      <c r="G20" s="318"/>
    </row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 verticalCentered="1"/>
  <pageMargins left="0.39370078740157483" right="0.39370078740157483" top="0.19685039370078741" bottom="0.19685039370078741" header="0" footer="0"/>
  <pageSetup paperSize="9" scale="10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1:F1000"/>
  <sheetViews>
    <sheetView workbookViewId="0">
      <selection activeCell="N30" sqref="N30"/>
    </sheetView>
  </sheetViews>
  <sheetFormatPr defaultColWidth="14.42578125" defaultRowHeight="15" customHeight="1"/>
  <cols>
    <col min="1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/>
    <row r="6" spans="3:6" ht="14.25" customHeight="1"/>
    <row r="7" spans="3:6" ht="14.25" customHeight="1">
      <c r="C7" s="6" t="s">
        <v>12192</v>
      </c>
      <c r="E7" s="6">
        <v>1500</v>
      </c>
      <c r="F7" s="6">
        <v>2000</v>
      </c>
    </row>
    <row r="8" spans="3:6" ht="14.25" customHeight="1">
      <c r="C8" s="6" t="s">
        <v>12193</v>
      </c>
      <c r="E8" s="6">
        <v>2450</v>
      </c>
      <c r="F8" s="6">
        <v>2500</v>
      </c>
    </row>
    <row r="9" spans="3:6" ht="14.25" customHeight="1">
      <c r="C9" s="6" t="s">
        <v>263</v>
      </c>
      <c r="D9" s="6">
        <v>4</v>
      </c>
      <c r="E9" s="6">
        <v>900</v>
      </c>
      <c r="F9" s="6">
        <v>1000</v>
      </c>
    </row>
    <row r="10" spans="3:6" ht="14.25" customHeight="1">
      <c r="C10" s="6" t="s">
        <v>265</v>
      </c>
      <c r="D10" s="6">
        <v>320</v>
      </c>
      <c r="E10" s="6">
        <v>950</v>
      </c>
      <c r="F10" s="6">
        <v>1050</v>
      </c>
    </row>
    <row r="11" spans="3:6" ht="14.25" customHeight="1">
      <c r="C11" s="6" t="s">
        <v>12194</v>
      </c>
      <c r="E11" s="6">
        <v>500</v>
      </c>
      <c r="F11" s="6">
        <v>700</v>
      </c>
    </row>
    <row r="12" spans="3:6" ht="14.25" customHeight="1">
      <c r="E12" s="6">
        <f t="shared" ref="E12:F12" si="0">SUM(E7:E11)</f>
        <v>6300</v>
      </c>
      <c r="F12" s="6">
        <f t="shared" si="0"/>
        <v>7250</v>
      </c>
    </row>
    <row r="13" spans="3:6" ht="14.25" customHeight="1"/>
    <row r="14" spans="3:6" ht="14.25" customHeight="1"/>
    <row r="15" spans="3:6" ht="14.25" customHeight="1"/>
    <row r="16" spans="3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mon exp</vt:lpstr>
      <vt:lpstr>rates</vt:lpstr>
      <vt:lpstr>PAN DETAIL</vt:lpstr>
      <vt:lpstr>Voter</vt:lpstr>
      <vt:lpstr>Electric</vt:lpstr>
      <vt:lpstr>Insurance</vt:lpstr>
      <vt:lpstr>Passport</vt:lpstr>
      <vt:lpstr>PSYM</vt:lpstr>
      <vt:lpstr>ITR</vt:lpstr>
      <vt:lpstr>DL</vt:lpstr>
      <vt:lpstr>misc</vt:lpstr>
      <vt:lpstr>Dis card</vt:lpstr>
      <vt:lpstr>Sheet1</vt:lpstr>
      <vt:lpstr>Sheet3</vt:lpstr>
      <vt:lpstr>rates!Z_17BB0635_933F_4031_AA1B_02B47946C686_.wvu.Cols</vt:lpstr>
      <vt:lpstr>rates!Z_17BB0635_933F_4031_AA1B_02B47946C686_.wvu.Rows</vt:lpstr>
      <vt:lpstr>rates!Z_1DB3B8BB_FF13_43E4_91E2_4D5FE1537F47_.wvu.Cols</vt:lpstr>
      <vt:lpstr>rates!Z_1DB3B8BB_FF13_43E4_91E2_4D5FE1537F47_.wvu.Rows</vt:lpstr>
      <vt:lpstr>'PAN DETAIL'!Z_3AED7B35_86CA_4B6C_A2EC_CD4DE422B896_.wvu.Cols</vt:lpstr>
      <vt:lpstr>Voter!Z_3AED7B35_86CA_4B6C_A2EC_CD4DE422B896_.wvu.Cols</vt:lpstr>
      <vt:lpstr>rates!Z_3AED7B35_86CA_4B6C_A2EC_CD4DE422B896_.wvu.Rows</vt:lpstr>
      <vt:lpstr>Voter!Z_5436A929_FCD6_4CC8_AC5F_737E2C2C3552_.wvu.Cols</vt:lpstr>
      <vt:lpstr>rates!Z_5436A929_FCD6_4CC8_AC5F_737E2C2C3552_.wvu.Rows</vt:lpstr>
      <vt:lpstr>rates!Z_76DB48ED_F9D5_46EE_8B68_22302006932B_.wvu.Cols</vt:lpstr>
      <vt:lpstr>rates!Z_76DB48ED_F9D5_46EE_8B68_22302006932B_.wvu.Rows</vt:lpstr>
      <vt:lpstr>rates!Z_9FBD6FCD_ABF0_44CA_B044_9B9EEA555F2A_.wvu.Cols</vt:lpstr>
      <vt:lpstr>rates!Z_9FBD6FCD_ABF0_44CA_B044_9B9EEA555F2A_.wvu.Rows</vt:lpstr>
      <vt:lpstr>Voter!Z_CFF18104_9957_4B22_A0BF_E0E9089CC41B_.wvu.Cols</vt:lpstr>
      <vt:lpstr>rates!Z_CFF18104_9957_4B22_A0BF_E0E9089CC41B_.wvu.Rows</vt:lpstr>
      <vt:lpstr>Voter!Z_E64C861B_828F_4357_A2C1_687220A83D03_.wvu.Cols</vt:lpstr>
      <vt:lpstr>rates!Z_E64C861B_828F_4357_A2C1_687220A83D03_.wvu.Rows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Sanjay Kumar</cp:lastModifiedBy>
  <cp:lastPrinted>2022-09-07T08:08:35Z</cp:lastPrinted>
  <dcterms:created xsi:type="dcterms:W3CDTF">2013-11-19T12:43:53Z</dcterms:created>
  <dcterms:modified xsi:type="dcterms:W3CDTF">2025-06-29T10:13:32Z</dcterms:modified>
</cp:coreProperties>
</file>