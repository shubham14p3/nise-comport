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F91F1AF5A7B6986/MYEXCEL/"/>
    </mc:Choice>
  </mc:AlternateContent>
  <xr:revisionPtr revIDLastSave="673" documentId="13_ncr:1_{A4929D9D-2394-4741-8E8C-6E6D71D3F4FF}" xr6:coauthVersionLast="47" xr6:coauthVersionMax="47" xr10:uidLastSave="{74374F54-8289-4EDA-B67D-2E4171EA1A02}"/>
  <bookViews>
    <workbookView xWindow="-108" yWindow="-108" windowWidth="23256" windowHeight="12576" firstSheet="1" activeTab="1" xr2:uid="{00000000-000D-0000-FFFF-FFFF00000000}"/>
  </bookViews>
  <sheets>
    <sheet name="Bajaj" sheetId="4" r:id="rId1"/>
    <sheet name="Digit" sheetId="1" r:id="rId2"/>
    <sheet name="Comm" sheetId="8" r:id="rId3"/>
    <sheet name="Others" sheetId="5" r:id="rId4"/>
    <sheet name="CSC_Rail" sheetId="6" r:id="rId5"/>
    <sheet name="POST" sheetId="7" r:id="rId6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R992" i="1" l="1"/>
  <c r="R991" i="1" l="1"/>
  <c r="R990" i="1"/>
  <c r="L990" i="1"/>
  <c r="R989" i="1" l="1"/>
  <c r="L989" i="1"/>
  <c r="R988" i="1"/>
  <c r="L992" i="1"/>
  <c r="L1001" i="1"/>
  <c r="L991" i="1"/>
  <c r="L999" i="1"/>
  <c r="L998" i="1"/>
  <c r="L997" i="1"/>
  <c r="L996" i="1"/>
  <c r="L988" i="1"/>
  <c r="L995" i="1"/>
  <c r="L994" i="1"/>
  <c r="K1007" i="1"/>
  <c r="R987" i="1"/>
  <c r="L987" i="1"/>
  <c r="R986" i="1"/>
  <c r="L986" i="1"/>
  <c r="L981" i="1"/>
  <c r="L982" i="1"/>
  <c r="L983" i="1"/>
  <c r="L984" i="1"/>
  <c r="L985" i="1"/>
  <c r="R981" i="1"/>
  <c r="R982" i="1"/>
  <c r="R983" i="1"/>
  <c r="R984" i="1"/>
  <c r="R985" i="1"/>
  <c r="R980" i="1"/>
  <c r="L980" i="1"/>
  <c r="L977" i="1"/>
  <c r="L978" i="1"/>
  <c r="L979" i="1"/>
  <c r="R977" i="1"/>
  <c r="R978" i="1"/>
  <c r="R979" i="1"/>
  <c r="L975" i="1" l="1"/>
  <c r="L976" i="1"/>
  <c r="R975" i="1"/>
  <c r="R976" i="1"/>
  <c r="R1003" i="1"/>
  <c r="R1004" i="1"/>
  <c r="R1005" i="1"/>
  <c r="R1006" i="1"/>
  <c r="L1003" i="1"/>
  <c r="L1004" i="1"/>
  <c r="L969" i="1"/>
  <c r="R969" i="1"/>
  <c r="R968" i="1"/>
  <c r="L968" i="1"/>
  <c r="L967" i="1"/>
  <c r="R967" i="1"/>
  <c r="L966" i="1"/>
  <c r="R966" i="1"/>
  <c r="L965" i="1"/>
  <c r="R964" i="1"/>
  <c r="R965" i="1"/>
  <c r="L964" i="1"/>
  <c r="R962" i="1"/>
  <c r="S962" i="1" s="1"/>
  <c r="R963" i="1"/>
  <c r="T973" i="1"/>
  <c r="T1007" i="1" s="1"/>
  <c r="Q973" i="1"/>
  <c r="Q1007" i="1" s="1"/>
  <c r="P973" i="1"/>
  <c r="P1007" i="1" s="1"/>
  <c r="O973" i="1"/>
  <c r="O1007" i="1" s="1"/>
  <c r="N973" i="1"/>
  <c r="N1007" i="1" s="1"/>
  <c r="M973" i="1"/>
  <c r="M1007" i="1" s="1"/>
  <c r="K973" i="1"/>
  <c r="J973" i="1"/>
  <c r="J1007" i="1" s="1"/>
  <c r="B973" i="1"/>
  <c r="B1007" i="1" s="1"/>
  <c r="L963" i="1"/>
  <c r="L962" i="1"/>
  <c r="R961" i="1"/>
  <c r="S961" i="1" s="1"/>
  <c r="L961" i="1"/>
  <c r="L956" i="1"/>
  <c r="R955" i="1"/>
  <c r="S955" i="1" s="1"/>
  <c r="L955" i="1"/>
  <c r="N959" i="1"/>
  <c r="O959" i="1"/>
  <c r="P959" i="1"/>
  <c r="Q959" i="1"/>
  <c r="T959" i="1"/>
  <c r="K959" i="1"/>
  <c r="M959" i="1"/>
  <c r="J959" i="1"/>
  <c r="B959" i="1"/>
  <c r="L950" i="1"/>
  <c r="R950" i="1"/>
  <c r="R954" i="1"/>
  <c r="S954" i="1" s="1"/>
  <c r="L954" i="1"/>
  <c r="L939" i="1"/>
  <c r="R942" i="1"/>
  <c r="L942" i="1"/>
  <c r="R941" i="1"/>
  <c r="L941" i="1"/>
  <c r="R940" i="1"/>
  <c r="L940" i="1"/>
  <c r="R939" i="1"/>
  <c r="R938" i="1"/>
  <c r="L938" i="1"/>
  <c r="R937" i="1"/>
  <c r="L937" i="1"/>
  <c r="L1007" i="1" l="1"/>
  <c r="R1007" i="1"/>
  <c r="R973" i="1"/>
  <c r="S973" i="1"/>
  <c r="S1007" i="1" s="1"/>
  <c r="L973" i="1"/>
  <c r="S959" i="1"/>
  <c r="L959" i="1"/>
  <c r="R959" i="1"/>
  <c r="R930" i="1"/>
  <c r="R931" i="1"/>
  <c r="R932" i="1"/>
  <c r="L931" i="1"/>
  <c r="L930" i="1"/>
  <c r="R928" i="1"/>
  <c r="L928" i="1"/>
  <c r="R927" i="1"/>
  <c r="L927" i="1"/>
  <c r="R934" i="1"/>
  <c r="L934" i="1"/>
  <c r="B935" i="1"/>
  <c r="B951" i="1" s="1"/>
  <c r="M935" i="1"/>
  <c r="M951" i="1" s="1"/>
  <c r="K935" i="1"/>
  <c r="K951" i="1" s="1"/>
  <c r="J935" i="1"/>
  <c r="J951" i="1" s="1"/>
  <c r="R933" i="1"/>
  <c r="L933" i="1"/>
  <c r="L932" i="1"/>
  <c r="T931" i="1"/>
  <c r="R929" i="1"/>
  <c r="L929" i="1"/>
  <c r="T922" i="1"/>
  <c r="R922" i="1"/>
  <c r="L922" i="1"/>
  <c r="R916" i="1"/>
  <c r="R917" i="1"/>
  <c r="R918" i="1"/>
  <c r="R919" i="1"/>
  <c r="R920" i="1"/>
  <c r="R921" i="1"/>
  <c r="R923" i="1"/>
  <c r="R924" i="1"/>
  <c r="L916" i="1"/>
  <c r="S916" i="1" s="1"/>
  <c r="L917" i="1"/>
  <c r="L918" i="1"/>
  <c r="L919" i="1"/>
  <c r="L920" i="1"/>
  <c r="L921" i="1"/>
  <c r="L923" i="1"/>
  <c r="L924" i="1"/>
  <c r="R915" i="1"/>
  <c r="K925" i="1"/>
  <c r="J925" i="1"/>
  <c r="M925" i="1"/>
  <c r="N925" i="1"/>
  <c r="O925" i="1"/>
  <c r="P925" i="1"/>
  <c r="Q925" i="1"/>
  <c r="R911" i="1"/>
  <c r="R912" i="1"/>
  <c r="R913" i="1"/>
  <c r="R914" i="1"/>
  <c r="R910" i="1"/>
  <c r="L910" i="1"/>
  <c r="L911" i="1"/>
  <c r="L912" i="1"/>
  <c r="L913" i="1"/>
  <c r="L914" i="1"/>
  <c r="L908" i="1"/>
  <c r="R907" i="1"/>
  <c r="R908" i="1"/>
  <c r="R909" i="1"/>
  <c r="L907" i="1"/>
  <c r="L909" i="1"/>
  <c r="L906" i="1"/>
  <c r="R906" i="1"/>
  <c r="L915" i="1"/>
  <c r="R902" i="1"/>
  <c r="B904" i="1"/>
  <c r="B925" i="1" s="1"/>
  <c r="K904" i="1"/>
  <c r="R900" i="1"/>
  <c r="R901" i="1"/>
  <c r="L902" i="1"/>
  <c r="L900" i="1"/>
  <c r="R899" i="1"/>
  <c r="L899" i="1"/>
  <c r="R897" i="1"/>
  <c r="L897" i="1"/>
  <c r="L901" i="1"/>
  <c r="R896" i="1"/>
  <c r="L896" i="1"/>
  <c r="R895" i="1"/>
  <c r="L895" i="1"/>
  <c r="Q935" i="1" l="1"/>
  <c r="Q951" i="1" s="1"/>
  <c r="N935" i="1"/>
  <c r="N951" i="1" s="1"/>
  <c r="P935" i="1"/>
  <c r="P951" i="1" s="1"/>
  <c r="O935" i="1"/>
  <c r="O951" i="1" s="1"/>
  <c r="R935" i="1"/>
  <c r="R951" i="1" s="1"/>
  <c r="L935" i="1"/>
  <c r="L951" i="1" s="1"/>
  <c r="L925" i="1"/>
  <c r="R925" i="1"/>
  <c r="R898" i="1"/>
  <c r="L898" i="1"/>
  <c r="R894" i="1"/>
  <c r="L894" i="1"/>
  <c r="R888" i="1"/>
  <c r="R889" i="1"/>
  <c r="L888" i="1"/>
  <c r="L889" i="1"/>
  <c r="L887" i="1"/>
  <c r="R887" i="1"/>
  <c r="L886" i="1"/>
  <c r="R886" i="1"/>
  <c r="R885" i="1"/>
  <c r="R884" i="1"/>
  <c r="L883" i="1"/>
  <c r="R883" i="1"/>
  <c r="R882" i="1"/>
  <c r="R881" i="1"/>
  <c r="R875" i="1"/>
  <c r="R874" i="1"/>
  <c r="R876" i="1"/>
  <c r="R877" i="1"/>
  <c r="R878" i="1"/>
  <c r="R879" i="1"/>
  <c r="R880" i="1"/>
  <c r="L880" i="1"/>
  <c r="L879" i="1"/>
  <c r="L878" i="1"/>
  <c r="L904" i="1" l="1"/>
  <c r="R904" i="1"/>
  <c r="P891" i="1"/>
  <c r="Q891" i="1"/>
  <c r="L874" i="1"/>
  <c r="R873" i="1"/>
  <c r="L873" i="1"/>
  <c r="R870" i="1"/>
  <c r="L882" i="1"/>
  <c r="L884" i="1"/>
  <c r="L885" i="1"/>
  <c r="L881" i="1"/>
  <c r="L876" i="1"/>
  <c r="L875" i="1"/>
  <c r="L870" i="1"/>
  <c r="Q904" i="1" l="1"/>
  <c r="P904" i="1"/>
  <c r="R891" i="1"/>
  <c r="R869" i="1"/>
  <c r="L869" i="1"/>
  <c r="R868" i="1"/>
  <c r="L868" i="1"/>
  <c r="R859" i="1"/>
  <c r="R860" i="1"/>
  <c r="R861" i="1"/>
  <c r="R862" i="1"/>
  <c r="R863" i="1"/>
  <c r="R864" i="1"/>
  <c r="R865" i="1"/>
  <c r="R866" i="1"/>
  <c r="R867" i="1"/>
  <c r="L867" i="1"/>
  <c r="L864" i="1" l="1"/>
  <c r="L866" i="1"/>
  <c r="L865" i="1"/>
  <c r="L863" i="1"/>
  <c r="L862" i="1"/>
  <c r="L877" i="1"/>
  <c r="R858" i="1"/>
  <c r="R857" i="1"/>
  <c r="L859" i="1"/>
  <c r="L858" i="1"/>
  <c r="L857" i="1"/>
  <c r="L852" i="1"/>
  <c r="R852" i="1"/>
  <c r="L851" i="1"/>
  <c r="R851" i="1"/>
  <c r="R849" i="1"/>
  <c r="R850" i="1"/>
  <c r="L849" i="1"/>
  <c r="L850" i="1"/>
  <c r="L848" i="1"/>
  <c r="L1016" i="1"/>
  <c r="R845" i="1"/>
  <c r="L847" i="1"/>
  <c r="L826" i="1"/>
  <c r="R822" i="1"/>
  <c r="R823" i="1"/>
  <c r="R824" i="1"/>
  <c r="R825" i="1"/>
  <c r="R826" i="1"/>
  <c r="L823" i="1"/>
  <c r="L824" i="1"/>
  <c r="L825" i="1"/>
  <c r="R846" i="1" l="1"/>
  <c r="R847" i="1"/>
  <c r="R848" i="1"/>
  <c r="R1015" i="1"/>
  <c r="R1016" i="1"/>
  <c r="R1017" i="1"/>
  <c r="R1018" i="1"/>
  <c r="R1019" i="1"/>
  <c r="R844" i="1"/>
  <c r="J1021" i="1"/>
  <c r="L846" i="1"/>
  <c r="L845" i="1"/>
  <c r="L844" i="1"/>
  <c r="L841" i="1"/>
  <c r="L840" i="1"/>
  <c r="L839" i="1"/>
  <c r="L838" i="1"/>
  <c r="L837" i="1"/>
  <c r="L836" i="1"/>
  <c r="L835" i="1"/>
  <c r="L834" i="1"/>
  <c r="L833" i="1"/>
  <c r="L822" i="1"/>
  <c r="L832" i="1"/>
  <c r="L831" i="1"/>
  <c r="L830" i="1"/>
  <c r="L829" i="1"/>
  <c r="L828" i="1"/>
  <c r="K820" i="1"/>
  <c r="R820" i="1" s="1"/>
  <c r="L817" i="1"/>
  <c r="L818" i="1"/>
  <c r="L819" i="1"/>
  <c r="L821" i="1"/>
  <c r="R818" i="1"/>
  <c r="R819" i="1"/>
  <c r="R821" i="1"/>
  <c r="R817" i="1"/>
  <c r="R816" i="1"/>
  <c r="L816" i="1"/>
  <c r="R805" i="1"/>
  <c r="R806" i="1"/>
  <c r="L806" i="1"/>
  <c r="L803" i="1"/>
  <c r="L804" i="1"/>
  <c r="L805" i="1"/>
  <c r="Q813" i="1"/>
  <c r="Q812" i="1"/>
  <c r="Q811" i="1"/>
  <c r="Q810" i="1"/>
  <c r="Q809" i="1"/>
  <c r="Q808" i="1"/>
  <c r="R804" i="1"/>
  <c r="R803" i="1"/>
  <c r="R802" i="1"/>
  <c r="L802" i="1"/>
  <c r="L788" i="1"/>
  <c r="R788" i="1"/>
  <c r="L784" i="1"/>
  <c r="R784" i="1"/>
  <c r="L783" i="1"/>
  <c r="R783" i="1"/>
  <c r="L781" i="1"/>
  <c r="R781" i="1"/>
  <c r="R777" i="1"/>
  <c r="L777" i="1"/>
  <c r="R776" i="1"/>
  <c r="L772" i="1"/>
  <c r="U774" i="1" s="1"/>
  <c r="L773" i="1"/>
  <c r="L774" i="1"/>
  <c r="L775" i="1"/>
  <c r="L776" i="1"/>
  <c r="L778" i="1"/>
  <c r="L779" i="1"/>
  <c r="L780" i="1"/>
  <c r="L782" i="1"/>
  <c r="L785" i="1"/>
  <c r="L786" i="1"/>
  <c r="L787" i="1"/>
  <c r="M782" i="1"/>
  <c r="M800" i="1" s="1"/>
  <c r="R773" i="1"/>
  <c r="R772" i="1"/>
  <c r="R787" i="1"/>
  <c r="R786" i="1"/>
  <c r="Q796" i="1"/>
  <c r="Q795" i="1"/>
  <c r="Q794" i="1"/>
  <c r="Q793" i="1"/>
  <c r="Q792" i="1"/>
  <c r="Q791" i="1"/>
  <c r="R785" i="1"/>
  <c r="R780" i="1"/>
  <c r="R782" i="1"/>
  <c r="R779" i="1"/>
  <c r="P800" i="1"/>
  <c r="K800" i="1"/>
  <c r="J800" i="1"/>
  <c r="R774" i="1"/>
  <c r="R775" i="1"/>
  <c r="R778" i="1"/>
  <c r="R771" i="1"/>
  <c r="L771" i="1"/>
  <c r="L766" i="1"/>
  <c r="R766" i="1"/>
  <c r="R767" i="1"/>
  <c r="L767" i="1"/>
  <c r="R765" i="1"/>
  <c r="L765" i="1"/>
  <c r="R764" i="1"/>
  <c r="L764" i="1"/>
  <c r="Q769" i="1"/>
  <c r="R762" i="1"/>
  <c r="R761" i="1"/>
  <c r="S761" i="1" s="1"/>
  <c r="R763" i="1"/>
  <c r="L762" i="1"/>
  <c r="L763" i="1"/>
  <c r="L761" i="1"/>
  <c r="R760" i="1"/>
  <c r="L760" i="1"/>
  <c r="L759" i="1"/>
  <c r="R759" i="1"/>
  <c r="L758" i="1"/>
  <c r="R758" i="1"/>
  <c r="L757" i="1"/>
  <c r="R757" i="1"/>
  <c r="R756" i="1"/>
  <c r="L756" i="1"/>
  <c r="K769" i="1" s="1"/>
  <c r="O769" i="1"/>
  <c r="O800" i="1" s="1"/>
  <c r="P769" i="1"/>
  <c r="N769" i="1"/>
  <c r="J769" i="1"/>
  <c r="B769" i="1"/>
  <c r="B800" i="1" s="1"/>
  <c r="R755" i="1"/>
  <c r="L820" i="1" l="1"/>
  <c r="R842" i="1"/>
  <c r="R854" i="1" s="1"/>
  <c r="P814" i="1"/>
  <c r="J814" i="1"/>
  <c r="K814" i="1"/>
  <c r="B814" i="1"/>
  <c r="O814" i="1"/>
  <c r="Q800" i="1"/>
  <c r="L800" i="1"/>
  <c r="N800" i="1" s="1"/>
  <c r="R800" i="1"/>
  <c r="R754" i="1"/>
  <c r="L754" i="1"/>
  <c r="R753" i="1"/>
  <c r="L753" i="1"/>
  <c r="R749" i="1"/>
  <c r="L749" i="1"/>
  <c r="R746" i="1"/>
  <c r="R747" i="1"/>
  <c r="R748" i="1"/>
  <c r="L746" i="1"/>
  <c r="L747" i="1"/>
  <c r="L748" i="1"/>
  <c r="O842" i="1" l="1"/>
  <c r="O854" i="1" s="1"/>
  <c r="B842" i="1"/>
  <c r="B854" i="1" s="1"/>
  <c r="K842" i="1"/>
  <c r="P842" i="1"/>
  <c r="Q814" i="1"/>
  <c r="M814" i="1"/>
  <c r="R769" i="1"/>
  <c r="L769" i="1"/>
  <c r="R742" i="1"/>
  <c r="R743" i="1"/>
  <c r="L742" i="1"/>
  <c r="L739" i="1"/>
  <c r="L740" i="1"/>
  <c r="L741" i="1"/>
  <c r="R739" i="1"/>
  <c r="R740" i="1"/>
  <c r="R741" i="1"/>
  <c r="L750" i="1"/>
  <c r="L745" i="1"/>
  <c r="R744" i="1"/>
  <c r="R745" i="1"/>
  <c r="R750" i="1"/>
  <c r="L744" i="1"/>
  <c r="L743" i="1"/>
  <c r="Q736" i="1"/>
  <c r="P736" i="1"/>
  <c r="O736" i="1"/>
  <c r="N736" i="1"/>
  <c r="K736" i="1"/>
  <c r="K751" i="1" s="1"/>
  <c r="J736" i="1"/>
  <c r="J751" i="1" s="1"/>
  <c r="B736" i="1"/>
  <c r="B751" i="1" s="1"/>
  <c r="L732" i="1"/>
  <c r="R730" i="1"/>
  <c r="R731" i="1"/>
  <c r="R732" i="1"/>
  <c r="L730" i="1"/>
  <c r="R729" i="1"/>
  <c r="L729" i="1"/>
  <c r="R728" i="1"/>
  <c r="L728" i="1"/>
  <c r="R727" i="1"/>
  <c r="L727" i="1"/>
  <c r="L725" i="1"/>
  <c r="R722" i="1"/>
  <c r="L722" i="1"/>
  <c r="L720" i="1"/>
  <c r="R720" i="1"/>
  <c r="R716" i="1"/>
  <c r="R717" i="1"/>
  <c r="R718" i="1"/>
  <c r="L716" i="1"/>
  <c r="L717" i="1"/>
  <c r="L718" i="1"/>
  <c r="L731" i="1"/>
  <c r="R724" i="1"/>
  <c r="R725" i="1"/>
  <c r="R726" i="1"/>
  <c r="L726" i="1"/>
  <c r="L724" i="1"/>
  <c r="R721" i="1"/>
  <c r="L721" i="1"/>
  <c r="L719" i="1"/>
  <c r="R719" i="1"/>
  <c r="L521" i="1"/>
  <c r="L520" i="1"/>
  <c r="L519" i="1"/>
  <c r="L518" i="1"/>
  <c r="R712" i="1"/>
  <c r="L712" i="1"/>
  <c r="R711" i="1"/>
  <c r="R710" i="1"/>
  <c r="L711" i="1"/>
  <c r="L710" i="1"/>
  <c r="R709" i="1"/>
  <c r="L709" i="1"/>
  <c r="L708" i="1"/>
  <c r="L707" i="1"/>
  <c r="L706" i="1"/>
  <c r="L705" i="1"/>
  <c r="B715" i="1"/>
  <c r="K715" i="1"/>
  <c r="J715" i="1"/>
  <c r="P854" i="1" l="1"/>
  <c r="Q842" i="1"/>
  <c r="Q854" i="1" s="1"/>
  <c r="K854" i="1"/>
  <c r="M842" i="1"/>
  <c r="L814" i="1"/>
  <c r="N751" i="1"/>
  <c r="P751" i="1"/>
  <c r="Q751" i="1"/>
  <c r="O751" i="1"/>
  <c r="L736" i="1"/>
  <c r="L751" i="1" s="1"/>
  <c r="R736" i="1"/>
  <c r="R751" i="1" s="1"/>
  <c r="R705" i="1"/>
  <c r="R706" i="1"/>
  <c r="R707" i="1"/>
  <c r="R708" i="1"/>
  <c r="R704" i="1"/>
  <c r="L704" i="1"/>
  <c r="R703" i="1"/>
  <c r="L703" i="1"/>
  <c r="R702" i="1"/>
  <c r="L702" i="1"/>
  <c r="R699" i="1"/>
  <c r="L699" i="1"/>
  <c r="R698" i="1"/>
  <c r="L698" i="1"/>
  <c r="L697" i="1"/>
  <c r="L695" i="1"/>
  <c r="L694" i="1"/>
  <c r="R693" i="1"/>
  <c r="R694" i="1"/>
  <c r="R695" i="1"/>
  <c r="R696" i="1"/>
  <c r="R697" i="1"/>
  <c r="L692" i="1"/>
  <c r="R692" i="1"/>
  <c r="L693" i="1"/>
  <c r="B700" i="1"/>
  <c r="J700" i="1"/>
  <c r="K700" i="1"/>
  <c r="N700" i="1"/>
  <c r="N715" i="1" s="1"/>
  <c r="O700" i="1"/>
  <c r="O715" i="1" s="1"/>
  <c r="P700" i="1"/>
  <c r="P715" i="1" s="1"/>
  <c r="Q700" i="1"/>
  <c r="Q715" i="1" s="1"/>
  <c r="R691" i="1"/>
  <c r="R690" i="1"/>
  <c r="L683" i="1"/>
  <c r="L690" i="1"/>
  <c r="L691" i="1"/>
  <c r="L696" i="1"/>
  <c r="R683" i="1"/>
  <c r="R682" i="1"/>
  <c r="R681" i="1"/>
  <c r="L682" i="1"/>
  <c r="L681" i="1"/>
  <c r="M854" i="1" l="1"/>
  <c r="L842" i="1"/>
  <c r="N814" i="1"/>
  <c r="R814" i="1"/>
  <c r="L715" i="1"/>
  <c r="R715" i="1"/>
  <c r="L700" i="1"/>
  <c r="R700" i="1"/>
  <c r="R680" i="1"/>
  <c r="R677" i="1"/>
  <c r="R678" i="1"/>
  <c r="R679" i="1"/>
  <c r="L680" i="1"/>
  <c r="L679" i="1"/>
  <c r="L678" i="1"/>
  <c r="L677" i="1"/>
  <c r="R676" i="1"/>
  <c r="L675" i="1"/>
  <c r="L676" i="1"/>
  <c r="L674" i="1"/>
  <c r="L673" i="1"/>
  <c r="L672" i="1"/>
  <c r="L671" i="1"/>
  <c r="L670" i="1"/>
  <c r="J688" i="1"/>
  <c r="K688" i="1"/>
  <c r="R670" i="1"/>
  <c r="R671" i="1"/>
  <c r="R672" i="1"/>
  <c r="R673" i="1"/>
  <c r="R674" i="1"/>
  <c r="R675" i="1"/>
  <c r="R687" i="1"/>
  <c r="R669" i="1"/>
  <c r="L669" i="1"/>
  <c r="L668" i="1"/>
  <c r="R668" i="1"/>
  <c r="L664" i="1"/>
  <c r="L662" i="1"/>
  <c r="L663" i="1"/>
  <c r="L661" i="1"/>
  <c r="L660" i="1"/>
  <c r="L659" i="1"/>
  <c r="R659" i="1"/>
  <c r="R660" i="1"/>
  <c r="R661" i="1"/>
  <c r="R662" i="1"/>
  <c r="R663" i="1"/>
  <c r="R664" i="1"/>
  <c r="R665" i="1"/>
  <c r="R653" i="1"/>
  <c r="L656" i="1"/>
  <c r="R656" i="1"/>
  <c r="L658" i="1"/>
  <c r="R657" i="1"/>
  <c r="L657" i="1"/>
  <c r="L652" i="1"/>
  <c r="L653" i="1"/>
  <c r="L654" i="1"/>
  <c r="L655" i="1"/>
  <c r="R652" i="1"/>
  <c r="R654" i="1"/>
  <c r="R655" i="1"/>
  <c r="R658" i="1"/>
  <c r="K666" i="1"/>
  <c r="J666" i="1"/>
  <c r="B666" i="1"/>
  <c r="B688" i="1" s="1"/>
  <c r="S666" i="1"/>
  <c r="S688" i="1" s="1"/>
  <c r="R651" i="1"/>
  <c r="T651" i="1" s="1"/>
  <c r="T666" i="1" s="1"/>
  <c r="T688" i="1" s="1"/>
  <c r="L651" i="1"/>
  <c r="N842" i="1" l="1"/>
  <c r="L854" i="1"/>
  <c r="N854" i="1" s="1"/>
  <c r="S700" i="1"/>
  <c r="T700" i="1"/>
  <c r="L688" i="1"/>
  <c r="R688" i="1"/>
  <c r="L666" i="1"/>
  <c r="R666" i="1"/>
  <c r="L647" i="1"/>
  <c r="L646" i="1"/>
  <c r="L645" i="1"/>
  <c r="L644" i="1"/>
  <c r="L643" i="1"/>
  <c r="L642" i="1"/>
  <c r="R640" i="1"/>
  <c r="L640" i="1"/>
  <c r="L639" i="1"/>
  <c r="R641" i="1"/>
  <c r="R642" i="1"/>
  <c r="R643" i="1"/>
  <c r="R644" i="1"/>
  <c r="R645" i="1"/>
  <c r="R646" i="1"/>
  <c r="R647" i="1"/>
  <c r="R648" i="1"/>
  <c r="R639" i="1"/>
  <c r="L641" i="1"/>
  <c r="T715" i="1" l="1"/>
  <c r="S715" i="1"/>
  <c r="R638" i="1"/>
  <c r="L638" i="1"/>
  <c r="L637" i="1"/>
  <c r="R637" i="1"/>
  <c r="L636" i="1"/>
  <c r="R636" i="1"/>
  <c r="R634" i="1"/>
  <c r="R635" i="1"/>
  <c r="L634" i="1"/>
  <c r="L635" i="1"/>
  <c r="L633" i="1"/>
  <c r="S736" i="1" l="1"/>
  <c r="T736" i="1"/>
  <c r="R632" i="1"/>
  <c r="L632" i="1"/>
  <c r="R633" i="1"/>
  <c r="T751" i="1" l="1"/>
  <c r="S751" i="1"/>
  <c r="R649" i="1"/>
  <c r="L628" i="1"/>
  <c r="R628" i="1"/>
  <c r="R626" i="1"/>
  <c r="L626" i="1"/>
  <c r="L625" i="1"/>
  <c r="R625" i="1"/>
  <c r="R621" i="1"/>
  <c r="R622" i="1"/>
  <c r="R623" i="1"/>
  <c r="R624" i="1"/>
  <c r="L624" i="1"/>
  <c r="L621" i="1"/>
  <c r="L622" i="1"/>
  <c r="L623" i="1"/>
  <c r="R620" i="1"/>
  <c r="L620" i="1"/>
  <c r="S769" i="1" l="1"/>
  <c r="T769" i="1"/>
  <c r="K630" i="1"/>
  <c r="B630" i="1"/>
  <c r="R619" i="1"/>
  <c r="R630" i="1" s="1"/>
  <c r="L619" i="1"/>
  <c r="L630" i="1" s="1"/>
  <c r="L649" i="1" s="1"/>
  <c r="L616" i="1"/>
  <c r="R616" i="1"/>
  <c r="R615" i="1"/>
  <c r="L615" i="1"/>
  <c r="L614" i="1"/>
  <c r="R614" i="1"/>
  <c r="R613" i="1"/>
  <c r="L613" i="1"/>
  <c r="B617" i="1"/>
  <c r="R612" i="1"/>
  <c r="L611" i="1"/>
  <c r="R611" i="1"/>
  <c r="R609" i="1"/>
  <c r="R610" i="1"/>
  <c r="L609" i="1"/>
  <c r="L610" i="1"/>
  <c r="R608" i="1"/>
  <c r="L608" i="1"/>
  <c r="L607" i="1"/>
  <c r="L612" i="1"/>
  <c r="L606" i="1"/>
  <c r="L605" i="1"/>
  <c r="L604" i="1"/>
  <c r="R606" i="1"/>
  <c r="R605" i="1"/>
  <c r="R604" i="1"/>
  <c r="R603" i="1"/>
  <c r="R602" i="1"/>
  <c r="L603" i="1"/>
  <c r="L602" i="1"/>
  <c r="R601" i="1"/>
  <c r="L601" i="1"/>
  <c r="J617" i="1"/>
  <c r="K599" i="1"/>
  <c r="K617" i="1" s="1"/>
  <c r="L598" i="1"/>
  <c r="R598" i="1"/>
  <c r="R600" i="1"/>
  <c r="Q600" i="1"/>
  <c r="L600" i="1"/>
  <c r="L590" i="1"/>
  <c r="Q590" i="1"/>
  <c r="R590" i="1"/>
  <c r="L589" i="1"/>
  <c r="Q589" i="1"/>
  <c r="R589" i="1"/>
  <c r="R582" i="1"/>
  <c r="R583" i="1"/>
  <c r="R584" i="1"/>
  <c r="R585" i="1"/>
  <c r="R586" i="1"/>
  <c r="R587" i="1"/>
  <c r="R588" i="1"/>
  <c r="R591" i="1"/>
  <c r="R592" i="1"/>
  <c r="R593" i="1"/>
  <c r="R594" i="1"/>
  <c r="R581" i="1"/>
  <c r="Q581" i="1"/>
  <c r="T800" i="1" l="1"/>
  <c r="T814" i="1" s="1"/>
  <c r="T842" i="1" s="1"/>
  <c r="S800" i="1"/>
  <c r="S814" i="1" s="1"/>
  <c r="B649" i="1"/>
  <c r="K649" i="1"/>
  <c r="J630" i="1"/>
  <c r="J649" i="1" s="1"/>
  <c r="T619" i="1"/>
  <c r="T630" i="1" s="1"/>
  <c r="R599" i="1"/>
  <c r="R617" i="1" s="1"/>
  <c r="L599" i="1"/>
  <c r="L617" i="1" s="1"/>
  <c r="Q599" i="1"/>
  <c r="R596" i="1"/>
  <c r="T904" i="1" l="1"/>
  <c r="T891" i="1"/>
  <c r="T871" i="1"/>
  <c r="S842" i="1"/>
  <c r="T649" i="1"/>
  <c r="Q582" i="1"/>
  <c r="L582" i="1"/>
  <c r="Q592" i="1"/>
  <c r="Q593" i="1"/>
  <c r="L591" i="1"/>
  <c r="L592" i="1"/>
  <c r="L593" i="1"/>
  <c r="Q591" i="1"/>
  <c r="Q584" i="1"/>
  <c r="Q585" i="1"/>
  <c r="Q586" i="1"/>
  <c r="Q587" i="1"/>
  <c r="Q588" i="1"/>
  <c r="L581" i="1"/>
  <c r="L584" i="1"/>
  <c r="L585" i="1"/>
  <c r="L586" i="1"/>
  <c r="L587" i="1"/>
  <c r="L588" i="1"/>
  <c r="L583" i="1"/>
  <c r="Q583" i="1"/>
  <c r="Q577" i="1"/>
  <c r="L577" i="1"/>
  <c r="L576" i="1"/>
  <c r="Q576" i="1"/>
  <c r="S854" i="1" l="1"/>
  <c r="Q575" i="1"/>
  <c r="L575" i="1"/>
  <c r="Q574" i="1"/>
  <c r="L574" i="1"/>
  <c r="Q573" i="1"/>
  <c r="L573" i="1"/>
  <c r="Q572" i="1"/>
  <c r="L572" i="1"/>
  <c r="J579" i="1"/>
  <c r="J596" i="1" s="1"/>
  <c r="K579" i="1"/>
  <c r="K596" i="1" s="1"/>
  <c r="L571" i="1"/>
  <c r="Q569" i="1"/>
  <c r="Q570" i="1"/>
  <c r="Q571" i="1"/>
  <c r="L570" i="1"/>
  <c r="L569" i="1"/>
  <c r="Q568" i="1"/>
  <c r="L568" i="1"/>
  <c r="Q562" i="1"/>
  <c r="L562" i="1"/>
  <c r="Q579" i="1" l="1"/>
  <c r="Q596" i="1" s="1"/>
  <c r="Q561" i="1"/>
  <c r="L561" i="1" l="1"/>
  <c r="L560" i="1"/>
  <c r="Q560" i="1"/>
  <c r="L559" i="1"/>
  <c r="Q553" i="1"/>
  <c r="Q554" i="1"/>
  <c r="Q555" i="1"/>
  <c r="Q556" i="1"/>
  <c r="Q557" i="1"/>
  <c r="Q558" i="1"/>
  <c r="Q559" i="1"/>
  <c r="Q566" i="1"/>
  <c r="L558" i="1"/>
  <c r="L557" i="1"/>
  <c r="L555" i="1"/>
  <c r="L556" i="1"/>
  <c r="L554" i="1"/>
  <c r="L553" i="1"/>
  <c r="L552" i="1"/>
  <c r="L549" i="1"/>
  <c r="N567" i="1"/>
  <c r="N579" i="1" s="1"/>
  <c r="O567" i="1"/>
  <c r="O579" i="1" s="1"/>
  <c r="P567" i="1"/>
  <c r="P579" i="1" s="1"/>
  <c r="K567" i="1"/>
  <c r="Q546" i="1"/>
  <c r="Q547" i="1"/>
  <c r="Q548" i="1"/>
  <c r="Q549" i="1"/>
  <c r="Q550" i="1"/>
  <c r="Q551" i="1"/>
  <c r="Q552" i="1"/>
  <c r="L547" i="1"/>
  <c r="L548" i="1"/>
  <c r="L550" i="1"/>
  <c r="L551" i="1"/>
  <c r="P596" i="1" l="1"/>
  <c r="O596" i="1"/>
  <c r="N596" i="1"/>
  <c r="L546" i="1"/>
  <c r="Q544" i="1"/>
  <c r="L544" i="1"/>
  <c r="Q545" i="1"/>
  <c r="L545" i="1"/>
  <c r="L539" i="1"/>
  <c r="K542" i="1"/>
  <c r="I8" i="5"/>
  <c r="L8" i="5"/>
  <c r="M8" i="5"/>
  <c r="R538" i="1"/>
  <c r="L538" i="1"/>
  <c r="R537" i="1"/>
  <c r="L528" i="1"/>
  <c r="L537" i="1"/>
  <c r="Q536" i="1"/>
  <c r="L536" i="1"/>
  <c r="Q529" i="1"/>
  <c r="Q530" i="1"/>
  <c r="Q531" i="1"/>
  <c r="Q532" i="1"/>
  <c r="Q533" i="1"/>
  <c r="Q534" i="1"/>
  <c r="Q535" i="1"/>
  <c r="Q537" i="1"/>
  <c r="Q538" i="1"/>
  <c r="Q539" i="1"/>
  <c r="Q540" i="1"/>
  <c r="Q528" i="1"/>
  <c r="L535" i="1"/>
  <c r="L534" i="1"/>
  <c r="L533" i="1"/>
  <c r="L532" i="1"/>
  <c r="L531" i="1"/>
  <c r="L530" i="1"/>
  <c r="Q518" i="1"/>
  <c r="N617" i="1" l="1"/>
  <c r="O617" i="1"/>
  <c r="P617" i="1"/>
  <c r="L567" i="1"/>
  <c r="L579" i="1" s="1"/>
  <c r="Q567" i="1"/>
  <c r="Q542" i="1"/>
  <c r="L529" i="1"/>
  <c r="Q506" i="1"/>
  <c r="L506" i="1"/>
  <c r="L517" i="1"/>
  <c r="Q517" i="1"/>
  <c r="L514" i="1"/>
  <c r="L515" i="1"/>
  <c r="L516" i="1"/>
  <c r="Q514" i="1"/>
  <c r="Q515" i="1"/>
  <c r="Q516" i="1"/>
  <c r="Q512" i="1"/>
  <c r="L512" i="1"/>
  <c r="Q511" i="1"/>
  <c r="L511" i="1"/>
  <c r="L510" i="1"/>
  <c r="Q510" i="1"/>
  <c r="L509" i="1"/>
  <c r="Q505" i="1"/>
  <c r="Q507" i="1"/>
  <c r="Q508" i="1"/>
  <c r="Q509" i="1"/>
  <c r="Q513" i="1"/>
  <c r="L513" i="1"/>
  <c r="L525" i="1"/>
  <c r="L508" i="1"/>
  <c r="L507" i="1"/>
  <c r="L505" i="1"/>
  <c r="L504" i="1"/>
  <c r="K526" i="1"/>
  <c r="Q501" i="1"/>
  <c r="Q502" i="1"/>
  <c r="Q503" i="1"/>
  <c r="Q504" i="1"/>
  <c r="Q525" i="1"/>
  <c r="Q500" i="1"/>
  <c r="L503" i="1"/>
  <c r="L502" i="1"/>
  <c r="L501" i="1"/>
  <c r="L500" i="1"/>
  <c r="L495" i="1"/>
  <c r="L496" i="1"/>
  <c r="L497" i="1"/>
  <c r="L498" i="1"/>
  <c r="Q493" i="1"/>
  <c r="Q494" i="1"/>
  <c r="Q495" i="1"/>
  <c r="Q496" i="1"/>
  <c r="Q497" i="1"/>
  <c r="L494" i="1"/>
  <c r="L493" i="1"/>
  <c r="Q491" i="1"/>
  <c r="Q492" i="1"/>
  <c r="L491" i="1"/>
  <c r="L492" i="1"/>
  <c r="Q490" i="1"/>
  <c r="L490" i="1"/>
  <c r="Q489" i="1"/>
  <c r="L489" i="1"/>
  <c r="L488" i="1"/>
  <c r="K499" i="1"/>
  <c r="A499" i="1"/>
  <c r="O499" i="1"/>
  <c r="I499" i="1"/>
  <c r="I526" i="1" s="1"/>
  <c r="Q488" i="1"/>
  <c r="Q487" i="1"/>
  <c r="Q486" i="1"/>
  <c r="L487" i="1"/>
  <c r="L486" i="1"/>
  <c r="L484" i="1"/>
  <c r="L483" i="1"/>
  <c r="L482" i="1"/>
  <c r="L480" i="1"/>
  <c r="L481" i="1"/>
  <c r="P630" i="1" l="1"/>
  <c r="P649" i="1" s="1"/>
  <c r="P666" i="1" s="1"/>
  <c r="O630" i="1"/>
  <c r="O649" i="1" s="1"/>
  <c r="N630" i="1"/>
  <c r="L596" i="1"/>
  <c r="I542" i="1"/>
  <c r="I567" i="1" s="1"/>
  <c r="O526" i="1"/>
  <c r="O542" i="1" s="1"/>
  <c r="Q526" i="1"/>
  <c r="Q499" i="1"/>
  <c r="Q480" i="1"/>
  <c r="Q481" i="1"/>
  <c r="Q482" i="1"/>
  <c r="Q483" i="1"/>
  <c r="Q484" i="1"/>
  <c r="Q479" i="1"/>
  <c r="L479" i="1"/>
  <c r="L468" i="1"/>
  <c r="L469" i="1"/>
  <c r="Q468" i="1"/>
  <c r="Q470" i="1"/>
  <c r="Q471" i="1"/>
  <c r="Q472" i="1"/>
  <c r="Q473" i="1"/>
  <c r="Q474" i="1"/>
  <c r="Q475" i="1"/>
  <c r="Q476" i="1"/>
  <c r="Q477" i="1"/>
  <c r="Q478" i="1"/>
  <c r="L478" i="1"/>
  <c r="P688" i="1" l="1"/>
  <c r="N649" i="1"/>
  <c r="O666" i="1"/>
  <c r="O688" i="1" s="1"/>
  <c r="L474" i="1"/>
  <c r="L472" i="1"/>
  <c r="L475" i="1"/>
  <c r="L476" i="1"/>
  <c r="L477" i="1"/>
  <c r="Q469" i="1"/>
  <c r="N666" i="1" l="1"/>
  <c r="N688" i="1" s="1"/>
  <c r="L473" i="1"/>
  <c r="L471" i="1"/>
  <c r="L465" i="1"/>
  <c r="L448" i="1"/>
  <c r="Q448" i="1"/>
  <c r="Q447" i="1"/>
  <c r="Q446" i="1"/>
  <c r="L470" i="1"/>
  <c r="L463" i="1"/>
  <c r="L462" i="1"/>
  <c r="L461" i="1"/>
  <c r="L460" i="1"/>
  <c r="L459" i="1"/>
  <c r="L447" i="1"/>
  <c r="L457" i="1"/>
  <c r="L456" i="1"/>
  <c r="L455" i="1"/>
  <c r="L454" i="1"/>
  <c r="L453" i="1"/>
  <c r="L446" i="1"/>
  <c r="L451" i="1"/>
  <c r="B466" i="1"/>
  <c r="K466" i="1"/>
  <c r="J466" i="1"/>
  <c r="J485" i="1" s="1"/>
  <c r="Q444" i="1"/>
  <c r="Q445" i="1"/>
  <c r="Q450" i="1"/>
  <c r="L444" i="1"/>
  <c r="L445" i="1"/>
  <c r="Q424" i="1"/>
  <c r="Q443" i="1"/>
  <c r="L443" i="1"/>
  <c r="Q442" i="1"/>
  <c r="L442" i="1"/>
  <c r="L421" i="1"/>
  <c r="L422" i="1"/>
  <c r="L423" i="1"/>
  <c r="L424" i="1"/>
  <c r="L425" i="1"/>
  <c r="L426" i="1"/>
  <c r="Q421" i="1"/>
  <c r="Q422" i="1"/>
  <c r="Q423" i="1"/>
  <c r="Q426" i="1"/>
  <c r="L420" i="1"/>
  <c r="B415" i="1"/>
  <c r="K438" i="1"/>
  <c r="N438" i="1"/>
  <c r="O438" i="1"/>
  <c r="P438" i="1"/>
  <c r="P466" i="1" s="1"/>
  <c r="P485" i="1" s="1"/>
  <c r="J438" i="1"/>
  <c r="Q418" i="1"/>
  <c r="Q419" i="1"/>
  <c r="Q420" i="1"/>
  <c r="Q430" i="1"/>
  <c r="Q431" i="1"/>
  <c r="Q432" i="1"/>
  <c r="L419" i="1"/>
  <c r="L418" i="1"/>
  <c r="Q417" i="1"/>
  <c r="L417" i="1"/>
  <c r="L413" i="1"/>
  <c r="Q410" i="1"/>
  <c r="Q411" i="1"/>
  <c r="Q412" i="1"/>
  <c r="Q413" i="1"/>
  <c r="L412" i="1"/>
  <c r="L410" i="1"/>
  <c r="L411" i="1"/>
  <c r="L409" i="1"/>
  <c r="Q409" i="1"/>
  <c r="Q408" i="1"/>
  <c r="L408" i="1"/>
  <c r="L407" i="1"/>
  <c r="Q405" i="1"/>
  <c r="Q406" i="1"/>
  <c r="Q407" i="1"/>
  <c r="L406" i="1"/>
  <c r="L405" i="1"/>
  <c r="L404" i="1"/>
  <c r="Q404" i="1"/>
  <c r="R406" i="1"/>
  <c r="K415" i="1"/>
  <c r="J415" i="1"/>
  <c r="L402" i="1"/>
  <c r="B485" i="1" l="1"/>
  <c r="K485" i="1"/>
  <c r="J499" i="1"/>
  <c r="J526" i="1" s="1"/>
  <c r="P499" i="1"/>
  <c r="P526" i="1" s="1"/>
  <c r="P542" i="1" s="1"/>
  <c r="Q466" i="1"/>
  <c r="Q485" i="1" s="1"/>
  <c r="L466" i="1"/>
  <c r="L485" i="1" s="1"/>
  <c r="Q438" i="1"/>
  <c r="L438" i="1"/>
  <c r="Q403" i="1"/>
  <c r="Q402" i="1"/>
  <c r="Q389" i="1"/>
  <c r="Q390" i="1"/>
  <c r="Q391" i="1"/>
  <c r="Q392" i="1"/>
  <c r="Q393" i="1"/>
  <c r="Q394" i="1"/>
  <c r="Q395" i="1"/>
  <c r="Q396" i="1"/>
  <c r="Q397" i="1"/>
  <c r="Q398" i="1"/>
  <c r="Q399" i="1"/>
  <c r="Q388" i="1"/>
  <c r="L403" i="1"/>
  <c r="L415" i="1" s="1"/>
  <c r="L399" i="1"/>
  <c r="L398" i="1"/>
  <c r="L397" i="1"/>
  <c r="L396" i="1"/>
  <c r="L395" i="1"/>
  <c r="L394" i="1"/>
  <c r="L348" i="1"/>
  <c r="Q348" i="1"/>
  <c r="L393" i="1"/>
  <c r="L392" i="1"/>
  <c r="L391" i="1"/>
  <c r="P389" i="1"/>
  <c r="L389" i="1"/>
  <c r="P390" i="1"/>
  <c r="L390" i="1"/>
  <c r="L388" i="1"/>
  <c r="Q387" i="1"/>
  <c r="L387" i="1"/>
  <c r="Q382" i="1"/>
  <c r="Q381" i="1"/>
  <c r="L382" i="1"/>
  <c r="L381" i="1"/>
  <c r="Q380" i="1"/>
  <c r="L380" i="1"/>
  <c r="Q379" i="1"/>
  <c r="L379" i="1"/>
  <c r="L378" i="1"/>
  <c r="Q378" i="1"/>
  <c r="Q377" i="1"/>
  <c r="L377" i="1"/>
  <c r="J542" i="1" l="1"/>
  <c r="J567" i="1" s="1"/>
  <c r="Q415" i="1"/>
  <c r="K400" i="1"/>
  <c r="B400" i="1"/>
  <c r="J400" i="1"/>
  <c r="Q400" i="1"/>
  <c r="P400" i="1"/>
  <c r="P415" i="1" s="1"/>
  <c r="L400" i="1"/>
  <c r="L376" i="1"/>
  <c r="Q376" i="1"/>
  <c r="K385" i="1"/>
  <c r="B385" i="1"/>
  <c r="Q375" i="1"/>
  <c r="L375" i="1"/>
  <c r="Q374" i="1"/>
  <c r="L374" i="1"/>
  <c r="Q373" i="1"/>
  <c r="L373" i="1"/>
  <c r="J385" i="1"/>
  <c r="Q372" i="1"/>
  <c r="L372" i="1"/>
  <c r="L369" i="1"/>
  <c r="Q369" i="1"/>
  <c r="Q368" i="1"/>
  <c r="Q367" i="1"/>
  <c r="L368" i="1"/>
  <c r="L367" i="1"/>
  <c r="Q366" i="1"/>
  <c r="L366" i="1"/>
  <c r="Q365" i="1"/>
  <c r="L365" i="1"/>
  <c r="Q364" i="1"/>
  <c r="Q363" i="1"/>
  <c r="L363" i="1"/>
  <c r="L364" i="1"/>
  <c r="K362" i="1"/>
  <c r="L362" i="1" s="1"/>
  <c r="L361" i="1"/>
  <c r="L360" i="1"/>
  <c r="L359" i="1"/>
  <c r="Q385" i="1" l="1"/>
  <c r="L385" i="1"/>
  <c r="Q362" i="1"/>
  <c r="L358" i="1"/>
  <c r="L357" i="1"/>
  <c r="L356" i="1"/>
  <c r="L355" i="1"/>
  <c r="K350" i="1"/>
  <c r="B350" i="1"/>
  <c r="Q354" i="1"/>
  <c r="Q355" i="1"/>
  <c r="Q356" i="1"/>
  <c r="Q357" i="1"/>
  <c r="Q358" i="1"/>
  <c r="Q359" i="1"/>
  <c r="Q360" i="1"/>
  <c r="Q361" i="1"/>
  <c r="L354" i="1" l="1"/>
  <c r="Q156" i="1"/>
  <c r="Q157" i="1"/>
  <c r="N370" i="1"/>
  <c r="O370" i="1"/>
  <c r="P370" i="1"/>
  <c r="B370" i="1"/>
  <c r="K370" i="1"/>
  <c r="Q353" i="1"/>
  <c r="Q370" i="1" s="1"/>
  <c r="L353" i="1"/>
  <c r="L349" i="1"/>
  <c r="Q349" i="1"/>
  <c r="L347" i="1"/>
  <c r="Q347" i="1"/>
  <c r="N385" i="1" l="1"/>
  <c r="P385" i="1"/>
  <c r="O385" i="1"/>
  <c r="L370" i="1"/>
  <c r="Q345" i="1"/>
  <c r="Q346" i="1"/>
  <c r="L345" i="1"/>
  <c r="L346" i="1"/>
  <c r="Q344" i="1"/>
  <c r="L344" i="1"/>
  <c r="L343" i="1"/>
  <c r="Q343" i="1"/>
  <c r="L342" i="1"/>
  <c r="Q342" i="1"/>
  <c r="Q341" i="1"/>
  <c r="L341" i="1"/>
  <c r="L340" i="1"/>
  <c r="Q340" i="1"/>
  <c r="Q339" i="1"/>
  <c r="L339" i="1"/>
  <c r="Q338" i="1"/>
  <c r="L338" i="1"/>
  <c r="Q337" i="1"/>
  <c r="L337" i="1"/>
  <c r="U283" i="1"/>
  <c r="U282" i="1"/>
  <c r="Q336" i="1"/>
  <c r="L336" i="1"/>
  <c r="Q335" i="1"/>
  <c r="L335" i="1"/>
  <c r="J350" i="1"/>
  <c r="J370" i="1" s="1"/>
  <c r="Q334" i="1"/>
  <c r="L334" i="1"/>
  <c r="Q329" i="1"/>
  <c r="U285" i="1" l="1"/>
  <c r="U287" i="1" s="1"/>
  <c r="Q333" i="1"/>
  <c r="Q350" i="1" s="1"/>
  <c r="L333" i="1"/>
  <c r="L350" i="1" s="1"/>
  <c r="L329" i="1"/>
  <c r="L328" i="1"/>
  <c r="Q328" i="1"/>
  <c r="L327" i="1"/>
  <c r="Q326" i="1"/>
  <c r="L326" i="1"/>
  <c r="Q325" i="1"/>
  <c r="L325" i="1"/>
  <c r="L324" i="1"/>
  <c r="Q324" i="1"/>
  <c r="L323" i="1"/>
  <c r="Q323" i="1"/>
  <c r="L322" i="1"/>
  <c r="Q322" i="1"/>
  <c r="Q321" i="1"/>
  <c r="Q320" i="1"/>
  <c r="Q319" i="1"/>
  <c r="Q318" i="1"/>
  <c r="L321" i="1"/>
  <c r="L320" i="1"/>
  <c r="L319" i="1"/>
  <c r="Q331" i="1" l="1"/>
  <c r="K331" i="1"/>
  <c r="J331" i="1"/>
  <c r="B331" i="1"/>
  <c r="L318" i="1"/>
  <c r="L331" i="1" s="1"/>
  <c r="Q314" i="1"/>
  <c r="L314" i="1"/>
  <c r="Q313" i="1"/>
  <c r="L313" i="1"/>
  <c r="Q312" i="1"/>
  <c r="L312" i="1"/>
  <c r="L311" i="1"/>
  <c r="Q311" i="1"/>
  <c r="Q310" i="1"/>
  <c r="L310" i="1"/>
  <c r="L309" i="1" l="1"/>
  <c r="Q309" i="1"/>
  <c r="L308" i="1"/>
  <c r="Q308" i="1"/>
  <c r="Q307" i="1"/>
  <c r="L307" i="1"/>
  <c r="Q306" i="1"/>
  <c r="L306" i="1"/>
  <c r="L305" i="1"/>
  <c r="Q305" i="1"/>
  <c r="Q304" i="1"/>
  <c r="L304" i="1"/>
  <c r="Q303" i="1"/>
  <c r="L303" i="1"/>
  <c r="J316" i="1"/>
  <c r="K316" i="1"/>
  <c r="B316" i="1"/>
  <c r="Q302" i="1"/>
  <c r="L302" i="1"/>
  <c r="Q294" i="1"/>
  <c r="Q295" i="1"/>
  <c r="Q296" i="1"/>
  <c r="Q297" i="1"/>
  <c r="Q298" i="1"/>
  <c r="Q300" i="1"/>
  <c r="Q301" i="1"/>
  <c r="Q293" i="1"/>
  <c r="S301" i="1"/>
  <c r="B299" i="1"/>
  <c r="Q299" i="1" s="1"/>
  <c r="P293" i="1"/>
  <c r="P294" i="1"/>
  <c r="P295" i="1"/>
  <c r="P296" i="1"/>
  <c r="P297" i="1"/>
  <c r="P298" i="1"/>
  <c r="P300" i="1"/>
  <c r="P301" i="1"/>
  <c r="M7" i="5"/>
  <c r="L7" i="5"/>
  <c r="I7" i="5"/>
  <c r="M6" i="5"/>
  <c r="L6" i="5"/>
  <c r="I6" i="5"/>
  <c r="M5" i="5"/>
  <c r="L5" i="5"/>
  <c r="I5" i="5"/>
  <c r="M4" i="5"/>
  <c r="L4" i="5"/>
  <c r="I4" i="5"/>
  <c r="O316" i="1"/>
  <c r="N316" i="1"/>
  <c r="L301" i="1"/>
  <c r="N331" i="1" l="1"/>
  <c r="N350" i="1" s="1"/>
  <c r="O331" i="1"/>
  <c r="O350" i="1" s="1"/>
  <c r="Q316" i="1"/>
  <c r="L300" i="1"/>
  <c r="L299" i="1"/>
  <c r="P316" i="1" l="1"/>
  <c r="L294" i="1"/>
  <c r="L295" i="1"/>
  <c r="L296" i="1"/>
  <c r="L297" i="1"/>
  <c r="L298" i="1"/>
  <c r="L293" i="1"/>
  <c r="L290" i="1"/>
  <c r="P290" i="1"/>
  <c r="Q290" i="1"/>
  <c r="P289" i="1"/>
  <c r="L289" i="1"/>
  <c r="Q289" i="1"/>
  <c r="K283" i="1"/>
  <c r="P283" i="1" s="1"/>
  <c r="K287" i="1"/>
  <c r="Q287" i="1" s="1"/>
  <c r="Q281" i="1"/>
  <c r="Q282" i="1"/>
  <c r="Q284" i="1"/>
  <c r="Q285" i="1"/>
  <c r="Q286" i="1"/>
  <c r="Q288" i="1"/>
  <c r="Q280" i="1"/>
  <c r="P331" i="1" l="1"/>
  <c r="P350" i="1" s="1"/>
  <c r="L316" i="1"/>
  <c r="Q283" i="1"/>
  <c r="L283" i="1"/>
  <c r="L286" i="1" l="1"/>
  <c r="P286" i="1"/>
  <c r="L287" i="1"/>
  <c r="P287" i="1"/>
  <c r="L288" i="1"/>
  <c r="P288" i="1"/>
  <c r="P282" i="1"/>
  <c r="P284" i="1"/>
  <c r="P285" i="1"/>
  <c r="L282" i="1"/>
  <c r="L284" i="1"/>
  <c r="L285" i="1"/>
  <c r="N291" i="1"/>
  <c r="O291" i="1"/>
  <c r="K291" i="1"/>
  <c r="B291" i="1"/>
  <c r="L281" i="1"/>
  <c r="P281" i="1"/>
  <c r="Q291" i="1"/>
  <c r="J291" i="1"/>
  <c r="P280" i="1"/>
  <c r="L280" i="1"/>
  <c r="Q276" i="1"/>
  <c r="L276" i="1"/>
  <c r="P276" i="1"/>
  <c r="L291" i="1" l="1"/>
  <c r="P291" i="1"/>
  <c r="P275" i="1"/>
  <c r="L275" i="1"/>
  <c r="Q275" i="1"/>
  <c r="P274" i="1"/>
  <c r="Q274" i="1"/>
  <c r="L274" i="1"/>
  <c r="P273" i="1"/>
  <c r="Q273" i="1"/>
  <c r="L273" i="1"/>
  <c r="P272" i="1" l="1"/>
  <c r="L272" i="1"/>
  <c r="Q272" i="1"/>
  <c r="L266" i="1"/>
  <c r="L265" i="1"/>
  <c r="P271" i="1"/>
  <c r="Q271" i="1"/>
  <c r="L271" i="1"/>
  <c r="L270" i="1"/>
  <c r="P270" i="1"/>
  <c r="Q270" i="1"/>
  <c r="P269" i="1" l="1"/>
  <c r="Q269" i="1"/>
  <c r="L269" i="1"/>
  <c r="P265" i="1"/>
  <c r="Q265" i="1"/>
  <c r="P266" i="1"/>
  <c r="Q266" i="1"/>
  <c r="P267" i="1"/>
  <c r="Q267" i="1"/>
  <c r="P268" i="1"/>
  <c r="Q268" i="1"/>
  <c r="L267" i="1"/>
  <c r="L268" i="1"/>
  <c r="P264" i="1"/>
  <c r="Q264" i="1"/>
  <c r="L264" i="1"/>
  <c r="Q263" i="1"/>
  <c r="P263" i="1"/>
  <c r="L263" i="1"/>
  <c r="B278" i="1"/>
  <c r="N278" i="1"/>
  <c r="O278" i="1"/>
  <c r="K278" i="1"/>
  <c r="J278" i="1"/>
  <c r="Q262" i="1"/>
  <c r="P262" i="1"/>
  <c r="L262" i="1"/>
  <c r="Q261" i="1"/>
  <c r="P261" i="1"/>
  <c r="L261" i="1"/>
  <c r="Q258" i="1"/>
  <c r="P258" i="1"/>
  <c r="L258" i="1"/>
  <c r="L257" i="1"/>
  <c r="Q257" i="1"/>
  <c r="P257" i="1"/>
  <c r="L256" i="1"/>
  <c r="P256" i="1"/>
  <c r="Q256" i="1"/>
  <c r="L243" i="1"/>
  <c r="Q243" i="1"/>
  <c r="P243" i="1"/>
  <c r="P254" i="1"/>
  <c r="Q254" i="1"/>
  <c r="P255" i="1"/>
  <c r="Q255" i="1"/>
  <c r="L255" i="1"/>
  <c r="L254" i="1"/>
  <c r="L253" i="1"/>
  <c r="P253" i="1"/>
  <c r="L252" i="1"/>
  <c r="P252" i="1"/>
  <c r="Q248" i="1"/>
  <c r="Q249" i="1"/>
  <c r="Q250" i="1"/>
  <c r="Q251" i="1"/>
  <c r="Q252" i="1"/>
  <c r="Q253" i="1"/>
  <c r="Q247" i="1"/>
  <c r="Q228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31" i="1"/>
  <c r="Q232" i="1"/>
  <c r="Q233" i="1"/>
  <c r="Q234" i="1"/>
  <c r="Q235" i="1"/>
  <c r="Q236" i="1"/>
  <c r="Q238" i="1"/>
  <c r="Q239" i="1"/>
  <c r="Q240" i="1"/>
  <c r="Q241" i="1"/>
  <c r="Q242" i="1"/>
  <c r="Q244" i="1"/>
  <c r="Q237" i="1"/>
  <c r="L251" i="1"/>
  <c r="P278" i="1" l="1"/>
  <c r="Q278" i="1"/>
  <c r="L278" i="1"/>
  <c r="Q245" i="1"/>
  <c r="R245" i="1" s="1"/>
  <c r="P251" i="1"/>
  <c r="P250" i="1"/>
  <c r="P249" i="1"/>
  <c r="L250" i="1"/>
  <c r="L249" i="1"/>
  <c r="P248" i="1"/>
  <c r="L248" i="1"/>
  <c r="B259" i="1"/>
  <c r="K259" i="1"/>
  <c r="P247" i="1"/>
  <c r="L247" i="1"/>
  <c r="O259" i="1"/>
  <c r="N259" i="1"/>
  <c r="J259" i="1"/>
  <c r="P225" i="1"/>
  <c r="P226" i="1"/>
  <c r="P227" i="1"/>
  <c r="P244" i="1"/>
  <c r="L237" i="1"/>
  <c r="L238" i="1"/>
  <c r="L239" i="1"/>
  <c r="L240" i="1"/>
  <c r="L241" i="1"/>
  <c r="L242" i="1"/>
  <c r="L244" i="1"/>
  <c r="B229" i="1"/>
  <c r="P242" i="1"/>
  <c r="Q259" i="1" l="1"/>
  <c r="P259" i="1"/>
  <c r="L259" i="1"/>
  <c r="B245" i="1"/>
  <c r="J245" i="1"/>
  <c r="K245" i="1"/>
  <c r="K229" i="1"/>
  <c r="P241" i="1"/>
  <c r="P240" i="1"/>
  <c r="P239" i="1" l="1"/>
  <c r="P238" i="1"/>
  <c r="P237" i="1"/>
  <c r="P236" i="1"/>
  <c r="L236" i="1"/>
  <c r="P235" i="1"/>
  <c r="L235" i="1"/>
  <c r="P234" i="1"/>
  <c r="L234" i="1"/>
  <c r="P233" i="1"/>
  <c r="L233" i="1"/>
  <c r="P228" i="1"/>
  <c r="P231" i="1"/>
  <c r="P232" i="1"/>
  <c r="L228" i="1"/>
  <c r="L231" i="1"/>
  <c r="L232" i="1"/>
  <c r="L227" i="1"/>
  <c r="L226" i="1"/>
  <c r="P245" i="1" l="1"/>
  <c r="L245" i="1"/>
  <c r="L225" i="1"/>
  <c r="L224" i="1"/>
  <c r="P224" i="1"/>
  <c r="P223" i="1"/>
  <c r="L223" i="1"/>
  <c r="P221" i="1"/>
  <c r="P222" i="1"/>
  <c r="L221" i="1"/>
  <c r="L222" i="1"/>
  <c r="L220" i="1" l="1"/>
  <c r="P220" i="1"/>
  <c r="L219" i="1"/>
  <c r="P219" i="1"/>
  <c r="L218" i="1"/>
  <c r="P218" i="1"/>
  <c r="P217" i="1" l="1"/>
  <c r="L217" i="1"/>
  <c r="P216" i="1"/>
  <c r="L216" i="1"/>
  <c r="N245" i="1" l="1"/>
  <c r="O245" i="1"/>
  <c r="Q215" i="1"/>
  <c r="P215" i="1"/>
  <c r="L215" i="1"/>
  <c r="L212" i="1"/>
  <c r="P212" i="1"/>
  <c r="Q212" i="1"/>
  <c r="Q229" i="1" l="1"/>
  <c r="R229" i="1" s="1"/>
  <c r="L229" i="1"/>
  <c r="P229" i="1"/>
  <c r="L211" i="1"/>
  <c r="P211" i="1"/>
  <c r="Q211" i="1"/>
  <c r="Q210" i="1"/>
  <c r="P210" i="1"/>
  <c r="P209" i="1"/>
  <c r="L209" i="1"/>
  <c r="Q209" i="1"/>
  <c r="L210" i="1"/>
  <c r="P201" i="1"/>
  <c r="S192" i="1"/>
  <c r="S193" i="1"/>
  <c r="T192" i="1" l="1"/>
  <c r="T193" i="1"/>
  <c r="P208" i="1"/>
  <c r="Q208" i="1"/>
  <c r="L208" i="1"/>
  <c r="P207" i="1" l="1"/>
  <c r="Q207" i="1"/>
  <c r="L207" i="1"/>
  <c r="L206" i="1"/>
  <c r="P206" i="1"/>
  <c r="Q206" i="1"/>
  <c r="P205" i="1"/>
  <c r="Q205" i="1"/>
  <c r="L205" i="1"/>
  <c r="L204" i="1" l="1"/>
  <c r="P204" i="1"/>
  <c r="Q204" i="1"/>
  <c r="P203" i="1"/>
  <c r="Q203" i="1"/>
  <c r="L203" i="1"/>
  <c r="P199" i="1"/>
  <c r="Q199" i="1"/>
  <c r="P200" i="1"/>
  <c r="Q200" i="1"/>
  <c r="P202" i="1"/>
  <c r="Q202" i="1"/>
  <c r="L200" i="1"/>
  <c r="L201" i="1"/>
  <c r="L202" i="1"/>
  <c r="L199" i="1"/>
  <c r="Q189" i="1"/>
  <c r="P189" i="1"/>
  <c r="L189" i="1"/>
  <c r="B196" i="1"/>
  <c r="J196" i="1"/>
  <c r="K196" i="1"/>
  <c r="K213" i="1"/>
  <c r="B213" i="1"/>
  <c r="Q198" i="1"/>
  <c r="P198" i="1"/>
  <c r="L198" i="1"/>
  <c r="L194" i="1"/>
  <c r="P194" i="1"/>
  <c r="Q194" i="1"/>
  <c r="L193" i="1"/>
  <c r="P192" i="1"/>
  <c r="L192" i="1"/>
  <c r="Q192" i="1"/>
  <c r="L191" i="1"/>
  <c r="Q191" i="1"/>
  <c r="P191" i="1"/>
  <c r="P184" i="1"/>
  <c r="Q184" i="1"/>
  <c r="P185" i="1"/>
  <c r="Q185" i="1"/>
  <c r="P186" i="1"/>
  <c r="Q186" i="1"/>
  <c r="P187" i="1"/>
  <c r="Q187" i="1"/>
  <c r="P188" i="1"/>
  <c r="Q188" i="1"/>
  <c r="P190" i="1"/>
  <c r="Q190" i="1"/>
  <c r="L190" i="1"/>
  <c r="P213" i="1" l="1"/>
  <c r="Q213" i="1"/>
  <c r="R213" i="1" s="1"/>
  <c r="L213" i="1"/>
  <c r="L188" i="1"/>
  <c r="L186" i="1"/>
  <c r="L187" i="1"/>
  <c r="L185" i="1"/>
  <c r="L184" i="1"/>
  <c r="M7" i="6"/>
  <c r="J213" i="1"/>
  <c r="J229" i="1" s="1"/>
  <c r="Q183" i="1"/>
  <c r="Q196" i="1" s="1"/>
  <c r="R196" i="1" s="1"/>
  <c r="T195" i="1" s="1"/>
  <c r="P183" i="1"/>
  <c r="P196" i="1" s="1"/>
  <c r="L183" i="1"/>
  <c r="P178" i="1"/>
  <c r="K178" i="1"/>
  <c r="L178" i="1" s="1"/>
  <c r="K176" i="1"/>
  <c r="P176" i="1" s="1"/>
  <c r="L177" i="1"/>
  <c r="P177" i="1"/>
  <c r="Q177" i="1"/>
  <c r="P175" i="1"/>
  <c r="L175" i="1"/>
  <c r="Q175" i="1"/>
  <c r="K174" i="1"/>
  <c r="L174" i="1" s="1"/>
  <c r="P174" i="1"/>
  <c r="M6" i="6"/>
  <c r="M5" i="6"/>
  <c r="L173" i="1"/>
  <c r="P173" i="1"/>
  <c r="Q173" i="1"/>
  <c r="P172" i="1"/>
  <c r="Q172" i="1"/>
  <c r="L172" i="1"/>
  <c r="Q171" i="1"/>
  <c r="P171" i="1"/>
  <c r="L171" i="1"/>
  <c r="P169" i="1"/>
  <c r="Q169" i="1"/>
  <c r="P170" i="1"/>
  <c r="Q170" i="1"/>
  <c r="P168" i="1"/>
  <c r="L170" i="1"/>
  <c r="L169" i="1"/>
  <c r="L164" i="1"/>
  <c r="P164" i="1"/>
  <c r="Q164" i="1"/>
  <c r="B165" i="1"/>
  <c r="K165" i="1"/>
  <c r="Q168" i="1"/>
  <c r="L168" i="1"/>
  <c r="Q167" i="1"/>
  <c r="P167" i="1"/>
  <c r="L167" i="1"/>
  <c r="P162" i="1"/>
  <c r="Q162" i="1"/>
  <c r="L162" i="1"/>
  <c r="Q161" i="1"/>
  <c r="L161" i="1"/>
  <c r="P161" i="1"/>
  <c r="Q159" i="1"/>
  <c r="L159" i="1"/>
  <c r="P159" i="1"/>
  <c r="Q158" i="1"/>
  <c r="P158" i="1"/>
  <c r="L158" i="1"/>
  <c r="P163" i="1"/>
  <c r="Q163" i="1"/>
  <c r="L163" i="1"/>
  <c r="Q160" i="1"/>
  <c r="P160" i="1"/>
  <c r="L160" i="1"/>
  <c r="L176" i="1" l="1"/>
  <c r="L181" i="1" s="1"/>
  <c r="L196" i="1"/>
  <c r="B181" i="1"/>
  <c r="Q176" i="1"/>
  <c r="Q181" i="1" s="1"/>
  <c r="K181" i="1"/>
  <c r="P181" i="1"/>
  <c r="P156" i="1"/>
  <c r="L156" i="1"/>
  <c r="P157" i="1"/>
  <c r="L157" i="1"/>
  <c r="Q152" i="1"/>
  <c r="P152" i="1"/>
  <c r="L152" i="1"/>
  <c r="L148" i="1"/>
  <c r="L149" i="1"/>
  <c r="L150" i="1"/>
  <c r="L151" i="1"/>
  <c r="P151" i="1"/>
  <c r="Q151" i="1"/>
  <c r="P150" i="1"/>
  <c r="Q150" i="1"/>
  <c r="Q149" i="1"/>
  <c r="P149" i="1"/>
  <c r="P148" i="1"/>
  <c r="Q148" i="1"/>
  <c r="L165" i="1" l="1"/>
  <c r="P165" i="1"/>
  <c r="Q165" i="1"/>
  <c r="Q147" i="1"/>
  <c r="P147" i="1"/>
  <c r="L147" i="1"/>
  <c r="L146" i="1"/>
  <c r="P146" i="1"/>
  <c r="Q146" i="1"/>
  <c r="Q145" i="1"/>
  <c r="L145" i="1"/>
  <c r="P145" i="1"/>
  <c r="R165" i="1" l="1"/>
  <c r="R181" i="1"/>
  <c r="Q138" i="1"/>
  <c r="Q139" i="1"/>
  <c r="Q140" i="1"/>
  <c r="Q141" i="1"/>
  <c r="Q142" i="1"/>
  <c r="Q143" i="1"/>
  <c r="Q144" i="1"/>
  <c r="Q137" i="1"/>
  <c r="P144" i="1"/>
  <c r="Q129" i="1"/>
  <c r="Q130" i="1"/>
  <c r="M4" i="6"/>
  <c r="P130" i="1"/>
  <c r="L130" i="1"/>
  <c r="Q128" i="1"/>
  <c r="L128" i="1"/>
  <c r="P128" i="1"/>
  <c r="L127" i="1"/>
  <c r="L126" i="1"/>
  <c r="Q126" i="1"/>
  <c r="Q127" i="1"/>
  <c r="P126" i="1"/>
  <c r="P127" i="1"/>
  <c r="P143" i="1" l="1"/>
  <c r="L140" i="1"/>
  <c r="L141" i="1"/>
  <c r="L142" i="1"/>
  <c r="L143" i="1"/>
  <c r="L144" i="1"/>
  <c r="P139" i="1"/>
  <c r="P140" i="1"/>
  <c r="P141" i="1"/>
  <c r="P142" i="1"/>
  <c r="L139" i="1"/>
  <c r="P138" i="1"/>
  <c r="L138" i="1"/>
  <c r="K154" i="1"/>
  <c r="J154" i="1"/>
  <c r="B154" i="1"/>
  <c r="P137" i="1"/>
  <c r="Q131" i="1"/>
  <c r="P131" i="1"/>
  <c r="L137" i="1"/>
  <c r="L131" i="1"/>
  <c r="P129" i="1"/>
  <c r="L129" i="1"/>
  <c r="Q125" i="1"/>
  <c r="P125" i="1"/>
  <c r="L125" i="1"/>
  <c r="Q124" i="1"/>
  <c r="P124" i="1"/>
  <c r="L124" i="1"/>
  <c r="Q123" i="1"/>
  <c r="P123" i="1"/>
  <c r="L123" i="1"/>
  <c r="B135" i="1"/>
  <c r="J135" i="1"/>
  <c r="K135" i="1"/>
  <c r="Q122" i="1"/>
  <c r="P122" i="1"/>
  <c r="L122" i="1"/>
  <c r="Q118" i="1"/>
  <c r="L118" i="1"/>
  <c r="P118" i="1"/>
  <c r="Q117" i="1"/>
  <c r="P117" i="1"/>
  <c r="L117" i="1"/>
  <c r="Q116" i="1"/>
  <c r="P116" i="1"/>
  <c r="L116" i="1"/>
  <c r="Q115" i="1"/>
  <c r="Q114" i="1"/>
  <c r="P115" i="1"/>
  <c r="P114" i="1"/>
  <c r="L115" i="1"/>
  <c r="L114" i="1"/>
  <c r="B119" i="1"/>
  <c r="K119" i="1"/>
  <c r="Q111" i="1"/>
  <c r="Q113" i="1"/>
  <c r="P113" i="1"/>
  <c r="L113" i="1"/>
  <c r="Q112" i="1"/>
  <c r="P112" i="1"/>
  <c r="L112" i="1"/>
  <c r="P111" i="1"/>
  <c r="L111" i="1"/>
  <c r="Q106" i="1"/>
  <c r="P106" i="1"/>
  <c r="L106" i="1"/>
  <c r="Q105" i="1"/>
  <c r="P105" i="1"/>
  <c r="L105" i="1"/>
  <c r="J165" i="1" l="1"/>
  <c r="J181" i="1" s="1"/>
  <c r="Q154" i="1"/>
  <c r="L154" i="1"/>
  <c r="P154" i="1"/>
  <c r="Q135" i="1"/>
  <c r="L135" i="1"/>
  <c r="P135" i="1"/>
  <c r="L119" i="1"/>
  <c r="Q119" i="1"/>
  <c r="P119" i="1"/>
  <c r="Q104" i="1"/>
  <c r="P104" i="1"/>
  <c r="L104" i="1"/>
  <c r="Q103" i="1"/>
  <c r="L103" i="1"/>
  <c r="P103" i="1"/>
  <c r="Q102" i="1"/>
  <c r="L102" i="1"/>
  <c r="P102" i="1"/>
  <c r="P100" i="1"/>
  <c r="P101" i="1"/>
  <c r="L101" i="1"/>
  <c r="Q101" i="1"/>
  <c r="L100" i="1"/>
  <c r="Q100" i="1"/>
  <c r="K98" i="1"/>
  <c r="Q98" i="1" s="1"/>
  <c r="N109" i="1"/>
  <c r="N119" i="1" s="1"/>
  <c r="N135" i="1" s="1"/>
  <c r="O109" i="1"/>
  <c r="O119" i="1" s="1"/>
  <c r="O135" i="1" s="1"/>
  <c r="Q99" i="1"/>
  <c r="P99" i="1"/>
  <c r="P98" i="1"/>
  <c r="L99" i="1"/>
  <c r="P97" i="1"/>
  <c r="L97" i="1"/>
  <c r="Q97" i="1"/>
  <c r="Q96" i="1"/>
  <c r="P96" i="1"/>
  <c r="L96" i="1"/>
  <c r="Q95" i="1"/>
  <c r="P95" i="1"/>
  <c r="L95" i="1"/>
  <c r="L94" i="1"/>
  <c r="Q94" i="1"/>
  <c r="P94" i="1"/>
  <c r="P92" i="1"/>
  <c r="L93" i="1"/>
  <c r="P93" i="1"/>
  <c r="Q93" i="1"/>
  <c r="L92" i="1"/>
  <c r="L89" i="1"/>
  <c r="P89" i="1"/>
  <c r="Q89" i="1"/>
  <c r="Q88" i="1"/>
  <c r="P88" i="1"/>
  <c r="L88" i="1"/>
  <c r="Q87" i="1"/>
  <c r="P87" i="1"/>
  <c r="Q86" i="1"/>
  <c r="P86" i="1"/>
  <c r="L87" i="1"/>
  <c r="L86" i="1"/>
  <c r="I2" i="5"/>
  <c r="J31" i="5"/>
  <c r="I31" i="5"/>
  <c r="H1" i="5"/>
  <c r="L85" i="1"/>
  <c r="P85" i="1"/>
  <c r="Q85" i="1"/>
  <c r="C90" i="1"/>
  <c r="L84" i="1"/>
  <c r="P84" i="1"/>
  <c r="Q84" i="1"/>
  <c r="P83" i="1"/>
  <c r="L83" i="1"/>
  <c r="Q83" i="1"/>
  <c r="Q82" i="1"/>
  <c r="P82" i="1"/>
  <c r="L82" i="1"/>
  <c r="Q81" i="1"/>
  <c r="Q80" i="1"/>
  <c r="P81" i="1"/>
  <c r="P80" i="1"/>
  <c r="L81" i="1"/>
  <c r="L80" i="1"/>
  <c r="P79" i="1"/>
  <c r="Q79" i="1"/>
  <c r="L79" i="1"/>
  <c r="K90" i="1"/>
  <c r="Q78" i="1"/>
  <c r="P78" i="1"/>
  <c r="L78" i="1"/>
  <c r="L74" i="1"/>
  <c r="P74" i="1"/>
  <c r="Q74" i="1"/>
  <c r="Q73" i="1"/>
  <c r="P73" i="1"/>
  <c r="L73" i="1"/>
  <c r="Q72" i="1"/>
  <c r="P72" i="1"/>
  <c r="L72" i="1"/>
  <c r="Q71" i="1"/>
  <c r="P71" i="1"/>
  <c r="L71" i="1"/>
  <c r="Q70" i="1"/>
  <c r="P70" i="1"/>
  <c r="L70" i="1"/>
  <c r="L69" i="1"/>
  <c r="Q69" i="1"/>
  <c r="P69" i="1"/>
  <c r="P68" i="1"/>
  <c r="L68" i="1"/>
  <c r="Q68" i="1"/>
  <c r="Q67" i="1"/>
  <c r="P67" i="1"/>
  <c r="L67" i="1"/>
  <c r="Q66" i="1"/>
  <c r="P66" i="1"/>
  <c r="L66" i="1"/>
  <c r="Q65" i="1"/>
  <c r="P65" i="1"/>
  <c r="L65" i="1"/>
  <c r="K75" i="1"/>
  <c r="Q64" i="1"/>
  <c r="P64" i="1"/>
  <c r="L64" i="1"/>
  <c r="K61" i="1"/>
  <c r="N154" i="1" l="1"/>
  <c r="R154" i="1"/>
  <c r="O154" i="1"/>
  <c r="O165" i="1" s="1"/>
  <c r="R135" i="1"/>
  <c r="R119" i="1"/>
  <c r="B109" i="1"/>
  <c r="P109" i="1"/>
  <c r="Q109" i="1"/>
  <c r="K109" i="1"/>
  <c r="L98" i="1"/>
  <c r="L109" i="1" s="1"/>
  <c r="Q90" i="1"/>
  <c r="R90" i="1" s="1"/>
  <c r="L90" i="1"/>
  <c r="P90" i="1"/>
  <c r="Q75" i="1"/>
  <c r="R75" i="1" s="1"/>
  <c r="P75" i="1"/>
  <c r="L75" i="1"/>
  <c r="Q60" i="1"/>
  <c r="Q59" i="1"/>
  <c r="Q58" i="1"/>
  <c r="Q57" i="1"/>
  <c r="P58" i="1"/>
  <c r="P57" i="1"/>
  <c r="L58" i="1"/>
  <c r="L57" i="1"/>
  <c r="Q23" i="1"/>
  <c r="N24" i="1"/>
  <c r="O24" i="1"/>
  <c r="P55" i="1"/>
  <c r="P56" i="1"/>
  <c r="L56" i="1"/>
  <c r="Q56" i="1"/>
  <c r="L55" i="1"/>
  <c r="Q55" i="1"/>
  <c r="P54" i="1"/>
  <c r="L54" i="1"/>
  <c r="Q54" i="1"/>
  <c r="P53" i="1"/>
  <c r="L53" i="1"/>
  <c r="Q53" i="1"/>
  <c r="O181" i="1" l="1"/>
  <c r="N165" i="1"/>
  <c r="N181" i="1" s="1"/>
  <c r="R109" i="1"/>
  <c r="P48" i="1"/>
  <c r="P49" i="1"/>
  <c r="P50" i="1"/>
  <c r="P51" i="1"/>
  <c r="P52" i="1"/>
  <c r="P47" i="1"/>
  <c r="P61" i="1" l="1"/>
  <c r="Q47" i="1"/>
  <c r="Q52" i="1"/>
  <c r="L52" i="1"/>
  <c r="L51" i="1"/>
  <c r="T12" i="1"/>
  <c r="T23" i="1" s="1"/>
  <c r="S51" i="1"/>
  <c r="Q48" i="1"/>
  <c r="Q49" i="1"/>
  <c r="Q50" i="1"/>
  <c r="L50" i="1"/>
  <c r="Q61" i="1" l="1"/>
  <c r="R61" i="1" s="1"/>
  <c r="L49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Q9" i="1"/>
  <c r="Q4" i="1"/>
  <c r="Q5" i="1"/>
  <c r="R5" i="1" s="1"/>
  <c r="Q6" i="1"/>
  <c r="Q7" i="1"/>
  <c r="Q8" i="1"/>
  <c r="Q13" i="1"/>
  <c r="Q14" i="1"/>
  <c r="Q15" i="1"/>
  <c r="Q16" i="1"/>
  <c r="Q17" i="1"/>
  <c r="Q18" i="1"/>
  <c r="Q19" i="1"/>
  <c r="Q20" i="1"/>
  <c r="Q21" i="1"/>
  <c r="Q22" i="1"/>
  <c r="Q3" i="1"/>
  <c r="R3" i="1"/>
  <c r="P3" i="1"/>
  <c r="P5" i="1"/>
  <c r="P6" i="1"/>
  <c r="P7" i="1"/>
  <c r="P8" i="1"/>
  <c r="P9" i="1"/>
  <c r="P13" i="1"/>
  <c r="P14" i="1"/>
  <c r="P15" i="1"/>
  <c r="P16" i="1"/>
  <c r="P17" i="1"/>
  <c r="P18" i="1"/>
  <c r="P19" i="1"/>
  <c r="P20" i="1"/>
  <c r="P21" i="1"/>
  <c r="P22" i="1"/>
  <c r="P23" i="1"/>
  <c r="L48" i="1"/>
  <c r="L47" i="1"/>
  <c r="L42" i="1"/>
  <c r="L41" i="1"/>
  <c r="L40" i="1"/>
  <c r="L39" i="1"/>
  <c r="L38" i="1"/>
  <c r="L37" i="1"/>
  <c r="L36" i="1"/>
  <c r="L35" i="1"/>
  <c r="P27" i="1"/>
  <c r="L27" i="1"/>
  <c r="L28" i="1"/>
  <c r="L29" i="1"/>
  <c r="L30" i="1"/>
  <c r="L31" i="1"/>
  <c r="L32" i="1"/>
  <c r="L33" i="1"/>
  <c r="L34" i="1"/>
  <c r="L61" i="1" l="1"/>
  <c r="Q44" i="1"/>
  <c r="R44" i="1" s="1"/>
  <c r="L18" i="1"/>
  <c r="L19" i="1"/>
  <c r="L20" i="1"/>
  <c r="L21" i="1"/>
  <c r="L22" i="1"/>
  <c r="L23" i="1"/>
  <c r="K11" i="1"/>
  <c r="L11" i="1" s="1"/>
  <c r="K12" i="1"/>
  <c r="L12" i="1" s="1"/>
  <c r="K10" i="1"/>
  <c r="Q10" i="1" s="1"/>
  <c r="L13" i="1"/>
  <c r="L14" i="1"/>
  <c r="L15" i="1"/>
  <c r="L16" i="1"/>
  <c r="L17" i="1"/>
  <c r="L6" i="1"/>
  <c r="L7" i="1"/>
  <c r="L8" i="1"/>
  <c r="L9" i="1"/>
  <c r="L5" i="1"/>
  <c r="L5" i="4"/>
  <c r="I5" i="4"/>
  <c r="L4" i="4"/>
  <c r="I4" i="4"/>
  <c r="L3" i="4"/>
  <c r="M3" i="4" s="1"/>
  <c r="I3" i="4"/>
  <c r="H1" i="4"/>
  <c r="P4" i="1"/>
  <c r="K1" i="1"/>
  <c r="L4" i="1"/>
  <c r="L3" i="1"/>
  <c r="P10" i="1" l="1"/>
  <c r="K24" i="1"/>
  <c r="P11" i="1"/>
  <c r="Q11" i="1"/>
  <c r="Q12" i="1"/>
  <c r="P12" i="1"/>
  <c r="L10" i="1"/>
  <c r="L24" i="1" s="1"/>
  <c r="R24" i="1" l="1"/>
  <c r="P24" i="1"/>
  <c r="Q24" i="1"/>
  <c r="N1021" i="1"/>
  <c r="N871" i="1"/>
  <c r="L44" i="1"/>
  <c r="K44" i="1"/>
  <c r="N891" i="1"/>
  <c r="L891" i="1"/>
  <c r="N44" i="1"/>
  <c r="O44" i="1"/>
  <c r="R871" i="1"/>
  <c r="R1021" i="1"/>
  <c r="K891" i="1"/>
  <c r="K871" i="1"/>
  <c r="K1021" i="1"/>
  <c r="O891" i="1"/>
  <c r="O1021" i="1"/>
  <c r="O871" i="1"/>
  <c r="O904" i="1"/>
  <c r="N904" i="1"/>
  <c r="M904" i="1"/>
  <c r="P1021" i="1"/>
  <c r="P871" i="1"/>
  <c r="B1021" i="1"/>
  <c r="B871" i="1"/>
  <c r="B891" i="1"/>
  <c r="T935" i="1"/>
  <c r="T1021" i="1"/>
  <c r="T951" i="1"/>
  <c r="T854" i="1"/>
  <c r="T925" i="1"/>
  <c r="S935" i="1"/>
  <c r="S925" i="1"/>
  <c r="S1021" i="1"/>
  <c r="S904" i="1"/>
  <c r="S951" i="1"/>
  <c r="S871" i="1"/>
  <c r="S891" i="1"/>
  <c r="Q1021" i="1"/>
  <c r="Q871" i="1"/>
  <c r="M1021" i="1"/>
  <c r="M871" i="1"/>
  <c r="M891" i="1"/>
  <c r="L871" i="1"/>
  <c r="L1021" i="1"/>
  <c r="P44" i="1"/>
</calcChain>
</file>

<file path=xl/sharedStrings.xml><?xml version="1.0" encoding="utf-8"?>
<sst xmlns="http://schemas.openxmlformats.org/spreadsheetml/2006/main" count="3046" uniqueCount="1807">
  <si>
    <t>tp</t>
  </si>
  <si>
    <t>RAVINDRA NATH MAHATO</t>
  </si>
  <si>
    <t>cd delux</t>
  </si>
  <si>
    <t>JH05AR0758</t>
  </si>
  <si>
    <t>Sadhan Patra</t>
  </si>
  <si>
    <t>echo</t>
  </si>
  <si>
    <t>JH05AF7811</t>
  </si>
  <si>
    <t>OG-21-2408-1805-00001043</t>
  </si>
  <si>
    <t>Asghar Ali</t>
  </si>
  <si>
    <t>magma</t>
  </si>
  <si>
    <t>JH05BA6540</t>
  </si>
  <si>
    <t>comp</t>
  </si>
  <si>
    <t>type</t>
  </si>
  <si>
    <t>policy number</t>
  </si>
  <si>
    <t>date</t>
  </si>
  <si>
    <t>mob</t>
  </si>
  <si>
    <t>name</t>
  </si>
  <si>
    <t>OD</t>
  </si>
  <si>
    <t>vehicle</t>
  </si>
  <si>
    <t>regn no</t>
  </si>
  <si>
    <t>rcvd=-B</t>
  </si>
  <si>
    <t>D053866643</t>
  </si>
  <si>
    <t>Digit</t>
  </si>
  <si>
    <t>Narendra Singh</t>
  </si>
  <si>
    <t>Hardeep Singh</t>
  </si>
  <si>
    <t>Ganesh Karak</t>
  </si>
  <si>
    <t>Mohammad Irshad</t>
  </si>
  <si>
    <t>Four</t>
  </si>
  <si>
    <t>TP</t>
  </si>
  <si>
    <t>rcvd2.5</t>
  </si>
  <si>
    <t>AC Comm</t>
  </si>
  <si>
    <t>rest co</t>
  </si>
  <si>
    <t>D056626772</t>
  </si>
  <si>
    <t>Preeti Soni</t>
  </si>
  <si>
    <t>RABINDRA NATH SINGH</t>
  </si>
  <si>
    <t>JH05BD4556</t>
  </si>
  <si>
    <t>D056290481</t>
  </si>
  <si>
    <t>MANIK CHAKRABORTY</t>
  </si>
  <si>
    <t>D056573802</t>
  </si>
  <si>
    <t>JH05V2129</t>
  </si>
  <si>
    <t>JH05BB8324</t>
  </si>
  <si>
    <t>D056813000</t>
  </si>
  <si>
    <t>Ramesh Vishwakarma</t>
  </si>
  <si>
    <t>JH05H3076</t>
  </si>
  <si>
    <t>JH05AF6799</t>
  </si>
  <si>
    <t>D057074115</t>
  </si>
  <si>
    <t>Rajeshwar kr tiwari</t>
  </si>
  <si>
    <t>Rajiv Kumar Tripathi</t>
  </si>
  <si>
    <t>D057155445</t>
  </si>
  <si>
    <t>JH05AY7661</t>
  </si>
  <si>
    <t>D057155571</t>
  </si>
  <si>
    <t>Piyush Kumari</t>
  </si>
  <si>
    <t>JH05L8597</t>
  </si>
  <si>
    <t>D057251113</t>
  </si>
  <si>
    <t>Tej Narayan Jha</t>
  </si>
  <si>
    <t>JH05BP6297</t>
  </si>
  <si>
    <t>Krisha Kumar</t>
  </si>
  <si>
    <t>D057304384</t>
  </si>
  <si>
    <t>JH05AR3070</t>
  </si>
  <si>
    <t>Mohammad Sahid</t>
  </si>
  <si>
    <t>D057324729</t>
  </si>
  <si>
    <t>D057393531</t>
  </si>
  <si>
    <t>Ranjit Rakshit</t>
  </si>
  <si>
    <t>JH05BK9290</t>
  </si>
  <si>
    <t>D057565936</t>
  </si>
  <si>
    <t>Goutam Mondal</t>
  </si>
  <si>
    <t>JH05S3451</t>
  </si>
  <si>
    <t>D058432484</t>
  </si>
  <si>
    <t>Raj Kumar Prasad</t>
  </si>
  <si>
    <t>JH05AE7874</t>
  </si>
  <si>
    <t>D058453564</t>
  </si>
  <si>
    <t>Jagabandhu Mahato</t>
  </si>
  <si>
    <t>JH05AL0440</t>
  </si>
  <si>
    <t>D058466637</t>
  </si>
  <si>
    <t>Pradeep Kr Majumdar</t>
  </si>
  <si>
    <t>JH05U0496</t>
  </si>
  <si>
    <t>D058595420</t>
  </si>
  <si>
    <t>Ashok Kr Ojha</t>
  </si>
  <si>
    <t>JH05AC8768</t>
  </si>
  <si>
    <t>D058692142</t>
  </si>
  <si>
    <t>Shabana Parween</t>
  </si>
  <si>
    <t>JH05BX7908</t>
  </si>
  <si>
    <t>four</t>
  </si>
  <si>
    <t>JH05BX8682</t>
  </si>
  <si>
    <t>Somnath Banerjee</t>
  </si>
  <si>
    <t>D058764099</t>
  </si>
  <si>
    <t>Sitesh chandra Roy</t>
  </si>
  <si>
    <t>JH05AQ0541</t>
  </si>
  <si>
    <t>JH05CA2984</t>
  </si>
  <si>
    <t>D058838640</t>
  </si>
  <si>
    <t>Sahdev Gorai</t>
  </si>
  <si>
    <t>JH05L3851</t>
  </si>
  <si>
    <t>CM</t>
  </si>
  <si>
    <t>D058966098</t>
  </si>
  <si>
    <t>Vishal Das</t>
  </si>
  <si>
    <t>JH05AL4145</t>
  </si>
  <si>
    <t>JH05AX1570</t>
  </si>
  <si>
    <t>Md Kasim</t>
  </si>
  <si>
    <t>D060270634</t>
  </si>
  <si>
    <t>JH05BP7593</t>
  </si>
  <si>
    <t>JH05BX9504</t>
  </si>
  <si>
    <t>Satyanarayan Das</t>
  </si>
  <si>
    <t>D061611550</t>
  </si>
  <si>
    <t>JH05R6733</t>
  </si>
  <si>
    <t>D061733118</t>
  </si>
  <si>
    <t>Narayan Kumar Jha</t>
  </si>
  <si>
    <t>JH05Q5644</t>
  </si>
  <si>
    <t>Jai Prakash Singh</t>
  </si>
  <si>
    <t>D061750214  </t>
  </si>
  <si>
    <t>JH05R9074</t>
  </si>
  <si>
    <t xml:space="preserve">D062221846  </t>
  </si>
  <si>
    <t>S  M Mishra</t>
  </si>
  <si>
    <t>JH05K0967</t>
  </si>
  <si>
    <t>DR RAMJIBAN PATHAK</t>
  </si>
  <si>
    <t xml:space="preserve">D062481146  </t>
  </si>
  <si>
    <t>JH05BL9980</t>
  </si>
  <si>
    <t>D062745033</t>
  </si>
  <si>
    <t>Anand Tigga</t>
  </si>
  <si>
    <t>JH05AT4871</t>
  </si>
  <si>
    <t>JH05AN3639</t>
  </si>
  <si>
    <t>D062787933</t>
  </si>
  <si>
    <t>D062833934</t>
  </si>
  <si>
    <t>Patter Mantial Ashok</t>
  </si>
  <si>
    <t>JH05ATL4402</t>
  </si>
  <si>
    <t>D062855974</t>
  </si>
  <si>
    <t>JH05AJ2579</t>
  </si>
  <si>
    <t>Dhananjay Gorai</t>
  </si>
  <si>
    <t>Ranjeet Mahato</t>
  </si>
  <si>
    <t>D063198089</t>
  </si>
  <si>
    <t>JH05BC5779</t>
  </si>
  <si>
    <t>shyam charan hembram</t>
  </si>
  <si>
    <t>D063381332</t>
  </si>
  <si>
    <t>JH05AU7658</t>
  </si>
  <si>
    <t>Dharmendra Kumar Singh</t>
  </si>
  <si>
    <t>D063554318</t>
  </si>
  <si>
    <t>jh05AW2190</t>
  </si>
  <si>
    <t>?</t>
  </si>
  <si>
    <t>D063577341</t>
  </si>
  <si>
    <t>GANGESWAR BISAI</t>
  </si>
  <si>
    <t>JH05AZ1876</t>
  </si>
  <si>
    <t>D063906898</t>
  </si>
  <si>
    <t>Ujjwal Kr Gorai</t>
  </si>
  <si>
    <t>JH05F7957</t>
  </si>
  <si>
    <t>D063900407</t>
  </si>
  <si>
    <t>Pran Kishore Gope</t>
  </si>
  <si>
    <t>JH09T1951</t>
  </si>
  <si>
    <t>JH05CB5551</t>
  </si>
  <si>
    <t>Gaja Bhumij</t>
  </si>
  <si>
    <t>D063937702</t>
  </si>
  <si>
    <t>cut</t>
  </si>
  <si>
    <t>Rs</t>
  </si>
  <si>
    <t>D064160723</t>
  </si>
  <si>
    <t>Ajay Kumar Jha</t>
  </si>
  <si>
    <t>JH05AW4419</t>
  </si>
  <si>
    <t>Bhumik Mahato</t>
  </si>
  <si>
    <t>D064204843</t>
  </si>
  <si>
    <t>Kartik Karmakar</t>
  </si>
  <si>
    <t>3005/247826686/00/B00</t>
  </si>
  <si>
    <t>SANJAY SHIT</t>
  </si>
  <si>
    <t>JH05BN8681</t>
  </si>
  <si>
    <t>JH05F2410</t>
  </si>
  <si>
    <t>D065458678</t>
  </si>
  <si>
    <t>SUNIL MAHATO</t>
  </si>
  <si>
    <t>Pratima Pathak</t>
  </si>
  <si>
    <t xml:space="preserve">D065990723 </t>
  </si>
  <si>
    <t>JH05W7633</t>
  </si>
  <si>
    <t>D064376960</t>
  </si>
  <si>
    <t>JH05BN5774</t>
  </si>
  <si>
    <t>D066200950</t>
  </si>
  <si>
    <t>JH05BH2498</t>
  </si>
  <si>
    <t>JITENDRA PRASAD</t>
  </si>
  <si>
    <t>D066303273</t>
  </si>
  <si>
    <t>Gaurav Munda</t>
  </si>
  <si>
    <t>D066580424</t>
  </si>
  <si>
    <t>Chandan Soren</t>
  </si>
  <si>
    <t>cmp</t>
  </si>
  <si>
    <t>D066632402</t>
  </si>
  <si>
    <t>JH05CB4767</t>
  </si>
  <si>
    <t>Swarn Singh</t>
  </si>
  <si>
    <t>D066870105</t>
  </si>
  <si>
    <t>MD SARFRAZ AHMAD</t>
  </si>
  <si>
    <t>G N Parida</t>
  </si>
  <si>
    <t>JH05BM1269</t>
  </si>
  <si>
    <t>D067010407</t>
  </si>
  <si>
    <t>JH05BF6365</t>
  </si>
  <si>
    <t>PETER REID</t>
  </si>
  <si>
    <t>D067032473</t>
  </si>
  <si>
    <t>D067314283 </t>
  </si>
  <si>
    <t>D067278013</t>
  </si>
  <si>
    <t>Suparna Biswas</t>
  </si>
  <si>
    <t>D067971805</t>
  </si>
  <si>
    <t>Jerone Stephen</t>
  </si>
  <si>
    <t>D068299192</t>
  </si>
  <si>
    <t>Suren Prasad Saw</t>
  </si>
  <si>
    <t>D068653113</t>
  </si>
  <si>
    <t>SUJIT PATRO</t>
  </si>
  <si>
    <t>Dukhu Ram Mahato</t>
  </si>
  <si>
    <t>D068768078</t>
  </si>
  <si>
    <t>JH05AS8124</t>
  </si>
  <si>
    <t>Somen Pradhan</t>
  </si>
  <si>
    <t>JH05AN6030</t>
  </si>
  <si>
    <t>D068855004</t>
  </si>
  <si>
    <t>D068929417</t>
  </si>
  <si>
    <t>JH05R9044</t>
  </si>
  <si>
    <t>Shiv narayan Thakur</t>
  </si>
  <si>
    <t>CHHOTU LAL MAHATO</t>
  </si>
  <si>
    <t>D069692688</t>
  </si>
  <si>
    <t>JH05CA0832</t>
  </si>
  <si>
    <t>Manoj Kr Singh</t>
  </si>
  <si>
    <t>D069771381</t>
  </si>
  <si>
    <t>D070868502</t>
  </si>
  <si>
    <t>JH05AB4945</t>
  </si>
  <si>
    <t>RAJESH KUMAR</t>
  </si>
  <si>
    <t>Anil Prasad Sahu</t>
  </si>
  <si>
    <t>JH05W7698</t>
  </si>
  <si>
    <t>D071437721</t>
  </si>
  <si>
    <t>Abhijit banerjee</t>
  </si>
  <si>
    <t xml:space="preserve">D071672193  </t>
  </si>
  <si>
    <t>JH05AQ0609</t>
  </si>
  <si>
    <t>D071986258</t>
  </si>
  <si>
    <t>CHITRANJAN DAS</t>
  </si>
  <si>
    <t>JH05AZ6247</t>
  </si>
  <si>
    <t>D072231970  </t>
  </si>
  <si>
    <t>JH05AR5116</t>
  </si>
  <si>
    <t>Ashok Sahu</t>
  </si>
  <si>
    <t>D072332215</t>
  </si>
  <si>
    <t>JH05BQ9408</t>
  </si>
  <si>
    <t>Sushil Horo</t>
  </si>
  <si>
    <t>JH01af6372</t>
  </si>
  <si>
    <t xml:space="preserve">D072486362  </t>
  </si>
  <si>
    <t>Md Firoz</t>
  </si>
  <si>
    <t>D073698315</t>
  </si>
  <si>
    <t>Upendra Sharma</t>
  </si>
  <si>
    <t>JH05CJ5648</t>
  </si>
  <si>
    <t>D074813363</t>
  </si>
  <si>
    <t>JH05BU2812</t>
  </si>
  <si>
    <t>D074922690</t>
  </si>
  <si>
    <t>Shabana Ali</t>
  </si>
  <si>
    <t>D075199143</t>
  </si>
  <si>
    <t>JH05AN4202</t>
  </si>
  <si>
    <t>D075298030</t>
  </si>
  <si>
    <t>D075429453</t>
  </si>
  <si>
    <t>D075430205</t>
  </si>
  <si>
    <t>Arun Gupta</t>
  </si>
  <si>
    <t>JH05AC8992</t>
  </si>
  <si>
    <t>JH05Y9804</t>
  </si>
  <si>
    <t>Pk Ganguly</t>
  </si>
  <si>
    <t>D075430912</t>
  </si>
  <si>
    <t>D076338258</t>
  </si>
  <si>
    <t>Tarun kr sahu</t>
  </si>
  <si>
    <t>JH05AL7811</t>
  </si>
  <si>
    <t>Sukanto Das</t>
  </si>
  <si>
    <t>Om Prakash kumar</t>
  </si>
  <si>
    <t>shewli bhattacharjee</t>
  </si>
  <si>
    <t>Md aftab Alam</t>
  </si>
  <si>
    <t>D073119221</t>
  </si>
  <si>
    <t>Madhuri kalpana minz</t>
  </si>
  <si>
    <t>JH05AZ1953</t>
  </si>
  <si>
    <t>D073430987</t>
  </si>
  <si>
    <t>JH05M2238</t>
  </si>
  <si>
    <t>Sushil Kumar</t>
  </si>
  <si>
    <t>D073641619</t>
  </si>
  <si>
    <t>JH05AX4653</t>
  </si>
  <si>
    <t>JH05AY0689</t>
  </si>
  <si>
    <t>D073946923</t>
  </si>
  <si>
    <t>Ranjit Pandit</t>
  </si>
  <si>
    <t>JH05X3922</t>
  </si>
  <si>
    <t>ers</t>
  </si>
  <si>
    <t>A3</t>
  </si>
  <si>
    <t>DOB</t>
  </si>
  <si>
    <t>DOJ</t>
  </si>
  <si>
    <t>PNR</t>
  </si>
  <si>
    <t>TXN NO</t>
  </si>
  <si>
    <t>MOB</t>
  </si>
  <si>
    <t>TATA</t>
  </si>
  <si>
    <t>ADI</t>
  </si>
  <si>
    <t>A2</t>
  </si>
  <si>
    <t>BASE</t>
  </si>
  <si>
    <t>CON FEE</t>
  </si>
  <si>
    <t>A S C</t>
  </si>
  <si>
    <t>total fare</t>
  </si>
  <si>
    <t>PG</t>
  </si>
  <si>
    <t>charged</t>
  </si>
  <si>
    <t>JH05AE0212</t>
  </si>
  <si>
    <t>D076652515</t>
  </si>
  <si>
    <t>Sima Das</t>
  </si>
  <si>
    <t>JH05AN5175</t>
  </si>
  <si>
    <t>D076657048</t>
  </si>
  <si>
    <t>Deepak Kumar Singh</t>
  </si>
  <si>
    <t>JH05Q2453</t>
  </si>
  <si>
    <t>D077033171</t>
  </si>
  <si>
    <t>D077075851</t>
  </si>
  <si>
    <t>RAJESH RANJAN JHA</t>
  </si>
  <si>
    <t>JH05Y3435</t>
  </si>
  <si>
    <t>Subhash Senapati</t>
  </si>
  <si>
    <t>D077124095</t>
  </si>
  <si>
    <t>JH05BX4209</t>
  </si>
  <si>
    <t>Rinki Gupta</t>
  </si>
  <si>
    <t>JH05AQ8565</t>
  </si>
  <si>
    <t>D077222965</t>
  </si>
  <si>
    <t>SHIB NATH GIRI</t>
  </si>
  <si>
    <t>D077513909</t>
  </si>
  <si>
    <t>Minhaz Ahmad</t>
  </si>
  <si>
    <t>JH05AB</t>
  </si>
  <si>
    <t>D077584322</t>
  </si>
  <si>
    <t>JH05AK8034</t>
  </si>
  <si>
    <t>Mangal</t>
  </si>
  <si>
    <t>D078706683</t>
  </si>
  <si>
    <t>Mohammad islam</t>
  </si>
  <si>
    <t>D078748917</t>
  </si>
  <si>
    <t>Akram Rasool</t>
  </si>
  <si>
    <t>JH05BB3802</t>
  </si>
  <si>
    <t>D079770733  </t>
  </si>
  <si>
    <t>D079778561</t>
  </si>
  <si>
    <t>Himani Senapati</t>
  </si>
  <si>
    <t>Rabindra Prasad</t>
  </si>
  <si>
    <t>Harinder Singh</t>
  </si>
  <si>
    <t>D079761536  </t>
  </si>
  <si>
    <t>D079824491</t>
  </si>
  <si>
    <t>Binoy Deb</t>
  </si>
  <si>
    <t>JH05AQ8841</t>
  </si>
  <si>
    <t>JH05BZ0625</t>
  </si>
  <si>
    <t>Subhash kr yadv</t>
  </si>
  <si>
    <t>D080377325</t>
  </si>
  <si>
    <t>D080621768</t>
  </si>
  <si>
    <t>WB</t>
  </si>
  <si>
    <t>Baby Pandey</t>
  </si>
  <si>
    <t>D081205470</t>
  </si>
  <si>
    <t>SHARMISTHA RANA</t>
  </si>
  <si>
    <t>JH05BB9551</t>
  </si>
  <si>
    <t>D081314079</t>
  </si>
  <si>
    <t>N LAKSHMAN</t>
  </si>
  <si>
    <t>JH05BQ2333</t>
  </si>
  <si>
    <t>Date</t>
  </si>
  <si>
    <t>Article no</t>
  </si>
  <si>
    <t>sender</t>
  </si>
  <si>
    <t>receiver</t>
  </si>
  <si>
    <t>FS101662034IN</t>
  </si>
  <si>
    <t>T K NANDI</t>
  </si>
  <si>
    <t>SATSANG-814116</t>
  </si>
  <si>
    <t>AMT</t>
  </si>
  <si>
    <t>D081571649</t>
  </si>
  <si>
    <t>JH05AQ9373</t>
  </si>
  <si>
    <t>SUBAL CHANDRA PAUL</t>
  </si>
  <si>
    <t>D081921080</t>
  </si>
  <si>
    <t>JH05BN4058</t>
  </si>
  <si>
    <t>UDAYKANT PRASAD</t>
  </si>
  <si>
    <t>Sarita singh</t>
  </si>
  <si>
    <t>JH05BH9508</t>
  </si>
  <si>
    <t>D082193819</t>
  </si>
  <si>
    <t>JH05AH5349</t>
  </si>
  <si>
    <t>D082688162</t>
  </si>
  <si>
    <t>NURUL HAKIM</t>
  </si>
  <si>
    <t>D082644508</t>
  </si>
  <si>
    <t>Rizwana Tabassum</t>
  </si>
  <si>
    <t>Comp</t>
  </si>
  <si>
    <t>SL</t>
  </si>
  <si>
    <t>KPD</t>
  </si>
  <si>
    <t> 4859848608</t>
  </si>
  <si>
    <t> 6711969958</t>
  </si>
  <si>
    <t>D082959285</t>
  </si>
  <si>
    <t>D083193751</t>
  </si>
  <si>
    <t>JH05AT3644</t>
  </si>
  <si>
    <t>KAMAL KISHORE SINGH</t>
  </si>
  <si>
    <t>D083211212</t>
  </si>
  <si>
    <t>SARAT CHANDRA DAS</t>
  </si>
  <si>
    <t>JH05BW6490</t>
  </si>
  <si>
    <t>D083549657</t>
  </si>
  <si>
    <t>H05AW3978</t>
  </si>
  <si>
    <t>Subodh Kumar</t>
  </si>
  <si>
    <t>D083992316</t>
  </si>
  <si>
    <t>Rajiv Kumar Sharma</t>
  </si>
  <si>
    <t>JH05AF6296</t>
  </si>
  <si>
    <t>JH05M1983</t>
  </si>
  <si>
    <t>Shiv Shambhu Prasad</t>
  </si>
  <si>
    <t>D085258989</t>
  </si>
  <si>
    <t>4wlr</t>
  </si>
  <si>
    <t>KQR</t>
  </si>
  <si>
    <t>D086850366</t>
  </si>
  <si>
    <t>Meena Sinha</t>
  </si>
  <si>
    <t>D086924059</t>
  </si>
  <si>
    <t>SHAHABUDDIN KHAN</t>
  </si>
  <si>
    <t>JH05AJ2236</t>
  </si>
  <si>
    <t>MD.MUMTAZ</t>
  </si>
  <si>
    <t>D086925175</t>
  </si>
  <si>
    <t>JH05BL1292</t>
  </si>
  <si>
    <t>D087109919</t>
  </si>
  <si>
    <t>Bibhuti Bhushan Mahato</t>
  </si>
  <si>
    <t>JH05AE6118</t>
  </si>
  <si>
    <t>D087772822</t>
  </si>
  <si>
    <t>Shashi Chandra</t>
  </si>
  <si>
    <t>D087906026</t>
  </si>
  <si>
    <t>D087932704</t>
  </si>
  <si>
    <t>SANJAY KUMAR KUNWAR</t>
  </si>
  <si>
    <t>Pradip Kr Mazumdar</t>
  </si>
  <si>
    <t>Md Aleem Akhtar</t>
  </si>
  <si>
    <t>Mohammad Salim</t>
  </si>
  <si>
    <t>Lav Kumar</t>
  </si>
  <si>
    <t>Dcruze Danial</t>
  </si>
  <si>
    <t>JH05Z6844</t>
  </si>
  <si>
    <t>D076363953</t>
  </si>
  <si>
    <t>JH05N3127</t>
  </si>
  <si>
    <t>D090375518</t>
  </si>
  <si>
    <t>D090490786</t>
  </si>
  <si>
    <t>JH05AQ6630</t>
  </si>
  <si>
    <t>Kakoli Sarkar</t>
  </si>
  <si>
    <t>JH05BZ4892</t>
  </si>
  <si>
    <t>D079289141</t>
  </si>
  <si>
    <t>D079357616</t>
  </si>
  <si>
    <t>VIJAY PRATAP</t>
  </si>
  <si>
    <t>Md Syed Habib</t>
  </si>
  <si>
    <t>D091156959</t>
  </si>
  <si>
    <t>Pradip kumar jaiswal</t>
  </si>
  <si>
    <t>BR16L7029</t>
  </si>
  <si>
    <t>Tej Bahadur Bhagat</t>
  </si>
  <si>
    <t>JH05AG0350</t>
  </si>
  <si>
    <t>D091713592</t>
  </si>
  <si>
    <t>Surendra Singh Yadav</t>
  </si>
  <si>
    <t>JH05AA9914</t>
  </si>
  <si>
    <t>D080651828</t>
  </si>
  <si>
    <t>D091981449</t>
  </si>
  <si>
    <t>shiv narayan thakur`</t>
  </si>
  <si>
    <t>fOUR</t>
  </si>
  <si>
    <t>COMP</t>
  </si>
  <si>
    <t>D090554170</t>
  </si>
  <si>
    <t>JH05BY0555</t>
  </si>
  <si>
    <t>D092445773</t>
  </si>
  <si>
    <t>D092479259</t>
  </si>
  <si>
    <t>JH05BC1967</t>
  </si>
  <si>
    <t>Kashmir Singh</t>
  </si>
  <si>
    <t>NADEEM AKHTAR</t>
  </si>
  <si>
    <t>JH05BB5968</t>
  </si>
  <si>
    <t>Manoj Kumar Pandey</t>
  </si>
  <si>
    <t>JH05BC0734</t>
  </si>
  <si>
    <t>D079881384</t>
  </si>
  <si>
    <t>JH05AS3305</t>
  </si>
  <si>
    <t>D079866996</t>
  </si>
  <si>
    <t>ANJANI DEVI</t>
  </si>
  <si>
    <t>D092742602</t>
  </si>
  <si>
    <t>JH05AX7829</t>
  </si>
  <si>
    <t>JH05BD4971</t>
  </si>
  <si>
    <t>D079891879</t>
  </si>
  <si>
    <t>papa</t>
  </si>
  <si>
    <t>JH05AT2428</t>
  </si>
  <si>
    <t>Chitta gorai</t>
  </si>
  <si>
    <t>D092936118</t>
  </si>
  <si>
    <t>D092946722</t>
  </si>
  <si>
    <t>JH05BC6471</t>
  </si>
  <si>
    <t>D093003878</t>
  </si>
  <si>
    <t>JH05BD3542</t>
  </si>
  <si>
    <t>URMILA MAHATO</t>
  </si>
  <si>
    <t>D093547273</t>
  </si>
  <si>
    <t>Ajay Das</t>
  </si>
  <si>
    <t>JH05C4145</t>
  </si>
  <si>
    <t>Har Mohan Mahato</t>
  </si>
  <si>
    <t>D079372958</t>
  </si>
  <si>
    <t>JH05BD5390</t>
  </si>
  <si>
    <t>D093616450</t>
  </si>
  <si>
    <t>CHARAN SINGH SARDAR</t>
  </si>
  <si>
    <t>JH05AH8050</t>
  </si>
  <si>
    <t>Ranjan Pandey</t>
  </si>
  <si>
    <t>JH05BT7612</t>
  </si>
  <si>
    <t>D093706606</t>
  </si>
  <si>
    <t>JH05BF6874</t>
  </si>
  <si>
    <t>D093709071</t>
  </si>
  <si>
    <t>JH05BF3790</t>
  </si>
  <si>
    <t>SABIHA BANO</t>
  </si>
  <si>
    <t>D093798174</t>
  </si>
  <si>
    <t>Rajeshwar Kumar Tiwary</t>
  </si>
  <si>
    <t>D093868815</t>
  </si>
  <si>
    <t>D093871243</t>
  </si>
  <si>
    <t>Piyush Tiwary</t>
  </si>
  <si>
    <t>hardeep Singh</t>
  </si>
  <si>
    <t>D</t>
  </si>
  <si>
    <t>JH05BK0198</t>
  </si>
  <si>
    <t>Nand Kumar Singh</t>
  </si>
  <si>
    <t>D095919475</t>
  </si>
  <si>
    <t>JH05BN8241</t>
  </si>
  <si>
    <t>D096078916</t>
  </si>
  <si>
    <t>Bikash chandra mahato</t>
  </si>
  <si>
    <t>Ranjeet kumar shukla</t>
  </si>
  <si>
    <t>JH05BQ9100</t>
  </si>
  <si>
    <t>D096945243</t>
  </si>
  <si>
    <t>Md Alauddin</t>
  </si>
  <si>
    <t>JH05Y3566</t>
  </si>
  <si>
    <t>D097044073</t>
  </si>
  <si>
    <t>Asim Kumar Khan</t>
  </si>
  <si>
    <t>JH05Q4421</t>
  </si>
  <si>
    <t>D097201632</t>
  </si>
  <si>
    <t>JH05BL4982</t>
  </si>
  <si>
    <t>D097569524</t>
  </si>
  <si>
    <t xml:space="preserve">Sumer Kumar Thakur </t>
  </si>
  <si>
    <t>JH05AD4480</t>
  </si>
  <si>
    <t>JH05AX4555</t>
  </si>
  <si>
    <t>Chinmoy Das</t>
  </si>
  <si>
    <t>Mallika Das</t>
  </si>
  <si>
    <t>D097569829</t>
  </si>
  <si>
    <t>D097569955</t>
  </si>
  <si>
    <t>JH05AY2495</t>
  </si>
  <si>
    <t>Sitesh chandra roy</t>
  </si>
  <si>
    <t>D089197182</t>
  </si>
  <si>
    <t>D097662441</t>
  </si>
  <si>
    <t>JH05AJ8648</t>
  </si>
  <si>
    <t>Law Kumar Soni</t>
  </si>
  <si>
    <t>Niranjan Nath</t>
  </si>
  <si>
    <t>D097759571</t>
  </si>
  <si>
    <t>JH22B6539</t>
  </si>
  <si>
    <t>D098520884</t>
  </si>
  <si>
    <t>Sunil Kumar</t>
  </si>
  <si>
    <t>Sanjay Kr singh</t>
  </si>
  <si>
    <t>D098966944</t>
  </si>
  <si>
    <t xml:space="preserve">D099424929  </t>
  </si>
  <si>
    <t>SOMNATH BISWAS</t>
  </si>
  <si>
    <t>JH05BF8354</t>
  </si>
  <si>
    <t>Zafar Alam</t>
  </si>
  <si>
    <t>JH05T6069</t>
  </si>
  <si>
    <t>D099428345</t>
  </si>
  <si>
    <t>D099452860</t>
  </si>
  <si>
    <t>JH05BB5024</t>
  </si>
  <si>
    <t>Jugal Kishore verma</t>
  </si>
  <si>
    <t>D089497009</t>
  </si>
  <si>
    <t>JH05BX1938</t>
  </si>
  <si>
    <t>Rohini Mahato</t>
  </si>
  <si>
    <t>D099606676</t>
  </si>
  <si>
    <t>JH05U6437</t>
  </si>
  <si>
    <t>D099754312</t>
  </si>
  <si>
    <t>Shyam Babu</t>
  </si>
  <si>
    <t>D091019337</t>
  </si>
  <si>
    <t>Sanjay Kumar</t>
  </si>
  <si>
    <t>D088821276</t>
  </si>
  <si>
    <t>JH05X7007</t>
  </si>
  <si>
    <t>D101139135</t>
  </si>
  <si>
    <t>RUPESH CH. PATRA</t>
  </si>
  <si>
    <t>JH05AE6809</t>
  </si>
  <si>
    <t>D101214981</t>
  </si>
  <si>
    <t>JH05N0249</t>
  </si>
  <si>
    <t>Loknath Pandey</t>
  </si>
  <si>
    <t>D102079035</t>
  </si>
  <si>
    <t>JH05W8994</t>
  </si>
  <si>
    <t>D102078334</t>
  </si>
  <si>
    <t>D102131928</t>
  </si>
  <si>
    <t>D094009312</t>
  </si>
  <si>
    <t>PRAN KRISHNA GOPE</t>
  </si>
  <si>
    <t>D102500151</t>
  </si>
  <si>
    <t>Md Tamim</t>
  </si>
  <si>
    <t>JH05AW2190</t>
  </si>
  <si>
    <t>WB02G2794</t>
  </si>
  <si>
    <t>D102583856</t>
  </si>
  <si>
    <t>Maruti 800</t>
  </si>
  <si>
    <t>D102602130</t>
  </si>
  <si>
    <t>Sanjay kumar dutta</t>
  </si>
  <si>
    <t>JH05BF6841</t>
  </si>
  <si>
    <t>D102610008</t>
  </si>
  <si>
    <t>D102654212</t>
  </si>
  <si>
    <t>Ranjit kumar mahato</t>
  </si>
  <si>
    <t>JH05bc5779</t>
  </si>
  <si>
    <t>D091863302</t>
  </si>
  <si>
    <t>Manish kumar saw</t>
  </si>
  <si>
    <t>JH05AA0239</t>
  </si>
  <si>
    <t>Malay Kumar Palit</t>
  </si>
  <si>
    <t>D102688405</t>
  </si>
  <si>
    <t>D103412903</t>
  </si>
  <si>
    <t>BHUMIKA MAHATO</t>
  </si>
  <si>
    <t>JH05AW4119</t>
  </si>
  <si>
    <t>D103800234</t>
  </si>
  <si>
    <t>Sujit Patro</t>
  </si>
  <si>
    <t>D104435584</t>
  </si>
  <si>
    <t>Digdhari Mahato</t>
  </si>
  <si>
    <t>JH05BL7597</t>
  </si>
  <si>
    <t>D104528585</t>
  </si>
  <si>
    <t>Sanjeev Kumar Mahato</t>
  </si>
  <si>
    <t>D104624392</t>
  </si>
  <si>
    <t>D105558157</t>
  </si>
  <si>
    <t>Gourav Munda</t>
  </si>
  <si>
    <t>D094961639</t>
  </si>
  <si>
    <t>PRATIMA PATHAK</t>
  </si>
  <si>
    <t>Jesika Tiru</t>
  </si>
  <si>
    <t>D106536446</t>
  </si>
  <si>
    <t>JH05BC5423</t>
  </si>
  <si>
    <t>BIPIN KUMAR SINGH</t>
  </si>
  <si>
    <t>D106415649</t>
  </si>
  <si>
    <t>Jayanti Das</t>
  </si>
  <si>
    <t>JH05AY9399</t>
  </si>
  <si>
    <t>D105411872</t>
  </si>
  <si>
    <t>D106551859</t>
  </si>
  <si>
    <t>JH05F1773</t>
  </si>
  <si>
    <t>RANJIT SINGH</t>
  </si>
  <si>
    <t>Madhumita Nai</t>
  </si>
  <si>
    <t>D106908097</t>
  </si>
  <si>
    <t>JH05BC1148</t>
  </si>
  <si>
    <t>JH05R3915</t>
  </si>
  <si>
    <t>D107653333</t>
  </si>
  <si>
    <t>Ejaz Hussain</t>
  </si>
  <si>
    <t>JH05CC7444</t>
  </si>
  <si>
    <t>D107798937</t>
  </si>
  <si>
    <t>Satyajit Kundu</t>
  </si>
  <si>
    <t>JH05BW1082</t>
  </si>
  <si>
    <t>JH05CD6808</t>
  </si>
  <si>
    <t>JH05P5391</t>
  </si>
  <si>
    <t>Relince</t>
  </si>
  <si>
    <t>HDFC</t>
  </si>
  <si>
    <t>Manoj Kumar Mahato</t>
  </si>
  <si>
    <t>JH05Z4622</t>
  </si>
  <si>
    <t>D108020395</t>
  </si>
  <si>
    <t>Syed Ajar Hussain</t>
  </si>
  <si>
    <t>JH05BV1865</t>
  </si>
  <si>
    <t>Rajkunth Thakur</t>
  </si>
  <si>
    <t>Jh05AH3450</t>
  </si>
  <si>
    <t>D108024202</t>
  </si>
  <si>
    <t>Ashok Kumar</t>
  </si>
  <si>
    <t>JH05P8827</t>
  </si>
  <si>
    <t>D108141073</t>
  </si>
  <si>
    <t>Vipin Kumar Singh</t>
  </si>
  <si>
    <t>JH05BF7040</t>
  </si>
  <si>
    <t>D108228079</t>
  </si>
  <si>
    <t>JAMEEL HAIDER AFZALUL HAQUE</t>
  </si>
  <si>
    <t>JH05AV6612</t>
  </si>
  <si>
    <t>D108240051</t>
  </si>
  <si>
    <t>csc</t>
  </si>
  <si>
    <t>607322323480292000</t>
  </si>
  <si>
    <t>2301101361126400000</t>
  </si>
  <si>
    <t>JH05R5908</t>
  </si>
  <si>
    <t>D108420427</t>
  </si>
  <si>
    <t>D108478328</t>
  </si>
  <si>
    <t>JH05AU6923</t>
  </si>
  <si>
    <t>JH05AT5142</t>
  </si>
  <si>
    <t>RAMTA PRASAD SINGH</t>
  </si>
  <si>
    <t>D099730496</t>
  </si>
  <si>
    <t>JH05CD2776</t>
  </si>
  <si>
    <t>D109035255</t>
  </si>
  <si>
    <t>BINOD KUMAR</t>
  </si>
  <si>
    <t>D109208841</t>
  </si>
  <si>
    <t>Walter Ajay Singh</t>
  </si>
  <si>
    <t>JH05AL4402</t>
  </si>
  <si>
    <t>PATTER MADTIAL ASHOK</t>
  </si>
  <si>
    <t>JH05S1674</t>
  </si>
  <si>
    <t>D109391608</t>
  </si>
  <si>
    <t>D109559573</t>
  </si>
  <si>
    <t>JH05BN5847</t>
  </si>
  <si>
    <t>Moumita Dhang</t>
  </si>
  <si>
    <t>JH05Q0608</t>
  </si>
  <si>
    <t>Ranjeet Gorai</t>
  </si>
  <si>
    <t>D109599022</t>
  </si>
  <si>
    <t>BINOD KUMAR SHARMA</t>
  </si>
  <si>
    <t>JH05U0484</t>
  </si>
  <si>
    <t>JH05BU5867</t>
  </si>
  <si>
    <t>D109962967</t>
  </si>
  <si>
    <t>SABANAM KHATOON</t>
  </si>
  <si>
    <t>D110204065</t>
  </si>
  <si>
    <t>D111214930</t>
  </si>
  <si>
    <t>D111366226</t>
  </si>
  <si>
    <t>Santosh Kumar</t>
  </si>
  <si>
    <t>JH05AJ9098</t>
  </si>
  <si>
    <t>D111371790</t>
  </si>
  <si>
    <t>JH05BV0470</t>
  </si>
  <si>
    <t>D111437940</t>
  </si>
  <si>
    <t>JH05AF7674</t>
  </si>
  <si>
    <t>JH05BK8984</t>
  </si>
  <si>
    <t>D111531608</t>
  </si>
  <si>
    <t>D111690134</t>
  </si>
  <si>
    <t>JH05BF0913</t>
  </si>
  <si>
    <t>D111978048</t>
  </si>
  <si>
    <t>D112147134</t>
  </si>
  <si>
    <t>Nazre Imam</t>
  </si>
  <si>
    <t>JH05BK6977</t>
  </si>
  <si>
    <t>D112433966</t>
  </si>
  <si>
    <t>MV936389</t>
  </si>
  <si>
    <t>C Srikanth</t>
  </si>
  <si>
    <t>JH05T7347</t>
  </si>
  <si>
    <t>IFFCO Tokyo</t>
  </si>
  <si>
    <t>EEE</t>
  </si>
  <si>
    <t>JH05AN9190</t>
  </si>
  <si>
    <t>Nishant Kumar</t>
  </si>
  <si>
    <t>D113835346</t>
  </si>
  <si>
    <t xml:space="preserve">JH05DF3987 </t>
  </si>
  <si>
    <t>Ravi Shankkar</t>
  </si>
  <si>
    <t>D114031804</t>
  </si>
  <si>
    <t>D115096070</t>
  </si>
  <si>
    <t>JH05Q1659</t>
  </si>
  <si>
    <t>Satya kinkar para</t>
  </si>
  <si>
    <t>Sukanta kr dutta</t>
  </si>
  <si>
    <t>Md modassar alam</t>
  </si>
  <si>
    <t>JH05X2353</t>
  </si>
  <si>
    <t>D115307031</t>
  </si>
  <si>
    <t>D115416122</t>
  </si>
  <si>
    <t>JH05S9554</t>
  </si>
  <si>
    <t>D115430848</t>
  </si>
  <si>
    <t>JH05CD8083</t>
  </si>
  <si>
    <t>D115578074</t>
  </si>
  <si>
    <t>JH05CA6514</t>
  </si>
  <si>
    <t>dob</t>
  </si>
  <si>
    <t>aadhaar</t>
  </si>
  <si>
    <t>D115757833</t>
  </si>
  <si>
    <t>Prashant kumar ganguli</t>
  </si>
  <si>
    <t>Chotu lal mahato</t>
  </si>
  <si>
    <t>Kalyan Kumar Ghatak</t>
  </si>
  <si>
    <t>Awadhesh kr bhagat</t>
  </si>
  <si>
    <t>Krishna Mohan Gupta</t>
  </si>
  <si>
    <t>K V N Rao</t>
  </si>
  <si>
    <t>Pankaj Dey</t>
  </si>
  <si>
    <t>D116649666</t>
  </si>
  <si>
    <t>JH05AC</t>
  </si>
  <si>
    <t>Subhash senapati</t>
  </si>
  <si>
    <t>JH05AV8178</t>
  </si>
  <si>
    <t>D106458512</t>
  </si>
  <si>
    <t>Prakash Kr Sinha</t>
  </si>
  <si>
    <t>D105626188</t>
  </si>
  <si>
    <t>D105633379</t>
  </si>
  <si>
    <t>JH05AL9703</t>
  </si>
  <si>
    <t>Shib Nath Giri</t>
  </si>
  <si>
    <t>D117120632</t>
  </si>
  <si>
    <t>0114</t>
  </si>
  <si>
    <t>D106472302</t>
  </si>
  <si>
    <t>ASHOK SAHU</t>
  </si>
  <si>
    <t>PRABIR KUMAR DAS</t>
  </si>
  <si>
    <t>D118114587</t>
  </si>
  <si>
    <t>5646</t>
  </si>
  <si>
    <t>D118249353</t>
  </si>
  <si>
    <t>BR16j9824</t>
  </si>
  <si>
    <t>BR16j3817</t>
  </si>
  <si>
    <t>JH06G8580</t>
  </si>
  <si>
    <t>JH05AE8528</t>
  </si>
  <si>
    <t>2713</t>
  </si>
  <si>
    <t>D118287091</t>
  </si>
  <si>
    <t>4851</t>
  </si>
  <si>
    <t>Prakash kr sinha</t>
  </si>
  <si>
    <t>D118826104</t>
  </si>
  <si>
    <t>1986</t>
  </si>
  <si>
    <t>JH05AT5611</t>
  </si>
  <si>
    <t>MRS ARSU BASKEY</t>
  </si>
  <si>
    <t>8398</t>
  </si>
  <si>
    <t>Ved Prakash sharma</t>
  </si>
  <si>
    <t>3876</t>
  </si>
  <si>
    <t>JH05P5761</t>
  </si>
  <si>
    <t>WB50A4607</t>
  </si>
  <si>
    <t>UTTAM CHANDRA KAR</t>
  </si>
  <si>
    <t>D119140649</t>
  </si>
  <si>
    <t>jh05AY5111</t>
  </si>
  <si>
    <t>D119513890</t>
  </si>
  <si>
    <t>NAGENDRA NATH MAHATO</t>
  </si>
  <si>
    <t>JH05AW4883</t>
  </si>
  <si>
    <t>Sanjay Kumar Das</t>
  </si>
  <si>
    <t>2725</t>
  </si>
  <si>
    <t>D119789332</t>
  </si>
  <si>
    <t>Md Sakhawat Hussain</t>
  </si>
  <si>
    <t>JH05BC1101</t>
  </si>
  <si>
    <t>D118895674</t>
  </si>
  <si>
    <t>Mirza Ali Beg Siddique</t>
  </si>
  <si>
    <t>D119424190</t>
  </si>
  <si>
    <t>RABINDRA PRASAD</t>
  </si>
  <si>
    <t>9481</t>
  </si>
  <si>
    <t>D110474749</t>
  </si>
  <si>
    <t>BINOY DEB</t>
  </si>
  <si>
    <t>D106321305</t>
  </si>
  <si>
    <t>Tarun Kumar Sahu</t>
  </si>
  <si>
    <t>7124</t>
  </si>
  <si>
    <t>D121546909</t>
  </si>
  <si>
    <t>JH05AT6673</t>
  </si>
  <si>
    <t>D122097253</t>
  </si>
  <si>
    <t>D122058329</t>
  </si>
  <si>
    <t>Ram Prasad Sahu</t>
  </si>
  <si>
    <t>JH05CG5593</t>
  </si>
  <si>
    <t>D122109096</t>
  </si>
  <si>
    <t>JH05CV4587</t>
  </si>
  <si>
    <t>Subal Chandra Paul</t>
  </si>
  <si>
    <t>7592</t>
  </si>
  <si>
    <t>D113368983</t>
  </si>
  <si>
    <t>JH05AE9230</t>
  </si>
  <si>
    <t>SUBLAKSH KUMAR SAREEN</t>
  </si>
  <si>
    <t>3814</t>
  </si>
  <si>
    <t>D122976421</t>
  </si>
  <si>
    <t>Nagalu Lakshman</t>
  </si>
  <si>
    <t>8727</t>
  </si>
  <si>
    <t>Sanjay Pandey</t>
  </si>
  <si>
    <t>JH05CF2973</t>
  </si>
  <si>
    <t>D123105701</t>
  </si>
  <si>
    <t>D113274782</t>
  </si>
  <si>
    <t>6839</t>
  </si>
  <si>
    <t>D124627797</t>
  </si>
  <si>
    <t>D124849667</t>
  </si>
  <si>
    <t>Ravinder Singh</t>
  </si>
  <si>
    <t>5467</t>
  </si>
  <si>
    <t>JH05BZ0122</t>
  </si>
  <si>
    <t>JH05CE4014</t>
  </si>
  <si>
    <t>Anjan Kr Mahato</t>
  </si>
  <si>
    <t>8825</t>
  </si>
  <si>
    <t>JH05BW0256</t>
  </si>
  <si>
    <t>D125071283</t>
  </si>
  <si>
    <t>JH05BW0417</t>
  </si>
  <si>
    <t>Rizwana tabassum</t>
  </si>
  <si>
    <t>D125756658</t>
  </si>
  <si>
    <t>CG07AP3221</t>
  </si>
  <si>
    <t>Rajesh Kumar Soni</t>
  </si>
  <si>
    <t>SUBHADRA SINGH</t>
  </si>
  <si>
    <t>JH05AH8086</t>
  </si>
  <si>
    <t>D125669656</t>
  </si>
  <si>
    <t>D126412968</t>
  </si>
  <si>
    <t>JH05BX5954</t>
  </si>
  <si>
    <t>SANDIP KUMAR PRAMANICK</t>
  </si>
  <si>
    <t>2885</t>
  </si>
  <si>
    <t>2350</t>
  </si>
  <si>
    <t>BIJAY KUMAR</t>
  </si>
  <si>
    <t>JH05CE2934</t>
  </si>
  <si>
    <t>D126759972</t>
  </si>
  <si>
    <t>back</t>
  </si>
  <si>
    <t>Down</t>
  </si>
  <si>
    <t>0</t>
  </si>
  <si>
    <t>4995</t>
  </si>
  <si>
    <t>D126826171</t>
  </si>
  <si>
    <t>4260</t>
  </si>
  <si>
    <t>D116046747</t>
  </si>
  <si>
    <t>BIPIN BIHARI PRASAD</t>
  </si>
  <si>
    <t>9921</t>
  </si>
  <si>
    <t>D115855744</t>
  </si>
  <si>
    <t>PRADIP KUMAR MAZUMDAR</t>
  </si>
  <si>
    <t>JH05BZ2673</t>
  </si>
  <si>
    <t>OD14D0784</t>
  </si>
  <si>
    <t>Anisha Ann Cooke</t>
  </si>
  <si>
    <t>D068203651</t>
  </si>
  <si>
    <t>JH05BR5922</t>
  </si>
  <si>
    <t>Bipin Kumar Mishra</t>
  </si>
  <si>
    <t>Jayanti Rani Das</t>
  </si>
  <si>
    <t>6694</t>
  </si>
  <si>
    <t>JH05AR4206</t>
  </si>
  <si>
    <t>D128822748</t>
  </si>
  <si>
    <t>Sanjay Kumar Kunwar</t>
  </si>
  <si>
    <t>3314</t>
  </si>
  <si>
    <t>JH01BK2176</t>
  </si>
  <si>
    <t>D116555038</t>
  </si>
  <si>
    <t>D129797379</t>
  </si>
  <si>
    <t>6593</t>
  </si>
  <si>
    <t>Bablu sardar</t>
  </si>
  <si>
    <t>Sanjay Kumar SINGH</t>
  </si>
  <si>
    <t>Gurdeep Singh</t>
  </si>
  <si>
    <t>D127737786</t>
  </si>
  <si>
    <t>JH05BT7580</t>
  </si>
  <si>
    <t>D130415696</t>
  </si>
  <si>
    <t>9606</t>
  </si>
  <si>
    <t>JH12K9253</t>
  </si>
  <si>
    <t>RAJEEV GUPTA</t>
  </si>
  <si>
    <t>D130378516</t>
  </si>
  <si>
    <t>Dushant Das</t>
  </si>
  <si>
    <t>D128233865</t>
  </si>
  <si>
    <t>JH05BY1040</t>
  </si>
  <si>
    <t>Manoj Mondal</t>
  </si>
  <si>
    <t>JH05D1235</t>
  </si>
  <si>
    <t>D131400094</t>
  </si>
  <si>
    <t>BUDHRAM MUNDA</t>
  </si>
  <si>
    <t>JH09R5675</t>
  </si>
  <si>
    <t>D131504155</t>
  </si>
  <si>
    <t>Sanjay Kumar Prasad</t>
  </si>
  <si>
    <t>6101</t>
  </si>
  <si>
    <t>JH05BE1180</t>
  </si>
  <si>
    <t>JH05AB2893</t>
  </si>
  <si>
    <t>D120064130</t>
  </si>
  <si>
    <t>4648</t>
  </si>
  <si>
    <t>Ramjan Khan</t>
  </si>
  <si>
    <t>0722</t>
  </si>
  <si>
    <t>JH05AG6719</t>
  </si>
  <si>
    <t>D132896828</t>
  </si>
  <si>
    <t>Mf Aftab Alam</t>
  </si>
  <si>
    <t>8388</t>
  </si>
  <si>
    <t>6455</t>
  </si>
  <si>
    <t>5230</t>
  </si>
  <si>
    <t>D121257307</t>
  </si>
  <si>
    <t>Pradip Chakraborty</t>
  </si>
  <si>
    <t>3014</t>
  </si>
  <si>
    <t>JH05Y1885</t>
  </si>
  <si>
    <t>D133585830</t>
  </si>
  <si>
    <t>D125114918</t>
  </si>
  <si>
    <t>PARASNATH PRASAD</t>
  </si>
  <si>
    <t>Shahid Ali</t>
  </si>
  <si>
    <t>JH05Y4197</t>
  </si>
  <si>
    <t>0971</t>
  </si>
  <si>
    <t>0218</t>
  </si>
  <si>
    <t>D125286474</t>
  </si>
  <si>
    <t>RENEW</t>
  </si>
  <si>
    <t>Swapan Kumar Bhattachar</t>
  </si>
  <si>
    <t>2055</t>
  </si>
  <si>
    <t>JHJ5CX2273</t>
  </si>
  <si>
    <t>Ambabati Ruhudas</t>
  </si>
  <si>
    <t>JH05CE3864</t>
  </si>
  <si>
    <t>3306</t>
  </si>
  <si>
    <t>Dinesh Prasad</t>
  </si>
  <si>
    <t>D135838927</t>
  </si>
  <si>
    <t>JH05AS7893</t>
  </si>
  <si>
    <t>D135928347</t>
  </si>
  <si>
    <t>JH05BA7788</t>
  </si>
  <si>
    <t>D137651737KK</t>
  </si>
  <si>
    <t>Santosh Baskey</t>
  </si>
  <si>
    <t>8075</t>
  </si>
  <si>
    <t>JH05DC9058</t>
  </si>
  <si>
    <t>6772</t>
  </si>
  <si>
    <t>JH05bf6874</t>
  </si>
  <si>
    <t>2123</t>
  </si>
  <si>
    <t>jh05bk0198</t>
  </si>
  <si>
    <t>D124724469</t>
  </si>
  <si>
    <t>D137802037</t>
  </si>
  <si>
    <t>D138023693</t>
  </si>
  <si>
    <t>Prakash Kumar Singh</t>
  </si>
  <si>
    <t>D141253913</t>
  </si>
  <si>
    <t>3375</t>
  </si>
  <si>
    <t>Kanchan Kumar Adak</t>
  </si>
  <si>
    <t>JH05BZ9618</t>
  </si>
  <si>
    <t>5289</t>
  </si>
  <si>
    <t>D142515144</t>
  </si>
  <si>
    <t>6351</t>
  </si>
  <si>
    <t>3806</t>
  </si>
  <si>
    <t>D143121441</t>
  </si>
  <si>
    <t>NK Didar Singh</t>
  </si>
  <si>
    <t>DL</t>
  </si>
  <si>
    <t>PB07AQ6810</t>
  </si>
  <si>
    <t>6352</t>
  </si>
  <si>
    <t>3791</t>
  </si>
  <si>
    <t>8754</t>
  </si>
  <si>
    <t>D124135539</t>
  </si>
  <si>
    <t>RAJESHWAR KUMAR TIWARY</t>
  </si>
  <si>
    <t>D143406055</t>
  </si>
  <si>
    <t>Chitt Ranjan Gorai</t>
  </si>
  <si>
    <t>D125305393</t>
  </si>
  <si>
    <t>D13242380</t>
  </si>
  <si>
    <t>JH05t6069</t>
  </si>
  <si>
    <t>D132450292</t>
  </si>
  <si>
    <t>Somnath Biswas</t>
  </si>
  <si>
    <t>Satynarayan Das</t>
  </si>
  <si>
    <t>D132421569</t>
  </si>
  <si>
    <t>D132426670</t>
  </si>
  <si>
    <t>WB96B6629</t>
  </si>
  <si>
    <t>6629</t>
  </si>
  <si>
    <t>Baby pandey</t>
  </si>
  <si>
    <t>D143535185</t>
  </si>
  <si>
    <t>Ankit Kumar</t>
  </si>
  <si>
    <t>4235</t>
  </si>
  <si>
    <t>JH05CD8816</t>
  </si>
  <si>
    <t>D143637920</t>
  </si>
  <si>
    <t>SOHAN SINGH</t>
  </si>
  <si>
    <t>JH05AF7594</t>
  </si>
  <si>
    <t>ifco tokio</t>
  </si>
  <si>
    <t xml:space="preserve"> p date</t>
  </si>
  <si>
    <t>1812</t>
  </si>
  <si>
    <t>RINA DEVI</t>
  </si>
  <si>
    <t>ASTPD7931N</t>
  </si>
  <si>
    <t>D146012682</t>
  </si>
  <si>
    <t>D146100808</t>
  </si>
  <si>
    <t>ABDUL MAJIT KHAN</t>
  </si>
  <si>
    <t>7444</t>
  </si>
  <si>
    <t>JH05AD8923</t>
  </si>
  <si>
    <t>Manoj Kumar Upadhyay</t>
  </si>
  <si>
    <t>D13127510</t>
  </si>
  <si>
    <t>Dr Pramjiban Pathak</t>
  </si>
  <si>
    <t>Somnth banerjee</t>
  </si>
  <si>
    <t>D132263799</t>
  </si>
  <si>
    <t>D132265343</t>
  </si>
  <si>
    <t>7854</t>
  </si>
  <si>
    <t>AJAY DAS</t>
  </si>
  <si>
    <t>0186</t>
  </si>
  <si>
    <t>Sanjay Kumar Dutta</t>
  </si>
  <si>
    <t>9074</t>
  </si>
  <si>
    <t>D136361386</t>
  </si>
  <si>
    <t>Upendra Singh</t>
  </si>
  <si>
    <t>5460</t>
  </si>
  <si>
    <t>ACUPP8802H</t>
  </si>
  <si>
    <t>4788</t>
  </si>
  <si>
    <t>D136163216</t>
  </si>
  <si>
    <t>pPrasenjit Paramanik</t>
  </si>
  <si>
    <t>6780</t>
  </si>
  <si>
    <t>D148620189</t>
  </si>
  <si>
    <t>Santosh Kumar Paul</t>
  </si>
  <si>
    <t>JH0519980005502</t>
  </si>
  <si>
    <t>JH05CF2557</t>
  </si>
  <si>
    <t>D150084949</t>
  </si>
  <si>
    <t>Imtiyaz Ahmad</t>
  </si>
  <si>
    <t>D150094196</t>
  </si>
  <si>
    <t>1477</t>
  </si>
  <si>
    <t>JH05BM5093</t>
  </si>
  <si>
    <t>Bipin George Bhendra</t>
  </si>
  <si>
    <t>jh05dj5997</t>
  </si>
  <si>
    <t xml:space="preserve">D150104533  </t>
  </si>
  <si>
    <t>JH05BU3819</t>
  </si>
  <si>
    <t>0213</t>
  </si>
  <si>
    <t>D150320418</t>
  </si>
  <si>
    <t xml:space="preserve">            </t>
  </si>
  <si>
    <t>7639</t>
  </si>
  <si>
    <t>JH05BC0459</t>
  </si>
  <si>
    <t>D140324408</t>
  </si>
  <si>
    <t>D151815664</t>
  </si>
  <si>
    <t>Urmila Mahato</t>
  </si>
  <si>
    <t>6393</t>
  </si>
  <si>
    <t>D151975608</t>
  </si>
  <si>
    <t>Vikram Kumar</t>
  </si>
  <si>
    <t>6879</t>
  </si>
  <si>
    <t>JH05E9016</t>
  </si>
  <si>
    <t>D152442099</t>
  </si>
  <si>
    <t>D152447058</t>
  </si>
  <si>
    <t>Sumen Sarkar</t>
  </si>
  <si>
    <t>JH05AS4850</t>
  </si>
  <si>
    <t>4773</t>
  </si>
  <si>
    <t>D152632238</t>
  </si>
  <si>
    <t>SHAZIA PARWEEN</t>
  </si>
  <si>
    <t>JH05DL5091</t>
  </si>
  <si>
    <t>0456</t>
  </si>
  <si>
    <t>Anjan Das</t>
  </si>
  <si>
    <t>JH05AX2532</t>
  </si>
  <si>
    <t>D152737427</t>
  </si>
  <si>
    <t>Jerome Stephen</t>
  </si>
  <si>
    <t>4888</t>
  </si>
  <si>
    <t>JH05AB5028</t>
  </si>
  <si>
    <t>4760</t>
  </si>
  <si>
    <t>JH05DL9259</t>
  </si>
  <si>
    <t>D152907775</t>
  </si>
  <si>
    <t>D139985532</t>
  </si>
  <si>
    <t>SOURAV MAZUMDAR</t>
  </si>
  <si>
    <t>D153061986  </t>
  </si>
  <si>
    <t>3893</t>
  </si>
  <si>
    <t>6072</t>
  </si>
  <si>
    <t>D140326417</t>
  </si>
  <si>
    <t>JH05AP7672</t>
  </si>
  <si>
    <t>6967</t>
  </si>
  <si>
    <t>Mohan Tudu</t>
  </si>
  <si>
    <t>D153709302</t>
  </si>
  <si>
    <t>Chiru mani soren</t>
  </si>
  <si>
    <t>JH05BZ2710</t>
  </si>
  <si>
    <t>Raju Ratha</t>
  </si>
  <si>
    <t>Ranjit Singh</t>
  </si>
  <si>
    <t>D155265315</t>
  </si>
  <si>
    <t>MD ALLAUDDIN</t>
  </si>
  <si>
    <t>D155414155</t>
  </si>
  <si>
    <t>3360</t>
  </si>
  <si>
    <t>5451</t>
  </si>
  <si>
    <t>JH05BB3877</t>
  </si>
  <si>
    <t>D155566944</t>
  </si>
  <si>
    <t>D155568098</t>
  </si>
  <si>
    <t>D155632474</t>
  </si>
  <si>
    <t>Shyam Pada Pani</t>
  </si>
  <si>
    <t>JH05N2073</t>
  </si>
  <si>
    <t>2543</t>
  </si>
  <si>
    <t>Supriya Biswas</t>
  </si>
  <si>
    <t>D144189989</t>
  </si>
  <si>
    <t>JH05X5595</t>
  </si>
  <si>
    <t>0169</t>
  </si>
  <si>
    <t>JH05BE5613</t>
  </si>
  <si>
    <t>3757</t>
  </si>
  <si>
    <t>Om Prakash Sinha</t>
  </si>
  <si>
    <t>D156506291</t>
  </si>
  <si>
    <t>JH05CC4991</t>
  </si>
  <si>
    <t>RAJEEV KUMAR</t>
  </si>
  <si>
    <t>JH05AL1809</t>
  </si>
  <si>
    <t>ABHIMANU KUMAR SINGH</t>
  </si>
  <si>
    <t>JH05W0597</t>
  </si>
  <si>
    <t>D157571742</t>
  </si>
  <si>
    <t>Make</t>
  </si>
  <si>
    <t>H</t>
  </si>
  <si>
    <t>honda</t>
  </si>
  <si>
    <t>scooty</t>
  </si>
  <si>
    <t>royal</t>
  </si>
  <si>
    <t>oth</t>
  </si>
  <si>
    <t>36.5-31.5</t>
  </si>
  <si>
    <t>7176</t>
  </si>
  <si>
    <t>bajaj</t>
  </si>
  <si>
    <t>Nitish Kumari</t>
  </si>
  <si>
    <t>JH05BN6759</t>
  </si>
  <si>
    <t>12-1806-0003308306-01</t>
  </si>
  <si>
    <t>Md Sarfraz Ahmad</t>
  </si>
  <si>
    <t>7779</t>
  </si>
  <si>
    <t>JH05bm1269</t>
  </si>
  <si>
    <t>4229</t>
  </si>
  <si>
    <t>JH05DF9349</t>
  </si>
  <si>
    <t>8303</t>
  </si>
  <si>
    <t>JH05AC0182</t>
  </si>
  <si>
    <t>s c Shalu</t>
  </si>
  <si>
    <t>D159622574</t>
  </si>
  <si>
    <t>Pramod Kumar Singh</t>
  </si>
  <si>
    <t>JH056C</t>
  </si>
  <si>
    <t>BUOPS2029A</t>
  </si>
  <si>
    <t>Hero</t>
  </si>
  <si>
    <t>7175</t>
  </si>
  <si>
    <t>BQTPG4902K</t>
  </si>
  <si>
    <t>Abhishek Gorai</t>
  </si>
  <si>
    <t>JH05BU5430</t>
  </si>
  <si>
    <t>D159840248</t>
  </si>
  <si>
    <t>D159858074</t>
  </si>
  <si>
    <t>4901</t>
  </si>
  <si>
    <t>JH05CC9697</t>
  </si>
  <si>
    <t>Suraj Kumar</t>
  </si>
  <si>
    <t>D144630156</t>
  </si>
  <si>
    <t>Ashok Vema</t>
  </si>
  <si>
    <t>5908</t>
  </si>
  <si>
    <t>BIRAJ MANI UPADHYAY</t>
  </si>
  <si>
    <t>4889</t>
  </si>
  <si>
    <t>JH05N4879</t>
  </si>
  <si>
    <t>Syed Azhar Hussin</t>
  </si>
  <si>
    <t>4403</t>
  </si>
  <si>
    <t>D144628193</t>
  </si>
  <si>
    <t>Pushpa Devi</t>
  </si>
  <si>
    <t>3475-GDAPD5816E</t>
  </si>
  <si>
    <t>P Raja Rao</t>
  </si>
  <si>
    <t>0158-AJHPR3654F</t>
  </si>
  <si>
    <t>JH05BJ1888</t>
  </si>
  <si>
    <t>D160442278</t>
  </si>
  <si>
    <t>5074</t>
  </si>
  <si>
    <t>D149884955</t>
  </si>
  <si>
    <t>3826</t>
  </si>
  <si>
    <t>D162155815</t>
  </si>
  <si>
    <t>Ramta prasad singh</t>
  </si>
  <si>
    <t>6401</t>
  </si>
  <si>
    <t>Patter Madtial Ashok</t>
  </si>
  <si>
    <t>D144826023</t>
  </si>
  <si>
    <t>2999</t>
  </si>
  <si>
    <t>D163292897</t>
  </si>
  <si>
    <t>Abdul Kalim Khan</t>
  </si>
  <si>
    <t>JH05BJ6316</t>
  </si>
  <si>
    <t>ifco</t>
  </si>
  <si>
    <t>Vijay Pratap</t>
  </si>
  <si>
    <t>D163541316</t>
  </si>
  <si>
    <t>1975</t>
  </si>
  <si>
    <t>Sukanta Kumar Dutta</t>
  </si>
  <si>
    <t>ABGPD8506K</t>
  </si>
  <si>
    <t>8983</t>
  </si>
  <si>
    <t>1764</t>
  </si>
  <si>
    <t>Dharambir singh</t>
  </si>
  <si>
    <t>D164431631</t>
  </si>
  <si>
    <t>D150387837</t>
  </si>
  <si>
    <t>7037</t>
  </si>
  <si>
    <t>JH05AY1323</t>
  </si>
  <si>
    <t>Nishi Kumari Pandey</t>
  </si>
  <si>
    <t>D164448170</t>
  </si>
  <si>
    <t>Ranjeet Kumar mahato</t>
  </si>
  <si>
    <t>D165014292</t>
  </si>
  <si>
    <t>7702</t>
  </si>
  <si>
    <t>Prasanta Kumar Ganguly</t>
  </si>
  <si>
    <t>D165018664</t>
  </si>
  <si>
    <t>9888</t>
  </si>
  <si>
    <t>Chekar Murmu</t>
  </si>
  <si>
    <t>Hasrat Iqbal</t>
  </si>
  <si>
    <t>2462</t>
  </si>
  <si>
    <t>JH05BC450</t>
  </si>
  <si>
    <t>D167207137</t>
  </si>
  <si>
    <t>TWO</t>
  </si>
  <si>
    <t>FOUR</t>
  </si>
  <si>
    <t>5559</t>
  </si>
  <si>
    <t>9761</t>
  </si>
  <si>
    <t>1478</t>
  </si>
  <si>
    <t>D170215961</t>
  </si>
  <si>
    <t>8104</t>
  </si>
  <si>
    <t>Two whr</t>
  </si>
  <si>
    <t>Four whr</t>
  </si>
  <si>
    <t>&gt;1500</t>
  </si>
  <si>
    <t>upto 1500</t>
  </si>
  <si>
    <t>Die</t>
  </si>
  <si>
    <t>Pet</t>
  </si>
  <si>
    <t>8105</t>
  </si>
  <si>
    <t>D170370594</t>
  </si>
  <si>
    <t>D156936512</t>
  </si>
  <si>
    <t>Nitish Kumar</t>
  </si>
  <si>
    <t>JH05BP3068</t>
  </si>
  <si>
    <t xml:space="preserve">D168466868 </t>
  </si>
  <si>
    <t>D171562294</t>
  </si>
  <si>
    <t>priti soni</t>
  </si>
  <si>
    <t>0177</t>
  </si>
  <si>
    <t>5720</t>
  </si>
  <si>
    <t>D171642586</t>
  </si>
  <si>
    <t>Jogen Kumar Gorai</t>
  </si>
  <si>
    <t>6418</t>
  </si>
  <si>
    <t>D172143393</t>
  </si>
  <si>
    <t>JH05CN7530</t>
  </si>
  <si>
    <t>D157115728</t>
  </si>
  <si>
    <t>Siddique ali beg mirza</t>
  </si>
  <si>
    <t>JH05U8697</t>
  </si>
  <si>
    <t>D157079874</t>
  </si>
  <si>
    <t>Mrs Arsu Baskey</t>
  </si>
  <si>
    <t>D131729174</t>
  </si>
  <si>
    <t>Rupesh ch Patra</t>
  </si>
  <si>
    <t>Bipin Thakur</t>
  </si>
  <si>
    <t>4P</t>
  </si>
  <si>
    <t>HH</t>
  </si>
  <si>
    <t>RE</t>
  </si>
  <si>
    <t>SC</t>
  </si>
  <si>
    <t>OT</t>
  </si>
  <si>
    <t>SANDEP SINGH JHANGOL</t>
  </si>
  <si>
    <t>8148-AKFPJ1682E</t>
  </si>
  <si>
    <t>D173532897</t>
  </si>
  <si>
    <t>D169895880</t>
  </si>
  <si>
    <t>JH05CJ7450</t>
  </si>
  <si>
    <t>Nagendra nath mahato</t>
  </si>
  <si>
    <t>jh05ay5111</t>
  </si>
  <si>
    <t>Deepak Kumar singh</t>
  </si>
  <si>
    <t>jh05q2453</t>
  </si>
  <si>
    <t>sc</t>
  </si>
  <si>
    <t>D156073032</t>
  </si>
  <si>
    <t>D156949020</t>
  </si>
  <si>
    <t>SUBHASH KUMAR YADAV</t>
  </si>
  <si>
    <t>D161446676</t>
  </si>
  <si>
    <t>SMITA SHIKHAR</t>
  </si>
  <si>
    <t>JH05AN9300</t>
  </si>
  <si>
    <t>Shivnarayan Thakur</t>
  </si>
  <si>
    <t>JH05AP4063</t>
  </si>
  <si>
    <t>D173582531</t>
  </si>
  <si>
    <t>Uttam Chandra Kar</t>
  </si>
  <si>
    <t>2039</t>
  </si>
  <si>
    <t>ot</t>
  </si>
  <si>
    <t>md zahir</t>
  </si>
  <si>
    <t>JH05CF9878</t>
  </si>
  <si>
    <t>D173795654</t>
  </si>
  <si>
    <t>D141737923</t>
  </si>
  <si>
    <t>JH05Q3932</t>
  </si>
  <si>
    <t>4805</t>
  </si>
  <si>
    <t>Sone lal jha</t>
  </si>
  <si>
    <t>D174257808</t>
  </si>
  <si>
    <t>D160973236</t>
  </si>
  <si>
    <t>JH09Z2891</t>
  </si>
  <si>
    <t>D174464111</t>
  </si>
  <si>
    <t>SUNIL KUMAR</t>
  </si>
  <si>
    <t>Mamta Tiwary</t>
  </si>
  <si>
    <t>4061</t>
  </si>
  <si>
    <t>D174787383</t>
  </si>
  <si>
    <t>JH05BA8801</t>
  </si>
  <si>
    <t>D139587719</t>
  </si>
  <si>
    <t>Saha Jamal</t>
  </si>
  <si>
    <t>D174480235</t>
  </si>
  <si>
    <t>JH05CE4293</t>
  </si>
  <si>
    <t>JH05AF3431</t>
  </si>
  <si>
    <t>Subhadra Singh</t>
  </si>
  <si>
    <t>2148</t>
  </si>
  <si>
    <t>Jamil Ajmad</t>
  </si>
  <si>
    <t>5572</t>
  </si>
  <si>
    <t>JH06H8337</t>
  </si>
  <si>
    <t>D176352738</t>
  </si>
  <si>
    <t>Mohammad Tanweer alam</t>
  </si>
  <si>
    <t>5317</t>
  </si>
  <si>
    <t>JH05CN2469</t>
  </si>
  <si>
    <t>D176353557</t>
  </si>
  <si>
    <t>Sangita devi</t>
  </si>
  <si>
    <t>D176414434</t>
  </si>
  <si>
    <t>JH05DH3796</t>
  </si>
  <si>
    <t>D177183639</t>
  </si>
  <si>
    <t>1907</t>
  </si>
  <si>
    <t>Lata Sharma</t>
  </si>
  <si>
    <t>JH05CP1779</t>
  </si>
  <si>
    <t>Shekhar Saha</t>
  </si>
  <si>
    <t>1918</t>
  </si>
  <si>
    <t>JH05BM4539</t>
  </si>
  <si>
    <t>D178233134</t>
  </si>
  <si>
    <t>Somen Palit</t>
  </si>
  <si>
    <t>6513</t>
  </si>
  <si>
    <t>JH05BY3443</t>
  </si>
  <si>
    <t>D178420389</t>
  </si>
  <si>
    <t>9246</t>
  </si>
  <si>
    <t>D166349370</t>
  </si>
  <si>
    <t>9444</t>
  </si>
  <si>
    <t>RAJIV KUMAR SHARMA</t>
  </si>
  <si>
    <t>D179757893</t>
  </si>
  <si>
    <t>3238</t>
  </si>
  <si>
    <t>JH05CY3084</t>
  </si>
  <si>
    <t>D166367878</t>
  </si>
  <si>
    <t>Srimanta Khatua</t>
  </si>
  <si>
    <t>2616</t>
  </si>
  <si>
    <t>D181322003</t>
  </si>
  <si>
    <t>Lal Babu Sah</t>
  </si>
  <si>
    <t>7600</t>
  </si>
  <si>
    <t>D181536047</t>
  </si>
  <si>
    <t>Chandra Mukhi</t>
  </si>
  <si>
    <t>6431</t>
  </si>
  <si>
    <t>8936</t>
  </si>
  <si>
    <t>Baikunth Thakur</t>
  </si>
  <si>
    <t>D144628583</t>
  </si>
  <si>
    <t>D182202254</t>
  </si>
  <si>
    <t>hh</t>
  </si>
  <si>
    <t>19-01-205</t>
  </si>
  <si>
    <t>julekha khatun</t>
  </si>
  <si>
    <t>5135</t>
  </si>
  <si>
    <t>D182768360</t>
  </si>
  <si>
    <t>0257</t>
  </si>
  <si>
    <t>D170076682</t>
  </si>
  <si>
    <t>Susant das</t>
  </si>
  <si>
    <t>D171477977</t>
  </si>
  <si>
    <t>D184310682</t>
  </si>
  <si>
    <t>SURENDER SINGH YADAV</t>
  </si>
  <si>
    <t>DHANANJAY GORAI</t>
  </si>
  <si>
    <t>Sundar Bandra</t>
  </si>
  <si>
    <t>9723</t>
  </si>
  <si>
    <t>JH05CQ1730</t>
  </si>
  <si>
    <t>D184410095</t>
  </si>
  <si>
    <t>Nasruddin ansai</t>
  </si>
  <si>
    <t>Akhirul Sk</t>
  </si>
  <si>
    <t>17-02-1+992</t>
  </si>
  <si>
    <t>D184727869</t>
  </si>
  <si>
    <t>WB94G9125</t>
  </si>
  <si>
    <t>Dayanand Mishra</t>
  </si>
  <si>
    <t>D184833597</t>
  </si>
  <si>
    <t>D185087312</t>
  </si>
  <si>
    <t>Rita singh</t>
  </si>
  <si>
    <t>794451559578</t>
  </si>
  <si>
    <t>mrs sharma</t>
  </si>
  <si>
    <t>Rajeev Gupta</t>
  </si>
  <si>
    <t>785323252055</t>
  </si>
  <si>
    <t>SWAPAN KUMAR BHATTACHARJEE</t>
  </si>
  <si>
    <t>D175943378</t>
  </si>
  <si>
    <t>D188460941</t>
  </si>
  <si>
    <t>826399826209</t>
  </si>
  <si>
    <t>Binay Kishore Singh</t>
  </si>
  <si>
    <t>D185049718</t>
  </si>
  <si>
    <t>Paras Nath Prasads</t>
  </si>
  <si>
    <t>D175370553</t>
  </si>
  <si>
    <t>D175829671</t>
  </si>
  <si>
    <t>D174722888</t>
  </si>
  <si>
    <t>D170977558</t>
  </si>
  <si>
    <t>D189109308</t>
  </si>
  <si>
    <t>Md Shabbir Alam</t>
  </si>
  <si>
    <t>621775269038</t>
  </si>
  <si>
    <t>jh05ay0342</t>
  </si>
  <si>
    <t>D189154000</t>
  </si>
  <si>
    <t>Rajesh kr soni</t>
  </si>
  <si>
    <t>D189154830</t>
  </si>
  <si>
    <t>Varsha Kumari</t>
  </si>
  <si>
    <t>778013310789</t>
  </si>
  <si>
    <t>JH05BV8079</t>
  </si>
  <si>
    <t>Sanjib Kumar Rakshit</t>
  </si>
  <si>
    <t>824547441551</t>
  </si>
  <si>
    <t>JH05W8624</t>
  </si>
  <si>
    <t>789167855685</t>
  </si>
  <si>
    <t>Jayanto Das</t>
  </si>
  <si>
    <t>977738828893</t>
  </si>
  <si>
    <t>JH05Y4122</t>
  </si>
  <si>
    <t>D189978969</t>
  </si>
  <si>
    <t>D190493912</t>
  </si>
  <si>
    <t>Sarita Devi</t>
  </si>
  <si>
    <t>90573058124</t>
  </si>
  <si>
    <t>2963</t>
  </si>
  <si>
    <t>JH05Y6231</t>
  </si>
  <si>
    <t>Vikash Kumar</t>
  </si>
  <si>
    <t>D190598680</t>
  </si>
  <si>
    <t>Swar Singh</t>
  </si>
  <si>
    <t>6371</t>
  </si>
  <si>
    <t>D190653972</t>
  </si>
  <si>
    <t>Krishna Kumar</t>
  </si>
  <si>
    <t>D191006383</t>
  </si>
  <si>
    <t>3165</t>
  </si>
  <si>
    <t>JH05BS3840</t>
  </si>
  <si>
    <t>3187</t>
  </si>
  <si>
    <t>JH05AQ9129</t>
  </si>
  <si>
    <t>D191822335</t>
  </si>
  <si>
    <t>700398882133</t>
  </si>
  <si>
    <t>HM</t>
  </si>
  <si>
    <t>D194050265</t>
  </si>
  <si>
    <t>650208136772</t>
  </si>
  <si>
    <t>SS</t>
  </si>
  <si>
    <t>JH05CQ5952</t>
  </si>
  <si>
    <t>D194630147</t>
  </si>
  <si>
    <t>ss</t>
  </si>
  <si>
    <t>Himani senapati</t>
  </si>
  <si>
    <t>D195268582</t>
  </si>
  <si>
    <t>O</t>
  </si>
  <si>
    <t>D196398651</t>
  </si>
  <si>
    <t>Monini mohan gope</t>
  </si>
  <si>
    <t>Md Ashad</t>
  </si>
  <si>
    <t>JH10T3880</t>
  </si>
  <si>
    <t>D198462390</t>
  </si>
  <si>
    <t>digit</t>
  </si>
  <si>
    <t>2p</t>
  </si>
  <si>
    <t>D182519319</t>
  </si>
  <si>
    <t>nitish kumar</t>
  </si>
  <si>
    <t>JH05CG7093</t>
  </si>
  <si>
    <t>JH05CJ2290</t>
  </si>
  <si>
    <t>D182391339</t>
  </si>
  <si>
    <t>D182407762</t>
  </si>
  <si>
    <t>ankit kumar</t>
  </si>
  <si>
    <t>Acharya rajiv kumar</t>
  </si>
  <si>
    <t>D198197735</t>
  </si>
  <si>
    <t>Somnath biswas</t>
  </si>
  <si>
    <t>o</t>
  </si>
  <si>
    <t>Kundan kumar bhagat</t>
  </si>
  <si>
    <t>JH05CK1231</t>
  </si>
  <si>
    <t>BABY PANDEY</t>
  </si>
  <si>
    <t>WB96B7291</t>
  </si>
  <si>
    <t>d200356577</t>
  </si>
  <si>
    <t>Aniket sinha</t>
  </si>
  <si>
    <t>JH05AD1748</t>
  </si>
  <si>
    <t>D200377608</t>
  </si>
  <si>
    <t>SANJAY KUMAR</t>
  </si>
  <si>
    <t>JH05DL6314</t>
  </si>
  <si>
    <t>2W</t>
  </si>
  <si>
    <t>Ashwani Kumar Ojha</t>
  </si>
  <si>
    <t>0324</t>
  </si>
  <si>
    <t>JH05AH4212</t>
  </si>
  <si>
    <t>D200953547</t>
  </si>
  <si>
    <t>4p</t>
  </si>
  <si>
    <t>JH</t>
  </si>
  <si>
    <t>D191427042</t>
  </si>
  <si>
    <t>Nadeem Akhter</t>
  </si>
  <si>
    <t>312792400765</t>
  </si>
  <si>
    <t>D201778158</t>
  </si>
  <si>
    <t>Atif</t>
  </si>
  <si>
    <t>5606</t>
  </si>
  <si>
    <t>suvasish choudhary</t>
  </si>
  <si>
    <t>MALAY KUMAR PALIT</t>
  </si>
  <si>
    <t>Bibekanand Bera</t>
  </si>
  <si>
    <t>5692</t>
  </si>
  <si>
    <t>JH05BZ8253</t>
  </si>
  <si>
    <t>D204272156</t>
  </si>
  <si>
    <t>Shaukat Ali</t>
  </si>
  <si>
    <t>303567582453</t>
  </si>
  <si>
    <t>JH05BE2509</t>
  </si>
  <si>
    <t>D204245080</t>
  </si>
  <si>
    <t>Prasanjit Pramanik</t>
  </si>
  <si>
    <t>Bipin George Bhengra</t>
  </si>
  <si>
    <t>JH05DJ5997</t>
  </si>
  <si>
    <t>12-03--1985</t>
  </si>
  <si>
    <t>8913</t>
  </si>
  <si>
    <t>D192438720</t>
  </si>
  <si>
    <t>JH05BP1707</t>
  </si>
  <si>
    <t>9439</t>
  </si>
  <si>
    <t>Roshan kumar dwiwedi</t>
  </si>
  <si>
    <t>D205836313</t>
  </si>
  <si>
    <t>Gumma Venkat Lata</t>
  </si>
  <si>
    <t>0467</t>
  </si>
  <si>
    <t>JH05BE4137</t>
  </si>
  <si>
    <t>D206092860</t>
  </si>
  <si>
    <t>JH05CD4630</t>
  </si>
  <si>
    <t>Vijay Kumar Pandey</t>
  </si>
  <si>
    <t>JH05M1378</t>
  </si>
  <si>
    <t>4074</t>
  </si>
  <si>
    <t>D192890670</t>
  </si>
  <si>
    <t>Sushma Devi</t>
  </si>
  <si>
    <t>D209630035</t>
  </si>
  <si>
    <t>JH05D5997</t>
  </si>
  <si>
    <t>D199541363</t>
  </si>
  <si>
    <t>jh05n2073</t>
  </si>
  <si>
    <t>D13520474</t>
  </si>
  <si>
    <t>Binayak Bibek das</t>
  </si>
  <si>
    <t>D205977374</t>
  </si>
  <si>
    <t>JH05CK8733</t>
  </si>
  <si>
    <t>05-06--2025</t>
  </si>
  <si>
    <t>UPENDRA SINGH</t>
  </si>
  <si>
    <t>D187482089</t>
  </si>
  <si>
    <t>JH05CD4360</t>
  </si>
  <si>
    <t>D206097466</t>
  </si>
  <si>
    <t>JH05A9600</t>
  </si>
  <si>
    <t>Imteyaz Ahmad</t>
  </si>
  <si>
    <t>D192184341</t>
  </si>
  <si>
    <t>jh05bm5093</t>
  </si>
  <si>
    <t>D193520059</t>
  </si>
  <si>
    <t>JEROME STEPHEN</t>
  </si>
  <si>
    <t>MD ASIF AL</t>
  </si>
  <si>
    <t>MRS URMILA MAHATO</t>
  </si>
  <si>
    <t>D209760140</t>
  </si>
  <si>
    <t>JH05by8009</t>
  </si>
  <si>
    <t>Kumar raju</t>
  </si>
  <si>
    <t>0194</t>
  </si>
  <si>
    <t>D214639127</t>
  </si>
  <si>
    <t>5748</t>
  </si>
  <si>
    <t>Binod Kumar</t>
  </si>
  <si>
    <t>D197695533</t>
  </si>
  <si>
    <t>1951</t>
  </si>
  <si>
    <t>Gaza Bhumij</t>
  </si>
  <si>
    <t>D197732133</t>
  </si>
  <si>
    <t>JH05AV612</t>
  </si>
  <si>
    <t>0551</t>
  </si>
  <si>
    <t>JAMIL HAIDER AFZALUL HAQUE</t>
  </si>
  <si>
    <t>D212233086</t>
  </si>
  <si>
    <t>D198044524</t>
  </si>
  <si>
    <t>DALVIR SINGH</t>
  </si>
  <si>
    <t>TATA TIGOR</t>
  </si>
  <si>
    <t>DISCOVER</t>
  </si>
  <si>
    <t>D212871374</t>
  </si>
  <si>
    <t>D198020628</t>
  </si>
  <si>
    <t>D199563710</t>
  </si>
  <si>
    <t>Mrs Manju Das</t>
  </si>
  <si>
    <t>D214553326</t>
  </si>
  <si>
    <t>PLEASURE</t>
  </si>
  <si>
    <t>JH05AF4127</t>
  </si>
  <si>
    <t>ABHIMANY KUMAR SINGH</t>
  </si>
  <si>
    <t>PASSION</t>
  </si>
  <si>
    <t>PUNAM DEVI</t>
  </si>
  <si>
    <t>4W</t>
  </si>
  <si>
    <t>D212256977</t>
  </si>
  <si>
    <t>SHAHIN TARRANNUM</t>
  </si>
  <si>
    <t>6577</t>
  </si>
  <si>
    <t>JH05BC9069</t>
  </si>
  <si>
    <t>D217389654</t>
  </si>
  <si>
    <t>santosh kumar</t>
  </si>
  <si>
    <t>SATYA KINKAR PATRA</t>
  </si>
  <si>
    <t>JUPITAL</t>
  </si>
  <si>
    <t>jh05df9349</t>
  </si>
  <si>
    <t>D202925435</t>
  </si>
  <si>
    <t>baleno</t>
  </si>
  <si>
    <t>Asim Khan</t>
  </si>
  <si>
    <t>zen</t>
  </si>
  <si>
    <t>jh05a5503</t>
  </si>
  <si>
    <t>Aarish Meraz</t>
  </si>
  <si>
    <t>2P</t>
  </si>
  <si>
    <t>JH05AG1597</t>
  </si>
  <si>
    <t>D218723753</t>
  </si>
  <si>
    <t>Pramod Kumar singh</t>
  </si>
  <si>
    <t>JH05CM2434</t>
  </si>
  <si>
    <t>05-011-1975</t>
  </si>
  <si>
    <t>8612</t>
  </si>
  <si>
    <t>MARUTI SUJUJI</t>
  </si>
  <si>
    <t>Amrik singh</t>
  </si>
  <si>
    <t>JH05BF9825</t>
  </si>
  <si>
    <t>activa</t>
  </si>
  <si>
    <t>14-08-20325</t>
  </si>
  <si>
    <t>D202663942</t>
  </si>
  <si>
    <t>CC</t>
  </si>
  <si>
    <t>Syed Azhar hussain</t>
  </si>
  <si>
    <t>Ravi Shankar</t>
  </si>
  <si>
    <t>ACTIVA</t>
  </si>
  <si>
    <t>D202908652</t>
  </si>
  <si>
    <t>Bahadur Yadav</t>
  </si>
  <si>
    <t>3037</t>
  </si>
  <si>
    <t>D220740317</t>
  </si>
  <si>
    <t>JH05CF6976</t>
  </si>
  <si>
    <t>pass-pro</t>
  </si>
  <si>
    <t>SWAPAN KUMAR DAS</t>
  </si>
  <si>
    <t>2759</t>
  </si>
  <si>
    <t>JH05Z9883</t>
  </si>
  <si>
    <t>D222288763</t>
  </si>
  <si>
    <t>Padmabhushan singh</t>
  </si>
  <si>
    <t>2204</t>
  </si>
  <si>
    <t>D223128588</t>
  </si>
  <si>
    <t>D223573872</t>
  </si>
  <si>
    <t>Najare Imam</t>
  </si>
  <si>
    <t>JH05S7741</t>
  </si>
  <si>
    <t>Manoj Kumar singh</t>
  </si>
  <si>
    <t>D223576330</t>
  </si>
  <si>
    <t>0406</t>
  </si>
  <si>
    <t>D210261755</t>
  </si>
  <si>
    <t>splendor</t>
  </si>
  <si>
    <t>Punam Devi</t>
  </si>
  <si>
    <t>D223373301</t>
  </si>
  <si>
    <t>JH05BG1799</t>
  </si>
  <si>
    <t>4H</t>
  </si>
  <si>
    <t>suzuki</t>
  </si>
  <si>
    <t>JH05AY6467</t>
  </si>
  <si>
    <t>ALTO</t>
  </si>
  <si>
    <t>JH05AU1852</t>
  </si>
  <si>
    <t>ASHOK KUMAR SINGH</t>
  </si>
  <si>
    <t>D225269280</t>
  </si>
  <si>
    <t>shib nth giri</t>
  </si>
  <si>
    <t>yamhaha</t>
  </si>
  <si>
    <t>re</t>
  </si>
  <si>
    <t>JH05CU0397</t>
  </si>
  <si>
    <t>Ms annu verma</t>
  </si>
  <si>
    <t>D223460064</t>
  </si>
  <si>
    <t>JH05AA2210</t>
  </si>
  <si>
    <t>p Rcvd</t>
  </si>
  <si>
    <t>D210368304</t>
  </si>
  <si>
    <t>actica</t>
  </si>
  <si>
    <t>jh05ca6514</t>
  </si>
  <si>
    <t>dhanurdhar tripathy</t>
  </si>
  <si>
    <t>JH05F5263</t>
  </si>
  <si>
    <t>D210246197</t>
  </si>
  <si>
    <t>PRASANT KUMAR GANGULY</t>
  </si>
  <si>
    <t>D209393278</t>
  </si>
  <si>
    <t>BIJAY PRASAD</t>
  </si>
  <si>
    <t>D224688050</t>
  </si>
  <si>
    <t>pleasure</t>
  </si>
  <si>
    <t>jh05at5142</t>
  </si>
  <si>
    <t>D224949700</t>
  </si>
  <si>
    <t>Nisha kumari</t>
  </si>
  <si>
    <t>D225765661</t>
  </si>
  <si>
    <t>JH05CU1032</t>
  </si>
  <si>
    <t>GOURV MUNDA</t>
  </si>
  <si>
    <t>D226126469</t>
  </si>
  <si>
    <t>JH05BG7758</t>
  </si>
  <si>
    <t>D226316561</t>
  </si>
  <si>
    <t>D210263879</t>
  </si>
  <si>
    <t>D226986654</t>
  </si>
  <si>
    <t>200 TO BE PAID BY CUST</t>
  </si>
  <si>
    <t>aaquil hasan</t>
  </si>
  <si>
    <t>nitish</t>
  </si>
  <si>
    <t>D232411166</t>
  </si>
  <si>
    <t>Amod Kumar Shrivastava</t>
  </si>
  <si>
    <t>7548</t>
  </si>
  <si>
    <t>D234141226</t>
  </si>
  <si>
    <t>subal chandra</t>
  </si>
  <si>
    <t>santosh gorai</t>
  </si>
  <si>
    <t>D236092153</t>
  </si>
  <si>
    <t>9696</t>
  </si>
  <si>
    <t>Subhra khatua</t>
  </si>
  <si>
    <t>D236216654</t>
  </si>
  <si>
    <t>Ruma Mukherjee</t>
  </si>
  <si>
    <t>JH05DX2764</t>
  </si>
  <si>
    <t>Tapan Kanti Mukherjee</t>
  </si>
  <si>
    <t>JH05BZ1794</t>
  </si>
  <si>
    <t>Dewepak Kumar Singh</t>
  </si>
  <si>
    <t>JH05AW7626</t>
  </si>
  <si>
    <t>JH05BM8552</t>
  </si>
  <si>
    <t>Jugal singh  munda</t>
  </si>
  <si>
    <t>Subhash kumar yadav</t>
  </si>
  <si>
    <t>N laxman</t>
  </si>
  <si>
    <t>jh05bq2333</t>
  </si>
  <si>
    <t>JH05AE4611</t>
  </si>
  <si>
    <t>Atanu Bose</t>
  </si>
  <si>
    <t>JH05CF3941</t>
  </si>
  <si>
    <t>D240498530</t>
  </si>
  <si>
    <t>Shapal Pramanik</t>
  </si>
  <si>
    <t>JH05BB7734</t>
  </si>
  <si>
    <t>sanjay kumar kunwar</t>
  </si>
  <si>
    <t>jyoti soni</t>
  </si>
  <si>
    <t>MARU800</t>
  </si>
  <si>
    <t>jupitar</t>
  </si>
  <si>
    <t>Prabhas Deu</t>
  </si>
  <si>
    <t>7063</t>
  </si>
  <si>
    <t>JH05BY0922</t>
  </si>
  <si>
    <t>5114</t>
  </si>
  <si>
    <t>D245379036</t>
  </si>
  <si>
    <t>5552</t>
  </si>
  <si>
    <t>Chinmay das</t>
  </si>
  <si>
    <t>D249590856</t>
  </si>
  <si>
    <t>Sabir khan</t>
  </si>
  <si>
    <t>01-13-1979</t>
  </si>
  <si>
    <t>2804</t>
  </si>
  <si>
    <t>JH05BM6759</t>
  </si>
  <si>
    <t>D250186868</t>
  </si>
  <si>
    <t>D250195759</t>
  </si>
  <si>
    <t>JH05CW8776</t>
  </si>
  <si>
    <t>5343</t>
  </si>
  <si>
    <t>C Balaji</t>
  </si>
  <si>
    <t>Anjani Devi</t>
  </si>
  <si>
    <t>Dayanand mishra</t>
  </si>
  <si>
    <t>Mohammad Nasim</t>
  </si>
  <si>
    <t>2628</t>
  </si>
  <si>
    <t>JH05CJ7782</t>
  </si>
  <si>
    <t>Ashok Kumar Singh</t>
  </si>
  <si>
    <t>0910</t>
  </si>
  <si>
    <t>D250509212</t>
  </si>
  <si>
    <t>Ramni Mahato</t>
  </si>
  <si>
    <t>Binod Kumar soni</t>
  </si>
  <si>
    <t>D252103140</t>
  </si>
  <si>
    <t>Madhuri kalpana kujur</t>
  </si>
  <si>
    <t>JH05AT4614</t>
  </si>
  <si>
    <t>D237019419</t>
  </si>
  <si>
    <t>Dharmendra Kumar</t>
  </si>
  <si>
    <t>4286</t>
  </si>
  <si>
    <t>JH05CX2771</t>
  </si>
  <si>
    <t>D254074393</t>
  </si>
  <si>
    <t>D237056643</t>
  </si>
  <si>
    <t>D237181248</t>
  </si>
  <si>
    <t>Swapan kumar mitra</t>
  </si>
  <si>
    <t>JH05CA7009</t>
  </si>
  <si>
    <t>D255044460</t>
  </si>
  <si>
    <t>MISHRI SHARMA</t>
  </si>
  <si>
    <t>Manoj Kumar</t>
  </si>
  <si>
    <t>D257722209</t>
  </si>
  <si>
    <t>RENEW Date</t>
  </si>
  <si>
    <t>BIRENDRA GORAI</t>
  </si>
  <si>
    <t>JH05BJ7935</t>
  </si>
  <si>
    <t>Shamim khan</t>
  </si>
  <si>
    <t>JH05AZ1695</t>
  </si>
  <si>
    <t>AVIATOR</t>
  </si>
  <si>
    <t>D256498756</t>
  </si>
  <si>
    <t>SWAPAN KUMAR NANDI</t>
  </si>
  <si>
    <t>D256586258</t>
  </si>
  <si>
    <t>DREAM NEO</t>
  </si>
  <si>
    <t>JH05BG5443</t>
  </si>
  <si>
    <t>ASHOK KUMAR SHARMA</t>
  </si>
  <si>
    <t>D256587777</t>
  </si>
  <si>
    <t>JH05AX2334</t>
  </si>
  <si>
    <t>SANJAY PANDEY</t>
  </si>
  <si>
    <t>SPLENDER</t>
  </si>
  <si>
    <t>ANUP MAITY</t>
  </si>
  <si>
    <t>D257314443</t>
  </si>
  <si>
    <t>JH05BQ7847</t>
  </si>
  <si>
    <t>SWARN SINGH</t>
  </si>
  <si>
    <t>D242408008</t>
  </si>
  <si>
    <t>JH05Q9610</t>
  </si>
  <si>
    <t>JH05DJ8285</t>
  </si>
  <si>
    <t>TVS Jupiter</t>
  </si>
  <si>
    <t>D260394835</t>
  </si>
  <si>
    <t>JH05BZ1767</t>
  </si>
  <si>
    <t>safiulla khan</t>
  </si>
  <si>
    <t>JH05AZ8968</t>
  </si>
  <si>
    <t>JH05x5595</t>
  </si>
  <si>
    <t>supriya biswas</t>
  </si>
  <si>
    <t>D260402627</t>
  </si>
  <si>
    <t>MOHINI MOHAN GOPE</t>
  </si>
  <si>
    <t>D247144661</t>
  </si>
  <si>
    <t>VIVEK KUMAR SINGH</t>
  </si>
  <si>
    <t>JH05AA1431</t>
  </si>
  <si>
    <t>GLADIATOR</t>
  </si>
  <si>
    <t>D260896279</t>
  </si>
  <si>
    <t>ANKIT KUMAR</t>
  </si>
  <si>
    <t>SHINE</t>
  </si>
  <si>
    <t>D247132986</t>
  </si>
  <si>
    <t>ZAFAR ALAM</t>
  </si>
  <si>
    <t>D247685141</t>
  </si>
  <si>
    <t>BIKAS CHANDRA MAHATO</t>
  </si>
  <si>
    <t>D243433726</t>
  </si>
  <si>
    <t>BIKAS KUMAR KUNDU</t>
  </si>
  <si>
    <t>JUPITER</t>
  </si>
  <si>
    <t>D262223011</t>
  </si>
  <si>
    <t>SACHIN SINGH</t>
  </si>
  <si>
    <t>JH05BK5067</t>
  </si>
  <si>
    <t>D2623337579</t>
  </si>
  <si>
    <t>SANJAY KUMAR SINGH</t>
  </si>
  <si>
    <t>SUBHASH CHAND CHOUDHARY</t>
  </si>
  <si>
    <t>D262757732</t>
  </si>
  <si>
    <t>JH05BJ1638</t>
  </si>
  <si>
    <t>TATA407</t>
  </si>
  <si>
    <t>Laxmi Singh</t>
  </si>
  <si>
    <t>D263015501</t>
  </si>
  <si>
    <t>Binay Kishore singh</t>
  </si>
  <si>
    <t>PASSION PLUS</t>
  </si>
  <si>
    <t>JH055S2753</t>
  </si>
  <si>
    <t>D245239999</t>
  </si>
  <si>
    <t>JH05CQ7967</t>
  </si>
  <si>
    <t>Natan kumar bose</t>
  </si>
  <si>
    <t>JH05BK4962</t>
  </si>
  <si>
    <t>HF DELUX</t>
  </si>
  <si>
    <t>JH045BF8354</t>
  </si>
  <si>
    <t>D246958270</t>
  </si>
  <si>
    <t>D263366190</t>
  </si>
  <si>
    <t>DHIRENDRA NATH GOPE</t>
  </si>
  <si>
    <t>ANIL KUMAR</t>
  </si>
  <si>
    <t>TATA 407</t>
  </si>
  <si>
    <t>JH05E8161</t>
  </si>
  <si>
    <t>JH01BW1558</t>
  </si>
  <si>
    <t>IMAM QURAISHI</t>
  </si>
  <si>
    <t>JH05CM7948</t>
  </si>
  <si>
    <t>PASSION pro</t>
  </si>
  <si>
    <t>ford</t>
  </si>
  <si>
    <t>SANJAY KUMAR DUTTA</t>
  </si>
  <si>
    <t>reyaz khan</t>
  </si>
  <si>
    <t>JH05BQ2548</t>
  </si>
  <si>
    <t>jupiter</t>
  </si>
  <si>
    <t>sanjay kuamar</t>
  </si>
  <si>
    <t>passion plus</t>
  </si>
  <si>
    <t>Ashim kumar dhar</t>
  </si>
  <si>
    <t>jh05bm1863</t>
  </si>
  <si>
    <t>SOHAIL KURAISHI</t>
  </si>
  <si>
    <t>BIPIN THAKUR</t>
  </si>
  <si>
    <t>acTIVA</t>
  </si>
  <si>
    <t>JH05BD6198</t>
  </si>
  <si>
    <t>JH05AY0392</t>
  </si>
  <si>
    <t>Aparna raju</t>
  </si>
  <si>
    <t>baikunth thakur(sanjay kumar singh)</t>
  </si>
  <si>
    <t>JH05AJ2434</t>
  </si>
  <si>
    <t>D269433460</t>
  </si>
  <si>
    <t>TARUN PRAMANIK</t>
  </si>
  <si>
    <t>D269766681</t>
  </si>
  <si>
    <t>JH05CL2518</t>
  </si>
  <si>
    <t>JAY CHAND RAM</t>
  </si>
  <si>
    <t>Vijay Kumar singh</t>
  </si>
  <si>
    <t>JH05AZ6220</t>
  </si>
  <si>
    <t>3458</t>
  </si>
  <si>
    <t>D275667869</t>
  </si>
  <si>
    <t>Ranjeet Singh</t>
  </si>
  <si>
    <t>18-011-1978</t>
  </si>
  <si>
    <t>dzire</t>
  </si>
  <si>
    <t>JH05AR9543</t>
  </si>
  <si>
    <t>ACTUAL</t>
  </si>
  <si>
    <t>jh05bg9360</t>
  </si>
  <si>
    <t>B SHYAM KUMAR</t>
  </si>
  <si>
    <t>KUMAR RAJU</t>
  </si>
  <si>
    <t>PASSION+</t>
  </si>
  <si>
    <t>D284042227</t>
  </si>
  <si>
    <t>JH05BS9069</t>
  </si>
  <si>
    <t>D264473950</t>
  </si>
  <si>
    <t>D264990241</t>
  </si>
  <si>
    <t>JH05BN4879</t>
  </si>
  <si>
    <t>BALENO-MARUTI</t>
  </si>
  <si>
    <t>WAGON-R</t>
  </si>
  <si>
    <t>Khokan Kumari</t>
  </si>
  <si>
    <t>jh05aj6157</t>
  </si>
  <si>
    <t>tvs-scooty</t>
  </si>
  <si>
    <t>R</t>
  </si>
  <si>
    <t>BR16H5533</t>
  </si>
  <si>
    <t>DHARAMBIR SINGH</t>
  </si>
  <si>
    <t>JH05P3235</t>
  </si>
  <si>
    <t>JH05DA0755</t>
  </si>
  <si>
    <t>UTPAL BHATTCHARJEE</t>
  </si>
  <si>
    <t>D292726842</t>
  </si>
  <si>
    <t>ASIM KR KHAN</t>
  </si>
  <si>
    <t>JH05A5503</t>
  </si>
  <si>
    <t>ZEN</t>
  </si>
  <si>
    <t>D264321090</t>
  </si>
  <si>
    <t>AMRIK SINGH</t>
  </si>
  <si>
    <t>D269966024</t>
  </si>
  <si>
    <t>ANNU VERMA</t>
  </si>
  <si>
    <t>TVS SCOOTY</t>
  </si>
  <si>
    <t>D293744403</t>
  </si>
  <si>
    <t>JH05DA0952</t>
  </si>
  <si>
    <t>AMIT KUMAR KUNDU</t>
  </si>
  <si>
    <t>D293995396</t>
  </si>
  <si>
    <t>UDAY KUMAR GIRI</t>
  </si>
  <si>
    <t>SUZUKI-800</t>
  </si>
  <si>
    <t>NAZRE IMAM</t>
  </si>
  <si>
    <t>D269230361</t>
  </si>
  <si>
    <t>MANOJ KUMAR SINGH</t>
  </si>
  <si>
    <t>CD DELUX</t>
  </si>
  <si>
    <t>D270269168</t>
  </si>
  <si>
    <t>PANKAJ DEY</t>
  </si>
  <si>
    <t>D269964285</t>
  </si>
  <si>
    <t>PADMA BHUSHAN SINGH</t>
  </si>
  <si>
    <t>JH05CU5430</t>
  </si>
  <si>
    <t>D270123251</t>
  </si>
  <si>
    <t>D295999893</t>
  </si>
  <si>
    <t>OD14K6966</t>
  </si>
  <si>
    <t>AYUSHI DHAWALIA</t>
  </si>
  <si>
    <t>D297567090</t>
  </si>
  <si>
    <t>ARISH MERAZ</t>
  </si>
  <si>
    <t>ACCESS</t>
  </si>
  <si>
    <t>N</t>
  </si>
  <si>
    <t>yamha</t>
  </si>
  <si>
    <t>y</t>
  </si>
  <si>
    <t>alto</t>
  </si>
  <si>
    <t>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</si>
</sst>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3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44444"/>
      <name val="Muli"/>
    </font>
    <font>
      <sz val="9"/>
      <color rgb="FF222222"/>
      <name val="Roboto"/>
    </font>
    <font>
      <sz val="12"/>
      <color rgb="FF212529"/>
      <name val="Segoe U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8000"/>
      <name val="Arial"/>
      <family val="2"/>
    </font>
    <font>
      <sz val="11"/>
      <color rgb="FF212529"/>
      <name val="Segoe UI"/>
      <family val="2"/>
    </font>
    <font>
      <sz val="11"/>
      <color rgb="FFFF0000"/>
      <name val="Segoe UI"/>
      <family val="2"/>
    </font>
    <font>
      <sz val="8"/>
      <name val="Calibri"/>
      <family val="2"/>
      <scheme val="minor"/>
    </font>
    <font>
      <sz val="11"/>
      <name val="Segoe UI"/>
      <family val="2"/>
    </font>
    <font>
      <sz val="11"/>
      <name val="Calibri"/>
      <family val="2"/>
      <scheme val="minor"/>
    </font>
    <font>
      <sz val="11"/>
      <color theme="1"/>
      <name val="Segoe UI"/>
      <family val="2"/>
    </font>
    <font>
      <sz val="11"/>
      <color rgb="FF00B050"/>
      <name val="Calibri"/>
      <family val="2"/>
      <scheme val="minor"/>
    </font>
    <font>
      <sz val="12"/>
      <color rgb="FF444444"/>
      <name val="Muli"/>
    </font>
    <font>
      <sz val="14"/>
      <color rgb="FF00B050"/>
      <name val="Calibri"/>
      <family val="2"/>
      <scheme val="minor"/>
    </font>
    <font>
      <sz val="14"/>
      <color rgb="FF92D050"/>
      <name val="Calibri"/>
      <family val="2"/>
      <scheme val="minor"/>
    </font>
    <font>
      <sz val="11"/>
      <color rgb="FF00B050"/>
      <name val="Segoe UI"/>
      <family val="2"/>
    </font>
    <font>
      <sz val="12"/>
      <color rgb="FF00B050"/>
      <name val="Muli"/>
    </font>
    <font>
      <sz val="12"/>
      <color rgb="FF00B050"/>
      <name val="Segoe UI"/>
      <family val="2"/>
    </font>
    <font>
      <b/>
      <sz val="11"/>
      <color rgb="FF212529"/>
      <name val="Source Sans Pro"/>
      <family val="2"/>
    </font>
    <font>
      <sz val="10"/>
      <color rgb="FF444444"/>
      <name val="Muli"/>
    </font>
    <font>
      <sz val="10"/>
      <color rgb="FF212529"/>
      <name val="Segoe UI"/>
      <family val="2"/>
    </font>
    <font>
      <sz val="12"/>
      <color rgb="FFFF0000"/>
      <name val="Segoe UI"/>
      <family val="2"/>
    </font>
    <font>
      <sz val="12"/>
      <name val="Segoe UI"/>
      <family val="2"/>
    </font>
    <font>
      <sz val="10"/>
      <color rgb="FFFF0000"/>
      <name val="Segoe UI"/>
      <family val="2"/>
    </font>
    <font>
      <b/>
      <sz val="22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34">
    <xf numFmtId="0" fontId="0" fillId="0" borderId="0" xfId="0"/>
    <xf numFmtId="14" fontId="0" fillId="0" borderId="0" xfId="0" applyNumberFormat="1"/>
    <xf numFmtId="1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2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right"/>
    </xf>
    <xf numFmtId="0" fontId="1" fillId="0" borderId="2" xfId="0" applyFont="1" applyBorder="1" applyAlignment="1">
      <alignment horizontal="righ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left"/>
    </xf>
    <xf numFmtId="0" fontId="0" fillId="0" borderId="2" xfId="0" applyBorder="1"/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6" fontId="0" fillId="0" borderId="0" xfId="0" applyNumberFormat="1" applyAlignment="1">
      <alignment horizontal="center"/>
    </xf>
    <xf numFmtId="0" fontId="1" fillId="2" borderId="2" xfId="0" applyFont="1" applyFill="1" applyBorder="1"/>
    <xf numFmtId="164" fontId="5" fillId="0" borderId="0" xfId="0" applyNumberFormat="1" applyFont="1"/>
    <xf numFmtId="164" fontId="5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8" fillId="0" borderId="0" xfId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14" fontId="7" fillId="0" borderId="0" xfId="0" applyNumberFormat="1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14" fontId="7" fillId="0" borderId="0" xfId="0" applyNumberFormat="1" applyFont="1" applyAlignment="1">
      <alignment horizontal="left"/>
    </xf>
    <xf numFmtId="14" fontId="0" fillId="0" borderId="2" xfId="0" applyNumberFormat="1" applyBorder="1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left" wrapText="1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0" fontId="9" fillId="0" borderId="0" xfId="0" applyFont="1"/>
    <xf numFmtId="0" fontId="9" fillId="0" borderId="0" xfId="0" applyFont="1" applyAlignment="1">
      <alignment horizontal="center"/>
    </xf>
    <xf numFmtId="14" fontId="9" fillId="0" borderId="0" xfId="0" applyNumberFormat="1" applyFont="1"/>
    <xf numFmtId="0" fontId="9" fillId="0" borderId="0" xfId="0" applyFont="1" applyAlignment="1">
      <alignment horizontal="right"/>
    </xf>
    <xf numFmtId="0" fontId="9" fillId="3" borderId="0" xfId="0" applyFont="1" applyFill="1"/>
    <xf numFmtId="0" fontId="0" fillId="3" borderId="0" xfId="0" applyFill="1"/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2" xfId="0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3" borderId="2" xfId="0" applyNumberFormat="1" applyFill="1" applyBorder="1" applyAlignment="1">
      <alignment horizontal="center"/>
    </xf>
    <xf numFmtId="49" fontId="9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4" borderId="0" xfId="0" applyFill="1" applyAlignment="1">
      <alignment horizontal="center"/>
    </xf>
    <xf numFmtId="14" fontId="0" fillId="4" borderId="0" xfId="0" applyNumberFormat="1" applyFill="1"/>
    <xf numFmtId="0" fontId="0" fillId="4" borderId="0" xfId="0" applyFill="1"/>
    <xf numFmtId="0" fontId="11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49" fontId="0" fillId="3" borderId="0" xfId="0" applyNumberFormat="1" applyFill="1" applyAlignment="1">
      <alignment horizontal="center"/>
    </xf>
    <xf numFmtId="0" fontId="6" fillId="3" borderId="2" xfId="1" applyFill="1" applyBorder="1"/>
    <xf numFmtId="0" fontId="6" fillId="0" borderId="0" xfId="1"/>
    <xf numFmtId="0" fontId="1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center"/>
    </xf>
    <xf numFmtId="0" fontId="15" fillId="0" borderId="0" xfId="0" applyFont="1"/>
    <xf numFmtId="0" fontId="17" fillId="0" borderId="0" xfId="0" applyFont="1" applyAlignment="1">
      <alignment horizontal="left"/>
    </xf>
    <xf numFmtId="0" fontId="18" fillId="0" borderId="0" xfId="0" applyFont="1"/>
    <xf numFmtId="0" fontId="1" fillId="0" borderId="0" xfId="0" applyFont="1" applyAlignment="1">
      <alignment horizontal="left"/>
    </xf>
    <xf numFmtId="0" fontId="1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4" borderId="0" xfId="0" applyFill="1" applyAlignment="1">
      <alignment horizontal="left"/>
    </xf>
    <xf numFmtId="0" fontId="0" fillId="3" borderId="2" xfId="0" applyFill="1" applyBorder="1" applyAlignment="1">
      <alignment horizontal="left"/>
    </xf>
    <xf numFmtId="0" fontId="9" fillId="0" borderId="0" xfId="0" applyFont="1" applyAlignment="1">
      <alignment horizontal="left"/>
    </xf>
    <xf numFmtId="0" fontId="0" fillId="3" borderId="0" xfId="0" applyFill="1" applyAlignment="1">
      <alignment horizontal="left"/>
    </xf>
    <xf numFmtId="0" fontId="4" fillId="0" borderId="0" xfId="0" applyFont="1" applyAlignment="1">
      <alignment horizontal="left"/>
    </xf>
    <xf numFmtId="0" fontId="0" fillId="5" borderId="0" xfId="0" applyFill="1" applyAlignment="1">
      <alignment horizontal="center"/>
    </xf>
    <xf numFmtId="14" fontId="0" fillId="5" borderId="0" xfId="0" applyNumberFormat="1" applyFill="1"/>
    <xf numFmtId="0" fontId="0" fillId="5" borderId="0" xfId="0" applyFill="1"/>
    <xf numFmtId="0" fontId="0" fillId="5" borderId="0" xfId="0" applyFill="1" applyAlignment="1">
      <alignment horizontal="left"/>
    </xf>
    <xf numFmtId="49" fontId="0" fillId="5" borderId="0" xfId="0" applyNumberFormat="1" applyFill="1" applyAlignment="1">
      <alignment horizontal="center"/>
    </xf>
    <xf numFmtId="0" fontId="17" fillId="0" borderId="0" xfId="0" applyFont="1" applyAlignment="1">
      <alignment horizontal="center"/>
    </xf>
    <xf numFmtId="14" fontId="17" fillId="0" borderId="0" xfId="0" applyNumberFormat="1" applyFont="1"/>
    <xf numFmtId="0" fontId="17" fillId="0" borderId="0" xfId="0" applyFont="1"/>
    <xf numFmtId="49" fontId="17" fillId="0" borderId="0" xfId="0" applyNumberFormat="1" applyFont="1" applyAlignment="1">
      <alignment horizontal="center"/>
    </xf>
    <xf numFmtId="0" fontId="19" fillId="0" borderId="0" xfId="0" applyFont="1"/>
    <xf numFmtId="0" fontId="6" fillId="3" borderId="0" xfId="1" applyFill="1" applyBorder="1"/>
    <xf numFmtId="0" fontId="20" fillId="0" borderId="0" xfId="0" applyFont="1"/>
    <xf numFmtId="0" fontId="11" fillId="5" borderId="0" xfId="0" applyFont="1" applyFill="1" applyAlignment="1">
      <alignment horizontal="center"/>
    </xf>
    <xf numFmtId="0" fontId="7" fillId="5" borderId="0" xfId="0" applyFont="1" applyFill="1"/>
    <xf numFmtId="49" fontId="0" fillId="4" borderId="0" xfId="0" applyNumberFormat="1" applyFill="1" applyAlignment="1">
      <alignment horizontal="center"/>
    </xf>
    <xf numFmtId="0" fontId="7" fillId="4" borderId="0" xfId="0" applyFont="1" applyFill="1"/>
    <xf numFmtId="0" fontId="14" fillId="4" borderId="0" xfId="0" applyFont="1" applyFill="1" applyAlignment="1">
      <alignment horizontal="center"/>
    </xf>
    <xf numFmtId="0" fontId="1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14" fontId="15" fillId="0" borderId="0" xfId="0" applyNumberFormat="1" applyFont="1"/>
    <xf numFmtId="49" fontId="15" fillId="0" borderId="0" xfId="0" applyNumberFormat="1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4" fillId="0" borderId="0" xfId="0" applyFont="1"/>
    <xf numFmtId="14" fontId="24" fillId="0" borderId="0" xfId="0" applyNumberFormat="1" applyFont="1"/>
    <xf numFmtId="0" fontId="20" fillId="5" borderId="0" xfId="0" applyFont="1" applyFill="1"/>
    <xf numFmtId="0" fontId="25" fillId="0" borderId="0" xfId="0" applyFont="1" applyAlignment="1">
      <alignment horizontal="left" vertical="center" wrapText="1"/>
    </xf>
    <xf numFmtId="0" fontId="17" fillId="0" borderId="0" xfId="0" applyFont="1" applyAlignment="1">
      <alignment horizontal="right"/>
    </xf>
    <xf numFmtId="0" fontId="26" fillId="0" borderId="0" xfId="0" applyFont="1"/>
    <xf numFmtId="2" fontId="0" fillId="3" borderId="2" xfId="0" applyNumberFormat="1" applyFill="1" applyBorder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9" fillId="3" borderId="2" xfId="0" applyFont="1" applyFill="1" applyBorder="1"/>
    <xf numFmtId="0" fontId="15" fillId="0" borderId="0" xfId="0" applyFont="1" applyAlignment="1">
      <alignment horizontal="right"/>
    </xf>
    <xf numFmtId="2" fontId="15" fillId="0" borderId="0" xfId="0" applyNumberFormat="1" applyFont="1"/>
    <xf numFmtId="0" fontId="2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8" fillId="0" borderId="0" xfId="0" applyFont="1" applyAlignment="1">
      <alignment horizontal="center"/>
    </xf>
    <xf numFmtId="0" fontId="15" fillId="5" borderId="0" xfId="0" applyFont="1" applyFill="1" applyAlignment="1">
      <alignment horizontal="center"/>
    </xf>
    <xf numFmtId="0" fontId="15" fillId="4" borderId="0" xfId="0" applyFont="1" applyFill="1" applyAlignment="1">
      <alignment horizontal="center"/>
    </xf>
    <xf numFmtId="0" fontId="4" fillId="0" borderId="0" xfId="0" applyFont="1"/>
    <xf numFmtId="0" fontId="2" fillId="0" borderId="0" xfId="0" applyFont="1"/>
    <xf numFmtId="0" fontId="11" fillId="0" borderId="0" xfId="0" applyFont="1"/>
    <xf numFmtId="0" fontId="1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5" borderId="0" xfId="0" applyFill="1" applyAlignment="1">
      <alignment horizontal="right"/>
    </xf>
    <xf numFmtId="0" fontId="0" fillId="3" borderId="2" xfId="0" applyFill="1" applyBorder="1" applyAlignment="1">
      <alignment horizontal="right"/>
    </xf>
    <xf numFmtId="0" fontId="0" fillId="3" borderId="0" xfId="0" applyFill="1" applyAlignment="1">
      <alignment horizontal="right"/>
    </xf>
    <xf numFmtId="0" fontId="0" fillId="4" borderId="0" xfId="0" applyFill="1" applyAlignment="1">
      <alignment horizontal="right"/>
    </xf>
    <xf numFmtId="0" fontId="24" fillId="0" borderId="0" xfId="0" applyFont="1" applyAlignment="1">
      <alignment horizontal="right"/>
    </xf>
    <xf numFmtId="0" fontId="10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2" fontId="0" fillId="3" borderId="2" xfId="0" applyNumberFormat="1" applyFill="1" applyBorder="1" applyAlignment="1">
      <alignment horizontal="right"/>
    </xf>
    <xf numFmtId="0" fontId="29" fillId="0" borderId="0" xfId="0" applyFont="1" applyAlignment="1">
      <alignment horizontal="center"/>
    </xf>
    <xf numFmtId="0" fontId="30" fillId="0" borderId="0" xfId="0" applyFont="1"/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A7AC4-516B-4892-A3F0-8D7B7805F756}">
  <dimension ref="A1:M6"/>
  <sheetViews>
    <sheetView workbookViewId="0">
      <selection activeCell="E6" sqref="E6"/>
    </sheetView>
  </sheetViews>
  <sheetFormatPr defaultRowHeight="14.4"/>
  <cols>
    <col min="3" max="3" width="25.6640625" style="3" customWidth="1"/>
    <col min="4" max="4" width="11.5546875" customWidth="1"/>
    <col min="5" max="5" width="15.44140625" customWidth="1"/>
    <col min="6" max="6" width="24.5546875" customWidth="1"/>
  </cols>
  <sheetData>
    <row r="1" spans="1:13">
      <c r="A1" t="s">
        <v>11</v>
      </c>
      <c r="B1" t="s">
        <v>12</v>
      </c>
      <c r="C1" s="2" t="s">
        <v>13</v>
      </c>
      <c r="D1" t="s">
        <v>14</v>
      </c>
      <c r="E1" t="s">
        <v>15</v>
      </c>
      <c r="F1" t="s">
        <v>16</v>
      </c>
      <c r="G1" t="s">
        <v>17</v>
      </c>
      <c r="H1" t="str">
        <f>CONCATENATE("TP- ",COUNTIF(A182:A213,"Bajaj"))</f>
        <v>TP- 0</v>
      </c>
      <c r="J1" t="s">
        <v>18</v>
      </c>
      <c r="K1" t="s">
        <v>19</v>
      </c>
      <c r="L1" t="s">
        <v>20</v>
      </c>
    </row>
    <row r="3" spans="1:13">
      <c r="A3" t="s">
        <v>22</v>
      </c>
      <c r="B3" t="s">
        <v>0</v>
      </c>
      <c r="C3" s="2" t="s">
        <v>21</v>
      </c>
      <c r="D3" s="1">
        <v>44240</v>
      </c>
      <c r="E3">
        <v>8521650025</v>
      </c>
      <c r="F3" t="s">
        <v>1</v>
      </c>
      <c r="G3">
        <v>0</v>
      </c>
      <c r="H3">
        <v>432</v>
      </c>
      <c r="I3">
        <f>(G3+H3)*1.18</f>
        <v>509.76</v>
      </c>
      <c r="J3" t="s">
        <v>2</v>
      </c>
      <c r="K3" t="s">
        <v>3</v>
      </c>
      <c r="L3" s="4">
        <f>H3*2.5/100</f>
        <v>10.8</v>
      </c>
      <c r="M3">
        <f>195-L3</f>
        <v>184.2</v>
      </c>
    </row>
    <row r="4" spans="1:13">
      <c r="A4" t="s">
        <v>22</v>
      </c>
      <c r="B4" t="s">
        <v>0</v>
      </c>
      <c r="C4" s="2" t="s">
        <v>21</v>
      </c>
      <c r="D4" s="1">
        <v>44240</v>
      </c>
      <c r="E4">
        <v>9608931932</v>
      </c>
      <c r="F4" t="s">
        <v>4</v>
      </c>
      <c r="G4">
        <v>0</v>
      </c>
      <c r="H4">
        <v>702</v>
      </c>
      <c r="I4">
        <f>(G4+H4)*1.18</f>
        <v>828.3599999999999</v>
      </c>
      <c r="J4" t="s">
        <v>5</v>
      </c>
      <c r="K4" t="s">
        <v>6</v>
      </c>
      <c r="L4" s="4">
        <f>H4*2.5/100</f>
        <v>17.55</v>
      </c>
    </row>
    <row r="5" spans="1:13">
      <c r="A5" t="s">
        <v>22</v>
      </c>
      <c r="B5" t="s">
        <v>0</v>
      </c>
      <c r="C5" s="2" t="s">
        <v>7</v>
      </c>
      <c r="D5" s="1">
        <v>44240</v>
      </c>
      <c r="E5">
        <v>9234630862</v>
      </c>
      <c r="F5" t="s">
        <v>8</v>
      </c>
      <c r="G5">
        <v>0</v>
      </c>
      <c r="H5">
        <v>2327</v>
      </c>
      <c r="I5">
        <f>(G5+H5)*1.18</f>
        <v>2745.8599999999997</v>
      </c>
      <c r="J5" t="s">
        <v>9</v>
      </c>
      <c r="K5" t="s">
        <v>10</v>
      </c>
      <c r="L5" s="4">
        <f>H5*2.5/100</f>
        <v>58.174999999999997</v>
      </c>
    </row>
    <row r="6" spans="1:13">
      <c r="A6" t="s">
        <v>22</v>
      </c>
      <c r="B6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32"/>
  <sheetViews>
    <sheetView tabSelected="1" zoomScale="70" zoomScaleNormal="70" workbookViewId="0">
      <pane ySplit="1" topLeftCell="A968" activePane="bottomLeft" state="frozen"/>
      <selection pane="bottomLeft" activeCell="O984" sqref="O984"/>
    </sheetView>
  </sheetViews>
  <sheetFormatPr defaultRowHeight="14.4"/>
  <cols>
    <col min="1" max="1" width="9.109375" customWidth="1"/>
    <col min="2" max="2" width="5.33203125" style="9" customWidth="1"/>
    <col min="3" max="3" width="14.44140625" style="9" customWidth="1"/>
    <col min="4" max="4" width="13.109375" customWidth="1"/>
    <col min="5" max="5" width="13.77734375" customWidth="1"/>
    <col min="6" max="6" width="15.88671875" style="9" customWidth="1"/>
    <col min="7" max="7" width="29" customWidth="1"/>
    <col min="8" max="8" width="13.6640625" customWidth="1"/>
    <col min="9" max="9" width="17.5546875" style="42" customWidth="1"/>
    <col min="10" max="10" width="7.5546875" style="5" customWidth="1"/>
    <col min="11" max="11" width="7.33203125" style="5" customWidth="1"/>
    <col min="12" max="12" width="8.5546875" style="5" customWidth="1"/>
    <col min="13" max="13" width="8.5546875" customWidth="1"/>
    <col min="14" max="14" width="17.21875" customWidth="1"/>
    <col min="15" max="15" width="17.44140625" style="3" customWidth="1"/>
    <col min="17" max="17" width="7.88671875" style="5" customWidth="1"/>
    <col min="18" max="18" width="11" customWidth="1"/>
  </cols>
  <sheetData>
    <row r="1" spans="1:20">
      <c r="A1" t="s">
        <v>1050</v>
      </c>
      <c r="B1" s="9" t="s">
        <v>12</v>
      </c>
      <c r="C1" s="59" t="s">
        <v>1203</v>
      </c>
      <c r="D1" t="s">
        <v>938</v>
      </c>
      <c r="E1" t="s">
        <v>1644</v>
      </c>
      <c r="F1" s="9" t="s">
        <v>15</v>
      </c>
      <c r="G1" t="s">
        <v>16</v>
      </c>
      <c r="H1" t="s">
        <v>690</v>
      </c>
      <c r="I1" s="42" t="s">
        <v>691</v>
      </c>
      <c r="J1" s="5" t="s">
        <v>17</v>
      </c>
      <c r="K1" s="5" t="str">
        <f>CONCATENATE("TP- ",COUNTIF(A1068:A1099,"Bajaj"))</f>
        <v>TP- 0</v>
      </c>
      <c r="M1" t="s">
        <v>1544</v>
      </c>
      <c r="N1" t="s">
        <v>18</v>
      </c>
      <c r="O1" s="3" t="s">
        <v>19</v>
      </c>
      <c r="P1" t="s">
        <v>29</v>
      </c>
      <c r="Q1" s="5" t="s">
        <v>31</v>
      </c>
      <c r="R1" t="s">
        <v>30</v>
      </c>
      <c r="S1" t="s">
        <v>1750</v>
      </c>
    </row>
    <row r="3" spans="1:20">
      <c r="B3" s="9" t="s">
        <v>0</v>
      </c>
      <c r="C3" s="59" t="s">
        <v>21</v>
      </c>
      <c r="D3" s="1">
        <v>44240</v>
      </c>
      <c r="E3" s="1"/>
      <c r="F3" s="9">
        <v>8521650025</v>
      </c>
      <c r="G3" t="s">
        <v>23</v>
      </c>
      <c r="J3" s="5">
        <v>0</v>
      </c>
      <c r="K3" s="5">
        <v>432</v>
      </c>
      <c r="L3" s="5">
        <f t="shared" ref="L3:L23" si="0">(J3+K3)*1.18</f>
        <v>509.76</v>
      </c>
      <c r="N3" t="s">
        <v>2</v>
      </c>
      <c r="O3" s="3" t="s">
        <v>3</v>
      </c>
      <c r="P3" s="8">
        <f t="shared" ref="P3:P23" si="1">K3*2.5/100</f>
        <v>10.8</v>
      </c>
      <c r="Q3" s="5">
        <f t="shared" ref="Q3:Q23" si="2">IF(A3="Four",K3*0.175,K3*0.275)</f>
        <v>118.80000000000001</v>
      </c>
      <c r="R3">
        <f>K3*0.275</f>
        <v>118.80000000000001</v>
      </c>
    </row>
    <row r="4" spans="1:20">
      <c r="B4" s="9" t="s">
        <v>0</v>
      </c>
      <c r="C4" s="59" t="s">
        <v>21</v>
      </c>
      <c r="D4" s="1">
        <v>44240</v>
      </c>
      <c r="E4" s="1"/>
      <c r="F4" s="9">
        <v>9608931932</v>
      </c>
      <c r="G4" t="s">
        <v>24</v>
      </c>
      <c r="J4" s="5">
        <v>0</v>
      </c>
      <c r="K4" s="5">
        <v>702</v>
      </c>
      <c r="L4" s="5">
        <f t="shared" si="0"/>
        <v>828.3599999999999</v>
      </c>
      <c r="N4" t="s">
        <v>5</v>
      </c>
      <c r="O4" s="3" t="s">
        <v>6</v>
      </c>
      <c r="P4" s="8">
        <f t="shared" si="1"/>
        <v>17.55</v>
      </c>
      <c r="Q4" s="5">
        <f t="shared" si="2"/>
        <v>193.05</v>
      </c>
    </row>
    <row r="5" spans="1:20">
      <c r="B5" s="9" t="s">
        <v>0</v>
      </c>
      <c r="C5" s="59" t="s">
        <v>21</v>
      </c>
      <c r="G5" t="s">
        <v>25</v>
      </c>
      <c r="K5" s="5">
        <v>702</v>
      </c>
      <c r="L5" s="5">
        <f t="shared" si="0"/>
        <v>828.3599999999999</v>
      </c>
      <c r="P5" s="8">
        <f t="shared" si="1"/>
        <v>17.55</v>
      </c>
      <c r="Q5" s="12">
        <f t="shared" si="2"/>
        <v>193.05</v>
      </c>
      <c r="R5">
        <f>Q5*0.9</f>
        <v>173.745</v>
      </c>
    </row>
    <row r="6" spans="1:20">
      <c r="B6" s="9" t="s">
        <v>0</v>
      </c>
      <c r="K6" s="5">
        <v>702</v>
      </c>
      <c r="L6" s="5">
        <f t="shared" si="0"/>
        <v>828.3599999999999</v>
      </c>
      <c r="P6" s="8">
        <f t="shared" si="1"/>
        <v>17.55</v>
      </c>
      <c r="Q6" s="12">
        <f t="shared" si="2"/>
        <v>193.05</v>
      </c>
    </row>
    <row r="7" spans="1:20">
      <c r="B7" s="9" t="s">
        <v>0</v>
      </c>
      <c r="K7" s="5">
        <v>702</v>
      </c>
      <c r="L7" s="5">
        <f t="shared" si="0"/>
        <v>828.3599999999999</v>
      </c>
      <c r="P7" s="8">
        <f t="shared" si="1"/>
        <v>17.55</v>
      </c>
      <c r="Q7" s="12">
        <f t="shared" si="2"/>
        <v>193.05</v>
      </c>
    </row>
    <row r="8" spans="1:20">
      <c r="B8" s="9" t="s">
        <v>0</v>
      </c>
      <c r="K8" s="5">
        <v>702</v>
      </c>
      <c r="L8" s="5">
        <f t="shared" si="0"/>
        <v>828.3599999999999</v>
      </c>
      <c r="P8" s="8">
        <f t="shared" si="1"/>
        <v>17.55</v>
      </c>
      <c r="Q8" s="12">
        <f t="shared" si="2"/>
        <v>193.05</v>
      </c>
    </row>
    <row r="9" spans="1:20">
      <c r="B9" s="9" t="s">
        <v>0</v>
      </c>
      <c r="K9" s="5">
        <v>702</v>
      </c>
      <c r="L9" s="5">
        <f t="shared" si="0"/>
        <v>828.3599999999999</v>
      </c>
      <c r="P9" s="8">
        <f t="shared" si="1"/>
        <v>17.55</v>
      </c>
      <c r="Q9" s="12">
        <f t="shared" si="2"/>
        <v>193.05</v>
      </c>
    </row>
    <row r="10" spans="1:20">
      <c r="B10" s="9" t="s">
        <v>0</v>
      </c>
      <c r="K10" s="5">
        <f>N10*100/118</f>
        <v>1280.5084745762713</v>
      </c>
      <c r="L10" s="5">
        <f t="shared" si="0"/>
        <v>1511</v>
      </c>
      <c r="N10">
        <v>1511</v>
      </c>
      <c r="P10" s="8">
        <f t="shared" si="1"/>
        <v>32.012711864406782</v>
      </c>
      <c r="Q10" s="12">
        <f t="shared" si="2"/>
        <v>352.13983050847463</v>
      </c>
    </row>
    <row r="11" spans="1:20">
      <c r="B11" s="9" t="s">
        <v>0</v>
      </c>
      <c r="K11" s="5">
        <f>N11*100/118</f>
        <v>1031.3559322033898</v>
      </c>
      <c r="L11" s="5">
        <f t="shared" si="0"/>
        <v>1216.9999999999998</v>
      </c>
      <c r="N11">
        <v>1217</v>
      </c>
      <c r="P11" s="8">
        <f t="shared" si="1"/>
        <v>25.783898305084744</v>
      </c>
      <c r="Q11" s="12">
        <f t="shared" si="2"/>
        <v>283.62288135593224</v>
      </c>
    </row>
    <row r="12" spans="1:20">
      <c r="A12" t="s">
        <v>82</v>
      </c>
      <c r="B12" s="9" t="s">
        <v>0</v>
      </c>
      <c r="K12" s="5">
        <f>N12*100/118</f>
        <v>1972</v>
      </c>
      <c r="L12" s="5">
        <f t="shared" si="0"/>
        <v>2326.96</v>
      </c>
      <c r="N12">
        <v>2326.96</v>
      </c>
      <c r="P12" s="8">
        <f t="shared" si="1"/>
        <v>49.3</v>
      </c>
      <c r="Q12" s="12">
        <f t="shared" si="2"/>
        <v>345.09999999999997</v>
      </c>
      <c r="T12">
        <f>2*360</f>
        <v>720</v>
      </c>
    </row>
    <row r="13" spans="1:20">
      <c r="B13" s="9" t="s">
        <v>0</v>
      </c>
      <c r="K13" s="5">
        <v>702</v>
      </c>
      <c r="L13" s="5">
        <f t="shared" si="0"/>
        <v>828.3599999999999</v>
      </c>
      <c r="P13" s="8">
        <f t="shared" si="1"/>
        <v>17.55</v>
      </c>
      <c r="Q13" s="12">
        <f t="shared" si="2"/>
        <v>193.05</v>
      </c>
      <c r="T13">
        <v>500</v>
      </c>
    </row>
    <row r="14" spans="1:20">
      <c r="B14" s="9" t="s">
        <v>0</v>
      </c>
      <c r="K14" s="5">
        <v>702</v>
      </c>
      <c r="L14" s="5">
        <f t="shared" si="0"/>
        <v>828.3599999999999</v>
      </c>
      <c r="P14" s="8">
        <f t="shared" si="1"/>
        <v>17.55</v>
      </c>
      <c r="Q14" s="12">
        <f t="shared" si="2"/>
        <v>193.05</v>
      </c>
    </row>
    <row r="15" spans="1:20">
      <c r="B15" s="9" t="s">
        <v>0</v>
      </c>
      <c r="K15" s="5">
        <v>702</v>
      </c>
      <c r="L15" s="5">
        <f t="shared" si="0"/>
        <v>828.3599999999999</v>
      </c>
      <c r="P15" s="8">
        <f t="shared" si="1"/>
        <v>17.55</v>
      </c>
      <c r="Q15" s="12">
        <f t="shared" si="2"/>
        <v>193.05</v>
      </c>
    </row>
    <row r="16" spans="1:20">
      <c r="B16" s="9" t="s">
        <v>0</v>
      </c>
      <c r="K16" s="5">
        <v>702</v>
      </c>
      <c r="L16" s="5">
        <f t="shared" si="0"/>
        <v>828.3599999999999</v>
      </c>
      <c r="P16" s="8">
        <f t="shared" si="1"/>
        <v>17.55</v>
      </c>
      <c r="Q16" s="12">
        <f t="shared" si="2"/>
        <v>193.05</v>
      </c>
    </row>
    <row r="17" spans="1:20">
      <c r="B17" s="9" t="s">
        <v>0</v>
      </c>
      <c r="K17" s="5">
        <v>702</v>
      </c>
      <c r="L17" s="5">
        <f t="shared" si="0"/>
        <v>828.3599999999999</v>
      </c>
      <c r="P17" s="8">
        <f t="shared" si="1"/>
        <v>17.55</v>
      </c>
      <c r="Q17" s="12">
        <f t="shared" si="2"/>
        <v>193.05</v>
      </c>
    </row>
    <row r="18" spans="1:20">
      <c r="B18" s="9" t="s">
        <v>0</v>
      </c>
      <c r="K18" s="5">
        <v>702</v>
      </c>
      <c r="L18" s="5">
        <f t="shared" si="0"/>
        <v>828.3599999999999</v>
      </c>
      <c r="P18" s="8">
        <f t="shared" si="1"/>
        <v>17.55</v>
      </c>
      <c r="Q18" s="12">
        <f t="shared" si="2"/>
        <v>193.05</v>
      </c>
    </row>
    <row r="19" spans="1:20">
      <c r="B19" s="9" t="s">
        <v>0</v>
      </c>
      <c r="K19" s="5">
        <v>702</v>
      </c>
      <c r="L19" s="5">
        <f t="shared" si="0"/>
        <v>828.3599999999999</v>
      </c>
      <c r="P19" s="8">
        <f t="shared" si="1"/>
        <v>17.55</v>
      </c>
      <c r="Q19" s="12">
        <f t="shared" si="2"/>
        <v>193.05</v>
      </c>
    </row>
    <row r="20" spans="1:20">
      <c r="B20" s="9" t="s">
        <v>0</v>
      </c>
      <c r="K20" s="5">
        <v>1031.356</v>
      </c>
      <c r="L20" s="5">
        <f t="shared" si="0"/>
        <v>1217.00008</v>
      </c>
      <c r="P20" s="8">
        <f t="shared" si="1"/>
        <v>25.783899999999999</v>
      </c>
      <c r="Q20" s="12">
        <f t="shared" si="2"/>
        <v>283.62290000000002</v>
      </c>
    </row>
    <row r="21" spans="1:20">
      <c r="B21" s="9" t="s">
        <v>0</v>
      </c>
      <c r="K21" s="5">
        <v>702</v>
      </c>
      <c r="L21" s="5">
        <f t="shared" si="0"/>
        <v>828.3599999999999</v>
      </c>
      <c r="P21" s="8">
        <f t="shared" si="1"/>
        <v>17.55</v>
      </c>
      <c r="Q21" s="12">
        <f t="shared" si="2"/>
        <v>193.05</v>
      </c>
    </row>
    <row r="22" spans="1:20">
      <c r="B22" s="9" t="s">
        <v>0</v>
      </c>
      <c r="K22" s="5">
        <v>702</v>
      </c>
      <c r="L22" s="5">
        <f t="shared" si="0"/>
        <v>828.3599999999999</v>
      </c>
      <c r="P22" s="8">
        <f t="shared" si="1"/>
        <v>17.55</v>
      </c>
      <c r="Q22" s="12">
        <f t="shared" si="2"/>
        <v>193.05</v>
      </c>
    </row>
    <row r="23" spans="1:20">
      <c r="K23" s="5">
        <v>702</v>
      </c>
      <c r="L23" s="5">
        <f t="shared" si="0"/>
        <v>828.3599999999999</v>
      </c>
      <c r="P23" s="8">
        <f t="shared" si="1"/>
        <v>17.55</v>
      </c>
      <c r="Q23" s="12">
        <f t="shared" si="2"/>
        <v>193.05</v>
      </c>
      <c r="T23">
        <f>SUM(T12:T22)</f>
        <v>1220</v>
      </c>
    </row>
    <row r="24" spans="1:20">
      <c r="K24" s="5">
        <f t="shared" ref="K24:Q24" si="3">SUM(K3:K23)</f>
        <v>16979.220406779663</v>
      </c>
      <c r="L24" s="5">
        <f t="shared" si="3"/>
        <v>20035.480080000005</v>
      </c>
      <c r="N24">
        <f t="shared" si="3"/>
        <v>5054.96</v>
      </c>
      <c r="O24" s="3">
        <f t="shared" si="3"/>
        <v>0</v>
      </c>
      <c r="P24">
        <f t="shared" si="3"/>
        <v>424.48051016949165</v>
      </c>
      <c r="Q24" s="5">
        <f t="shared" si="3"/>
        <v>4472.0856118644078</v>
      </c>
      <c r="R24">
        <f>SUM(Q3:Q23)</f>
        <v>4472.0856118644078</v>
      </c>
    </row>
    <row r="27" spans="1:20">
      <c r="B27" s="9" t="s">
        <v>28</v>
      </c>
      <c r="C27" s="9" t="s">
        <v>32</v>
      </c>
      <c r="D27" s="1">
        <v>44597</v>
      </c>
      <c r="E27" s="1"/>
      <c r="F27" s="9">
        <v>1</v>
      </c>
      <c r="G27" t="s">
        <v>33</v>
      </c>
      <c r="J27" s="5">
        <v>0</v>
      </c>
      <c r="K27" s="5">
        <v>702</v>
      </c>
      <c r="L27" s="5">
        <f t="shared" ref="L27:L42" si="4">(J27+K27)*1.18</f>
        <v>828.3599999999999</v>
      </c>
      <c r="O27" s="3" t="s">
        <v>40</v>
      </c>
      <c r="P27" s="8">
        <f t="shared" ref="P27:P42" si="5">K27*2.5/100</f>
        <v>17.55</v>
      </c>
      <c r="Q27" s="5">
        <f t="shared" ref="Q27:Q41" si="6">IF(A27="Four",K27*0.175,K27*0.275)</f>
        <v>193.05</v>
      </c>
    </row>
    <row r="28" spans="1:20">
      <c r="B28" s="9" t="s">
        <v>28</v>
      </c>
      <c r="C28" s="9" t="s">
        <v>36</v>
      </c>
      <c r="D28" s="1">
        <v>44594</v>
      </c>
      <c r="E28" s="1"/>
      <c r="F28" s="9">
        <v>1</v>
      </c>
      <c r="G28" t="s">
        <v>34</v>
      </c>
      <c r="H28" s="3"/>
      <c r="J28" s="5">
        <v>0</v>
      </c>
      <c r="K28" s="5">
        <v>702</v>
      </c>
      <c r="L28" s="5">
        <f t="shared" si="4"/>
        <v>828.3599999999999</v>
      </c>
      <c r="O28" s="3" t="s">
        <v>35</v>
      </c>
      <c r="P28" s="8">
        <f t="shared" si="5"/>
        <v>17.55</v>
      </c>
      <c r="Q28" s="5">
        <f t="shared" si="6"/>
        <v>193.05</v>
      </c>
    </row>
    <row r="29" spans="1:20">
      <c r="B29" s="9" t="s">
        <v>28</v>
      </c>
      <c r="C29" s="9" t="s">
        <v>38</v>
      </c>
      <c r="D29" s="1">
        <v>44596</v>
      </c>
      <c r="E29" s="1"/>
      <c r="F29" s="9">
        <v>1</v>
      </c>
      <c r="G29" t="s">
        <v>37</v>
      </c>
      <c r="J29" s="5">
        <v>0</v>
      </c>
      <c r="K29" s="5">
        <v>702</v>
      </c>
      <c r="L29" s="5">
        <f t="shared" si="4"/>
        <v>828.3599999999999</v>
      </c>
      <c r="O29" s="3" t="s">
        <v>39</v>
      </c>
      <c r="P29" s="8">
        <f t="shared" si="5"/>
        <v>17.55</v>
      </c>
      <c r="Q29" s="5">
        <f t="shared" si="6"/>
        <v>193.05</v>
      </c>
    </row>
    <row r="30" spans="1:20">
      <c r="B30" s="9" t="s">
        <v>28</v>
      </c>
      <c r="C30" s="9" t="s">
        <v>41</v>
      </c>
      <c r="D30" s="1">
        <v>44600</v>
      </c>
      <c r="E30" s="1"/>
      <c r="F30" s="9">
        <v>1</v>
      </c>
      <c r="G30" t="s">
        <v>42</v>
      </c>
      <c r="H30" s="3"/>
      <c r="J30" s="5">
        <v>0</v>
      </c>
      <c r="K30" s="5">
        <v>702</v>
      </c>
      <c r="L30" s="5">
        <f t="shared" si="4"/>
        <v>828.3599999999999</v>
      </c>
      <c r="O30" s="3" t="s">
        <v>43</v>
      </c>
      <c r="P30" s="8">
        <f t="shared" si="5"/>
        <v>17.55</v>
      </c>
      <c r="Q30" s="5">
        <f t="shared" si="6"/>
        <v>193.05</v>
      </c>
    </row>
    <row r="31" spans="1:20">
      <c r="B31" s="9" t="s">
        <v>28</v>
      </c>
      <c r="C31" s="9" t="s">
        <v>45</v>
      </c>
      <c r="D31" s="1">
        <v>44603</v>
      </c>
      <c r="E31" s="1"/>
      <c r="F31" s="9">
        <v>1</v>
      </c>
      <c r="G31" t="s">
        <v>47</v>
      </c>
      <c r="J31" s="5">
        <v>0</v>
      </c>
      <c r="K31" s="5">
        <v>702</v>
      </c>
      <c r="L31" s="5">
        <f t="shared" si="4"/>
        <v>828.3599999999999</v>
      </c>
      <c r="O31" s="3" t="s">
        <v>44</v>
      </c>
      <c r="P31" s="8">
        <f t="shared" si="5"/>
        <v>17.55</v>
      </c>
      <c r="Q31" s="5">
        <f t="shared" si="6"/>
        <v>193.05</v>
      </c>
    </row>
    <row r="32" spans="1:20">
      <c r="A32" t="s">
        <v>27</v>
      </c>
      <c r="B32" s="9" t="s">
        <v>28</v>
      </c>
      <c r="C32" s="9" t="s">
        <v>48</v>
      </c>
      <c r="D32" s="1">
        <v>44605</v>
      </c>
      <c r="E32" s="1"/>
      <c r="F32" s="9">
        <v>1</v>
      </c>
      <c r="G32" t="s">
        <v>46</v>
      </c>
      <c r="J32" s="5">
        <v>0</v>
      </c>
      <c r="K32" s="5">
        <v>1972</v>
      </c>
      <c r="L32" s="5">
        <f t="shared" si="4"/>
        <v>2326.96</v>
      </c>
      <c r="O32" s="3" t="s">
        <v>49</v>
      </c>
      <c r="P32" s="8">
        <f t="shared" si="5"/>
        <v>49.3</v>
      </c>
      <c r="Q32" s="5">
        <f t="shared" si="6"/>
        <v>345.09999999999997</v>
      </c>
    </row>
    <row r="33" spans="1:18">
      <c r="B33" s="9" t="s">
        <v>28</v>
      </c>
      <c r="C33" s="9" t="s">
        <v>50</v>
      </c>
      <c r="D33" s="1">
        <v>44605</v>
      </c>
      <c r="E33" s="1"/>
      <c r="F33" s="9">
        <v>1</v>
      </c>
      <c r="G33" t="s">
        <v>51</v>
      </c>
      <c r="J33" s="5">
        <v>0</v>
      </c>
      <c r="K33" s="5">
        <v>702</v>
      </c>
      <c r="L33" s="5">
        <f t="shared" si="4"/>
        <v>828.3599999999999</v>
      </c>
      <c r="O33" s="3" t="s">
        <v>52</v>
      </c>
      <c r="P33" s="8">
        <f t="shared" si="5"/>
        <v>17.55</v>
      </c>
      <c r="Q33" s="5">
        <f t="shared" si="6"/>
        <v>193.05</v>
      </c>
    </row>
    <row r="34" spans="1:18">
      <c r="B34" s="9" t="s">
        <v>28</v>
      </c>
      <c r="C34" s="9" t="s">
        <v>53</v>
      </c>
      <c r="D34" s="1">
        <v>44605</v>
      </c>
      <c r="E34" s="1"/>
      <c r="F34" s="9">
        <v>1</v>
      </c>
      <c r="G34" t="s">
        <v>54</v>
      </c>
      <c r="J34" s="5">
        <v>0</v>
      </c>
      <c r="K34" s="5">
        <v>702</v>
      </c>
      <c r="L34" s="5">
        <f t="shared" si="4"/>
        <v>828.3599999999999</v>
      </c>
      <c r="O34" s="3" t="s">
        <v>55</v>
      </c>
      <c r="P34" s="8">
        <f t="shared" si="5"/>
        <v>17.55</v>
      </c>
      <c r="Q34" s="5">
        <f t="shared" si="6"/>
        <v>193.05</v>
      </c>
    </row>
    <row r="35" spans="1:18">
      <c r="B35" s="9" t="s">
        <v>28</v>
      </c>
      <c r="C35" s="9" t="s">
        <v>57</v>
      </c>
      <c r="D35" s="1">
        <v>44607</v>
      </c>
      <c r="E35" s="1"/>
      <c r="F35" s="9">
        <v>1</v>
      </c>
      <c r="G35" t="s">
        <v>56</v>
      </c>
      <c r="J35" s="5">
        <v>0</v>
      </c>
      <c r="K35" s="5">
        <v>702</v>
      </c>
      <c r="L35" s="5">
        <f t="shared" si="4"/>
        <v>828.3599999999999</v>
      </c>
      <c r="O35" s="3" t="s">
        <v>57</v>
      </c>
      <c r="P35" s="8">
        <f t="shared" si="5"/>
        <v>17.55</v>
      </c>
      <c r="Q35" s="5">
        <f t="shared" si="6"/>
        <v>193.05</v>
      </c>
    </row>
    <row r="36" spans="1:18">
      <c r="A36" t="s">
        <v>27</v>
      </c>
      <c r="B36" s="9" t="s">
        <v>28</v>
      </c>
      <c r="C36" s="9" t="s">
        <v>60</v>
      </c>
      <c r="D36" s="1">
        <v>44608</v>
      </c>
      <c r="E36" s="1"/>
      <c r="F36" s="9">
        <v>1</v>
      </c>
      <c r="G36" t="s">
        <v>59</v>
      </c>
      <c r="J36" s="5">
        <v>0</v>
      </c>
      <c r="K36" s="5">
        <v>1972</v>
      </c>
      <c r="L36" s="5">
        <f t="shared" si="4"/>
        <v>2326.96</v>
      </c>
      <c r="O36" s="3" t="s">
        <v>58</v>
      </c>
      <c r="P36" s="8">
        <f t="shared" si="5"/>
        <v>49.3</v>
      </c>
      <c r="Q36" s="5">
        <f t="shared" si="6"/>
        <v>345.09999999999997</v>
      </c>
    </row>
    <row r="37" spans="1:18">
      <c r="B37" s="9" t="s">
        <v>28</v>
      </c>
      <c r="C37" s="9" t="s">
        <v>61</v>
      </c>
      <c r="D37" s="1">
        <v>44609</v>
      </c>
      <c r="E37" s="1"/>
      <c r="F37" s="9">
        <v>1</v>
      </c>
      <c r="G37" t="s">
        <v>62</v>
      </c>
      <c r="K37" s="5">
        <v>702</v>
      </c>
      <c r="L37" s="5">
        <f t="shared" si="4"/>
        <v>828.3599999999999</v>
      </c>
      <c r="O37" s="3" t="s">
        <v>63</v>
      </c>
      <c r="P37" s="8">
        <f t="shared" si="5"/>
        <v>17.55</v>
      </c>
      <c r="Q37" s="5">
        <f t="shared" si="6"/>
        <v>193.05</v>
      </c>
    </row>
    <row r="38" spans="1:18">
      <c r="B38" s="9" t="s">
        <v>28</v>
      </c>
      <c r="C38" s="9" t="s">
        <v>64</v>
      </c>
      <c r="D38" s="1">
        <v>44610</v>
      </c>
      <c r="E38" s="1"/>
      <c r="F38" s="9">
        <v>1</v>
      </c>
      <c r="G38" t="s">
        <v>65</v>
      </c>
      <c r="K38" s="5">
        <v>702</v>
      </c>
      <c r="L38" s="5">
        <f t="shared" si="4"/>
        <v>828.3599999999999</v>
      </c>
      <c r="O38" s="3" t="s">
        <v>66</v>
      </c>
      <c r="P38" s="8">
        <f t="shared" si="5"/>
        <v>17.55</v>
      </c>
      <c r="Q38" s="5">
        <f t="shared" si="6"/>
        <v>193.05</v>
      </c>
    </row>
    <row r="39" spans="1:18">
      <c r="B39" s="9" t="s">
        <v>28</v>
      </c>
      <c r="C39" s="9" t="s">
        <v>67</v>
      </c>
      <c r="D39" s="1">
        <v>44620</v>
      </c>
      <c r="E39" s="1"/>
      <c r="F39" s="9">
        <v>1</v>
      </c>
      <c r="G39" t="s">
        <v>68</v>
      </c>
      <c r="K39" s="5">
        <v>702</v>
      </c>
      <c r="L39" s="5">
        <f t="shared" si="4"/>
        <v>828.3599999999999</v>
      </c>
      <c r="O39" s="3" t="s">
        <v>69</v>
      </c>
      <c r="P39" s="8">
        <f t="shared" si="5"/>
        <v>17.55</v>
      </c>
      <c r="Q39" s="5">
        <f t="shared" si="6"/>
        <v>193.05</v>
      </c>
    </row>
    <row r="40" spans="1:18">
      <c r="B40" s="9" t="s">
        <v>28</v>
      </c>
      <c r="C40" s="9" t="s">
        <v>70</v>
      </c>
      <c r="D40" s="1">
        <v>44620</v>
      </c>
      <c r="E40" s="1"/>
      <c r="F40" s="9">
        <v>1</v>
      </c>
      <c r="G40" t="s">
        <v>71</v>
      </c>
      <c r="K40" s="5">
        <v>702</v>
      </c>
      <c r="L40" s="5">
        <f t="shared" si="4"/>
        <v>828.3599999999999</v>
      </c>
      <c r="O40" s="3" t="s">
        <v>72</v>
      </c>
      <c r="P40" s="8">
        <f t="shared" si="5"/>
        <v>17.55</v>
      </c>
      <c r="Q40" s="5">
        <f t="shared" si="6"/>
        <v>193.05</v>
      </c>
    </row>
    <row r="41" spans="1:18">
      <c r="B41" s="9" t="s">
        <v>28</v>
      </c>
      <c r="C41" s="9" t="s">
        <v>73</v>
      </c>
      <c r="D41" s="1">
        <v>44620</v>
      </c>
      <c r="E41" s="1"/>
      <c r="F41" s="9">
        <v>1</v>
      </c>
      <c r="G41" t="s">
        <v>74</v>
      </c>
      <c r="K41" s="5">
        <v>702</v>
      </c>
      <c r="L41" s="5">
        <f t="shared" si="4"/>
        <v>828.3599999999999</v>
      </c>
      <c r="O41" s="3" t="s">
        <v>75</v>
      </c>
      <c r="P41" s="8">
        <f t="shared" si="5"/>
        <v>17.55</v>
      </c>
      <c r="Q41" s="5">
        <f t="shared" si="6"/>
        <v>193.05</v>
      </c>
    </row>
    <row r="42" spans="1:18">
      <c r="D42" s="1"/>
      <c r="E42" s="1"/>
      <c r="F42" s="9">
        <v>8757661223</v>
      </c>
      <c r="G42" t="s">
        <v>26</v>
      </c>
      <c r="H42" s="3"/>
      <c r="K42" s="5">
        <v>3551</v>
      </c>
      <c r="L42" s="5">
        <f t="shared" si="4"/>
        <v>4190.1799999999994</v>
      </c>
      <c r="O42" s="3" t="s">
        <v>10</v>
      </c>
      <c r="P42" s="8">
        <f t="shared" si="5"/>
        <v>88.775000000000006</v>
      </c>
      <c r="Q42" s="5">
        <v>0</v>
      </c>
    </row>
    <row r="43" spans="1:18">
      <c r="D43" s="1"/>
      <c r="E43" s="1"/>
      <c r="P43" s="8"/>
    </row>
    <row r="44" spans="1:18">
      <c r="K44" s="121">
        <f ca="1">SUM(K27:K44)</f>
        <v>15351</v>
      </c>
      <c r="L44" s="13">
        <f ca="1">SUM(L27:L44)</f>
        <v>18114.18</v>
      </c>
      <c r="M44" s="6"/>
      <c r="N44" s="6">
        <f ca="1">SUM(N27:N44)</f>
        <v>0</v>
      </c>
      <c r="O44" s="68">
        <f ca="1">SUM(O27:O44)</f>
        <v>0</v>
      </c>
      <c r="P44" s="6">
        <f ca="1">SUM(P27:P44)</f>
        <v>383.77500000000009</v>
      </c>
      <c r="Q44" s="13">
        <f>SUM(Q27:Q42)</f>
        <v>3199.8500000000008</v>
      </c>
      <c r="R44" s="7">
        <f>Q44*0.9</f>
        <v>2879.8650000000007</v>
      </c>
    </row>
    <row r="47" spans="1:18">
      <c r="B47" s="9" t="s">
        <v>28</v>
      </c>
      <c r="C47" s="9" t="s">
        <v>76</v>
      </c>
      <c r="D47" s="1">
        <v>44622</v>
      </c>
      <c r="E47" s="1"/>
      <c r="G47" t="s">
        <v>77</v>
      </c>
      <c r="J47" s="5">
        <v>0</v>
      </c>
      <c r="K47" s="5">
        <v>702</v>
      </c>
      <c r="L47" s="5">
        <f t="shared" ref="L47:L58" si="7">(J47+K47)*1.18</f>
        <v>828.3599999999999</v>
      </c>
      <c r="O47" s="3" t="s">
        <v>78</v>
      </c>
      <c r="P47" s="8">
        <f t="shared" ref="P47:P58" si="8">IF(B47="TP",K47*2.5/100,J47*0.4)</f>
        <v>17.55</v>
      </c>
      <c r="Q47" s="5">
        <f>IF(A47="Four",K47*0.175,K47*0.275)</f>
        <v>193.05</v>
      </c>
    </row>
    <row r="48" spans="1:18">
      <c r="B48" s="9" t="s">
        <v>28</v>
      </c>
      <c r="C48" s="9" t="s">
        <v>79</v>
      </c>
      <c r="D48" s="1">
        <v>44623</v>
      </c>
      <c r="E48" s="1"/>
      <c r="G48" t="s">
        <v>80</v>
      </c>
      <c r="J48" s="5">
        <v>0</v>
      </c>
      <c r="K48" s="5">
        <v>752</v>
      </c>
      <c r="L48" s="5">
        <f t="shared" si="7"/>
        <v>887.3599999999999</v>
      </c>
      <c r="O48" s="3" t="s">
        <v>81</v>
      </c>
      <c r="P48" s="8">
        <f t="shared" si="8"/>
        <v>18.8</v>
      </c>
      <c r="Q48" s="5">
        <f>IF(A48="Four",K48*0.175,K48*0.275)</f>
        <v>206.8</v>
      </c>
    </row>
    <row r="49" spans="2:19">
      <c r="B49" s="9" t="s">
        <v>28</v>
      </c>
      <c r="C49" s="9" t="s">
        <v>79</v>
      </c>
      <c r="D49" s="1">
        <v>44623</v>
      </c>
      <c r="E49" s="1"/>
      <c r="F49" s="9">
        <v>8434671734</v>
      </c>
      <c r="G49" t="s">
        <v>84</v>
      </c>
      <c r="J49" s="5">
        <v>0</v>
      </c>
      <c r="K49" s="5">
        <v>752</v>
      </c>
      <c r="L49" s="5">
        <f t="shared" si="7"/>
        <v>887.3599999999999</v>
      </c>
      <c r="O49" s="3" t="s">
        <v>83</v>
      </c>
      <c r="P49" s="8">
        <f t="shared" si="8"/>
        <v>18.8</v>
      </c>
      <c r="Q49" s="5">
        <f>IF(A49="Four",K49*0.175,K49*0.275)</f>
        <v>206.8</v>
      </c>
    </row>
    <row r="50" spans="2:19">
      <c r="B50" s="9" t="s">
        <v>28</v>
      </c>
      <c r="C50" s="9" t="s">
        <v>85</v>
      </c>
      <c r="D50" s="1">
        <v>44624</v>
      </c>
      <c r="E50" s="1"/>
      <c r="F50" s="9">
        <v>9934179885</v>
      </c>
      <c r="G50" t="s">
        <v>86</v>
      </c>
      <c r="J50" s="5">
        <v>0</v>
      </c>
      <c r="K50" s="5">
        <v>752</v>
      </c>
      <c r="L50" s="5">
        <f t="shared" si="7"/>
        <v>887.3599999999999</v>
      </c>
      <c r="O50" s="3" t="s">
        <v>87</v>
      </c>
      <c r="P50" s="8">
        <f t="shared" si="8"/>
        <v>18.8</v>
      </c>
      <c r="Q50" s="5">
        <f>IF(A50="Four",K50*0.175,K50*0.275)</f>
        <v>206.8</v>
      </c>
    </row>
    <row r="51" spans="2:19">
      <c r="B51" s="9" t="s">
        <v>92</v>
      </c>
      <c r="C51" s="9" t="s">
        <v>85</v>
      </c>
      <c r="D51" s="1">
        <v>44624</v>
      </c>
      <c r="E51" s="1"/>
      <c r="F51" s="9">
        <v>7209920086</v>
      </c>
      <c r="J51" s="5">
        <v>215</v>
      </c>
      <c r="K51" s="5">
        <v>752</v>
      </c>
      <c r="L51" s="5">
        <f t="shared" si="7"/>
        <v>1141.06</v>
      </c>
      <c r="O51" s="3" t="s">
        <v>88</v>
      </c>
      <c r="P51" s="8">
        <f t="shared" si="8"/>
        <v>86</v>
      </c>
      <c r="Q51" s="5">
        <v>0</v>
      </c>
      <c r="S51">
        <f>J51*0.4</f>
        <v>86</v>
      </c>
    </row>
    <row r="52" spans="2:19">
      <c r="B52" s="9" t="s">
        <v>28</v>
      </c>
      <c r="C52" s="9" t="s">
        <v>89</v>
      </c>
      <c r="D52" s="1">
        <v>44625</v>
      </c>
      <c r="E52" s="1"/>
      <c r="G52" t="s">
        <v>90</v>
      </c>
      <c r="J52" s="5">
        <v>0</v>
      </c>
      <c r="K52" s="5">
        <v>702</v>
      </c>
      <c r="L52" s="5">
        <f t="shared" si="7"/>
        <v>828.3599999999999</v>
      </c>
      <c r="O52" s="3" t="s">
        <v>91</v>
      </c>
      <c r="P52" s="8">
        <f t="shared" si="8"/>
        <v>17.55</v>
      </c>
      <c r="Q52" s="5">
        <f t="shared" ref="Q52:Q60" si="9">IF(A52="Four",K52*0.175,K52*0.275)</f>
        <v>193.05</v>
      </c>
    </row>
    <row r="53" spans="2:19">
      <c r="B53" s="9" t="s">
        <v>28</v>
      </c>
      <c r="C53" s="9" t="s">
        <v>93</v>
      </c>
      <c r="D53" s="1">
        <v>44627</v>
      </c>
      <c r="E53" s="1"/>
      <c r="F53" s="9">
        <v>8507008738</v>
      </c>
      <c r="G53" t="s">
        <v>94</v>
      </c>
      <c r="J53" s="5">
        <v>0</v>
      </c>
      <c r="K53" s="5">
        <v>702</v>
      </c>
      <c r="L53" s="5">
        <f t="shared" si="7"/>
        <v>828.3599999999999</v>
      </c>
      <c r="O53" s="3" t="s">
        <v>95</v>
      </c>
      <c r="P53" s="8">
        <f t="shared" si="8"/>
        <v>17.55</v>
      </c>
      <c r="Q53" s="5">
        <f t="shared" si="9"/>
        <v>193.05</v>
      </c>
    </row>
    <row r="54" spans="2:19">
      <c r="B54" s="9" t="s">
        <v>28</v>
      </c>
      <c r="D54" s="1">
        <v>44629</v>
      </c>
      <c r="E54" s="1"/>
      <c r="J54" s="5">
        <v>0</v>
      </c>
      <c r="K54" s="5">
        <v>702</v>
      </c>
      <c r="L54" s="5">
        <f t="shared" si="7"/>
        <v>828.3599999999999</v>
      </c>
      <c r="P54" s="8">
        <f t="shared" si="8"/>
        <v>17.55</v>
      </c>
      <c r="Q54" s="5">
        <f t="shared" si="9"/>
        <v>193.05</v>
      </c>
    </row>
    <row r="55" spans="2:19">
      <c r="B55" s="9" t="s">
        <v>28</v>
      </c>
      <c r="D55" s="1">
        <v>44635</v>
      </c>
      <c r="E55" s="1"/>
      <c r="J55" s="5">
        <v>0</v>
      </c>
      <c r="K55" s="5">
        <v>702</v>
      </c>
      <c r="L55" s="5">
        <f t="shared" si="7"/>
        <v>828.3599999999999</v>
      </c>
      <c r="P55" s="8">
        <f t="shared" si="8"/>
        <v>17.55</v>
      </c>
      <c r="Q55" s="5">
        <f t="shared" si="9"/>
        <v>193.05</v>
      </c>
    </row>
    <row r="56" spans="2:19">
      <c r="B56" s="9" t="s">
        <v>28</v>
      </c>
      <c r="J56" s="5">
        <v>0</v>
      </c>
      <c r="K56" s="5">
        <v>702</v>
      </c>
      <c r="L56" s="5">
        <f t="shared" si="7"/>
        <v>828.3599999999999</v>
      </c>
      <c r="O56" s="3" t="s">
        <v>96</v>
      </c>
      <c r="P56" s="8">
        <f t="shared" si="8"/>
        <v>17.55</v>
      </c>
      <c r="Q56" s="5">
        <f t="shared" si="9"/>
        <v>193.05</v>
      </c>
    </row>
    <row r="57" spans="2:19">
      <c r="B57" s="9" t="s">
        <v>28</v>
      </c>
      <c r="J57" s="5">
        <v>0</v>
      </c>
      <c r="L57" s="5">
        <f t="shared" si="7"/>
        <v>0</v>
      </c>
      <c r="P57" s="8">
        <f t="shared" si="8"/>
        <v>0</v>
      </c>
      <c r="Q57" s="5">
        <f t="shared" si="9"/>
        <v>0</v>
      </c>
    </row>
    <row r="58" spans="2:19" ht="16.8">
      <c r="B58" s="9" t="s">
        <v>28</v>
      </c>
      <c r="C58" s="60" t="s">
        <v>98</v>
      </c>
      <c r="D58" s="1">
        <v>44644</v>
      </c>
      <c r="E58" s="1"/>
      <c r="F58" s="48">
        <v>8789669004</v>
      </c>
      <c r="G58" t="s">
        <v>97</v>
      </c>
      <c r="J58" s="5">
        <v>0</v>
      </c>
      <c r="K58" s="5">
        <v>702</v>
      </c>
      <c r="L58" s="5">
        <f t="shared" si="7"/>
        <v>828.3599999999999</v>
      </c>
      <c r="O58" s="3" t="s">
        <v>99</v>
      </c>
      <c r="P58" s="8">
        <f t="shared" si="8"/>
        <v>17.55</v>
      </c>
      <c r="Q58" s="5">
        <f t="shared" si="9"/>
        <v>193.05</v>
      </c>
    </row>
    <row r="59" spans="2:19">
      <c r="B59" s="9" t="s">
        <v>28</v>
      </c>
      <c r="C59" s="60"/>
      <c r="D59" s="1">
        <v>44649</v>
      </c>
      <c r="E59" s="1"/>
      <c r="K59" s="5">
        <v>702</v>
      </c>
      <c r="O59" s="3" t="s">
        <v>100</v>
      </c>
      <c r="P59" s="8"/>
      <c r="Q59" s="5">
        <f t="shared" si="9"/>
        <v>193.05</v>
      </c>
    </row>
    <row r="60" spans="2:19">
      <c r="B60" s="9" t="s">
        <v>28</v>
      </c>
      <c r="C60" s="60"/>
      <c r="D60" s="1">
        <v>44651</v>
      </c>
      <c r="E60" s="1"/>
      <c r="K60" s="5">
        <v>752</v>
      </c>
      <c r="P60" s="8"/>
      <c r="Q60" s="5">
        <f t="shared" si="9"/>
        <v>206.8</v>
      </c>
    </row>
    <row r="61" spans="2:19">
      <c r="D61" s="10"/>
      <c r="E61" s="10"/>
      <c r="F61" s="11"/>
      <c r="G61" s="10"/>
      <c r="H61" s="10"/>
      <c r="I61" s="43"/>
      <c r="J61" s="14"/>
      <c r="K61" s="14">
        <f>SUM(K47:K60)</f>
        <v>9376</v>
      </c>
      <c r="L61" s="14">
        <f>SUM(L47:L60)</f>
        <v>9601.66</v>
      </c>
      <c r="M61" s="10"/>
      <c r="N61" s="10"/>
      <c r="O61" s="67"/>
      <c r="P61" s="14">
        <f>SUM(P47:P60)</f>
        <v>265.25000000000006</v>
      </c>
      <c r="Q61" s="14">
        <f>SUM(Q47:Q60)</f>
        <v>2371.6</v>
      </c>
      <c r="R61" s="10">
        <f>Q61*0.9</f>
        <v>2134.44</v>
      </c>
    </row>
    <row r="64" spans="2:19">
      <c r="B64" s="9" t="s">
        <v>28</v>
      </c>
      <c r="C64" s="60" t="s">
        <v>102</v>
      </c>
      <c r="D64" s="1">
        <v>44659</v>
      </c>
      <c r="E64" s="1"/>
      <c r="F64" s="9">
        <v>9631049704</v>
      </c>
      <c r="G64" t="s">
        <v>101</v>
      </c>
      <c r="J64" s="5">
        <v>0</v>
      </c>
      <c r="K64" s="5">
        <v>752</v>
      </c>
      <c r="L64" s="5">
        <f t="shared" ref="L64:L74" si="10">(J64+K64)*1.18</f>
        <v>887.3599999999999</v>
      </c>
      <c r="O64" s="3" t="s">
        <v>103</v>
      </c>
      <c r="P64" s="8">
        <f t="shared" ref="P64:P74" si="11">IF(B64="TP",K64*2.5/100,J64*0.4)</f>
        <v>18.8</v>
      </c>
      <c r="Q64" s="5">
        <f t="shared" ref="Q64:Q74" si="12">IF(A64="Four",K64*0.175,K64*0.275)</f>
        <v>206.8</v>
      </c>
    </row>
    <row r="65" spans="1:18">
      <c r="B65" s="9" t="s">
        <v>28</v>
      </c>
      <c r="C65" s="9" t="s">
        <v>104</v>
      </c>
      <c r="D65" s="1">
        <v>44661</v>
      </c>
      <c r="E65" s="1"/>
      <c r="G65" t="s">
        <v>105</v>
      </c>
      <c r="J65" s="5">
        <v>0</v>
      </c>
      <c r="K65" s="5">
        <v>702</v>
      </c>
      <c r="L65" s="5">
        <f t="shared" si="10"/>
        <v>828.3599999999999</v>
      </c>
      <c r="O65" s="3" t="s">
        <v>106</v>
      </c>
      <c r="P65" s="8">
        <f t="shared" si="11"/>
        <v>17.55</v>
      </c>
      <c r="Q65" s="5">
        <f t="shared" si="12"/>
        <v>193.05</v>
      </c>
    </row>
    <row r="66" spans="1:18">
      <c r="B66" s="9" t="s">
        <v>28</v>
      </c>
      <c r="C66" s="9" t="s">
        <v>108</v>
      </c>
      <c r="D66" s="1">
        <v>44662</v>
      </c>
      <c r="E66" s="1"/>
      <c r="F66" s="9">
        <v>9234221972</v>
      </c>
      <c r="G66" t="s">
        <v>107</v>
      </c>
      <c r="J66" s="5">
        <v>0</v>
      </c>
      <c r="K66" s="5">
        <v>702</v>
      </c>
      <c r="L66" s="5">
        <f t="shared" si="10"/>
        <v>828.3599999999999</v>
      </c>
      <c r="O66" s="3" t="s">
        <v>109</v>
      </c>
      <c r="P66" s="8">
        <f t="shared" si="11"/>
        <v>17.55</v>
      </c>
      <c r="Q66" s="5">
        <f t="shared" si="12"/>
        <v>193.05</v>
      </c>
    </row>
    <row r="67" spans="1:18">
      <c r="B67" s="9" t="s">
        <v>28</v>
      </c>
      <c r="C67" s="9" t="s">
        <v>110</v>
      </c>
      <c r="D67" s="1">
        <v>44667</v>
      </c>
      <c r="E67" s="1"/>
      <c r="F67" s="9">
        <v>9430390596</v>
      </c>
      <c r="G67" t="s">
        <v>111</v>
      </c>
      <c r="J67" s="5">
        <v>0</v>
      </c>
      <c r="K67" s="5">
        <v>752</v>
      </c>
      <c r="L67" s="5">
        <f t="shared" si="10"/>
        <v>887.3599999999999</v>
      </c>
      <c r="O67" s="3" t="s">
        <v>112</v>
      </c>
      <c r="P67" s="8">
        <f t="shared" si="11"/>
        <v>18.8</v>
      </c>
      <c r="Q67" s="5">
        <f t="shared" si="12"/>
        <v>206.8</v>
      </c>
    </row>
    <row r="68" spans="1:18">
      <c r="A68" t="s">
        <v>27</v>
      </c>
      <c r="B68" s="9" t="s">
        <v>28</v>
      </c>
      <c r="C68" s="9" t="s">
        <v>114</v>
      </c>
      <c r="D68" s="1">
        <v>44670</v>
      </c>
      <c r="E68" s="1"/>
      <c r="F68" s="9">
        <v>7209637288</v>
      </c>
      <c r="G68" t="s">
        <v>113</v>
      </c>
      <c r="J68" s="5">
        <v>0</v>
      </c>
      <c r="K68" s="5">
        <v>2072</v>
      </c>
      <c r="L68" s="5">
        <f t="shared" si="10"/>
        <v>2444.96</v>
      </c>
      <c r="O68" s="3" t="s">
        <v>115</v>
      </c>
      <c r="P68" s="8">
        <f t="shared" si="11"/>
        <v>51.8</v>
      </c>
      <c r="Q68" s="5">
        <f t="shared" si="12"/>
        <v>362.59999999999997</v>
      </c>
    </row>
    <row r="69" spans="1:18">
      <c r="B69" s="9" t="s">
        <v>28</v>
      </c>
      <c r="C69" s="9" t="s">
        <v>116</v>
      </c>
      <c r="D69" s="1">
        <v>44672</v>
      </c>
      <c r="E69" s="1"/>
      <c r="F69" s="9">
        <v>9608112268</v>
      </c>
      <c r="G69" t="s">
        <v>117</v>
      </c>
      <c r="J69" s="5">
        <v>0</v>
      </c>
      <c r="K69" s="5">
        <v>702</v>
      </c>
      <c r="L69" s="5">
        <f t="shared" si="10"/>
        <v>828.3599999999999</v>
      </c>
      <c r="O69" s="3" t="s">
        <v>118</v>
      </c>
      <c r="P69" s="8">
        <f t="shared" si="11"/>
        <v>17.55</v>
      </c>
      <c r="Q69" s="5">
        <f t="shared" si="12"/>
        <v>193.05</v>
      </c>
    </row>
    <row r="70" spans="1:18">
      <c r="B70" s="9" t="s">
        <v>28</v>
      </c>
      <c r="C70" s="9" t="s">
        <v>120</v>
      </c>
      <c r="D70" s="1">
        <v>44672</v>
      </c>
      <c r="E70" s="1"/>
      <c r="F70" s="9">
        <v>9608112268</v>
      </c>
      <c r="G70" t="s">
        <v>117</v>
      </c>
      <c r="J70" s="5">
        <v>0</v>
      </c>
      <c r="K70" s="5">
        <v>702</v>
      </c>
      <c r="L70" s="5">
        <f t="shared" si="10"/>
        <v>828.3599999999999</v>
      </c>
      <c r="O70" s="3" t="s">
        <v>119</v>
      </c>
      <c r="P70" s="8">
        <f t="shared" si="11"/>
        <v>17.55</v>
      </c>
      <c r="Q70" s="5">
        <f t="shared" si="12"/>
        <v>193.05</v>
      </c>
    </row>
    <row r="71" spans="1:18">
      <c r="B71" s="9" t="s">
        <v>28</v>
      </c>
      <c r="C71" s="9" t="s">
        <v>121</v>
      </c>
      <c r="D71" s="1">
        <v>44673</v>
      </c>
      <c r="E71" s="1"/>
      <c r="F71" s="9">
        <v>9199535807</v>
      </c>
      <c r="G71" t="s">
        <v>122</v>
      </c>
      <c r="J71" s="5">
        <v>0</v>
      </c>
      <c r="K71" s="5">
        <v>702</v>
      </c>
      <c r="L71" s="5">
        <f t="shared" si="10"/>
        <v>828.3599999999999</v>
      </c>
      <c r="O71" s="3" t="s">
        <v>123</v>
      </c>
      <c r="P71" s="8">
        <f t="shared" si="11"/>
        <v>17.55</v>
      </c>
      <c r="Q71" s="5">
        <f t="shared" si="12"/>
        <v>193.05</v>
      </c>
    </row>
    <row r="72" spans="1:18">
      <c r="B72" s="9" t="s">
        <v>28</v>
      </c>
      <c r="C72" s="9" t="s">
        <v>124</v>
      </c>
      <c r="D72" s="1">
        <v>44673</v>
      </c>
      <c r="E72" s="1"/>
      <c r="F72" s="9">
        <v>9031393446</v>
      </c>
      <c r="G72" t="s">
        <v>126</v>
      </c>
      <c r="J72" s="5">
        <v>0</v>
      </c>
      <c r="K72" s="5">
        <v>702</v>
      </c>
      <c r="L72" s="5">
        <f t="shared" si="10"/>
        <v>828.3599999999999</v>
      </c>
      <c r="O72" s="3" t="s">
        <v>125</v>
      </c>
      <c r="P72" s="8">
        <f t="shared" si="11"/>
        <v>17.55</v>
      </c>
      <c r="Q72" s="5">
        <f t="shared" si="12"/>
        <v>193.05</v>
      </c>
    </row>
    <row r="73" spans="1:18">
      <c r="B73" s="9" t="s">
        <v>28</v>
      </c>
      <c r="C73" s="9" t="s">
        <v>128</v>
      </c>
      <c r="D73" s="1">
        <v>44676</v>
      </c>
      <c r="E73" s="1"/>
      <c r="F73" s="9">
        <v>7488484625</v>
      </c>
      <c r="G73" t="s">
        <v>127</v>
      </c>
      <c r="J73" s="5">
        <v>0</v>
      </c>
      <c r="K73" s="5">
        <v>702</v>
      </c>
      <c r="L73" s="5">
        <f t="shared" si="10"/>
        <v>828.3599999999999</v>
      </c>
      <c r="O73" s="3" t="s">
        <v>129</v>
      </c>
      <c r="P73" s="8">
        <f t="shared" si="11"/>
        <v>17.55</v>
      </c>
      <c r="Q73" s="5">
        <f t="shared" si="12"/>
        <v>193.05</v>
      </c>
    </row>
    <row r="74" spans="1:18">
      <c r="B74" s="9" t="s">
        <v>28</v>
      </c>
      <c r="C74" s="9" t="s">
        <v>131</v>
      </c>
      <c r="D74" s="1">
        <v>44680</v>
      </c>
      <c r="E74" s="1"/>
      <c r="F74" s="9">
        <v>9110924591</v>
      </c>
      <c r="G74" t="s">
        <v>133</v>
      </c>
      <c r="J74" s="5">
        <v>0</v>
      </c>
      <c r="K74" s="5">
        <v>702</v>
      </c>
      <c r="L74" s="5">
        <f t="shared" si="10"/>
        <v>828.3599999999999</v>
      </c>
      <c r="O74" s="3" t="s">
        <v>132</v>
      </c>
      <c r="P74" s="8">
        <f t="shared" si="11"/>
        <v>17.55</v>
      </c>
      <c r="Q74" s="5">
        <f t="shared" si="12"/>
        <v>193.05</v>
      </c>
    </row>
    <row r="75" spans="1:18">
      <c r="B75" s="18"/>
      <c r="C75" s="18"/>
      <c r="D75" s="6"/>
      <c r="E75" s="6"/>
      <c r="F75" s="17"/>
      <c r="G75" s="6"/>
      <c r="H75" s="6"/>
      <c r="I75" s="44"/>
      <c r="J75" s="13"/>
      <c r="K75" s="13">
        <f>SUM(K64:K74)</f>
        <v>9192</v>
      </c>
      <c r="L75" s="13">
        <f>SUM(L64:L74)</f>
        <v>10846.560000000001</v>
      </c>
      <c r="M75" s="6"/>
      <c r="N75" s="6"/>
      <c r="O75" s="68"/>
      <c r="P75" s="13">
        <f>SUM(P64:P74)</f>
        <v>229.80000000000007</v>
      </c>
      <c r="Q75" s="13">
        <f>SUM(Q64:Q74)</f>
        <v>2320.6</v>
      </c>
      <c r="R75" s="6">
        <f>Q75*0.9</f>
        <v>2088.54</v>
      </c>
    </row>
    <row r="78" spans="1:18">
      <c r="B78" s="9" t="s">
        <v>28</v>
      </c>
      <c r="C78" s="60" t="s">
        <v>134</v>
      </c>
      <c r="D78" s="15">
        <v>44682</v>
      </c>
      <c r="E78" s="15"/>
      <c r="F78" s="9">
        <v>6203095355</v>
      </c>
      <c r="G78" t="s">
        <v>101</v>
      </c>
      <c r="J78" s="5">
        <v>0</v>
      </c>
      <c r="K78" s="5">
        <v>702</v>
      </c>
      <c r="L78" s="5">
        <f t="shared" ref="L78:L89" si="13">(J78+K78)*1.18</f>
        <v>828.3599999999999</v>
      </c>
      <c r="O78" s="3" t="s">
        <v>135</v>
      </c>
      <c r="P78" s="8">
        <f t="shared" ref="P78:P89" si="14">IF(B78="TP",K78*2.5/100,J78*0.4)</f>
        <v>17.55</v>
      </c>
      <c r="Q78" s="5">
        <f t="shared" ref="Q78:Q89" si="15">IF(A78="Four",K78*0.175,K78*0.275)</f>
        <v>193.05</v>
      </c>
    </row>
    <row r="79" spans="1:18">
      <c r="B79" s="9" t="s">
        <v>28</v>
      </c>
      <c r="C79" s="9" t="s">
        <v>137</v>
      </c>
      <c r="D79" s="1">
        <v>44683</v>
      </c>
      <c r="E79" s="1"/>
      <c r="F79" s="9">
        <v>8877007360</v>
      </c>
      <c r="G79" t="s">
        <v>138</v>
      </c>
      <c r="J79" s="5">
        <v>0</v>
      </c>
      <c r="K79" s="5">
        <v>752</v>
      </c>
      <c r="L79" s="5">
        <f t="shared" si="13"/>
        <v>887.3599999999999</v>
      </c>
      <c r="O79" s="3" t="s">
        <v>139</v>
      </c>
      <c r="P79" s="8">
        <f t="shared" si="14"/>
        <v>18.8</v>
      </c>
      <c r="Q79" s="5">
        <f t="shared" si="15"/>
        <v>206.8</v>
      </c>
    </row>
    <row r="80" spans="1:18">
      <c r="B80" s="9" t="s">
        <v>28</v>
      </c>
      <c r="C80" s="9" t="s">
        <v>143</v>
      </c>
      <c r="D80" s="1">
        <v>44688</v>
      </c>
      <c r="E80" s="1"/>
      <c r="G80" t="s">
        <v>144</v>
      </c>
      <c r="J80" s="5">
        <v>0</v>
      </c>
      <c r="K80" s="5">
        <v>702</v>
      </c>
      <c r="L80" s="5">
        <f t="shared" si="13"/>
        <v>828.3599999999999</v>
      </c>
      <c r="O80" s="3" t="s">
        <v>145</v>
      </c>
      <c r="P80" s="8">
        <f t="shared" si="14"/>
        <v>17.55</v>
      </c>
      <c r="Q80" s="5">
        <f t="shared" si="15"/>
        <v>193.05</v>
      </c>
    </row>
    <row r="81" spans="1:18">
      <c r="B81" s="9" t="s">
        <v>28</v>
      </c>
      <c r="C81" s="9" t="s">
        <v>140</v>
      </c>
      <c r="D81" s="1">
        <v>44688</v>
      </c>
      <c r="E81" s="1"/>
      <c r="F81" s="9">
        <v>7277767779</v>
      </c>
      <c r="G81" t="s">
        <v>141</v>
      </c>
      <c r="J81" s="5">
        <v>0</v>
      </c>
      <c r="K81" s="5">
        <v>702</v>
      </c>
      <c r="L81" s="5">
        <f t="shared" si="13"/>
        <v>828.3599999999999</v>
      </c>
      <c r="O81" s="3" t="s">
        <v>142</v>
      </c>
      <c r="P81" s="8">
        <f t="shared" si="14"/>
        <v>17.55</v>
      </c>
      <c r="Q81" s="5">
        <f t="shared" si="15"/>
        <v>193.05</v>
      </c>
    </row>
    <row r="82" spans="1:18">
      <c r="B82" s="9" t="s">
        <v>28</v>
      </c>
      <c r="C82" s="9" t="s">
        <v>148</v>
      </c>
      <c r="D82" s="1">
        <v>44689</v>
      </c>
      <c r="E82" s="1"/>
      <c r="F82" s="9">
        <v>8651301087</v>
      </c>
      <c r="G82" t="s">
        <v>147</v>
      </c>
      <c r="J82" s="5">
        <v>0</v>
      </c>
      <c r="K82" s="5">
        <v>702</v>
      </c>
      <c r="L82" s="5">
        <f t="shared" si="13"/>
        <v>828.3599999999999</v>
      </c>
      <c r="O82" s="3" t="s">
        <v>146</v>
      </c>
      <c r="P82" s="8">
        <f t="shared" si="14"/>
        <v>17.55</v>
      </c>
      <c r="Q82" s="5">
        <f t="shared" si="15"/>
        <v>193.05</v>
      </c>
    </row>
    <row r="83" spans="1:18">
      <c r="B83" s="9" t="s">
        <v>28</v>
      </c>
      <c r="C83" s="9" t="s">
        <v>151</v>
      </c>
      <c r="D83" s="1">
        <v>44692</v>
      </c>
      <c r="E83" s="1"/>
      <c r="F83" s="9">
        <v>9931195820</v>
      </c>
      <c r="G83" t="s">
        <v>152</v>
      </c>
      <c r="J83" s="5">
        <v>0</v>
      </c>
      <c r="K83" s="5">
        <v>752</v>
      </c>
      <c r="L83" s="5">
        <f t="shared" si="13"/>
        <v>887.3599999999999</v>
      </c>
      <c r="P83" s="8">
        <f t="shared" si="14"/>
        <v>18.8</v>
      </c>
      <c r="Q83" s="5">
        <f t="shared" si="15"/>
        <v>206.8</v>
      </c>
    </row>
    <row r="84" spans="1:18">
      <c r="B84" s="9" t="s">
        <v>28</v>
      </c>
      <c r="C84" s="9" t="s">
        <v>155</v>
      </c>
      <c r="D84" s="1">
        <v>44693</v>
      </c>
      <c r="E84" s="1"/>
      <c r="G84" t="s">
        <v>154</v>
      </c>
      <c r="J84" s="5">
        <v>0</v>
      </c>
      <c r="K84" s="5">
        <v>752</v>
      </c>
      <c r="L84" s="5">
        <f t="shared" si="13"/>
        <v>887.3599999999999</v>
      </c>
      <c r="O84" s="3" t="s">
        <v>153</v>
      </c>
      <c r="P84" s="8">
        <f t="shared" si="14"/>
        <v>18.8</v>
      </c>
      <c r="Q84" s="5">
        <f t="shared" si="15"/>
        <v>206.8</v>
      </c>
    </row>
    <row r="85" spans="1:18">
      <c r="B85" s="9" t="s">
        <v>28</v>
      </c>
      <c r="C85" s="9" t="s">
        <v>166</v>
      </c>
      <c r="D85" s="1">
        <v>44695</v>
      </c>
      <c r="E85" s="1"/>
      <c r="G85" t="s">
        <v>156</v>
      </c>
      <c r="J85" s="5">
        <v>0</v>
      </c>
      <c r="K85" s="5">
        <v>702</v>
      </c>
      <c r="L85" s="5">
        <f t="shared" si="13"/>
        <v>828.3599999999999</v>
      </c>
      <c r="O85" s="3" t="s">
        <v>167</v>
      </c>
      <c r="P85" s="8">
        <f t="shared" si="14"/>
        <v>17.55</v>
      </c>
      <c r="Q85" s="5">
        <f t="shared" si="15"/>
        <v>193.05</v>
      </c>
    </row>
    <row r="86" spans="1:18">
      <c r="B86" s="9" t="s">
        <v>28</v>
      </c>
      <c r="C86" s="9" t="s">
        <v>161</v>
      </c>
      <c r="D86" s="1">
        <v>44705</v>
      </c>
      <c r="E86" s="1"/>
      <c r="F86" s="9">
        <v>8084761482</v>
      </c>
      <c r="G86" t="s">
        <v>162</v>
      </c>
      <c r="J86" s="5">
        <v>0</v>
      </c>
      <c r="K86" s="5">
        <v>702</v>
      </c>
      <c r="L86" s="5">
        <f t="shared" si="13"/>
        <v>828.3599999999999</v>
      </c>
      <c r="O86" s="3" t="s">
        <v>160</v>
      </c>
      <c r="P86" s="8">
        <f t="shared" si="14"/>
        <v>17.55</v>
      </c>
      <c r="Q86" s="5">
        <f t="shared" si="15"/>
        <v>193.05</v>
      </c>
    </row>
    <row r="87" spans="1:18">
      <c r="A87" t="s">
        <v>27</v>
      </c>
      <c r="B87" s="9" t="s">
        <v>28</v>
      </c>
      <c r="C87" s="9" t="s">
        <v>164</v>
      </c>
      <c r="D87" s="1">
        <v>44708</v>
      </c>
      <c r="E87" s="1"/>
      <c r="G87" t="s">
        <v>163</v>
      </c>
      <c r="J87" s="5">
        <v>0</v>
      </c>
      <c r="K87" s="5">
        <v>3221</v>
      </c>
      <c r="L87" s="5">
        <f t="shared" si="13"/>
        <v>3800.7799999999997</v>
      </c>
      <c r="O87" s="3" t="s">
        <v>165</v>
      </c>
      <c r="P87" s="8">
        <f t="shared" si="14"/>
        <v>80.525000000000006</v>
      </c>
      <c r="Q87" s="5">
        <f t="shared" si="15"/>
        <v>563.67499999999995</v>
      </c>
      <c r="R87" s="8"/>
    </row>
    <row r="88" spans="1:18">
      <c r="B88" s="9" t="s">
        <v>28</v>
      </c>
      <c r="C88" s="9" t="s">
        <v>168</v>
      </c>
      <c r="D88" s="1">
        <v>44711</v>
      </c>
      <c r="E88" s="1"/>
      <c r="F88" s="9">
        <v>8797591784</v>
      </c>
      <c r="G88" t="s">
        <v>170</v>
      </c>
      <c r="J88" s="5">
        <v>0</v>
      </c>
      <c r="K88" s="5">
        <v>752</v>
      </c>
      <c r="L88" s="5">
        <f t="shared" si="13"/>
        <v>887.3599999999999</v>
      </c>
      <c r="O88" s="3" t="s">
        <v>169</v>
      </c>
      <c r="P88" s="8">
        <f t="shared" si="14"/>
        <v>18.8</v>
      </c>
      <c r="Q88" s="5">
        <f t="shared" si="15"/>
        <v>206.8</v>
      </c>
    </row>
    <row r="89" spans="1:18">
      <c r="B89" s="9" t="s">
        <v>28</v>
      </c>
      <c r="C89" s="9" t="s">
        <v>171</v>
      </c>
      <c r="D89" s="1">
        <v>44712</v>
      </c>
      <c r="E89" s="1"/>
      <c r="F89" s="9">
        <v>8797110530</v>
      </c>
      <c r="G89" t="s">
        <v>172</v>
      </c>
      <c r="J89" s="5">
        <v>0</v>
      </c>
      <c r="K89" s="5">
        <v>702</v>
      </c>
      <c r="L89" s="5">
        <f t="shared" si="13"/>
        <v>828.3599999999999</v>
      </c>
      <c r="P89" s="8">
        <f t="shared" si="14"/>
        <v>17.55</v>
      </c>
      <c r="Q89" s="5">
        <f t="shared" si="15"/>
        <v>193.05</v>
      </c>
    </row>
    <row r="90" spans="1:18">
      <c r="B90" s="18"/>
      <c r="C90" s="18">
        <f>COUNTA(C78:C89)</f>
        <v>12</v>
      </c>
      <c r="D90" s="16"/>
      <c r="E90" s="16"/>
      <c r="F90" s="18"/>
      <c r="G90" s="16"/>
      <c r="H90" s="16"/>
      <c r="I90" s="45"/>
      <c r="J90" s="122"/>
      <c r="K90" s="13">
        <f>SUM(K76:K89)</f>
        <v>11143</v>
      </c>
      <c r="L90" s="13">
        <f>SUM(L76:L89)</f>
        <v>13148.739999999998</v>
      </c>
      <c r="M90" s="6"/>
      <c r="N90" s="6"/>
      <c r="O90" s="68"/>
      <c r="P90" s="13">
        <f>SUM(P76:P89)</f>
        <v>278.57500000000005</v>
      </c>
      <c r="Q90" s="13">
        <f>SUM(Q76:Q89)</f>
        <v>2742.2250000000004</v>
      </c>
      <c r="R90" s="20">
        <f>Q90*0.9</f>
        <v>2468.0025000000005</v>
      </c>
    </row>
    <row r="92" spans="1:18">
      <c r="B92" s="9" t="s">
        <v>175</v>
      </c>
      <c r="C92" s="9" t="s">
        <v>173</v>
      </c>
      <c r="D92" s="1">
        <v>44715</v>
      </c>
      <c r="E92" s="1"/>
      <c r="F92" s="9">
        <v>7209598609</v>
      </c>
      <c r="G92" t="s">
        <v>174</v>
      </c>
      <c r="J92" s="5">
        <v>426</v>
      </c>
      <c r="K92" s="5">
        <v>1044</v>
      </c>
      <c r="L92" s="5">
        <f t="shared" ref="L92:L106" si="16">(J92+K92)*1.18</f>
        <v>1734.6</v>
      </c>
      <c r="O92" s="3" t="s">
        <v>160</v>
      </c>
      <c r="P92">
        <f t="shared" ref="P92:P106" si="17">IF(B92="TP",K92*2.5/100,J92*0.4)</f>
        <v>170.4</v>
      </c>
      <c r="Q92" s="5">
        <v>0</v>
      </c>
    </row>
    <row r="93" spans="1:18">
      <c r="B93" s="9" t="s">
        <v>28</v>
      </c>
      <c r="C93" s="9" t="s">
        <v>176</v>
      </c>
      <c r="D93" s="1">
        <v>44715</v>
      </c>
      <c r="E93" s="1"/>
      <c r="F93" s="9">
        <v>7033179949</v>
      </c>
      <c r="G93" t="s">
        <v>178</v>
      </c>
      <c r="J93" s="5">
        <v>0</v>
      </c>
      <c r="K93" s="5">
        <v>714</v>
      </c>
      <c r="L93" s="5">
        <f t="shared" si="16"/>
        <v>842.52</v>
      </c>
      <c r="O93" s="3" t="s">
        <v>177</v>
      </c>
      <c r="P93">
        <f t="shared" si="17"/>
        <v>17.850000000000001</v>
      </c>
      <c r="Q93" s="5">
        <f t="shared" ref="Q93:Q106" si="18">IF(A93="Four",K93*0.175,K93*0.275)</f>
        <v>196.35000000000002</v>
      </c>
    </row>
    <row r="94" spans="1:18">
      <c r="A94" t="s">
        <v>27</v>
      </c>
      <c r="B94" s="9" t="s">
        <v>28</v>
      </c>
      <c r="G94" t="s">
        <v>181</v>
      </c>
      <c r="J94" s="5">
        <v>0</v>
      </c>
      <c r="K94" s="5">
        <v>2094</v>
      </c>
      <c r="L94" s="5">
        <f t="shared" si="16"/>
        <v>2470.92</v>
      </c>
      <c r="P94">
        <f t="shared" si="17"/>
        <v>52.35</v>
      </c>
      <c r="Q94" s="5">
        <f t="shared" si="18"/>
        <v>366.45</v>
      </c>
    </row>
    <row r="95" spans="1:18">
      <c r="B95" s="9" t="s">
        <v>28</v>
      </c>
      <c r="C95" s="9" t="s">
        <v>179</v>
      </c>
      <c r="D95" s="1">
        <v>44719</v>
      </c>
      <c r="E95" s="1"/>
      <c r="F95" s="9">
        <v>9939629542</v>
      </c>
      <c r="G95" t="s">
        <v>180</v>
      </c>
      <c r="J95" s="5">
        <v>0</v>
      </c>
      <c r="K95" s="5">
        <v>714</v>
      </c>
      <c r="L95" s="5">
        <f t="shared" si="16"/>
        <v>842.52</v>
      </c>
      <c r="O95" s="3" t="s">
        <v>182</v>
      </c>
      <c r="P95">
        <f t="shared" si="17"/>
        <v>17.850000000000001</v>
      </c>
      <c r="Q95" s="5">
        <f t="shared" si="18"/>
        <v>196.35000000000002</v>
      </c>
    </row>
    <row r="96" spans="1:18">
      <c r="B96" s="9" t="s">
        <v>28</v>
      </c>
      <c r="C96" s="9" t="s">
        <v>183</v>
      </c>
      <c r="D96" s="1">
        <v>44721</v>
      </c>
      <c r="E96" s="1"/>
      <c r="F96" s="9">
        <v>9930054541</v>
      </c>
      <c r="G96" t="s">
        <v>185</v>
      </c>
      <c r="J96" s="5">
        <v>0</v>
      </c>
      <c r="K96" s="5">
        <v>714</v>
      </c>
      <c r="L96" s="5">
        <f t="shared" si="16"/>
        <v>842.52</v>
      </c>
      <c r="O96" s="3" t="s">
        <v>184</v>
      </c>
      <c r="P96">
        <f t="shared" si="17"/>
        <v>17.850000000000001</v>
      </c>
      <c r="Q96" s="5">
        <f t="shared" si="18"/>
        <v>196.35000000000002</v>
      </c>
    </row>
    <row r="97" spans="1:18">
      <c r="B97" s="9" t="s">
        <v>28</v>
      </c>
      <c r="C97" s="61" t="s">
        <v>186</v>
      </c>
      <c r="D97" s="1">
        <v>44721</v>
      </c>
      <c r="E97" s="1"/>
      <c r="J97" s="5">
        <v>0</v>
      </c>
      <c r="K97" s="5">
        <v>714</v>
      </c>
      <c r="L97" s="5">
        <f t="shared" si="16"/>
        <v>842.52</v>
      </c>
      <c r="P97">
        <f t="shared" si="17"/>
        <v>17.850000000000001</v>
      </c>
      <c r="Q97" s="5">
        <f t="shared" si="18"/>
        <v>196.35000000000002</v>
      </c>
    </row>
    <row r="98" spans="1:18">
      <c r="A98" t="s">
        <v>11</v>
      </c>
      <c r="C98" s="9" t="s">
        <v>188</v>
      </c>
      <c r="D98" s="1">
        <v>44725</v>
      </c>
      <c r="E98" s="1"/>
      <c r="F98" s="9">
        <v>9308663419</v>
      </c>
      <c r="G98" t="s">
        <v>189</v>
      </c>
      <c r="J98" s="5">
        <v>197</v>
      </c>
      <c r="K98" s="5">
        <f>714+330</f>
        <v>1044</v>
      </c>
      <c r="L98" s="5">
        <f t="shared" si="16"/>
        <v>1464.3799999999999</v>
      </c>
      <c r="P98">
        <f t="shared" si="17"/>
        <v>78.800000000000011</v>
      </c>
      <c r="Q98" s="5">
        <f t="shared" si="18"/>
        <v>287.10000000000002</v>
      </c>
    </row>
    <row r="99" spans="1:18">
      <c r="B99" s="9" t="s">
        <v>28</v>
      </c>
      <c r="C99" s="61" t="s">
        <v>187</v>
      </c>
      <c r="D99" s="1">
        <v>44725</v>
      </c>
      <c r="E99" s="1"/>
      <c r="F99" s="9">
        <v>9472725139</v>
      </c>
      <c r="J99" s="5">
        <v>0</v>
      </c>
      <c r="K99" s="5">
        <v>714</v>
      </c>
      <c r="L99" s="5">
        <f t="shared" si="16"/>
        <v>842.52</v>
      </c>
      <c r="P99">
        <f t="shared" si="17"/>
        <v>17.850000000000001</v>
      </c>
      <c r="Q99" s="5">
        <f t="shared" si="18"/>
        <v>196.35000000000002</v>
      </c>
    </row>
    <row r="100" spans="1:18">
      <c r="B100" s="9" t="s">
        <v>28</v>
      </c>
      <c r="C100" s="61" t="s">
        <v>190</v>
      </c>
      <c r="D100" s="1">
        <v>44730</v>
      </c>
      <c r="E100" s="1"/>
      <c r="F100" s="9">
        <v>9771441692</v>
      </c>
      <c r="G100" t="s">
        <v>191</v>
      </c>
      <c r="J100" s="5">
        <v>0</v>
      </c>
      <c r="K100" s="5">
        <v>714</v>
      </c>
      <c r="L100" s="5">
        <f t="shared" si="16"/>
        <v>842.52</v>
      </c>
      <c r="P100">
        <f t="shared" si="17"/>
        <v>17.850000000000001</v>
      </c>
      <c r="Q100" s="5">
        <f t="shared" si="18"/>
        <v>196.35000000000002</v>
      </c>
    </row>
    <row r="101" spans="1:18">
      <c r="B101" s="9" t="s">
        <v>28</v>
      </c>
      <c r="C101" s="9" t="s">
        <v>192</v>
      </c>
      <c r="D101" s="1"/>
      <c r="E101" s="1"/>
      <c r="F101" s="9">
        <v>9234554933</v>
      </c>
      <c r="G101" t="s">
        <v>193</v>
      </c>
      <c r="J101" s="5">
        <v>0</v>
      </c>
      <c r="K101" s="5">
        <v>714</v>
      </c>
      <c r="L101" s="5">
        <f t="shared" si="16"/>
        <v>842.52</v>
      </c>
      <c r="P101">
        <f t="shared" si="17"/>
        <v>17.850000000000001</v>
      </c>
      <c r="Q101" s="5">
        <f t="shared" si="18"/>
        <v>196.35000000000002</v>
      </c>
    </row>
    <row r="102" spans="1:18">
      <c r="A102" t="s">
        <v>27</v>
      </c>
      <c r="B102" s="9" t="s">
        <v>28</v>
      </c>
      <c r="C102" s="61" t="s">
        <v>194</v>
      </c>
      <c r="D102" s="1">
        <v>44737</v>
      </c>
      <c r="E102" s="1"/>
      <c r="F102" s="9">
        <v>8092238686</v>
      </c>
      <c r="G102" t="s">
        <v>195</v>
      </c>
      <c r="J102" s="5">
        <v>0</v>
      </c>
      <c r="K102" s="5">
        <v>2094</v>
      </c>
      <c r="L102" s="5">
        <f t="shared" si="16"/>
        <v>2470.92</v>
      </c>
      <c r="P102">
        <f t="shared" si="17"/>
        <v>52.35</v>
      </c>
      <c r="Q102" s="5">
        <f t="shared" si="18"/>
        <v>366.45</v>
      </c>
    </row>
    <row r="103" spans="1:18">
      <c r="B103" s="9" t="s">
        <v>28</v>
      </c>
      <c r="C103" s="9" t="s">
        <v>197</v>
      </c>
      <c r="D103" s="1">
        <v>44739</v>
      </c>
      <c r="E103" s="1"/>
      <c r="F103" s="9">
        <v>9546247980</v>
      </c>
      <c r="G103" t="s">
        <v>196</v>
      </c>
      <c r="J103" s="5">
        <v>0</v>
      </c>
      <c r="K103" s="5">
        <v>714</v>
      </c>
      <c r="L103" s="5">
        <f t="shared" si="16"/>
        <v>842.52</v>
      </c>
      <c r="O103" s="3" t="s">
        <v>198</v>
      </c>
      <c r="P103">
        <f t="shared" si="17"/>
        <v>17.850000000000001</v>
      </c>
      <c r="Q103" s="5">
        <f t="shared" si="18"/>
        <v>196.35000000000002</v>
      </c>
    </row>
    <row r="104" spans="1:18">
      <c r="B104" s="9" t="s">
        <v>28</v>
      </c>
      <c r="C104" s="61" t="s">
        <v>201</v>
      </c>
      <c r="D104" s="1">
        <v>44740</v>
      </c>
      <c r="E104" s="1"/>
      <c r="F104" s="9">
        <v>8877187044</v>
      </c>
      <c r="G104" t="s">
        <v>199</v>
      </c>
      <c r="J104" s="5">
        <v>0</v>
      </c>
      <c r="K104" s="5">
        <v>714</v>
      </c>
      <c r="L104" s="5">
        <f t="shared" si="16"/>
        <v>842.52</v>
      </c>
      <c r="O104" s="3" t="s">
        <v>200</v>
      </c>
      <c r="P104">
        <f t="shared" si="17"/>
        <v>17.850000000000001</v>
      </c>
      <c r="Q104" s="5">
        <f t="shared" si="18"/>
        <v>196.35000000000002</v>
      </c>
    </row>
    <row r="105" spans="1:18">
      <c r="B105" s="9" t="s">
        <v>28</v>
      </c>
      <c r="C105" s="61" t="s">
        <v>202</v>
      </c>
      <c r="D105" s="1">
        <v>44741</v>
      </c>
      <c r="E105" s="1"/>
      <c r="F105" s="9">
        <v>9939184337</v>
      </c>
      <c r="G105" t="s">
        <v>204</v>
      </c>
      <c r="J105" s="5">
        <v>0</v>
      </c>
      <c r="K105" s="5">
        <v>714</v>
      </c>
      <c r="L105" s="5">
        <f t="shared" si="16"/>
        <v>842.52</v>
      </c>
      <c r="O105" s="3" t="s">
        <v>203</v>
      </c>
      <c r="P105">
        <f t="shared" si="17"/>
        <v>17.850000000000001</v>
      </c>
      <c r="Q105" s="5">
        <f t="shared" si="18"/>
        <v>196.35000000000002</v>
      </c>
    </row>
    <row r="106" spans="1:18">
      <c r="B106" s="9" t="s">
        <v>28</v>
      </c>
      <c r="C106" s="61"/>
      <c r="D106" s="1">
        <v>44742</v>
      </c>
      <c r="E106" s="1"/>
      <c r="F106" s="9">
        <v>9234408732</v>
      </c>
      <c r="J106" s="5">
        <v>0</v>
      </c>
      <c r="K106" s="5">
        <v>714</v>
      </c>
      <c r="L106" s="5">
        <f t="shared" si="16"/>
        <v>842.52</v>
      </c>
      <c r="P106">
        <f t="shared" si="17"/>
        <v>17.850000000000001</v>
      </c>
      <c r="Q106" s="5">
        <f t="shared" si="18"/>
        <v>196.35000000000002</v>
      </c>
    </row>
    <row r="107" spans="1:18">
      <c r="C107" s="61"/>
      <c r="D107" s="1"/>
      <c r="E107" s="1"/>
    </row>
    <row r="109" spans="1:18">
      <c r="B109" s="18">
        <f>COUNT(K93:K108)</f>
        <v>14</v>
      </c>
      <c r="C109" s="18"/>
      <c r="D109" s="16"/>
      <c r="E109" s="16"/>
      <c r="F109" s="18"/>
      <c r="G109" s="16"/>
      <c r="H109" s="16"/>
      <c r="I109" s="45"/>
      <c r="J109" s="122"/>
      <c r="K109" s="122">
        <f t="shared" ref="K109:Q109" si="19">SUM(K92:K108)</f>
        <v>14130</v>
      </c>
      <c r="L109" s="122">
        <f t="shared" si="19"/>
        <v>17408.54</v>
      </c>
      <c r="M109" s="16"/>
      <c r="N109" s="16">
        <f t="shared" si="19"/>
        <v>0</v>
      </c>
      <c r="O109" s="69">
        <f t="shared" si="19"/>
        <v>0</v>
      </c>
      <c r="P109" s="16">
        <f t="shared" si="19"/>
        <v>550.25000000000023</v>
      </c>
      <c r="Q109" s="16">
        <f t="shared" si="19"/>
        <v>3179.849999999999</v>
      </c>
      <c r="R109" s="16">
        <f>Q109*0.9</f>
        <v>2861.8649999999993</v>
      </c>
    </row>
    <row r="111" spans="1:18">
      <c r="B111" s="9" t="s">
        <v>28</v>
      </c>
      <c r="D111" s="1"/>
      <c r="E111" s="1"/>
      <c r="J111" s="5">
        <v>0</v>
      </c>
      <c r="K111" s="5">
        <v>714</v>
      </c>
      <c r="L111" s="5">
        <f t="shared" ref="L111:L118" si="20">(J111+K111)*1.18</f>
        <v>842.52</v>
      </c>
      <c r="P111">
        <f t="shared" ref="P111:P118" si="21">IF(B111="TP",K111*2.5/100,J111*0.4)</f>
        <v>17.850000000000001</v>
      </c>
      <c r="Q111" s="5">
        <f t="shared" ref="Q111:Q118" si="22">IF(A111="Four",K111*0.175,K111*0.275)</f>
        <v>196.35000000000002</v>
      </c>
    </row>
    <row r="112" spans="1:18">
      <c r="B112" s="9" t="s">
        <v>28</v>
      </c>
      <c r="D112" s="1"/>
      <c r="E112" s="1"/>
      <c r="J112" s="5">
        <v>0</v>
      </c>
      <c r="K112" s="5">
        <v>714</v>
      </c>
      <c r="L112" s="5">
        <f t="shared" si="20"/>
        <v>842.52</v>
      </c>
      <c r="P112">
        <f t="shared" si="21"/>
        <v>17.850000000000001</v>
      </c>
      <c r="Q112" s="5">
        <f t="shared" si="22"/>
        <v>196.35000000000002</v>
      </c>
    </row>
    <row r="113" spans="1:18" ht="16.8">
      <c r="B113" s="9" t="s">
        <v>28</v>
      </c>
      <c r="C113" s="9" t="s">
        <v>206</v>
      </c>
      <c r="D113" s="1">
        <v>44753</v>
      </c>
      <c r="E113" s="1"/>
      <c r="F113" s="48">
        <v>8235242318</v>
      </c>
      <c r="G113" t="s">
        <v>205</v>
      </c>
      <c r="J113" s="5">
        <v>0</v>
      </c>
      <c r="K113" s="5">
        <v>714</v>
      </c>
      <c r="L113" s="5">
        <f t="shared" si="20"/>
        <v>842.52</v>
      </c>
      <c r="O113" s="3" t="s">
        <v>207</v>
      </c>
      <c r="P113">
        <f t="shared" si="21"/>
        <v>17.850000000000001</v>
      </c>
      <c r="Q113" s="5">
        <f t="shared" si="22"/>
        <v>196.35000000000002</v>
      </c>
    </row>
    <row r="114" spans="1:18">
      <c r="B114" s="9" t="s">
        <v>28</v>
      </c>
      <c r="J114" s="5">
        <v>0</v>
      </c>
      <c r="K114" s="5">
        <v>714</v>
      </c>
      <c r="L114" s="5">
        <f t="shared" si="20"/>
        <v>842.52</v>
      </c>
      <c r="P114">
        <f t="shared" si="21"/>
        <v>17.850000000000001</v>
      </c>
      <c r="Q114" s="5">
        <f t="shared" si="22"/>
        <v>196.35000000000002</v>
      </c>
    </row>
    <row r="115" spans="1:18" ht="16.8">
      <c r="B115" s="9" t="s">
        <v>28</v>
      </c>
      <c r="C115" s="9" t="s">
        <v>209</v>
      </c>
      <c r="D115" s="1">
        <v>44755</v>
      </c>
      <c r="E115" s="1"/>
      <c r="F115" s="48">
        <v>9031733929</v>
      </c>
      <c r="G115" t="s">
        <v>208</v>
      </c>
      <c r="J115" s="5">
        <v>0</v>
      </c>
      <c r="K115" s="5">
        <v>714</v>
      </c>
      <c r="L115" s="5">
        <f t="shared" si="20"/>
        <v>842.52</v>
      </c>
      <c r="P115">
        <f t="shared" si="21"/>
        <v>17.850000000000001</v>
      </c>
      <c r="Q115" s="5">
        <f t="shared" si="22"/>
        <v>196.35000000000002</v>
      </c>
    </row>
    <row r="116" spans="1:18" ht="16.8">
      <c r="B116" s="9" t="s">
        <v>28</v>
      </c>
      <c r="C116" s="9" t="s">
        <v>210</v>
      </c>
      <c r="D116" s="1">
        <v>44764</v>
      </c>
      <c r="E116" s="1"/>
      <c r="F116" s="48">
        <v>7541961131</v>
      </c>
      <c r="G116" t="s">
        <v>212</v>
      </c>
      <c r="J116" s="5">
        <v>0</v>
      </c>
      <c r="K116" s="5">
        <v>714</v>
      </c>
      <c r="L116" s="5">
        <f t="shared" si="20"/>
        <v>842.52</v>
      </c>
      <c r="O116" s="3" t="s">
        <v>211</v>
      </c>
      <c r="P116">
        <f t="shared" si="21"/>
        <v>17.850000000000001</v>
      </c>
      <c r="Q116" s="5">
        <f t="shared" si="22"/>
        <v>196.35000000000002</v>
      </c>
    </row>
    <row r="117" spans="1:18">
      <c r="B117" s="9" t="s">
        <v>28</v>
      </c>
      <c r="C117" s="9" t="s">
        <v>215</v>
      </c>
      <c r="D117" s="1">
        <v>44769</v>
      </c>
      <c r="E117" s="1"/>
      <c r="F117" s="9">
        <v>9534295980</v>
      </c>
      <c r="G117" t="s">
        <v>213</v>
      </c>
      <c r="J117" s="5">
        <v>0</v>
      </c>
      <c r="K117" s="5">
        <v>714</v>
      </c>
      <c r="L117" s="5">
        <f t="shared" si="20"/>
        <v>842.52</v>
      </c>
      <c r="O117" s="3" t="s">
        <v>214</v>
      </c>
      <c r="P117">
        <f t="shared" si="21"/>
        <v>17.850000000000001</v>
      </c>
      <c r="Q117" s="5">
        <f t="shared" si="22"/>
        <v>196.35000000000002</v>
      </c>
    </row>
    <row r="118" spans="1:18">
      <c r="A118" t="s">
        <v>27</v>
      </c>
      <c r="B118" s="9" t="s">
        <v>28</v>
      </c>
      <c r="C118" s="9" t="s">
        <v>217</v>
      </c>
      <c r="D118" s="1">
        <v>44770</v>
      </c>
      <c r="E118" s="1"/>
      <c r="F118" s="9">
        <v>8434671734</v>
      </c>
      <c r="G118" t="s">
        <v>216</v>
      </c>
      <c r="J118" s="5">
        <v>0</v>
      </c>
      <c r="K118" s="5">
        <v>2094</v>
      </c>
      <c r="L118" s="5">
        <f t="shared" si="20"/>
        <v>2470.92</v>
      </c>
      <c r="O118" s="3" t="s">
        <v>218</v>
      </c>
      <c r="P118">
        <f t="shared" si="21"/>
        <v>52.35</v>
      </c>
      <c r="Q118" s="5">
        <f t="shared" si="22"/>
        <v>366.45</v>
      </c>
    </row>
    <row r="119" spans="1:18">
      <c r="B119" s="18">
        <f>COUNT(K111:K118)</f>
        <v>8</v>
      </c>
      <c r="C119" s="18"/>
      <c r="D119" s="16"/>
      <c r="E119" s="16"/>
      <c r="F119" s="18"/>
      <c r="G119" s="16"/>
      <c r="H119" s="16"/>
      <c r="I119" s="45"/>
      <c r="J119" s="122"/>
      <c r="K119" s="122">
        <f>SUM(K111:K118)</f>
        <v>7092</v>
      </c>
      <c r="L119" s="122">
        <f>SUM(L111:L118)</f>
        <v>8368.5600000000013</v>
      </c>
      <c r="M119" s="16"/>
      <c r="N119" s="16">
        <f>SUM(N104:N118)</f>
        <v>0</v>
      </c>
      <c r="O119" s="69">
        <f>SUM(O104:O118)</f>
        <v>0</v>
      </c>
      <c r="P119" s="16">
        <f>SUM(P111:P118)</f>
        <v>177.29999999999998</v>
      </c>
      <c r="Q119" s="16">
        <f>SUM(Q111:Q118)</f>
        <v>1740.9000000000003</v>
      </c>
      <c r="R119" s="16">
        <f>Q119*0.9</f>
        <v>1566.8100000000004</v>
      </c>
    </row>
    <row r="122" spans="1:18" ht="16.8">
      <c r="B122" s="9" t="s">
        <v>28</v>
      </c>
      <c r="C122" s="9" t="s">
        <v>219</v>
      </c>
      <c r="D122" s="1">
        <v>44774</v>
      </c>
      <c r="E122" s="1"/>
      <c r="F122" s="48">
        <v>9522</v>
      </c>
      <c r="G122" t="s">
        <v>220</v>
      </c>
      <c r="J122" s="5">
        <v>0</v>
      </c>
      <c r="K122" s="5">
        <v>714</v>
      </c>
      <c r="L122" s="5">
        <f t="shared" ref="L122:L131" si="23">(J122+K122)*1.18</f>
        <v>842.52</v>
      </c>
      <c r="O122" s="3" t="s">
        <v>221</v>
      </c>
      <c r="P122">
        <f t="shared" ref="P122:P131" si="24">IF(B122="TP",K122*2.5/100,J122*0.4)</f>
        <v>17.850000000000001</v>
      </c>
      <c r="Q122" s="5">
        <f t="shared" ref="Q122:Q131" si="25">IF(A122="Four",K122*0.175,K122*0.275)</f>
        <v>196.35000000000002</v>
      </c>
    </row>
    <row r="123" spans="1:18">
      <c r="B123" s="9" t="s">
        <v>28</v>
      </c>
      <c r="C123" s="9" t="s">
        <v>222</v>
      </c>
      <c r="D123" s="1">
        <v>44776</v>
      </c>
      <c r="E123" s="1"/>
      <c r="F123" s="9">
        <v>9097074840</v>
      </c>
      <c r="G123" t="s">
        <v>254</v>
      </c>
      <c r="J123" s="5">
        <v>0</v>
      </c>
      <c r="K123" s="5">
        <v>714</v>
      </c>
      <c r="L123" s="5">
        <f t="shared" si="23"/>
        <v>842.52</v>
      </c>
      <c r="O123" s="3" t="s">
        <v>223</v>
      </c>
      <c r="P123">
        <f t="shared" si="24"/>
        <v>17.850000000000001</v>
      </c>
      <c r="Q123" s="5">
        <f t="shared" si="25"/>
        <v>196.35000000000002</v>
      </c>
    </row>
    <row r="124" spans="1:18" ht="16.8">
      <c r="B124" s="9" t="s">
        <v>28</v>
      </c>
      <c r="C124" s="9" t="s">
        <v>225</v>
      </c>
      <c r="D124" s="1">
        <v>44778</v>
      </c>
      <c r="E124" s="1"/>
      <c r="F124" s="48">
        <v>8210144978</v>
      </c>
      <c r="G124" t="s">
        <v>224</v>
      </c>
      <c r="J124" s="5">
        <v>0</v>
      </c>
      <c r="K124" s="5">
        <v>714</v>
      </c>
      <c r="L124" s="5">
        <f t="shared" si="23"/>
        <v>842.52</v>
      </c>
      <c r="O124" s="3" t="s">
        <v>226</v>
      </c>
      <c r="P124">
        <f t="shared" si="24"/>
        <v>17.850000000000001</v>
      </c>
      <c r="Q124" s="5">
        <f t="shared" si="25"/>
        <v>196.35000000000002</v>
      </c>
    </row>
    <row r="125" spans="1:18">
      <c r="B125" s="9" t="s">
        <v>28</v>
      </c>
      <c r="C125" s="9" t="s">
        <v>229</v>
      </c>
      <c r="D125" s="1">
        <v>44781</v>
      </c>
      <c r="E125" s="1"/>
      <c r="F125" s="9">
        <v>9472725139</v>
      </c>
      <c r="G125" t="s">
        <v>227</v>
      </c>
      <c r="J125" s="5">
        <v>0</v>
      </c>
      <c r="K125" s="5">
        <v>714</v>
      </c>
      <c r="L125" s="5">
        <f t="shared" si="23"/>
        <v>842.52</v>
      </c>
      <c r="O125" s="3" t="s">
        <v>228</v>
      </c>
      <c r="P125">
        <f t="shared" si="24"/>
        <v>17.850000000000001</v>
      </c>
      <c r="Q125" s="5">
        <f t="shared" si="25"/>
        <v>196.35000000000002</v>
      </c>
    </row>
    <row r="126" spans="1:18">
      <c r="A126" t="s">
        <v>27</v>
      </c>
      <c r="B126" s="9" t="s">
        <v>28</v>
      </c>
      <c r="C126" s="9" t="s">
        <v>255</v>
      </c>
      <c r="D126" s="1">
        <v>44791</v>
      </c>
      <c r="E126" s="1"/>
      <c r="G126" t="s">
        <v>256</v>
      </c>
      <c r="J126" s="5">
        <v>0</v>
      </c>
      <c r="K126" s="5">
        <v>1994</v>
      </c>
      <c r="L126" s="5">
        <f t="shared" si="23"/>
        <v>2352.92</v>
      </c>
      <c r="O126" s="3" t="s">
        <v>257</v>
      </c>
      <c r="P126">
        <f t="shared" si="24"/>
        <v>49.85</v>
      </c>
      <c r="Q126" s="5">
        <f t="shared" si="25"/>
        <v>348.95</v>
      </c>
    </row>
    <row r="127" spans="1:18">
      <c r="A127" t="s">
        <v>27</v>
      </c>
      <c r="B127" s="9" t="s">
        <v>28</v>
      </c>
      <c r="C127" s="9" t="s">
        <v>258</v>
      </c>
      <c r="D127" s="1">
        <v>44793</v>
      </c>
      <c r="E127" s="1"/>
      <c r="G127" t="s">
        <v>260</v>
      </c>
      <c r="J127" s="5">
        <v>0</v>
      </c>
      <c r="K127" s="5">
        <v>1994</v>
      </c>
      <c r="L127" s="5">
        <f t="shared" si="23"/>
        <v>2352.92</v>
      </c>
      <c r="O127" s="3" t="s">
        <v>259</v>
      </c>
      <c r="P127">
        <f t="shared" si="24"/>
        <v>49.85</v>
      </c>
      <c r="Q127" s="5">
        <f t="shared" si="25"/>
        <v>348.95</v>
      </c>
    </row>
    <row r="128" spans="1:18">
      <c r="B128" s="9" t="s">
        <v>28</v>
      </c>
      <c r="C128" s="9" t="s">
        <v>261</v>
      </c>
      <c r="D128" s="1">
        <v>44795</v>
      </c>
      <c r="E128" s="1"/>
      <c r="G128" t="s">
        <v>230</v>
      </c>
      <c r="J128" s="5">
        <v>0</v>
      </c>
      <c r="K128" s="5">
        <v>714</v>
      </c>
      <c r="L128" s="5">
        <f t="shared" si="23"/>
        <v>842.52</v>
      </c>
      <c r="O128" s="3" t="s">
        <v>262</v>
      </c>
      <c r="P128">
        <f t="shared" si="24"/>
        <v>17.850000000000001</v>
      </c>
      <c r="Q128" s="5">
        <f t="shared" si="25"/>
        <v>196.35000000000002</v>
      </c>
    </row>
    <row r="129" spans="1:18" ht="16.8">
      <c r="B129" s="9" t="s">
        <v>28</v>
      </c>
      <c r="C129" s="9" t="s">
        <v>231</v>
      </c>
      <c r="D129" s="1">
        <v>44795</v>
      </c>
      <c r="E129" s="1"/>
      <c r="F129" s="48">
        <v>9113105327</v>
      </c>
      <c r="J129" s="5">
        <v>0</v>
      </c>
      <c r="K129" s="5">
        <v>714</v>
      </c>
      <c r="L129" s="5">
        <f t="shared" si="23"/>
        <v>842.52</v>
      </c>
      <c r="O129" s="3" t="s">
        <v>263</v>
      </c>
      <c r="P129">
        <f t="shared" si="24"/>
        <v>17.850000000000001</v>
      </c>
      <c r="Q129" s="5">
        <f t="shared" si="25"/>
        <v>196.35000000000002</v>
      </c>
    </row>
    <row r="130" spans="1:18">
      <c r="B130" s="9" t="s">
        <v>28</v>
      </c>
      <c r="C130" s="9" t="s">
        <v>264</v>
      </c>
      <c r="D130" s="1">
        <v>44797</v>
      </c>
      <c r="E130" s="1"/>
      <c r="G130" t="s">
        <v>265</v>
      </c>
      <c r="J130" s="5">
        <v>0</v>
      </c>
      <c r="K130" s="5">
        <v>714</v>
      </c>
      <c r="L130" s="5">
        <f t="shared" si="23"/>
        <v>842.52</v>
      </c>
      <c r="O130" s="3" t="s">
        <v>266</v>
      </c>
      <c r="P130">
        <f t="shared" si="24"/>
        <v>17.850000000000001</v>
      </c>
      <c r="Q130" s="5">
        <f t="shared" si="25"/>
        <v>196.35000000000002</v>
      </c>
    </row>
    <row r="131" spans="1:18">
      <c r="B131" s="9" t="s">
        <v>28</v>
      </c>
      <c r="C131" s="9" t="s">
        <v>234</v>
      </c>
      <c r="D131" s="1">
        <v>44804</v>
      </c>
      <c r="E131" s="1"/>
      <c r="F131" s="9">
        <v>9006946223</v>
      </c>
      <c r="G131" t="s">
        <v>232</v>
      </c>
      <c r="J131" s="5">
        <v>0</v>
      </c>
      <c r="K131" s="5">
        <v>714</v>
      </c>
      <c r="L131" s="5">
        <f t="shared" si="23"/>
        <v>842.52</v>
      </c>
      <c r="O131" s="3" t="s">
        <v>233</v>
      </c>
      <c r="P131">
        <f t="shared" si="24"/>
        <v>17.850000000000001</v>
      </c>
      <c r="Q131" s="5">
        <f t="shared" si="25"/>
        <v>196.35000000000002</v>
      </c>
    </row>
    <row r="133" spans="1:18">
      <c r="D133" s="1"/>
      <c r="E133" s="1"/>
    </row>
    <row r="134" spans="1:18">
      <c r="D134" s="1"/>
      <c r="E134" s="1"/>
    </row>
    <row r="135" spans="1:18">
      <c r="B135" s="18">
        <f>COUNT(K122:K134)</f>
        <v>10</v>
      </c>
      <c r="C135" s="18"/>
      <c r="D135" s="16"/>
      <c r="E135" s="16"/>
      <c r="F135" s="18"/>
      <c r="G135" s="16"/>
      <c r="H135" s="16"/>
      <c r="I135" s="45"/>
      <c r="J135" s="122">
        <f>SUM(J122:J134)</f>
        <v>0</v>
      </c>
      <c r="K135" s="122">
        <f>SUM(K122:K134)</f>
        <v>9700</v>
      </c>
      <c r="L135" s="122">
        <f>SUM(L122:L134)</f>
        <v>11446.000000000002</v>
      </c>
      <c r="M135" s="16"/>
      <c r="N135" s="16">
        <f>SUM(N110:N134)</f>
        <v>0</v>
      </c>
      <c r="O135" s="69">
        <f>SUM(O110:O134)</f>
        <v>0</v>
      </c>
      <c r="P135" s="16">
        <f>SUM(P122:P134)</f>
        <v>242.49999999999997</v>
      </c>
      <c r="Q135" s="16">
        <f>SUM(Q122:Q134)</f>
        <v>2268.6999999999998</v>
      </c>
      <c r="R135" s="16">
        <f>Q135*0.9</f>
        <v>2041.83</v>
      </c>
    </row>
    <row r="137" spans="1:18">
      <c r="B137" s="9" t="s">
        <v>28</v>
      </c>
      <c r="C137" s="9" t="s">
        <v>236</v>
      </c>
      <c r="D137" s="1">
        <v>44805</v>
      </c>
      <c r="E137" s="1"/>
      <c r="F137" s="9">
        <v>8797943071</v>
      </c>
      <c r="G137" t="s">
        <v>237</v>
      </c>
      <c r="J137" s="5">
        <v>0</v>
      </c>
      <c r="K137" s="5">
        <v>714</v>
      </c>
      <c r="L137" s="5">
        <f t="shared" ref="L137:L152" si="26">(J137+K137)*1.18</f>
        <v>842.52</v>
      </c>
      <c r="O137" s="3" t="s">
        <v>235</v>
      </c>
      <c r="P137">
        <f t="shared" ref="P137:P152" si="27">IF(B137="TP",K137*2.5/100,J137*0.4)</f>
        <v>17.850000000000001</v>
      </c>
      <c r="Q137" s="5">
        <f t="shared" ref="Q137:Q152" si="28">IF(A137="Four",K137*0.175,K137*0.275)</f>
        <v>196.35000000000002</v>
      </c>
    </row>
    <row r="138" spans="1:18" ht="16.8">
      <c r="B138" s="50" t="s">
        <v>28</v>
      </c>
      <c r="C138" s="50" t="s">
        <v>238</v>
      </c>
      <c r="D138" s="52"/>
      <c r="E138" s="52"/>
      <c r="F138" s="53">
        <v>8873176711</v>
      </c>
      <c r="G138" s="52" t="s">
        <v>251</v>
      </c>
      <c r="J138" s="5">
        <v>0</v>
      </c>
      <c r="K138" s="5">
        <v>714</v>
      </c>
      <c r="L138" s="5">
        <f t="shared" si="26"/>
        <v>842.52</v>
      </c>
      <c r="O138" s="3" t="s">
        <v>239</v>
      </c>
      <c r="P138">
        <f t="shared" si="27"/>
        <v>17.850000000000001</v>
      </c>
      <c r="Q138" s="5">
        <f t="shared" si="28"/>
        <v>196.35000000000002</v>
      </c>
    </row>
    <row r="139" spans="1:18">
      <c r="B139" s="9" t="s">
        <v>28</v>
      </c>
      <c r="C139" s="9" t="s">
        <v>240</v>
      </c>
      <c r="D139" s="1">
        <v>44811</v>
      </c>
      <c r="F139" s="9">
        <v>7209465800</v>
      </c>
      <c r="G139" t="s">
        <v>252</v>
      </c>
      <c r="J139" s="5">
        <v>0</v>
      </c>
      <c r="K139" s="5">
        <v>714</v>
      </c>
      <c r="L139" s="5">
        <f t="shared" si="26"/>
        <v>842.52</v>
      </c>
      <c r="P139">
        <f t="shared" si="27"/>
        <v>17.850000000000001</v>
      </c>
      <c r="Q139" s="5">
        <f t="shared" si="28"/>
        <v>196.35000000000002</v>
      </c>
    </row>
    <row r="140" spans="1:18">
      <c r="B140" s="9" t="s">
        <v>28</v>
      </c>
      <c r="C140" s="9" t="s">
        <v>241</v>
      </c>
      <c r="D140" s="1">
        <v>44813</v>
      </c>
      <c r="F140" s="9">
        <v>9006838321</v>
      </c>
      <c r="G140" t="s">
        <v>253</v>
      </c>
      <c r="J140" s="5">
        <v>0</v>
      </c>
      <c r="K140" s="5">
        <v>714</v>
      </c>
      <c r="L140" s="5">
        <f t="shared" si="26"/>
        <v>842.52</v>
      </c>
      <c r="P140">
        <f t="shared" si="27"/>
        <v>17.850000000000001</v>
      </c>
      <c r="Q140" s="5">
        <f t="shared" si="28"/>
        <v>196.35000000000002</v>
      </c>
    </row>
    <row r="141" spans="1:18">
      <c r="B141" s="50" t="s">
        <v>28</v>
      </c>
      <c r="C141" s="50" t="s">
        <v>242</v>
      </c>
      <c r="D141" s="51">
        <v>44813</v>
      </c>
      <c r="E141" s="52"/>
      <c r="F141" s="50">
        <v>9661947920</v>
      </c>
      <c r="G141" s="52" t="s">
        <v>243</v>
      </c>
      <c r="J141" s="5">
        <v>0</v>
      </c>
      <c r="K141" s="5">
        <v>714</v>
      </c>
      <c r="L141" s="5">
        <f t="shared" si="26"/>
        <v>842.52</v>
      </c>
      <c r="O141" s="3" t="s">
        <v>244</v>
      </c>
      <c r="P141">
        <f t="shared" si="27"/>
        <v>17.850000000000001</v>
      </c>
      <c r="Q141" s="5">
        <f t="shared" si="28"/>
        <v>196.35000000000002</v>
      </c>
    </row>
    <row r="142" spans="1:18">
      <c r="B142" s="9" t="s">
        <v>28</v>
      </c>
      <c r="C142" s="9" t="s">
        <v>247</v>
      </c>
      <c r="D142" s="1">
        <v>44813</v>
      </c>
      <c r="F142" s="9">
        <v>9334644676</v>
      </c>
      <c r="G142" t="s">
        <v>246</v>
      </c>
      <c r="J142" s="5">
        <v>0</v>
      </c>
      <c r="K142" s="5">
        <v>714</v>
      </c>
      <c r="L142" s="5">
        <f t="shared" si="26"/>
        <v>842.52</v>
      </c>
      <c r="O142" s="3" t="s">
        <v>245</v>
      </c>
      <c r="P142">
        <f t="shared" si="27"/>
        <v>17.850000000000001</v>
      </c>
      <c r="Q142" s="5">
        <f t="shared" si="28"/>
        <v>196.35000000000002</v>
      </c>
    </row>
    <row r="143" spans="1:18">
      <c r="B143" s="9" t="s">
        <v>28</v>
      </c>
      <c r="C143" s="9" t="s">
        <v>248</v>
      </c>
      <c r="D143" s="1">
        <v>44820</v>
      </c>
      <c r="F143" s="9">
        <v>7488008843</v>
      </c>
      <c r="G143" t="s">
        <v>249</v>
      </c>
      <c r="J143" s="5">
        <v>0</v>
      </c>
      <c r="K143" s="5">
        <v>664</v>
      </c>
      <c r="L143" s="5">
        <f t="shared" si="26"/>
        <v>783.52</v>
      </c>
      <c r="O143" s="3" t="s">
        <v>250</v>
      </c>
      <c r="P143">
        <f t="shared" si="27"/>
        <v>16.600000000000001</v>
      </c>
      <c r="Q143" s="5">
        <f t="shared" si="28"/>
        <v>182.60000000000002</v>
      </c>
    </row>
    <row r="144" spans="1:18">
      <c r="A144" t="s">
        <v>27</v>
      </c>
      <c r="B144" s="50" t="s">
        <v>28</v>
      </c>
      <c r="C144" s="50" t="s">
        <v>248</v>
      </c>
      <c r="D144" s="51">
        <v>44823</v>
      </c>
      <c r="E144" s="52"/>
      <c r="F144" s="50">
        <v>9204522458</v>
      </c>
      <c r="G144" s="52" t="s">
        <v>725</v>
      </c>
      <c r="J144" s="5">
        <v>0</v>
      </c>
      <c r="K144" s="5">
        <v>1994</v>
      </c>
      <c r="L144" s="5">
        <f t="shared" si="26"/>
        <v>2352.92</v>
      </c>
      <c r="O144" s="3" t="s">
        <v>283</v>
      </c>
      <c r="P144">
        <f t="shared" si="27"/>
        <v>49.85</v>
      </c>
      <c r="Q144" s="5">
        <f t="shared" si="28"/>
        <v>348.95</v>
      </c>
    </row>
    <row r="145" spans="1:18">
      <c r="B145" s="50" t="s">
        <v>28</v>
      </c>
      <c r="C145" s="50" t="s">
        <v>284</v>
      </c>
      <c r="D145" s="51">
        <v>44823</v>
      </c>
      <c r="E145" s="52"/>
      <c r="F145" s="50">
        <v>7667862192</v>
      </c>
      <c r="G145" s="52" t="s">
        <v>285</v>
      </c>
      <c r="J145" s="5">
        <v>0</v>
      </c>
      <c r="K145" s="5">
        <v>714</v>
      </c>
      <c r="L145" s="5">
        <f t="shared" si="26"/>
        <v>842.52</v>
      </c>
      <c r="O145" s="3" t="s">
        <v>286</v>
      </c>
      <c r="P145">
        <f t="shared" si="27"/>
        <v>17.850000000000001</v>
      </c>
      <c r="Q145" s="5">
        <f t="shared" si="28"/>
        <v>196.35000000000002</v>
      </c>
    </row>
    <row r="146" spans="1:18">
      <c r="B146" s="9" t="s">
        <v>28</v>
      </c>
      <c r="C146" s="9" t="s">
        <v>287</v>
      </c>
      <c r="D146" s="1">
        <v>44823</v>
      </c>
      <c r="F146" s="9">
        <v>8789610022</v>
      </c>
      <c r="G146" t="s">
        <v>288</v>
      </c>
      <c r="J146" s="5">
        <v>0</v>
      </c>
      <c r="K146" s="5">
        <v>664</v>
      </c>
      <c r="L146" s="5">
        <f t="shared" si="26"/>
        <v>783.52</v>
      </c>
      <c r="O146" s="3" t="s">
        <v>289</v>
      </c>
      <c r="P146">
        <f t="shared" si="27"/>
        <v>16.600000000000001</v>
      </c>
      <c r="Q146" s="5">
        <f t="shared" si="28"/>
        <v>182.60000000000002</v>
      </c>
    </row>
    <row r="147" spans="1:18">
      <c r="B147" s="50" t="s">
        <v>28</v>
      </c>
      <c r="C147" s="50" t="s">
        <v>290</v>
      </c>
      <c r="D147" s="51">
        <v>44825</v>
      </c>
      <c r="E147" s="52"/>
      <c r="F147" s="50"/>
      <c r="G147" s="52" t="s">
        <v>294</v>
      </c>
      <c r="J147" s="5">
        <v>0</v>
      </c>
      <c r="K147" s="5">
        <v>664</v>
      </c>
      <c r="L147" s="5">
        <f t="shared" si="26"/>
        <v>783.52</v>
      </c>
      <c r="P147">
        <f t="shared" si="27"/>
        <v>16.600000000000001</v>
      </c>
      <c r="Q147" s="5">
        <f t="shared" si="28"/>
        <v>182.60000000000002</v>
      </c>
    </row>
    <row r="148" spans="1:18">
      <c r="A148" t="s">
        <v>27</v>
      </c>
      <c r="B148" s="50" t="s">
        <v>28</v>
      </c>
      <c r="C148" s="50" t="s">
        <v>291</v>
      </c>
      <c r="D148" s="51">
        <v>44825</v>
      </c>
      <c r="E148" s="52"/>
      <c r="F148" s="50">
        <v>9431183701</v>
      </c>
      <c r="G148" s="52" t="s">
        <v>292</v>
      </c>
      <c r="J148" s="5">
        <v>0</v>
      </c>
      <c r="K148" s="5">
        <v>7797</v>
      </c>
      <c r="L148" s="5">
        <f t="shared" si="26"/>
        <v>9200.4599999999991</v>
      </c>
      <c r="O148" s="3" t="s">
        <v>293</v>
      </c>
      <c r="P148">
        <f t="shared" si="27"/>
        <v>194.92500000000001</v>
      </c>
      <c r="Q148" s="5">
        <f t="shared" si="28"/>
        <v>1364.4749999999999</v>
      </c>
    </row>
    <row r="149" spans="1:18">
      <c r="B149" s="9" t="s">
        <v>28</v>
      </c>
      <c r="C149" s="9" t="s">
        <v>295</v>
      </c>
      <c r="D149" s="1">
        <v>44826</v>
      </c>
      <c r="F149" s="9">
        <v>9661117865</v>
      </c>
      <c r="G149" t="s">
        <v>297</v>
      </c>
      <c r="J149" s="5">
        <v>0</v>
      </c>
      <c r="K149" s="5">
        <v>664</v>
      </c>
      <c r="L149" s="5">
        <f t="shared" si="26"/>
        <v>783.52</v>
      </c>
      <c r="O149" s="3" t="s">
        <v>296</v>
      </c>
      <c r="P149">
        <f t="shared" si="27"/>
        <v>16.600000000000001</v>
      </c>
      <c r="Q149" s="5">
        <f t="shared" si="28"/>
        <v>182.60000000000002</v>
      </c>
    </row>
    <row r="150" spans="1:18">
      <c r="B150" s="9" t="s">
        <v>28</v>
      </c>
      <c r="C150" s="9" t="s">
        <v>299</v>
      </c>
      <c r="D150" s="1">
        <v>44827</v>
      </c>
      <c r="F150" s="9">
        <v>9279444042</v>
      </c>
      <c r="G150" t="s">
        <v>300</v>
      </c>
      <c r="J150" s="5">
        <v>0</v>
      </c>
      <c r="K150" s="5">
        <v>1316</v>
      </c>
      <c r="L150" s="5">
        <f t="shared" si="26"/>
        <v>1552.8799999999999</v>
      </c>
      <c r="O150" s="3" t="s">
        <v>298</v>
      </c>
      <c r="P150">
        <f t="shared" si="27"/>
        <v>32.9</v>
      </c>
      <c r="Q150" s="5">
        <f t="shared" si="28"/>
        <v>361.90000000000003</v>
      </c>
    </row>
    <row r="151" spans="1:18">
      <c r="B151" s="9" t="s">
        <v>28</v>
      </c>
      <c r="C151" s="9" t="s">
        <v>301</v>
      </c>
      <c r="D151" s="1">
        <v>44830</v>
      </c>
      <c r="F151" s="9">
        <v>8797594876</v>
      </c>
      <c r="G151" t="s">
        <v>302</v>
      </c>
      <c r="J151" s="5">
        <v>0</v>
      </c>
      <c r="K151" s="5">
        <v>714</v>
      </c>
      <c r="L151" s="5">
        <f t="shared" si="26"/>
        <v>842.52</v>
      </c>
      <c r="O151" s="3" t="s">
        <v>303</v>
      </c>
      <c r="P151">
        <f t="shared" si="27"/>
        <v>17.850000000000001</v>
      </c>
      <c r="Q151" s="5">
        <f t="shared" si="28"/>
        <v>196.35000000000002</v>
      </c>
    </row>
    <row r="152" spans="1:18">
      <c r="B152" s="9" t="s">
        <v>28</v>
      </c>
      <c r="C152" s="9" t="s">
        <v>304</v>
      </c>
      <c r="D152" s="1">
        <v>44831</v>
      </c>
      <c r="F152" s="9">
        <v>8298144804</v>
      </c>
      <c r="G152" t="s">
        <v>306</v>
      </c>
      <c r="J152" s="5">
        <v>0</v>
      </c>
      <c r="K152" s="5">
        <v>714</v>
      </c>
      <c r="L152" s="5">
        <f t="shared" si="26"/>
        <v>842.52</v>
      </c>
      <c r="O152" s="3" t="s">
        <v>305</v>
      </c>
      <c r="P152">
        <f t="shared" si="27"/>
        <v>17.850000000000001</v>
      </c>
      <c r="Q152" s="5">
        <f t="shared" si="28"/>
        <v>196.35000000000002</v>
      </c>
    </row>
    <row r="154" spans="1:18">
      <c r="B154" s="18">
        <f>COUNT(K137:K153)</f>
        <v>16</v>
      </c>
      <c r="C154" s="18"/>
      <c r="D154" s="16"/>
      <c r="E154" s="16"/>
      <c r="F154" s="18"/>
      <c r="G154" s="16"/>
      <c r="H154" s="16"/>
      <c r="I154" s="45"/>
      <c r="J154" s="122">
        <f>SUM(J137:J153)</f>
        <v>0</v>
      </c>
      <c r="K154" s="122">
        <f>SUM(K137:K153)</f>
        <v>20189</v>
      </c>
      <c r="L154" s="122">
        <f>SUM(L137:L153)</f>
        <v>23823.020000000004</v>
      </c>
      <c r="M154" s="16"/>
      <c r="N154" s="16">
        <f>SUM(N122:N153)</f>
        <v>0</v>
      </c>
      <c r="O154" s="69">
        <f>SUM(O122:O153)</f>
        <v>0</v>
      </c>
      <c r="P154" s="16">
        <f>SUM(P137:P153)</f>
        <v>504.72500000000002</v>
      </c>
      <c r="Q154" s="16">
        <f>SUM(Q137:Q153)</f>
        <v>4572.8750000000009</v>
      </c>
      <c r="R154" s="16">
        <f>Q154*0.9</f>
        <v>4115.5875000000005</v>
      </c>
    </row>
    <row r="156" spans="1:18">
      <c r="B156" s="9" t="s">
        <v>28</v>
      </c>
      <c r="C156" s="9" t="s">
        <v>309</v>
      </c>
      <c r="D156" s="1">
        <v>44844</v>
      </c>
      <c r="F156" s="9">
        <v>8294022550</v>
      </c>
      <c r="G156" t="s">
        <v>310</v>
      </c>
      <c r="J156" s="5">
        <v>0</v>
      </c>
      <c r="K156" s="5">
        <v>714</v>
      </c>
      <c r="L156" s="5">
        <f>(J156+K156)*1.18</f>
        <v>842.52</v>
      </c>
      <c r="O156" s="3" t="s">
        <v>311</v>
      </c>
      <c r="P156">
        <f>IF(B156="TP",K156*2.5/100,J156*0.4)</f>
        <v>17.850000000000001</v>
      </c>
      <c r="Q156" s="5">
        <f t="shared" ref="Q156:Q164" si="29">IF(A156="Four",K156*0.175,K156*0.275)</f>
        <v>196.35000000000002</v>
      </c>
    </row>
    <row r="157" spans="1:18">
      <c r="B157" s="9" t="s">
        <v>28</v>
      </c>
      <c r="C157" s="9" t="s">
        <v>307</v>
      </c>
      <c r="D157" s="1">
        <v>44848</v>
      </c>
      <c r="F157" s="9">
        <v>7209966439</v>
      </c>
      <c r="G157" t="s">
        <v>308</v>
      </c>
      <c r="J157" s="5">
        <v>0</v>
      </c>
      <c r="K157" s="5">
        <v>714</v>
      </c>
      <c r="L157" s="5">
        <f t="shared" ref="L157:L164" si="30">(J157+K157)*1.18</f>
        <v>842.52</v>
      </c>
      <c r="O157" s="3" t="s">
        <v>718</v>
      </c>
      <c r="P157">
        <f t="shared" ref="P157:P164" si="31">IF(B157="TP",K157*2.5/100,J157*0.4)</f>
        <v>17.850000000000001</v>
      </c>
      <c r="Q157" s="5">
        <f t="shared" si="29"/>
        <v>196.35000000000002</v>
      </c>
    </row>
    <row r="158" spans="1:18">
      <c r="A158" t="s">
        <v>27</v>
      </c>
      <c r="B158" s="9" t="s">
        <v>28</v>
      </c>
      <c r="C158" s="9" t="s">
        <v>317</v>
      </c>
      <c r="D158" s="1">
        <v>45219</v>
      </c>
      <c r="F158" s="9">
        <v>9234686751</v>
      </c>
      <c r="G158" t="s">
        <v>316</v>
      </c>
      <c r="J158" s="5">
        <v>0</v>
      </c>
      <c r="K158" s="5">
        <v>2094</v>
      </c>
      <c r="L158" s="5">
        <f t="shared" si="30"/>
        <v>2470.92</v>
      </c>
      <c r="O158" s="3" t="s">
        <v>719</v>
      </c>
      <c r="P158">
        <f t="shared" si="31"/>
        <v>52.35</v>
      </c>
      <c r="Q158" s="5">
        <f t="shared" si="29"/>
        <v>366.45</v>
      </c>
    </row>
    <row r="159" spans="1:18" ht="16.8">
      <c r="A159" t="s">
        <v>27</v>
      </c>
      <c r="B159" s="9" t="s">
        <v>28</v>
      </c>
      <c r="C159" s="9" t="s">
        <v>318</v>
      </c>
      <c r="D159" s="1">
        <v>44855</v>
      </c>
      <c r="F159" s="48">
        <v>9631015797</v>
      </c>
      <c r="G159" t="s">
        <v>319</v>
      </c>
      <c r="J159" s="5">
        <v>0</v>
      </c>
      <c r="K159" s="5">
        <v>2094</v>
      </c>
      <c r="L159" s="5">
        <f>(J159+K159)*1.18</f>
        <v>2470.92</v>
      </c>
      <c r="O159" s="3" t="s">
        <v>320</v>
      </c>
      <c r="P159">
        <f>IF(B159="TP",K159*2.5/100,J159*0.4)</f>
        <v>52.35</v>
      </c>
      <c r="Q159" s="5">
        <f>IF(A159="Four",K159*0.175,K159*0.275)</f>
        <v>366.45</v>
      </c>
    </row>
    <row r="160" spans="1:18">
      <c r="B160" s="9" t="s">
        <v>28</v>
      </c>
      <c r="C160" s="9" t="s">
        <v>312</v>
      </c>
      <c r="D160" s="1">
        <v>44859</v>
      </c>
      <c r="F160" s="9">
        <v>8969381504</v>
      </c>
      <c r="G160" t="s">
        <v>315</v>
      </c>
      <c r="J160" s="5">
        <v>0</v>
      </c>
      <c r="K160" s="5">
        <v>714</v>
      </c>
      <c r="L160" s="5">
        <f>(J160+K160)*1.18</f>
        <v>842.52</v>
      </c>
      <c r="O160" s="3" t="s">
        <v>720</v>
      </c>
      <c r="P160">
        <f>IF(B160="TP",K160*2.5/100,J160*0.4)</f>
        <v>17.850000000000001</v>
      </c>
      <c r="Q160" s="5" t="e">
        <f>IF(#REF!="Four",K160*0.175,K160*0.275)</f>
        <v>#REF!</v>
      </c>
    </row>
    <row r="161" spans="1:18">
      <c r="B161" s="9" t="s">
        <v>28</v>
      </c>
      <c r="C161" s="9" t="s">
        <v>323</v>
      </c>
      <c r="D161" s="1">
        <v>44859</v>
      </c>
      <c r="F161" s="9">
        <v>9931764268</v>
      </c>
      <c r="G161" t="s">
        <v>322</v>
      </c>
      <c r="J161" s="5">
        <v>0</v>
      </c>
      <c r="K161" s="5">
        <v>714</v>
      </c>
      <c r="L161" s="5">
        <f t="shared" si="30"/>
        <v>842.52</v>
      </c>
      <c r="O161" s="3" t="s">
        <v>321</v>
      </c>
      <c r="P161">
        <f t="shared" si="31"/>
        <v>17.850000000000001</v>
      </c>
      <c r="Q161" s="5">
        <f t="shared" si="29"/>
        <v>196.35000000000002</v>
      </c>
    </row>
    <row r="162" spans="1:18" ht="16.8">
      <c r="B162" s="9" t="s">
        <v>28</v>
      </c>
      <c r="C162" s="9" t="s">
        <v>324</v>
      </c>
      <c r="D162" s="1">
        <v>44861</v>
      </c>
      <c r="F162" s="48">
        <v>9955372833</v>
      </c>
      <c r="G162" t="s">
        <v>326</v>
      </c>
      <c r="J162" s="5">
        <v>0</v>
      </c>
      <c r="K162" s="5">
        <v>714</v>
      </c>
      <c r="L162" s="5">
        <f t="shared" si="30"/>
        <v>842.52</v>
      </c>
      <c r="O162" s="3" t="s">
        <v>325</v>
      </c>
      <c r="P162">
        <f t="shared" si="31"/>
        <v>17.850000000000001</v>
      </c>
      <c r="Q162" s="5">
        <f t="shared" si="29"/>
        <v>196.35000000000002</v>
      </c>
    </row>
    <row r="163" spans="1:18">
      <c r="B163" s="50" t="s">
        <v>28</v>
      </c>
      <c r="C163" s="50" t="s">
        <v>313</v>
      </c>
      <c r="D163" s="51">
        <v>44865</v>
      </c>
      <c r="E163" s="52"/>
      <c r="F163" s="50"/>
      <c r="G163" s="52" t="s">
        <v>314</v>
      </c>
      <c r="J163" s="5">
        <v>0</v>
      </c>
      <c r="K163" s="5">
        <v>714</v>
      </c>
      <c r="L163" s="5">
        <f>(J163+K163)*1.18</f>
        <v>842.52</v>
      </c>
      <c r="O163" s="3" t="s">
        <v>721</v>
      </c>
      <c r="P163">
        <f>IF(B163="TP",K163*2.5/100,J163*0.4)</f>
        <v>17.850000000000001</v>
      </c>
      <c r="Q163" s="5">
        <f>IF(A160="Four",K163*0.175,K163*0.275)</f>
        <v>196.35000000000002</v>
      </c>
    </row>
    <row r="164" spans="1:18" ht="16.8">
      <c r="D164" s="1"/>
      <c r="F164" s="48"/>
      <c r="L164" s="5">
        <f t="shared" si="30"/>
        <v>0</v>
      </c>
      <c r="P164">
        <f t="shared" si="31"/>
        <v>0</v>
      </c>
      <c r="Q164" s="5">
        <f t="shared" si="29"/>
        <v>0</v>
      </c>
    </row>
    <row r="165" spans="1:18">
      <c r="B165" s="18">
        <f>COUNT(K157:K164)</f>
        <v>7</v>
      </c>
      <c r="C165" s="18"/>
      <c r="D165" s="16"/>
      <c r="E165" s="16"/>
      <c r="F165" s="18"/>
      <c r="G165" s="16"/>
      <c r="H165" s="16"/>
      <c r="I165" s="45"/>
      <c r="J165" s="122">
        <f>SUM(J146:J164)</f>
        <v>0</v>
      </c>
      <c r="K165" s="122">
        <f>SUM(K157:K164)</f>
        <v>7758</v>
      </c>
      <c r="L165" s="122">
        <f>SUM(L157:L164)</f>
        <v>9154.4400000000023</v>
      </c>
      <c r="M165" s="16"/>
      <c r="N165" s="16">
        <f>SUM(N131:N164)</f>
        <v>0</v>
      </c>
      <c r="O165" s="69">
        <f>SUM(O131:O164)</f>
        <v>0</v>
      </c>
      <c r="P165" s="16">
        <f>SUM(P157:P164)</f>
        <v>193.95</v>
      </c>
      <c r="Q165" s="16" t="e">
        <f>SUM(Q157:Q164)</f>
        <v>#REF!</v>
      </c>
      <c r="R165" s="16" t="e">
        <f>Q165*0.9</f>
        <v>#REF!</v>
      </c>
    </row>
    <row r="167" spans="1:18" ht="16.8">
      <c r="B167" s="9" t="s">
        <v>28</v>
      </c>
      <c r="C167" s="9" t="s">
        <v>327</v>
      </c>
      <c r="D167" s="1">
        <v>44867</v>
      </c>
      <c r="F167" s="48">
        <v>9199171664</v>
      </c>
      <c r="G167" t="s">
        <v>328</v>
      </c>
      <c r="J167" s="5">
        <v>0</v>
      </c>
      <c r="K167" s="5">
        <v>714</v>
      </c>
      <c r="L167" s="5">
        <f t="shared" ref="L167:L178" si="32">(J167+K167)*1.18</f>
        <v>842.52</v>
      </c>
      <c r="O167" s="3" t="s">
        <v>329</v>
      </c>
      <c r="P167">
        <f t="shared" ref="P167:P178" si="33">IF(B167="TP",K167*2.5/100,J167*0.4)</f>
        <v>17.850000000000001</v>
      </c>
      <c r="Q167" s="5">
        <f t="shared" ref="Q167:Q173" si="34">IF(A167="Four",K167*0.175,K167*0.275)</f>
        <v>196.35000000000002</v>
      </c>
    </row>
    <row r="168" spans="1:18" ht="16.8">
      <c r="B168" s="9" t="s">
        <v>28</v>
      </c>
      <c r="C168" s="9" t="s">
        <v>330</v>
      </c>
      <c r="D168" s="1">
        <v>44868</v>
      </c>
      <c r="F168" s="48">
        <v>9835760251</v>
      </c>
      <c r="G168" t="s">
        <v>331</v>
      </c>
      <c r="J168" s="5">
        <v>0</v>
      </c>
      <c r="K168" s="5">
        <v>664</v>
      </c>
      <c r="L168" s="5">
        <f t="shared" si="32"/>
        <v>783.52</v>
      </c>
      <c r="O168" s="3" t="s">
        <v>332</v>
      </c>
      <c r="P168">
        <f t="shared" si="33"/>
        <v>16.600000000000001</v>
      </c>
      <c r="Q168" s="5">
        <f t="shared" si="34"/>
        <v>182.60000000000002</v>
      </c>
    </row>
    <row r="169" spans="1:18" ht="16.8">
      <c r="B169" s="9" t="s">
        <v>28</v>
      </c>
      <c r="C169" s="9" t="s">
        <v>341</v>
      </c>
      <c r="D169" s="1">
        <v>44871</v>
      </c>
      <c r="F169" s="48">
        <v>9931145822</v>
      </c>
      <c r="G169" t="s">
        <v>343</v>
      </c>
      <c r="J169" s="5">
        <v>0</v>
      </c>
      <c r="K169" s="5">
        <v>714</v>
      </c>
      <c r="L169" s="5">
        <f t="shared" si="32"/>
        <v>842.52</v>
      </c>
      <c r="O169" s="3" t="s">
        <v>342</v>
      </c>
      <c r="P169">
        <f t="shared" si="33"/>
        <v>17.850000000000001</v>
      </c>
      <c r="Q169" s="5">
        <f t="shared" si="34"/>
        <v>196.35000000000002</v>
      </c>
    </row>
    <row r="170" spans="1:18" ht="16.8">
      <c r="B170" s="9" t="s">
        <v>28</v>
      </c>
      <c r="C170" s="9" t="s">
        <v>344</v>
      </c>
      <c r="D170" s="1">
        <v>44875</v>
      </c>
      <c r="F170" s="48">
        <v>9835561750</v>
      </c>
      <c r="G170" t="s">
        <v>346</v>
      </c>
      <c r="J170" s="5">
        <v>0</v>
      </c>
      <c r="K170" s="5">
        <v>714</v>
      </c>
      <c r="L170" s="5">
        <f t="shared" si="32"/>
        <v>842.52</v>
      </c>
      <c r="O170" s="3" t="s">
        <v>345</v>
      </c>
      <c r="P170">
        <f t="shared" si="33"/>
        <v>17.850000000000001</v>
      </c>
      <c r="Q170" s="5">
        <f t="shared" si="34"/>
        <v>196.35000000000002</v>
      </c>
    </row>
    <row r="171" spans="1:18" ht="16.8">
      <c r="B171" s="9" t="s">
        <v>28</v>
      </c>
      <c r="C171" s="9" t="s">
        <v>349</v>
      </c>
      <c r="D171" s="1">
        <v>44879</v>
      </c>
      <c r="F171" s="48">
        <v>9661125755</v>
      </c>
      <c r="G171" t="s">
        <v>347</v>
      </c>
      <c r="J171" s="5">
        <v>0</v>
      </c>
      <c r="K171" s="5">
        <v>714</v>
      </c>
      <c r="L171" s="5">
        <f t="shared" si="32"/>
        <v>842.52</v>
      </c>
      <c r="O171" s="3" t="s">
        <v>348</v>
      </c>
      <c r="P171">
        <f t="shared" si="33"/>
        <v>17.850000000000001</v>
      </c>
      <c r="Q171" s="5">
        <f t="shared" si="34"/>
        <v>196.35000000000002</v>
      </c>
    </row>
    <row r="172" spans="1:18" ht="16.8">
      <c r="B172" s="9" t="s">
        <v>28</v>
      </c>
      <c r="C172" s="9" t="s">
        <v>351</v>
      </c>
      <c r="D172" s="1">
        <v>44884</v>
      </c>
      <c r="F172" s="48">
        <v>9162165941</v>
      </c>
      <c r="G172" t="s">
        <v>105</v>
      </c>
      <c r="J172" s="5">
        <v>0</v>
      </c>
      <c r="K172" s="5">
        <v>714</v>
      </c>
      <c r="L172" s="5">
        <f t="shared" si="32"/>
        <v>842.52</v>
      </c>
      <c r="O172" s="3" t="s">
        <v>350</v>
      </c>
      <c r="P172">
        <f t="shared" si="33"/>
        <v>17.850000000000001</v>
      </c>
      <c r="Q172" s="5">
        <f t="shared" si="34"/>
        <v>196.35000000000002</v>
      </c>
    </row>
    <row r="173" spans="1:18" ht="16.8">
      <c r="B173" s="9" t="s">
        <v>28</v>
      </c>
      <c r="C173" s="9" t="s">
        <v>353</v>
      </c>
      <c r="D173" s="1">
        <v>44884</v>
      </c>
      <c r="F173" s="48"/>
      <c r="G173" t="s">
        <v>352</v>
      </c>
      <c r="J173" s="5">
        <v>0</v>
      </c>
      <c r="K173" s="5">
        <v>714</v>
      </c>
      <c r="L173" s="5">
        <f t="shared" si="32"/>
        <v>842.52</v>
      </c>
      <c r="O173" s="3" t="s">
        <v>351</v>
      </c>
      <c r="P173">
        <f t="shared" si="33"/>
        <v>17.850000000000001</v>
      </c>
      <c r="Q173" s="5">
        <f t="shared" si="34"/>
        <v>196.35000000000002</v>
      </c>
    </row>
    <row r="174" spans="1:18" ht="16.8">
      <c r="A174" t="s">
        <v>355</v>
      </c>
      <c r="C174" s="9" t="s">
        <v>360</v>
      </c>
      <c r="D174" s="1">
        <v>44884</v>
      </c>
      <c r="F174" s="48">
        <v>9955844105</v>
      </c>
      <c r="G174" t="s">
        <v>354</v>
      </c>
      <c r="J174" s="5">
        <v>301.83999999999997</v>
      </c>
      <c r="K174" s="5">
        <f>664+375</f>
        <v>1039</v>
      </c>
      <c r="L174" s="5">
        <f t="shared" si="32"/>
        <v>1582.1911999999998</v>
      </c>
      <c r="P174">
        <f t="shared" si="33"/>
        <v>120.73599999999999</v>
      </c>
      <c r="Q174" s="5">
        <v>0</v>
      </c>
    </row>
    <row r="175" spans="1:18" ht="16.8">
      <c r="B175" s="9" t="s">
        <v>28</v>
      </c>
      <c r="C175" s="9" t="s">
        <v>361</v>
      </c>
      <c r="D175" s="1">
        <v>44888</v>
      </c>
      <c r="F175" s="48">
        <v>9693859539</v>
      </c>
      <c r="G175" t="s">
        <v>363</v>
      </c>
      <c r="J175" s="5">
        <v>0</v>
      </c>
      <c r="K175" s="5">
        <v>714</v>
      </c>
      <c r="L175" s="5">
        <f t="shared" si="32"/>
        <v>842.52</v>
      </c>
      <c r="O175" s="3" t="s">
        <v>362</v>
      </c>
      <c r="P175">
        <f t="shared" si="33"/>
        <v>17.850000000000001</v>
      </c>
      <c r="Q175" s="5">
        <f>IF(A175="Four",K175*0.175,K175*0.275)</f>
        <v>196.35000000000002</v>
      </c>
    </row>
    <row r="176" spans="1:18" ht="16.8">
      <c r="B176" s="9" t="s">
        <v>28</v>
      </c>
      <c r="C176" s="9" t="s">
        <v>364</v>
      </c>
      <c r="D176" s="1">
        <v>44888</v>
      </c>
      <c r="F176" s="48">
        <v>9472792813</v>
      </c>
      <c r="G176" t="s">
        <v>365</v>
      </c>
      <c r="J176" s="5">
        <v>0</v>
      </c>
      <c r="K176" s="5">
        <f>714*3</f>
        <v>2142</v>
      </c>
      <c r="L176" s="5">
        <f t="shared" si="32"/>
        <v>2527.56</v>
      </c>
      <c r="O176" s="3" t="s">
        <v>366</v>
      </c>
      <c r="P176">
        <f t="shared" si="33"/>
        <v>53.55</v>
      </c>
      <c r="Q176" s="5">
        <f>IF(A176="Four",K176*0.175,K176*0.275)</f>
        <v>589.05000000000007</v>
      </c>
    </row>
    <row r="177" spans="1:20" ht="16.8">
      <c r="B177" s="9" t="s">
        <v>28</v>
      </c>
      <c r="C177" s="9" t="s">
        <v>367</v>
      </c>
      <c r="D177" s="1">
        <v>44889</v>
      </c>
      <c r="F177" s="48">
        <v>9431762439</v>
      </c>
      <c r="G177" t="s">
        <v>369</v>
      </c>
      <c r="J177" s="5">
        <v>0</v>
      </c>
      <c r="K177" s="5">
        <v>714</v>
      </c>
      <c r="L177" s="5">
        <f t="shared" si="32"/>
        <v>842.52</v>
      </c>
      <c r="O177" s="3" t="s">
        <v>368</v>
      </c>
      <c r="P177">
        <f t="shared" si="33"/>
        <v>17.850000000000001</v>
      </c>
      <c r="Q177" s="5">
        <f>IF(A177="Four",K177*0.175,K177*0.275)</f>
        <v>196.35000000000002</v>
      </c>
    </row>
    <row r="178" spans="1:20" ht="16.8">
      <c r="A178" t="s">
        <v>376</v>
      </c>
      <c r="B178" s="9" t="s">
        <v>175</v>
      </c>
      <c r="C178" s="9" t="s">
        <v>370</v>
      </c>
      <c r="D178" s="1">
        <v>44893</v>
      </c>
      <c r="F178" s="48">
        <v>6200859847</v>
      </c>
      <c r="G178" t="s">
        <v>371</v>
      </c>
      <c r="J178" s="5">
        <v>330</v>
      </c>
      <c r="K178" s="5">
        <f>2094+330</f>
        <v>2424</v>
      </c>
      <c r="L178" s="5">
        <f t="shared" si="32"/>
        <v>3249.72</v>
      </c>
      <c r="O178" s="3" t="s">
        <v>372</v>
      </c>
      <c r="P178">
        <f t="shared" si="33"/>
        <v>132</v>
      </c>
      <c r="Q178" s="5">
        <v>0</v>
      </c>
    </row>
    <row r="179" spans="1:20" ht="16.8">
      <c r="D179" s="1"/>
      <c r="F179" s="48"/>
    </row>
    <row r="181" spans="1:20">
      <c r="B181" s="18">
        <f>COUNT(K167:K180)</f>
        <v>12</v>
      </c>
      <c r="C181" s="18"/>
      <c r="D181" s="16"/>
      <c r="E181" s="16"/>
      <c r="F181" s="18"/>
      <c r="G181" s="16"/>
      <c r="H181" s="16"/>
      <c r="I181" s="45"/>
      <c r="J181" s="122">
        <f>SUM(J151:J180)</f>
        <v>631.83999999999992</v>
      </c>
      <c r="K181" s="122">
        <f>SUM(K167:K180)</f>
        <v>11981</v>
      </c>
      <c r="L181" s="122">
        <f>SUM(L167:L180)</f>
        <v>14883.1512</v>
      </c>
      <c r="M181" s="16"/>
      <c r="N181" s="16">
        <f>SUM(N136:N180)</f>
        <v>0</v>
      </c>
      <c r="O181" s="69">
        <f>SUM(O136:O180)</f>
        <v>0</v>
      </c>
      <c r="P181" s="16">
        <f>SUM(P167:P180)</f>
        <v>465.68600000000004</v>
      </c>
      <c r="Q181" s="16">
        <f>SUM(Q167:Q180)</f>
        <v>2342.4500000000003</v>
      </c>
      <c r="R181" s="16">
        <f>Q181*0.9</f>
        <v>2108.2050000000004</v>
      </c>
    </row>
    <row r="182" spans="1:20">
      <c r="A182" s="57" t="s">
        <v>805</v>
      </c>
    </row>
    <row r="183" spans="1:20" ht="16.8">
      <c r="B183" s="9" t="s">
        <v>28</v>
      </c>
      <c r="C183" s="9" t="s">
        <v>375</v>
      </c>
      <c r="D183" s="1">
        <v>44897</v>
      </c>
      <c r="F183" s="48">
        <v>6201915584</v>
      </c>
      <c r="G183" t="s">
        <v>374</v>
      </c>
      <c r="J183" s="5">
        <v>0</v>
      </c>
      <c r="K183" s="5">
        <v>714</v>
      </c>
      <c r="L183" s="5">
        <f t="shared" ref="L183:L194" si="35">(J183+K183)*1.18</f>
        <v>842.52</v>
      </c>
      <c r="O183" s="3" t="s">
        <v>373</v>
      </c>
      <c r="P183">
        <f t="shared" ref="P183:P192" si="36">IF(B183="TP",K183*2.5/100,J183*0.4)</f>
        <v>17.850000000000001</v>
      </c>
      <c r="Q183" s="5">
        <f>IF(A182="Four",K183*0.175,K183*0.275)</f>
        <v>196.35000000000002</v>
      </c>
    </row>
    <row r="184" spans="1:20" ht="16.8">
      <c r="B184" s="9" t="s">
        <v>28</v>
      </c>
      <c r="C184" s="9" t="s">
        <v>378</v>
      </c>
      <c r="D184" s="1">
        <v>44902</v>
      </c>
      <c r="F184" s="48">
        <v>7762822844</v>
      </c>
      <c r="G184" t="s">
        <v>379</v>
      </c>
      <c r="J184" s="5">
        <v>0</v>
      </c>
      <c r="K184" s="5">
        <v>714</v>
      </c>
      <c r="L184" s="5">
        <f t="shared" si="35"/>
        <v>842.52</v>
      </c>
      <c r="P184">
        <f t="shared" si="36"/>
        <v>17.850000000000001</v>
      </c>
      <c r="Q184" s="5">
        <f t="shared" ref="Q184:Q189" si="37">IF(A184="Four",K184*0.175,K184*0.275)</f>
        <v>196.35000000000002</v>
      </c>
    </row>
    <row r="185" spans="1:20">
      <c r="B185" s="9" t="s">
        <v>28</v>
      </c>
      <c r="C185" s="9" t="s">
        <v>380</v>
      </c>
      <c r="D185" s="1">
        <v>44903</v>
      </c>
      <c r="F185" s="9">
        <v>9308457927</v>
      </c>
      <c r="G185" t="s">
        <v>381</v>
      </c>
      <c r="J185" s="5">
        <v>0</v>
      </c>
      <c r="K185" s="5">
        <v>714</v>
      </c>
      <c r="L185" s="5">
        <f t="shared" si="35"/>
        <v>842.52</v>
      </c>
      <c r="O185" s="3" t="s">
        <v>382</v>
      </c>
      <c r="P185">
        <f t="shared" si="36"/>
        <v>17.850000000000001</v>
      </c>
      <c r="Q185" s="5">
        <f t="shared" si="37"/>
        <v>196.35000000000002</v>
      </c>
    </row>
    <row r="186" spans="1:20" ht="16.8">
      <c r="B186" s="9" t="s">
        <v>28</v>
      </c>
      <c r="C186" s="9" t="s">
        <v>384</v>
      </c>
      <c r="D186" s="1">
        <v>44903</v>
      </c>
      <c r="F186" s="48">
        <v>9304689433</v>
      </c>
      <c r="G186" t="s">
        <v>383</v>
      </c>
      <c r="J186" s="5">
        <v>0</v>
      </c>
      <c r="K186" s="5">
        <v>714</v>
      </c>
      <c r="L186" s="5">
        <f t="shared" si="35"/>
        <v>842.52</v>
      </c>
      <c r="O186" s="3" t="s">
        <v>385</v>
      </c>
      <c r="P186">
        <f t="shared" si="36"/>
        <v>17.850000000000001</v>
      </c>
      <c r="Q186" s="5">
        <f t="shared" si="37"/>
        <v>196.35000000000002</v>
      </c>
    </row>
    <row r="187" spans="1:20" ht="16.8">
      <c r="B187" s="9" t="s">
        <v>28</v>
      </c>
      <c r="C187" s="9" t="s">
        <v>386</v>
      </c>
      <c r="D187" s="1">
        <v>44905</v>
      </c>
      <c r="F187" s="48">
        <v>7033533918</v>
      </c>
      <c r="G187" t="s">
        <v>395</v>
      </c>
      <c r="J187" s="5">
        <v>0</v>
      </c>
      <c r="K187" s="5">
        <v>714</v>
      </c>
      <c r="L187" s="5">
        <f t="shared" si="35"/>
        <v>842.52</v>
      </c>
      <c r="P187">
        <f t="shared" si="36"/>
        <v>17.850000000000001</v>
      </c>
      <c r="Q187" s="5">
        <f t="shared" si="37"/>
        <v>196.35000000000002</v>
      </c>
    </row>
    <row r="188" spans="1:20" ht="16.8">
      <c r="B188" s="9" t="s">
        <v>28</v>
      </c>
      <c r="D188" s="1">
        <v>44905</v>
      </c>
      <c r="F188" s="48">
        <v>8603251790</v>
      </c>
      <c r="G188" t="s">
        <v>396</v>
      </c>
      <c r="J188" s="5">
        <v>0</v>
      </c>
      <c r="K188" s="5">
        <v>714</v>
      </c>
      <c r="L188" s="5">
        <f t="shared" si="35"/>
        <v>842.52</v>
      </c>
      <c r="P188">
        <f t="shared" si="36"/>
        <v>17.850000000000001</v>
      </c>
      <c r="Q188" s="5">
        <f t="shared" si="37"/>
        <v>196.35000000000002</v>
      </c>
    </row>
    <row r="189" spans="1:20" ht="16.8">
      <c r="A189" t="s">
        <v>27</v>
      </c>
      <c r="B189" s="9" t="s">
        <v>28</v>
      </c>
      <c r="C189" s="9" t="s">
        <v>400</v>
      </c>
      <c r="D189" s="1"/>
      <c r="F189" s="48">
        <v>8235001988</v>
      </c>
      <c r="G189" t="s">
        <v>397</v>
      </c>
      <c r="J189" s="5">
        <v>0</v>
      </c>
      <c r="K189" s="5">
        <v>3415.2542372881358</v>
      </c>
      <c r="L189" s="5">
        <f t="shared" si="35"/>
        <v>4030</v>
      </c>
      <c r="O189" s="3" t="s">
        <v>399</v>
      </c>
      <c r="P189">
        <f t="shared" si="36"/>
        <v>85.381355932203391</v>
      </c>
      <c r="Q189" s="5">
        <f t="shared" si="37"/>
        <v>597.66949152542372</v>
      </c>
    </row>
    <row r="190" spans="1:20" ht="16.8">
      <c r="B190" s="9" t="s">
        <v>28</v>
      </c>
      <c r="C190" s="9" t="s">
        <v>389</v>
      </c>
      <c r="D190" s="1">
        <v>44914</v>
      </c>
      <c r="F190" s="48">
        <v>9835779636</v>
      </c>
      <c r="G190" t="s">
        <v>387</v>
      </c>
      <c r="J190" s="5">
        <v>0</v>
      </c>
      <c r="K190" s="5">
        <v>664</v>
      </c>
      <c r="L190" s="5">
        <f t="shared" si="35"/>
        <v>783.52</v>
      </c>
      <c r="O190" s="3" t="s">
        <v>388</v>
      </c>
      <c r="P190">
        <f t="shared" si="36"/>
        <v>16.600000000000001</v>
      </c>
      <c r="Q190" s="5">
        <f>IF(A189="Four",K190*0.175,K190*0.275)</f>
        <v>116.19999999999999</v>
      </c>
    </row>
    <row r="191" spans="1:20" ht="16.8">
      <c r="B191" s="9" t="s">
        <v>28</v>
      </c>
      <c r="D191" s="1">
        <v>44914</v>
      </c>
      <c r="F191" s="48">
        <v>9279250587</v>
      </c>
      <c r="G191" t="s">
        <v>394</v>
      </c>
      <c r="J191" s="5">
        <v>0</v>
      </c>
      <c r="K191" s="5">
        <v>664</v>
      </c>
      <c r="L191" s="5">
        <f t="shared" si="35"/>
        <v>783.52</v>
      </c>
      <c r="P191">
        <f t="shared" si="36"/>
        <v>16.600000000000001</v>
      </c>
      <c r="Q191" s="5">
        <f>IF(A191="Four",K191*0.175,K191*0.275)</f>
        <v>182.60000000000002</v>
      </c>
      <c r="S191">
        <v>11311</v>
      </c>
    </row>
    <row r="192" spans="1:20" ht="16.8">
      <c r="A192" t="s">
        <v>27</v>
      </c>
      <c r="B192" s="9" t="s">
        <v>28</v>
      </c>
      <c r="C192" s="9" t="s">
        <v>391</v>
      </c>
      <c r="D192" s="1">
        <v>44915</v>
      </c>
      <c r="F192" s="48">
        <v>9031396461</v>
      </c>
      <c r="G192" t="s">
        <v>390</v>
      </c>
      <c r="K192" s="5">
        <v>2324</v>
      </c>
      <c r="L192" s="5">
        <f t="shared" si="35"/>
        <v>2742.3199999999997</v>
      </c>
      <c r="P192">
        <f t="shared" si="36"/>
        <v>58.1</v>
      </c>
      <c r="Q192" s="5">
        <f>IF(A192="Four",K192*0.175,K192*0.275)</f>
        <v>406.7</v>
      </c>
      <c r="S192">
        <f>11311*0.24</f>
        <v>2714.64</v>
      </c>
      <c r="T192">
        <f>S192*0.9</f>
        <v>2443.1759999999999</v>
      </c>
    </row>
    <row r="193" spans="1:20" ht="16.8">
      <c r="B193" s="9" t="s">
        <v>28</v>
      </c>
      <c r="D193" s="1">
        <v>44915</v>
      </c>
      <c r="F193" s="48"/>
      <c r="G193" t="s">
        <v>398</v>
      </c>
      <c r="J193" s="5">
        <v>0</v>
      </c>
      <c r="K193" s="5">
        <v>664</v>
      </c>
      <c r="L193" s="5">
        <f t="shared" si="35"/>
        <v>783.52</v>
      </c>
      <c r="S193">
        <f>S191*0.15</f>
        <v>1696.6499999999999</v>
      </c>
      <c r="T193">
        <f>S191*0.09</f>
        <v>1017.99</v>
      </c>
    </row>
    <row r="194" spans="1:20" ht="16.8">
      <c r="B194" s="9" t="s">
        <v>28</v>
      </c>
      <c r="C194" s="9" t="s">
        <v>392</v>
      </c>
      <c r="D194" s="1">
        <v>44915</v>
      </c>
      <c r="F194" s="48">
        <v>9149810599</v>
      </c>
      <c r="G194" t="s">
        <v>393</v>
      </c>
      <c r="J194" s="5">
        <v>0</v>
      </c>
      <c r="K194" s="5">
        <v>664</v>
      </c>
      <c r="L194" s="5">
        <f t="shared" si="35"/>
        <v>783.52</v>
      </c>
      <c r="P194">
        <f>IF(B194="TP",K194*2.5/100,J194*0.4)</f>
        <v>16.600000000000001</v>
      </c>
      <c r="Q194" s="5">
        <f>IF(A194="Four",K194*0.175,K194*0.275)</f>
        <v>182.60000000000002</v>
      </c>
    </row>
    <row r="195" spans="1:20">
      <c r="T195">
        <f>R196+T193</f>
        <v>3415.4725423728814</v>
      </c>
    </row>
    <row r="196" spans="1:20">
      <c r="B196" s="18">
        <f>COUNT(K183:K195)</f>
        <v>12</v>
      </c>
      <c r="C196" s="18"/>
      <c r="D196" s="16"/>
      <c r="E196" s="16"/>
      <c r="F196" s="18"/>
      <c r="G196" s="16"/>
      <c r="H196" s="16"/>
      <c r="I196" s="45"/>
      <c r="J196" s="122">
        <f>SUM(J183:J195)</f>
        <v>0</v>
      </c>
      <c r="K196" s="122">
        <f>SUM(K183:K195)</f>
        <v>12679.254237288136</v>
      </c>
      <c r="L196" s="122">
        <f>SUM(L183:L195)</f>
        <v>14961.520000000002</v>
      </c>
      <c r="M196" s="16"/>
      <c r="N196" s="16"/>
      <c r="O196" s="69"/>
      <c r="P196" s="16">
        <f>SUM(P183:P195)</f>
        <v>300.38135593220341</v>
      </c>
      <c r="Q196" s="16">
        <f>SUM(Q183:Q195)</f>
        <v>2663.8694915254237</v>
      </c>
      <c r="R196" s="16">
        <f>Q196*0.9</f>
        <v>2397.4825423728812</v>
      </c>
    </row>
    <row r="197" spans="1:20">
      <c r="Q197"/>
    </row>
    <row r="198" spans="1:20" ht="16.8">
      <c r="B198" s="9" t="s">
        <v>28</v>
      </c>
      <c r="C198" s="9" t="s">
        <v>391</v>
      </c>
      <c r="D198" s="1">
        <v>44933</v>
      </c>
      <c r="F198" s="48">
        <v>9110941355</v>
      </c>
      <c r="G198" t="s">
        <v>25</v>
      </c>
      <c r="J198" s="5">
        <v>0</v>
      </c>
      <c r="K198" s="5">
        <v>664</v>
      </c>
      <c r="L198" s="5">
        <f t="shared" ref="L198:L212" si="38">(J198+K198)*1.18</f>
        <v>783.52</v>
      </c>
      <c r="P198">
        <f>IF(B198="TP",K198*2.5/100,J198*0.4)</f>
        <v>16.600000000000001</v>
      </c>
      <c r="Q198" s="5">
        <f>IF(A198="Four",K198*0.175,K198*0.275)</f>
        <v>182.60000000000002</v>
      </c>
    </row>
    <row r="199" spans="1:20" ht="16.8">
      <c r="B199" s="9" t="s">
        <v>28</v>
      </c>
      <c r="C199" s="9" t="s">
        <v>402</v>
      </c>
      <c r="D199" s="1">
        <v>44936</v>
      </c>
      <c r="F199" s="48">
        <v>9234704511</v>
      </c>
      <c r="G199" t="s">
        <v>508</v>
      </c>
      <c r="J199" s="5">
        <v>0</v>
      </c>
      <c r="K199" s="5">
        <v>3316</v>
      </c>
      <c r="L199" s="5">
        <f t="shared" si="38"/>
        <v>3912.8799999999997</v>
      </c>
      <c r="O199" s="3" t="s">
        <v>401</v>
      </c>
      <c r="P199">
        <f>IF(B199="TP",K199*2.5/100,J199*0.4)</f>
        <v>82.9</v>
      </c>
      <c r="Q199" s="5">
        <f>IF(A199="Four",K199*0.175,K199*0.275)</f>
        <v>911.90000000000009</v>
      </c>
    </row>
    <row r="200" spans="1:20" ht="16.8">
      <c r="B200" s="9" t="s">
        <v>28</v>
      </c>
      <c r="C200" s="9" t="s">
        <v>403</v>
      </c>
      <c r="D200" s="1">
        <v>44937</v>
      </c>
      <c r="F200" s="48">
        <v>7903129619</v>
      </c>
      <c r="G200" t="s">
        <v>509</v>
      </c>
      <c r="J200" s="5">
        <v>0</v>
      </c>
      <c r="K200" s="5">
        <v>714</v>
      </c>
      <c r="L200" s="5">
        <f t="shared" si="38"/>
        <v>842.52</v>
      </c>
      <c r="O200" s="3" t="s">
        <v>404</v>
      </c>
      <c r="P200">
        <f>IF(B200="TP",K200*2.5/100,J200*0.4)</f>
        <v>17.850000000000001</v>
      </c>
      <c r="Q200" s="5">
        <f>IF(A200="Four",K200*0.175,K200*0.275)</f>
        <v>196.35000000000002</v>
      </c>
    </row>
    <row r="201" spans="1:20" ht="16.8">
      <c r="A201" t="s">
        <v>422</v>
      </c>
      <c r="B201" s="9" t="s">
        <v>423</v>
      </c>
      <c r="C201" s="9" t="s">
        <v>424</v>
      </c>
      <c r="D201" s="1">
        <v>44938</v>
      </c>
      <c r="F201" s="48"/>
      <c r="G201" t="s">
        <v>292</v>
      </c>
      <c r="J201" s="5">
        <v>54603.87</v>
      </c>
      <c r="K201" s="5">
        <v>7947</v>
      </c>
      <c r="L201" s="5">
        <f t="shared" si="38"/>
        <v>73810.026599999997</v>
      </c>
      <c r="O201" s="3" t="s">
        <v>425</v>
      </c>
      <c r="P201">
        <f>J201*0.1</f>
        <v>5460.3870000000006</v>
      </c>
    </row>
    <row r="202" spans="1:20" ht="16.8">
      <c r="B202" s="9" t="s">
        <v>28</v>
      </c>
      <c r="C202" s="9" t="s">
        <v>407</v>
      </c>
      <c r="D202" s="1">
        <v>44939</v>
      </c>
      <c r="F202" s="48">
        <v>9801593054</v>
      </c>
      <c r="G202" t="s">
        <v>405</v>
      </c>
      <c r="J202" s="5">
        <v>0</v>
      </c>
      <c r="K202" s="5">
        <v>664</v>
      </c>
      <c r="L202" s="5">
        <f t="shared" si="38"/>
        <v>783.52</v>
      </c>
      <c r="O202" s="3" t="s">
        <v>406</v>
      </c>
      <c r="P202">
        <f t="shared" ref="P202:P212" si="39">IF(B202="TP",K202*2.5/100,J202*0.4)</f>
        <v>16.600000000000001</v>
      </c>
      <c r="Q202" s="5">
        <f t="shared" ref="Q202:Q212" si="40">IF(A202="Four",K202*0.175,K202*0.275)</f>
        <v>182.60000000000002</v>
      </c>
    </row>
    <row r="203" spans="1:20" ht="16.8">
      <c r="B203" s="9" t="s">
        <v>28</v>
      </c>
      <c r="C203" s="9" t="s">
        <v>411</v>
      </c>
      <c r="D203" s="1">
        <v>44944</v>
      </c>
      <c r="F203" s="48">
        <v>7488518285</v>
      </c>
      <c r="G203" t="s">
        <v>410</v>
      </c>
      <c r="J203" s="5">
        <v>0</v>
      </c>
      <c r="K203" s="5">
        <v>664</v>
      </c>
      <c r="L203" s="5">
        <f t="shared" si="38"/>
        <v>783.52</v>
      </c>
      <c r="P203">
        <f t="shared" si="39"/>
        <v>16.600000000000001</v>
      </c>
      <c r="Q203" s="5">
        <f t="shared" si="40"/>
        <v>182.60000000000002</v>
      </c>
      <c r="S203">
        <v>77000</v>
      </c>
    </row>
    <row r="204" spans="1:20" ht="16.8">
      <c r="B204" s="9" t="s">
        <v>28</v>
      </c>
      <c r="C204" s="9" t="s">
        <v>408</v>
      </c>
      <c r="D204" s="1">
        <v>44945</v>
      </c>
      <c r="F204" s="48">
        <v>9006055524</v>
      </c>
      <c r="G204" t="s">
        <v>409</v>
      </c>
      <c r="J204" s="5">
        <v>0</v>
      </c>
      <c r="K204" s="5">
        <v>664</v>
      </c>
      <c r="L204" s="5">
        <f t="shared" si="38"/>
        <v>783.52</v>
      </c>
      <c r="P204">
        <f t="shared" si="39"/>
        <v>16.600000000000001</v>
      </c>
      <c r="Q204" s="5">
        <f t="shared" si="40"/>
        <v>182.60000000000002</v>
      </c>
    </row>
    <row r="205" spans="1:20" ht="16.8">
      <c r="B205" s="9" t="s">
        <v>28</v>
      </c>
      <c r="D205" s="1">
        <v>44945</v>
      </c>
      <c r="F205" s="48"/>
      <c r="G205" t="s">
        <v>412</v>
      </c>
      <c r="J205" s="5">
        <v>0</v>
      </c>
      <c r="K205" s="5">
        <v>664</v>
      </c>
      <c r="L205" s="5">
        <f t="shared" si="38"/>
        <v>783.52</v>
      </c>
      <c r="O205" s="3" t="s">
        <v>413</v>
      </c>
      <c r="P205">
        <f t="shared" si="39"/>
        <v>16.600000000000001</v>
      </c>
      <c r="Q205" s="5">
        <f t="shared" si="40"/>
        <v>182.60000000000002</v>
      </c>
    </row>
    <row r="206" spans="1:20" ht="16.8">
      <c r="A206" t="s">
        <v>27</v>
      </c>
      <c r="B206" s="9" t="s">
        <v>28</v>
      </c>
      <c r="C206" s="9" t="s">
        <v>416</v>
      </c>
      <c r="D206" s="1">
        <v>44948</v>
      </c>
      <c r="F206" s="48">
        <v>9835316634</v>
      </c>
      <c r="G206" t="s">
        <v>414</v>
      </c>
      <c r="J206" s="5">
        <v>0</v>
      </c>
      <c r="K206" s="5">
        <v>1994</v>
      </c>
      <c r="L206" s="5">
        <f t="shared" si="38"/>
        <v>2352.92</v>
      </c>
      <c r="O206" s="3" t="s">
        <v>415</v>
      </c>
      <c r="P206">
        <f t="shared" si="39"/>
        <v>49.85</v>
      </c>
      <c r="Q206" s="5">
        <f t="shared" si="40"/>
        <v>348.95</v>
      </c>
    </row>
    <row r="207" spans="1:20" ht="16.8">
      <c r="A207" t="s">
        <v>27</v>
      </c>
      <c r="B207" s="9" t="s">
        <v>28</v>
      </c>
      <c r="C207" s="9" t="s">
        <v>419</v>
      </c>
      <c r="D207" s="1">
        <v>44949</v>
      </c>
      <c r="F207" s="48">
        <v>9931335705</v>
      </c>
      <c r="G207" t="s">
        <v>417</v>
      </c>
      <c r="J207" s="5">
        <v>0</v>
      </c>
      <c r="K207" s="5">
        <v>1994</v>
      </c>
      <c r="L207" s="5">
        <f t="shared" si="38"/>
        <v>2352.92</v>
      </c>
      <c r="O207" s="3" t="s">
        <v>418</v>
      </c>
      <c r="P207">
        <f t="shared" si="39"/>
        <v>49.85</v>
      </c>
      <c r="Q207" s="5">
        <f t="shared" si="40"/>
        <v>348.95</v>
      </c>
    </row>
    <row r="208" spans="1:20" ht="16.8">
      <c r="B208" s="9" t="s">
        <v>28</v>
      </c>
      <c r="C208" s="9" t="s">
        <v>420</v>
      </c>
      <c r="D208" s="1">
        <v>44949</v>
      </c>
      <c r="F208" s="48">
        <v>9939184337</v>
      </c>
      <c r="G208" t="s">
        <v>421</v>
      </c>
      <c r="J208" s="5">
        <v>0</v>
      </c>
      <c r="K208" s="5">
        <v>664</v>
      </c>
      <c r="L208" s="5">
        <f t="shared" si="38"/>
        <v>783.52</v>
      </c>
      <c r="P208">
        <f t="shared" si="39"/>
        <v>16.600000000000001</v>
      </c>
      <c r="Q208" s="5">
        <f t="shared" si="40"/>
        <v>182.60000000000002</v>
      </c>
    </row>
    <row r="209" spans="1:18" ht="16.8">
      <c r="B209" s="9" t="s">
        <v>28</v>
      </c>
      <c r="C209" s="9" t="s">
        <v>426</v>
      </c>
      <c r="D209" s="1">
        <v>44954</v>
      </c>
      <c r="F209" s="48">
        <v>9113105327</v>
      </c>
      <c r="G209" t="s">
        <v>430</v>
      </c>
      <c r="J209" s="5">
        <v>0</v>
      </c>
      <c r="K209" s="5">
        <v>1316</v>
      </c>
      <c r="L209" s="5">
        <f t="shared" si="38"/>
        <v>1552.8799999999999</v>
      </c>
      <c r="O209" s="3" t="s">
        <v>431</v>
      </c>
      <c r="P209">
        <f t="shared" si="39"/>
        <v>32.9</v>
      </c>
      <c r="Q209" s="5">
        <f t="shared" si="40"/>
        <v>361.90000000000003</v>
      </c>
    </row>
    <row r="210" spans="1:18" ht="16.8">
      <c r="B210" s="9" t="s">
        <v>28</v>
      </c>
      <c r="C210" s="9" t="s">
        <v>427</v>
      </c>
      <c r="D210" s="1">
        <v>44955</v>
      </c>
      <c r="F210" s="48">
        <v>8340587671</v>
      </c>
      <c r="G210" t="s">
        <v>429</v>
      </c>
      <c r="J210" s="5">
        <v>0</v>
      </c>
      <c r="K210" s="5">
        <v>714</v>
      </c>
      <c r="L210" s="5">
        <f t="shared" si="38"/>
        <v>842.52</v>
      </c>
      <c r="O210" s="3" t="s">
        <v>428</v>
      </c>
      <c r="P210">
        <f t="shared" si="39"/>
        <v>17.850000000000001</v>
      </c>
      <c r="Q210" s="5">
        <f t="shared" si="40"/>
        <v>196.35000000000002</v>
      </c>
    </row>
    <row r="211" spans="1:18" ht="16.8">
      <c r="B211" s="9" t="s">
        <v>28</v>
      </c>
      <c r="C211" s="9" t="s">
        <v>434</v>
      </c>
      <c r="D211" s="1">
        <v>44957</v>
      </c>
      <c r="F211" s="48">
        <v>9835776945</v>
      </c>
      <c r="G211" t="s">
        <v>432</v>
      </c>
      <c r="J211" s="5">
        <v>0</v>
      </c>
      <c r="K211" s="5">
        <v>1039</v>
      </c>
      <c r="L211" s="5">
        <f t="shared" si="38"/>
        <v>1226.02</v>
      </c>
      <c r="O211" s="3" t="s">
        <v>433</v>
      </c>
      <c r="P211">
        <f t="shared" si="39"/>
        <v>25.975000000000001</v>
      </c>
      <c r="Q211" s="5">
        <f t="shared" si="40"/>
        <v>285.72500000000002</v>
      </c>
    </row>
    <row r="212" spans="1:18" ht="16.8">
      <c r="B212" s="9" t="s">
        <v>28</v>
      </c>
      <c r="C212" s="9" t="s">
        <v>436</v>
      </c>
      <c r="D212" s="1">
        <v>44957</v>
      </c>
      <c r="F212" s="48"/>
      <c r="G212" t="s">
        <v>437</v>
      </c>
      <c r="J212" s="5">
        <v>0</v>
      </c>
      <c r="K212" s="5">
        <v>664</v>
      </c>
      <c r="L212" s="5">
        <f t="shared" si="38"/>
        <v>783.52</v>
      </c>
      <c r="O212" s="3" t="s">
        <v>435</v>
      </c>
      <c r="P212">
        <f t="shared" si="39"/>
        <v>16.600000000000001</v>
      </c>
      <c r="Q212" s="5">
        <f t="shared" si="40"/>
        <v>182.60000000000002</v>
      </c>
    </row>
    <row r="213" spans="1:18">
      <c r="B213" s="18">
        <f>COUNT(K198:K212)</f>
        <v>15</v>
      </c>
      <c r="C213" s="18"/>
      <c r="D213" s="16"/>
      <c r="E213" s="16"/>
      <c r="F213" s="18"/>
      <c r="G213" s="16"/>
      <c r="H213" s="16"/>
      <c r="I213" s="45"/>
      <c r="J213" s="122">
        <f>SUM(J191:J212)</f>
        <v>54603.87</v>
      </c>
      <c r="K213" s="122">
        <f>SUM(K198:K212)</f>
        <v>23682</v>
      </c>
      <c r="L213" s="122">
        <f>SUM(L198:L212)</f>
        <v>92377.326600000029</v>
      </c>
      <c r="M213" s="16"/>
      <c r="N213" s="16"/>
      <c r="O213" s="69"/>
      <c r="P213" s="16">
        <f>SUM(P198:P212)</f>
        <v>5853.7620000000043</v>
      </c>
      <c r="Q213" s="16">
        <f>SUM(Q198:Q212)</f>
        <v>3928.3249999999989</v>
      </c>
      <c r="R213" s="16">
        <f>Q213*0.9</f>
        <v>3535.4924999999989</v>
      </c>
    </row>
    <row r="214" spans="1:18">
      <c r="Q214"/>
    </row>
    <row r="215" spans="1:18">
      <c r="B215" s="9" t="s">
        <v>28</v>
      </c>
      <c r="C215" s="9" t="s">
        <v>438</v>
      </c>
      <c r="D215" s="1">
        <v>44958</v>
      </c>
      <c r="F215" s="9">
        <v>9102977767</v>
      </c>
      <c r="J215" s="5">
        <v>0</v>
      </c>
      <c r="K215" s="5">
        <v>714</v>
      </c>
      <c r="L215" s="5">
        <f t="shared" ref="L215:L227" si="41">(J215+K215)*1.18</f>
        <v>842.52</v>
      </c>
      <c r="O215" s="3" t="s">
        <v>439</v>
      </c>
      <c r="P215">
        <f t="shared" ref="P215:P227" si="42">IF(B215="TP",K215*2.5/100,J215*0.4)</f>
        <v>17.850000000000001</v>
      </c>
      <c r="Q215">
        <f t="shared" ref="Q215:Q227" si="43">IF(A215="Four",K215*0.175,K215*0.275)</f>
        <v>196.35000000000002</v>
      </c>
    </row>
    <row r="216" spans="1:18">
      <c r="B216" s="75" t="s">
        <v>28</v>
      </c>
      <c r="C216" s="75" t="s">
        <v>441</v>
      </c>
      <c r="D216" s="76">
        <v>44958</v>
      </c>
      <c r="E216" s="77"/>
      <c r="F216" s="75"/>
      <c r="G216" s="77" t="s">
        <v>442</v>
      </c>
      <c r="H216" s="77"/>
      <c r="I216" s="79"/>
      <c r="J216" s="123">
        <v>0</v>
      </c>
      <c r="K216" s="123">
        <v>664</v>
      </c>
      <c r="L216" s="123">
        <f t="shared" si="41"/>
        <v>783.52</v>
      </c>
      <c r="M216" s="77"/>
      <c r="N216" s="77"/>
      <c r="O216" s="78" t="s">
        <v>440</v>
      </c>
      <c r="P216" s="77">
        <f t="shared" si="42"/>
        <v>16.600000000000001</v>
      </c>
      <c r="Q216" s="77">
        <f t="shared" si="43"/>
        <v>182.60000000000002</v>
      </c>
    </row>
    <row r="217" spans="1:18">
      <c r="B217" s="9" t="s">
        <v>28</v>
      </c>
      <c r="C217" s="9" t="s">
        <v>445</v>
      </c>
      <c r="D217" s="1">
        <v>44960</v>
      </c>
      <c r="G217" t="s">
        <v>444</v>
      </c>
      <c r="J217" s="5">
        <v>0</v>
      </c>
      <c r="K217" s="5">
        <v>664</v>
      </c>
      <c r="L217" s="5">
        <f t="shared" si="41"/>
        <v>783.52</v>
      </c>
      <c r="O217" s="3" t="s">
        <v>443</v>
      </c>
      <c r="P217">
        <f t="shared" si="42"/>
        <v>16.600000000000001</v>
      </c>
      <c r="Q217">
        <f t="shared" si="43"/>
        <v>182.60000000000002</v>
      </c>
    </row>
    <row r="218" spans="1:18">
      <c r="A218" t="s">
        <v>82</v>
      </c>
      <c r="B218" s="75" t="s">
        <v>28</v>
      </c>
      <c r="C218" s="75" t="s">
        <v>446</v>
      </c>
      <c r="D218" s="76">
        <v>44960</v>
      </c>
      <c r="E218" s="77"/>
      <c r="F218" s="75">
        <v>9006771287</v>
      </c>
      <c r="G218" s="77" t="s">
        <v>314</v>
      </c>
      <c r="H218" s="77"/>
      <c r="I218" s="79"/>
      <c r="J218" s="123">
        <v>0</v>
      </c>
      <c r="K218" s="123">
        <v>1994</v>
      </c>
      <c r="L218" s="123">
        <f t="shared" si="41"/>
        <v>2352.92</v>
      </c>
      <c r="M218" s="77"/>
      <c r="N218" s="77"/>
      <c r="O218" s="78" t="s">
        <v>447</v>
      </c>
      <c r="P218" s="77">
        <f t="shared" si="42"/>
        <v>49.85</v>
      </c>
      <c r="Q218" s="77">
        <f t="shared" si="43"/>
        <v>348.95</v>
      </c>
    </row>
    <row r="219" spans="1:18">
      <c r="B219" s="9" t="s">
        <v>28</v>
      </c>
      <c r="C219" s="9" t="s">
        <v>448</v>
      </c>
      <c r="D219" s="1">
        <v>44960</v>
      </c>
      <c r="F219" s="9">
        <v>8789291079</v>
      </c>
      <c r="G219" t="s">
        <v>450</v>
      </c>
      <c r="J219" s="5">
        <v>0</v>
      </c>
      <c r="K219" s="5">
        <v>664</v>
      </c>
      <c r="L219" s="5">
        <f t="shared" si="41"/>
        <v>783.52</v>
      </c>
      <c r="O219" s="3" t="s">
        <v>449</v>
      </c>
      <c r="P219">
        <f t="shared" si="42"/>
        <v>16.600000000000001</v>
      </c>
      <c r="Q219">
        <f t="shared" si="43"/>
        <v>182.60000000000002</v>
      </c>
    </row>
    <row r="220" spans="1:18">
      <c r="B220" s="9" t="s">
        <v>28</v>
      </c>
      <c r="C220" s="9" t="s">
        <v>451</v>
      </c>
      <c r="D220" s="1">
        <v>44967</v>
      </c>
      <c r="F220" s="9">
        <v>9234706023</v>
      </c>
      <c r="G220" t="s">
        <v>452</v>
      </c>
      <c r="J220" s="5">
        <v>0</v>
      </c>
      <c r="K220" s="5">
        <v>714</v>
      </c>
      <c r="L220" s="5">
        <f t="shared" si="41"/>
        <v>842.52</v>
      </c>
      <c r="O220" s="3" t="s">
        <v>453</v>
      </c>
      <c r="P220">
        <f t="shared" si="42"/>
        <v>17.850000000000001</v>
      </c>
      <c r="Q220">
        <f t="shared" si="43"/>
        <v>196.35000000000002</v>
      </c>
    </row>
    <row r="221" spans="1:18">
      <c r="B221" s="9" t="s">
        <v>28</v>
      </c>
      <c r="C221" s="9" t="s">
        <v>457</v>
      </c>
      <c r="D221" s="1">
        <v>44968</v>
      </c>
      <c r="F221" s="9">
        <v>9234326020</v>
      </c>
      <c r="G221" t="s">
        <v>458</v>
      </c>
      <c r="J221" s="5">
        <v>0</v>
      </c>
      <c r="K221" s="5">
        <v>714</v>
      </c>
      <c r="L221" s="5">
        <f t="shared" si="41"/>
        <v>842.52</v>
      </c>
      <c r="O221" s="3" t="s">
        <v>459</v>
      </c>
      <c r="P221">
        <f t="shared" si="42"/>
        <v>17.850000000000001</v>
      </c>
      <c r="Q221">
        <f t="shared" si="43"/>
        <v>196.35000000000002</v>
      </c>
    </row>
    <row r="222" spans="1:18">
      <c r="B222" s="9" t="s">
        <v>28</v>
      </c>
      <c r="C222" s="9" t="s">
        <v>455</v>
      </c>
      <c r="D222" s="1">
        <v>44968</v>
      </c>
      <c r="G222" t="s">
        <v>454</v>
      </c>
      <c r="J222" s="5">
        <v>0</v>
      </c>
      <c r="K222" s="5">
        <v>664</v>
      </c>
      <c r="L222" s="5">
        <f t="shared" si="41"/>
        <v>783.52</v>
      </c>
      <c r="O222" s="3" t="s">
        <v>456</v>
      </c>
      <c r="P222">
        <f t="shared" si="42"/>
        <v>16.600000000000001</v>
      </c>
      <c r="Q222">
        <f t="shared" si="43"/>
        <v>182.60000000000002</v>
      </c>
    </row>
    <row r="223" spans="1:18">
      <c r="B223" s="9" t="s">
        <v>28</v>
      </c>
      <c r="C223" s="9" t="s">
        <v>462</v>
      </c>
      <c r="D223" s="1">
        <v>44969</v>
      </c>
      <c r="F223" s="9">
        <v>9262980018</v>
      </c>
      <c r="G223" t="s">
        <v>460</v>
      </c>
      <c r="J223" s="5">
        <v>0</v>
      </c>
      <c r="K223" s="5">
        <v>714</v>
      </c>
      <c r="L223" s="5">
        <f t="shared" si="41"/>
        <v>842.52</v>
      </c>
      <c r="O223" s="3" t="s">
        <v>461</v>
      </c>
      <c r="P223">
        <f t="shared" si="42"/>
        <v>17.850000000000001</v>
      </c>
      <c r="Q223">
        <f t="shared" si="43"/>
        <v>196.35000000000002</v>
      </c>
    </row>
    <row r="224" spans="1:18">
      <c r="B224" s="9" t="s">
        <v>28</v>
      </c>
      <c r="C224" s="9" t="s">
        <v>464</v>
      </c>
      <c r="D224" s="1">
        <v>44969</v>
      </c>
      <c r="F224" s="9">
        <v>7209118038</v>
      </c>
      <c r="G224" t="s">
        <v>23</v>
      </c>
      <c r="J224" s="5">
        <v>0</v>
      </c>
      <c r="K224" s="5">
        <v>538</v>
      </c>
      <c r="L224" s="5">
        <f t="shared" si="41"/>
        <v>634.83999999999992</v>
      </c>
      <c r="O224" s="3" t="s">
        <v>463</v>
      </c>
      <c r="P224">
        <f t="shared" si="42"/>
        <v>13.45</v>
      </c>
      <c r="Q224">
        <f t="shared" si="43"/>
        <v>147.95000000000002</v>
      </c>
    </row>
    <row r="225" spans="1:18">
      <c r="B225" s="9" t="s">
        <v>28</v>
      </c>
      <c r="C225" s="9" t="s">
        <v>467</v>
      </c>
      <c r="D225" s="1">
        <v>44970</v>
      </c>
      <c r="F225" s="9">
        <v>9709517129</v>
      </c>
      <c r="G225" t="s">
        <v>466</v>
      </c>
      <c r="J225" s="5">
        <v>0</v>
      </c>
      <c r="K225" s="5">
        <v>714</v>
      </c>
      <c r="L225" s="5">
        <f t="shared" si="41"/>
        <v>842.52</v>
      </c>
      <c r="O225" s="3" t="s">
        <v>465</v>
      </c>
      <c r="P225">
        <f t="shared" si="42"/>
        <v>17.850000000000001</v>
      </c>
      <c r="Q225">
        <f t="shared" si="43"/>
        <v>196.35000000000002</v>
      </c>
    </row>
    <row r="226" spans="1:18">
      <c r="B226" s="9" t="s">
        <v>28</v>
      </c>
      <c r="C226" s="9" t="s">
        <v>469</v>
      </c>
      <c r="D226" s="1">
        <v>44970</v>
      </c>
      <c r="F226" s="9">
        <v>9430137544</v>
      </c>
      <c r="G226" t="s">
        <v>468</v>
      </c>
      <c r="J226" s="5">
        <v>0</v>
      </c>
      <c r="K226" s="5">
        <v>2094</v>
      </c>
      <c r="L226" s="5">
        <f t="shared" si="41"/>
        <v>2470.92</v>
      </c>
      <c r="O226" s="3" t="s">
        <v>49</v>
      </c>
      <c r="P226">
        <f t="shared" si="42"/>
        <v>52.35</v>
      </c>
      <c r="Q226">
        <f t="shared" si="43"/>
        <v>575.85</v>
      </c>
    </row>
    <row r="227" spans="1:18">
      <c r="B227" s="9" t="s">
        <v>28</v>
      </c>
      <c r="C227" s="9" t="s">
        <v>470</v>
      </c>
      <c r="D227" s="1">
        <v>44970</v>
      </c>
      <c r="F227" s="9">
        <v>9430137544</v>
      </c>
      <c r="G227" t="s">
        <v>471</v>
      </c>
      <c r="J227" s="5">
        <v>0</v>
      </c>
      <c r="K227" s="5">
        <v>714</v>
      </c>
      <c r="L227" s="5">
        <f t="shared" si="41"/>
        <v>842.52</v>
      </c>
      <c r="O227" s="3" t="s">
        <v>52</v>
      </c>
      <c r="P227">
        <f t="shared" si="42"/>
        <v>17.850000000000001</v>
      </c>
      <c r="Q227">
        <f t="shared" si="43"/>
        <v>196.35000000000002</v>
      </c>
    </row>
    <row r="228" spans="1:18">
      <c r="B228" s="9" t="s">
        <v>28</v>
      </c>
      <c r="C228" s="9" t="s">
        <v>473</v>
      </c>
      <c r="D228" s="1">
        <v>44980</v>
      </c>
      <c r="F228" s="9">
        <v>8603215464</v>
      </c>
      <c r="G228" t="s">
        <v>472</v>
      </c>
      <c r="L228" s="5">
        <f>(J228+K228)*1.18</f>
        <v>0</v>
      </c>
      <c r="O228" s="3" t="s">
        <v>474</v>
      </c>
      <c r="P228">
        <f>IF(B228="TP",K228*2.5/100,J228*0.4)</f>
        <v>0</v>
      </c>
      <c r="Q228">
        <f>IF(A228="Four",K228*0.175,K228*0.275)</f>
        <v>0</v>
      </c>
    </row>
    <row r="229" spans="1:18">
      <c r="A229" s="16"/>
      <c r="B229" s="18">
        <f>COUNT(K215:K228)</f>
        <v>13</v>
      </c>
      <c r="C229" s="18"/>
      <c r="D229" s="31"/>
      <c r="E229" s="16"/>
      <c r="F229" s="18"/>
      <c r="G229" s="16"/>
      <c r="H229" s="16"/>
      <c r="I229" s="45"/>
      <c r="J229" s="122">
        <f>SUM(J211:J228)</f>
        <v>54603.87</v>
      </c>
      <c r="K229" s="122">
        <f>SUM(K215:K228)</f>
        <v>11566</v>
      </c>
      <c r="L229" s="122">
        <f>SUM(L215:L228)</f>
        <v>13647.880000000003</v>
      </c>
      <c r="M229" s="16"/>
      <c r="N229" s="16"/>
      <c r="O229" s="69"/>
      <c r="P229" s="16">
        <f>SUM(P215:P228)</f>
        <v>289.14999999999998</v>
      </c>
      <c r="Q229" s="16">
        <f>SUM(Q215:Q228)</f>
        <v>2981.2499999999995</v>
      </c>
      <c r="R229" s="16">
        <f>Q229*0.9</f>
        <v>2683.1249999999995</v>
      </c>
    </row>
    <row r="230" spans="1:18">
      <c r="D230" s="1"/>
      <c r="Q230"/>
    </row>
    <row r="231" spans="1:18">
      <c r="B231" s="9" t="s">
        <v>28</v>
      </c>
      <c r="C231" s="9" t="s">
        <v>476</v>
      </c>
      <c r="D231" s="1">
        <v>44988</v>
      </c>
      <c r="F231" s="9">
        <v>8210825009</v>
      </c>
      <c r="G231" t="s">
        <v>475</v>
      </c>
      <c r="J231" s="5">
        <v>0</v>
      </c>
      <c r="K231" s="5">
        <v>714</v>
      </c>
      <c r="L231" s="5">
        <f t="shared" ref="L231:L244" si="44">(J231+K231)*1.18</f>
        <v>842.52</v>
      </c>
      <c r="O231" s="3" t="s">
        <v>477</v>
      </c>
      <c r="P231">
        <f t="shared" ref="P231:P244" si="45">IF(B231="TP",K231*2.5/100,J231*0.4)</f>
        <v>17.850000000000001</v>
      </c>
      <c r="Q231">
        <f t="shared" ref="Q231:Q244" si="46">IF(A231="Four",K231*0.175,K231*0.275)</f>
        <v>196.35000000000002</v>
      </c>
    </row>
    <row r="232" spans="1:18">
      <c r="B232" s="9" t="s">
        <v>28</v>
      </c>
      <c r="C232" s="9" t="s">
        <v>478</v>
      </c>
      <c r="D232" s="1">
        <v>45052</v>
      </c>
      <c r="F232" s="9">
        <v>7209930086</v>
      </c>
      <c r="G232" t="s">
        <v>479</v>
      </c>
      <c r="J232" s="5">
        <v>0</v>
      </c>
      <c r="K232" s="5">
        <v>714</v>
      </c>
      <c r="L232" s="5">
        <f t="shared" si="44"/>
        <v>842.52</v>
      </c>
      <c r="O232" s="3" t="s">
        <v>88</v>
      </c>
      <c r="P232">
        <f t="shared" si="45"/>
        <v>17.850000000000001</v>
      </c>
      <c r="Q232">
        <f t="shared" si="46"/>
        <v>196.35000000000002</v>
      </c>
    </row>
    <row r="233" spans="1:18">
      <c r="B233" s="9" t="s">
        <v>28</v>
      </c>
      <c r="D233" s="1">
        <v>44999</v>
      </c>
      <c r="F233" s="9">
        <v>9931316895</v>
      </c>
      <c r="G233" t="s">
        <v>480</v>
      </c>
      <c r="J233" s="5">
        <v>0</v>
      </c>
      <c r="K233" s="5">
        <v>714</v>
      </c>
      <c r="L233" s="5">
        <f t="shared" si="44"/>
        <v>842.52</v>
      </c>
      <c r="O233" s="3" t="s">
        <v>481</v>
      </c>
      <c r="P233">
        <f t="shared" si="45"/>
        <v>17.850000000000001</v>
      </c>
      <c r="Q233">
        <f t="shared" si="46"/>
        <v>196.35000000000002</v>
      </c>
    </row>
    <row r="234" spans="1:18">
      <c r="B234" s="9" t="s">
        <v>28</v>
      </c>
      <c r="C234" s="9" t="s">
        <v>482</v>
      </c>
      <c r="D234" s="1">
        <v>45000</v>
      </c>
      <c r="F234" s="9">
        <v>9931781344</v>
      </c>
      <c r="G234" t="s">
        <v>483</v>
      </c>
      <c r="J234" s="5">
        <v>0</v>
      </c>
      <c r="K234" s="5">
        <v>714</v>
      </c>
      <c r="L234" s="5">
        <f t="shared" si="44"/>
        <v>842.52</v>
      </c>
      <c r="O234" s="3" t="s">
        <v>484</v>
      </c>
      <c r="P234">
        <f t="shared" si="45"/>
        <v>17.850000000000001</v>
      </c>
      <c r="Q234">
        <f t="shared" si="46"/>
        <v>196.35000000000002</v>
      </c>
    </row>
    <row r="235" spans="1:18">
      <c r="B235" s="9" t="s">
        <v>28</v>
      </c>
      <c r="C235" s="9" t="s">
        <v>485</v>
      </c>
      <c r="D235" s="1">
        <v>45001</v>
      </c>
      <c r="G235" t="s">
        <v>486</v>
      </c>
      <c r="J235" s="5">
        <v>0</v>
      </c>
      <c r="K235" s="5">
        <v>714</v>
      </c>
      <c r="L235" s="5">
        <f t="shared" si="44"/>
        <v>842.52</v>
      </c>
      <c r="O235" s="3" t="s">
        <v>487</v>
      </c>
      <c r="P235">
        <f t="shared" si="45"/>
        <v>17.850000000000001</v>
      </c>
      <c r="Q235">
        <f t="shared" si="46"/>
        <v>196.35000000000002</v>
      </c>
    </row>
    <row r="236" spans="1:18">
      <c r="B236" s="9" t="s">
        <v>28</v>
      </c>
      <c r="C236" s="9" t="s">
        <v>488</v>
      </c>
      <c r="D236" s="1"/>
      <c r="F236" s="9">
        <v>9031975093</v>
      </c>
      <c r="G236" t="s">
        <v>504</v>
      </c>
      <c r="J236" s="5">
        <v>0</v>
      </c>
      <c r="K236" s="5">
        <v>714</v>
      </c>
      <c r="L236" s="5">
        <f t="shared" si="44"/>
        <v>842.52</v>
      </c>
      <c r="O236" s="3" t="s">
        <v>489</v>
      </c>
      <c r="P236">
        <f t="shared" si="45"/>
        <v>17.850000000000001</v>
      </c>
      <c r="Q236">
        <f t="shared" si="46"/>
        <v>196.35000000000002</v>
      </c>
    </row>
    <row r="237" spans="1:18">
      <c r="B237" s="9" t="s">
        <v>28</v>
      </c>
      <c r="C237" s="9" t="s">
        <v>490</v>
      </c>
      <c r="D237" s="1">
        <v>45004</v>
      </c>
      <c r="F237" s="9">
        <v>7765836624</v>
      </c>
      <c r="G237" t="s">
        <v>491</v>
      </c>
      <c r="J237" s="5">
        <v>0</v>
      </c>
      <c r="K237" s="5">
        <v>714</v>
      </c>
      <c r="L237" s="5">
        <f t="shared" si="44"/>
        <v>842.52</v>
      </c>
      <c r="O237" s="3" t="s">
        <v>492</v>
      </c>
      <c r="P237">
        <f t="shared" si="45"/>
        <v>17.850000000000001</v>
      </c>
      <c r="Q237">
        <f t="shared" si="46"/>
        <v>196.35000000000002</v>
      </c>
    </row>
    <row r="238" spans="1:18">
      <c r="B238" s="9" t="s">
        <v>28</v>
      </c>
      <c r="C238" s="9" t="s">
        <v>496</v>
      </c>
      <c r="D238" s="1">
        <v>45004</v>
      </c>
      <c r="F238" s="9">
        <v>9031225732</v>
      </c>
      <c r="G238" t="s">
        <v>494</v>
      </c>
      <c r="J238" s="5">
        <v>0</v>
      </c>
      <c r="K238" s="5">
        <v>714</v>
      </c>
      <c r="L238" s="5">
        <f t="shared" si="44"/>
        <v>842.52</v>
      </c>
      <c r="O238" s="3" t="s">
        <v>493</v>
      </c>
      <c r="P238">
        <f t="shared" si="45"/>
        <v>17.850000000000001</v>
      </c>
      <c r="Q238">
        <f t="shared" si="46"/>
        <v>196.35000000000002</v>
      </c>
    </row>
    <row r="239" spans="1:18">
      <c r="B239" s="9" t="s">
        <v>28</v>
      </c>
      <c r="C239" s="9" t="s">
        <v>497</v>
      </c>
      <c r="D239" s="1">
        <v>45004</v>
      </c>
      <c r="F239" s="9">
        <v>6202410211</v>
      </c>
      <c r="G239" t="s">
        <v>495</v>
      </c>
      <c r="J239" s="5">
        <v>0</v>
      </c>
      <c r="K239" s="5">
        <v>714</v>
      </c>
      <c r="L239" s="5">
        <f t="shared" si="44"/>
        <v>842.52</v>
      </c>
      <c r="O239" s="3" t="s">
        <v>498</v>
      </c>
      <c r="P239">
        <f t="shared" si="45"/>
        <v>17.850000000000001</v>
      </c>
      <c r="Q239">
        <f t="shared" si="46"/>
        <v>196.35000000000002</v>
      </c>
    </row>
    <row r="240" spans="1:18">
      <c r="B240" s="9" t="s">
        <v>28</v>
      </c>
      <c r="C240" s="9" t="s">
        <v>500</v>
      </c>
      <c r="D240" s="1">
        <v>45005</v>
      </c>
      <c r="F240" s="9">
        <v>9934179885</v>
      </c>
      <c r="G240" t="s">
        <v>499</v>
      </c>
      <c r="J240" s="5">
        <v>0</v>
      </c>
      <c r="K240" s="5">
        <v>714</v>
      </c>
      <c r="L240" s="5">
        <f t="shared" si="44"/>
        <v>842.52</v>
      </c>
      <c r="O240" s="3" t="s">
        <v>87</v>
      </c>
      <c r="P240">
        <f t="shared" si="45"/>
        <v>17.850000000000001</v>
      </c>
      <c r="Q240">
        <f t="shared" si="46"/>
        <v>196.35000000000002</v>
      </c>
    </row>
    <row r="241" spans="1:20">
      <c r="B241" s="9" t="s">
        <v>28</v>
      </c>
      <c r="C241" s="9" t="s">
        <v>501</v>
      </c>
      <c r="D241" s="1">
        <v>45005</v>
      </c>
      <c r="F241" s="9">
        <v>8235001988</v>
      </c>
      <c r="G241" t="s">
        <v>503</v>
      </c>
      <c r="J241" s="5">
        <v>0</v>
      </c>
      <c r="K241" s="5">
        <v>714</v>
      </c>
      <c r="L241" s="5">
        <f t="shared" si="44"/>
        <v>842.52</v>
      </c>
      <c r="O241" s="3" t="s">
        <v>502</v>
      </c>
      <c r="P241">
        <f t="shared" si="45"/>
        <v>17.850000000000001</v>
      </c>
      <c r="Q241">
        <f t="shared" si="46"/>
        <v>196.35000000000002</v>
      </c>
    </row>
    <row r="242" spans="1:20">
      <c r="B242" s="9" t="s">
        <v>28</v>
      </c>
      <c r="C242" s="9" t="s">
        <v>505</v>
      </c>
      <c r="D242" s="1">
        <v>45006</v>
      </c>
      <c r="F242" s="9">
        <v>9123235392</v>
      </c>
      <c r="J242" s="5">
        <v>0</v>
      </c>
      <c r="K242" s="5">
        <v>714</v>
      </c>
      <c r="L242" s="5">
        <f t="shared" si="44"/>
        <v>842.52</v>
      </c>
      <c r="O242" s="3" t="s">
        <v>506</v>
      </c>
      <c r="P242">
        <f t="shared" si="45"/>
        <v>17.850000000000001</v>
      </c>
      <c r="Q242">
        <f t="shared" si="46"/>
        <v>196.35000000000002</v>
      </c>
    </row>
    <row r="243" spans="1:20">
      <c r="A243" t="s">
        <v>27</v>
      </c>
      <c r="B243" s="9" t="s">
        <v>28</v>
      </c>
      <c r="D243" s="1">
        <v>45013</v>
      </c>
      <c r="J243" s="5">
        <v>0</v>
      </c>
      <c r="K243" s="5">
        <v>3416.0169491525426</v>
      </c>
      <c r="L243" s="5">
        <f t="shared" si="44"/>
        <v>4030.9</v>
      </c>
      <c r="P243">
        <f t="shared" si="45"/>
        <v>85.400423728813564</v>
      </c>
      <c r="Q243">
        <f t="shared" si="46"/>
        <v>597.80296610169489</v>
      </c>
      <c r="T243">
        <v>4030.9</v>
      </c>
    </row>
    <row r="244" spans="1:20" ht="16.8">
      <c r="B244" s="9" t="s">
        <v>28</v>
      </c>
      <c r="C244" s="9" t="s">
        <v>507</v>
      </c>
      <c r="D244" s="1">
        <v>45013</v>
      </c>
      <c r="F244" s="48">
        <v>8789669004</v>
      </c>
      <c r="G244" t="s">
        <v>97</v>
      </c>
      <c r="J244" s="5">
        <v>0</v>
      </c>
      <c r="K244" s="5">
        <v>714</v>
      </c>
      <c r="L244" s="5">
        <f t="shared" si="44"/>
        <v>842.52</v>
      </c>
      <c r="P244">
        <f t="shared" si="45"/>
        <v>17.850000000000001</v>
      </c>
      <c r="Q244">
        <f t="shared" si="46"/>
        <v>196.35000000000002</v>
      </c>
    </row>
    <row r="245" spans="1:20">
      <c r="A245" s="16"/>
      <c r="B245" s="18">
        <f>COUNT(K231:K244)</f>
        <v>14</v>
      </c>
      <c r="C245" s="18"/>
      <c r="D245" s="16"/>
      <c r="E245" s="16"/>
      <c r="F245" s="18"/>
      <c r="G245" s="16"/>
      <c r="H245" s="16"/>
      <c r="I245" s="45"/>
      <c r="J245" s="122">
        <f>SUM(J231:J231)</f>
        <v>0</v>
      </c>
      <c r="K245" s="122">
        <f>SUM(K231:K244)</f>
        <v>12698.016949152543</v>
      </c>
      <c r="L245" s="122">
        <f>SUM(L231:L244)</f>
        <v>14983.660000000003</v>
      </c>
      <c r="M245" s="16"/>
      <c r="N245" s="16">
        <f>SUM(N215:N231)</f>
        <v>0</v>
      </c>
      <c r="O245" s="69">
        <f>SUM(O215:O231)</f>
        <v>0</v>
      </c>
      <c r="P245" s="16">
        <f>SUM(P231:P244)</f>
        <v>317.45042372881358</v>
      </c>
      <c r="Q245" s="16">
        <f>SUM(Q231:Q244)</f>
        <v>3150.3529661016946</v>
      </c>
      <c r="R245">
        <f>Q245*0.9</f>
        <v>2835.3176694915251</v>
      </c>
    </row>
    <row r="246" spans="1:20">
      <c r="Q246"/>
    </row>
    <row r="247" spans="1:20">
      <c r="B247" s="9" t="s">
        <v>28</v>
      </c>
      <c r="C247" s="9" t="s">
        <v>510</v>
      </c>
      <c r="D247" s="1">
        <v>45019</v>
      </c>
      <c r="G247" t="s">
        <v>90</v>
      </c>
      <c r="J247" s="5">
        <v>0</v>
      </c>
      <c r="K247" s="5">
        <v>714</v>
      </c>
      <c r="L247" s="5">
        <f t="shared" ref="L247:L258" si="47">(J247+K247)*1.18</f>
        <v>842.52</v>
      </c>
      <c r="O247" s="3" t="s">
        <v>91</v>
      </c>
      <c r="P247">
        <f t="shared" ref="P247:P258" si="48">IF(B247="TP",K247*2.5/100,J247*0.4)</f>
        <v>17.850000000000001</v>
      </c>
      <c r="Q247">
        <f t="shared" ref="Q247:Q258" si="49">IF(A247="Four",K247*0.175,K247*0.275)</f>
        <v>196.35000000000002</v>
      </c>
    </row>
    <row r="248" spans="1:20">
      <c r="B248" s="9" t="s">
        <v>28</v>
      </c>
      <c r="C248" s="9" t="s">
        <v>511</v>
      </c>
      <c r="D248" s="1">
        <v>45024</v>
      </c>
      <c r="F248" s="9">
        <v>8789492258</v>
      </c>
      <c r="G248" t="s">
        <v>512</v>
      </c>
      <c r="J248" s="5">
        <v>0</v>
      </c>
      <c r="K248" s="5">
        <v>714</v>
      </c>
      <c r="L248" s="5">
        <f t="shared" si="47"/>
        <v>842.52</v>
      </c>
      <c r="O248" s="3" t="s">
        <v>513</v>
      </c>
      <c r="P248">
        <f t="shared" si="48"/>
        <v>17.850000000000001</v>
      </c>
      <c r="Q248">
        <f t="shared" si="49"/>
        <v>196.35000000000002</v>
      </c>
    </row>
    <row r="249" spans="1:20">
      <c r="B249" s="9" t="s">
        <v>28</v>
      </c>
      <c r="C249" s="9" t="s">
        <v>516</v>
      </c>
      <c r="D249" s="1">
        <v>45024</v>
      </c>
      <c r="F249" s="9">
        <v>7250514971</v>
      </c>
      <c r="G249" t="s">
        <v>514</v>
      </c>
      <c r="J249" s="5">
        <v>0</v>
      </c>
      <c r="K249" s="5">
        <v>714</v>
      </c>
      <c r="L249" s="5">
        <f t="shared" si="47"/>
        <v>842.52</v>
      </c>
      <c r="O249" s="3" t="s">
        <v>515</v>
      </c>
      <c r="P249">
        <f t="shared" si="48"/>
        <v>17.850000000000001</v>
      </c>
      <c r="Q249">
        <f t="shared" si="49"/>
        <v>196.35000000000002</v>
      </c>
    </row>
    <row r="250" spans="1:20">
      <c r="B250" s="9" t="s">
        <v>28</v>
      </c>
      <c r="C250" s="9" t="s">
        <v>517</v>
      </c>
      <c r="D250" s="1">
        <v>45025</v>
      </c>
      <c r="F250" s="9">
        <v>9631049704</v>
      </c>
      <c r="G250" t="s">
        <v>101</v>
      </c>
      <c r="J250" s="5">
        <v>0</v>
      </c>
      <c r="K250" s="5">
        <v>714</v>
      </c>
      <c r="L250" s="5">
        <f t="shared" si="47"/>
        <v>842.52</v>
      </c>
      <c r="O250" s="3" t="s">
        <v>103</v>
      </c>
      <c r="P250">
        <f t="shared" si="48"/>
        <v>17.850000000000001</v>
      </c>
      <c r="Q250">
        <f t="shared" si="49"/>
        <v>196.35000000000002</v>
      </c>
    </row>
    <row r="251" spans="1:20">
      <c r="B251" s="9" t="s">
        <v>28</v>
      </c>
      <c r="C251" s="9" t="s">
        <v>520</v>
      </c>
      <c r="D251" s="1">
        <v>45027</v>
      </c>
      <c r="F251" s="9">
        <v>9162141596</v>
      </c>
      <c r="G251" t="s">
        <v>519</v>
      </c>
      <c r="J251" s="5">
        <v>0</v>
      </c>
      <c r="K251" s="5">
        <v>664</v>
      </c>
      <c r="L251" s="5">
        <f t="shared" si="47"/>
        <v>783.52</v>
      </c>
      <c r="O251" s="3" t="s">
        <v>518</v>
      </c>
      <c r="P251">
        <f t="shared" si="48"/>
        <v>16.600000000000001</v>
      </c>
      <c r="Q251">
        <f t="shared" si="49"/>
        <v>182.60000000000002</v>
      </c>
    </row>
    <row r="252" spans="1:20">
      <c r="A252" t="s">
        <v>27</v>
      </c>
      <c r="B252" s="9" t="s">
        <v>28</v>
      </c>
      <c r="C252" s="9" t="s">
        <v>523</v>
      </c>
      <c r="D252" s="1">
        <v>45027</v>
      </c>
      <c r="F252" s="9">
        <v>8789291079</v>
      </c>
      <c r="G252" t="s">
        <v>522</v>
      </c>
      <c r="J252" s="5">
        <v>0</v>
      </c>
      <c r="K252" s="5">
        <v>3646</v>
      </c>
      <c r="L252" s="5">
        <f t="shared" si="47"/>
        <v>4302.28</v>
      </c>
      <c r="O252" s="3" t="s">
        <v>521</v>
      </c>
      <c r="P252">
        <f t="shared" si="48"/>
        <v>91.15</v>
      </c>
      <c r="Q252">
        <f t="shared" si="49"/>
        <v>638.04999999999995</v>
      </c>
    </row>
    <row r="253" spans="1:20">
      <c r="B253" s="9" t="s">
        <v>28</v>
      </c>
      <c r="C253" s="9" t="s">
        <v>525</v>
      </c>
      <c r="D253" s="1">
        <v>45028</v>
      </c>
      <c r="F253" s="9">
        <v>9304670143</v>
      </c>
      <c r="G253" t="s">
        <v>526</v>
      </c>
      <c r="J253" s="5">
        <v>0</v>
      </c>
      <c r="K253" s="5">
        <v>714</v>
      </c>
      <c r="L253" s="5">
        <f t="shared" si="47"/>
        <v>842.52</v>
      </c>
      <c r="O253" s="3" t="s">
        <v>524</v>
      </c>
      <c r="P253">
        <f t="shared" si="48"/>
        <v>17.850000000000001</v>
      </c>
      <c r="Q253">
        <f t="shared" si="49"/>
        <v>196.35000000000002</v>
      </c>
    </row>
    <row r="254" spans="1:20">
      <c r="B254" s="9" t="s">
        <v>28</v>
      </c>
      <c r="C254" s="9" t="s">
        <v>529</v>
      </c>
      <c r="D254" s="1">
        <v>45033</v>
      </c>
      <c r="G254" t="s">
        <v>528</v>
      </c>
      <c r="J254" s="5">
        <v>0</v>
      </c>
      <c r="K254" s="5">
        <v>664</v>
      </c>
      <c r="L254" s="5">
        <f t="shared" si="47"/>
        <v>783.52</v>
      </c>
      <c r="O254" s="3" t="s">
        <v>100</v>
      </c>
      <c r="P254">
        <f t="shared" si="48"/>
        <v>16.600000000000001</v>
      </c>
      <c r="Q254">
        <f t="shared" si="49"/>
        <v>182.60000000000002</v>
      </c>
    </row>
    <row r="255" spans="1:20">
      <c r="A255" t="s">
        <v>27</v>
      </c>
      <c r="B255" s="9" t="s">
        <v>28</v>
      </c>
      <c r="C255" s="9" t="s">
        <v>527</v>
      </c>
      <c r="D255" s="1">
        <v>45033</v>
      </c>
      <c r="F255" s="9">
        <v>7209637288</v>
      </c>
      <c r="G255" t="s">
        <v>113</v>
      </c>
      <c r="J255" s="5">
        <v>0</v>
      </c>
      <c r="K255" s="5">
        <v>2094</v>
      </c>
      <c r="L255" s="5">
        <f t="shared" si="47"/>
        <v>2470.92</v>
      </c>
      <c r="O255" s="3" t="s">
        <v>115</v>
      </c>
      <c r="P255">
        <f t="shared" si="48"/>
        <v>52.35</v>
      </c>
      <c r="Q255">
        <f t="shared" si="49"/>
        <v>366.45</v>
      </c>
    </row>
    <row r="256" spans="1:20">
      <c r="A256" t="s">
        <v>27</v>
      </c>
      <c r="B256" s="9" t="s">
        <v>28</v>
      </c>
      <c r="C256" s="9" t="s">
        <v>531</v>
      </c>
      <c r="D256" s="1">
        <v>45039</v>
      </c>
      <c r="F256" s="9">
        <v>7978650271</v>
      </c>
      <c r="G256" t="s">
        <v>532</v>
      </c>
      <c r="J256" s="5">
        <v>0</v>
      </c>
      <c r="K256" s="5">
        <v>3316</v>
      </c>
      <c r="L256" s="5">
        <f t="shared" si="47"/>
        <v>3912.8799999999997</v>
      </c>
      <c r="O256" s="3" t="s">
        <v>530</v>
      </c>
      <c r="P256">
        <f t="shared" si="48"/>
        <v>82.9</v>
      </c>
      <c r="Q256">
        <f t="shared" si="49"/>
        <v>580.29999999999995</v>
      </c>
    </row>
    <row r="257" spans="1:19">
      <c r="A257" t="s">
        <v>27</v>
      </c>
      <c r="B257" s="9" t="s">
        <v>28</v>
      </c>
      <c r="C257" s="9" t="s">
        <v>534</v>
      </c>
      <c r="D257" s="1">
        <v>45040</v>
      </c>
      <c r="F257" s="9">
        <v>9031225732</v>
      </c>
      <c r="G257" t="s">
        <v>495</v>
      </c>
      <c r="J257" s="5">
        <v>0</v>
      </c>
      <c r="K257" s="5">
        <v>1994</v>
      </c>
      <c r="L257" s="5">
        <f t="shared" si="47"/>
        <v>2352.92</v>
      </c>
      <c r="O257" s="3" t="s">
        <v>533</v>
      </c>
      <c r="P257">
        <f t="shared" si="48"/>
        <v>49.85</v>
      </c>
      <c r="Q257">
        <f t="shared" si="49"/>
        <v>348.95</v>
      </c>
    </row>
    <row r="258" spans="1:19">
      <c r="B258" s="9" t="s">
        <v>28</v>
      </c>
      <c r="D258" s="1">
        <v>45041</v>
      </c>
      <c r="J258" s="5">
        <v>0</v>
      </c>
      <c r="K258" s="5">
        <v>714</v>
      </c>
      <c r="L258" s="5">
        <f t="shared" si="47"/>
        <v>842.52</v>
      </c>
      <c r="P258">
        <f t="shared" si="48"/>
        <v>17.850000000000001</v>
      </c>
      <c r="Q258">
        <f t="shared" si="49"/>
        <v>196.35000000000002</v>
      </c>
    </row>
    <row r="259" spans="1:19">
      <c r="A259" s="16"/>
      <c r="B259" s="18">
        <f>COUNT(K247:K258)</f>
        <v>12</v>
      </c>
      <c r="C259" s="18"/>
      <c r="D259" s="16"/>
      <c r="E259" s="16"/>
      <c r="F259" s="18"/>
      <c r="G259" s="16"/>
      <c r="H259" s="16"/>
      <c r="I259" s="45"/>
      <c r="J259" s="122">
        <f>SUM(J237:J237)</f>
        <v>0</v>
      </c>
      <c r="K259" s="122">
        <f>SUM(K247:K258)</f>
        <v>16662</v>
      </c>
      <c r="L259" s="122">
        <f>SUM(L247:L258)</f>
        <v>19661.16</v>
      </c>
      <c r="M259" s="16"/>
      <c r="N259" s="16">
        <f>SUM(N221:N237)</f>
        <v>0</v>
      </c>
      <c r="O259" s="69">
        <f>SUM(O221:O237)</f>
        <v>0</v>
      </c>
      <c r="P259" s="16">
        <f>SUM(P247:P258)</f>
        <v>416.55000000000007</v>
      </c>
      <c r="Q259" s="16">
        <f>SUM(Q247:Q258)</f>
        <v>3477.0499999999997</v>
      </c>
    </row>
    <row r="260" spans="1:19">
      <c r="Q260"/>
    </row>
    <row r="261" spans="1:19">
      <c r="B261" s="9" t="s">
        <v>28</v>
      </c>
      <c r="C261" s="9" t="s">
        <v>537</v>
      </c>
      <c r="D261" s="1">
        <v>45052</v>
      </c>
      <c r="F261" s="9">
        <v>7209410148</v>
      </c>
      <c r="G261" t="s">
        <v>536</v>
      </c>
      <c r="J261" s="5">
        <v>0</v>
      </c>
      <c r="K261" s="5">
        <v>714</v>
      </c>
      <c r="L261" s="5">
        <f t="shared" ref="L261:L276" si="50">(J261+K261)*1.18</f>
        <v>842.52</v>
      </c>
      <c r="O261" s="3" t="s">
        <v>535</v>
      </c>
      <c r="P261">
        <f t="shared" ref="P261:P276" si="51">IF(B261="TP",K261*2.5/100,J261*0.4)</f>
        <v>17.850000000000001</v>
      </c>
      <c r="Q261">
        <f t="shared" ref="Q261:Q276" si="52">IF(A261="Four",K261*0.175,K261*0.275)</f>
        <v>196.35000000000002</v>
      </c>
    </row>
    <row r="262" spans="1:19">
      <c r="B262" s="9" t="s">
        <v>28</v>
      </c>
      <c r="C262" s="9" t="s">
        <v>539</v>
      </c>
      <c r="D262" s="1">
        <v>45052</v>
      </c>
      <c r="F262" s="9">
        <v>7209410148</v>
      </c>
      <c r="G262" t="s">
        <v>536</v>
      </c>
      <c r="J262" s="5">
        <v>0</v>
      </c>
      <c r="K262" s="5">
        <v>714</v>
      </c>
      <c r="L262" s="5">
        <f t="shared" si="50"/>
        <v>842.52</v>
      </c>
      <c r="O262" s="3" t="s">
        <v>538</v>
      </c>
      <c r="P262">
        <f t="shared" si="51"/>
        <v>17.850000000000001</v>
      </c>
      <c r="Q262">
        <f t="shared" si="52"/>
        <v>196.35000000000002</v>
      </c>
    </row>
    <row r="263" spans="1:19">
      <c r="B263" s="9" t="s">
        <v>28</v>
      </c>
      <c r="C263" s="9" t="s">
        <v>540</v>
      </c>
      <c r="D263" s="1">
        <v>45053</v>
      </c>
      <c r="E263" s="1"/>
      <c r="F263" s="9">
        <v>9031393446</v>
      </c>
      <c r="G263" t="s">
        <v>126</v>
      </c>
      <c r="J263" s="5">
        <v>0</v>
      </c>
      <c r="K263" s="5">
        <v>664</v>
      </c>
      <c r="L263" s="5">
        <f t="shared" si="50"/>
        <v>783.52</v>
      </c>
      <c r="O263" s="3" t="s">
        <v>125</v>
      </c>
      <c r="P263">
        <f t="shared" si="51"/>
        <v>16.600000000000001</v>
      </c>
      <c r="Q263">
        <f t="shared" si="52"/>
        <v>182.60000000000002</v>
      </c>
    </row>
    <row r="264" spans="1:19">
      <c r="B264" s="9" t="s">
        <v>28</v>
      </c>
      <c r="C264" s="9" t="s">
        <v>541</v>
      </c>
      <c r="D264" s="1">
        <v>45054</v>
      </c>
      <c r="F264" s="9">
        <v>9631539448</v>
      </c>
      <c r="G264" t="s">
        <v>542</v>
      </c>
      <c r="J264" s="5">
        <v>0</v>
      </c>
      <c r="K264" s="5">
        <v>664</v>
      </c>
      <c r="L264" s="5">
        <f t="shared" si="50"/>
        <v>783.52</v>
      </c>
      <c r="O264" s="3" t="s">
        <v>145</v>
      </c>
      <c r="P264">
        <f t="shared" si="51"/>
        <v>16.600000000000001</v>
      </c>
      <c r="Q264">
        <f t="shared" si="52"/>
        <v>182.60000000000002</v>
      </c>
    </row>
    <row r="265" spans="1:19">
      <c r="B265" s="9" t="s">
        <v>28</v>
      </c>
      <c r="D265" s="1">
        <v>45057</v>
      </c>
      <c r="F265" s="9">
        <v>8651301087</v>
      </c>
      <c r="J265" s="5">
        <v>0</v>
      </c>
      <c r="K265" s="5">
        <v>664</v>
      </c>
      <c r="L265" s="5">
        <f t="shared" si="50"/>
        <v>783.52</v>
      </c>
      <c r="P265">
        <f t="shared" si="51"/>
        <v>16.600000000000001</v>
      </c>
      <c r="Q265">
        <f t="shared" si="52"/>
        <v>182.60000000000002</v>
      </c>
    </row>
    <row r="266" spans="1:19">
      <c r="B266" s="9" t="s">
        <v>28</v>
      </c>
      <c r="C266" s="9" t="s">
        <v>543</v>
      </c>
      <c r="D266" s="1">
        <v>45058</v>
      </c>
      <c r="F266" s="9">
        <v>6203095355</v>
      </c>
      <c r="G266" t="s">
        <v>544</v>
      </c>
      <c r="J266" s="5">
        <v>0</v>
      </c>
      <c r="K266" s="5">
        <v>664</v>
      </c>
      <c r="L266" s="5">
        <f t="shared" si="50"/>
        <v>783.52</v>
      </c>
      <c r="O266" s="3" t="s">
        <v>545</v>
      </c>
      <c r="P266">
        <f t="shared" si="51"/>
        <v>16.600000000000001</v>
      </c>
      <c r="Q266">
        <f t="shared" si="52"/>
        <v>182.60000000000002</v>
      </c>
    </row>
    <row r="267" spans="1:19">
      <c r="A267" t="s">
        <v>82</v>
      </c>
      <c r="B267" s="9" t="s">
        <v>28</v>
      </c>
      <c r="C267" s="9" t="s">
        <v>547</v>
      </c>
      <c r="D267" s="1">
        <v>45060</v>
      </c>
      <c r="F267" s="9">
        <v>7250514971</v>
      </c>
      <c r="G267" t="s">
        <v>514</v>
      </c>
      <c r="J267" s="5">
        <v>0</v>
      </c>
      <c r="K267" s="5">
        <v>2094</v>
      </c>
      <c r="L267" s="5">
        <f t="shared" si="50"/>
        <v>2470.92</v>
      </c>
      <c r="O267" s="3" t="s">
        <v>546</v>
      </c>
      <c r="P267">
        <f t="shared" si="51"/>
        <v>52.35</v>
      </c>
      <c r="Q267">
        <f t="shared" si="52"/>
        <v>366.45</v>
      </c>
      <c r="S267" t="s">
        <v>548</v>
      </c>
    </row>
    <row r="268" spans="1:19">
      <c r="B268" s="9" t="s">
        <v>28</v>
      </c>
      <c r="C268" s="9" t="s">
        <v>549</v>
      </c>
      <c r="D268" s="1">
        <v>45061</v>
      </c>
      <c r="F268" s="9">
        <v>9973346919</v>
      </c>
      <c r="G268" t="s">
        <v>550</v>
      </c>
      <c r="J268" s="5">
        <v>0</v>
      </c>
      <c r="K268" s="5">
        <v>714</v>
      </c>
      <c r="L268" s="5">
        <f t="shared" si="50"/>
        <v>842.52</v>
      </c>
      <c r="O268" s="3" t="s">
        <v>551</v>
      </c>
      <c r="P268">
        <f t="shared" si="51"/>
        <v>17.850000000000001</v>
      </c>
      <c r="Q268">
        <f t="shared" si="52"/>
        <v>196.35000000000002</v>
      </c>
    </row>
    <row r="269" spans="1:19">
      <c r="B269" s="9" t="s">
        <v>28</v>
      </c>
      <c r="C269" s="9" t="s">
        <v>552</v>
      </c>
      <c r="D269" s="1">
        <v>45061</v>
      </c>
      <c r="F269" s="9">
        <v>8540035242</v>
      </c>
      <c r="J269" s="5">
        <v>0</v>
      </c>
      <c r="K269" s="5">
        <v>714</v>
      </c>
      <c r="L269" s="5">
        <f t="shared" si="50"/>
        <v>842.52</v>
      </c>
      <c r="P269">
        <f t="shared" si="51"/>
        <v>17.850000000000001</v>
      </c>
      <c r="Q269">
        <f t="shared" si="52"/>
        <v>196.35000000000002</v>
      </c>
    </row>
    <row r="270" spans="1:19">
      <c r="B270" s="9" t="s">
        <v>28</v>
      </c>
      <c r="C270" s="9" t="s">
        <v>553</v>
      </c>
      <c r="D270" s="1">
        <v>45061</v>
      </c>
      <c r="F270" s="9">
        <v>9031725185</v>
      </c>
      <c r="J270" s="5">
        <v>0</v>
      </c>
      <c r="K270" s="5">
        <v>664</v>
      </c>
      <c r="L270" s="5">
        <f t="shared" si="50"/>
        <v>783.52</v>
      </c>
      <c r="P270">
        <f t="shared" si="51"/>
        <v>16.600000000000001</v>
      </c>
      <c r="Q270">
        <f t="shared" si="52"/>
        <v>182.60000000000002</v>
      </c>
    </row>
    <row r="271" spans="1:19" ht="16.8">
      <c r="B271" s="9" t="s">
        <v>28</v>
      </c>
      <c r="C271" s="9" t="s">
        <v>556</v>
      </c>
      <c r="D271" s="1">
        <v>45061</v>
      </c>
      <c r="F271" s="48">
        <v>7488484625</v>
      </c>
      <c r="G271" t="s">
        <v>554</v>
      </c>
      <c r="J271" s="5">
        <v>0</v>
      </c>
      <c r="K271" s="5">
        <v>664</v>
      </c>
      <c r="L271" s="5">
        <f t="shared" si="50"/>
        <v>783.52</v>
      </c>
      <c r="O271" s="3" t="s">
        <v>555</v>
      </c>
      <c r="P271">
        <f t="shared" si="51"/>
        <v>16.600000000000001</v>
      </c>
      <c r="Q271">
        <f t="shared" si="52"/>
        <v>182.60000000000002</v>
      </c>
    </row>
    <row r="272" spans="1:19" ht="16.8">
      <c r="A272" t="s">
        <v>27</v>
      </c>
      <c r="B272" s="9" t="s">
        <v>28</v>
      </c>
      <c r="C272" s="9" t="s">
        <v>556</v>
      </c>
      <c r="D272" s="1">
        <v>45062</v>
      </c>
      <c r="F272" s="48"/>
      <c r="G272" t="s">
        <v>557</v>
      </c>
      <c r="J272" s="5">
        <v>0</v>
      </c>
      <c r="K272" s="5">
        <v>3646</v>
      </c>
      <c r="L272" s="5">
        <f t="shared" si="50"/>
        <v>4302.28</v>
      </c>
      <c r="P272">
        <f t="shared" si="51"/>
        <v>91.15</v>
      </c>
      <c r="Q272">
        <f t="shared" si="52"/>
        <v>638.04999999999995</v>
      </c>
    </row>
    <row r="273" spans="1:21" ht="16.8">
      <c r="B273" s="9" t="s">
        <v>28</v>
      </c>
      <c r="C273" s="9" t="s">
        <v>560</v>
      </c>
      <c r="D273" s="1">
        <v>45062</v>
      </c>
      <c r="F273" s="48">
        <v>9973508412</v>
      </c>
      <c r="G273" t="s">
        <v>559</v>
      </c>
      <c r="J273" s="5">
        <v>0</v>
      </c>
      <c r="K273" s="5">
        <v>664</v>
      </c>
      <c r="L273" s="5">
        <f t="shared" si="50"/>
        <v>783.52</v>
      </c>
      <c r="O273" s="3" t="s">
        <v>558</v>
      </c>
      <c r="P273">
        <f t="shared" si="51"/>
        <v>16.600000000000001</v>
      </c>
      <c r="Q273">
        <f t="shared" si="52"/>
        <v>182.60000000000002</v>
      </c>
    </row>
    <row r="274" spans="1:21" ht="16.8">
      <c r="B274" s="9" t="s">
        <v>28</v>
      </c>
      <c r="C274" s="9" t="s">
        <v>561</v>
      </c>
      <c r="D274" s="1">
        <v>45065</v>
      </c>
      <c r="F274" s="48">
        <v>9162961369</v>
      </c>
      <c r="G274" t="s">
        <v>562</v>
      </c>
      <c r="J274" s="5">
        <v>0</v>
      </c>
      <c r="K274" s="5">
        <v>714</v>
      </c>
      <c r="L274" s="5">
        <f t="shared" si="50"/>
        <v>842.52</v>
      </c>
      <c r="O274" s="3" t="s">
        <v>563</v>
      </c>
      <c r="P274">
        <f t="shared" si="51"/>
        <v>17.850000000000001</v>
      </c>
      <c r="Q274">
        <f t="shared" si="52"/>
        <v>196.35000000000002</v>
      </c>
    </row>
    <row r="275" spans="1:21" ht="16.8">
      <c r="A275" t="s">
        <v>27</v>
      </c>
      <c r="B275" s="9" t="s">
        <v>28</v>
      </c>
      <c r="C275" s="9" t="s">
        <v>564</v>
      </c>
      <c r="D275" s="1">
        <v>45068</v>
      </c>
      <c r="F275" s="48">
        <v>8092238686</v>
      </c>
      <c r="G275" t="s">
        <v>565</v>
      </c>
      <c r="J275" s="5">
        <v>0</v>
      </c>
      <c r="K275" s="5">
        <v>2094</v>
      </c>
      <c r="L275" s="5">
        <f t="shared" si="50"/>
        <v>2470.92</v>
      </c>
      <c r="P275">
        <f t="shared" si="51"/>
        <v>52.35</v>
      </c>
      <c r="Q275">
        <f t="shared" si="52"/>
        <v>366.45</v>
      </c>
    </row>
    <row r="276" spans="1:21" ht="16.8">
      <c r="B276" s="9" t="s">
        <v>28</v>
      </c>
      <c r="C276" s="9" t="s">
        <v>566</v>
      </c>
      <c r="D276" s="1"/>
      <c r="F276" s="48">
        <v>7762919158</v>
      </c>
      <c r="G276" t="s">
        <v>567</v>
      </c>
      <c r="J276" s="5">
        <v>0</v>
      </c>
      <c r="K276" s="5">
        <v>714</v>
      </c>
      <c r="L276" s="5">
        <f t="shared" si="50"/>
        <v>842.52</v>
      </c>
      <c r="O276" s="3" t="s">
        <v>568</v>
      </c>
      <c r="P276">
        <f t="shared" si="51"/>
        <v>17.850000000000001</v>
      </c>
      <c r="Q276">
        <f t="shared" si="52"/>
        <v>196.35000000000002</v>
      </c>
    </row>
    <row r="277" spans="1:21">
      <c r="D277" s="1"/>
      <c r="Q277"/>
    </row>
    <row r="278" spans="1:21">
      <c r="A278" s="16"/>
      <c r="B278" s="18">
        <f>COUNT(K261:K277)</f>
        <v>16</v>
      </c>
      <c r="C278" s="18"/>
      <c r="D278" s="16"/>
      <c r="E278" s="16"/>
      <c r="F278" s="18"/>
      <c r="G278" s="16"/>
      <c r="H278" s="16"/>
      <c r="I278" s="45"/>
      <c r="J278" s="122">
        <f>SUM(J242:J242)</f>
        <v>0</v>
      </c>
      <c r="K278" s="122">
        <f t="shared" ref="K278:Q278" si="53">SUM(K261:K277)</f>
        <v>16766</v>
      </c>
      <c r="L278" s="122">
        <f t="shared" si="53"/>
        <v>19783.88</v>
      </c>
      <c r="M278" s="16"/>
      <c r="N278" s="16">
        <f t="shared" si="53"/>
        <v>0</v>
      </c>
      <c r="O278" s="69">
        <f t="shared" si="53"/>
        <v>0</v>
      </c>
      <c r="P278" s="16">
        <f t="shared" si="53"/>
        <v>419.15000000000009</v>
      </c>
      <c r="Q278" s="16">
        <f t="shared" si="53"/>
        <v>3827.2499999999995</v>
      </c>
    </row>
    <row r="279" spans="1:21" ht="16.8">
      <c r="D279" s="1"/>
      <c r="F279" s="48"/>
    </row>
    <row r="280" spans="1:21" ht="16.8">
      <c r="B280" s="9" t="s">
        <v>28</v>
      </c>
      <c r="C280" s="9" t="s">
        <v>569</v>
      </c>
      <c r="D280" s="1">
        <v>45078</v>
      </c>
      <c r="F280" s="48">
        <v>7004991878</v>
      </c>
      <c r="G280" t="s">
        <v>570</v>
      </c>
      <c r="J280" s="5">
        <v>0</v>
      </c>
      <c r="K280" s="5">
        <v>714</v>
      </c>
      <c r="L280" s="5">
        <f t="shared" ref="L280:L290" si="54">(J280+K280)*1.18</f>
        <v>842.52</v>
      </c>
      <c r="P280">
        <f t="shared" ref="P280:P290" si="55">IF(B280="TP",K280*2.5/100,J280*0.4)</f>
        <v>17.850000000000001</v>
      </c>
      <c r="Q280">
        <f t="shared" ref="Q280:Q290" si="56">IF(A280="Four",K280*0.275,K280*0.275)</f>
        <v>196.35000000000002</v>
      </c>
    </row>
    <row r="281" spans="1:21" ht="16.8">
      <c r="B281" s="9" t="s">
        <v>28</v>
      </c>
      <c r="C281" s="9" t="s">
        <v>571</v>
      </c>
      <c r="D281" s="1">
        <v>45079</v>
      </c>
      <c r="F281" s="48">
        <v>7631070520</v>
      </c>
      <c r="J281" s="5">
        <v>0</v>
      </c>
      <c r="K281" s="5">
        <v>714</v>
      </c>
      <c r="L281" s="5">
        <f t="shared" si="54"/>
        <v>842.52</v>
      </c>
      <c r="P281">
        <f t="shared" si="55"/>
        <v>17.850000000000001</v>
      </c>
      <c r="Q281">
        <f t="shared" si="56"/>
        <v>196.35000000000002</v>
      </c>
    </row>
    <row r="282" spans="1:21" ht="16.8">
      <c r="B282" s="9" t="s">
        <v>28</v>
      </c>
      <c r="D282" s="1">
        <v>45084</v>
      </c>
      <c r="F282" s="48">
        <v>7903488117</v>
      </c>
      <c r="J282" s="5">
        <v>0</v>
      </c>
      <c r="K282" s="5">
        <v>715</v>
      </c>
      <c r="L282" s="5">
        <f t="shared" si="54"/>
        <v>843.69999999999993</v>
      </c>
      <c r="P282">
        <f t="shared" si="55"/>
        <v>17.875</v>
      </c>
      <c r="Q282">
        <f t="shared" si="56"/>
        <v>196.62500000000003</v>
      </c>
      <c r="S282">
        <v>5949.86</v>
      </c>
      <c r="T282">
        <v>0.2</v>
      </c>
      <c r="U282">
        <f>S282*T282</f>
        <v>1189.972</v>
      </c>
    </row>
    <row r="283" spans="1:21" ht="16.8">
      <c r="B283" s="9" t="s">
        <v>28</v>
      </c>
      <c r="C283" s="9" t="s">
        <v>583</v>
      </c>
      <c r="D283" s="1">
        <v>45090</v>
      </c>
      <c r="F283" s="48"/>
      <c r="G283" t="s">
        <v>581</v>
      </c>
      <c r="J283" s="5">
        <v>0</v>
      </c>
      <c r="K283" s="5">
        <f>2142/3</f>
        <v>714</v>
      </c>
      <c r="L283" s="5">
        <f t="shared" si="54"/>
        <v>842.52</v>
      </c>
      <c r="O283" s="3" t="s">
        <v>582</v>
      </c>
      <c r="P283">
        <f t="shared" si="55"/>
        <v>17.850000000000001</v>
      </c>
      <c r="Q283">
        <f t="shared" si="56"/>
        <v>196.35000000000002</v>
      </c>
      <c r="S283">
        <v>5210</v>
      </c>
      <c r="T283">
        <v>0.15</v>
      </c>
      <c r="U283">
        <f>S283*T283</f>
        <v>781.5</v>
      </c>
    </row>
    <row r="284" spans="1:21" ht="16.8">
      <c r="A284" t="s">
        <v>27</v>
      </c>
      <c r="B284" s="9" t="s">
        <v>28</v>
      </c>
      <c r="C284" s="9" t="s">
        <v>572</v>
      </c>
      <c r="D284" s="1">
        <v>45091</v>
      </c>
      <c r="F284" s="48">
        <v>8909852547</v>
      </c>
      <c r="G284" t="s">
        <v>575</v>
      </c>
      <c r="J284" s="5">
        <v>0</v>
      </c>
      <c r="K284" s="5">
        <v>3316</v>
      </c>
      <c r="L284" s="5">
        <f t="shared" si="54"/>
        <v>3912.8799999999997</v>
      </c>
      <c r="O284" s="3" t="s">
        <v>165</v>
      </c>
      <c r="P284">
        <f t="shared" si="55"/>
        <v>82.9</v>
      </c>
      <c r="Q284">
        <f t="shared" si="56"/>
        <v>911.90000000000009</v>
      </c>
    </row>
    <row r="285" spans="1:21" ht="16.8">
      <c r="B285" s="9" t="s">
        <v>28</v>
      </c>
      <c r="C285" s="9" t="s">
        <v>574</v>
      </c>
      <c r="D285" s="1">
        <v>45094</v>
      </c>
      <c r="F285" s="48">
        <v>8797110530</v>
      </c>
      <c r="G285" t="s">
        <v>573</v>
      </c>
      <c r="J285" s="5">
        <v>0</v>
      </c>
      <c r="K285" s="5">
        <v>717</v>
      </c>
      <c r="L285" s="5">
        <f t="shared" si="54"/>
        <v>846.06</v>
      </c>
      <c r="P285">
        <f t="shared" si="55"/>
        <v>17.925000000000001</v>
      </c>
      <c r="Q285">
        <f t="shared" si="56"/>
        <v>197.17500000000001</v>
      </c>
      <c r="U285">
        <f>SUM(U282:U284)</f>
        <v>1971.472</v>
      </c>
    </row>
    <row r="286" spans="1:21" ht="16.8">
      <c r="B286" s="9" t="s">
        <v>28</v>
      </c>
      <c r="C286" s="9" t="s">
        <v>574</v>
      </c>
      <c r="D286" s="1">
        <v>45094</v>
      </c>
      <c r="F286" s="48">
        <v>7209498192</v>
      </c>
      <c r="G286" t="s">
        <v>62</v>
      </c>
      <c r="J286" s="5">
        <v>0</v>
      </c>
      <c r="K286" s="5">
        <v>717</v>
      </c>
      <c r="L286" s="5">
        <f t="shared" si="54"/>
        <v>846.06</v>
      </c>
      <c r="P286">
        <f t="shared" si="55"/>
        <v>17.925000000000001</v>
      </c>
      <c r="Q286">
        <f t="shared" si="56"/>
        <v>197.17500000000001</v>
      </c>
    </row>
    <row r="287" spans="1:21" ht="19.2">
      <c r="B287" s="9" t="s">
        <v>28</v>
      </c>
      <c r="C287" s="9" t="s">
        <v>580</v>
      </c>
      <c r="D287" s="1">
        <v>45098</v>
      </c>
      <c r="F287" s="48">
        <v>9801338906</v>
      </c>
      <c r="G287" t="s">
        <v>579</v>
      </c>
      <c r="J287" s="5">
        <v>0</v>
      </c>
      <c r="K287" s="5">
        <f>2142/3</f>
        <v>714</v>
      </c>
      <c r="L287" s="5">
        <f t="shared" si="54"/>
        <v>842.52</v>
      </c>
      <c r="O287" s="74" t="s">
        <v>578</v>
      </c>
      <c r="P287">
        <f t="shared" si="55"/>
        <v>17.850000000000001</v>
      </c>
      <c r="Q287">
        <f t="shared" si="56"/>
        <v>196.35000000000002</v>
      </c>
      <c r="U287">
        <f>U285*0.95</f>
        <v>1872.8983999999998</v>
      </c>
    </row>
    <row r="288" spans="1:21" ht="16.8">
      <c r="B288" s="9" t="s">
        <v>28</v>
      </c>
      <c r="C288" s="9" t="s">
        <v>577</v>
      </c>
      <c r="D288" s="1">
        <v>45099</v>
      </c>
      <c r="F288" s="48">
        <v>9939780287</v>
      </c>
      <c r="G288" t="s">
        <v>576</v>
      </c>
      <c r="J288" s="5">
        <v>0</v>
      </c>
      <c r="K288" s="5">
        <v>717</v>
      </c>
      <c r="L288" s="5">
        <f t="shared" si="54"/>
        <v>846.06</v>
      </c>
      <c r="P288">
        <f t="shared" si="55"/>
        <v>17.925000000000001</v>
      </c>
      <c r="Q288">
        <f t="shared" si="56"/>
        <v>197.17500000000001</v>
      </c>
    </row>
    <row r="289" spans="1:19" ht="16.8">
      <c r="B289" s="9" t="s">
        <v>28</v>
      </c>
      <c r="C289" s="9" t="s">
        <v>584</v>
      </c>
      <c r="D289" s="1">
        <v>45099</v>
      </c>
      <c r="F289" s="48">
        <v>9304392497</v>
      </c>
      <c r="G289" t="s">
        <v>586</v>
      </c>
      <c r="J289" s="5">
        <v>0</v>
      </c>
      <c r="K289" s="5">
        <v>664</v>
      </c>
      <c r="L289" s="5">
        <f t="shared" si="54"/>
        <v>783.52</v>
      </c>
      <c r="O289" s="3" t="s">
        <v>585</v>
      </c>
      <c r="P289">
        <f t="shared" si="55"/>
        <v>16.600000000000001</v>
      </c>
      <c r="Q289">
        <f t="shared" si="56"/>
        <v>182.60000000000002</v>
      </c>
    </row>
    <row r="290" spans="1:19" ht="16.8">
      <c r="B290" s="9" t="s">
        <v>28</v>
      </c>
      <c r="C290" s="9" t="s">
        <v>588</v>
      </c>
      <c r="D290" s="1">
        <v>45101</v>
      </c>
      <c r="F290" s="48">
        <v>8603505617</v>
      </c>
      <c r="G290" t="s">
        <v>587</v>
      </c>
      <c r="J290" s="5">
        <v>0</v>
      </c>
      <c r="K290" s="5">
        <v>717</v>
      </c>
      <c r="L290" s="5">
        <f t="shared" si="54"/>
        <v>846.06</v>
      </c>
      <c r="O290" s="3" t="s">
        <v>589</v>
      </c>
      <c r="P290">
        <f t="shared" si="55"/>
        <v>17.925000000000001</v>
      </c>
      <c r="Q290">
        <f t="shared" si="56"/>
        <v>197.17500000000001</v>
      </c>
    </row>
    <row r="291" spans="1:19">
      <c r="A291" s="34"/>
      <c r="B291" s="35">
        <f>COUNT(K280:K290)</f>
        <v>11</v>
      </c>
      <c r="C291" s="35"/>
      <c r="D291" s="34"/>
      <c r="E291" s="34"/>
      <c r="F291" s="35"/>
      <c r="G291" s="34"/>
      <c r="H291" s="34"/>
      <c r="I291" s="46"/>
      <c r="J291" s="124">
        <f>SUM(J247:J247)</f>
        <v>0</v>
      </c>
      <c r="K291" s="124">
        <f t="shared" ref="K291:Q291" si="57">SUM(K280:K290)</f>
        <v>10419</v>
      </c>
      <c r="L291" s="124">
        <f t="shared" si="57"/>
        <v>12294.419999999998</v>
      </c>
      <c r="M291" s="34"/>
      <c r="N291" s="34">
        <f t="shared" si="57"/>
        <v>0</v>
      </c>
      <c r="O291" s="71">
        <f t="shared" si="57"/>
        <v>0</v>
      </c>
      <c r="P291" s="34">
        <f t="shared" si="57"/>
        <v>260.47500000000002</v>
      </c>
      <c r="Q291" s="34">
        <f t="shared" si="57"/>
        <v>2865.2250000000004</v>
      </c>
      <c r="R291">
        <v>6871</v>
      </c>
      <c r="S291" s="41"/>
    </row>
    <row r="292" spans="1:19" ht="16.8">
      <c r="D292" s="1"/>
      <c r="F292" s="48"/>
    </row>
    <row r="293" spans="1:19" ht="16.8">
      <c r="B293" s="9">
        <v>2</v>
      </c>
      <c r="C293" s="9" t="s">
        <v>591</v>
      </c>
      <c r="D293" s="1">
        <v>45108</v>
      </c>
      <c r="F293" s="48">
        <v>9204359913</v>
      </c>
      <c r="G293" t="s">
        <v>23</v>
      </c>
      <c r="J293" s="5">
        <v>0</v>
      </c>
      <c r="K293" s="5">
        <v>714</v>
      </c>
      <c r="L293" s="5">
        <f t="shared" ref="L293:L300" si="58">(J293+K293)*1.18</f>
        <v>842.52</v>
      </c>
      <c r="O293" s="3" t="s">
        <v>590</v>
      </c>
      <c r="P293">
        <f t="shared" ref="P293:P298" si="59">IF(B293=1,K293*2.5/100,J293*0.4)</f>
        <v>0</v>
      </c>
      <c r="Q293">
        <f>IF(OR(B293=2,B293=4),K293*0.31,IF(B293=3,J293*0.4+K293*0.025,J293*0.21+K293*0.025))</f>
        <v>221.34</v>
      </c>
    </row>
    <row r="294" spans="1:19" ht="16.8">
      <c r="B294" s="9">
        <v>2</v>
      </c>
      <c r="C294" s="9" t="s">
        <v>594</v>
      </c>
      <c r="D294" s="1">
        <v>45110</v>
      </c>
      <c r="F294" s="48">
        <v>9234408732</v>
      </c>
      <c r="G294" t="s">
        <v>595</v>
      </c>
      <c r="J294" s="5">
        <v>0</v>
      </c>
      <c r="K294" s="5">
        <v>714</v>
      </c>
      <c r="L294" s="5">
        <f t="shared" si="58"/>
        <v>842.52</v>
      </c>
      <c r="O294" s="3" t="s">
        <v>596</v>
      </c>
      <c r="P294">
        <f t="shared" si="59"/>
        <v>0</v>
      </c>
      <c r="Q294">
        <f t="shared" ref="Q294:Q314" si="60">IF(OR(B294=2,B294=4),K294*0.31,IF(B294=3,J294*0.4+K294*0.025,J294*0.21+K294*0.025))</f>
        <v>221.34</v>
      </c>
    </row>
    <row r="295" spans="1:19" ht="16.8">
      <c r="B295" s="9">
        <v>2</v>
      </c>
      <c r="C295" s="62" t="s">
        <v>603</v>
      </c>
      <c r="D295" s="1">
        <v>45113</v>
      </c>
      <c r="F295" s="48">
        <v>9771283032</v>
      </c>
      <c r="G295" t="s">
        <v>604</v>
      </c>
      <c r="J295" s="5">
        <v>0</v>
      </c>
      <c r="K295" s="5">
        <v>714</v>
      </c>
      <c r="L295" s="5">
        <f t="shared" si="58"/>
        <v>842.52</v>
      </c>
      <c r="O295" s="3" t="s">
        <v>605</v>
      </c>
      <c r="P295">
        <f t="shared" si="59"/>
        <v>0</v>
      </c>
      <c r="Q295">
        <f t="shared" si="60"/>
        <v>221.34</v>
      </c>
    </row>
    <row r="296" spans="1:19" ht="16.8">
      <c r="B296" s="9">
        <v>2</v>
      </c>
      <c r="C296" s="62" t="s">
        <v>608</v>
      </c>
      <c r="D296" s="1">
        <v>45113</v>
      </c>
      <c r="F296" s="48">
        <v>8092468457</v>
      </c>
      <c r="G296" t="s">
        <v>606</v>
      </c>
      <c r="J296" s="5">
        <v>0</v>
      </c>
      <c r="K296" s="5">
        <v>714</v>
      </c>
      <c r="L296" s="5">
        <f t="shared" si="58"/>
        <v>842.52</v>
      </c>
      <c r="O296" s="3" t="s">
        <v>607</v>
      </c>
      <c r="P296">
        <f t="shared" si="59"/>
        <v>0</v>
      </c>
      <c r="Q296">
        <f t="shared" si="60"/>
        <v>221.34</v>
      </c>
    </row>
    <row r="297" spans="1:19" ht="16.8">
      <c r="B297" s="9">
        <v>2</v>
      </c>
      <c r="C297" s="62"/>
      <c r="D297" s="1">
        <v>45113</v>
      </c>
      <c r="F297" s="48">
        <v>9204448336</v>
      </c>
      <c r="G297" t="s">
        <v>609</v>
      </c>
      <c r="J297" s="5">
        <v>0</v>
      </c>
      <c r="K297" s="5">
        <v>664</v>
      </c>
      <c r="L297" s="5">
        <f t="shared" si="58"/>
        <v>783.52</v>
      </c>
      <c r="O297" s="3" t="s">
        <v>610</v>
      </c>
      <c r="P297">
        <f t="shared" si="59"/>
        <v>0</v>
      </c>
      <c r="Q297">
        <f t="shared" si="60"/>
        <v>205.84</v>
      </c>
    </row>
    <row r="298" spans="1:19" ht="16.8">
      <c r="B298" s="9">
        <v>2</v>
      </c>
      <c r="C298" s="62"/>
      <c r="D298" s="1">
        <v>45115</v>
      </c>
      <c r="F298" s="48">
        <v>7070280539</v>
      </c>
      <c r="G298" t="s">
        <v>156</v>
      </c>
      <c r="J298" s="5">
        <v>0</v>
      </c>
      <c r="K298" s="5">
        <v>714</v>
      </c>
      <c r="L298" s="5">
        <f t="shared" si="58"/>
        <v>842.52</v>
      </c>
      <c r="P298">
        <f t="shared" si="59"/>
        <v>0</v>
      </c>
      <c r="Q298">
        <f t="shared" si="60"/>
        <v>221.34</v>
      </c>
    </row>
    <row r="299" spans="1:19" ht="16.8">
      <c r="B299" s="9">
        <f>1+4</f>
        <v>5</v>
      </c>
      <c r="C299" s="62" t="s">
        <v>611</v>
      </c>
      <c r="D299" s="1">
        <v>45115</v>
      </c>
      <c r="F299" s="48">
        <v>9801338906</v>
      </c>
      <c r="G299" t="s">
        <v>612</v>
      </c>
      <c r="J299" s="5">
        <v>1067.77</v>
      </c>
      <c r="K299" s="5">
        <v>2424</v>
      </c>
      <c r="L299" s="5">
        <f t="shared" si="58"/>
        <v>4120.2885999999999</v>
      </c>
      <c r="O299" s="3" t="s">
        <v>613</v>
      </c>
      <c r="Q299">
        <f t="shared" si="60"/>
        <v>284.83170000000001</v>
      </c>
    </row>
    <row r="300" spans="1:19" ht="16.8">
      <c r="B300" s="9">
        <v>2</v>
      </c>
      <c r="C300" s="62" t="s">
        <v>614</v>
      </c>
      <c r="D300" s="1">
        <v>45117</v>
      </c>
      <c r="F300" s="48">
        <v>7250121445</v>
      </c>
      <c r="G300" t="s">
        <v>615</v>
      </c>
      <c r="J300" s="5">
        <v>0</v>
      </c>
      <c r="K300" s="5">
        <v>714</v>
      </c>
      <c r="L300" s="5">
        <f t="shared" si="58"/>
        <v>842.52</v>
      </c>
      <c r="O300" s="3" t="s">
        <v>616</v>
      </c>
      <c r="P300">
        <f>IF(B300="TP",K300*2.5/100,J300*0.4)</f>
        <v>0</v>
      </c>
      <c r="Q300">
        <f t="shared" si="60"/>
        <v>221.34</v>
      </c>
    </row>
    <row r="301" spans="1:19" ht="16.8">
      <c r="B301" s="9">
        <v>2</v>
      </c>
      <c r="C301" s="62" t="s">
        <v>617</v>
      </c>
      <c r="D301" s="1">
        <v>45117</v>
      </c>
      <c r="F301" s="48">
        <v>9931828453</v>
      </c>
      <c r="J301" s="5">
        <v>0</v>
      </c>
      <c r="K301" s="5">
        <v>714</v>
      </c>
      <c r="L301" s="5">
        <f t="shared" ref="L301:L314" si="61">(J301+K301)*1.18</f>
        <v>842.52</v>
      </c>
      <c r="P301">
        <f>IF(B301="TP",K301*2.5/100,J301*0.4)</f>
        <v>0</v>
      </c>
      <c r="Q301">
        <f t="shared" si="60"/>
        <v>221.34</v>
      </c>
      <c r="S301">
        <f>J299*0.21+K299*0.025</f>
        <v>284.83170000000001</v>
      </c>
    </row>
    <row r="302" spans="1:19" ht="16.8">
      <c r="B302" s="9">
        <v>2</v>
      </c>
      <c r="C302" s="62" t="s">
        <v>622</v>
      </c>
      <c r="D302" s="1">
        <v>45119</v>
      </c>
      <c r="F302" s="48">
        <v>7209077155</v>
      </c>
      <c r="J302" s="5">
        <v>0</v>
      </c>
      <c r="K302" s="5">
        <v>714</v>
      </c>
      <c r="L302" s="5">
        <f t="shared" si="61"/>
        <v>842.52</v>
      </c>
      <c r="O302" s="3" t="s">
        <v>621</v>
      </c>
      <c r="Q302" s="5">
        <f t="shared" si="60"/>
        <v>221.34</v>
      </c>
    </row>
    <row r="303" spans="1:19" ht="16.8">
      <c r="B303" s="9">
        <v>2</v>
      </c>
      <c r="C303" s="62" t="s">
        <v>623</v>
      </c>
      <c r="D303" s="1">
        <v>45119</v>
      </c>
      <c r="F303" s="48">
        <v>9470938358</v>
      </c>
      <c r="J303" s="5">
        <v>0</v>
      </c>
      <c r="K303" s="5">
        <v>714</v>
      </c>
      <c r="L303" s="5">
        <f t="shared" si="61"/>
        <v>842.52</v>
      </c>
      <c r="O303" s="3" t="s">
        <v>624</v>
      </c>
      <c r="Q303" s="5">
        <f t="shared" si="60"/>
        <v>221.34</v>
      </c>
    </row>
    <row r="304" spans="1:19" ht="16.8">
      <c r="B304" s="9">
        <v>2</v>
      </c>
      <c r="C304" s="62" t="s">
        <v>627</v>
      </c>
      <c r="D304" s="1">
        <v>45120</v>
      </c>
      <c r="F304" s="48"/>
      <c r="G304" t="s">
        <v>626</v>
      </c>
      <c r="J304" s="5">
        <v>0</v>
      </c>
      <c r="K304" s="5">
        <v>714</v>
      </c>
      <c r="L304" s="5">
        <f t="shared" si="61"/>
        <v>842.52</v>
      </c>
      <c r="O304" s="3" t="s">
        <v>625</v>
      </c>
      <c r="Q304" s="5">
        <f t="shared" si="60"/>
        <v>221.34</v>
      </c>
    </row>
    <row r="305" spans="1:18" ht="16.8">
      <c r="B305" s="9">
        <v>2</v>
      </c>
      <c r="C305" s="62" t="s">
        <v>629</v>
      </c>
      <c r="D305" s="1">
        <v>45126</v>
      </c>
      <c r="F305" s="48">
        <v>9162187656</v>
      </c>
      <c r="G305" t="s">
        <v>630</v>
      </c>
      <c r="J305" s="5">
        <v>0</v>
      </c>
      <c r="K305" s="5">
        <v>714</v>
      </c>
      <c r="L305" s="5">
        <f t="shared" si="61"/>
        <v>842.52</v>
      </c>
      <c r="O305" s="3" t="s">
        <v>628</v>
      </c>
      <c r="Q305" s="5">
        <f t="shared" si="60"/>
        <v>221.34</v>
      </c>
    </row>
    <row r="306" spans="1:18" ht="16.8">
      <c r="B306" s="9">
        <v>2</v>
      </c>
      <c r="C306" s="9" t="s">
        <v>631</v>
      </c>
      <c r="D306" s="1">
        <v>45127</v>
      </c>
      <c r="F306" s="48">
        <v>9199535807</v>
      </c>
      <c r="G306" t="s">
        <v>634</v>
      </c>
      <c r="J306" s="5">
        <v>0</v>
      </c>
      <c r="K306" s="5">
        <v>714</v>
      </c>
      <c r="L306" s="5">
        <f t="shared" si="61"/>
        <v>842.52</v>
      </c>
      <c r="O306" s="3" t="s">
        <v>633</v>
      </c>
      <c r="Q306" s="5">
        <f t="shared" si="60"/>
        <v>221.34</v>
      </c>
    </row>
    <row r="307" spans="1:18" ht="16.8">
      <c r="B307" s="9">
        <v>2</v>
      </c>
      <c r="C307" s="9" t="s">
        <v>631</v>
      </c>
      <c r="D307" s="1">
        <v>45127</v>
      </c>
      <c r="F307" s="48">
        <v>8789891181</v>
      </c>
      <c r="G307" t="s">
        <v>632</v>
      </c>
      <c r="J307" s="5">
        <v>0</v>
      </c>
      <c r="K307" s="5">
        <v>714</v>
      </c>
      <c r="L307" s="5">
        <f t="shared" si="61"/>
        <v>842.52</v>
      </c>
      <c r="O307" s="3" t="s">
        <v>635</v>
      </c>
      <c r="Q307" s="5">
        <f t="shared" si="60"/>
        <v>221.34</v>
      </c>
    </row>
    <row r="308" spans="1:18" ht="16.8">
      <c r="B308" s="9">
        <v>4</v>
      </c>
      <c r="C308" s="62" t="s">
        <v>636</v>
      </c>
      <c r="D308" s="1">
        <v>45128</v>
      </c>
      <c r="F308" s="48"/>
      <c r="J308" s="5">
        <v>0</v>
      </c>
      <c r="K308" s="5">
        <v>1994</v>
      </c>
      <c r="L308" s="5">
        <f t="shared" si="61"/>
        <v>2352.92</v>
      </c>
      <c r="Q308" s="5">
        <f t="shared" si="60"/>
        <v>618.14</v>
      </c>
    </row>
    <row r="309" spans="1:18" ht="16.8">
      <c r="B309" s="9">
        <v>2</v>
      </c>
      <c r="C309" s="9" t="s">
        <v>637</v>
      </c>
      <c r="D309" s="1">
        <v>45129</v>
      </c>
      <c r="F309" s="48">
        <v>9263956342</v>
      </c>
      <c r="G309" t="s">
        <v>639</v>
      </c>
      <c r="J309" s="5">
        <v>0</v>
      </c>
      <c r="K309" s="5">
        <v>714</v>
      </c>
      <c r="L309" s="5">
        <f t="shared" si="61"/>
        <v>842.52</v>
      </c>
      <c r="O309" s="3" t="s">
        <v>638</v>
      </c>
      <c r="Q309" s="5">
        <f t="shared" si="60"/>
        <v>221.34</v>
      </c>
    </row>
    <row r="310" spans="1:18" ht="16.8">
      <c r="B310" s="9">
        <v>2</v>
      </c>
      <c r="C310" s="9" t="s">
        <v>637</v>
      </c>
      <c r="D310" s="1">
        <v>45129</v>
      </c>
      <c r="F310" s="48">
        <v>9709107355</v>
      </c>
      <c r="G310" t="s">
        <v>641</v>
      </c>
      <c r="J310" s="5">
        <v>0</v>
      </c>
      <c r="K310" s="5">
        <v>714</v>
      </c>
      <c r="L310" s="5">
        <f t="shared" si="61"/>
        <v>842.52</v>
      </c>
      <c r="O310" s="3" t="s">
        <v>640</v>
      </c>
      <c r="Q310" s="5">
        <f t="shared" si="60"/>
        <v>221.34</v>
      </c>
    </row>
    <row r="311" spans="1:18" ht="16.8">
      <c r="B311" s="9">
        <v>4</v>
      </c>
      <c r="C311" s="62" t="s">
        <v>642</v>
      </c>
      <c r="D311" s="1">
        <v>45129</v>
      </c>
      <c r="F311" s="48"/>
      <c r="G311" t="s">
        <v>643</v>
      </c>
      <c r="J311" s="5">
        <v>0</v>
      </c>
      <c r="K311" s="5">
        <v>3316</v>
      </c>
      <c r="L311" s="5">
        <f t="shared" si="61"/>
        <v>3912.8799999999997</v>
      </c>
      <c r="O311" s="3" t="s">
        <v>644</v>
      </c>
      <c r="Q311" s="5">
        <f t="shared" si="60"/>
        <v>1027.96</v>
      </c>
    </row>
    <row r="312" spans="1:18" ht="16.8">
      <c r="B312" s="9">
        <v>2</v>
      </c>
      <c r="C312" s="62" t="s">
        <v>646</v>
      </c>
      <c r="D312" s="1">
        <v>45132</v>
      </c>
      <c r="F312" s="48">
        <v>7542926214</v>
      </c>
      <c r="G312" t="s">
        <v>647</v>
      </c>
      <c r="J312" s="5">
        <v>0</v>
      </c>
      <c r="K312" s="5">
        <v>714</v>
      </c>
      <c r="L312" s="5">
        <f t="shared" si="61"/>
        <v>842.52</v>
      </c>
      <c r="O312" s="3" t="s">
        <v>645</v>
      </c>
      <c r="Q312" s="5">
        <f t="shared" si="60"/>
        <v>221.34</v>
      </c>
    </row>
    <row r="313" spans="1:18" ht="16.8">
      <c r="B313" s="9">
        <v>2</v>
      </c>
      <c r="C313" s="62" t="s">
        <v>648</v>
      </c>
      <c r="D313" s="1">
        <v>45133</v>
      </c>
      <c r="F313" s="48">
        <v>9031904806</v>
      </c>
      <c r="J313" s="5">
        <v>0</v>
      </c>
      <c r="K313" s="5">
        <v>714</v>
      </c>
      <c r="L313" s="5">
        <f t="shared" si="61"/>
        <v>842.52</v>
      </c>
      <c r="Q313" s="5">
        <f t="shared" si="60"/>
        <v>221.34</v>
      </c>
    </row>
    <row r="314" spans="1:18" ht="16.8">
      <c r="B314" s="9">
        <v>2</v>
      </c>
      <c r="C314" s="62" t="s">
        <v>648</v>
      </c>
      <c r="D314" s="1">
        <v>45138</v>
      </c>
      <c r="F314" s="48">
        <v>9939629542</v>
      </c>
      <c r="G314" t="s">
        <v>180</v>
      </c>
      <c r="J314" s="5">
        <v>0</v>
      </c>
      <c r="K314" s="5">
        <v>714</v>
      </c>
      <c r="L314" s="5">
        <f t="shared" si="61"/>
        <v>842.52</v>
      </c>
      <c r="O314" s="3" t="s">
        <v>182</v>
      </c>
      <c r="Q314" s="5">
        <f t="shared" si="60"/>
        <v>221.34</v>
      </c>
    </row>
    <row r="315" spans="1:18" ht="16.8">
      <c r="C315" s="62"/>
      <c r="D315" s="1"/>
      <c r="F315" s="48"/>
    </row>
    <row r="316" spans="1:18">
      <c r="A316" s="34"/>
      <c r="B316" s="35">
        <f>COUNT(K293:K315)</f>
        <v>22</v>
      </c>
      <c r="C316" s="35"/>
      <c r="D316" s="34"/>
      <c r="E316" s="34"/>
      <c r="F316" s="35"/>
      <c r="G316" s="34"/>
      <c r="H316" s="34"/>
      <c r="I316" s="46"/>
      <c r="J316" s="124">
        <f>SUM(J293:J315)</f>
        <v>1067.77</v>
      </c>
      <c r="K316" s="124">
        <f>SUM(K293:K315)</f>
        <v>21250</v>
      </c>
      <c r="L316" s="124">
        <f>SUM(L293:L315)</f>
        <v>26334.968600000007</v>
      </c>
      <c r="M316" s="34"/>
      <c r="N316" s="34">
        <f>SUM(N295:N315)</f>
        <v>0</v>
      </c>
      <c r="O316" s="71">
        <f>SUM(O295:O315)</f>
        <v>0</v>
      </c>
      <c r="P316" s="34">
        <f>SUM(P295:P315)</f>
        <v>0</v>
      </c>
      <c r="Q316" s="34">
        <f>SUM(Q293:Q315)</f>
        <v>6120.891700000001</v>
      </c>
      <c r="R316">
        <v>6450</v>
      </c>
    </row>
    <row r="317" spans="1:18">
      <c r="Q317"/>
    </row>
    <row r="318" spans="1:18" ht="16.8">
      <c r="B318" s="9">
        <v>2</v>
      </c>
      <c r="C318" s="9" t="s">
        <v>649</v>
      </c>
      <c r="D318" s="1">
        <v>45141</v>
      </c>
      <c r="F318" s="48">
        <v>9334536985</v>
      </c>
      <c r="G318" t="s">
        <v>679</v>
      </c>
      <c r="J318" s="5">
        <v>0</v>
      </c>
      <c r="K318" s="5">
        <v>714</v>
      </c>
      <c r="L318" s="5">
        <f t="shared" ref="L318:L324" si="62">(J318+K318)*1.18</f>
        <v>842.52</v>
      </c>
      <c r="O318" s="128"/>
      <c r="Q318" s="5">
        <f t="shared" ref="Q318:Q328" si="63">IF(OR(B318=2,B318=4),K318*0.31,IF(B318=3,J318*0.4+K318*0.025,J318*0.21+K318*0.025))</f>
        <v>221.34</v>
      </c>
    </row>
    <row r="319" spans="1:18" ht="16.8">
      <c r="B319" s="9">
        <v>2</v>
      </c>
      <c r="C319" s="9" t="s">
        <v>650</v>
      </c>
      <c r="D319" s="1">
        <v>45143</v>
      </c>
      <c r="F319" s="48">
        <v>6202580820</v>
      </c>
      <c r="G319" t="s">
        <v>651</v>
      </c>
      <c r="J319" s="5">
        <v>0</v>
      </c>
      <c r="K319" s="5">
        <v>1316</v>
      </c>
      <c r="L319" s="5">
        <f t="shared" si="62"/>
        <v>1552.8799999999999</v>
      </c>
      <c r="O319" s="3" t="s">
        <v>652</v>
      </c>
      <c r="Q319" s="5">
        <f t="shared" si="63"/>
        <v>407.96</v>
      </c>
    </row>
    <row r="320" spans="1:18" ht="16.8">
      <c r="B320" s="9">
        <v>2</v>
      </c>
      <c r="C320" s="9" t="s">
        <v>653</v>
      </c>
      <c r="D320" s="1">
        <v>45143</v>
      </c>
      <c r="F320" s="48">
        <v>7541961131</v>
      </c>
      <c r="J320" s="5">
        <v>0</v>
      </c>
      <c r="K320" s="5">
        <v>714</v>
      </c>
      <c r="L320" s="5">
        <f t="shared" si="62"/>
        <v>842.52</v>
      </c>
      <c r="O320" s="3" t="s">
        <v>654</v>
      </c>
      <c r="Q320" s="5">
        <f t="shared" si="63"/>
        <v>221.34</v>
      </c>
    </row>
    <row r="321" spans="1:19" ht="16.8">
      <c r="B321" s="9">
        <v>4</v>
      </c>
      <c r="C321" s="9" t="s">
        <v>655</v>
      </c>
      <c r="D321" s="1">
        <v>45145</v>
      </c>
      <c r="F321" s="48">
        <v>9798324329</v>
      </c>
      <c r="G321" t="s">
        <v>681</v>
      </c>
      <c r="J321" s="5">
        <v>0</v>
      </c>
      <c r="K321" s="5">
        <v>1994</v>
      </c>
      <c r="L321" s="5">
        <f t="shared" si="62"/>
        <v>2352.92</v>
      </c>
      <c r="O321" s="3" t="s">
        <v>656</v>
      </c>
      <c r="Q321" s="5">
        <f t="shared" si="63"/>
        <v>618.14</v>
      </c>
    </row>
    <row r="322" spans="1:19" ht="16.8">
      <c r="B322" s="9">
        <v>4</v>
      </c>
      <c r="C322" s="9" t="s">
        <v>658</v>
      </c>
      <c r="D322" s="1">
        <v>45146</v>
      </c>
      <c r="F322" s="48">
        <v>7250482933</v>
      </c>
      <c r="G322" t="s">
        <v>680</v>
      </c>
      <c r="J322" s="5">
        <v>0</v>
      </c>
      <c r="K322" s="5">
        <v>1994</v>
      </c>
      <c r="L322" s="5">
        <f t="shared" si="62"/>
        <v>2352.92</v>
      </c>
      <c r="O322" s="3" t="s">
        <v>657</v>
      </c>
      <c r="Q322" s="5">
        <f t="shared" si="63"/>
        <v>618.14</v>
      </c>
    </row>
    <row r="323" spans="1:19" ht="16.8">
      <c r="B323" s="9">
        <v>2</v>
      </c>
      <c r="C323" s="9" t="s">
        <v>659</v>
      </c>
      <c r="D323" s="1">
        <v>45147</v>
      </c>
      <c r="F323" s="48">
        <v>7033179949</v>
      </c>
      <c r="G323" t="s">
        <v>178</v>
      </c>
      <c r="J323" s="5">
        <v>0</v>
      </c>
      <c r="K323" s="5">
        <v>714</v>
      </c>
      <c r="L323" s="5">
        <f t="shared" si="62"/>
        <v>842.52</v>
      </c>
      <c r="O323" s="3" t="s">
        <v>177</v>
      </c>
      <c r="Q323" s="5">
        <f t="shared" si="63"/>
        <v>221.34</v>
      </c>
    </row>
    <row r="324" spans="1:19" ht="16.8">
      <c r="B324" s="9">
        <v>2</v>
      </c>
      <c r="C324" s="9" t="s">
        <v>661</v>
      </c>
      <c r="D324" s="1">
        <v>45149</v>
      </c>
      <c r="F324" s="48"/>
      <c r="G324" t="s">
        <v>107</v>
      </c>
      <c r="J324" s="5">
        <v>0</v>
      </c>
      <c r="K324" s="5">
        <v>714</v>
      </c>
      <c r="L324" s="5">
        <f t="shared" si="62"/>
        <v>842.52</v>
      </c>
      <c r="O324" s="3" t="s">
        <v>660</v>
      </c>
      <c r="Q324" s="5">
        <f t="shared" si="63"/>
        <v>221.34</v>
      </c>
    </row>
    <row r="325" spans="1:19" ht="16.8">
      <c r="B325" s="9">
        <v>2</v>
      </c>
      <c r="C325" s="9" t="s">
        <v>662</v>
      </c>
      <c r="D325" s="1">
        <v>45154</v>
      </c>
      <c r="F325" s="48">
        <v>9110947409</v>
      </c>
      <c r="G325" t="s">
        <v>133</v>
      </c>
      <c r="J325" s="5">
        <v>0</v>
      </c>
      <c r="K325" s="5">
        <v>714</v>
      </c>
      <c r="L325" s="5">
        <f>(J325+K325)*1.18</f>
        <v>842.52</v>
      </c>
      <c r="O325" s="3" t="s">
        <v>132</v>
      </c>
      <c r="Q325" s="5">
        <f t="shared" si="63"/>
        <v>221.34</v>
      </c>
    </row>
    <row r="326" spans="1:19" ht="16.8">
      <c r="B326" s="9">
        <v>2</v>
      </c>
      <c r="C326" s="9" t="s">
        <v>665</v>
      </c>
      <c r="D326" s="1">
        <v>45156</v>
      </c>
      <c r="F326" s="48">
        <v>8797943118</v>
      </c>
      <c r="G326" t="s">
        <v>663</v>
      </c>
      <c r="J326" s="5">
        <v>0</v>
      </c>
      <c r="K326" s="5">
        <v>714</v>
      </c>
      <c r="L326" s="5">
        <f>(J326+K326)*1.18</f>
        <v>842.52</v>
      </c>
      <c r="O326" s="3" t="s">
        <v>664</v>
      </c>
      <c r="Q326" s="5">
        <f t="shared" si="63"/>
        <v>221.34</v>
      </c>
    </row>
    <row r="327" spans="1:19" ht="16.8">
      <c r="A327" s="36"/>
      <c r="B327" s="37">
        <v>4</v>
      </c>
      <c r="C327" s="37" t="s">
        <v>666</v>
      </c>
      <c r="D327" s="38">
        <v>45162</v>
      </c>
      <c r="E327" s="36"/>
      <c r="F327" s="49">
        <v>9234550363</v>
      </c>
      <c r="G327" s="36" t="s">
        <v>667</v>
      </c>
      <c r="H327" s="36"/>
      <c r="I327" s="47"/>
      <c r="J327" s="39">
        <v>0</v>
      </c>
      <c r="K327" s="39">
        <v>3416</v>
      </c>
      <c r="L327" s="39">
        <f>(J327+K327)*1.18</f>
        <v>4030.8799999999997</v>
      </c>
      <c r="M327" s="36"/>
      <c r="N327" s="36"/>
      <c r="O327" s="72" t="s">
        <v>668</v>
      </c>
      <c r="P327" s="40" t="s">
        <v>669</v>
      </c>
      <c r="Q327" s="39"/>
    </row>
    <row r="328" spans="1:19" ht="16.8">
      <c r="B328" s="9">
        <v>2</v>
      </c>
      <c r="C328" s="9" t="s">
        <v>673</v>
      </c>
      <c r="D328" s="1">
        <v>45167</v>
      </c>
      <c r="F328" s="48">
        <v>8603319673</v>
      </c>
      <c r="G328" t="s">
        <v>672</v>
      </c>
      <c r="J328" s="5">
        <v>0</v>
      </c>
      <c r="K328" s="5">
        <v>714</v>
      </c>
      <c r="L328" s="5">
        <f>(J328+K328)*1.18</f>
        <v>842.52</v>
      </c>
      <c r="O328" s="3" t="s">
        <v>671</v>
      </c>
      <c r="Q328" s="5">
        <f t="shared" si="63"/>
        <v>221.34</v>
      </c>
    </row>
    <row r="329" spans="1:19" ht="16.8">
      <c r="B329" s="9">
        <v>4</v>
      </c>
      <c r="C329" s="9" t="s">
        <v>676</v>
      </c>
      <c r="D329" s="1">
        <v>45168</v>
      </c>
      <c r="F329" s="48">
        <v>8092181825</v>
      </c>
      <c r="G329" t="s">
        <v>675</v>
      </c>
      <c r="J329" s="5">
        <v>16478.0593220339</v>
      </c>
      <c r="K329" s="5">
        <v>0</v>
      </c>
      <c r="L329" s="5">
        <f>(J329+K329)*1.18</f>
        <v>19444.11</v>
      </c>
      <c r="O329" s="3" t="s">
        <v>674</v>
      </c>
      <c r="Q329" s="5">
        <f>J329*0.2</f>
        <v>3295.6118644067801</v>
      </c>
      <c r="S329" t="s">
        <v>670</v>
      </c>
    </row>
    <row r="330" spans="1:19" ht="16.8">
      <c r="F330" s="48"/>
      <c r="Q330"/>
    </row>
    <row r="331" spans="1:19">
      <c r="A331" s="34"/>
      <c r="B331" s="35">
        <f>COUNT(K318:K330)</f>
        <v>12</v>
      </c>
      <c r="C331" s="35"/>
      <c r="D331" s="34"/>
      <c r="E331" s="34"/>
      <c r="F331" s="35"/>
      <c r="G331" s="34"/>
      <c r="H331" s="34"/>
      <c r="I331" s="46"/>
      <c r="J331" s="124">
        <f>SUM(J318:J330)</f>
        <v>16478.0593220339</v>
      </c>
      <c r="K331" s="124">
        <f>SUM(K318:K330)</f>
        <v>13718</v>
      </c>
      <c r="L331" s="124">
        <f>SUM(L318:L330)</f>
        <v>35631.350000000006</v>
      </c>
      <c r="M331" s="34"/>
      <c r="N331" s="34">
        <f>SUM(N304:N330)</f>
        <v>0</v>
      </c>
      <c r="O331" s="71">
        <f>SUM(O304:O330)</f>
        <v>0</v>
      </c>
      <c r="P331" s="34">
        <f>SUM(P304:P330)</f>
        <v>0</v>
      </c>
      <c r="Q331" s="34">
        <f>SUM(Q318:Q330)</f>
        <v>6489.2318644067809</v>
      </c>
    </row>
    <row r="332" spans="1:19" ht="16.8">
      <c r="F332" s="48"/>
      <c r="Q332"/>
    </row>
    <row r="333" spans="1:19" ht="16.8">
      <c r="B333" s="9">
        <v>2</v>
      </c>
      <c r="C333" s="9" t="s">
        <v>677</v>
      </c>
      <c r="D333" s="1">
        <v>45176</v>
      </c>
      <c r="F333" s="48">
        <v>9801580402</v>
      </c>
      <c r="G333" t="s">
        <v>695</v>
      </c>
      <c r="J333" s="5">
        <v>0</v>
      </c>
      <c r="K333" s="5">
        <v>714</v>
      </c>
      <c r="L333" s="5">
        <f t="shared" ref="L333:L349" si="64">(J333+K333)*1.18</f>
        <v>842.52</v>
      </c>
      <c r="O333" s="3" t="s">
        <v>678</v>
      </c>
      <c r="Q333" s="5">
        <f t="shared" ref="Q333:Q349" si="65">IF(OR(B333=2,B333=4),K333*0.31,IF(B333=3,J333*0.4+K333*0.025,J333*0.21+K333*0.025))</f>
        <v>221.34</v>
      </c>
    </row>
    <row r="334" spans="1:19" ht="16.8">
      <c r="B334" s="9">
        <v>2</v>
      </c>
      <c r="C334" s="9" t="s">
        <v>683</v>
      </c>
      <c r="D334" s="1">
        <v>45177</v>
      </c>
      <c r="F334" s="48">
        <v>9031183795</v>
      </c>
      <c r="G334" t="s">
        <v>696</v>
      </c>
      <c r="J334" s="5">
        <v>0</v>
      </c>
      <c r="K334" s="5">
        <v>714</v>
      </c>
      <c r="L334" s="5">
        <f t="shared" si="64"/>
        <v>842.52</v>
      </c>
      <c r="O334" s="3" t="s">
        <v>682</v>
      </c>
      <c r="Q334" s="5">
        <f t="shared" si="65"/>
        <v>221.34</v>
      </c>
    </row>
    <row r="335" spans="1:19" ht="16.8">
      <c r="B335" s="9">
        <v>2</v>
      </c>
      <c r="C335" s="9" t="s">
        <v>684</v>
      </c>
      <c r="D335" s="1">
        <v>45179</v>
      </c>
      <c r="F335" s="48">
        <v>9934538514</v>
      </c>
      <c r="G335" t="s">
        <v>697</v>
      </c>
      <c r="J335" s="5">
        <v>0</v>
      </c>
      <c r="K335" s="5">
        <v>714</v>
      </c>
      <c r="L335" s="5">
        <f t="shared" si="64"/>
        <v>842.52</v>
      </c>
      <c r="O335" s="3" t="s">
        <v>685</v>
      </c>
      <c r="Q335" s="5">
        <f t="shared" si="65"/>
        <v>221.34</v>
      </c>
    </row>
    <row r="336" spans="1:19" ht="16.8">
      <c r="B336" s="9">
        <v>2</v>
      </c>
      <c r="C336" s="9" t="s">
        <v>686</v>
      </c>
      <c r="D336" s="1">
        <v>45179</v>
      </c>
      <c r="F336" s="48">
        <v>9279714771</v>
      </c>
      <c r="G336" t="s">
        <v>698</v>
      </c>
      <c r="J336" s="5">
        <v>0</v>
      </c>
      <c r="K336" s="5">
        <v>1089</v>
      </c>
      <c r="L336" s="5">
        <f t="shared" si="64"/>
        <v>1285.02</v>
      </c>
      <c r="O336" s="3" t="s">
        <v>687</v>
      </c>
      <c r="Q336" s="5">
        <f t="shared" si="65"/>
        <v>337.59</v>
      </c>
    </row>
    <row r="337" spans="1:17" ht="16.8">
      <c r="B337" s="9">
        <v>2</v>
      </c>
      <c r="C337" s="9" t="s">
        <v>688</v>
      </c>
      <c r="D337" s="1">
        <v>45181</v>
      </c>
      <c r="F337" s="48">
        <v>9835130552</v>
      </c>
      <c r="G337" t="s">
        <v>699</v>
      </c>
      <c r="J337" s="5">
        <v>0</v>
      </c>
      <c r="K337" s="5">
        <v>714</v>
      </c>
      <c r="L337" s="5">
        <f t="shared" si="64"/>
        <v>842.52</v>
      </c>
      <c r="O337" s="3" t="s">
        <v>689</v>
      </c>
      <c r="Q337" s="5">
        <f t="shared" si="65"/>
        <v>221.34</v>
      </c>
    </row>
    <row r="338" spans="1:17" ht="16.8">
      <c r="B338" s="9">
        <v>2</v>
      </c>
      <c r="C338" s="9" t="s">
        <v>207</v>
      </c>
      <c r="D338" s="1">
        <v>45182</v>
      </c>
      <c r="F338" s="48">
        <v>9334644676</v>
      </c>
      <c r="G338" t="s">
        <v>693</v>
      </c>
      <c r="J338" s="5">
        <v>0</v>
      </c>
      <c r="K338" s="5">
        <v>714</v>
      </c>
      <c r="L338" s="5">
        <f t="shared" si="64"/>
        <v>842.52</v>
      </c>
      <c r="O338" s="3" t="s">
        <v>245</v>
      </c>
      <c r="Q338" s="5">
        <f t="shared" si="65"/>
        <v>221.34</v>
      </c>
    </row>
    <row r="339" spans="1:17" ht="16.8">
      <c r="B339" s="9">
        <v>2</v>
      </c>
      <c r="C339" s="9" t="s">
        <v>692</v>
      </c>
      <c r="D339" s="1">
        <v>45182</v>
      </c>
      <c r="F339" s="48">
        <v>8235242318</v>
      </c>
      <c r="G339" t="s">
        <v>694</v>
      </c>
      <c r="H339" s="1">
        <v>28532</v>
      </c>
      <c r="I339" s="42">
        <v>1479</v>
      </c>
      <c r="J339" s="5">
        <v>0</v>
      </c>
      <c r="K339" s="5">
        <v>714</v>
      </c>
      <c r="L339" s="5">
        <f t="shared" si="64"/>
        <v>842.52</v>
      </c>
      <c r="O339" s="3" t="s">
        <v>207</v>
      </c>
      <c r="Q339" s="5">
        <f t="shared" si="65"/>
        <v>221.34</v>
      </c>
    </row>
    <row r="340" spans="1:17" ht="16.8">
      <c r="B340" s="9">
        <v>2</v>
      </c>
      <c r="C340" s="9" t="s">
        <v>700</v>
      </c>
      <c r="D340" s="1">
        <v>45188</v>
      </c>
      <c r="F340" s="48">
        <v>9935328468</v>
      </c>
      <c r="J340" s="5">
        <v>0</v>
      </c>
      <c r="K340" s="5">
        <v>664</v>
      </c>
      <c r="L340" s="5">
        <f t="shared" si="64"/>
        <v>783.52</v>
      </c>
      <c r="O340" s="3" t="s">
        <v>701</v>
      </c>
      <c r="Q340" s="5">
        <f t="shared" si="65"/>
        <v>205.84</v>
      </c>
    </row>
    <row r="341" spans="1:17" ht="16.8">
      <c r="B341" s="9">
        <v>2</v>
      </c>
      <c r="C341" s="9" t="s">
        <v>704</v>
      </c>
      <c r="D341" s="1">
        <v>45190</v>
      </c>
      <c r="F341" s="48"/>
      <c r="G341" t="s">
        <v>702</v>
      </c>
      <c r="H341" s="1">
        <v>19372</v>
      </c>
      <c r="I341" s="42">
        <v>9662</v>
      </c>
      <c r="J341" s="5">
        <v>0</v>
      </c>
      <c r="K341" s="5">
        <v>664</v>
      </c>
      <c r="L341" s="5">
        <f t="shared" si="64"/>
        <v>783.52</v>
      </c>
      <c r="O341" s="3" t="s">
        <v>703</v>
      </c>
      <c r="Q341" s="5">
        <f t="shared" si="65"/>
        <v>205.84</v>
      </c>
    </row>
    <row r="342" spans="1:17" ht="16.8">
      <c r="B342" s="9">
        <v>4</v>
      </c>
      <c r="C342" s="9" t="s">
        <v>706</v>
      </c>
      <c r="D342" s="1">
        <v>45190</v>
      </c>
      <c r="F342" s="48">
        <v>9204522458</v>
      </c>
      <c r="G342" t="s">
        <v>705</v>
      </c>
      <c r="H342" s="1">
        <v>27592</v>
      </c>
      <c r="I342" s="42">
        <v>3990</v>
      </c>
      <c r="J342" s="5">
        <v>0</v>
      </c>
      <c r="K342" s="5">
        <v>1994</v>
      </c>
      <c r="L342" s="5">
        <f t="shared" si="64"/>
        <v>2352.92</v>
      </c>
      <c r="O342" s="3" t="s">
        <v>283</v>
      </c>
      <c r="Q342" s="5">
        <f t="shared" si="65"/>
        <v>618.14</v>
      </c>
    </row>
    <row r="343" spans="1:17" ht="16.8">
      <c r="B343" s="9">
        <v>4</v>
      </c>
      <c r="C343" s="9" t="s">
        <v>707</v>
      </c>
      <c r="D343" s="1">
        <v>45190</v>
      </c>
      <c r="F343" s="48">
        <v>9431183701</v>
      </c>
      <c r="G343" t="s">
        <v>713</v>
      </c>
      <c r="J343" s="5">
        <v>0</v>
      </c>
      <c r="K343" s="5">
        <v>7797</v>
      </c>
      <c r="L343" s="5">
        <f t="shared" si="64"/>
        <v>9200.4599999999991</v>
      </c>
      <c r="O343" s="3" t="s">
        <v>293</v>
      </c>
      <c r="Q343" s="5">
        <f t="shared" si="65"/>
        <v>2417.0700000000002</v>
      </c>
    </row>
    <row r="344" spans="1:17" ht="16.8">
      <c r="B344" s="9">
        <v>2</v>
      </c>
      <c r="C344" s="9" t="s">
        <v>708</v>
      </c>
      <c r="D344" s="1">
        <v>45191</v>
      </c>
      <c r="F344" s="48">
        <v>8789291079</v>
      </c>
      <c r="G344" t="s">
        <v>522</v>
      </c>
      <c r="H344" s="1">
        <v>27721</v>
      </c>
      <c r="J344" s="5">
        <v>0</v>
      </c>
      <c r="K344" s="5">
        <v>714</v>
      </c>
      <c r="L344" s="5">
        <f t="shared" si="64"/>
        <v>842.52</v>
      </c>
      <c r="O344" s="3" t="s">
        <v>708</v>
      </c>
      <c r="Q344" s="5">
        <f t="shared" si="65"/>
        <v>221.34</v>
      </c>
    </row>
    <row r="345" spans="1:17" s="28" customFormat="1" ht="18.600000000000001">
      <c r="A345"/>
      <c r="B345" s="9">
        <v>2</v>
      </c>
      <c r="C345" s="9" t="s">
        <v>710</v>
      </c>
      <c r="D345" s="1">
        <v>45191</v>
      </c>
      <c r="E345"/>
      <c r="F345" s="48">
        <v>9279444042</v>
      </c>
      <c r="G345" t="s">
        <v>709</v>
      </c>
      <c r="H345"/>
      <c r="I345" s="42"/>
      <c r="J345" s="5">
        <v>0</v>
      </c>
      <c r="K345" s="5">
        <v>1316</v>
      </c>
      <c r="L345" s="5">
        <f t="shared" si="64"/>
        <v>1552.8799999999999</v>
      </c>
      <c r="M345"/>
      <c r="N345"/>
      <c r="O345" s="3" t="s">
        <v>298</v>
      </c>
      <c r="Q345" s="5">
        <f t="shared" si="65"/>
        <v>407.96</v>
      </c>
    </row>
    <row r="346" spans="1:17" s="28" customFormat="1" ht="18.600000000000001">
      <c r="A346"/>
      <c r="B346" s="9">
        <v>2</v>
      </c>
      <c r="C346" s="9" t="s">
        <v>712</v>
      </c>
      <c r="D346" s="1">
        <v>45195</v>
      </c>
      <c r="E346"/>
      <c r="F346" s="48">
        <v>9661117865</v>
      </c>
      <c r="G346" t="s">
        <v>297</v>
      </c>
      <c r="H346" s="1">
        <v>30936</v>
      </c>
      <c r="I346" s="42" t="s">
        <v>711</v>
      </c>
      <c r="J346" s="5">
        <v>0</v>
      </c>
      <c r="K346" s="5">
        <v>714</v>
      </c>
      <c r="L346" s="5">
        <f t="shared" si="64"/>
        <v>842.52</v>
      </c>
      <c r="M346"/>
      <c r="N346"/>
      <c r="O346" s="3" t="s">
        <v>296</v>
      </c>
      <c r="Q346" s="5">
        <f t="shared" si="65"/>
        <v>221.34</v>
      </c>
    </row>
    <row r="347" spans="1:17" s="28" customFormat="1" ht="18.600000000000001">
      <c r="A347"/>
      <c r="B347" s="9">
        <v>2</v>
      </c>
      <c r="C347" s="9" t="s">
        <v>712</v>
      </c>
      <c r="D347" s="1">
        <v>45195</v>
      </c>
      <c r="E347"/>
      <c r="F347" s="48">
        <v>9934587315</v>
      </c>
      <c r="G347" t="s">
        <v>714</v>
      </c>
      <c r="H347"/>
      <c r="I347" s="42"/>
      <c r="J347" s="5">
        <v>0</v>
      </c>
      <c r="K347" s="5">
        <v>664</v>
      </c>
      <c r="L347" s="5">
        <f t="shared" si="64"/>
        <v>783.52</v>
      </c>
      <c r="M347"/>
      <c r="N347"/>
      <c r="O347" s="3" t="s">
        <v>296</v>
      </c>
      <c r="Q347" s="28">
        <f t="shared" si="65"/>
        <v>205.84</v>
      </c>
    </row>
    <row r="348" spans="1:17" s="28" customFormat="1" ht="18.600000000000001">
      <c r="A348"/>
      <c r="B348" s="9">
        <v>2</v>
      </c>
      <c r="C348" s="9" t="s">
        <v>818</v>
      </c>
      <c r="D348" s="1">
        <v>45196</v>
      </c>
      <c r="E348"/>
      <c r="F348" s="48">
        <v>8280177646</v>
      </c>
      <c r="G348" t="s">
        <v>817</v>
      </c>
      <c r="H348"/>
      <c r="I348" s="42"/>
      <c r="J348" s="5">
        <v>0</v>
      </c>
      <c r="K348" s="5">
        <v>714</v>
      </c>
      <c r="L348" s="5">
        <f t="shared" si="64"/>
        <v>842.52</v>
      </c>
      <c r="M348"/>
      <c r="N348"/>
      <c r="O348" s="3" t="s">
        <v>816</v>
      </c>
      <c r="Q348" s="28">
        <f t="shared" si="65"/>
        <v>221.34</v>
      </c>
    </row>
    <row r="349" spans="1:17" s="28" customFormat="1" ht="18.600000000000001">
      <c r="A349"/>
      <c r="B349" s="9">
        <v>2</v>
      </c>
      <c r="C349" s="9" t="s">
        <v>715</v>
      </c>
      <c r="D349" s="1"/>
      <c r="E349"/>
      <c r="F349" s="48">
        <v>7209717847</v>
      </c>
      <c r="G349"/>
      <c r="H349" s="1">
        <v>24671</v>
      </c>
      <c r="I349" s="42" t="s">
        <v>716</v>
      </c>
      <c r="J349" s="5">
        <v>0</v>
      </c>
      <c r="K349" s="5">
        <v>714</v>
      </c>
      <c r="L349" s="5">
        <f t="shared" si="64"/>
        <v>842.52</v>
      </c>
      <c r="M349"/>
      <c r="N349"/>
      <c r="O349" s="3"/>
      <c r="Q349" s="28">
        <f t="shared" si="65"/>
        <v>221.34</v>
      </c>
    </row>
    <row r="350" spans="1:17">
      <c r="A350" s="34"/>
      <c r="B350" s="35">
        <f>COUNT(K333:K349)</f>
        <v>17</v>
      </c>
      <c r="C350" s="35"/>
      <c r="D350" s="34"/>
      <c r="E350" s="34"/>
      <c r="F350" s="35"/>
      <c r="G350" s="34"/>
      <c r="H350" s="34"/>
      <c r="I350" s="46"/>
      <c r="J350" s="124">
        <f>SUM(J333:J345)</f>
        <v>0</v>
      </c>
      <c r="K350" s="124">
        <f>SUM(K333:K349)</f>
        <v>21328</v>
      </c>
      <c r="L350" s="124">
        <f>SUM(L333:L349)</f>
        <v>25167.040000000005</v>
      </c>
      <c r="M350" s="34"/>
      <c r="N350" s="34">
        <f>SUM(N311:N345)</f>
        <v>0</v>
      </c>
      <c r="O350" s="71">
        <f>SUM(O311:O345)</f>
        <v>0</v>
      </c>
      <c r="P350" s="34">
        <f>SUM(P311:P349)</f>
        <v>0</v>
      </c>
      <c r="Q350" s="34">
        <f>SUM(Q333:Q349)</f>
        <v>6611.68</v>
      </c>
    </row>
    <row r="351" spans="1:17">
      <c r="A351" s="41"/>
      <c r="B351" s="54"/>
      <c r="C351" s="54"/>
      <c r="D351" s="41"/>
      <c r="E351" s="41"/>
      <c r="F351" s="54"/>
      <c r="G351" s="41"/>
      <c r="H351" s="41"/>
      <c r="I351" s="55"/>
      <c r="J351" s="125"/>
      <c r="K351" s="125"/>
      <c r="L351" s="125"/>
      <c r="M351" s="41"/>
      <c r="N351" s="41"/>
      <c r="O351" s="73"/>
      <c r="P351" s="41"/>
      <c r="Q351" s="41"/>
    </row>
    <row r="352" spans="1:17" ht="16.8">
      <c r="F352" s="48"/>
      <c r="Q352"/>
    </row>
    <row r="353" spans="2:17" ht="18.600000000000001">
      <c r="B353" s="9">
        <v>4</v>
      </c>
      <c r="C353" s="9" t="s">
        <v>717</v>
      </c>
      <c r="D353" s="1">
        <v>45201</v>
      </c>
      <c r="F353" s="48">
        <v>9031183795</v>
      </c>
      <c r="G353" t="s">
        <v>260</v>
      </c>
      <c r="J353" s="5">
        <v>0</v>
      </c>
      <c r="K353" s="5">
        <v>1994</v>
      </c>
      <c r="L353" s="5">
        <f t="shared" ref="L353:L362" si="66">(J353+K353)*1.18</f>
        <v>2352.92</v>
      </c>
      <c r="O353" s="3" t="s">
        <v>259</v>
      </c>
      <c r="Q353" s="28">
        <f t="shared" ref="Q353:Q369" si="67">IF(OR(B353=2,B353=4),K353*0.31,IF(B353=3,J353*0.4+K353*0.025,J353*0.21+K353*0.025))</f>
        <v>618.14</v>
      </c>
    </row>
    <row r="354" spans="2:17" ht="18">
      <c r="B354" s="75">
        <v>2</v>
      </c>
      <c r="C354" s="75" t="s">
        <v>723</v>
      </c>
      <c r="D354" s="76">
        <v>45202</v>
      </c>
      <c r="E354" s="77"/>
      <c r="F354" s="75">
        <v>9661947920</v>
      </c>
      <c r="G354" s="77" t="s">
        <v>243</v>
      </c>
      <c r="H354" s="76">
        <v>31675</v>
      </c>
      <c r="I354" s="79" t="s">
        <v>722</v>
      </c>
      <c r="J354" s="123">
        <v>0</v>
      </c>
      <c r="K354" s="123">
        <v>714</v>
      </c>
      <c r="L354" s="123">
        <f t="shared" si="66"/>
        <v>842.52</v>
      </c>
      <c r="M354" s="77"/>
      <c r="N354" s="77"/>
      <c r="O354" s="78" t="s">
        <v>244</v>
      </c>
      <c r="P354" s="77"/>
      <c r="Q354" s="88">
        <f t="shared" si="67"/>
        <v>221.34</v>
      </c>
    </row>
    <row r="355" spans="2:17" ht="18.600000000000001">
      <c r="B355" s="75">
        <v>2</v>
      </c>
      <c r="C355" s="75" t="s">
        <v>723</v>
      </c>
      <c r="D355" s="76">
        <v>45205</v>
      </c>
      <c r="E355" s="77"/>
      <c r="F355" s="87">
        <v>7667862192</v>
      </c>
      <c r="G355" s="77" t="s">
        <v>285</v>
      </c>
      <c r="H355" s="76">
        <v>28736</v>
      </c>
      <c r="I355" s="79" t="s">
        <v>724</v>
      </c>
      <c r="J355" s="123">
        <v>0</v>
      </c>
      <c r="K355" s="123">
        <v>714</v>
      </c>
      <c r="L355" s="123">
        <f t="shared" si="66"/>
        <v>842.52</v>
      </c>
      <c r="M355" s="77"/>
      <c r="N355" s="77"/>
      <c r="O355" s="78" t="s">
        <v>286</v>
      </c>
      <c r="P355" s="77"/>
      <c r="Q355" s="88">
        <f t="shared" si="67"/>
        <v>221.34</v>
      </c>
    </row>
    <row r="356" spans="2:17" ht="18.600000000000001">
      <c r="B356" s="75">
        <v>2</v>
      </c>
      <c r="C356" s="75" t="s">
        <v>726</v>
      </c>
      <c r="D356" s="76">
        <v>45206</v>
      </c>
      <c r="E356" s="77"/>
      <c r="F356" s="87">
        <v>7004426401</v>
      </c>
      <c r="G356" s="77" t="s">
        <v>729</v>
      </c>
      <c r="H356" s="76">
        <v>31761</v>
      </c>
      <c r="I356" s="79" t="s">
        <v>727</v>
      </c>
      <c r="J356" s="123">
        <v>0</v>
      </c>
      <c r="K356" s="123">
        <v>714</v>
      </c>
      <c r="L356" s="123">
        <f t="shared" si="66"/>
        <v>842.52</v>
      </c>
      <c r="M356" s="77"/>
      <c r="N356" s="77"/>
      <c r="O356" s="78" t="s">
        <v>728</v>
      </c>
      <c r="P356" s="77"/>
      <c r="Q356" s="88">
        <f t="shared" si="67"/>
        <v>221.34</v>
      </c>
    </row>
    <row r="357" spans="2:17" ht="18.600000000000001">
      <c r="B357" s="9">
        <v>2</v>
      </c>
      <c r="C357" s="9" t="s">
        <v>746</v>
      </c>
      <c r="D357" s="1">
        <v>45208</v>
      </c>
      <c r="F357" s="48">
        <v>8340347515</v>
      </c>
      <c r="G357" t="s">
        <v>744</v>
      </c>
      <c r="H357" s="1">
        <v>18629</v>
      </c>
      <c r="I357" s="42" t="s">
        <v>730</v>
      </c>
      <c r="J357" s="5">
        <v>0</v>
      </c>
      <c r="K357" s="5">
        <v>714</v>
      </c>
      <c r="L357" s="5">
        <f t="shared" si="66"/>
        <v>842.52</v>
      </c>
      <c r="O357" s="3" t="s">
        <v>745</v>
      </c>
      <c r="Q357" s="28">
        <f t="shared" si="67"/>
        <v>221.34</v>
      </c>
    </row>
    <row r="358" spans="2:17" ht="18.600000000000001">
      <c r="B358" s="9">
        <v>2</v>
      </c>
      <c r="D358" s="1">
        <v>45209</v>
      </c>
      <c r="F358" s="48">
        <v>9934315219</v>
      </c>
      <c r="G358" t="s">
        <v>731</v>
      </c>
      <c r="H358" s="1">
        <v>29355</v>
      </c>
      <c r="I358" s="42" t="s">
        <v>732</v>
      </c>
      <c r="J358" s="5">
        <v>0</v>
      </c>
      <c r="K358" s="5">
        <v>714</v>
      </c>
      <c r="L358" s="5">
        <f t="shared" si="66"/>
        <v>842.52</v>
      </c>
      <c r="O358" s="3" t="s">
        <v>733</v>
      </c>
      <c r="Q358" s="28">
        <f t="shared" si="67"/>
        <v>221.34</v>
      </c>
    </row>
    <row r="359" spans="2:17" ht="18.600000000000001">
      <c r="B359" s="9">
        <v>2</v>
      </c>
      <c r="C359" s="9" t="s">
        <v>736</v>
      </c>
      <c r="D359" s="1">
        <v>45209</v>
      </c>
      <c r="F359" s="48">
        <v>8145977876</v>
      </c>
      <c r="G359" t="s">
        <v>735</v>
      </c>
      <c r="J359" s="5">
        <v>0</v>
      </c>
      <c r="K359" s="5">
        <v>714</v>
      </c>
      <c r="L359" s="5">
        <f t="shared" si="66"/>
        <v>842.52</v>
      </c>
      <c r="O359" s="3" t="s">
        <v>734</v>
      </c>
      <c r="Q359" s="28">
        <f t="shared" si="67"/>
        <v>221.34</v>
      </c>
    </row>
    <row r="360" spans="2:17" ht="19.2">
      <c r="B360" s="75">
        <v>2</v>
      </c>
      <c r="C360" s="75" t="s">
        <v>748</v>
      </c>
      <c r="D360" s="76">
        <v>45211</v>
      </c>
      <c r="E360" s="77"/>
      <c r="F360" s="93">
        <v>9835932956</v>
      </c>
      <c r="G360" s="77" t="s">
        <v>747</v>
      </c>
      <c r="H360" s="77"/>
      <c r="I360" s="79"/>
      <c r="J360" s="123">
        <v>0</v>
      </c>
      <c r="K360" s="123">
        <v>664</v>
      </c>
      <c r="L360" s="123">
        <f t="shared" si="66"/>
        <v>783.52</v>
      </c>
      <c r="M360" s="77"/>
      <c r="N360" s="77"/>
      <c r="O360" s="78"/>
      <c r="P360" s="77"/>
      <c r="Q360" s="88">
        <f t="shared" si="67"/>
        <v>205.84</v>
      </c>
    </row>
    <row r="361" spans="2:17" ht="19.2">
      <c r="B361" s="75">
        <v>2</v>
      </c>
      <c r="C361" s="75" t="s">
        <v>738</v>
      </c>
      <c r="D361" s="76">
        <v>45212</v>
      </c>
      <c r="E361" s="77"/>
      <c r="F361" s="93">
        <v>9431526387</v>
      </c>
      <c r="G361" s="77" t="s">
        <v>739</v>
      </c>
      <c r="H361" s="77"/>
      <c r="I361" s="79"/>
      <c r="J361" s="123">
        <v>0</v>
      </c>
      <c r="K361" s="123">
        <v>664</v>
      </c>
      <c r="L361" s="123">
        <f t="shared" si="66"/>
        <v>783.52</v>
      </c>
      <c r="M361" s="77"/>
      <c r="N361" s="77"/>
      <c r="O361" s="78" t="s">
        <v>737</v>
      </c>
      <c r="P361" s="77"/>
      <c r="Q361" s="88">
        <f t="shared" si="67"/>
        <v>205.84</v>
      </c>
    </row>
    <row r="362" spans="2:17" ht="18.600000000000001">
      <c r="B362" s="9">
        <v>2</v>
      </c>
      <c r="C362" s="9" t="s">
        <v>743</v>
      </c>
      <c r="D362" s="1">
        <v>45214</v>
      </c>
      <c r="F362" s="48">
        <v>9234544362</v>
      </c>
      <c r="G362" t="s">
        <v>741</v>
      </c>
      <c r="H362" s="1">
        <v>24716</v>
      </c>
      <c r="I362" s="42" t="s">
        <v>742</v>
      </c>
      <c r="J362" s="5">
        <v>0</v>
      </c>
      <c r="K362" s="5">
        <f>664+375</f>
        <v>1039</v>
      </c>
      <c r="L362" s="5">
        <f t="shared" si="66"/>
        <v>1226.02</v>
      </c>
      <c r="O362" s="3" t="s">
        <v>740</v>
      </c>
      <c r="Q362" s="28">
        <f t="shared" si="67"/>
        <v>322.08999999999997</v>
      </c>
    </row>
    <row r="363" spans="2:17" ht="18.600000000000001">
      <c r="B363" s="75">
        <v>4</v>
      </c>
      <c r="C363" s="75" t="s">
        <v>743</v>
      </c>
      <c r="D363" s="76">
        <v>45216</v>
      </c>
      <c r="E363" s="77"/>
      <c r="F363" s="87"/>
      <c r="G363" s="77" t="s">
        <v>752</v>
      </c>
      <c r="H363" s="77"/>
      <c r="I363" s="79"/>
      <c r="J363" s="123">
        <v>0</v>
      </c>
      <c r="K363" s="123">
        <v>2094</v>
      </c>
      <c r="L363" s="123">
        <f t="shared" ref="L363:L369" si="68">(J363+K363)*1.18</f>
        <v>2470.92</v>
      </c>
      <c r="M363" s="77"/>
      <c r="N363" s="77"/>
      <c r="O363" s="78" t="s">
        <v>320</v>
      </c>
      <c r="P363" s="77"/>
      <c r="Q363" s="88">
        <f t="shared" si="67"/>
        <v>649.14</v>
      </c>
    </row>
    <row r="364" spans="2:17" ht="18.600000000000001">
      <c r="B364" s="75">
        <v>2</v>
      </c>
      <c r="C364" s="75" t="s">
        <v>751</v>
      </c>
      <c r="D364" s="76">
        <v>45219</v>
      </c>
      <c r="E364" s="77"/>
      <c r="F364" s="87">
        <v>8969381504</v>
      </c>
      <c r="G364" s="77" t="s">
        <v>749</v>
      </c>
      <c r="H364" s="76">
        <v>22472</v>
      </c>
      <c r="I364" s="79" t="s">
        <v>750</v>
      </c>
      <c r="J364" s="123">
        <v>0</v>
      </c>
      <c r="K364" s="123">
        <v>714</v>
      </c>
      <c r="L364" s="123">
        <f t="shared" si="68"/>
        <v>842.52</v>
      </c>
      <c r="M364" s="77"/>
      <c r="N364" s="77"/>
      <c r="O364" s="78" t="s">
        <v>720</v>
      </c>
      <c r="P364" s="77"/>
      <c r="Q364" s="88">
        <f t="shared" si="67"/>
        <v>221.34</v>
      </c>
    </row>
    <row r="365" spans="2:17" ht="18.600000000000001">
      <c r="B365" s="9">
        <v>2</v>
      </c>
      <c r="C365" s="9" t="s">
        <v>753</v>
      </c>
      <c r="D365" s="1">
        <v>45222</v>
      </c>
      <c r="F365" s="48"/>
      <c r="G365" t="s">
        <v>754</v>
      </c>
      <c r="J365" s="5">
        <v>0</v>
      </c>
      <c r="K365" s="5">
        <v>664</v>
      </c>
      <c r="L365" s="5">
        <f t="shared" si="68"/>
        <v>783.52</v>
      </c>
      <c r="O365" s="3" t="s">
        <v>250</v>
      </c>
      <c r="Q365" s="28">
        <f t="shared" si="67"/>
        <v>205.84</v>
      </c>
    </row>
    <row r="366" spans="2:17" ht="18.600000000000001">
      <c r="B366" s="9">
        <v>2</v>
      </c>
      <c r="C366" s="9" t="s">
        <v>756</v>
      </c>
      <c r="D366" s="1">
        <v>45223</v>
      </c>
      <c r="F366" s="48">
        <v>9472725139</v>
      </c>
      <c r="G366" t="s">
        <v>227</v>
      </c>
      <c r="H366" s="1">
        <v>28744</v>
      </c>
      <c r="I366" s="42" t="s">
        <v>755</v>
      </c>
      <c r="J366" s="5">
        <v>0</v>
      </c>
      <c r="K366" s="5">
        <v>714</v>
      </c>
      <c r="L366" s="5">
        <f t="shared" si="68"/>
        <v>842.52</v>
      </c>
      <c r="Q366" s="28">
        <f t="shared" si="67"/>
        <v>221.34</v>
      </c>
    </row>
    <row r="367" spans="2:17" ht="18.600000000000001">
      <c r="B367" s="9">
        <v>2</v>
      </c>
      <c r="C367" s="9" t="s">
        <v>759</v>
      </c>
      <c r="D367" s="1">
        <v>45227</v>
      </c>
      <c r="F367" s="48">
        <v>9934175803</v>
      </c>
      <c r="G367" t="s">
        <v>760</v>
      </c>
      <c r="J367" s="5">
        <v>1</v>
      </c>
      <c r="K367" s="5">
        <v>714</v>
      </c>
      <c r="L367" s="5">
        <f t="shared" si="68"/>
        <v>843.69999999999993</v>
      </c>
      <c r="O367" s="3" t="s">
        <v>761</v>
      </c>
      <c r="Q367" s="28">
        <f t="shared" si="67"/>
        <v>221.34</v>
      </c>
    </row>
    <row r="368" spans="2:17" ht="18.600000000000001">
      <c r="B368" s="9">
        <v>2</v>
      </c>
      <c r="C368" s="9" t="s">
        <v>758</v>
      </c>
      <c r="D368" s="1">
        <v>45227</v>
      </c>
      <c r="F368" s="48">
        <v>9204352990</v>
      </c>
      <c r="G368" t="s">
        <v>528</v>
      </c>
      <c r="J368" s="5">
        <v>0</v>
      </c>
      <c r="K368" s="5">
        <v>1316</v>
      </c>
      <c r="L368" s="5">
        <f t="shared" si="68"/>
        <v>1552.8799999999999</v>
      </c>
      <c r="O368" s="3" t="s">
        <v>757</v>
      </c>
      <c r="Q368" s="28">
        <f t="shared" si="67"/>
        <v>407.96</v>
      </c>
    </row>
    <row r="369" spans="1:17" ht="18.600000000000001">
      <c r="B369" s="75">
        <v>5</v>
      </c>
      <c r="C369" s="75" t="s">
        <v>762</v>
      </c>
      <c r="D369" s="76">
        <v>45227</v>
      </c>
      <c r="E369" s="77"/>
      <c r="F369" s="87">
        <v>9931195820</v>
      </c>
      <c r="G369" s="77" t="s">
        <v>152</v>
      </c>
      <c r="H369" s="77"/>
      <c r="I369" s="79"/>
      <c r="J369" s="123">
        <v>2711</v>
      </c>
      <c r="K369" s="123">
        <v>3746</v>
      </c>
      <c r="L369" s="123">
        <f t="shared" si="68"/>
        <v>7619.2599999999993</v>
      </c>
      <c r="M369" s="77"/>
      <c r="N369" s="77"/>
      <c r="O369" s="78" t="s">
        <v>763</v>
      </c>
      <c r="P369" s="77"/>
      <c r="Q369" s="88">
        <f t="shared" si="67"/>
        <v>662.95999999999992</v>
      </c>
    </row>
    <row r="370" spans="1:17">
      <c r="A370" s="34"/>
      <c r="B370" s="35">
        <f>COUNT(K353:K369)</f>
        <v>17</v>
      </c>
      <c r="C370" s="35"/>
      <c r="D370" s="34"/>
      <c r="E370" s="34"/>
      <c r="F370" s="35"/>
      <c r="G370" s="34"/>
      <c r="H370" s="34"/>
      <c r="I370" s="46"/>
      <c r="J370" s="124">
        <f>SUM(J346:J360)</f>
        <v>0</v>
      </c>
      <c r="K370" s="124">
        <f t="shared" ref="K370:Q370" si="69">SUM(K353:K369)</f>
        <v>18607</v>
      </c>
      <c r="L370" s="124">
        <f t="shared" si="69"/>
        <v>25156.420000000002</v>
      </c>
      <c r="M370" s="34"/>
      <c r="N370" s="34">
        <f t="shared" si="69"/>
        <v>0</v>
      </c>
      <c r="O370" s="71">
        <f t="shared" si="69"/>
        <v>0</v>
      </c>
      <c r="P370" s="34">
        <f t="shared" si="69"/>
        <v>0</v>
      </c>
      <c r="Q370" s="34">
        <f t="shared" si="69"/>
        <v>5269.87</v>
      </c>
    </row>
    <row r="371" spans="1:17" ht="18.600000000000001">
      <c r="F371" s="48"/>
      <c r="Q371" s="28"/>
    </row>
    <row r="372" spans="1:17" ht="18.600000000000001">
      <c r="B372" s="9">
        <v>2</v>
      </c>
      <c r="C372" s="50" t="s">
        <v>766</v>
      </c>
      <c r="D372" s="51">
        <v>45231</v>
      </c>
      <c r="E372" s="52"/>
      <c r="F372" s="53">
        <v>9204352990</v>
      </c>
      <c r="G372" s="52" t="s">
        <v>764</v>
      </c>
      <c r="H372" s="51">
        <v>18056</v>
      </c>
      <c r="I372" s="89" t="s">
        <v>765</v>
      </c>
      <c r="J372" s="126">
        <v>0</v>
      </c>
      <c r="K372" s="126">
        <v>714</v>
      </c>
      <c r="L372" s="126">
        <f t="shared" ref="L372:L382" si="70">(J372+K372)*1.18</f>
        <v>842.52</v>
      </c>
      <c r="M372" s="52"/>
      <c r="N372" s="52"/>
      <c r="O372" s="70" t="s">
        <v>342</v>
      </c>
      <c r="P372" s="52"/>
      <c r="Q372" s="90">
        <f t="shared" ref="Q372:Q381" si="71">IF(OR(B372=2,B372=4),K372*0.31,IF(B372=3,J372*0.4+K372*0.025,J372*0.21+K372*0.025))</f>
        <v>221.34</v>
      </c>
    </row>
    <row r="373" spans="1:17" ht="18.600000000000001">
      <c r="B373" s="9">
        <v>2</v>
      </c>
      <c r="C373" s="50" t="s">
        <v>770</v>
      </c>
      <c r="D373" s="51">
        <v>45235</v>
      </c>
      <c r="E373" s="52"/>
      <c r="F373" s="53">
        <v>9507188858</v>
      </c>
      <c r="G373" s="52" t="s">
        <v>768</v>
      </c>
      <c r="H373" s="51">
        <v>20526</v>
      </c>
      <c r="I373" s="89" t="s">
        <v>769</v>
      </c>
      <c r="J373" s="126">
        <v>0</v>
      </c>
      <c r="K373" s="126">
        <v>714</v>
      </c>
      <c r="L373" s="126">
        <f t="shared" si="70"/>
        <v>842.52</v>
      </c>
      <c r="M373" s="52"/>
      <c r="N373" s="52"/>
      <c r="O373" s="70" t="s">
        <v>767</v>
      </c>
      <c r="P373" s="52"/>
      <c r="Q373" s="90">
        <f t="shared" si="71"/>
        <v>221.34</v>
      </c>
    </row>
    <row r="374" spans="1:17" ht="18.600000000000001">
      <c r="B374" s="9">
        <v>2</v>
      </c>
      <c r="C374" s="9" t="s">
        <v>775</v>
      </c>
      <c r="D374" s="1">
        <v>45236</v>
      </c>
      <c r="F374" s="48">
        <v>9472315294</v>
      </c>
      <c r="G374" t="s">
        <v>773</v>
      </c>
      <c r="J374" s="5">
        <v>0</v>
      </c>
      <c r="K374" s="5">
        <v>714</v>
      </c>
      <c r="L374" s="5">
        <f t="shared" si="70"/>
        <v>842.52</v>
      </c>
      <c r="O374" s="3" t="s">
        <v>774</v>
      </c>
      <c r="Q374" s="28">
        <f t="shared" si="71"/>
        <v>221.34</v>
      </c>
    </row>
    <row r="375" spans="1:17" ht="18.600000000000001">
      <c r="B375" s="9">
        <v>2</v>
      </c>
      <c r="C375" s="50" t="s">
        <v>776</v>
      </c>
      <c r="D375" s="51">
        <v>45237</v>
      </c>
      <c r="E375" s="52"/>
      <c r="F375" s="53">
        <v>9835760251</v>
      </c>
      <c r="G375" s="52" t="s">
        <v>771</v>
      </c>
      <c r="H375" s="51">
        <v>16871</v>
      </c>
      <c r="I375" s="89" t="s">
        <v>772</v>
      </c>
      <c r="J375" s="126">
        <v>0</v>
      </c>
      <c r="K375" s="126">
        <v>664</v>
      </c>
      <c r="L375" s="126">
        <f t="shared" si="70"/>
        <v>783.52</v>
      </c>
      <c r="M375" s="52"/>
      <c r="N375" s="52"/>
      <c r="O375" s="70" t="s">
        <v>332</v>
      </c>
      <c r="P375" s="52"/>
      <c r="Q375" s="90">
        <f t="shared" si="71"/>
        <v>205.84</v>
      </c>
    </row>
    <row r="376" spans="1:17" ht="18.600000000000001">
      <c r="B376" s="9">
        <v>4</v>
      </c>
      <c r="C376" s="75" t="s">
        <v>778</v>
      </c>
      <c r="D376" s="76">
        <v>45249</v>
      </c>
      <c r="E376" s="77"/>
      <c r="F376" s="87">
        <v>8434671734</v>
      </c>
      <c r="G376" s="77" t="s">
        <v>84</v>
      </c>
      <c r="H376" s="76">
        <v>22947</v>
      </c>
      <c r="I376" s="79" t="s">
        <v>777</v>
      </c>
      <c r="J376" s="123">
        <v>0</v>
      </c>
      <c r="K376" s="123">
        <v>2094</v>
      </c>
      <c r="L376" s="123">
        <f t="shared" si="70"/>
        <v>2470.92</v>
      </c>
      <c r="M376" s="77"/>
      <c r="N376" s="77"/>
      <c r="O376" s="78" t="s">
        <v>218</v>
      </c>
      <c r="P376" s="77"/>
      <c r="Q376" s="88">
        <f t="shared" si="71"/>
        <v>649.14</v>
      </c>
    </row>
    <row r="377" spans="1:17" ht="18.600000000000001">
      <c r="B377" s="9">
        <v>4</v>
      </c>
      <c r="C377" s="9" t="s">
        <v>779</v>
      </c>
      <c r="D377" s="1">
        <v>45250</v>
      </c>
      <c r="F377" s="48">
        <v>7368015106</v>
      </c>
      <c r="G377" t="s">
        <v>780</v>
      </c>
      <c r="H377" s="1">
        <v>32383</v>
      </c>
      <c r="I377" s="42" t="s">
        <v>781</v>
      </c>
      <c r="J377" s="5">
        <v>0</v>
      </c>
      <c r="K377" s="5">
        <v>1316</v>
      </c>
      <c r="L377" s="5">
        <f t="shared" si="70"/>
        <v>1552.8799999999999</v>
      </c>
      <c r="O377" s="3" t="s">
        <v>782</v>
      </c>
      <c r="Q377" s="28">
        <f t="shared" si="71"/>
        <v>407.96</v>
      </c>
    </row>
    <row r="378" spans="1:17" ht="18.600000000000001">
      <c r="B378" s="9">
        <v>2</v>
      </c>
      <c r="D378" s="1">
        <v>45251</v>
      </c>
      <c r="F378" s="48">
        <v>9771527967</v>
      </c>
      <c r="G378" t="s">
        <v>784</v>
      </c>
      <c r="H378" s="1">
        <v>33984</v>
      </c>
      <c r="I378" s="42" t="s">
        <v>785</v>
      </c>
      <c r="J378" s="5">
        <v>0</v>
      </c>
      <c r="K378" s="5">
        <v>714</v>
      </c>
      <c r="L378" s="5">
        <f t="shared" si="70"/>
        <v>842.52</v>
      </c>
      <c r="O378" s="3" t="s">
        <v>783</v>
      </c>
      <c r="Q378" s="28">
        <f t="shared" si="71"/>
        <v>221.34</v>
      </c>
    </row>
    <row r="379" spans="1:17" ht="18.600000000000001">
      <c r="B379" s="9">
        <v>2</v>
      </c>
      <c r="C379" s="9" t="s">
        <v>787</v>
      </c>
      <c r="D379" s="1">
        <v>45251</v>
      </c>
      <c r="F379" s="48">
        <v>9771527967</v>
      </c>
      <c r="G379" t="s">
        <v>784</v>
      </c>
      <c r="H379" s="1">
        <v>33984</v>
      </c>
      <c r="I379" s="42" t="s">
        <v>785</v>
      </c>
      <c r="J379" s="5">
        <v>0</v>
      </c>
      <c r="K379" s="5">
        <v>714</v>
      </c>
      <c r="L379" s="5">
        <f t="shared" si="70"/>
        <v>842.52</v>
      </c>
      <c r="O379" s="3" t="s">
        <v>786</v>
      </c>
      <c r="Q379" s="28">
        <f t="shared" si="71"/>
        <v>221.34</v>
      </c>
    </row>
    <row r="380" spans="1:17" ht="18.600000000000001">
      <c r="B380" s="9">
        <v>3</v>
      </c>
      <c r="C380" s="50"/>
      <c r="D380" s="51">
        <v>45252</v>
      </c>
      <c r="E380" s="52"/>
      <c r="F380" s="91">
        <v>9955844105</v>
      </c>
      <c r="G380" s="52" t="s">
        <v>789</v>
      </c>
      <c r="H380" s="51"/>
      <c r="I380" s="89"/>
      <c r="J380" s="126">
        <v>194</v>
      </c>
      <c r="K380" s="126">
        <v>1089</v>
      </c>
      <c r="L380" s="126">
        <f t="shared" si="70"/>
        <v>1513.9399999999998</v>
      </c>
      <c r="M380" s="52"/>
      <c r="N380" s="52"/>
      <c r="O380" s="70" t="s">
        <v>788</v>
      </c>
      <c r="P380" s="52"/>
      <c r="Q380" s="90">
        <f t="shared" si="71"/>
        <v>104.82500000000002</v>
      </c>
    </row>
    <row r="381" spans="1:17" ht="18.600000000000001">
      <c r="B381" s="9">
        <v>4</v>
      </c>
      <c r="C381" s="9" t="s">
        <v>795</v>
      </c>
      <c r="D381" s="76">
        <v>45255</v>
      </c>
      <c r="E381" s="77"/>
      <c r="F381" s="87">
        <v>9835745664</v>
      </c>
      <c r="G381" s="77" t="s">
        <v>793</v>
      </c>
      <c r="H381" s="76"/>
      <c r="I381" s="79"/>
      <c r="J381" s="123">
        <v>0</v>
      </c>
      <c r="K381" s="123">
        <v>3316</v>
      </c>
      <c r="L381" s="123">
        <f t="shared" si="70"/>
        <v>3912.8799999999997</v>
      </c>
      <c r="M381" s="77"/>
      <c r="N381" s="77"/>
      <c r="O381" s="78" t="s">
        <v>794</v>
      </c>
      <c r="Q381" s="28">
        <f t="shared" si="71"/>
        <v>1027.96</v>
      </c>
    </row>
    <row r="382" spans="1:17" ht="18.600000000000001">
      <c r="B382" s="9">
        <v>2</v>
      </c>
      <c r="C382" s="9" t="s">
        <v>790</v>
      </c>
      <c r="D382" s="1">
        <v>45256</v>
      </c>
      <c r="F382" s="48"/>
      <c r="G382" t="s">
        <v>792</v>
      </c>
      <c r="H382" s="1">
        <v>28111</v>
      </c>
      <c r="J382" s="5">
        <v>0</v>
      </c>
      <c r="K382" s="5">
        <v>664</v>
      </c>
      <c r="L382" s="5">
        <f t="shared" si="70"/>
        <v>783.52</v>
      </c>
      <c r="O382" s="3" t="s">
        <v>791</v>
      </c>
      <c r="Q382" s="28">
        <f>IF(OR(B382=2,B382=4),K382*0.31,IF(B382=3,J382*0.4+K382*0.025,J382*0.21+K382*0.025))</f>
        <v>205.84</v>
      </c>
    </row>
    <row r="383" spans="1:17" ht="18.600000000000001">
      <c r="D383" s="1"/>
      <c r="F383" s="48"/>
      <c r="H383" s="1"/>
      <c r="Q383" s="28"/>
    </row>
    <row r="385" spans="1:17">
      <c r="A385" s="34"/>
      <c r="B385" s="35">
        <f>COUNT(K372:K382)</f>
        <v>11</v>
      </c>
      <c r="C385" s="35"/>
      <c r="D385" s="34"/>
      <c r="E385" s="34"/>
      <c r="F385" s="35"/>
      <c r="G385" s="34"/>
      <c r="H385" s="34"/>
      <c r="I385" s="46"/>
      <c r="J385" s="124">
        <f>SUM(J351:J364)</f>
        <v>0</v>
      </c>
      <c r="K385" s="124">
        <f>SUM(K372:K382)</f>
        <v>12713</v>
      </c>
      <c r="L385" s="124">
        <f>SUM(L372:L382)</f>
        <v>15230.26</v>
      </c>
      <c r="M385" s="34"/>
      <c r="N385" s="34">
        <f>SUM(N357:N382)</f>
        <v>0</v>
      </c>
      <c r="O385" s="71">
        <f>SUM(O357:O382)</f>
        <v>0</v>
      </c>
      <c r="P385" s="34">
        <f>SUM(P357:P382)</f>
        <v>0</v>
      </c>
      <c r="Q385" s="34">
        <f>SUM(Q372:Q382)</f>
        <v>3708.2650000000003</v>
      </c>
    </row>
    <row r="386" spans="1:17" ht="18.600000000000001">
      <c r="F386" s="48"/>
      <c r="Q386" s="28"/>
    </row>
    <row r="387" spans="1:17" ht="19.2">
      <c r="B387" s="9">
        <v>2</v>
      </c>
      <c r="C387" s="9" t="s">
        <v>796</v>
      </c>
      <c r="D387" s="1">
        <v>45261</v>
      </c>
      <c r="F387" s="94">
        <v>8789270834</v>
      </c>
      <c r="G387" t="s">
        <v>798</v>
      </c>
      <c r="H387" s="1">
        <v>27226</v>
      </c>
      <c r="I387" s="42" t="s">
        <v>799</v>
      </c>
      <c r="J387" s="5">
        <v>0</v>
      </c>
      <c r="K387" s="5">
        <v>714</v>
      </c>
      <c r="L387" s="5">
        <f t="shared" ref="L387:L392" si="72">(J387+K387)*1.18</f>
        <v>842.52</v>
      </c>
      <c r="O387" s="3" t="s">
        <v>797</v>
      </c>
      <c r="Q387" s="28">
        <f t="shared" ref="Q387:Q399" si="73">IF(OR(B387=2,B387=4),K387*0.31,IF(B387=3,J387*0.4+K387*0.025,J387*0.21+K387*0.025))</f>
        <v>221.34</v>
      </c>
    </row>
    <row r="388" spans="1:17" ht="18.600000000000001">
      <c r="B388" s="58">
        <v>4</v>
      </c>
      <c r="C388" s="9" t="s">
        <v>803</v>
      </c>
      <c r="D388" s="1">
        <v>45265</v>
      </c>
      <c r="F388" s="48">
        <v>8877158464</v>
      </c>
      <c r="G388" t="s">
        <v>801</v>
      </c>
      <c r="H388" s="1">
        <v>28072</v>
      </c>
      <c r="I388" s="42" t="s">
        <v>800</v>
      </c>
      <c r="J388" s="5">
        <v>0</v>
      </c>
      <c r="K388" s="5">
        <v>3746</v>
      </c>
      <c r="L388" s="5">
        <f t="shared" si="72"/>
        <v>4420.28</v>
      </c>
      <c r="O388" s="3" t="s">
        <v>802</v>
      </c>
      <c r="Q388" s="28">
        <f t="shared" si="73"/>
        <v>1161.26</v>
      </c>
    </row>
    <row r="389" spans="1:17" ht="18">
      <c r="B389" s="58">
        <v>2</v>
      </c>
      <c r="C389" s="58" t="s">
        <v>808</v>
      </c>
      <c r="D389" s="1">
        <v>45265</v>
      </c>
      <c r="E389" s="58"/>
      <c r="F389" s="58">
        <v>9308457927</v>
      </c>
      <c r="G389" s="82" t="s">
        <v>381</v>
      </c>
      <c r="H389" s="1">
        <v>29530</v>
      </c>
      <c r="I389" s="58" t="s">
        <v>807</v>
      </c>
      <c r="J389" s="111">
        <v>0</v>
      </c>
      <c r="K389" s="111">
        <v>714</v>
      </c>
      <c r="L389" s="111">
        <f t="shared" si="72"/>
        <v>842.52</v>
      </c>
      <c r="M389" s="64"/>
      <c r="N389" s="58"/>
      <c r="O389" s="96" t="s">
        <v>382</v>
      </c>
      <c r="P389" s="58">
        <f>IF(B389="TP",K389*2.5/100,J389*0.4)</f>
        <v>0</v>
      </c>
      <c r="Q389" s="28">
        <f t="shared" si="73"/>
        <v>221.34</v>
      </c>
    </row>
    <row r="390" spans="1:17" ht="18.600000000000001">
      <c r="B390" s="9">
        <v>2</v>
      </c>
      <c r="C390" s="9" t="s">
        <v>810</v>
      </c>
      <c r="D390" s="1">
        <v>45266</v>
      </c>
      <c r="F390" s="63">
        <v>6201915584</v>
      </c>
      <c r="G390" s="82" t="s">
        <v>374</v>
      </c>
      <c r="H390" s="1">
        <v>27112</v>
      </c>
      <c r="I390" s="42" t="s">
        <v>809</v>
      </c>
      <c r="J390" s="5">
        <v>0</v>
      </c>
      <c r="K390" s="5">
        <v>714</v>
      </c>
      <c r="L390" s="5">
        <f t="shared" si="72"/>
        <v>842.52</v>
      </c>
      <c r="O390" s="3" t="s">
        <v>373</v>
      </c>
      <c r="P390">
        <f>IF(B390="TP",K390*2.5/100,J390*0.4)</f>
        <v>0</v>
      </c>
      <c r="Q390" s="28">
        <f t="shared" si="73"/>
        <v>221.34</v>
      </c>
    </row>
    <row r="391" spans="1:17" ht="18">
      <c r="B391" s="9">
        <v>2</v>
      </c>
      <c r="D391" s="1">
        <v>45266</v>
      </c>
      <c r="G391" t="s">
        <v>811</v>
      </c>
      <c r="H391" s="1">
        <v>26117</v>
      </c>
      <c r="I391" s="42" t="s">
        <v>812</v>
      </c>
      <c r="J391" s="5">
        <v>0</v>
      </c>
      <c r="K391" s="5">
        <v>1089</v>
      </c>
      <c r="L391" s="5">
        <f t="shared" si="72"/>
        <v>1285.02</v>
      </c>
      <c r="Q391" s="28">
        <f t="shared" si="73"/>
        <v>337.59</v>
      </c>
    </row>
    <row r="392" spans="1:17" ht="19.2">
      <c r="B392" s="9">
        <v>2</v>
      </c>
      <c r="C392" s="9" t="s">
        <v>834</v>
      </c>
      <c r="D392" s="1"/>
      <c r="F392" s="94">
        <v>9234844299</v>
      </c>
      <c r="G392" s="118" t="s">
        <v>833</v>
      </c>
      <c r="H392" s="1"/>
      <c r="J392" s="5">
        <v>0</v>
      </c>
      <c r="K392" s="5">
        <v>714</v>
      </c>
      <c r="L392" s="5">
        <f t="shared" si="72"/>
        <v>842.52</v>
      </c>
      <c r="O392" s="3" t="s">
        <v>835</v>
      </c>
      <c r="Q392" s="28">
        <f t="shared" si="73"/>
        <v>221.34</v>
      </c>
    </row>
    <row r="393" spans="1:17" ht="18.600000000000001">
      <c r="B393" s="9">
        <v>2</v>
      </c>
      <c r="C393" s="80"/>
      <c r="D393" s="81">
        <v>44888</v>
      </c>
      <c r="E393" s="82"/>
      <c r="F393" s="95">
        <v>9693859539</v>
      </c>
      <c r="G393" s="82" t="s">
        <v>363</v>
      </c>
      <c r="H393" s="81">
        <v>20090</v>
      </c>
      <c r="I393" s="83" t="s">
        <v>1246</v>
      </c>
      <c r="J393" s="105">
        <v>0</v>
      </c>
      <c r="K393" s="105">
        <v>714</v>
      </c>
      <c r="L393" s="105">
        <f t="shared" ref="L393:L399" si="74">(J393+K393)*1.18</f>
        <v>842.52</v>
      </c>
      <c r="M393" s="82"/>
      <c r="N393" s="82"/>
      <c r="O393" s="3" t="s">
        <v>362</v>
      </c>
      <c r="Q393" s="28">
        <f t="shared" si="73"/>
        <v>221.34</v>
      </c>
    </row>
    <row r="394" spans="1:17" ht="19.2">
      <c r="B394" s="9">
        <v>5</v>
      </c>
      <c r="C394" s="99" t="s">
        <v>813</v>
      </c>
      <c r="D394" s="81">
        <v>45279</v>
      </c>
      <c r="E394" s="82"/>
      <c r="F394" s="100">
        <v>9279250587</v>
      </c>
      <c r="G394" s="82" t="s">
        <v>814</v>
      </c>
      <c r="H394" s="81">
        <v>23774</v>
      </c>
      <c r="I394" s="83"/>
      <c r="J394" s="105">
        <v>1024.1400000000001</v>
      </c>
      <c r="K394" s="105">
        <v>4246</v>
      </c>
      <c r="L394" s="5">
        <f t="shared" si="74"/>
        <v>6218.7651999999998</v>
      </c>
      <c r="O394" s="3" t="s">
        <v>815</v>
      </c>
      <c r="Q394" s="28">
        <f t="shared" si="73"/>
        <v>321.21940000000001</v>
      </c>
    </row>
    <row r="395" spans="1:17" ht="18.600000000000001">
      <c r="B395" s="9">
        <v>2</v>
      </c>
      <c r="D395" s="1">
        <v>45281</v>
      </c>
      <c r="F395" s="63">
        <v>8797464037</v>
      </c>
      <c r="G395" t="s">
        <v>820</v>
      </c>
      <c r="H395" s="1">
        <v>25573</v>
      </c>
      <c r="I395" s="42" t="s">
        <v>806</v>
      </c>
      <c r="J395" s="5">
        <v>0</v>
      </c>
      <c r="K395" s="5">
        <v>714</v>
      </c>
      <c r="L395" s="5">
        <f t="shared" si="74"/>
        <v>842.52</v>
      </c>
      <c r="O395" s="3" t="s">
        <v>819</v>
      </c>
      <c r="Q395" s="28">
        <f t="shared" si="73"/>
        <v>221.34</v>
      </c>
    </row>
    <row r="396" spans="1:17" ht="18.600000000000001">
      <c r="B396" s="9">
        <v>2</v>
      </c>
      <c r="C396" s="9" t="s">
        <v>824</v>
      </c>
      <c r="D396" s="1">
        <v>45282</v>
      </c>
      <c r="F396" s="63">
        <v>8797675277</v>
      </c>
      <c r="G396" t="s">
        <v>821</v>
      </c>
      <c r="H396" s="1">
        <v>25995</v>
      </c>
      <c r="I396" s="42" t="s">
        <v>822</v>
      </c>
      <c r="J396" s="5">
        <v>0</v>
      </c>
      <c r="K396" s="5">
        <v>714</v>
      </c>
      <c r="L396" s="5">
        <f t="shared" si="74"/>
        <v>842.52</v>
      </c>
      <c r="O396" s="3" t="s">
        <v>823</v>
      </c>
      <c r="Q396" s="28">
        <f t="shared" si="73"/>
        <v>221.34</v>
      </c>
    </row>
    <row r="397" spans="1:17" ht="18.600000000000001">
      <c r="B397" s="9">
        <v>2</v>
      </c>
      <c r="C397" s="80" t="s">
        <v>828</v>
      </c>
      <c r="D397" s="81">
        <v>45283</v>
      </c>
      <c r="E397" s="82"/>
      <c r="F397" s="95">
        <v>9149810599</v>
      </c>
      <c r="G397" s="82" t="s">
        <v>825</v>
      </c>
      <c r="H397" s="81">
        <v>27025</v>
      </c>
      <c r="I397" s="83" t="s">
        <v>826</v>
      </c>
      <c r="J397" s="105">
        <v>0</v>
      </c>
      <c r="K397" s="105">
        <v>714</v>
      </c>
      <c r="L397" s="5">
        <f t="shared" si="74"/>
        <v>842.52</v>
      </c>
      <c r="O397" s="3" t="s">
        <v>827</v>
      </c>
      <c r="Q397" s="28">
        <f t="shared" si="73"/>
        <v>221.34</v>
      </c>
    </row>
    <row r="398" spans="1:17" ht="18">
      <c r="B398" s="9">
        <v>2</v>
      </c>
      <c r="C398" s="9" t="s">
        <v>829</v>
      </c>
      <c r="D398" s="1">
        <v>45288</v>
      </c>
      <c r="F398" s="9">
        <v>8709729905</v>
      </c>
      <c r="G398" t="s">
        <v>831</v>
      </c>
      <c r="H398" s="1">
        <v>35920</v>
      </c>
      <c r="I398" s="42" t="s">
        <v>830</v>
      </c>
      <c r="J398" s="5">
        <v>0</v>
      </c>
      <c r="K398" s="5">
        <v>664</v>
      </c>
      <c r="L398" s="5">
        <f t="shared" si="74"/>
        <v>783.52</v>
      </c>
      <c r="Q398" s="28">
        <f t="shared" si="73"/>
        <v>205.84</v>
      </c>
    </row>
    <row r="399" spans="1:17" ht="18">
      <c r="B399" s="9">
        <v>2</v>
      </c>
      <c r="D399" s="1">
        <v>45291</v>
      </c>
      <c r="F399" s="9">
        <v>7739044155</v>
      </c>
      <c r="G399" t="s">
        <v>832</v>
      </c>
      <c r="J399" s="5">
        <v>0</v>
      </c>
      <c r="K399" s="5">
        <v>714</v>
      </c>
      <c r="L399" s="5">
        <f t="shared" si="74"/>
        <v>842.52</v>
      </c>
      <c r="Q399" s="28">
        <f t="shared" si="73"/>
        <v>221.34</v>
      </c>
    </row>
    <row r="400" spans="1:17">
      <c r="A400" s="56" t="s">
        <v>804</v>
      </c>
      <c r="B400" s="35">
        <f>COUNT(K387:K399)</f>
        <v>13</v>
      </c>
      <c r="C400" s="35"/>
      <c r="D400" s="34"/>
      <c r="E400" s="34"/>
      <c r="F400" s="35"/>
      <c r="G400" s="34"/>
      <c r="H400" s="34"/>
      <c r="I400" s="46"/>
      <c r="J400" s="124">
        <f>SUM(J387:J399)</f>
        <v>1024.1400000000001</v>
      </c>
      <c r="K400" s="124">
        <f>SUM(K387:K399)</f>
        <v>16171</v>
      </c>
      <c r="L400" s="124">
        <f>SUM(L387:L399)</f>
        <v>20290.265200000002</v>
      </c>
      <c r="M400" s="34"/>
      <c r="N400" s="34"/>
      <c r="O400" s="71"/>
      <c r="P400" s="34">
        <f>SUM(P387:P399)</f>
        <v>0</v>
      </c>
      <c r="Q400" s="34">
        <f>SUM(Q387:Q399)</f>
        <v>4017.9694000000009</v>
      </c>
    </row>
    <row r="401" spans="1:18" ht="18.600000000000001">
      <c r="F401" s="48"/>
      <c r="Q401" s="28"/>
    </row>
    <row r="402" spans="1:18" ht="18.600000000000001">
      <c r="B402" s="9">
        <v>2</v>
      </c>
      <c r="C402" s="9" t="s">
        <v>840</v>
      </c>
      <c r="D402" s="1">
        <v>44928</v>
      </c>
      <c r="F402" s="48"/>
      <c r="G402" t="s">
        <v>839</v>
      </c>
      <c r="J402" s="5">
        <v>0</v>
      </c>
      <c r="K402" s="5">
        <v>1316</v>
      </c>
      <c r="L402" s="5">
        <f t="shared" ref="L402:L409" si="75">(J402+K402)*1.18</f>
        <v>1552.8799999999999</v>
      </c>
      <c r="O402" s="3" t="s">
        <v>838</v>
      </c>
      <c r="Q402" s="28">
        <f t="shared" ref="Q402:Q413" si="76">IF(OR(B402=2,B402=4),K402*0.31,IF(B402=3,J402*0.4+K402*0.025,J402*0.21+K402*0.025))</f>
        <v>407.96</v>
      </c>
    </row>
    <row r="403" spans="1:18" ht="18.600000000000001">
      <c r="B403" s="9">
        <v>2</v>
      </c>
      <c r="C403" s="9" t="s">
        <v>836</v>
      </c>
      <c r="D403" s="1">
        <v>45294</v>
      </c>
      <c r="F403" s="48">
        <v>8709546278</v>
      </c>
      <c r="H403" s="1">
        <v>2814594</v>
      </c>
      <c r="I403" s="42" t="s">
        <v>837</v>
      </c>
      <c r="J403" s="5">
        <v>0</v>
      </c>
      <c r="K403" s="5">
        <v>714</v>
      </c>
      <c r="L403" s="5">
        <f t="shared" si="75"/>
        <v>842.52</v>
      </c>
      <c r="Q403" s="28">
        <f t="shared" si="76"/>
        <v>221.34</v>
      </c>
    </row>
    <row r="404" spans="1:18" ht="18.600000000000001">
      <c r="B404" s="9">
        <v>5</v>
      </c>
      <c r="C404" s="9" t="s">
        <v>842</v>
      </c>
      <c r="D404" s="1">
        <v>45296</v>
      </c>
      <c r="F404" s="48"/>
      <c r="G404" t="s">
        <v>841</v>
      </c>
      <c r="J404" s="5">
        <v>6786.52</v>
      </c>
      <c r="K404" s="5">
        <v>3746</v>
      </c>
      <c r="L404" s="5">
        <f t="shared" si="75"/>
        <v>12428.373599999999</v>
      </c>
      <c r="O404" s="3" t="s">
        <v>843</v>
      </c>
      <c r="Q404" s="28">
        <f t="shared" si="76"/>
        <v>1518.8192000000001</v>
      </c>
    </row>
    <row r="405" spans="1:18" ht="18.600000000000001">
      <c r="B405" s="9">
        <v>4</v>
      </c>
      <c r="C405" s="48" t="s">
        <v>846</v>
      </c>
      <c r="D405" s="1">
        <v>45304</v>
      </c>
      <c r="G405" t="s">
        <v>844</v>
      </c>
      <c r="J405" s="5">
        <v>0</v>
      </c>
      <c r="K405" s="5">
        <v>2094</v>
      </c>
      <c r="L405" s="5">
        <f t="shared" si="75"/>
        <v>2470.92</v>
      </c>
      <c r="O405" s="3" t="s">
        <v>845</v>
      </c>
      <c r="Q405" s="28">
        <f t="shared" si="76"/>
        <v>649.14</v>
      </c>
    </row>
    <row r="406" spans="1:18" ht="18.600000000000001">
      <c r="B406" s="9">
        <v>4</v>
      </c>
      <c r="C406" s="9" t="s">
        <v>849</v>
      </c>
      <c r="D406" s="1">
        <v>45306</v>
      </c>
      <c r="F406" s="48">
        <v>9162186859</v>
      </c>
      <c r="G406" s="119" t="s">
        <v>847</v>
      </c>
      <c r="J406" s="5">
        <v>0</v>
      </c>
      <c r="K406" s="5">
        <v>7797</v>
      </c>
      <c r="L406" s="5">
        <f t="shared" si="75"/>
        <v>9200.4599999999991</v>
      </c>
      <c r="O406" s="3" t="s">
        <v>848</v>
      </c>
      <c r="Q406" s="28">
        <f t="shared" si="76"/>
        <v>2417.0700000000002</v>
      </c>
      <c r="R406">
        <f>90*(27.6-27)</f>
        <v>54.000000000000128</v>
      </c>
    </row>
    <row r="407" spans="1:18" ht="19.2">
      <c r="B407" s="9">
        <v>2</v>
      </c>
      <c r="C407" s="9" t="s">
        <v>852</v>
      </c>
      <c r="D407" s="1">
        <v>45309</v>
      </c>
      <c r="F407" s="94">
        <v>8210564677</v>
      </c>
      <c r="G407" t="s">
        <v>850</v>
      </c>
      <c r="H407" s="1">
        <v>33253</v>
      </c>
      <c r="I407" s="42" t="s">
        <v>851</v>
      </c>
      <c r="J407" s="5">
        <v>0</v>
      </c>
      <c r="K407" s="5">
        <v>714</v>
      </c>
      <c r="L407" s="5">
        <f t="shared" si="75"/>
        <v>842.52</v>
      </c>
      <c r="O407" s="3" t="s">
        <v>852</v>
      </c>
      <c r="Q407" s="28">
        <f t="shared" si="76"/>
        <v>221.34</v>
      </c>
    </row>
    <row r="408" spans="1:18" ht="18.600000000000001">
      <c r="A408" t="s">
        <v>876</v>
      </c>
      <c r="B408" s="9">
        <v>2</v>
      </c>
      <c r="C408" s="9" t="s">
        <v>854</v>
      </c>
      <c r="D408" s="1">
        <v>45313</v>
      </c>
      <c r="F408" s="48">
        <v>9006055524</v>
      </c>
      <c r="G408" t="s">
        <v>409</v>
      </c>
      <c r="H408" s="1">
        <v>29103</v>
      </c>
      <c r="I408" s="42" t="s">
        <v>855</v>
      </c>
      <c r="J408" s="5">
        <v>0</v>
      </c>
      <c r="K408" s="5">
        <v>664</v>
      </c>
      <c r="L408" s="5">
        <f t="shared" si="75"/>
        <v>783.52</v>
      </c>
      <c r="O408" s="3" t="s">
        <v>853</v>
      </c>
      <c r="Q408" s="28">
        <f t="shared" si="76"/>
        <v>205.84</v>
      </c>
    </row>
    <row r="409" spans="1:18" ht="18.600000000000001">
      <c r="B409" s="9">
        <v>2</v>
      </c>
      <c r="C409" s="9" t="s">
        <v>859</v>
      </c>
      <c r="D409" s="1">
        <v>45314</v>
      </c>
      <c r="F409" s="48">
        <v>9934182479</v>
      </c>
      <c r="G409" t="s">
        <v>856</v>
      </c>
      <c r="H409" s="1">
        <v>21370</v>
      </c>
      <c r="I409" s="42" t="s">
        <v>857</v>
      </c>
      <c r="J409" s="5">
        <v>0</v>
      </c>
      <c r="K409" s="5">
        <v>714</v>
      </c>
      <c r="L409" s="5">
        <f t="shared" si="75"/>
        <v>842.52</v>
      </c>
      <c r="O409" s="3" t="s">
        <v>858</v>
      </c>
      <c r="Q409" s="28">
        <f t="shared" si="76"/>
        <v>221.34</v>
      </c>
    </row>
    <row r="410" spans="1:18" ht="18.600000000000001">
      <c r="B410" s="9">
        <v>2</v>
      </c>
      <c r="D410" s="1">
        <v>45317</v>
      </c>
      <c r="F410" s="48">
        <v>9102064346</v>
      </c>
      <c r="G410" t="s">
        <v>860</v>
      </c>
      <c r="H410" s="1">
        <v>34794</v>
      </c>
      <c r="I410" s="42" t="s">
        <v>861</v>
      </c>
      <c r="J410" s="5">
        <v>0</v>
      </c>
      <c r="K410" s="5">
        <v>714</v>
      </c>
      <c r="L410" s="5">
        <f>(J410+K410)*1.18</f>
        <v>842.52</v>
      </c>
      <c r="Q410" s="28">
        <f t="shared" si="76"/>
        <v>221.34</v>
      </c>
    </row>
    <row r="411" spans="1:18" ht="19.2">
      <c r="B411" s="9">
        <v>2</v>
      </c>
      <c r="D411" s="1">
        <v>45317</v>
      </c>
      <c r="F411" s="94">
        <v>9334096823</v>
      </c>
      <c r="G411" t="s">
        <v>1282</v>
      </c>
      <c r="H411" s="1">
        <v>26034</v>
      </c>
      <c r="I411" s="42" t="s">
        <v>862</v>
      </c>
      <c r="J411" s="5">
        <v>0</v>
      </c>
      <c r="K411" s="5">
        <v>714</v>
      </c>
      <c r="L411" s="5">
        <f>(J411+K411)*1.18</f>
        <v>842.52</v>
      </c>
      <c r="Q411" s="28">
        <f t="shared" si="76"/>
        <v>221.34</v>
      </c>
    </row>
    <row r="412" spans="1:18" ht="18.600000000000001">
      <c r="A412" t="s">
        <v>876</v>
      </c>
      <c r="B412" s="9">
        <v>2</v>
      </c>
      <c r="C412" s="9" t="s">
        <v>864</v>
      </c>
      <c r="D412" s="1">
        <v>45318</v>
      </c>
      <c r="F412" s="48">
        <v>8340587671</v>
      </c>
      <c r="G412" t="s">
        <v>429</v>
      </c>
      <c r="H412" s="1">
        <v>20403</v>
      </c>
      <c r="I412" s="42" t="s">
        <v>863</v>
      </c>
      <c r="J412" s="5">
        <v>0</v>
      </c>
      <c r="K412" s="5">
        <v>714</v>
      </c>
      <c r="L412" s="5">
        <f>(J412+K412)*1.18</f>
        <v>842.52</v>
      </c>
      <c r="O412" s="3" t="s">
        <v>428</v>
      </c>
      <c r="Q412" s="28">
        <f t="shared" si="76"/>
        <v>221.34</v>
      </c>
    </row>
    <row r="413" spans="1:18" ht="19.2">
      <c r="B413" s="9">
        <v>4</v>
      </c>
      <c r="C413" s="9" t="s">
        <v>868</v>
      </c>
      <c r="D413" s="1">
        <v>45320</v>
      </c>
      <c r="F413" s="94">
        <v>7261031147</v>
      </c>
      <c r="G413" t="s">
        <v>865</v>
      </c>
      <c r="H413" s="1">
        <v>28174</v>
      </c>
      <c r="I413" s="42" t="s">
        <v>866</v>
      </c>
      <c r="J413" s="5">
        <v>0</v>
      </c>
      <c r="K413" s="5">
        <v>2094</v>
      </c>
      <c r="L413" s="5">
        <f>(J413+K413)*1.18</f>
        <v>2470.92</v>
      </c>
      <c r="O413" s="3" t="s">
        <v>867</v>
      </c>
      <c r="Q413" s="28">
        <f t="shared" si="76"/>
        <v>649.14</v>
      </c>
    </row>
    <row r="414" spans="1:18" ht="18.600000000000001">
      <c r="A414" s="36"/>
      <c r="B414" s="37" t="s">
        <v>28</v>
      </c>
      <c r="C414" s="37" t="s">
        <v>436</v>
      </c>
      <c r="D414" s="38">
        <v>44957</v>
      </c>
      <c r="E414" s="36"/>
      <c r="F414" s="49"/>
      <c r="G414" s="36" t="s">
        <v>437</v>
      </c>
      <c r="H414" s="1"/>
      <c r="Q414" s="28"/>
    </row>
    <row r="415" spans="1:18">
      <c r="A415" s="56" t="s">
        <v>804</v>
      </c>
      <c r="B415" s="35">
        <f>COUNT(K402:K414)</f>
        <v>12</v>
      </c>
      <c r="C415" s="35"/>
      <c r="D415" s="34"/>
      <c r="E415" s="34"/>
      <c r="F415" s="35"/>
      <c r="G415" s="34"/>
      <c r="H415" s="34"/>
      <c r="I415" s="46"/>
      <c r="J415" s="124">
        <f>SUM(J402:J414)</f>
        <v>6786.52</v>
      </c>
      <c r="K415" s="124">
        <f>SUM(K402:K414)</f>
        <v>21995</v>
      </c>
      <c r="L415" s="124">
        <f>SUM(L402:L414)</f>
        <v>33962.193599999999</v>
      </c>
      <c r="M415" s="34"/>
      <c r="N415" s="34"/>
      <c r="O415" s="71"/>
      <c r="P415" s="34">
        <f>SUM(P398:P414)</f>
        <v>0</v>
      </c>
      <c r="Q415" s="34">
        <f>SUM(Q402:Q414)</f>
        <v>7176.0092000000013</v>
      </c>
    </row>
    <row r="416" spans="1:18" ht="18.600000000000001">
      <c r="F416" s="48"/>
      <c r="Q416" s="28"/>
    </row>
    <row r="417" spans="1:23" ht="18.600000000000001">
      <c r="A417" t="s">
        <v>876</v>
      </c>
      <c r="B417" s="9">
        <v>2</v>
      </c>
      <c r="C417" s="9" t="s">
        <v>869</v>
      </c>
      <c r="D417" s="1">
        <v>45323</v>
      </c>
      <c r="F417" s="48"/>
      <c r="G417" t="s">
        <v>870</v>
      </c>
      <c r="J417" s="5">
        <v>0</v>
      </c>
      <c r="K417" s="5">
        <v>664</v>
      </c>
      <c r="L417" s="5">
        <f t="shared" ref="L417:L426" si="77">(J417+K417)*1.18</f>
        <v>783.52</v>
      </c>
      <c r="O417" s="3" t="s">
        <v>440</v>
      </c>
      <c r="Q417" s="28">
        <f>IF(OR(B417=2,B417=4),K417*0.31,IF(B417=3,J417*0.4+K417*0.025,J417*0.21+K417*0.025))</f>
        <v>205.84</v>
      </c>
    </row>
    <row r="418" spans="1:23" ht="19.2">
      <c r="B418" s="9">
        <v>2</v>
      </c>
      <c r="D418" s="1">
        <v>45325</v>
      </c>
      <c r="F418" s="94">
        <v>7903833040</v>
      </c>
      <c r="G418" t="s">
        <v>871</v>
      </c>
      <c r="H418" s="1">
        <v>29620</v>
      </c>
      <c r="I418" s="42" t="s">
        <v>873</v>
      </c>
      <c r="J418" s="5">
        <v>0</v>
      </c>
      <c r="K418" s="5">
        <v>664</v>
      </c>
      <c r="L418" s="5">
        <f t="shared" si="77"/>
        <v>783.52</v>
      </c>
      <c r="O418" s="3" t="s">
        <v>872</v>
      </c>
      <c r="Q418" s="28">
        <f>IF(OR(B418=2,B418=4),K418*0.31,IF(B418=3,J418*0.4+K418*0.025,J418*0.21+K418*0.025))</f>
        <v>205.84</v>
      </c>
    </row>
    <row r="419" spans="1:23" ht="19.2">
      <c r="A419" t="s">
        <v>876</v>
      </c>
      <c r="B419" s="9">
        <v>4</v>
      </c>
      <c r="C419" s="9" t="s">
        <v>875</v>
      </c>
      <c r="D419" s="1">
        <v>45325</v>
      </c>
      <c r="F419" s="94">
        <v>9006771287</v>
      </c>
      <c r="G419" t="s">
        <v>314</v>
      </c>
      <c r="H419" s="1">
        <v>29575</v>
      </c>
      <c r="I419" s="42" t="s">
        <v>874</v>
      </c>
      <c r="J419" s="5">
        <v>0</v>
      </c>
      <c r="K419" s="5">
        <v>1994</v>
      </c>
      <c r="L419" s="5">
        <f t="shared" si="77"/>
        <v>2352.92</v>
      </c>
      <c r="O419" s="3" t="s">
        <v>447</v>
      </c>
      <c r="Q419" s="28">
        <f>IF(OR(B419=2,B419=4),K419*0.31,IF(B419=3,J419*0.4+K419*0.025,J419*0.21+K419*0.025))</f>
        <v>618.14</v>
      </c>
    </row>
    <row r="420" spans="1:23" ht="18.600000000000001">
      <c r="B420" s="9">
        <v>5</v>
      </c>
      <c r="D420" s="1">
        <v>45326</v>
      </c>
      <c r="F420" s="48">
        <v>8709558967</v>
      </c>
      <c r="G420" t="s">
        <v>877</v>
      </c>
      <c r="H420" s="1">
        <v>24832</v>
      </c>
      <c r="I420" s="42" t="s">
        <v>878</v>
      </c>
      <c r="J420" s="5">
        <v>2660.78</v>
      </c>
      <c r="K420" s="5">
        <v>3746</v>
      </c>
      <c r="L420" s="5">
        <f t="shared" si="77"/>
        <v>7560.0004000000008</v>
      </c>
      <c r="O420" s="3" t="s">
        <v>879</v>
      </c>
      <c r="Q420" s="28">
        <f>IF(OR(B420=2,B420=4),K420*0.31,IF(B420=3,J420*0.4+K420*0.025,J420*0.21+K420*0.025))</f>
        <v>652.41380000000004</v>
      </c>
      <c r="W420" t="s">
        <v>981</v>
      </c>
    </row>
    <row r="421" spans="1:23" ht="18.600000000000001">
      <c r="B421" s="9">
        <v>2</v>
      </c>
      <c r="D421" s="1">
        <v>45339</v>
      </c>
      <c r="F421" s="48">
        <v>8709558967</v>
      </c>
      <c r="G421" t="s">
        <v>880</v>
      </c>
      <c r="H421" s="1">
        <v>29952</v>
      </c>
      <c r="J421" s="5">
        <v>0</v>
      </c>
      <c r="K421" s="5">
        <v>714</v>
      </c>
      <c r="L421" s="5">
        <f t="shared" si="77"/>
        <v>842.52</v>
      </c>
      <c r="O421" s="3" t="s">
        <v>881</v>
      </c>
      <c r="Q421" s="28">
        <f t="shared" ref="Q421:Q426" si="78">IF(OR(B421=2,B421=4),K421*0.31,IF(B421=3,J421*0.4+K421*0.025,J421*0.21+K421*0.025))</f>
        <v>221.34</v>
      </c>
    </row>
    <row r="422" spans="1:23" ht="18.600000000000001">
      <c r="B422" s="9">
        <v>2</v>
      </c>
      <c r="C422" s="9" t="s">
        <v>884</v>
      </c>
      <c r="D422" s="1">
        <v>45339</v>
      </c>
      <c r="F422" s="48">
        <v>9470390286</v>
      </c>
      <c r="G422" t="s">
        <v>883</v>
      </c>
      <c r="H422" s="1">
        <v>25953</v>
      </c>
      <c r="I422" s="42" t="s">
        <v>882</v>
      </c>
      <c r="J422" s="5">
        <v>0</v>
      </c>
      <c r="K422" s="5">
        <v>714</v>
      </c>
      <c r="L422" s="5">
        <f t="shared" si="77"/>
        <v>842.52</v>
      </c>
      <c r="O422" s="3" t="s">
        <v>885</v>
      </c>
      <c r="Q422" s="28">
        <f t="shared" si="78"/>
        <v>221.34</v>
      </c>
    </row>
    <row r="423" spans="1:23" ht="18.600000000000001">
      <c r="B423" s="9">
        <v>4</v>
      </c>
      <c r="C423" s="9" t="s">
        <v>886</v>
      </c>
      <c r="D423" s="1">
        <v>45340</v>
      </c>
      <c r="F423" s="48"/>
      <c r="G423" t="s">
        <v>213</v>
      </c>
      <c r="J423" s="5">
        <v>0</v>
      </c>
      <c r="K423" s="5">
        <v>1994</v>
      </c>
      <c r="L423" s="5">
        <f t="shared" si="77"/>
        <v>2352.92</v>
      </c>
      <c r="O423" s="3" t="s">
        <v>887</v>
      </c>
      <c r="Q423" s="28">
        <f t="shared" si="78"/>
        <v>618.14</v>
      </c>
    </row>
    <row r="424" spans="1:23" ht="18.600000000000001">
      <c r="B424" s="9">
        <v>2</v>
      </c>
      <c r="C424" s="9" t="s">
        <v>888</v>
      </c>
      <c r="D424" s="1">
        <v>45351</v>
      </c>
      <c r="F424" s="48">
        <v>9031505204</v>
      </c>
      <c r="G424" t="s">
        <v>889</v>
      </c>
      <c r="H424" s="1">
        <v>29403</v>
      </c>
      <c r="I424" s="42" t="s">
        <v>890</v>
      </c>
      <c r="L424" s="5">
        <f t="shared" si="77"/>
        <v>0</v>
      </c>
      <c r="O424" s="3" t="s">
        <v>891</v>
      </c>
      <c r="Q424" s="28">
        <f t="shared" si="78"/>
        <v>0</v>
      </c>
    </row>
    <row r="425" spans="1:23" ht="18.600000000000001">
      <c r="D425" s="1"/>
      <c r="F425" s="48"/>
      <c r="L425" s="5">
        <f t="shared" si="77"/>
        <v>0</v>
      </c>
      <c r="Q425" s="28"/>
    </row>
    <row r="426" spans="1:23" ht="18">
      <c r="B426" s="37"/>
      <c r="C426" s="37"/>
      <c r="D426" s="38"/>
      <c r="E426" s="36"/>
      <c r="F426" s="37"/>
      <c r="G426" s="36"/>
      <c r="L426" s="5">
        <f t="shared" si="77"/>
        <v>0</v>
      </c>
      <c r="Q426" s="28">
        <f t="shared" si="78"/>
        <v>0</v>
      </c>
    </row>
    <row r="427" spans="1:23" ht="18">
      <c r="A427" s="36"/>
      <c r="B427" s="37" t="s">
        <v>28</v>
      </c>
      <c r="C427" s="37" t="s">
        <v>438</v>
      </c>
      <c r="D427" s="38">
        <v>44958</v>
      </c>
      <c r="E427" s="36"/>
      <c r="F427" s="37">
        <v>9102977767</v>
      </c>
      <c r="G427" s="36"/>
      <c r="Q427" s="28"/>
    </row>
    <row r="428" spans="1:23" ht="18">
      <c r="A428" s="36"/>
      <c r="B428" s="37" t="s">
        <v>28</v>
      </c>
      <c r="C428" s="37" t="s">
        <v>445</v>
      </c>
      <c r="D428" s="38">
        <v>44960</v>
      </c>
      <c r="E428" s="36"/>
      <c r="F428" s="37"/>
      <c r="G428" s="36" t="s">
        <v>444</v>
      </c>
      <c r="Q428" s="28"/>
    </row>
    <row r="429" spans="1:23" ht="18">
      <c r="A429" s="36"/>
      <c r="B429" s="37" t="s">
        <v>28</v>
      </c>
      <c r="C429" s="37" t="s">
        <v>448</v>
      </c>
      <c r="D429" s="38">
        <v>44960</v>
      </c>
      <c r="E429" s="36"/>
      <c r="F429" s="37">
        <v>8789291079</v>
      </c>
      <c r="G429" s="36" t="s">
        <v>450</v>
      </c>
      <c r="Q429" s="28"/>
    </row>
    <row r="430" spans="1:23" ht="18">
      <c r="A430" s="36"/>
      <c r="B430" s="37" t="s">
        <v>28</v>
      </c>
      <c r="C430" s="37" t="s">
        <v>451</v>
      </c>
      <c r="D430" s="38">
        <v>44967</v>
      </c>
      <c r="E430" s="36"/>
      <c r="F430" s="37">
        <v>9234706023</v>
      </c>
      <c r="G430" s="36" t="s">
        <v>452</v>
      </c>
      <c r="Q430" s="28">
        <f>IF(OR(B430=2,B430=4),K430*0.31,IF(B430=3,J430*0.4+K430*0.025,J430*0.21+K430*0.025))</f>
        <v>0</v>
      </c>
    </row>
    <row r="431" spans="1:23" ht="18">
      <c r="A431" s="36"/>
      <c r="B431" s="37" t="s">
        <v>28</v>
      </c>
      <c r="C431" s="37" t="s">
        <v>457</v>
      </c>
      <c r="D431" s="38">
        <v>44968</v>
      </c>
      <c r="E431" s="36"/>
      <c r="F431" s="37">
        <v>9234326020</v>
      </c>
      <c r="G431" s="36" t="s">
        <v>458</v>
      </c>
      <c r="Q431" s="28">
        <f>IF(OR(B431=2,B431=4),K431*0.31,IF(B431=3,J431*0.4+K431*0.025,J431*0.21+K431*0.025))</f>
        <v>0</v>
      </c>
    </row>
    <row r="432" spans="1:23" ht="18">
      <c r="A432" s="36"/>
      <c r="B432" s="37" t="s">
        <v>28</v>
      </c>
      <c r="C432" s="37" t="s">
        <v>462</v>
      </c>
      <c r="D432" s="38">
        <v>44969</v>
      </c>
      <c r="E432" s="36"/>
      <c r="F432" s="37">
        <v>9262980018</v>
      </c>
      <c r="G432" s="36" t="s">
        <v>460</v>
      </c>
      <c r="Q432" s="28">
        <f>IF(OR(B432=2,B432=4),K432*0.31,IF(B432=3,J432*0.4+K432*0.025,J432*0.21+K432*0.025))</f>
        <v>0</v>
      </c>
    </row>
    <row r="433" spans="1:17" ht="18">
      <c r="A433" s="36"/>
      <c r="B433" s="37" t="s">
        <v>28</v>
      </c>
      <c r="C433" s="37" t="s">
        <v>467</v>
      </c>
      <c r="D433" s="38">
        <v>44970</v>
      </c>
      <c r="E433" s="36"/>
      <c r="F433" s="37">
        <v>9709517129</v>
      </c>
      <c r="G433" s="36" t="s">
        <v>466</v>
      </c>
      <c r="Q433" s="28"/>
    </row>
    <row r="434" spans="1:17" ht="18">
      <c r="A434" s="36"/>
      <c r="B434" s="37" t="s">
        <v>28</v>
      </c>
      <c r="C434" s="37" t="s">
        <v>469</v>
      </c>
      <c r="D434" s="38">
        <v>44970</v>
      </c>
      <c r="E434" s="36"/>
      <c r="F434" s="37">
        <v>9430137544</v>
      </c>
      <c r="G434" s="36" t="s">
        <v>468</v>
      </c>
      <c r="Q434" s="28"/>
    </row>
    <row r="435" spans="1:17" ht="18">
      <c r="A435" s="36"/>
      <c r="B435" s="37" t="s">
        <v>28</v>
      </c>
      <c r="C435" s="37" t="s">
        <v>470</v>
      </c>
      <c r="D435" s="38">
        <v>44970</v>
      </c>
      <c r="E435" s="36"/>
      <c r="F435" s="37">
        <v>9430137544</v>
      </c>
      <c r="G435" s="36" t="s">
        <v>471</v>
      </c>
      <c r="Q435" s="28"/>
    </row>
    <row r="436" spans="1:17" ht="18">
      <c r="Q436" s="28"/>
    </row>
    <row r="437" spans="1:17" ht="18.600000000000001">
      <c r="F437" s="48"/>
      <c r="Q437" s="28"/>
    </row>
    <row r="438" spans="1:17" ht="16.8">
      <c r="F438" s="48"/>
      <c r="H438" s="34"/>
      <c r="I438" s="46"/>
      <c r="J438" s="124">
        <f t="shared" ref="J438:Q438" si="79">SUM(J417:J435)</f>
        <v>2660.78</v>
      </c>
      <c r="K438" s="124">
        <f t="shared" si="79"/>
        <v>10490</v>
      </c>
      <c r="L438" s="124">
        <f t="shared" si="79"/>
        <v>15517.920400000001</v>
      </c>
      <c r="M438" s="34"/>
      <c r="N438" s="34">
        <f t="shared" si="79"/>
        <v>0</v>
      </c>
      <c r="O438" s="71">
        <f t="shared" si="79"/>
        <v>0</v>
      </c>
      <c r="P438" s="34">
        <f t="shared" si="79"/>
        <v>0</v>
      </c>
      <c r="Q438" s="34">
        <f t="shared" si="79"/>
        <v>2743.0537999999997</v>
      </c>
    </row>
    <row r="439" spans="1:17" ht="18.600000000000001">
      <c r="F439" s="48"/>
      <c r="Q439" s="28"/>
    </row>
    <row r="440" spans="1:17" ht="18.600000000000001">
      <c r="F440" s="48"/>
      <c r="Q440" s="28"/>
    </row>
    <row r="441" spans="1:17" ht="18.600000000000001">
      <c r="F441" s="48"/>
      <c r="Q441" s="28"/>
    </row>
    <row r="442" spans="1:17" ht="18.600000000000001">
      <c r="B442" s="9">
        <v>2</v>
      </c>
      <c r="C442" s="9" t="s">
        <v>897</v>
      </c>
      <c r="D442" s="1">
        <v>45352</v>
      </c>
      <c r="F442" s="48">
        <v>7209118038</v>
      </c>
      <c r="G442" t="s">
        <v>23</v>
      </c>
      <c r="H442" s="1">
        <v>21679</v>
      </c>
      <c r="I442" s="42" t="s">
        <v>892</v>
      </c>
      <c r="J442" s="5">
        <v>0</v>
      </c>
      <c r="K442" s="5">
        <v>538</v>
      </c>
      <c r="L442" s="5">
        <f t="shared" ref="L442:L448" si="80">(J442+K442)*1.18</f>
        <v>634.83999999999992</v>
      </c>
      <c r="O442" s="3" t="s">
        <v>893</v>
      </c>
      <c r="Q442" s="28">
        <f t="shared" ref="Q442:Q450" si="81">IF(OR(B442=2,B442=4),K442*0.31,IF(B442=3,J442*0.4+K442*0.025,J442*0.21+K442*0.025))</f>
        <v>166.78</v>
      </c>
    </row>
    <row r="443" spans="1:17" ht="18.600000000000001">
      <c r="B443" s="9">
        <v>2</v>
      </c>
      <c r="C443" s="9" t="s">
        <v>896</v>
      </c>
      <c r="D443" s="1">
        <v>45352</v>
      </c>
      <c r="F443" s="48"/>
      <c r="G443" t="s">
        <v>24</v>
      </c>
      <c r="H443" s="1">
        <v>32994</v>
      </c>
      <c r="I443" s="42" t="s">
        <v>894</v>
      </c>
      <c r="J443" s="5">
        <v>0</v>
      </c>
      <c r="K443" s="5">
        <v>668</v>
      </c>
      <c r="L443" s="5">
        <f t="shared" si="80"/>
        <v>788.24</v>
      </c>
      <c r="O443" s="3" t="s">
        <v>895</v>
      </c>
      <c r="Q443" s="28">
        <f t="shared" si="81"/>
        <v>207.08</v>
      </c>
    </row>
    <row r="444" spans="1:17" ht="18.600000000000001">
      <c r="B444" s="9">
        <v>2</v>
      </c>
      <c r="C444" s="9" t="s">
        <v>898</v>
      </c>
      <c r="D444" s="1">
        <v>45353</v>
      </c>
      <c r="F444" s="48"/>
      <c r="G444" t="s">
        <v>454</v>
      </c>
      <c r="H444" s="1">
        <v>20131</v>
      </c>
      <c r="J444" s="5">
        <v>0</v>
      </c>
      <c r="K444" s="5">
        <v>668</v>
      </c>
      <c r="L444" s="5">
        <f t="shared" si="80"/>
        <v>788.24</v>
      </c>
      <c r="Q444" s="28">
        <f t="shared" si="81"/>
        <v>207.08</v>
      </c>
    </row>
    <row r="445" spans="1:17" ht="18.600000000000001">
      <c r="B445" s="9">
        <v>2</v>
      </c>
      <c r="D445" s="1">
        <v>45367</v>
      </c>
      <c r="F445" s="48"/>
      <c r="G445" t="s">
        <v>899</v>
      </c>
      <c r="J445" s="5">
        <v>0</v>
      </c>
      <c r="K445" s="5">
        <v>714</v>
      </c>
      <c r="L445" s="5">
        <f t="shared" si="80"/>
        <v>842.52</v>
      </c>
      <c r="Q445" s="28">
        <f t="shared" si="81"/>
        <v>221.34</v>
      </c>
    </row>
    <row r="446" spans="1:17" ht="18">
      <c r="B446" s="9">
        <v>2</v>
      </c>
      <c r="C446" s="80" t="s">
        <v>478</v>
      </c>
      <c r="D446" s="81">
        <v>45052</v>
      </c>
      <c r="E446" s="82"/>
      <c r="F446" s="80">
        <v>7209930086</v>
      </c>
      <c r="G446" s="82" t="s">
        <v>479</v>
      </c>
      <c r="H446" s="82"/>
      <c r="I446" s="83"/>
      <c r="J446" s="105">
        <v>0</v>
      </c>
      <c r="K446" s="105">
        <v>714</v>
      </c>
      <c r="L446" s="105">
        <f t="shared" si="80"/>
        <v>842.52</v>
      </c>
      <c r="M446" s="82"/>
      <c r="N446" s="82"/>
      <c r="O446" s="65" t="s">
        <v>88</v>
      </c>
      <c r="P446" s="82"/>
      <c r="Q446" s="84">
        <f t="shared" si="81"/>
        <v>221.34</v>
      </c>
    </row>
    <row r="447" spans="1:17" ht="18">
      <c r="B447" s="9">
        <v>2</v>
      </c>
      <c r="C447" s="80" t="s">
        <v>900</v>
      </c>
      <c r="D447" s="81"/>
      <c r="E447" s="82"/>
      <c r="F447" s="80"/>
      <c r="G447" s="82"/>
      <c r="H447" s="81"/>
      <c r="I447" s="83" t="s">
        <v>901</v>
      </c>
      <c r="J447" s="105">
        <v>0</v>
      </c>
      <c r="K447" s="105">
        <v>714</v>
      </c>
      <c r="L447" s="105">
        <f t="shared" si="80"/>
        <v>842.52</v>
      </c>
      <c r="M447" s="82"/>
      <c r="N447" s="82"/>
      <c r="O447" s="65" t="s">
        <v>493</v>
      </c>
      <c r="Q447" s="84">
        <f t="shared" si="81"/>
        <v>221.34</v>
      </c>
    </row>
    <row r="448" spans="1:17" ht="18">
      <c r="B448" s="9">
        <v>2</v>
      </c>
      <c r="C448" s="80" t="s">
        <v>900</v>
      </c>
      <c r="D448" s="81">
        <v>45004</v>
      </c>
      <c r="E448" s="82"/>
      <c r="F448" s="80">
        <v>9031225732</v>
      </c>
      <c r="G448" s="82" t="s">
        <v>494</v>
      </c>
      <c r="H448" s="81">
        <v>25118</v>
      </c>
      <c r="I448" s="83" t="s">
        <v>901</v>
      </c>
      <c r="J448" s="105">
        <v>0</v>
      </c>
      <c r="K448" s="105">
        <v>714</v>
      </c>
      <c r="L448" s="105">
        <f t="shared" si="80"/>
        <v>842.52</v>
      </c>
      <c r="M448" s="82"/>
      <c r="N448" s="82"/>
      <c r="O448" s="65" t="s">
        <v>493</v>
      </c>
      <c r="Q448" s="84">
        <f>IF(OR(B448=2,B448=4),K448*0.31,IF(B448=3,J448*0.4+K448*0.025,J448*0.21+K448*0.025))</f>
        <v>221.34</v>
      </c>
    </row>
    <row r="449" spans="1:17" ht="18.600000000000001">
      <c r="F449" s="48"/>
      <c r="Q449" s="28"/>
    </row>
    <row r="450" spans="1:17" ht="18.600000000000001">
      <c r="F450" s="48"/>
      <c r="Q450" s="28">
        <f t="shared" si="81"/>
        <v>0</v>
      </c>
    </row>
    <row r="451" spans="1:17" ht="18">
      <c r="A451" s="36"/>
      <c r="B451" s="37" t="s">
        <v>28</v>
      </c>
      <c r="C451" s="37" t="s">
        <v>476</v>
      </c>
      <c r="D451" s="38">
        <v>44988</v>
      </c>
      <c r="E451" s="36"/>
      <c r="F451" s="37">
        <v>8210825009</v>
      </c>
      <c r="G451" s="36" t="s">
        <v>475</v>
      </c>
      <c r="H451" s="36"/>
      <c r="I451" s="47"/>
      <c r="J451" s="39">
        <v>0</v>
      </c>
      <c r="K451" s="39">
        <v>714</v>
      </c>
      <c r="L451" s="39">
        <f t="shared" ref="L451:L465" si="82">(J451+K451)*1.18</f>
        <v>842.52</v>
      </c>
      <c r="M451" s="36"/>
      <c r="N451" s="36"/>
      <c r="O451" s="72" t="s">
        <v>477</v>
      </c>
      <c r="Q451" s="28"/>
    </row>
    <row r="452" spans="1:17" ht="18">
      <c r="A452" s="36"/>
      <c r="B452" s="37" t="s">
        <v>28</v>
      </c>
      <c r="Q452" s="28"/>
    </row>
    <row r="453" spans="1:17" ht="18">
      <c r="A453" s="36"/>
      <c r="B453" s="37" t="s">
        <v>28</v>
      </c>
      <c r="C453" s="37"/>
      <c r="D453" s="38">
        <v>44999</v>
      </c>
      <c r="E453" s="36"/>
      <c r="F453" s="37">
        <v>9931316895</v>
      </c>
      <c r="G453" s="36" t="s">
        <v>480</v>
      </c>
      <c r="H453" s="36"/>
      <c r="I453" s="47"/>
      <c r="J453" s="39">
        <v>0</v>
      </c>
      <c r="K453" s="39">
        <v>714</v>
      </c>
      <c r="L453" s="39">
        <f t="shared" si="82"/>
        <v>842.52</v>
      </c>
      <c r="M453" s="36"/>
      <c r="N453" s="36"/>
      <c r="O453" s="72" t="s">
        <v>481</v>
      </c>
      <c r="Q453" s="28"/>
    </row>
    <row r="454" spans="1:17" ht="18">
      <c r="A454" s="36"/>
      <c r="B454" s="37" t="s">
        <v>28</v>
      </c>
      <c r="C454" s="37" t="s">
        <v>482</v>
      </c>
      <c r="D454" s="38">
        <v>45000</v>
      </c>
      <c r="E454" s="36"/>
      <c r="F454" s="37">
        <v>9931781344</v>
      </c>
      <c r="G454" s="36" t="s">
        <v>483</v>
      </c>
      <c r="H454" s="36"/>
      <c r="I454" s="47"/>
      <c r="J454" s="39">
        <v>0</v>
      </c>
      <c r="K454" s="39">
        <v>714</v>
      </c>
      <c r="L454" s="39">
        <f t="shared" si="82"/>
        <v>842.52</v>
      </c>
      <c r="M454" s="36"/>
      <c r="N454" s="36"/>
      <c r="O454" s="72" t="s">
        <v>484</v>
      </c>
      <c r="Q454" s="28"/>
    </row>
    <row r="455" spans="1:17" ht="18">
      <c r="A455" s="36"/>
      <c r="B455" s="37" t="s">
        <v>28</v>
      </c>
      <c r="C455" s="37" t="s">
        <v>485</v>
      </c>
      <c r="D455" s="38">
        <v>45001</v>
      </c>
      <c r="E455" s="36"/>
      <c r="F455" s="37"/>
      <c r="G455" s="36" t="s">
        <v>486</v>
      </c>
      <c r="H455" s="36"/>
      <c r="I455" s="47"/>
      <c r="J455" s="39">
        <v>0</v>
      </c>
      <c r="K455" s="39">
        <v>714</v>
      </c>
      <c r="L455" s="39">
        <f t="shared" si="82"/>
        <v>842.52</v>
      </c>
      <c r="M455" s="36"/>
      <c r="N455" s="36"/>
      <c r="O455" s="72" t="s">
        <v>487</v>
      </c>
      <c r="Q455" s="28"/>
    </row>
    <row r="456" spans="1:17" ht="18">
      <c r="A456" s="36"/>
      <c r="B456" s="37" t="s">
        <v>28</v>
      </c>
      <c r="C456" s="37" t="s">
        <v>488</v>
      </c>
      <c r="D456" s="38"/>
      <c r="E456" s="36"/>
      <c r="F456" s="37">
        <v>9031975093</v>
      </c>
      <c r="G456" s="36" t="s">
        <v>504</v>
      </c>
      <c r="H456" s="36"/>
      <c r="I456" s="47"/>
      <c r="J456" s="39">
        <v>0</v>
      </c>
      <c r="K456" s="39">
        <v>714</v>
      </c>
      <c r="L456" s="39">
        <f t="shared" si="82"/>
        <v>842.52</v>
      </c>
      <c r="M456" s="36"/>
      <c r="N456" s="36"/>
      <c r="O456" s="72" t="s">
        <v>489</v>
      </c>
      <c r="Q456" s="28"/>
    </row>
    <row r="457" spans="1:17" ht="18">
      <c r="A457" s="36"/>
      <c r="B457" s="37" t="s">
        <v>28</v>
      </c>
      <c r="C457" s="37" t="s">
        <v>490</v>
      </c>
      <c r="D457" s="38">
        <v>45004</v>
      </c>
      <c r="E457" s="36"/>
      <c r="F457" s="37">
        <v>7765836624</v>
      </c>
      <c r="G457" s="36" t="s">
        <v>491</v>
      </c>
      <c r="H457" s="36"/>
      <c r="I457" s="47"/>
      <c r="J457" s="39">
        <v>0</v>
      </c>
      <c r="K457" s="39">
        <v>714</v>
      </c>
      <c r="L457" s="39">
        <f t="shared" si="82"/>
        <v>842.52</v>
      </c>
      <c r="M457" s="36"/>
      <c r="N457" s="36"/>
      <c r="O457" s="72" t="s">
        <v>492</v>
      </c>
      <c r="Q457" s="28"/>
    </row>
    <row r="458" spans="1:17" ht="18">
      <c r="A458" s="36"/>
      <c r="Q458" s="28"/>
    </row>
    <row r="459" spans="1:17" ht="18">
      <c r="A459" s="36"/>
      <c r="B459" s="37" t="s">
        <v>28</v>
      </c>
      <c r="C459" s="37" t="s">
        <v>497</v>
      </c>
      <c r="D459" s="38">
        <v>45004</v>
      </c>
      <c r="E459" s="36"/>
      <c r="F459" s="37">
        <v>6202410211</v>
      </c>
      <c r="G459" s="36" t="s">
        <v>495</v>
      </c>
      <c r="H459" s="36"/>
      <c r="I459" s="47"/>
      <c r="J459" s="39">
        <v>0</v>
      </c>
      <c r="K459" s="39">
        <v>714</v>
      </c>
      <c r="L459" s="39">
        <f t="shared" si="82"/>
        <v>842.52</v>
      </c>
      <c r="M459" s="36"/>
      <c r="N459" s="36"/>
      <c r="O459" s="72" t="s">
        <v>498</v>
      </c>
      <c r="Q459" s="28"/>
    </row>
    <row r="460" spans="1:17" ht="18">
      <c r="A460" s="36"/>
      <c r="B460" s="37" t="s">
        <v>28</v>
      </c>
      <c r="C460" s="37" t="s">
        <v>500</v>
      </c>
      <c r="D460" s="38">
        <v>45005</v>
      </c>
      <c r="E460" s="36"/>
      <c r="F460" s="37">
        <v>9934179885</v>
      </c>
      <c r="G460" s="36" t="s">
        <v>499</v>
      </c>
      <c r="H460" s="36"/>
      <c r="I460" s="47"/>
      <c r="J460" s="39">
        <v>0</v>
      </c>
      <c r="K460" s="39">
        <v>714</v>
      </c>
      <c r="L460" s="39">
        <f t="shared" si="82"/>
        <v>842.52</v>
      </c>
      <c r="M460" s="36"/>
      <c r="N460" s="36"/>
      <c r="O460" s="72" t="s">
        <v>87</v>
      </c>
      <c r="Q460" s="28"/>
    </row>
    <row r="461" spans="1:17" ht="18">
      <c r="A461" s="36"/>
      <c r="B461" s="37" t="s">
        <v>28</v>
      </c>
      <c r="C461" s="37" t="s">
        <v>501</v>
      </c>
      <c r="D461" s="38">
        <v>45005</v>
      </c>
      <c r="E461" s="36"/>
      <c r="F461" s="37">
        <v>8235001988</v>
      </c>
      <c r="G461" s="36" t="s">
        <v>503</v>
      </c>
      <c r="H461" s="36"/>
      <c r="I461" s="47"/>
      <c r="J461" s="39">
        <v>0</v>
      </c>
      <c r="K461" s="39">
        <v>714</v>
      </c>
      <c r="L461" s="39">
        <f t="shared" si="82"/>
        <v>842.52</v>
      </c>
      <c r="M461" s="36"/>
      <c r="N461" s="36"/>
      <c r="O461" s="72" t="s">
        <v>502</v>
      </c>
      <c r="Q461" s="28"/>
    </row>
    <row r="462" spans="1:17" ht="18">
      <c r="A462" s="36"/>
      <c r="B462" s="37" t="s">
        <v>28</v>
      </c>
      <c r="C462" s="37" t="s">
        <v>505</v>
      </c>
      <c r="D462" s="38">
        <v>45006</v>
      </c>
      <c r="E462" s="36"/>
      <c r="F462" s="37">
        <v>9123235392</v>
      </c>
      <c r="G462" s="36"/>
      <c r="H462" s="36"/>
      <c r="I462" s="47"/>
      <c r="J462" s="39">
        <v>0</v>
      </c>
      <c r="K462" s="39">
        <v>714</v>
      </c>
      <c r="L462" s="39">
        <f t="shared" si="82"/>
        <v>842.52</v>
      </c>
      <c r="M462" s="36"/>
      <c r="N462" s="36"/>
      <c r="O462" s="72" t="s">
        <v>506</v>
      </c>
      <c r="Q462" s="28"/>
    </row>
    <row r="463" spans="1:17" ht="18">
      <c r="A463" s="36" t="s">
        <v>27</v>
      </c>
      <c r="B463" s="37" t="s">
        <v>28</v>
      </c>
      <c r="C463" s="37"/>
      <c r="D463" s="38">
        <v>45013</v>
      </c>
      <c r="E463" s="36"/>
      <c r="F463" s="37"/>
      <c r="G463" s="36"/>
      <c r="H463" s="36"/>
      <c r="I463" s="47"/>
      <c r="J463" s="39">
        <v>0</v>
      </c>
      <c r="K463" s="39">
        <v>3416.0169491525426</v>
      </c>
      <c r="L463" s="39">
        <f t="shared" si="82"/>
        <v>4030.9</v>
      </c>
      <c r="M463" s="36"/>
      <c r="N463" s="36"/>
      <c r="O463" s="72"/>
      <c r="Q463" s="28"/>
    </row>
    <row r="464" spans="1:17" ht="18">
      <c r="A464" s="36"/>
      <c r="N464" s="36"/>
      <c r="O464" s="72"/>
      <c r="Q464" s="28"/>
    </row>
    <row r="465" spans="1:17" ht="18.600000000000001">
      <c r="F465" s="48"/>
      <c r="L465" s="39">
        <f t="shared" si="82"/>
        <v>0</v>
      </c>
      <c r="M465" s="36"/>
      <c r="Q465" s="28"/>
    </row>
    <row r="466" spans="1:17">
      <c r="A466" s="56" t="s">
        <v>804</v>
      </c>
      <c r="B466" s="35">
        <f>COUNT(K442:K465)</f>
        <v>18</v>
      </c>
      <c r="C466" s="35"/>
      <c r="D466" s="34"/>
      <c r="E466" s="34"/>
      <c r="F466" s="35"/>
      <c r="G466" s="34"/>
      <c r="H466" s="34"/>
      <c r="I466" s="46"/>
      <c r="J466" s="124">
        <f>SUM(J442:J465)</f>
        <v>0</v>
      </c>
      <c r="K466" s="124">
        <f>SUM(K442:K465)</f>
        <v>15286.016949152543</v>
      </c>
      <c r="L466" s="124">
        <f>SUM(L442:L465)</f>
        <v>18037.500000000004</v>
      </c>
      <c r="M466" s="34"/>
      <c r="N466" s="34"/>
      <c r="O466" s="71"/>
      <c r="P466" s="34">
        <f>SUM(P417:P465)</f>
        <v>0</v>
      </c>
      <c r="Q466" s="34">
        <f>SUM(Q442:Q465)</f>
        <v>1466.3</v>
      </c>
    </row>
    <row r="467" spans="1:17">
      <c r="A467" s="85"/>
      <c r="B467" s="54"/>
      <c r="C467" s="54"/>
      <c r="D467" s="41"/>
      <c r="E467" s="41"/>
      <c r="F467" s="54"/>
      <c r="G467" s="41"/>
      <c r="H467" s="41"/>
      <c r="I467" s="55"/>
      <c r="J467" s="125"/>
      <c r="K467" s="125"/>
      <c r="L467" s="124"/>
      <c r="M467" s="41"/>
      <c r="N467" s="41"/>
      <c r="O467" s="73"/>
      <c r="P467" s="41"/>
      <c r="Q467" s="41"/>
    </row>
    <row r="468" spans="1:17" ht="18.600000000000001">
      <c r="B468" s="9">
        <v>2</v>
      </c>
      <c r="C468" s="9" t="s">
        <v>919</v>
      </c>
      <c r="F468" s="48"/>
      <c r="G468" t="s">
        <v>918</v>
      </c>
      <c r="J468" s="5">
        <v>0</v>
      </c>
      <c r="K468" s="5">
        <v>714</v>
      </c>
      <c r="L468" s="5">
        <f t="shared" ref="L468:L478" si="83">(J468+K468)*1.18</f>
        <v>842.52</v>
      </c>
      <c r="O468" s="3" t="s">
        <v>443</v>
      </c>
      <c r="Q468" s="86">
        <f t="shared" ref="Q468:Q484" si="84">IF(OR(B468=2,B468=4),K468*0.31,IF(B468=3,J468*0.4+K468*0.025,J468*0.21+K468*0.025))</f>
        <v>221.34</v>
      </c>
    </row>
    <row r="469" spans="1:17" ht="18">
      <c r="B469" s="9">
        <v>2</v>
      </c>
      <c r="C469" s="9" t="s">
        <v>905</v>
      </c>
      <c r="D469" s="1">
        <v>45384</v>
      </c>
      <c r="F469" s="9">
        <v>9031958801</v>
      </c>
      <c r="G469" t="s">
        <v>902</v>
      </c>
      <c r="H469" s="1">
        <v>26666</v>
      </c>
      <c r="I469" s="42" t="s">
        <v>904</v>
      </c>
      <c r="J469" s="5">
        <v>0</v>
      </c>
      <c r="K469" s="5">
        <v>664</v>
      </c>
      <c r="L469" s="5">
        <f t="shared" si="83"/>
        <v>783.52</v>
      </c>
      <c r="O469" s="3" t="s">
        <v>903</v>
      </c>
      <c r="Q469" s="86">
        <f t="shared" si="84"/>
        <v>205.84</v>
      </c>
    </row>
    <row r="470" spans="1:17" ht="18">
      <c r="B470" s="80">
        <v>2</v>
      </c>
      <c r="C470" s="80" t="s">
        <v>507</v>
      </c>
      <c r="D470" s="81">
        <v>45013</v>
      </c>
      <c r="E470" s="82"/>
      <c r="F470" s="9">
        <v>8789669004</v>
      </c>
      <c r="G470" s="82" t="s">
        <v>97</v>
      </c>
      <c r="H470" s="81">
        <v>34816</v>
      </c>
      <c r="I470" s="83" t="s">
        <v>906</v>
      </c>
      <c r="J470" s="105">
        <v>0</v>
      </c>
      <c r="K470" s="105">
        <v>714</v>
      </c>
      <c r="L470" s="5">
        <f t="shared" si="83"/>
        <v>842.52</v>
      </c>
      <c r="O470" s="3" t="s">
        <v>99</v>
      </c>
      <c r="Q470" s="86">
        <f t="shared" si="84"/>
        <v>221.34</v>
      </c>
    </row>
    <row r="471" spans="1:17" ht="18">
      <c r="B471" s="9">
        <v>2</v>
      </c>
      <c r="C471" s="9" t="s">
        <v>920</v>
      </c>
      <c r="G471" t="s">
        <v>514</v>
      </c>
      <c r="H471" s="1">
        <v>29599</v>
      </c>
      <c r="I471" s="42" t="s">
        <v>907</v>
      </c>
      <c r="J471" s="5">
        <v>0</v>
      </c>
      <c r="K471" s="5">
        <v>714</v>
      </c>
      <c r="L471" s="5">
        <f t="shared" si="83"/>
        <v>842.52</v>
      </c>
      <c r="O471" s="3" t="s">
        <v>921</v>
      </c>
      <c r="Q471" s="86">
        <f t="shared" si="84"/>
        <v>221.34</v>
      </c>
    </row>
    <row r="472" spans="1:17" ht="18">
      <c r="B472" s="9">
        <v>2</v>
      </c>
      <c r="C472" s="9" t="s">
        <v>922</v>
      </c>
      <c r="G472" t="s">
        <v>526</v>
      </c>
      <c r="H472" s="1"/>
      <c r="J472" s="5">
        <v>0</v>
      </c>
      <c r="K472" s="5">
        <v>664</v>
      </c>
      <c r="L472" s="5">
        <f t="shared" si="83"/>
        <v>783.52</v>
      </c>
      <c r="O472" s="3" t="s">
        <v>524</v>
      </c>
      <c r="Q472" s="86">
        <f t="shared" si="84"/>
        <v>205.84</v>
      </c>
    </row>
    <row r="473" spans="1:17" ht="18">
      <c r="B473" s="9">
        <v>2</v>
      </c>
      <c r="C473" s="9" t="s">
        <v>908</v>
      </c>
      <c r="D473" s="1">
        <v>45390</v>
      </c>
      <c r="F473" s="9">
        <v>7017135230</v>
      </c>
      <c r="G473" t="s">
        <v>909</v>
      </c>
      <c r="H473" s="1">
        <v>20941</v>
      </c>
      <c r="I473" s="42" t="s">
        <v>910</v>
      </c>
      <c r="J473" s="5">
        <v>0</v>
      </c>
      <c r="K473" s="5">
        <v>664</v>
      </c>
      <c r="L473" s="5">
        <f t="shared" si="83"/>
        <v>783.52</v>
      </c>
      <c r="O473" s="3" t="s">
        <v>911</v>
      </c>
      <c r="Q473" s="86">
        <f t="shared" si="84"/>
        <v>205.84</v>
      </c>
    </row>
    <row r="474" spans="1:17" ht="18">
      <c r="B474" s="9">
        <v>2</v>
      </c>
      <c r="C474" s="9" t="s">
        <v>925</v>
      </c>
      <c r="D474" s="1"/>
      <c r="G474" t="s">
        <v>923</v>
      </c>
      <c r="H474" s="1"/>
      <c r="J474" s="5">
        <v>0</v>
      </c>
      <c r="K474" s="5">
        <v>664</v>
      </c>
      <c r="L474" s="5">
        <f t="shared" si="83"/>
        <v>783.52</v>
      </c>
      <c r="O474" s="3" t="s">
        <v>513</v>
      </c>
      <c r="Q474" s="86">
        <f t="shared" si="84"/>
        <v>205.84</v>
      </c>
    </row>
    <row r="475" spans="1:17" ht="18">
      <c r="B475" s="9">
        <v>2</v>
      </c>
      <c r="C475" s="9" t="s">
        <v>926</v>
      </c>
      <c r="G475" t="s">
        <v>924</v>
      </c>
      <c r="H475" s="1">
        <v>16240</v>
      </c>
      <c r="I475" s="42" t="s">
        <v>912</v>
      </c>
      <c r="J475" s="5">
        <v>0</v>
      </c>
      <c r="K475" s="5">
        <v>714</v>
      </c>
      <c r="L475" s="5">
        <f t="shared" si="83"/>
        <v>842.52</v>
      </c>
      <c r="O475" s="3" t="s">
        <v>103</v>
      </c>
      <c r="Q475" s="86">
        <f t="shared" si="84"/>
        <v>221.34</v>
      </c>
    </row>
    <row r="476" spans="1:17" ht="18">
      <c r="B476" s="9">
        <v>4</v>
      </c>
      <c r="C476" s="9" t="s">
        <v>917</v>
      </c>
      <c r="D476" s="1">
        <v>45393</v>
      </c>
      <c r="F476" s="9">
        <v>9430137544</v>
      </c>
      <c r="G476" t="s">
        <v>916</v>
      </c>
      <c r="H476" s="1">
        <v>26292</v>
      </c>
      <c r="I476" s="42" t="s">
        <v>913</v>
      </c>
      <c r="J476" s="5">
        <v>0</v>
      </c>
      <c r="K476" s="5">
        <v>1994</v>
      </c>
      <c r="L476" s="5">
        <f t="shared" si="83"/>
        <v>2352.92</v>
      </c>
      <c r="O476" s="3" t="s">
        <v>49</v>
      </c>
      <c r="Q476" s="86">
        <f t="shared" si="84"/>
        <v>618.14</v>
      </c>
    </row>
    <row r="477" spans="1:17" ht="18">
      <c r="B477" s="9">
        <v>2</v>
      </c>
      <c r="C477" s="9" t="s">
        <v>915</v>
      </c>
      <c r="D477" s="1">
        <v>45393</v>
      </c>
      <c r="F477" s="9">
        <v>9430137544</v>
      </c>
      <c r="G477" t="s">
        <v>51</v>
      </c>
      <c r="H477" s="1">
        <v>28839</v>
      </c>
      <c r="I477" s="42" t="s">
        <v>914</v>
      </c>
      <c r="J477" s="5">
        <v>0</v>
      </c>
      <c r="K477" s="5">
        <v>714</v>
      </c>
      <c r="L477" s="5">
        <f t="shared" si="83"/>
        <v>842.52</v>
      </c>
      <c r="O477" s="3" t="s">
        <v>52</v>
      </c>
      <c r="Q477" s="86">
        <f t="shared" si="84"/>
        <v>221.34</v>
      </c>
    </row>
    <row r="478" spans="1:17" ht="18">
      <c r="B478" s="9">
        <v>2</v>
      </c>
      <c r="C478" s="9" t="s">
        <v>930</v>
      </c>
      <c r="D478" s="1">
        <v>45394</v>
      </c>
      <c r="F478" s="9">
        <v>9955372833</v>
      </c>
      <c r="G478" t="s">
        <v>929</v>
      </c>
      <c r="H478" s="1">
        <v>25567</v>
      </c>
      <c r="I478" s="42" t="s">
        <v>928</v>
      </c>
      <c r="J478" s="5">
        <v>0</v>
      </c>
      <c r="K478" s="5">
        <v>714</v>
      </c>
      <c r="L478" s="5">
        <f t="shared" si="83"/>
        <v>842.52</v>
      </c>
      <c r="O478" s="3" t="s">
        <v>927</v>
      </c>
      <c r="Q478" s="86">
        <f t="shared" si="84"/>
        <v>221.34</v>
      </c>
    </row>
    <row r="479" spans="1:17" ht="18">
      <c r="B479" s="9">
        <v>2</v>
      </c>
      <c r="C479" s="9" t="s">
        <v>934</v>
      </c>
      <c r="D479" s="1">
        <v>45395</v>
      </c>
      <c r="F479" s="9">
        <v>7779946075</v>
      </c>
      <c r="G479" t="s">
        <v>931</v>
      </c>
      <c r="H479" s="1">
        <v>36224</v>
      </c>
      <c r="I479" s="42" t="s">
        <v>932</v>
      </c>
      <c r="J479" s="5">
        <v>0</v>
      </c>
      <c r="K479" s="5">
        <v>714</v>
      </c>
      <c r="L479" s="5">
        <f t="shared" ref="L479:L484" si="85">(J479+K479)*1.18</f>
        <v>842.52</v>
      </c>
      <c r="O479" s="3" t="s">
        <v>933</v>
      </c>
      <c r="Q479" s="86">
        <f t="shared" si="84"/>
        <v>221.34</v>
      </c>
    </row>
    <row r="480" spans="1:17" ht="18.600000000000001">
      <c r="B480" s="9">
        <v>2</v>
      </c>
      <c r="C480" s="9" t="s">
        <v>937</v>
      </c>
      <c r="D480" s="1">
        <v>45395</v>
      </c>
      <c r="E480" s="1">
        <v>45762</v>
      </c>
      <c r="F480" s="48"/>
      <c r="G480" t="s">
        <v>935</v>
      </c>
      <c r="I480" s="42" t="s">
        <v>618</v>
      </c>
      <c r="L480" s="5">
        <f t="shared" si="85"/>
        <v>0</v>
      </c>
      <c r="O480" s="3" t="s">
        <v>936</v>
      </c>
      <c r="Q480" s="86">
        <f t="shared" si="84"/>
        <v>0</v>
      </c>
    </row>
    <row r="481" spans="1:17" ht="18.600000000000001">
      <c r="B481" s="9">
        <v>4</v>
      </c>
      <c r="C481" s="9" t="s">
        <v>948</v>
      </c>
      <c r="F481" s="48">
        <v>7209637288</v>
      </c>
      <c r="G481" t="s">
        <v>949</v>
      </c>
      <c r="H481" s="1">
        <v>13881</v>
      </c>
      <c r="I481" s="42" t="s">
        <v>939</v>
      </c>
      <c r="J481" s="5">
        <v>0</v>
      </c>
      <c r="K481" s="5">
        <v>1994</v>
      </c>
      <c r="L481" s="5">
        <f t="shared" si="85"/>
        <v>2352.92</v>
      </c>
      <c r="Q481" s="86">
        <f t="shared" si="84"/>
        <v>618.14</v>
      </c>
    </row>
    <row r="482" spans="1:17" ht="18.600000000000001">
      <c r="B482" s="9">
        <v>2</v>
      </c>
      <c r="C482" s="9" t="s">
        <v>951</v>
      </c>
      <c r="F482" s="48">
        <v>7033533934</v>
      </c>
      <c r="G482" t="s">
        <v>950</v>
      </c>
      <c r="H482" s="1">
        <v>22947</v>
      </c>
      <c r="I482" s="42" t="s">
        <v>777</v>
      </c>
      <c r="J482" s="5">
        <v>0</v>
      </c>
      <c r="K482" s="5">
        <v>714</v>
      </c>
      <c r="L482" s="5">
        <f t="shared" si="85"/>
        <v>842.52</v>
      </c>
      <c r="O482" s="3" t="s">
        <v>83</v>
      </c>
      <c r="Q482" s="86">
        <f t="shared" si="84"/>
        <v>221.34</v>
      </c>
    </row>
    <row r="483" spans="1:17" ht="18.600000000000001">
      <c r="B483" s="9">
        <v>2</v>
      </c>
      <c r="C483" s="9" t="s">
        <v>952</v>
      </c>
      <c r="F483" s="48"/>
      <c r="G483" t="s">
        <v>528</v>
      </c>
      <c r="J483" s="5">
        <v>0</v>
      </c>
      <c r="K483" s="5">
        <v>664</v>
      </c>
      <c r="L483" s="5">
        <f t="shared" si="85"/>
        <v>783.52</v>
      </c>
      <c r="Q483" s="86">
        <f t="shared" si="84"/>
        <v>205.84</v>
      </c>
    </row>
    <row r="484" spans="1:17" ht="18.600000000000001">
      <c r="B484" s="9">
        <v>2</v>
      </c>
      <c r="C484" s="9" t="s">
        <v>942</v>
      </c>
      <c r="D484" s="1">
        <v>45412</v>
      </c>
      <c r="F484" s="48">
        <v>9939524421</v>
      </c>
      <c r="G484" t="s">
        <v>940</v>
      </c>
      <c r="H484" s="1">
        <v>29354</v>
      </c>
      <c r="I484" s="42" t="s">
        <v>941</v>
      </c>
      <c r="J484" s="5">
        <v>0</v>
      </c>
      <c r="K484" s="5">
        <v>714</v>
      </c>
      <c r="L484" s="5">
        <f t="shared" si="85"/>
        <v>842.52</v>
      </c>
      <c r="Q484" s="86">
        <f t="shared" si="84"/>
        <v>221.34</v>
      </c>
    </row>
    <row r="485" spans="1:17">
      <c r="A485" s="56" t="s">
        <v>804</v>
      </c>
      <c r="B485" s="35">
        <f>COUNT(K465:K484)</f>
        <v>17</v>
      </c>
      <c r="C485" s="35"/>
      <c r="D485" s="34"/>
      <c r="E485" s="34"/>
      <c r="F485" s="35"/>
      <c r="G485" s="34"/>
      <c r="H485" s="34"/>
      <c r="I485" s="46"/>
      <c r="J485" s="124">
        <f>SUM(J465:J484)</f>
        <v>0</v>
      </c>
      <c r="K485" s="124">
        <f>SUM(K465:K484)</f>
        <v>29020.016949152545</v>
      </c>
      <c r="L485" s="124">
        <f>SUM(L465:L484)</f>
        <v>34243.62000000001</v>
      </c>
      <c r="M485" s="34"/>
      <c r="N485" s="34"/>
      <c r="O485" s="71"/>
      <c r="P485" s="34">
        <f>SUM(P440:P484)</f>
        <v>0</v>
      </c>
      <c r="Q485" s="34">
        <f>SUM(Q465:Q484)</f>
        <v>5723.8400000000011</v>
      </c>
    </row>
    <row r="486" spans="1:17" ht="19.2">
      <c r="B486" s="9">
        <v>2</v>
      </c>
      <c r="C486" s="9" t="s">
        <v>943</v>
      </c>
      <c r="D486" s="1">
        <v>45413</v>
      </c>
      <c r="F486" s="94">
        <v>7001256409</v>
      </c>
      <c r="G486" t="s">
        <v>944</v>
      </c>
      <c r="H486" s="1">
        <v>30234</v>
      </c>
      <c r="I486" s="42" t="s">
        <v>945</v>
      </c>
      <c r="J486" s="5">
        <v>0</v>
      </c>
      <c r="K486" s="5">
        <v>664</v>
      </c>
      <c r="L486" s="5">
        <f t="shared" ref="L486:L492" si="86">(J486+K486)*1.18</f>
        <v>783.52</v>
      </c>
      <c r="O486" s="3" t="s">
        <v>946</v>
      </c>
      <c r="Q486" s="86">
        <f t="shared" ref="Q486:Q497" si="87">IF(OR(B486=2,B486=4),K486*0.31,IF(B486=3,J486*0.4+K486*0.025,J486*0.21+K486*0.025))</f>
        <v>205.84</v>
      </c>
    </row>
    <row r="487" spans="1:17" ht="18.600000000000001">
      <c r="B487" s="9">
        <v>4</v>
      </c>
      <c r="D487" s="1">
        <v>45413</v>
      </c>
      <c r="F487" s="48">
        <v>7209504023</v>
      </c>
      <c r="G487" t="s">
        <v>947</v>
      </c>
      <c r="J487" s="5">
        <v>0</v>
      </c>
      <c r="K487" s="5">
        <v>1994</v>
      </c>
      <c r="L487" s="5">
        <f t="shared" si="86"/>
        <v>2352.92</v>
      </c>
      <c r="Q487" s="86">
        <f t="shared" si="87"/>
        <v>618.14</v>
      </c>
    </row>
    <row r="488" spans="1:17" ht="18.600000000000001">
      <c r="B488" s="9">
        <v>2</v>
      </c>
      <c r="D488" s="1">
        <v>45416</v>
      </c>
      <c r="F488" s="48">
        <v>9234706023</v>
      </c>
      <c r="G488" t="s">
        <v>954</v>
      </c>
      <c r="H488" s="1">
        <v>28598</v>
      </c>
      <c r="I488" s="42" t="s">
        <v>953</v>
      </c>
      <c r="J488" s="5">
        <v>0</v>
      </c>
      <c r="K488" s="5">
        <v>714</v>
      </c>
      <c r="L488" s="5">
        <f t="shared" si="86"/>
        <v>842.52</v>
      </c>
      <c r="O488" s="3" t="s">
        <v>453</v>
      </c>
      <c r="Q488" s="86">
        <f t="shared" si="87"/>
        <v>221.34</v>
      </c>
    </row>
    <row r="489" spans="1:17" ht="18.600000000000001">
      <c r="B489" s="9">
        <v>2</v>
      </c>
      <c r="D489" s="1">
        <v>45418</v>
      </c>
      <c r="F489" s="48">
        <v>9031393446</v>
      </c>
      <c r="G489" t="s">
        <v>126</v>
      </c>
      <c r="H489" s="1">
        <v>30317</v>
      </c>
      <c r="I489" s="42" t="s">
        <v>955</v>
      </c>
      <c r="J489" s="5">
        <v>0</v>
      </c>
      <c r="K489" s="5">
        <v>664</v>
      </c>
      <c r="L489" s="5">
        <f t="shared" si="86"/>
        <v>783.52</v>
      </c>
      <c r="O489" s="3" t="s">
        <v>125</v>
      </c>
      <c r="Q489" s="86">
        <f t="shared" si="87"/>
        <v>205.84</v>
      </c>
    </row>
    <row r="490" spans="1:17" ht="18.600000000000001">
      <c r="B490" s="9">
        <v>2</v>
      </c>
      <c r="C490" s="9" t="s">
        <v>958</v>
      </c>
      <c r="D490" s="1">
        <v>45427</v>
      </c>
      <c r="F490" s="48">
        <v>9973346919</v>
      </c>
      <c r="G490" t="s">
        <v>956</v>
      </c>
      <c r="H490" s="1">
        <v>20825</v>
      </c>
      <c r="I490" s="42" t="s">
        <v>957</v>
      </c>
      <c r="J490" s="5">
        <v>0</v>
      </c>
      <c r="K490" s="5">
        <v>714</v>
      </c>
      <c r="L490" s="5">
        <f t="shared" si="86"/>
        <v>842.52</v>
      </c>
      <c r="O490" s="3" t="s">
        <v>551</v>
      </c>
      <c r="Q490" s="86">
        <f t="shared" si="87"/>
        <v>221.34</v>
      </c>
    </row>
    <row r="491" spans="1:17" ht="18.600000000000001">
      <c r="B491" s="9">
        <v>4</v>
      </c>
      <c r="D491" s="1">
        <v>45428</v>
      </c>
      <c r="F491" s="48"/>
      <c r="J491" s="5">
        <v>0</v>
      </c>
      <c r="K491" s="5">
        <v>1994</v>
      </c>
      <c r="L491" s="5">
        <f t="shared" si="86"/>
        <v>2352.92</v>
      </c>
      <c r="Q491" s="86">
        <f t="shared" si="87"/>
        <v>618.14</v>
      </c>
    </row>
    <row r="492" spans="1:17" ht="18.600000000000001">
      <c r="B492" s="9">
        <v>2</v>
      </c>
      <c r="D492" s="1">
        <v>45428</v>
      </c>
      <c r="F492" s="48">
        <v>7765917592</v>
      </c>
      <c r="G492" t="s">
        <v>959</v>
      </c>
      <c r="H492" s="1">
        <v>26799</v>
      </c>
      <c r="I492" s="42" t="s">
        <v>960</v>
      </c>
      <c r="J492" s="5">
        <v>0</v>
      </c>
      <c r="K492" s="5">
        <v>714</v>
      </c>
      <c r="L492" s="5">
        <f t="shared" si="86"/>
        <v>842.52</v>
      </c>
      <c r="O492" s="3" t="s">
        <v>1417</v>
      </c>
      <c r="Q492" s="86">
        <f t="shared" si="87"/>
        <v>221.34</v>
      </c>
    </row>
    <row r="493" spans="1:17" ht="18.600000000000001">
      <c r="B493" s="9">
        <v>2</v>
      </c>
      <c r="D493" s="1">
        <v>45429</v>
      </c>
      <c r="F493" s="48">
        <v>9973508412</v>
      </c>
      <c r="G493" t="s">
        <v>559</v>
      </c>
      <c r="H493" s="1">
        <v>20107</v>
      </c>
      <c r="I493" s="42" t="s">
        <v>961</v>
      </c>
      <c r="J493" s="5">
        <v>0</v>
      </c>
      <c r="K493" s="5">
        <v>664</v>
      </c>
      <c r="L493" s="5">
        <f>(J493+K493)*1.18</f>
        <v>783.52</v>
      </c>
      <c r="O493" s="3" t="s">
        <v>558</v>
      </c>
      <c r="Q493" s="86">
        <f t="shared" si="87"/>
        <v>205.84</v>
      </c>
    </row>
    <row r="494" spans="1:17" ht="18.600000000000001">
      <c r="B494" s="9">
        <v>2</v>
      </c>
      <c r="C494" s="9" t="s">
        <v>963</v>
      </c>
      <c r="D494" s="1">
        <v>45432</v>
      </c>
      <c r="F494" s="48">
        <v>9631539448</v>
      </c>
      <c r="G494" t="s">
        <v>542</v>
      </c>
      <c r="H494" s="1">
        <v>23530</v>
      </c>
      <c r="I494" s="42" t="s">
        <v>962</v>
      </c>
      <c r="J494" s="5">
        <v>0</v>
      </c>
      <c r="K494" s="5">
        <v>664</v>
      </c>
      <c r="L494" s="5">
        <f t="shared" ref="L494:L525" si="88">(J494+K494)*1.18</f>
        <v>783.52</v>
      </c>
      <c r="O494" s="3" t="s">
        <v>145</v>
      </c>
      <c r="Q494" s="86">
        <f t="shared" si="87"/>
        <v>205.84</v>
      </c>
    </row>
    <row r="495" spans="1:17" ht="19.2">
      <c r="B495" s="9">
        <v>2</v>
      </c>
      <c r="F495" s="94">
        <v>8809128433</v>
      </c>
      <c r="J495" s="5">
        <v>0</v>
      </c>
      <c r="K495" s="5">
        <v>664</v>
      </c>
      <c r="L495" s="5">
        <f>(J495+K495)*1.18</f>
        <v>783.52</v>
      </c>
      <c r="Q495" s="86">
        <f t="shared" si="87"/>
        <v>205.84</v>
      </c>
    </row>
    <row r="496" spans="1:17" ht="18.600000000000001">
      <c r="B496" s="9">
        <v>2</v>
      </c>
      <c r="C496" s="9" t="s">
        <v>966</v>
      </c>
      <c r="D496" s="1">
        <v>45435</v>
      </c>
      <c r="F496" s="48">
        <v>9162477979</v>
      </c>
      <c r="G496" t="s">
        <v>964</v>
      </c>
      <c r="H496" s="1">
        <v>33746</v>
      </c>
      <c r="I496" s="42" t="s">
        <v>965</v>
      </c>
      <c r="J496" s="5">
        <v>0</v>
      </c>
      <c r="K496" s="5">
        <v>714</v>
      </c>
      <c r="L496" s="5">
        <f t="shared" si="88"/>
        <v>842.52</v>
      </c>
      <c r="Q496" s="86">
        <f t="shared" si="87"/>
        <v>221.34</v>
      </c>
    </row>
    <row r="497" spans="1:17" ht="18.600000000000001">
      <c r="F497" s="48"/>
      <c r="L497" s="5">
        <f t="shared" si="88"/>
        <v>0</v>
      </c>
      <c r="Q497" s="86">
        <f t="shared" si="87"/>
        <v>0</v>
      </c>
    </row>
    <row r="498" spans="1:17" ht="18.600000000000001">
      <c r="F498" s="48"/>
      <c r="L498" s="5">
        <f t="shared" si="88"/>
        <v>0</v>
      </c>
      <c r="Q498" s="86"/>
    </row>
    <row r="499" spans="1:17" ht="18">
      <c r="A499" s="35">
        <f>COUNT(J486:J498)</f>
        <v>11</v>
      </c>
      <c r="B499" s="35"/>
      <c r="C499" s="34"/>
      <c r="D499" s="34"/>
      <c r="E499" s="35"/>
      <c r="F499" s="35"/>
      <c r="G499" s="34"/>
      <c r="H499" s="46"/>
      <c r="I499" s="34">
        <f>SUM(I479:I498)</f>
        <v>0</v>
      </c>
      <c r="J499" s="124">
        <f>SUM(J479:J498)</f>
        <v>0</v>
      </c>
      <c r="K499" s="124">
        <f>SUM(K486:K498)</f>
        <v>10164</v>
      </c>
      <c r="L499" s="124"/>
      <c r="M499" s="34"/>
      <c r="N499" s="34"/>
      <c r="O499" s="71">
        <f>SUM(O454:O498)</f>
        <v>0</v>
      </c>
      <c r="P499" s="34">
        <f>SUM(P479:P498)</f>
        <v>0</v>
      </c>
      <c r="Q499" s="28">
        <f>SUM(Q486:Q498)</f>
        <v>3150.8400000000006</v>
      </c>
    </row>
    <row r="500" spans="1:17" ht="18.600000000000001">
      <c r="B500" s="9">
        <v>2</v>
      </c>
      <c r="C500" s="9" t="s">
        <v>970</v>
      </c>
      <c r="D500" s="1">
        <v>45444</v>
      </c>
      <c r="F500" s="48">
        <v>9771187585</v>
      </c>
      <c r="G500" t="s">
        <v>967</v>
      </c>
      <c r="H500" s="1">
        <v>29504</v>
      </c>
      <c r="I500" s="42" t="s">
        <v>968</v>
      </c>
      <c r="J500" s="5">
        <v>0</v>
      </c>
      <c r="K500" s="5">
        <v>1316</v>
      </c>
      <c r="L500" s="5">
        <f t="shared" si="88"/>
        <v>1552.8799999999999</v>
      </c>
      <c r="O500" s="3" t="s">
        <v>969</v>
      </c>
      <c r="Q500" s="86">
        <f t="shared" ref="Q500:Q525" si="89">IF(OR(B500=2,B500=4),K500*0.31,IF(B500=3,J500*0.4+K500*0.025,J500*0.21+K500*0.025))</f>
        <v>407.96</v>
      </c>
    </row>
    <row r="501" spans="1:17" ht="18.600000000000001">
      <c r="B501" s="9">
        <v>2</v>
      </c>
      <c r="C501" s="9" t="s">
        <v>972</v>
      </c>
      <c r="D501" s="1">
        <v>45444</v>
      </c>
      <c r="F501" s="48">
        <v>9061478731</v>
      </c>
      <c r="G501" t="s">
        <v>971</v>
      </c>
      <c r="H501" s="1">
        <v>32932</v>
      </c>
      <c r="I501" s="42" t="s">
        <v>973</v>
      </c>
      <c r="J501" s="5">
        <v>0</v>
      </c>
      <c r="K501" s="5">
        <v>664</v>
      </c>
      <c r="L501" s="5">
        <f t="shared" si="88"/>
        <v>783.52</v>
      </c>
      <c r="O501" s="3" t="s">
        <v>974</v>
      </c>
      <c r="Q501" s="86">
        <f t="shared" si="89"/>
        <v>205.84</v>
      </c>
    </row>
    <row r="502" spans="1:17" ht="18.600000000000001">
      <c r="B502" s="9">
        <v>2</v>
      </c>
      <c r="C502" s="9" t="s">
        <v>977</v>
      </c>
      <c r="D502" s="1">
        <v>45444</v>
      </c>
      <c r="F502" s="48">
        <v>9082382955</v>
      </c>
      <c r="G502" t="s">
        <v>975</v>
      </c>
      <c r="J502" s="5">
        <v>0</v>
      </c>
      <c r="K502" s="5">
        <v>714</v>
      </c>
      <c r="L502" s="5">
        <f t="shared" si="88"/>
        <v>842.52</v>
      </c>
      <c r="O502" s="3" t="s">
        <v>976</v>
      </c>
      <c r="Q502" s="86">
        <f t="shared" si="89"/>
        <v>221.34</v>
      </c>
    </row>
    <row r="503" spans="1:17" ht="18.600000000000001">
      <c r="B503" s="9">
        <v>2</v>
      </c>
      <c r="C503" s="9" t="s">
        <v>980</v>
      </c>
      <c r="D503" s="1">
        <v>45446</v>
      </c>
      <c r="F503" s="48">
        <v>8298144804</v>
      </c>
      <c r="G503" t="s">
        <v>306</v>
      </c>
      <c r="H503" s="1">
        <v>28487</v>
      </c>
      <c r="I503" s="42" t="s">
        <v>979</v>
      </c>
      <c r="J503" s="5">
        <v>0</v>
      </c>
      <c r="K503" s="5">
        <v>664</v>
      </c>
      <c r="L503" s="5">
        <f t="shared" si="88"/>
        <v>783.52</v>
      </c>
      <c r="O503" s="3" t="s">
        <v>978</v>
      </c>
      <c r="Q503" s="86">
        <f t="shared" si="89"/>
        <v>205.84</v>
      </c>
    </row>
    <row r="504" spans="1:17" ht="18.600000000000001">
      <c r="B504" s="9">
        <v>2</v>
      </c>
      <c r="C504" s="9" t="s">
        <v>984</v>
      </c>
      <c r="D504" s="1">
        <v>45457</v>
      </c>
      <c r="F504" s="48">
        <v>9939780287</v>
      </c>
      <c r="G504" t="s">
        <v>576</v>
      </c>
      <c r="H504" s="1">
        <v>30082</v>
      </c>
      <c r="I504" s="42" t="s">
        <v>982</v>
      </c>
      <c r="J504" s="5">
        <v>0</v>
      </c>
      <c r="K504" s="5">
        <v>714</v>
      </c>
      <c r="L504" s="5">
        <f t="shared" si="88"/>
        <v>842.52</v>
      </c>
      <c r="O504" s="3" t="s">
        <v>983</v>
      </c>
      <c r="Q504" s="86">
        <f t="shared" si="89"/>
        <v>221.34</v>
      </c>
    </row>
    <row r="505" spans="1:17" ht="19.2">
      <c r="B505" s="9">
        <v>2</v>
      </c>
      <c r="C505" s="9" t="s">
        <v>985</v>
      </c>
      <c r="D505" s="1">
        <v>45457</v>
      </c>
      <c r="F505" s="94">
        <v>8789291079</v>
      </c>
      <c r="G505" t="s">
        <v>986</v>
      </c>
      <c r="H505" s="1">
        <v>32336</v>
      </c>
      <c r="I505" s="42" t="s">
        <v>987</v>
      </c>
      <c r="J505" s="5">
        <v>0</v>
      </c>
      <c r="K505" s="5">
        <v>664</v>
      </c>
      <c r="L505" s="5">
        <f t="shared" si="88"/>
        <v>783.52</v>
      </c>
      <c r="O505" s="3" t="s">
        <v>449</v>
      </c>
      <c r="Q505" s="86">
        <f t="shared" si="89"/>
        <v>205.84</v>
      </c>
    </row>
    <row r="506" spans="1:17" ht="19.2">
      <c r="B506" s="9">
        <v>2</v>
      </c>
      <c r="C506" s="9" t="s">
        <v>988</v>
      </c>
      <c r="F506" s="94">
        <v>7488177612</v>
      </c>
      <c r="G506" t="s">
        <v>1020</v>
      </c>
      <c r="H506" s="1"/>
      <c r="J506" s="5">
        <v>0</v>
      </c>
      <c r="K506" s="5">
        <v>714</v>
      </c>
      <c r="L506" s="5">
        <f t="shared" si="88"/>
        <v>842.52</v>
      </c>
      <c r="O506" s="3" t="s">
        <v>1021</v>
      </c>
      <c r="Q506" s="86">
        <f t="shared" si="89"/>
        <v>221.34</v>
      </c>
    </row>
    <row r="507" spans="1:17" ht="19.2">
      <c r="B507" s="9">
        <v>4</v>
      </c>
      <c r="C507" s="9" t="s">
        <v>992</v>
      </c>
      <c r="D507" s="1">
        <v>45462</v>
      </c>
      <c r="F507" s="94">
        <v>7352963330</v>
      </c>
      <c r="G507" t="s">
        <v>989</v>
      </c>
      <c r="H507" s="1">
        <v>24427</v>
      </c>
      <c r="I507" s="42" t="s">
        <v>990</v>
      </c>
      <c r="J507" s="5">
        <v>0</v>
      </c>
      <c r="K507" s="5">
        <v>1994</v>
      </c>
      <c r="L507" s="5">
        <f t="shared" si="88"/>
        <v>2352.92</v>
      </c>
      <c r="O507" s="3" t="s">
        <v>991</v>
      </c>
      <c r="Q507" s="86">
        <f t="shared" si="89"/>
        <v>618.14</v>
      </c>
    </row>
    <row r="508" spans="1:17" ht="19.2">
      <c r="B508" s="9">
        <v>4</v>
      </c>
      <c r="C508" s="9" t="s">
        <v>993</v>
      </c>
      <c r="D508" s="1">
        <v>45462</v>
      </c>
      <c r="F508" s="94">
        <v>9430137100</v>
      </c>
      <c r="G508" t="s">
        <v>994</v>
      </c>
      <c r="H508" s="1">
        <v>25619</v>
      </c>
      <c r="I508" s="42" t="s">
        <v>996</v>
      </c>
      <c r="J508" s="5">
        <v>0</v>
      </c>
      <c r="K508" s="5">
        <v>3316</v>
      </c>
      <c r="L508" s="5">
        <f t="shared" si="88"/>
        <v>3912.8799999999997</v>
      </c>
      <c r="O508" s="3" t="s">
        <v>995</v>
      </c>
      <c r="Q508" s="86">
        <f t="shared" si="89"/>
        <v>1027.96</v>
      </c>
    </row>
    <row r="509" spans="1:17" ht="19.2">
      <c r="B509" s="9">
        <v>4</v>
      </c>
      <c r="D509" s="1"/>
      <c r="F509" s="94">
        <v>9709575479</v>
      </c>
      <c r="G509" t="s">
        <v>163</v>
      </c>
      <c r="H509" s="1"/>
      <c r="J509" s="5">
        <v>0</v>
      </c>
      <c r="K509" s="5">
        <v>3316</v>
      </c>
      <c r="L509" s="5">
        <f>(J509+K509)*1.18</f>
        <v>3912.8799999999997</v>
      </c>
      <c r="Q509" s="86">
        <f t="shared" si="89"/>
        <v>1027.96</v>
      </c>
    </row>
    <row r="510" spans="1:17" ht="18.600000000000001">
      <c r="B510" s="9">
        <v>2</v>
      </c>
      <c r="C510" s="9" t="s">
        <v>997</v>
      </c>
      <c r="D510" s="1">
        <v>45463</v>
      </c>
      <c r="F510" s="48"/>
      <c r="G510" t="s">
        <v>998</v>
      </c>
      <c r="J510" s="5">
        <v>0</v>
      </c>
      <c r="K510" s="5">
        <v>664</v>
      </c>
      <c r="L510" s="5">
        <f>(J510+K510)*1.18</f>
        <v>783.52</v>
      </c>
      <c r="O510" s="3" t="s">
        <v>999</v>
      </c>
      <c r="Q510" s="86">
        <f t="shared" si="89"/>
        <v>205.84</v>
      </c>
    </row>
    <row r="511" spans="1:17" ht="19.2">
      <c r="B511" s="9">
        <v>2</v>
      </c>
      <c r="C511" s="9" t="s">
        <v>1003</v>
      </c>
      <c r="D511" s="1">
        <v>45464</v>
      </c>
      <c r="F511" s="94">
        <v>9234612058</v>
      </c>
      <c r="G511" t="s">
        <v>1001</v>
      </c>
      <c r="H511" s="1">
        <v>19161</v>
      </c>
      <c r="I511" s="42" t="s">
        <v>1000</v>
      </c>
      <c r="J511" s="5">
        <v>0</v>
      </c>
      <c r="K511" s="5">
        <v>664</v>
      </c>
      <c r="L511" s="5">
        <f>(J511+K511)*1.18</f>
        <v>783.52</v>
      </c>
      <c r="O511" s="3" t="s">
        <v>1002</v>
      </c>
      <c r="Q511" s="86">
        <f t="shared" si="89"/>
        <v>205.84</v>
      </c>
    </row>
    <row r="512" spans="1:17" ht="19.2">
      <c r="B512" s="9">
        <v>2</v>
      </c>
      <c r="C512" s="9" t="s">
        <v>1010</v>
      </c>
      <c r="D512" s="1">
        <v>45465</v>
      </c>
      <c r="F512" s="94">
        <v>9771441692</v>
      </c>
      <c r="G512" t="s">
        <v>1004</v>
      </c>
      <c r="H512" s="1">
        <v>19980</v>
      </c>
      <c r="I512" s="42" t="s">
        <v>1005</v>
      </c>
      <c r="J512" s="5">
        <v>0</v>
      </c>
      <c r="K512" s="5">
        <v>664</v>
      </c>
      <c r="L512" s="5">
        <f>(J512+K512)*1.18</f>
        <v>783.52</v>
      </c>
      <c r="O512" s="3" t="s">
        <v>1006</v>
      </c>
      <c r="Q512" s="86">
        <f t="shared" si="89"/>
        <v>205.84</v>
      </c>
    </row>
    <row r="513" spans="2:21" ht="19.2">
      <c r="B513" s="9">
        <v>2</v>
      </c>
      <c r="C513" s="9" t="s">
        <v>1009</v>
      </c>
      <c r="D513" s="1">
        <v>45465</v>
      </c>
      <c r="F513" s="94">
        <v>7979928624</v>
      </c>
      <c r="G513" t="s">
        <v>1011</v>
      </c>
      <c r="H513" s="1">
        <v>36636</v>
      </c>
      <c r="I513" s="42" t="s">
        <v>1007</v>
      </c>
      <c r="J513" s="5">
        <v>0</v>
      </c>
      <c r="K513" s="5">
        <v>714</v>
      </c>
      <c r="L513" s="5">
        <f t="shared" si="88"/>
        <v>842.52</v>
      </c>
      <c r="O513" s="3" t="s">
        <v>1008</v>
      </c>
      <c r="Q513" s="86">
        <f t="shared" si="89"/>
        <v>221.34</v>
      </c>
    </row>
    <row r="514" spans="2:21" ht="19.2">
      <c r="B514" s="9">
        <v>2</v>
      </c>
      <c r="C514" s="66" t="s">
        <v>1012</v>
      </c>
      <c r="D514" s="1">
        <v>45466</v>
      </c>
      <c r="F514" s="94">
        <v>9631515354</v>
      </c>
      <c r="G514" t="s">
        <v>1022</v>
      </c>
      <c r="H514" s="1"/>
      <c r="J514" s="5">
        <v>0</v>
      </c>
      <c r="K514" s="5">
        <v>714</v>
      </c>
      <c r="L514" s="5">
        <f t="shared" si="88"/>
        <v>842.52</v>
      </c>
      <c r="Q514" s="86">
        <f t="shared" si="89"/>
        <v>221.34</v>
      </c>
    </row>
    <row r="515" spans="2:21" ht="19.2">
      <c r="B515" s="9">
        <v>2</v>
      </c>
      <c r="D515" s="1">
        <v>45469</v>
      </c>
      <c r="F515" s="94">
        <v>8797110530</v>
      </c>
      <c r="G515" t="s">
        <v>573</v>
      </c>
      <c r="H515" s="1">
        <v>33081</v>
      </c>
      <c r="I515" s="42" t="s">
        <v>1013</v>
      </c>
      <c r="J515" s="5">
        <v>0</v>
      </c>
      <c r="K515" s="5">
        <v>714</v>
      </c>
      <c r="L515" s="5">
        <f t="shared" si="88"/>
        <v>842.52</v>
      </c>
      <c r="Q515" s="86">
        <f t="shared" si="89"/>
        <v>221.34</v>
      </c>
    </row>
    <row r="516" spans="2:21" ht="19.2">
      <c r="B516" s="9">
        <v>2</v>
      </c>
      <c r="C516" s="9" t="s">
        <v>1015</v>
      </c>
      <c r="D516" s="1">
        <v>45469</v>
      </c>
      <c r="F516" s="94">
        <v>9304392497</v>
      </c>
      <c r="G516" t="s">
        <v>1023</v>
      </c>
      <c r="H516" s="1">
        <v>18393</v>
      </c>
      <c r="I516" s="42" t="s">
        <v>1014</v>
      </c>
      <c r="J516" s="5">
        <v>0</v>
      </c>
      <c r="K516" s="5">
        <v>664</v>
      </c>
      <c r="L516" s="5">
        <f t="shared" si="88"/>
        <v>783.52</v>
      </c>
      <c r="Q516" s="86">
        <f t="shared" si="89"/>
        <v>205.84</v>
      </c>
    </row>
    <row r="517" spans="2:21" ht="19.2">
      <c r="B517" s="9">
        <v>2</v>
      </c>
      <c r="C517" s="9" t="s">
        <v>1019</v>
      </c>
      <c r="D517" s="1">
        <v>45470</v>
      </c>
      <c r="F517" s="94">
        <v>9798622718</v>
      </c>
      <c r="G517" t="s">
        <v>1018</v>
      </c>
      <c r="H517" s="1">
        <v>26696</v>
      </c>
      <c r="I517" s="42" t="s">
        <v>1017</v>
      </c>
      <c r="J517" s="5">
        <v>0</v>
      </c>
      <c r="K517" s="5">
        <v>714</v>
      </c>
      <c r="L517" s="5">
        <f t="shared" si="88"/>
        <v>842.52</v>
      </c>
      <c r="O517" s="3" t="s">
        <v>1016</v>
      </c>
      <c r="Q517" s="86">
        <f t="shared" si="89"/>
        <v>221.34</v>
      </c>
    </row>
    <row r="518" spans="2:21" ht="18">
      <c r="J518" s="5">
        <v>0</v>
      </c>
      <c r="L518" s="5">
        <f t="shared" si="88"/>
        <v>0</v>
      </c>
      <c r="Q518" s="86">
        <f>IF(OR(B529=2,B529=4),K529*0.31,IF(B529=3,J529*0.4+K529*0.025,J529*0.21+K529*0.025))</f>
        <v>205.84</v>
      </c>
    </row>
    <row r="519" spans="2:21" ht="19.2">
      <c r="D519" s="1"/>
      <c r="F519" s="94"/>
      <c r="H519" s="1"/>
      <c r="J519" s="5">
        <v>0</v>
      </c>
      <c r="L519" s="5">
        <f t="shared" si="88"/>
        <v>0</v>
      </c>
      <c r="Q519" s="86"/>
    </row>
    <row r="520" spans="2:21" ht="19.2">
      <c r="B520" s="9">
        <v>2</v>
      </c>
      <c r="C520" s="9" t="s">
        <v>1408</v>
      </c>
      <c r="D520" s="1">
        <v>45810</v>
      </c>
      <c r="F520" s="94">
        <v>9082380447</v>
      </c>
      <c r="G520" t="s">
        <v>1404</v>
      </c>
      <c r="H520" s="1" t="s">
        <v>1406</v>
      </c>
      <c r="I520" s="42" t="s">
        <v>1407</v>
      </c>
      <c r="J520" s="5">
        <v>0</v>
      </c>
      <c r="K520" s="5">
        <v>714</v>
      </c>
      <c r="L520" s="5">
        <f t="shared" si="88"/>
        <v>842.52</v>
      </c>
      <c r="O520" s="3" t="s">
        <v>1405</v>
      </c>
      <c r="Q520" s="86"/>
    </row>
    <row r="521" spans="2:21" ht="18">
      <c r="B521" s="9">
        <v>2</v>
      </c>
      <c r="D521" s="1">
        <v>45811</v>
      </c>
      <c r="F521" s="9">
        <v>9939780287</v>
      </c>
      <c r="G521" t="s">
        <v>576</v>
      </c>
      <c r="H521" s="1">
        <v>30082</v>
      </c>
      <c r="I521" s="42" t="s">
        <v>982</v>
      </c>
      <c r="J521" s="5">
        <v>0</v>
      </c>
      <c r="K521" s="5">
        <v>664</v>
      </c>
      <c r="L521" s="5">
        <f t="shared" si="88"/>
        <v>783.52</v>
      </c>
      <c r="O521" s="3" t="s">
        <v>983</v>
      </c>
      <c r="Q521" s="86"/>
    </row>
    <row r="522" spans="2:21" ht="19.2">
      <c r="D522" s="1"/>
      <c r="F522" s="94"/>
      <c r="H522" s="1"/>
      <c r="Q522" s="86"/>
    </row>
    <row r="523" spans="2:21" ht="19.2">
      <c r="D523" s="1"/>
      <c r="F523" s="94"/>
      <c r="H523" s="1"/>
      <c r="Q523" s="86"/>
    </row>
    <row r="524" spans="2:21" ht="19.2">
      <c r="D524" s="1"/>
      <c r="F524" s="94"/>
      <c r="H524" s="1"/>
      <c r="Q524" s="86"/>
    </row>
    <row r="525" spans="2:21" ht="18">
      <c r="L525" s="5">
        <f t="shared" si="88"/>
        <v>0</v>
      </c>
      <c r="Q525" s="86">
        <f t="shared" si="89"/>
        <v>0</v>
      </c>
    </row>
    <row r="526" spans="2:21" ht="18">
      <c r="B526" s="35"/>
      <c r="C526" s="34"/>
      <c r="D526" s="34"/>
      <c r="E526" s="35"/>
      <c r="F526" s="35"/>
      <c r="G526" s="34"/>
      <c r="H526" s="46"/>
      <c r="I526" s="34">
        <f>SUM(I485:I525)</f>
        <v>0</v>
      </c>
      <c r="J526" s="124">
        <f>SUM(J485:J525)</f>
        <v>0</v>
      </c>
      <c r="K526" s="124">
        <f>SUM(K500:K525)</f>
        <v>20966</v>
      </c>
      <c r="L526" s="124"/>
      <c r="M526" s="34"/>
      <c r="N526" s="34"/>
      <c r="O526" s="71">
        <f>SUM(O462:O525)</f>
        <v>0</v>
      </c>
      <c r="P526" s="34">
        <f>SUM(P485:P525)</f>
        <v>0</v>
      </c>
      <c r="Q526" s="28">
        <f>SUM(Q500:Q525)</f>
        <v>6278.1200000000008</v>
      </c>
    </row>
    <row r="527" spans="2:21" ht="18.600000000000001">
      <c r="F527" s="48"/>
      <c r="Q527" s="28"/>
    </row>
    <row r="528" spans="2:21" ht="18">
      <c r="B528" s="9">
        <v>4</v>
      </c>
      <c r="C528" s="9" t="s">
        <v>1026</v>
      </c>
      <c r="F528" s="9">
        <v>8651301087</v>
      </c>
      <c r="H528" s="1">
        <v>25205</v>
      </c>
      <c r="I528" s="42" t="s">
        <v>1027</v>
      </c>
      <c r="J528" s="5">
        <v>0</v>
      </c>
      <c r="K528" s="5">
        <v>664</v>
      </c>
      <c r="L528" s="5">
        <f t="shared" ref="L528:L534" si="90">(J528+K528)*1.18</f>
        <v>783.52</v>
      </c>
      <c r="Q528" s="86">
        <f t="shared" ref="Q528:Q540" si="91">IF(OR(B528=2,B528=4),K528*0.31,IF(B528=3,J528*0.4+K528*0.025,J528*0.21+K528*0.025))</f>
        <v>205.84</v>
      </c>
      <c r="T528" t="s">
        <v>1052</v>
      </c>
      <c r="U528">
        <v>41.5</v>
      </c>
    </row>
    <row r="529" spans="1:21" ht="19.2">
      <c r="B529" s="80">
        <v>2</v>
      </c>
      <c r="C529" s="80" t="s">
        <v>1024</v>
      </c>
      <c r="D529" s="81">
        <v>45482</v>
      </c>
      <c r="E529" s="82"/>
      <c r="F529" s="100">
        <v>9931781344</v>
      </c>
      <c r="G529" s="82" t="s">
        <v>1025</v>
      </c>
      <c r="H529" s="81">
        <v>36185</v>
      </c>
      <c r="I529" s="83"/>
      <c r="J529" s="105">
        <v>0</v>
      </c>
      <c r="K529" s="105">
        <v>664</v>
      </c>
      <c r="L529" s="105">
        <f t="shared" si="90"/>
        <v>783.52</v>
      </c>
      <c r="M529" s="82"/>
      <c r="N529" s="82"/>
      <c r="O529" s="65" t="s">
        <v>484</v>
      </c>
      <c r="Q529" s="86">
        <f t="shared" si="91"/>
        <v>205.84</v>
      </c>
      <c r="T529" t="s">
        <v>1053</v>
      </c>
      <c r="U529">
        <v>51.5</v>
      </c>
    </row>
    <row r="530" spans="1:21" ht="18.600000000000001">
      <c r="B530" s="80">
        <v>4</v>
      </c>
      <c r="C530" s="80" t="s">
        <v>1030</v>
      </c>
      <c r="D530" s="81">
        <v>45484</v>
      </c>
      <c r="E530" s="82"/>
      <c r="F530" s="95">
        <v>9204359913</v>
      </c>
      <c r="G530" s="82" t="s">
        <v>23</v>
      </c>
      <c r="H530" s="81">
        <v>25938</v>
      </c>
      <c r="I530" s="83" t="s">
        <v>1028</v>
      </c>
      <c r="J530" s="105">
        <v>0</v>
      </c>
      <c r="K530" s="105">
        <v>3316</v>
      </c>
      <c r="L530" s="105">
        <f t="shared" si="90"/>
        <v>3912.8799999999997</v>
      </c>
      <c r="M530" s="82"/>
      <c r="N530" s="82"/>
      <c r="O530" s="65" t="s">
        <v>1029</v>
      </c>
      <c r="Q530" s="86">
        <f t="shared" si="91"/>
        <v>1027.96</v>
      </c>
      <c r="T530" t="s">
        <v>1054</v>
      </c>
      <c r="U530">
        <v>35</v>
      </c>
    </row>
    <row r="531" spans="1:21" ht="18.600000000000001">
      <c r="B531" s="80">
        <v>2</v>
      </c>
      <c r="C531" s="80" t="s">
        <v>1031</v>
      </c>
      <c r="D531" s="81">
        <v>45484</v>
      </c>
      <c r="E531" s="82"/>
      <c r="F531" s="95">
        <v>9204359913</v>
      </c>
      <c r="G531" s="82" t="s">
        <v>23</v>
      </c>
      <c r="H531" s="81">
        <v>25938</v>
      </c>
      <c r="I531" s="83" t="s">
        <v>1028</v>
      </c>
      <c r="J531" s="105">
        <v>0</v>
      </c>
      <c r="K531" s="105">
        <v>664</v>
      </c>
      <c r="L531" s="105">
        <f t="shared" si="90"/>
        <v>783.52</v>
      </c>
      <c r="M531" s="82"/>
      <c r="N531" s="82"/>
      <c r="O531" s="65" t="s">
        <v>590</v>
      </c>
      <c r="Q531" s="86">
        <f t="shared" si="91"/>
        <v>205.84</v>
      </c>
      <c r="T531" t="s">
        <v>1055</v>
      </c>
      <c r="U531" t="s">
        <v>1056</v>
      </c>
    </row>
    <row r="532" spans="1:21" ht="18.600000000000001">
      <c r="B532" s="9">
        <v>4</v>
      </c>
      <c r="C532" s="9" t="s">
        <v>1032</v>
      </c>
      <c r="D532" s="1">
        <v>45484</v>
      </c>
      <c r="F532" s="48">
        <v>8210573386</v>
      </c>
      <c r="G532" t="s">
        <v>1033</v>
      </c>
      <c r="J532" s="5">
        <v>0</v>
      </c>
      <c r="K532" s="5">
        <v>1994</v>
      </c>
      <c r="L532" s="5">
        <f t="shared" si="90"/>
        <v>2352.92</v>
      </c>
      <c r="O532" s="3" t="s">
        <v>1034</v>
      </c>
      <c r="Q532" s="86">
        <f t="shared" si="91"/>
        <v>618.14</v>
      </c>
    </row>
    <row r="533" spans="1:21" ht="18.600000000000001">
      <c r="B533" s="9">
        <v>2</v>
      </c>
      <c r="C533" s="9" t="s">
        <v>1037</v>
      </c>
      <c r="D533" s="1">
        <v>45485</v>
      </c>
      <c r="F533" s="48">
        <v>7903780636</v>
      </c>
      <c r="G533" t="s">
        <v>1036</v>
      </c>
      <c r="H533" s="1">
        <v>28408</v>
      </c>
      <c r="I533" s="42" t="s">
        <v>1035</v>
      </c>
      <c r="J533" s="5">
        <v>0</v>
      </c>
      <c r="K533" s="5">
        <v>714</v>
      </c>
      <c r="L533" s="5">
        <f t="shared" si="90"/>
        <v>842.52</v>
      </c>
      <c r="O533" s="3" t="s">
        <v>1038</v>
      </c>
      <c r="Q533" s="86">
        <f t="shared" si="91"/>
        <v>221.34</v>
      </c>
    </row>
    <row r="534" spans="1:21" ht="18.600000000000001">
      <c r="B534" s="9">
        <v>2</v>
      </c>
      <c r="C534" s="9" t="s">
        <v>1037</v>
      </c>
      <c r="D534" s="1">
        <v>45488</v>
      </c>
      <c r="F534" s="48">
        <v>9534295980</v>
      </c>
      <c r="G534" t="s">
        <v>213</v>
      </c>
      <c r="H534" s="1">
        <v>23424</v>
      </c>
      <c r="I534" s="42" t="s">
        <v>1039</v>
      </c>
      <c r="J534" s="5">
        <v>0</v>
      </c>
      <c r="K534" s="5">
        <v>714</v>
      </c>
      <c r="L534" s="5">
        <f t="shared" si="90"/>
        <v>842.52</v>
      </c>
      <c r="O534" s="3" t="s">
        <v>1040</v>
      </c>
      <c r="Q534" s="86">
        <f t="shared" si="91"/>
        <v>221.34</v>
      </c>
    </row>
    <row r="535" spans="1:21" ht="18.600000000000001">
      <c r="B535" s="9">
        <v>2</v>
      </c>
      <c r="C535" s="9" t="s">
        <v>1043</v>
      </c>
      <c r="D535" s="1">
        <v>45490</v>
      </c>
      <c r="F535" s="48">
        <v>9573395115</v>
      </c>
      <c r="G535" t="s">
        <v>1042</v>
      </c>
      <c r="H535" s="1">
        <v>18859</v>
      </c>
      <c r="I535" s="42" t="s">
        <v>1041</v>
      </c>
      <c r="J535" s="5">
        <v>0</v>
      </c>
      <c r="K535" s="5">
        <v>714</v>
      </c>
      <c r="L535" s="5">
        <f>(J535+K535)*1.18</f>
        <v>842.52</v>
      </c>
      <c r="O535" s="3" t="s">
        <v>1044</v>
      </c>
      <c r="Q535" s="86">
        <f t="shared" si="91"/>
        <v>221.34</v>
      </c>
    </row>
    <row r="536" spans="1:21" ht="18.600000000000001">
      <c r="B536" s="9">
        <v>4</v>
      </c>
      <c r="C536" s="9" t="s">
        <v>1043</v>
      </c>
      <c r="D536" s="1">
        <v>45495</v>
      </c>
      <c r="F536" s="48"/>
      <c r="G536" t="s">
        <v>1045</v>
      </c>
      <c r="J536" s="5">
        <v>0</v>
      </c>
      <c r="K536" s="5">
        <v>7897</v>
      </c>
      <c r="L536" s="5">
        <f>(J536+K536)*1.18</f>
        <v>9318.4599999999991</v>
      </c>
      <c r="O536" s="3" t="s">
        <v>1046</v>
      </c>
      <c r="Q536" s="86">
        <f>K536*0.2</f>
        <v>1579.4</v>
      </c>
      <c r="R536">
        <v>1579</v>
      </c>
    </row>
    <row r="537" spans="1:21" ht="18.600000000000001">
      <c r="A537" t="s">
        <v>1051</v>
      </c>
      <c r="B537" s="80">
        <v>2</v>
      </c>
      <c r="C537" s="80" t="s">
        <v>1049</v>
      </c>
      <c r="D537" s="81">
        <v>45496</v>
      </c>
      <c r="E537" s="82"/>
      <c r="F537" s="95"/>
      <c r="G537" s="82" t="s">
        <v>1047</v>
      </c>
      <c r="H537" s="82"/>
      <c r="I537" s="83"/>
      <c r="J537" s="105">
        <v>0</v>
      </c>
      <c r="K537" s="105">
        <v>714</v>
      </c>
      <c r="L537" s="105">
        <f>(J537+K537)*1.18</f>
        <v>842.52</v>
      </c>
      <c r="M537" s="82"/>
      <c r="N537" s="82"/>
      <c r="O537" s="65" t="s">
        <v>1048</v>
      </c>
      <c r="Q537" s="86">
        <f t="shared" si="91"/>
        <v>221.34</v>
      </c>
      <c r="R537">
        <f>K537*41.5/100</f>
        <v>296.31</v>
      </c>
    </row>
    <row r="538" spans="1:21" ht="19.2">
      <c r="B538" s="9">
        <v>2</v>
      </c>
      <c r="D538" s="1">
        <v>45499</v>
      </c>
      <c r="F538" s="94">
        <v>7209357915</v>
      </c>
      <c r="H538" s="1">
        <v>26299</v>
      </c>
      <c r="I538" s="42" t="s">
        <v>1057</v>
      </c>
      <c r="J538" s="5">
        <v>0</v>
      </c>
      <c r="K538" s="5">
        <v>714</v>
      </c>
      <c r="L538" s="5">
        <f>(J538+K538)*1.18</f>
        <v>842.52</v>
      </c>
      <c r="Q538" s="86">
        <f t="shared" si="91"/>
        <v>221.34</v>
      </c>
      <c r="R538">
        <f>K538*41.5/100</f>
        <v>296.31</v>
      </c>
    </row>
    <row r="539" spans="1:21" ht="18.600000000000001">
      <c r="B539" s="75">
        <v>2</v>
      </c>
      <c r="C539" s="75"/>
      <c r="D539" s="76">
        <v>45504</v>
      </c>
      <c r="E539" s="77"/>
      <c r="F539" s="87"/>
      <c r="G539" s="77" t="s">
        <v>1062</v>
      </c>
      <c r="H539" s="76">
        <v>18816</v>
      </c>
      <c r="I539" s="79" t="s">
        <v>1063</v>
      </c>
      <c r="J539" s="123">
        <v>0</v>
      </c>
      <c r="K539" s="123">
        <v>714</v>
      </c>
      <c r="L539" s="123">
        <f>(J539+K539)*1.18</f>
        <v>842.52</v>
      </c>
      <c r="M539" s="77"/>
      <c r="N539" s="77"/>
      <c r="O539" s="78" t="s">
        <v>1064</v>
      </c>
      <c r="P539" s="77"/>
      <c r="Q539" s="103">
        <f t="shared" si="91"/>
        <v>221.34</v>
      </c>
    </row>
    <row r="540" spans="1:21" ht="18.600000000000001">
      <c r="F540" s="48"/>
      <c r="Q540" s="86">
        <f t="shared" si="91"/>
        <v>0</v>
      </c>
    </row>
    <row r="541" spans="1:21" ht="16.8">
      <c r="D541" s="1"/>
      <c r="F541" s="48"/>
      <c r="Q541"/>
    </row>
    <row r="542" spans="1:21" ht="18">
      <c r="B542" s="35"/>
      <c r="C542" s="34"/>
      <c r="D542" s="34"/>
      <c r="E542" s="35"/>
      <c r="F542" s="35"/>
      <c r="G542" s="34"/>
      <c r="H542" s="46"/>
      <c r="I542" s="34">
        <f>SUM(I501:I541)</f>
        <v>0</v>
      </c>
      <c r="J542" s="124">
        <f>SUM(J501:J541)</f>
        <v>0</v>
      </c>
      <c r="K542" s="124">
        <f>SUM(K528:K541)</f>
        <v>19483</v>
      </c>
      <c r="L542" s="124"/>
      <c r="M542" s="34"/>
      <c r="N542" s="34"/>
      <c r="O542" s="71">
        <f>SUM(O478:O541)</f>
        <v>0</v>
      </c>
      <c r="P542" s="34">
        <f>SUM(P501:P541)</f>
        <v>0</v>
      </c>
      <c r="Q542" s="28">
        <f>SUM(Q528:Q541)</f>
        <v>5171.0600000000013</v>
      </c>
    </row>
    <row r="543" spans="1:21" ht="18">
      <c r="B543" s="54"/>
      <c r="C543" s="41"/>
      <c r="D543" s="41"/>
      <c r="E543" s="54"/>
      <c r="F543" s="54"/>
      <c r="G543" s="41"/>
      <c r="H543" s="55"/>
      <c r="I543" s="41"/>
      <c r="J543" s="125"/>
      <c r="K543" s="125"/>
      <c r="L543" s="125"/>
      <c r="M543" s="41"/>
      <c r="N543" s="41"/>
      <c r="O543" s="73"/>
      <c r="P543" s="41"/>
      <c r="Q543" s="28"/>
    </row>
    <row r="544" spans="1:21" ht="16.8">
      <c r="B544" s="80">
        <v>2</v>
      </c>
      <c r="C544" s="80" t="s">
        <v>650</v>
      </c>
      <c r="D544" s="81">
        <v>45509</v>
      </c>
      <c r="E544" s="82"/>
      <c r="F544" s="95">
        <v>6202580820</v>
      </c>
      <c r="G544" s="82" t="s">
        <v>651</v>
      </c>
      <c r="H544" s="82"/>
      <c r="I544" s="83"/>
      <c r="J544" s="105">
        <v>0</v>
      </c>
      <c r="K544" s="105">
        <v>1316</v>
      </c>
      <c r="L544" s="105">
        <f>(J544+K544)*1.18</f>
        <v>1552.8799999999999</v>
      </c>
      <c r="M544" s="82"/>
      <c r="N544" s="82"/>
      <c r="O544" s="65" t="s">
        <v>652</v>
      </c>
      <c r="P544" s="82"/>
      <c r="Q544" s="105">
        <f>IF(OR(B544=2,B544=4),K544*0.31,IF(B544=3,J544*0.4+K544*0.025,J544*0.21+K544*0.025))</f>
        <v>407.96</v>
      </c>
    </row>
    <row r="545" spans="1:17" ht="16.8">
      <c r="B545" s="80">
        <v>2</v>
      </c>
      <c r="C545" s="80" t="s">
        <v>649</v>
      </c>
      <c r="D545" s="81">
        <v>45507</v>
      </c>
      <c r="E545" s="82"/>
      <c r="F545" s="95">
        <v>9334536985</v>
      </c>
      <c r="G545" s="82" t="s">
        <v>679</v>
      </c>
      <c r="H545" s="81">
        <v>25406</v>
      </c>
      <c r="I545" s="83" t="s">
        <v>1065</v>
      </c>
      <c r="J545" s="105">
        <v>0</v>
      </c>
      <c r="K545" s="105">
        <v>714</v>
      </c>
      <c r="L545" s="105">
        <f t="shared" ref="L545:L552" si="92">(J545+K545)*1.18</f>
        <v>842.52</v>
      </c>
      <c r="M545" s="82"/>
      <c r="N545" s="82"/>
      <c r="O545" s="65" t="s">
        <v>1066</v>
      </c>
      <c r="P545" s="82"/>
      <c r="Q545" s="105">
        <f t="shared" ref="Q545:Q566" si="93">IF(OR(B545=2,B545=4),K545*0.31,IF(B545=3,J545*0.4+K545*0.025,J545*0.21+K545*0.025))</f>
        <v>221.34</v>
      </c>
    </row>
    <row r="546" spans="1:17" ht="16.8">
      <c r="B546" s="9">
        <v>2</v>
      </c>
      <c r="C546" s="9" t="s">
        <v>1070</v>
      </c>
      <c r="D546" s="1">
        <v>45450</v>
      </c>
      <c r="F546" s="48">
        <v>9234550363</v>
      </c>
      <c r="G546" t="s">
        <v>1069</v>
      </c>
      <c r="H546" s="1">
        <v>29787</v>
      </c>
      <c r="I546" s="42" t="s">
        <v>1067</v>
      </c>
      <c r="J546" s="5">
        <v>0</v>
      </c>
      <c r="K546" s="5">
        <v>714</v>
      </c>
      <c r="L546" s="5">
        <f t="shared" si="92"/>
        <v>842.52</v>
      </c>
      <c r="O546" s="3" t="s">
        <v>1068</v>
      </c>
      <c r="Q546" s="5">
        <f t="shared" si="93"/>
        <v>221.34</v>
      </c>
    </row>
    <row r="547" spans="1:17" ht="16.8">
      <c r="B547" s="9">
        <v>4</v>
      </c>
      <c r="D547" s="1">
        <v>45450</v>
      </c>
      <c r="F547" s="48">
        <v>8521411224</v>
      </c>
      <c r="G547" t="s">
        <v>1071</v>
      </c>
      <c r="H547" s="1">
        <v>27703</v>
      </c>
      <c r="I547" s="42" t="s">
        <v>1073</v>
      </c>
      <c r="L547" s="5">
        <f t="shared" si="92"/>
        <v>0</v>
      </c>
      <c r="O547" s="3" t="s">
        <v>1072</v>
      </c>
      <c r="Q547" s="5">
        <f t="shared" si="93"/>
        <v>0</v>
      </c>
    </row>
    <row r="548" spans="1:17" ht="16.8">
      <c r="A548" t="s">
        <v>1074</v>
      </c>
      <c r="B548" s="9">
        <v>2</v>
      </c>
      <c r="C548" s="9" t="s">
        <v>1079</v>
      </c>
      <c r="D548" s="1">
        <v>45512</v>
      </c>
      <c r="F548" s="48">
        <v>7762919158</v>
      </c>
      <c r="G548" t="s">
        <v>567</v>
      </c>
      <c r="H548" s="1">
        <v>31841</v>
      </c>
      <c r="I548" s="42" t="s">
        <v>1075</v>
      </c>
      <c r="J548" s="5">
        <v>0</v>
      </c>
      <c r="K548" s="5">
        <v>714</v>
      </c>
      <c r="L548" s="5">
        <f t="shared" si="92"/>
        <v>842.52</v>
      </c>
      <c r="O548" s="3" t="s">
        <v>568</v>
      </c>
      <c r="Q548" s="5">
        <f t="shared" si="93"/>
        <v>221.34</v>
      </c>
    </row>
    <row r="549" spans="1:17" ht="16.8">
      <c r="B549" s="9">
        <v>2</v>
      </c>
      <c r="D549" s="1">
        <v>45512</v>
      </c>
      <c r="F549" s="48">
        <v>8709357819</v>
      </c>
      <c r="G549" t="s">
        <v>1077</v>
      </c>
      <c r="H549" s="1">
        <v>35034</v>
      </c>
      <c r="I549" s="42" t="s">
        <v>1076</v>
      </c>
      <c r="J549" s="5">
        <v>0</v>
      </c>
      <c r="K549" s="5">
        <v>714</v>
      </c>
      <c r="L549" s="5">
        <f>(J549+K549)*1.18</f>
        <v>842.52</v>
      </c>
      <c r="O549" s="3" t="s">
        <v>1078</v>
      </c>
      <c r="Q549" s="5">
        <f t="shared" si="93"/>
        <v>221.34</v>
      </c>
    </row>
    <row r="550" spans="1:17" ht="16.8">
      <c r="B550" s="9">
        <v>4</v>
      </c>
      <c r="C550" s="80"/>
      <c r="D550" s="81">
        <v>45512</v>
      </c>
      <c r="E550" s="82"/>
      <c r="F550" s="95"/>
      <c r="G550" s="82" t="s">
        <v>1083</v>
      </c>
      <c r="H550" s="82"/>
      <c r="I550" s="83"/>
      <c r="J550" s="105"/>
      <c r="K550" s="105"/>
      <c r="L550" s="105">
        <f t="shared" si="92"/>
        <v>0</v>
      </c>
      <c r="M550" s="82"/>
      <c r="N550" s="82"/>
      <c r="O550" s="65"/>
      <c r="Q550" s="5">
        <f t="shared" si="93"/>
        <v>0</v>
      </c>
    </row>
    <row r="551" spans="1:17" ht="16.8">
      <c r="B551" s="9">
        <v>2</v>
      </c>
      <c r="C551" s="9" t="s">
        <v>1080</v>
      </c>
      <c r="D551" s="1">
        <v>45512</v>
      </c>
      <c r="F551" s="48">
        <v>9534204740</v>
      </c>
      <c r="G551" t="s">
        <v>59</v>
      </c>
      <c r="H551" s="1">
        <v>28946</v>
      </c>
      <c r="I551" s="42" t="s">
        <v>1081</v>
      </c>
      <c r="J551" s="5">
        <v>0</v>
      </c>
      <c r="K551" s="5">
        <v>714</v>
      </c>
      <c r="L551" s="5">
        <f t="shared" si="92"/>
        <v>842.52</v>
      </c>
      <c r="O551" s="3" t="s">
        <v>1082</v>
      </c>
      <c r="Q551" s="5">
        <f t="shared" si="93"/>
        <v>221.34</v>
      </c>
    </row>
    <row r="552" spans="1:17" ht="16.8">
      <c r="B552" s="9">
        <v>2</v>
      </c>
      <c r="C552" s="9" t="s">
        <v>1084</v>
      </c>
      <c r="D552" s="1">
        <v>45513</v>
      </c>
      <c r="F552" s="48"/>
      <c r="G552" t="s">
        <v>1085</v>
      </c>
      <c r="H552" s="1">
        <v>26923</v>
      </c>
      <c r="I552" s="42" t="s">
        <v>1086</v>
      </c>
      <c r="J552" s="5">
        <v>0</v>
      </c>
      <c r="K552" s="5">
        <v>664</v>
      </c>
      <c r="L552" s="5">
        <f t="shared" si="92"/>
        <v>783.52</v>
      </c>
      <c r="O552" s="3" t="s">
        <v>610</v>
      </c>
      <c r="Q552" s="5">
        <f t="shared" si="93"/>
        <v>205.84</v>
      </c>
    </row>
    <row r="553" spans="1:17" ht="16.8">
      <c r="B553" s="9">
        <v>4</v>
      </c>
      <c r="C553" s="80"/>
      <c r="D553" s="81">
        <v>45513</v>
      </c>
      <c r="E553" s="82"/>
      <c r="F553" s="95">
        <v>8235161181</v>
      </c>
      <c r="G553" s="82" t="s">
        <v>1087</v>
      </c>
      <c r="H553" s="81">
        <v>21997</v>
      </c>
      <c r="I553" s="83" t="s">
        <v>1088</v>
      </c>
      <c r="J553" s="105">
        <v>0</v>
      </c>
      <c r="K553" s="105">
        <v>3416</v>
      </c>
      <c r="L553" s="105">
        <f>(J553+K553)*1.18</f>
        <v>4030.8799999999997</v>
      </c>
      <c r="M553" s="82"/>
      <c r="N553" s="82" t="s">
        <v>1484</v>
      </c>
      <c r="O553" s="65" t="s">
        <v>1089</v>
      </c>
      <c r="Q553" s="5">
        <f t="shared" si="93"/>
        <v>1058.96</v>
      </c>
    </row>
    <row r="554" spans="1:17" ht="16.8">
      <c r="B554" s="9">
        <v>2</v>
      </c>
      <c r="C554" s="80" t="s">
        <v>1092</v>
      </c>
      <c r="D554" s="81">
        <v>45516</v>
      </c>
      <c r="E554" s="82"/>
      <c r="F554" s="95">
        <v>9771283032</v>
      </c>
      <c r="G554" s="82" t="s">
        <v>1090</v>
      </c>
      <c r="H554" s="81">
        <v>25601</v>
      </c>
      <c r="I554" s="83" t="s">
        <v>1091</v>
      </c>
      <c r="J554" s="105">
        <v>0</v>
      </c>
      <c r="K554" s="105">
        <v>664</v>
      </c>
      <c r="L554" s="105">
        <f t="shared" ref="L554:L562" si="94">(J554+K554)*1.18</f>
        <v>783.52</v>
      </c>
      <c r="M554" s="82"/>
      <c r="N554" s="82"/>
      <c r="O554" s="65" t="s">
        <v>605</v>
      </c>
      <c r="Q554" s="5">
        <f t="shared" si="93"/>
        <v>205.84</v>
      </c>
    </row>
    <row r="555" spans="1:17" ht="16.8">
      <c r="B555" s="9">
        <v>4</v>
      </c>
      <c r="D555" s="1">
        <v>45517</v>
      </c>
      <c r="F555" s="48">
        <v>8651301087</v>
      </c>
      <c r="G555" t="s">
        <v>1093</v>
      </c>
      <c r="H555" s="1">
        <v>28505</v>
      </c>
      <c r="I555" s="42" t="s">
        <v>1094</v>
      </c>
      <c r="L555" s="5">
        <f t="shared" si="94"/>
        <v>0</v>
      </c>
      <c r="Q555" s="5">
        <f t="shared" si="93"/>
        <v>0</v>
      </c>
    </row>
    <row r="556" spans="1:17" ht="19.2">
      <c r="B556" s="9">
        <v>2</v>
      </c>
      <c r="C556" s="9" t="s">
        <v>1098</v>
      </c>
      <c r="D556" s="1">
        <v>45517</v>
      </c>
      <c r="F556" s="94">
        <v>8092459770</v>
      </c>
      <c r="G556" t="s">
        <v>1095</v>
      </c>
      <c r="H556" s="1">
        <v>25272</v>
      </c>
      <c r="I556" s="42" t="s">
        <v>1096</v>
      </c>
      <c r="J556" s="5">
        <v>0</v>
      </c>
      <c r="K556" s="5">
        <v>714</v>
      </c>
      <c r="L556" s="5">
        <f t="shared" si="94"/>
        <v>842.52</v>
      </c>
      <c r="O556" s="3" t="s">
        <v>1097</v>
      </c>
      <c r="Q556" s="5">
        <f t="shared" si="93"/>
        <v>221.34</v>
      </c>
    </row>
    <row r="557" spans="1:17" ht="16.8">
      <c r="B557" s="80">
        <v>2</v>
      </c>
      <c r="C557" s="80"/>
      <c r="D557" s="81">
        <v>45518</v>
      </c>
      <c r="E557" s="82"/>
      <c r="F557" s="95">
        <v>9199299448</v>
      </c>
      <c r="G557" s="82" t="s">
        <v>601</v>
      </c>
      <c r="H557" s="81">
        <v>30628</v>
      </c>
      <c r="I557" s="83" t="s">
        <v>1099</v>
      </c>
      <c r="J557" s="105">
        <v>0</v>
      </c>
      <c r="K557" s="105">
        <v>664</v>
      </c>
      <c r="L557" s="105">
        <f t="shared" si="94"/>
        <v>783.52</v>
      </c>
      <c r="M557" s="82"/>
      <c r="N557" s="82"/>
      <c r="O557" s="65" t="s">
        <v>602</v>
      </c>
      <c r="Q557" s="5">
        <f t="shared" si="93"/>
        <v>205.84</v>
      </c>
    </row>
    <row r="558" spans="1:17" ht="16.8">
      <c r="B558" s="9">
        <v>2</v>
      </c>
      <c r="C558" s="9" t="s">
        <v>1100</v>
      </c>
      <c r="D558" s="1">
        <v>45520</v>
      </c>
      <c r="F558" s="48">
        <v>9110947409</v>
      </c>
      <c r="G558" t="s">
        <v>133</v>
      </c>
      <c r="H558" s="1">
        <v>25980</v>
      </c>
      <c r="I558" s="42" t="s">
        <v>1101</v>
      </c>
      <c r="J558" s="5">
        <v>0</v>
      </c>
      <c r="K558" s="5">
        <v>714</v>
      </c>
      <c r="L558" s="5">
        <f t="shared" si="94"/>
        <v>842.52</v>
      </c>
      <c r="O558" s="3" t="s">
        <v>132</v>
      </c>
      <c r="Q558" s="5">
        <f t="shared" si="93"/>
        <v>221.34</v>
      </c>
    </row>
    <row r="559" spans="1:17" ht="19.2">
      <c r="B559" s="9">
        <v>2</v>
      </c>
      <c r="C559" s="9" t="s">
        <v>1102</v>
      </c>
      <c r="F559" s="94">
        <v>9031733929</v>
      </c>
      <c r="G559" t="s">
        <v>1103</v>
      </c>
      <c r="H559" s="1">
        <v>16072</v>
      </c>
      <c r="I559" s="42" t="s">
        <v>1104</v>
      </c>
      <c r="J559" s="5">
        <v>0</v>
      </c>
      <c r="K559" s="5">
        <v>664</v>
      </c>
      <c r="L559" s="5">
        <f t="shared" si="94"/>
        <v>783.52</v>
      </c>
      <c r="Q559" s="5">
        <f t="shared" si="93"/>
        <v>205.84</v>
      </c>
    </row>
    <row r="560" spans="1:17" ht="19.2">
      <c r="B560" s="9">
        <v>2</v>
      </c>
      <c r="C560" s="9" t="s">
        <v>1106</v>
      </c>
      <c r="D560" s="1">
        <v>45530</v>
      </c>
      <c r="F560" s="94">
        <v>9199535807</v>
      </c>
      <c r="G560" t="s">
        <v>1105</v>
      </c>
      <c r="H560" s="1">
        <v>21463</v>
      </c>
      <c r="I560" s="42" t="s">
        <v>1107</v>
      </c>
      <c r="J560" s="5">
        <v>0</v>
      </c>
      <c r="K560" s="5">
        <v>664</v>
      </c>
      <c r="L560" s="5">
        <f t="shared" si="94"/>
        <v>783.52</v>
      </c>
      <c r="O560" s="3" t="s">
        <v>633</v>
      </c>
      <c r="Q560" s="5">
        <f t="shared" si="93"/>
        <v>205.84</v>
      </c>
    </row>
    <row r="561" spans="2:17" ht="19.2">
      <c r="B561" s="9">
        <v>2</v>
      </c>
      <c r="C561" s="9" t="s">
        <v>1108</v>
      </c>
      <c r="D561" s="1">
        <v>45533</v>
      </c>
      <c r="F561" s="94">
        <v>9534107949</v>
      </c>
      <c r="G561" t="s">
        <v>1109</v>
      </c>
      <c r="H561" s="1"/>
      <c r="J561" s="5">
        <v>0</v>
      </c>
      <c r="K561" s="5">
        <v>664</v>
      </c>
      <c r="L561" s="5">
        <f t="shared" si="94"/>
        <v>783.52</v>
      </c>
      <c r="O561" s="3" t="s">
        <v>1110</v>
      </c>
      <c r="Q561" s="5">
        <f t="shared" si="93"/>
        <v>205.84</v>
      </c>
    </row>
    <row r="562" spans="2:17" ht="19.2">
      <c r="B562" s="9">
        <v>2</v>
      </c>
      <c r="C562" s="9" t="s">
        <v>1113</v>
      </c>
      <c r="D562" s="1">
        <v>45535</v>
      </c>
      <c r="F562" s="94">
        <v>8797943118</v>
      </c>
      <c r="G562" t="s">
        <v>663</v>
      </c>
      <c r="H562" s="1">
        <v>27410</v>
      </c>
      <c r="I562" s="42" t="s">
        <v>1114</v>
      </c>
      <c r="J562" s="5">
        <v>0</v>
      </c>
      <c r="K562" s="5">
        <v>664</v>
      </c>
      <c r="L562" s="5">
        <f t="shared" si="94"/>
        <v>783.52</v>
      </c>
      <c r="O562" s="3" t="s">
        <v>664</v>
      </c>
      <c r="Q562" s="5">
        <f t="shared" si="93"/>
        <v>205.84</v>
      </c>
    </row>
    <row r="563" spans="2:17" ht="19.2">
      <c r="F563" s="94"/>
      <c r="H563" s="1"/>
    </row>
    <row r="564" spans="2:17" ht="19.2">
      <c r="F564" s="94"/>
      <c r="H564" s="1"/>
    </row>
    <row r="565" spans="2:17" ht="19.2">
      <c r="F565" s="94"/>
      <c r="H565" s="1"/>
    </row>
    <row r="566" spans="2:17" ht="16.8">
      <c r="F566" s="48"/>
      <c r="Q566" s="5">
        <f t="shared" si="93"/>
        <v>0</v>
      </c>
    </row>
    <row r="567" spans="2:17">
      <c r="B567" s="35"/>
      <c r="C567" s="34"/>
      <c r="D567" s="34"/>
      <c r="E567" s="35"/>
      <c r="F567" s="35"/>
      <c r="G567" s="34"/>
      <c r="H567" s="46"/>
      <c r="I567" s="34">
        <f>SUM(I520:I566)</f>
        <v>0</v>
      </c>
      <c r="J567" s="124">
        <f>SUM(J520:J566)</f>
        <v>0</v>
      </c>
      <c r="K567" s="124">
        <f t="shared" ref="K567:Q567" si="95">SUM(K544:K566)</f>
        <v>14378</v>
      </c>
      <c r="L567" s="124">
        <f t="shared" si="95"/>
        <v>16966.04</v>
      </c>
      <c r="M567" s="34"/>
      <c r="N567" s="34">
        <f t="shared" si="95"/>
        <v>0</v>
      </c>
      <c r="O567" s="71">
        <f t="shared" si="95"/>
        <v>0</v>
      </c>
      <c r="P567" s="34">
        <f t="shared" si="95"/>
        <v>0</v>
      </c>
      <c r="Q567" s="34">
        <f t="shared" si="95"/>
        <v>4457.1800000000012</v>
      </c>
    </row>
    <row r="568" spans="2:17" ht="16.8">
      <c r="B568" s="9">
        <v>4</v>
      </c>
      <c r="C568" s="9" t="s">
        <v>1121</v>
      </c>
      <c r="D568" s="1">
        <v>45540</v>
      </c>
      <c r="F568" s="48">
        <v>7250482933</v>
      </c>
      <c r="G568" t="s">
        <v>1115</v>
      </c>
      <c r="H568" s="1">
        <v>20836</v>
      </c>
      <c r="I568" s="42" t="s">
        <v>1116</v>
      </c>
      <c r="J568" s="5">
        <v>1994</v>
      </c>
      <c r="K568" s="5">
        <v>1994</v>
      </c>
      <c r="L568" s="5">
        <f t="shared" ref="L568:L577" si="96">(J568+K568)*1.18</f>
        <v>4705.84</v>
      </c>
      <c r="O568" s="3" t="s">
        <v>657</v>
      </c>
      <c r="Q568" s="5">
        <f t="shared" ref="Q568:Q577" si="97">IF(OR(B568=2,B568=4),K568*0.31,IF(B568=3,J568*0.4+K568*0.025,J568*0.21+K568*0.025))</f>
        <v>618.14</v>
      </c>
    </row>
    <row r="569" spans="2:17" ht="16.8">
      <c r="B569" s="9">
        <v>4</v>
      </c>
      <c r="D569" s="1">
        <v>45540</v>
      </c>
      <c r="F569" s="48">
        <v>9031183795</v>
      </c>
      <c r="G569" t="s">
        <v>260</v>
      </c>
      <c r="H569" s="1">
        <v>31206</v>
      </c>
      <c r="I569" s="42" t="s">
        <v>1117</v>
      </c>
      <c r="J569" s="5">
        <v>1994</v>
      </c>
      <c r="K569" s="5">
        <v>1994</v>
      </c>
      <c r="L569" s="5">
        <f t="shared" si="96"/>
        <v>4705.84</v>
      </c>
      <c r="O569" s="3" t="s">
        <v>259</v>
      </c>
      <c r="Q569" s="5">
        <f t="shared" si="97"/>
        <v>618.14</v>
      </c>
    </row>
    <row r="570" spans="2:17" ht="16.8">
      <c r="B570" s="9">
        <v>2</v>
      </c>
      <c r="D570" s="1">
        <v>45540</v>
      </c>
      <c r="F570" s="48">
        <v>9031183795</v>
      </c>
      <c r="G570" t="s">
        <v>696</v>
      </c>
      <c r="J570" s="5">
        <v>0</v>
      </c>
      <c r="K570" s="5">
        <v>714</v>
      </c>
      <c r="L570" s="5">
        <f t="shared" si="96"/>
        <v>842.52</v>
      </c>
      <c r="O570" s="3" t="s">
        <v>682</v>
      </c>
      <c r="Q570" s="5">
        <f t="shared" si="97"/>
        <v>221.34</v>
      </c>
    </row>
    <row r="571" spans="2:17" ht="16.8">
      <c r="B571" s="9">
        <v>2</v>
      </c>
      <c r="C571" s="9" t="s">
        <v>1120</v>
      </c>
      <c r="D571" s="1">
        <v>45543</v>
      </c>
      <c r="F571" s="48">
        <v>8797138434</v>
      </c>
      <c r="G571" t="s">
        <v>1119</v>
      </c>
      <c r="H571" s="1">
        <v>25894</v>
      </c>
      <c r="I571" s="42" t="s">
        <v>1118</v>
      </c>
      <c r="J571" s="5">
        <v>664</v>
      </c>
      <c r="K571" s="5">
        <v>664</v>
      </c>
      <c r="L571" s="5">
        <f t="shared" si="96"/>
        <v>1567.04</v>
      </c>
      <c r="Q571" s="5">
        <f t="shared" si="97"/>
        <v>205.84</v>
      </c>
    </row>
    <row r="572" spans="2:17" ht="16.8">
      <c r="B572" s="9">
        <v>2</v>
      </c>
      <c r="C572" s="9" t="s">
        <v>1125</v>
      </c>
      <c r="D572" s="1">
        <v>45543</v>
      </c>
      <c r="F572" s="48">
        <v>9234670695</v>
      </c>
      <c r="G572" t="s">
        <v>1124</v>
      </c>
      <c r="H572" s="1">
        <v>28544</v>
      </c>
      <c r="I572" s="42" t="s">
        <v>1122</v>
      </c>
      <c r="J572" s="5">
        <v>0</v>
      </c>
      <c r="K572" s="5">
        <v>664</v>
      </c>
      <c r="L572" s="5">
        <f t="shared" si="96"/>
        <v>783.52</v>
      </c>
      <c r="O572" s="3" t="s">
        <v>1123</v>
      </c>
      <c r="Q572" s="5">
        <f t="shared" si="97"/>
        <v>205.84</v>
      </c>
    </row>
    <row r="573" spans="2:17" ht="16.8">
      <c r="B573" s="9">
        <v>2</v>
      </c>
      <c r="D573" s="1">
        <v>45545</v>
      </c>
      <c r="F573" s="48"/>
      <c r="H573" s="1">
        <v>23936</v>
      </c>
      <c r="J573" s="5">
        <v>0</v>
      </c>
      <c r="K573" s="5">
        <v>664</v>
      </c>
      <c r="L573" s="5">
        <f t="shared" si="96"/>
        <v>783.52</v>
      </c>
      <c r="Q573" s="5">
        <f t="shared" si="97"/>
        <v>205.84</v>
      </c>
    </row>
    <row r="574" spans="2:17" ht="16.8">
      <c r="B574" s="9">
        <v>2</v>
      </c>
      <c r="C574" s="9" t="s">
        <v>1127</v>
      </c>
      <c r="D574" s="1">
        <v>45547</v>
      </c>
      <c r="F574" s="48">
        <v>7488484625</v>
      </c>
      <c r="G574" t="s">
        <v>1126</v>
      </c>
      <c r="H574" s="1">
        <v>24118</v>
      </c>
      <c r="J574" s="5">
        <v>0</v>
      </c>
      <c r="K574" s="5">
        <v>664</v>
      </c>
      <c r="L574" s="5">
        <f t="shared" si="96"/>
        <v>783.52</v>
      </c>
      <c r="O574" s="3" t="s">
        <v>129</v>
      </c>
      <c r="Q574" s="5">
        <f t="shared" si="97"/>
        <v>205.84</v>
      </c>
    </row>
    <row r="575" spans="2:17" ht="16.8">
      <c r="B575" s="9">
        <v>2</v>
      </c>
      <c r="C575" s="9" t="s">
        <v>1130</v>
      </c>
      <c r="D575" s="1">
        <v>45547</v>
      </c>
      <c r="F575" s="48">
        <v>9334644676</v>
      </c>
      <c r="G575" t="s">
        <v>1129</v>
      </c>
      <c r="H575" s="1">
        <v>18994</v>
      </c>
      <c r="I575" s="42" t="s">
        <v>1128</v>
      </c>
      <c r="J575" s="5">
        <v>0</v>
      </c>
      <c r="K575" s="5">
        <v>664</v>
      </c>
      <c r="L575" s="5">
        <f t="shared" si="96"/>
        <v>783.52</v>
      </c>
      <c r="O575" s="3" t="s">
        <v>245</v>
      </c>
      <c r="Q575" s="5">
        <f t="shared" si="97"/>
        <v>205.84</v>
      </c>
    </row>
    <row r="576" spans="2:17" ht="16.8">
      <c r="B576" s="9">
        <v>2</v>
      </c>
      <c r="C576" s="9" t="s">
        <v>1130</v>
      </c>
      <c r="D576" s="1">
        <v>45553</v>
      </c>
      <c r="F576" s="48">
        <v>7004105562</v>
      </c>
      <c r="G576" t="s">
        <v>1132</v>
      </c>
      <c r="H576" s="1">
        <v>29221</v>
      </c>
      <c r="I576" s="42" t="s">
        <v>1131</v>
      </c>
      <c r="J576" s="5">
        <v>0</v>
      </c>
      <c r="K576" s="5">
        <v>714</v>
      </c>
      <c r="L576" s="5">
        <f t="shared" si="96"/>
        <v>842.52</v>
      </c>
      <c r="Q576" s="5">
        <f t="shared" si="97"/>
        <v>221.34</v>
      </c>
    </row>
    <row r="577" spans="2:18" ht="19.2">
      <c r="B577" s="9">
        <v>2</v>
      </c>
      <c r="C577" s="9" t="s">
        <v>1136</v>
      </c>
      <c r="D577" s="1">
        <v>45561</v>
      </c>
      <c r="F577" s="94">
        <v>7488242260</v>
      </c>
      <c r="G577" t="s">
        <v>1133</v>
      </c>
      <c r="H577" s="1">
        <v>28000</v>
      </c>
      <c r="I577" s="42" t="s">
        <v>1134</v>
      </c>
      <c r="J577" s="5">
        <v>0</v>
      </c>
      <c r="K577" s="5">
        <v>714</v>
      </c>
      <c r="L577" s="5">
        <f t="shared" si="96"/>
        <v>842.52</v>
      </c>
      <c r="O577" s="3" t="s">
        <v>1135</v>
      </c>
      <c r="Q577" s="5">
        <f t="shared" si="97"/>
        <v>221.34</v>
      </c>
    </row>
    <row r="578" spans="2:18" ht="16.8">
      <c r="F578" s="48"/>
      <c r="Q578"/>
    </row>
    <row r="579" spans="2:18">
      <c r="B579" s="35"/>
      <c r="C579" s="34"/>
      <c r="D579" s="34"/>
      <c r="E579" s="35"/>
      <c r="F579" s="35"/>
      <c r="G579" s="34"/>
      <c r="H579" s="46"/>
      <c r="I579" s="34"/>
      <c r="J579" s="124">
        <f>SUM(J568:J578)</f>
        <v>4652</v>
      </c>
      <c r="K579" s="124">
        <f>SUM(K568:K578)</f>
        <v>9450</v>
      </c>
      <c r="L579" s="124">
        <f>SUM(L555:L578)</f>
        <v>39209.039999999979</v>
      </c>
      <c r="M579" s="34"/>
      <c r="N579" s="34">
        <f>SUM(N555:N578)</f>
        <v>0</v>
      </c>
      <c r="O579" s="71">
        <f>SUM(O555:O578)</f>
        <v>0</v>
      </c>
      <c r="P579" s="34">
        <f>SUM(P555:P578)</f>
        <v>0</v>
      </c>
      <c r="Q579" s="34">
        <f>SUM(Q568:Q578)</f>
        <v>2929.5000000000005</v>
      </c>
    </row>
    <row r="580" spans="2:18" ht="16.8">
      <c r="F580" s="48"/>
      <c r="Q580"/>
    </row>
    <row r="581" spans="2:18" ht="16.8">
      <c r="B581" s="9" t="s">
        <v>1173</v>
      </c>
      <c r="C581" s="9" t="s">
        <v>1155</v>
      </c>
      <c r="D581" s="1">
        <v>45570</v>
      </c>
      <c r="F581" s="48">
        <v>7739044155</v>
      </c>
      <c r="G581" t="s">
        <v>1153</v>
      </c>
      <c r="H581" s="1">
        <v>37314</v>
      </c>
      <c r="I581" s="42" t="s">
        <v>1139</v>
      </c>
      <c r="J581" s="5">
        <v>0</v>
      </c>
      <c r="K581" s="5">
        <v>3416</v>
      </c>
      <c r="L581" s="5">
        <f>(J581+K581)*1.18</f>
        <v>4030.8799999999997</v>
      </c>
      <c r="O581" s="3" t="s">
        <v>1154</v>
      </c>
      <c r="Q581" s="5">
        <f t="shared" ref="Q581:Q593" si="98">IF(OR(B581=2,B581=4),K581*0.31,IF(B581=3,J581*0.4+K581*0.025,J581*0.21+K581*0.025))</f>
        <v>85.4</v>
      </c>
      <c r="R581">
        <f>IF(B581="4P",K581*0.385,IF(B581="4D",K581*0.3,IF(B581="HH",K581*0.41,IF(B581="RE",K581*0.35,IF(B581="SC",K581*0.51,K581*0.4)))))</f>
        <v>1315.16</v>
      </c>
    </row>
    <row r="582" spans="2:18" ht="16.8">
      <c r="B582" s="9" t="s">
        <v>1174</v>
      </c>
      <c r="C582" s="9" t="s">
        <v>1165</v>
      </c>
      <c r="D582" s="1">
        <v>45570</v>
      </c>
      <c r="F582" s="48"/>
      <c r="G582" t="s">
        <v>1166</v>
      </c>
      <c r="H582" s="1"/>
      <c r="J582" s="5">
        <v>0</v>
      </c>
      <c r="K582" s="5">
        <v>664</v>
      </c>
      <c r="L582" s="5">
        <f>(J582+K582)*1.18</f>
        <v>783.52</v>
      </c>
      <c r="O582" s="3" t="s">
        <v>1167</v>
      </c>
      <c r="Q582" s="5">
        <f t="shared" si="98"/>
        <v>16.600000000000001</v>
      </c>
      <c r="R582">
        <f t="shared" ref="R582:R594" si="99">IF(B582="4P",K582*0.385,IF(B582="4D",K582*0.3,IF(B582="HH",K582*0.41,IF(B582="RE",K582*0.35,IF(B582="SC",K582*0.51,K582*0.4)))))</f>
        <v>272.24</v>
      </c>
    </row>
    <row r="583" spans="2:18" ht="16.8">
      <c r="B583" s="9" t="s">
        <v>1176</v>
      </c>
      <c r="C583" s="9" t="s">
        <v>1168</v>
      </c>
      <c r="D583" s="1">
        <v>45572</v>
      </c>
      <c r="F583" s="48">
        <v>7004426401</v>
      </c>
      <c r="G583" t="s">
        <v>1169</v>
      </c>
      <c r="H583" s="1">
        <v>31761</v>
      </c>
      <c r="I583" s="42" t="s">
        <v>1140</v>
      </c>
      <c r="J583" s="5">
        <v>0</v>
      </c>
      <c r="K583" s="5">
        <v>714</v>
      </c>
      <c r="L583" s="5">
        <f>(J583+K583)*1.18</f>
        <v>842.52</v>
      </c>
      <c r="O583" s="3" t="s">
        <v>728</v>
      </c>
      <c r="Q583" s="5">
        <f t="shared" si="98"/>
        <v>17.850000000000001</v>
      </c>
      <c r="R583">
        <f t="shared" si="99"/>
        <v>364.14</v>
      </c>
    </row>
    <row r="584" spans="2:18" ht="16.8">
      <c r="B584" s="9" t="s">
        <v>1173</v>
      </c>
      <c r="C584" s="9" t="s">
        <v>1170</v>
      </c>
      <c r="D584" s="1">
        <v>45580</v>
      </c>
      <c r="F584" s="48"/>
      <c r="G584" t="s">
        <v>1171</v>
      </c>
      <c r="H584" s="1"/>
      <c r="J584" s="5">
        <v>0</v>
      </c>
      <c r="K584" s="5">
        <v>3316</v>
      </c>
      <c r="L584" s="5">
        <f t="shared" ref="L584:L593" si="100">(J584+K584)*1.18</f>
        <v>3912.8799999999997</v>
      </c>
      <c r="O584" s="3" t="s">
        <v>530</v>
      </c>
      <c r="Q584" s="5">
        <f t="shared" si="98"/>
        <v>82.9</v>
      </c>
      <c r="R584">
        <f t="shared" si="99"/>
        <v>1276.6600000000001</v>
      </c>
    </row>
    <row r="585" spans="2:18" ht="16.8">
      <c r="B585" s="9" t="s">
        <v>1177</v>
      </c>
      <c r="C585" s="9" t="s">
        <v>1181</v>
      </c>
      <c r="D585" s="1">
        <v>45580</v>
      </c>
      <c r="F585" s="48">
        <v>7646050290</v>
      </c>
      <c r="G585" t="s">
        <v>1172</v>
      </c>
      <c r="H585" s="1">
        <v>27824</v>
      </c>
      <c r="I585" s="42" t="s">
        <v>1141</v>
      </c>
      <c r="J585" s="5">
        <v>0</v>
      </c>
      <c r="K585" s="5">
        <v>1428</v>
      </c>
      <c r="L585" s="5">
        <f t="shared" si="100"/>
        <v>1685.04</v>
      </c>
      <c r="O585" s="3" t="s">
        <v>1182</v>
      </c>
      <c r="Q585" s="5">
        <f t="shared" si="98"/>
        <v>35.700000000000003</v>
      </c>
      <c r="R585">
        <f t="shared" si="99"/>
        <v>571.20000000000005</v>
      </c>
    </row>
    <row r="586" spans="2:18" ht="16.8">
      <c r="B586" s="9" t="s">
        <v>1177</v>
      </c>
      <c r="C586" s="9" t="s">
        <v>1142</v>
      </c>
      <c r="D586" s="1">
        <v>45582</v>
      </c>
      <c r="F586" s="48">
        <v>9421526387</v>
      </c>
      <c r="G586" t="s">
        <v>1183</v>
      </c>
      <c r="H586" s="1">
        <v>25949</v>
      </c>
      <c r="I586" s="42" t="s">
        <v>1143</v>
      </c>
      <c r="J586" s="5">
        <v>0</v>
      </c>
      <c r="K586" s="5">
        <v>664</v>
      </c>
      <c r="L586" s="5">
        <f t="shared" si="100"/>
        <v>783.52</v>
      </c>
      <c r="O586" s="3" t="s">
        <v>1184</v>
      </c>
      <c r="Q586" s="5">
        <f t="shared" si="98"/>
        <v>16.600000000000001</v>
      </c>
      <c r="R586">
        <f t="shared" si="99"/>
        <v>265.60000000000002</v>
      </c>
    </row>
    <row r="587" spans="2:18" ht="16.8">
      <c r="B587" s="9" t="s">
        <v>1177</v>
      </c>
      <c r="C587" s="9" t="s">
        <v>1151</v>
      </c>
      <c r="D587" s="1">
        <v>45583</v>
      </c>
      <c r="F587" s="48">
        <v>9835701837</v>
      </c>
      <c r="G587" t="s">
        <v>1185</v>
      </c>
      <c r="H587" s="1">
        <v>23012</v>
      </c>
      <c r="I587" s="42" t="s">
        <v>1150</v>
      </c>
      <c r="J587" s="5">
        <v>0</v>
      </c>
      <c r="K587" s="5">
        <v>714</v>
      </c>
      <c r="L587" s="5">
        <f t="shared" si="100"/>
        <v>842.52</v>
      </c>
      <c r="O587" s="3" t="s">
        <v>1186</v>
      </c>
      <c r="Q587" s="5">
        <f t="shared" si="98"/>
        <v>17.850000000000001</v>
      </c>
      <c r="R587">
        <f t="shared" si="99"/>
        <v>285.60000000000002</v>
      </c>
    </row>
    <row r="588" spans="2:18" ht="16.8">
      <c r="B588" s="9" t="s">
        <v>1187</v>
      </c>
      <c r="C588" s="9" t="s">
        <v>1152</v>
      </c>
      <c r="D588" s="1"/>
      <c r="F588" s="48">
        <v>7667862192</v>
      </c>
      <c r="G588" t="s">
        <v>285</v>
      </c>
      <c r="H588" s="1">
        <v>28736</v>
      </c>
      <c r="I588" s="42" t="s">
        <v>724</v>
      </c>
      <c r="J588" s="5">
        <v>0</v>
      </c>
      <c r="K588" s="5">
        <v>714</v>
      </c>
      <c r="L588" s="5">
        <f t="shared" si="100"/>
        <v>842.52</v>
      </c>
      <c r="O588" s="3" t="s">
        <v>286</v>
      </c>
      <c r="Q588" s="5">
        <f t="shared" si="98"/>
        <v>17.850000000000001</v>
      </c>
      <c r="R588">
        <f t="shared" si="99"/>
        <v>364.14</v>
      </c>
    </row>
    <row r="589" spans="2:18" ht="16.8">
      <c r="B589" s="9" t="s">
        <v>1173</v>
      </c>
      <c r="C589" s="9" t="s">
        <v>1188</v>
      </c>
      <c r="D589" s="1"/>
      <c r="F589" s="48"/>
      <c r="G589" t="s">
        <v>752</v>
      </c>
      <c r="H589" s="1"/>
      <c r="J589" s="5">
        <v>0</v>
      </c>
      <c r="K589" s="5">
        <v>2090</v>
      </c>
      <c r="L589" s="5">
        <f t="shared" si="100"/>
        <v>2466.1999999999998</v>
      </c>
      <c r="O589" s="3" t="s">
        <v>320</v>
      </c>
      <c r="Q589" s="5">
        <f t="shared" si="98"/>
        <v>52.25</v>
      </c>
      <c r="R589">
        <f t="shared" si="99"/>
        <v>804.65</v>
      </c>
    </row>
    <row r="590" spans="2:18" ht="16.8">
      <c r="B590" s="9" t="s">
        <v>1176</v>
      </c>
      <c r="C590" s="9" t="s">
        <v>1189</v>
      </c>
      <c r="D590" s="1"/>
      <c r="F590" s="48"/>
      <c r="G590" t="s">
        <v>315</v>
      </c>
      <c r="H590" s="1"/>
      <c r="J590" s="5">
        <v>0</v>
      </c>
      <c r="K590" s="5">
        <v>718</v>
      </c>
      <c r="L590" s="5">
        <f t="shared" si="100"/>
        <v>847.24</v>
      </c>
      <c r="O590" s="3" t="s">
        <v>720</v>
      </c>
      <c r="Q590" s="5">
        <f t="shared" si="98"/>
        <v>17.95</v>
      </c>
      <c r="R590">
        <f t="shared" si="99"/>
        <v>366.18</v>
      </c>
    </row>
    <row r="591" spans="2:18" ht="16.8">
      <c r="B591" s="9" t="s">
        <v>1176</v>
      </c>
      <c r="C591" s="9" t="s">
        <v>1156</v>
      </c>
      <c r="D591" s="1">
        <v>45589</v>
      </c>
      <c r="F591" s="48">
        <v>6200859847</v>
      </c>
      <c r="G591" t="s">
        <v>1157</v>
      </c>
      <c r="H591" s="1">
        <v>27760</v>
      </c>
      <c r="I591" s="42" t="s">
        <v>1158</v>
      </c>
      <c r="J591" s="5">
        <v>0</v>
      </c>
      <c r="K591" s="5">
        <v>664</v>
      </c>
      <c r="L591" s="5">
        <f t="shared" si="100"/>
        <v>783.52</v>
      </c>
      <c r="O591" s="3" t="s">
        <v>40</v>
      </c>
      <c r="Q591" s="5">
        <f t="shared" si="98"/>
        <v>16.600000000000001</v>
      </c>
      <c r="R591">
        <f t="shared" si="99"/>
        <v>338.64</v>
      </c>
    </row>
    <row r="592" spans="2:18" ht="16.8">
      <c r="B592" s="9" t="s">
        <v>1176</v>
      </c>
      <c r="C592" s="9" t="s">
        <v>1160</v>
      </c>
      <c r="D592" s="1">
        <v>45589</v>
      </c>
      <c r="F592" s="48">
        <v>9931764268</v>
      </c>
      <c r="G592" t="s">
        <v>1190</v>
      </c>
      <c r="H592" s="1">
        <v>32157</v>
      </c>
      <c r="I592" s="42" t="s">
        <v>1159</v>
      </c>
      <c r="J592" s="5">
        <v>0</v>
      </c>
      <c r="K592" s="5">
        <v>664</v>
      </c>
      <c r="L592" s="5">
        <f t="shared" si="100"/>
        <v>783.52</v>
      </c>
      <c r="O592" s="3" t="s">
        <v>321</v>
      </c>
      <c r="Q592" s="5">
        <f t="shared" si="98"/>
        <v>16.600000000000001</v>
      </c>
      <c r="R592">
        <f t="shared" si="99"/>
        <v>338.64</v>
      </c>
    </row>
    <row r="593" spans="2:18" ht="16.8">
      <c r="B593" s="9" t="s">
        <v>1176</v>
      </c>
      <c r="C593" s="9" t="s">
        <v>1163</v>
      </c>
      <c r="D593" s="1">
        <v>45592</v>
      </c>
      <c r="F593" s="48">
        <v>9905715273</v>
      </c>
      <c r="G593" t="s">
        <v>1161</v>
      </c>
      <c r="H593" s="1">
        <v>27854</v>
      </c>
      <c r="I593" s="42" t="s">
        <v>1162</v>
      </c>
      <c r="J593" s="5">
        <v>0</v>
      </c>
      <c r="K593" s="5">
        <v>664</v>
      </c>
      <c r="L593" s="5">
        <f t="shared" si="100"/>
        <v>783.52</v>
      </c>
      <c r="O593" s="3" t="s">
        <v>1164</v>
      </c>
      <c r="Q593" s="5">
        <f t="shared" si="98"/>
        <v>16.600000000000001</v>
      </c>
      <c r="R593">
        <f t="shared" si="99"/>
        <v>338.64</v>
      </c>
    </row>
    <row r="594" spans="2:18" ht="16.8">
      <c r="D594" s="1"/>
      <c r="F594" s="48"/>
      <c r="H594" s="1"/>
      <c r="R594">
        <f t="shared" si="99"/>
        <v>0</v>
      </c>
    </row>
    <row r="595" spans="2:18" ht="16.8">
      <c r="D595" s="1"/>
      <c r="F595" s="48"/>
      <c r="H595" s="1"/>
    </row>
    <row r="596" spans="2:18">
      <c r="B596" s="35"/>
      <c r="C596" s="34"/>
      <c r="D596" s="34"/>
      <c r="E596" s="35"/>
      <c r="F596" s="35"/>
      <c r="G596" s="34"/>
      <c r="H596" s="46"/>
      <c r="I596" s="34"/>
      <c r="J596" s="124">
        <f>SUM(J578:J595)</f>
        <v>4652</v>
      </c>
      <c r="K596" s="124">
        <f>SUM(K578:K595)</f>
        <v>25880</v>
      </c>
      <c r="L596" s="124">
        <f>SUM(L569:L595)</f>
        <v>70530.959999999977</v>
      </c>
      <c r="M596" s="34"/>
      <c r="N596" s="34">
        <f>SUM(N569:N595)</f>
        <v>0</v>
      </c>
      <c r="O596" s="71">
        <f>SUM(O569:O595)</f>
        <v>0</v>
      </c>
      <c r="P596" s="34">
        <f>SUM(P569:P595)</f>
        <v>0</v>
      </c>
      <c r="Q596" s="34">
        <f>SUM(Q578:Q595)</f>
        <v>3340.2499999999995</v>
      </c>
      <c r="R596" s="34">
        <f>SUM(R578:R595)</f>
        <v>6901.4900000000007</v>
      </c>
    </row>
    <row r="597" spans="2:18" ht="16.8">
      <c r="F597" s="48"/>
      <c r="Q597"/>
    </row>
    <row r="598" spans="2:18">
      <c r="B598" s="9" t="s">
        <v>1187</v>
      </c>
      <c r="C598" s="9" t="s">
        <v>1191</v>
      </c>
      <c r="G598" t="s">
        <v>764</v>
      </c>
      <c r="J598" s="5">
        <v>0</v>
      </c>
      <c r="K598" s="5">
        <v>664</v>
      </c>
      <c r="L598" s="5">
        <f t="shared" ref="L598:L611" si="101">(J598+K598)*1.18</f>
        <v>783.52</v>
      </c>
      <c r="O598" s="3" t="s">
        <v>342</v>
      </c>
      <c r="Q598"/>
      <c r="R598">
        <f t="shared" ref="R598:R616" si="102">IF(B598="4P",K598*0.385,IF(B598="4D",K598*0.3,IF(B598="HH",K598*0.41,IF(B598="RE",K598*0.35,IF(B598="SC",K598*0.51,K598*0.4)))))</f>
        <v>338.64</v>
      </c>
    </row>
    <row r="599" spans="2:18" ht="16.8">
      <c r="B599" s="9" t="s">
        <v>1176</v>
      </c>
      <c r="C599" s="9" t="s">
        <v>1160</v>
      </c>
      <c r="D599" s="1">
        <v>45604</v>
      </c>
      <c r="F599" s="48">
        <v>8210352810</v>
      </c>
      <c r="G599" t="s">
        <v>1192</v>
      </c>
      <c r="H599" s="1">
        <v>32157</v>
      </c>
      <c r="I599" s="42" t="s">
        <v>1159</v>
      </c>
      <c r="J599" s="5">
        <v>0</v>
      </c>
      <c r="K599" s="5">
        <f>664+375</f>
        <v>1039</v>
      </c>
      <c r="L599" s="5">
        <f t="shared" si="101"/>
        <v>1226.02</v>
      </c>
      <c r="O599" s="3" t="s">
        <v>1193</v>
      </c>
      <c r="Q599" s="5">
        <f>IF(OR(B599=2,B599=4),K599*0.31,IF(B599=3,J599*0.4+K599*0.025,J599*0.21+K599*0.025))</f>
        <v>25.975000000000001</v>
      </c>
      <c r="R599">
        <f t="shared" si="102"/>
        <v>529.89</v>
      </c>
    </row>
    <row r="600" spans="2:18" ht="16.8">
      <c r="B600" s="9" t="s">
        <v>1173</v>
      </c>
      <c r="C600" s="9" t="s">
        <v>1180</v>
      </c>
      <c r="D600" s="1">
        <v>45604</v>
      </c>
      <c r="F600" s="48">
        <v>9162891972</v>
      </c>
      <c r="G600" t="s">
        <v>1178</v>
      </c>
      <c r="H600" s="1">
        <v>31453</v>
      </c>
      <c r="I600" s="42" t="s">
        <v>1179</v>
      </c>
      <c r="J600" s="5">
        <v>0</v>
      </c>
      <c r="K600" s="5">
        <v>1994</v>
      </c>
      <c r="L600" s="5">
        <f t="shared" si="101"/>
        <v>2352.92</v>
      </c>
      <c r="O600" s="3" t="s">
        <v>1164</v>
      </c>
      <c r="Q600" s="5">
        <f>IF(OR(B600=2,B600=4),K600*0.31,IF(B600=3,J600*0.4+K600*0.025,J600*0.21+K600*0.025))</f>
        <v>49.85</v>
      </c>
      <c r="R600">
        <f t="shared" si="102"/>
        <v>767.69</v>
      </c>
    </row>
    <row r="601" spans="2:18" ht="16.8">
      <c r="B601" s="9" t="s">
        <v>1173</v>
      </c>
      <c r="C601" s="9" t="s">
        <v>1196</v>
      </c>
      <c r="D601" s="1">
        <v>45605</v>
      </c>
      <c r="F601" s="48">
        <v>9939184337</v>
      </c>
      <c r="G601" t="s">
        <v>1194</v>
      </c>
      <c r="H601" s="1">
        <v>28489</v>
      </c>
      <c r="J601" s="5">
        <v>0</v>
      </c>
      <c r="K601" s="5">
        <v>2094</v>
      </c>
      <c r="L601" s="5">
        <f t="shared" si="101"/>
        <v>2470.92</v>
      </c>
      <c r="O601" s="3" t="s">
        <v>1195</v>
      </c>
      <c r="Q601"/>
      <c r="R601">
        <f t="shared" si="102"/>
        <v>806.19</v>
      </c>
    </row>
    <row r="602" spans="2:18" ht="16.8">
      <c r="B602" s="9" t="s">
        <v>1199</v>
      </c>
      <c r="D602" s="1">
        <v>45607</v>
      </c>
      <c r="F602" s="48"/>
      <c r="J602" s="5">
        <v>0</v>
      </c>
      <c r="K602" s="5">
        <v>718</v>
      </c>
      <c r="L602" s="5">
        <f t="shared" si="101"/>
        <v>847.24</v>
      </c>
      <c r="Q602"/>
      <c r="R602">
        <f t="shared" si="102"/>
        <v>287.2</v>
      </c>
    </row>
    <row r="603" spans="2:18">
      <c r="B603" s="9" t="s">
        <v>1177</v>
      </c>
      <c r="D603" s="1">
        <v>45607</v>
      </c>
      <c r="F603" s="9">
        <v>8145977876</v>
      </c>
      <c r="G603" t="s">
        <v>1197</v>
      </c>
      <c r="H603" s="1">
        <v>23803</v>
      </c>
      <c r="I603" s="42" t="s">
        <v>1198</v>
      </c>
      <c r="J603" s="5">
        <v>0</v>
      </c>
      <c r="K603" s="5">
        <v>718</v>
      </c>
      <c r="L603" s="5">
        <f t="shared" si="101"/>
        <v>847.24</v>
      </c>
      <c r="O603" s="3" t="s">
        <v>734</v>
      </c>
      <c r="Q603"/>
      <c r="R603">
        <f t="shared" si="102"/>
        <v>287.2</v>
      </c>
    </row>
    <row r="604" spans="2:18">
      <c r="B604" s="9" t="s">
        <v>1177</v>
      </c>
      <c r="C604" s="9" t="s">
        <v>1202</v>
      </c>
      <c r="D604" s="1">
        <v>45607</v>
      </c>
      <c r="F604" s="9">
        <v>9031212413</v>
      </c>
      <c r="G604" t="s">
        <v>1200</v>
      </c>
      <c r="H604" s="1">
        <v>30252</v>
      </c>
      <c r="J604" s="5">
        <v>0</v>
      </c>
      <c r="K604" s="5">
        <v>1039</v>
      </c>
      <c r="L604" s="5">
        <f t="shared" si="101"/>
        <v>1226.02</v>
      </c>
      <c r="O604" s="3" t="s">
        <v>1201</v>
      </c>
      <c r="Q604"/>
      <c r="R604">
        <f t="shared" si="102"/>
        <v>415.6</v>
      </c>
    </row>
    <row r="605" spans="2:18" ht="16.8">
      <c r="B605" s="9" t="s">
        <v>1176</v>
      </c>
      <c r="D605" s="1"/>
      <c r="F605" s="48">
        <v>9835760251</v>
      </c>
      <c r="G605" t="s">
        <v>771</v>
      </c>
      <c r="H605" s="1">
        <v>16871</v>
      </c>
      <c r="I605" s="42" t="s">
        <v>772</v>
      </c>
      <c r="J605" s="5">
        <v>0</v>
      </c>
      <c r="K605" s="5">
        <v>664</v>
      </c>
      <c r="L605" s="5">
        <f t="shared" si="101"/>
        <v>783.52</v>
      </c>
      <c r="Q605"/>
      <c r="R605">
        <f t="shared" si="102"/>
        <v>338.64</v>
      </c>
    </row>
    <row r="606" spans="2:18" ht="16.8">
      <c r="B606" s="9" t="s">
        <v>1177</v>
      </c>
      <c r="C606" s="9" t="s">
        <v>1207</v>
      </c>
      <c r="D606" s="1">
        <v>45458</v>
      </c>
      <c r="F606" s="48">
        <v>8540035242</v>
      </c>
      <c r="G606" t="s">
        <v>1206</v>
      </c>
      <c r="H606" s="1">
        <v>17899</v>
      </c>
      <c r="I606" s="42" t="s">
        <v>1205</v>
      </c>
      <c r="J606" s="5">
        <v>0</v>
      </c>
      <c r="K606" s="5">
        <v>664</v>
      </c>
      <c r="L606" s="5">
        <f t="shared" si="101"/>
        <v>783.52</v>
      </c>
      <c r="O606" s="3" t="s">
        <v>1204</v>
      </c>
      <c r="Q606"/>
      <c r="R606">
        <f t="shared" si="102"/>
        <v>265.60000000000002</v>
      </c>
    </row>
    <row r="607" spans="2:18">
      <c r="B607" s="9" t="s">
        <v>1173</v>
      </c>
      <c r="C607" s="9" t="s">
        <v>1208</v>
      </c>
      <c r="D607" s="1">
        <v>45612</v>
      </c>
      <c r="F607" s="9">
        <v>9931195820</v>
      </c>
      <c r="G607" t="s">
        <v>152</v>
      </c>
      <c r="H607" s="1">
        <v>29343</v>
      </c>
      <c r="L607" s="5">
        <f t="shared" si="101"/>
        <v>0</v>
      </c>
      <c r="O607" s="3" t="s">
        <v>763</v>
      </c>
      <c r="Q607"/>
      <c r="R607">
        <v>150</v>
      </c>
    </row>
    <row r="608" spans="2:18" ht="16.8">
      <c r="B608" s="9" t="s">
        <v>1173</v>
      </c>
      <c r="C608" s="9" t="s">
        <v>1210</v>
      </c>
      <c r="D608" s="1">
        <v>45614</v>
      </c>
      <c r="F608" s="48">
        <v>8797032751</v>
      </c>
      <c r="G608" t="s">
        <v>1211</v>
      </c>
      <c r="H608" s="1">
        <v>23617</v>
      </c>
      <c r="J608" s="5">
        <v>0</v>
      </c>
      <c r="K608" s="5">
        <v>3316</v>
      </c>
      <c r="L608" s="5">
        <f t="shared" si="101"/>
        <v>3912.8799999999997</v>
      </c>
      <c r="O608" s="3" t="s">
        <v>1209</v>
      </c>
      <c r="Q608"/>
      <c r="R608">
        <f t="shared" si="102"/>
        <v>1276.6600000000001</v>
      </c>
    </row>
    <row r="609" spans="2:20" ht="16.8">
      <c r="B609" s="9" t="s">
        <v>1176</v>
      </c>
      <c r="C609" s="9" t="s">
        <v>1218</v>
      </c>
      <c r="D609" s="1">
        <v>45614</v>
      </c>
      <c r="E609" s="1">
        <v>46343</v>
      </c>
      <c r="F609" s="48"/>
      <c r="G609" t="s">
        <v>1217</v>
      </c>
      <c r="H609" s="1"/>
      <c r="J609" s="5">
        <v>0</v>
      </c>
      <c r="K609" s="5">
        <v>718</v>
      </c>
      <c r="L609" s="5">
        <f t="shared" si="101"/>
        <v>847.24</v>
      </c>
      <c r="O609" s="3" t="s">
        <v>1219</v>
      </c>
      <c r="Q609"/>
      <c r="R609">
        <f t="shared" si="102"/>
        <v>366.18</v>
      </c>
    </row>
    <row r="610" spans="2:20" ht="19.2">
      <c r="B610" s="9" t="s">
        <v>1176</v>
      </c>
      <c r="C610" s="9" t="s">
        <v>1214</v>
      </c>
      <c r="D610" s="1">
        <v>45616</v>
      </c>
      <c r="F610" s="94">
        <v>7217393903</v>
      </c>
      <c r="G610" t="s">
        <v>1212</v>
      </c>
      <c r="H610" s="1">
        <v>25365</v>
      </c>
      <c r="I610" s="42" t="s">
        <v>1213</v>
      </c>
      <c r="J610" s="5">
        <v>0</v>
      </c>
      <c r="K610" s="5">
        <v>718</v>
      </c>
      <c r="L610" s="5">
        <f t="shared" si="101"/>
        <v>847.24</v>
      </c>
      <c r="O610" s="3" t="s">
        <v>1220</v>
      </c>
      <c r="Q610"/>
      <c r="R610">
        <f t="shared" si="102"/>
        <v>366.18</v>
      </c>
    </row>
    <row r="611" spans="2:20" ht="16.8">
      <c r="B611" s="9" t="s">
        <v>1173</v>
      </c>
      <c r="C611" s="9" t="s">
        <v>1216</v>
      </c>
      <c r="D611" s="1">
        <v>45617</v>
      </c>
      <c r="F611" s="48"/>
      <c r="G611" t="s">
        <v>195</v>
      </c>
      <c r="H611" s="1"/>
      <c r="J611" s="5">
        <v>0</v>
      </c>
      <c r="K611" s="5">
        <v>1994</v>
      </c>
      <c r="L611" s="5">
        <f t="shared" si="101"/>
        <v>2352.92</v>
      </c>
      <c r="O611" s="3" t="s">
        <v>1215</v>
      </c>
      <c r="Q611"/>
      <c r="R611">
        <f t="shared" si="102"/>
        <v>767.69</v>
      </c>
    </row>
    <row r="612" spans="2:20" ht="16.8">
      <c r="B612" s="9" t="s">
        <v>1176</v>
      </c>
      <c r="D612" s="1">
        <v>45252</v>
      </c>
      <c r="F612" s="92">
        <v>9955844105</v>
      </c>
      <c r="G612" t="s">
        <v>789</v>
      </c>
      <c r="H612" s="1"/>
      <c r="J612" s="5">
        <v>0</v>
      </c>
      <c r="K612" s="5">
        <v>1089</v>
      </c>
      <c r="L612" s="5">
        <f>(J612+K612)*1.18</f>
        <v>1285.02</v>
      </c>
      <c r="O612" s="3" t="s">
        <v>788</v>
      </c>
      <c r="Q612"/>
      <c r="R612">
        <f t="shared" si="102"/>
        <v>555.39</v>
      </c>
    </row>
    <row r="613" spans="2:20">
      <c r="B613" s="9" t="s">
        <v>1173</v>
      </c>
      <c r="C613" s="9" t="s">
        <v>794</v>
      </c>
      <c r="D613" s="1">
        <v>45619</v>
      </c>
      <c r="E613" s="1">
        <v>45987</v>
      </c>
      <c r="F613" s="9">
        <v>9304735995</v>
      </c>
      <c r="G613" t="s">
        <v>1221</v>
      </c>
      <c r="H613" s="1">
        <v>29447</v>
      </c>
      <c r="I613" s="42" t="s">
        <v>1222</v>
      </c>
      <c r="J613" s="5">
        <v>0</v>
      </c>
      <c r="K613" s="5">
        <v>3316</v>
      </c>
      <c r="L613" s="5">
        <f>(J613+K613)*1.18</f>
        <v>3912.8799999999997</v>
      </c>
      <c r="O613" s="3" t="s">
        <v>794</v>
      </c>
      <c r="Q613"/>
      <c r="R613">
        <f t="shared" si="102"/>
        <v>1276.6600000000001</v>
      </c>
    </row>
    <row r="614" spans="2:20" ht="16.8">
      <c r="B614" s="9" t="s">
        <v>1176</v>
      </c>
      <c r="C614" s="9" t="s">
        <v>1226</v>
      </c>
      <c r="D614" s="1">
        <v>45625</v>
      </c>
      <c r="F614" s="92">
        <v>9934345948</v>
      </c>
      <c r="G614" t="s">
        <v>1223</v>
      </c>
      <c r="H614" s="1">
        <v>28389</v>
      </c>
      <c r="I614" s="42" t="s">
        <v>1224</v>
      </c>
      <c r="J614" s="5">
        <v>0</v>
      </c>
      <c r="K614" s="5">
        <v>718</v>
      </c>
      <c r="L614" s="5">
        <f>(J614+K614)*1.18</f>
        <v>847.24</v>
      </c>
      <c r="O614" s="3" t="s">
        <v>1225</v>
      </c>
      <c r="Q614"/>
      <c r="R614">
        <f t="shared" si="102"/>
        <v>366.18</v>
      </c>
      <c r="S614">
        <v>42</v>
      </c>
    </row>
    <row r="615" spans="2:20" ht="16.8">
      <c r="B615" s="9" t="s">
        <v>1177</v>
      </c>
      <c r="C615" s="9" t="s">
        <v>1230</v>
      </c>
      <c r="D615" s="1">
        <v>45625</v>
      </c>
      <c r="F615" s="92">
        <v>7259975299</v>
      </c>
      <c r="G615" t="s">
        <v>1227</v>
      </c>
      <c r="H615" s="1">
        <v>30683</v>
      </c>
      <c r="I615" s="42" t="s">
        <v>1228</v>
      </c>
      <c r="J615" s="5">
        <v>0</v>
      </c>
      <c r="K615" s="5">
        <v>718</v>
      </c>
      <c r="L615" s="5">
        <f>(J615+K615)*1.18</f>
        <v>847.24</v>
      </c>
      <c r="O615" s="3" t="s">
        <v>1229</v>
      </c>
      <c r="Q615"/>
      <c r="R615">
        <f t="shared" si="102"/>
        <v>287.2</v>
      </c>
      <c r="S615">
        <v>42</v>
      </c>
    </row>
    <row r="616" spans="2:20" ht="16.8">
      <c r="B616" s="9" t="s">
        <v>1176</v>
      </c>
      <c r="C616" s="9" t="s">
        <v>1232</v>
      </c>
      <c r="D616" s="1">
        <v>45626</v>
      </c>
      <c r="F616" s="92">
        <v>8797795705</v>
      </c>
      <c r="G616" t="s">
        <v>1231</v>
      </c>
      <c r="H616" s="1">
        <v>29382</v>
      </c>
      <c r="J616" s="5">
        <v>0</v>
      </c>
      <c r="K616" s="5">
        <v>1089</v>
      </c>
      <c r="L616" s="5">
        <f>(J616+K616)*1.18</f>
        <v>1285.02</v>
      </c>
      <c r="O616" s="3" t="s">
        <v>1233</v>
      </c>
      <c r="Q616"/>
      <c r="R616">
        <f t="shared" si="102"/>
        <v>555.39</v>
      </c>
      <c r="S616">
        <v>50</v>
      </c>
    </row>
    <row r="617" spans="2:20">
      <c r="B617" s="35">
        <f>COUNTA(B598:B616)</f>
        <v>19</v>
      </c>
      <c r="C617" s="34"/>
      <c r="D617" s="34"/>
      <c r="E617" s="35"/>
      <c r="F617" s="35"/>
      <c r="G617" s="34"/>
      <c r="H617" s="46"/>
      <c r="I617" s="34"/>
      <c r="J617" s="124">
        <f>SUM(J598:J616)</f>
        <v>0</v>
      </c>
      <c r="K617" s="124">
        <f>SUM(K598:K616)</f>
        <v>23270</v>
      </c>
      <c r="L617" s="124">
        <f>SUM(L598:L616)</f>
        <v>27458.600000000009</v>
      </c>
      <c r="M617" s="34"/>
      <c r="N617" s="34">
        <f>SUM(N582:N616)</f>
        <v>0</v>
      </c>
      <c r="O617" s="71">
        <f>SUM(O582:O616)</f>
        <v>0</v>
      </c>
      <c r="P617" s="34">
        <f>SUM(P582:P616)</f>
        <v>0</v>
      </c>
      <c r="Q617" s="34"/>
      <c r="R617" s="34">
        <f>SUM(R598:R616)</f>
        <v>10004.180000000002</v>
      </c>
    </row>
    <row r="618" spans="2:20" ht="16.8">
      <c r="D618" s="1"/>
      <c r="F618" s="48"/>
      <c r="H618" s="1"/>
      <c r="Q618"/>
    </row>
    <row r="619" spans="2:20" ht="19.2">
      <c r="B619" s="9" t="s">
        <v>1176</v>
      </c>
      <c r="C619" s="9" t="s">
        <v>1234</v>
      </c>
      <c r="D619" s="1">
        <v>45630</v>
      </c>
      <c r="F619" s="94">
        <v>8935808115</v>
      </c>
      <c r="G619" t="s">
        <v>1236</v>
      </c>
      <c r="H619" s="1">
        <v>30042</v>
      </c>
      <c r="I619" s="42" t="s">
        <v>1235</v>
      </c>
      <c r="J619" s="5">
        <v>0</v>
      </c>
      <c r="K619" s="5">
        <v>714</v>
      </c>
      <c r="L619" s="5">
        <f t="shared" ref="L619:L626" si="103">(J619+K619)*1.18</f>
        <v>842.52</v>
      </c>
      <c r="O619" s="3" t="s">
        <v>1237</v>
      </c>
      <c r="Q619"/>
      <c r="R619">
        <f t="shared" ref="R619:R628" si="104">IF(B619="4P",K619*0.385,IF(B619="4D",K619*0.3,IF(B619="HH",K619*0.41,IF(B619="RE",K619*0.35,IF(B619="SC",K619*0.51,K619*0.4)))))</f>
        <v>364.14</v>
      </c>
      <c r="S619">
        <v>40</v>
      </c>
      <c r="T619">
        <f>R619-S619</f>
        <v>324.14</v>
      </c>
    </row>
    <row r="620" spans="2:20" ht="16.8">
      <c r="B620" s="9" t="s">
        <v>1173</v>
      </c>
      <c r="D620" s="1">
        <v>45640</v>
      </c>
      <c r="F620" s="48">
        <v>8434671734</v>
      </c>
      <c r="G620" t="s">
        <v>84</v>
      </c>
      <c r="H620" s="1">
        <v>22947</v>
      </c>
      <c r="I620" s="42" t="s">
        <v>777</v>
      </c>
      <c r="J620" s="5">
        <v>0</v>
      </c>
      <c r="K620" s="5">
        <v>2094</v>
      </c>
      <c r="L620" s="5">
        <f t="shared" si="103"/>
        <v>2470.92</v>
      </c>
      <c r="Q620"/>
      <c r="R620">
        <f t="shared" si="104"/>
        <v>806.19</v>
      </c>
    </row>
    <row r="621" spans="2:20" ht="16.8">
      <c r="B621" s="9" t="s">
        <v>1174</v>
      </c>
      <c r="C621" s="9" t="s">
        <v>1241</v>
      </c>
      <c r="D621" s="1">
        <v>45641</v>
      </c>
      <c r="F621" s="92">
        <v>9060173104</v>
      </c>
      <c r="G621" t="s">
        <v>1238</v>
      </c>
      <c r="H621" s="1">
        <v>32366</v>
      </c>
      <c r="I621" s="42" t="s">
        <v>1239</v>
      </c>
      <c r="J621" s="5">
        <v>0</v>
      </c>
      <c r="K621" s="5">
        <v>668</v>
      </c>
      <c r="L621" s="5">
        <f t="shared" si="103"/>
        <v>788.24</v>
      </c>
      <c r="O621" s="3" t="s">
        <v>1240</v>
      </c>
      <c r="Q621"/>
      <c r="R621">
        <f t="shared" si="104"/>
        <v>273.88</v>
      </c>
    </row>
    <row r="622" spans="2:20" ht="16.8">
      <c r="B622" s="9" t="s">
        <v>1176</v>
      </c>
      <c r="C622" s="9" t="s">
        <v>1245</v>
      </c>
      <c r="D622" s="1">
        <v>45643</v>
      </c>
      <c r="F622" s="92">
        <v>9798216065</v>
      </c>
      <c r="G622" t="s">
        <v>1242</v>
      </c>
      <c r="H622" s="1">
        <v>26660</v>
      </c>
      <c r="I622" s="42" t="s">
        <v>1243</v>
      </c>
      <c r="J622" s="5">
        <v>0</v>
      </c>
      <c r="K622" s="5">
        <v>668</v>
      </c>
      <c r="L622" s="5">
        <f t="shared" si="103"/>
        <v>788.24</v>
      </c>
      <c r="O622" s="3" t="s">
        <v>1244</v>
      </c>
      <c r="Q622"/>
      <c r="R622">
        <f t="shared" si="104"/>
        <v>340.68</v>
      </c>
    </row>
    <row r="623" spans="2:20" ht="16.8">
      <c r="B623" s="9" t="s">
        <v>1176</v>
      </c>
      <c r="D623" s="1">
        <v>45643</v>
      </c>
      <c r="F623" s="92">
        <v>9693859539</v>
      </c>
      <c r="G623" s="64" t="s">
        <v>363</v>
      </c>
      <c r="H623" s="97">
        <v>20090</v>
      </c>
      <c r="I623" s="98" t="s">
        <v>1246</v>
      </c>
      <c r="J623" s="5">
        <v>0</v>
      </c>
      <c r="K623" s="5">
        <v>714</v>
      </c>
      <c r="L623" s="5">
        <f t="shared" si="103"/>
        <v>842.52</v>
      </c>
      <c r="Q623"/>
      <c r="R623">
        <f t="shared" si="104"/>
        <v>364.14</v>
      </c>
    </row>
    <row r="624" spans="2:20" ht="16.8">
      <c r="B624" s="9" t="s">
        <v>1176</v>
      </c>
      <c r="C624" s="9" t="s">
        <v>1247</v>
      </c>
      <c r="D624" s="81">
        <v>45283</v>
      </c>
      <c r="E624" s="82"/>
      <c r="F624" s="95">
        <v>9149810599</v>
      </c>
      <c r="G624" s="82" t="s">
        <v>825</v>
      </c>
      <c r="H624" s="81">
        <v>27025</v>
      </c>
      <c r="I624" s="83" t="s">
        <v>826</v>
      </c>
      <c r="J624" s="105">
        <v>0</v>
      </c>
      <c r="K624" s="105">
        <v>714</v>
      </c>
      <c r="L624" s="5">
        <f t="shared" si="103"/>
        <v>842.52</v>
      </c>
      <c r="O624" s="3" t="s">
        <v>827</v>
      </c>
      <c r="Q624"/>
      <c r="R624">
        <f t="shared" si="104"/>
        <v>364.14</v>
      </c>
    </row>
    <row r="625" spans="2:20" ht="16.8">
      <c r="B625" s="9" t="s">
        <v>1173</v>
      </c>
      <c r="C625" s="9" t="s">
        <v>1250</v>
      </c>
      <c r="D625" s="1">
        <v>45652</v>
      </c>
      <c r="F625" s="92">
        <v>9122837171</v>
      </c>
      <c r="G625" t="s">
        <v>1249</v>
      </c>
      <c r="H625" s="1">
        <v>25932</v>
      </c>
      <c r="I625" s="42" t="s">
        <v>1248</v>
      </c>
      <c r="J625" s="5">
        <v>0</v>
      </c>
      <c r="K625" s="5">
        <v>1994</v>
      </c>
      <c r="L625" s="5">
        <f t="shared" si="103"/>
        <v>2352.92</v>
      </c>
      <c r="O625" s="3" t="s">
        <v>372</v>
      </c>
      <c r="Q625"/>
      <c r="R625">
        <f t="shared" si="104"/>
        <v>767.69</v>
      </c>
    </row>
    <row r="626" spans="2:20" ht="16.8">
      <c r="B626" s="9" t="s">
        <v>1173</v>
      </c>
      <c r="D626" s="1">
        <v>45653</v>
      </c>
      <c r="F626" s="92"/>
      <c r="H626" s="1">
        <v>26523</v>
      </c>
      <c r="I626" s="42" t="s">
        <v>1251</v>
      </c>
      <c r="J626" s="5">
        <v>0</v>
      </c>
      <c r="K626" s="5">
        <v>1994</v>
      </c>
      <c r="L626" s="5">
        <f t="shared" si="103"/>
        <v>2352.92</v>
      </c>
      <c r="O626" s="3" t="s">
        <v>1252</v>
      </c>
      <c r="Q626"/>
      <c r="R626">
        <f t="shared" si="104"/>
        <v>767.69</v>
      </c>
    </row>
    <row r="627" spans="2:20" ht="16.8">
      <c r="B627" s="9" t="s">
        <v>1173</v>
      </c>
      <c r="D627" s="1">
        <v>45655</v>
      </c>
      <c r="F627" s="92"/>
      <c r="H627" s="1"/>
      <c r="Q627"/>
    </row>
    <row r="628" spans="2:20" ht="16.8">
      <c r="B628" s="9" t="s">
        <v>1176</v>
      </c>
      <c r="C628" s="9" t="s">
        <v>1253</v>
      </c>
      <c r="D628" s="1">
        <v>45656</v>
      </c>
      <c r="F628" s="92">
        <v>8797675277</v>
      </c>
      <c r="G628" t="s">
        <v>821</v>
      </c>
      <c r="H628" s="1">
        <v>25995</v>
      </c>
      <c r="I628" s="42" t="s">
        <v>822</v>
      </c>
      <c r="J628" s="5">
        <v>0</v>
      </c>
      <c r="K628" s="5">
        <v>668</v>
      </c>
      <c r="L628" s="5">
        <f>(J628+K628)*1.18</f>
        <v>788.24</v>
      </c>
      <c r="O628" s="3" t="s">
        <v>823</v>
      </c>
      <c r="Q628"/>
      <c r="R628">
        <f t="shared" si="104"/>
        <v>340.68</v>
      </c>
    </row>
    <row r="629" spans="2:20" ht="16.8">
      <c r="D629" s="1"/>
      <c r="F629" s="92"/>
      <c r="H629" s="1"/>
      <c r="Q629"/>
    </row>
    <row r="630" spans="2:20">
      <c r="B630" s="35">
        <f>COUNTA(B619:B629)</f>
        <v>10</v>
      </c>
      <c r="C630" s="34"/>
      <c r="D630" s="34"/>
      <c r="E630" s="35"/>
      <c r="F630" s="35"/>
      <c r="G630" s="34"/>
      <c r="H630" s="46"/>
      <c r="I630" s="34"/>
      <c r="J630" s="124">
        <f>SUM(J604:J629)</f>
        <v>0</v>
      </c>
      <c r="K630" s="124">
        <f>SUM(K619:K629)</f>
        <v>10228</v>
      </c>
      <c r="L630" s="124">
        <f>SUM(L619:L629)</f>
        <v>12069.04</v>
      </c>
      <c r="M630" s="34"/>
      <c r="N630" s="34">
        <f>SUM(N588:N629)</f>
        <v>0</v>
      </c>
      <c r="O630" s="71">
        <f>SUM(O588:O629)</f>
        <v>0</v>
      </c>
      <c r="P630" s="34">
        <f>SUM(P588:P629)</f>
        <v>0</v>
      </c>
      <c r="Q630" s="34"/>
      <c r="R630" s="34">
        <f>SUM(R619:R629)</f>
        <v>4389.2300000000005</v>
      </c>
      <c r="S630" s="34"/>
      <c r="T630" s="34">
        <f>SUM(T619:T629)</f>
        <v>324.14</v>
      </c>
    </row>
    <row r="631" spans="2:20" ht="16.8">
      <c r="D631" s="1"/>
      <c r="F631" s="48"/>
      <c r="H631" s="1"/>
      <c r="Q631"/>
    </row>
    <row r="632" spans="2:20" ht="16.8">
      <c r="B632" s="9" t="s">
        <v>1174</v>
      </c>
      <c r="C632" s="9" t="s">
        <v>1256</v>
      </c>
      <c r="D632" s="1">
        <v>45661</v>
      </c>
      <c r="F632" s="92">
        <v>8340125343</v>
      </c>
      <c r="G632" t="s">
        <v>1254</v>
      </c>
      <c r="H632" s="1">
        <v>25573</v>
      </c>
      <c r="I632" s="42" t="s">
        <v>1255</v>
      </c>
      <c r="J632" s="5">
        <v>0</v>
      </c>
      <c r="K632" s="5">
        <v>714</v>
      </c>
      <c r="L632" s="5">
        <f>(J632+K632)*1.18</f>
        <v>842.52</v>
      </c>
      <c r="Q632"/>
      <c r="R632">
        <f t="shared" ref="R632:R648" si="105">IF(B632="4P",K632*0.385,IF(B632="4D",K632*0.3,IF(B632="HH",K632*0.41,IF(B632="RE",K632*0.35,IF(B632="SC",K632*0.51,K632*0.4)))))</f>
        <v>292.74</v>
      </c>
    </row>
    <row r="633" spans="2:20" ht="16.8">
      <c r="B633" s="9" t="s">
        <v>1176</v>
      </c>
      <c r="C633" s="9" t="s">
        <v>1259</v>
      </c>
      <c r="D633" s="1">
        <v>45664</v>
      </c>
      <c r="F633" s="92">
        <v>8797946237</v>
      </c>
      <c r="G633" t="s">
        <v>1257</v>
      </c>
      <c r="H633" s="1">
        <v>26538</v>
      </c>
      <c r="I633" s="42" t="s">
        <v>1258</v>
      </c>
      <c r="J633" s="5">
        <v>0</v>
      </c>
      <c r="K633" s="5">
        <v>714</v>
      </c>
      <c r="L633" s="5">
        <f>(J633+K633)*1.18</f>
        <v>842.52</v>
      </c>
      <c r="Q633"/>
      <c r="R633">
        <f t="shared" si="105"/>
        <v>364.14</v>
      </c>
    </row>
    <row r="634" spans="2:20" ht="16.8">
      <c r="B634" s="9" t="s">
        <v>1176</v>
      </c>
      <c r="D634" s="1">
        <v>45664</v>
      </c>
      <c r="F634" s="92">
        <v>9852438170</v>
      </c>
      <c r="G634" t="s">
        <v>1260</v>
      </c>
      <c r="H634" s="1">
        <v>21641</v>
      </c>
      <c r="I634" s="42" t="s">
        <v>1261</v>
      </c>
      <c r="J634" s="5">
        <v>0</v>
      </c>
      <c r="K634" s="5">
        <v>714</v>
      </c>
      <c r="L634" s="5">
        <f t="shared" ref="L634:L639" si="106">(J634+K634)*1.18</f>
        <v>842.52</v>
      </c>
      <c r="Q634"/>
      <c r="R634">
        <f t="shared" si="105"/>
        <v>364.14</v>
      </c>
    </row>
    <row r="635" spans="2:20" ht="16.8">
      <c r="B635" s="9" t="s">
        <v>1174</v>
      </c>
      <c r="C635" s="9" t="s">
        <v>1264</v>
      </c>
      <c r="D635" s="1">
        <v>45665</v>
      </c>
      <c r="F635" s="92">
        <v>8092468457</v>
      </c>
      <c r="G635" t="s">
        <v>1263</v>
      </c>
      <c r="H635" s="1">
        <v>25692</v>
      </c>
      <c r="I635" s="42" t="s">
        <v>1262</v>
      </c>
      <c r="J635" s="5">
        <v>0</v>
      </c>
      <c r="K635" s="5">
        <v>714</v>
      </c>
      <c r="L635" s="5">
        <f t="shared" si="106"/>
        <v>842.52</v>
      </c>
      <c r="Q635"/>
      <c r="R635">
        <f t="shared" si="105"/>
        <v>292.74</v>
      </c>
    </row>
    <row r="636" spans="2:20" ht="16.8">
      <c r="B636" s="9" t="s">
        <v>1266</v>
      </c>
      <c r="C636" s="9" t="s">
        <v>1265</v>
      </c>
      <c r="D636" s="1">
        <v>45667</v>
      </c>
      <c r="E636" t="s">
        <v>1267</v>
      </c>
      <c r="F636" s="92">
        <v>9263499819</v>
      </c>
      <c r="G636" t="s">
        <v>1268</v>
      </c>
      <c r="H636" s="1">
        <v>25982</v>
      </c>
      <c r="I636" s="42" t="s">
        <v>1269</v>
      </c>
      <c r="J636" s="5">
        <v>0</v>
      </c>
      <c r="K636" s="5">
        <v>668</v>
      </c>
      <c r="L636" s="5">
        <f t="shared" si="106"/>
        <v>788.24</v>
      </c>
      <c r="Q636"/>
      <c r="R636">
        <f t="shared" si="105"/>
        <v>273.88</v>
      </c>
    </row>
    <row r="637" spans="2:20" ht="16.8">
      <c r="B637" s="9" t="s">
        <v>1176</v>
      </c>
      <c r="C637" s="9" t="s">
        <v>1270</v>
      </c>
      <c r="D637" s="1">
        <v>45305</v>
      </c>
      <c r="F637" s="92">
        <v>8603251790</v>
      </c>
      <c r="G637" t="s">
        <v>396</v>
      </c>
      <c r="H637" s="1">
        <v>22647</v>
      </c>
      <c r="I637" s="42" t="s">
        <v>1271</v>
      </c>
      <c r="J637" s="5">
        <v>0</v>
      </c>
      <c r="K637" s="5">
        <v>714</v>
      </c>
      <c r="L637" s="5">
        <f t="shared" si="106"/>
        <v>842.52</v>
      </c>
      <c r="Q637"/>
      <c r="R637">
        <f t="shared" si="105"/>
        <v>364.14</v>
      </c>
    </row>
    <row r="638" spans="2:20" ht="16.8">
      <c r="B638" s="9" t="s">
        <v>1173</v>
      </c>
      <c r="C638" s="9" t="s">
        <v>1272</v>
      </c>
      <c r="D638" s="1">
        <v>45675</v>
      </c>
      <c r="F638" s="92"/>
      <c r="G638" t="s">
        <v>1273</v>
      </c>
      <c r="H638" s="1"/>
      <c r="J638" s="5">
        <v>7169.74</v>
      </c>
      <c r="K638" s="5">
        <v>3316</v>
      </c>
      <c r="L638" s="5">
        <f t="shared" si="106"/>
        <v>12373.173199999999</v>
      </c>
      <c r="Q638"/>
      <c r="R638">
        <f>J638*0.24</f>
        <v>1720.7375999999999</v>
      </c>
    </row>
    <row r="639" spans="2:20" ht="16.8">
      <c r="B639" s="9" t="s">
        <v>1173</v>
      </c>
      <c r="C639" s="9" t="s">
        <v>1275</v>
      </c>
      <c r="D639" s="1">
        <v>45316</v>
      </c>
      <c r="E639" s="1">
        <v>45316</v>
      </c>
      <c r="F639" s="92"/>
      <c r="G639" t="s">
        <v>1276</v>
      </c>
      <c r="H639" s="1"/>
      <c r="J639" s="5">
        <v>0</v>
      </c>
      <c r="K639" s="5">
        <v>2094</v>
      </c>
      <c r="L639" s="5">
        <f t="shared" si="106"/>
        <v>2470.92</v>
      </c>
      <c r="O639" s="3" t="s">
        <v>418</v>
      </c>
      <c r="Q639"/>
      <c r="R639">
        <f t="shared" si="105"/>
        <v>806.19</v>
      </c>
    </row>
    <row r="640" spans="2:20" ht="16.8">
      <c r="B640" s="9" t="s">
        <v>1266</v>
      </c>
      <c r="D640" s="1">
        <v>45316</v>
      </c>
      <c r="E640" s="1">
        <v>46150</v>
      </c>
      <c r="F640" s="92"/>
      <c r="G640" t="s">
        <v>1277</v>
      </c>
      <c r="H640" s="1"/>
      <c r="J640" s="5">
        <v>0</v>
      </c>
      <c r="K640" s="5">
        <v>714</v>
      </c>
      <c r="L640" s="5">
        <f t="shared" ref="L640:L647" si="107">(J640+K640)*1.18</f>
        <v>842.52</v>
      </c>
      <c r="O640" s="3" t="s">
        <v>125</v>
      </c>
      <c r="Q640"/>
      <c r="R640">
        <f t="shared" si="105"/>
        <v>292.74</v>
      </c>
    </row>
    <row r="641" spans="2:20" ht="16.8">
      <c r="B641" s="9" t="s">
        <v>1266</v>
      </c>
      <c r="C641" s="9" t="s">
        <v>1274</v>
      </c>
      <c r="D641" s="1">
        <v>45683</v>
      </c>
      <c r="E641" s="1">
        <v>46052</v>
      </c>
      <c r="F641" s="48">
        <v>8340587671</v>
      </c>
      <c r="G641" t="s">
        <v>429</v>
      </c>
      <c r="H641" s="1">
        <v>20403</v>
      </c>
      <c r="I641" s="42" t="s">
        <v>863</v>
      </c>
      <c r="J641" s="5">
        <v>0</v>
      </c>
      <c r="K641" s="5">
        <v>714</v>
      </c>
      <c r="L641" s="5">
        <f t="shared" si="107"/>
        <v>842.52</v>
      </c>
      <c r="O641" s="3" t="s">
        <v>428</v>
      </c>
      <c r="Q641"/>
      <c r="R641">
        <f t="shared" si="105"/>
        <v>292.74</v>
      </c>
    </row>
    <row r="642" spans="2:20" ht="16.8">
      <c r="B642" s="9" t="s">
        <v>1266</v>
      </c>
      <c r="C642" s="9" t="s">
        <v>1281</v>
      </c>
      <c r="D642" s="1">
        <v>45684</v>
      </c>
      <c r="F642" s="92">
        <v>9110162253</v>
      </c>
      <c r="G642" t="s">
        <v>1278</v>
      </c>
      <c r="H642" s="1">
        <v>28856</v>
      </c>
      <c r="I642" s="42" t="s">
        <v>1279</v>
      </c>
      <c r="J642" s="5">
        <v>0</v>
      </c>
      <c r="K642" s="5">
        <v>714</v>
      </c>
      <c r="L642" s="5">
        <f t="shared" si="107"/>
        <v>842.52</v>
      </c>
      <c r="O642" s="3" t="s">
        <v>1280</v>
      </c>
      <c r="Q642"/>
      <c r="R642">
        <f t="shared" si="105"/>
        <v>292.74</v>
      </c>
    </row>
    <row r="643" spans="2:20" ht="16.8">
      <c r="B643" s="9" t="s">
        <v>1266</v>
      </c>
      <c r="D643" s="1">
        <v>45684</v>
      </c>
      <c r="F643" s="48">
        <v>9102064346</v>
      </c>
      <c r="G643" t="s">
        <v>860</v>
      </c>
      <c r="H643" s="1">
        <v>34794</v>
      </c>
      <c r="I643" s="42" t="s">
        <v>861</v>
      </c>
      <c r="J643" s="5">
        <v>0</v>
      </c>
      <c r="K643" s="5">
        <v>714</v>
      </c>
      <c r="L643" s="5">
        <f t="shared" si="107"/>
        <v>842.52</v>
      </c>
      <c r="Q643"/>
      <c r="R643">
        <f t="shared" si="105"/>
        <v>292.74</v>
      </c>
    </row>
    <row r="644" spans="2:20" ht="19.2">
      <c r="B644" s="9" t="s">
        <v>1266</v>
      </c>
      <c r="D644" s="1">
        <v>45684</v>
      </c>
      <c r="F644" s="94">
        <v>9334096823</v>
      </c>
      <c r="G644" t="s">
        <v>1282</v>
      </c>
      <c r="H644" s="1">
        <v>26034</v>
      </c>
      <c r="I644" s="42" t="s">
        <v>862</v>
      </c>
      <c r="J644" s="5">
        <v>0</v>
      </c>
      <c r="K644" s="5">
        <v>714</v>
      </c>
      <c r="L644" s="5">
        <f t="shared" si="107"/>
        <v>842.52</v>
      </c>
      <c r="Q644"/>
      <c r="R644">
        <f t="shared" si="105"/>
        <v>292.74</v>
      </c>
    </row>
    <row r="645" spans="2:20" ht="16.8">
      <c r="B645" s="9" t="s">
        <v>1266</v>
      </c>
      <c r="C645" s="9" t="s">
        <v>1285</v>
      </c>
      <c r="D645" s="1">
        <v>45686</v>
      </c>
      <c r="F645" s="92">
        <v>7209531628</v>
      </c>
      <c r="G645" t="s">
        <v>1283</v>
      </c>
      <c r="H645" s="1" t="s">
        <v>1284</v>
      </c>
      <c r="J645" s="5">
        <v>0</v>
      </c>
      <c r="K645" s="5">
        <v>714</v>
      </c>
      <c r="L645" s="5">
        <f t="shared" si="107"/>
        <v>842.52</v>
      </c>
      <c r="O645" s="3" t="s">
        <v>1286</v>
      </c>
      <c r="Q645"/>
      <c r="R645">
        <f t="shared" si="105"/>
        <v>292.74</v>
      </c>
    </row>
    <row r="646" spans="2:20" ht="16.8">
      <c r="D646" s="1"/>
      <c r="F646" s="92">
        <v>8294009932</v>
      </c>
      <c r="G646" t="s">
        <v>1287</v>
      </c>
      <c r="H646" s="1"/>
      <c r="J646" s="5">
        <v>0</v>
      </c>
      <c r="K646" s="5">
        <v>714</v>
      </c>
      <c r="L646" s="5">
        <f t="shared" si="107"/>
        <v>842.52</v>
      </c>
      <c r="Q646"/>
      <c r="R646">
        <f t="shared" si="105"/>
        <v>285.60000000000002</v>
      </c>
    </row>
    <row r="647" spans="2:20" ht="16.8">
      <c r="B647" s="9" t="s">
        <v>1176</v>
      </c>
      <c r="C647" s="9" t="s">
        <v>1288</v>
      </c>
      <c r="D647" s="1"/>
      <c r="F647" s="92"/>
      <c r="G647" t="s">
        <v>1292</v>
      </c>
      <c r="H647" s="1"/>
      <c r="J647" s="5">
        <v>0</v>
      </c>
      <c r="K647" s="5">
        <v>714</v>
      </c>
      <c r="L647" s="5">
        <f t="shared" si="107"/>
        <v>842.52</v>
      </c>
      <c r="Q647"/>
      <c r="R647">
        <f t="shared" si="105"/>
        <v>364.14</v>
      </c>
    </row>
    <row r="648" spans="2:20" ht="16.8">
      <c r="D648" s="1"/>
      <c r="F648" s="92"/>
      <c r="H648" s="1"/>
      <c r="Q648"/>
      <c r="R648">
        <f t="shared" si="105"/>
        <v>0</v>
      </c>
    </row>
    <row r="649" spans="2:20">
      <c r="B649" s="35">
        <f>COUNTA(B624:B648)</f>
        <v>21</v>
      </c>
      <c r="C649" s="34"/>
      <c r="D649" s="34"/>
      <c r="E649" s="35"/>
      <c r="F649" s="35"/>
      <c r="G649" s="34"/>
      <c r="H649" s="46"/>
      <c r="I649" s="34"/>
      <c r="J649" s="124">
        <f>SUM(J609:J648)</f>
        <v>7169.74</v>
      </c>
      <c r="K649" s="124">
        <f>SUM(K624:K648)</f>
        <v>30958</v>
      </c>
      <c r="L649" s="124">
        <f>SUM(L624:L648)</f>
        <v>44990.733199999973</v>
      </c>
      <c r="M649" s="34"/>
      <c r="N649" s="34">
        <f>SUM(N593:N648)</f>
        <v>0</v>
      </c>
      <c r="O649" s="71">
        <f>SUM(O593:O648)</f>
        <v>0</v>
      </c>
      <c r="P649" s="34">
        <f>SUM(P593:P648)</f>
        <v>0</v>
      </c>
      <c r="Q649" s="34"/>
      <c r="R649" s="34">
        <f>SUM(R632:R648)</f>
        <v>6884.8875999999991</v>
      </c>
      <c r="S649" s="34"/>
      <c r="T649" s="34">
        <f>SUM(T624:T648)</f>
        <v>324.14</v>
      </c>
    </row>
    <row r="650" spans="2:20" ht="16.8">
      <c r="D650" s="1"/>
      <c r="F650" s="48"/>
      <c r="H650" s="1"/>
      <c r="Q650"/>
    </row>
    <row r="651" spans="2:20" ht="19.2">
      <c r="B651" s="9" t="s">
        <v>1176</v>
      </c>
      <c r="C651" s="92" t="s">
        <v>1289</v>
      </c>
      <c r="D651" s="1">
        <v>45689</v>
      </c>
      <c r="F651" s="94">
        <v>9334019869</v>
      </c>
      <c r="G651" t="s">
        <v>1290</v>
      </c>
      <c r="H651" s="1"/>
      <c r="I651" s="42" t="s">
        <v>1291</v>
      </c>
      <c r="J651" s="5">
        <v>0</v>
      </c>
      <c r="K651" s="5">
        <v>714</v>
      </c>
      <c r="L651" s="5">
        <f t="shared" ref="L651:L656" si="108">(J651+K651)*1.18</f>
        <v>842.52</v>
      </c>
      <c r="Q651"/>
      <c r="R651">
        <f t="shared" ref="R651:R665" si="109">IF(B651="4P",K651*0.385,IF(B651="4D",K651*0.3,IF(B651="HH",K651*0.41,IF(B651="RE",K651*0.35,IF(B651="SC",K651*0.51,K651*0.4)))))</f>
        <v>364.14</v>
      </c>
      <c r="S651">
        <v>40</v>
      </c>
      <c r="T651">
        <f>R651-S651</f>
        <v>324.14</v>
      </c>
    </row>
    <row r="652" spans="2:20" ht="19.2">
      <c r="B652" s="9" t="s">
        <v>1266</v>
      </c>
      <c r="C652" s="92" t="s">
        <v>1305</v>
      </c>
      <c r="D652" s="1">
        <v>45689</v>
      </c>
      <c r="F652" s="94"/>
      <c r="G652" t="s">
        <v>1293</v>
      </c>
      <c r="H652" s="1">
        <v>34257</v>
      </c>
      <c r="J652" s="5">
        <v>0</v>
      </c>
      <c r="K652" s="5">
        <v>1316</v>
      </c>
      <c r="L652" s="5">
        <f t="shared" si="108"/>
        <v>1552.8799999999999</v>
      </c>
      <c r="Q652"/>
      <c r="R652">
        <f t="shared" si="109"/>
        <v>539.55999999999995</v>
      </c>
    </row>
    <row r="653" spans="2:20" ht="19.2">
      <c r="B653" s="9" t="s">
        <v>1173</v>
      </c>
      <c r="C653" s="92" t="s">
        <v>1300</v>
      </c>
      <c r="D653" s="1"/>
      <c r="F653" s="94"/>
      <c r="G653" t="s">
        <v>1299</v>
      </c>
      <c r="H653" s="1"/>
      <c r="J653" s="5">
        <v>2554.27</v>
      </c>
      <c r="K653" s="5">
        <v>3746</v>
      </c>
      <c r="L653" s="5">
        <f t="shared" si="108"/>
        <v>7434.3186000000005</v>
      </c>
      <c r="Q653"/>
      <c r="R653">
        <f>J653*0.24</f>
        <v>613.02480000000003</v>
      </c>
    </row>
    <row r="654" spans="2:20" ht="19.2">
      <c r="B654" s="9" t="s">
        <v>1176</v>
      </c>
      <c r="C654" s="92" t="s">
        <v>1302</v>
      </c>
      <c r="D654" s="1"/>
      <c r="F654" s="94"/>
      <c r="G654" t="s">
        <v>1301</v>
      </c>
      <c r="H654" s="1"/>
      <c r="J654" s="5">
        <v>0</v>
      </c>
      <c r="K654" s="5">
        <v>668</v>
      </c>
      <c r="L654" s="5">
        <f t="shared" si="108"/>
        <v>788.24</v>
      </c>
      <c r="Q654"/>
      <c r="R654">
        <f t="shared" si="109"/>
        <v>340.68</v>
      </c>
    </row>
    <row r="655" spans="2:20" ht="19.2">
      <c r="B655" s="9" t="s">
        <v>1173</v>
      </c>
      <c r="C655" s="92" t="s">
        <v>1296</v>
      </c>
      <c r="D655" s="1">
        <v>45698</v>
      </c>
      <c r="F655" s="94"/>
      <c r="G655" t="s">
        <v>1295</v>
      </c>
      <c r="H655" s="1">
        <v>25198</v>
      </c>
      <c r="I655" s="42" t="s">
        <v>1294</v>
      </c>
      <c r="J655" s="5">
        <v>1491.79</v>
      </c>
      <c r="K655" s="5">
        <v>3746</v>
      </c>
      <c r="L655" s="5">
        <f t="shared" si="108"/>
        <v>6180.5922</v>
      </c>
      <c r="Q655"/>
      <c r="R655">
        <f t="shared" si="109"/>
        <v>1442.21</v>
      </c>
    </row>
    <row r="656" spans="2:20" ht="19.2">
      <c r="B656" s="9" t="s">
        <v>1176</v>
      </c>
      <c r="C656" s="92" t="s">
        <v>1303</v>
      </c>
      <c r="D656" s="1"/>
      <c r="F656" s="94"/>
      <c r="G656" t="s">
        <v>883</v>
      </c>
      <c r="H656" s="1"/>
      <c r="J656" s="5">
        <v>0</v>
      </c>
      <c r="K656" s="5">
        <v>714</v>
      </c>
      <c r="L656" s="5">
        <f t="shared" si="108"/>
        <v>842.52</v>
      </c>
      <c r="Q656"/>
      <c r="R656">
        <f t="shared" si="109"/>
        <v>364.14</v>
      </c>
    </row>
    <row r="657" spans="2:20" ht="19.2">
      <c r="B657" s="9" t="s">
        <v>1173</v>
      </c>
      <c r="C657" s="92" t="s">
        <v>1304</v>
      </c>
      <c r="D657" s="1">
        <v>45701</v>
      </c>
      <c r="F657" s="94">
        <v>9006771287</v>
      </c>
      <c r="G657" t="s">
        <v>314</v>
      </c>
      <c r="H657" s="1">
        <v>29575</v>
      </c>
      <c r="I657" s="42" t="s">
        <v>874</v>
      </c>
      <c r="J657" s="5">
        <v>0</v>
      </c>
      <c r="K657" s="5">
        <v>1994</v>
      </c>
      <c r="L657" s="5">
        <f>(J657+K657)*1.18</f>
        <v>2352.92</v>
      </c>
      <c r="O657" s="3" t="s">
        <v>447</v>
      </c>
      <c r="Q657"/>
      <c r="R657">
        <f t="shared" si="109"/>
        <v>767.69</v>
      </c>
    </row>
    <row r="658" spans="2:20" ht="19.2">
      <c r="B658" s="9" t="s">
        <v>1176</v>
      </c>
      <c r="C658" s="92" t="s">
        <v>1297</v>
      </c>
      <c r="D658" s="1"/>
      <c r="F658" s="94">
        <v>7209498192</v>
      </c>
      <c r="H658" s="1">
        <v>26496</v>
      </c>
      <c r="I658" s="42" t="s">
        <v>1298</v>
      </c>
      <c r="J658" s="5">
        <v>0</v>
      </c>
      <c r="K658" s="5">
        <v>714</v>
      </c>
      <c r="L658" s="5">
        <f t="shared" ref="L658:L661" si="110">(J658+K658)*1.18</f>
        <v>842.52</v>
      </c>
      <c r="O658" s="3" t="s">
        <v>63</v>
      </c>
      <c r="Q658"/>
      <c r="R658">
        <f t="shared" si="109"/>
        <v>364.14</v>
      </c>
    </row>
    <row r="659" spans="2:20" ht="19.2">
      <c r="B659" s="9" t="s">
        <v>1266</v>
      </c>
      <c r="C659" s="92" t="s">
        <v>1306</v>
      </c>
      <c r="D659" s="1">
        <v>45709</v>
      </c>
      <c r="F659" s="94">
        <v>9204264991</v>
      </c>
      <c r="G659" t="s">
        <v>1307</v>
      </c>
      <c r="H659" s="1">
        <v>26603</v>
      </c>
      <c r="I659" s="42" t="s">
        <v>1308</v>
      </c>
      <c r="J659" s="5">
        <v>0</v>
      </c>
      <c r="K659" s="5">
        <v>668</v>
      </c>
      <c r="L659" s="5">
        <f t="shared" si="110"/>
        <v>788.24</v>
      </c>
      <c r="O659" s="3" t="s">
        <v>1309</v>
      </c>
      <c r="Q659"/>
      <c r="R659">
        <f t="shared" si="109"/>
        <v>273.88</v>
      </c>
    </row>
    <row r="660" spans="2:20" ht="19.2">
      <c r="B660" s="9" t="s">
        <v>1176</v>
      </c>
      <c r="C660" s="92" t="s">
        <v>1310</v>
      </c>
      <c r="D660" s="1">
        <v>45709</v>
      </c>
      <c r="F660" s="94"/>
      <c r="G660" t="s">
        <v>1311</v>
      </c>
      <c r="H660" s="1"/>
      <c r="J660" s="5">
        <v>0</v>
      </c>
      <c r="K660" s="5">
        <v>668</v>
      </c>
      <c r="L660" s="5">
        <f t="shared" si="110"/>
        <v>788.24</v>
      </c>
      <c r="O660" s="3" t="s">
        <v>791</v>
      </c>
      <c r="Q660"/>
      <c r="R660">
        <f t="shared" si="109"/>
        <v>340.68</v>
      </c>
    </row>
    <row r="661" spans="2:20" ht="19.2">
      <c r="B661" s="9" t="s">
        <v>1176</v>
      </c>
      <c r="C661" s="92" t="s">
        <v>1312</v>
      </c>
      <c r="D661" s="1">
        <v>45709</v>
      </c>
      <c r="F661" s="94">
        <v>7209624379</v>
      </c>
      <c r="G661" t="s">
        <v>1313</v>
      </c>
      <c r="H661" s="1">
        <v>32867</v>
      </c>
      <c r="I661" s="42" t="s">
        <v>1314</v>
      </c>
      <c r="J661" s="5">
        <v>0</v>
      </c>
      <c r="K661" s="5">
        <v>714</v>
      </c>
      <c r="L661" s="5">
        <f t="shared" si="110"/>
        <v>842.52</v>
      </c>
      <c r="O661" s="3" t="s">
        <v>1315</v>
      </c>
      <c r="Q661"/>
      <c r="R661">
        <f t="shared" si="109"/>
        <v>364.14</v>
      </c>
    </row>
    <row r="662" spans="2:20" ht="19.2">
      <c r="C662" s="92"/>
      <c r="D662" s="1"/>
      <c r="F662" s="94"/>
      <c r="H662" s="1"/>
      <c r="J662" s="5">
        <v>0</v>
      </c>
      <c r="K662" s="5">
        <v>714</v>
      </c>
      <c r="L662" s="5">
        <f t="shared" ref="L662:L663" si="111">(J662+K662)*1.18</f>
        <v>842.52</v>
      </c>
      <c r="Q662"/>
      <c r="R662">
        <f t="shared" si="109"/>
        <v>285.60000000000002</v>
      </c>
    </row>
    <row r="663" spans="2:20" ht="19.2">
      <c r="B663" s="9" t="s">
        <v>1176</v>
      </c>
      <c r="C663" s="92"/>
      <c r="D663" s="1">
        <v>45712</v>
      </c>
      <c r="F663" s="94">
        <v>8092602165</v>
      </c>
      <c r="G663" t="s">
        <v>1316</v>
      </c>
      <c r="H663" s="1">
        <v>24838</v>
      </c>
      <c r="I663" s="42" t="s">
        <v>1317</v>
      </c>
      <c r="J663" s="5">
        <v>0</v>
      </c>
      <c r="K663" s="5">
        <v>714</v>
      </c>
      <c r="L663" s="5">
        <f t="shared" si="111"/>
        <v>842.52</v>
      </c>
      <c r="O663" s="3" t="s">
        <v>1318</v>
      </c>
      <c r="Q663"/>
      <c r="R663">
        <f t="shared" si="109"/>
        <v>364.14</v>
      </c>
    </row>
    <row r="664" spans="2:20" ht="19.2">
      <c r="B664" s="9" t="s">
        <v>1199</v>
      </c>
      <c r="C664" s="92"/>
      <c r="D664" s="1">
        <v>45348</v>
      </c>
      <c r="F664" s="94">
        <v>8789291079</v>
      </c>
      <c r="G664" t="s">
        <v>522</v>
      </c>
      <c r="H664" s="1">
        <v>27721</v>
      </c>
      <c r="I664" s="42" t="s">
        <v>1319</v>
      </c>
      <c r="J664" s="5">
        <v>0</v>
      </c>
      <c r="K664" s="5">
        <v>714</v>
      </c>
      <c r="L664" s="5">
        <f t="shared" ref="L664" si="112">(J664+K664)*1.18</f>
        <v>842.52</v>
      </c>
      <c r="O664" s="3" t="s">
        <v>708</v>
      </c>
      <c r="Q664"/>
      <c r="R664">
        <f t="shared" si="109"/>
        <v>285.60000000000002</v>
      </c>
    </row>
    <row r="665" spans="2:20" ht="19.2">
      <c r="C665" s="92"/>
      <c r="D665" s="1"/>
      <c r="F665" s="94"/>
      <c r="H665" s="1"/>
      <c r="Q665"/>
      <c r="R665">
        <f t="shared" si="109"/>
        <v>0</v>
      </c>
    </row>
    <row r="666" spans="2:20">
      <c r="B666" s="35">
        <f>COUNTA(B651:B665)</f>
        <v>13</v>
      </c>
      <c r="C666" s="34"/>
      <c r="D666" s="34"/>
      <c r="E666" s="35"/>
      <c r="F666" s="35"/>
      <c r="G666" s="34"/>
      <c r="H666" s="46"/>
      <c r="I666" s="34"/>
      <c r="J666" s="124">
        <f>SUM(J651:J665)</f>
        <v>4046.06</v>
      </c>
      <c r="K666" s="124">
        <f>SUM(K651:K665)</f>
        <v>17804</v>
      </c>
      <c r="L666" s="124">
        <f>SUM(L651:L665)</f>
        <v>25783.070800000005</v>
      </c>
      <c r="M666" s="34"/>
      <c r="N666" s="34">
        <f>SUM(N597:N665)</f>
        <v>0</v>
      </c>
      <c r="O666" s="71">
        <f>SUM(O597:O665)</f>
        <v>0</v>
      </c>
      <c r="P666" s="34">
        <f>SUM(P597:P665)</f>
        <v>0</v>
      </c>
      <c r="Q666" s="34"/>
      <c r="R666" s="34">
        <f>SUM(R651:R665)</f>
        <v>6709.6248000000023</v>
      </c>
      <c r="S666" s="34">
        <f>SUM(S651:S665)</f>
        <v>40</v>
      </c>
      <c r="T666" s="34">
        <f>SUM(T651:T665)</f>
        <v>324.14</v>
      </c>
    </row>
    <row r="667" spans="2:20" ht="16.8">
      <c r="D667" s="1"/>
      <c r="F667" s="48"/>
      <c r="H667" s="1"/>
      <c r="Q667"/>
    </row>
    <row r="668" spans="2:20" ht="19.2">
      <c r="B668" s="9" t="s">
        <v>1266</v>
      </c>
      <c r="C668" s="9" t="s">
        <v>1323</v>
      </c>
      <c r="D668" s="1">
        <v>45352</v>
      </c>
      <c r="F668" s="94">
        <v>8092135990</v>
      </c>
      <c r="G668" t="s">
        <v>1320</v>
      </c>
      <c r="H668" s="1">
        <v>30480</v>
      </c>
      <c r="I668" s="42" t="s">
        <v>1321</v>
      </c>
      <c r="J668" s="5">
        <v>0</v>
      </c>
      <c r="K668" s="5">
        <v>714</v>
      </c>
      <c r="L668" s="5">
        <f t="shared" ref="L668:L678" si="113">(J668+K668)*1.18</f>
        <v>842.52</v>
      </c>
      <c r="O668" s="3" t="s">
        <v>1322</v>
      </c>
      <c r="Q668"/>
      <c r="R668">
        <f t="shared" ref="R668:R687" si="114">IF(B668="4P",K668*0.385,IF(B668="4D",K668*0.3,IF(B668="HH",K668*0.41,IF(B668="RE",K668*0.35,IF(B668="SC",K668*0.51,K668*0.4)))))</f>
        <v>292.74</v>
      </c>
    </row>
    <row r="669" spans="2:20" ht="16.8">
      <c r="B669" s="9" t="s">
        <v>1176</v>
      </c>
      <c r="C669" s="9" t="s">
        <v>1324</v>
      </c>
      <c r="D669" s="1"/>
      <c r="F669" s="48">
        <v>6202612577</v>
      </c>
      <c r="G669" t="s">
        <v>1325</v>
      </c>
      <c r="H669" s="1">
        <v>29278</v>
      </c>
      <c r="I669" s="42" t="s">
        <v>1326</v>
      </c>
      <c r="J669" s="5">
        <v>0</v>
      </c>
      <c r="K669" s="5">
        <v>668</v>
      </c>
      <c r="L669" s="5">
        <f t="shared" si="113"/>
        <v>788.24</v>
      </c>
      <c r="Q669"/>
      <c r="R669">
        <f t="shared" si="114"/>
        <v>340.68</v>
      </c>
    </row>
    <row r="670" spans="2:20" ht="19.2">
      <c r="B670" s="9" t="s">
        <v>1187</v>
      </c>
      <c r="C670" s="92" t="s">
        <v>1330</v>
      </c>
      <c r="D670" s="1">
        <v>45724</v>
      </c>
      <c r="F670" s="94">
        <v>8877158464</v>
      </c>
      <c r="G670" t="s">
        <v>1329</v>
      </c>
      <c r="H670" s="1">
        <v>33101</v>
      </c>
      <c r="I670" s="42" t="s">
        <v>1327</v>
      </c>
      <c r="J670" s="5">
        <v>0</v>
      </c>
      <c r="K670" s="5">
        <v>714</v>
      </c>
      <c r="L670" s="5">
        <f t="shared" si="113"/>
        <v>842.52</v>
      </c>
      <c r="O670" s="3" t="s">
        <v>1328</v>
      </c>
      <c r="Q670"/>
      <c r="R670">
        <f t="shared" si="114"/>
        <v>364.14</v>
      </c>
    </row>
    <row r="671" spans="2:20" ht="19.2">
      <c r="B671" s="9" t="s">
        <v>1176</v>
      </c>
      <c r="C671" s="92" t="s">
        <v>1333</v>
      </c>
      <c r="D671" s="1">
        <v>45724</v>
      </c>
      <c r="F671" s="94">
        <v>7033179949</v>
      </c>
      <c r="G671" t="s">
        <v>1331</v>
      </c>
      <c r="H671" s="1">
        <v>25934</v>
      </c>
      <c r="I671" s="42" t="s">
        <v>1332</v>
      </c>
      <c r="J671" s="5">
        <v>0</v>
      </c>
      <c r="K671" s="5">
        <v>668</v>
      </c>
      <c r="L671" s="5">
        <f t="shared" si="113"/>
        <v>788.24</v>
      </c>
      <c r="O671" s="3" t="s">
        <v>177</v>
      </c>
      <c r="Q671"/>
      <c r="R671">
        <f t="shared" si="114"/>
        <v>340.68</v>
      </c>
    </row>
    <row r="672" spans="2:20" ht="19.2">
      <c r="B672" s="9" t="s">
        <v>1051</v>
      </c>
      <c r="C672" s="92" t="s">
        <v>1335</v>
      </c>
      <c r="D672" s="1">
        <v>45727</v>
      </c>
      <c r="F672" s="94">
        <v>7209946815</v>
      </c>
      <c r="G672" t="s">
        <v>1334</v>
      </c>
      <c r="H672" s="1">
        <v>35013</v>
      </c>
      <c r="I672" s="42" t="s">
        <v>1336</v>
      </c>
      <c r="J672" s="5">
        <v>0</v>
      </c>
      <c r="K672" s="5">
        <v>714</v>
      </c>
      <c r="L672" s="5">
        <f t="shared" si="113"/>
        <v>842.52</v>
      </c>
      <c r="O672" s="3" t="s">
        <v>1337</v>
      </c>
      <c r="Q672"/>
      <c r="R672">
        <f t="shared" si="114"/>
        <v>285.60000000000002</v>
      </c>
    </row>
    <row r="673" spans="2:20" ht="19.2">
      <c r="C673" s="92"/>
      <c r="D673" s="1"/>
      <c r="F673" s="94"/>
      <c r="H673" s="1"/>
      <c r="L673" s="5">
        <f t="shared" si="113"/>
        <v>0</v>
      </c>
      <c r="Q673"/>
      <c r="R673">
        <f t="shared" si="114"/>
        <v>0</v>
      </c>
    </row>
    <row r="674" spans="2:20" ht="19.2">
      <c r="B674" s="9" t="s">
        <v>1176</v>
      </c>
      <c r="C674" s="92" t="s">
        <v>1340</v>
      </c>
      <c r="D674" s="1">
        <v>45731</v>
      </c>
      <c r="F674" s="94">
        <v>6200253324</v>
      </c>
      <c r="H674" s="1">
        <v>24843</v>
      </c>
      <c r="I674" s="42" t="s">
        <v>1338</v>
      </c>
      <c r="J674" s="5">
        <v>0</v>
      </c>
      <c r="K674" s="5">
        <v>668</v>
      </c>
      <c r="L674" s="5">
        <f t="shared" si="113"/>
        <v>788.24</v>
      </c>
      <c r="O674" s="3" t="s">
        <v>1339</v>
      </c>
      <c r="Q674"/>
      <c r="R674">
        <f t="shared" si="114"/>
        <v>340.68</v>
      </c>
    </row>
    <row r="675" spans="2:20" ht="19.2">
      <c r="C675" s="92"/>
      <c r="D675" s="1"/>
      <c r="F675" s="94"/>
      <c r="H675" s="1"/>
      <c r="L675" s="5">
        <f t="shared" si="113"/>
        <v>0</v>
      </c>
      <c r="Q675"/>
      <c r="R675">
        <f t="shared" si="114"/>
        <v>0</v>
      </c>
    </row>
    <row r="676" spans="2:20" ht="19.2">
      <c r="B676" s="9" t="s">
        <v>1176</v>
      </c>
      <c r="C676" s="92"/>
      <c r="D676" s="1">
        <v>45734</v>
      </c>
      <c r="F676" s="94">
        <v>9934179885</v>
      </c>
      <c r="H676" s="1"/>
      <c r="J676" s="5">
        <v>0</v>
      </c>
      <c r="K676" s="5">
        <v>714</v>
      </c>
      <c r="L676" s="5">
        <f t="shared" si="113"/>
        <v>842.52</v>
      </c>
      <c r="Q676"/>
      <c r="R676">
        <f t="shared" si="114"/>
        <v>364.14</v>
      </c>
    </row>
    <row r="677" spans="2:20" ht="19.2">
      <c r="C677" s="92"/>
      <c r="D677" s="1"/>
      <c r="F677" s="94"/>
      <c r="H677" s="1"/>
      <c r="L677" s="5">
        <f t="shared" si="113"/>
        <v>0</v>
      </c>
      <c r="Q677"/>
      <c r="R677">
        <f t="shared" si="114"/>
        <v>0</v>
      </c>
    </row>
    <row r="678" spans="2:20" ht="19.2">
      <c r="B678" s="9" t="s">
        <v>1342</v>
      </c>
      <c r="C678" s="92" t="s">
        <v>1343</v>
      </c>
      <c r="D678" s="1">
        <v>45738</v>
      </c>
      <c r="F678" s="94">
        <v>8603215464</v>
      </c>
      <c r="H678" s="1">
        <v>32994</v>
      </c>
      <c r="I678" s="42" t="s">
        <v>1341</v>
      </c>
      <c r="J678" s="5">
        <v>0</v>
      </c>
      <c r="K678" s="5">
        <v>668</v>
      </c>
      <c r="L678" s="5">
        <f t="shared" si="113"/>
        <v>788.24</v>
      </c>
      <c r="O678" s="3" t="s">
        <v>474</v>
      </c>
      <c r="Q678"/>
      <c r="R678">
        <f t="shared" si="114"/>
        <v>267.2</v>
      </c>
    </row>
    <row r="679" spans="2:20" ht="19.2">
      <c r="C679" s="92"/>
      <c r="D679" s="1">
        <v>45738</v>
      </c>
      <c r="F679" s="94">
        <v>7209118038</v>
      </c>
      <c r="H679" s="1">
        <v>21679</v>
      </c>
      <c r="I679" s="42" t="s">
        <v>1344</v>
      </c>
      <c r="J679" s="5">
        <v>0</v>
      </c>
      <c r="K679" s="5">
        <v>668</v>
      </c>
      <c r="L679" s="5">
        <f t="shared" ref="L679:L697" si="115">(J679+K679)*1.18</f>
        <v>788.24</v>
      </c>
      <c r="O679" s="3" t="s">
        <v>463</v>
      </c>
      <c r="Q679"/>
      <c r="R679">
        <f t="shared" si="114"/>
        <v>267.2</v>
      </c>
    </row>
    <row r="680" spans="2:20" ht="19.2">
      <c r="B680" s="9" t="s">
        <v>1345</v>
      </c>
      <c r="C680" s="92" t="s">
        <v>1347</v>
      </c>
      <c r="D680" s="1">
        <v>45740</v>
      </c>
      <c r="F680" s="94">
        <v>9006838321</v>
      </c>
      <c r="H680" s="1">
        <v>28748</v>
      </c>
      <c r="I680" s="42" t="s">
        <v>799</v>
      </c>
      <c r="J680" s="5">
        <v>0</v>
      </c>
      <c r="K680" s="5">
        <v>714</v>
      </c>
      <c r="L680" s="5">
        <f t="shared" si="115"/>
        <v>842.52</v>
      </c>
      <c r="O680" s="3" t="s">
        <v>1346</v>
      </c>
      <c r="Q680"/>
      <c r="R680">
        <f t="shared" si="114"/>
        <v>285.60000000000002</v>
      </c>
    </row>
    <row r="681" spans="2:20" ht="19.2">
      <c r="C681" s="92"/>
      <c r="D681" s="1">
        <v>45742</v>
      </c>
      <c r="F681" s="94"/>
      <c r="H681" s="1"/>
      <c r="L681" s="5">
        <f t="shared" si="115"/>
        <v>0</v>
      </c>
      <c r="Q681"/>
      <c r="R681">
        <f t="shared" si="114"/>
        <v>0</v>
      </c>
    </row>
    <row r="682" spans="2:20" ht="19.2">
      <c r="B682" s="9" t="s">
        <v>1348</v>
      </c>
      <c r="C682" s="92"/>
      <c r="D682" s="1">
        <v>45378</v>
      </c>
      <c r="F682" s="94"/>
      <c r="G682" t="s">
        <v>1349</v>
      </c>
      <c r="H682" s="1"/>
      <c r="J682" s="5">
        <v>0</v>
      </c>
      <c r="K682" s="5">
        <v>714</v>
      </c>
      <c r="L682" s="5">
        <f t="shared" si="115"/>
        <v>842.52</v>
      </c>
      <c r="Q682"/>
      <c r="R682">
        <f t="shared" si="114"/>
        <v>285.60000000000002</v>
      </c>
    </row>
    <row r="683" spans="2:20" s="101" customFormat="1">
      <c r="B683" s="101" t="s">
        <v>1266</v>
      </c>
      <c r="C683" s="101" t="s">
        <v>1350</v>
      </c>
      <c r="D683" s="102">
        <v>45378</v>
      </c>
      <c r="F683" s="113">
        <v>9204704919</v>
      </c>
      <c r="H683" s="102">
        <v>23981</v>
      </c>
      <c r="I683" s="101">
        <v>9946</v>
      </c>
      <c r="J683" s="127">
        <v>0</v>
      </c>
      <c r="K683" s="127">
        <v>714</v>
      </c>
      <c r="L683" s="5">
        <f t="shared" si="115"/>
        <v>842.52</v>
      </c>
      <c r="M683"/>
      <c r="O683" s="129"/>
      <c r="R683">
        <f t="shared" si="114"/>
        <v>292.74</v>
      </c>
    </row>
    <row r="684" spans="2:20" s="101" customFormat="1">
      <c r="F684" s="113"/>
      <c r="J684" s="127"/>
      <c r="K684" s="127"/>
      <c r="L684" s="5"/>
      <c r="M684"/>
      <c r="O684" s="129"/>
    </row>
    <row r="685" spans="2:20" ht="19.2">
      <c r="C685" s="92"/>
      <c r="D685" s="1"/>
      <c r="F685" s="94"/>
      <c r="H685" s="1"/>
      <c r="Q685"/>
    </row>
    <row r="686" spans="2:20" ht="19.2">
      <c r="C686" s="92"/>
      <c r="D686" s="1"/>
      <c r="F686" s="94"/>
      <c r="H686" s="1"/>
      <c r="Q686"/>
    </row>
    <row r="687" spans="2:20" ht="19.2">
      <c r="C687" s="92"/>
      <c r="D687" s="1"/>
      <c r="F687" s="94"/>
      <c r="H687" s="1"/>
      <c r="Q687"/>
      <c r="R687">
        <f t="shared" si="114"/>
        <v>0</v>
      </c>
    </row>
    <row r="688" spans="2:20">
      <c r="B688" s="35">
        <f>COUNTA(B658:B687)</f>
        <v>18</v>
      </c>
      <c r="C688" s="34"/>
      <c r="D688" s="34"/>
      <c r="E688" s="35"/>
      <c r="F688" s="35"/>
      <c r="G688" s="34"/>
      <c r="H688" s="46"/>
      <c r="I688" s="34"/>
      <c r="J688" s="124">
        <f>SUM(J668:J687)</f>
        <v>0</v>
      </c>
      <c r="K688" s="124">
        <f>SUM(K668:K687)</f>
        <v>8338</v>
      </c>
      <c r="L688" s="124">
        <f>SUM(L668:L687)</f>
        <v>9838.84</v>
      </c>
      <c r="M688" s="34"/>
      <c r="N688" s="34">
        <f>SUM(N604:N687)</f>
        <v>0</v>
      </c>
      <c r="O688" s="71">
        <f>SUM(O604:O687)</f>
        <v>0</v>
      </c>
      <c r="P688" s="34">
        <f>SUM(P604:P687)</f>
        <v>0</v>
      </c>
      <c r="Q688" s="34"/>
      <c r="R688" s="34">
        <f>SUM(R668:R687)</f>
        <v>3727</v>
      </c>
      <c r="S688" s="34">
        <f>SUM(S658:S687)</f>
        <v>40</v>
      </c>
      <c r="T688" s="34">
        <f>SUM(T658:T687)</f>
        <v>324.14</v>
      </c>
    </row>
    <row r="689" spans="1:20" ht="16.8">
      <c r="D689" s="1"/>
      <c r="F689" s="48"/>
      <c r="H689" s="1"/>
      <c r="Q689"/>
    </row>
    <row r="690" spans="1:20" ht="19.2">
      <c r="B690" s="9" t="s">
        <v>1351</v>
      </c>
      <c r="C690" s="1" t="s">
        <v>1352</v>
      </c>
      <c r="D690" s="1">
        <v>45752</v>
      </c>
      <c r="F690" s="94">
        <v>7739044155</v>
      </c>
      <c r="G690" t="s">
        <v>1360</v>
      </c>
      <c r="H690" s="1"/>
      <c r="J690" s="5">
        <v>0</v>
      </c>
      <c r="K690" s="5">
        <v>714</v>
      </c>
      <c r="L690" s="5">
        <f t="shared" si="115"/>
        <v>842.52</v>
      </c>
      <c r="O690" s="3" t="s">
        <v>1361</v>
      </c>
      <c r="Q690"/>
      <c r="R690">
        <f t="shared" ref="R690:R699" si="116">IF(B690="4P",K690*0.385,IF(B690="4D",K690*0.3,IF(B690="HH",K690*0.41,IF(B690="RE",K690*0.35,IF(B690="SC",K690*0.51,K690*0.4)))))</f>
        <v>285.60000000000002</v>
      </c>
    </row>
    <row r="691" spans="1:20" ht="16.8">
      <c r="B691" s="9" t="s">
        <v>1342</v>
      </c>
      <c r="D691" s="1">
        <v>45752</v>
      </c>
      <c r="F691" s="48">
        <v>8084871616</v>
      </c>
      <c r="G691" t="s">
        <v>1353</v>
      </c>
      <c r="H691" s="1"/>
      <c r="J691" s="5">
        <v>0</v>
      </c>
      <c r="K691" s="5">
        <v>714</v>
      </c>
      <c r="L691" s="5">
        <f t="shared" si="115"/>
        <v>842.52</v>
      </c>
      <c r="O691" s="3" t="s">
        <v>1362</v>
      </c>
      <c r="Q691"/>
      <c r="R691">
        <f t="shared" si="116"/>
        <v>285.60000000000002</v>
      </c>
    </row>
    <row r="692" spans="1:20" ht="16.8">
      <c r="B692" s="9" t="s">
        <v>1342</v>
      </c>
      <c r="C692" s="1" t="s">
        <v>1363</v>
      </c>
      <c r="D692" s="1"/>
      <c r="F692" s="48"/>
      <c r="G692" t="s">
        <v>514</v>
      </c>
      <c r="H692" s="1"/>
      <c r="J692" s="5">
        <v>0</v>
      </c>
      <c r="K692" s="5">
        <v>714</v>
      </c>
      <c r="L692" s="5">
        <f t="shared" ref="L692" si="117">(J692+K692)*1.18</f>
        <v>842.52</v>
      </c>
      <c r="O692" s="3" t="s">
        <v>513</v>
      </c>
      <c r="Q692"/>
      <c r="R692">
        <f t="shared" si="116"/>
        <v>285.60000000000002</v>
      </c>
    </row>
    <row r="693" spans="1:20" ht="16.8">
      <c r="A693" t="s">
        <v>1357</v>
      </c>
      <c r="B693" s="9" t="s">
        <v>1358</v>
      </c>
      <c r="C693" s="9" t="s">
        <v>1359</v>
      </c>
      <c r="D693" s="1">
        <v>45775</v>
      </c>
      <c r="F693" s="48">
        <v>8434671734</v>
      </c>
      <c r="G693" t="s">
        <v>1368</v>
      </c>
      <c r="H693" s="1">
        <v>22947</v>
      </c>
      <c r="I693" s="42" t="s">
        <v>777</v>
      </c>
      <c r="J693" s="5">
        <v>0</v>
      </c>
      <c r="K693" s="5">
        <v>664</v>
      </c>
      <c r="L693" s="5">
        <f>(J693+K693)*1.18</f>
        <v>783.52</v>
      </c>
      <c r="O693" s="3" t="s">
        <v>83</v>
      </c>
      <c r="Q693"/>
      <c r="R693">
        <f t="shared" si="116"/>
        <v>265.60000000000002</v>
      </c>
    </row>
    <row r="694" spans="1:20" ht="16.8">
      <c r="B694" s="9" t="s">
        <v>1342</v>
      </c>
      <c r="C694" s="9" t="s">
        <v>1364</v>
      </c>
      <c r="D694" s="1"/>
      <c r="F694" s="48"/>
      <c r="G694" t="s">
        <v>1365</v>
      </c>
      <c r="H694" s="1"/>
      <c r="J694" s="5">
        <v>0</v>
      </c>
      <c r="K694" s="5">
        <v>1089</v>
      </c>
      <c r="L694" s="5">
        <f>(J694+K694)*1.18</f>
        <v>1285.02</v>
      </c>
      <c r="Q694"/>
      <c r="R694">
        <f t="shared" si="116"/>
        <v>435.6</v>
      </c>
    </row>
    <row r="695" spans="1:20" ht="16.8">
      <c r="C695" s="9" t="s">
        <v>1367</v>
      </c>
      <c r="D695" s="1"/>
      <c r="F695" s="48"/>
      <c r="G695" t="s">
        <v>1366</v>
      </c>
      <c r="H695" s="1"/>
      <c r="J695" s="5">
        <v>0</v>
      </c>
      <c r="K695" s="5">
        <v>664</v>
      </c>
      <c r="L695" s="5">
        <f>(J695+K695)*1.18</f>
        <v>783.52</v>
      </c>
      <c r="Q695"/>
      <c r="R695">
        <f t="shared" si="116"/>
        <v>265.60000000000002</v>
      </c>
    </row>
    <row r="696" spans="1:20" ht="16.8">
      <c r="A696" t="s">
        <v>1357</v>
      </c>
      <c r="B696" s="9" t="s">
        <v>1173</v>
      </c>
      <c r="C696" s="9" t="s">
        <v>1356</v>
      </c>
      <c r="D696" s="1">
        <v>45766</v>
      </c>
      <c r="F696" s="48">
        <v>8797774631</v>
      </c>
      <c r="G696" t="s">
        <v>1354</v>
      </c>
      <c r="H696" s="1"/>
      <c r="J696" s="5">
        <v>0</v>
      </c>
      <c r="K696" s="5">
        <v>3316</v>
      </c>
      <c r="L696" s="5">
        <f t="shared" si="115"/>
        <v>3912.8799999999997</v>
      </c>
      <c r="O696" s="3" t="s">
        <v>1355</v>
      </c>
      <c r="Q696"/>
      <c r="R696">
        <f t="shared" si="116"/>
        <v>1276.6600000000001</v>
      </c>
    </row>
    <row r="697" spans="1:20">
      <c r="B697" s="9" t="s">
        <v>1369</v>
      </c>
      <c r="C697" s="9" t="s">
        <v>1359</v>
      </c>
      <c r="G697" t="s">
        <v>84</v>
      </c>
      <c r="J697" s="5">
        <v>0</v>
      </c>
      <c r="K697" s="5">
        <v>714</v>
      </c>
      <c r="L697" s="5">
        <f t="shared" si="115"/>
        <v>842.52</v>
      </c>
      <c r="O697" s="3" t="s">
        <v>83</v>
      </c>
      <c r="Q697"/>
      <c r="R697">
        <f t="shared" si="116"/>
        <v>285.60000000000002</v>
      </c>
    </row>
    <row r="698" spans="1:20" ht="16.8">
      <c r="B698" s="9" t="s">
        <v>1187</v>
      </c>
      <c r="D698" s="1"/>
      <c r="F698" s="48"/>
      <c r="G698" t="s">
        <v>1370</v>
      </c>
      <c r="H698" s="1"/>
      <c r="J698" s="5">
        <v>0</v>
      </c>
      <c r="K698" s="5">
        <v>714</v>
      </c>
      <c r="L698" s="5">
        <f t="shared" ref="L698" si="118">(J698+K698)*1.18</f>
        <v>842.52</v>
      </c>
      <c r="O698" s="3" t="s">
        <v>1371</v>
      </c>
      <c r="Q698"/>
      <c r="R698">
        <f t="shared" si="116"/>
        <v>364.14</v>
      </c>
    </row>
    <row r="699" spans="1:20" ht="16.8">
      <c r="B699" s="9" t="s">
        <v>1187</v>
      </c>
      <c r="D699" s="1"/>
      <c r="F699" s="48"/>
      <c r="G699" t="s">
        <v>1372</v>
      </c>
      <c r="H699" s="1"/>
      <c r="J699" s="5">
        <v>0</v>
      </c>
      <c r="K699" s="5">
        <v>714</v>
      </c>
      <c r="L699" s="5">
        <f t="shared" ref="L699" si="119">(J699+K699)*1.18</f>
        <v>842.52</v>
      </c>
      <c r="O699" s="3" t="s">
        <v>1373</v>
      </c>
      <c r="Q699"/>
      <c r="R699">
        <f t="shared" si="116"/>
        <v>364.14</v>
      </c>
    </row>
    <row r="700" spans="1:20">
      <c r="B700" s="35">
        <f>COUNTA(B690:B699)</f>
        <v>9</v>
      </c>
      <c r="C700" s="34"/>
      <c r="D700" s="34"/>
      <c r="E700" s="35"/>
      <c r="F700" s="35"/>
      <c r="G700" s="34"/>
      <c r="H700" s="46"/>
      <c r="I700" s="34"/>
      <c r="J700" s="124">
        <f t="shared" ref="J700:R700" si="120">SUM(J690:J699)</f>
        <v>0</v>
      </c>
      <c r="K700" s="124">
        <f t="shared" si="120"/>
        <v>10017</v>
      </c>
      <c r="L700" s="124">
        <f t="shared" si="120"/>
        <v>11820.060000000001</v>
      </c>
      <c r="M700" s="34"/>
      <c r="N700" s="34">
        <f t="shared" si="120"/>
        <v>0</v>
      </c>
      <c r="O700" s="71">
        <f t="shared" si="120"/>
        <v>0</v>
      </c>
      <c r="P700" s="34">
        <f t="shared" si="120"/>
        <v>0</v>
      </c>
      <c r="Q700" s="34">
        <f t="shared" si="120"/>
        <v>0</v>
      </c>
      <c r="R700" s="34">
        <f t="shared" si="120"/>
        <v>4114.1400000000003</v>
      </c>
      <c r="S700" s="34">
        <f>SUM(S667:S699)</f>
        <v>40</v>
      </c>
      <c r="T700" s="34">
        <f>SUM(T667:T699)</f>
        <v>324.14</v>
      </c>
    </row>
    <row r="701" spans="1:20" ht="16.8">
      <c r="D701" s="1"/>
      <c r="F701" s="48"/>
      <c r="H701" s="1"/>
      <c r="Q701"/>
    </row>
    <row r="702" spans="1:20">
      <c r="B702" s="9" t="s">
        <v>1174</v>
      </c>
      <c r="C702" s="9" t="s">
        <v>1374</v>
      </c>
      <c r="D702" s="1">
        <v>45778</v>
      </c>
      <c r="G702" t="s">
        <v>1375</v>
      </c>
      <c r="J702" s="5">
        <v>0</v>
      </c>
      <c r="K702" s="5">
        <v>664</v>
      </c>
      <c r="L702" s="5">
        <f t="shared" ref="L702:L708" si="121">(J702+K702)*1.18</f>
        <v>783.52</v>
      </c>
      <c r="O702" s="3" t="s">
        <v>1376</v>
      </c>
      <c r="Q702"/>
      <c r="R702">
        <f t="shared" ref="R702:R712" si="122">IF(B702="4P",K702*0.385,IF(B702="4D",K702*0.3,IF(B702="HH",K702*0.41,IF(B702="RE",K702*0.35,IF(B702="SC",K702*0.51,K702*0.4)))))</f>
        <v>272.24</v>
      </c>
    </row>
    <row r="703" spans="1:20" ht="16.8">
      <c r="B703" s="9" t="s">
        <v>1174</v>
      </c>
      <c r="C703" s="9" t="s">
        <v>1377</v>
      </c>
      <c r="D703" s="1">
        <v>45778</v>
      </c>
      <c r="F703" s="48"/>
      <c r="G703" t="s">
        <v>1378</v>
      </c>
      <c r="H703" s="1"/>
      <c r="J703" s="5">
        <v>0</v>
      </c>
      <c r="K703" s="5">
        <v>664</v>
      </c>
      <c r="L703" s="5">
        <f t="shared" si="121"/>
        <v>783.52</v>
      </c>
      <c r="O703" s="3" t="s">
        <v>100</v>
      </c>
      <c r="Q703"/>
      <c r="R703">
        <f t="shared" si="122"/>
        <v>272.24</v>
      </c>
    </row>
    <row r="704" spans="1:20" ht="16.8">
      <c r="B704" s="9" t="s">
        <v>1173</v>
      </c>
      <c r="D704" s="1"/>
      <c r="F704" s="48"/>
      <c r="G704" t="s">
        <v>579</v>
      </c>
      <c r="H704" s="1"/>
      <c r="J704" s="5">
        <v>0</v>
      </c>
      <c r="K704" s="5">
        <v>6511</v>
      </c>
      <c r="L704" s="5">
        <f t="shared" si="121"/>
        <v>7682.98</v>
      </c>
      <c r="O704" s="3" t="s">
        <v>1379</v>
      </c>
      <c r="Q704"/>
      <c r="R704">
        <f t="shared" si="122"/>
        <v>2506.7350000000001</v>
      </c>
    </row>
    <row r="705" spans="2:20" ht="16.8">
      <c r="B705" s="9" t="s">
        <v>1380</v>
      </c>
      <c r="C705" s="9" t="s">
        <v>1384</v>
      </c>
      <c r="D705" s="1">
        <v>45784</v>
      </c>
      <c r="F705" s="48"/>
      <c r="G705" t="s">
        <v>1381</v>
      </c>
      <c r="H705" s="1">
        <v>30848</v>
      </c>
      <c r="I705" s="42" t="s">
        <v>1382</v>
      </c>
      <c r="J705" s="5">
        <v>0</v>
      </c>
      <c r="K705" s="5">
        <v>664</v>
      </c>
      <c r="L705" s="5">
        <f t="shared" si="121"/>
        <v>783.52</v>
      </c>
      <c r="O705" s="3" t="s">
        <v>1383</v>
      </c>
      <c r="Q705"/>
      <c r="R705">
        <f t="shared" si="122"/>
        <v>265.60000000000002</v>
      </c>
    </row>
    <row r="706" spans="2:20" ht="16.8">
      <c r="B706" s="9" t="s">
        <v>1385</v>
      </c>
      <c r="C706" s="9" t="s">
        <v>1387</v>
      </c>
      <c r="D706" s="1">
        <v>45784</v>
      </c>
      <c r="F706" s="48">
        <v>6206098052</v>
      </c>
      <c r="G706" t="s">
        <v>1022</v>
      </c>
      <c r="H706" s="1"/>
      <c r="K706" s="5">
        <v>0</v>
      </c>
      <c r="L706" s="5">
        <f t="shared" si="121"/>
        <v>0</v>
      </c>
      <c r="O706" s="3" t="s">
        <v>1386</v>
      </c>
      <c r="Q706"/>
      <c r="R706">
        <f t="shared" si="122"/>
        <v>0</v>
      </c>
    </row>
    <row r="707" spans="2:20" ht="16.8">
      <c r="B707" s="9" t="s">
        <v>1358</v>
      </c>
      <c r="C707" s="9" t="s">
        <v>1390</v>
      </c>
      <c r="D707" s="1">
        <v>45788</v>
      </c>
      <c r="F707" s="48" t="s">
        <v>1391</v>
      </c>
      <c r="G707" t="s">
        <v>1388</v>
      </c>
      <c r="H707" s="1">
        <v>32539</v>
      </c>
      <c r="I707" s="42" t="s">
        <v>1389</v>
      </c>
      <c r="J707" s="5">
        <v>0</v>
      </c>
      <c r="K707" s="5">
        <v>1316</v>
      </c>
      <c r="L707" s="5">
        <f t="shared" si="121"/>
        <v>1552.8799999999999</v>
      </c>
      <c r="O707" s="3" t="s">
        <v>431</v>
      </c>
      <c r="Q707"/>
      <c r="R707">
        <f t="shared" si="122"/>
        <v>526.4</v>
      </c>
    </row>
    <row r="708" spans="2:20" ht="19.2">
      <c r="B708" s="9" t="s">
        <v>1176</v>
      </c>
      <c r="D708" s="1"/>
      <c r="F708" s="94">
        <v>9334260013</v>
      </c>
      <c r="G708" t="s">
        <v>1393</v>
      </c>
      <c r="H708" s="1"/>
      <c r="I708" s="42" t="s">
        <v>1392</v>
      </c>
      <c r="J708" s="5">
        <v>0</v>
      </c>
      <c r="K708" s="5">
        <v>664</v>
      </c>
      <c r="L708" s="5">
        <f t="shared" si="121"/>
        <v>783.52</v>
      </c>
      <c r="Q708"/>
      <c r="R708">
        <f t="shared" si="122"/>
        <v>338.64</v>
      </c>
    </row>
    <row r="709" spans="2:20" ht="19.2">
      <c r="B709" s="9" t="s">
        <v>1187</v>
      </c>
      <c r="D709" s="1">
        <v>45794</v>
      </c>
      <c r="F709" s="94">
        <v>9973508412</v>
      </c>
      <c r="G709" t="s">
        <v>1394</v>
      </c>
      <c r="H709" s="1"/>
      <c r="J709" s="5">
        <v>0</v>
      </c>
      <c r="K709" s="5">
        <v>664</v>
      </c>
      <c r="L709" s="5">
        <f t="shared" ref="L709:L712" si="123">(J709+K709)*1.18</f>
        <v>783.52</v>
      </c>
      <c r="O709" s="3" t="s">
        <v>558</v>
      </c>
      <c r="Q709"/>
      <c r="R709">
        <f t="shared" si="122"/>
        <v>338.64</v>
      </c>
    </row>
    <row r="710" spans="2:20" ht="19.2">
      <c r="D710" s="1">
        <v>45800</v>
      </c>
      <c r="F710" s="94">
        <v>8235280718</v>
      </c>
      <c r="G710" t="s">
        <v>1395</v>
      </c>
      <c r="H710" s="1">
        <v>27042</v>
      </c>
      <c r="I710" s="42" t="s">
        <v>1396</v>
      </c>
      <c r="J710" s="5">
        <v>0</v>
      </c>
      <c r="K710" s="5">
        <v>714</v>
      </c>
      <c r="L710" s="5">
        <f t="shared" si="123"/>
        <v>842.52</v>
      </c>
      <c r="O710" s="3" t="s">
        <v>1397</v>
      </c>
      <c r="Q710"/>
      <c r="R710">
        <f t="shared" si="122"/>
        <v>285.60000000000002</v>
      </c>
    </row>
    <row r="711" spans="2:20" ht="19.2">
      <c r="B711" s="9" t="s">
        <v>1380</v>
      </c>
      <c r="C711" s="9" t="s">
        <v>1398</v>
      </c>
      <c r="D711" s="1">
        <v>45801</v>
      </c>
      <c r="F711" s="94">
        <v>9031350282</v>
      </c>
      <c r="G711" t="s">
        <v>1399</v>
      </c>
      <c r="H711" s="1">
        <v>23812</v>
      </c>
      <c r="I711" s="42" t="s">
        <v>1400</v>
      </c>
      <c r="J711" s="5">
        <v>0</v>
      </c>
      <c r="K711" s="5">
        <v>664</v>
      </c>
      <c r="L711" s="5">
        <f t="shared" si="123"/>
        <v>783.52</v>
      </c>
      <c r="O711" s="3" t="s">
        <v>1401</v>
      </c>
      <c r="Q711"/>
      <c r="R711">
        <f t="shared" si="122"/>
        <v>265.60000000000002</v>
      </c>
    </row>
    <row r="712" spans="2:20" ht="19.2">
      <c r="B712" s="9" t="s">
        <v>1380</v>
      </c>
      <c r="C712" s="9" t="s">
        <v>1402</v>
      </c>
      <c r="D712" s="1">
        <v>45800</v>
      </c>
      <c r="F712" s="94">
        <v>9162477979</v>
      </c>
      <c r="G712" t="s">
        <v>1403</v>
      </c>
      <c r="H712" s="1"/>
      <c r="J712" s="5">
        <v>0</v>
      </c>
      <c r="K712" s="5">
        <v>664</v>
      </c>
      <c r="L712" s="5">
        <f t="shared" si="123"/>
        <v>783.52</v>
      </c>
      <c r="Q712"/>
      <c r="R712">
        <f t="shared" si="122"/>
        <v>265.60000000000002</v>
      </c>
    </row>
    <row r="713" spans="2:20" ht="19.2">
      <c r="D713" s="1"/>
      <c r="F713" s="94"/>
      <c r="H713" s="1"/>
      <c r="Q713"/>
    </row>
    <row r="714" spans="2:20" ht="16.8">
      <c r="D714" s="1"/>
      <c r="F714" s="48"/>
      <c r="H714" s="1"/>
      <c r="Q714"/>
    </row>
    <row r="715" spans="2:20">
      <c r="B715" s="35">
        <f>COUNTA(B702:B714)</f>
        <v>10</v>
      </c>
      <c r="C715" s="34"/>
      <c r="D715" s="34"/>
      <c r="E715" s="35"/>
      <c r="F715" s="35"/>
      <c r="G715" s="34"/>
      <c r="H715" s="46"/>
      <c r="I715" s="34"/>
      <c r="J715" s="124">
        <f>SUM(J702:J714)</f>
        <v>0</v>
      </c>
      <c r="K715" s="124">
        <f t="shared" ref="K715:L715" si="124">SUM(K702:K714)</f>
        <v>13189</v>
      </c>
      <c r="L715" s="124">
        <f t="shared" si="124"/>
        <v>15563.020000000002</v>
      </c>
      <c r="M715" s="34"/>
      <c r="N715" s="34">
        <f t="shared" ref="N715:Q715" si="125">SUM(N695:N714)</f>
        <v>0</v>
      </c>
      <c r="O715" s="71">
        <f t="shared" si="125"/>
        <v>0</v>
      </c>
      <c r="P715" s="34">
        <f t="shared" si="125"/>
        <v>0</v>
      </c>
      <c r="Q715" s="34">
        <f t="shared" si="125"/>
        <v>0</v>
      </c>
      <c r="R715" s="34">
        <f>SUM(R702:R714)</f>
        <v>5337.2950000000019</v>
      </c>
      <c r="S715" s="34">
        <f>SUM(S672:S714)</f>
        <v>80</v>
      </c>
      <c r="T715" s="34">
        <f>SUM(T672:T714)</f>
        <v>648.28</v>
      </c>
    </row>
    <row r="716" spans="2:20" ht="16.8">
      <c r="B716" s="9" t="s">
        <v>1176</v>
      </c>
      <c r="C716" s="9" t="s">
        <v>1408</v>
      </c>
      <c r="D716" s="1"/>
      <c r="F716" s="48"/>
      <c r="G716" t="s">
        <v>1404</v>
      </c>
      <c r="H716" s="1"/>
      <c r="J716" s="5">
        <v>0</v>
      </c>
      <c r="K716" s="5">
        <v>714</v>
      </c>
      <c r="L716" s="5">
        <f t="shared" ref="L716:L718" si="126">(J716+K716)*1.18</f>
        <v>842.52</v>
      </c>
      <c r="O716" s="3" t="s">
        <v>1424</v>
      </c>
      <c r="Q716"/>
      <c r="R716">
        <f t="shared" ref="R716:R718" si="127">IF(B716="4P",K716*0.385,IF(B716="4D",K716*0.3,IF(B716="HH",K716*0.41,IF(B716="RE",K716*0.35,IF(B716="SC",K716*0.51,K716*0.4)))))</f>
        <v>364.14</v>
      </c>
    </row>
    <row r="717" spans="2:20" ht="16.8">
      <c r="B717" s="9" t="s">
        <v>1173</v>
      </c>
      <c r="C717" s="9" t="s">
        <v>1425</v>
      </c>
      <c r="D717" s="1"/>
      <c r="F717" s="48"/>
      <c r="G717" t="s">
        <v>1033</v>
      </c>
      <c r="H717" s="1"/>
      <c r="J717" s="5">
        <v>0</v>
      </c>
      <c r="K717" s="5">
        <v>1994</v>
      </c>
      <c r="L717" s="5">
        <f t="shared" si="126"/>
        <v>2352.92</v>
      </c>
      <c r="O717" s="3" t="s">
        <v>1426</v>
      </c>
      <c r="Q717"/>
      <c r="R717">
        <f t="shared" si="127"/>
        <v>767.69</v>
      </c>
    </row>
    <row r="718" spans="2:20" ht="16.8">
      <c r="B718" s="9" t="s">
        <v>1176</v>
      </c>
      <c r="C718" s="9" t="s">
        <v>1427</v>
      </c>
      <c r="D718" s="1"/>
      <c r="F718" s="48"/>
      <c r="G718" t="s">
        <v>576</v>
      </c>
      <c r="H718" s="1"/>
      <c r="J718" s="5">
        <v>0</v>
      </c>
      <c r="K718" s="5">
        <v>664</v>
      </c>
      <c r="L718" s="5">
        <f t="shared" si="126"/>
        <v>783.52</v>
      </c>
      <c r="O718" s="3" t="s">
        <v>983</v>
      </c>
      <c r="Q718"/>
      <c r="R718">
        <f t="shared" si="127"/>
        <v>338.64</v>
      </c>
    </row>
    <row r="719" spans="2:20" ht="19.2">
      <c r="B719" s="9" t="s">
        <v>1176</v>
      </c>
      <c r="C719" s="9" t="s">
        <v>1412</v>
      </c>
      <c r="D719" s="1">
        <v>45812</v>
      </c>
      <c r="F719" s="94">
        <v>9155840652</v>
      </c>
      <c r="G719" t="s">
        <v>1411</v>
      </c>
      <c r="H719" s="1">
        <v>35296</v>
      </c>
      <c r="I719" s="42" t="s">
        <v>1410</v>
      </c>
      <c r="J719" s="5">
        <v>0</v>
      </c>
      <c r="K719" s="5">
        <v>714</v>
      </c>
      <c r="L719" s="5">
        <f t="shared" ref="L719:L725" si="128">(J719+K719)*1.18</f>
        <v>842.52</v>
      </c>
      <c r="N719">
        <v>-30</v>
      </c>
      <c r="O719" s="3" t="s">
        <v>1409</v>
      </c>
      <c r="Q719"/>
      <c r="R719">
        <f t="shared" ref="R719:R732" si="129">IF(B719="4P",K719*0.385,IF(B719="4D",K719*0.3,IF(B719="HH",K719*0.41,IF(B719="RE",K719*0.35,IF(B719="SC",K719*0.51,K719*0.4)))))</f>
        <v>364.14</v>
      </c>
    </row>
    <row r="720" spans="2:20" ht="19.2">
      <c r="B720" s="9" t="s">
        <v>1173</v>
      </c>
      <c r="C720" s="9" t="s">
        <v>1429</v>
      </c>
      <c r="D720" s="1" t="s">
        <v>1431</v>
      </c>
      <c r="F720" s="94"/>
      <c r="G720" t="s">
        <v>1428</v>
      </c>
      <c r="H720" s="1"/>
      <c r="J720" s="5">
        <v>0</v>
      </c>
      <c r="K720" s="5">
        <v>6778</v>
      </c>
      <c r="L720" s="5">
        <f t="shared" si="128"/>
        <v>7998.04</v>
      </c>
      <c r="O720" s="3" t="s">
        <v>1430</v>
      </c>
      <c r="Q720"/>
      <c r="R720">
        <f t="shared" si="129"/>
        <v>2609.5300000000002</v>
      </c>
    </row>
    <row r="721" spans="2:20" ht="19.2">
      <c r="B721" s="9" t="s">
        <v>1176</v>
      </c>
      <c r="C721" s="9" t="s">
        <v>1416</v>
      </c>
      <c r="D721" s="1">
        <v>45814</v>
      </c>
      <c r="F721" s="94">
        <v>9430397912</v>
      </c>
      <c r="G721" t="s">
        <v>1413</v>
      </c>
      <c r="H721" s="1">
        <v>24181</v>
      </c>
      <c r="I721" s="42" t="s">
        <v>1414</v>
      </c>
      <c r="J721" s="5">
        <v>0</v>
      </c>
      <c r="K721" s="5">
        <v>664</v>
      </c>
      <c r="L721" s="5">
        <f t="shared" si="128"/>
        <v>783.52</v>
      </c>
      <c r="O721" s="3" t="s">
        <v>1415</v>
      </c>
      <c r="Q721"/>
      <c r="R721">
        <f t="shared" si="129"/>
        <v>338.64</v>
      </c>
    </row>
    <row r="722" spans="2:20" ht="19.2">
      <c r="B722" s="9" t="s">
        <v>1176</v>
      </c>
      <c r="C722" s="9" t="s">
        <v>1433</v>
      </c>
      <c r="D722" s="1">
        <v>45814</v>
      </c>
      <c r="F722" s="94"/>
      <c r="G722" t="s">
        <v>1432</v>
      </c>
      <c r="H722" s="1"/>
      <c r="J722" s="5">
        <v>0</v>
      </c>
      <c r="K722" s="5">
        <v>714</v>
      </c>
      <c r="L722" s="5">
        <f t="shared" si="128"/>
        <v>842.52</v>
      </c>
      <c r="O722" s="3" t="s">
        <v>1434</v>
      </c>
      <c r="Q722"/>
      <c r="R722">
        <f t="shared" si="129"/>
        <v>364.14</v>
      </c>
    </row>
    <row r="723" spans="2:20" ht="19.2">
      <c r="B723" s="9" t="s">
        <v>1385</v>
      </c>
      <c r="C723" s="9" t="s">
        <v>1435</v>
      </c>
      <c r="D723" s="1">
        <v>45814</v>
      </c>
      <c r="F723" s="94"/>
      <c r="G723" t="s">
        <v>1413</v>
      </c>
      <c r="H723" s="1"/>
      <c r="L723" s="5">
        <v>7210</v>
      </c>
      <c r="O723" s="3" t="s">
        <v>1436</v>
      </c>
      <c r="Q723"/>
    </row>
    <row r="724" spans="2:20" ht="16.8">
      <c r="D724" s="1">
        <v>45816</v>
      </c>
      <c r="F724" s="48">
        <v>9835545001</v>
      </c>
      <c r="G724" t="s">
        <v>1418</v>
      </c>
      <c r="H724" s="1">
        <v>29796</v>
      </c>
      <c r="I724" s="42" t="s">
        <v>1420</v>
      </c>
      <c r="J724" s="5">
        <v>0</v>
      </c>
      <c r="K724" s="5">
        <v>1312</v>
      </c>
      <c r="L724" s="5">
        <f t="shared" si="128"/>
        <v>1548.1599999999999</v>
      </c>
      <c r="N724">
        <v>-50</v>
      </c>
      <c r="O724" s="3" t="s">
        <v>1419</v>
      </c>
      <c r="Q724"/>
      <c r="R724">
        <f t="shared" si="129"/>
        <v>524.80000000000007</v>
      </c>
    </row>
    <row r="725" spans="2:20" ht="16.8">
      <c r="C725" s="9" t="s">
        <v>1438</v>
      </c>
      <c r="D725" s="1"/>
      <c r="F725" s="48"/>
      <c r="G725" t="s">
        <v>1437</v>
      </c>
      <c r="H725" s="1"/>
      <c r="J725" s="5">
        <v>0</v>
      </c>
      <c r="K725" s="5">
        <v>664</v>
      </c>
      <c r="L725" s="5">
        <f t="shared" si="128"/>
        <v>783.52</v>
      </c>
      <c r="O725" s="3" t="s">
        <v>1439</v>
      </c>
      <c r="Q725"/>
      <c r="R725">
        <f t="shared" si="129"/>
        <v>265.60000000000002</v>
      </c>
    </row>
    <row r="726" spans="2:20" ht="19.2">
      <c r="B726" s="9" t="s">
        <v>1176</v>
      </c>
      <c r="C726" s="9" t="s">
        <v>1421</v>
      </c>
      <c r="D726" s="1">
        <v>45457</v>
      </c>
      <c r="F726" s="94">
        <v>8789291079</v>
      </c>
      <c r="G726" t="s">
        <v>986</v>
      </c>
      <c r="H726" s="1">
        <v>32336</v>
      </c>
      <c r="I726" s="42" t="s">
        <v>987</v>
      </c>
      <c r="J726" s="5">
        <v>0</v>
      </c>
      <c r="K726" s="5">
        <v>664</v>
      </c>
      <c r="L726" s="5">
        <f t="shared" ref="L726:L732" si="130">(J726+K726)*1.18</f>
        <v>783.52</v>
      </c>
      <c r="O726" s="3" t="s">
        <v>449</v>
      </c>
      <c r="Q726"/>
      <c r="R726">
        <f t="shared" si="129"/>
        <v>338.64</v>
      </c>
    </row>
    <row r="727" spans="2:20" ht="19.2">
      <c r="B727" s="9" t="s">
        <v>1266</v>
      </c>
      <c r="C727" s="9" t="s">
        <v>1440</v>
      </c>
      <c r="D727" s="1">
        <v>45457</v>
      </c>
      <c r="F727" s="94"/>
      <c r="G727" t="s">
        <v>1441</v>
      </c>
      <c r="H727" s="1"/>
      <c r="J727" s="5">
        <v>0</v>
      </c>
      <c r="K727" s="5">
        <v>664</v>
      </c>
      <c r="L727" s="5">
        <f t="shared" si="130"/>
        <v>783.52</v>
      </c>
      <c r="O727" s="3" t="s">
        <v>1006</v>
      </c>
      <c r="Q727"/>
      <c r="R727">
        <f t="shared" si="129"/>
        <v>272.24</v>
      </c>
    </row>
    <row r="728" spans="2:20" ht="19.2">
      <c r="B728" s="9" t="s">
        <v>1174</v>
      </c>
      <c r="D728" s="1"/>
      <c r="F728" s="94"/>
      <c r="G728" t="s">
        <v>37</v>
      </c>
      <c r="H728" s="1"/>
      <c r="J728" s="5">
        <v>0</v>
      </c>
      <c r="K728" s="5">
        <v>664</v>
      </c>
      <c r="L728" s="5">
        <f t="shared" ref="L728" si="131">(J728+K728)*1.18</f>
        <v>783.52</v>
      </c>
      <c r="O728" s="3" t="s">
        <v>39</v>
      </c>
      <c r="Q728"/>
      <c r="R728">
        <f t="shared" si="129"/>
        <v>272.24</v>
      </c>
    </row>
    <row r="729" spans="2:20" ht="19.2">
      <c r="B729" s="9" t="s">
        <v>1176</v>
      </c>
      <c r="D729" s="1"/>
      <c r="F729" s="94"/>
      <c r="G729" t="s">
        <v>1442</v>
      </c>
      <c r="H729" s="1"/>
      <c r="J729" s="5">
        <v>0</v>
      </c>
      <c r="K729" s="5">
        <v>664</v>
      </c>
      <c r="L729" s="5">
        <f t="shared" ref="L729" si="132">(J729+K729)*1.18</f>
        <v>783.52</v>
      </c>
      <c r="Q729"/>
      <c r="R729">
        <f t="shared" si="129"/>
        <v>338.64</v>
      </c>
    </row>
    <row r="730" spans="2:20" ht="19.2">
      <c r="B730" s="9" t="s">
        <v>1176</v>
      </c>
      <c r="D730" s="1"/>
      <c r="F730" s="94"/>
      <c r="G730" t="s">
        <v>1443</v>
      </c>
      <c r="H730" s="1"/>
      <c r="J730" s="5">
        <v>0</v>
      </c>
      <c r="K730" s="5">
        <v>664</v>
      </c>
      <c r="L730" s="5">
        <f t="shared" ref="L730" si="133">(J730+K730)*1.18</f>
        <v>783.52</v>
      </c>
      <c r="Q730"/>
      <c r="R730">
        <f t="shared" si="129"/>
        <v>338.64</v>
      </c>
    </row>
    <row r="731" spans="2:20" ht="16.8">
      <c r="B731" s="9" t="s">
        <v>1176</v>
      </c>
      <c r="C731" s="9" t="s">
        <v>1423</v>
      </c>
      <c r="D731" s="1">
        <v>45834</v>
      </c>
      <c r="F731" s="48">
        <v>8987603904</v>
      </c>
      <c r="G731" t="s">
        <v>1422</v>
      </c>
      <c r="H731" s="1"/>
      <c r="J731" s="5">
        <v>731</v>
      </c>
      <c r="K731" s="5">
        <v>0</v>
      </c>
      <c r="L731" s="5">
        <f t="shared" si="130"/>
        <v>862.57999999999993</v>
      </c>
      <c r="Q731"/>
      <c r="R731">
        <f t="shared" si="129"/>
        <v>0</v>
      </c>
    </row>
    <row r="732" spans="2:20" ht="16.8">
      <c r="B732" s="9" t="s">
        <v>1176</v>
      </c>
      <c r="D732" s="1">
        <v>45834</v>
      </c>
      <c r="F732" s="48" t="s">
        <v>1444</v>
      </c>
      <c r="H732" s="1"/>
      <c r="J732" s="5">
        <v>0</v>
      </c>
      <c r="K732" s="5">
        <v>664</v>
      </c>
      <c r="L732" s="5">
        <f t="shared" si="130"/>
        <v>783.52</v>
      </c>
      <c r="O732" s="3" t="s">
        <v>1445</v>
      </c>
      <c r="Q732"/>
      <c r="R732">
        <f t="shared" si="129"/>
        <v>338.64</v>
      </c>
    </row>
    <row r="733" spans="2:20" ht="16.8">
      <c r="D733" s="1"/>
      <c r="F733" s="48"/>
      <c r="H733" s="1"/>
    </row>
    <row r="734" spans="2:20" ht="16.8">
      <c r="D734" s="1"/>
      <c r="F734" s="48"/>
      <c r="H734" s="1"/>
    </row>
    <row r="735" spans="2:20" ht="16.8">
      <c r="D735" s="1"/>
      <c r="F735" s="48"/>
      <c r="H735" s="1"/>
      <c r="Q735"/>
    </row>
    <row r="736" spans="2:20">
      <c r="B736" s="35">
        <f>COUNTA(B723:B735)</f>
        <v>8</v>
      </c>
      <c r="C736" s="34"/>
      <c r="D736" s="34"/>
      <c r="E736" s="35"/>
      <c r="F736" s="35"/>
      <c r="G736" s="34"/>
      <c r="H736" s="46"/>
      <c r="I736" s="34"/>
      <c r="J736" s="124">
        <f>SUM(J723:J735)</f>
        <v>731</v>
      </c>
      <c r="K736" s="124">
        <f t="shared" ref="K736:L736" si="134">SUM(K723:K735)</f>
        <v>5960</v>
      </c>
      <c r="L736" s="124">
        <f t="shared" si="134"/>
        <v>15105.380000000003</v>
      </c>
      <c r="M736" s="34"/>
      <c r="N736" s="34">
        <f t="shared" ref="N736:Q736" si="135">SUM(N716:N735)</f>
        <v>-80</v>
      </c>
      <c r="O736" s="71">
        <f t="shared" si="135"/>
        <v>0</v>
      </c>
      <c r="P736" s="34">
        <f t="shared" si="135"/>
        <v>0</v>
      </c>
      <c r="Q736" s="34">
        <f t="shared" si="135"/>
        <v>0</v>
      </c>
      <c r="R736" s="34">
        <f>SUM(R723:R735)</f>
        <v>2689.4399999999996</v>
      </c>
      <c r="S736" s="34">
        <f>SUM(S696:S735)</f>
        <v>120</v>
      </c>
      <c r="T736" s="34">
        <f>SUM(T696:T735)</f>
        <v>972.42</v>
      </c>
    </row>
    <row r="737" spans="2:20" ht="16.8">
      <c r="D737" s="1"/>
      <c r="F737" s="48"/>
      <c r="H737" s="1"/>
      <c r="Q737"/>
    </row>
    <row r="738" spans="2:20" ht="16.8">
      <c r="D738" s="1"/>
      <c r="F738" s="48"/>
      <c r="H738" s="1"/>
      <c r="Q738"/>
    </row>
    <row r="739" spans="2:20" ht="16.8">
      <c r="B739" s="9" t="s">
        <v>1176</v>
      </c>
      <c r="C739" s="9" t="s">
        <v>1454</v>
      </c>
      <c r="D739" s="1"/>
      <c r="F739" s="48">
        <v>8651301087</v>
      </c>
      <c r="G739" t="s">
        <v>1453</v>
      </c>
      <c r="J739" s="5">
        <v>0</v>
      </c>
      <c r="K739" s="5">
        <v>664</v>
      </c>
      <c r="L739" s="5">
        <f t="shared" ref="L739:L742" si="136">(J739+K739)*1.18</f>
        <v>783.52</v>
      </c>
      <c r="O739" s="3" t="s">
        <v>146</v>
      </c>
      <c r="Q739"/>
      <c r="R739">
        <f t="shared" ref="R739:R743" si="137">IF(B739="4P",K739*0.385,IF(B739="4D",K739*0.3,IF(B739="HH",K739*0.41,IF(B739="RE",K739*0.35,IF(B739="SC",K739*0.51,K739*0.4)))))</f>
        <v>338.64</v>
      </c>
    </row>
    <row r="740" spans="2:20" ht="16.8">
      <c r="B740" s="9" t="s">
        <v>1176</v>
      </c>
      <c r="C740" s="104" t="s">
        <v>1458</v>
      </c>
      <c r="D740" s="1"/>
      <c r="F740" s="48"/>
      <c r="G740" t="s">
        <v>1457</v>
      </c>
      <c r="H740" s="1">
        <v>14402</v>
      </c>
      <c r="I740" s="42" t="s">
        <v>1456</v>
      </c>
      <c r="J740" s="5">
        <v>0</v>
      </c>
      <c r="K740" s="5">
        <v>714</v>
      </c>
      <c r="L740" s="5">
        <f t="shared" si="136"/>
        <v>842.52</v>
      </c>
      <c r="O740" s="3" t="s">
        <v>1455</v>
      </c>
      <c r="Q740"/>
      <c r="R740">
        <f t="shared" si="137"/>
        <v>364.14</v>
      </c>
    </row>
    <row r="741" spans="2:20" ht="16.8">
      <c r="B741" s="9" t="s">
        <v>1351</v>
      </c>
      <c r="C741" s="9" t="s">
        <v>1459</v>
      </c>
      <c r="D741" s="1"/>
      <c r="F741" s="48"/>
      <c r="G741" t="s">
        <v>1025</v>
      </c>
      <c r="H741" s="1"/>
      <c r="J741" s="5">
        <v>0</v>
      </c>
      <c r="K741" s="5">
        <v>664</v>
      </c>
      <c r="L741" s="5">
        <f t="shared" si="136"/>
        <v>783.52</v>
      </c>
      <c r="N741" t="s">
        <v>1462</v>
      </c>
      <c r="O741" s="3" t="s">
        <v>484</v>
      </c>
      <c r="Q741"/>
      <c r="R741">
        <f t="shared" si="137"/>
        <v>265.60000000000002</v>
      </c>
    </row>
    <row r="742" spans="2:20" ht="16.8">
      <c r="B742" s="9">
        <v>4</v>
      </c>
      <c r="C742" s="9" t="s">
        <v>1463</v>
      </c>
      <c r="D742" s="1"/>
      <c r="F742" s="48"/>
      <c r="G742" t="s">
        <v>1460</v>
      </c>
      <c r="H742" s="1"/>
      <c r="J742" s="5">
        <v>0</v>
      </c>
      <c r="K742" s="5">
        <v>10073</v>
      </c>
      <c r="L742" s="5">
        <f t="shared" si="136"/>
        <v>11886.14</v>
      </c>
      <c r="N742" t="s">
        <v>1461</v>
      </c>
      <c r="Q742"/>
      <c r="R742">
        <f>K742*0.1</f>
        <v>1007.3000000000001</v>
      </c>
    </row>
    <row r="743" spans="2:20" ht="16.8">
      <c r="B743" s="9" t="s">
        <v>1173</v>
      </c>
      <c r="C743" s="9" t="s">
        <v>1465</v>
      </c>
      <c r="D743" s="1">
        <v>45484</v>
      </c>
      <c r="F743" s="48">
        <v>9204359913</v>
      </c>
      <c r="G743" t="s">
        <v>23</v>
      </c>
      <c r="H743" s="1">
        <v>25938</v>
      </c>
      <c r="I743" s="42" t="s">
        <v>1028</v>
      </c>
      <c r="J743" s="5">
        <v>0</v>
      </c>
      <c r="K743" s="5">
        <v>3316</v>
      </c>
      <c r="L743" s="5">
        <f t="shared" ref="L743:L749" si="138">(J743+K743)*1.18</f>
        <v>3912.8799999999997</v>
      </c>
      <c r="O743" s="3" t="s">
        <v>1029</v>
      </c>
      <c r="Q743"/>
      <c r="R743">
        <f t="shared" si="137"/>
        <v>1276.6600000000001</v>
      </c>
    </row>
    <row r="744" spans="2:20" ht="16.8">
      <c r="B744" s="9" t="s">
        <v>1174</v>
      </c>
      <c r="C744" s="9" t="s">
        <v>1464</v>
      </c>
      <c r="D744" s="1">
        <v>45484</v>
      </c>
      <c r="F744" s="48">
        <v>9204359913</v>
      </c>
      <c r="G744" t="s">
        <v>23</v>
      </c>
      <c r="H744" s="1">
        <v>25938</v>
      </c>
      <c r="I744" s="42" t="s">
        <v>1028</v>
      </c>
      <c r="J744" s="5">
        <v>0</v>
      </c>
      <c r="K744" s="5">
        <v>664</v>
      </c>
      <c r="L744" s="5">
        <f t="shared" si="138"/>
        <v>783.52</v>
      </c>
      <c r="O744" s="3" t="s">
        <v>590</v>
      </c>
      <c r="Q744"/>
      <c r="R744">
        <f t="shared" ref="R744:R750" si="139">IF(B744="4P",K744*0.385,IF(B744="4D",K744*0.3,IF(B744="HH",K744*0.41,IF(B744="RE",K744*0.35,IF(B744="SC",K744*0.51,K744*0.4)))))</f>
        <v>272.24</v>
      </c>
    </row>
    <row r="745" spans="2:20" ht="16.8">
      <c r="B745" s="9" t="s">
        <v>1174</v>
      </c>
      <c r="D745" s="1">
        <v>45858</v>
      </c>
      <c r="F745" s="48">
        <v>7209077155</v>
      </c>
      <c r="G745" t="s">
        <v>1446</v>
      </c>
      <c r="H745" s="1">
        <v>24274</v>
      </c>
      <c r="I745" s="42" t="s">
        <v>1447</v>
      </c>
      <c r="J745" s="5">
        <v>0</v>
      </c>
      <c r="K745" s="5">
        <v>714</v>
      </c>
      <c r="L745" s="5">
        <f t="shared" si="138"/>
        <v>842.52</v>
      </c>
      <c r="N745">
        <v>-40</v>
      </c>
      <c r="O745" s="3" t="s">
        <v>621</v>
      </c>
      <c r="Q745"/>
      <c r="R745">
        <f t="shared" si="139"/>
        <v>292.74</v>
      </c>
    </row>
    <row r="746" spans="2:20" ht="16.8">
      <c r="B746" s="9" t="s">
        <v>1176</v>
      </c>
      <c r="C746" s="9" t="s">
        <v>1467</v>
      </c>
      <c r="D746" s="1"/>
      <c r="F746" s="48"/>
      <c r="G746" t="s">
        <v>1466</v>
      </c>
      <c r="H746" s="1"/>
      <c r="J746" s="5">
        <v>0</v>
      </c>
      <c r="K746" s="5">
        <v>664</v>
      </c>
      <c r="L746" s="5">
        <f t="shared" si="138"/>
        <v>783.52</v>
      </c>
      <c r="N746" t="s">
        <v>1468</v>
      </c>
      <c r="O746" s="3" t="s">
        <v>1469</v>
      </c>
      <c r="Q746"/>
      <c r="R746">
        <f t="shared" si="139"/>
        <v>338.64</v>
      </c>
    </row>
    <row r="747" spans="2:20" ht="16.8">
      <c r="B747" s="9" t="s">
        <v>1351</v>
      </c>
      <c r="D747" s="1"/>
      <c r="F747" s="48"/>
      <c r="G747" t="s">
        <v>1470</v>
      </c>
      <c r="H747" s="1"/>
      <c r="J747" s="5">
        <v>0</v>
      </c>
      <c r="K747" s="5">
        <v>714</v>
      </c>
      <c r="L747" s="5">
        <f t="shared" si="138"/>
        <v>842.52</v>
      </c>
      <c r="N747" t="s">
        <v>1471</v>
      </c>
      <c r="O747" s="3" t="s">
        <v>1048</v>
      </c>
      <c r="Q747"/>
      <c r="R747">
        <f t="shared" si="139"/>
        <v>285.60000000000002</v>
      </c>
    </row>
    <row r="748" spans="2:20" ht="16.8">
      <c r="B748" s="9" t="s">
        <v>1176</v>
      </c>
      <c r="C748" s="9" t="s">
        <v>1448</v>
      </c>
      <c r="D748" s="1">
        <v>45861</v>
      </c>
      <c r="F748" s="9">
        <v>9162187656</v>
      </c>
      <c r="G748" s="120" t="s">
        <v>1450</v>
      </c>
      <c r="H748" s="1">
        <v>19139</v>
      </c>
      <c r="I748" s="42" t="s">
        <v>1449</v>
      </c>
      <c r="J748" s="5">
        <v>0</v>
      </c>
      <c r="K748" s="5">
        <v>714</v>
      </c>
      <c r="L748" s="5">
        <f t="shared" si="138"/>
        <v>842.52</v>
      </c>
      <c r="N748">
        <v>-40</v>
      </c>
      <c r="O748" s="3" t="s">
        <v>628</v>
      </c>
      <c r="Q748"/>
      <c r="R748">
        <f t="shared" si="139"/>
        <v>364.14</v>
      </c>
    </row>
    <row r="749" spans="2:20" ht="16.8">
      <c r="B749" s="9" t="s">
        <v>1473</v>
      </c>
      <c r="C749" s="9" t="s">
        <v>1474</v>
      </c>
      <c r="D749" s="1"/>
      <c r="G749" s="120" t="s">
        <v>1472</v>
      </c>
      <c r="H749" s="1"/>
      <c r="J749" s="5">
        <v>0</v>
      </c>
      <c r="K749" s="5">
        <v>15849</v>
      </c>
      <c r="L749" s="5">
        <f t="shared" si="138"/>
        <v>18701.82</v>
      </c>
      <c r="Q749"/>
      <c r="R749">
        <f>K749*0.29</f>
        <v>4596.21</v>
      </c>
    </row>
    <row r="750" spans="2:20" ht="16.8">
      <c r="B750" s="9" t="s">
        <v>1176</v>
      </c>
      <c r="C750" s="9" t="s">
        <v>1451</v>
      </c>
      <c r="D750" s="1">
        <v>45869</v>
      </c>
      <c r="F750" s="48"/>
      <c r="G750" t="s">
        <v>180</v>
      </c>
      <c r="H750" s="1">
        <v>18816</v>
      </c>
      <c r="I750" s="42" t="s">
        <v>1452</v>
      </c>
      <c r="J750" s="5">
        <v>0</v>
      </c>
      <c r="K750" s="5">
        <v>664</v>
      </c>
      <c r="L750" s="5">
        <f t="shared" ref="L750" si="140">(J750+K750)*1.18</f>
        <v>783.52</v>
      </c>
      <c r="O750" s="3" t="s">
        <v>182</v>
      </c>
      <c r="Q750"/>
      <c r="R750">
        <f t="shared" si="139"/>
        <v>338.64</v>
      </c>
    </row>
    <row r="751" spans="2:20">
      <c r="B751" s="35">
        <f>COUNTA(B729:B750)</f>
        <v>17</v>
      </c>
      <c r="C751" s="34"/>
      <c r="D751" s="34"/>
      <c r="E751" s="35"/>
      <c r="F751" s="35"/>
      <c r="G751" s="34"/>
      <c r="H751" s="46"/>
      <c r="I751" s="34"/>
      <c r="J751" s="124">
        <f>SUM(J729:J750)</f>
        <v>1462</v>
      </c>
      <c r="K751" s="124">
        <f>SUM(K729:K750)</f>
        <v>43366</v>
      </c>
      <c r="L751" s="124">
        <f>SUM(L729:L750)</f>
        <v>60107.039999999986</v>
      </c>
      <c r="M751" s="34"/>
      <c r="N751" s="34">
        <f>SUM(N722:N750)</f>
        <v>-210</v>
      </c>
      <c r="O751" s="71">
        <f>SUM(O722:O750)</f>
        <v>0</v>
      </c>
      <c r="P751" s="34">
        <f>SUM(P722:P750)</f>
        <v>0</v>
      </c>
      <c r="Q751" s="34">
        <f>SUM(Q722:Q750)</f>
        <v>0</v>
      </c>
      <c r="R751" s="34">
        <f>SUM(R729:R750)</f>
        <v>13445.91</v>
      </c>
      <c r="S751" s="34">
        <f>SUM(S702:S750)</f>
        <v>200</v>
      </c>
      <c r="T751" s="34">
        <f>SUM(T702:T750)</f>
        <v>1620.6999999999998</v>
      </c>
    </row>
    <row r="752" spans="2:20" ht="16.8">
      <c r="D752" s="1"/>
      <c r="F752" s="48"/>
      <c r="H752" s="1"/>
      <c r="Q752"/>
    </row>
    <row r="753" spans="2:19" ht="16.8">
      <c r="B753" s="9" t="s">
        <v>1176</v>
      </c>
      <c r="C753" s="9" t="s">
        <v>1478</v>
      </c>
      <c r="D753" s="1">
        <v>45873</v>
      </c>
      <c r="F753" s="9">
        <v>6207974304</v>
      </c>
      <c r="G753" s="120" t="s">
        <v>1475</v>
      </c>
      <c r="H753" s="1">
        <v>30086</v>
      </c>
      <c r="I753" s="42" t="s">
        <v>1476</v>
      </c>
      <c r="J753" s="5">
        <v>0</v>
      </c>
      <c r="K753" s="5">
        <v>664</v>
      </c>
      <c r="L753" s="5">
        <f t="shared" ref="L753:L754" si="141">(J753+K753)*1.18</f>
        <v>783.52</v>
      </c>
      <c r="O753" s="3" t="s">
        <v>1477</v>
      </c>
      <c r="Q753"/>
      <c r="R753" s="8">
        <f t="shared" ref="R753" si="142">IF(B753="4P",K753*0.385,IF(B753="4D",K753*0.3,IF(B753="HH",K753*0.41,IF(B753="RE",K753*0.35,IF(B753="SC",K753*0.51,K753*0.4)))))</f>
        <v>338.64</v>
      </c>
    </row>
    <row r="754" spans="2:19" ht="16.8">
      <c r="B754" s="9" t="s">
        <v>1351</v>
      </c>
      <c r="D754" s="1">
        <v>45873</v>
      </c>
      <c r="F754" s="48"/>
      <c r="G754" s="120" t="s">
        <v>1479</v>
      </c>
      <c r="H754" s="1"/>
      <c r="J754" s="5">
        <v>0</v>
      </c>
      <c r="K754" s="5">
        <v>1316</v>
      </c>
      <c r="L754" s="5">
        <f t="shared" si="141"/>
        <v>1552.8799999999999</v>
      </c>
      <c r="O754" s="3" t="s">
        <v>652</v>
      </c>
      <c r="P754">
        <v>-150</v>
      </c>
      <c r="Q754"/>
      <c r="R754" s="8">
        <f t="shared" ref="R754:R767" si="143">IF(B754="4P",K754*0.385,IF(B754="4D",K754*0.3,IF(B754="HH",K754*0.41,IF(B754="RE",K754*0.35,IF(B754="SC",K754*0.51,K754*0.4)))))</f>
        <v>526.4</v>
      </c>
    </row>
    <row r="755" spans="2:19" ht="16.8">
      <c r="B755" s="9" t="s">
        <v>1176</v>
      </c>
      <c r="C755" s="9" t="s">
        <v>1483</v>
      </c>
      <c r="D755" s="1">
        <v>45873</v>
      </c>
      <c r="F755" s="48"/>
      <c r="G755" t="s">
        <v>1480</v>
      </c>
      <c r="H755" s="1"/>
      <c r="J755" s="5">
        <v>0</v>
      </c>
      <c r="K755" s="5">
        <v>714</v>
      </c>
      <c r="N755" t="s">
        <v>1481</v>
      </c>
      <c r="O755" s="3" t="s">
        <v>1482</v>
      </c>
      <c r="P755">
        <v>-40</v>
      </c>
      <c r="Q755"/>
      <c r="R755" s="8">
        <f t="shared" si="143"/>
        <v>364.14</v>
      </c>
    </row>
    <row r="756" spans="2:19" ht="16.8">
      <c r="B756" s="9" t="s">
        <v>1173</v>
      </c>
      <c r="C756" s="80"/>
      <c r="D756" s="1">
        <v>45877</v>
      </c>
      <c r="F756" s="63">
        <v>8235161181</v>
      </c>
      <c r="G756" t="s">
        <v>1485</v>
      </c>
      <c r="H756" s="1"/>
      <c r="J756" s="5">
        <v>0</v>
      </c>
      <c r="K756" s="5">
        <v>1994</v>
      </c>
      <c r="L756" s="5">
        <f>(J756+K756)*1.18</f>
        <v>2352.92</v>
      </c>
      <c r="N756" t="s">
        <v>1486</v>
      </c>
      <c r="O756" s="3" t="s">
        <v>1487</v>
      </c>
      <c r="P756">
        <v>-53</v>
      </c>
      <c r="Q756"/>
      <c r="R756" s="8">
        <f t="shared" si="143"/>
        <v>767.69</v>
      </c>
    </row>
    <row r="757" spans="2:19" ht="16.8">
      <c r="B757" s="9" t="s">
        <v>1173</v>
      </c>
      <c r="C757" s="80"/>
      <c r="D757" s="1">
        <v>45513</v>
      </c>
      <c r="F757" s="63">
        <v>8235161181</v>
      </c>
      <c r="G757" t="s">
        <v>1087</v>
      </c>
      <c r="H757" s="1">
        <v>21997</v>
      </c>
      <c r="I757" s="42" t="s">
        <v>1088</v>
      </c>
      <c r="J757" s="5">
        <v>0</v>
      </c>
      <c r="K757" s="5">
        <v>3416</v>
      </c>
      <c r="L757" s="5">
        <f>(J757+K757)*1.18</f>
        <v>4030.8799999999997</v>
      </c>
      <c r="N757" t="s">
        <v>1484</v>
      </c>
      <c r="O757" s="3" t="s">
        <v>1089</v>
      </c>
      <c r="P757">
        <v>-200</v>
      </c>
      <c r="Q757"/>
      <c r="R757" s="8">
        <f t="shared" si="143"/>
        <v>1315.16</v>
      </c>
    </row>
    <row r="758" spans="2:19" ht="16.8">
      <c r="B758" s="9" t="s">
        <v>1489</v>
      </c>
      <c r="C758" s="9" t="s">
        <v>1491</v>
      </c>
      <c r="D758" s="1">
        <v>45879</v>
      </c>
      <c r="F758" s="48">
        <v>8092602091</v>
      </c>
      <c r="G758" t="s">
        <v>1488</v>
      </c>
      <c r="H758" s="1"/>
      <c r="K758" s="5">
        <v>664</v>
      </c>
      <c r="L758" s="5">
        <f>(J758+K758)*1.18</f>
        <v>783.52</v>
      </c>
      <c r="O758" s="3" t="s">
        <v>1490</v>
      </c>
      <c r="Q758"/>
      <c r="R758" s="8">
        <f t="shared" si="143"/>
        <v>265.60000000000002</v>
      </c>
    </row>
    <row r="759" spans="2:19" ht="16.8">
      <c r="B759" s="9" t="s">
        <v>1173</v>
      </c>
      <c r="C759" s="9" t="s">
        <v>1493</v>
      </c>
      <c r="D759" s="1">
        <v>45880</v>
      </c>
      <c r="F759" s="48">
        <v>8521411224</v>
      </c>
      <c r="G759" t="s">
        <v>1492</v>
      </c>
      <c r="H759" s="1" t="s">
        <v>1494</v>
      </c>
      <c r="I759" s="42" t="s">
        <v>1495</v>
      </c>
      <c r="J759" s="5">
        <v>0</v>
      </c>
      <c r="K759" s="5">
        <v>3646</v>
      </c>
      <c r="L759" s="5">
        <f>(J759+K759)*1.18</f>
        <v>4302.28</v>
      </c>
      <c r="N759" t="s">
        <v>1496</v>
      </c>
      <c r="O759" s="3" t="s">
        <v>1493</v>
      </c>
      <c r="P759">
        <v>-200</v>
      </c>
      <c r="Q759"/>
      <c r="R759" s="8">
        <f t="shared" si="143"/>
        <v>1403.71</v>
      </c>
    </row>
    <row r="760" spans="2:19">
      <c r="B760" s="9" t="s">
        <v>1176</v>
      </c>
      <c r="D760" s="1">
        <v>45882</v>
      </c>
      <c r="F760" s="50">
        <v>9661947920</v>
      </c>
      <c r="G760" s="52" t="s">
        <v>243</v>
      </c>
      <c r="J760" s="5">
        <v>0</v>
      </c>
      <c r="K760" s="5">
        <v>714</v>
      </c>
      <c r="L760" s="5">
        <f t="shared" ref="L760:L763" si="144">(J760+K760)*1.18</f>
        <v>842.52</v>
      </c>
      <c r="O760" s="3" t="s">
        <v>244</v>
      </c>
      <c r="P760">
        <v>-40</v>
      </c>
      <c r="Q760"/>
      <c r="R760" s="8">
        <f t="shared" si="143"/>
        <v>364.14</v>
      </c>
    </row>
    <row r="761" spans="2:19" ht="15">
      <c r="B761" s="9" t="s">
        <v>1176</v>
      </c>
      <c r="D761" s="1" t="s">
        <v>1500</v>
      </c>
      <c r="F761" s="108">
        <v>9572880148</v>
      </c>
      <c r="G761" t="s">
        <v>1497</v>
      </c>
      <c r="H761" s="1"/>
      <c r="J761" s="5">
        <v>0</v>
      </c>
      <c r="K761" s="5">
        <v>714</v>
      </c>
      <c r="L761" s="5">
        <f t="shared" si="144"/>
        <v>842.52</v>
      </c>
      <c r="N761" t="s">
        <v>1499</v>
      </c>
      <c r="O761" s="3" t="s">
        <v>1498</v>
      </c>
      <c r="P761">
        <v>-40</v>
      </c>
      <c r="Q761"/>
      <c r="R761" s="8">
        <f t="shared" si="143"/>
        <v>364.14</v>
      </c>
      <c r="S761">
        <f>R761*0.98</f>
        <v>356.85719999999998</v>
      </c>
    </row>
    <row r="762" spans="2:19" ht="16.8">
      <c r="B762" s="9" t="s">
        <v>1173</v>
      </c>
      <c r="D762" s="1" t="s">
        <v>1500</v>
      </c>
      <c r="F762" s="48"/>
      <c r="G762" t="s">
        <v>1504</v>
      </c>
      <c r="H762" s="1"/>
      <c r="J762" s="5">
        <v>9509.23</v>
      </c>
      <c r="K762" s="5">
        <v>3746</v>
      </c>
      <c r="L762" s="5">
        <f t="shared" si="144"/>
        <v>15641.171399999999</v>
      </c>
      <c r="Q762"/>
      <c r="R762" s="8">
        <f>J762*0.24</f>
        <v>2282.2151999999996</v>
      </c>
    </row>
    <row r="763" spans="2:19" ht="16.8">
      <c r="B763" s="9" t="s">
        <v>1502</v>
      </c>
      <c r="C763" s="9" t="s">
        <v>1501</v>
      </c>
      <c r="D763" s="1">
        <v>45884</v>
      </c>
      <c r="F763" s="48">
        <v>9771283032</v>
      </c>
      <c r="G763" t="s">
        <v>1503</v>
      </c>
      <c r="H763" s="1"/>
      <c r="J763" s="5">
        <v>0</v>
      </c>
      <c r="K763" s="5">
        <v>664</v>
      </c>
      <c r="L763" s="5">
        <f t="shared" si="144"/>
        <v>783.52</v>
      </c>
      <c r="N763" t="s">
        <v>1499</v>
      </c>
      <c r="O763" s="3" t="s">
        <v>605</v>
      </c>
      <c r="P763">
        <v>-30</v>
      </c>
      <c r="Q763"/>
      <c r="R763" s="8">
        <f t="shared" si="143"/>
        <v>265.60000000000002</v>
      </c>
    </row>
    <row r="764" spans="2:19" ht="16.8">
      <c r="B764" s="9" t="s">
        <v>1502</v>
      </c>
      <c r="C764" s="9" t="s">
        <v>1506</v>
      </c>
      <c r="D764" s="1">
        <v>45887</v>
      </c>
      <c r="F764" s="48">
        <v>9234550363</v>
      </c>
      <c r="G764" t="s">
        <v>1069</v>
      </c>
      <c r="H764" s="1">
        <v>29787</v>
      </c>
      <c r="I764" s="42" t="s">
        <v>1067</v>
      </c>
      <c r="J764" s="5">
        <v>0</v>
      </c>
      <c r="K764" s="5">
        <v>714</v>
      </c>
      <c r="L764" s="5">
        <f>(J764+K764)*1.18</f>
        <v>842.52</v>
      </c>
      <c r="N764" t="s">
        <v>1505</v>
      </c>
      <c r="O764" s="3" t="s">
        <v>1068</v>
      </c>
      <c r="P764">
        <v>-40</v>
      </c>
      <c r="Q764"/>
      <c r="R764" s="8">
        <f t="shared" si="143"/>
        <v>285.60000000000002</v>
      </c>
    </row>
    <row r="765" spans="2:19">
      <c r="B765" s="9" t="s">
        <v>1502</v>
      </c>
      <c r="C765" s="9" t="s">
        <v>1509</v>
      </c>
      <c r="D765" s="1">
        <v>45889</v>
      </c>
      <c r="G765" t="s">
        <v>1507</v>
      </c>
      <c r="H765" s="1">
        <v>19452</v>
      </c>
      <c r="I765" s="42" t="s">
        <v>1508</v>
      </c>
      <c r="J765" s="5">
        <v>0</v>
      </c>
      <c r="K765" s="5">
        <v>664</v>
      </c>
      <c r="L765" s="5">
        <f>(J765+K765)*1.18</f>
        <v>783.52</v>
      </c>
      <c r="N765" t="s">
        <v>1505</v>
      </c>
      <c r="O765" s="3" t="s">
        <v>1510</v>
      </c>
      <c r="P765">
        <v>-33</v>
      </c>
      <c r="Q765"/>
      <c r="R765" s="8">
        <f t="shared" si="143"/>
        <v>265.60000000000002</v>
      </c>
    </row>
    <row r="766" spans="2:19" ht="15">
      <c r="D766" s="1">
        <v>45889</v>
      </c>
      <c r="F766" s="108">
        <v>8651625986</v>
      </c>
      <c r="J766" s="5">
        <v>0</v>
      </c>
      <c r="K766" s="5">
        <v>664</v>
      </c>
      <c r="L766" s="5">
        <f>(J766+K766)*1.18</f>
        <v>783.52</v>
      </c>
      <c r="Q766"/>
      <c r="R766" s="8">
        <f t="shared" si="143"/>
        <v>265.60000000000002</v>
      </c>
    </row>
    <row r="767" spans="2:19" ht="15">
      <c r="B767" s="9" t="s">
        <v>1174</v>
      </c>
      <c r="C767" s="9" t="s">
        <v>1515</v>
      </c>
      <c r="D767" s="1">
        <v>45898</v>
      </c>
      <c r="F767" s="108">
        <v>9386028309</v>
      </c>
      <c r="G767" t="s">
        <v>1512</v>
      </c>
      <c r="H767" s="1">
        <v>24117</v>
      </c>
      <c r="I767" s="42" t="s">
        <v>1513</v>
      </c>
      <c r="J767" s="5">
        <v>0</v>
      </c>
      <c r="K767" s="5">
        <v>714</v>
      </c>
      <c r="L767" s="5">
        <f>(J767+K767)*1.18</f>
        <v>842.52</v>
      </c>
      <c r="N767" t="s">
        <v>1511</v>
      </c>
      <c r="O767" s="3" t="s">
        <v>1514</v>
      </c>
      <c r="P767">
        <v>-42.52</v>
      </c>
      <c r="Q767"/>
      <c r="R767" s="8">
        <f t="shared" si="143"/>
        <v>292.74</v>
      </c>
    </row>
    <row r="768" spans="2:19">
      <c r="Q768"/>
    </row>
    <row r="769" spans="2:21">
      <c r="B769" s="35">
        <f>COUNTA(B753:B768)</f>
        <v>14</v>
      </c>
      <c r="C769" s="34"/>
      <c r="D769" s="34"/>
      <c r="E769" s="35"/>
      <c r="F769" s="35"/>
      <c r="G769" s="34"/>
      <c r="H769" s="46"/>
      <c r="I769" s="34"/>
      <c r="J769" s="124">
        <f>SUM(J753:J768)</f>
        <v>9509.23</v>
      </c>
      <c r="K769" s="124">
        <f>SUM(K753:K768)</f>
        <v>21008</v>
      </c>
      <c r="L769" s="124">
        <f>SUM(L753:L768)</f>
        <v>35167.811399999991</v>
      </c>
      <c r="M769" s="34"/>
      <c r="N769" s="34">
        <f>SUM(N753:N768)</f>
        <v>0</v>
      </c>
      <c r="O769" s="71">
        <f>SUM(O753:O768)</f>
        <v>0</v>
      </c>
      <c r="P769" s="34">
        <f>SUM(P753:P768)</f>
        <v>-868.52</v>
      </c>
      <c r="Q769" s="34">
        <f>SUM(Q753:Q768)</f>
        <v>0</v>
      </c>
      <c r="R769" s="34">
        <f>SUM(R753:R768)</f>
        <v>9366.9752000000008</v>
      </c>
      <c r="S769" s="34">
        <f>SUM(S711:S768)</f>
        <v>756.85719999999992</v>
      </c>
      <c r="T769" s="34">
        <f>SUM(T711:T768)</f>
        <v>3241.3999999999996</v>
      </c>
    </row>
    <row r="770" spans="2:21" ht="16.8">
      <c r="D770" s="1"/>
      <c r="F770" s="48"/>
      <c r="H770" s="1"/>
      <c r="Q770"/>
    </row>
    <row r="771" spans="2:21" ht="16.8">
      <c r="B771" s="9" t="s">
        <v>1187</v>
      </c>
      <c r="C771" s="9" t="s">
        <v>1518</v>
      </c>
      <c r="D771" s="1">
        <v>45903</v>
      </c>
      <c r="F771" s="48">
        <v>9470163998</v>
      </c>
      <c r="G771" t="s">
        <v>1516</v>
      </c>
      <c r="H771" s="1">
        <v>23281</v>
      </c>
      <c r="I771" s="42" t="s">
        <v>1517</v>
      </c>
      <c r="J771" s="5">
        <v>0</v>
      </c>
      <c r="K771" s="5">
        <v>714</v>
      </c>
      <c r="L771" s="5">
        <f t="shared" ref="L771:L788" si="145">(J771+K771)*1.18</f>
        <v>842.52</v>
      </c>
      <c r="M771">
        <v>800</v>
      </c>
      <c r="P771" s="8"/>
      <c r="Q771"/>
      <c r="R771" s="8">
        <f t="shared" ref="R771:R788" si="146">IF(B771="4P",K771*0.385,IF(B771="4D",K771*0.3,IF(B771="HH",K771*0.41,IF(B771="RE",K771*0.35,IF(B771="SC",K771*0.51,K771*0.4)))))</f>
        <v>364.14</v>
      </c>
    </row>
    <row r="772" spans="2:21" ht="15">
      <c r="B772" s="9" t="s">
        <v>1530</v>
      </c>
      <c r="C772" s="9" t="s">
        <v>1528</v>
      </c>
      <c r="D772" s="1">
        <v>45906</v>
      </c>
      <c r="F772" s="108">
        <v>7762062417</v>
      </c>
      <c r="G772" t="s">
        <v>1527</v>
      </c>
      <c r="H772" s="1"/>
      <c r="J772" s="5">
        <v>0</v>
      </c>
      <c r="K772" s="5">
        <v>15043.118644067799</v>
      </c>
      <c r="L772" s="5">
        <f t="shared" si="145"/>
        <v>17750.88</v>
      </c>
      <c r="M772">
        <v>14000</v>
      </c>
      <c r="O772" s="3" t="s">
        <v>1529</v>
      </c>
      <c r="P772">
        <v>-3750</v>
      </c>
      <c r="Q772"/>
      <c r="R772" s="8">
        <f>K772*0.29</f>
        <v>4362.5044067796616</v>
      </c>
      <c r="T772" s="8"/>
    </row>
    <row r="773" spans="2:21" ht="15">
      <c r="B773" s="9" t="s">
        <v>1176</v>
      </c>
      <c r="C773" s="9" t="s">
        <v>1542</v>
      </c>
      <c r="D773" s="1">
        <v>45907</v>
      </c>
      <c r="F773" s="108"/>
      <c r="G773" t="s">
        <v>1541</v>
      </c>
      <c r="H773" s="1"/>
      <c r="J773" s="5">
        <v>0</v>
      </c>
      <c r="K773" s="5">
        <v>714</v>
      </c>
      <c r="L773" s="5">
        <f t="shared" si="145"/>
        <v>842.52</v>
      </c>
      <c r="M773">
        <v>800</v>
      </c>
      <c r="O773" s="3" t="s">
        <v>1543</v>
      </c>
      <c r="Q773"/>
      <c r="R773" s="8">
        <f>K773*0.29</f>
        <v>207.05999999999997</v>
      </c>
      <c r="T773" s="8"/>
    </row>
    <row r="774" spans="2:21" ht="16.8">
      <c r="B774" s="9" t="s">
        <v>1176</v>
      </c>
      <c r="C774" s="9" t="s">
        <v>1519</v>
      </c>
      <c r="D774" s="1">
        <v>45907</v>
      </c>
      <c r="F774" s="48">
        <v>8797943118</v>
      </c>
      <c r="G774" t="s">
        <v>1520</v>
      </c>
      <c r="H774" s="1">
        <v>27410</v>
      </c>
      <c r="J774" s="5">
        <v>0</v>
      </c>
      <c r="K774" s="5">
        <v>714</v>
      </c>
      <c r="L774" s="5">
        <f t="shared" si="145"/>
        <v>842.52</v>
      </c>
      <c r="M774">
        <v>800</v>
      </c>
      <c r="O774" s="3" t="s">
        <v>664</v>
      </c>
      <c r="P774">
        <v>-40</v>
      </c>
      <c r="Q774"/>
      <c r="R774" s="8">
        <f t="shared" si="146"/>
        <v>364.14</v>
      </c>
      <c r="U774">
        <f>L772-14000</f>
        <v>3750.880000000001</v>
      </c>
    </row>
    <row r="775" spans="2:21" ht="16.8">
      <c r="B775" s="9" t="s">
        <v>1176</v>
      </c>
      <c r="C775" s="9" t="s">
        <v>1523</v>
      </c>
      <c r="D775" s="1">
        <v>45907</v>
      </c>
      <c r="F775" s="48">
        <v>9204252183</v>
      </c>
      <c r="G775" t="s">
        <v>1522</v>
      </c>
      <c r="H775" s="1"/>
      <c r="J775" s="5">
        <v>0</v>
      </c>
      <c r="K775" s="5">
        <v>714</v>
      </c>
      <c r="L775" s="5">
        <f t="shared" si="145"/>
        <v>842.52</v>
      </c>
      <c r="M775">
        <v>800</v>
      </c>
      <c r="O775" s="3" t="s">
        <v>1521</v>
      </c>
      <c r="P775">
        <v>-40</v>
      </c>
      <c r="Q775"/>
      <c r="R775" s="8">
        <f t="shared" si="146"/>
        <v>364.14</v>
      </c>
    </row>
    <row r="776" spans="2:21" ht="16.8">
      <c r="B776" s="9" t="s">
        <v>1176</v>
      </c>
      <c r="C776" s="9" t="s">
        <v>1545</v>
      </c>
      <c r="D776" s="1">
        <v>45913</v>
      </c>
      <c r="F776" s="48"/>
      <c r="G776" t="s">
        <v>699</v>
      </c>
      <c r="H776" s="1"/>
      <c r="J776" s="5">
        <v>0</v>
      </c>
      <c r="K776" s="5">
        <v>664</v>
      </c>
      <c r="L776" s="5">
        <f t="shared" si="145"/>
        <v>783.52</v>
      </c>
      <c r="M776">
        <v>750</v>
      </c>
      <c r="N776" t="s">
        <v>1546</v>
      </c>
      <c r="O776" s="3" t="s">
        <v>1547</v>
      </c>
      <c r="Q776"/>
      <c r="R776" s="8">
        <f t="shared" si="146"/>
        <v>338.64</v>
      </c>
    </row>
    <row r="777" spans="2:21" ht="16.8">
      <c r="B777" s="9" t="s">
        <v>1174</v>
      </c>
      <c r="C777" s="9" t="s">
        <v>1550</v>
      </c>
      <c r="D777" s="1">
        <v>45911</v>
      </c>
      <c r="F777" s="48"/>
      <c r="G777" t="s">
        <v>1548</v>
      </c>
      <c r="H777" s="1"/>
      <c r="J777" s="5">
        <v>0</v>
      </c>
      <c r="K777" s="5">
        <v>664</v>
      </c>
      <c r="L777" s="5">
        <f t="shared" si="145"/>
        <v>783.52</v>
      </c>
      <c r="M777">
        <v>783.52</v>
      </c>
      <c r="O777" s="3" t="s">
        <v>1549</v>
      </c>
      <c r="Q777"/>
      <c r="R777" s="8">
        <f t="shared" si="146"/>
        <v>272.24</v>
      </c>
    </row>
    <row r="778" spans="2:21" ht="16.8">
      <c r="B778" s="9" t="s">
        <v>1174</v>
      </c>
      <c r="C778" s="9" t="s">
        <v>1525</v>
      </c>
      <c r="D778" s="1">
        <v>45912</v>
      </c>
      <c r="E778" s="1">
        <v>45911</v>
      </c>
      <c r="F778" s="48">
        <v>9031183795</v>
      </c>
      <c r="G778" t="s">
        <v>696</v>
      </c>
      <c r="H778" s="1">
        <v>21468</v>
      </c>
      <c r="I778" s="42" t="s">
        <v>1524</v>
      </c>
      <c r="J778" s="5">
        <v>0</v>
      </c>
      <c r="K778" s="5">
        <v>714</v>
      </c>
      <c r="L778" s="5">
        <f t="shared" si="145"/>
        <v>842.52</v>
      </c>
      <c r="M778">
        <v>800</v>
      </c>
      <c r="N778" t="s">
        <v>1526</v>
      </c>
      <c r="O778" s="3" t="s">
        <v>682</v>
      </c>
      <c r="Q778"/>
      <c r="R778" s="8">
        <f t="shared" si="146"/>
        <v>292.74</v>
      </c>
    </row>
    <row r="779" spans="2:21" ht="16.8">
      <c r="B779" s="9" t="s">
        <v>1176</v>
      </c>
      <c r="C779" s="9" t="s">
        <v>1552</v>
      </c>
      <c r="D779" s="1">
        <v>45914</v>
      </c>
      <c r="F779" s="48">
        <v>9334644676</v>
      </c>
      <c r="G779" t="s">
        <v>1551</v>
      </c>
      <c r="H779" s="1"/>
      <c r="J779" s="5">
        <v>0</v>
      </c>
      <c r="K779" s="5">
        <v>664</v>
      </c>
      <c r="L779" s="5">
        <f t="shared" si="145"/>
        <v>783.52</v>
      </c>
      <c r="M779">
        <v>750</v>
      </c>
      <c r="N779" t="s">
        <v>1531</v>
      </c>
      <c r="O779" s="3" t="s">
        <v>245</v>
      </c>
      <c r="Q779"/>
      <c r="R779" s="8">
        <f t="shared" si="146"/>
        <v>338.64</v>
      </c>
    </row>
    <row r="780" spans="2:21" ht="16.2" customHeight="1">
      <c r="B780" s="9" t="s">
        <v>1176</v>
      </c>
      <c r="C780" s="9" t="s">
        <v>1554</v>
      </c>
      <c r="D780" s="1">
        <v>45913</v>
      </c>
      <c r="F780" s="108">
        <v>8877158464</v>
      </c>
      <c r="G780" t="s">
        <v>1553</v>
      </c>
      <c r="H780" s="1"/>
      <c r="J780" s="5">
        <v>0</v>
      </c>
      <c r="K780" s="5">
        <v>664</v>
      </c>
      <c r="L780" s="5">
        <f t="shared" si="145"/>
        <v>783.52</v>
      </c>
      <c r="M780">
        <v>750</v>
      </c>
      <c r="N780" t="s">
        <v>1546</v>
      </c>
      <c r="O780" s="3" t="s">
        <v>1532</v>
      </c>
      <c r="Q780"/>
      <c r="R780" s="8">
        <f t="shared" si="146"/>
        <v>338.64</v>
      </c>
    </row>
    <row r="781" spans="2:21" ht="16.2" customHeight="1">
      <c r="B781" s="9" t="s">
        <v>1176</v>
      </c>
      <c r="C781" s="9" t="s">
        <v>1557</v>
      </c>
      <c r="D781" s="1">
        <v>45916</v>
      </c>
      <c r="F781" s="108"/>
      <c r="G781" t="s">
        <v>1103</v>
      </c>
      <c r="H781" s="1"/>
      <c r="J781" s="5">
        <v>0</v>
      </c>
      <c r="K781" s="5">
        <v>664</v>
      </c>
      <c r="L781" s="5">
        <f t="shared" ref="L781" si="147">(J781+K781)*1.18</f>
        <v>783.52</v>
      </c>
      <c r="M781">
        <v>750</v>
      </c>
      <c r="N781" t="s">
        <v>1555</v>
      </c>
      <c r="O781" s="3" t="s">
        <v>1556</v>
      </c>
      <c r="Q781"/>
      <c r="R781" s="8">
        <f t="shared" si="146"/>
        <v>338.64</v>
      </c>
    </row>
    <row r="782" spans="2:21">
      <c r="B782" s="9" t="s">
        <v>1173</v>
      </c>
      <c r="C782" s="9" t="s">
        <v>1536</v>
      </c>
      <c r="D782" s="1">
        <v>45917</v>
      </c>
      <c r="F782" s="9">
        <v>9234663228</v>
      </c>
      <c r="G782" t="s">
        <v>1535</v>
      </c>
      <c r="H782" s="1">
        <v>21582</v>
      </c>
      <c r="J782" s="5">
        <v>0</v>
      </c>
      <c r="K782" s="5">
        <v>2074</v>
      </c>
      <c r="L782" s="5">
        <f t="shared" si="145"/>
        <v>2447.3199999999997</v>
      </c>
      <c r="M782">
        <f>2447.32-200</f>
        <v>2247.3200000000002</v>
      </c>
      <c r="N782" t="s">
        <v>1533</v>
      </c>
      <c r="O782" s="3" t="s">
        <v>1534</v>
      </c>
      <c r="Q782"/>
      <c r="R782" s="8">
        <f t="shared" si="146"/>
        <v>798.49</v>
      </c>
    </row>
    <row r="783" spans="2:21">
      <c r="B783" s="9" t="s">
        <v>1176</v>
      </c>
      <c r="C783" s="9" t="s">
        <v>1559</v>
      </c>
      <c r="D783" s="1">
        <v>45916</v>
      </c>
      <c r="G783" t="s">
        <v>1558</v>
      </c>
      <c r="H783" s="1"/>
      <c r="J783" s="5">
        <v>0</v>
      </c>
      <c r="K783" s="5">
        <v>714</v>
      </c>
      <c r="L783" s="5">
        <f t="shared" si="145"/>
        <v>842.52</v>
      </c>
      <c r="M783">
        <v>842.52</v>
      </c>
      <c r="O783" s="3" t="s">
        <v>1560</v>
      </c>
      <c r="Q783"/>
      <c r="R783" s="8">
        <f t="shared" si="146"/>
        <v>364.14</v>
      </c>
    </row>
    <row r="784" spans="2:21">
      <c r="B784" s="9" t="s">
        <v>1351</v>
      </c>
      <c r="C784" s="9" t="s">
        <v>1562</v>
      </c>
      <c r="D784" s="1">
        <v>45923</v>
      </c>
      <c r="G784" t="s">
        <v>1561</v>
      </c>
      <c r="H784" s="1"/>
      <c r="J784" s="5">
        <v>0</v>
      </c>
      <c r="K784" s="5">
        <v>714</v>
      </c>
      <c r="L784" s="5">
        <f t="shared" si="145"/>
        <v>842.52</v>
      </c>
      <c r="M784">
        <v>800</v>
      </c>
      <c r="O784" s="3" t="s">
        <v>1563</v>
      </c>
      <c r="Q784"/>
      <c r="R784" s="8">
        <f t="shared" si="146"/>
        <v>285.60000000000002</v>
      </c>
    </row>
    <row r="785" spans="2:20" ht="16.8">
      <c r="B785" s="9" t="s">
        <v>1539</v>
      </c>
      <c r="C785" s="9" t="s">
        <v>1564</v>
      </c>
      <c r="D785" s="1">
        <v>45923</v>
      </c>
      <c r="F785" s="48">
        <v>9279444042</v>
      </c>
      <c r="G785" t="s">
        <v>1537</v>
      </c>
      <c r="H785" s="1">
        <v>32188</v>
      </c>
      <c r="J785" s="5">
        <v>0</v>
      </c>
      <c r="K785" s="5">
        <v>1366</v>
      </c>
      <c r="L785" s="5">
        <f t="shared" si="145"/>
        <v>1611.8799999999999</v>
      </c>
      <c r="M785">
        <v>1500</v>
      </c>
      <c r="N785" t="s">
        <v>1538</v>
      </c>
      <c r="O785" s="3" t="s">
        <v>298</v>
      </c>
      <c r="Q785"/>
      <c r="R785" s="8">
        <f t="shared" si="146"/>
        <v>478.09999999999997</v>
      </c>
      <c r="T785">
        <v>34</v>
      </c>
    </row>
    <row r="786" spans="2:20" ht="16.8">
      <c r="B786" s="9" t="s">
        <v>1176</v>
      </c>
      <c r="C786" s="9" t="s">
        <v>1565</v>
      </c>
      <c r="D786" s="1">
        <v>45925</v>
      </c>
      <c r="F786" s="48"/>
      <c r="G786" t="s">
        <v>702</v>
      </c>
      <c r="H786" s="1"/>
      <c r="J786" s="5">
        <v>0</v>
      </c>
      <c r="K786" s="5">
        <v>664</v>
      </c>
      <c r="L786" s="5">
        <f t="shared" si="145"/>
        <v>783.52</v>
      </c>
      <c r="M786">
        <v>750</v>
      </c>
      <c r="O786" s="3" t="s">
        <v>703</v>
      </c>
      <c r="P786">
        <v>-33.42</v>
      </c>
      <c r="Q786"/>
      <c r="R786" s="8">
        <f t="shared" si="146"/>
        <v>338.64</v>
      </c>
    </row>
    <row r="787" spans="2:20" ht="16.8">
      <c r="B787" s="9" t="s">
        <v>1176</v>
      </c>
      <c r="C787" s="9" t="s">
        <v>1566</v>
      </c>
      <c r="D787" s="1">
        <v>45925</v>
      </c>
      <c r="F787" s="48">
        <v>8797579335</v>
      </c>
      <c r="G787" t="s">
        <v>651</v>
      </c>
      <c r="H787" s="1"/>
      <c r="J787" s="5">
        <v>0</v>
      </c>
      <c r="K787" s="5">
        <v>714</v>
      </c>
      <c r="L787" s="5">
        <f t="shared" si="145"/>
        <v>842.52</v>
      </c>
      <c r="M787">
        <v>800</v>
      </c>
      <c r="O787" s="3" t="s">
        <v>1540</v>
      </c>
      <c r="P787">
        <v>-40</v>
      </c>
      <c r="Q787"/>
      <c r="R787" s="8">
        <f t="shared" si="146"/>
        <v>364.14</v>
      </c>
    </row>
    <row r="788" spans="2:20" ht="16.8">
      <c r="B788" s="58" t="s">
        <v>1173</v>
      </c>
      <c r="C788" s="58"/>
      <c r="D788" s="97">
        <v>45540</v>
      </c>
      <c r="E788" s="64"/>
      <c r="F788" s="92">
        <v>7250482933</v>
      </c>
      <c r="G788" s="64" t="s">
        <v>1115</v>
      </c>
      <c r="H788" s="97">
        <v>20836</v>
      </c>
      <c r="I788" s="98" t="s">
        <v>1116</v>
      </c>
      <c r="J788" s="111">
        <v>0</v>
      </c>
      <c r="K788" s="111">
        <v>1994</v>
      </c>
      <c r="L788" s="5">
        <f t="shared" si="145"/>
        <v>2352.92</v>
      </c>
      <c r="M788" s="64">
        <v>2000</v>
      </c>
      <c r="N788" s="64" t="s">
        <v>1533</v>
      </c>
      <c r="O788" s="96" t="s">
        <v>657</v>
      </c>
      <c r="Q788"/>
      <c r="R788" s="8">
        <f t="shared" si="146"/>
        <v>767.69</v>
      </c>
      <c r="T788" t="s">
        <v>1567</v>
      </c>
    </row>
    <row r="789" spans="2:20" ht="16.8">
      <c r="D789" s="1"/>
      <c r="F789" s="48"/>
      <c r="H789" s="1"/>
      <c r="Q789"/>
      <c r="R789" s="8"/>
    </row>
    <row r="790" spans="2:20" ht="16.8">
      <c r="D790" s="1"/>
      <c r="F790" s="48"/>
      <c r="H790" s="1"/>
      <c r="Q790"/>
      <c r="R790" s="8"/>
    </row>
    <row r="791" spans="2:20">
      <c r="P791" s="36"/>
      <c r="Q791" s="39">
        <f>IF(OR(B788=2,B788=4),K788*0.31,IF(B788=3,J788*0.4+K788*0.025,J788*0.21+K788*0.025))</f>
        <v>49.85</v>
      </c>
      <c r="R791" s="8"/>
    </row>
    <row r="792" spans="2:20" ht="16.8">
      <c r="B792" s="37">
        <v>4</v>
      </c>
      <c r="C792" s="37"/>
      <c r="D792" s="38">
        <v>45540</v>
      </c>
      <c r="E792" s="36"/>
      <c r="F792" s="49">
        <v>9031183795</v>
      </c>
      <c r="G792" s="36" t="s">
        <v>260</v>
      </c>
      <c r="H792" s="38">
        <v>31206</v>
      </c>
      <c r="I792" s="47" t="s">
        <v>1117</v>
      </c>
      <c r="J792" s="39">
        <v>1994</v>
      </c>
      <c r="K792" s="39">
        <v>1994</v>
      </c>
      <c r="L792" s="39"/>
      <c r="M792" s="36"/>
      <c r="N792" s="36"/>
      <c r="O792" s="72" t="s">
        <v>259</v>
      </c>
      <c r="P792" s="36"/>
      <c r="Q792" s="39">
        <f t="shared" ref="Q792:Q796" si="148">IF(OR(B792=2,B792=4),K792*0.31,IF(B792=3,J792*0.4+K792*0.025,J792*0.21+K792*0.025))</f>
        <v>618.14</v>
      </c>
      <c r="R792" s="8"/>
    </row>
    <row r="793" spans="2:20" ht="16.8">
      <c r="B793" s="37">
        <v>2</v>
      </c>
      <c r="C793" s="37" t="s">
        <v>1120</v>
      </c>
      <c r="D793" s="38">
        <v>45543</v>
      </c>
      <c r="E793" s="36"/>
      <c r="F793" s="49">
        <v>8797138434</v>
      </c>
      <c r="G793" s="36" t="s">
        <v>1119</v>
      </c>
      <c r="H793" s="38">
        <v>25894</v>
      </c>
      <c r="I793" s="47" t="s">
        <v>1118</v>
      </c>
      <c r="J793" s="39">
        <v>664</v>
      </c>
      <c r="K793" s="39">
        <v>664</v>
      </c>
      <c r="L793" s="39"/>
      <c r="M793" s="36"/>
      <c r="N793" s="36"/>
      <c r="O793" s="72"/>
      <c r="P793" s="36"/>
      <c r="Q793" s="39">
        <f t="shared" si="148"/>
        <v>205.84</v>
      </c>
      <c r="R793" s="8"/>
    </row>
    <row r="794" spans="2:20" ht="16.8">
      <c r="B794" s="37">
        <v>2</v>
      </c>
      <c r="C794" s="37"/>
      <c r="D794" s="38">
        <v>45545</v>
      </c>
      <c r="E794" s="36"/>
      <c r="F794" s="49"/>
      <c r="G794" s="36"/>
      <c r="H794" s="38">
        <v>23936</v>
      </c>
      <c r="I794" s="47"/>
      <c r="J794" s="39">
        <v>0</v>
      </c>
      <c r="K794" s="39">
        <v>664</v>
      </c>
      <c r="L794" s="39"/>
      <c r="M794" s="36"/>
      <c r="N794" s="36"/>
      <c r="O794" s="72"/>
      <c r="P794" s="36"/>
      <c r="Q794" s="39">
        <f t="shared" si="148"/>
        <v>205.84</v>
      </c>
      <c r="R794" s="8"/>
    </row>
    <row r="795" spans="2:20" ht="16.8">
      <c r="B795" s="37">
        <v>2</v>
      </c>
      <c r="C795" s="37" t="s">
        <v>1127</v>
      </c>
      <c r="D795" s="38">
        <v>45547</v>
      </c>
      <c r="E795" s="36"/>
      <c r="F795" s="49">
        <v>7488484625</v>
      </c>
      <c r="G795" s="36" t="s">
        <v>1126</v>
      </c>
      <c r="H795" s="38">
        <v>24118</v>
      </c>
      <c r="I795" s="47"/>
      <c r="J795" s="39">
        <v>0</v>
      </c>
      <c r="K795" s="39">
        <v>664</v>
      </c>
      <c r="L795" s="39"/>
      <c r="M795" s="36"/>
      <c r="N795" s="36"/>
      <c r="O795" s="72" t="s">
        <v>129</v>
      </c>
      <c r="P795" s="36"/>
      <c r="Q795" s="39">
        <f t="shared" si="148"/>
        <v>205.84</v>
      </c>
      <c r="R795" s="8"/>
    </row>
    <row r="796" spans="2:20" ht="19.2">
      <c r="B796" s="37">
        <v>2</v>
      </c>
      <c r="C796" s="37" t="s">
        <v>1136</v>
      </c>
      <c r="D796" s="38">
        <v>45561</v>
      </c>
      <c r="E796" s="36"/>
      <c r="F796" s="109">
        <v>7488242260</v>
      </c>
      <c r="G796" s="36" t="s">
        <v>1133</v>
      </c>
      <c r="H796" s="38">
        <v>28000</v>
      </c>
      <c r="I796" s="47" t="s">
        <v>1134</v>
      </c>
      <c r="J796" s="39">
        <v>0</v>
      </c>
      <c r="K796" s="39">
        <v>714</v>
      </c>
      <c r="L796" s="39"/>
      <c r="M796" s="36"/>
      <c r="N796" s="36"/>
      <c r="O796" s="72" t="s">
        <v>1135</v>
      </c>
      <c r="P796" s="36"/>
      <c r="Q796" s="39">
        <f t="shared" si="148"/>
        <v>221.34</v>
      </c>
    </row>
    <row r="797" spans="2:20" ht="16.8">
      <c r="D797" s="1"/>
      <c r="F797" s="48"/>
      <c r="H797" s="1"/>
      <c r="Q797"/>
    </row>
    <row r="798" spans="2:20" ht="16.8">
      <c r="D798" s="1"/>
      <c r="F798" s="48"/>
      <c r="H798" s="1"/>
      <c r="Q798"/>
    </row>
    <row r="799" spans="2:20" ht="16.8">
      <c r="D799" s="1"/>
      <c r="F799" s="48"/>
      <c r="H799" s="1"/>
      <c r="Q799"/>
    </row>
    <row r="800" spans="2:20">
      <c r="B800" s="35">
        <f>COUNTA(B762:B799)</f>
        <v>29</v>
      </c>
      <c r="C800" s="34"/>
      <c r="D800" s="34"/>
      <c r="E800" s="35"/>
      <c r="F800" s="35"/>
      <c r="G800" s="34"/>
      <c r="H800" s="46"/>
      <c r="I800" s="34"/>
      <c r="J800" s="124">
        <f>SUM(J771:J799)</f>
        <v>2658</v>
      </c>
      <c r="K800" s="124">
        <f>SUM(K771:K799)</f>
        <v>34873.118644067799</v>
      </c>
      <c r="L800" s="124">
        <f>SUM(L771:L799)</f>
        <v>35604.280000000006</v>
      </c>
      <c r="M800" s="34">
        <f>SUM(M771:M799)</f>
        <v>30723.360000000001</v>
      </c>
      <c r="N800" s="110">
        <f>L800-M800</f>
        <v>4880.9200000000055</v>
      </c>
      <c r="O800" s="71">
        <f>SUM(O762:O799)</f>
        <v>0</v>
      </c>
      <c r="P800" s="107">
        <f>SUM(P771:P799)</f>
        <v>-3903.42</v>
      </c>
      <c r="Q800" s="34">
        <f>SUM(Q762:Q799)</f>
        <v>1506.85</v>
      </c>
      <c r="R800" s="107">
        <f>SUM(R771:R799)</f>
        <v>10978.324406779664</v>
      </c>
      <c r="S800" s="34">
        <f>SUM(S717:S799)</f>
        <v>1433.7143999999998</v>
      </c>
      <c r="T800" s="34">
        <f>SUM(T717:T799)</f>
        <v>5868.5199999999995</v>
      </c>
    </row>
    <row r="801" spans="2:20" ht="16.8">
      <c r="D801" s="1"/>
      <c r="F801" s="48"/>
      <c r="H801" s="1"/>
      <c r="Q801"/>
    </row>
    <row r="802" spans="2:20" ht="16.8">
      <c r="B802" s="9" t="s">
        <v>1174</v>
      </c>
      <c r="D802" s="1">
        <v>45934</v>
      </c>
      <c r="F802" s="48">
        <v>9661117865</v>
      </c>
      <c r="G802" t="s">
        <v>297</v>
      </c>
      <c r="H802" s="1"/>
      <c r="J802" s="5">
        <v>0</v>
      </c>
      <c r="K802" s="5">
        <v>714</v>
      </c>
      <c r="L802" s="5">
        <f t="shared" ref="L802:L806" si="149">(J802+K802)*1.18</f>
        <v>842.52</v>
      </c>
      <c r="M802">
        <v>800</v>
      </c>
      <c r="O802" s="3" t="s">
        <v>296</v>
      </c>
      <c r="Q802"/>
      <c r="R802" s="8">
        <f t="shared" ref="R802:R806" si="150">IF(B802="4P",K802*0.385,IF(B802="4D",K802*0.3,IF(B802="HH",K802*0.41,IF(B802="RE",K802*0.35,IF(B802="SC",K802*0.51,K802*0.4)))))</f>
        <v>292.74</v>
      </c>
    </row>
    <row r="803" spans="2:20" ht="16.8">
      <c r="D803" s="1"/>
      <c r="F803" s="48"/>
      <c r="H803" s="1"/>
      <c r="L803" s="5">
        <f t="shared" si="149"/>
        <v>0</v>
      </c>
      <c r="Q803"/>
      <c r="R803" s="8">
        <f t="shared" si="150"/>
        <v>0</v>
      </c>
    </row>
    <row r="804" spans="2:20" ht="15">
      <c r="B804" s="58" t="s">
        <v>1176</v>
      </c>
      <c r="C804" s="58"/>
      <c r="D804" s="97">
        <v>45946</v>
      </c>
      <c r="E804" s="64"/>
      <c r="F804" s="108">
        <v>9234730854</v>
      </c>
      <c r="G804" s="64" t="s">
        <v>1568</v>
      </c>
      <c r="H804" s="97"/>
      <c r="I804" s="98"/>
      <c r="J804" s="111">
        <v>0</v>
      </c>
      <c r="K804" s="111">
        <v>714</v>
      </c>
      <c r="L804" s="5">
        <f t="shared" si="149"/>
        <v>842.52</v>
      </c>
      <c r="M804" s="64">
        <v>800</v>
      </c>
      <c r="N804" s="64"/>
      <c r="O804" s="96"/>
      <c r="Q804"/>
      <c r="R804" s="8">
        <f t="shared" si="150"/>
        <v>364.14</v>
      </c>
      <c r="T804" t="s">
        <v>1567</v>
      </c>
    </row>
    <row r="805" spans="2:20" ht="15">
      <c r="B805" s="9" t="s">
        <v>1173</v>
      </c>
      <c r="C805" s="106"/>
      <c r="D805" s="1"/>
      <c r="F805" s="108">
        <v>7739044155</v>
      </c>
      <c r="G805" t="s">
        <v>1569</v>
      </c>
      <c r="J805" s="5">
        <v>0</v>
      </c>
      <c r="K805" s="5">
        <v>2500</v>
      </c>
      <c r="L805" s="5">
        <f t="shared" si="149"/>
        <v>2950</v>
      </c>
      <c r="Q805"/>
      <c r="R805" s="8">
        <f t="shared" si="150"/>
        <v>962.5</v>
      </c>
    </row>
    <row r="806" spans="2:20" ht="15">
      <c r="B806" s="9" t="s">
        <v>1174</v>
      </c>
      <c r="C806" s="9" t="s">
        <v>1570</v>
      </c>
      <c r="D806" s="1">
        <v>45953</v>
      </c>
      <c r="F806" s="108">
        <v>7004105562</v>
      </c>
      <c r="G806" t="s">
        <v>1132</v>
      </c>
      <c r="H806" s="1">
        <v>29221</v>
      </c>
      <c r="J806" s="5">
        <v>0</v>
      </c>
      <c r="K806" s="5">
        <v>714</v>
      </c>
      <c r="L806" s="5">
        <f t="shared" si="149"/>
        <v>842.52</v>
      </c>
      <c r="Q806"/>
      <c r="R806" s="8">
        <f t="shared" si="150"/>
        <v>292.74</v>
      </c>
    </row>
    <row r="807" spans="2:20">
      <c r="P807" s="36"/>
      <c r="R807" s="8"/>
    </row>
    <row r="808" spans="2:20" ht="16.8">
      <c r="B808" s="37">
        <v>4</v>
      </c>
      <c r="C808" s="37"/>
      <c r="D808" s="38">
        <v>45540</v>
      </c>
      <c r="E808" s="36"/>
      <c r="F808" s="49">
        <v>9031183795</v>
      </c>
      <c r="G808" s="36" t="s">
        <v>260</v>
      </c>
      <c r="H808" s="38">
        <v>31206</v>
      </c>
      <c r="I808" s="47" t="s">
        <v>1117</v>
      </c>
      <c r="J808" s="39">
        <v>1994</v>
      </c>
      <c r="K808" s="39">
        <v>1994</v>
      </c>
      <c r="L808" s="39"/>
      <c r="M808" s="36"/>
      <c r="N808" s="36"/>
      <c r="O808" s="72" t="s">
        <v>259</v>
      </c>
      <c r="P808" s="36"/>
      <c r="Q808" s="39">
        <f t="shared" ref="Q808:Q813" si="151">IF(OR(B808=2,B808=4),K808*0.31,IF(B808=3,J808*0.4+K808*0.025,J808*0.21+K808*0.025))</f>
        <v>618.14</v>
      </c>
      <c r="R808" s="8"/>
    </row>
    <row r="809" spans="2:20" ht="16.8">
      <c r="B809" s="37">
        <v>2</v>
      </c>
      <c r="C809" s="37" t="s">
        <v>1120</v>
      </c>
      <c r="D809" s="38">
        <v>45543</v>
      </c>
      <c r="E809" s="36"/>
      <c r="F809" s="49">
        <v>8797138434</v>
      </c>
      <c r="G809" s="36" t="s">
        <v>1119</v>
      </c>
      <c r="H809" s="38">
        <v>25894</v>
      </c>
      <c r="I809" s="47" t="s">
        <v>1118</v>
      </c>
      <c r="J809" s="39">
        <v>664</v>
      </c>
      <c r="K809" s="39">
        <v>664</v>
      </c>
      <c r="L809" s="39"/>
      <c r="M809" s="36"/>
      <c r="N809" s="36"/>
      <c r="O809" s="72"/>
      <c r="P809" s="36"/>
      <c r="Q809" s="39">
        <f t="shared" si="151"/>
        <v>205.84</v>
      </c>
      <c r="R809" s="8"/>
    </row>
    <row r="810" spans="2:20" ht="16.8">
      <c r="B810" s="37">
        <v>2</v>
      </c>
      <c r="C810" s="37"/>
      <c r="D810" s="38">
        <v>45545</v>
      </c>
      <c r="E810" s="36"/>
      <c r="F810" s="49"/>
      <c r="G810" s="36"/>
      <c r="H810" s="38">
        <v>23936</v>
      </c>
      <c r="I810" s="47"/>
      <c r="J810" s="39">
        <v>0</v>
      </c>
      <c r="K810" s="39">
        <v>664</v>
      </c>
      <c r="L810" s="39"/>
      <c r="M810" s="36"/>
      <c r="N810" s="36"/>
      <c r="O810" s="72"/>
      <c r="P810" s="36"/>
      <c r="Q810" s="39">
        <f t="shared" si="151"/>
        <v>205.84</v>
      </c>
      <c r="R810" s="8"/>
    </row>
    <row r="811" spans="2:20" ht="16.8">
      <c r="B811" s="37">
        <v>2</v>
      </c>
      <c r="C811" s="37" t="s">
        <v>1127</v>
      </c>
      <c r="D811" s="38">
        <v>45547</v>
      </c>
      <c r="E811" s="36"/>
      <c r="F811" s="49">
        <v>7488484625</v>
      </c>
      <c r="G811" s="36" t="s">
        <v>1126</v>
      </c>
      <c r="H811" s="38">
        <v>24118</v>
      </c>
      <c r="I811" s="47"/>
      <c r="J811" s="39">
        <v>0</v>
      </c>
      <c r="K811" s="39">
        <v>664</v>
      </c>
      <c r="L811" s="39"/>
      <c r="M811" s="36"/>
      <c r="N811" s="36"/>
      <c r="O811" s="72" t="s">
        <v>129</v>
      </c>
      <c r="P811" s="36"/>
      <c r="Q811" s="39">
        <f t="shared" si="151"/>
        <v>205.84</v>
      </c>
      <c r="R811" s="8"/>
    </row>
    <row r="812" spans="2:20" ht="16.8">
      <c r="B812" s="37">
        <v>2</v>
      </c>
      <c r="C812" s="37" t="s">
        <v>1130</v>
      </c>
      <c r="D812" s="38">
        <v>45553</v>
      </c>
      <c r="E812" s="36"/>
      <c r="F812" s="49">
        <v>7004105562</v>
      </c>
      <c r="G812" s="36" t="s">
        <v>1132</v>
      </c>
      <c r="H812" s="38">
        <v>29221</v>
      </c>
      <c r="I812" s="47" t="s">
        <v>1131</v>
      </c>
      <c r="J812" s="39">
        <v>0</v>
      </c>
      <c r="K812" s="39">
        <v>714</v>
      </c>
      <c r="L812" s="39"/>
      <c r="M812" s="36"/>
      <c r="N812" s="36"/>
      <c r="O812" s="72"/>
      <c r="P812" s="36"/>
      <c r="Q812" s="39">
        <f t="shared" si="151"/>
        <v>221.34</v>
      </c>
    </row>
    <row r="813" spans="2:20" ht="19.2">
      <c r="B813" s="37">
        <v>2</v>
      </c>
      <c r="C813" s="37" t="s">
        <v>1136</v>
      </c>
      <c r="D813" s="38">
        <v>45561</v>
      </c>
      <c r="E813" s="36"/>
      <c r="F813" s="109">
        <v>7488242260</v>
      </c>
      <c r="G813" s="36" t="s">
        <v>1133</v>
      </c>
      <c r="H813" s="38">
        <v>28000</v>
      </c>
      <c r="I813" s="47" t="s">
        <v>1134</v>
      </c>
      <c r="J813" s="39">
        <v>0</v>
      </c>
      <c r="K813" s="39">
        <v>714</v>
      </c>
      <c r="L813" s="39"/>
      <c r="M813" s="36"/>
      <c r="N813" s="36"/>
      <c r="O813" s="72" t="s">
        <v>1135</v>
      </c>
      <c r="P813" s="36"/>
      <c r="Q813" s="39">
        <f t="shared" si="151"/>
        <v>221.34</v>
      </c>
    </row>
    <row r="814" spans="2:20">
      <c r="B814" s="35">
        <f>COUNTA(B769:B813)</f>
        <v>35</v>
      </c>
      <c r="C814" s="34"/>
      <c r="D814" s="34"/>
      <c r="E814" s="35"/>
      <c r="F814" s="35"/>
      <c r="G814" s="34"/>
      <c r="H814" s="46"/>
      <c r="I814" s="34"/>
      <c r="J814" s="124">
        <f>SUM(J788:J813)</f>
        <v>7974</v>
      </c>
      <c r="K814" s="124">
        <f>SUM(K788:K813)</f>
        <v>51623.118644067799</v>
      </c>
      <c r="L814" s="124">
        <f>SUM(L788:L813)</f>
        <v>43434.759999999995</v>
      </c>
      <c r="M814" s="34">
        <f>SUM(M788:M813)</f>
        <v>34323.360000000001</v>
      </c>
      <c r="N814" s="110">
        <f>L814-M814</f>
        <v>9111.3999999999942</v>
      </c>
      <c r="O814" s="71">
        <f>SUM(O769:O813)</f>
        <v>0</v>
      </c>
      <c r="P814" s="107">
        <f>SUM(P788:P813)</f>
        <v>-3903.42</v>
      </c>
      <c r="Q814" s="34">
        <f>SUM(Q769:Q813)</f>
        <v>4692.04</v>
      </c>
      <c r="R814" s="107">
        <f>SUM(R802:R813)</f>
        <v>1912.1200000000001</v>
      </c>
      <c r="S814" s="34">
        <f>SUM(S734:S813)</f>
        <v>2867.4287999999997</v>
      </c>
      <c r="T814" s="34">
        <f>SUM(T734:T810)</f>
        <v>11737.039999999999</v>
      </c>
    </row>
    <row r="815" spans="2:20" ht="16.8">
      <c r="D815" s="1"/>
      <c r="F815" s="48"/>
      <c r="H815" s="1"/>
      <c r="Q815"/>
    </row>
    <row r="816" spans="2:20" ht="15">
      <c r="B816" s="58" t="s">
        <v>1173</v>
      </c>
      <c r="C816" s="58" t="s">
        <v>1573</v>
      </c>
      <c r="D816" s="97">
        <v>45962</v>
      </c>
      <c r="E816" s="64"/>
      <c r="F816" s="108">
        <v>9431183878</v>
      </c>
      <c r="G816" s="64" t="s">
        <v>1571</v>
      </c>
      <c r="H816" s="97">
        <v>16958</v>
      </c>
      <c r="I816" s="98" t="s">
        <v>1572</v>
      </c>
      <c r="J816" s="111">
        <v>0</v>
      </c>
      <c r="K816" s="111">
        <v>3416</v>
      </c>
      <c r="L816" s="5">
        <f t="shared" ref="L816:L821" si="152">(J816+K816)*1.18</f>
        <v>4030.8799999999997</v>
      </c>
      <c r="M816" s="64">
        <v>800</v>
      </c>
      <c r="N816" s="64">
        <v>1</v>
      </c>
      <c r="P816">
        <v>-200</v>
      </c>
      <c r="Q816"/>
      <c r="R816" s="8">
        <f t="shared" ref="R816:R826" si="153">IF(B816="4P",K816*0.385,IF(B816="4D",K816*0.3,IF(B816="HH",K816*0.41,IF(B816="RE",K816*0.35,IF(B816="SC",K816*0.51,K816*0.4)))))</f>
        <v>1315.16</v>
      </c>
    </row>
    <row r="817" spans="2:18" ht="15">
      <c r="B817" s="9" t="s">
        <v>1176</v>
      </c>
      <c r="C817" s="106"/>
      <c r="D817" s="1">
        <v>45965</v>
      </c>
      <c r="F817" s="108"/>
      <c r="G817" t="s">
        <v>1584</v>
      </c>
      <c r="J817" s="5">
        <v>0</v>
      </c>
      <c r="K817" s="5">
        <v>664</v>
      </c>
      <c r="L817" s="5">
        <f t="shared" si="152"/>
        <v>783.52</v>
      </c>
      <c r="Q817"/>
      <c r="R817" s="8">
        <f t="shared" si="153"/>
        <v>338.64</v>
      </c>
    </row>
    <row r="818" spans="2:18">
      <c r="B818" s="9" t="s">
        <v>1176</v>
      </c>
      <c r="D818" s="1">
        <v>45975</v>
      </c>
      <c r="G818" t="s">
        <v>1574</v>
      </c>
      <c r="J818" s="5">
        <v>0</v>
      </c>
      <c r="K818" s="5">
        <v>664</v>
      </c>
      <c r="L818" s="5">
        <f t="shared" si="152"/>
        <v>783.52</v>
      </c>
      <c r="O818" s="3" t="s">
        <v>342</v>
      </c>
      <c r="P818" s="36"/>
      <c r="R818" s="8">
        <f t="shared" si="153"/>
        <v>338.64</v>
      </c>
    </row>
    <row r="819" spans="2:18" ht="16.8">
      <c r="B819" s="58" t="s">
        <v>1174</v>
      </c>
      <c r="C819" s="58" t="s">
        <v>1576</v>
      </c>
      <c r="D819" s="97">
        <v>45975</v>
      </c>
      <c r="E819" s="64"/>
      <c r="F819" s="92">
        <v>9608649709</v>
      </c>
      <c r="G819" s="64" t="s">
        <v>1575</v>
      </c>
      <c r="H819" s="97">
        <v>30421</v>
      </c>
      <c r="I819" s="98" t="s">
        <v>1577</v>
      </c>
      <c r="J819" s="111">
        <v>0</v>
      </c>
      <c r="K819" s="111">
        <v>714</v>
      </c>
      <c r="L819" s="111">
        <f t="shared" si="152"/>
        <v>842.52</v>
      </c>
      <c r="M819" s="64"/>
      <c r="N819" s="64"/>
      <c r="O819" s="3" t="s">
        <v>1586</v>
      </c>
      <c r="P819" s="64"/>
      <c r="Q819" s="111"/>
      <c r="R819" s="112">
        <f t="shared" si="153"/>
        <v>292.74</v>
      </c>
    </row>
    <row r="820" spans="2:18" ht="16.8">
      <c r="B820" s="9" t="s">
        <v>1176</v>
      </c>
      <c r="C820" s="9" t="s">
        <v>1160</v>
      </c>
      <c r="D820" s="1">
        <v>45610</v>
      </c>
      <c r="F820" s="48">
        <v>8210352810</v>
      </c>
      <c r="G820" t="s">
        <v>1192</v>
      </c>
      <c r="H820" s="1">
        <v>32157</v>
      </c>
      <c r="I820" s="42" t="s">
        <v>1159</v>
      </c>
      <c r="J820" s="5">
        <v>0</v>
      </c>
      <c r="K820" s="5">
        <f>664+375</f>
        <v>1039</v>
      </c>
      <c r="L820" s="5">
        <f>(J820+K820)*1.18</f>
        <v>1226.02</v>
      </c>
      <c r="M820" s="64"/>
      <c r="N820" s="64"/>
      <c r="O820" s="3" t="s">
        <v>1193</v>
      </c>
      <c r="P820" s="64"/>
      <c r="Q820" s="111"/>
      <c r="R820" s="112">
        <f t="shared" si="153"/>
        <v>529.89</v>
      </c>
    </row>
    <row r="821" spans="2:18" ht="16.8">
      <c r="B821" s="58" t="s">
        <v>1173</v>
      </c>
      <c r="C821" s="58" t="s">
        <v>1579</v>
      </c>
      <c r="D821" s="97">
        <v>45975</v>
      </c>
      <c r="E821" s="64"/>
      <c r="F821" s="92">
        <v>8340125343</v>
      </c>
      <c r="G821" s="64" t="s">
        <v>1578</v>
      </c>
      <c r="H821" s="97"/>
      <c r="I821" s="98"/>
      <c r="J821" s="111">
        <v>0</v>
      </c>
      <c r="K821" s="111">
        <v>2094</v>
      </c>
      <c r="L821" s="111">
        <f t="shared" si="152"/>
        <v>2470.92</v>
      </c>
      <c r="M821" s="64"/>
      <c r="N821" s="64"/>
      <c r="O821" s="3" t="s">
        <v>1585</v>
      </c>
      <c r="P821" s="64">
        <v>-100</v>
      </c>
      <c r="Q821" s="111"/>
      <c r="R821" s="112">
        <f t="shared" si="153"/>
        <v>806.19</v>
      </c>
    </row>
    <row r="822" spans="2:18">
      <c r="B822" s="9" t="s">
        <v>1173</v>
      </c>
      <c r="C822" s="9" t="s">
        <v>1208</v>
      </c>
      <c r="D822" s="1">
        <v>45612</v>
      </c>
      <c r="F822" s="9">
        <v>9931195820</v>
      </c>
      <c r="G822" t="s">
        <v>152</v>
      </c>
      <c r="H822" s="1">
        <v>29343</v>
      </c>
      <c r="J822" s="5">
        <v>552</v>
      </c>
      <c r="K822" s="5">
        <v>3416</v>
      </c>
      <c r="L822" s="5">
        <f>(J822+K822)*1.18</f>
        <v>4682.24</v>
      </c>
      <c r="M822" s="36"/>
      <c r="N822" s="36"/>
      <c r="O822" s="3" t="s">
        <v>763</v>
      </c>
      <c r="P822" s="36"/>
      <c r="Q822" s="39"/>
      <c r="R822" s="112">
        <f t="shared" si="153"/>
        <v>1315.16</v>
      </c>
    </row>
    <row r="823" spans="2:18">
      <c r="B823" s="9" t="s">
        <v>1174</v>
      </c>
      <c r="D823" s="1">
        <v>45980</v>
      </c>
      <c r="G823" t="s">
        <v>1587</v>
      </c>
      <c r="K823" s="111">
        <v>714</v>
      </c>
      <c r="L823" s="5">
        <f t="shared" ref="L823:L826" si="154">(J823+K823)*1.18</f>
        <v>842.52</v>
      </c>
      <c r="O823" s="3" t="s">
        <v>1591</v>
      </c>
      <c r="P823" s="36"/>
      <c r="Q823" s="39"/>
      <c r="R823" s="112">
        <f t="shared" si="153"/>
        <v>292.74</v>
      </c>
    </row>
    <row r="824" spans="2:18" ht="16.8">
      <c r="B824" s="9" t="s">
        <v>1187</v>
      </c>
      <c r="D824" s="1">
        <v>45980</v>
      </c>
      <c r="F824" s="48"/>
      <c r="G824" t="s">
        <v>1588</v>
      </c>
      <c r="H824" s="1"/>
      <c r="J824" s="5">
        <v>0</v>
      </c>
      <c r="K824" s="5">
        <v>714</v>
      </c>
      <c r="L824" s="5">
        <f t="shared" si="154"/>
        <v>842.52</v>
      </c>
      <c r="O824" s="3" t="s">
        <v>321</v>
      </c>
      <c r="P824" s="36"/>
      <c r="Q824" s="39"/>
      <c r="R824" s="112">
        <f t="shared" si="153"/>
        <v>364.14</v>
      </c>
    </row>
    <row r="825" spans="2:18" ht="16.8">
      <c r="B825" s="9" t="s">
        <v>1187</v>
      </c>
      <c r="D825" s="1">
        <v>45981</v>
      </c>
      <c r="F825" s="48"/>
      <c r="G825" t="s">
        <v>1589</v>
      </c>
      <c r="H825" s="1"/>
      <c r="J825" s="5">
        <v>0</v>
      </c>
      <c r="K825" s="111">
        <v>664</v>
      </c>
      <c r="L825" s="5">
        <f t="shared" si="154"/>
        <v>783.52</v>
      </c>
      <c r="O825" s="3" t="s">
        <v>1590</v>
      </c>
      <c r="P825" s="36"/>
      <c r="Q825" s="39"/>
      <c r="R825" s="112">
        <f t="shared" si="153"/>
        <v>338.64</v>
      </c>
    </row>
    <row r="826" spans="2:18">
      <c r="B826" s="9" t="s">
        <v>1173</v>
      </c>
      <c r="D826" s="1">
        <v>45987</v>
      </c>
      <c r="G826" t="s">
        <v>793</v>
      </c>
      <c r="J826" s="5">
        <v>0</v>
      </c>
      <c r="K826" s="5">
        <v>3316</v>
      </c>
      <c r="L826" s="5">
        <f t="shared" si="154"/>
        <v>3912.8799999999997</v>
      </c>
      <c r="P826" s="36"/>
      <c r="Q826" s="39"/>
      <c r="R826" s="112">
        <f t="shared" si="153"/>
        <v>1276.6600000000001</v>
      </c>
    </row>
    <row r="827" spans="2:18">
      <c r="P827" s="36"/>
      <c r="Q827" s="39"/>
      <c r="R827" s="112"/>
    </row>
    <row r="828" spans="2:18" ht="16.8">
      <c r="B828" s="37" t="s">
        <v>1173</v>
      </c>
      <c r="C828" s="37" t="s">
        <v>1180</v>
      </c>
      <c r="D828" s="38">
        <v>45604</v>
      </c>
      <c r="E828" s="36"/>
      <c r="F828" s="49">
        <v>9162891972</v>
      </c>
      <c r="G828" s="36" t="s">
        <v>1178</v>
      </c>
      <c r="H828" s="38">
        <v>31453</v>
      </c>
      <c r="I828" s="47" t="s">
        <v>1179</v>
      </c>
      <c r="J828" s="39">
        <v>0</v>
      </c>
      <c r="K828" s="39"/>
      <c r="L828" s="39">
        <f t="shared" ref="L828:L836" si="155">(J828+K828)*1.18</f>
        <v>0</v>
      </c>
      <c r="M828" s="36"/>
      <c r="N828" s="36"/>
      <c r="O828" s="72" t="s">
        <v>1164</v>
      </c>
      <c r="P828" s="36"/>
      <c r="Q828" s="39"/>
      <c r="R828" s="8"/>
    </row>
    <row r="829" spans="2:18" ht="16.8">
      <c r="B829" s="37" t="s">
        <v>1173</v>
      </c>
      <c r="C829" s="37" t="s">
        <v>1196</v>
      </c>
      <c r="D829" s="38">
        <v>45605</v>
      </c>
      <c r="E829" s="36"/>
      <c r="F829" s="49">
        <v>9939184337</v>
      </c>
      <c r="G829" s="36" t="s">
        <v>1194</v>
      </c>
      <c r="H829" s="38">
        <v>28489</v>
      </c>
      <c r="I829" s="47"/>
      <c r="J829" s="39">
        <v>0</v>
      </c>
      <c r="K829" s="39"/>
      <c r="L829" s="39">
        <f t="shared" si="155"/>
        <v>0</v>
      </c>
      <c r="M829" s="36"/>
      <c r="N829" s="36"/>
      <c r="O829" s="72" t="s">
        <v>1195</v>
      </c>
      <c r="P829" s="36"/>
      <c r="Q829" s="39"/>
      <c r="R829" s="8"/>
    </row>
    <row r="830" spans="2:18" ht="16.8">
      <c r="B830" s="37" t="s">
        <v>1199</v>
      </c>
      <c r="C830" s="37"/>
      <c r="D830" s="38">
        <v>45607</v>
      </c>
      <c r="E830" s="36"/>
      <c r="F830" s="49"/>
      <c r="G830" s="36"/>
      <c r="H830" s="36"/>
      <c r="I830" s="47"/>
      <c r="J830" s="39">
        <v>0</v>
      </c>
      <c r="K830" s="39"/>
      <c r="L830" s="39">
        <f t="shared" si="155"/>
        <v>0</v>
      </c>
      <c r="M830" s="36"/>
      <c r="N830" s="36"/>
      <c r="O830" s="72"/>
      <c r="P830" s="36"/>
      <c r="Q830" s="39"/>
      <c r="R830" s="8"/>
    </row>
    <row r="831" spans="2:18">
      <c r="B831" s="37" t="s">
        <v>1177</v>
      </c>
      <c r="C831" s="37"/>
      <c r="D831" s="38">
        <v>45607</v>
      </c>
      <c r="E831" s="36"/>
      <c r="F831" s="37">
        <v>8145977876</v>
      </c>
      <c r="G831" s="36" t="s">
        <v>1197</v>
      </c>
      <c r="H831" s="38">
        <v>23803</v>
      </c>
      <c r="I831" s="47" t="s">
        <v>1198</v>
      </c>
      <c r="J831" s="39">
        <v>0</v>
      </c>
      <c r="K831" s="39"/>
      <c r="L831" s="39">
        <f t="shared" si="155"/>
        <v>0</v>
      </c>
      <c r="M831" s="36"/>
      <c r="N831" s="36"/>
      <c r="O831" s="72" t="s">
        <v>734</v>
      </c>
      <c r="P831" s="36"/>
      <c r="Q831" s="39"/>
      <c r="R831" s="8"/>
    </row>
    <row r="832" spans="2:18">
      <c r="B832" s="37" t="s">
        <v>1177</v>
      </c>
      <c r="C832" s="37" t="s">
        <v>1202</v>
      </c>
      <c r="D832" s="38">
        <v>45607</v>
      </c>
      <c r="E832" s="36"/>
      <c r="F832" s="37">
        <v>9031212413</v>
      </c>
      <c r="G832" s="36" t="s">
        <v>1200</v>
      </c>
      <c r="H832" s="38">
        <v>30252</v>
      </c>
      <c r="I832" s="47"/>
      <c r="J832" s="39">
        <v>0</v>
      </c>
      <c r="K832" s="39"/>
      <c r="L832" s="39">
        <f t="shared" si="155"/>
        <v>0</v>
      </c>
      <c r="M832" s="36"/>
      <c r="N832" s="36"/>
      <c r="O832" s="72" t="s">
        <v>1201</v>
      </c>
      <c r="P832" s="36"/>
      <c r="Q832" s="39"/>
      <c r="R832" s="8"/>
    </row>
    <row r="833" spans="2:20" ht="16.8">
      <c r="B833" s="37" t="s">
        <v>1173</v>
      </c>
      <c r="C833" s="37" t="s">
        <v>1210</v>
      </c>
      <c r="D833" s="38">
        <v>45614</v>
      </c>
      <c r="E833" s="36"/>
      <c r="F833" s="49">
        <v>8797032751</v>
      </c>
      <c r="G833" s="36" t="s">
        <v>1211</v>
      </c>
      <c r="H833" s="38">
        <v>23617</v>
      </c>
      <c r="I833" s="47"/>
      <c r="J833" s="39">
        <v>0</v>
      </c>
      <c r="K833" s="39"/>
      <c r="L833" s="39">
        <f t="shared" si="155"/>
        <v>0</v>
      </c>
      <c r="M833" s="36"/>
      <c r="N833" s="36"/>
      <c r="O833" s="72" t="s">
        <v>1209</v>
      </c>
      <c r="P833" s="36"/>
      <c r="Q833" s="39"/>
      <c r="R833" s="8"/>
    </row>
    <row r="834" spans="2:20" ht="16.8">
      <c r="B834" s="37" t="s">
        <v>1176</v>
      </c>
      <c r="C834" s="37" t="s">
        <v>1218</v>
      </c>
      <c r="D834" s="38">
        <v>45614</v>
      </c>
      <c r="E834" s="38">
        <v>46343</v>
      </c>
      <c r="F834" s="49"/>
      <c r="G834" s="36" t="s">
        <v>1217</v>
      </c>
      <c r="H834" s="38"/>
      <c r="I834" s="47"/>
      <c r="J834" s="39">
        <v>0</v>
      </c>
      <c r="K834" s="39"/>
      <c r="L834" s="39">
        <f t="shared" si="155"/>
        <v>0</v>
      </c>
      <c r="M834" s="36"/>
      <c r="N834" s="36"/>
      <c r="O834" s="72" t="s">
        <v>1219</v>
      </c>
      <c r="P834" s="36"/>
      <c r="Q834" s="39"/>
      <c r="R834" s="8"/>
    </row>
    <row r="835" spans="2:20" ht="19.2">
      <c r="B835" s="37" t="s">
        <v>1176</v>
      </c>
      <c r="C835" s="37" t="s">
        <v>1214</v>
      </c>
      <c r="D835" s="38">
        <v>45616</v>
      </c>
      <c r="E835" s="36"/>
      <c r="F835" s="109">
        <v>7217393903</v>
      </c>
      <c r="G835" s="36" t="s">
        <v>1212</v>
      </c>
      <c r="H835" s="38">
        <v>25365</v>
      </c>
      <c r="I835" s="47" t="s">
        <v>1213</v>
      </c>
      <c r="J835" s="39">
        <v>0</v>
      </c>
      <c r="K835" s="39"/>
      <c r="L835" s="39">
        <f t="shared" si="155"/>
        <v>0</v>
      </c>
      <c r="M835" s="36"/>
      <c r="N835" s="36"/>
      <c r="O835" s="72" t="s">
        <v>1220</v>
      </c>
      <c r="P835" s="36"/>
      <c r="Q835" s="39"/>
      <c r="R835" s="8"/>
    </row>
    <row r="836" spans="2:20" ht="16.8">
      <c r="B836" s="37" t="s">
        <v>1173</v>
      </c>
      <c r="C836" s="37" t="s">
        <v>1216</v>
      </c>
      <c r="D836" s="38">
        <v>45617</v>
      </c>
      <c r="E836" s="36"/>
      <c r="F836" s="49"/>
      <c r="G836" s="36" t="s">
        <v>195</v>
      </c>
      <c r="H836" s="38"/>
      <c r="I836" s="47"/>
      <c r="J836" s="39">
        <v>0</v>
      </c>
      <c r="K836" s="39"/>
      <c r="L836" s="39">
        <f t="shared" si="155"/>
        <v>0</v>
      </c>
      <c r="M836" s="36"/>
      <c r="N836" s="36"/>
      <c r="O836" s="72" t="s">
        <v>1215</v>
      </c>
      <c r="P836" s="36"/>
      <c r="Q836" s="39"/>
      <c r="R836" s="8"/>
    </row>
    <row r="837" spans="2:20" ht="16.8">
      <c r="B837" s="37" t="s">
        <v>1176</v>
      </c>
      <c r="C837" s="37"/>
      <c r="D837" s="38">
        <v>45252</v>
      </c>
      <c r="E837" s="36"/>
      <c r="F837" s="49">
        <v>9955844105</v>
      </c>
      <c r="G837" s="36" t="s">
        <v>789</v>
      </c>
      <c r="H837" s="38"/>
      <c r="I837" s="47"/>
      <c r="J837" s="39">
        <v>0</v>
      </c>
      <c r="K837" s="39"/>
      <c r="L837" s="39">
        <f>(J837+K837)*1.18</f>
        <v>0</v>
      </c>
      <c r="M837" s="36"/>
      <c r="N837" s="36"/>
      <c r="O837" s="72" t="s">
        <v>788</v>
      </c>
      <c r="P837" s="36"/>
      <c r="Q837" s="39"/>
      <c r="R837" s="8"/>
    </row>
    <row r="838" spans="2:20">
      <c r="B838" s="37" t="s">
        <v>1173</v>
      </c>
      <c r="C838" s="37" t="s">
        <v>794</v>
      </c>
      <c r="D838" s="38">
        <v>45619</v>
      </c>
      <c r="E838" s="38">
        <v>45987</v>
      </c>
      <c r="F838" s="37">
        <v>9304735995</v>
      </c>
      <c r="G838" s="36" t="s">
        <v>1221</v>
      </c>
      <c r="H838" s="38">
        <v>29447</v>
      </c>
      <c r="I838" s="47" t="s">
        <v>1222</v>
      </c>
      <c r="J838" s="39">
        <v>0</v>
      </c>
      <c r="K838" s="39"/>
      <c r="L838" s="39">
        <f>(J838+K838)*1.18</f>
        <v>0</v>
      </c>
      <c r="M838" s="36"/>
      <c r="N838" s="36"/>
      <c r="O838" s="72" t="s">
        <v>794</v>
      </c>
      <c r="P838" s="36"/>
      <c r="Q838" s="39"/>
      <c r="R838" s="8"/>
    </row>
    <row r="839" spans="2:20" ht="16.8">
      <c r="B839" s="37" t="s">
        <v>1176</v>
      </c>
      <c r="C839" s="37" t="s">
        <v>1226</v>
      </c>
      <c r="D839" s="38">
        <v>45625</v>
      </c>
      <c r="E839" s="36"/>
      <c r="F839" s="49">
        <v>9934345948</v>
      </c>
      <c r="G839" s="36" t="s">
        <v>1223</v>
      </c>
      <c r="H839" s="38">
        <v>28389</v>
      </c>
      <c r="I839" s="47" t="s">
        <v>1224</v>
      </c>
      <c r="J839" s="39">
        <v>0</v>
      </c>
      <c r="K839" s="39"/>
      <c r="L839" s="39">
        <f>(J839+K839)*1.18</f>
        <v>0</v>
      </c>
      <c r="M839" s="36"/>
      <c r="N839" s="36"/>
      <c r="O839" s="72" t="s">
        <v>1225</v>
      </c>
      <c r="P839" s="36"/>
      <c r="Q839" s="39"/>
      <c r="R839" s="8"/>
    </row>
    <row r="840" spans="2:20" ht="16.8">
      <c r="B840" s="37" t="s">
        <v>1177</v>
      </c>
      <c r="C840" s="37" t="s">
        <v>1230</v>
      </c>
      <c r="D840" s="38">
        <v>45625</v>
      </c>
      <c r="E840" s="36"/>
      <c r="F840" s="49">
        <v>7259975299</v>
      </c>
      <c r="G840" s="36" t="s">
        <v>1227</v>
      </c>
      <c r="H840" s="38">
        <v>30683</v>
      </c>
      <c r="I840" s="47" t="s">
        <v>1228</v>
      </c>
      <c r="J840" s="39">
        <v>0</v>
      </c>
      <c r="K840" s="39"/>
      <c r="L840" s="39">
        <f>(J840+K840)*1.18</f>
        <v>0</v>
      </c>
      <c r="M840" s="36"/>
      <c r="N840" s="36"/>
      <c r="O840" s="72" t="s">
        <v>1229</v>
      </c>
      <c r="P840" s="36"/>
      <c r="Q840" s="39"/>
      <c r="R840" s="8"/>
    </row>
    <row r="841" spans="2:20" ht="16.8">
      <c r="B841" s="37" t="s">
        <v>1176</v>
      </c>
      <c r="C841" s="37" t="s">
        <v>1232</v>
      </c>
      <c r="D841" s="38">
        <v>45626</v>
      </c>
      <c r="E841" s="36"/>
      <c r="F841" s="49">
        <v>8797795705</v>
      </c>
      <c r="G841" s="36" t="s">
        <v>1231</v>
      </c>
      <c r="H841" s="38">
        <v>29382</v>
      </c>
      <c r="I841" s="47"/>
      <c r="J841" s="39">
        <v>0</v>
      </c>
      <c r="K841" s="39"/>
      <c r="L841" s="39">
        <f>(J841+K841)*1.18</f>
        <v>0</v>
      </c>
      <c r="M841" s="36"/>
      <c r="N841" s="36"/>
      <c r="O841" s="72" t="s">
        <v>1233</v>
      </c>
      <c r="P841" s="36"/>
      <c r="Q841" s="39"/>
      <c r="R841" s="8"/>
    </row>
    <row r="842" spans="2:20">
      <c r="B842" s="35">
        <f>COUNTA(B782:B841)</f>
        <v>49</v>
      </c>
      <c r="C842" s="34"/>
      <c r="D842" s="34"/>
      <c r="E842" s="35"/>
      <c r="F842" s="35"/>
      <c r="G842" s="34"/>
      <c r="H842" s="46"/>
      <c r="I842" s="34"/>
      <c r="J842" s="124"/>
      <c r="K842" s="124">
        <f>SUM(K802:K841)</f>
        <v>79094.118644067799</v>
      </c>
      <c r="L842" s="124">
        <f>SUM(L802:L841)</f>
        <v>70113.379999999976</v>
      </c>
      <c r="M842" s="34">
        <f>SUM(M802:M841)</f>
        <v>36723.360000000001</v>
      </c>
      <c r="N842" s="110">
        <f>L842-M842</f>
        <v>33390.019999999975</v>
      </c>
      <c r="O842" s="71">
        <f>SUM(O782:O841)</f>
        <v>0</v>
      </c>
      <c r="P842" s="107">
        <f>SUM(P802:P841)</f>
        <v>-4203.42</v>
      </c>
      <c r="Q842" s="34">
        <f>SUM(Q782:Q841)</f>
        <v>9384.08</v>
      </c>
      <c r="R842" s="107">
        <f>SUM(R816:R841)</f>
        <v>7208.6</v>
      </c>
      <c r="S842" s="34">
        <f>SUM(S748:S841)</f>
        <v>5614.8575999999994</v>
      </c>
      <c r="T842" s="34">
        <f>SUM(T748:T822)</f>
        <v>22501.659999999996</v>
      </c>
    </row>
    <row r="844" spans="2:20" ht="16.8">
      <c r="B844" s="9" t="s">
        <v>1173</v>
      </c>
      <c r="D844" s="1">
        <v>45994</v>
      </c>
      <c r="F844" s="48">
        <v>9031183795</v>
      </c>
      <c r="G844" t="s">
        <v>260</v>
      </c>
      <c r="H844" s="1">
        <v>31206</v>
      </c>
      <c r="I844" s="42" t="s">
        <v>1117</v>
      </c>
      <c r="J844" s="5">
        <v>0</v>
      </c>
      <c r="K844" s="5">
        <v>2024</v>
      </c>
      <c r="L844" s="5">
        <f>(J844+K844)*1.18</f>
        <v>2388.3199999999997</v>
      </c>
      <c r="O844" s="3" t="s">
        <v>259</v>
      </c>
      <c r="Q844"/>
      <c r="R844" s="8">
        <f t="shared" ref="R844:R1019" si="156">IF(B844="4P",K844*0.385,IF(B844="4D",K844*0.3,IF(B844="HH",K844*0.41,IF(B844="RE",K844*0.35,IF(B844="SC",K844*0.51,K844*0.4)))))</f>
        <v>779.24</v>
      </c>
    </row>
    <row r="845" spans="2:20" ht="16.8">
      <c r="B845" s="9" t="s">
        <v>1173</v>
      </c>
      <c r="D845" s="1">
        <v>45997</v>
      </c>
      <c r="F845" s="48"/>
      <c r="G845" t="s">
        <v>1580</v>
      </c>
      <c r="H845" s="1">
        <v>21547</v>
      </c>
      <c r="J845" s="5">
        <v>10878.47</v>
      </c>
      <c r="K845" s="5">
        <v>0</v>
      </c>
      <c r="L845" s="5">
        <f>(J845+K845)*1.18</f>
        <v>12836.594599999999</v>
      </c>
      <c r="O845" s="3" t="s">
        <v>1581</v>
      </c>
      <c r="Q845"/>
      <c r="R845" s="8">
        <f>J845*0.22</f>
        <v>2393.2633999999998</v>
      </c>
    </row>
    <row r="846" spans="2:20" ht="16.8">
      <c r="B846" s="9" t="s">
        <v>1173</v>
      </c>
      <c r="D846" s="1">
        <v>45997</v>
      </c>
      <c r="F846" s="48"/>
      <c r="G846" t="s">
        <v>1582</v>
      </c>
      <c r="H846" s="1"/>
      <c r="J846" s="5">
        <v>0</v>
      </c>
      <c r="K846" s="5">
        <v>3746</v>
      </c>
      <c r="L846" s="5">
        <f>(J846+K846)*1.18</f>
        <v>4420.28</v>
      </c>
      <c r="O846" s="3" t="s">
        <v>1583</v>
      </c>
      <c r="Q846"/>
      <c r="R846" s="8">
        <f t="shared" si="156"/>
        <v>1442.21</v>
      </c>
    </row>
    <row r="847" spans="2:20" ht="16.8">
      <c r="B847" s="9" t="s">
        <v>1173</v>
      </c>
      <c r="C847" s="9" t="s">
        <v>1594</v>
      </c>
      <c r="D847" s="1"/>
      <c r="F847" s="48">
        <v>9934326715</v>
      </c>
      <c r="G847" t="s">
        <v>1592</v>
      </c>
      <c r="H847" s="1">
        <v>28830</v>
      </c>
      <c r="J847" s="5">
        <v>0</v>
      </c>
      <c r="K847" s="5">
        <v>3746</v>
      </c>
      <c r="L847" s="5">
        <f>(J847+K847)*1.18</f>
        <v>4420.28</v>
      </c>
      <c r="O847" s="3" t="s">
        <v>1593</v>
      </c>
      <c r="Q847"/>
      <c r="R847" s="8">
        <f t="shared" si="156"/>
        <v>1442.21</v>
      </c>
    </row>
    <row r="848" spans="2:20" ht="16.8">
      <c r="B848" s="9" t="s">
        <v>1174</v>
      </c>
      <c r="C848" s="9" t="s">
        <v>1594</v>
      </c>
      <c r="D848" s="1">
        <v>46013</v>
      </c>
      <c r="F848" s="48">
        <v>7734983880</v>
      </c>
      <c r="G848" t="s">
        <v>1595</v>
      </c>
      <c r="H848" s="1"/>
      <c r="J848" s="5">
        <v>0</v>
      </c>
      <c r="K848" s="5">
        <v>714</v>
      </c>
      <c r="L848" s="5">
        <f>(J848+K848)*1.18</f>
        <v>842.52</v>
      </c>
      <c r="O848" s="3" t="s">
        <v>1596</v>
      </c>
      <c r="Q848"/>
      <c r="R848" s="8">
        <f t="shared" si="156"/>
        <v>292.74</v>
      </c>
    </row>
    <row r="849" spans="2:20" ht="16.8">
      <c r="B849" s="9" t="s">
        <v>1176</v>
      </c>
      <c r="D849" s="1">
        <v>46014</v>
      </c>
      <c r="F849" s="48"/>
      <c r="G849" t="s">
        <v>1598</v>
      </c>
      <c r="H849" s="1"/>
      <c r="J849" s="5">
        <v>0</v>
      </c>
      <c r="K849" s="5">
        <v>714</v>
      </c>
      <c r="L849" s="5">
        <f t="shared" ref="L849:L852" si="157">(J849+K849)*1.18</f>
        <v>842.52</v>
      </c>
      <c r="N849" t="s">
        <v>1499</v>
      </c>
      <c r="Q849"/>
      <c r="R849" s="8">
        <f t="shared" si="156"/>
        <v>364.14</v>
      </c>
    </row>
    <row r="850" spans="2:20" ht="16.8">
      <c r="B850" s="9" t="s">
        <v>1176</v>
      </c>
      <c r="D850" s="1">
        <v>46014</v>
      </c>
      <c r="F850" s="48"/>
      <c r="G850" t="s">
        <v>1597</v>
      </c>
      <c r="H850" s="1"/>
      <c r="J850" s="5">
        <v>0</v>
      </c>
      <c r="K850" s="5">
        <v>714</v>
      </c>
      <c r="L850" s="5">
        <f t="shared" si="157"/>
        <v>842.52</v>
      </c>
      <c r="N850" t="s">
        <v>1555</v>
      </c>
      <c r="Q850"/>
      <c r="R850" s="8">
        <f t="shared" si="156"/>
        <v>364.14</v>
      </c>
    </row>
    <row r="851" spans="2:20">
      <c r="B851" s="3" t="s">
        <v>1173</v>
      </c>
      <c r="C851" s="1"/>
      <c r="D851" s="1">
        <v>45653</v>
      </c>
      <c r="E851" s="3"/>
      <c r="F851" s="9">
        <v>8434671734</v>
      </c>
      <c r="G851" t="s">
        <v>84</v>
      </c>
      <c r="H851" s="3">
        <v>22947</v>
      </c>
      <c r="I851" s="3" t="s">
        <v>777</v>
      </c>
      <c r="J851" s="5">
        <v>0</v>
      </c>
      <c r="K851" s="5">
        <v>2094</v>
      </c>
      <c r="L851" s="5">
        <f t="shared" si="157"/>
        <v>2470.92</v>
      </c>
      <c r="N851" t="s">
        <v>1599</v>
      </c>
      <c r="O851" s="3" t="s">
        <v>218</v>
      </c>
      <c r="Q851"/>
      <c r="R851" s="8">
        <f t="shared" si="156"/>
        <v>806.19</v>
      </c>
    </row>
    <row r="852" spans="2:20" ht="16.8">
      <c r="B852" s="9" t="s">
        <v>1187</v>
      </c>
      <c r="D852" s="1">
        <v>46022</v>
      </c>
      <c r="E852" s="1">
        <v>46387</v>
      </c>
      <c r="F852" s="48">
        <v>8797795705</v>
      </c>
      <c r="H852" s="1"/>
      <c r="J852" s="5">
        <v>0</v>
      </c>
      <c r="K852" s="5">
        <v>1014</v>
      </c>
      <c r="L852" s="5">
        <f t="shared" si="157"/>
        <v>1196.52</v>
      </c>
      <c r="N852" t="s">
        <v>1600</v>
      </c>
      <c r="O852" s="3" t="s">
        <v>1233</v>
      </c>
      <c r="Q852"/>
      <c r="R852" s="8">
        <f t="shared" si="156"/>
        <v>517.14</v>
      </c>
    </row>
    <row r="853" spans="2:20" ht="16.8">
      <c r="D853" s="1"/>
      <c r="F853" s="48"/>
      <c r="H853" s="1"/>
      <c r="Q853"/>
      <c r="R853" s="8"/>
    </row>
    <row r="854" spans="2:20">
      <c r="B854" s="35">
        <f>COUNTA(B808:B852)</f>
        <v>42</v>
      </c>
      <c r="C854" s="34"/>
      <c r="D854" s="34"/>
      <c r="E854" s="35"/>
      <c r="F854" s="35"/>
      <c r="G854" s="34"/>
      <c r="H854" s="46"/>
      <c r="I854" s="34"/>
      <c r="J854" s="124"/>
      <c r="K854" s="124">
        <f>SUM(K828:K852)</f>
        <v>93860.118644067799</v>
      </c>
      <c r="L854" s="124">
        <f>SUM(L828:L852)</f>
        <v>100373.85459999999</v>
      </c>
      <c r="M854" s="34">
        <f>SUM(M828:M852)</f>
        <v>36723.360000000001</v>
      </c>
      <c r="N854" s="110">
        <f>L854-M854</f>
        <v>63650.494599999991</v>
      </c>
      <c r="O854" s="71">
        <f>SUM(O808:O852)</f>
        <v>0</v>
      </c>
      <c r="P854" s="107">
        <f>SUM(P828:P853)</f>
        <v>-4203.42</v>
      </c>
      <c r="Q854" s="34">
        <f>SUM(Q808:Q853)</f>
        <v>15754.46</v>
      </c>
      <c r="R854" s="107">
        <f>SUM(R842:R853)</f>
        <v>15609.873399999997</v>
      </c>
      <c r="S854" s="34">
        <f>SUM(S769:S853)</f>
        <v>10672.857999999998</v>
      </c>
      <c r="T854" s="34">
        <f ca="1">SUM(T769:T861)</f>
        <v>43382.619999999995</v>
      </c>
    </row>
    <row r="855" spans="2:20" ht="16.8">
      <c r="D855" s="1"/>
      <c r="F855" s="48"/>
      <c r="H855" s="1"/>
      <c r="Q855"/>
      <c r="R855" s="8"/>
    </row>
    <row r="856" spans="2:20" ht="16.8">
      <c r="D856" s="1"/>
      <c r="F856" s="48"/>
      <c r="H856" s="1"/>
      <c r="Q856"/>
    </row>
    <row r="857" spans="2:20" ht="16.8">
      <c r="B857" s="9" t="s">
        <v>1176</v>
      </c>
      <c r="C857" s="9" t="s">
        <v>1226</v>
      </c>
      <c r="D857" s="1">
        <v>46024</v>
      </c>
      <c r="F857" s="92"/>
      <c r="G857" t="s">
        <v>1223</v>
      </c>
      <c r="H857" s="1">
        <v>28389</v>
      </c>
      <c r="I857" s="42" t="s">
        <v>1224</v>
      </c>
      <c r="J857" s="5">
        <v>0</v>
      </c>
      <c r="K857" s="5">
        <v>718</v>
      </c>
      <c r="L857" s="5">
        <f>(J857+K857)*1.18</f>
        <v>847.24</v>
      </c>
      <c r="O857" s="3" t="s">
        <v>1225</v>
      </c>
      <c r="P857" s="36"/>
      <c r="Q857" s="39"/>
      <c r="R857" s="8">
        <f t="shared" si="156"/>
        <v>366.18</v>
      </c>
    </row>
    <row r="858" spans="2:20" ht="16.8">
      <c r="B858" s="9" t="s">
        <v>1177</v>
      </c>
      <c r="D858" s="1">
        <v>46024</v>
      </c>
      <c r="F858" s="92"/>
      <c r="G858" t="s">
        <v>1227</v>
      </c>
      <c r="H858" s="1">
        <v>30683</v>
      </c>
      <c r="I858" s="42" t="s">
        <v>1228</v>
      </c>
      <c r="J858" s="5">
        <v>0</v>
      </c>
      <c r="K858" s="5">
        <v>718</v>
      </c>
      <c r="L858" s="5">
        <f>(J858+K858)*1.18</f>
        <v>847.24</v>
      </c>
      <c r="O858" s="3" t="s">
        <v>1229</v>
      </c>
      <c r="P858" s="36"/>
      <c r="Q858" s="39"/>
      <c r="R858" s="8">
        <f t="shared" si="156"/>
        <v>287.2</v>
      </c>
    </row>
    <row r="859" spans="2:20" ht="16.8">
      <c r="B859" s="9" t="s">
        <v>1176</v>
      </c>
      <c r="D859" s="1">
        <v>46024</v>
      </c>
      <c r="F859" s="92">
        <v>8092266018</v>
      </c>
      <c r="G859" t="s">
        <v>1601</v>
      </c>
      <c r="H859" s="1">
        <v>25514</v>
      </c>
      <c r="I859" s="42" t="s">
        <v>1602</v>
      </c>
      <c r="J859" s="5">
        <v>0</v>
      </c>
      <c r="K859" s="5">
        <v>718</v>
      </c>
      <c r="L859" s="5">
        <f>(J859+K859)*1.18</f>
        <v>847.24</v>
      </c>
      <c r="O859" s="3" t="s">
        <v>1603</v>
      </c>
      <c r="P859" s="36"/>
      <c r="Q859" s="39"/>
      <c r="R859" s="8">
        <f t="shared" si="156"/>
        <v>366.18</v>
      </c>
    </row>
    <row r="860" spans="2:20" ht="15">
      <c r="B860" s="9" t="s">
        <v>1176</v>
      </c>
      <c r="C860" s="9" t="s">
        <v>1605</v>
      </c>
      <c r="D860" s="1">
        <v>46024</v>
      </c>
      <c r="F860" s="108">
        <v>9955197654</v>
      </c>
      <c r="H860" s="1">
        <v>28486</v>
      </c>
      <c r="I860" s="42" t="s">
        <v>1604</v>
      </c>
      <c r="J860" s="5">
        <v>0</v>
      </c>
      <c r="K860" s="5">
        <v>718</v>
      </c>
      <c r="P860" s="36"/>
      <c r="Q860" s="39"/>
      <c r="R860" s="8">
        <f t="shared" si="156"/>
        <v>366.18</v>
      </c>
    </row>
    <row r="861" spans="2:20" ht="15">
      <c r="B861" s="9" t="s">
        <v>1176</v>
      </c>
      <c r="D861" s="1">
        <v>46024</v>
      </c>
      <c r="F861" s="108">
        <v>9162166807</v>
      </c>
      <c r="H861" s="1">
        <v>31242</v>
      </c>
      <c r="I861" s="42" t="s">
        <v>1606</v>
      </c>
      <c r="J861" s="5">
        <v>0</v>
      </c>
      <c r="K861" s="5">
        <v>718</v>
      </c>
      <c r="P861" s="36"/>
      <c r="Q861" s="39"/>
      <c r="R861" s="8">
        <f t="shared" si="156"/>
        <v>366.18</v>
      </c>
    </row>
    <row r="862" spans="2:20" ht="16.8">
      <c r="B862" s="75" t="s">
        <v>1266</v>
      </c>
      <c r="C862" s="9" t="s">
        <v>1274</v>
      </c>
      <c r="D862" s="1">
        <v>46045</v>
      </c>
      <c r="E862" s="1">
        <v>46052</v>
      </c>
      <c r="F862" s="48">
        <v>8340587671</v>
      </c>
      <c r="G862" t="s">
        <v>429</v>
      </c>
      <c r="H862" s="1">
        <v>20403</v>
      </c>
      <c r="I862" s="42" t="s">
        <v>863</v>
      </c>
      <c r="J862" s="5">
        <v>0</v>
      </c>
      <c r="K862" s="5">
        <v>714</v>
      </c>
      <c r="L862" s="5">
        <f t="shared" ref="L862:L867" si="158">(J862+K862)*1.18</f>
        <v>842.52</v>
      </c>
      <c r="O862" s="3" t="s">
        <v>428</v>
      </c>
      <c r="P862" s="36"/>
      <c r="Q862" s="39"/>
      <c r="R862" s="8">
        <f t="shared" si="156"/>
        <v>292.74</v>
      </c>
    </row>
    <row r="863" spans="2:20" ht="16.8">
      <c r="B863" s="75" t="s">
        <v>1266</v>
      </c>
      <c r="C863" s="9" t="s">
        <v>1281</v>
      </c>
      <c r="D863" s="1">
        <v>46047</v>
      </c>
      <c r="E863" s="1">
        <v>46048</v>
      </c>
      <c r="F863" s="92">
        <v>9110162253</v>
      </c>
      <c r="G863" t="s">
        <v>1278</v>
      </c>
      <c r="H863" s="1">
        <v>28856</v>
      </c>
      <c r="I863" s="42" t="s">
        <v>1279</v>
      </c>
      <c r="J863" s="5">
        <v>0</v>
      </c>
      <c r="K863" s="5">
        <v>714</v>
      </c>
      <c r="L863" s="5">
        <f t="shared" si="158"/>
        <v>842.52</v>
      </c>
      <c r="O863" s="3" t="s">
        <v>1280</v>
      </c>
      <c r="P863" s="36"/>
      <c r="Q863" s="39"/>
      <c r="R863" s="8">
        <f t="shared" si="156"/>
        <v>292.74</v>
      </c>
    </row>
    <row r="864" spans="2:20" ht="16.8">
      <c r="B864" s="9" t="s">
        <v>1177</v>
      </c>
      <c r="D864" s="1">
        <v>46047</v>
      </c>
      <c r="F864" s="92">
        <v>9204359913</v>
      </c>
      <c r="G864" t="s">
        <v>23</v>
      </c>
      <c r="H864" s="1"/>
      <c r="J864" s="5">
        <v>0</v>
      </c>
      <c r="K864" s="5">
        <v>1300</v>
      </c>
      <c r="L864" s="5">
        <f t="shared" si="158"/>
        <v>1534</v>
      </c>
      <c r="P864" s="36"/>
      <c r="Q864" s="39"/>
      <c r="R864" s="8">
        <f t="shared" si="156"/>
        <v>520</v>
      </c>
    </row>
    <row r="865" spans="2:20" ht="16.8">
      <c r="B865" s="9" t="s">
        <v>1266</v>
      </c>
      <c r="D865" s="1">
        <v>46051</v>
      </c>
      <c r="F865" s="48">
        <v>9102064346</v>
      </c>
      <c r="G865" t="s">
        <v>860</v>
      </c>
      <c r="H865" s="1">
        <v>34794</v>
      </c>
      <c r="I865" s="42" t="s">
        <v>861</v>
      </c>
      <c r="J865" s="5">
        <v>0</v>
      </c>
      <c r="K865" s="5">
        <v>714</v>
      </c>
      <c r="L865" s="5">
        <f t="shared" si="158"/>
        <v>842.52</v>
      </c>
      <c r="P865" s="36"/>
      <c r="Q865" s="39"/>
      <c r="R865" s="8">
        <f t="shared" si="156"/>
        <v>292.74</v>
      </c>
    </row>
    <row r="866" spans="2:20" ht="19.2">
      <c r="B866" s="9" t="s">
        <v>1266</v>
      </c>
      <c r="D866" s="1">
        <v>46051</v>
      </c>
      <c r="F866" s="94">
        <v>9334096823</v>
      </c>
      <c r="G866" t="s">
        <v>1282</v>
      </c>
      <c r="H866" s="1">
        <v>26034</v>
      </c>
      <c r="I866" s="42" t="s">
        <v>862</v>
      </c>
      <c r="J866" s="5">
        <v>0</v>
      </c>
      <c r="K866" s="5">
        <v>714</v>
      </c>
      <c r="L866" s="5">
        <f t="shared" si="158"/>
        <v>842.52</v>
      </c>
      <c r="P866" s="36"/>
      <c r="Q866" s="39"/>
      <c r="R866" s="8">
        <f t="shared" si="156"/>
        <v>292.74</v>
      </c>
    </row>
    <row r="867" spans="2:20" ht="15">
      <c r="B867" s="9" t="s">
        <v>1176</v>
      </c>
      <c r="C867" s="9" t="s">
        <v>1608</v>
      </c>
      <c r="D867" s="1">
        <v>46051</v>
      </c>
      <c r="E867" s="1">
        <v>46415</v>
      </c>
      <c r="F867" s="108">
        <v>9031225732</v>
      </c>
      <c r="G867" t="s">
        <v>1607</v>
      </c>
      <c r="H867" s="1">
        <v>25118</v>
      </c>
      <c r="I867" s="42" t="s">
        <v>901</v>
      </c>
      <c r="J867" s="5">
        <v>0</v>
      </c>
      <c r="K867" s="5">
        <v>714</v>
      </c>
      <c r="L867" s="5">
        <f t="shared" si="158"/>
        <v>842.52</v>
      </c>
      <c r="P867" s="36"/>
      <c r="Q867" s="39"/>
      <c r="R867" s="8">
        <f t="shared" si="156"/>
        <v>364.14</v>
      </c>
    </row>
    <row r="868" spans="2:20" ht="15">
      <c r="B868" s="9" t="s">
        <v>1174</v>
      </c>
      <c r="D868" s="1">
        <v>46053</v>
      </c>
      <c r="F868" s="108">
        <v>9523402919</v>
      </c>
      <c r="G868" t="s">
        <v>1609</v>
      </c>
      <c r="H868" s="1" t="s">
        <v>1610</v>
      </c>
      <c r="I868" s="42" t="s">
        <v>1611</v>
      </c>
      <c r="J868" s="5">
        <v>0</v>
      </c>
      <c r="K868" s="5">
        <v>714</v>
      </c>
      <c r="L868" s="5">
        <f t="shared" ref="L868" si="159">(J868+K868)*1.18</f>
        <v>842.52</v>
      </c>
      <c r="O868" s="3" t="s">
        <v>1612</v>
      </c>
      <c r="P868" s="36"/>
      <c r="Q868" s="39"/>
      <c r="R868" s="8">
        <f t="shared" si="156"/>
        <v>292.74</v>
      </c>
    </row>
    <row r="869" spans="2:20" ht="19.2">
      <c r="B869" s="9" t="s">
        <v>1176</v>
      </c>
      <c r="C869" s="9" t="s">
        <v>1613</v>
      </c>
      <c r="D869" s="1">
        <v>46053</v>
      </c>
      <c r="F869" s="94">
        <v>8935808115</v>
      </c>
      <c r="G869" t="s">
        <v>1236</v>
      </c>
      <c r="H869" s="1">
        <v>30042</v>
      </c>
      <c r="I869" s="42" t="s">
        <v>1235</v>
      </c>
      <c r="J869" s="5">
        <v>0</v>
      </c>
      <c r="K869" s="5">
        <v>714</v>
      </c>
      <c r="L869" s="5">
        <f>(J869+K869)*1.18</f>
        <v>842.52</v>
      </c>
      <c r="O869" s="3" t="s">
        <v>1237</v>
      </c>
      <c r="P869" s="36"/>
      <c r="Q869" s="39"/>
      <c r="R869" s="8">
        <f t="shared" si="156"/>
        <v>364.14</v>
      </c>
    </row>
    <row r="870" spans="2:20" ht="15">
      <c r="B870" s="9" t="s">
        <v>1266</v>
      </c>
      <c r="C870" s="9" t="s">
        <v>1614</v>
      </c>
      <c r="D870" s="1">
        <v>46053</v>
      </c>
      <c r="F870" s="108">
        <v>7903721579</v>
      </c>
      <c r="G870" t="s">
        <v>1617</v>
      </c>
      <c r="H870" s="1">
        <v>32887</v>
      </c>
      <c r="I870" s="42" t="s">
        <v>1616</v>
      </c>
      <c r="J870" s="5">
        <v>0</v>
      </c>
      <c r="K870" s="5">
        <v>714</v>
      </c>
      <c r="L870" s="5">
        <f>(J870+K870)*1.18</f>
        <v>842.52</v>
      </c>
      <c r="O870" s="3" t="s">
        <v>1615</v>
      </c>
      <c r="P870" s="36"/>
      <c r="Q870" s="39"/>
      <c r="R870" s="8">
        <f t="shared" si="156"/>
        <v>292.74</v>
      </c>
    </row>
    <row r="871" spans="2:20">
      <c r="B871" s="35">
        <f ca="1">COUNTA(B787:B987)</f>
        <v>78</v>
      </c>
      <c r="C871" s="34"/>
      <c r="D871" s="34"/>
      <c r="E871" s="35"/>
      <c r="F871" s="35"/>
      <c r="G871" s="34"/>
      <c r="H871" s="46"/>
      <c r="I871" s="34"/>
      <c r="J871" s="124"/>
      <c r="K871" s="124">
        <f ca="1">SUM(K807:K987)</f>
        <v>282422.35593220341</v>
      </c>
      <c r="L871" s="124">
        <f ca="1">SUM(L807:L987)</f>
        <v>296044.34240000014</v>
      </c>
      <c r="M871" s="34">
        <f ca="1">SUM(M807:M987)</f>
        <v>108570.08</v>
      </c>
      <c r="N871" s="110">
        <f ca="1">L871-M871</f>
        <v>187474.26240000012</v>
      </c>
      <c r="O871" s="71">
        <f ca="1">SUM(O787:O987)</f>
        <v>0</v>
      </c>
      <c r="P871" s="107">
        <f ca="1">SUM(P807:P987)</f>
        <v>-12610.26</v>
      </c>
      <c r="Q871" s="34">
        <f ca="1">SUM(Q787:Q889)</f>
        <v>34522.619999999995</v>
      </c>
      <c r="R871" s="107">
        <f ca="1">SUM(R857:R889)</f>
        <v>4756.6400000000003</v>
      </c>
      <c r="S871" s="34">
        <f ca="1">SUM(S753:S889)</f>
        <v>21702.573199999999</v>
      </c>
      <c r="T871" s="34">
        <f>SUM(T753:T827)</f>
        <v>20880.96</v>
      </c>
    </row>
    <row r="872" spans="2:20" ht="16.8">
      <c r="B872" s="37"/>
      <c r="C872" s="37"/>
      <c r="D872" s="38"/>
      <c r="E872" s="36"/>
      <c r="F872" s="49"/>
      <c r="G872" s="36"/>
      <c r="H872" s="38"/>
      <c r="I872" s="47"/>
      <c r="Q872"/>
      <c r="R872" s="8"/>
    </row>
    <row r="873" spans="2:20" ht="19.2">
      <c r="B873" s="9" t="s">
        <v>1176</v>
      </c>
      <c r="C873" s="9" t="s">
        <v>1613</v>
      </c>
      <c r="D873" s="1">
        <v>46054</v>
      </c>
      <c r="F873" s="94">
        <v>9155117033</v>
      </c>
      <c r="G873" t="s">
        <v>1620</v>
      </c>
      <c r="H873" s="1">
        <v>33273</v>
      </c>
      <c r="I873" s="42" t="s">
        <v>1621</v>
      </c>
      <c r="J873" s="5">
        <v>0</v>
      </c>
      <c r="K873" s="5">
        <v>714</v>
      </c>
      <c r="L873" s="5">
        <f t="shared" ref="L873:L880" si="160">(J873+K873)*1.18</f>
        <v>842.52</v>
      </c>
      <c r="O873" s="3" t="s">
        <v>1237</v>
      </c>
      <c r="P873" s="36"/>
      <c r="Q873" s="39"/>
      <c r="R873" s="8">
        <f t="shared" ref="R873:R889" si="161">IF(B873="4P",K873*0.385,IF(B873="4D",K873*0.3,IF(B873="HH",K873*0.41,IF(B873="RE",K873*0.35,IF(B873="SC",K873*0.51,K873*0.4)))))</f>
        <v>364.14</v>
      </c>
    </row>
    <row r="874" spans="2:20" ht="16.8">
      <c r="B874" s="9" t="s">
        <v>1174</v>
      </c>
      <c r="C874" s="9" t="s">
        <v>1625</v>
      </c>
      <c r="D874" s="1">
        <v>46055</v>
      </c>
      <c r="E874" s="1">
        <v>47150</v>
      </c>
      <c r="F874" s="48"/>
      <c r="G874" t="s">
        <v>1623</v>
      </c>
      <c r="H874" s="1">
        <v>27314</v>
      </c>
      <c r="I874" s="42" t="s">
        <v>1624</v>
      </c>
      <c r="J874" s="5">
        <v>0</v>
      </c>
      <c r="K874" s="5">
        <v>714</v>
      </c>
      <c r="L874" s="5">
        <f t="shared" si="160"/>
        <v>842.52</v>
      </c>
      <c r="P874" s="36"/>
      <c r="Q874" s="39"/>
      <c r="R874" s="8">
        <f t="shared" si="161"/>
        <v>292.74</v>
      </c>
    </row>
    <row r="875" spans="2:20">
      <c r="B875" s="75" t="s">
        <v>1173</v>
      </c>
      <c r="C875" s="9" t="s">
        <v>1300</v>
      </c>
      <c r="D875" s="9">
        <v>45714</v>
      </c>
      <c r="E875" s="9"/>
      <c r="G875" t="s">
        <v>1299</v>
      </c>
      <c r="H875" s="9"/>
      <c r="I875" s="9"/>
      <c r="J875" s="5">
        <v>871.65</v>
      </c>
      <c r="K875" s="5">
        <v>3746</v>
      </c>
      <c r="L875" s="5">
        <f t="shared" si="160"/>
        <v>5448.8269999999993</v>
      </c>
      <c r="M875" s="36"/>
      <c r="N875" s="36"/>
      <c r="O875" s="3" t="s">
        <v>1622</v>
      </c>
      <c r="R875" s="8">
        <f>J875*0.2</f>
        <v>174.33</v>
      </c>
    </row>
    <row r="876" spans="2:20">
      <c r="B876" s="75" t="s">
        <v>1176</v>
      </c>
      <c r="C876" s="9" t="s">
        <v>1302</v>
      </c>
      <c r="D876" s="114">
        <v>46058</v>
      </c>
      <c r="E876" s="114">
        <v>46422</v>
      </c>
      <c r="G876" t="s">
        <v>1301</v>
      </c>
      <c r="H876" s="9"/>
      <c r="I876" s="9"/>
      <c r="J876" s="5">
        <v>0</v>
      </c>
      <c r="K876" s="5">
        <v>668</v>
      </c>
      <c r="L876" s="5">
        <f t="shared" si="160"/>
        <v>788.24</v>
      </c>
      <c r="O876" s="3" t="s">
        <v>440</v>
      </c>
      <c r="P876" s="36"/>
      <c r="Q876" s="39"/>
      <c r="R876" s="8">
        <f t="shared" si="161"/>
        <v>340.68</v>
      </c>
    </row>
    <row r="877" spans="2:20">
      <c r="B877" s="50" t="s">
        <v>1174</v>
      </c>
      <c r="C877" s="9" t="s">
        <v>1264</v>
      </c>
      <c r="D877" s="114">
        <v>46060</v>
      </c>
      <c r="E877" s="9"/>
      <c r="F877" s="9">
        <v>8092468457</v>
      </c>
      <c r="G877" t="s">
        <v>1263</v>
      </c>
      <c r="H877" s="9">
        <v>25692</v>
      </c>
      <c r="I877" s="9" t="s">
        <v>1262</v>
      </c>
      <c r="J877" s="5">
        <v>0</v>
      </c>
      <c r="K877" s="5">
        <v>714</v>
      </c>
      <c r="L877" s="5">
        <f t="shared" si="160"/>
        <v>842.52</v>
      </c>
      <c r="P877" s="36"/>
      <c r="Q877" s="39"/>
      <c r="R877" s="8">
        <f t="shared" si="161"/>
        <v>292.74</v>
      </c>
    </row>
    <row r="878" spans="2:20" ht="16.8">
      <c r="B878" s="9" t="s">
        <v>1266</v>
      </c>
      <c r="D878" s="1">
        <v>46064</v>
      </c>
      <c r="F878" s="48"/>
      <c r="G878" t="s">
        <v>1627</v>
      </c>
      <c r="H878" s="1"/>
      <c r="K878" s="5">
        <v>668</v>
      </c>
      <c r="L878" s="5">
        <f t="shared" si="160"/>
        <v>788.24</v>
      </c>
      <c r="M878">
        <v>180</v>
      </c>
      <c r="P878" s="36"/>
      <c r="Q878" s="39"/>
      <c r="R878" s="8">
        <f t="shared" si="161"/>
        <v>273.88</v>
      </c>
    </row>
    <row r="879" spans="2:20" ht="15">
      <c r="B879" s="9" t="s">
        <v>1266</v>
      </c>
      <c r="C879" s="9" t="s">
        <v>1628</v>
      </c>
      <c r="D879" s="1">
        <v>46065</v>
      </c>
      <c r="F879" s="108">
        <v>9771527967</v>
      </c>
      <c r="G879" t="s">
        <v>1626</v>
      </c>
      <c r="H879" s="1"/>
      <c r="J879" s="5">
        <v>0</v>
      </c>
      <c r="K879" s="5">
        <v>668</v>
      </c>
      <c r="L879" s="5">
        <f t="shared" si="160"/>
        <v>788.24</v>
      </c>
      <c r="M879">
        <v>780</v>
      </c>
      <c r="P879" s="36"/>
      <c r="Q879" s="39"/>
      <c r="R879" s="8">
        <f t="shared" si="161"/>
        <v>273.88</v>
      </c>
    </row>
    <row r="880" spans="2:20" ht="16.8">
      <c r="B880" s="9" t="s">
        <v>1176</v>
      </c>
      <c r="D880" s="1">
        <v>46066</v>
      </c>
      <c r="F880" s="48">
        <v>7631070520</v>
      </c>
      <c r="G880" t="s">
        <v>1629</v>
      </c>
      <c r="H880" s="1"/>
      <c r="J880" s="5">
        <v>0</v>
      </c>
      <c r="K880" s="5">
        <v>714</v>
      </c>
      <c r="L880" s="5">
        <f t="shared" si="160"/>
        <v>842.52</v>
      </c>
      <c r="M880">
        <v>800</v>
      </c>
      <c r="O880" s="3" t="s">
        <v>1630</v>
      </c>
      <c r="P880" s="36"/>
      <c r="Q880" s="39"/>
      <c r="R880" s="8">
        <f t="shared" si="161"/>
        <v>364.14</v>
      </c>
    </row>
    <row r="881" spans="2:20" ht="19.2">
      <c r="B881" s="116" t="s">
        <v>1173</v>
      </c>
      <c r="C881" s="92" t="s">
        <v>1304</v>
      </c>
      <c r="D881" s="97">
        <v>45701</v>
      </c>
      <c r="E881" s="64"/>
      <c r="F881" s="115">
        <v>9006771287</v>
      </c>
      <c r="G881" s="64" t="s">
        <v>314</v>
      </c>
      <c r="H881" s="97">
        <v>29575</v>
      </c>
      <c r="I881" s="98" t="s">
        <v>874</v>
      </c>
      <c r="J881" s="111">
        <v>0</v>
      </c>
      <c r="K881" s="111">
        <v>1994</v>
      </c>
      <c r="L881" s="111">
        <f t="shared" ref="L881:L889" si="162">(J881+K881)*1.18</f>
        <v>2352.92</v>
      </c>
      <c r="M881" s="64">
        <v>2200</v>
      </c>
      <c r="N881" s="64"/>
      <c r="O881" s="96" t="s">
        <v>447</v>
      </c>
      <c r="P881" s="36"/>
      <c r="Q881" s="39"/>
      <c r="R881" s="8">
        <f t="shared" si="161"/>
        <v>767.69</v>
      </c>
    </row>
    <row r="882" spans="2:20" ht="19.2">
      <c r="B882" s="117" t="s">
        <v>1176</v>
      </c>
      <c r="C882" s="92" t="s">
        <v>1631</v>
      </c>
      <c r="D882" s="97">
        <v>45712</v>
      </c>
      <c r="E882" s="64"/>
      <c r="F882" s="115">
        <v>8092602165</v>
      </c>
      <c r="G882" s="64" t="s">
        <v>1316</v>
      </c>
      <c r="H882" s="97">
        <v>24838</v>
      </c>
      <c r="I882" s="98" t="s">
        <v>1317</v>
      </c>
      <c r="J882" s="111">
        <v>0</v>
      </c>
      <c r="K882" s="111">
        <v>714</v>
      </c>
      <c r="L882" s="111">
        <f t="shared" si="162"/>
        <v>842.52</v>
      </c>
      <c r="M882" s="64">
        <v>-50</v>
      </c>
      <c r="N882" s="64"/>
      <c r="O882" s="96" t="s">
        <v>1318</v>
      </c>
      <c r="P882" s="36"/>
      <c r="Q882" s="39"/>
      <c r="R882" s="8">
        <f t="shared" si="161"/>
        <v>364.14</v>
      </c>
    </row>
    <row r="883" spans="2:20" ht="16.8">
      <c r="B883" s="75" t="s">
        <v>1176</v>
      </c>
      <c r="C883" s="9" t="s">
        <v>1635</v>
      </c>
      <c r="D883" s="1">
        <v>46076</v>
      </c>
      <c r="F883" s="48"/>
      <c r="G883" t="s">
        <v>1632</v>
      </c>
      <c r="H883" s="1">
        <v>36443</v>
      </c>
      <c r="I883" s="42" t="s">
        <v>1633</v>
      </c>
      <c r="J883" s="5">
        <v>0</v>
      </c>
      <c r="K883" s="5">
        <v>668</v>
      </c>
      <c r="L883" s="5">
        <f t="shared" si="162"/>
        <v>788.24</v>
      </c>
      <c r="O883" s="3" t="s">
        <v>1634</v>
      </c>
      <c r="P883" s="36"/>
      <c r="Q883" s="39"/>
      <c r="R883" s="8">
        <f t="shared" si="161"/>
        <v>340.68</v>
      </c>
    </row>
    <row r="884" spans="2:20">
      <c r="B884" s="75" t="s">
        <v>1176</v>
      </c>
      <c r="C884" s="9" t="s">
        <v>1636</v>
      </c>
      <c r="D884" s="1">
        <v>46076</v>
      </c>
      <c r="E884" s="9"/>
      <c r="F884" s="9">
        <v>8298048728</v>
      </c>
      <c r="G884" t="s">
        <v>1618</v>
      </c>
      <c r="H884" s="9"/>
      <c r="I884" s="9"/>
      <c r="J884" s="5">
        <v>0</v>
      </c>
      <c r="K884" s="5">
        <v>668</v>
      </c>
      <c r="L884" s="5">
        <f t="shared" si="162"/>
        <v>788.24</v>
      </c>
      <c r="M884" s="9"/>
      <c r="N884" s="9"/>
      <c r="O884" s="3" t="s">
        <v>435</v>
      </c>
      <c r="P884" s="9"/>
      <c r="Q884" s="9"/>
      <c r="R884" s="8">
        <f t="shared" si="161"/>
        <v>340.68</v>
      </c>
    </row>
    <row r="885" spans="2:20" ht="19.2">
      <c r="B885" s="75" t="s">
        <v>1176</v>
      </c>
      <c r="C885" s="92" t="s">
        <v>1637</v>
      </c>
      <c r="D885" s="97">
        <v>45709</v>
      </c>
      <c r="E885" s="64"/>
      <c r="F885" s="115"/>
      <c r="G885" s="64" t="s">
        <v>1311</v>
      </c>
      <c r="H885" s="97"/>
      <c r="I885" s="98"/>
      <c r="J885" s="111">
        <v>0</v>
      </c>
      <c r="K885" s="111">
        <v>668</v>
      </c>
      <c r="L885" s="111">
        <f t="shared" si="162"/>
        <v>788.24</v>
      </c>
      <c r="M885" s="64"/>
      <c r="N885" s="64"/>
      <c r="O885" s="96" t="s">
        <v>791</v>
      </c>
      <c r="P885" s="36"/>
      <c r="Q885" s="39"/>
      <c r="R885" s="8">
        <f t="shared" si="161"/>
        <v>340.68</v>
      </c>
    </row>
    <row r="886" spans="2:20" ht="19.2">
      <c r="B886" s="75" t="s">
        <v>1176</v>
      </c>
      <c r="C886" s="92"/>
      <c r="D886" s="97">
        <v>46079</v>
      </c>
      <c r="E886" s="64"/>
      <c r="F886" s="115">
        <v>7004649083</v>
      </c>
      <c r="G886" s="64" t="s">
        <v>1638</v>
      </c>
      <c r="H886" s="97"/>
      <c r="I886" s="98"/>
      <c r="J886" s="111">
        <v>0</v>
      </c>
      <c r="K886" s="111">
        <v>714</v>
      </c>
      <c r="L886" s="111">
        <f t="shared" si="162"/>
        <v>842.52</v>
      </c>
      <c r="M886" s="64"/>
      <c r="N886" s="64"/>
      <c r="O886" s="96"/>
      <c r="P886" s="36"/>
      <c r="Q886" s="39"/>
      <c r="R886" s="8">
        <f t="shared" si="161"/>
        <v>364.14</v>
      </c>
    </row>
    <row r="887" spans="2:20" ht="19.2">
      <c r="B887" s="75" t="s">
        <v>1176</v>
      </c>
      <c r="C887" s="92"/>
      <c r="D887" s="1">
        <v>45715</v>
      </c>
      <c r="F887" s="94">
        <v>8294009932</v>
      </c>
      <c r="G887" s="64" t="s">
        <v>1619</v>
      </c>
      <c r="H887" s="97">
        <v>32306</v>
      </c>
      <c r="I887" s="98"/>
      <c r="J887" s="111">
        <v>0</v>
      </c>
      <c r="K887" s="111">
        <v>714</v>
      </c>
      <c r="L887" s="111">
        <f t="shared" si="162"/>
        <v>842.52</v>
      </c>
      <c r="M887" s="64"/>
      <c r="N887" s="64"/>
      <c r="O887" s="96" t="s">
        <v>1639</v>
      </c>
      <c r="P887" s="36"/>
      <c r="Q887" s="39"/>
      <c r="R887" s="8">
        <f t="shared" si="161"/>
        <v>364.14</v>
      </c>
    </row>
    <row r="888" spans="2:20" ht="16.8">
      <c r="B888" s="9" t="s">
        <v>1176</v>
      </c>
      <c r="C888" s="92" t="s">
        <v>1640</v>
      </c>
      <c r="D888" s="97"/>
      <c r="E888" s="64"/>
      <c r="F888" s="108">
        <v>9031392395</v>
      </c>
      <c r="G888" s="64" t="s">
        <v>1642</v>
      </c>
      <c r="H888" s="97"/>
      <c r="I888" s="98"/>
      <c r="J888" s="111">
        <v>0</v>
      </c>
      <c r="K888" s="111">
        <v>714</v>
      </c>
      <c r="L888" s="111">
        <f t="shared" si="162"/>
        <v>842.52</v>
      </c>
      <c r="M888" s="64"/>
      <c r="N888" s="64"/>
      <c r="O888" s="96"/>
      <c r="P888" s="36"/>
      <c r="Q888" s="39"/>
      <c r="R888" s="8">
        <f t="shared" si="161"/>
        <v>364.14</v>
      </c>
    </row>
    <row r="889" spans="2:20" ht="16.8">
      <c r="B889" s="9" t="s">
        <v>1176</v>
      </c>
      <c r="C889" s="92"/>
      <c r="D889" s="97"/>
      <c r="E889" s="64"/>
      <c r="F889" s="108">
        <v>9534224668</v>
      </c>
      <c r="G889" s="64" t="s">
        <v>1641</v>
      </c>
      <c r="H889" s="97"/>
      <c r="I889" s="98"/>
      <c r="J889" s="111">
        <v>0</v>
      </c>
      <c r="K889" s="111">
        <v>714</v>
      </c>
      <c r="L889" s="111">
        <f t="shared" si="162"/>
        <v>842.52</v>
      </c>
      <c r="M889" s="64"/>
      <c r="N889" s="64"/>
      <c r="O889" s="96"/>
      <c r="P889" s="36"/>
      <c r="Q889" s="39"/>
      <c r="R889" s="8">
        <f t="shared" si="161"/>
        <v>364.14</v>
      </c>
    </row>
    <row r="890" spans="2:20">
      <c r="Q890"/>
    </row>
    <row r="891" spans="2:20">
      <c r="B891" s="35">
        <f ca="1">COUNTA(B804:B987)</f>
        <v>90</v>
      </c>
      <c r="C891" s="34"/>
      <c r="D891" s="34"/>
      <c r="E891" s="35"/>
      <c r="F891" s="35"/>
      <c r="G891" s="34"/>
      <c r="H891" s="46"/>
      <c r="I891" s="34"/>
      <c r="J891" s="124"/>
      <c r="K891" s="124">
        <f ca="1">SUM(K824:K987)</f>
        <v>517082.59322033904</v>
      </c>
      <c r="L891" s="124">
        <f ca="1">SUM(L824:L987)</f>
        <v>561735.92400000012</v>
      </c>
      <c r="M891" s="34">
        <f ca="1">SUM(M824:M987)</f>
        <v>185976.8</v>
      </c>
      <c r="N891" s="110">
        <f ca="1">L891-M891</f>
        <v>375759.12400000013</v>
      </c>
      <c r="O891" s="71">
        <f ca="1">SUM(O804:O987)</f>
        <v>0</v>
      </c>
      <c r="P891" s="107">
        <f>SUM(P873:P890)</f>
        <v>0</v>
      </c>
      <c r="Q891" s="107">
        <f>SUM(Q873:Q890)</f>
        <v>0</v>
      </c>
      <c r="R891" s="107">
        <f>SUM(R873:R890)</f>
        <v>5986.9600000000019</v>
      </c>
      <c r="S891" s="34">
        <f ca="1">SUM(S768:S890)</f>
        <v>43048.289199999999</v>
      </c>
      <c r="T891" s="34">
        <f>SUM(T768:T844)</f>
        <v>43382.619999999995</v>
      </c>
    </row>
    <row r="892" spans="2:20" ht="16.8">
      <c r="D892" s="1"/>
      <c r="F892" s="48"/>
      <c r="H892" s="1"/>
      <c r="Q892"/>
      <c r="R892" s="8"/>
    </row>
    <row r="893" spans="2:20" ht="16.8">
      <c r="D893" s="1"/>
      <c r="F893" s="48"/>
      <c r="H893" s="1"/>
      <c r="Q893"/>
      <c r="R893" s="8"/>
    </row>
    <row r="894" spans="2:20" ht="19.2">
      <c r="B894" s="75" t="s">
        <v>1176</v>
      </c>
      <c r="C894" s="92" t="s">
        <v>1650</v>
      </c>
      <c r="D894" s="1">
        <v>46089</v>
      </c>
      <c r="F894" s="94"/>
      <c r="G894" s="64" t="s">
        <v>1647</v>
      </c>
      <c r="H894" s="97"/>
      <c r="I894" s="98"/>
      <c r="J894" s="111">
        <v>0</v>
      </c>
      <c r="K894" s="111">
        <v>714</v>
      </c>
      <c r="L894" s="111">
        <f t="shared" ref="L894:L898" si="163">(J894+K894)*1.18</f>
        <v>842.52</v>
      </c>
      <c r="M894" s="64"/>
      <c r="N894" s="64" t="s">
        <v>1649</v>
      </c>
      <c r="O894" s="3" t="s">
        <v>1648</v>
      </c>
      <c r="P894" s="36"/>
      <c r="Q894" s="39"/>
      <c r="R894" s="8">
        <f t="shared" ref="R894:R902" si="164">IF(B894="4P",K894*0.385,IF(B894="4D",K894*0.3,IF(B894="HH",K894*0.41,IF(B894="RE",K894*0.35,IF(B894="SC",K894*0.51,K894*0.4)))))</f>
        <v>364.14</v>
      </c>
    </row>
    <row r="895" spans="2:20" ht="19.2">
      <c r="B895" s="75" t="s">
        <v>1176</v>
      </c>
      <c r="C895" s="92" t="s">
        <v>1652</v>
      </c>
      <c r="D895" s="1">
        <v>46090</v>
      </c>
      <c r="F895" s="94"/>
      <c r="G895" s="64" t="s">
        <v>1651</v>
      </c>
      <c r="H895" s="97"/>
      <c r="I895" s="98"/>
      <c r="J895" s="111">
        <v>0</v>
      </c>
      <c r="K895" s="111">
        <v>714</v>
      </c>
      <c r="L895" s="111">
        <f t="shared" ref="L895" si="165">(J895+K895)*1.18</f>
        <v>842.52</v>
      </c>
      <c r="M895" s="64"/>
      <c r="N895" s="64" t="s">
        <v>1653</v>
      </c>
      <c r="O895" s="3" t="s">
        <v>1654</v>
      </c>
      <c r="P895" s="36"/>
      <c r="Q895" s="39"/>
      <c r="R895" s="8">
        <f t="shared" si="164"/>
        <v>364.14</v>
      </c>
    </row>
    <row r="896" spans="2:20" ht="19.2">
      <c r="B896" s="75" t="s">
        <v>1176</v>
      </c>
      <c r="C896" s="92" t="s">
        <v>1656</v>
      </c>
      <c r="D896" s="1">
        <v>46090</v>
      </c>
      <c r="F896" s="94"/>
      <c r="G896" s="64" t="s">
        <v>1655</v>
      </c>
      <c r="H896" s="97"/>
      <c r="I896" s="98"/>
      <c r="J896" s="111">
        <v>0</v>
      </c>
      <c r="K896" s="111">
        <v>714</v>
      </c>
      <c r="L896" s="111">
        <f t="shared" ref="L896" si="166">(J896+K896)*1.18</f>
        <v>842.52</v>
      </c>
      <c r="M896" s="64"/>
      <c r="N896" s="64" t="s">
        <v>1649</v>
      </c>
      <c r="O896" s="3" t="s">
        <v>1657</v>
      </c>
      <c r="P896" s="36"/>
      <c r="Q896" s="39"/>
      <c r="R896" s="8">
        <f t="shared" si="164"/>
        <v>364.14</v>
      </c>
    </row>
    <row r="897" spans="2:20" ht="19.2">
      <c r="B897" s="75" t="s">
        <v>1176</v>
      </c>
      <c r="C897" s="92" t="s">
        <v>1661</v>
      </c>
      <c r="D897" s="1">
        <v>46094</v>
      </c>
      <c r="F897" s="94"/>
      <c r="G897" s="64" t="s">
        <v>1660</v>
      </c>
      <c r="H897" s="97"/>
      <c r="I897" s="98"/>
      <c r="J897" s="111">
        <v>0</v>
      </c>
      <c r="K897" s="111">
        <v>714</v>
      </c>
      <c r="L897" s="111">
        <f t="shared" ref="L897" si="167">(J897+K897)*1.18</f>
        <v>842.52</v>
      </c>
      <c r="M897" s="64"/>
      <c r="N897" s="64" t="s">
        <v>1505</v>
      </c>
      <c r="O897" s="3" t="s">
        <v>1662</v>
      </c>
      <c r="P897" s="36"/>
      <c r="Q897" s="39"/>
      <c r="R897" s="8">
        <f t="shared" si="164"/>
        <v>364.14</v>
      </c>
    </row>
    <row r="898" spans="2:20" ht="15">
      <c r="B898" s="9" t="s">
        <v>1176</v>
      </c>
      <c r="C898" s="97" t="s">
        <v>1643</v>
      </c>
      <c r="D898" s="1">
        <v>46097</v>
      </c>
      <c r="E898" s="64"/>
      <c r="F898" s="108">
        <v>9234331405</v>
      </c>
      <c r="G898" s="64" t="s">
        <v>1645</v>
      </c>
      <c r="H898" s="97">
        <v>27281</v>
      </c>
      <c r="I898" s="98"/>
      <c r="J898" s="111">
        <v>0</v>
      </c>
      <c r="K898" s="111">
        <v>714</v>
      </c>
      <c r="L898" s="111">
        <f t="shared" si="163"/>
        <v>842.52</v>
      </c>
      <c r="M898" s="64"/>
      <c r="N898" s="64" t="s">
        <v>1468</v>
      </c>
      <c r="O898" s="96" t="s">
        <v>1646</v>
      </c>
      <c r="P898" s="36"/>
      <c r="Q898" s="39"/>
      <c r="R898" s="8">
        <f t="shared" si="164"/>
        <v>364.14</v>
      </c>
    </row>
    <row r="899" spans="2:20" ht="15">
      <c r="B899" s="9" t="s">
        <v>1176</v>
      </c>
      <c r="C899" s="97" t="s">
        <v>1664</v>
      </c>
      <c r="D899" s="1">
        <v>46099</v>
      </c>
      <c r="E899" s="64"/>
      <c r="F899" s="108"/>
      <c r="G899" s="64" t="s">
        <v>1663</v>
      </c>
      <c r="H899" s="97"/>
      <c r="I899" s="98"/>
      <c r="J899" s="111">
        <v>0</v>
      </c>
      <c r="K899" s="111">
        <v>714</v>
      </c>
      <c r="L899" s="111">
        <f t="shared" ref="L899" si="168">(J899+K899)*1.18</f>
        <v>842.52</v>
      </c>
      <c r="M899" s="64"/>
      <c r="N899" s="64" t="s">
        <v>1505</v>
      </c>
      <c r="O899" s="96" t="s">
        <v>177</v>
      </c>
      <c r="P899" s="36"/>
      <c r="Q899" s="39"/>
      <c r="R899" s="8">
        <f t="shared" si="164"/>
        <v>364.14</v>
      </c>
    </row>
    <row r="900" spans="2:20" ht="19.2">
      <c r="B900" s="75" t="s">
        <v>1176</v>
      </c>
      <c r="C900" s="97"/>
      <c r="D900" s="1">
        <v>46104</v>
      </c>
      <c r="E900" s="64"/>
      <c r="F900" s="115">
        <v>9006838321</v>
      </c>
      <c r="G900" s="64" t="s">
        <v>253</v>
      </c>
      <c r="H900" s="97">
        <v>28748</v>
      </c>
      <c r="I900" s="98" t="s">
        <v>799</v>
      </c>
      <c r="J900" s="111">
        <v>0</v>
      </c>
      <c r="K900" s="111">
        <v>714</v>
      </c>
      <c r="L900" s="111">
        <f>(J900+K900)*1.18</f>
        <v>842.52</v>
      </c>
      <c r="M900" s="64"/>
      <c r="N900" s="64"/>
      <c r="O900" s="96" t="s">
        <v>1346</v>
      </c>
      <c r="P900" s="36"/>
      <c r="Q900" s="39"/>
      <c r="R900" s="8">
        <f t="shared" si="164"/>
        <v>364.14</v>
      </c>
    </row>
    <row r="901" spans="2:20" ht="16.8">
      <c r="B901" s="9" t="s">
        <v>1174</v>
      </c>
      <c r="C901" s="92"/>
      <c r="D901" s="97">
        <v>46106</v>
      </c>
      <c r="E901" s="64"/>
      <c r="F901" s="108"/>
      <c r="G901" s="64" t="s">
        <v>1658</v>
      </c>
      <c r="H901" s="97"/>
      <c r="I901" s="98"/>
      <c r="J901" s="111">
        <v>0</v>
      </c>
      <c r="K901" s="111">
        <v>714</v>
      </c>
      <c r="L901" s="111">
        <f t="shared" ref="L901" si="169">(J901+K901)*1.18</f>
        <v>842.52</v>
      </c>
      <c r="M901" s="64"/>
      <c r="N901" s="64" t="s">
        <v>1659</v>
      </c>
      <c r="O901" s="96" t="s">
        <v>774</v>
      </c>
      <c r="P901" s="36"/>
      <c r="Q901" s="39"/>
      <c r="R901" s="8">
        <f t="shared" si="164"/>
        <v>292.74</v>
      </c>
    </row>
    <row r="902" spans="2:20" ht="16.8">
      <c r="B902" s="75" t="s">
        <v>1176</v>
      </c>
      <c r="C902" s="92"/>
      <c r="D902" s="97"/>
      <c r="E902" s="64"/>
      <c r="F902" s="108"/>
      <c r="G902" s="64" t="s">
        <v>1349</v>
      </c>
      <c r="H902" s="64"/>
      <c r="I902" s="64"/>
      <c r="J902" s="64">
        <v>0</v>
      </c>
      <c r="K902" s="64">
        <v>668</v>
      </c>
      <c r="L902" s="64">
        <f>(J902+K902)*1.18</f>
        <v>788.24</v>
      </c>
      <c r="M902" s="64"/>
      <c r="N902" s="64" t="s">
        <v>1667</v>
      </c>
      <c r="O902" s="64" t="s">
        <v>1666</v>
      </c>
      <c r="P902" s="36"/>
      <c r="Q902" s="39"/>
      <c r="R902" s="8">
        <f t="shared" si="164"/>
        <v>340.68</v>
      </c>
    </row>
    <row r="903" spans="2:20">
      <c r="Q903"/>
    </row>
    <row r="904" spans="2:20">
      <c r="B904" s="35">
        <f>COUNTA(B894:B903)</f>
        <v>9</v>
      </c>
      <c r="C904" s="34"/>
      <c r="D904" s="34"/>
      <c r="E904" s="35"/>
      <c r="F904" s="35"/>
      <c r="G904" s="34"/>
      <c r="H904" s="46"/>
      <c r="I904" s="34"/>
      <c r="J904" s="124"/>
      <c r="K904" s="124">
        <f>SUM(K894:K903)</f>
        <v>6380</v>
      </c>
      <c r="L904" s="124">
        <f>SUM(L894:L903)</f>
        <v>7528.4000000000015</v>
      </c>
      <c r="M904" s="34">
        <f ca="1">SUM(M831:M1009)</f>
        <v>185976.8</v>
      </c>
      <c r="N904" s="110">
        <f ca="1">L904-M904</f>
        <v>375759.12400000013</v>
      </c>
      <c r="O904" s="71">
        <f ca="1">SUM(O811:O1009)</f>
        <v>0</v>
      </c>
      <c r="P904" s="107">
        <f>SUM(P880:P903)</f>
        <v>0</v>
      </c>
      <c r="Q904" s="107">
        <f>SUM(Q880:Q903)</f>
        <v>0</v>
      </c>
      <c r="R904" s="107">
        <f>SUM(R894:R903)</f>
        <v>3182.3999999999992</v>
      </c>
      <c r="S904" s="34">
        <f ca="1">SUM(S769:S903)</f>
        <v>43048.289199999999</v>
      </c>
      <c r="T904" s="34">
        <f>SUM(T769:T851)</f>
        <v>43382.619999999995</v>
      </c>
    </row>
    <row r="905" spans="2:20" ht="16.8">
      <c r="D905" s="1"/>
      <c r="F905" s="48"/>
      <c r="H905" s="1"/>
      <c r="Q905"/>
      <c r="R905" s="8"/>
    </row>
    <row r="906" spans="2:20" ht="16.8">
      <c r="B906" s="75" t="s">
        <v>1176</v>
      </c>
      <c r="C906" s="92" t="s">
        <v>1668</v>
      </c>
      <c r="D906" s="97">
        <v>46114</v>
      </c>
      <c r="E906" s="64"/>
      <c r="F906" s="106">
        <v>9234378882</v>
      </c>
      <c r="G906" s="64" t="s">
        <v>1670</v>
      </c>
      <c r="H906" s="64"/>
      <c r="I906" s="64"/>
      <c r="J906" s="64">
        <v>0</v>
      </c>
      <c r="K906" s="64">
        <v>714</v>
      </c>
      <c r="L906" s="64">
        <f t="shared" ref="L906:L914" si="170">(J906+K906)*1.18</f>
        <v>842.52</v>
      </c>
      <c r="M906" s="64"/>
      <c r="N906" s="64" t="s">
        <v>1667</v>
      </c>
      <c r="O906" s="3" t="s">
        <v>1671</v>
      </c>
      <c r="P906" s="36"/>
      <c r="Q906" s="39"/>
      <c r="R906" s="8">
        <f t="shared" ref="R906:R924" si="171">IF(B906="4P",K906*0.385,IF(B906="4D",K906*0.3,IF(B906="HH",K906*0.41,IF(B906="RE",K906*0.35,IF(B906="SC",K906*0.51,K906*0.4)))))</f>
        <v>364.14</v>
      </c>
    </row>
    <row r="907" spans="2:20" ht="16.8">
      <c r="B907" s="9" t="s">
        <v>1342</v>
      </c>
      <c r="C907" s="92" t="s">
        <v>1674</v>
      </c>
      <c r="D907" s="97">
        <v>46114</v>
      </c>
      <c r="E907" s="64"/>
      <c r="F907" s="108"/>
      <c r="G907" s="64" t="s">
        <v>1673</v>
      </c>
      <c r="H907" s="97"/>
      <c r="I907" s="98"/>
      <c r="J907" s="111">
        <v>0</v>
      </c>
      <c r="K907" s="111">
        <v>714</v>
      </c>
      <c r="L907" s="64">
        <f t="shared" si="170"/>
        <v>842.52</v>
      </c>
      <c r="M907" s="64"/>
      <c r="N907" s="64" t="s">
        <v>1659</v>
      </c>
      <c r="O907" s="64" t="s">
        <v>1672</v>
      </c>
      <c r="P907" s="36"/>
      <c r="Q907" s="39"/>
      <c r="R907" s="8">
        <f t="shared" si="171"/>
        <v>285.60000000000002</v>
      </c>
    </row>
    <row r="908" spans="2:20" ht="16.8">
      <c r="B908" s="9" t="s">
        <v>1342</v>
      </c>
      <c r="C908" s="92" t="s">
        <v>1676</v>
      </c>
      <c r="D908" s="97">
        <v>45388</v>
      </c>
      <c r="E908" s="64"/>
      <c r="F908" s="108"/>
      <c r="G908" s="64" t="s">
        <v>1675</v>
      </c>
      <c r="H908" s="97"/>
      <c r="I908" s="98"/>
      <c r="J908" s="111">
        <v>0</v>
      </c>
      <c r="K908" s="111">
        <v>714</v>
      </c>
      <c r="L908" s="64">
        <f t="shared" ref="L908" si="172">(J908+K908)*1.18</f>
        <v>842.52</v>
      </c>
      <c r="M908" s="64"/>
      <c r="N908" s="64" t="s">
        <v>1659</v>
      </c>
      <c r="O908" s="64" t="s">
        <v>1362</v>
      </c>
      <c r="P908" s="36"/>
      <c r="Q908" s="39"/>
      <c r="R908" s="8">
        <f t="shared" si="171"/>
        <v>285.60000000000002</v>
      </c>
    </row>
    <row r="909" spans="2:20" ht="16.8">
      <c r="B909" s="9" t="s">
        <v>1187</v>
      </c>
      <c r="C909" s="92" t="s">
        <v>1680</v>
      </c>
      <c r="D909" s="97">
        <v>46124</v>
      </c>
      <c r="E909" s="64"/>
      <c r="F909" s="106">
        <v>9162475626</v>
      </c>
      <c r="G909" s="64" t="s">
        <v>1677</v>
      </c>
      <c r="H909" s="97"/>
      <c r="I909" s="98"/>
      <c r="J909" s="111">
        <v>0</v>
      </c>
      <c r="K909" s="111">
        <v>714</v>
      </c>
      <c r="L909" s="64">
        <f t="shared" si="170"/>
        <v>842.52</v>
      </c>
      <c r="M909" s="64"/>
      <c r="N909" s="64" t="s">
        <v>1679</v>
      </c>
      <c r="O909" s="64" t="s">
        <v>1678</v>
      </c>
      <c r="P909" s="36"/>
      <c r="Q909" s="39"/>
      <c r="R909" s="8">
        <f t="shared" si="171"/>
        <v>364.14</v>
      </c>
    </row>
    <row r="910" spans="2:20" ht="16.8">
      <c r="B910" s="9" t="s">
        <v>1342</v>
      </c>
      <c r="C910" s="92" t="s">
        <v>1683</v>
      </c>
      <c r="D910" s="97">
        <v>46124</v>
      </c>
      <c r="E910" s="64"/>
      <c r="F910" s="106"/>
      <c r="G910" s="64" t="s">
        <v>1681</v>
      </c>
      <c r="H910" s="97"/>
      <c r="I910" s="98"/>
      <c r="J910" s="111">
        <v>0</v>
      </c>
      <c r="K910" s="111">
        <v>1014</v>
      </c>
      <c r="L910" s="64">
        <f t="shared" si="170"/>
        <v>1196.52</v>
      </c>
      <c r="M910" s="64"/>
      <c r="N910" s="64" t="s">
        <v>1682</v>
      </c>
      <c r="O910" s="64" t="s">
        <v>933</v>
      </c>
      <c r="P910" s="36"/>
      <c r="Q910" s="39"/>
      <c r="R910" s="8">
        <f t="shared" si="171"/>
        <v>405.6</v>
      </c>
    </row>
    <row r="911" spans="2:20" ht="16.8">
      <c r="B911" s="9" t="s">
        <v>1174</v>
      </c>
      <c r="C911" s="92" t="s">
        <v>1685</v>
      </c>
      <c r="D911" s="97">
        <v>46120</v>
      </c>
      <c r="E911" s="64"/>
      <c r="F911" s="106"/>
      <c r="G911" s="64" t="s">
        <v>1684</v>
      </c>
      <c r="H911" s="97"/>
      <c r="I911" s="98"/>
      <c r="J911" s="111">
        <v>0</v>
      </c>
      <c r="K911" s="111">
        <v>714</v>
      </c>
      <c r="L911" s="64">
        <f t="shared" si="170"/>
        <v>842.52</v>
      </c>
      <c r="M911" s="64"/>
      <c r="N911" s="64" t="s">
        <v>1471</v>
      </c>
      <c r="O911" s="64" t="s">
        <v>515</v>
      </c>
      <c r="P911" s="36"/>
      <c r="Q911" s="39"/>
      <c r="R911" s="8">
        <f t="shared" si="171"/>
        <v>292.74</v>
      </c>
    </row>
    <row r="912" spans="2:20" ht="16.8">
      <c r="B912" s="9" t="s">
        <v>1174</v>
      </c>
      <c r="C912" s="92" t="s">
        <v>1687</v>
      </c>
      <c r="D912" s="97">
        <v>46123</v>
      </c>
      <c r="E912" s="64"/>
      <c r="F912" s="106"/>
      <c r="G912" s="64" t="s">
        <v>1686</v>
      </c>
      <c r="H912" s="97"/>
      <c r="I912" s="98"/>
      <c r="J912" s="111">
        <v>0</v>
      </c>
      <c r="K912" s="111">
        <v>714</v>
      </c>
      <c r="L912" s="64">
        <f t="shared" si="170"/>
        <v>842.52</v>
      </c>
      <c r="M912" s="64"/>
      <c r="N912" s="64" t="s">
        <v>1471</v>
      </c>
      <c r="O912" s="64" t="s">
        <v>88</v>
      </c>
      <c r="P912" s="36"/>
      <c r="Q912" s="39"/>
      <c r="R912" s="8">
        <f t="shared" si="171"/>
        <v>292.74</v>
      </c>
    </row>
    <row r="913" spans="2:20" ht="16.8">
      <c r="B913" s="9" t="s">
        <v>1176</v>
      </c>
      <c r="C913" s="92" t="s">
        <v>1690</v>
      </c>
      <c r="D913" s="97">
        <v>46125</v>
      </c>
      <c r="E913" s="64"/>
      <c r="F913" s="106"/>
      <c r="G913" s="64" t="s">
        <v>1688</v>
      </c>
      <c r="H913" s="97"/>
      <c r="I913" s="98"/>
      <c r="J913" s="111">
        <v>0</v>
      </c>
      <c r="K913" s="111">
        <v>714</v>
      </c>
      <c r="L913" s="64">
        <f t="shared" si="170"/>
        <v>842.52</v>
      </c>
      <c r="M913" s="64"/>
      <c r="N913" s="64" t="s">
        <v>1689</v>
      </c>
      <c r="O913" s="64" t="s">
        <v>1669</v>
      </c>
      <c r="P913" s="36"/>
      <c r="Q913" s="39"/>
      <c r="R913" s="8">
        <f t="shared" si="171"/>
        <v>364.14</v>
      </c>
    </row>
    <row r="914" spans="2:20" ht="16.8">
      <c r="B914" s="9" t="s">
        <v>1176</v>
      </c>
      <c r="C914" s="92" t="s">
        <v>1693</v>
      </c>
      <c r="D914" s="97">
        <v>46125</v>
      </c>
      <c r="E914" s="64"/>
      <c r="F914" s="106"/>
      <c r="G914" s="64" t="s">
        <v>1691</v>
      </c>
      <c r="H914" s="97"/>
      <c r="I914" s="98"/>
      <c r="J914" s="111">
        <v>0</v>
      </c>
      <c r="K914" s="111">
        <v>668</v>
      </c>
      <c r="L914" s="64">
        <f t="shared" si="170"/>
        <v>788.24</v>
      </c>
      <c r="M914" s="64"/>
      <c r="N914" s="64" t="s">
        <v>1689</v>
      </c>
      <c r="O914" s="64" t="s">
        <v>1692</v>
      </c>
      <c r="P914" s="36"/>
      <c r="Q914" s="39"/>
      <c r="R914" s="8">
        <f t="shared" si="171"/>
        <v>340.68</v>
      </c>
    </row>
    <row r="915" spans="2:20" ht="16.8">
      <c r="B915" s="92" t="s">
        <v>1351</v>
      </c>
      <c r="C915" s="92" t="s">
        <v>1352</v>
      </c>
      <c r="D915" s="92"/>
      <c r="E915" s="92"/>
      <c r="F915" s="92">
        <v>7739044155</v>
      </c>
      <c r="G915" s="92" t="s">
        <v>1694</v>
      </c>
      <c r="H915" s="92"/>
      <c r="I915" s="92"/>
      <c r="J915" s="92">
        <v>0</v>
      </c>
      <c r="K915" s="92">
        <v>714</v>
      </c>
      <c r="L915" s="92">
        <f t="shared" ref="L915:L924" si="173">(J915+K915)*1.18</f>
        <v>842.52</v>
      </c>
      <c r="M915" s="92"/>
      <c r="N915" s="92"/>
      <c r="O915" s="92" t="s">
        <v>1361</v>
      </c>
      <c r="P915" s="36"/>
      <c r="Q915" s="39"/>
      <c r="R915" s="8">
        <f t="shared" si="171"/>
        <v>285.60000000000002</v>
      </c>
    </row>
    <row r="916" spans="2:20" ht="16.8">
      <c r="B916" s="9" t="s">
        <v>1173</v>
      </c>
      <c r="C916" s="92" t="s">
        <v>1696</v>
      </c>
      <c r="D916" s="97">
        <v>46130</v>
      </c>
      <c r="E916" s="64"/>
      <c r="F916" s="106"/>
      <c r="G916" s="64" t="s">
        <v>1695</v>
      </c>
      <c r="H916" s="97"/>
      <c r="I916" s="98"/>
      <c r="J916" s="111">
        <v>0</v>
      </c>
      <c r="K916" s="111">
        <v>15849</v>
      </c>
      <c r="L916" s="92">
        <f>(J916+K916)*1.05</f>
        <v>16641.45</v>
      </c>
      <c r="M916" s="64">
        <v>14000</v>
      </c>
      <c r="N916" s="64" t="s">
        <v>1698</v>
      </c>
      <c r="O916" s="64" t="s">
        <v>1697</v>
      </c>
      <c r="P916" s="36"/>
      <c r="Q916" s="39"/>
      <c r="R916" s="8">
        <f>K916*0.32</f>
        <v>5071.68</v>
      </c>
      <c r="S916">
        <f>L916-14000</f>
        <v>2641.4500000000007</v>
      </c>
      <c r="T916" s="8"/>
    </row>
    <row r="917" spans="2:20" ht="16.8">
      <c r="B917" s="9" t="s">
        <v>1176</v>
      </c>
      <c r="C917" s="92" t="s">
        <v>1700</v>
      </c>
      <c r="D917" s="97">
        <v>46131</v>
      </c>
      <c r="E917" s="64"/>
      <c r="F917" s="106">
        <v>7292872596</v>
      </c>
      <c r="G917" s="64" t="s">
        <v>1699</v>
      </c>
      <c r="H917" s="97"/>
      <c r="I917" s="98"/>
      <c r="J917" s="111">
        <v>0</v>
      </c>
      <c r="K917" s="111">
        <v>714</v>
      </c>
      <c r="L917" s="92">
        <f t="shared" si="173"/>
        <v>842.52</v>
      </c>
      <c r="M917" s="64"/>
      <c r="N917" s="64" t="s">
        <v>1505</v>
      </c>
      <c r="O917" s="96" t="s">
        <v>1705</v>
      </c>
      <c r="P917" s="36"/>
      <c r="Q917" s="39"/>
      <c r="R917" s="8">
        <f t="shared" si="171"/>
        <v>364.14</v>
      </c>
    </row>
    <row r="918" spans="2:20" ht="16.8">
      <c r="B918" s="9" t="s">
        <v>1174</v>
      </c>
      <c r="C918" s="92" t="s">
        <v>1704</v>
      </c>
      <c r="D918" s="97">
        <v>46131</v>
      </c>
      <c r="G918" s="64" t="s">
        <v>1701</v>
      </c>
      <c r="H918" s="97"/>
      <c r="I918" s="98"/>
      <c r="J918" s="111">
        <v>0</v>
      </c>
      <c r="K918" s="111">
        <v>714</v>
      </c>
      <c r="L918" s="92">
        <f t="shared" si="173"/>
        <v>842.52</v>
      </c>
      <c r="M918" s="64"/>
      <c r="N918" s="64" t="s">
        <v>1702</v>
      </c>
      <c r="O918" s="96" t="s">
        <v>1703</v>
      </c>
      <c r="P918" s="36"/>
      <c r="Q918" s="39"/>
      <c r="R918" s="8">
        <f t="shared" si="171"/>
        <v>292.74</v>
      </c>
    </row>
    <row r="919" spans="2:20" ht="16.8">
      <c r="B919" s="9" t="s">
        <v>1176</v>
      </c>
      <c r="C919" s="92" t="s">
        <v>1711</v>
      </c>
      <c r="D919" s="97">
        <v>46134</v>
      </c>
      <c r="E919" s="64"/>
      <c r="F919" s="108"/>
      <c r="G919" s="64" t="s">
        <v>1706</v>
      </c>
      <c r="H919" s="97"/>
      <c r="I919" s="98"/>
      <c r="J919" s="111">
        <v>0</v>
      </c>
      <c r="K919" s="111">
        <v>714</v>
      </c>
      <c r="L919" s="92">
        <f t="shared" si="173"/>
        <v>842.52</v>
      </c>
      <c r="M919" s="64"/>
      <c r="N919" s="64" t="s">
        <v>1505</v>
      </c>
      <c r="O919" s="96" t="s">
        <v>1707</v>
      </c>
      <c r="P919" s="36"/>
      <c r="Q919" s="39"/>
      <c r="R919" s="8">
        <f t="shared" si="171"/>
        <v>364.14</v>
      </c>
    </row>
    <row r="920" spans="2:20" ht="16.8">
      <c r="B920" s="9" t="s">
        <v>1342</v>
      </c>
      <c r="C920" s="92" t="s">
        <v>1710</v>
      </c>
      <c r="D920" s="97">
        <v>46134</v>
      </c>
      <c r="E920" s="64"/>
      <c r="F920" s="108"/>
      <c r="G920" s="64" t="s">
        <v>512</v>
      </c>
      <c r="H920" s="97"/>
      <c r="I920" s="98"/>
      <c r="J920" s="111">
        <v>0</v>
      </c>
      <c r="K920" s="111">
        <v>668</v>
      </c>
      <c r="L920" s="92">
        <f t="shared" si="173"/>
        <v>788.24</v>
      </c>
      <c r="M920" s="64"/>
      <c r="N920" s="64" t="s">
        <v>1708</v>
      </c>
      <c r="O920" s="96" t="s">
        <v>1709</v>
      </c>
      <c r="P920" s="36"/>
      <c r="Q920" s="39"/>
      <c r="R920" s="8">
        <f t="shared" si="171"/>
        <v>267.2</v>
      </c>
    </row>
    <row r="921" spans="2:20" ht="16.8">
      <c r="B921" s="9" t="s">
        <v>1174</v>
      </c>
      <c r="C921" s="92"/>
      <c r="D921" s="97">
        <v>46137</v>
      </c>
      <c r="E921" s="64"/>
      <c r="F921" s="108"/>
      <c r="G921" s="64" t="s">
        <v>1712</v>
      </c>
      <c r="H921" s="97"/>
      <c r="I921" s="98"/>
      <c r="J921" s="111">
        <v>0</v>
      </c>
      <c r="K921" s="111"/>
      <c r="L921" s="92">
        <f t="shared" si="173"/>
        <v>0</v>
      </c>
      <c r="M921" s="64"/>
      <c r="N921" s="96" t="s">
        <v>1659</v>
      </c>
      <c r="O921" s="3" t="s">
        <v>1715</v>
      </c>
      <c r="P921" s="36"/>
      <c r="Q921" s="39"/>
      <c r="R921" s="8">
        <f t="shared" si="171"/>
        <v>0</v>
      </c>
    </row>
    <row r="922" spans="2:20" ht="16.8">
      <c r="B922" s="9" t="s">
        <v>1385</v>
      </c>
      <c r="C922" s="92"/>
      <c r="D922" s="97">
        <v>46137</v>
      </c>
      <c r="E922" s="64"/>
      <c r="F922" s="108"/>
      <c r="G922" s="64" t="s">
        <v>1713</v>
      </c>
      <c r="H922" s="97"/>
      <c r="I922" s="98"/>
      <c r="J922" s="111">
        <v>0</v>
      </c>
      <c r="K922" s="111">
        <v>15849</v>
      </c>
      <c r="L922" s="92">
        <f>(J922+K922)*1.05</f>
        <v>16641.45</v>
      </c>
      <c r="M922" s="64">
        <v>14000</v>
      </c>
      <c r="N922" s="64" t="s">
        <v>1714</v>
      </c>
      <c r="O922" s="96" t="s">
        <v>1716</v>
      </c>
      <c r="P922" s="36"/>
      <c r="Q922" s="39"/>
      <c r="R922" s="8">
        <f>K922*0.32</f>
        <v>5071.68</v>
      </c>
      <c r="T922">
        <f>16641*2-28000</f>
        <v>5282</v>
      </c>
    </row>
    <row r="923" spans="2:20" ht="16.8">
      <c r="C923" s="92"/>
      <c r="D923" s="97"/>
      <c r="E923" s="64"/>
      <c r="F923" s="108"/>
      <c r="G923" s="64"/>
      <c r="H923" s="97"/>
      <c r="I923" s="98"/>
      <c r="J923" s="111"/>
      <c r="K923" s="111"/>
      <c r="L923" s="92">
        <f t="shared" si="173"/>
        <v>0</v>
      </c>
      <c r="M923" s="64"/>
      <c r="N923" s="64"/>
      <c r="O923" s="96"/>
      <c r="P923" s="36"/>
      <c r="Q923" s="39"/>
      <c r="R923" s="8">
        <f t="shared" si="171"/>
        <v>0</v>
      </c>
    </row>
    <row r="924" spans="2:20" ht="16.8">
      <c r="L924" s="92">
        <f t="shared" si="173"/>
        <v>0</v>
      </c>
      <c r="Q924"/>
      <c r="R924" s="8">
        <f t="shared" si="171"/>
        <v>0</v>
      </c>
    </row>
    <row r="925" spans="2:20">
      <c r="B925" s="35">
        <f>COUNTA(B903:B924)</f>
        <v>18</v>
      </c>
      <c r="C925" s="34"/>
      <c r="D925" s="34"/>
      <c r="E925" s="35"/>
      <c r="F925" s="35"/>
      <c r="G925" s="34"/>
      <c r="H925" s="46"/>
      <c r="I925" s="34"/>
      <c r="J925" s="124">
        <f t="shared" ref="J925:R925" si="174">SUM(J906:J924)</f>
        <v>0</v>
      </c>
      <c r="K925" s="124">
        <f t="shared" si="174"/>
        <v>41902</v>
      </c>
      <c r="L925" s="124">
        <f t="shared" si="174"/>
        <v>45323.62000000001</v>
      </c>
      <c r="M925" s="107">
        <f t="shared" si="174"/>
        <v>28000</v>
      </c>
      <c r="N925" s="107">
        <f t="shared" si="174"/>
        <v>0</v>
      </c>
      <c r="O925" s="107">
        <f t="shared" si="174"/>
        <v>0</v>
      </c>
      <c r="P925" s="107">
        <f t="shared" si="174"/>
        <v>0</v>
      </c>
      <c r="Q925" s="107">
        <f t="shared" si="174"/>
        <v>0</v>
      </c>
      <c r="R925" s="107">
        <f t="shared" si="174"/>
        <v>14712.56</v>
      </c>
      <c r="S925" s="34">
        <f ca="1">SUM(S776:S924)</f>
        <v>43048.289199999999</v>
      </c>
      <c r="T925" s="34">
        <f ca="1">SUM(T776:T861)</f>
        <v>43382.619999999995</v>
      </c>
    </row>
    <row r="926" spans="2:20">
      <c r="Q926"/>
      <c r="R926" s="8"/>
    </row>
    <row r="927" spans="2:20" ht="16.8">
      <c r="B927" s="9" t="s">
        <v>1342</v>
      </c>
      <c r="D927" s="1">
        <v>46143</v>
      </c>
      <c r="G927" t="s">
        <v>1725</v>
      </c>
      <c r="J927" s="5">
        <v>0</v>
      </c>
      <c r="K927" s="5">
        <v>668</v>
      </c>
      <c r="L927" s="92">
        <f t="shared" ref="L927:L929" si="175">(J927+K927)*1.18</f>
        <v>788.24</v>
      </c>
      <c r="N927" t="s">
        <v>1726</v>
      </c>
      <c r="O927" s="3" t="s">
        <v>100</v>
      </c>
      <c r="Q927"/>
      <c r="R927" s="8">
        <f t="shared" ref="R927:R930" si="176">IF(B927="4P",K927*0.385,IF(B927="4D",K927*0.3,IF(B927="HH",K927*0.41,IF(B927="RE",K927*0.35,IF(B927="SC",K927*0.51,K927*0.4)))))</f>
        <v>267.2</v>
      </c>
    </row>
    <row r="928" spans="2:20" ht="16.8">
      <c r="B928" s="9" t="s">
        <v>1176</v>
      </c>
      <c r="D928" s="1"/>
      <c r="G928" t="s">
        <v>1727</v>
      </c>
      <c r="J928" s="5">
        <v>0</v>
      </c>
      <c r="K928" s="5">
        <v>714</v>
      </c>
      <c r="L928" s="92">
        <f t="shared" si="175"/>
        <v>842.52</v>
      </c>
      <c r="N928" t="s">
        <v>1724</v>
      </c>
      <c r="O928" s="3" t="s">
        <v>1728</v>
      </c>
      <c r="Q928"/>
      <c r="R928" s="8">
        <f t="shared" si="176"/>
        <v>364.14</v>
      </c>
    </row>
    <row r="929" spans="2:20" ht="16.8">
      <c r="B929" s="9" t="s">
        <v>1342</v>
      </c>
      <c r="C929" s="92"/>
      <c r="D929" s="97">
        <v>46146</v>
      </c>
      <c r="E929" s="64"/>
      <c r="F929" s="106">
        <v>9229987525</v>
      </c>
      <c r="G929" s="64" t="s">
        <v>1717</v>
      </c>
      <c r="H929" s="97"/>
      <c r="I929" s="98"/>
      <c r="J929" s="111">
        <v>0</v>
      </c>
      <c r="K929" s="111">
        <v>714</v>
      </c>
      <c r="L929" s="92">
        <f t="shared" si="175"/>
        <v>842.52</v>
      </c>
      <c r="M929" s="64"/>
      <c r="N929" s="64" t="s">
        <v>1719</v>
      </c>
      <c r="O929" s="96" t="s">
        <v>1718</v>
      </c>
      <c r="P929" s="36"/>
      <c r="Q929" s="39"/>
      <c r="R929" s="8">
        <f t="shared" si="176"/>
        <v>285.60000000000002</v>
      </c>
    </row>
    <row r="930" spans="2:20" ht="16.8">
      <c r="B930" s="9" t="s">
        <v>1173</v>
      </c>
      <c r="C930" s="92"/>
      <c r="D930" s="97">
        <v>46146</v>
      </c>
      <c r="E930" s="64"/>
      <c r="F930" s="106">
        <v>9229987525</v>
      </c>
      <c r="G930" s="64" t="s">
        <v>1729</v>
      </c>
      <c r="H930" s="97"/>
      <c r="I930" s="98"/>
      <c r="J930" s="111">
        <v>0</v>
      </c>
      <c r="K930" s="111">
        <v>8912.81</v>
      </c>
      <c r="L930" s="92">
        <f>(J930+K930)*1.05</f>
        <v>9358.450499999999</v>
      </c>
      <c r="M930" s="64"/>
      <c r="N930" s="96" t="s">
        <v>1720</v>
      </c>
      <c r="O930" s="3" t="s">
        <v>1665</v>
      </c>
      <c r="P930" s="36"/>
      <c r="Q930" s="39"/>
      <c r="R930" s="8">
        <f t="shared" si="176"/>
        <v>3431.4318499999999</v>
      </c>
    </row>
    <row r="931" spans="2:20" ht="16.8">
      <c r="B931" s="9" t="s">
        <v>1176</v>
      </c>
      <c r="C931" s="92"/>
      <c r="D931" s="97">
        <v>46146</v>
      </c>
      <c r="E931" s="64"/>
      <c r="F931" s="108"/>
      <c r="G931" s="64" t="s">
        <v>1721</v>
      </c>
      <c r="H931" s="97"/>
      <c r="I931" s="98"/>
      <c r="J931" s="111">
        <v>0</v>
      </c>
      <c r="K931" s="111">
        <v>714</v>
      </c>
      <c r="L931" s="92">
        <f t="shared" ref="L931:L934" si="177">(J931+K931)*1.18</f>
        <v>842.52</v>
      </c>
      <c r="M931" s="64"/>
      <c r="N931" s="64" t="s">
        <v>1731</v>
      </c>
      <c r="O931" s="96" t="s">
        <v>551</v>
      </c>
      <c r="P931" s="36"/>
      <c r="Q931" s="39"/>
      <c r="R931" s="8">
        <f t="shared" ref="R931:R934" si="178">IF(B931="4P",K931*0.385,IF(B931="4D",K931*0.3,IF(B931="HH",K931*0.41,IF(B931="RE",K931*0.35,IF(B931="SC",K931*0.51,K931*0.4)))))</f>
        <v>364.14</v>
      </c>
      <c r="T931">
        <f>16641*2-28000</f>
        <v>5282</v>
      </c>
    </row>
    <row r="932" spans="2:20" ht="16.8">
      <c r="B932" s="9" t="s">
        <v>1187</v>
      </c>
      <c r="C932" s="92"/>
      <c r="D932" s="97">
        <v>46146</v>
      </c>
      <c r="E932" s="64"/>
      <c r="F932" s="108"/>
      <c r="G932" s="64" t="s">
        <v>1730</v>
      </c>
      <c r="H932" s="97"/>
      <c r="I932" s="98"/>
      <c r="J932" s="111">
        <v>0</v>
      </c>
      <c r="K932" s="111">
        <v>714</v>
      </c>
      <c r="L932" s="92">
        <f t="shared" si="177"/>
        <v>842.52</v>
      </c>
      <c r="M932" s="64"/>
      <c r="N932" s="64" t="s">
        <v>1731</v>
      </c>
      <c r="O932" s="96" t="s">
        <v>1732</v>
      </c>
      <c r="P932" s="36"/>
      <c r="Q932" s="39"/>
      <c r="R932" s="8">
        <f t="shared" si="178"/>
        <v>364.14</v>
      </c>
    </row>
    <row r="933" spans="2:20" ht="16.8">
      <c r="B933" s="9" t="s">
        <v>1176</v>
      </c>
      <c r="C933" s="92"/>
      <c r="D933" s="97">
        <v>46147</v>
      </c>
      <c r="E933" s="64"/>
      <c r="F933" s="106">
        <v>9102708612</v>
      </c>
      <c r="G933" s="64" t="s">
        <v>1722</v>
      </c>
      <c r="H933" s="97"/>
      <c r="I933" s="98"/>
      <c r="J933" s="111">
        <v>0</v>
      </c>
      <c r="K933" s="111">
        <v>714</v>
      </c>
      <c r="L933" s="92">
        <f t="shared" si="177"/>
        <v>842.52</v>
      </c>
      <c r="M933" s="64">
        <v>800</v>
      </c>
      <c r="N933" s="64" t="s">
        <v>1499</v>
      </c>
      <c r="O933" s="96" t="s">
        <v>1723</v>
      </c>
      <c r="P933" s="36"/>
      <c r="Q933" s="39"/>
      <c r="R933" s="8">
        <f t="shared" si="178"/>
        <v>364.14</v>
      </c>
    </row>
    <row r="934" spans="2:20" ht="16.8">
      <c r="B934" s="9" t="s">
        <v>1176</v>
      </c>
      <c r="C934" s="92"/>
      <c r="D934" s="97">
        <v>46150</v>
      </c>
      <c r="E934" s="64"/>
      <c r="F934" s="108">
        <v>9162186859</v>
      </c>
      <c r="G934" s="64" t="s">
        <v>1734</v>
      </c>
      <c r="H934" s="97"/>
      <c r="I934" s="98"/>
      <c r="J934" s="111">
        <v>0</v>
      </c>
      <c r="K934" s="111">
        <v>714</v>
      </c>
      <c r="L934" s="92">
        <f t="shared" si="177"/>
        <v>842.52</v>
      </c>
      <c r="M934" s="64">
        <v>800</v>
      </c>
      <c r="N934" s="64" t="s">
        <v>1724</v>
      </c>
      <c r="O934" s="96" t="s">
        <v>1733</v>
      </c>
      <c r="P934" s="36"/>
      <c r="Q934" s="39"/>
      <c r="R934" s="8">
        <f t="shared" si="178"/>
        <v>364.14</v>
      </c>
    </row>
    <row r="935" spans="2:20">
      <c r="B935" s="35">
        <f>COUNTA(B929:B934)</f>
        <v>6</v>
      </c>
      <c r="C935" s="34"/>
      <c r="D935" s="34"/>
      <c r="E935" s="35"/>
      <c r="F935" s="35"/>
      <c r="G935" s="34"/>
      <c r="H935" s="46"/>
      <c r="I935" s="34"/>
      <c r="J935" s="124">
        <f>SUM(J929:J934)</f>
        <v>0</v>
      </c>
      <c r="K935" s="124">
        <f>SUM(K929:K934)</f>
        <v>12482.81</v>
      </c>
      <c r="L935" s="124">
        <f>SUM(L929:L934)</f>
        <v>13571.050500000001</v>
      </c>
      <c r="M935" s="124">
        <f>SUM(M929:M934)</f>
        <v>1600</v>
      </c>
      <c r="N935" s="107">
        <f>SUM(N914:N934)</f>
        <v>0</v>
      </c>
      <c r="O935" s="107">
        <f>SUM(O914:O934)</f>
        <v>0</v>
      </c>
      <c r="P935" s="107">
        <f>SUM(P914:P934)</f>
        <v>0</v>
      </c>
      <c r="Q935" s="107">
        <f>SUM(Q914:Q934)</f>
        <v>0</v>
      </c>
      <c r="R935" s="107">
        <f>SUM(R929:R934)</f>
        <v>5173.5918500000007</v>
      </c>
      <c r="S935" s="34">
        <f ca="1">SUM(S784:S934)</f>
        <v>43048.289199999999</v>
      </c>
      <c r="T935" s="34">
        <f ca="1">SUM(T784:T869)</f>
        <v>43382.619999999995</v>
      </c>
    </row>
    <row r="936" spans="2:20" ht="16.8">
      <c r="D936" s="1"/>
      <c r="F936" s="48"/>
      <c r="H936" s="1"/>
      <c r="Q936"/>
      <c r="R936" s="8"/>
    </row>
    <row r="937" spans="2:20" ht="16.8">
      <c r="B937" s="9" t="s">
        <v>1176</v>
      </c>
      <c r="C937" s="92"/>
      <c r="D937" s="97">
        <v>46176</v>
      </c>
      <c r="E937" s="64"/>
      <c r="F937" s="108">
        <v>8092468457</v>
      </c>
      <c r="G937" s="64" t="s">
        <v>1735</v>
      </c>
      <c r="H937" s="97"/>
      <c r="I937" s="98"/>
      <c r="J937" s="111">
        <v>0</v>
      </c>
      <c r="K937" s="111">
        <v>714</v>
      </c>
      <c r="L937" s="92">
        <f t="shared" ref="L937:L950" si="179">(J937+K937)*1.18</f>
        <v>842.52</v>
      </c>
      <c r="M937" s="64">
        <v>800</v>
      </c>
      <c r="N937" s="64" t="s">
        <v>1555</v>
      </c>
      <c r="O937" s="96" t="s">
        <v>1736</v>
      </c>
      <c r="P937" s="36"/>
      <c r="Q937" s="39"/>
      <c r="R937" s="8">
        <f t="shared" ref="R937:R950" si="180">IF(B937="4P",K937*0.385,IF(B937="4D",K937*0.3,IF(B937="HH",K937*0.41,IF(B937="RE",K937*0.35,IF(B937="SC",K937*0.51,K937*0.4)))))</f>
        <v>364.14</v>
      </c>
    </row>
    <row r="938" spans="2:20" ht="16.8">
      <c r="B938" s="9" t="s">
        <v>1187</v>
      </c>
      <c r="C938" s="92"/>
      <c r="D938" s="97">
        <v>46177</v>
      </c>
      <c r="E938" s="64" t="s">
        <v>1737</v>
      </c>
      <c r="F938" s="106">
        <v>9534080674</v>
      </c>
      <c r="G938" s="64" t="s">
        <v>1738</v>
      </c>
      <c r="H938" s="97"/>
      <c r="I938" s="98"/>
      <c r="J938" s="111">
        <v>0</v>
      </c>
      <c r="K938" s="111">
        <v>714</v>
      </c>
      <c r="L938" s="92">
        <f t="shared" si="179"/>
        <v>842.52</v>
      </c>
      <c r="M938" s="64">
        <v>800</v>
      </c>
      <c r="N938" s="64" t="s">
        <v>1499</v>
      </c>
      <c r="O938" s="96" t="s">
        <v>1723</v>
      </c>
      <c r="P938" s="36"/>
      <c r="Q938" s="39"/>
      <c r="R938" s="8">
        <f t="shared" si="180"/>
        <v>364.14</v>
      </c>
    </row>
    <row r="939" spans="2:20" ht="16.8">
      <c r="B939" s="9" t="s">
        <v>1187</v>
      </c>
      <c r="C939" s="92"/>
      <c r="D939" s="97">
        <v>46178</v>
      </c>
      <c r="E939" s="64" t="s">
        <v>1739</v>
      </c>
      <c r="F939" s="106">
        <v>9234582968</v>
      </c>
      <c r="G939" s="64"/>
      <c r="H939" s="97"/>
      <c r="I939" s="98"/>
      <c r="J939" s="111">
        <v>0</v>
      </c>
      <c r="K939" s="111">
        <v>714</v>
      </c>
      <c r="L939" s="92">
        <f t="shared" ref="L939" si="181">(J939+K939)*1.18</f>
        <v>842.52</v>
      </c>
      <c r="M939" s="64">
        <v>800</v>
      </c>
      <c r="N939" s="64" t="s">
        <v>1499</v>
      </c>
      <c r="O939" s="96" t="s">
        <v>1740</v>
      </c>
      <c r="P939" s="36"/>
      <c r="Q939" s="39"/>
      <c r="R939" s="8">
        <f t="shared" si="180"/>
        <v>364.14</v>
      </c>
    </row>
    <row r="940" spans="2:20" ht="16.8">
      <c r="B940" s="9" t="s">
        <v>1187</v>
      </c>
      <c r="C940" s="92"/>
      <c r="D940" s="97">
        <v>46181</v>
      </c>
      <c r="E940" s="64"/>
      <c r="F940" s="108">
        <v>8809972149</v>
      </c>
      <c r="G940" s="64" t="s">
        <v>1741</v>
      </c>
      <c r="H940" s="97"/>
      <c r="I940" s="98"/>
      <c r="J940" s="111">
        <v>0</v>
      </c>
      <c r="K940" s="111">
        <v>714</v>
      </c>
      <c r="L940" s="92">
        <f t="shared" si="179"/>
        <v>842.52</v>
      </c>
      <c r="M940" s="64">
        <v>800</v>
      </c>
      <c r="N940" s="64" t="s">
        <v>1499</v>
      </c>
      <c r="O940" s="96"/>
      <c r="P940" s="36">
        <v>200</v>
      </c>
      <c r="Q940" s="39"/>
      <c r="R940" s="8">
        <f t="shared" si="180"/>
        <v>364.14</v>
      </c>
    </row>
    <row r="941" spans="2:20" ht="16.8">
      <c r="B941" s="9" t="s">
        <v>1385</v>
      </c>
      <c r="C941" s="92"/>
      <c r="E941" s="64"/>
      <c r="F941" s="108"/>
      <c r="G941" s="64"/>
      <c r="H941" s="97"/>
      <c r="I941" s="98"/>
      <c r="J941" s="111"/>
      <c r="K941" s="111">
        <v>2094</v>
      </c>
      <c r="L941" s="92">
        <f t="shared" si="179"/>
        <v>2470.92</v>
      </c>
      <c r="M941" s="64"/>
      <c r="N941" s="64"/>
      <c r="O941" s="96"/>
      <c r="P941" s="36"/>
      <c r="Q941" s="39"/>
      <c r="R941" s="8">
        <f t="shared" si="180"/>
        <v>806.19</v>
      </c>
    </row>
    <row r="942" spans="2:20" ht="16.8">
      <c r="C942" s="92"/>
      <c r="D942" s="97"/>
      <c r="E942" s="64"/>
      <c r="F942" s="108"/>
      <c r="G942" s="64"/>
      <c r="H942" s="97"/>
      <c r="I942" s="98"/>
      <c r="J942" s="111"/>
      <c r="K942" s="111"/>
      <c r="L942" s="92">
        <f t="shared" si="179"/>
        <v>0</v>
      </c>
      <c r="M942" s="64"/>
      <c r="N942" s="64"/>
      <c r="O942" s="96"/>
      <c r="P942" s="36"/>
      <c r="Q942" s="39"/>
      <c r="R942" s="8">
        <f t="shared" si="180"/>
        <v>0</v>
      </c>
    </row>
    <row r="943" spans="2:20" ht="16.8">
      <c r="B943" s="9" t="s">
        <v>1176</v>
      </c>
      <c r="C943" s="92"/>
      <c r="D943" s="97">
        <v>46202</v>
      </c>
      <c r="E943" s="64" t="s">
        <v>1745</v>
      </c>
      <c r="F943" s="108"/>
      <c r="G943" s="64" t="s">
        <v>1742</v>
      </c>
      <c r="H943" s="97">
        <v>20464</v>
      </c>
      <c r="I943" s="98" t="s">
        <v>1744</v>
      </c>
      <c r="J943" s="111"/>
      <c r="K943" s="111">
        <v>668</v>
      </c>
      <c r="L943" s="92"/>
      <c r="M943" s="64"/>
      <c r="N943" s="64" t="s">
        <v>1499</v>
      </c>
      <c r="O943" s="96" t="s">
        <v>1743</v>
      </c>
      <c r="P943" s="36"/>
      <c r="Q943" s="39"/>
      <c r="R943" s="8"/>
    </row>
    <row r="944" spans="2:20" ht="16.8">
      <c r="C944" s="92"/>
      <c r="D944" s="97"/>
      <c r="E944" s="64"/>
      <c r="F944" s="108"/>
      <c r="G944" s="64"/>
      <c r="H944" s="97"/>
      <c r="I944" s="98"/>
      <c r="J944" s="111"/>
      <c r="K944" s="111"/>
      <c r="L944" s="92"/>
      <c r="M944" s="64"/>
      <c r="N944" s="64"/>
      <c r="O944" s="96"/>
      <c r="P944" s="36"/>
      <c r="Q944" s="39"/>
      <c r="R944" s="8"/>
    </row>
    <row r="945" spans="2:20" ht="16.8">
      <c r="C945" s="92"/>
      <c r="D945" s="97"/>
      <c r="E945" s="64"/>
      <c r="F945" s="108"/>
      <c r="G945" s="64"/>
      <c r="H945" s="97"/>
      <c r="I945" s="98"/>
      <c r="J945" s="111"/>
      <c r="K945" s="111"/>
      <c r="L945" s="92"/>
      <c r="M945" s="64"/>
      <c r="N945" s="64"/>
      <c r="O945" s="96"/>
      <c r="P945" s="36"/>
      <c r="Q945" s="39"/>
      <c r="R945" s="8"/>
    </row>
    <row r="946" spans="2:20" ht="16.8">
      <c r="C946" s="92"/>
      <c r="D946" s="97"/>
      <c r="E946" s="64"/>
      <c r="F946" s="108"/>
      <c r="G946" s="64"/>
      <c r="H946" s="97"/>
      <c r="I946" s="98"/>
      <c r="J946" s="111"/>
      <c r="K946" s="111"/>
      <c r="L946" s="92"/>
      <c r="M946" s="64"/>
      <c r="N946" s="64"/>
      <c r="O946" s="96"/>
      <c r="P946" s="36"/>
      <c r="Q946" s="39"/>
      <c r="R946" s="8"/>
    </row>
    <row r="947" spans="2:20" ht="16.8">
      <c r="C947" s="92"/>
      <c r="D947" s="97"/>
      <c r="E947" s="64"/>
      <c r="F947" s="108"/>
      <c r="G947" s="64"/>
      <c r="H947" s="97"/>
      <c r="I947" s="98"/>
      <c r="J947" s="111"/>
      <c r="K947" s="111"/>
      <c r="L947" s="92"/>
      <c r="M947" s="64"/>
      <c r="N947" s="64"/>
      <c r="O947" s="96"/>
      <c r="P947" s="36"/>
      <c r="Q947" s="39"/>
      <c r="R947" s="8"/>
    </row>
    <row r="948" spans="2:20" ht="16.8">
      <c r="C948" s="92"/>
      <c r="D948" s="97"/>
      <c r="E948" s="64"/>
      <c r="F948" s="108"/>
      <c r="G948" s="64"/>
      <c r="H948" s="97"/>
      <c r="I948" s="98"/>
      <c r="J948" s="111"/>
      <c r="K948" s="111"/>
      <c r="L948" s="92"/>
      <c r="M948" s="64"/>
      <c r="N948" s="64"/>
      <c r="O948" s="96"/>
      <c r="P948" s="36"/>
      <c r="Q948" s="39"/>
      <c r="R948" s="8"/>
    </row>
    <row r="949" spans="2:20" ht="16.8">
      <c r="C949" s="92"/>
      <c r="D949" s="97"/>
      <c r="E949" s="64"/>
      <c r="F949" s="108"/>
      <c r="G949" s="64"/>
      <c r="H949" s="97"/>
      <c r="I949" s="98"/>
      <c r="J949" s="111"/>
      <c r="K949" s="111"/>
      <c r="L949" s="92"/>
      <c r="M949" s="64"/>
      <c r="N949" s="64"/>
      <c r="O949" s="96"/>
      <c r="P949" s="36"/>
      <c r="Q949" s="39"/>
      <c r="R949" s="8"/>
    </row>
    <row r="950" spans="2:20" ht="16.8">
      <c r="L950" s="92">
        <f t="shared" si="179"/>
        <v>0</v>
      </c>
      <c r="Q950"/>
      <c r="R950" s="8">
        <f t="shared" si="180"/>
        <v>0</v>
      </c>
    </row>
    <row r="951" spans="2:20">
      <c r="B951" s="35">
        <f>COUNTA(B935:B950)</f>
        <v>7</v>
      </c>
      <c r="C951" s="34"/>
      <c r="D951" s="34"/>
      <c r="E951" s="35"/>
      <c r="F951" s="35"/>
      <c r="G951" s="34"/>
      <c r="H951" s="46"/>
      <c r="I951" s="34"/>
      <c r="J951" s="124">
        <f>SUM(J935:J950)</f>
        <v>0</v>
      </c>
      <c r="K951" s="124">
        <f>SUM(K935:K950)</f>
        <v>18100.809999999998</v>
      </c>
      <c r="L951" s="124">
        <f>SUM(L935:L950)</f>
        <v>19412.050500000005</v>
      </c>
      <c r="M951" s="124">
        <f>SUM(M935:M950)</f>
        <v>4800</v>
      </c>
      <c r="N951" s="107">
        <f>SUM(N923:N950)</f>
        <v>0</v>
      </c>
      <c r="O951" s="107">
        <f>SUM(O923:O950)</f>
        <v>0</v>
      </c>
      <c r="P951" s="107">
        <f>SUM(P923:P950)</f>
        <v>200</v>
      </c>
      <c r="Q951" s="107">
        <f>SUM(Q923:Q950)</f>
        <v>0</v>
      </c>
      <c r="R951" s="107">
        <f>SUM(R935:R950)</f>
        <v>7436.3418500000025</v>
      </c>
      <c r="S951" s="34">
        <f ca="1">SUM(S793:S950)</f>
        <v>43048.289199999999</v>
      </c>
      <c r="T951" s="34">
        <f ca="1">SUM(T793:T878)</f>
        <v>43382.619999999995</v>
      </c>
    </row>
    <row r="952" spans="2:20" ht="16.8">
      <c r="D952" s="1"/>
      <c r="F952" s="48"/>
      <c r="H952" s="1"/>
      <c r="Q952"/>
      <c r="R952" s="8"/>
    </row>
    <row r="953" spans="2:20" ht="16.8">
      <c r="D953" s="1"/>
      <c r="F953" s="48"/>
      <c r="H953" s="1"/>
      <c r="Q953"/>
      <c r="R953" s="8"/>
    </row>
    <row r="954" spans="2:20" ht="16.8">
      <c r="B954" s="9" t="s">
        <v>1385</v>
      </c>
      <c r="D954" s="1"/>
      <c r="F954" s="106">
        <v>9234582968</v>
      </c>
      <c r="G954" t="s">
        <v>1746</v>
      </c>
      <c r="H954" s="1" t="s">
        <v>1747</v>
      </c>
      <c r="J954" s="5">
        <v>0</v>
      </c>
      <c r="K954" s="5">
        <v>3746</v>
      </c>
      <c r="L954" s="92">
        <f t="shared" ref="L954:L955" si="182">(J954+K954)*1.18</f>
        <v>4420.28</v>
      </c>
      <c r="M954">
        <v>400</v>
      </c>
      <c r="N954" t="s">
        <v>1748</v>
      </c>
      <c r="O954" s="3" t="s">
        <v>1749</v>
      </c>
      <c r="Q954"/>
      <c r="R954" s="8">
        <f>IF(B954="4P",K954*0.4,IF(B954="4D",K954*0.3,IF(B954="HH",K954*0.41,IF(B954="RE",K954*0.35,IF(B954="SC",K954*0.51,K954*0.4)))))</f>
        <v>1498.4</v>
      </c>
      <c r="S954" s="8">
        <f>R954-M954</f>
        <v>1098.4000000000001</v>
      </c>
    </row>
    <row r="955" spans="2:20" ht="16.8">
      <c r="B955" s="9" t="s">
        <v>1174</v>
      </c>
      <c r="D955" s="1"/>
      <c r="F955" s="106">
        <v>9304392497</v>
      </c>
      <c r="H955" s="1">
        <v>18393</v>
      </c>
      <c r="J955" s="5">
        <v>0</v>
      </c>
      <c r="K955" s="5">
        <v>714</v>
      </c>
      <c r="L955" s="92">
        <f t="shared" si="182"/>
        <v>842.52</v>
      </c>
      <c r="M955">
        <v>42.52</v>
      </c>
      <c r="O955" s="3" t="s">
        <v>585</v>
      </c>
      <c r="Q955"/>
      <c r="R955" s="8">
        <f>IF(B955="4P",K955*0.4,IF(B955="4D",K955*0.3,IF(B955="HH",K955*0.41,IF(B955="RE",K955*0.35,IF(B955="SC",K955*0.51,K955*0.4)))))</f>
        <v>292.74</v>
      </c>
      <c r="S955" s="8">
        <f>R955-M955</f>
        <v>250.22</v>
      </c>
    </row>
    <row r="956" spans="2:20" ht="16.8">
      <c r="D956" s="1">
        <v>46232</v>
      </c>
      <c r="F956" s="106">
        <v>9973515768</v>
      </c>
      <c r="G956" t="s">
        <v>1752</v>
      </c>
      <c r="H956" s="1"/>
      <c r="J956" s="5">
        <v>0</v>
      </c>
      <c r="K956" s="5">
        <v>714</v>
      </c>
      <c r="L956" s="92">
        <f t="shared" ref="L956" si="183">(J956+K956)*1.18</f>
        <v>842.52</v>
      </c>
      <c r="M956">
        <v>42.52</v>
      </c>
      <c r="O956" s="3" t="s">
        <v>1751</v>
      </c>
      <c r="Q956"/>
      <c r="R956" s="8"/>
    </row>
    <row r="957" spans="2:20" ht="16.8">
      <c r="D957" s="1"/>
      <c r="F957" s="48"/>
      <c r="H957" s="1"/>
      <c r="Q957"/>
      <c r="R957" s="8"/>
    </row>
    <row r="958" spans="2:20" ht="16.8">
      <c r="D958" s="1"/>
      <c r="F958" s="48"/>
      <c r="H958" s="1"/>
      <c r="Q958"/>
      <c r="R958" s="8"/>
    </row>
    <row r="959" spans="2:20">
      <c r="B959" s="35">
        <f>COUNTA(B953:B958)</f>
        <v>2</v>
      </c>
      <c r="C959" s="34"/>
      <c r="D959" s="34"/>
      <c r="E959" s="35"/>
      <c r="F959" s="35"/>
      <c r="G959" s="34"/>
      <c r="H959" s="46"/>
      <c r="I959" s="34"/>
      <c r="J959" s="124">
        <f t="shared" ref="J959:T959" si="184">SUM(J953:J958)</f>
        <v>0</v>
      </c>
      <c r="K959" s="124">
        <f t="shared" si="184"/>
        <v>5174</v>
      </c>
      <c r="L959" s="124">
        <f t="shared" si="184"/>
        <v>6105.32</v>
      </c>
      <c r="M959" s="124">
        <f t="shared" si="184"/>
        <v>485.03999999999996</v>
      </c>
      <c r="N959" s="124">
        <f t="shared" si="184"/>
        <v>0</v>
      </c>
      <c r="O959" s="124">
        <f t="shared" si="184"/>
        <v>0</v>
      </c>
      <c r="P959" s="124">
        <f t="shared" si="184"/>
        <v>0</v>
      </c>
      <c r="Q959" s="124">
        <f t="shared" si="184"/>
        <v>0</v>
      </c>
      <c r="R959" s="124">
        <f t="shared" si="184"/>
        <v>1791.14</v>
      </c>
      <c r="S959" s="124">
        <f t="shared" si="184"/>
        <v>1348.6200000000001</v>
      </c>
      <c r="T959" s="124">
        <f t="shared" si="184"/>
        <v>0</v>
      </c>
    </row>
    <row r="960" spans="2:20" ht="16.8">
      <c r="D960" s="1"/>
      <c r="F960" s="48"/>
      <c r="H960" s="1"/>
      <c r="Q960"/>
      <c r="R960" s="8"/>
    </row>
    <row r="961" spans="1:20" ht="16.8">
      <c r="B961" s="9" t="s">
        <v>1174</v>
      </c>
      <c r="C961" s="9" t="s">
        <v>1755</v>
      </c>
      <c r="D961" s="1">
        <v>46238</v>
      </c>
      <c r="F961" s="106"/>
      <c r="G961" t="s">
        <v>1753</v>
      </c>
      <c r="H961" s="1"/>
      <c r="J961" s="5">
        <v>0</v>
      </c>
      <c r="K961" s="5">
        <v>714</v>
      </c>
      <c r="L961" s="92">
        <f t="shared" ref="L961:L964" si="185">(J961+K961)*1.18</f>
        <v>842.52</v>
      </c>
      <c r="N961" t="s">
        <v>1754</v>
      </c>
      <c r="O961" s="3" t="s">
        <v>621</v>
      </c>
      <c r="Q961"/>
      <c r="R961" s="8">
        <f>IF(B961="4P",K961*0.4,IF(B961="4D",K961*0.3,IF(B961="HH",K961*0.41,IF(B961="RE",K961*0.35,IF(B961="SC",K961*0.51,K961*0.4)))))</f>
        <v>292.74</v>
      </c>
      <c r="S961" s="8">
        <f>R961-M961</f>
        <v>292.74</v>
      </c>
    </row>
    <row r="962" spans="1:20" ht="16.8">
      <c r="A962" s="9" t="s">
        <v>1765</v>
      </c>
      <c r="B962" s="9" t="s">
        <v>1176</v>
      </c>
      <c r="C962" s="9" t="s">
        <v>1757</v>
      </c>
      <c r="D962" s="1">
        <v>46239</v>
      </c>
      <c r="F962" s="9">
        <v>6207974304</v>
      </c>
      <c r="G962" s="120" t="s">
        <v>1475</v>
      </c>
      <c r="H962" s="1"/>
      <c r="J962" s="5">
        <v>0</v>
      </c>
      <c r="K962" s="5">
        <v>714</v>
      </c>
      <c r="L962" s="92">
        <f t="shared" si="185"/>
        <v>842.52</v>
      </c>
      <c r="N962" t="s">
        <v>1505</v>
      </c>
      <c r="O962" s="3" t="s">
        <v>1756</v>
      </c>
      <c r="Q962"/>
      <c r="R962" s="8">
        <f t="shared" ref="R962:R969" si="186">IF(B962="4P",K962*0.4,IF(B962="4D",K962*0.3,IF(B962="HH",K962*0.41,IF(B962="RE",K962*0.35,IF(B962="SC",K962*0.51,K962*0.4)))))</f>
        <v>364.14</v>
      </c>
      <c r="S962" s="8">
        <f>R962-M962</f>
        <v>364.14</v>
      </c>
    </row>
    <row r="963" spans="1:20" ht="16.8">
      <c r="A963" s="9" t="s">
        <v>1765</v>
      </c>
      <c r="B963" s="9" t="s">
        <v>1351</v>
      </c>
      <c r="D963" s="1">
        <v>45875</v>
      </c>
      <c r="F963" s="48"/>
      <c r="G963" s="120" t="s">
        <v>1479</v>
      </c>
      <c r="H963" s="1"/>
      <c r="J963" s="5">
        <v>0</v>
      </c>
      <c r="K963" s="5">
        <v>1316</v>
      </c>
      <c r="L963" s="92">
        <f t="shared" si="185"/>
        <v>1552.8799999999999</v>
      </c>
      <c r="Q963"/>
      <c r="R963" s="8">
        <f t="shared" si="186"/>
        <v>526.4</v>
      </c>
    </row>
    <row r="964" spans="1:20" ht="16.8">
      <c r="A964" s="9" t="s">
        <v>1765</v>
      </c>
      <c r="B964" s="9" t="s">
        <v>1173</v>
      </c>
      <c r="C964" s="9" t="s">
        <v>1758</v>
      </c>
      <c r="D964" s="1">
        <v>46243</v>
      </c>
      <c r="F964" s="63">
        <v>8235161181</v>
      </c>
      <c r="G964" t="s">
        <v>1087</v>
      </c>
      <c r="H964" s="1"/>
      <c r="J964" s="5">
        <v>0</v>
      </c>
      <c r="K964" s="5">
        <v>3416</v>
      </c>
      <c r="L964" s="92">
        <f t="shared" si="185"/>
        <v>4030.8799999999997</v>
      </c>
      <c r="N964" t="s">
        <v>1760</v>
      </c>
      <c r="O964" s="3" t="s">
        <v>1759</v>
      </c>
      <c r="Q964"/>
      <c r="R964" s="8">
        <f t="shared" si="186"/>
        <v>1366.4</v>
      </c>
    </row>
    <row r="965" spans="1:20" ht="16.8">
      <c r="A965" s="9" t="s">
        <v>1765</v>
      </c>
      <c r="B965" s="9" t="s">
        <v>1173</v>
      </c>
      <c r="D965" s="1">
        <v>46246</v>
      </c>
      <c r="F965" s="48">
        <v>8521411224</v>
      </c>
      <c r="G965" t="s">
        <v>1492</v>
      </c>
      <c r="H965" s="1" t="s">
        <v>1494</v>
      </c>
      <c r="I965" s="42" t="s">
        <v>1495</v>
      </c>
      <c r="J965" s="5">
        <v>0</v>
      </c>
      <c r="K965" s="5">
        <v>3416</v>
      </c>
      <c r="L965" s="92">
        <f t="shared" ref="L965:L967" si="187">(J965+K965)*1.18</f>
        <v>4030.8799999999997</v>
      </c>
      <c r="N965" t="s">
        <v>1761</v>
      </c>
      <c r="O965" s="3" t="s">
        <v>1493</v>
      </c>
      <c r="Q965"/>
      <c r="R965" s="8">
        <f t="shared" si="186"/>
        <v>1366.4</v>
      </c>
    </row>
    <row r="966" spans="1:20" ht="16.8">
      <c r="A966" s="9" t="s">
        <v>1765</v>
      </c>
      <c r="B966" s="9" t="s">
        <v>1176</v>
      </c>
      <c r="D966" s="1">
        <v>46254</v>
      </c>
      <c r="F966" s="48"/>
      <c r="G966" s="120" t="s">
        <v>1762</v>
      </c>
      <c r="H966" s="1"/>
      <c r="J966" s="5">
        <v>0</v>
      </c>
      <c r="K966" s="5">
        <v>714</v>
      </c>
      <c r="L966" s="92">
        <f t="shared" si="187"/>
        <v>842.52</v>
      </c>
      <c r="N966" t="s">
        <v>1764</v>
      </c>
      <c r="O966" s="3" t="s">
        <v>1763</v>
      </c>
      <c r="Q966"/>
      <c r="R966" s="8">
        <f t="shared" si="186"/>
        <v>364.14</v>
      </c>
    </row>
    <row r="967" spans="1:20" ht="16.8">
      <c r="A967" s="9" t="s">
        <v>1765</v>
      </c>
      <c r="B967" s="9" t="s">
        <v>1176</v>
      </c>
      <c r="D967" s="1">
        <v>46255</v>
      </c>
      <c r="F967" s="48"/>
      <c r="G967" t="s">
        <v>1507</v>
      </c>
      <c r="H967" s="1">
        <v>19452</v>
      </c>
      <c r="I967" s="42" t="s">
        <v>1508</v>
      </c>
      <c r="J967" s="5">
        <v>0</v>
      </c>
      <c r="K967" s="5">
        <v>664</v>
      </c>
      <c r="L967" s="92">
        <f t="shared" si="187"/>
        <v>783.52</v>
      </c>
      <c r="O967" s="3" t="s">
        <v>1510</v>
      </c>
      <c r="Q967"/>
      <c r="R967" s="8">
        <f t="shared" si="186"/>
        <v>338.64</v>
      </c>
    </row>
    <row r="968" spans="1:20" ht="16.8">
      <c r="A968" s="9" t="s">
        <v>1765</v>
      </c>
      <c r="B968" s="9" t="s">
        <v>1176</v>
      </c>
      <c r="D968" s="1">
        <v>46258</v>
      </c>
      <c r="F968" s="48">
        <v>9234550363</v>
      </c>
      <c r="G968" t="s">
        <v>1069</v>
      </c>
      <c r="H968" s="1">
        <v>29787</v>
      </c>
      <c r="I968" s="42" t="s">
        <v>1067</v>
      </c>
      <c r="J968" s="5">
        <v>0</v>
      </c>
      <c r="K968" s="5">
        <v>664</v>
      </c>
      <c r="L968" s="92">
        <f t="shared" ref="L968:L969" si="188">(J968+K968)*1.18</f>
        <v>783.52</v>
      </c>
      <c r="O968" s="3" t="s">
        <v>1068</v>
      </c>
      <c r="Q968"/>
      <c r="R968" s="8">
        <f t="shared" si="186"/>
        <v>338.64</v>
      </c>
    </row>
    <row r="969" spans="1:20" ht="16.8">
      <c r="A969" s="9" t="s">
        <v>1765</v>
      </c>
      <c r="B969" s="9" t="s">
        <v>1342</v>
      </c>
      <c r="D969" s="1"/>
      <c r="F969" s="48">
        <v>9386028309</v>
      </c>
      <c r="G969" t="s">
        <v>1512</v>
      </c>
      <c r="H969" s="1">
        <v>24117</v>
      </c>
      <c r="I969" s="42" t="s">
        <v>1513</v>
      </c>
      <c r="J969" s="5">
        <v>0</v>
      </c>
      <c r="K969" s="5">
        <v>714</v>
      </c>
      <c r="L969" s="92">
        <f t="shared" si="188"/>
        <v>842.52</v>
      </c>
      <c r="O969" s="3" t="s">
        <v>1514</v>
      </c>
      <c r="Q969"/>
      <c r="R969" s="8">
        <f t="shared" si="186"/>
        <v>285.60000000000002</v>
      </c>
    </row>
    <row r="970" spans="1:20" ht="16.8">
      <c r="D970" s="1"/>
      <c r="F970" s="48"/>
      <c r="G970" s="120"/>
      <c r="H970" s="1"/>
      <c r="L970" s="92"/>
      <c r="Q970"/>
      <c r="R970" s="8"/>
    </row>
    <row r="971" spans="1:20" ht="16.8">
      <c r="D971" s="1"/>
      <c r="F971" s="48"/>
      <c r="H971" s="1"/>
      <c r="Q971"/>
      <c r="R971" s="8"/>
    </row>
    <row r="972" spans="1:20" ht="16.8">
      <c r="D972" s="1"/>
      <c r="F972" s="48"/>
      <c r="H972" s="1"/>
      <c r="Q972"/>
      <c r="R972" s="8"/>
    </row>
    <row r="973" spans="1:20">
      <c r="B973" s="35">
        <f>COUNTA(B960:B972)</f>
        <v>9</v>
      </c>
      <c r="C973" s="34"/>
      <c r="D973" s="34"/>
      <c r="E973" s="35"/>
      <c r="F973" s="35"/>
      <c r="G973" s="34"/>
      <c r="H973" s="46"/>
      <c r="I973" s="34"/>
      <c r="J973" s="124">
        <f t="shared" ref="J973:Q973" si="189">SUM(J960:J972)</f>
        <v>0</v>
      </c>
      <c r="K973" s="124">
        <f t="shared" si="189"/>
        <v>12332</v>
      </c>
      <c r="L973" s="124">
        <f t="shared" si="189"/>
        <v>14551.76</v>
      </c>
      <c r="M973" s="124">
        <f t="shared" si="189"/>
        <v>0</v>
      </c>
      <c r="N973" s="124">
        <f t="shared" si="189"/>
        <v>0</v>
      </c>
      <c r="O973" s="124">
        <f t="shared" si="189"/>
        <v>0</v>
      </c>
      <c r="P973" s="124">
        <f t="shared" si="189"/>
        <v>0</v>
      </c>
      <c r="Q973" s="124">
        <f t="shared" si="189"/>
        <v>0</v>
      </c>
      <c r="R973" s="130">
        <f>SUM(R961:R972)</f>
        <v>5243.1000000000013</v>
      </c>
      <c r="S973" s="124">
        <f>SUM(S960:S972)</f>
        <v>656.88</v>
      </c>
      <c r="T973" s="124">
        <f>SUM(T960:T972)</f>
        <v>0</v>
      </c>
    </row>
    <row r="974" spans="1:20" ht="16.8">
      <c r="D974" s="1"/>
      <c r="F974" s="48"/>
      <c r="H974" s="1"/>
      <c r="Q974"/>
      <c r="R974" s="8"/>
    </row>
    <row r="975" spans="1:20" ht="16.8">
      <c r="B975" s="9" t="s">
        <v>1176</v>
      </c>
      <c r="C975" s="9" t="s">
        <v>1771</v>
      </c>
      <c r="D975" s="1">
        <v>46276</v>
      </c>
      <c r="F975" s="48"/>
      <c r="G975" t="s">
        <v>1770</v>
      </c>
      <c r="H975" s="1"/>
      <c r="J975" s="5">
        <v>0</v>
      </c>
      <c r="K975" s="5">
        <v>714</v>
      </c>
      <c r="L975" s="92">
        <f t="shared" ref="L975:L1004" si="190">(J975+K975)*1.18</f>
        <v>842.52</v>
      </c>
      <c r="N975" t="s">
        <v>1481</v>
      </c>
      <c r="O975" s="3" t="s">
        <v>1769</v>
      </c>
      <c r="Q975"/>
      <c r="R975" s="8">
        <f t="shared" ref="R975:R1006" si="191">IF(B975="4P",K975*0.4,IF(B975="4D",K975*0.3,IF(B975="HH",K975*0.41,IF(B975="RE",K975*0.35,IF(B975="SC",K975*0.51,K975*0.4)))))</f>
        <v>364.14</v>
      </c>
    </row>
    <row r="976" spans="1:20" ht="16.8">
      <c r="B976" s="9" t="s">
        <v>1173</v>
      </c>
      <c r="C976" s="9" t="s">
        <v>1775</v>
      </c>
      <c r="D976" s="1">
        <v>46270</v>
      </c>
      <c r="F976" s="48"/>
      <c r="G976" t="s">
        <v>1772</v>
      </c>
      <c r="H976" s="1"/>
      <c r="J976" s="5">
        <v>0</v>
      </c>
      <c r="K976" s="5">
        <v>1994</v>
      </c>
      <c r="L976" s="92">
        <f t="shared" si="190"/>
        <v>2352.92</v>
      </c>
      <c r="N976" t="s">
        <v>1774</v>
      </c>
      <c r="O976" s="3" t="s">
        <v>1773</v>
      </c>
      <c r="Q976"/>
      <c r="R976" s="8">
        <f t="shared" si="191"/>
        <v>797.6</v>
      </c>
    </row>
    <row r="977" spans="1:20" ht="16.8">
      <c r="A977" t="s">
        <v>1765</v>
      </c>
      <c r="B977" s="9" t="s">
        <v>1176</v>
      </c>
      <c r="C977" s="9" t="s">
        <v>1777</v>
      </c>
      <c r="D977" s="1">
        <v>46274</v>
      </c>
      <c r="F977" s="48"/>
      <c r="G977" t="s">
        <v>1776</v>
      </c>
      <c r="H977" s="1"/>
      <c r="J977" s="5">
        <v>0</v>
      </c>
      <c r="K977" s="5">
        <v>714</v>
      </c>
      <c r="L977" s="92">
        <f t="shared" si="190"/>
        <v>842.52</v>
      </c>
      <c r="N977" t="s">
        <v>1505</v>
      </c>
      <c r="O977" s="3" t="s">
        <v>1498</v>
      </c>
      <c r="Q977"/>
      <c r="R977" s="8">
        <f t="shared" si="191"/>
        <v>364.14</v>
      </c>
    </row>
    <row r="978" spans="1:20" ht="16.8">
      <c r="A978" t="s">
        <v>1765</v>
      </c>
      <c r="B978" s="9" t="s">
        <v>1176</v>
      </c>
      <c r="C978" s="9" t="s">
        <v>1780</v>
      </c>
      <c r="D978" s="1">
        <v>46272</v>
      </c>
      <c r="F978" s="48"/>
      <c r="G978" t="s">
        <v>1778</v>
      </c>
      <c r="H978" s="1"/>
      <c r="J978" s="5">
        <v>0</v>
      </c>
      <c r="K978" s="5">
        <v>714</v>
      </c>
      <c r="L978" s="92">
        <f t="shared" si="190"/>
        <v>842.52</v>
      </c>
      <c r="N978" t="s">
        <v>1779</v>
      </c>
      <c r="O978" s="3" t="s">
        <v>1543</v>
      </c>
      <c r="Q978"/>
      <c r="R978" s="8">
        <f t="shared" si="191"/>
        <v>364.14</v>
      </c>
    </row>
    <row r="979" spans="1:20" ht="16.8">
      <c r="B979" s="9" t="s">
        <v>1176</v>
      </c>
      <c r="C979" s="9" t="s">
        <v>1783</v>
      </c>
      <c r="D979" s="1">
        <v>46282</v>
      </c>
      <c r="F979" s="48"/>
      <c r="G979" t="s">
        <v>1782</v>
      </c>
      <c r="H979" s="1"/>
      <c r="J979" s="5">
        <v>0</v>
      </c>
      <c r="K979" s="5">
        <v>714</v>
      </c>
      <c r="L979" s="92">
        <f t="shared" si="190"/>
        <v>842.52</v>
      </c>
      <c r="N979" t="s">
        <v>1505</v>
      </c>
      <c r="O979" s="3" t="s">
        <v>1781</v>
      </c>
      <c r="Q979"/>
      <c r="R979" s="8">
        <f t="shared" si="191"/>
        <v>364.14</v>
      </c>
    </row>
    <row r="980" spans="1:20" ht="16.8">
      <c r="B980" s="9" t="s">
        <v>1385</v>
      </c>
      <c r="D980" s="1">
        <v>46274</v>
      </c>
      <c r="F980" s="48"/>
      <c r="G980" t="s">
        <v>1784</v>
      </c>
      <c r="H980" s="1"/>
      <c r="J980" s="5">
        <v>0</v>
      </c>
      <c r="K980" s="5">
        <v>1994</v>
      </c>
      <c r="L980" s="92">
        <f t="shared" si="190"/>
        <v>2352.92</v>
      </c>
      <c r="N980" t="s">
        <v>1785</v>
      </c>
      <c r="O980" s="3" t="s">
        <v>1766</v>
      </c>
      <c r="Q980"/>
      <c r="R980" s="8">
        <f t="shared" si="191"/>
        <v>797.6</v>
      </c>
    </row>
    <row r="981" spans="1:20" ht="16.8">
      <c r="A981" t="s">
        <v>1765</v>
      </c>
      <c r="B981" s="9" t="s">
        <v>1176</v>
      </c>
      <c r="C981" s="9" t="s">
        <v>1787</v>
      </c>
      <c r="D981" s="1">
        <v>46274</v>
      </c>
      <c r="F981" s="48"/>
      <c r="G981" t="s">
        <v>1786</v>
      </c>
      <c r="H981" s="1"/>
      <c r="J981" s="5">
        <v>0</v>
      </c>
      <c r="K981" s="5">
        <v>714</v>
      </c>
      <c r="L981" s="92">
        <f t="shared" si="190"/>
        <v>842.52</v>
      </c>
      <c r="N981" t="s">
        <v>1505</v>
      </c>
      <c r="O981" s="3" t="s">
        <v>664</v>
      </c>
      <c r="Q981"/>
      <c r="R981" s="8">
        <f t="shared" si="191"/>
        <v>364.14</v>
      </c>
    </row>
    <row r="982" spans="1:20" ht="16.8">
      <c r="A982" t="s">
        <v>1765</v>
      </c>
      <c r="B982" s="9" t="s">
        <v>1174</v>
      </c>
      <c r="C982" s="9" t="s">
        <v>1790</v>
      </c>
      <c r="D982" s="1">
        <v>46274</v>
      </c>
      <c r="F982" s="48"/>
      <c r="G982" t="s">
        <v>1788</v>
      </c>
      <c r="H982" s="1"/>
      <c r="J982" s="5">
        <v>0</v>
      </c>
      <c r="K982" s="5">
        <v>714</v>
      </c>
      <c r="L982" s="92">
        <f t="shared" si="190"/>
        <v>842.52</v>
      </c>
      <c r="N982" t="s">
        <v>1789</v>
      </c>
      <c r="O982" s="3" t="s">
        <v>1521</v>
      </c>
      <c r="Q982"/>
      <c r="R982" s="8">
        <f t="shared" si="191"/>
        <v>292.74</v>
      </c>
    </row>
    <row r="983" spans="1:20" ht="16.8">
      <c r="A983" t="s">
        <v>1765</v>
      </c>
      <c r="B983" s="9" t="s">
        <v>1176</v>
      </c>
      <c r="C983" s="9" t="s">
        <v>1792</v>
      </c>
      <c r="D983" s="1">
        <v>46278</v>
      </c>
      <c r="F983" s="48"/>
      <c r="G983" t="s">
        <v>1791</v>
      </c>
      <c r="H983" s="1"/>
      <c r="J983" s="5">
        <v>0</v>
      </c>
      <c r="K983" s="5">
        <v>714</v>
      </c>
      <c r="L983" s="92">
        <f t="shared" si="190"/>
        <v>842.52</v>
      </c>
      <c r="N983" t="s">
        <v>1505</v>
      </c>
      <c r="O983" s="3" t="s">
        <v>689</v>
      </c>
      <c r="Q983"/>
      <c r="R983" s="8">
        <f t="shared" si="191"/>
        <v>364.14</v>
      </c>
    </row>
    <row r="984" spans="1:20" ht="16.8">
      <c r="A984" t="s">
        <v>1765</v>
      </c>
      <c r="B984" s="9" t="s">
        <v>1176</v>
      </c>
      <c r="C984" s="9" t="s">
        <v>1795</v>
      </c>
      <c r="D984" s="1">
        <v>46293</v>
      </c>
      <c r="F984" s="48"/>
      <c r="G984" t="s">
        <v>1793</v>
      </c>
      <c r="H984" s="1"/>
      <c r="J984" s="5">
        <v>0</v>
      </c>
      <c r="K984" s="5">
        <v>714</v>
      </c>
      <c r="L984" s="92">
        <f t="shared" si="190"/>
        <v>842.52</v>
      </c>
      <c r="N984" t="s">
        <v>1505</v>
      </c>
      <c r="O984" s="3" t="s">
        <v>1794</v>
      </c>
      <c r="Q984"/>
      <c r="R984" s="8">
        <f t="shared" si="191"/>
        <v>364.14</v>
      </c>
    </row>
    <row r="985" spans="1:20" ht="16.8">
      <c r="B985" s="9" t="s">
        <v>1174</v>
      </c>
      <c r="C985" s="9" t="s">
        <v>1796</v>
      </c>
      <c r="D985" s="1">
        <v>46278</v>
      </c>
      <c r="F985" s="48">
        <v>8797138434</v>
      </c>
      <c r="G985" s="120" t="s">
        <v>1767</v>
      </c>
      <c r="H985" s="1"/>
      <c r="J985" s="5">
        <v>0</v>
      </c>
      <c r="K985" s="5">
        <v>714</v>
      </c>
      <c r="L985" s="92">
        <f t="shared" si="190"/>
        <v>842.52</v>
      </c>
      <c r="N985" t="s">
        <v>1754</v>
      </c>
      <c r="O985" s="3" t="s">
        <v>1768</v>
      </c>
      <c r="Q985"/>
      <c r="R985" s="8">
        <f t="shared" si="191"/>
        <v>292.74</v>
      </c>
    </row>
    <row r="986" spans="1:20" ht="16.8">
      <c r="B986" s="9" t="s">
        <v>1176</v>
      </c>
      <c r="C986" s="9" t="s">
        <v>1799</v>
      </c>
      <c r="D986" s="1">
        <v>46290</v>
      </c>
      <c r="F986" s="48"/>
      <c r="G986" s="120" t="s">
        <v>1798</v>
      </c>
      <c r="H986" s="1"/>
      <c r="J986" s="5">
        <v>0</v>
      </c>
      <c r="K986" s="5">
        <v>714</v>
      </c>
      <c r="L986" s="92">
        <f t="shared" ref="L986:L987" si="192">(J986+K986)*1.18</f>
        <v>842.52</v>
      </c>
      <c r="N986" t="s">
        <v>1505</v>
      </c>
      <c r="O986" s="3" t="s">
        <v>1797</v>
      </c>
      <c r="Q986"/>
      <c r="R986" s="8">
        <f t="shared" si="191"/>
        <v>364.14</v>
      </c>
    </row>
    <row r="987" spans="1:20" ht="16.8">
      <c r="A987" t="s">
        <v>1802</v>
      </c>
      <c r="B987" s="9" t="s">
        <v>1176</v>
      </c>
      <c r="D987" s="1">
        <v>46287</v>
      </c>
      <c r="F987" s="48"/>
      <c r="G987" s="120" t="s">
        <v>1800</v>
      </c>
      <c r="H987" s="1"/>
      <c r="J987" s="5">
        <v>0</v>
      </c>
      <c r="K987" s="5">
        <v>714</v>
      </c>
      <c r="L987" s="92">
        <f t="shared" si="192"/>
        <v>842.52</v>
      </c>
      <c r="N987" t="s">
        <v>1505</v>
      </c>
      <c r="O987" s="3" t="s">
        <v>1490</v>
      </c>
      <c r="Q987"/>
      <c r="R987" s="8">
        <f t="shared" si="191"/>
        <v>364.14</v>
      </c>
    </row>
    <row r="988" spans="1:20">
      <c r="A988" t="s">
        <v>1765</v>
      </c>
      <c r="B988" s="9" t="s">
        <v>1176</v>
      </c>
      <c r="C988" s="9" t="s">
        <v>1552</v>
      </c>
      <c r="D988" s="1">
        <v>45914</v>
      </c>
      <c r="E988" s="9"/>
      <c r="F988" s="9">
        <v>9334644676</v>
      </c>
      <c r="G988" s="9" t="s">
        <v>1551</v>
      </c>
      <c r="H988" s="9"/>
      <c r="I988" s="9"/>
      <c r="J988" s="9">
        <v>0</v>
      </c>
      <c r="K988" s="9">
        <v>664</v>
      </c>
      <c r="L988" s="9">
        <f>(J988+K988)*1.18</f>
        <v>783.52</v>
      </c>
      <c r="M988" s="9">
        <v>750</v>
      </c>
      <c r="N988" s="3" t="s">
        <v>1801</v>
      </c>
      <c r="O988" s="3" t="s">
        <v>245</v>
      </c>
      <c r="Q988"/>
      <c r="R988" s="8">
        <f t="shared" si="191"/>
        <v>338.64</v>
      </c>
    </row>
    <row r="989" spans="1:20" ht="16.8">
      <c r="A989" t="s">
        <v>1765</v>
      </c>
      <c r="B989" s="9" t="s">
        <v>1351</v>
      </c>
      <c r="D989" s="1">
        <v>45923</v>
      </c>
      <c r="F989" s="63">
        <v>9279444042</v>
      </c>
      <c r="G989" t="s">
        <v>1537</v>
      </c>
      <c r="H989" s="1">
        <v>32188</v>
      </c>
      <c r="J989" s="5">
        <v>0</v>
      </c>
      <c r="K989" s="5">
        <v>1366</v>
      </c>
      <c r="L989" s="5">
        <f t="shared" ref="L989:L990" si="193">(J989+K989)*1.18</f>
        <v>1611.8799999999999</v>
      </c>
      <c r="M989" s="5">
        <v>1500</v>
      </c>
      <c r="N989" t="s">
        <v>1803</v>
      </c>
      <c r="O989" s="3" t="s">
        <v>298</v>
      </c>
      <c r="Q989"/>
      <c r="R989" s="8">
        <f>IF(B989="4P",K989*0.4,IF(B989="4D",K989*0.3,IF(B989="HH",K989*0.41,IF(B989="RE",K989*0.35,IF(B989="SC",K989*0.51,K989*0.4)))))</f>
        <v>546.4</v>
      </c>
    </row>
    <row r="990" spans="1:20">
      <c r="A990" t="s">
        <v>1765</v>
      </c>
      <c r="B990" s="58" t="s">
        <v>1173</v>
      </c>
      <c r="C990" s="58" t="s">
        <v>1536</v>
      </c>
      <c r="D990" s="97">
        <v>45925</v>
      </c>
      <c r="E990" s="64"/>
      <c r="F990" s="58">
        <v>9234663228</v>
      </c>
      <c r="G990" s="64" t="s">
        <v>1535</v>
      </c>
      <c r="H990" s="97">
        <v>21582</v>
      </c>
      <c r="I990" s="98"/>
      <c r="J990" s="111">
        <v>0</v>
      </c>
      <c r="K990" s="111">
        <v>1994</v>
      </c>
      <c r="L990" s="111">
        <f t="shared" si="193"/>
        <v>2352.92</v>
      </c>
      <c r="M990" s="111">
        <v>100</v>
      </c>
      <c r="N990" t="s">
        <v>1805</v>
      </c>
      <c r="O990" s="3" t="s">
        <v>1534</v>
      </c>
      <c r="Q990"/>
      <c r="R990" s="8">
        <f>IF(B990="4P",K990*0.4,IF(B990="4D",K990*0.3,IF(B990="HH",K990*0.41,IF(B990="RE",K990*0.35,IF(B990="SC",K990*0.51,K990*0.4)))))</f>
        <v>797.6</v>
      </c>
    </row>
    <row r="991" spans="1:20" ht="28.8">
      <c r="B991" s="58" t="s">
        <v>1176</v>
      </c>
      <c r="C991" s="58" t="s">
        <v>1565</v>
      </c>
      <c r="D991" s="97">
        <v>45925</v>
      </c>
      <c r="E991" s="64"/>
      <c r="F991" s="92"/>
      <c r="G991" s="64" t="s">
        <v>702</v>
      </c>
      <c r="H991" s="97"/>
      <c r="I991" s="98"/>
      <c r="J991" s="111">
        <v>0</v>
      </c>
      <c r="K991" s="111">
        <v>664</v>
      </c>
      <c r="L991" s="111">
        <f>(J991+K991)*1.18</f>
        <v>783.52</v>
      </c>
      <c r="M991" s="64">
        <v>750</v>
      </c>
      <c r="N991" s="64"/>
      <c r="O991" s="96" t="s">
        <v>703</v>
      </c>
      <c r="Q991"/>
      <c r="R991" s="8">
        <f>IF(B991="4P",K991*0.4,IF(B991="4D",K991*0.3,IF(B991="HH",K991*0.41,IF(B991="RE",K991*0.35,IF(B991="SC",K991*0.51,K991*0.4)))))</f>
        <v>338.64</v>
      </c>
      <c r="T991" s="132" t="s">
        <v>1806</v>
      </c>
    </row>
    <row r="992" spans="1:20" ht="16.8">
      <c r="B992" s="58" t="s">
        <v>1173</v>
      </c>
      <c r="C992" s="58"/>
      <c r="D992" s="97">
        <v>45540</v>
      </c>
      <c r="E992" s="64"/>
      <c r="F992" s="92">
        <v>7250482933</v>
      </c>
      <c r="G992" s="64" t="s">
        <v>1115</v>
      </c>
      <c r="H992" s="97">
        <v>20836</v>
      </c>
      <c r="I992" s="98" t="s">
        <v>1116</v>
      </c>
      <c r="J992" s="111">
        <v>0</v>
      </c>
      <c r="K992" s="111">
        <v>1994</v>
      </c>
      <c r="L992" s="111">
        <f>(J992+K992)*1.18</f>
        <v>2352.92</v>
      </c>
      <c r="M992" s="64">
        <v>2000</v>
      </c>
      <c r="N992" s="64" t="s">
        <v>1533</v>
      </c>
      <c r="O992" s="96" t="s">
        <v>657</v>
      </c>
      <c r="Q992"/>
      <c r="R992" s="8">
        <f>IF(B992="4P",K992*0.4,IF(B992="4D",K992*0.3,IF(B992="HH",K992*0.41,IF(B992="RE",K992*0.35,IF(B992="SC",K992*0.51,K992*0.4)))))</f>
        <v>797.6</v>
      </c>
    </row>
    <row r="993" spans="2:20" ht="16.8">
      <c r="D993" s="1"/>
      <c r="F993" s="48"/>
      <c r="G993" s="120"/>
      <c r="H993" s="1"/>
      <c r="L993" s="92"/>
      <c r="Q993"/>
      <c r="R993" s="8"/>
    </row>
    <row r="994" spans="2:20" ht="16.8">
      <c r="B994" s="37" t="s">
        <v>1174</v>
      </c>
      <c r="C994" s="37" t="s">
        <v>1550</v>
      </c>
      <c r="D994" s="38">
        <v>45911</v>
      </c>
      <c r="E994" s="36"/>
      <c r="F994" s="49"/>
      <c r="G994" s="36" t="s">
        <v>1548</v>
      </c>
      <c r="H994" s="38"/>
      <c r="I994" s="47"/>
      <c r="J994" s="39">
        <v>0</v>
      </c>
      <c r="K994" s="39">
        <v>664</v>
      </c>
      <c r="L994" s="39">
        <f t="shared" ref="L994:L1001" si="194">(J994+K994)*1.18</f>
        <v>783.52</v>
      </c>
      <c r="M994" s="36">
        <v>783.52</v>
      </c>
      <c r="N994" s="36"/>
      <c r="O994" s="72" t="s">
        <v>1549</v>
      </c>
      <c r="Q994"/>
      <c r="R994" s="8"/>
      <c r="T994" s="8"/>
    </row>
    <row r="995" spans="2:20" ht="16.8">
      <c r="B995" s="37" t="s">
        <v>1174</v>
      </c>
      <c r="C995" s="37" t="s">
        <v>1525</v>
      </c>
      <c r="D995" s="38">
        <v>45912</v>
      </c>
      <c r="E995" s="38">
        <v>45911</v>
      </c>
      <c r="F995" s="49">
        <v>9031183795</v>
      </c>
      <c r="G995" s="36" t="s">
        <v>696</v>
      </c>
      <c r="H995" s="38">
        <v>21468</v>
      </c>
      <c r="I995" s="47" t="s">
        <v>1524</v>
      </c>
      <c r="J995" s="39">
        <v>0</v>
      </c>
      <c r="K995" s="39">
        <v>714</v>
      </c>
      <c r="L995" s="39">
        <f t="shared" si="194"/>
        <v>842.52</v>
      </c>
      <c r="M995" s="36">
        <v>800</v>
      </c>
      <c r="N995" s="36" t="s">
        <v>1526</v>
      </c>
      <c r="O995" s="72" t="s">
        <v>682</v>
      </c>
      <c r="Q995"/>
      <c r="R995" s="8"/>
    </row>
    <row r="996" spans="2:20" ht="15">
      <c r="B996" s="37" t="s">
        <v>1176</v>
      </c>
      <c r="C996" s="37" t="s">
        <v>1554</v>
      </c>
      <c r="D996" s="38">
        <v>45913</v>
      </c>
      <c r="E996" s="36"/>
      <c r="F996" s="131">
        <v>8877158464</v>
      </c>
      <c r="G996" s="36" t="s">
        <v>1553</v>
      </c>
      <c r="H996" s="38"/>
      <c r="I996" s="47"/>
      <c r="J996" s="39">
        <v>0</v>
      </c>
      <c r="K996" s="39">
        <v>664</v>
      </c>
      <c r="L996" s="39">
        <f t="shared" si="194"/>
        <v>783.52</v>
      </c>
      <c r="M996" s="36">
        <v>750</v>
      </c>
      <c r="N996" s="36" t="s">
        <v>1546</v>
      </c>
      <c r="O996" s="72" t="s">
        <v>1532</v>
      </c>
      <c r="Q996"/>
      <c r="R996" s="8"/>
    </row>
    <row r="997" spans="2:20" ht="15">
      <c r="B997" s="37" t="s">
        <v>1804</v>
      </c>
      <c r="C997" s="37" t="s">
        <v>1557</v>
      </c>
      <c r="D997" s="38">
        <v>45916</v>
      </c>
      <c r="E997" s="36"/>
      <c r="F997" s="108">
        <v>9031733929</v>
      </c>
      <c r="G997" s="36" t="s">
        <v>1103</v>
      </c>
      <c r="H997" s="38"/>
      <c r="I997" s="47"/>
      <c r="J997" s="39">
        <v>0</v>
      </c>
      <c r="K997" s="39">
        <v>664</v>
      </c>
      <c r="L997" s="39">
        <f t="shared" si="194"/>
        <v>783.52</v>
      </c>
      <c r="M997" s="36">
        <v>750</v>
      </c>
      <c r="N997" s="36" t="s">
        <v>1555</v>
      </c>
      <c r="O997" s="72" t="s">
        <v>1556</v>
      </c>
      <c r="Q997"/>
      <c r="R997" s="8"/>
    </row>
    <row r="998" spans="2:20">
      <c r="B998" s="37" t="s">
        <v>1176</v>
      </c>
      <c r="C998" s="37" t="s">
        <v>1559</v>
      </c>
      <c r="D998" s="38">
        <v>45916</v>
      </c>
      <c r="E998" s="36"/>
      <c r="F998" s="37"/>
      <c r="G998" s="36" t="s">
        <v>1558</v>
      </c>
      <c r="H998" s="38"/>
      <c r="I998" s="47"/>
      <c r="J998" s="39">
        <v>0</v>
      </c>
      <c r="K998" s="39">
        <v>714</v>
      </c>
      <c r="L998" s="39">
        <f t="shared" si="194"/>
        <v>842.52</v>
      </c>
      <c r="M998" s="36">
        <v>842.52</v>
      </c>
      <c r="N998" s="36"/>
      <c r="O998" s="72" t="s">
        <v>1560</v>
      </c>
      <c r="Q998"/>
      <c r="R998" s="8"/>
    </row>
    <row r="999" spans="2:20">
      <c r="B999" s="37" t="s">
        <v>1351</v>
      </c>
      <c r="C999" s="37" t="s">
        <v>1562</v>
      </c>
      <c r="D999" s="38">
        <v>45923</v>
      </c>
      <c r="E999" s="36"/>
      <c r="F999" s="9">
        <v>8797110530</v>
      </c>
      <c r="G999" s="36" t="s">
        <v>1561</v>
      </c>
      <c r="H999" s="38"/>
      <c r="I999" s="47"/>
      <c r="J999" s="39">
        <v>0</v>
      </c>
      <c r="K999" s="39">
        <v>714</v>
      </c>
      <c r="L999" s="39">
        <f t="shared" si="194"/>
        <v>842.52</v>
      </c>
      <c r="M999" s="36">
        <v>800</v>
      </c>
      <c r="N999" s="36"/>
      <c r="O999" s="72" t="s">
        <v>1563</v>
      </c>
      <c r="Q999"/>
      <c r="R999" s="8"/>
    </row>
    <row r="1000" spans="2:20">
      <c r="Q1000"/>
      <c r="R1000" s="8"/>
    </row>
    <row r="1001" spans="2:20" ht="16.8">
      <c r="B1001" s="37" t="s">
        <v>1176</v>
      </c>
      <c r="C1001" s="37" t="s">
        <v>1566</v>
      </c>
      <c r="D1001" s="38">
        <v>45925</v>
      </c>
      <c r="E1001" s="36"/>
      <c r="F1001" s="49">
        <v>8797579335</v>
      </c>
      <c r="G1001" s="36" t="s">
        <v>651</v>
      </c>
      <c r="H1001" s="38"/>
      <c r="I1001" s="47"/>
      <c r="J1001" s="39">
        <v>0</v>
      </c>
      <c r="K1001" s="39">
        <v>714</v>
      </c>
      <c r="L1001" s="39">
        <f t="shared" si="194"/>
        <v>842.52</v>
      </c>
      <c r="M1001" s="36">
        <v>800</v>
      </c>
      <c r="N1001" s="36"/>
      <c r="O1001" s="72" t="s">
        <v>1540</v>
      </c>
      <c r="Q1001"/>
      <c r="R1001" s="8"/>
    </row>
    <row r="1002" spans="2:20">
      <c r="Q1002"/>
      <c r="R1002" s="8"/>
    </row>
    <row r="1003" spans="2:20" ht="16.8">
      <c r="D1003" s="1"/>
      <c r="F1003" s="48"/>
      <c r="G1003" s="120"/>
      <c r="H1003" s="1"/>
      <c r="J1003" s="5">
        <v>0</v>
      </c>
      <c r="L1003" s="92">
        <f t="shared" si="190"/>
        <v>0</v>
      </c>
      <c r="Q1003"/>
      <c r="R1003" s="8">
        <f t="shared" si="191"/>
        <v>0</v>
      </c>
    </row>
    <row r="1004" spans="2:20" ht="16.8">
      <c r="D1004" s="1"/>
      <c r="F1004" s="48"/>
      <c r="G1004" s="120"/>
      <c r="H1004" s="1"/>
      <c r="L1004" s="92">
        <f t="shared" si="190"/>
        <v>0</v>
      </c>
      <c r="Q1004"/>
      <c r="R1004" s="8">
        <f t="shared" si="191"/>
        <v>0</v>
      </c>
    </row>
    <row r="1005" spans="2:20" ht="16.8">
      <c r="D1005" s="1"/>
      <c r="F1005" s="48"/>
      <c r="H1005" s="1"/>
      <c r="Q1005"/>
      <c r="R1005" s="8">
        <f t="shared" si="191"/>
        <v>0</v>
      </c>
    </row>
    <row r="1006" spans="2:20" ht="16.8">
      <c r="D1006" s="1"/>
      <c r="F1006" s="48"/>
      <c r="H1006" s="1"/>
      <c r="Q1006"/>
      <c r="R1006" s="8">
        <f t="shared" si="191"/>
        <v>0</v>
      </c>
    </row>
    <row r="1007" spans="2:20">
      <c r="B1007" s="35">
        <f>COUNTA(B968:B1006)</f>
        <v>28</v>
      </c>
      <c r="C1007" s="34"/>
      <c r="D1007" s="34"/>
      <c r="E1007" s="35"/>
      <c r="F1007" s="35"/>
      <c r="G1007" s="34"/>
      <c r="H1007" s="46"/>
      <c r="I1007" s="34"/>
      <c r="J1007" s="124">
        <f t="shared" ref="J1007:Q1007" si="195">SUM(J968:J1006)</f>
        <v>0</v>
      </c>
      <c r="K1007" s="124">
        <f>SUM(K975:K1006)</f>
        <v>23372</v>
      </c>
      <c r="L1007" s="124">
        <f>SUM(L975:L1006)</f>
        <v>27578.96000000001</v>
      </c>
      <c r="M1007" s="124">
        <f t="shared" si="195"/>
        <v>10626.04</v>
      </c>
      <c r="N1007" s="124">
        <f t="shared" si="195"/>
        <v>0</v>
      </c>
      <c r="O1007" s="124">
        <f t="shared" si="195"/>
        <v>0</v>
      </c>
      <c r="P1007" s="124">
        <f t="shared" si="195"/>
        <v>0</v>
      </c>
      <c r="Q1007" s="124">
        <f t="shared" si="195"/>
        <v>0</v>
      </c>
      <c r="R1007" s="130">
        <f>SUM(R975:R1006)</f>
        <v>8276.82</v>
      </c>
      <c r="S1007" s="124">
        <f>SUM(S968:S1006)</f>
        <v>656.88</v>
      </c>
      <c r="T1007" s="124">
        <f>SUM(T968:T1006)</f>
        <v>0</v>
      </c>
    </row>
    <row r="1008" spans="2:20" ht="16.8">
      <c r="D1008" s="1"/>
      <c r="F1008" s="48"/>
      <c r="H1008" s="1"/>
      <c r="Q1008"/>
      <c r="R1008" s="8"/>
    </row>
    <row r="1009" spans="2:20" ht="16.8">
      <c r="D1009" s="1"/>
      <c r="F1009" s="48"/>
      <c r="H1009" s="1"/>
      <c r="Q1009"/>
      <c r="R1009" s="8"/>
    </row>
    <row r="1010" spans="2:20">
      <c r="D1010" s="1"/>
      <c r="H1010" s="1"/>
      <c r="Q1010"/>
      <c r="R1010" s="8"/>
    </row>
    <row r="1011" spans="2:20" ht="16.8">
      <c r="D1011" s="1"/>
      <c r="F1011" s="48"/>
      <c r="H1011" s="1"/>
      <c r="Q1011"/>
      <c r="R1011" s="8"/>
    </row>
    <row r="1012" spans="2:20" ht="16.8">
      <c r="D1012" s="1"/>
      <c r="F1012" s="48"/>
      <c r="H1012" s="1"/>
      <c r="Q1012"/>
      <c r="R1012" s="8"/>
    </row>
    <row r="1013" spans="2:20" ht="16.8">
      <c r="D1013" s="1"/>
      <c r="F1013" s="48"/>
      <c r="H1013" s="1"/>
      <c r="Q1013"/>
      <c r="R1013" s="8"/>
    </row>
    <row r="1014" spans="2:20" ht="16.8">
      <c r="D1014" s="1"/>
      <c r="F1014" s="48"/>
      <c r="H1014" s="1"/>
      <c r="Q1014"/>
      <c r="R1014" s="8"/>
    </row>
    <row r="1015" spans="2:20">
      <c r="C1015" s="37" t="s">
        <v>380</v>
      </c>
      <c r="D1015" s="38">
        <v>44903</v>
      </c>
      <c r="E1015" s="36"/>
      <c r="F1015" s="37">
        <v>9308457927</v>
      </c>
      <c r="G1015" s="36" t="s">
        <v>381</v>
      </c>
      <c r="H1015" s="1"/>
      <c r="Q1015"/>
      <c r="R1015" s="8">
        <f t="shared" si="156"/>
        <v>0</v>
      </c>
    </row>
    <row r="1016" spans="2:20" ht="16.8">
      <c r="B1016" s="37" t="s">
        <v>1173</v>
      </c>
      <c r="C1016" s="37" t="s">
        <v>1155</v>
      </c>
      <c r="D1016" s="38">
        <v>45570</v>
      </c>
      <c r="E1016" s="36"/>
      <c r="F1016" s="49">
        <v>7739044155</v>
      </c>
      <c r="G1016" s="36" t="s">
        <v>1153</v>
      </c>
      <c r="H1016" s="38">
        <v>37314</v>
      </c>
      <c r="I1016" s="47" t="s">
        <v>1139</v>
      </c>
      <c r="J1016" s="39">
        <v>0</v>
      </c>
      <c r="K1016" s="39"/>
      <c r="L1016" s="39">
        <f>(J1016+K1016)*1.18</f>
        <v>0</v>
      </c>
      <c r="M1016" s="36"/>
      <c r="N1016" s="36"/>
      <c r="O1016" s="72" t="s">
        <v>1154</v>
      </c>
      <c r="Q1016"/>
      <c r="R1016" s="8">
        <f t="shared" si="156"/>
        <v>0</v>
      </c>
    </row>
    <row r="1017" spans="2:20" ht="16.8">
      <c r="B1017" s="37"/>
      <c r="C1017" s="37"/>
      <c r="D1017" s="38"/>
      <c r="E1017" s="36"/>
      <c r="F1017" s="49"/>
      <c r="G1017" s="36"/>
      <c r="H1017" s="38"/>
      <c r="I1017" s="47"/>
      <c r="J1017" s="39"/>
      <c r="K1017" s="39"/>
      <c r="L1017" s="39"/>
      <c r="M1017" s="36"/>
      <c r="N1017" s="36"/>
      <c r="O1017" s="72"/>
      <c r="Q1017"/>
      <c r="R1017" s="8">
        <f t="shared" si="156"/>
        <v>0</v>
      </c>
    </row>
    <row r="1018" spans="2:20" ht="16.8">
      <c r="D1018" s="1"/>
      <c r="F1018" s="48"/>
      <c r="H1018" s="1"/>
      <c r="Q1018"/>
      <c r="R1018" s="8">
        <f t="shared" si="156"/>
        <v>0</v>
      </c>
    </row>
    <row r="1019" spans="2:20" ht="16.8">
      <c r="D1019" s="1"/>
      <c r="F1019" s="48"/>
      <c r="H1019" s="1"/>
      <c r="Q1019"/>
      <c r="R1019" s="8">
        <f t="shared" si="156"/>
        <v>0</v>
      </c>
    </row>
    <row r="1020" spans="2:20" ht="16.8">
      <c r="D1020" s="1"/>
      <c r="F1020" s="48"/>
      <c r="H1020" s="1"/>
      <c r="Q1020"/>
    </row>
    <row r="1021" spans="2:20">
      <c r="B1021" s="35">
        <f ca="1">COUNTA(B796:B1020)</f>
        <v>95</v>
      </c>
      <c r="C1021" s="34"/>
      <c r="D1021" s="34"/>
      <c r="E1021" s="35"/>
      <c r="F1021" s="35"/>
      <c r="G1021" s="34"/>
      <c r="H1021" s="46"/>
      <c r="I1021" s="34"/>
      <c r="J1021" s="124">
        <f>SUM(J844:J1020)</f>
        <v>11750.119999999999</v>
      </c>
      <c r="K1021" s="124">
        <f ca="1">SUM(K844:K1020)</f>
        <v>950377.0677966103</v>
      </c>
      <c r="L1021" s="124">
        <f ca="1">SUM(L844:L1020)</f>
        <v>1047819.5480000002</v>
      </c>
      <c r="M1021" s="34">
        <f ca="1">SUM(M844:M1020)</f>
        <v>335230.24</v>
      </c>
      <c r="N1021" s="34">
        <f ca="1">SUM(N844:N1020)</f>
        <v>626883.88100000028</v>
      </c>
      <c r="O1021" s="71">
        <f ca="1">SUM(O796:O1020)</f>
        <v>0</v>
      </c>
      <c r="P1021" s="107">
        <f ca="1">SUM(P816:P1020)</f>
        <v>-21317.1</v>
      </c>
      <c r="Q1021" s="34">
        <f ca="1">SUM(Q796:Q1020)</f>
        <v>67759.73</v>
      </c>
      <c r="R1021" s="107">
        <f ca="1">SUM(R844:R1020)</f>
        <v>39812.866800000003</v>
      </c>
      <c r="S1021" s="107">
        <f ca="1">SUM(S844:S1020)</f>
        <v>75423.720399999991</v>
      </c>
      <c r="T1021" s="107">
        <f ca="1">SUM(T844:T1020)</f>
        <v>43382.619999999995</v>
      </c>
    </row>
    <row r="1022" spans="2:20" ht="16.8">
      <c r="D1022" s="1"/>
      <c r="F1022" s="48"/>
      <c r="H1022" s="1"/>
      <c r="Q1022"/>
    </row>
    <row r="1023" spans="2:20" ht="16.8">
      <c r="D1023" s="1"/>
      <c r="F1023" s="48"/>
      <c r="H1023" s="1"/>
      <c r="Q1023"/>
    </row>
    <row r="1024" spans="2:20" ht="16.8">
      <c r="D1024" s="1"/>
      <c r="F1024" s="48"/>
    </row>
    <row r="1025" spans="4:6" ht="16.8">
      <c r="D1025" s="1"/>
      <c r="F1025" s="48"/>
    </row>
    <row r="1026" spans="4:6" ht="16.8">
      <c r="D1026" s="1"/>
      <c r="F1026" s="48"/>
    </row>
    <row r="1027" spans="4:6" ht="16.8">
      <c r="D1027" s="1"/>
      <c r="F1027" s="48"/>
    </row>
    <row r="1028" spans="4:6" ht="16.8">
      <c r="D1028" s="1"/>
      <c r="F1028" s="48"/>
    </row>
    <row r="1029" spans="4:6" ht="16.8">
      <c r="D1029" s="1"/>
      <c r="F1029" s="48"/>
    </row>
    <row r="1030" spans="4:6" ht="16.8">
      <c r="D1030" s="1"/>
      <c r="F1030" s="48"/>
    </row>
    <row r="1031" spans="4:6" ht="16.8">
      <c r="D1031" s="1"/>
      <c r="F1031" s="48"/>
    </row>
    <row r="1032" spans="4:6" ht="16.8">
      <c r="D1032" s="1"/>
      <c r="F1032" s="48"/>
    </row>
  </sheetData>
  <phoneticPr fontId="13" type="noConversion"/>
  <hyperlinks>
    <hyperlink ref="A400" location="Digit!A183" display="back" xr:uid="{2327B87C-B6F9-498E-B26E-AC8BFBF0DE54}"/>
    <hyperlink ref="A182" location="Digit!A388" display="Down" xr:uid="{DEABF155-01A8-4F28-8A56-005D048272D3}"/>
    <hyperlink ref="A415" location="Digit!A183" display="back" xr:uid="{323D8F34-ED12-4B55-8965-D2C23239CA0A}"/>
    <hyperlink ref="A466" location="Digit!A183" display="back" xr:uid="{6186EDA2-86EF-4A27-A551-A60C62392ACF}"/>
    <hyperlink ref="A485" location="Digit!A183" display="back" xr:uid="{7798F7D6-62C2-4C30-B5AF-821ED2B8FE9D}"/>
  </hyperlinks>
  <pageMargins left="0.7" right="0.7" top="0.75" bottom="0.75" header="0.3" footer="0.3"/>
  <pageSetup paperSize="9" orientation="landscape" horizontalDpi="4294967293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19B2D-3FC8-465F-A975-F22EA639EBE0}">
  <dimension ref="A3:C12"/>
  <sheetViews>
    <sheetView workbookViewId="0">
      <selection activeCell="F26" sqref="F26"/>
    </sheetView>
  </sheetViews>
  <sheetFormatPr defaultRowHeight="14.4"/>
  <cols>
    <col min="1" max="1" width="13.88671875" customWidth="1"/>
  </cols>
  <sheetData>
    <row r="3" spans="1:3">
      <c r="A3" s="133" t="s">
        <v>1144</v>
      </c>
      <c r="B3" s="133"/>
    </row>
    <row r="4" spans="1:3">
      <c r="A4" t="s">
        <v>1174</v>
      </c>
      <c r="B4">
        <v>41</v>
      </c>
    </row>
    <row r="5" spans="1:3">
      <c r="A5" t="s">
        <v>1175</v>
      </c>
      <c r="B5">
        <v>35</v>
      </c>
    </row>
    <row r="6" spans="1:3">
      <c r="A6" t="s">
        <v>1176</v>
      </c>
      <c r="B6">
        <v>51</v>
      </c>
    </row>
    <row r="7" spans="1:3">
      <c r="A7" t="s">
        <v>1177</v>
      </c>
      <c r="B7">
        <v>34</v>
      </c>
    </row>
    <row r="9" spans="1:3">
      <c r="A9" s="133" t="s">
        <v>1145</v>
      </c>
      <c r="B9" s="133"/>
    </row>
    <row r="10" spans="1:3">
      <c r="B10" t="s">
        <v>1148</v>
      </c>
      <c r="C10" t="s">
        <v>1149</v>
      </c>
    </row>
    <row r="11" spans="1:3">
      <c r="A11" t="s">
        <v>1146</v>
      </c>
      <c r="B11">
        <v>30</v>
      </c>
      <c r="C11">
        <v>38.5</v>
      </c>
    </row>
    <row r="12" spans="1:3">
      <c r="A12" t="s">
        <v>1147</v>
      </c>
      <c r="B12">
        <v>18</v>
      </c>
    </row>
  </sheetData>
  <mergeCells count="2">
    <mergeCell ref="A3:B3"/>
    <mergeCell ref="A9:B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B2F79-4A25-4AEC-8CCA-1FD54AB3E3B5}">
  <dimension ref="A1:N31"/>
  <sheetViews>
    <sheetView zoomScale="160" zoomScaleNormal="160" workbookViewId="0">
      <pane ySplit="1" topLeftCell="A2" activePane="bottomLeft" state="frozen"/>
      <selection pane="bottomLeft" activeCell="B18" sqref="B18"/>
    </sheetView>
  </sheetViews>
  <sheetFormatPr defaultRowHeight="14.4"/>
  <cols>
    <col min="1" max="1" width="9.109375" customWidth="1"/>
    <col min="2" max="2" width="7" customWidth="1"/>
    <col min="3" max="3" width="24.109375" style="32" customWidth="1"/>
    <col min="4" max="4" width="11.5546875" customWidth="1"/>
    <col min="5" max="5" width="13" style="9" customWidth="1"/>
    <col min="6" max="6" width="24.5546875" customWidth="1"/>
    <col min="7" max="7" width="7.5546875" customWidth="1"/>
    <col min="8" max="8" width="7.33203125" customWidth="1"/>
    <col min="9" max="9" width="8.5546875" customWidth="1"/>
    <col min="11" max="11" width="12.44140625" customWidth="1"/>
    <col min="13" max="13" width="6.6640625" style="5" customWidth="1"/>
  </cols>
  <sheetData>
    <row r="1" spans="1:14">
      <c r="A1" t="s">
        <v>11</v>
      </c>
      <c r="B1" t="s">
        <v>12</v>
      </c>
      <c r="C1" s="32" t="s">
        <v>13</v>
      </c>
      <c r="D1" t="s">
        <v>14</v>
      </c>
      <c r="E1" s="9" t="s">
        <v>15</v>
      </c>
      <c r="F1" t="s">
        <v>16</v>
      </c>
      <c r="G1" s="5" t="s">
        <v>17</v>
      </c>
      <c r="H1" s="5" t="str">
        <f>CONCATENATE("TP- ",COUNTIF(A95:A126,"Bajaj"))</f>
        <v>TP- 0</v>
      </c>
      <c r="J1" t="s">
        <v>18</v>
      </c>
      <c r="K1" t="s">
        <v>19</v>
      </c>
      <c r="L1" t="s">
        <v>29</v>
      </c>
      <c r="M1" s="5" t="s">
        <v>31</v>
      </c>
      <c r="N1" t="s">
        <v>30</v>
      </c>
    </row>
    <row r="2" spans="1:14">
      <c r="B2" t="s">
        <v>11</v>
      </c>
      <c r="C2" s="32" t="s">
        <v>157</v>
      </c>
      <c r="D2" s="1">
        <v>44699</v>
      </c>
      <c r="E2" s="9">
        <v>7079080962</v>
      </c>
      <c r="F2" t="s">
        <v>158</v>
      </c>
      <c r="G2">
        <v>349</v>
      </c>
      <c r="H2">
        <v>1127</v>
      </c>
      <c r="I2">
        <f>(G2+H2)*1.18</f>
        <v>1741.6799999999998</v>
      </c>
      <c r="K2" t="s">
        <v>159</v>
      </c>
    </row>
    <row r="4" spans="1:14">
      <c r="A4" s="3" t="s">
        <v>618</v>
      </c>
      <c r="B4" s="9" t="s">
        <v>28</v>
      </c>
      <c r="C4" s="33" t="s">
        <v>619</v>
      </c>
      <c r="D4" s="1"/>
      <c r="E4" s="9">
        <v>9199299448</v>
      </c>
      <c r="F4" t="s">
        <v>601</v>
      </c>
      <c r="G4">
        <v>0</v>
      </c>
      <c r="H4">
        <v>717</v>
      </c>
      <c r="I4">
        <f>(G4+H4)*1.18</f>
        <v>846.06</v>
      </c>
      <c r="K4" t="s">
        <v>602</v>
      </c>
      <c r="L4">
        <f>IF(B4="TP",H4*2.5/100,G4*0.4)</f>
        <v>17.925000000000001</v>
      </c>
      <c r="M4">
        <f>IF(A4="Four",H4*0.275,H4*0.275)</f>
        <v>197.17500000000001</v>
      </c>
    </row>
    <row r="5" spans="1:14">
      <c r="A5" t="s">
        <v>600</v>
      </c>
      <c r="B5" s="9" t="s">
        <v>28</v>
      </c>
      <c r="C5" s="33" t="s">
        <v>620</v>
      </c>
      <c r="D5" s="1">
        <v>45109</v>
      </c>
      <c r="E5" s="9">
        <v>8409534894</v>
      </c>
      <c r="F5" t="s">
        <v>592</v>
      </c>
      <c r="G5">
        <v>0</v>
      </c>
      <c r="H5">
        <v>717</v>
      </c>
      <c r="I5">
        <f>(G5+H5)*1.18</f>
        <v>846.06</v>
      </c>
      <c r="K5" t="s">
        <v>593</v>
      </c>
      <c r="L5">
        <f>IF(B5="TP",H5*2.5/100,G5*0.4)</f>
        <v>17.925000000000001</v>
      </c>
      <c r="M5">
        <f>IF(A5="Four",H5*0.275,H5*0.275)</f>
        <v>197.17500000000001</v>
      </c>
    </row>
    <row r="6" spans="1:14">
      <c r="A6" s="3" t="s">
        <v>599</v>
      </c>
      <c r="B6" s="9" t="s">
        <v>28</v>
      </c>
      <c r="C6" s="3"/>
      <c r="D6" s="1">
        <v>45111</v>
      </c>
      <c r="E6" s="9">
        <v>9570121221</v>
      </c>
      <c r="F6" t="s">
        <v>528</v>
      </c>
      <c r="G6">
        <v>0</v>
      </c>
      <c r="H6">
        <v>717</v>
      </c>
      <c r="I6">
        <f>(G6+H6)*1.18</f>
        <v>846.06</v>
      </c>
      <c r="K6" t="s">
        <v>597</v>
      </c>
      <c r="L6">
        <f>IF(B6="TP",H6*2.5/100,G6*0.4)</f>
        <v>17.925000000000001</v>
      </c>
      <c r="M6">
        <f>IF(A6="Four",H6*0.275,H6*0.275)</f>
        <v>197.17500000000001</v>
      </c>
    </row>
    <row r="7" spans="1:14">
      <c r="A7" s="3" t="s">
        <v>599</v>
      </c>
      <c r="B7" s="9" t="s">
        <v>28</v>
      </c>
      <c r="C7" s="3"/>
      <c r="D7" s="1">
        <v>45111</v>
      </c>
      <c r="E7" s="9">
        <v>9570121221</v>
      </c>
      <c r="F7" t="s">
        <v>528</v>
      </c>
      <c r="G7">
        <v>0</v>
      </c>
      <c r="H7">
        <v>717</v>
      </c>
      <c r="I7">
        <f>(G7+H7)*1.18</f>
        <v>846.06</v>
      </c>
      <c r="K7" t="s">
        <v>598</v>
      </c>
      <c r="L7">
        <f>IF(B7="TP",H7*2.5/100,G7*0.4)</f>
        <v>17.925000000000001</v>
      </c>
      <c r="M7">
        <f>IF(A7="Four",H7*0.275,H7*0.275)</f>
        <v>197.17500000000001</v>
      </c>
    </row>
    <row r="8" spans="1:14">
      <c r="A8" s="3" t="s">
        <v>1058</v>
      </c>
      <c r="B8" s="9" t="s">
        <v>28</v>
      </c>
      <c r="C8" s="32" t="s">
        <v>1061</v>
      </c>
      <c r="D8" s="1">
        <v>45499</v>
      </c>
      <c r="E8" s="9">
        <v>7739044155</v>
      </c>
      <c r="F8" t="s">
        <v>1059</v>
      </c>
      <c r="G8">
        <v>0</v>
      </c>
      <c r="H8">
        <v>1316</v>
      </c>
      <c r="I8">
        <f>(G8+H8)*1.18</f>
        <v>1552.8799999999999</v>
      </c>
      <c r="K8" t="s">
        <v>1060</v>
      </c>
      <c r="L8">
        <f>IF(B8="TP",H8*2.5/100,G8*0.4)</f>
        <v>32.9</v>
      </c>
      <c r="M8" s="5">
        <f>IF(A8="Four",H8*0.275,H8*0.275)</f>
        <v>361.90000000000003</v>
      </c>
    </row>
    <row r="9" spans="1:14">
      <c r="A9" s="3" t="s">
        <v>1111</v>
      </c>
      <c r="D9" s="1">
        <v>45535</v>
      </c>
      <c r="E9" s="9">
        <v>9006055524</v>
      </c>
      <c r="F9" t="s">
        <v>1112</v>
      </c>
    </row>
    <row r="12" spans="1:14">
      <c r="E12" s="9">
        <v>8797461140</v>
      </c>
      <c r="F12" t="s">
        <v>130</v>
      </c>
      <c r="G12" t="s">
        <v>136</v>
      </c>
    </row>
    <row r="17" spans="3:10">
      <c r="C17" s="32" t="s">
        <v>1137</v>
      </c>
      <c r="F17" t="s">
        <v>1138</v>
      </c>
    </row>
    <row r="19" spans="3:10">
      <c r="E19" s="19"/>
    </row>
    <row r="20" spans="3:10">
      <c r="E20" s="19"/>
    </row>
    <row r="30" spans="3:10">
      <c r="I30" s="9" t="s">
        <v>149</v>
      </c>
      <c r="J30" s="9" t="s">
        <v>150</v>
      </c>
    </row>
    <row r="31" spans="3:10">
      <c r="G31">
        <v>130</v>
      </c>
      <c r="I31" s="9">
        <f>G31*0.2</f>
        <v>26</v>
      </c>
      <c r="J31" s="9">
        <f>G31*0.8</f>
        <v>104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6B2FE-2F91-491A-8C9B-CA51B3395721}">
  <dimension ref="A2:N23"/>
  <sheetViews>
    <sheetView workbookViewId="0">
      <selection activeCell="D8" sqref="D8"/>
    </sheetView>
  </sheetViews>
  <sheetFormatPr defaultRowHeight="14.4"/>
  <cols>
    <col min="1" max="1" width="9.109375" style="9"/>
    <col min="2" max="2" width="22" style="9" customWidth="1"/>
    <col min="3" max="3" width="34.33203125" style="9" customWidth="1"/>
    <col min="4" max="4" width="27.5546875" style="9" customWidth="1"/>
    <col min="5" max="5" width="11" style="9" customWidth="1"/>
    <col min="6" max="6" width="9.109375" style="9"/>
    <col min="7" max="7" width="16.109375" style="9" customWidth="1"/>
    <col min="8" max="8" width="17" style="9" customWidth="1"/>
    <col min="9" max="9" width="14" customWidth="1"/>
    <col min="10" max="10" width="11.109375" customWidth="1"/>
    <col min="13" max="13" width="15.88671875" customWidth="1"/>
    <col min="14" max="14" width="11" customWidth="1"/>
  </cols>
  <sheetData>
    <row r="2" spans="1:14" ht="18">
      <c r="B2" s="22" t="s">
        <v>271</v>
      </c>
      <c r="C2" s="22" t="s">
        <v>272</v>
      </c>
      <c r="D2" s="22" t="s">
        <v>273</v>
      </c>
      <c r="E2" s="22"/>
      <c r="F2" s="22"/>
      <c r="G2" s="22" t="s">
        <v>269</v>
      </c>
      <c r="H2" s="22" t="s">
        <v>270</v>
      </c>
      <c r="I2" s="21" t="s">
        <v>277</v>
      </c>
      <c r="J2" s="21" t="s">
        <v>278</v>
      </c>
      <c r="K2" s="22" t="s">
        <v>279</v>
      </c>
      <c r="L2" s="22" t="s">
        <v>281</v>
      </c>
      <c r="M2" s="22" t="s">
        <v>280</v>
      </c>
      <c r="N2" s="22" t="s">
        <v>282</v>
      </c>
    </row>
    <row r="3" spans="1:14" ht="18">
      <c r="A3" s="23" t="s">
        <v>268</v>
      </c>
      <c r="B3" s="23">
        <v>4135966221</v>
      </c>
      <c r="C3" s="24">
        <v>1.36982462090112E+19</v>
      </c>
      <c r="D3" s="23">
        <v>6364599211</v>
      </c>
      <c r="E3" s="25" t="s">
        <v>267</v>
      </c>
      <c r="F3" s="23" t="s">
        <v>274</v>
      </c>
      <c r="G3" s="26">
        <v>44805</v>
      </c>
      <c r="H3" s="26">
        <v>44811</v>
      </c>
      <c r="I3" s="23">
        <v>4388.45</v>
      </c>
    </row>
    <row r="4" spans="1:14" ht="18">
      <c r="A4" s="23" t="s">
        <v>276</v>
      </c>
      <c r="B4" s="23">
        <v>6409195649</v>
      </c>
      <c r="C4" s="24">
        <v>1.3698246209171499E+19</v>
      </c>
      <c r="D4" s="23">
        <v>8235232534</v>
      </c>
      <c r="E4" s="23" t="s">
        <v>274</v>
      </c>
      <c r="F4" s="23" t="s">
        <v>275</v>
      </c>
      <c r="G4" s="26">
        <v>44821</v>
      </c>
      <c r="H4" s="27">
        <v>44857</v>
      </c>
      <c r="I4" s="23">
        <v>5560</v>
      </c>
      <c r="J4" s="23">
        <v>35.4</v>
      </c>
      <c r="K4" s="23">
        <v>40</v>
      </c>
      <c r="L4" s="23">
        <v>55.95</v>
      </c>
      <c r="M4" s="23">
        <f>SUM(I4:L4)</f>
        <v>5691.3499999999995</v>
      </c>
      <c r="N4" s="23">
        <v>5750</v>
      </c>
    </row>
    <row r="5" spans="1:14" ht="18">
      <c r="A5" s="23" t="s">
        <v>356</v>
      </c>
      <c r="B5" s="23" t="s">
        <v>359</v>
      </c>
      <c r="C5" s="24">
        <v>1.36982462112024E+19</v>
      </c>
      <c r="D5" s="23">
        <v>8235232534</v>
      </c>
      <c r="E5" s="23" t="s">
        <v>274</v>
      </c>
      <c r="F5" s="23" t="s">
        <v>357</v>
      </c>
      <c r="G5" s="23"/>
      <c r="H5" s="27">
        <v>44938</v>
      </c>
      <c r="I5" s="23">
        <v>685</v>
      </c>
      <c r="J5" s="23">
        <v>17.600000000000001</v>
      </c>
      <c r="K5" s="23">
        <v>20</v>
      </c>
      <c r="L5" s="23">
        <v>5.27</v>
      </c>
      <c r="M5" s="23">
        <f>SUM(I5:L5)</f>
        <v>727.87</v>
      </c>
    </row>
    <row r="6" spans="1:14" ht="18">
      <c r="A6" s="23" t="s">
        <v>356</v>
      </c>
      <c r="B6" s="23" t="s">
        <v>358</v>
      </c>
      <c r="C6" s="24">
        <v>1.36982462112024E+19</v>
      </c>
      <c r="D6" s="23">
        <v>8092219784</v>
      </c>
      <c r="E6" s="23" t="s">
        <v>357</v>
      </c>
      <c r="F6" s="23" t="s">
        <v>274</v>
      </c>
      <c r="G6" s="23"/>
      <c r="H6" s="27">
        <v>44951</v>
      </c>
      <c r="I6" s="23">
        <v>685</v>
      </c>
      <c r="J6" s="23">
        <v>17.600000000000001</v>
      </c>
      <c r="K6" s="23">
        <v>20</v>
      </c>
      <c r="L6" s="23">
        <v>5.27</v>
      </c>
      <c r="M6" s="23">
        <f>SUM(I6:L6)</f>
        <v>727.87</v>
      </c>
    </row>
    <row r="7" spans="1:14" ht="18">
      <c r="A7" s="23" t="s">
        <v>356</v>
      </c>
      <c r="B7" s="23">
        <v>6612486563</v>
      </c>
      <c r="C7" s="23">
        <v>1.36982462120226E+19</v>
      </c>
      <c r="D7" s="23">
        <v>7079883090</v>
      </c>
      <c r="E7" s="23" t="s">
        <v>377</v>
      </c>
      <c r="F7" s="23" t="s">
        <v>274</v>
      </c>
      <c r="G7" s="23"/>
      <c r="H7" s="27">
        <v>44926</v>
      </c>
      <c r="I7" s="23">
        <v>580</v>
      </c>
      <c r="J7" s="23">
        <v>17.600000000000001</v>
      </c>
      <c r="K7" s="23">
        <v>20</v>
      </c>
      <c r="L7" s="23">
        <v>4.4800000000000004</v>
      </c>
      <c r="M7" s="23">
        <f>SUM(I7:L7)</f>
        <v>622.08000000000004</v>
      </c>
    </row>
    <row r="8" spans="1:14" ht="18">
      <c r="B8" s="23"/>
      <c r="C8" s="23"/>
      <c r="E8" s="23"/>
      <c r="F8" s="23"/>
      <c r="G8" s="23"/>
      <c r="H8" s="23"/>
      <c r="I8" s="23"/>
      <c r="J8" s="23"/>
    </row>
    <row r="9" spans="1:14" ht="18">
      <c r="B9" s="23"/>
      <c r="C9" s="23"/>
      <c r="D9" s="23"/>
      <c r="E9" s="23"/>
      <c r="F9" s="23"/>
      <c r="G9" s="23"/>
      <c r="H9" s="23"/>
      <c r="I9" s="23"/>
      <c r="J9" s="23"/>
    </row>
    <row r="10" spans="1:14" ht="18">
      <c r="B10" s="23"/>
      <c r="C10" s="23"/>
      <c r="D10" s="23"/>
      <c r="E10" s="23"/>
      <c r="F10" s="23"/>
      <c r="G10" s="23"/>
      <c r="H10" s="23"/>
      <c r="I10" s="23"/>
      <c r="J10" s="23"/>
    </row>
    <row r="11" spans="1:14" ht="18">
      <c r="B11" s="23"/>
      <c r="C11" s="23"/>
      <c r="D11" s="23"/>
      <c r="E11" s="23"/>
      <c r="F11" s="23"/>
      <c r="G11" s="23"/>
      <c r="H11" s="23"/>
      <c r="I11" s="23"/>
      <c r="J11" s="23"/>
    </row>
    <row r="12" spans="1:14" ht="18">
      <c r="B12" s="23"/>
      <c r="C12" s="23"/>
      <c r="D12" s="23"/>
      <c r="E12" s="23"/>
      <c r="F12" s="23"/>
      <c r="G12" s="23"/>
      <c r="H12" s="23"/>
      <c r="I12" s="23"/>
      <c r="J12" s="23"/>
    </row>
    <row r="13" spans="1:14" ht="18">
      <c r="B13" s="23"/>
      <c r="C13" s="23"/>
      <c r="D13" s="23"/>
      <c r="E13" s="23"/>
      <c r="F13" s="23"/>
      <c r="G13" s="23"/>
      <c r="H13" s="23"/>
      <c r="I13" s="23"/>
      <c r="J13" s="23"/>
    </row>
    <row r="14" spans="1:14" ht="18">
      <c r="B14" s="23"/>
      <c r="C14" s="23"/>
      <c r="D14" s="23"/>
      <c r="E14" s="23"/>
      <c r="F14" s="23"/>
      <c r="G14" s="23"/>
      <c r="H14" s="23"/>
      <c r="I14" s="23"/>
      <c r="J14" s="23"/>
    </row>
    <row r="15" spans="1:14" ht="18">
      <c r="B15" s="23"/>
      <c r="C15" s="23"/>
      <c r="D15" s="23"/>
      <c r="E15" s="23"/>
      <c r="F15" s="23"/>
      <c r="G15" s="23"/>
      <c r="H15" s="23"/>
      <c r="I15" s="23"/>
      <c r="J15" s="23"/>
    </row>
    <row r="16" spans="1:14" ht="18">
      <c r="B16" s="23"/>
      <c r="C16" s="23"/>
      <c r="D16" s="23"/>
      <c r="E16" s="23"/>
      <c r="F16" s="23"/>
      <c r="G16" s="23"/>
      <c r="H16" s="23"/>
      <c r="I16" s="23"/>
      <c r="J16" s="23"/>
    </row>
    <row r="17" spans="2:10" ht="18">
      <c r="B17" s="23"/>
      <c r="C17" s="23"/>
      <c r="D17" s="23"/>
      <c r="E17" s="23"/>
      <c r="F17" s="23"/>
      <c r="G17" s="23"/>
      <c r="H17" s="23"/>
      <c r="I17" s="23"/>
      <c r="J17" s="23"/>
    </row>
    <row r="18" spans="2:10" ht="18">
      <c r="B18" s="23"/>
      <c r="C18" s="23"/>
      <c r="D18" s="23"/>
      <c r="E18" s="23"/>
      <c r="F18" s="23"/>
      <c r="G18" s="23"/>
      <c r="H18" s="23"/>
      <c r="I18" s="23"/>
      <c r="J18" s="23"/>
    </row>
    <row r="19" spans="2:10" ht="18">
      <c r="B19" s="23"/>
      <c r="C19" s="23"/>
      <c r="D19" s="23"/>
      <c r="E19" s="23"/>
      <c r="F19" s="23"/>
      <c r="G19" s="23"/>
      <c r="H19" s="23"/>
      <c r="I19" s="23"/>
      <c r="J19" s="23"/>
    </row>
    <row r="20" spans="2:10" ht="18">
      <c r="B20" s="23"/>
      <c r="C20" s="23"/>
      <c r="D20" s="23"/>
      <c r="E20" s="23"/>
      <c r="F20" s="23"/>
      <c r="G20" s="23"/>
      <c r="H20" s="23"/>
      <c r="I20" s="23"/>
      <c r="J20" s="23"/>
    </row>
    <row r="21" spans="2:10" ht="18">
      <c r="B21" s="23"/>
      <c r="C21" s="23"/>
      <c r="D21" s="23"/>
      <c r="E21" s="23"/>
      <c r="F21" s="23"/>
      <c r="G21" s="23"/>
      <c r="H21" s="23"/>
      <c r="I21" s="23"/>
      <c r="J21" s="23"/>
    </row>
    <row r="22" spans="2:10" ht="18">
      <c r="B22" s="23"/>
      <c r="C22" s="23"/>
      <c r="D22" s="23"/>
      <c r="E22" s="23"/>
      <c r="F22" s="23"/>
      <c r="G22" s="23"/>
      <c r="H22" s="23"/>
      <c r="I22" s="23"/>
      <c r="J22" s="23"/>
    </row>
    <row r="23" spans="2:10" ht="18">
      <c r="B23" s="23"/>
      <c r="C23" s="23"/>
      <c r="D23" s="23"/>
      <c r="E23" s="23"/>
      <c r="F23" s="23"/>
      <c r="G23" s="23"/>
      <c r="H23" s="23"/>
      <c r="I23" s="23"/>
      <c r="J23" s="23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AD3F8-B260-4B65-9D62-B927DE31F6FD}">
  <dimension ref="A1:F3"/>
  <sheetViews>
    <sheetView workbookViewId="0">
      <selection activeCell="L8" sqref="L8"/>
    </sheetView>
  </sheetViews>
  <sheetFormatPr defaultColWidth="9.109375" defaultRowHeight="18"/>
  <cols>
    <col min="1" max="1" width="15.6640625" style="29" customWidth="1"/>
    <col min="2" max="2" width="26.6640625" style="28" customWidth="1"/>
    <col min="3" max="3" width="17.88671875" style="28" customWidth="1"/>
    <col min="4" max="4" width="19" style="23" customWidth="1"/>
    <col min="5" max="5" width="29.44140625" style="28" customWidth="1"/>
    <col min="6" max="6" width="9.109375" style="23"/>
    <col min="7" max="16384" width="9.109375" style="28"/>
  </cols>
  <sheetData>
    <row r="1" spans="1:6">
      <c r="A1" s="29" t="s">
        <v>333</v>
      </c>
      <c r="B1" s="28" t="s">
        <v>334</v>
      </c>
      <c r="C1" s="28" t="s">
        <v>335</v>
      </c>
      <c r="D1" s="23" t="s">
        <v>15</v>
      </c>
      <c r="E1" s="28" t="s">
        <v>336</v>
      </c>
      <c r="F1" s="23" t="s">
        <v>340</v>
      </c>
    </row>
    <row r="3" spans="1:6">
      <c r="A3" s="30">
        <v>44869</v>
      </c>
      <c r="B3" s="28" t="s">
        <v>337</v>
      </c>
      <c r="C3" s="28" t="s">
        <v>338</v>
      </c>
      <c r="D3" s="23">
        <v>9234278268</v>
      </c>
      <c r="E3" s="28" t="s">
        <v>339</v>
      </c>
      <c r="F3" s="23">
        <v>41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Bajaj</vt:lpstr>
      <vt:lpstr>Digit</vt:lpstr>
      <vt:lpstr>Comm</vt:lpstr>
      <vt:lpstr>Others</vt:lpstr>
      <vt:lpstr>CSC_Rail</vt:lpstr>
      <vt:lpstr>POST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Kumar</dc:creator>
  <cp:lastModifiedBy>Sanjay Kumar</cp:lastModifiedBy>
  <cp:lastPrinted>2026-01-25T05:00:14Z</cp:lastPrinted>
  <dcterms:created xsi:type="dcterms:W3CDTF">2015-06-05T18:17:20Z</dcterms:created>
  <dcterms:modified xsi:type="dcterms:W3CDTF">2026-09-27T13:08:19Z</dcterms:modified>
</cp:coreProperties>
</file>