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showInkAnnotation="0"/>
  <mc:AlternateContent xmlns:mc="http://schemas.openxmlformats.org/markup-compatibility/2006">
    <mc:Choice Requires="x15">
      <x15ac:absPath xmlns:x15ac="http://schemas.microsoft.com/office/spreadsheetml/2010/11/ac" url="D:\MYEXCEL\"/>
    </mc:Choice>
  </mc:AlternateContent>
  <xr:revisionPtr revIDLastSave="0" documentId="13_ncr:1_{5AD2C7D9-D479-49F1-BF23-DD3324F0FBCC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MASTER" sheetId="2" r:id="rId1"/>
    <sheet name="CR-DR" sheetId="1" r:id="rId2"/>
    <sheet name="od-24" sheetId="12" r:id="rId3"/>
    <sheet name="nps" sheetId="19" r:id="rId4"/>
    <sheet name="Trading" sheetId="18" r:id="rId5"/>
    <sheet name="Monthly exp" sheetId="13" r:id="rId6"/>
    <sheet name="CF" sheetId="20" r:id="rId7"/>
  </sheets>
  <definedNames>
    <definedName name="_xlnm._FilterDatabase" localSheetId="0" hidden="1">MASTER!$B$1:$O$1233</definedName>
    <definedName name="kharangajhar">#REF!</definedName>
    <definedName name="Madarsacolony">#REF!</definedName>
    <definedName name="radhikanagar">#REF!</definedName>
    <definedName name="Z_1459FC0D_58BA_4BEC_951C_298999986759_.wvu.FilterData" localSheetId="0" hidden="1">MASTER!$B$1:$O$1233</definedName>
    <definedName name="Z_2FF9BCA9_095C_4E73_9C86_2243907C0824_.wvu.FilterData" localSheetId="0" hidden="1">MASTER!$B$1:$O$1233</definedName>
    <definedName name="Z_A0CE3161_5061_442F_A27F_2BA55581F316_.wvu.FilterData" localSheetId="0" hidden="1">MASTER!$B$1:$O$1233</definedName>
    <definedName name="Z_EB31AAB7_3CD3_47EA_8FB3_E6304DCC89B3_.wvu.Cols" localSheetId="0" hidden="1">MASTER!$F:$G</definedName>
    <definedName name="Z_EB31AAB7_3CD3_47EA_8FB3_E6304DCC89B3_.wvu.FilterData" localSheetId="0" hidden="1">MASTER!$B$1:$O$1233</definedName>
  </definedNames>
  <calcPr calcId="181029"/>
  <customWorkbookViews>
    <customWorkbookView name="NISE-COMPUTER - Personal View" guid="{1459FC0D-58BA-4BEC-951C-298999986759}" mergeInterval="0" personalView="1" maximized="1" xWindow="-9" yWindow="-9" windowWidth="1298" windowHeight="992" tabRatio="841" activeSheetId="2"/>
    <customWorkbookView name="Sanjay Kumar - Personal View" guid="{EB31AAB7-3CD3-47EA-8FB3-E6304DCC89B3}" mergeInterval="0" personalView="1" maximized="1" xWindow="-8" yWindow="-8" windowWidth="1382" windowHeight="744" tabRatio="841" activeSheetId="2"/>
    <customWorkbookView name="NISE-DESKTOP - Personal View" guid="{2FF9BCA9-095C-4E73-9C86-2243907C0824}" mergeInterval="0" personalView="1" maximized="1" xWindow="-8" yWindow="-8" windowWidth="1296" windowHeight="1000" tabRatio="841" activeSheetId="11"/>
    <customWorkbookView name="CSC-KGN - Personal View" guid="{A0CE3161-5061-442F-A27F-2BA55581F316}" autoUpdate="1" mergeInterval="5" personalView="1" maximized="1" xWindow="-8" yWindow="-8" windowWidth="1296" windowHeight="1000" tabRatio="841" activeSheetId="11"/>
  </customWorkbookViews>
</workbook>
</file>

<file path=xl/calcChain.xml><?xml version="1.0" encoding="utf-8"?>
<calcChain xmlns="http://schemas.openxmlformats.org/spreadsheetml/2006/main">
  <c r="I2556" i="1" l="1"/>
  <c r="I2555" i="1"/>
  <c r="Q251" i="20"/>
  <c r="Q250" i="20"/>
  <c r="Q249" i="20"/>
  <c r="Q248" i="20"/>
  <c r="Q247" i="20"/>
  <c r="Q246" i="20"/>
  <c r="Q245" i="20"/>
  <c r="Q244" i="20"/>
  <c r="Q243" i="20"/>
  <c r="Q242" i="20"/>
  <c r="Q241" i="20"/>
  <c r="Q240" i="20"/>
  <c r="Q239" i="20"/>
  <c r="Q238" i="20"/>
  <c r="Q237" i="20"/>
  <c r="Q236" i="20"/>
  <c r="Q235" i="20"/>
  <c r="Q234" i="20"/>
  <c r="Q233" i="20"/>
  <c r="Q232" i="20"/>
  <c r="Q231" i="20"/>
  <c r="Q230" i="20"/>
  <c r="Q229" i="20"/>
  <c r="Q228" i="20"/>
  <c r="Q227" i="20"/>
  <c r="Q226" i="20"/>
  <c r="Q225" i="20"/>
  <c r="Q224" i="20"/>
  <c r="Q223" i="20"/>
  <c r="Q222" i="20"/>
  <c r="Q221" i="20"/>
  <c r="Q220" i="20"/>
  <c r="Q219" i="20"/>
  <c r="Q218" i="20"/>
  <c r="Q217" i="20"/>
  <c r="Q216" i="20"/>
  <c r="Q215" i="20"/>
  <c r="Q214" i="20"/>
  <c r="Q213" i="20"/>
  <c r="Q212" i="20"/>
  <c r="Q211" i="20"/>
  <c r="Q210" i="20"/>
  <c r="Q209" i="20"/>
  <c r="Q208" i="20"/>
  <c r="Q207" i="20"/>
  <c r="Q206" i="20"/>
  <c r="Q205" i="20"/>
  <c r="Q204" i="20"/>
  <c r="T203" i="20"/>
  <c r="Q203" i="20"/>
  <c r="Q202" i="20"/>
  <c r="Q201" i="20"/>
  <c r="Q200" i="20"/>
  <c r="Q199" i="20"/>
  <c r="Q198" i="20"/>
  <c r="Q197" i="20"/>
  <c r="Q196" i="20"/>
  <c r="Q195" i="20"/>
  <c r="Q194" i="20"/>
  <c r="Q193" i="20"/>
  <c r="Q192" i="20"/>
  <c r="Q191" i="20"/>
  <c r="Q190" i="20"/>
  <c r="Q189" i="20"/>
  <c r="Q188" i="20"/>
  <c r="Q187" i="20"/>
  <c r="Q186" i="20"/>
  <c r="Q185" i="20"/>
  <c r="Q184" i="20"/>
  <c r="Q183" i="20"/>
  <c r="Q182" i="20"/>
  <c r="Q181" i="20"/>
  <c r="Q180" i="20"/>
  <c r="Q179" i="20"/>
  <c r="E179" i="20"/>
  <c r="W178" i="20"/>
  <c r="Q178" i="20"/>
  <c r="K178" i="20"/>
  <c r="E178" i="20"/>
  <c r="W177" i="20"/>
  <c r="Q177" i="20"/>
  <c r="K177" i="20"/>
  <c r="E177" i="20"/>
  <c r="W176" i="20"/>
  <c r="Q176" i="20"/>
  <c r="K176" i="20"/>
  <c r="E176" i="20"/>
  <c r="W175" i="20"/>
  <c r="Q175" i="20"/>
  <c r="K175" i="20"/>
  <c r="E175" i="20"/>
  <c r="W174" i="20"/>
  <c r="Q174" i="20"/>
  <c r="K174" i="20"/>
  <c r="E174" i="20"/>
  <c r="W173" i="20"/>
  <c r="Q173" i="20"/>
  <c r="K173" i="20"/>
  <c r="E173" i="20"/>
  <c r="W172" i="20"/>
  <c r="Q172" i="20"/>
  <c r="K172" i="20"/>
  <c r="E172" i="20"/>
  <c r="W171" i="20"/>
  <c r="Q171" i="20"/>
  <c r="K171" i="20"/>
  <c r="E171" i="20"/>
  <c r="W170" i="20"/>
  <c r="Q170" i="20"/>
  <c r="K170" i="20"/>
  <c r="E170" i="20"/>
  <c r="W169" i="20"/>
  <c r="Q169" i="20"/>
  <c r="K169" i="20"/>
  <c r="E169" i="20"/>
  <c r="W168" i="20"/>
  <c r="Q168" i="20"/>
  <c r="K168" i="20"/>
  <c r="E168" i="20"/>
  <c r="W167" i="20"/>
  <c r="Q167" i="20"/>
  <c r="K167" i="20"/>
  <c r="E167" i="20"/>
  <c r="W166" i="20"/>
  <c r="Q166" i="20"/>
  <c r="K166" i="20"/>
  <c r="E166" i="20"/>
  <c r="W165" i="20"/>
  <c r="Q165" i="20"/>
  <c r="K165" i="20"/>
  <c r="E165" i="20"/>
  <c r="W164" i="20"/>
  <c r="Q164" i="20"/>
  <c r="K164" i="20"/>
  <c r="E164" i="20"/>
  <c r="W163" i="20"/>
  <c r="Q163" i="20"/>
  <c r="K163" i="20"/>
  <c r="E163" i="20"/>
  <c r="W162" i="20"/>
  <c r="Q162" i="20"/>
  <c r="K162" i="20"/>
  <c r="E162" i="20"/>
  <c r="W161" i="20"/>
  <c r="Q161" i="20"/>
  <c r="K161" i="20"/>
  <c r="E161" i="20"/>
  <c r="W160" i="20"/>
  <c r="Q160" i="20"/>
  <c r="K160" i="20"/>
  <c r="E160" i="20"/>
  <c r="W159" i="20"/>
  <c r="Q159" i="20"/>
  <c r="K159" i="20"/>
  <c r="E159" i="20"/>
  <c r="W158" i="20"/>
  <c r="Q158" i="20"/>
  <c r="K158" i="20"/>
  <c r="E158" i="20"/>
  <c r="W157" i="20"/>
  <c r="Q157" i="20"/>
  <c r="K157" i="20"/>
  <c r="E157" i="20"/>
  <c r="W156" i="20"/>
  <c r="Q156" i="20"/>
  <c r="K156" i="20"/>
  <c r="E156" i="20"/>
  <c r="W155" i="20"/>
  <c r="Q155" i="20"/>
  <c r="K155" i="20"/>
  <c r="E155" i="20"/>
  <c r="W154" i="20"/>
  <c r="Q154" i="20"/>
  <c r="K154" i="20"/>
  <c r="E154" i="20"/>
  <c r="W153" i="20"/>
  <c r="Q153" i="20"/>
  <c r="K153" i="20"/>
  <c r="E153" i="20"/>
  <c r="W152" i="20"/>
  <c r="Q152" i="20"/>
  <c r="K152" i="20"/>
  <c r="E152" i="20"/>
  <c r="W151" i="20"/>
  <c r="Q151" i="20"/>
  <c r="K151" i="20"/>
  <c r="E151" i="20"/>
  <c r="W150" i="20"/>
  <c r="Q150" i="20"/>
  <c r="K150" i="20"/>
  <c r="E150" i="20"/>
  <c r="W149" i="20"/>
  <c r="Q149" i="20"/>
  <c r="K149" i="20"/>
  <c r="E149" i="20"/>
  <c r="W148" i="20"/>
  <c r="Q148" i="20"/>
  <c r="K148" i="20"/>
  <c r="E148" i="20"/>
  <c r="W147" i="20"/>
  <c r="Q147" i="20"/>
  <c r="K147" i="20"/>
  <c r="E147" i="20"/>
  <c r="W146" i="20"/>
  <c r="Q146" i="20"/>
  <c r="K146" i="20"/>
  <c r="E146" i="20"/>
  <c r="W145" i="20"/>
  <c r="Q145" i="20"/>
  <c r="K145" i="20"/>
  <c r="E145" i="20"/>
  <c r="W144" i="20"/>
  <c r="Q144" i="20"/>
  <c r="K144" i="20"/>
  <c r="E144" i="20"/>
  <c r="W143" i="20"/>
  <c r="Q143" i="20"/>
  <c r="K143" i="20"/>
  <c r="E143" i="20"/>
  <c r="W142" i="20"/>
  <c r="Q142" i="20"/>
  <c r="K142" i="20"/>
  <c r="E142" i="20"/>
  <c r="W141" i="20"/>
  <c r="Q141" i="20"/>
  <c r="K141" i="20"/>
  <c r="E141" i="20"/>
  <c r="W140" i="20"/>
  <c r="Q140" i="20"/>
  <c r="K140" i="20"/>
  <c r="E140" i="20"/>
  <c r="W139" i="20"/>
  <c r="Q139" i="20"/>
  <c r="K139" i="20"/>
  <c r="E139" i="20"/>
  <c r="W138" i="20"/>
  <c r="Q138" i="20"/>
  <c r="K138" i="20"/>
  <c r="E138" i="20"/>
  <c r="W137" i="20"/>
  <c r="Q137" i="20"/>
  <c r="K137" i="20"/>
  <c r="E137" i="20"/>
  <c r="W136" i="20"/>
  <c r="Q136" i="20"/>
  <c r="K136" i="20"/>
  <c r="E136" i="20"/>
  <c r="W135" i="20"/>
  <c r="Q135" i="20"/>
  <c r="K135" i="20"/>
  <c r="E135" i="20"/>
  <c r="W134" i="20"/>
  <c r="Q134" i="20"/>
  <c r="K134" i="20"/>
  <c r="E134" i="20"/>
  <c r="W133" i="20"/>
  <c r="Q133" i="20"/>
  <c r="K133" i="20"/>
  <c r="E133" i="20"/>
  <c r="W132" i="20"/>
  <c r="Q132" i="20"/>
  <c r="K132" i="20"/>
  <c r="E132" i="20"/>
  <c r="W131" i="20"/>
  <c r="Q131" i="20"/>
  <c r="K131" i="20"/>
  <c r="E131" i="20"/>
  <c r="W130" i="20"/>
  <c r="Q130" i="20"/>
  <c r="K130" i="20"/>
  <c r="E130" i="20"/>
  <c r="W129" i="20"/>
  <c r="Q129" i="20"/>
  <c r="K129" i="20"/>
  <c r="E129" i="20"/>
  <c r="W128" i="20"/>
  <c r="Q128" i="20"/>
  <c r="K128" i="20"/>
  <c r="E128" i="20"/>
  <c r="W127" i="20"/>
  <c r="Q127" i="20"/>
  <c r="K127" i="20"/>
  <c r="E127" i="20"/>
  <c r="W126" i="20"/>
  <c r="Q126" i="20"/>
  <c r="K126" i="20"/>
  <c r="E126" i="20"/>
  <c r="W125" i="20"/>
  <c r="Q125" i="20"/>
  <c r="K125" i="20"/>
  <c r="E125" i="20"/>
  <c r="W124" i="20"/>
  <c r="Q124" i="20"/>
  <c r="K124" i="20"/>
  <c r="E124" i="20"/>
  <c r="W123" i="20"/>
  <c r="Q123" i="20"/>
  <c r="K123" i="20"/>
  <c r="E123" i="20"/>
  <c r="W122" i="20"/>
  <c r="Q122" i="20"/>
  <c r="K122" i="20"/>
  <c r="E122" i="20"/>
  <c r="W121" i="20"/>
  <c r="Q121" i="20"/>
  <c r="K121" i="20"/>
  <c r="E121" i="20"/>
  <c r="W120" i="20"/>
  <c r="Q120" i="20"/>
  <c r="K120" i="20"/>
  <c r="E120" i="20"/>
  <c r="W119" i="20"/>
  <c r="Q119" i="20"/>
  <c r="K119" i="20"/>
  <c r="E119" i="20"/>
  <c r="W118" i="20"/>
  <c r="Q118" i="20"/>
  <c r="K118" i="20"/>
  <c r="E118" i="20"/>
  <c r="W117" i="20"/>
  <c r="Q117" i="20"/>
  <c r="K117" i="20"/>
  <c r="E117" i="20"/>
  <c r="W116" i="20"/>
  <c r="Q116" i="20"/>
  <c r="K116" i="20"/>
  <c r="E116" i="20"/>
  <c r="W115" i="20"/>
  <c r="Q115" i="20"/>
  <c r="K115" i="20"/>
  <c r="E115" i="20"/>
  <c r="W114" i="20"/>
  <c r="Q114" i="20"/>
  <c r="K114" i="20"/>
  <c r="E114" i="20"/>
  <c r="W113" i="20"/>
  <c r="Q113" i="20"/>
  <c r="K113" i="20"/>
  <c r="E113" i="20"/>
  <c r="W112" i="20"/>
  <c r="Q112" i="20"/>
  <c r="K112" i="20"/>
  <c r="E112" i="20"/>
  <c r="W111" i="20"/>
  <c r="Q111" i="20"/>
  <c r="K111" i="20"/>
  <c r="E111" i="20"/>
  <c r="W110" i="20"/>
  <c r="Q110" i="20"/>
  <c r="K110" i="20"/>
  <c r="E110" i="20"/>
  <c r="W109" i="20"/>
  <c r="Q109" i="20"/>
  <c r="K109" i="20"/>
  <c r="E109" i="20"/>
  <c r="W108" i="20"/>
  <c r="Q108" i="20"/>
  <c r="K108" i="20"/>
  <c r="E108" i="20"/>
  <c r="W107" i="20"/>
  <c r="Q107" i="20"/>
  <c r="K107" i="20"/>
  <c r="E107" i="20"/>
  <c r="W106" i="20"/>
  <c r="Q106" i="20"/>
  <c r="K106" i="20"/>
  <c r="E106" i="20"/>
  <c r="W105" i="20"/>
  <c r="Q105" i="20"/>
  <c r="K105" i="20"/>
  <c r="E105" i="20"/>
  <c r="W104" i="20"/>
  <c r="Q104" i="20"/>
  <c r="K104" i="20"/>
  <c r="E104" i="20"/>
  <c r="W103" i="20"/>
  <c r="Q103" i="20"/>
  <c r="K103" i="20"/>
  <c r="E103" i="20"/>
  <c r="W102" i="20"/>
  <c r="Q102" i="20"/>
  <c r="K102" i="20"/>
  <c r="E102" i="20"/>
  <c r="W101" i="20"/>
  <c r="Q101" i="20"/>
  <c r="K101" i="20"/>
  <c r="E101" i="20"/>
  <c r="W100" i="20"/>
  <c r="Q100" i="20"/>
  <c r="K100" i="20"/>
  <c r="E100" i="20"/>
  <c r="W99" i="20"/>
  <c r="Q99" i="20"/>
  <c r="K99" i="20"/>
  <c r="E99" i="20"/>
  <c r="W98" i="20"/>
  <c r="Q98" i="20"/>
  <c r="K98" i="20"/>
  <c r="E98" i="20"/>
  <c r="W97" i="20"/>
  <c r="Q97" i="20"/>
  <c r="K97" i="20"/>
  <c r="E97" i="20"/>
  <c r="W96" i="20"/>
  <c r="Q96" i="20"/>
  <c r="K96" i="20"/>
  <c r="E96" i="20"/>
  <c r="W95" i="20"/>
  <c r="Q95" i="20"/>
  <c r="K95" i="20"/>
  <c r="E95" i="20"/>
  <c r="W94" i="20"/>
  <c r="Q94" i="20"/>
  <c r="K94" i="20"/>
  <c r="E94" i="20"/>
  <c r="W93" i="20"/>
  <c r="Q93" i="20"/>
  <c r="K93" i="20"/>
  <c r="E93" i="20"/>
  <c r="W92" i="20"/>
  <c r="Q92" i="20"/>
  <c r="K92" i="20"/>
  <c r="E92" i="20"/>
  <c r="W91" i="20"/>
  <c r="Q91" i="20"/>
  <c r="K91" i="20"/>
  <c r="E91" i="20"/>
  <c r="W90" i="20"/>
  <c r="Q90" i="20"/>
  <c r="K90" i="20"/>
  <c r="E90" i="20"/>
  <c r="C90" i="20"/>
  <c r="W89" i="20"/>
  <c r="Q89" i="20"/>
  <c r="K89" i="20"/>
  <c r="E89" i="20"/>
  <c r="W88" i="20"/>
  <c r="Q88" i="20"/>
  <c r="K88" i="20"/>
  <c r="E88" i="20"/>
  <c r="W87" i="20"/>
  <c r="Q87" i="20"/>
  <c r="K87" i="20"/>
  <c r="E87" i="20"/>
  <c r="W86" i="20"/>
  <c r="Q86" i="20"/>
  <c r="K86" i="20"/>
  <c r="E86" i="20"/>
  <c r="W85" i="20"/>
  <c r="Q85" i="20"/>
  <c r="K85" i="20"/>
  <c r="E85" i="20"/>
  <c r="W84" i="20"/>
  <c r="Q84" i="20"/>
  <c r="K84" i="20"/>
  <c r="E84" i="20"/>
  <c r="W83" i="20"/>
  <c r="Q83" i="20"/>
  <c r="K83" i="20"/>
  <c r="E83" i="20"/>
  <c r="W82" i="20"/>
  <c r="Q82" i="20"/>
  <c r="K82" i="20"/>
  <c r="E82" i="20"/>
  <c r="W81" i="20"/>
  <c r="Q81" i="20"/>
  <c r="K81" i="20"/>
  <c r="E81" i="20"/>
  <c r="W80" i="20"/>
  <c r="Q80" i="20"/>
  <c r="K80" i="20"/>
  <c r="E80" i="20"/>
  <c r="W79" i="20"/>
  <c r="Q79" i="20"/>
  <c r="K79" i="20"/>
  <c r="E79" i="20"/>
  <c r="W78" i="20"/>
  <c r="Q78" i="20"/>
  <c r="K78" i="20"/>
  <c r="E78" i="20"/>
  <c r="W77" i="20"/>
  <c r="Q77" i="20"/>
  <c r="K77" i="20"/>
  <c r="E77" i="20"/>
  <c r="W76" i="20"/>
  <c r="Q76" i="20"/>
  <c r="K76" i="20"/>
  <c r="E76" i="20"/>
  <c r="W75" i="20"/>
  <c r="Q75" i="20"/>
  <c r="K75" i="20"/>
  <c r="E75" i="20"/>
  <c r="W74" i="20"/>
  <c r="Q74" i="20"/>
  <c r="K74" i="20"/>
  <c r="E74" i="20"/>
  <c r="W73" i="20"/>
  <c r="Q73" i="20"/>
  <c r="K73" i="20"/>
  <c r="E73" i="20"/>
  <c r="W72" i="20"/>
  <c r="Q72" i="20"/>
  <c r="K72" i="20"/>
  <c r="E72" i="20"/>
  <c r="AD71" i="20"/>
  <c r="W71" i="20"/>
  <c r="Q71" i="20"/>
  <c r="K71" i="20"/>
  <c r="E71" i="20"/>
  <c r="W70" i="20"/>
  <c r="Q70" i="20"/>
  <c r="K70" i="20"/>
  <c r="E70" i="20"/>
  <c r="W69" i="20"/>
  <c r="Q69" i="20"/>
  <c r="K69" i="20"/>
  <c r="E69" i="20"/>
  <c r="AD68" i="20"/>
  <c r="W68" i="20"/>
  <c r="Q68" i="20"/>
  <c r="K68" i="20"/>
  <c r="E68" i="20"/>
  <c r="W67" i="20"/>
  <c r="Q67" i="20"/>
  <c r="K67" i="20"/>
  <c r="E67" i="20"/>
  <c r="W66" i="20"/>
  <c r="Q66" i="20"/>
  <c r="K66" i="20"/>
  <c r="E66" i="20"/>
  <c r="W65" i="20"/>
  <c r="Q65" i="20"/>
  <c r="K65" i="20"/>
  <c r="E65" i="20"/>
  <c r="W64" i="20"/>
  <c r="Q64" i="20"/>
  <c r="K64" i="20"/>
  <c r="E64" i="20"/>
  <c r="W63" i="20"/>
  <c r="Q63" i="20"/>
  <c r="K63" i="20"/>
  <c r="E63" i="20"/>
  <c r="W62" i="20"/>
  <c r="Q62" i="20"/>
  <c r="K62" i="20"/>
  <c r="E62" i="20"/>
  <c r="W61" i="20"/>
  <c r="Q61" i="20"/>
  <c r="K61" i="20"/>
  <c r="E61" i="20"/>
  <c r="W60" i="20"/>
  <c r="Q60" i="20"/>
  <c r="K60" i="20"/>
  <c r="E60" i="20"/>
  <c r="W59" i="20"/>
  <c r="Q59" i="20"/>
  <c r="K59" i="20"/>
  <c r="E59" i="20"/>
  <c r="W58" i="20"/>
  <c r="Q58" i="20"/>
  <c r="K58" i="20"/>
  <c r="E58" i="20"/>
  <c r="W57" i="20"/>
  <c r="Q57" i="20"/>
  <c r="K57" i="20"/>
  <c r="E57" i="20"/>
  <c r="W56" i="20"/>
  <c r="Q56" i="20"/>
  <c r="K56" i="20"/>
  <c r="E56" i="20"/>
  <c r="W55" i="20"/>
  <c r="Q55" i="20"/>
  <c r="K55" i="20"/>
  <c r="E55" i="20"/>
  <c r="W54" i="20"/>
  <c r="Q54" i="20"/>
  <c r="K54" i="20"/>
  <c r="E54" i="20"/>
  <c r="W53" i="20"/>
  <c r="Q53" i="20"/>
  <c r="K53" i="20"/>
  <c r="E53" i="20"/>
  <c r="W52" i="20"/>
  <c r="Q52" i="20"/>
  <c r="K52" i="20"/>
  <c r="E52" i="20"/>
  <c r="W51" i="20"/>
  <c r="Q51" i="20"/>
  <c r="K51" i="20"/>
  <c r="E51" i="20"/>
  <c r="W50" i="20"/>
  <c r="Q50" i="20"/>
  <c r="K50" i="20"/>
  <c r="E50" i="20"/>
  <c r="W49" i="20"/>
  <c r="Q49" i="20"/>
  <c r="K49" i="20"/>
  <c r="E49" i="20"/>
  <c r="W48" i="20"/>
  <c r="Q48" i="20"/>
  <c r="K48" i="20"/>
  <c r="E48" i="20"/>
  <c r="W47" i="20"/>
  <c r="Q47" i="20"/>
  <c r="K47" i="20"/>
  <c r="E47" i="20"/>
  <c r="W46" i="20"/>
  <c r="Q46" i="20"/>
  <c r="K46" i="20"/>
  <c r="E46" i="20"/>
  <c r="W45" i="20"/>
  <c r="Q45" i="20"/>
  <c r="K45" i="20"/>
  <c r="E45" i="20"/>
  <c r="W44" i="20"/>
  <c r="Q44" i="20"/>
  <c r="K44" i="20"/>
  <c r="E44" i="20"/>
  <c r="W43" i="20"/>
  <c r="Q43" i="20"/>
  <c r="K43" i="20"/>
  <c r="E43" i="20"/>
  <c r="W42" i="20"/>
  <c r="Q42" i="20"/>
  <c r="K42" i="20"/>
  <c r="E42" i="20"/>
  <c r="W41" i="20"/>
  <c r="Q41" i="20"/>
  <c r="K41" i="20"/>
  <c r="E41" i="20"/>
  <c r="W40" i="20"/>
  <c r="Q40" i="20"/>
  <c r="K40" i="20"/>
  <c r="E40" i="20"/>
  <c r="W39" i="20"/>
  <c r="Q39" i="20"/>
  <c r="K39" i="20"/>
  <c r="E39" i="20"/>
  <c r="W38" i="20"/>
  <c r="Q38" i="20"/>
  <c r="K38" i="20"/>
  <c r="E38" i="20"/>
  <c r="W37" i="20"/>
  <c r="Q37" i="20"/>
  <c r="K37" i="20"/>
  <c r="E37" i="20"/>
  <c r="W36" i="20"/>
  <c r="Q36" i="20"/>
  <c r="K36" i="20"/>
  <c r="E36" i="20"/>
  <c r="W35" i="20"/>
  <c r="Q35" i="20"/>
  <c r="K35" i="20"/>
  <c r="E35" i="20"/>
  <c r="W34" i="20"/>
  <c r="Q34" i="20"/>
  <c r="K34" i="20"/>
  <c r="E34" i="20"/>
  <c r="W33" i="20"/>
  <c r="Q33" i="20"/>
  <c r="K33" i="20"/>
  <c r="E33" i="20"/>
  <c r="W32" i="20"/>
  <c r="Q32" i="20"/>
  <c r="K32" i="20"/>
  <c r="E32" i="20"/>
  <c r="W31" i="20"/>
  <c r="Q31" i="20"/>
  <c r="K31" i="20"/>
  <c r="E31" i="20"/>
  <c r="W30" i="20"/>
  <c r="Q30" i="20"/>
  <c r="K30" i="20"/>
  <c r="E30" i="20"/>
  <c r="W29" i="20"/>
  <c r="Q29" i="20"/>
  <c r="K29" i="20"/>
  <c r="E29" i="20"/>
  <c r="W28" i="20"/>
  <c r="Q28" i="20"/>
  <c r="K28" i="20"/>
  <c r="E28" i="20"/>
  <c r="W27" i="20"/>
  <c r="Q27" i="20"/>
  <c r="K27" i="20"/>
  <c r="E27" i="20"/>
  <c r="W26" i="20"/>
  <c r="Q26" i="20"/>
  <c r="K26" i="20"/>
  <c r="E26" i="20"/>
  <c r="W25" i="20"/>
  <c r="Q25" i="20"/>
  <c r="K25" i="20"/>
  <c r="E25" i="20"/>
  <c r="W24" i="20"/>
  <c r="Q24" i="20"/>
  <c r="K24" i="20"/>
  <c r="E24" i="20"/>
  <c r="W23" i="20"/>
  <c r="Q23" i="20"/>
  <c r="K23" i="20"/>
  <c r="E23" i="20"/>
  <c r="W22" i="20"/>
  <c r="Q22" i="20"/>
  <c r="K22" i="20"/>
  <c r="E22" i="20"/>
  <c r="W21" i="20"/>
  <c r="Q21" i="20"/>
  <c r="K21" i="20"/>
  <c r="E21" i="20"/>
  <c r="W20" i="20"/>
  <c r="Q20" i="20"/>
  <c r="K20" i="20"/>
  <c r="E20" i="20"/>
  <c r="W19" i="20"/>
  <c r="Q19" i="20"/>
  <c r="K19" i="20"/>
  <c r="E19" i="20"/>
  <c r="W18" i="20"/>
  <c r="Q18" i="20"/>
  <c r="K18" i="20"/>
  <c r="E18" i="20"/>
  <c r="W17" i="20"/>
  <c r="Q17" i="20"/>
  <c r="K17" i="20"/>
  <c r="J17" i="20"/>
  <c r="E17" i="20"/>
  <c r="W16" i="20"/>
  <c r="Q16" i="20"/>
  <c r="K16" i="20"/>
  <c r="E16" i="20"/>
  <c r="W15" i="20"/>
  <c r="Q15" i="20"/>
  <c r="K15" i="20"/>
  <c r="E15" i="20"/>
  <c r="W14" i="20"/>
  <c r="Q14" i="20"/>
  <c r="K14" i="20"/>
  <c r="E14" i="20"/>
  <c r="W13" i="20"/>
  <c r="Q13" i="20"/>
  <c r="K13" i="20"/>
  <c r="E13" i="20"/>
  <c r="W12" i="20"/>
  <c r="Q12" i="20"/>
  <c r="K12" i="20"/>
  <c r="E12" i="20"/>
  <c r="W11" i="20"/>
  <c r="Q11" i="20"/>
  <c r="K11" i="20"/>
  <c r="E11" i="20"/>
  <c r="W10" i="20"/>
  <c r="Q10" i="20"/>
  <c r="K10" i="20"/>
  <c r="E10" i="20"/>
  <c r="AF9" i="20"/>
  <c r="W9" i="20"/>
  <c r="Q9" i="20"/>
  <c r="K9" i="20"/>
  <c r="E9" i="20"/>
  <c r="W8" i="20"/>
  <c r="Q8" i="20"/>
  <c r="K8" i="20"/>
  <c r="E8" i="20"/>
  <c r="W7" i="20"/>
  <c r="Q7" i="20"/>
  <c r="K7" i="20"/>
  <c r="E7" i="20"/>
  <c r="AF6" i="20"/>
  <c r="W6" i="20"/>
  <c r="Q6" i="20"/>
  <c r="K6" i="20"/>
  <c r="E6" i="20"/>
  <c r="W5" i="20"/>
  <c r="K5" i="20"/>
  <c r="AF4" i="20"/>
  <c r="Y1" i="20"/>
  <c r="W1" i="20"/>
  <c r="Q1" i="20"/>
  <c r="L1" i="20"/>
  <c r="K1" i="20"/>
  <c r="E1" i="20"/>
  <c r="AO49" i="13"/>
  <c r="AO48" i="13"/>
  <c r="AO46" i="13"/>
  <c r="AX45" i="13"/>
  <c r="AX44" i="13"/>
  <c r="K41" i="13"/>
  <c r="I41" i="13"/>
  <c r="E41" i="13"/>
  <c r="B41" i="13"/>
  <c r="BB39" i="13"/>
  <c r="BA39" i="13"/>
  <c r="AZ39" i="13"/>
  <c r="AX39" i="13"/>
  <c r="AW39" i="13"/>
  <c r="AV39" i="13"/>
  <c r="AT39" i="13"/>
  <c r="AS39" i="13"/>
  <c r="AR39" i="13"/>
  <c r="AP39" i="13"/>
  <c r="AO39" i="13"/>
  <c r="AN39" i="13"/>
  <c r="AL39" i="13"/>
  <c r="AK39" i="13"/>
  <c r="AJ39" i="13"/>
  <c r="AH39" i="13"/>
  <c r="AG39" i="13"/>
  <c r="AF39" i="13"/>
  <c r="AD39" i="13"/>
  <c r="AC39" i="13"/>
  <c r="AB39" i="13"/>
  <c r="Z39" i="13"/>
  <c r="Y39" i="13"/>
  <c r="X39" i="13"/>
  <c r="V39" i="13"/>
  <c r="U39" i="13"/>
  <c r="T39" i="13"/>
  <c r="R39" i="13"/>
  <c r="Q39" i="13"/>
  <c r="P39" i="13"/>
  <c r="O39" i="13"/>
  <c r="M39" i="13"/>
  <c r="BB35" i="13"/>
  <c r="AZ35" i="13"/>
  <c r="AX35" i="13"/>
  <c r="AV35" i="13"/>
  <c r="AP35" i="13"/>
  <c r="AT34" i="13"/>
  <c r="AP34" i="13"/>
  <c r="AR33" i="13"/>
  <c r="AP33" i="13"/>
  <c r="AN33" i="13"/>
  <c r="AR32" i="13"/>
  <c r="AP32" i="13"/>
  <c r="AN32" i="13"/>
  <c r="AL32" i="13"/>
  <c r="AJ32" i="13"/>
  <c r="AF32" i="13"/>
  <c r="AD32" i="13"/>
  <c r="AB32" i="13"/>
  <c r="Z32" i="13"/>
  <c r="X32" i="13"/>
  <c r="AR31" i="13"/>
  <c r="AP31" i="13"/>
  <c r="AN31" i="13"/>
  <c r="AJ31" i="13"/>
  <c r="AF31" i="13"/>
  <c r="AB31" i="13"/>
  <c r="Z31" i="13"/>
  <c r="X31" i="13"/>
  <c r="AZ29" i="13"/>
  <c r="AV29" i="13"/>
  <c r="AR29" i="13"/>
  <c r="AN29" i="13"/>
  <c r="AJ29" i="13"/>
  <c r="AF29" i="13"/>
  <c r="AB29" i="13"/>
  <c r="V29" i="13"/>
  <c r="T29" i="13"/>
  <c r="AZ28" i="13"/>
  <c r="AV28" i="13"/>
  <c r="AT28" i="13"/>
  <c r="AR28" i="13"/>
  <c r="AP28" i="13"/>
  <c r="AN28" i="13"/>
  <c r="AL28" i="13"/>
  <c r="AJ28" i="13"/>
  <c r="X28" i="13"/>
  <c r="T28" i="13"/>
  <c r="AH27" i="13"/>
  <c r="AH26" i="13"/>
  <c r="AF26" i="13"/>
  <c r="AB26" i="13"/>
  <c r="X26" i="13"/>
  <c r="BB25" i="13"/>
  <c r="AX25" i="13"/>
  <c r="AT25" i="13"/>
  <c r="AP25" i="13"/>
  <c r="AN25" i="13"/>
  <c r="AL25" i="13"/>
  <c r="AH25" i="13"/>
  <c r="AD25" i="13"/>
  <c r="AB25" i="13"/>
  <c r="Z25" i="13"/>
  <c r="X25" i="13"/>
  <c r="V25" i="13"/>
  <c r="AD23" i="13"/>
  <c r="AT22" i="13"/>
  <c r="AJ22" i="13"/>
  <c r="AD22" i="13"/>
  <c r="T22" i="13"/>
  <c r="AX21" i="13"/>
  <c r="AP21" i="13"/>
  <c r="AH21" i="13"/>
  <c r="AD21" i="13"/>
  <c r="AX20" i="13"/>
  <c r="AT20" i="13"/>
  <c r="AP20" i="13"/>
  <c r="AH20" i="13"/>
  <c r="AF20" i="13"/>
  <c r="Z20" i="13"/>
  <c r="V20" i="13"/>
  <c r="AZ18" i="13"/>
  <c r="AX18" i="13"/>
  <c r="AV18" i="13"/>
  <c r="BB16" i="13"/>
  <c r="AT16" i="13"/>
  <c r="AR16" i="13"/>
  <c r="AH16" i="13"/>
  <c r="AD16" i="13"/>
  <c r="Z16" i="13"/>
  <c r="AX15" i="13"/>
  <c r="AT15" i="13"/>
  <c r="AP15" i="13"/>
  <c r="AL15" i="13"/>
  <c r="AH15" i="13"/>
  <c r="AD15" i="13"/>
  <c r="Z15" i="13"/>
  <c r="Z12" i="13"/>
  <c r="R12" i="13"/>
  <c r="K11" i="13"/>
  <c r="I11" i="13"/>
  <c r="E11" i="13"/>
  <c r="K9" i="13"/>
  <c r="I9" i="13"/>
  <c r="E9" i="13"/>
  <c r="AP8" i="13"/>
  <c r="AH7" i="13"/>
  <c r="AF7" i="13"/>
  <c r="AD7" i="13"/>
  <c r="AH5" i="13"/>
  <c r="K4" i="13"/>
  <c r="I4" i="13"/>
  <c r="AL3" i="13"/>
  <c r="E47" i="18"/>
  <c r="E39" i="18"/>
  <c r="D39" i="18"/>
  <c r="E38" i="18"/>
  <c r="D38" i="18"/>
  <c r="E37" i="18"/>
  <c r="D37" i="18"/>
  <c r="E36" i="18"/>
  <c r="D36" i="18"/>
  <c r="E35" i="18"/>
  <c r="D35" i="18"/>
  <c r="E34" i="18"/>
  <c r="D34" i="18"/>
  <c r="E33" i="18"/>
  <c r="D33" i="18"/>
  <c r="E32" i="18"/>
  <c r="D32" i="18"/>
  <c r="E31" i="18"/>
  <c r="D31" i="18"/>
  <c r="E30" i="18"/>
  <c r="D30" i="18"/>
  <c r="E29" i="18"/>
  <c r="D29" i="18"/>
  <c r="E28" i="18"/>
  <c r="E27" i="18"/>
  <c r="E26" i="18"/>
  <c r="L17" i="18"/>
  <c r="L16" i="18"/>
  <c r="L15" i="18"/>
  <c r="L14" i="18"/>
  <c r="L13" i="18"/>
  <c r="B32" i="19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M35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C13" i="12"/>
  <c r="E12" i="12"/>
  <c r="E11" i="12"/>
  <c r="E10" i="12"/>
  <c r="E9" i="12"/>
  <c r="E8" i="12"/>
  <c r="E7" i="12"/>
  <c r="E6" i="12"/>
  <c r="E5" i="12"/>
  <c r="E4" i="12"/>
  <c r="E3" i="12"/>
  <c r="D2" i="12"/>
  <c r="C2" i="12"/>
  <c r="J1" i="12"/>
  <c r="H1" i="12"/>
  <c r="L2565" i="1"/>
  <c r="G2562" i="1"/>
  <c r="E2562" i="1"/>
  <c r="A2562" i="1"/>
  <c r="N2561" i="1"/>
  <c r="H2484" i="1"/>
  <c r="H2562" i="1" s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I2447" i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H2444" i="1"/>
  <c r="G2444" i="1"/>
  <c r="E2444" i="1"/>
  <c r="A2444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I2313" i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H2311" i="1"/>
  <c r="G2311" i="1"/>
  <c r="E2311" i="1"/>
  <c r="A2311" i="1"/>
  <c r="N2310" i="1"/>
  <c r="N2309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I2237" i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M2235" i="1"/>
  <c r="L2235" i="1"/>
  <c r="K2235" i="1"/>
  <c r="J2235" i="1"/>
  <c r="H2235" i="1"/>
  <c r="G2235" i="1"/>
  <c r="E2235" i="1"/>
  <c r="A2235" i="1"/>
  <c r="N2234" i="1"/>
  <c r="N2233" i="1"/>
  <c r="N2232" i="1"/>
  <c r="N2231" i="1"/>
  <c r="N2230" i="1"/>
  <c r="N2229" i="1"/>
  <c r="N2227" i="1"/>
  <c r="N2226" i="1"/>
  <c r="N2225" i="1"/>
  <c r="N2224" i="1"/>
  <c r="N2223" i="1"/>
  <c r="N2222" i="1"/>
  <c r="N2221" i="1"/>
  <c r="N2220" i="1"/>
  <c r="N2219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I2144" i="1"/>
  <c r="I2145" i="1" s="1"/>
  <c r="H2142" i="1"/>
  <c r="G2142" i="1"/>
  <c r="E2142" i="1"/>
  <c r="A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H2069" i="1"/>
  <c r="G2069" i="1"/>
  <c r="E2069" i="1"/>
  <c r="A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69" i="1" s="1"/>
  <c r="H2030" i="1"/>
  <c r="G2030" i="1"/>
  <c r="E2030" i="1"/>
  <c r="A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H1959" i="1"/>
  <c r="E1959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H1862" i="1"/>
  <c r="E1862" i="1"/>
  <c r="A1862" i="1"/>
  <c r="A1959" i="1" s="1"/>
  <c r="N1861" i="1"/>
  <c r="N1860" i="1"/>
  <c r="N1859" i="1"/>
  <c r="N1858" i="1"/>
  <c r="N1857" i="1"/>
  <c r="N1856" i="1"/>
  <c r="N1855" i="1"/>
  <c r="N1854" i="1"/>
  <c r="N1853" i="1"/>
  <c r="N1851" i="1"/>
  <c r="N1850" i="1"/>
  <c r="N1849" i="1"/>
  <c r="N1848" i="1"/>
  <c r="N1847" i="1"/>
  <c r="N1846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H1790" i="1"/>
  <c r="G1790" i="1"/>
  <c r="E1790" i="1"/>
  <c r="A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H1698" i="1"/>
  <c r="G1698" i="1"/>
  <c r="E1698" i="1"/>
  <c r="A1698" i="1"/>
  <c r="N1697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H1592" i="1"/>
  <c r="F1592" i="1" s="1"/>
  <c r="G1592" i="1"/>
  <c r="E1592" i="1"/>
  <c r="D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Q1568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U1553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I1491" i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G1594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G1792" i="1" s="1"/>
  <c r="I1490" i="1"/>
  <c r="H1488" i="1"/>
  <c r="G1488" i="1"/>
  <c r="E1488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M1430" i="1"/>
  <c r="L1430" i="1"/>
  <c r="K1430" i="1"/>
  <c r="J1430" i="1"/>
  <c r="J1488" i="1" s="1"/>
  <c r="H1430" i="1"/>
  <c r="G1430" i="1"/>
  <c r="E1430" i="1"/>
  <c r="A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M1343" i="1"/>
  <c r="L1343" i="1"/>
  <c r="K1343" i="1"/>
  <c r="J1343" i="1"/>
  <c r="H1343" i="1"/>
  <c r="G1343" i="1"/>
  <c r="E1343" i="1"/>
  <c r="N1342" i="1"/>
  <c r="N1340" i="1"/>
  <c r="N1339" i="1"/>
  <c r="N1338" i="1"/>
  <c r="N1337" i="1"/>
  <c r="N1336" i="1"/>
  <c r="N1335" i="1"/>
  <c r="N1334" i="1"/>
  <c r="N1333" i="1"/>
  <c r="N1332" i="1"/>
  <c r="N1331" i="1"/>
  <c r="R1330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I1236" i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G1345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H1234" i="1"/>
  <c r="G1234" i="1"/>
  <c r="E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I1118" i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H1116" i="1"/>
  <c r="G1116" i="1"/>
  <c r="E1116" i="1"/>
  <c r="N1114" i="1"/>
  <c r="N1113" i="1"/>
  <c r="N1112" i="1"/>
  <c r="N1111" i="1"/>
  <c r="N1110" i="1"/>
  <c r="N1109" i="1"/>
  <c r="N1108" i="1"/>
  <c r="N1107" i="1"/>
  <c r="N1106" i="1"/>
  <c r="N1105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I1031" i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N1030" i="1"/>
  <c r="G1028" i="1"/>
  <c r="E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H948" i="1"/>
  <c r="N948" i="1" s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I916" i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H913" i="1"/>
  <c r="G913" i="1"/>
  <c r="E913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I832" i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H830" i="1"/>
  <c r="G830" i="1"/>
  <c r="E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H765" i="1"/>
  <c r="G765" i="1"/>
  <c r="E765" i="1"/>
  <c r="N764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I673" i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H670" i="1"/>
  <c r="E670" i="1"/>
  <c r="N669" i="1"/>
  <c r="N668" i="1"/>
  <c r="N667" i="1"/>
  <c r="N666" i="1"/>
  <c r="N665" i="1"/>
  <c r="N664" i="1"/>
  <c r="N663" i="1"/>
  <c r="N662" i="1"/>
  <c r="N661" i="1"/>
  <c r="N660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H564" i="1"/>
  <c r="G564" i="1"/>
  <c r="E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I468" i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G566" i="1" s="1"/>
  <c r="N467" i="1"/>
  <c r="H465" i="1"/>
  <c r="G465" i="1"/>
  <c r="E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M407" i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O371" i="1"/>
  <c r="O465" i="1" s="1"/>
  <c r="H371" i="1"/>
  <c r="G371" i="1"/>
  <c r="E371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I249" i="1"/>
  <c r="J249" i="1" s="1"/>
  <c r="O246" i="1"/>
  <c r="H246" i="1"/>
  <c r="G246" i="1"/>
  <c r="E246" i="1"/>
  <c r="N245" i="1"/>
  <c r="N244" i="1"/>
  <c r="N243" i="1"/>
  <c r="N242" i="1"/>
  <c r="U241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U208" i="1"/>
  <c r="N208" i="1"/>
  <c r="N207" i="1"/>
  <c r="N206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I160" i="1"/>
  <c r="I161" i="1" s="1"/>
  <c r="O157" i="1"/>
  <c r="H157" i="1"/>
  <c r="G157" i="1"/>
  <c r="E157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I78" i="1"/>
  <c r="J78" i="1" s="1"/>
  <c r="H76" i="1"/>
  <c r="G76" i="1"/>
  <c r="E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5" i="1"/>
  <c r="N44" i="1"/>
  <c r="N43" i="1"/>
  <c r="N42" i="1"/>
  <c r="N41" i="1"/>
  <c r="N40" i="1"/>
  <c r="N39" i="1"/>
  <c r="N38" i="1"/>
  <c r="N37" i="1"/>
  <c r="N36" i="1"/>
  <c r="N35" i="1"/>
  <c r="N33" i="1"/>
  <c r="N32" i="1"/>
  <c r="N31" i="1"/>
  <c r="N30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I5" i="1"/>
  <c r="I6" i="1" s="1"/>
  <c r="N4" i="1"/>
  <c r="J4" i="1"/>
  <c r="I1960" i="2"/>
  <c r="M1798" i="2"/>
  <c r="A1581" i="2"/>
  <c r="A1580" i="2"/>
  <c r="A1579" i="2"/>
  <c r="A1578" i="2"/>
  <c r="A1577" i="2"/>
  <c r="A1576" i="2"/>
  <c r="A1575" i="2"/>
  <c r="A1574" i="2"/>
  <c r="A1573" i="2"/>
  <c r="A1572" i="2"/>
  <c r="A1569" i="2"/>
  <c r="A1568" i="2"/>
  <c r="A1567" i="2"/>
  <c r="A1566" i="2"/>
  <c r="A1565" i="2"/>
  <c r="A1564" i="2"/>
  <c r="A1563" i="2"/>
  <c r="A1562" i="2"/>
  <c r="A1561" i="2"/>
  <c r="F2030" i="1" l="1"/>
  <c r="F2069" i="1"/>
  <c r="F913" i="1"/>
  <c r="I948" i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F1116" i="1"/>
  <c r="F246" i="1"/>
  <c r="I250" i="1"/>
  <c r="I251" i="1" s="1"/>
  <c r="I252" i="1" s="1"/>
  <c r="F765" i="1"/>
  <c r="F1234" i="1"/>
  <c r="F1790" i="1"/>
  <c r="F2311" i="1"/>
  <c r="N2562" i="1"/>
  <c r="J5" i="1"/>
  <c r="F2142" i="1"/>
  <c r="N2311" i="1"/>
  <c r="N76" i="1"/>
  <c r="N564" i="1"/>
  <c r="O564" i="1" s="1"/>
  <c r="I79" i="1"/>
  <c r="I80" i="1" s="1"/>
  <c r="I81" i="1" s="1"/>
  <c r="N157" i="1"/>
  <c r="F371" i="1"/>
  <c r="F76" i="1"/>
  <c r="F157" i="1"/>
  <c r="N246" i="1"/>
  <c r="F465" i="1"/>
  <c r="F830" i="1"/>
  <c r="F2235" i="1"/>
  <c r="N371" i="1"/>
  <c r="F564" i="1"/>
  <c r="N765" i="1"/>
  <c r="F1343" i="1"/>
  <c r="F1430" i="1"/>
  <c r="J1592" i="1"/>
  <c r="F1698" i="1"/>
  <c r="N1959" i="1"/>
  <c r="F2444" i="1"/>
  <c r="G1862" i="1"/>
  <c r="F1862" i="1" s="1"/>
  <c r="I1792" i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G1864" i="1" s="1"/>
  <c r="I1428" i="1"/>
  <c r="G1433" i="1"/>
  <c r="I1433" i="1" s="1"/>
  <c r="I1434" i="1" s="1"/>
  <c r="I1435" i="1" s="1"/>
  <c r="J252" i="1"/>
  <c r="I253" i="1"/>
  <c r="I162" i="1"/>
  <c r="J161" i="1"/>
  <c r="N566" i="1"/>
  <c r="N670" i="1" s="1"/>
  <c r="O670" i="1" s="1"/>
  <c r="G670" i="1"/>
  <c r="F670" i="1" s="1"/>
  <c r="I566" i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J6" i="1"/>
  <c r="I7" i="1"/>
  <c r="J80" i="1"/>
  <c r="J160" i="1"/>
  <c r="J251" i="1"/>
  <c r="N1028" i="1"/>
  <c r="O1028" i="1" s="1"/>
  <c r="N913" i="1"/>
  <c r="N1234" i="1"/>
  <c r="J250" i="1"/>
  <c r="N830" i="1"/>
  <c r="L1488" i="1"/>
  <c r="L1592" i="1" s="1"/>
  <c r="N1698" i="1"/>
  <c r="N1116" i="1"/>
  <c r="N1488" i="1"/>
  <c r="F1488" i="1"/>
  <c r="N1592" i="1"/>
  <c r="M1488" i="1"/>
  <c r="M1592" i="1" s="1"/>
  <c r="H1028" i="1"/>
  <c r="F1028" i="1" s="1"/>
  <c r="N1343" i="1"/>
  <c r="A1488" i="1"/>
  <c r="A1592" i="1" s="1"/>
  <c r="N1430" i="1"/>
  <c r="K1488" i="1"/>
  <c r="K1592" i="1" s="1"/>
  <c r="N1862" i="1"/>
  <c r="N1790" i="1"/>
  <c r="N2030" i="1"/>
  <c r="I2146" i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N2444" i="1"/>
  <c r="N2142" i="1"/>
  <c r="N2235" i="1"/>
  <c r="I2562" i="1"/>
  <c r="F2562" i="1"/>
  <c r="B1" i="20"/>
  <c r="B2" i="20" s="1"/>
  <c r="J79" i="1" l="1"/>
  <c r="J162" i="1"/>
  <c r="I163" i="1"/>
  <c r="I2235" i="1"/>
  <c r="I1436" i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U1435" i="1"/>
  <c r="J81" i="1"/>
  <c r="I82" i="1"/>
  <c r="J253" i="1"/>
  <c r="I254" i="1"/>
  <c r="G1959" i="1"/>
  <c r="F1959" i="1" s="1"/>
  <c r="I1864" i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G1961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G2032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J7" i="1"/>
  <c r="I8" i="1"/>
  <c r="J163" i="1" l="1"/>
  <c r="I164" i="1"/>
  <c r="J82" i="1"/>
  <c r="I83" i="1"/>
  <c r="I9" i="1"/>
  <c r="J8" i="1"/>
  <c r="I255" i="1"/>
  <c r="J254" i="1"/>
  <c r="I84" i="1" l="1"/>
  <c r="J83" i="1"/>
  <c r="J255" i="1"/>
  <c r="I256" i="1"/>
  <c r="I165" i="1"/>
  <c r="J164" i="1"/>
  <c r="I10" i="1"/>
  <c r="J9" i="1"/>
  <c r="J10" i="1" l="1"/>
  <c r="I11" i="1"/>
  <c r="J256" i="1"/>
  <c r="I257" i="1"/>
  <c r="I166" i="1"/>
  <c r="J165" i="1"/>
  <c r="I85" i="1"/>
  <c r="J84" i="1"/>
  <c r="I258" i="1" l="1"/>
  <c r="J257" i="1"/>
  <c r="J85" i="1"/>
  <c r="I86" i="1"/>
  <c r="J11" i="1"/>
  <c r="I12" i="1"/>
  <c r="J166" i="1"/>
  <c r="I167" i="1"/>
  <c r="I168" i="1" l="1"/>
  <c r="J167" i="1"/>
  <c r="I13" i="1"/>
  <c r="J12" i="1"/>
  <c r="J86" i="1"/>
  <c r="I87" i="1"/>
  <c r="I259" i="1"/>
  <c r="J258" i="1"/>
  <c r="J259" i="1" l="1"/>
  <c r="I260" i="1"/>
  <c r="I14" i="1"/>
  <c r="J13" i="1"/>
  <c r="I88" i="1"/>
  <c r="J87" i="1"/>
  <c r="I169" i="1"/>
  <c r="J168" i="1"/>
  <c r="I170" i="1" l="1"/>
  <c r="J169" i="1"/>
  <c r="J14" i="1"/>
  <c r="I15" i="1"/>
  <c r="J260" i="1"/>
  <c r="I261" i="1"/>
  <c r="J88" i="1"/>
  <c r="I89" i="1"/>
  <c r="J89" i="1" l="1"/>
  <c r="I90" i="1"/>
  <c r="J15" i="1"/>
  <c r="I16" i="1"/>
  <c r="J261" i="1"/>
  <c r="I262" i="1"/>
  <c r="J170" i="1"/>
  <c r="I171" i="1"/>
  <c r="I17" i="1" l="1"/>
  <c r="J16" i="1"/>
  <c r="J171" i="1"/>
  <c r="I172" i="1"/>
  <c r="I263" i="1"/>
  <c r="J262" i="1"/>
  <c r="J90" i="1"/>
  <c r="I91" i="1"/>
  <c r="I92" i="1" l="1"/>
  <c r="J91" i="1"/>
  <c r="I173" i="1"/>
  <c r="J172" i="1"/>
  <c r="I264" i="1"/>
  <c r="J263" i="1"/>
  <c r="I18" i="1"/>
  <c r="J17" i="1"/>
  <c r="J264" i="1" l="1"/>
  <c r="I265" i="1"/>
  <c r="J18" i="1"/>
  <c r="I19" i="1"/>
  <c r="I174" i="1"/>
  <c r="J173" i="1"/>
  <c r="I93" i="1"/>
  <c r="J92" i="1"/>
  <c r="J93" i="1" l="1"/>
  <c r="I94" i="1"/>
  <c r="J265" i="1"/>
  <c r="I266" i="1"/>
  <c r="J19" i="1"/>
  <c r="I20" i="1"/>
  <c r="J174" i="1"/>
  <c r="I175" i="1"/>
  <c r="I267" i="1" l="1"/>
  <c r="J266" i="1"/>
  <c r="J175" i="1"/>
  <c r="I176" i="1"/>
  <c r="I21" i="1"/>
  <c r="J20" i="1"/>
  <c r="J94" i="1"/>
  <c r="I95" i="1"/>
  <c r="I96" i="1" l="1"/>
  <c r="J95" i="1"/>
  <c r="I177" i="1"/>
  <c r="J176" i="1"/>
  <c r="I22" i="1"/>
  <c r="J21" i="1"/>
  <c r="J267" i="1"/>
  <c r="I268" i="1"/>
  <c r="J268" i="1" l="1"/>
  <c r="I269" i="1"/>
  <c r="J177" i="1"/>
  <c r="I178" i="1"/>
  <c r="J22" i="1"/>
  <c r="I23" i="1"/>
  <c r="I97" i="1"/>
  <c r="J96" i="1"/>
  <c r="J178" i="1" l="1"/>
  <c r="I179" i="1"/>
  <c r="J23" i="1"/>
  <c r="I24" i="1"/>
  <c r="I270" i="1"/>
  <c r="J269" i="1"/>
  <c r="J97" i="1"/>
  <c r="I98" i="1"/>
  <c r="I25" i="1" l="1"/>
  <c r="J24" i="1"/>
  <c r="J98" i="1"/>
  <c r="I99" i="1"/>
  <c r="I180" i="1"/>
  <c r="J179" i="1"/>
  <c r="I271" i="1"/>
  <c r="J270" i="1"/>
  <c r="I100" i="1" l="1"/>
  <c r="J99" i="1"/>
  <c r="I272" i="1"/>
  <c r="J271" i="1"/>
  <c r="I181" i="1"/>
  <c r="J180" i="1"/>
  <c r="I26" i="1"/>
  <c r="J25" i="1"/>
  <c r="J26" i="1" l="1"/>
  <c r="I27" i="1"/>
  <c r="J272" i="1"/>
  <c r="I273" i="1"/>
  <c r="J181" i="1"/>
  <c r="I182" i="1"/>
  <c r="I101" i="1"/>
  <c r="J100" i="1"/>
  <c r="J101" i="1" l="1"/>
  <c r="I102" i="1"/>
  <c r="J182" i="1"/>
  <c r="I183" i="1"/>
  <c r="J27" i="1"/>
  <c r="I28" i="1"/>
  <c r="I274" i="1"/>
  <c r="J273" i="1"/>
  <c r="I184" i="1" l="1"/>
  <c r="J183" i="1"/>
  <c r="I275" i="1"/>
  <c r="J274" i="1"/>
  <c r="I29" i="1"/>
  <c r="J28" i="1"/>
  <c r="J102" i="1"/>
  <c r="I103" i="1"/>
  <c r="J275" i="1" l="1"/>
  <c r="I276" i="1"/>
  <c r="I104" i="1"/>
  <c r="J103" i="1"/>
  <c r="I30" i="1"/>
  <c r="J29" i="1"/>
  <c r="I185" i="1"/>
  <c r="J184" i="1"/>
  <c r="J185" i="1" l="1"/>
  <c r="I186" i="1"/>
  <c r="I105" i="1"/>
  <c r="J104" i="1"/>
  <c r="J276" i="1"/>
  <c r="I277" i="1"/>
  <c r="J30" i="1"/>
  <c r="I31" i="1"/>
  <c r="I32" i="1" l="1"/>
  <c r="J31" i="1"/>
  <c r="J105" i="1"/>
  <c r="I106" i="1"/>
  <c r="J277" i="1"/>
  <c r="I278" i="1"/>
  <c r="J186" i="1"/>
  <c r="I187" i="1"/>
  <c r="I188" i="1" l="1"/>
  <c r="J187" i="1"/>
  <c r="I279" i="1"/>
  <c r="J278" i="1"/>
  <c r="J106" i="1"/>
  <c r="I107" i="1"/>
  <c r="I33" i="1"/>
  <c r="J32" i="1"/>
  <c r="J33" i="1" l="1"/>
  <c r="I34" i="1"/>
  <c r="I280" i="1"/>
  <c r="J279" i="1"/>
  <c r="I108" i="1"/>
  <c r="J107" i="1"/>
  <c r="I189" i="1"/>
  <c r="J188" i="1"/>
  <c r="J189" i="1" l="1"/>
  <c r="I190" i="1"/>
  <c r="J280" i="1"/>
  <c r="I281" i="1"/>
  <c r="I35" i="1"/>
  <c r="J34" i="1"/>
  <c r="I109" i="1"/>
  <c r="J108" i="1"/>
  <c r="J109" i="1" l="1"/>
  <c r="I110" i="1"/>
  <c r="J190" i="1"/>
  <c r="I191" i="1"/>
  <c r="I282" i="1"/>
  <c r="J281" i="1"/>
  <c r="J35" i="1"/>
  <c r="I36" i="1"/>
  <c r="I192" i="1" l="1"/>
  <c r="J191" i="1"/>
  <c r="J36" i="1"/>
  <c r="I37" i="1"/>
  <c r="J110" i="1"/>
  <c r="I111" i="1"/>
  <c r="I283" i="1"/>
  <c r="J282" i="1"/>
  <c r="J283" i="1" l="1"/>
  <c r="I284" i="1"/>
  <c r="I112" i="1"/>
  <c r="J111" i="1"/>
  <c r="I38" i="1"/>
  <c r="J37" i="1"/>
  <c r="I193" i="1"/>
  <c r="J192" i="1"/>
  <c r="J193" i="1" l="1"/>
  <c r="I194" i="1"/>
  <c r="I113" i="1"/>
  <c r="J112" i="1"/>
  <c r="J284" i="1"/>
  <c r="I285" i="1"/>
  <c r="I39" i="1"/>
  <c r="J38" i="1"/>
  <c r="J113" i="1" l="1"/>
  <c r="I114" i="1"/>
  <c r="J285" i="1"/>
  <c r="I286" i="1"/>
  <c r="J194" i="1"/>
  <c r="I195" i="1"/>
  <c r="I40" i="1"/>
  <c r="J39" i="1"/>
  <c r="I287" i="1" l="1"/>
  <c r="J286" i="1"/>
  <c r="J40" i="1"/>
  <c r="I41" i="1"/>
  <c r="I196" i="1"/>
  <c r="J195" i="1"/>
  <c r="J114" i="1"/>
  <c r="I115" i="1"/>
  <c r="J41" i="1" l="1"/>
  <c r="I42" i="1"/>
  <c r="I116" i="1"/>
  <c r="J115" i="1"/>
  <c r="I197" i="1"/>
  <c r="J196" i="1"/>
  <c r="I288" i="1"/>
  <c r="J287" i="1"/>
  <c r="J288" i="1" l="1"/>
  <c r="I289" i="1"/>
  <c r="I117" i="1"/>
  <c r="J116" i="1"/>
  <c r="I43" i="1"/>
  <c r="J42" i="1"/>
  <c r="J197" i="1"/>
  <c r="I198" i="1"/>
  <c r="J117" i="1" l="1"/>
  <c r="I118" i="1"/>
  <c r="J198" i="1"/>
  <c r="I199" i="1"/>
  <c r="J289" i="1"/>
  <c r="I290" i="1"/>
  <c r="I44" i="1"/>
  <c r="J43" i="1"/>
  <c r="J199" i="1" l="1"/>
  <c r="I200" i="1"/>
  <c r="J44" i="1"/>
  <c r="I45" i="1"/>
  <c r="I291" i="1"/>
  <c r="J290" i="1"/>
  <c r="J118" i="1"/>
  <c r="I119" i="1"/>
  <c r="I201" i="1" l="1"/>
  <c r="J200" i="1"/>
  <c r="J291" i="1"/>
  <c r="I292" i="1"/>
  <c r="I120" i="1"/>
  <c r="J119" i="1"/>
  <c r="I46" i="1"/>
  <c r="J45" i="1"/>
  <c r="I121" i="1" l="1"/>
  <c r="J120" i="1"/>
  <c r="J201" i="1"/>
  <c r="I202" i="1"/>
  <c r="J292" i="1"/>
  <c r="I293" i="1"/>
  <c r="I47" i="1"/>
  <c r="J46" i="1"/>
  <c r="J47" i="1" l="1"/>
  <c r="I48" i="1"/>
  <c r="J202" i="1"/>
  <c r="I203" i="1"/>
  <c r="J293" i="1"/>
  <c r="I294" i="1"/>
  <c r="J121" i="1"/>
  <c r="I122" i="1"/>
  <c r="J122" i="1" l="1"/>
  <c r="I123" i="1"/>
  <c r="I49" i="1"/>
  <c r="J48" i="1"/>
  <c r="J203" i="1"/>
  <c r="I204" i="1"/>
  <c r="I295" i="1"/>
  <c r="J294" i="1"/>
  <c r="I50" i="1" l="1"/>
  <c r="J49" i="1"/>
  <c r="I296" i="1"/>
  <c r="J295" i="1"/>
  <c r="I124" i="1"/>
  <c r="J123" i="1"/>
  <c r="I205" i="1"/>
  <c r="J204" i="1"/>
  <c r="J296" i="1" l="1"/>
  <c r="I297" i="1"/>
  <c r="I206" i="1"/>
  <c r="J205" i="1"/>
  <c r="I125" i="1"/>
  <c r="J124" i="1"/>
  <c r="J50" i="1"/>
  <c r="I51" i="1"/>
  <c r="J206" i="1" l="1"/>
  <c r="I207" i="1"/>
  <c r="I298" i="1"/>
  <c r="J297" i="1"/>
  <c r="J51" i="1"/>
  <c r="I52" i="1"/>
  <c r="J125" i="1"/>
  <c r="I126" i="1"/>
  <c r="J126" i="1" l="1"/>
  <c r="I127" i="1"/>
  <c r="I299" i="1"/>
  <c r="J298" i="1"/>
  <c r="I53" i="1"/>
  <c r="J52" i="1"/>
  <c r="I208" i="1"/>
  <c r="J207" i="1"/>
  <c r="I209" i="1" l="1"/>
  <c r="J208" i="1"/>
  <c r="J299" i="1"/>
  <c r="I300" i="1"/>
  <c r="I128" i="1"/>
  <c r="J127" i="1"/>
  <c r="I54" i="1"/>
  <c r="J53" i="1"/>
  <c r="J300" i="1" l="1"/>
  <c r="I301" i="1"/>
  <c r="I55" i="1"/>
  <c r="J54" i="1"/>
  <c r="J128" i="1"/>
  <c r="I129" i="1"/>
  <c r="I210" i="1"/>
  <c r="J209" i="1"/>
  <c r="J210" i="1" l="1"/>
  <c r="I211" i="1"/>
  <c r="J55" i="1"/>
  <c r="I56" i="1"/>
  <c r="I130" i="1"/>
  <c r="J129" i="1"/>
  <c r="I302" i="1"/>
  <c r="J301" i="1"/>
  <c r="J56" i="1" l="1"/>
  <c r="I57" i="1"/>
  <c r="I303" i="1"/>
  <c r="J302" i="1"/>
  <c r="J211" i="1"/>
  <c r="I212" i="1"/>
  <c r="I131" i="1"/>
  <c r="J130" i="1"/>
  <c r="J131" i="1" l="1"/>
  <c r="I132" i="1"/>
  <c r="I304" i="1"/>
  <c r="J303" i="1"/>
  <c r="I213" i="1"/>
  <c r="J212" i="1"/>
  <c r="I58" i="1"/>
  <c r="J57" i="1"/>
  <c r="I59" i="1" l="1"/>
  <c r="J58" i="1"/>
  <c r="J304" i="1"/>
  <c r="I305" i="1"/>
  <c r="J132" i="1"/>
  <c r="I133" i="1"/>
  <c r="I214" i="1"/>
  <c r="J213" i="1"/>
  <c r="J305" i="1" l="1"/>
  <c r="I306" i="1"/>
  <c r="J214" i="1"/>
  <c r="I215" i="1"/>
  <c r="I134" i="1"/>
  <c r="J133" i="1"/>
  <c r="J59" i="1"/>
  <c r="I60" i="1"/>
  <c r="J60" i="1" l="1"/>
  <c r="I61" i="1"/>
  <c r="J215" i="1"/>
  <c r="I216" i="1"/>
  <c r="I307" i="1"/>
  <c r="J306" i="1"/>
  <c r="I135" i="1"/>
  <c r="J134" i="1"/>
  <c r="J135" i="1" l="1"/>
  <c r="I136" i="1"/>
  <c r="I62" i="1"/>
  <c r="J61" i="1"/>
  <c r="I217" i="1"/>
  <c r="J216" i="1"/>
  <c r="J307" i="1"/>
  <c r="I308" i="1"/>
  <c r="J62" i="1" l="1"/>
  <c r="I63" i="1"/>
  <c r="J136" i="1"/>
  <c r="I137" i="1"/>
  <c r="J308" i="1"/>
  <c r="I309" i="1"/>
  <c r="I218" i="1"/>
  <c r="J217" i="1"/>
  <c r="J218" i="1" l="1"/>
  <c r="I219" i="1"/>
  <c r="I310" i="1"/>
  <c r="J309" i="1"/>
  <c r="I138" i="1"/>
  <c r="J137" i="1"/>
  <c r="J63" i="1"/>
  <c r="I64" i="1"/>
  <c r="I311" i="1" l="1"/>
  <c r="J310" i="1"/>
  <c r="J219" i="1"/>
  <c r="I220" i="1"/>
  <c r="I65" i="1"/>
  <c r="J64" i="1"/>
  <c r="I139" i="1"/>
  <c r="J138" i="1"/>
  <c r="I221" i="1" l="1"/>
  <c r="J220" i="1"/>
  <c r="J139" i="1"/>
  <c r="I140" i="1"/>
  <c r="I66" i="1"/>
  <c r="J65" i="1"/>
  <c r="I312" i="1"/>
  <c r="J311" i="1"/>
  <c r="J140" i="1" l="1"/>
  <c r="I141" i="1"/>
  <c r="J312" i="1"/>
  <c r="I313" i="1"/>
  <c r="J66" i="1"/>
  <c r="I67" i="1"/>
  <c r="J221" i="1"/>
  <c r="I222" i="1"/>
  <c r="J67" i="1" l="1"/>
  <c r="I68" i="1"/>
  <c r="J222" i="1"/>
  <c r="I223" i="1"/>
  <c r="J313" i="1"/>
  <c r="I314" i="1"/>
  <c r="I142" i="1"/>
  <c r="J141" i="1"/>
  <c r="I315" i="1" l="1"/>
  <c r="J314" i="1"/>
  <c r="I224" i="1"/>
  <c r="J223" i="1"/>
  <c r="I143" i="1"/>
  <c r="J142" i="1"/>
  <c r="J68" i="1"/>
  <c r="I69" i="1"/>
  <c r="I225" i="1" l="1"/>
  <c r="J224" i="1"/>
  <c r="I70" i="1"/>
  <c r="J69" i="1"/>
  <c r="I144" i="1"/>
  <c r="J143" i="1"/>
  <c r="J315" i="1"/>
  <c r="I316" i="1"/>
  <c r="J316" i="1" l="1"/>
  <c r="I317" i="1"/>
  <c r="I71" i="1"/>
  <c r="J70" i="1"/>
  <c r="J144" i="1"/>
  <c r="I145" i="1"/>
  <c r="I226" i="1"/>
  <c r="J225" i="1"/>
  <c r="J226" i="1" l="1"/>
  <c r="I227" i="1"/>
  <c r="J145" i="1"/>
  <c r="I146" i="1"/>
  <c r="J71" i="1"/>
  <c r="I72" i="1"/>
  <c r="I318" i="1"/>
  <c r="J317" i="1"/>
  <c r="I147" i="1" l="1"/>
  <c r="J146" i="1"/>
  <c r="I228" i="1"/>
  <c r="J227" i="1"/>
  <c r="I319" i="1"/>
  <c r="J318" i="1"/>
  <c r="J72" i="1"/>
  <c r="I73" i="1"/>
  <c r="I229" i="1" l="1"/>
  <c r="J228" i="1"/>
  <c r="I74" i="1"/>
  <c r="J73" i="1"/>
  <c r="I320" i="1"/>
  <c r="J319" i="1"/>
  <c r="I148" i="1"/>
  <c r="J147" i="1"/>
  <c r="I75" i="1" l="1"/>
  <c r="J75" i="1" s="1"/>
  <c r="J74" i="1"/>
  <c r="J148" i="1"/>
  <c r="I149" i="1"/>
  <c r="J320" i="1"/>
  <c r="I321" i="1"/>
  <c r="I230" i="1"/>
  <c r="J229" i="1"/>
  <c r="J230" i="1" l="1"/>
  <c r="I231" i="1"/>
  <c r="I150" i="1"/>
  <c r="J149" i="1"/>
  <c r="J321" i="1"/>
  <c r="I322" i="1"/>
  <c r="I151" i="1" l="1"/>
  <c r="J150" i="1"/>
  <c r="J231" i="1"/>
  <c r="I232" i="1"/>
  <c r="I323" i="1"/>
  <c r="J322" i="1"/>
  <c r="I233" i="1" l="1"/>
  <c r="J232" i="1"/>
  <c r="J323" i="1"/>
  <c r="I324" i="1"/>
  <c r="J151" i="1"/>
  <c r="I152" i="1"/>
  <c r="J324" i="1" l="1"/>
  <c r="I325" i="1"/>
  <c r="J152" i="1"/>
  <c r="I153" i="1"/>
  <c r="I234" i="1"/>
  <c r="J233" i="1"/>
  <c r="I326" i="1" l="1"/>
  <c r="J325" i="1"/>
  <c r="I154" i="1"/>
  <c r="J153" i="1"/>
  <c r="J234" i="1"/>
  <c r="I235" i="1"/>
  <c r="I155" i="1" l="1"/>
  <c r="J155" i="1" s="1"/>
  <c r="J154" i="1"/>
  <c r="J235" i="1"/>
  <c r="I236" i="1"/>
  <c r="I327" i="1"/>
  <c r="J326" i="1"/>
  <c r="I237" i="1" l="1"/>
  <c r="J236" i="1"/>
  <c r="I328" i="1"/>
  <c r="J327" i="1"/>
  <c r="J328" i="1" l="1"/>
  <c r="I329" i="1"/>
  <c r="I238" i="1"/>
  <c r="J237" i="1"/>
  <c r="J238" i="1" l="1"/>
  <c r="I239" i="1"/>
  <c r="J329" i="1"/>
  <c r="I330" i="1"/>
  <c r="I331" i="1" l="1"/>
  <c r="J330" i="1"/>
  <c r="J239" i="1"/>
  <c r="I240" i="1"/>
  <c r="I241" i="1" l="1"/>
  <c r="J240" i="1"/>
  <c r="J331" i="1"/>
  <c r="I332" i="1"/>
  <c r="J332" i="1" l="1"/>
  <c r="I333" i="1"/>
  <c r="I242" i="1"/>
  <c r="J241" i="1"/>
  <c r="I243" i="1" l="1"/>
  <c r="J242" i="1"/>
  <c r="I334" i="1"/>
  <c r="J333" i="1"/>
  <c r="I335" i="1" l="1"/>
  <c r="J334" i="1"/>
  <c r="J243" i="1"/>
  <c r="I244" i="1"/>
  <c r="J244" i="1" l="1"/>
  <c r="I245" i="1"/>
  <c r="J245" i="1" s="1"/>
  <c r="I336" i="1"/>
  <c r="J335" i="1"/>
  <c r="J336" i="1" l="1"/>
  <c r="I337" i="1"/>
  <c r="J337" i="1" l="1"/>
  <c r="I338" i="1"/>
  <c r="I339" i="1" l="1"/>
  <c r="J338" i="1"/>
  <c r="J339" i="1" l="1"/>
  <c r="I340" i="1"/>
  <c r="J340" i="1" l="1"/>
  <c r="I341" i="1"/>
  <c r="I342" i="1" l="1"/>
  <c r="J341" i="1"/>
  <c r="I343" i="1" l="1"/>
  <c r="J342" i="1"/>
  <c r="I344" i="1" l="1"/>
  <c r="J343" i="1"/>
  <c r="J344" i="1" l="1"/>
  <c r="I345" i="1"/>
  <c r="J345" i="1" l="1"/>
  <c r="I346" i="1"/>
  <c r="I347" i="1" l="1"/>
  <c r="J346" i="1"/>
  <c r="J347" i="1" l="1"/>
  <c r="I348" i="1"/>
  <c r="J348" i="1" l="1"/>
  <c r="I349" i="1"/>
  <c r="I350" i="1" l="1"/>
  <c r="J349" i="1"/>
  <c r="I351" i="1" l="1"/>
  <c r="J350" i="1"/>
  <c r="I352" i="1" l="1"/>
  <c r="J351" i="1"/>
  <c r="J352" i="1" l="1"/>
  <c r="I353" i="1"/>
  <c r="J353" i="1" l="1"/>
  <c r="I354" i="1"/>
  <c r="I355" i="1" l="1"/>
  <c r="J354" i="1"/>
  <c r="J355" i="1" l="1"/>
  <c r="I356" i="1"/>
  <c r="J356" i="1" l="1"/>
  <c r="I357" i="1"/>
  <c r="I358" i="1" l="1"/>
  <c r="J357" i="1"/>
  <c r="I359" i="1" l="1"/>
  <c r="J358" i="1"/>
  <c r="I360" i="1" l="1"/>
  <c r="J359" i="1"/>
  <c r="J360" i="1" l="1"/>
  <c r="I361" i="1"/>
  <c r="J361" i="1" l="1"/>
  <c r="I362" i="1"/>
  <c r="I363" i="1" l="1"/>
  <c r="J362" i="1"/>
  <c r="J363" i="1" l="1"/>
  <c r="I364" i="1"/>
  <c r="J364" i="1" l="1"/>
  <c r="I365" i="1"/>
  <c r="I366" i="1" l="1"/>
  <c r="J365" i="1"/>
  <c r="I367" i="1" l="1"/>
  <c r="J366" i="1"/>
  <c r="I368" i="1" l="1"/>
  <c r="J367" i="1"/>
  <c r="G373" i="1" l="1"/>
  <c r="J368" i="1"/>
  <c r="I373" i="1" l="1"/>
  <c r="N373" i="1"/>
  <c r="N465" i="1" s="1"/>
  <c r="P465" i="1" s="1"/>
  <c r="I374" i="1" l="1"/>
  <c r="J373" i="1"/>
  <c r="J374" i="1" l="1"/>
  <c r="I375" i="1"/>
  <c r="J375" i="1" l="1"/>
  <c r="I376" i="1"/>
  <c r="J376" i="1" l="1"/>
  <c r="I377" i="1"/>
  <c r="I378" i="1" l="1"/>
  <c r="J377" i="1"/>
  <c r="I379" i="1" l="1"/>
  <c r="J378" i="1"/>
  <c r="J379" i="1" l="1"/>
  <c r="I380" i="1"/>
  <c r="I381" i="1" l="1"/>
  <c r="J380" i="1"/>
  <c r="I382" i="1" l="1"/>
  <c r="J381" i="1"/>
  <c r="J382" i="1" l="1"/>
  <c r="I383" i="1"/>
  <c r="J383" i="1" l="1"/>
  <c r="I384" i="1"/>
  <c r="J384" i="1" l="1"/>
  <c r="I385" i="1"/>
  <c r="I386" i="1" l="1"/>
  <c r="J385" i="1"/>
  <c r="I387" i="1" l="1"/>
  <c r="J386" i="1"/>
  <c r="J387" i="1" l="1"/>
  <c r="I388" i="1"/>
  <c r="I389" i="1" l="1"/>
  <c r="J388" i="1"/>
  <c r="I390" i="1" l="1"/>
  <c r="J389" i="1"/>
  <c r="J390" i="1" l="1"/>
  <c r="I391" i="1"/>
  <c r="J391" i="1" l="1"/>
  <c r="I392" i="1"/>
  <c r="J392" i="1" l="1"/>
  <c r="I393" i="1"/>
  <c r="I394" i="1" l="1"/>
  <c r="J393" i="1"/>
  <c r="I395" i="1" l="1"/>
  <c r="J394" i="1"/>
  <c r="J395" i="1" l="1"/>
  <c r="I396" i="1"/>
  <c r="I397" i="1" l="1"/>
  <c r="J396" i="1"/>
  <c r="I398" i="1" l="1"/>
  <c r="J397" i="1"/>
  <c r="J398" i="1" l="1"/>
  <c r="I399" i="1"/>
  <c r="J399" i="1" l="1"/>
  <c r="I400" i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COMPORT</author>
    <author>NISE-COMPUTER</author>
  </authors>
  <commentList>
    <comment ref="M33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SR20200704009652740</t>
        </r>
      </text>
    </comment>
    <comment ref="L53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COMPORT:SR20200618009081726</t>
        </r>
      </text>
    </comment>
    <comment ref="L70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COMPORT:
SR</t>
        </r>
        <r>
          <rPr>
            <sz val="9"/>
            <color indexed="81"/>
            <rFont val="Tahoma"/>
            <family val="2"/>
          </rPr>
          <t>20200702009593265</t>
        </r>
      </text>
    </comment>
    <comment ref="L76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SR20200704009652339
</t>
        </r>
      </text>
    </comment>
    <comment ref="N766" authorId="1" shapeId="0" xr:uid="{4B145E10-1891-48C8-8F55-D9C5F5E58F60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212418083917
Rs 138</t>
        </r>
      </text>
    </comment>
    <comment ref="M91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SR20200703009632512</t>
        </r>
      </text>
    </comment>
    <comment ref="L120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SR20200704009656984</t>
        </r>
      </text>
    </comment>
    <comment ref="M120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SR20200704009656455</t>
        </r>
      </text>
    </comment>
    <comment ref="N1363" authorId="1" shapeId="0" xr:uid="{C2631D0E-18BA-4A91-9F35-68AFE1A16C72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3000</t>
        </r>
      </text>
    </comment>
    <comment ref="L1559" authorId="1" shapeId="0" xr:uid="{E16FB2DD-C269-40B1-8A68-D18A26B33150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SR20220511020916920</t>
        </r>
      </text>
    </comment>
    <comment ref="L1561" authorId="1" shapeId="0" xr:uid="{6BAE2E78-BF55-4F52-B813-064F7CA7256D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SR20220509020874255</t>
        </r>
      </text>
    </comment>
    <comment ref="M1561" authorId="1" shapeId="0" xr:uid="{261700EA-9534-45AA-9323-33BFDB51333D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SR20220509020874444</t>
        </r>
      </text>
    </comment>
    <comment ref="A1807" authorId="1" shapeId="0" xr:uid="{360AF5EF-3E01-4476-BF9E-12572A1D9EF8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T-03, Indra nagar colony, Tarcompany, near postoffice, jamshedpur-4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NISE-COMPUTER</author>
  </authors>
  <commentList>
    <comment ref="AL4" authorId="0" shapeId="0" xr:uid="{27BC59BC-84F8-4214-A026-C41023E60395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pampa</t>
        </r>
      </text>
    </comment>
    <comment ref="AP4" authorId="0" shapeId="0" xr:uid="{0F6B657F-A5D2-41E8-A245-2CAC203209C5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pampa</t>
        </r>
      </text>
    </comment>
    <comment ref="AT4" authorId="0" shapeId="0" xr:uid="{C705D62F-A0E4-4AC6-9A5E-B23E2B7EFC69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pampa</t>
        </r>
      </text>
    </comment>
    <comment ref="AX4" authorId="0" shapeId="0" xr:uid="{EE0E6AC2-67B2-4109-8E9D-2C2BE76EE635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pampa</t>
        </r>
      </text>
    </comment>
    <comment ref="BB4" authorId="0" shapeId="0" xr:uid="{1F282B3F-9B17-4051-840B-C28C097821AE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pampa</t>
        </r>
      </text>
    </comment>
    <comment ref="J5" authorId="0" shapeId="0" xr:uid="{EA00AE12-6ABD-45B4-9095-1D1F6605E073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
</t>
        </r>
      </text>
    </comment>
    <comment ref="F6" authorId="0" shapeId="0" xr:uid="{89EBEE10-7E18-4C2A-BF82-68626B2CD0D7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spice</t>
        </r>
      </text>
    </comment>
    <comment ref="Z6" authorId="0" shapeId="0" xr:uid="{AE3C7C3C-AB94-4210-AC8F-EA7F49B5B270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</t>
        </r>
      </text>
    </comment>
    <comment ref="AD6" authorId="0" shapeId="0" xr:uid="{C675F9B2-0800-4CEC-9AB8-F48325C685FE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</t>
        </r>
      </text>
    </comment>
    <comment ref="AH6" authorId="0" shapeId="0" xr:uid="{DE2C20EE-353D-45E1-99F5-7FB83DC123F6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</t>
        </r>
      </text>
    </comment>
    <comment ref="AL6" authorId="0" shapeId="0" xr:uid="{F803A6DA-7EF9-4C66-97E2-8F4B94C4209E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</t>
        </r>
      </text>
    </comment>
    <comment ref="AP6" authorId="0" shapeId="0" xr:uid="{2B18DE57-B5F8-456C-879D-E4BF9F5931C6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 sbi
</t>
        </r>
      </text>
    </comment>
    <comment ref="AT6" authorId="0" shapeId="0" xr:uid="{8CF7995F-1380-419E-B5AA-3B63B6CE92D3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 canara
</t>
        </r>
      </text>
    </comment>
    <comment ref="AX6" authorId="0" shapeId="0" xr:uid="{7AA767CC-E323-4566-8A11-9CB648459D1D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 canara
</t>
        </r>
      </text>
    </comment>
    <comment ref="BB6" authorId="0" shapeId="0" xr:uid="{13830B5F-A17C-44E0-904C-692E7F30B087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 sbi
</t>
        </r>
      </text>
    </comment>
    <comment ref="AT7" authorId="0" shapeId="0" xr:uid="{81CE83A1-9B7E-4158-8415-5F08AFB26493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 sbi</t>
        </r>
      </text>
    </comment>
    <comment ref="AX7" authorId="0" shapeId="0" xr:uid="{3E18BB27-55D1-4030-B612-31881937ACE1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 sbi</t>
        </r>
      </text>
    </comment>
    <comment ref="BB7" authorId="0" shapeId="0" xr:uid="{F8251D88-56B3-4819-81CD-B2B851E7BA3A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paytm sbi</t>
        </r>
      </text>
    </comment>
    <comment ref="AX14" authorId="0" shapeId="0" xr:uid="{12631FF4-714D-4968-9470-155BBD03B351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02-0050
</t>
        </r>
      </text>
    </comment>
    <comment ref="BB14" authorId="0" shapeId="0" xr:uid="{BC3C179C-F085-4539-AC4B-9BAD34E488F8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02-0050
</t>
        </r>
      </text>
    </comment>
    <comment ref="AL23" authorId="0" shapeId="0" xr:uid="{AB13DFCE-3A45-42EB-9C81-CADA07B08008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bike insurance</t>
        </r>
      </text>
    </comment>
    <comment ref="AP23" authorId="0" shapeId="0" xr:uid="{B97499AF-F84A-4544-976D-AE138A17D048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bike insurance</t>
        </r>
      </text>
    </comment>
    <comment ref="AT23" authorId="0" shapeId="0" xr:uid="{68C7475C-C603-457B-805C-51320906EFFC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bike insurance</t>
        </r>
      </text>
    </comment>
    <comment ref="AX23" authorId="0" shapeId="0" xr:uid="{52D821C3-EBD1-4760-AAA6-02D1276E33E8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bike insurance</t>
        </r>
      </text>
    </comment>
    <comment ref="BB23" authorId="0" shapeId="0" xr:uid="{D10B5A1F-7686-451C-AB29-B8096D841449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bike insurance</t>
        </r>
      </text>
    </comment>
  </commentList>
</comments>
</file>

<file path=xl/sharedStrings.xml><?xml version="1.0" encoding="utf-8"?>
<sst xmlns="http://schemas.openxmlformats.org/spreadsheetml/2006/main" count="10774" uniqueCount="5702">
  <si>
    <t>Date</t>
  </si>
  <si>
    <t>Name</t>
  </si>
  <si>
    <t>Sanjana Shree</t>
  </si>
  <si>
    <t>Sunil Kumar</t>
  </si>
  <si>
    <t>Puja Gorai</t>
  </si>
  <si>
    <t>Sukanti Devi</t>
  </si>
  <si>
    <t>Pratima Devi</t>
  </si>
  <si>
    <t>Kiran Tantubai</t>
  </si>
  <si>
    <t>Shefali Mahato</t>
  </si>
  <si>
    <t>Dipali Mahato</t>
  </si>
  <si>
    <t>Sunita Devi</t>
  </si>
  <si>
    <t>Amit Gorai</t>
  </si>
  <si>
    <t>Bikash Karua</t>
  </si>
  <si>
    <t>Sanchita Kumari</t>
  </si>
  <si>
    <t>y</t>
  </si>
  <si>
    <t>n</t>
  </si>
  <si>
    <t>Y</t>
  </si>
  <si>
    <t>APY</t>
  </si>
  <si>
    <t>Neelam Singh</t>
  </si>
  <si>
    <t>N</t>
  </si>
  <si>
    <t>Manoj Gupta</t>
  </si>
  <si>
    <t>Bishnu Gorai</t>
  </si>
  <si>
    <t>Sanjay Gorai</t>
  </si>
  <si>
    <t>Md Aftab Ansari</t>
  </si>
  <si>
    <t>Krishna Gorai</t>
  </si>
  <si>
    <t>Binit Nayak</t>
  </si>
  <si>
    <t>Goutam Mahato</t>
  </si>
  <si>
    <t>Purnima Tanti</t>
  </si>
  <si>
    <t>Seema Tanti</t>
  </si>
  <si>
    <t>Laxmi</t>
  </si>
  <si>
    <t>D</t>
  </si>
  <si>
    <t>Tarun Gorai</t>
  </si>
  <si>
    <t>Sandhya Dubey</t>
  </si>
  <si>
    <t>Noorjahan Perween</t>
  </si>
  <si>
    <t>Tanisha Gounder</t>
  </si>
  <si>
    <t>Rahul Gorai</t>
  </si>
  <si>
    <t>Ac No</t>
  </si>
  <si>
    <t>Uid</t>
  </si>
  <si>
    <t>Mob</t>
  </si>
  <si>
    <t>Open dt</t>
  </si>
  <si>
    <t>PAN</t>
  </si>
  <si>
    <t>345786855358</t>
  </si>
  <si>
    <t>LOCALITY</t>
  </si>
  <si>
    <t>BARINAGAR</t>
  </si>
  <si>
    <t>COLONY</t>
  </si>
  <si>
    <t>GHORABANDH</t>
  </si>
  <si>
    <t>RNGR</t>
  </si>
  <si>
    <t>SHAHNAZ BEGUM</t>
  </si>
  <si>
    <t>8409508277</t>
  </si>
  <si>
    <t>SOURAV PRASAD</t>
  </si>
  <si>
    <t>VIKASH KUMAR</t>
  </si>
  <si>
    <t>9294905023</t>
  </si>
  <si>
    <t>ROHIT KARMAKAR</t>
  </si>
  <si>
    <t>7970997741</t>
  </si>
  <si>
    <t>SURAJIT GORAI</t>
  </si>
  <si>
    <t>RUBI MAHATO</t>
  </si>
  <si>
    <t>VIJAY CHOUDHARY</t>
  </si>
  <si>
    <t>SANGITA DEVI</t>
  </si>
  <si>
    <t>MD ALIMUDDIN</t>
  </si>
  <si>
    <t>NILU SINGH</t>
  </si>
  <si>
    <t>BINOD PRASAD</t>
  </si>
  <si>
    <t>CHAMPA GORAI</t>
  </si>
  <si>
    <t>SIMA KHATOON</t>
  </si>
  <si>
    <t xml:space="preserve">SURAJ KUMAR </t>
  </si>
  <si>
    <t>SATISH KR CHAKRAM</t>
  </si>
  <si>
    <t>Mohan Lohar</t>
  </si>
  <si>
    <t xml:space="preserve">Uttam Mukhi </t>
  </si>
  <si>
    <t>Madhusudhan Behar</t>
  </si>
  <si>
    <t>Bharat Sahu</t>
  </si>
  <si>
    <t>Kavita Devi</t>
  </si>
  <si>
    <t>Anand Gorai</t>
  </si>
  <si>
    <t>E Hemlatha</t>
  </si>
  <si>
    <t>Chhanda Ghosh</t>
  </si>
  <si>
    <t>Shivnath Behra</t>
  </si>
  <si>
    <t>Goma Suren</t>
  </si>
  <si>
    <t>Sanjay Hembram</t>
  </si>
  <si>
    <t>Suraj mandal</t>
  </si>
  <si>
    <t>Gopal Ojha</t>
  </si>
  <si>
    <t>P Shankar Rao</t>
  </si>
  <si>
    <t>Budhram Mukhi</t>
  </si>
  <si>
    <t>Sandhya Devi</t>
  </si>
  <si>
    <t>Akash Suren</t>
  </si>
  <si>
    <t xml:space="preserve">Dheeraj Mandal </t>
  </si>
  <si>
    <t>Sukhram Soren</t>
  </si>
  <si>
    <t>Moumita Roy Choudhary</t>
  </si>
  <si>
    <t>Neha Pandey</t>
  </si>
  <si>
    <t>Kritibash Mahato</t>
  </si>
  <si>
    <t>Rajib Kumar Mahato</t>
  </si>
  <si>
    <t>Azad Khan</t>
  </si>
  <si>
    <t>Rajesh Kundu</t>
  </si>
  <si>
    <t>Anandini Topno</t>
  </si>
  <si>
    <t>Mahima Tigga</t>
  </si>
  <si>
    <t>Urmila karmakar</t>
  </si>
  <si>
    <t>Chandra kanta</t>
  </si>
  <si>
    <t>Puja gorai</t>
  </si>
  <si>
    <t>Chandni Devi</t>
  </si>
  <si>
    <t xml:space="preserve">Shubha </t>
  </si>
  <si>
    <t xml:space="preserve">Divyanka Goswami </t>
  </si>
  <si>
    <t>Md Tauqeer Kaisar</t>
  </si>
  <si>
    <t>Munni Devi</t>
  </si>
  <si>
    <t>Rukmani Mahato</t>
  </si>
  <si>
    <t>Mallika Mahato</t>
  </si>
  <si>
    <t>Abhilasha Jha</t>
  </si>
  <si>
    <t>Pratap Kr. Gorai</t>
  </si>
  <si>
    <t>Dipali Gorai</t>
  </si>
  <si>
    <t>Shahin Perween</t>
  </si>
  <si>
    <t>Jhumparani Shaw</t>
  </si>
  <si>
    <t>Rekha Devi</t>
  </si>
  <si>
    <t>Kalpana Gorai</t>
  </si>
  <si>
    <t>Neha Kumar Soni</t>
  </si>
  <si>
    <t>Simran Kaur</t>
  </si>
  <si>
    <t>Hira Muni Munda</t>
  </si>
  <si>
    <t>Sandhya Rani</t>
  </si>
  <si>
    <t>Priyanka nan deoiyar</t>
  </si>
  <si>
    <t>Supriya Patro</t>
  </si>
  <si>
    <t>Shama Perween</t>
  </si>
  <si>
    <t>Uttam Kumar</t>
  </si>
  <si>
    <t>Rabi Shankar Dey</t>
  </si>
  <si>
    <t>Archana Sharma</t>
  </si>
  <si>
    <t>Asama begum</t>
  </si>
  <si>
    <t>Suman Raj</t>
  </si>
  <si>
    <t>Prakash Sharma</t>
  </si>
  <si>
    <t>Punita Kumari</t>
  </si>
  <si>
    <t>Sunita Prajapati</t>
  </si>
  <si>
    <t>Tarun Kr Singh dev</t>
  </si>
  <si>
    <t>Sita Thakur</t>
  </si>
  <si>
    <t>Syed Hasan Ali</t>
  </si>
  <si>
    <t>Syed Akhtar Ali</t>
  </si>
  <si>
    <t>Usha Singh</t>
  </si>
  <si>
    <t>Arti Kumari</t>
  </si>
  <si>
    <t>Mohammad Miraj</t>
  </si>
  <si>
    <t xml:space="preserve">Alomati Mahato </t>
  </si>
  <si>
    <t>md Sharwar  Hussain</t>
  </si>
  <si>
    <t xml:space="preserve">Ayush Kumar </t>
  </si>
  <si>
    <t>Rishav Singh Sardar</t>
  </si>
  <si>
    <t>Arunima Basu Chowdhary</t>
  </si>
  <si>
    <t>Subendhu Gorai</t>
  </si>
  <si>
    <t>Md Zainul Zahidelin</t>
  </si>
  <si>
    <t>Radhika Devi</t>
  </si>
  <si>
    <t>Parasnath Prasad</t>
  </si>
  <si>
    <t>Subbahi Kumar</t>
  </si>
  <si>
    <t>Laxmi Prasad</t>
  </si>
  <si>
    <t>Geeta Devi</t>
  </si>
  <si>
    <t>Basanti Bera</t>
  </si>
  <si>
    <t>Mandeep Kour Shidhu</t>
  </si>
  <si>
    <t>Pranab Paul</t>
  </si>
  <si>
    <t>Snigndha Ghosh</t>
  </si>
  <si>
    <t>Sumit Kr. Jaiswal</t>
  </si>
  <si>
    <t>Sabita Kumari</t>
  </si>
  <si>
    <t>Gayatri Kumari</t>
  </si>
  <si>
    <t>Munna Munda</t>
  </si>
  <si>
    <t>Pawan Kumar</t>
  </si>
  <si>
    <t>Shoaib Khan</t>
  </si>
  <si>
    <t>Manshi Sharma</t>
  </si>
  <si>
    <t xml:space="preserve">Tanya </t>
  </si>
  <si>
    <t>Kashish Sharma</t>
  </si>
  <si>
    <t>Annu Devi</t>
  </si>
  <si>
    <t>Mobasher Zaufashan</t>
  </si>
  <si>
    <t>Rounak Biswas</t>
  </si>
  <si>
    <t>Meera Singh</t>
  </si>
  <si>
    <t>Brijesh Singh</t>
  </si>
  <si>
    <t>Nikhat Perween</t>
  </si>
  <si>
    <t>Savitri Kumari</t>
  </si>
  <si>
    <t>Shahid Nazim</t>
  </si>
  <si>
    <t>Anita Devi</t>
  </si>
  <si>
    <t>Neha Kumari Prasad</t>
  </si>
  <si>
    <t>Ujjwal Kumar Prasad</t>
  </si>
  <si>
    <t>jasmin soren</t>
  </si>
  <si>
    <t>Gulin Kaur</t>
  </si>
  <si>
    <t>Kishan Kumar Singn</t>
  </si>
  <si>
    <t>Sanjay Kumar</t>
  </si>
  <si>
    <t>Satyajit Mahato</t>
  </si>
  <si>
    <t>Suruchi Kumari</t>
  </si>
  <si>
    <t>Syam Sunder Sonar</t>
  </si>
  <si>
    <t>Ajay Mahato</t>
  </si>
  <si>
    <t>Nisha Sharma</t>
  </si>
  <si>
    <t>Natun Devi</t>
  </si>
  <si>
    <t>Beauti Kumari</t>
  </si>
  <si>
    <t>Sandhya Mahato</t>
  </si>
  <si>
    <t>Usha Devi</t>
  </si>
  <si>
    <t>Shahbana Perween</t>
  </si>
  <si>
    <t>Dipa Munda</t>
  </si>
  <si>
    <t>Parmehwar Munda</t>
  </si>
  <si>
    <t>Md Rijwana</t>
  </si>
  <si>
    <t>Jitendra Das</t>
  </si>
  <si>
    <t>Pritha Sahu</t>
  </si>
  <si>
    <t>Putul sarkar</t>
  </si>
  <si>
    <t>Reena Nayak</t>
  </si>
  <si>
    <t>Sakuntala</t>
  </si>
  <si>
    <t>Mittu Mishra</t>
  </si>
  <si>
    <t>Ashwini Kumari</t>
  </si>
  <si>
    <t>Rita Devi</t>
  </si>
  <si>
    <t>Puja Kumari</t>
  </si>
  <si>
    <t>Radha Devi</t>
  </si>
  <si>
    <t>Nikita Kumari</t>
  </si>
  <si>
    <t>Soha Nayak</t>
  </si>
  <si>
    <t>Jasaoda Devi</t>
  </si>
  <si>
    <t>Shanti Sahu</t>
  </si>
  <si>
    <t>Rina mishra</t>
  </si>
  <si>
    <t>Lakshmi Karmakar</t>
  </si>
  <si>
    <t>Malti Sarkar</t>
  </si>
  <si>
    <t>Md Samim</t>
  </si>
  <si>
    <t>Sashi Sahu</t>
  </si>
  <si>
    <t>Robbai Singh</t>
  </si>
  <si>
    <t>Sadhna Mahato</t>
  </si>
  <si>
    <t>Tiyanti Mahato</t>
  </si>
  <si>
    <t xml:space="preserve">Gangadhar Mahato </t>
  </si>
  <si>
    <t>Ranjana Devi</t>
  </si>
  <si>
    <t>Deep Shikha Tantubai</t>
  </si>
  <si>
    <t>Kiran Devi</t>
  </si>
  <si>
    <t>Tijomani Tantubai</t>
  </si>
  <si>
    <t>Kumari Bisakha Tantubai</t>
  </si>
  <si>
    <t>Sabita Devi</t>
  </si>
  <si>
    <t>Shobha Singh</t>
  </si>
  <si>
    <t>Mira Devi</t>
  </si>
  <si>
    <t>Divya Singh</t>
  </si>
  <si>
    <t>Nasrin Begum</t>
  </si>
  <si>
    <t>Sanjay Karmakar</t>
  </si>
  <si>
    <t>Madhusudan Tiwary</t>
  </si>
  <si>
    <t>Shitla Gorai</t>
  </si>
  <si>
    <t>Neha Kumari</t>
  </si>
  <si>
    <t>Jyotsna Gorai</t>
  </si>
  <si>
    <t>Pushpa karmakar</t>
  </si>
  <si>
    <t>Madhu Sarkar</t>
  </si>
  <si>
    <t>Rani Gorai</t>
  </si>
  <si>
    <t>Sunita Gorai</t>
  </si>
  <si>
    <t>Saraswati Ganguly</t>
  </si>
  <si>
    <t>Binita Devi</t>
  </si>
  <si>
    <t>Soma Sinha</t>
  </si>
  <si>
    <t>Punam Devi</t>
  </si>
  <si>
    <t>Shakila Begum</t>
  </si>
  <si>
    <t>Nisha Devi</t>
  </si>
  <si>
    <t>Sukhdev Singh</t>
  </si>
  <si>
    <t>Falguni Maity</t>
  </si>
  <si>
    <t>Shanti Devi</t>
  </si>
  <si>
    <t>Pinky Devi</t>
  </si>
  <si>
    <t xml:space="preserve">Rina Pramanik </t>
  </si>
  <si>
    <t>Sumitra Pramanik</t>
  </si>
  <si>
    <t>Putun Mahato</t>
  </si>
  <si>
    <t>Mona Singh Sardar</t>
  </si>
  <si>
    <t>Soni Devi</t>
  </si>
  <si>
    <t>Chinta Devi</t>
  </si>
  <si>
    <t>Sumitra Das</t>
  </si>
  <si>
    <t>Jhuma Khamri</t>
  </si>
  <si>
    <t>Sandhya Khamri</t>
  </si>
  <si>
    <t>Tutun Khamri</t>
  </si>
  <si>
    <t>Saraswati Khamri</t>
  </si>
  <si>
    <t>Sushila Nag</t>
  </si>
  <si>
    <t>Basanti Nag</t>
  </si>
  <si>
    <t>Nisha Munda</t>
  </si>
  <si>
    <t>Swapna Kundu</t>
  </si>
  <si>
    <t>Laxmi Gorai</t>
  </si>
  <si>
    <t>Sangita Devi</t>
  </si>
  <si>
    <t>Gulabi Sardar</t>
  </si>
  <si>
    <t>China Dey</t>
  </si>
  <si>
    <t>Sarathi Karmakar</t>
  </si>
  <si>
    <t>Rakhi Mahato</t>
  </si>
  <si>
    <t>puja Kumari</t>
  </si>
  <si>
    <t>Laxmi Hansda</t>
  </si>
  <si>
    <t>Maya Devi Pandey</t>
  </si>
  <si>
    <t>Anupama Joseph</t>
  </si>
  <si>
    <t>Nitu Kumari</t>
  </si>
  <si>
    <t>Meena Devi</t>
  </si>
  <si>
    <t>Rekha Majumdar</t>
  </si>
  <si>
    <t>Pano Tantubai</t>
  </si>
  <si>
    <t>Shila Dutta</t>
  </si>
  <si>
    <t>Manju karmakar</t>
  </si>
  <si>
    <t>Sujata Jana</t>
  </si>
  <si>
    <t>Putul Jana</t>
  </si>
  <si>
    <t>Anusua jana</t>
  </si>
  <si>
    <t>Sweta Jana</t>
  </si>
  <si>
    <t>Nandini jana</t>
  </si>
  <si>
    <t>Edna Toppo</t>
  </si>
  <si>
    <t>Anita Sandil</t>
  </si>
  <si>
    <t>Pushplata Sandil</t>
  </si>
  <si>
    <t>Kalpana Jana</t>
  </si>
  <si>
    <t>Shankar Sandil</t>
  </si>
  <si>
    <t>Puspa Sandil</t>
  </si>
  <si>
    <t>Kailash Sagar</t>
  </si>
  <si>
    <t>Anjana Goswami</t>
  </si>
  <si>
    <t>Chandana Das</t>
  </si>
  <si>
    <t>Sunita Das</t>
  </si>
  <si>
    <t>Madhumita Das</t>
  </si>
  <si>
    <t>Sangeeta Joseph</t>
  </si>
  <si>
    <t>Alizabeth Solomon</t>
  </si>
  <si>
    <t>Jospin Solemon</t>
  </si>
  <si>
    <t>Barsa Maity</t>
  </si>
  <si>
    <t>Pratima Sinha</t>
  </si>
  <si>
    <t>Bela Sinha</t>
  </si>
  <si>
    <t>Sarjit Singh</t>
  </si>
  <si>
    <t>Kajol Munda</t>
  </si>
  <si>
    <t>Deepa Kachchhap</t>
  </si>
  <si>
    <t>Balwir Kour</t>
  </si>
  <si>
    <t>sandhya Munda</t>
  </si>
  <si>
    <t>Sharbani Das</t>
  </si>
  <si>
    <t>Pinky Das</t>
  </si>
  <si>
    <t>Mihima Kumari</t>
  </si>
  <si>
    <t>Rohit Tantubai</t>
  </si>
  <si>
    <t>Hardeep Kaur</t>
  </si>
  <si>
    <t>Simran Singh</t>
  </si>
  <si>
    <t>Anita Gope</t>
  </si>
  <si>
    <t>Ranu Mahanty</t>
  </si>
  <si>
    <t>Kalpna Devi</t>
  </si>
  <si>
    <t>Rani Karmakar</t>
  </si>
  <si>
    <t>Dolon Pramanik</t>
  </si>
  <si>
    <t>Sakuntala Karmakar</t>
  </si>
  <si>
    <t>Madhuri Devi</t>
  </si>
  <si>
    <t>Rarvati Sandil</t>
  </si>
  <si>
    <t>Puja Kumari Gupta</t>
  </si>
  <si>
    <t xml:space="preserve">Nisha Upadhyay </t>
  </si>
  <si>
    <t>Khushbu Upadhyay</t>
  </si>
  <si>
    <t>Lalita Devi</t>
  </si>
  <si>
    <t>Shiv Shankar Thakur</t>
  </si>
  <si>
    <t>Manju Devi</t>
  </si>
  <si>
    <t>Basmoti Ruhidas</t>
  </si>
  <si>
    <t>Balika Gorai</t>
  </si>
  <si>
    <t>Dipmala Devi</t>
  </si>
  <si>
    <t>Anita  Gorai</t>
  </si>
  <si>
    <t>Shibu Singh</t>
  </si>
  <si>
    <t>Anisha Begum</t>
  </si>
  <si>
    <t>Kaushalya Devi</t>
  </si>
  <si>
    <t>Sina Kumari</t>
  </si>
  <si>
    <t>Anjali Devi</t>
  </si>
  <si>
    <t>Sunita Tahakur</t>
  </si>
  <si>
    <t>Gudia Gope</t>
  </si>
  <si>
    <t xml:space="preserve">Putul Gope </t>
  </si>
  <si>
    <t>Laxshmi Hansda</t>
  </si>
  <si>
    <t>Hina Sardar</t>
  </si>
  <si>
    <t>Tiya Singh</t>
  </si>
  <si>
    <t>Deepak Kumar Singh</t>
  </si>
  <si>
    <t>Suku Rani Gorai</t>
  </si>
  <si>
    <t>Nisha Thakur</t>
  </si>
  <si>
    <t>Shilpa Sony</t>
  </si>
  <si>
    <t>Konka Gope</t>
  </si>
  <si>
    <t>Mahadevi Malwa</t>
  </si>
  <si>
    <t>sarita Kumari</t>
  </si>
  <si>
    <t>Bhadu Tantubai</t>
  </si>
  <si>
    <t>Bharti Gorai</t>
  </si>
  <si>
    <t>Jayasudha G</t>
  </si>
  <si>
    <t>Shobha Devi</t>
  </si>
  <si>
    <t>Nirmala Devi</t>
  </si>
  <si>
    <t>Kavita Das</t>
  </si>
  <si>
    <t>Kiran Srivastava</t>
  </si>
  <si>
    <t xml:space="preserve">Bhawani </t>
  </si>
  <si>
    <t>Sumitra Roy</t>
  </si>
  <si>
    <t>Saraswati Gorai</t>
  </si>
  <si>
    <t>Harjeet kour</t>
  </si>
  <si>
    <t>Putul Mandal</t>
  </si>
  <si>
    <t>Mamata Mnadal</t>
  </si>
  <si>
    <t>Simran Pal Kaur</t>
  </si>
  <si>
    <t>Rajendra Prasad Poddar</t>
  </si>
  <si>
    <t xml:space="preserve">D Lavanya </t>
  </si>
  <si>
    <t>Indrawati</t>
  </si>
  <si>
    <t>Rupa Ghosh</t>
  </si>
  <si>
    <t>Rita Das</t>
  </si>
  <si>
    <t>Kalpana Das</t>
  </si>
  <si>
    <t>Shikha Pandey</t>
  </si>
  <si>
    <t>Shilpa Devi</t>
  </si>
  <si>
    <t>Ritu Mahato</t>
  </si>
  <si>
    <t>Bhavani Mahato</t>
  </si>
  <si>
    <t>Suresh Bhumij</t>
  </si>
  <si>
    <t>Tolat parveen</t>
  </si>
  <si>
    <t>Jonaid Akhtar</t>
  </si>
  <si>
    <t>Fultusi Gorai</t>
  </si>
  <si>
    <t>Fekani Devi</t>
  </si>
  <si>
    <t>Usha Gorai</t>
  </si>
  <si>
    <t>Janardan Nayak</t>
  </si>
  <si>
    <t>Chhutu Ruhidas</t>
  </si>
  <si>
    <t>Niyati Gorai</t>
  </si>
  <si>
    <t>Shanti Mahato</t>
  </si>
  <si>
    <t>Gandheswari Gorai</t>
  </si>
  <si>
    <t>Mamta Mandal</t>
  </si>
  <si>
    <t>Sanjay Das</t>
  </si>
  <si>
    <t>Huzaipa Khalid</t>
  </si>
  <si>
    <t>Saraswati Soren</t>
  </si>
  <si>
    <t>Rinki Giri</t>
  </si>
  <si>
    <t>Komal Priya</t>
  </si>
  <si>
    <t>Usha Sunani</t>
  </si>
  <si>
    <t>uday Hansda</t>
  </si>
  <si>
    <t>Sudha Jyoti Kumari</t>
  </si>
  <si>
    <t>Shankar Sunani</t>
  </si>
  <si>
    <t>Raj Kour</t>
  </si>
  <si>
    <t>Aman Preet kaur</t>
  </si>
  <si>
    <t>Gurdeep Singh</t>
  </si>
  <si>
    <t>Kiran verma</t>
  </si>
  <si>
    <t>Tumpa Gorai</t>
  </si>
  <si>
    <t>Pratima Gorai</t>
  </si>
  <si>
    <t>Manju Gorai</t>
  </si>
  <si>
    <t>Pintu Kumar</t>
  </si>
  <si>
    <t>Shreya Das</t>
  </si>
  <si>
    <t>Tapasi Das</t>
  </si>
  <si>
    <t>China Gorai</t>
  </si>
  <si>
    <t>Reshmi Devi</t>
  </si>
  <si>
    <t>Jitendar san</t>
  </si>
  <si>
    <t>Kabita Ghosh</t>
  </si>
  <si>
    <t>Pari Nayak</t>
  </si>
  <si>
    <t>Shobha Tripathy</t>
  </si>
  <si>
    <t>Namita Das</t>
  </si>
  <si>
    <t>Arati Devi</t>
  </si>
  <si>
    <t>Suchitra Pandey</t>
  </si>
  <si>
    <t>Swati Kumari</t>
  </si>
  <si>
    <t>Akash Ram</t>
  </si>
  <si>
    <t>Dolly Devi</t>
  </si>
  <si>
    <t>Harpreet Kaur  Bhambra</t>
  </si>
  <si>
    <t xml:space="preserve">Anita Rao </t>
  </si>
  <si>
    <t>Renu Devi</t>
  </si>
  <si>
    <t>Sushmita Kumar Sen</t>
  </si>
  <si>
    <t>Presa Sony</t>
  </si>
  <si>
    <t>Bejamin Soy</t>
  </si>
  <si>
    <t xml:space="preserve">Tony Davis </t>
  </si>
  <si>
    <t>Raj Kumari Devi</t>
  </si>
  <si>
    <t>Khushbu</t>
  </si>
  <si>
    <t>Puspa Gorai</t>
  </si>
  <si>
    <t>Pinkey Gorai</t>
  </si>
  <si>
    <t>S Bhanu</t>
  </si>
  <si>
    <t>Nazia Tabassum</t>
  </si>
  <si>
    <t>Pashupati Gorai</t>
  </si>
  <si>
    <t>Kalyani Ruhidas</t>
  </si>
  <si>
    <t>Namita Singh</t>
  </si>
  <si>
    <t>Archana Tewary</t>
  </si>
  <si>
    <t>Samsoon Nisha</t>
  </si>
  <si>
    <t>Suclochana Pramanik</t>
  </si>
  <si>
    <t>Wajda Mehboob Ansari</t>
  </si>
  <si>
    <t>Mayna Pramanik</t>
  </si>
  <si>
    <t>Rinkey Devi</t>
  </si>
  <si>
    <t>Nandi Sawaya</t>
  </si>
  <si>
    <t>Geeta Sawaya</t>
  </si>
  <si>
    <t>Priyanka Sawaya</t>
  </si>
  <si>
    <t xml:space="preserve"> poonam Verma </t>
  </si>
  <si>
    <t>Riya Mukherjee</t>
  </si>
  <si>
    <t>Purnima Mukherjee</t>
  </si>
  <si>
    <t>Chandmuni Mahato</t>
  </si>
  <si>
    <t>Savita Karmakar</t>
  </si>
  <si>
    <t>Shalo Karmakar</t>
  </si>
  <si>
    <t>Disha Jala</t>
  </si>
  <si>
    <t>Suru Karmakar</t>
  </si>
  <si>
    <t>Sitla Bhumij</t>
  </si>
  <si>
    <t>Bari Lohar</t>
  </si>
  <si>
    <t>Sushita Patro</t>
  </si>
  <si>
    <t>Rani Gounder</t>
  </si>
  <si>
    <t>Ganga Devi</t>
  </si>
  <si>
    <t>Magli Tudu</t>
  </si>
  <si>
    <t xml:space="preserve">Chwa Moni </t>
  </si>
  <si>
    <t>Jhoma Bisui</t>
  </si>
  <si>
    <t>Pradbita Das</t>
  </si>
  <si>
    <t>Babli Banerjee</t>
  </si>
  <si>
    <t>Nepali Gorai</t>
  </si>
  <si>
    <t>Vanita Gounder</t>
  </si>
  <si>
    <t>Rajeshwari Devi</t>
  </si>
  <si>
    <t>Jule Singh</t>
  </si>
  <si>
    <t>Kalyani Gorai</t>
  </si>
  <si>
    <t>Uttam Singh</t>
  </si>
  <si>
    <t>Sumitra Hembrom</t>
  </si>
  <si>
    <t>Malati Devi</t>
  </si>
  <si>
    <t>Laxmi Singh</t>
  </si>
  <si>
    <t>Sonal Jeet Kaur</t>
  </si>
  <si>
    <t>Mayna Gorai</t>
  </si>
  <si>
    <t>Akul Dey</t>
  </si>
  <si>
    <t>Husan Bibi</t>
  </si>
  <si>
    <t>Shaikh Sirajuddin</t>
  </si>
  <si>
    <t>Lavanya Chipurupalli</t>
  </si>
  <si>
    <t>C H Sunil</t>
  </si>
  <si>
    <t>Rebita Soy</t>
  </si>
  <si>
    <t>Punam Kumari</t>
  </si>
  <si>
    <t>Sangita Soy</t>
  </si>
  <si>
    <t>Abika Gorai</t>
  </si>
  <si>
    <t>Esita Maity</t>
  </si>
  <si>
    <t>Kabita Mukherjee</t>
  </si>
  <si>
    <t>Vinodani Swansi</t>
  </si>
  <si>
    <t>Sita Tantubai</t>
  </si>
  <si>
    <t>Chhabi Karmakar</t>
  </si>
  <si>
    <t>Habiba Khatoon</t>
  </si>
  <si>
    <t>Sunita Munda</t>
  </si>
  <si>
    <t>Bobby Choudhary</t>
  </si>
  <si>
    <t>Kanta Mukhi</t>
  </si>
  <si>
    <t>Afroz Perween</t>
  </si>
  <si>
    <t>Durga Munda</t>
  </si>
  <si>
    <t>Subroto Das</t>
  </si>
  <si>
    <t>Sukla Modak</t>
  </si>
  <si>
    <t xml:space="preserve">Lalita Modak </t>
  </si>
  <si>
    <t>Punam Sawaya</t>
  </si>
  <si>
    <t>Pratima Singh</t>
  </si>
  <si>
    <t>Uttam  Namita</t>
  </si>
  <si>
    <t>Anu Namata</t>
  </si>
  <si>
    <t>Mukta Pramanik</t>
  </si>
  <si>
    <t>Arati DAS</t>
  </si>
  <si>
    <t>Painy Gorai</t>
  </si>
  <si>
    <t>Sabita Das</t>
  </si>
  <si>
    <t>Somwari Hansda</t>
  </si>
  <si>
    <t>Nahida Khatoon</t>
  </si>
  <si>
    <t xml:space="preserve">Laxmi Handa </t>
  </si>
  <si>
    <t>Rekha Ruhidas</t>
  </si>
  <si>
    <t>Manaki Ravidas</t>
  </si>
  <si>
    <t>Uma Sardar</t>
  </si>
  <si>
    <t>Ravi Modak</t>
  </si>
  <si>
    <t>Bina Singh</t>
  </si>
  <si>
    <t>Pramila Mahato</t>
  </si>
  <si>
    <t>Urmila Mahato</t>
  </si>
  <si>
    <t>Gurubari Gorai</t>
  </si>
  <si>
    <t>Kanchan Devi</t>
  </si>
  <si>
    <t>Rumpa Shaw</t>
  </si>
  <si>
    <t>Sandip Pramanik</t>
  </si>
  <si>
    <t>Phulmani Goai</t>
  </si>
  <si>
    <t>Rajesh Ravidas</t>
  </si>
  <si>
    <t>R.L.P. Sinha</t>
  </si>
  <si>
    <t>Bhola nath Dutta</t>
  </si>
  <si>
    <t>Pari Dutta</t>
  </si>
  <si>
    <t>Rina Ghosh</t>
  </si>
  <si>
    <t>Nilam Devi</t>
  </si>
  <si>
    <t>Mithila Lohar</t>
  </si>
  <si>
    <t>Shahnaz Begum</t>
  </si>
  <si>
    <t>Nikku Devi</t>
  </si>
  <si>
    <t>Santosh Kumar Sen</t>
  </si>
  <si>
    <t>Neha Devi</t>
  </si>
  <si>
    <t>Shri Mati Meera Devi</t>
  </si>
  <si>
    <t>Laxman Sharma</t>
  </si>
  <si>
    <t>Sadhan Gorai</t>
  </si>
  <si>
    <t>Ujjawala Mahato</t>
  </si>
  <si>
    <t>Bijola Mahato</t>
  </si>
  <si>
    <t>Sabita Choudhary</t>
  </si>
  <si>
    <t>Krishna Kant Choudhary</t>
  </si>
  <si>
    <t>Anjali Kumari</t>
  </si>
  <si>
    <t>Sachidanand Choudhary</t>
  </si>
  <si>
    <t>Yoshoda Lohar</t>
  </si>
  <si>
    <t>Ambabati Devi</t>
  </si>
  <si>
    <t>Munmun Guin</t>
  </si>
  <si>
    <t>Dhatri Gorai</t>
  </si>
  <si>
    <t xml:space="preserve">Pinkey gorai </t>
  </si>
  <si>
    <t>Amarjit Kour</t>
  </si>
  <si>
    <t>Amrik Singh</t>
  </si>
  <si>
    <t>Ram Lakhan Prasad</t>
  </si>
  <si>
    <t>Bhajan Dutta</t>
  </si>
  <si>
    <t>Sabita Gorai</t>
  </si>
  <si>
    <t>Shampa Sharma</t>
  </si>
  <si>
    <t>Rekha Sharma</t>
  </si>
  <si>
    <t>Ranjana Sinha</t>
  </si>
  <si>
    <t>Kalyani Saha</t>
  </si>
  <si>
    <t>Putul Gorai</t>
  </si>
  <si>
    <t>Ganga Devi Khadka</t>
  </si>
  <si>
    <t>Padma Adhikari</t>
  </si>
  <si>
    <t>Basanti Modak</t>
  </si>
  <si>
    <t>Shobha Karmakar</t>
  </si>
  <si>
    <t>Joshoda Tantubai</t>
  </si>
  <si>
    <t>Aruna Gupta</t>
  </si>
  <si>
    <t>Pankaj Gorai</t>
  </si>
  <si>
    <t>Devonti Devi</t>
  </si>
  <si>
    <t>Sunita Prasad</t>
  </si>
  <si>
    <t>Laxmi Pramanik</t>
  </si>
  <si>
    <t>jyoti Pramanik</t>
  </si>
  <si>
    <t>Madhunata Sarkar</t>
  </si>
  <si>
    <t>Rita Ravidas</t>
  </si>
  <si>
    <t>Sandhya Modak</t>
  </si>
  <si>
    <t>Bhojohari Modak</t>
  </si>
  <si>
    <t>Mukul Singh</t>
  </si>
  <si>
    <t>Reboti Modak</t>
  </si>
  <si>
    <t>Pushpa Gorai</t>
  </si>
  <si>
    <t>Babita Devi</t>
  </si>
  <si>
    <t>Muskan Kumari</t>
  </si>
  <si>
    <t>Priya Kumari</t>
  </si>
  <si>
    <t>Sweety Kumari</t>
  </si>
  <si>
    <t>Bijola Rajak</t>
  </si>
  <si>
    <t>Ajay Karmakar</t>
  </si>
  <si>
    <t>Wasima Khatoon</t>
  </si>
  <si>
    <t>Putul Dey</t>
  </si>
  <si>
    <t>Sumitra Mahato</t>
  </si>
  <si>
    <t>Savita Tantubai</t>
  </si>
  <si>
    <t>Priyanka Devi</t>
  </si>
  <si>
    <t>Asha Kumari Shaw</t>
  </si>
  <si>
    <t>Navina Devi</t>
  </si>
  <si>
    <t>Sony Verma</t>
  </si>
  <si>
    <t>Ravi Mahato</t>
  </si>
  <si>
    <t>Ramla Mahato</t>
  </si>
  <si>
    <t>Ajit Kumar Rajak</t>
  </si>
  <si>
    <t>Anita Rajak</t>
  </si>
  <si>
    <t>Kalpana Goari</t>
  </si>
  <si>
    <t>Savitri Devi Tantubai</t>
  </si>
  <si>
    <t>Mintu Devi</t>
  </si>
  <si>
    <t>Sony RajHons</t>
  </si>
  <si>
    <t>Jaspreet Singh</t>
  </si>
  <si>
    <t>Jyoti Verma</t>
  </si>
  <si>
    <t>Unchit Sharma</t>
  </si>
  <si>
    <t>Agani Lohra</t>
  </si>
  <si>
    <t>Sabita Lohra</t>
  </si>
  <si>
    <t>Baby Paul</t>
  </si>
  <si>
    <t>Sulekha Paul</t>
  </si>
  <si>
    <t>Gurjeet Kaur</t>
  </si>
  <si>
    <t>Lakhbir Singh</t>
  </si>
  <si>
    <t>Ashok Karmakar</t>
  </si>
  <si>
    <t>Sulekha Gorai</t>
  </si>
  <si>
    <t>Sanju Paul</t>
  </si>
  <si>
    <t>Parwati Gounder</t>
  </si>
  <si>
    <t>Akash Suwanni</t>
  </si>
  <si>
    <t>Jarna Paul</t>
  </si>
  <si>
    <t>Madhunita Giri</t>
  </si>
  <si>
    <t>Basanti Mahato</t>
  </si>
  <si>
    <t>Durga Mahato</t>
  </si>
  <si>
    <t>Vicky Tantubai</t>
  </si>
  <si>
    <t>Jadu Patro</t>
  </si>
  <si>
    <t>Buni Modak</t>
  </si>
  <si>
    <t>Bhagyabati Parmanik</t>
  </si>
  <si>
    <t>Laxmi Karmakar</t>
  </si>
  <si>
    <t>Kalyani Mahanandi</t>
  </si>
  <si>
    <t>Meena Choudhary</t>
  </si>
  <si>
    <t>Bharti Choudhary</t>
  </si>
  <si>
    <t>Binita Hembrom</t>
  </si>
  <si>
    <t>Sandeep Kumar Rajak</t>
  </si>
  <si>
    <t>Shiuli Gorai</t>
  </si>
  <si>
    <t>Namita Mahato</t>
  </si>
  <si>
    <t>Mohammad israil</t>
  </si>
  <si>
    <t>Halati Rajak</t>
  </si>
  <si>
    <t>Sumitra Sahu</t>
  </si>
  <si>
    <t xml:space="preserve">Kashish Kumari </t>
  </si>
  <si>
    <t>Suman Kumari</t>
  </si>
  <si>
    <t>Shabnam Khan</t>
  </si>
  <si>
    <t>Prasant Bhasker Pandey</t>
  </si>
  <si>
    <t>Manjeet Karu</t>
  </si>
  <si>
    <t>Batari Gorai</t>
  </si>
  <si>
    <t>Laxmi Kumari</t>
  </si>
  <si>
    <t>Anita Kundra</t>
  </si>
  <si>
    <t>Sushma Devi</t>
  </si>
  <si>
    <t>Pravan kumar Kundra</t>
  </si>
  <si>
    <t>Birendra Ray</t>
  </si>
  <si>
    <t>Sneha Kumari</t>
  </si>
  <si>
    <t>Bhagwat Modak</t>
  </si>
  <si>
    <t>Putul Poddar</t>
  </si>
  <si>
    <t>Joba Chatterjee</t>
  </si>
  <si>
    <t>Shamim Altamash</t>
  </si>
  <si>
    <t>Imam Savat</t>
  </si>
  <si>
    <t>Koushik Paul</t>
  </si>
  <si>
    <t>Kritika Paul</t>
  </si>
  <si>
    <t>Nilima Paul</t>
  </si>
  <si>
    <t>Firoza khatoon</t>
  </si>
  <si>
    <t>Ranjeet Kumar Yadav</t>
  </si>
  <si>
    <t>Ranga Swami</t>
  </si>
  <si>
    <t>Neha Verma</t>
  </si>
  <si>
    <t>Ganesh Mahato</t>
  </si>
  <si>
    <t>Sujata Gorai</t>
  </si>
  <si>
    <t>Tapan Gorai</t>
  </si>
  <si>
    <t>Pandow mahato</t>
  </si>
  <si>
    <t>Teju mahato</t>
  </si>
  <si>
    <t>Sumitra Gorai</t>
  </si>
  <si>
    <t>Shanti Goria</t>
  </si>
  <si>
    <t>h Kuppu Devi</t>
  </si>
  <si>
    <t>Soma Pal</t>
  </si>
  <si>
    <t>kalpana Gorai</t>
  </si>
  <si>
    <t>Rajeswari Gorai</t>
  </si>
  <si>
    <t>Mamta Gorai</t>
  </si>
  <si>
    <t>Sumitra Singh</t>
  </si>
  <si>
    <t>Narayan Singh Munda</t>
  </si>
  <si>
    <t>Annapurna Singh Munda</t>
  </si>
  <si>
    <t xml:space="preserve">Bhabani Dutta </t>
  </si>
  <si>
    <t>Madhumala Bera</t>
  </si>
  <si>
    <t>Madhuri Gorai</t>
  </si>
  <si>
    <t>Ranju Tiwary</t>
  </si>
  <si>
    <t>Suren Gorai</t>
  </si>
  <si>
    <t>Divakaran Mahato</t>
  </si>
  <si>
    <t>Badal Gorai</t>
  </si>
  <si>
    <t>Prem Sharma</t>
  </si>
  <si>
    <t>Tajinder Kaur</t>
  </si>
  <si>
    <t>Jasraj Singh</t>
  </si>
  <si>
    <t>Nikata Barik</t>
  </si>
  <si>
    <t>Asha Shau</t>
  </si>
  <si>
    <t>mausami Sahu</t>
  </si>
  <si>
    <t>Asit Sahu</t>
  </si>
  <si>
    <t>Mousami Gorai</t>
  </si>
  <si>
    <t>Nazra Khatoon</t>
  </si>
  <si>
    <t>Prakash Paul</t>
  </si>
  <si>
    <t>Parbati Gorai</t>
  </si>
  <si>
    <t>Harjeet Kaur</t>
  </si>
  <si>
    <t>Radhika Gope</t>
  </si>
  <si>
    <t>Namita Mandal</t>
  </si>
  <si>
    <t>Charubala Barik</t>
  </si>
  <si>
    <t>Mamta Tripathi</t>
  </si>
  <si>
    <t>Raja Amma Gounder</t>
  </si>
  <si>
    <t>Vonita Gounder</t>
  </si>
  <si>
    <t>Parvate Swami</t>
  </si>
  <si>
    <t>Sabitri Swami</t>
  </si>
  <si>
    <t>Augustine solomon</t>
  </si>
  <si>
    <t>Pinky karmakar</t>
  </si>
  <si>
    <t>Khatoon Bibi</t>
  </si>
  <si>
    <t>Surjeet Kaur</t>
  </si>
  <si>
    <t>Laxmi Chhetri</t>
  </si>
  <si>
    <t>Amlesh Devi</t>
  </si>
  <si>
    <t>Suravi Gorai</t>
  </si>
  <si>
    <t>Ambika Gorai</t>
  </si>
  <si>
    <t>Sita Devi</t>
  </si>
  <si>
    <t>Kami Devi</t>
  </si>
  <si>
    <t>Pratima Modak</t>
  </si>
  <si>
    <t>chandrawati devi</t>
  </si>
  <si>
    <t>Anita Thakur</t>
  </si>
  <si>
    <t>Seema Devi</t>
  </si>
  <si>
    <t>Sonu Singh</t>
  </si>
  <si>
    <t>Velly Gounder</t>
  </si>
  <si>
    <t>Parwati gonder</t>
  </si>
  <si>
    <t>Juliet Josph</t>
  </si>
  <si>
    <t>Gurucharan Kaur</t>
  </si>
  <si>
    <t>Surjit Kaur</t>
  </si>
  <si>
    <t>Renu Singh</t>
  </si>
  <si>
    <t>Lakhi Mani lohar</t>
  </si>
  <si>
    <t>Jyotisha Mahanandi</t>
  </si>
  <si>
    <t>Sharmili Sarkar</t>
  </si>
  <si>
    <t>Rudan mahato</t>
  </si>
  <si>
    <t>Rajkishor Gupta</t>
  </si>
  <si>
    <t>Saraswati Devi</t>
  </si>
  <si>
    <t>Lakshmi Soren</t>
  </si>
  <si>
    <t>Saraswati karmakar</t>
  </si>
  <si>
    <t>Kajal Dey</t>
  </si>
  <si>
    <t>usha Mahato</t>
  </si>
  <si>
    <t>Mallika Kumbhakar</t>
  </si>
  <si>
    <t>Soma Jana</t>
  </si>
  <si>
    <t>Sneha Jana</t>
  </si>
  <si>
    <t>Suman Jana</t>
  </si>
  <si>
    <t>Babli Singh</t>
  </si>
  <si>
    <t>Sima Chatterjee</t>
  </si>
  <si>
    <t>Gita Patro</t>
  </si>
  <si>
    <t>Binita Singh</t>
  </si>
  <si>
    <t>Sangita Mahato</t>
  </si>
  <si>
    <t>Radha Mahato</t>
  </si>
  <si>
    <t>Priti Kumari</t>
  </si>
  <si>
    <t>Rinku Das</t>
  </si>
  <si>
    <t>Moti Sandel</t>
  </si>
  <si>
    <t>Purnima Das</t>
  </si>
  <si>
    <t>Sharda Tiwari</t>
  </si>
  <si>
    <t>Sanjay Giri</t>
  </si>
  <si>
    <t>Dipak Gorai</t>
  </si>
  <si>
    <t>Chhaya Dutta</t>
  </si>
  <si>
    <t>Punam Mishra</t>
  </si>
  <si>
    <t>Vivek Kumar Thakur</t>
  </si>
  <si>
    <t>Tapsi Shit</t>
  </si>
  <si>
    <t>Jhuma Das</t>
  </si>
  <si>
    <t>Rebati Sahu</t>
  </si>
  <si>
    <t>Simaranjeet Kaur</t>
  </si>
  <si>
    <t>Jyoshna Roy</t>
  </si>
  <si>
    <t>Chanda Devi</t>
  </si>
  <si>
    <t>Chandan Kumar Prasad</t>
  </si>
  <si>
    <t>Jayanti Mahato</t>
  </si>
  <si>
    <t>Krishna Sangiri</t>
  </si>
  <si>
    <t>kamakshi Gounder</t>
  </si>
  <si>
    <t>Mamta Kar</t>
  </si>
  <si>
    <t>Sarabjeet Kaur</t>
  </si>
  <si>
    <t>Sareeta Sahu</t>
  </si>
  <si>
    <t xml:space="preserve">Malika </t>
  </si>
  <si>
    <t>Chhaya Gorai</t>
  </si>
  <si>
    <t>Rajesh Mahato</t>
  </si>
  <si>
    <t>Anil Sagar</t>
  </si>
  <si>
    <t>Seema Sinha</t>
  </si>
  <si>
    <t>Jayanti Sharma</t>
  </si>
  <si>
    <t>Sumi Sinha</t>
  </si>
  <si>
    <t>Manju Ojha</t>
  </si>
  <si>
    <t>Chanchala Gorai</t>
  </si>
  <si>
    <t>Urmaila Devi</t>
  </si>
  <si>
    <t>Kajal Ganaguli</t>
  </si>
  <si>
    <t>Chinta mani Sardar</t>
  </si>
  <si>
    <t>Manisha Das</t>
  </si>
  <si>
    <t>Jamuna Gorai</t>
  </si>
  <si>
    <t>Rahela khat</t>
  </si>
  <si>
    <t>Kanta Ekka</t>
  </si>
  <si>
    <t>Ambika Gope</t>
  </si>
  <si>
    <t>Raboti Gope</t>
  </si>
  <si>
    <t>padda Devi</t>
  </si>
  <si>
    <t>Jhingi Sardar</t>
  </si>
  <si>
    <t>Gita Lohar</t>
  </si>
  <si>
    <t>Parboti mahanandi</t>
  </si>
  <si>
    <t>Shilpa Gorai</t>
  </si>
  <si>
    <t>Kavita Gorai</t>
  </si>
  <si>
    <t>Umma Maria</t>
  </si>
  <si>
    <t>Qamrun Nisha</t>
  </si>
  <si>
    <t>Kuldeep Singh</t>
  </si>
  <si>
    <t>Shabnam Naaz</t>
  </si>
  <si>
    <t>Niyati Gope</t>
  </si>
  <si>
    <t>kajal Sahis</t>
  </si>
  <si>
    <t>Shivam Singh</t>
  </si>
  <si>
    <t>Riti Singh Bhumij</t>
  </si>
  <si>
    <t>Tinki Mukhi</t>
  </si>
  <si>
    <t>Rekh Mahanandi</t>
  </si>
  <si>
    <t>Priya Sunani</t>
  </si>
  <si>
    <t>Shivani Kumari</t>
  </si>
  <si>
    <t>Mandira roy</t>
  </si>
  <si>
    <t>Manuni Sahu</t>
  </si>
  <si>
    <t>Soniya Siddiqua</t>
  </si>
  <si>
    <t>Habiba khatoon</t>
  </si>
  <si>
    <t>Asmat Ara</t>
  </si>
  <si>
    <t>Madhumita Ghosh</t>
  </si>
  <si>
    <t>Subasini Pramanik</t>
  </si>
  <si>
    <t>Anjana Singh</t>
  </si>
  <si>
    <t>Sandhya Singh</t>
  </si>
  <si>
    <t>Madhuri devi</t>
  </si>
  <si>
    <t>Anamika Singh</t>
  </si>
  <si>
    <t>Anjali Singh</t>
  </si>
  <si>
    <t>Geeta Singh</t>
  </si>
  <si>
    <t>Namita Chakraborty</t>
  </si>
  <si>
    <t>Chinmay Das</t>
  </si>
  <si>
    <t>Ali mel Devi</t>
  </si>
  <si>
    <t>Seema Geedia</t>
  </si>
  <si>
    <t>Aleka Ghosh</t>
  </si>
  <si>
    <t>Durga Kumari</t>
  </si>
  <si>
    <t>Rubi Jha</t>
  </si>
  <si>
    <t>Rakhi Poddar</t>
  </si>
  <si>
    <t>Kamaljeet kaur</t>
  </si>
  <si>
    <t>Rajesh Nag</t>
  </si>
  <si>
    <t xml:space="preserve">Sumitra Sahis </t>
  </si>
  <si>
    <t>Tapaswani Bhagat</t>
  </si>
  <si>
    <t>Rina Singh</t>
  </si>
  <si>
    <t>Pappu Mahanandi</t>
  </si>
  <si>
    <t>Kulvinder Kaur</t>
  </si>
  <si>
    <t xml:space="preserve">Pritam das modak </t>
  </si>
  <si>
    <t>Sumitra Kumari</t>
  </si>
  <si>
    <t>Shabnam Singh</t>
  </si>
  <si>
    <t>Rekha Kumari</t>
  </si>
  <si>
    <t>Khusbu Karmakar</t>
  </si>
  <si>
    <t>Sandhya Kumari</t>
  </si>
  <si>
    <t>Asha Devi</t>
  </si>
  <si>
    <t>Pradeep Rabidas</t>
  </si>
  <si>
    <t>Bilari Karmakar</t>
  </si>
  <si>
    <t>Hema Biswas</t>
  </si>
  <si>
    <t>Asha Biswas</t>
  </si>
  <si>
    <t>Bandana Maal</t>
  </si>
  <si>
    <t>Lakhi Maal</t>
  </si>
  <si>
    <t>Savitri Gorai</t>
  </si>
  <si>
    <t>Abmika Gorai</t>
  </si>
  <si>
    <t>Niharika Prasad</t>
  </si>
  <si>
    <t>Malti Devi</t>
  </si>
  <si>
    <t>Prem lala Devi</t>
  </si>
  <si>
    <t>Shaheen Perween</t>
  </si>
  <si>
    <t>Fani Gorai</t>
  </si>
  <si>
    <t>Tanvi karua</t>
  </si>
  <si>
    <t>Kavita Kumar</t>
  </si>
  <si>
    <t>Depali Das Modak</t>
  </si>
  <si>
    <t>Uttam das modak</t>
  </si>
  <si>
    <t>Ruma Das Modak</t>
  </si>
  <si>
    <t>Zulekha Hasmat</t>
  </si>
  <si>
    <t>Lakhi mukherjee</t>
  </si>
  <si>
    <t>Ansura Khatoon</t>
  </si>
  <si>
    <t>Minu Sahu</t>
  </si>
  <si>
    <t>Binapani Mahato</t>
  </si>
  <si>
    <t>Manju Ghosh</t>
  </si>
  <si>
    <t>Sankera Devi</t>
  </si>
  <si>
    <t>preeti Kumari</t>
  </si>
  <si>
    <t>Sahana Khatoon</t>
  </si>
  <si>
    <t>Lutfa khatoon</t>
  </si>
  <si>
    <t>Purnima Gorai</t>
  </si>
  <si>
    <t>Tarannum Nigar</t>
  </si>
  <si>
    <t>Saviti Keshri</t>
  </si>
  <si>
    <t>Saroj Devi</t>
  </si>
  <si>
    <t xml:space="preserve">Diya </t>
  </si>
  <si>
    <t>Palalk</t>
  </si>
  <si>
    <t>Khushboo Kumari</t>
  </si>
  <si>
    <t>Bhavya Raj</t>
  </si>
  <si>
    <t>Nabomita Pramanik</t>
  </si>
  <si>
    <t>Doly Priya Singh</t>
  </si>
  <si>
    <t>Renuka Shaa</t>
  </si>
  <si>
    <t>Kakuli Saha</t>
  </si>
  <si>
    <t>Kamala Devi</t>
  </si>
  <si>
    <t>Arpita Maity</t>
  </si>
  <si>
    <t>Komal Raj</t>
  </si>
  <si>
    <t xml:space="preserve">Putul Biswas </t>
  </si>
  <si>
    <t>Raimoni hansda</t>
  </si>
  <si>
    <t>Preety Sahu</t>
  </si>
  <si>
    <t>Spb Charan Sahu</t>
  </si>
  <si>
    <t>Girija  Devi</t>
  </si>
  <si>
    <t>Pratima Pramanik</t>
  </si>
  <si>
    <t>Shahnaz Khatoon</t>
  </si>
  <si>
    <t>Afsana Begum</t>
  </si>
  <si>
    <t>Baijnath Sharma</t>
  </si>
  <si>
    <t>Behulla Gope</t>
  </si>
  <si>
    <t>Shilpi Devi</t>
  </si>
  <si>
    <t>Aoka Devi</t>
  </si>
  <si>
    <t>Soni Singh</t>
  </si>
  <si>
    <t>Neha Bharati</t>
  </si>
  <si>
    <t>Lalita singh</t>
  </si>
  <si>
    <t>Puspa Devi</t>
  </si>
  <si>
    <t>Alwelu</t>
  </si>
  <si>
    <t>Saroj Verma</t>
  </si>
  <si>
    <t xml:space="preserve">Idrish khan </t>
  </si>
  <si>
    <t>Jayanti Mahto</t>
  </si>
  <si>
    <t>Mousumi Chakraborty</t>
  </si>
  <si>
    <t>Sonia Chakraborty</t>
  </si>
  <si>
    <t>Shakuntala Pramanik</t>
  </si>
  <si>
    <t>Rumpa Roy</t>
  </si>
  <si>
    <t>Sandhya Das</t>
  </si>
  <si>
    <t>Gayatri Sahu</t>
  </si>
  <si>
    <t>Sangita Nag</t>
  </si>
  <si>
    <t>Ritu Das</t>
  </si>
  <si>
    <t>Prabhavati Gorai</t>
  </si>
  <si>
    <t>Gunja Karua</t>
  </si>
  <si>
    <t>Gurubari Karua</t>
  </si>
  <si>
    <t>Shagufta Perween</t>
  </si>
  <si>
    <t>Jagdish Patro</t>
  </si>
  <si>
    <t>Ranju Pandey</t>
  </si>
  <si>
    <t>Zainab Siddiqua</t>
  </si>
  <si>
    <t>Mamta Singh Dhabal</t>
  </si>
  <si>
    <t>Durga Sahu</t>
  </si>
  <si>
    <t>Jitendra Kumar Singh</t>
  </si>
  <si>
    <t>Bishakha Barik</t>
  </si>
  <si>
    <t>Ram Kumar Thakur</t>
  </si>
  <si>
    <t>Aloka Kumari Lohar</t>
  </si>
  <si>
    <t>Ruma Kundu</t>
  </si>
  <si>
    <t>Purnima Devi</t>
  </si>
  <si>
    <t>Purushottam Mahato</t>
  </si>
  <si>
    <t>Puja Sahis</t>
  </si>
  <si>
    <t>Vijay Singh Say</t>
  </si>
  <si>
    <t>Shambhu Tuti</t>
  </si>
  <si>
    <t>Mamta verma</t>
  </si>
  <si>
    <t>Aakansha Kunal</t>
  </si>
  <si>
    <t>Juhi Mahato</t>
  </si>
  <si>
    <t>Sujata Singh</t>
  </si>
  <si>
    <t>Prakash Ravidas</t>
  </si>
  <si>
    <t>Ashok Kumar Singh</t>
  </si>
  <si>
    <t>Sangeeta Kumari</t>
  </si>
  <si>
    <t>Pinkey shaw</t>
  </si>
  <si>
    <t>Chandra Chakraborty</t>
  </si>
  <si>
    <t>Usha karmakar</t>
  </si>
  <si>
    <t>Supriya Sahu</t>
  </si>
  <si>
    <t>Suniti Kumari</t>
  </si>
  <si>
    <t>Reena Karmakar</t>
  </si>
  <si>
    <t>Mamta Sardar</t>
  </si>
  <si>
    <t>Sahani Perween</t>
  </si>
  <si>
    <t>Shubham Bhattacharjee</t>
  </si>
  <si>
    <t>Shyamal Bhattacharjee</t>
  </si>
  <si>
    <t>Kulwant Kaur</t>
  </si>
  <si>
    <t>Shila Pramanik</t>
  </si>
  <si>
    <t>Ritu Kaur</t>
  </si>
  <si>
    <t>Moumita Chakraborty</t>
  </si>
  <si>
    <t>Bishni Karua</t>
  </si>
  <si>
    <t>Laxmi Gope</t>
  </si>
  <si>
    <t>Baljeet Kaur</t>
  </si>
  <si>
    <t>Surjan Singh</t>
  </si>
  <si>
    <t>Purnima Kumari</t>
  </si>
  <si>
    <t xml:space="preserve">Uma Gope </t>
  </si>
  <si>
    <t>Rinki Kour</t>
  </si>
  <si>
    <t>Kavita Sarkar</t>
  </si>
  <si>
    <t>Madhuri Singh Dhabal</t>
  </si>
  <si>
    <t>Bharti Karmakar</t>
  </si>
  <si>
    <t>Umesh Chandra Haldar</t>
  </si>
  <si>
    <t>Tabassum Perween</t>
  </si>
  <si>
    <t>Harsita Verma</t>
  </si>
  <si>
    <t>Nutan Kumari</t>
  </si>
  <si>
    <t>Priyanka Verma</t>
  </si>
  <si>
    <t>Itwary Mahato</t>
  </si>
  <si>
    <t>Wajid Ali</t>
  </si>
  <si>
    <t>Urvashi Mehta</t>
  </si>
  <si>
    <t>Savitri Devi</t>
  </si>
  <si>
    <t>md Aslam Ansari</t>
  </si>
  <si>
    <t>Disksha Kumari</t>
  </si>
  <si>
    <t>Meera Chakraborty</t>
  </si>
  <si>
    <t>Anupama Chakraborty</t>
  </si>
  <si>
    <t>Sudha Devi</t>
  </si>
  <si>
    <t>Arpita Sahu</t>
  </si>
  <si>
    <t>Sonam Kumari</t>
  </si>
  <si>
    <t>Shashi Sharma</t>
  </si>
  <si>
    <t>Shakuntala Kumari</t>
  </si>
  <si>
    <t>Meera Byar</t>
  </si>
  <si>
    <t>Joy Shalu</t>
  </si>
  <si>
    <t>Ranjeeta Kumari</t>
  </si>
  <si>
    <t>Malti Karmakar</t>
  </si>
  <si>
    <t>Ganga Tudu</t>
  </si>
  <si>
    <t>Naagish Perween</t>
  </si>
  <si>
    <t>Sakuntala Nag</t>
  </si>
  <si>
    <t>Rahmat Ansari</t>
  </si>
  <si>
    <t>Reshma Prabin</t>
  </si>
  <si>
    <t>Bulu Saha</t>
  </si>
  <si>
    <t>Pinkey Rout</t>
  </si>
  <si>
    <t>Noor Fatma</t>
  </si>
  <si>
    <t>Gurmeet Singh</t>
  </si>
  <si>
    <t>Deb Kishan Rout</t>
  </si>
  <si>
    <t>Khuku Raj</t>
  </si>
  <si>
    <t>Malati Munda</t>
  </si>
  <si>
    <t>Shahjhan Khjatoon</t>
  </si>
  <si>
    <t>Jilal Guria</t>
  </si>
  <si>
    <t>K Jalaja</t>
  </si>
  <si>
    <t>Mithu Gorai</t>
  </si>
  <si>
    <t>Rajeshwari</t>
  </si>
  <si>
    <t>Mina Gorai</t>
  </si>
  <si>
    <t>Jhunu Das</t>
  </si>
  <si>
    <t>Heera Jha</t>
  </si>
  <si>
    <t>Komal Kumari mahato</t>
  </si>
  <si>
    <t>Muskan Mahato</t>
  </si>
  <si>
    <t>Pallavi Kumari</t>
  </si>
  <si>
    <t xml:space="preserve">Putul Dey </t>
  </si>
  <si>
    <t>Jhama Bera</t>
  </si>
  <si>
    <t>G Damayanti</t>
  </si>
  <si>
    <t>S  Laxmi</t>
  </si>
  <si>
    <t>Chandana Maity</t>
  </si>
  <si>
    <t>Mukti Maity</t>
  </si>
  <si>
    <t>Gayatri Gorai</t>
  </si>
  <si>
    <t>Juhi Sharma</t>
  </si>
  <si>
    <t>Basanti Karmakar</t>
  </si>
  <si>
    <t>Pinkey Verma</t>
  </si>
  <si>
    <t>Vina Mahato</t>
  </si>
  <si>
    <t>Kajal Devi</t>
  </si>
  <si>
    <t>hirdya Nath Tiwary</t>
  </si>
  <si>
    <t>Bina Gorai</t>
  </si>
  <si>
    <t>Safiya Fatima</t>
  </si>
  <si>
    <t>Kamleh Sharma</t>
  </si>
  <si>
    <t>Mina Khan</t>
  </si>
  <si>
    <t>Pradip Kumar Khan</t>
  </si>
  <si>
    <t>Swati Srivastava</t>
  </si>
  <si>
    <t>Shruti Singh</t>
  </si>
  <si>
    <t>Sugandha Singh</t>
  </si>
  <si>
    <t>Syed Sabina Artari</t>
  </si>
  <si>
    <t>Shristi kumari</t>
  </si>
  <si>
    <t>Mianti Bhattacharjee</t>
  </si>
  <si>
    <t>Ritika Kumari</t>
  </si>
  <si>
    <t>Rinku Devi</t>
  </si>
  <si>
    <t>Monika Kumari</t>
  </si>
  <si>
    <t>Ram Goswami</t>
  </si>
  <si>
    <t>Tulsi Hembrom</t>
  </si>
  <si>
    <t>Arjun Hembrom</t>
  </si>
  <si>
    <t>Chandni Bhadra</t>
  </si>
  <si>
    <t>Rinku Bhadra</t>
  </si>
  <si>
    <t>Surekha Mahato</t>
  </si>
  <si>
    <t>Sunita nag</t>
  </si>
  <si>
    <t>Jayank Pramanik</t>
  </si>
  <si>
    <t>Trishna Patra</t>
  </si>
  <si>
    <t>Chhanda Karmakar</t>
  </si>
  <si>
    <t>Shabana Kahatoon</t>
  </si>
  <si>
    <t>Nirmala Sharma</t>
  </si>
  <si>
    <t>Nahid Sultan</t>
  </si>
  <si>
    <t>Sharmistha mahato</t>
  </si>
  <si>
    <t>Dulati Devi</t>
  </si>
  <si>
    <t>Anjana Devi</t>
  </si>
  <si>
    <t>Nilima Gorai</t>
  </si>
  <si>
    <t>Anjana gorai</t>
  </si>
  <si>
    <t>Anju Gorai</t>
  </si>
  <si>
    <t>Jobra Khatoon</t>
  </si>
  <si>
    <t>Sanjida Khatoon</t>
  </si>
  <si>
    <t>Bedi pramanik</t>
  </si>
  <si>
    <t>Puja Singh Sardar</t>
  </si>
  <si>
    <t>Bilasi Sardar</t>
  </si>
  <si>
    <t>Reba Sahu</t>
  </si>
  <si>
    <t>Puja Sahu</t>
  </si>
  <si>
    <t>Reeta Chatterjee</t>
  </si>
  <si>
    <t>Vivekanand Bose</t>
  </si>
  <si>
    <t>Budheswar Lohra</t>
  </si>
  <si>
    <t>Nargis Champia</t>
  </si>
  <si>
    <t>Bishnu Charan Lohar</t>
  </si>
  <si>
    <t>Binod Lohar</t>
  </si>
  <si>
    <t>Bhujan singh Champia</t>
  </si>
  <si>
    <t>Sinni Pandey</t>
  </si>
  <si>
    <t>Najma Pandey</t>
  </si>
  <si>
    <t>Mohammad Farid</t>
  </si>
  <si>
    <t>Madhu munda</t>
  </si>
  <si>
    <t>Usha Murmu</t>
  </si>
  <si>
    <t>Sita Lohar</t>
  </si>
  <si>
    <t>Swapan Kumar Patro</t>
  </si>
  <si>
    <t>Soma Mitra</t>
  </si>
  <si>
    <t>Ankita Mitra</t>
  </si>
  <si>
    <t>Somari Soren</t>
  </si>
  <si>
    <t>Jay Prakash singh</t>
  </si>
  <si>
    <t>Piru Gorai</t>
  </si>
  <si>
    <t>Champa Chatterjee</t>
  </si>
  <si>
    <t>Sima Das</t>
  </si>
  <si>
    <t>Karabi Bose</t>
  </si>
  <si>
    <t>Lilmoni Das</t>
  </si>
  <si>
    <t>Arti Ravidas</t>
  </si>
  <si>
    <t>Maya Devi</t>
  </si>
  <si>
    <t>Pravhawati Devi</t>
  </si>
  <si>
    <t>Sarita Devi</t>
  </si>
  <si>
    <t>Urmila Devi</t>
  </si>
  <si>
    <t>Balwinder Kaur</t>
  </si>
  <si>
    <t>Hema Malin Majhyan</t>
  </si>
  <si>
    <t>Mangla Chatterjee</t>
  </si>
  <si>
    <t>Kuili mardi</t>
  </si>
  <si>
    <t>Usha Kumari Sharma</t>
  </si>
  <si>
    <t xml:space="preserve">Chhabi Lal </t>
  </si>
  <si>
    <t>Shaikh Shahin</t>
  </si>
  <si>
    <t>Subhadra Devi</t>
  </si>
  <si>
    <t>Shaikh Shabnam</t>
  </si>
  <si>
    <t>Yasmin Begum</t>
  </si>
  <si>
    <t>Sevaki Kumari Mahato</t>
  </si>
  <si>
    <t>Vicky Bedi</t>
  </si>
  <si>
    <t>Pyari Lohar</t>
  </si>
  <si>
    <t>Maya Lohar</t>
  </si>
  <si>
    <t>Rinki Gorai</t>
  </si>
  <si>
    <t>Meera Devi</t>
  </si>
  <si>
    <t>Laxmi Karua</t>
  </si>
  <si>
    <t>Sukati Sahu</t>
  </si>
  <si>
    <t>Saroj Sahrma</t>
  </si>
  <si>
    <t>Manjeet Kaur</t>
  </si>
  <si>
    <t>Dilraj Kaur</t>
  </si>
  <si>
    <t>Ratoon Bibi</t>
  </si>
  <si>
    <t>Ashma Naaz</t>
  </si>
  <si>
    <t>Krishna Ghosh</t>
  </si>
  <si>
    <t>Sujata Pramanik</t>
  </si>
  <si>
    <t>Sujeet Gorai</t>
  </si>
  <si>
    <t>Abla manna</t>
  </si>
  <si>
    <t>Sharmishtha Manna</t>
  </si>
  <si>
    <t>Sweeta Kumai</t>
  </si>
  <si>
    <t>Tuni Devi</t>
  </si>
  <si>
    <t>Shibani Mahato</t>
  </si>
  <si>
    <t>Sunita Mahato</t>
  </si>
  <si>
    <t>Pinky Karmakar</t>
  </si>
  <si>
    <t>Puja Rani Pal</t>
  </si>
  <si>
    <t>Subroto Chatterjee</t>
  </si>
  <si>
    <t>Santoshi Karmakar</t>
  </si>
  <si>
    <t>Tanushree Chatterjee</t>
  </si>
  <si>
    <t>Rakhi Biswas</t>
  </si>
  <si>
    <t>Manorama Devi</t>
  </si>
  <si>
    <t>Suraj Kumar Lall</t>
  </si>
  <si>
    <t>Tej Pratap Singh</t>
  </si>
  <si>
    <t>samarjeet Mahapatra</t>
  </si>
  <si>
    <t>Sourav Gorai</t>
  </si>
  <si>
    <t>Dhananjay Gope</t>
  </si>
  <si>
    <t>Sunita Sharma</t>
  </si>
  <si>
    <t>K Kala Devi</t>
  </si>
  <si>
    <t>Suresh Nag</t>
  </si>
  <si>
    <t>Mousumi Maity</t>
  </si>
  <si>
    <t>G Puspa Rao</t>
  </si>
  <si>
    <t>N Baby</t>
  </si>
  <si>
    <t>M Radha</t>
  </si>
  <si>
    <t>Sunita Gupta</t>
  </si>
  <si>
    <t>Ruma Haldar</t>
  </si>
  <si>
    <t>Arati Gorai</t>
  </si>
  <si>
    <t>Bela Nandi</t>
  </si>
  <si>
    <t>Manish Nandi</t>
  </si>
  <si>
    <t>Paspati Devi</t>
  </si>
  <si>
    <t>Sanjana Karmakar</t>
  </si>
  <si>
    <t>Rudwanti Devi</t>
  </si>
  <si>
    <t>Arisha Rehman</t>
  </si>
  <si>
    <t>Rupa Pandey</t>
  </si>
  <si>
    <t>Puja Rani Dey</t>
  </si>
  <si>
    <t>Mala Gorai</t>
  </si>
  <si>
    <t>Mukhtar Hussain</t>
  </si>
  <si>
    <t>Neha Perween</t>
  </si>
  <si>
    <t>Swapan Sarkar</t>
  </si>
  <si>
    <t>Nandini Karwa</t>
  </si>
  <si>
    <t>Jaswinder Karwa</t>
  </si>
  <si>
    <t>Beena Baskey</t>
  </si>
  <si>
    <t>Ashis Kumar</t>
  </si>
  <si>
    <t xml:space="preserve">Najmun Nisa </t>
  </si>
  <si>
    <t>Bijay Shit</t>
  </si>
  <si>
    <t>Renu Das</t>
  </si>
  <si>
    <t>Nausaba Khatoon</t>
  </si>
  <si>
    <t>G Anu Rao</t>
  </si>
  <si>
    <t>Sakil Ahmad</t>
  </si>
  <si>
    <t>Subash Kumar</t>
  </si>
  <si>
    <t>Shymali Pramanik</t>
  </si>
  <si>
    <t>Deepika Mandal</t>
  </si>
  <si>
    <t>Rinku Khan</t>
  </si>
  <si>
    <t>Rani Kumari</t>
  </si>
  <si>
    <t>Ritu Sharma</t>
  </si>
  <si>
    <t>Harmeet Bhamra</t>
  </si>
  <si>
    <t xml:space="preserve">Mouha Deb </t>
  </si>
  <si>
    <t>Chanda mandal</t>
  </si>
  <si>
    <t>Yogita Kumari</t>
  </si>
  <si>
    <t>Mousami biswas</t>
  </si>
  <si>
    <t>K Manju Rao</t>
  </si>
  <si>
    <t>Ramapati Devi</t>
  </si>
  <si>
    <t>KADMA</t>
  </si>
  <si>
    <t>TELCO</t>
  </si>
  <si>
    <t>Int. Amt</t>
  </si>
  <si>
    <t>20-04-202</t>
  </si>
  <si>
    <t>Kgn</t>
  </si>
  <si>
    <t>charanjeet Kaur</t>
  </si>
  <si>
    <t>river view</t>
  </si>
  <si>
    <t>Kamputa</t>
  </si>
  <si>
    <t>Barinager</t>
  </si>
  <si>
    <t>Birsanager</t>
  </si>
  <si>
    <t>Barinaga</t>
  </si>
  <si>
    <t>N type</t>
  </si>
  <si>
    <t>Kartik nagar</t>
  </si>
  <si>
    <t>1b</t>
  </si>
  <si>
    <t>ghorabandha</t>
  </si>
  <si>
    <t>boi</t>
  </si>
  <si>
    <t>radhikanagar</t>
  </si>
  <si>
    <t>luabasa</t>
  </si>
  <si>
    <t>Kalpana Samuel</t>
  </si>
  <si>
    <t>barinagar</t>
  </si>
  <si>
    <t>9955720780</t>
  </si>
  <si>
    <t>250163092712</t>
  </si>
  <si>
    <t>kgn</t>
  </si>
  <si>
    <t>telco</t>
  </si>
  <si>
    <t>jyoti angar</t>
  </si>
  <si>
    <t>cbi</t>
  </si>
  <si>
    <t>d</t>
  </si>
  <si>
    <t>md samim</t>
  </si>
  <si>
    <t>9534224296</t>
  </si>
  <si>
    <t>735292697897</t>
  </si>
  <si>
    <t>DOB</t>
  </si>
  <si>
    <t>SUNITA PADEY</t>
  </si>
  <si>
    <t>Harkirat Singh Suri</t>
  </si>
  <si>
    <t>colony</t>
  </si>
  <si>
    <t>N/A</t>
  </si>
  <si>
    <t>586847556016</t>
  </si>
  <si>
    <t>9939401974</t>
  </si>
  <si>
    <t>250990649390</t>
  </si>
  <si>
    <t>9386090348</t>
  </si>
  <si>
    <t>BAGUNHATU</t>
  </si>
  <si>
    <t>Kailash Karua</t>
  </si>
  <si>
    <t>Madhuri Pramanik</t>
  </si>
  <si>
    <t>Partha Pramanik</t>
  </si>
  <si>
    <t>Kiran Kumari</t>
  </si>
  <si>
    <t>Dayamay Pramanik</t>
  </si>
  <si>
    <t>Reena Kumari</t>
  </si>
  <si>
    <t>plaza</t>
  </si>
  <si>
    <t>Sadhu Pramanik</t>
  </si>
  <si>
    <t>Anju Pandey</t>
  </si>
  <si>
    <t>9304534526</t>
  </si>
  <si>
    <t>611881352394</t>
  </si>
  <si>
    <t>9304281734</t>
  </si>
  <si>
    <t>613160085635</t>
  </si>
  <si>
    <t>7763938106</t>
  </si>
  <si>
    <t>521763363308</t>
  </si>
  <si>
    <t>7209933113</t>
  </si>
  <si>
    <t>672578617574</t>
  </si>
  <si>
    <t>8797113281</t>
  </si>
  <si>
    <t>736104816223</t>
  </si>
  <si>
    <t>6202971793</t>
  </si>
  <si>
    <t>931637796655</t>
  </si>
  <si>
    <t>9304776851</t>
  </si>
  <si>
    <t>742644114005</t>
  </si>
  <si>
    <t>8340157050</t>
  </si>
  <si>
    <t>837603549576</t>
  </si>
  <si>
    <t>birsangar</t>
  </si>
  <si>
    <t>Birsanagar</t>
  </si>
  <si>
    <t>radhikangar</t>
  </si>
  <si>
    <t>Mritunjay Gorai</t>
  </si>
  <si>
    <t>hurlung</t>
  </si>
  <si>
    <t>ghorabanadha</t>
  </si>
  <si>
    <t>Bagunhatu</t>
  </si>
  <si>
    <t>birsanagar</t>
  </si>
  <si>
    <t>8877326689</t>
  </si>
  <si>
    <t>901128968789</t>
  </si>
  <si>
    <t>Pushpa Sahu</t>
  </si>
  <si>
    <t>Sewti Sahu</t>
  </si>
  <si>
    <t>8092295374</t>
  </si>
  <si>
    <t>400796162754</t>
  </si>
  <si>
    <t>7209367836</t>
  </si>
  <si>
    <t>716124839021</t>
  </si>
  <si>
    <t>8789818753</t>
  </si>
  <si>
    <t>922315391266</t>
  </si>
  <si>
    <t>9199355461</t>
  </si>
  <si>
    <t>484741555855</t>
  </si>
  <si>
    <t>soni kumari</t>
  </si>
  <si>
    <t>radhi</t>
  </si>
  <si>
    <t>Anita Choudhary</t>
  </si>
  <si>
    <t>radhka</t>
  </si>
  <si>
    <t>723929611440</t>
  </si>
  <si>
    <t>7004770032</t>
  </si>
  <si>
    <t>825853860759</t>
  </si>
  <si>
    <t>7488607478</t>
  </si>
  <si>
    <t>Deo Krishna choudhary</t>
  </si>
  <si>
    <t>Ishita Arya</t>
  </si>
  <si>
    <t>minor</t>
  </si>
  <si>
    <t>Madan Pal</t>
  </si>
  <si>
    <t>gwalabasi</t>
  </si>
  <si>
    <t>Kalpana Bhawal</t>
  </si>
  <si>
    <t>shiv naagar</t>
  </si>
  <si>
    <t>Tara Devi</t>
  </si>
  <si>
    <t>zone 5</t>
  </si>
  <si>
    <t>Sima gorai</t>
  </si>
  <si>
    <t>radhika</t>
  </si>
  <si>
    <t>KARTIKNGAR</t>
  </si>
  <si>
    <t>bob</t>
  </si>
  <si>
    <t>Sunil Kumar Prasad</t>
  </si>
  <si>
    <t>kharangajhar</t>
  </si>
  <si>
    <t>Pushpam Singh</t>
  </si>
  <si>
    <t>birsa</t>
  </si>
  <si>
    <t>Rakhi Kumari</t>
  </si>
  <si>
    <t>81-1292</t>
  </si>
  <si>
    <t>81-4164</t>
  </si>
  <si>
    <t>nildih</t>
  </si>
  <si>
    <t>81-1232</t>
  </si>
  <si>
    <t>Lata Mandal</t>
  </si>
  <si>
    <t>310899197430</t>
  </si>
  <si>
    <t>6287749995</t>
  </si>
  <si>
    <t>Meeru Sharma</t>
  </si>
  <si>
    <t>435819317142</t>
  </si>
  <si>
    <t>9771616936</t>
  </si>
  <si>
    <t>Parwati karmakar</t>
  </si>
  <si>
    <t>500</t>
  </si>
  <si>
    <t>225389462040</t>
  </si>
  <si>
    <t>9304417326</t>
  </si>
  <si>
    <t>Tanish Choudhary</t>
  </si>
  <si>
    <t>9142564123</t>
  </si>
  <si>
    <t>667318292583</t>
  </si>
  <si>
    <t>Kala Hansda</t>
  </si>
  <si>
    <t>sundernagar</t>
  </si>
  <si>
    <t>7634849950</t>
  </si>
  <si>
    <t>323467504319</t>
  </si>
  <si>
    <t>na</t>
  </si>
  <si>
    <t>Sajamda</t>
  </si>
  <si>
    <t>comport</t>
  </si>
  <si>
    <t>Ashish Kumar</t>
  </si>
  <si>
    <t>baridih</t>
  </si>
  <si>
    <t>Damini Pramanik</t>
  </si>
  <si>
    <t>690595730719</t>
  </si>
  <si>
    <t>9102936941</t>
  </si>
  <si>
    <t>Archana Sushil Sharma</t>
  </si>
  <si>
    <t>prakashngr</t>
  </si>
  <si>
    <t>588877896359</t>
  </si>
  <si>
    <t>6299590154</t>
  </si>
  <si>
    <t>583835194968</t>
  </si>
  <si>
    <t>Ankit Dubey</t>
  </si>
  <si>
    <t>Akash Dubey</t>
  </si>
  <si>
    <t>976492430555</t>
  </si>
  <si>
    <t>989364339669</t>
  </si>
  <si>
    <t>8986815942</t>
  </si>
  <si>
    <t>mohammad manzar waris</t>
  </si>
  <si>
    <t>Mosarrat Ali Khan</t>
  </si>
  <si>
    <t>Bablu Paramanik</t>
  </si>
  <si>
    <t>zone 1b</t>
  </si>
  <si>
    <t>Sunila Saha</t>
  </si>
  <si>
    <t>24-12-2002</t>
  </si>
  <si>
    <t>8084200205</t>
  </si>
  <si>
    <t>coloy</t>
  </si>
  <si>
    <t>Prakash Tiwary</t>
  </si>
  <si>
    <t>01-2112</t>
  </si>
  <si>
    <t>Namita Gorai</t>
  </si>
  <si>
    <t>Shakila Bano</t>
  </si>
  <si>
    <t>Navjot Kaur</t>
  </si>
  <si>
    <t>Sheetal Kaur</t>
  </si>
  <si>
    <t>Ghorabandha</t>
  </si>
  <si>
    <t>Premlata Kumari</t>
  </si>
  <si>
    <t>394632650592</t>
  </si>
  <si>
    <t>Ravi Ranjan Kumar</t>
  </si>
  <si>
    <t>919810319628</t>
  </si>
  <si>
    <t>8809572654</t>
  </si>
  <si>
    <t>Khushboo</t>
  </si>
  <si>
    <t>Hiralal Das</t>
  </si>
  <si>
    <t>230635748811</t>
  </si>
  <si>
    <t>7549528225</t>
  </si>
  <si>
    <t>796846396723</t>
  </si>
  <si>
    <t>739822152591</t>
  </si>
  <si>
    <t>7808465964</t>
  </si>
  <si>
    <t>599143558630</t>
  </si>
  <si>
    <t>7070254769</t>
  </si>
  <si>
    <t>921693125618</t>
  </si>
  <si>
    <t>9204427771</t>
  </si>
  <si>
    <t>Premlata</t>
  </si>
  <si>
    <t>933606878131</t>
  </si>
  <si>
    <t>8935993977</t>
  </si>
  <si>
    <t>Pappu Thakur</t>
  </si>
  <si>
    <t>446979514928</t>
  </si>
  <si>
    <t>9852076775</t>
  </si>
  <si>
    <t>Ashutosh Mahato</t>
  </si>
  <si>
    <t>886452279823</t>
  </si>
  <si>
    <t>8434053129</t>
  </si>
  <si>
    <t>Rajiv Verma</t>
  </si>
  <si>
    <t>418736526539</t>
  </si>
  <si>
    <t>8340649064</t>
  </si>
  <si>
    <t>Puja Devi</t>
  </si>
  <si>
    <t>758938594478</t>
  </si>
  <si>
    <t>6203142500</t>
  </si>
  <si>
    <t>Gourav Kumar</t>
  </si>
  <si>
    <t>450518737048</t>
  </si>
  <si>
    <t>7209475075</t>
  </si>
  <si>
    <t>Farudin Nisha</t>
  </si>
  <si>
    <t>367387103313</t>
  </si>
  <si>
    <t>932227053574</t>
  </si>
  <si>
    <t>7979738994</t>
  </si>
  <si>
    <t>Rina Devi</t>
  </si>
  <si>
    <t>Sujat Ali</t>
  </si>
  <si>
    <t>846338378340</t>
  </si>
  <si>
    <t>9031989594</t>
  </si>
  <si>
    <t>Shivam Kumar</t>
  </si>
  <si>
    <t>419098603646</t>
  </si>
  <si>
    <t>7463058716</t>
  </si>
  <si>
    <t>Rizwana Tabassum</t>
  </si>
  <si>
    <t>COMPORT</t>
  </si>
  <si>
    <t>321992147022</t>
  </si>
  <si>
    <t>8092539331</t>
  </si>
  <si>
    <t>Shankar Poddar</t>
  </si>
  <si>
    <t>zone-5</t>
  </si>
  <si>
    <t>209551438815</t>
  </si>
  <si>
    <t>Vishal Kumar Jha</t>
  </si>
  <si>
    <t>sadhudera</t>
  </si>
  <si>
    <t>200457756197</t>
  </si>
  <si>
    <t>512239276013</t>
  </si>
  <si>
    <t>07-010-2020</t>
  </si>
  <si>
    <t>Priyappa Kumari</t>
  </si>
  <si>
    <t>573376672433</t>
  </si>
  <si>
    <t>naina Loketh</t>
  </si>
  <si>
    <t>Agrico</t>
  </si>
  <si>
    <t>230124196002</t>
  </si>
  <si>
    <t>7295950754</t>
  </si>
  <si>
    <t>Sanju Kumari</t>
  </si>
  <si>
    <t>golmuri</t>
  </si>
  <si>
    <t>Gurmeet Kaur</t>
  </si>
  <si>
    <t>Nasreent Parween</t>
  </si>
  <si>
    <t>bari</t>
  </si>
  <si>
    <t>Haripriya Das</t>
  </si>
  <si>
    <t>golmru</t>
  </si>
  <si>
    <t>462661872062</t>
  </si>
  <si>
    <t>9430772130</t>
  </si>
  <si>
    <t>Hemant Das</t>
  </si>
  <si>
    <t>623946790690</t>
  </si>
  <si>
    <t>6299173377</t>
  </si>
  <si>
    <t>anju pandey</t>
  </si>
  <si>
    <t>Durga Kumai</t>
  </si>
  <si>
    <t>Abhishek Kumar</t>
  </si>
  <si>
    <t>self</t>
  </si>
  <si>
    <t>truckpark</t>
  </si>
  <si>
    <t>DURGA DEVI</t>
  </si>
  <si>
    <t>POOJA JENA</t>
  </si>
  <si>
    <t>SACHIN SINGH</t>
  </si>
  <si>
    <t>PRATIBHA SHAH</t>
  </si>
  <si>
    <t>806786848648</t>
  </si>
  <si>
    <t>6202914209</t>
  </si>
  <si>
    <t>793516589933</t>
  </si>
  <si>
    <t>7070975303</t>
  </si>
  <si>
    <t>522155058714</t>
  </si>
  <si>
    <t>8789909446</t>
  </si>
  <si>
    <t>768663170135</t>
  </si>
  <si>
    <t>8877177689</t>
  </si>
  <si>
    <t>536491414777</t>
  </si>
  <si>
    <t>7903759533</t>
  </si>
  <si>
    <t>Yogendra Prasad</t>
  </si>
  <si>
    <t>332032121596</t>
  </si>
  <si>
    <t>8409708058</t>
  </si>
  <si>
    <t>Sukhwinder Kaur</t>
  </si>
  <si>
    <t>283996963992</t>
  </si>
  <si>
    <t>8789483287</t>
  </si>
  <si>
    <t>Nivedita Dey</t>
  </si>
  <si>
    <t>704186349919</t>
  </si>
  <si>
    <t>Mamota Devi</t>
  </si>
  <si>
    <t>695009192003</t>
  </si>
  <si>
    <t>Laxmi Bosa</t>
  </si>
  <si>
    <t>458272023912</t>
  </si>
  <si>
    <t>9431737792</t>
  </si>
  <si>
    <t>Sangeeta Kar</t>
  </si>
  <si>
    <t>776275280901</t>
  </si>
  <si>
    <t>7070878131</t>
  </si>
  <si>
    <t>pinki Kumari</t>
  </si>
  <si>
    <t>Sanjana Kumari</t>
  </si>
  <si>
    <t>Gunjan Kumari</t>
  </si>
  <si>
    <t>619541972159</t>
  </si>
  <si>
    <t>8521924225</t>
  </si>
  <si>
    <t>352945839941</t>
  </si>
  <si>
    <t>6204206854</t>
  </si>
  <si>
    <t>846524345758</t>
  </si>
  <si>
    <t>9709213014</t>
  </si>
  <si>
    <t>Shobha Tudu</t>
  </si>
  <si>
    <t>bnagar</t>
  </si>
  <si>
    <t>989207978805</t>
  </si>
  <si>
    <t>9934174537</t>
  </si>
  <si>
    <t>s m altamash madani</t>
  </si>
  <si>
    <t>544480097002</t>
  </si>
  <si>
    <t>8340507926</t>
  </si>
  <si>
    <t>Sharya Naaz</t>
  </si>
  <si>
    <t>514003373129</t>
  </si>
  <si>
    <t>8271312110</t>
  </si>
  <si>
    <t>Jyoti Prakash</t>
  </si>
  <si>
    <t>Santu Karmakar</t>
  </si>
  <si>
    <t>288136698537</t>
  </si>
  <si>
    <t>8235430915</t>
  </si>
  <si>
    <t>jhanubala Mahato</t>
  </si>
  <si>
    <t>658774825190</t>
  </si>
  <si>
    <t>8210959986</t>
  </si>
  <si>
    <t>Noor Jahan</t>
  </si>
  <si>
    <t>285188221247</t>
  </si>
  <si>
    <t>9122599355</t>
  </si>
  <si>
    <t>Suraj Mahato</t>
  </si>
  <si>
    <t>862340835265</t>
  </si>
  <si>
    <t>9608766820</t>
  </si>
  <si>
    <t>Mamta Kumari</t>
  </si>
  <si>
    <t>403777401569</t>
  </si>
  <si>
    <t>7004512957</t>
  </si>
  <si>
    <t>457329665104</t>
  </si>
  <si>
    <t>9234849548</t>
  </si>
  <si>
    <t>Anil Karmakar</t>
  </si>
  <si>
    <t>750632858975</t>
  </si>
  <si>
    <t>7762847089</t>
  </si>
  <si>
    <t>Sagar Mahato</t>
  </si>
  <si>
    <t>644205407017</t>
  </si>
  <si>
    <t>9955688040</t>
  </si>
  <si>
    <t>Budhni</t>
  </si>
  <si>
    <t>543971828002</t>
  </si>
  <si>
    <t>9199976992</t>
  </si>
  <si>
    <t>Heena Mukhi</t>
  </si>
  <si>
    <t>322240372555</t>
  </si>
  <si>
    <t>7903767552</t>
  </si>
  <si>
    <t>Sagar Tantubai</t>
  </si>
  <si>
    <t>973133130860</t>
  </si>
  <si>
    <t>81-4388</t>
  </si>
  <si>
    <t>sbi</t>
  </si>
  <si>
    <t>G Savitri</t>
  </si>
  <si>
    <t>Chetan Kumar Sharma</t>
  </si>
  <si>
    <t>Manish Cohar</t>
  </si>
  <si>
    <t>Vishal Ranjan Tiru</t>
  </si>
  <si>
    <t>Lakhi Munda</t>
  </si>
  <si>
    <t>Kartik Dey</t>
  </si>
  <si>
    <t>Ganesh Tantubai</t>
  </si>
  <si>
    <t>Ankit Verma</t>
  </si>
  <si>
    <t>Bablu Singh</t>
  </si>
  <si>
    <t>Aniket Kumar Singh</t>
  </si>
  <si>
    <t>Alfrida</t>
  </si>
  <si>
    <t>Parvati ho</t>
  </si>
  <si>
    <t>Rakhi Devi</t>
  </si>
  <si>
    <t>Suraj Besra</t>
  </si>
  <si>
    <t>Subash Kumar Das</t>
  </si>
  <si>
    <t>Rohit Munda</t>
  </si>
  <si>
    <t>sanjeevan Karmakar</t>
  </si>
  <si>
    <t>Devshran Mandavi</t>
  </si>
  <si>
    <t>7542032142</t>
  </si>
  <si>
    <t>8210023504</t>
  </si>
  <si>
    <t>8797066680</t>
  </si>
  <si>
    <t>9031433143</t>
  </si>
  <si>
    <t>8797503783</t>
  </si>
  <si>
    <t>9142638798</t>
  </si>
  <si>
    <t>7631080615</t>
  </si>
  <si>
    <t>8092876548</t>
  </si>
  <si>
    <t>9835734991</t>
  </si>
  <si>
    <t>8935911610</t>
  </si>
  <si>
    <t>945781980713</t>
  </si>
  <si>
    <t>553687107389</t>
  </si>
  <si>
    <t>630916339596</t>
  </si>
  <si>
    <t>361412589518</t>
  </si>
  <si>
    <t>713321092614</t>
  </si>
  <si>
    <t>325611543938</t>
  </si>
  <si>
    <t>910433211570</t>
  </si>
  <si>
    <t>350415093057</t>
  </si>
  <si>
    <t>324719436567</t>
  </si>
  <si>
    <t>941310393996</t>
  </si>
  <si>
    <t>517417666789</t>
  </si>
  <si>
    <t>9102364843</t>
  </si>
  <si>
    <t>6287855447</t>
  </si>
  <si>
    <t>6202319837</t>
  </si>
  <si>
    <t>Sundari Gounder</t>
  </si>
  <si>
    <t>647059373656</t>
  </si>
  <si>
    <t>8235432633</t>
  </si>
  <si>
    <t>Swarn Singh</t>
  </si>
  <si>
    <t>484021826371</t>
  </si>
  <si>
    <t>7233179949</t>
  </si>
  <si>
    <t>Md kalim akhtar</t>
  </si>
  <si>
    <t>8809996887</t>
  </si>
  <si>
    <t>Kusum Devi</t>
  </si>
  <si>
    <t>233765558136</t>
  </si>
  <si>
    <t>8092880723</t>
  </si>
  <si>
    <t>Kamrun Nisha</t>
  </si>
  <si>
    <t>396417033068</t>
  </si>
  <si>
    <t>Md Zaid Tausif</t>
  </si>
  <si>
    <t>583918358143</t>
  </si>
  <si>
    <t>7280090126</t>
  </si>
  <si>
    <t>SArita (aloka)</t>
  </si>
  <si>
    <t>Ganesh Pd Mahato</t>
  </si>
  <si>
    <t>Shailendra Sinha</t>
  </si>
  <si>
    <t>Anil Kumar</t>
  </si>
  <si>
    <t>Nickey Lohar</t>
  </si>
  <si>
    <t>Pinkey Kumari</t>
  </si>
  <si>
    <t>370964921185</t>
  </si>
  <si>
    <t>9523322522</t>
  </si>
  <si>
    <t>274099092022</t>
  </si>
  <si>
    <t>8235430848</t>
  </si>
  <si>
    <t>815661014507</t>
  </si>
  <si>
    <t>783732805496</t>
  </si>
  <si>
    <t>7808487570</t>
  </si>
  <si>
    <t>896326129627</t>
  </si>
  <si>
    <t>7209644519</t>
  </si>
  <si>
    <t>Lakshmi Devi</t>
  </si>
  <si>
    <t>Kamla Gorai</t>
  </si>
  <si>
    <t xml:space="preserve">  </t>
  </si>
  <si>
    <t>`</t>
  </si>
  <si>
    <t>7209441354</t>
  </si>
  <si>
    <t>dn</t>
  </si>
  <si>
    <t>Monoranjan Mal</t>
  </si>
  <si>
    <t>Anne Simran Toppo</t>
  </si>
  <si>
    <t>Ranjit Rajak</t>
  </si>
  <si>
    <t>Sanatan Bhumij</t>
  </si>
  <si>
    <t xml:space="preserve">ref. </t>
  </si>
  <si>
    <t>365671264635</t>
  </si>
  <si>
    <t>Sohan Tudu</t>
  </si>
  <si>
    <t>452415539727</t>
  </si>
  <si>
    <t>7667651298</t>
  </si>
  <si>
    <t>819305186279</t>
  </si>
  <si>
    <t>7764069145</t>
  </si>
  <si>
    <t>923983551361</t>
  </si>
  <si>
    <t>7903636798</t>
  </si>
  <si>
    <t>9142791675</t>
  </si>
  <si>
    <t>973068140189</t>
  </si>
  <si>
    <t>706990329246</t>
  </si>
  <si>
    <t>7061194051</t>
  </si>
  <si>
    <t>9031395162</t>
  </si>
  <si>
    <t>Jiten Dhibar</t>
  </si>
  <si>
    <t>917970107977</t>
  </si>
  <si>
    <t>8757450679</t>
  </si>
  <si>
    <t>Anjani Devi</t>
  </si>
  <si>
    <t>Grace Biswas</t>
  </si>
  <si>
    <t>Omika Biswas</t>
  </si>
  <si>
    <t>440486005288</t>
  </si>
  <si>
    <t>822146692732</t>
  </si>
  <si>
    <t>Shreshdhar gorai</t>
  </si>
  <si>
    <t>Priyanka Choudhary</t>
  </si>
  <si>
    <t>360807590828</t>
  </si>
  <si>
    <t>Akash Gorai</t>
  </si>
  <si>
    <t>Kakuli Bhakat</t>
  </si>
  <si>
    <t>Rukhsana Perween</t>
  </si>
  <si>
    <t>Tanushree Gorai</t>
  </si>
  <si>
    <t>7488713084</t>
  </si>
  <si>
    <t>9334817717</t>
  </si>
  <si>
    <t>242489367140</t>
  </si>
  <si>
    <t>957957505437</t>
  </si>
  <si>
    <t>9931412861</t>
  </si>
  <si>
    <t>785696465795</t>
  </si>
  <si>
    <t>9234418119</t>
  </si>
  <si>
    <t>9386741691</t>
  </si>
  <si>
    <t>Laxmi Devi</t>
  </si>
  <si>
    <t>Manisha Kumari</t>
  </si>
  <si>
    <t>Chabi Rani Ghosh</t>
  </si>
  <si>
    <t>Puja Karmakar</t>
  </si>
  <si>
    <t>Saibun Nisha</t>
  </si>
  <si>
    <t>Sayed Nasir Hussain</t>
  </si>
  <si>
    <t>Gopal Gorai</t>
  </si>
  <si>
    <t>Reena Devi</t>
  </si>
  <si>
    <t>6203562425</t>
  </si>
  <si>
    <t>9934326791</t>
  </si>
  <si>
    <t>206670183228</t>
  </si>
  <si>
    <t>7903578743</t>
  </si>
  <si>
    <t>9852503908</t>
  </si>
  <si>
    <t>884376634205</t>
  </si>
  <si>
    <t>9934828835</t>
  </si>
  <si>
    <t>7295913745</t>
  </si>
  <si>
    <t>9204689356</t>
  </si>
  <si>
    <t>prakashnagar</t>
  </si>
  <si>
    <t>Simraj Singh</t>
  </si>
  <si>
    <t>Pompa banerjee</t>
  </si>
  <si>
    <t>Gayari karmakar</t>
  </si>
  <si>
    <t>Ganga Mahato</t>
  </si>
  <si>
    <t>Usha Mandal</t>
  </si>
  <si>
    <t>Suchitra Mandal</t>
  </si>
  <si>
    <t>Neel Kamal Karmakar</t>
  </si>
  <si>
    <t>692254690525</t>
  </si>
  <si>
    <t>6200745641</t>
  </si>
  <si>
    <t>848224852921</t>
  </si>
  <si>
    <t>7667396287</t>
  </si>
  <si>
    <t>Ajay Choudhary</t>
  </si>
  <si>
    <t>7856938240</t>
  </si>
  <si>
    <t>Taniya Khatoon</t>
  </si>
  <si>
    <t>382549132559</t>
  </si>
  <si>
    <t>6206810491</t>
  </si>
  <si>
    <t xml:space="preserve">Sunil Kr Gupta </t>
  </si>
  <si>
    <t xml:space="preserve">Laxmi Mukhi </t>
  </si>
  <si>
    <t>743899123715</t>
  </si>
  <si>
    <t>8092879226</t>
  </si>
  <si>
    <t xml:space="preserve">Ritesh Tantubai </t>
  </si>
  <si>
    <t>308843988677</t>
  </si>
  <si>
    <t>987429598</t>
  </si>
  <si>
    <t>Haripada Sardar</t>
  </si>
  <si>
    <t>520347909159</t>
  </si>
  <si>
    <t>7209328193</t>
  </si>
  <si>
    <t>Sombari Munda</t>
  </si>
  <si>
    <t>212178309313</t>
  </si>
  <si>
    <t>9934921032</t>
  </si>
  <si>
    <t>Sudhir Gope</t>
  </si>
  <si>
    <t>705700010939</t>
  </si>
  <si>
    <t>9430368843</t>
  </si>
  <si>
    <t>Aditya Dutta</t>
  </si>
  <si>
    <t>9934768410</t>
  </si>
  <si>
    <t>Minu Devi</t>
  </si>
  <si>
    <t>614202494373</t>
  </si>
  <si>
    <t>6287749810</t>
  </si>
  <si>
    <t>Chunu Lohar</t>
  </si>
  <si>
    <t>719809434683</t>
  </si>
  <si>
    <t>6299651619</t>
  </si>
  <si>
    <t>Md Zishn Khan</t>
  </si>
  <si>
    <t>604844371026</t>
  </si>
  <si>
    <t>7779999572</t>
  </si>
  <si>
    <t>Rabi Gorai</t>
  </si>
  <si>
    <t>924120734316</t>
  </si>
  <si>
    <t>9693498476</t>
  </si>
  <si>
    <t>Bishwakarma Bhumij</t>
  </si>
  <si>
    <t>924006976148</t>
  </si>
  <si>
    <t>8340254035</t>
  </si>
  <si>
    <t>Arati Karmakar</t>
  </si>
  <si>
    <t>755743093100</t>
  </si>
  <si>
    <t>7543895185</t>
  </si>
  <si>
    <t>Anjum Singh</t>
  </si>
  <si>
    <t>615652452910</t>
  </si>
  <si>
    <t>Nisha Karmakar</t>
  </si>
  <si>
    <t>6204039748</t>
  </si>
  <si>
    <t xml:space="preserve"> 27-03-2021</t>
  </si>
  <si>
    <t xml:space="preserve">Shyampada </t>
  </si>
  <si>
    <t>928445723481</t>
  </si>
  <si>
    <t>Lila Chel</t>
  </si>
  <si>
    <t>615301411836</t>
  </si>
  <si>
    <t xml:space="preserve">Raghunath Sharma </t>
  </si>
  <si>
    <t>9117516522</t>
  </si>
  <si>
    <t>Shshila</t>
  </si>
  <si>
    <t>8235201453</t>
  </si>
  <si>
    <t>9801513788</t>
  </si>
  <si>
    <t>Subhashini Kaur</t>
  </si>
  <si>
    <t>Sunita Mukhi</t>
  </si>
  <si>
    <t>6201054032</t>
  </si>
  <si>
    <t>Punam Verma</t>
  </si>
  <si>
    <t>9931500514</t>
  </si>
  <si>
    <t>Madan Mahato</t>
  </si>
  <si>
    <t>8210359435</t>
  </si>
  <si>
    <t>Munna Dey</t>
  </si>
  <si>
    <t>Prasenjeet Sen</t>
  </si>
  <si>
    <t>8235947992</t>
  </si>
  <si>
    <t>403400082918</t>
  </si>
  <si>
    <t>Laxman Karmakar</t>
  </si>
  <si>
    <t>6287750373</t>
  </si>
  <si>
    <t>Lab Mardi</t>
  </si>
  <si>
    <t>423560237927</t>
  </si>
  <si>
    <t>9631681964</t>
  </si>
  <si>
    <t>Chandray Sardar</t>
  </si>
  <si>
    <t>590607055013</t>
  </si>
  <si>
    <t>8797974042</t>
  </si>
  <si>
    <t>Bhabfaran Khan</t>
  </si>
  <si>
    <t>870392464048</t>
  </si>
  <si>
    <t>9308383695</t>
  </si>
  <si>
    <t>D Suraj Kumar</t>
  </si>
  <si>
    <t>807955648303</t>
  </si>
  <si>
    <t>6205186357</t>
  </si>
  <si>
    <t xml:space="preserve">Shravani Bera </t>
  </si>
  <si>
    <t>570764110278</t>
  </si>
  <si>
    <t>693536456</t>
  </si>
  <si>
    <t>Astani Gorai</t>
  </si>
  <si>
    <t>316953250367</t>
  </si>
  <si>
    <t>7209418097</t>
  </si>
  <si>
    <t>Koyal Gorai</t>
  </si>
  <si>
    <t>8210811372</t>
  </si>
  <si>
    <t>Laxmi Rajak</t>
  </si>
  <si>
    <t>498088307519</t>
  </si>
  <si>
    <t>6204302709</t>
  </si>
  <si>
    <t>Jyoti Gorai</t>
  </si>
  <si>
    <t>548216641148</t>
  </si>
  <si>
    <t>Renu Hembram</t>
  </si>
  <si>
    <t>6203717079</t>
  </si>
  <si>
    <t>Hajra Begum</t>
  </si>
  <si>
    <t>763039901441</t>
  </si>
  <si>
    <t>Nazrin Begum</t>
  </si>
  <si>
    <t>436357599547</t>
  </si>
  <si>
    <t>7563917862</t>
  </si>
  <si>
    <t>Sonia  Sinha</t>
  </si>
  <si>
    <t>363011182015</t>
  </si>
  <si>
    <t>Kalabati Das</t>
  </si>
  <si>
    <t>336582741235</t>
  </si>
  <si>
    <t>Maisu Rahman</t>
  </si>
  <si>
    <t>450178083086</t>
  </si>
  <si>
    <t>8050255757</t>
  </si>
  <si>
    <t>Arindam  Chandra</t>
  </si>
  <si>
    <t>930756697927</t>
  </si>
  <si>
    <t>Rabita Tuhi</t>
  </si>
  <si>
    <t>619050394801</t>
  </si>
  <si>
    <t>Sanjay Gupta</t>
  </si>
  <si>
    <t>570120320658</t>
  </si>
  <si>
    <t>Davanti Devi</t>
  </si>
  <si>
    <t>261353939636</t>
  </si>
  <si>
    <t>7209237679</t>
  </si>
  <si>
    <t>Suraj Munda</t>
  </si>
  <si>
    <t>324716889979</t>
  </si>
  <si>
    <t>7903391084</t>
  </si>
  <si>
    <t>Bijay Singh</t>
  </si>
  <si>
    <t>219454920108</t>
  </si>
  <si>
    <t>7482901643</t>
  </si>
  <si>
    <t>Ritesh Mahato</t>
  </si>
  <si>
    <t>6202715369</t>
  </si>
  <si>
    <t>240978288481</t>
  </si>
  <si>
    <t>Sohan Ruhidas</t>
  </si>
  <si>
    <t>365264264498</t>
  </si>
  <si>
    <t>8092277716</t>
  </si>
  <si>
    <t>Prince Kumar</t>
  </si>
  <si>
    <t>560380774859</t>
  </si>
  <si>
    <t>Laxmi Ravidas</t>
  </si>
  <si>
    <t>769873348942</t>
  </si>
  <si>
    <t>7004752770</t>
  </si>
  <si>
    <t>Rubina Nazish</t>
  </si>
  <si>
    <t>751813936633</t>
  </si>
  <si>
    <t>9162567771</t>
  </si>
  <si>
    <t xml:space="preserve">Vijay Karwa </t>
  </si>
  <si>
    <t>614669748789</t>
  </si>
  <si>
    <t>8204116089</t>
  </si>
  <si>
    <t>Abhinav Srivastava</t>
  </si>
  <si>
    <t>620261459798</t>
  </si>
  <si>
    <t xml:space="preserve">Mohammad Mazamil </t>
  </si>
  <si>
    <t>428806977993</t>
  </si>
  <si>
    <t>7979026511</t>
  </si>
  <si>
    <t>Sima Mahato</t>
  </si>
  <si>
    <t>8521976635</t>
  </si>
  <si>
    <t>Afsana Perween</t>
  </si>
  <si>
    <t>929435610275</t>
  </si>
  <si>
    <t>9801608079</t>
  </si>
  <si>
    <t>Akamksha Sinha</t>
  </si>
  <si>
    <t>781184226496</t>
  </si>
  <si>
    <t>249228139960</t>
  </si>
  <si>
    <t>9204703536</t>
  </si>
  <si>
    <t>879978625634</t>
  </si>
  <si>
    <t>8797795705</t>
  </si>
  <si>
    <t>Kumkum Ravidas</t>
  </si>
  <si>
    <t>814216676462</t>
  </si>
  <si>
    <t>6206359557</t>
  </si>
  <si>
    <t>Shereen Akhtar</t>
  </si>
  <si>
    <t>285441445719</t>
  </si>
  <si>
    <t>8210165788</t>
  </si>
  <si>
    <t>Rina Sahis</t>
  </si>
  <si>
    <t>8092635350</t>
  </si>
  <si>
    <t>Kanhaiya Sahu</t>
  </si>
  <si>
    <t>337780894383</t>
  </si>
  <si>
    <t>666023342757</t>
  </si>
  <si>
    <t>Suresh Das</t>
  </si>
  <si>
    <t>621044379479</t>
  </si>
  <si>
    <t>9204668150</t>
  </si>
  <si>
    <t>Rahul Mandal</t>
  </si>
  <si>
    <t>976640409078</t>
  </si>
  <si>
    <t>9142640564</t>
  </si>
  <si>
    <t>Chinta Moni Devi</t>
  </si>
  <si>
    <t>391882044500</t>
  </si>
  <si>
    <t>6203388080</t>
  </si>
  <si>
    <t>Basnti Majumdar</t>
  </si>
  <si>
    <t>9204936533</t>
  </si>
  <si>
    <t>Asma Tabassum</t>
  </si>
  <si>
    <t>Chita  Mardi</t>
  </si>
  <si>
    <t>996667824591</t>
  </si>
  <si>
    <t>8797766601</t>
  </si>
  <si>
    <t>Nazrana Khatoon</t>
  </si>
  <si>
    <t>281618232707</t>
  </si>
  <si>
    <t>806246170750</t>
  </si>
  <si>
    <t>Reshm Ara</t>
  </si>
  <si>
    <t>672934138328</t>
  </si>
  <si>
    <t>Shab Ahmad Khan</t>
  </si>
  <si>
    <t>672984138328</t>
  </si>
  <si>
    <t>Umash Prasad</t>
  </si>
  <si>
    <t>897346671582</t>
  </si>
  <si>
    <t>6207347339</t>
  </si>
  <si>
    <t>Shabeen Bano</t>
  </si>
  <si>
    <t>617989433249</t>
  </si>
  <si>
    <t>Suku Mardi</t>
  </si>
  <si>
    <t>839668772173</t>
  </si>
  <si>
    <t>9142687456</t>
  </si>
  <si>
    <t>Nikhil Binay</t>
  </si>
  <si>
    <t>8863080153</t>
  </si>
  <si>
    <t>Tarani Mahato</t>
  </si>
  <si>
    <t>Veer Sandil</t>
  </si>
  <si>
    <t>9142617014</t>
  </si>
  <si>
    <t xml:space="preserve">Juhi Khanam </t>
  </si>
  <si>
    <t>6202304685</t>
  </si>
  <si>
    <t>Ajay Rantay</t>
  </si>
  <si>
    <t>9631500927</t>
  </si>
  <si>
    <t>Divya Kumari</t>
  </si>
  <si>
    <t>8434665190</t>
  </si>
  <si>
    <t>Sk Sufyan Hussain</t>
  </si>
  <si>
    <t>834064363</t>
  </si>
  <si>
    <t>Nandlal Gorai</t>
  </si>
  <si>
    <t>6209656635</t>
  </si>
  <si>
    <t>Rounak Naag</t>
  </si>
  <si>
    <t>9661504263</t>
  </si>
  <si>
    <t>Nikhil Kumar Soni</t>
  </si>
  <si>
    <t>636085099343</t>
  </si>
  <si>
    <t>9097021528</t>
  </si>
  <si>
    <t>Riya Kumari</t>
  </si>
  <si>
    <t>8235234241</t>
  </si>
  <si>
    <t>Bheem Panday</t>
  </si>
  <si>
    <t>293048359760</t>
  </si>
  <si>
    <t>Shobha  Karmakar</t>
  </si>
  <si>
    <t>6203366288</t>
  </si>
  <si>
    <t>Prity Sinha</t>
  </si>
  <si>
    <t>954919611489</t>
  </si>
  <si>
    <t>8709605789</t>
  </si>
  <si>
    <t>Ritik Kumar</t>
  </si>
  <si>
    <t>360789758176</t>
  </si>
  <si>
    <t>9234719976</t>
  </si>
  <si>
    <t>Harsh Vardan</t>
  </si>
  <si>
    <t>762430920508</t>
  </si>
  <si>
    <t>9199853347</t>
  </si>
  <si>
    <t>Roshan Kumar</t>
  </si>
  <si>
    <t>470314942517</t>
  </si>
  <si>
    <t>9031925401</t>
  </si>
  <si>
    <t>7209320530</t>
  </si>
  <si>
    <t>Laxmi Gagrai</t>
  </si>
  <si>
    <t>761482334032</t>
  </si>
  <si>
    <t>7762858166</t>
  </si>
  <si>
    <t>Sujit Mardi</t>
  </si>
  <si>
    <t>685978364609</t>
  </si>
  <si>
    <t>9031821116</t>
  </si>
  <si>
    <t>Bhavya Kumari</t>
  </si>
  <si>
    <t>499747224180</t>
  </si>
  <si>
    <t>9334416638</t>
  </si>
  <si>
    <t>406977726610</t>
  </si>
  <si>
    <t>7004848414</t>
  </si>
  <si>
    <t>545490525975</t>
  </si>
  <si>
    <t>9608783507</t>
  </si>
  <si>
    <t>Zeenat Perween</t>
  </si>
  <si>
    <t>941456388789</t>
  </si>
  <si>
    <t>9934860701</t>
  </si>
  <si>
    <t>929287168441</t>
  </si>
  <si>
    <t>9199293212</t>
  </si>
  <si>
    <t>Krishna Rani Sahu</t>
  </si>
  <si>
    <t>629511677654</t>
  </si>
  <si>
    <t>9279997369</t>
  </si>
  <si>
    <t>Parbati Khan</t>
  </si>
  <si>
    <t>440167858776</t>
  </si>
  <si>
    <t>9693375076</t>
  </si>
  <si>
    <t>Bhashwati Sahu</t>
  </si>
  <si>
    <t>396508728443</t>
  </si>
  <si>
    <t>9031505612</t>
  </si>
  <si>
    <t>Namita Ghosh</t>
  </si>
  <si>
    <t>262066205351</t>
  </si>
  <si>
    <t>9835997971</t>
  </si>
  <si>
    <t>Mangal Machchawa</t>
  </si>
  <si>
    <t>264970773314</t>
  </si>
  <si>
    <t>8825214668</t>
  </si>
  <si>
    <t>Anita Gorai</t>
  </si>
  <si>
    <t>243021157915</t>
  </si>
  <si>
    <t>8084688013</t>
  </si>
  <si>
    <t>Karishna Kumar Singh</t>
  </si>
  <si>
    <t>249782593420</t>
  </si>
  <si>
    <t>7488723684</t>
  </si>
  <si>
    <t>Riyu Giri</t>
  </si>
  <si>
    <t>592077606992</t>
  </si>
  <si>
    <t>9061274078</t>
  </si>
  <si>
    <t>Manoj Sahu</t>
  </si>
  <si>
    <t>861114682356</t>
  </si>
  <si>
    <t>8603102217</t>
  </si>
  <si>
    <t>Gita Sinha</t>
  </si>
  <si>
    <t>357217334769</t>
  </si>
  <si>
    <t>Debdali Sahu</t>
  </si>
  <si>
    <t>9931466642</t>
  </si>
  <si>
    <t>9162961347</t>
  </si>
  <si>
    <t>Geeta Sahu</t>
  </si>
  <si>
    <t>8789682635</t>
  </si>
  <si>
    <t>Munnum Sahu</t>
  </si>
  <si>
    <t>435780105513</t>
  </si>
  <si>
    <t>8797210630</t>
  </si>
  <si>
    <t>Urmila Garai</t>
  </si>
  <si>
    <t>693386484399</t>
  </si>
  <si>
    <t>6200073337</t>
  </si>
  <si>
    <t>Dimpla Mukhi</t>
  </si>
  <si>
    <t>260805961641</t>
  </si>
  <si>
    <t>6204995826</t>
  </si>
  <si>
    <t>Chintapali Deepika</t>
  </si>
  <si>
    <t>414623607239</t>
  </si>
  <si>
    <t>9204879622</t>
  </si>
  <si>
    <t>Kala Nayak</t>
  </si>
  <si>
    <t>326416999127</t>
  </si>
  <si>
    <t>9430113329</t>
  </si>
  <si>
    <t>Shomya Singh</t>
  </si>
  <si>
    <t>568548116870</t>
  </si>
  <si>
    <t>8603865392</t>
  </si>
  <si>
    <t>Diyam Singh</t>
  </si>
  <si>
    <t>306291876766</t>
  </si>
  <si>
    <t>Sabitri Singh</t>
  </si>
  <si>
    <t>759188380800</t>
  </si>
  <si>
    <t>6204417471</t>
  </si>
  <si>
    <t>Rama Shankar Sharma</t>
  </si>
  <si>
    <t>471586229542</t>
  </si>
  <si>
    <t>9209091621</t>
  </si>
  <si>
    <t>Puja Ravidas</t>
  </si>
  <si>
    <t>7808181704</t>
  </si>
  <si>
    <t>779347789057</t>
  </si>
  <si>
    <t>03.-01-2022</t>
  </si>
  <si>
    <t>Malti Das</t>
  </si>
  <si>
    <t>855085090145</t>
  </si>
  <si>
    <t>9508977896</t>
  </si>
  <si>
    <t>Sushma Bera</t>
  </si>
  <si>
    <t>900437759382</t>
  </si>
  <si>
    <t>8002834011</t>
  </si>
  <si>
    <t>Shiv Shankar Sahu</t>
  </si>
  <si>
    <t>409185682776</t>
  </si>
  <si>
    <t>7209366181</t>
  </si>
  <si>
    <t>Suresh Tudu</t>
  </si>
  <si>
    <t>204670827523</t>
  </si>
  <si>
    <t>6206759727</t>
  </si>
  <si>
    <t>Sonali Sinha</t>
  </si>
  <si>
    <t>915644266829</t>
  </si>
  <si>
    <t>9905310732</t>
  </si>
  <si>
    <t>Sushila Das</t>
  </si>
  <si>
    <t>313597998734</t>
  </si>
  <si>
    <t>Mehrun Nish</t>
  </si>
  <si>
    <t>870743574669</t>
  </si>
  <si>
    <t>Saraswati  Devi</t>
  </si>
  <si>
    <t>752010130106</t>
  </si>
  <si>
    <t>8797831300</t>
  </si>
  <si>
    <t>Dipak Kumar Tiwary</t>
  </si>
  <si>
    <t>211900874456</t>
  </si>
  <si>
    <t>9798401288</t>
  </si>
  <si>
    <t>Samima Bano</t>
  </si>
  <si>
    <t>648353244443</t>
  </si>
  <si>
    <t>8797471898</t>
  </si>
  <si>
    <t>Anand Kumar Verma</t>
  </si>
  <si>
    <t>841448277413</t>
  </si>
  <si>
    <t>638614206</t>
  </si>
  <si>
    <t>Sonu Kumar</t>
  </si>
  <si>
    <t>8873500292</t>
  </si>
  <si>
    <t>586703201205</t>
  </si>
  <si>
    <t>8210789697</t>
  </si>
  <si>
    <t>Mangal Lohar</t>
  </si>
  <si>
    <t>779070912908</t>
  </si>
  <si>
    <t>9973050543</t>
  </si>
  <si>
    <t>Md Sammer</t>
  </si>
  <si>
    <t>481976304734</t>
  </si>
  <si>
    <t>9341357659</t>
  </si>
  <si>
    <t>Ashish Kumar Shukla</t>
  </si>
  <si>
    <t>908912125183</t>
  </si>
  <si>
    <t>7482895662</t>
  </si>
  <si>
    <t>Khursida Khanam</t>
  </si>
  <si>
    <t>422915637807</t>
  </si>
  <si>
    <t>9931110369</t>
  </si>
  <si>
    <t>Gracy John Dcruze</t>
  </si>
  <si>
    <t>880095589760</t>
  </si>
  <si>
    <t>6206420493</t>
  </si>
  <si>
    <t>Abdul Hasib</t>
  </si>
  <si>
    <t>407256875205</t>
  </si>
  <si>
    <t>8603717388</t>
  </si>
  <si>
    <t>Antu Kumar</t>
  </si>
  <si>
    <t>605967685548</t>
  </si>
  <si>
    <t>8207352736</t>
  </si>
  <si>
    <t>Jhuma Ghosh</t>
  </si>
  <si>
    <t>Krishna Das</t>
  </si>
  <si>
    <t>458488844906</t>
  </si>
  <si>
    <t>6206534553</t>
  </si>
  <si>
    <t>Sangita Kumari</t>
  </si>
  <si>
    <t>376725573144</t>
  </si>
  <si>
    <t>7782852522</t>
  </si>
  <si>
    <t>M  Priya Raju</t>
  </si>
  <si>
    <t>407727770897</t>
  </si>
  <si>
    <t>6204543818</t>
  </si>
  <si>
    <t>Suraj Gorai</t>
  </si>
  <si>
    <t>996462337647</t>
  </si>
  <si>
    <t>8235430823</t>
  </si>
  <si>
    <t>Nasima Khatoon</t>
  </si>
  <si>
    <t>Raju Mahato</t>
  </si>
  <si>
    <t>933574454603</t>
  </si>
  <si>
    <t>6207364363</t>
  </si>
  <si>
    <t>591274612077</t>
  </si>
  <si>
    <t>9262511827</t>
  </si>
  <si>
    <t>Anjali Sarkar</t>
  </si>
  <si>
    <t>446797324710</t>
  </si>
  <si>
    <t>8235520741</t>
  </si>
  <si>
    <t>Champa Devi</t>
  </si>
  <si>
    <t>908791070259</t>
  </si>
  <si>
    <t>8674893988</t>
  </si>
  <si>
    <t>Nidhi Kumari</t>
  </si>
  <si>
    <t>7295016231</t>
  </si>
  <si>
    <t>Sahil Lohar</t>
  </si>
  <si>
    <t>9304431703</t>
  </si>
  <si>
    <t>Ankita Shree</t>
  </si>
  <si>
    <t>9534138257</t>
  </si>
  <si>
    <t>Balbinder Prasad Verma</t>
  </si>
  <si>
    <t>8092635915</t>
  </si>
  <si>
    <t>Madhu Kumari</t>
  </si>
  <si>
    <t>815172832780</t>
  </si>
  <si>
    <t>9263801745</t>
  </si>
  <si>
    <t>Viswanth Gope</t>
  </si>
  <si>
    <t>585545224488</t>
  </si>
  <si>
    <t>8797750025</t>
  </si>
  <si>
    <t>Vinay Ranjan Sarswati</t>
  </si>
  <si>
    <t>Sharda Devi</t>
  </si>
  <si>
    <t>229334892079</t>
  </si>
  <si>
    <t>9102141974</t>
  </si>
  <si>
    <t>Priyanka Kumari Singh</t>
  </si>
  <si>
    <t>373027750568</t>
  </si>
  <si>
    <t>9835636683</t>
  </si>
  <si>
    <t>Bulbul Adhikari</t>
  </si>
  <si>
    <t>223888348940</t>
  </si>
  <si>
    <t>8240116092</t>
  </si>
  <si>
    <t>Bijeta Kumari</t>
  </si>
  <si>
    <t>757201019297</t>
  </si>
  <si>
    <t>9199785912</t>
  </si>
  <si>
    <t>Dhiren Das</t>
  </si>
  <si>
    <t>438208524613</t>
  </si>
  <si>
    <t>8294412011</t>
  </si>
  <si>
    <t>Hena Naaz</t>
  </si>
  <si>
    <t>542246629936</t>
  </si>
  <si>
    <t>Momani Das</t>
  </si>
  <si>
    <t>8340171127</t>
  </si>
  <si>
    <t>Ayan Ali</t>
  </si>
  <si>
    <t>759474219396</t>
  </si>
  <si>
    <t>8797023758</t>
  </si>
  <si>
    <t>Md Farhaan Ali</t>
  </si>
  <si>
    <t>249912727146</t>
  </si>
  <si>
    <t>Roshan Mukhi</t>
  </si>
  <si>
    <t>312804739677</t>
  </si>
  <si>
    <t xml:space="preserve"> Shashank Pathk</t>
  </si>
  <si>
    <t>4872</t>
  </si>
  <si>
    <t>4875</t>
  </si>
  <si>
    <t>4877</t>
  </si>
  <si>
    <t>Aayush Sharma</t>
  </si>
  <si>
    <t>Jabarani Gorai</t>
  </si>
  <si>
    <t>Devanti Devi</t>
  </si>
  <si>
    <t>306222004872</t>
  </si>
  <si>
    <t>7209587049</t>
  </si>
  <si>
    <t>983849879746</t>
  </si>
  <si>
    <t>9939292520</t>
  </si>
  <si>
    <t>950585519484</t>
  </si>
  <si>
    <t>8757852550</t>
  </si>
  <si>
    <t>4879</t>
  </si>
  <si>
    <t>4880</t>
  </si>
  <si>
    <t>Shreya Srivastava</t>
  </si>
  <si>
    <t>Riya Srivastva</t>
  </si>
  <si>
    <t>4883</t>
  </si>
  <si>
    <t>4884</t>
  </si>
  <si>
    <t>4885</t>
  </si>
  <si>
    <t>Anupama Pathak</t>
  </si>
  <si>
    <t>Monika Sahu</t>
  </si>
  <si>
    <t>Rohan Lohar</t>
  </si>
  <si>
    <t>9123435076</t>
  </si>
  <si>
    <t>6206925891</t>
  </si>
  <si>
    <t>8709346998</t>
  </si>
  <si>
    <t>207628456910</t>
  </si>
  <si>
    <t>590488350571</t>
  </si>
  <si>
    <t>P</t>
  </si>
  <si>
    <t>4886</t>
  </si>
  <si>
    <t>4887</t>
  </si>
  <si>
    <t>4888</t>
  </si>
  <si>
    <t>4890</t>
  </si>
  <si>
    <t>4891</t>
  </si>
  <si>
    <t>4892</t>
  </si>
  <si>
    <t>4893</t>
  </si>
  <si>
    <t>4894</t>
  </si>
  <si>
    <t>4897</t>
  </si>
  <si>
    <t>4904</t>
  </si>
  <si>
    <t>Rita Purty</t>
  </si>
  <si>
    <t>Biswajit nayak</t>
  </si>
  <si>
    <t>Mohammad Sahid</t>
  </si>
  <si>
    <t>Priyanka Ranjan</t>
  </si>
  <si>
    <t>Raju Lohar</t>
  </si>
  <si>
    <t>Gouri Pathak</t>
  </si>
  <si>
    <t>Keshab Kumar</t>
  </si>
  <si>
    <t>Tarjan Kumar Singh</t>
  </si>
  <si>
    <t>Barsha Gorai</t>
  </si>
  <si>
    <t>46890699755</t>
  </si>
  <si>
    <t>887118318</t>
  </si>
  <si>
    <t>7549044812</t>
  </si>
  <si>
    <t>460300141032</t>
  </si>
  <si>
    <t>800714607768</t>
  </si>
  <si>
    <t>8002402987</t>
  </si>
  <si>
    <t>926988450557</t>
  </si>
  <si>
    <t>618986810825</t>
  </si>
  <si>
    <t>399954955415</t>
  </si>
  <si>
    <t>952710201137</t>
  </si>
  <si>
    <t>694586712132</t>
  </si>
  <si>
    <t>994645590782</t>
  </si>
  <si>
    <t>9304221855</t>
  </si>
  <si>
    <t>6206060352</t>
  </si>
  <si>
    <t>8797275426</t>
  </si>
  <si>
    <t>6202061213</t>
  </si>
  <si>
    <t>9041471565</t>
  </si>
  <si>
    <t>7870811781</t>
  </si>
  <si>
    <t>9031268093</t>
  </si>
  <si>
    <t>85430748049</t>
  </si>
  <si>
    <t xml:space="preserve">Pratima Kundu </t>
  </si>
  <si>
    <t>Rnagar</t>
  </si>
  <si>
    <t>Transaction Register</t>
  </si>
  <si>
    <t>A/c No</t>
  </si>
  <si>
    <t>Mobile</t>
  </si>
  <si>
    <t>TRN</t>
  </si>
  <si>
    <t>Wdr</t>
  </si>
  <si>
    <t>Dep</t>
  </si>
  <si>
    <t>Bal</t>
  </si>
  <si>
    <t>Remakr</t>
  </si>
  <si>
    <t>81-4654</t>
  </si>
  <si>
    <t>81-4146</t>
  </si>
  <si>
    <t>05-0024</t>
  </si>
  <si>
    <t>murshida</t>
  </si>
  <si>
    <t>81-4804</t>
  </si>
  <si>
    <t>02-0050</t>
  </si>
  <si>
    <t>New Acc</t>
  </si>
  <si>
    <t>81-4906</t>
  </si>
  <si>
    <t>Salim Khan</t>
  </si>
  <si>
    <t>UBGB</t>
  </si>
  <si>
    <t>Simpi Kumari</t>
  </si>
  <si>
    <t>MBGB</t>
  </si>
  <si>
    <t>81-4907</t>
  </si>
  <si>
    <t>Irfan Ahmad</t>
  </si>
  <si>
    <t>81-3228</t>
  </si>
  <si>
    <t>indusind</t>
  </si>
  <si>
    <t>81-4908</t>
  </si>
  <si>
    <t>4906</t>
  </si>
  <si>
    <t>4907</t>
  </si>
  <si>
    <t>4908</t>
  </si>
  <si>
    <t>Amar Karua</t>
  </si>
  <si>
    <t>7453445689</t>
  </si>
  <si>
    <t>924121909</t>
  </si>
  <si>
    <t>bngr</t>
  </si>
  <si>
    <t>8092669891</t>
  </si>
  <si>
    <t>271254351451</t>
  </si>
  <si>
    <t>8092301685</t>
  </si>
  <si>
    <t>627376807331</t>
  </si>
  <si>
    <t>4910</t>
  </si>
  <si>
    <t>Shani Fatma</t>
  </si>
  <si>
    <t>413743463869</t>
  </si>
  <si>
    <t>7209627589</t>
  </si>
  <si>
    <t>81-4910</t>
  </si>
  <si>
    <t>Shami Fatma</t>
  </si>
  <si>
    <t>yamuna murmu</t>
  </si>
  <si>
    <t>canara bara</t>
  </si>
  <si>
    <t>BIO</t>
  </si>
  <si>
    <t>81-4911</t>
  </si>
  <si>
    <t>Khushi Singh</t>
  </si>
  <si>
    <t>4911</t>
  </si>
  <si>
    <t>colo</t>
  </si>
  <si>
    <t>303695082034</t>
  </si>
  <si>
    <t>8102699465</t>
  </si>
  <si>
    <t>81-4868</t>
  </si>
  <si>
    <t>Gorai</t>
  </si>
  <si>
    <t>Arindum</t>
  </si>
  <si>
    <t>bc reward</t>
  </si>
  <si>
    <t>Apr comm</t>
  </si>
  <si>
    <t>81-2100</t>
  </si>
  <si>
    <t>81-2528</t>
  </si>
  <si>
    <t>jyoti</t>
  </si>
  <si>
    <t>Pratima Kundu</t>
  </si>
  <si>
    <t>81-1692</t>
  </si>
  <si>
    <t>S Sita</t>
  </si>
  <si>
    <t>Nutan Devi</t>
  </si>
  <si>
    <t>Karan Gorai</t>
  </si>
  <si>
    <t>4912</t>
  </si>
  <si>
    <t>4916</t>
  </si>
  <si>
    <t>309690967176</t>
  </si>
  <si>
    <t>8603616953</t>
  </si>
  <si>
    <t>568312555387</t>
  </si>
  <si>
    <t>81-4917</t>
  </si>
  <si>
    <t>Mahak Singh</t>
  </si>
  <si>
    <t>81-4912</t>
  </si>
  <si>
    <t>4917</t>
  </si>
  <si>
    <t>736891812550</t>
  </si>
  <si>
    <t>7761972059</t>
  </si>
  <si>
    <t>Nishi Kant Pathak</t>
  </si>
  <si>
    <t>gramin ban</t>
  </si>
  <si>
    <t>81-4919</t>
  </si>
  <si>
    <t>Roshani Munda</t>
  </si>
  <si>
    <t>4919</t>
  </si>
  <si>
    <t>4920</t>
  </si>
  <si>
    <t>Mohammad Qwais</t>
  </si>
  <si>
    <t>491005018497</t>
  </si>
  <si>
    <t>81-4920</t>
  </si>
  <si>
    <t>Md Qwais</t>
  </si>
  <si>
    <t>cash Deposited</t>
  </si>
  <si>
    <t>446321382287</t>
  </si>
  <si>
    <t>9031903507</t>
  </si>
  <si>
    <t>8804222186</t>
  </si>
  <si>
    <t>CBI</t>
  </si>
  <si>
    <t>Sabana</t>
  </si>
  <si>
    <t>4922</t>
  </si>
  <si>
    <t>Mohit Raj</t>
  </si>
  <si>
    <t>204037358187</t>
  </si>
  <si>
    <t>9263955498</t>
  </si>
  <si>
    <t>4923</t>
  </si>
  <si>
    <t>Sweta Kumari</t>
  </si>
  <si>
    <t>915579672917</t>
  </si>
  <si>
    <t>9102588612</t>
  </si>
  <si>
    <t>81-4922</t>
  </si>
  <si>
    <t>81-4923</t>
  </si>
  <si>
    <t>weta Kumari</t>
  </si>
  <si>
    <t>81-4547</t>
  </si>
  <si>
    <t>Prasenjit sen</t>
  </si>
  <si>
    <t>81-4924</t>
  </si>
  <si>
    <t>Haleema khatoon</t>
  </si>
  <si>
    <t>IB</t>
  </si>
  <si>
    <t>Ankit kr singh</t>
  </si>
  <si>
    <t>81-3557</t>
  </si>
  <si>
    <t>Rampati Devi</t>
  </si>
  <si>
    <t>191181-3679</t>
  </si>
  <si>
    <t>latifa bibi</t>
  </si>
  <si>
    <t>81-4136</t>
  </si>
  <si>
    <t>pnb</t>
  </si>
  <si>
    <t>81-4926</t>
  </si>
  <si>
    <t>Snigdha Singh</t>
  </si>
  <si>
    <t>487396596275</t>
  </si>
  <si>
    <t>Champa Gorai</t>
  </si>
  <si>
    <t>Malyon</t>
  </si>
  <si>
    <t>81-4927</t>
  </si>
  <si>
    <t>Dinesh Kumar</t>
  </si>
  <si>
    <t>md salimuddin</t>
  </si>
  <si>
    <t>priti dev nath</t>
  </si>
  <si>
    <t>81-4902</t>
  </si>
  <si>
    <t>4928</t>
  </si>
  <si>
    <t>Fateh kanwal</t>
  </si>
  <si>
    <t>7488688323</t>
  </si>
  <si>
    <t>406864402418</t>
  </si>
  <si>
    <t>4927</t>
  </si>
  <si>
    <t>10-0-1982</t>
  </si>
  <si>
    <t>380038137995</t>
  </si>
  <si>
    <t>8235242321</t>
  </si>
  <si>
    <t>6202428580</t>
  </si>
  <si>
    <t>4929</t>
  </si>
  <si>
    <t>81-4928</t>
  </si>
  <si>
    <t>81-4929</t>
  </si>
  <si>
    <t>Suna Mahto</t>
  </si>
  <si>
    <t>81-4478</t>
  </si>
  <si>
    <t>ICICI</t>
  </si>
  <si>
    <t>Rajendra Kumar</t>
  </si>
  <si>
    <t>O/B</t>
  </si>
  <si>
    <t>81-2113</t>
  </si>
  <si>
    <t>sabita mukhi</t>
  </si>
  <si>
    <t>uboi</t>
  </si>
  <si>
    <t>achchhe lal pd singh</t>
  </si>
  <si>
    <t>uttam kumar</t>
  </si>
  <si>
    <t>pushpam singh</t>
  </si>
  <si>
    <t>Reboti Nayak</t>
  </si>
  <si>
    <t>sameer mahato</t>
  </si>
  <si>
    <t>81-4930</t>
  </si>
  <si>
    <t>4930</t>
  </si>
  <si>
    <t>7667080892</t>
  </si>
  <si>
    <t>00180100019838</t>
  </si>
  <si>
    <t>sangita Kumri</t>
  </si>
  <si>
    <t>81-4791</t>
  </si>
  <si>
    <t>kajal kachhap</t>
  </si>
  <si>
    <t>nutan devi</t>
  </si>
  <si>
    <t>jyoti verma</t>
  </si>
  <si>
    <t>81-4619</t>
  </si>
  <si>
    <t>p l mahato</t>
  </si>
  <si>
    <t>51-4931</t>
  </si>
  <si>
    <t>Pushpam singh</t>
  </si>
  <si>
    <t>Maa Durga</t>
  </si>
  <si>
    <t>withdraw</t>
  </si>
  <si>
    <t>depo</t>
  </si>
  <si>
    <t>trnsfer</t>
  </si>
  <si>
    <t>01-1115</t>
  </si>
  <si>
    <t>Sanchuri munda</t>
  </si>
  <si>
    <t>shailendr sinha</t>
  </si>
  <si>
    <t>subodh</t>
  </si>
  <si>
    <t>lalbihari gupta</t>
  </si>
  <si>
    <t>81-4932</t>
  </si>
  <si>
    <t>Ashish Biswas</t>
  </si>
  <si>
    <t>81-3343</t>
  </si>
  <si>
    <t>Md Affan</t>
  </si>
  <si>
    <t>81-4933</t>
  </si>
  <si>
    <t>4931</t>
  </si>
  <si>
    <t>4932</t>
  </si>
  <si>
    <t>4933</t>
  </si>
  <si>
    <t>Mohammad Affan</t>
  </si>
  <si>
    <t>640816323244</t>
  </si>
  <si>
    <t>Ashishh Biswas</t>
  </si>
  <si>
    <t>7209938525</t>
  </si>
  <si>
    <t>942501152414</t>
  </si>
  <si>
    <t>Faizan Ansari</t>
  </si>
  <si>
    <t>494675798423</t>
  </si>
  <si>
    <t>7367807830</t>
  </si>
  <si>
    <t>Shankhjeet Sahu</t>
  </si>
  <si>
    <t>695659128791</t>
  </si>
  <si>
    <t>Suna Mahato</t>
  </si>
  <si>
    <t>648343102762</t>
  </si>
  <si>
    <t>81-4934</t>
  </si>
  <si>
    <t>Rashida Khatoon</t>
  </si>
  <si>
    <t>4934</t>
  </si>
  <si>
    <t>824225434232</t>
  </si>
  <si>
    <t>9264202291</t>
  </si>
  <si>
    <t>81-4936</t>
  </si>
  <si>
    <t>81-4935</t>
  </si>
  <si>
    <t>susma maity</t>
  </si>
  <si>
    <t>Susma Maity</t>
  </si>
  <si>
    <t>4935</t>
  </si>
  <si>
    <t>4936</t>
  </si>
  <si>
    <t>753021420415</t>
  </si>
  <si>
    <t>8092809721</t>
  </si>
  <si>
    <t>220191165533</t>
  </si>
  <si>
    <t>9031397941</t>
  </si>
  <si>
    <t>81-4937</t>
  </si>
  <si>
    <t>PMT</t>
  </si>
  <si>
    <t>may22 commission</t>
  </si>
  <si>
    <t>gudiya devi</t>
  </si>
  <si>
    <t>panna lal mahato</t>
  </si>
  <si>
    <t>sangita</t>
  </si>
  <si>
    <t>laxmi di</t>
  </si>
  <si>
    <t>81-2189</t>
  </si>
  <si>
    <t>rtax</t>
  </si>
  <si>
    <t>05-00024</t>
  </si>
  <si>
    <t>shubham</t>
  </si>
  <si>
    <t>To Pay</t>
  </si>
  <si>
    <t>uphar kr singh</t>
  </si>
  <si>
    <t>bijay</t>
  </si>
  <si>
    <t>akash</t>
  </si>
  <si>
    <t>895107760101</t>
  </si>
  <si>
    <t>Abhinav Kumar</t>
  </si>
  <si>
    <t>81-01973</t>
  </si>
  <si>
    <t>sahil lohar</t>
  </si>
  <si>
    <t>shanti devi</t>
  </si>
  <si>
    <t>81-1818</t>
  </si>
  <si>
    <t>mallika</t>
  </si>
  <si>
    <t>usha singh</t>
  </si>
  <si>
    <t>konda nayak</t>
  </si>
  <si>
    <t>deo dulal mahato</t>
  </si>
  <si>
    <t>canara</t>
  </si>
  <si>
    <t>dev raj nayak</t>
  </si>
  <si>
    <t>manoj nayek</t>
  </si>
  <si>
    <t>durga ele</t>
  </si>
  <si>
    <t>nimbus</t>
  </si>
  <si>
    <t>loan rcovry</t>
  </si>
  <si>
    <t>interest</t>
  </si>
  <si>
    <t>t.c.</t>
  </si>
  <si>
    <t>icici</t>
  </si>
  <si>
    <t>81-4840</t>
  </si>
  <si>
    <t>RANJIT RAJAK</t>
  </si>
  <si>
    <t>rahul kr thakur</t>
  </si>
  <si>
    <t>Tunin Barua</t>
  </si>
  <si>
    <t>81-4941</t>
  </si>
  <si>
    <t>Ganesh Panda</t>
  </si>
  <si>
    <t>804515456350</t>
  </si>
  <si>
    <t>withdrawal</t>
  </si>
  <si>
    <t>fultron- 7367823130</t>
  </si>
  <si>
    <t>Sabana Khatoon</t>
  </si>
  <si>
    <t>4941</t>
  </si>
  <si>
    <t>4939</t>
  </si>
  <si>
    <t>4942</t>
  </si>
  <si>
    <t>Sonal Kumari</t>
  </si>
  <si>
    <t>849488703213</t>
  </si>
  <si>
    <t>7209932800</t>
  </si>
  <si>
    <t>swapan kr mahato</t>
  </si>
  <si>
    <t>81-4942</t>
  </si>
  <si>
    <t>SONAL KUMARI</t>
  </si>
  <si>
    <t>81-4943</t>
  </si>
  <si>
    <t>Faizal Adnaan</t>
  </si>
  <si>
    <t>81-4944</t>
  </si>
  <si>
    <t>bijay peripheral</t>
  </si>
  <si>
    <t>4943</t>
  </si>
  <si>
    <t>4944</t>
  </si>
  <si>
    <t>4945</t>
  </si>
  <si>
    <t>Rajan Thakur</t>
  </si>
  <si>
    <t>835738350746</t>
  </si>
  <si>
    <t>937042264353</t>
  </si>
  <si>
    <t>Faisal Adnaan</t>
  </si>
  <si>
    <t>969950062356</t>
  </si>
  <si>
    <t>81-0611</t>
  </si>
  <si>
    <t>Gudiya Devi</t>
  </si>
  <si>
    <t>81-0576</t>
  </si>
  <si>
    <t>Rajesh Sen</t>
  </si>
  <si>
    <t>81-4946</t>
  </si>
  <si>
    <t>Maltu Gorai</t>
  </si>
  <si>
    <t>476632821799</t>
  </si>
  <si>
    <t>BLZPG8819C</t>
  </si>
  <si>
    <t>4946</t>
  </si>
  <si>
    <t>81-4945</t>
  </si>
  <si>
    <t>Ranjan Thakur</t>
  </si>
  <si>
    <t>comm june</t>
  </si>
  <si>
    <t>sen</t>
  </si>
  <si>
    <t>81-4884</t>
  </si>
  <si>
    <t>Monita Sahu</t>
  </si>
  <si>
    <t>shobha</t>
  </si>
  <si>
    <t>81-3148</t>
  </si>
  <si>
    <t>soni Devi</t>
  </si>
  <si>
    <t>stock insurance</t>
  </si>
  <si>
    <t>81-4605</t>
  </si>
  <si>
    <t>Nazrin begum</t>
  </si>
  <si>
    <t>sunaina devi</t>
  </si>
  <si>
    <t>01-2464</t>
  </si>
  <si>
    <t>savitadevi</t>
  </si>
  <si>
    <t>81-4832</t>
  </si>
  <si>
    <t>ubgb</t>
  </si>
  <si>
    <t>manoj kumra</t>
  </si>
  <si>
    <t>4832</t>
  </si>
  <si>
    <t>0935</t>
  </si>
  <si>
    <t>Purnima tanti</t>
  </si>
  <si>
    <t>51-0504</t>
  </si>
  <si>
    <t>reboti nayak</t>
  </si>
  <si>
    <t>81-4948</t>
  </si>
  <si>
    <t>indian bank</t>
  </si>
  <si>
    <t>swarup shit</t>
  </si>
  <si>
    <t>81-4846</t>
  </si>
  <si>
    <t>shristidhar gorai</t>
  </si>
  <si>
    <t>B/d</t>
  </si>
  <si>
    <t>81-4949</t>
  </si>
  <si>
    <t>Equbal Akhter</t>
  </si>
  <si>
    <t>4947</t>
  </si>
  <si>
    <t>4948</t>
  </si>
  <si>
    <t>4949</t>
  </si>
  <si>
    <t>563723472159</t>
  </si>
  <si>
    <t>Mantu Gorai</t>
  </si>
  <si>
    <t>SB221311282861</t>
  </si>
  <si>
    <t>Rintu Gorai</t>
  </si>
  <si>
    <t>4950</t>
  </si>
  <si>
    <t>Rani Mahato</t>
  </si>
  <si>
    <t>9204413029</t>
  </si>
  <si>
    <t>SB221312289880</t>
  </si>
  <si>
    <t>454663772300</t>
  </si>
  <si>
    <t>81-4950</t>
  </si>
  <si>
    <t>001801/18306</t>
  </si>
  <si>
    <t>Krishna tudu</t>
  </si>
  <si>
    <t>trilochan mahato</t>
  </si>
  <si>
    <t>shyamal sardar</t>
  </si>
  <si>
    <t>pay to laon 05-353</t>
  </si>
  <si>
    <t>MISC</t>
  </si>
  <si>
    <t>jyotsna soy</t>
  </si>
  <si>
    <t>jyoti for trnsfer</t>
  </si>
  <si>
    <t>putul poddar</t>
  </si>
  <si>
    <t>rajesh sen</t>
  </si>
  <si>
    <t>81-1893</t>
  </si>
  <si>
    <t>shaikh sirajuddin</t>
  </si>
  <si>
    <t>saira ansari</t>
  </si>
  <si>
    <t>4804</t>
  </si>
  <si>
    <t>4164</t>
  </si>
  <si>
    <t>arindum</t>
  </si>
  <si>
    <t>manohar karmakar</t>
  </si>
  <si>
    <t>kajal</t>
  </si>
  <si>
    <t>Sushant Sahy</t>
  </si>
  <si>
    <t>sushant mahato</t>
  </si>
  <si>
    <t>dinesh</t>
  </si>
  <si>
    <t>4619</t>
  </si>
  <si>
    <t>Mallika gorai</t>
  </si>
  <si>
    <t>81-1640</t>
  </si>
  <si>
    <t>pintu</t>
  </si>
  <si>
    <t>ravi mahanandi</t>
  </si>
  <si>
    <t>81-</t>
  </si>
  <si>
    <t>sangeeta devi</t>
  </si>
  <si>
    <t>Rajesh sen</t>
  </si>
  <si>
    <t>deepak lohar</t>
  </si>
  <si>
    <t>swapan krmahato</t>
  </si>
  <si>
    <t>81-4954</t>
  </si>
  <si>
    <t>Rajkumari Devi</t>
  </si>
  <si>
    <t>81-4955</t>
  </si>
  <si>
    <t>arIZWAN Ahmad Khan</t>
  </si>
  <si>
    <t xml:space="preserve">pintu </t>
  </si>
  <si>
    <t>Rakumari Devi</t>
  </si>
  <si>
    <t>311333991833</t>
  </si>
  <si>
    <t>SB222411745878</t>
  </si>
  <si>
    <t>SB222417766253</t>
  </si>
  <si>
    <t>Rizwan Ahmad Khan</t>
  </si>
  <si>
    <t>677060643018</t>
  </si>
  <si>
    <t>81-4956</t>
  </si>
  <si>
    <t>Sintu Sahu</t>
  </si>
  <si>
    <t>SB222812838109</t>
  </si>
  <si>
    <t>9142615251</t>
  </si>
  <si>
    <t>833111240704</t>
  </si>
  <si>
    <t>AZFPD5944E</t>
  </si>
  <si>
    <t>KOSPK5944D</t>
  </si>
  <si>
    <t>premi kalindi</t>
  </si>
  <si>
    <t>4954</t>
  </si>
  <si>
    <t>4955</t>
  </si>
  <si>
    <t>4956</t>
  </si>
  <si>
    <t>gungun</t>
  </si>
  <si>
    <t>sulochana mukhi</t>
  </si>
  <si>
    <t>harvinder pal singh</t>
  </si>
  <si>
    <t>cash</t>
  </si>
  <si>
    <t>sbicard</t>
  </si>
  <si>
    <t>Aakash</t>
  </si>
  <si>
    <t>sabita mahato</t>
  </si>
  <si>
    <t>sangita devi</t>
  </si>
  <si>
    <t>arjun gorai</t>
  </si>
  <si>
    <t>81-4224</t>
  </si>
  <si>
    <t>Ashutosh mahato</t>
  </si>
  <si>
    <t>misc</t>
  </si>
  <si>
    <t>81-4957</t>
  </si>
  <si>
    <t>Geeta</t>
  </si>
  <si>
    <t>Pratima</t>
  </si>
  <si>
    <t>4957</t>
  </si>
  <si>
    <t>81-4958</t>
  </si>
  <si>
    <t>81--4919</t>
  </si>
  <si>
    <t>HMPPM5369N</t>
  </si>
  <si>
    <t>madhuri devi</t>
  </si>
  <si>
    <t>81-4959</t>
  </si>
  <si>
    <t>Arvind Ram</t>
  </si>
  <si>
    <t>4958</t>
  </si>
  <si>
    <t>Saziya Anjum</t>
  </si>
  <si>
    <t>433929867930</t>
  </si>
  <si>
    <t>4959</t>
  </si>
  <si>
    <t>EFXPR1635Q</t>
  </si>
  <si>
    <t>sushanta sahu</t>
  </si>
  <si>
    <t>javdev</t>
  </si>
  <si>
    <t>Arjun Gorai</t>
  </si>
  <si>
    <t>81-4960</t>
  </si>
  <si>
    <t>Minta Devi</t>
  </si>
  <si>
    <t>4960</t>
  </si>
  <si>
    <t>9060062082</t>
  </si>
  <si>
    <t>434459921908</t>
  </si>
  <si>
    <t>257621370154</t>
  </si>
  <si>
    <t>7209975612</t>
  </si>
  <si>
    <t>4961</t>
  </si>
  <si>
    <t>Sunirmal Dey</t>
  </si>
  <si>
    <t>9835103093</t>
  </si>
  <si>
    <t>applied</t>
  </si>
  <si>
    <t>81-4962</t>
  </si>
  <si>
    <t>sumita Sahu</t>
  </si>
  <si>
    <t>4962</t>
  </si>
  <si>
    <t>4963</t>
  </si>
  <si>
    <t>Neelam Sharma</t>
  </si>
  <si>
    <t>7549341547</t>
  </si>
  <si>
    <t>283466033899</t>
  </si>
  <si>
    <t>81-4963</t>
  </si>
  <si>
    <t>Sumita Sahu</t>
  </si>
  <si>
    <t>806543941886</t>
  </si>
  <si>
    <t>8797204122</t>
  </si>
  <si>
    <t>CYLPS7462M</t>
  </si>
  <si>
    <t>4964</t>
  </si>
  <si>
    <t>Naima Khatoon</t>
  </si>
  <si>
    <t>8409000157</t>
  </si>
  <si>
    <t>442090486528</t>
  </si>
  <si>
    <t>003201-5977</t>
  </si>
  <si>
    <t>Abhay Choraria</t>
  </si>
  <si>
    <t>81-4964</t>
  </si>
  <si>
    <t>Dipa Lohar</t>
  </si>
  <si>
    <t>UGBANK</t>
  </si>
  <si>
    <t>YAHYA KHAN</t>
  </si>
  <si>
    <t>81-4965</t>
  </si>
  <si>
    <t>4965</t>
  </si>
  <si>
    <t>Yahya Khan</t>
  </si>
  <si>
    <t>pintu kumar</t>
  </si>
  <si>
    <t>nidhi kumari</t>
  </si>
  <si>
    <t>arjun Singh</t>
  </si>
  <si>
    <t>Ratni Sandil</t>
  </si>
  <si>
    <t>4966</t>
  </si>
  <si>
    <t>4967</t>
  </si>
  <si>
    <t>4968</t>
  </si>
  <si>
    <t>Shahin Parween</t>
  </si>
  <si>
    <t>9113408659</t>
  </si>
  <si>
    <t>Gulnar jaha</t>
  </si>
  <si>
    <t>NIKHAT PARWEEN</t>
  </si>
  <si>
    <t>6202814578</t>
  </si>
  <si>
    <t>APPLIED</t>
  </si>
  <si>
    <t>844506113471</t>
  </si>
  <si>
    <t>988994428213</t>
  </si>
  <si>
    <t>452198860220</t>
  </si>
  <si>
    <t>other bank</t>
  </si>
  <si>
    <t>SB224119496145</t>
  </si>
  <si>
    <t>SB224118494305</t>
  </si>
  <si>
    <t>SB224118495234</t>
  </si>
  <si>
    <t>BWOPK4205L</t>
  </si>
  <si>
    <t>919004852840</t>
  </si>
  <si>
    <t>9771187953</t>
  </si>
  <si>
    <t>81-4966</t>
  </si>
  <si>
    <t>81-4967</t>
  </si>
  <si>
    <t>81-4968</t>
  </si>
  <si>
    <t>pratima kundu</t>
  </si>
  <si>
    <t>81-4969</t>
  </si>
  <si>
    <t>Khurshida bano</t>
  </si>
  <si>
    <t>4969</t>
  </si>
  <si>
    <t>4970</t>
  </si>
  <si>
    <t>Gulafshan Parween</t>
  </si>
  <si>
    <t>7717726866</t>
  </si>
  <si>
    <t>424583941220</t>
  </si>
  <si>
    <t>342117123504</t>
  </si>
  <si>
    <t>9142892501</t>
  </si>
  <si>
    <t>BLLB8536M</t>
  </si>
  <si>
    <t>4971</t>
  </si>
  <si>
    <t>Kaneez Fatma</t>
  </si>
  <si>
    <t xml:space="preserve"> to change no</t>
  </si>
  <si>
    <t>7061677740</t>
  </si>
  <si>
    <t>981405460123</t>
  </si>
  <si>
    <t>81-4970</t>
  </si>
  <si>
    <t>uco</t>
  </si>
  <si>
    <t>sanjay kr bhagat</t>
  </si>
  <si>
    <t>81-4971</t>
  </si>
  <si>
    <t>Sayeeda Khatoon</t>
  </si>
  <si>
    <t>B/D</t>
  </si>
  <si>
    <t>81-4482</t>
  </si>
  <si>
    <t>Misc</t>
  </si>
  <si>
    <t>81-4447</t>
  </si>
  <si>
    <t>sundary gounder</t>
  </si>
  <si>
    <t>4975</t>
  </si>
  <si>
    <t>Mohammd kalim hawari</t>
  </si>
  <si>
    <t>9031212413</t>
  </si>
  <si>
    <t>AEEPH2905P</t>
  </si>
  <si>
    <t>81-4975</t>
  </si>
  <si>
    <t>Mohammad kalim Hawari</t>
  </si>
  <si>
    <t>Arjun Singh</t>
  </si>
  <si>
    <t>interesdt</t>
  </si>
  <si>
    <t>loan rcovry=353</t>
  </si>
  <si>
    <t>8877801664</t>
  </si>
  <si>
    <t>rabin Mahakud</t>
  </si>
  <si>
    <t>comaport</t>
  </si>
  <si>
    <t>bob-puru;iya</t>
  </si>
  <si>
    <t>81-4065</t>
  </si>
  <si>
    <t>khushi singh mura</t>
  </si>
  <si>
    <t>dinesh kumar</t>
  </si>
  <si>
    <t>81-2604</t>
  </si>
  <si>
    <t>ali men devi</t>
  </si>
  <si>
    <t>81-4477</t>
  </si>
  <si>
    <t>manohar krmakar</t>
  </si>
  <si>
    <t>dipa lohar</t>
  </si>
  <si>
    <t>81-822</t>
  </si>
  <si>
    <t>81-4748</t>
  </si>
  <si>
    <t>sms allert</t>
  </si>
  <si>
    <t>shiv shankar</t>
  </si>
  <si>
    <t>putul biswas</t>
  </si>
  <si>
    <t>soumen das</t>
  </si>
  <si>
    <t>electric</t>
  </si>
  <si>
    <t>saraswati ganguli</t>
  </si>
  <si>
    <t>4984</t>
  </si>
  <si>
    <t>Niyoti Mahato</t>
  </si>
  <si>
    <t>7667031876</t>
  </si>
  <si>
    <t>882322818130</t>
  </si>
  <si>
    <t>81-4984</t>
  </si>
  <si>
    <t>4924</t>
  </si>
  <si>
    <t>Haleema Khatoon</t>
  </si>
  <si>
    <t>7004459030</t>
  </si>
  <si>
    <t>203029469916</t>
  </si>
  <si>
    <t>4986</t>
  </si>
  <si>
    <t>Pankaj Sahu</t>
  </si>
  <si>
    <t>9508592788</t>
  </si>
  <si>
    <t>301599636551</t>
  </si>
  <si>
    <t>81-4986</t>
  </si>
  <si>
    <t>81-4985</t>
  </si>
  <si>
    <t>Sushant Ganguly</t>
  </si>
  <si>
    <t>Sony Rajhans</t>
  </si>
  <si>
    <t>Saroj Kumar Sahoo</t>
  </si>
  <si>
    <t>81-4987</t>
  </si>
  <si>
    <t>4987</t>
  </si>
  <si>
    <t>609893425975</t>
  </si>
  <si>
    <t>AYLPS5281q</t>
  </si>
  <si>
    <t>81-503</t>
  </si>
  <si>
    <t>sanjana shree</t>
  </si>
  <si>
    <t>commission</t>
  </si>
  <si>
    <t>August</t>
  </si>
  <si>
    <t>81-4988</t>
  </si>
  <si>
    <t>NEPAL CHANDRA NANDI</t>
  </si>
  <si>
    <t>7004596242</t>
  </si>
  <si>
    <t>4988</t>
  </si>
  <si>
    <t>4989</t>
  </si>
  <si>
    <t>Nepal chandra Nandi</t>
  </si>
  <si>
    <t>7209604881</t>
  </si>
  <si>
    <t>4985</t>
  </si>
  <si>
    <t>530813673074</t>
  </si>
  <si>
    <t>CQVPG6286R</t>
  </si>
  <si>
    <t>988128067078</t>
  </si>
  <si>
    <t>AFYPN9046E</t>
  </si>
  <si>
    <t>799037316589</t>
  </si>
  <si>
    <t>MEWPK1713G</t>
  </si>
  <si>
    <t>Abhay Chararia</t>
  </si>
  <si>
    <t>namita paramanik</t>
  </si>
  <si>
    <t>81-1141</t>
  </si>
  <si>
    <t>4991</t>
  </si>
  <si>
    <t>Kalyani Singh</t>
  </si>
  <si>
    <t>7903981765</t>
  </si>
  <si>
    <t>81-4991</t>
  </si>
  <si>
    <t>tasneem perween</t>
  </si>
  <si>
    <t>Shail Devi</t>
  </si>
  <si>
    <t>81-504</t>
  </si>
  <si>
    <t>chandrakala</t>
  </si>
  <si>
    <t>nishi kant pathak</t>
  </si>
  <si>
    <t>81-1038</t>
  </si>
  <si>
    <t>Manisha Sharma</t>
  </si>
  <si>
    <t>LIC-1344</t>
  </si>
  <si>
    <t>Tel. Bill-1525</t>
  </si>
  <si>
    <t>Elec. Bill-1300</t>
  </si>
  <si>
    <t>Jyoti Verma-4200</t>
  </si>
  <si>
    <t>Mallika gorai-3600</t>
  </si>
  <si>
    <t>sip SBI-500+500</t>
  </si>
  <si>
    <t>sip SBI-1000</t>
  </si>
  <si>
    <t>SIP CANARA-1000*2</t>
  </si>
  <si>
    <t>CC LOAN INT-4500</t>
  </si>
  <si>
    <t>02-00050</t>
  </si>
  <si>
    <t xml:space="preserve">comport </t>
  </si>
  <si>
    <t>fino ptm bank</t>
  </si>
  <si>
    <t>namsi kalundia</t>
  </si>
  <si>
    <t>opening Bala</t>
  </si>
  <si>
    <t>4993</t>
  </si>
  <si>
    <t>Aditya Kumar</t>
  </si>
  <si>
    <t>7091541914</t>
  </si>
  <si>
    <t>to change no</t>
  </si>
  <si>
    <t>81-4993</t>
  </si>
  <si>
    <t>Manish Kumar Singh</t>
  </si>
  <si>
    <t>81-4994</t>
  </si>
  <si>
    <t>tumpa singh</t>
  </si>
  <si>
    <t>563301-5075</t>
  </si>
  <si>
    <t>Manisha Mandal</t>
  </si>
  <si>
    <t>81-2955</t>
  </si>
  <si>
    <t>sneha Bag</t>
  </si>
  <si>
    <t>Manoj Sigh</t>
  </si>
  <si>
    <t>jahangir Alam</t>
  </si>
  <si>
    <t>pushpanjali mahato</t>
  </si>
  <si>
    <t>Bhupati Mahato</t>
  </si>
  <si>
    <t>nishikant pathak</t>
  </si>
  <si>
    <t>prakash gope</t>
  </si>
  <si>
    <t>81-4995</t>
  </si>
  <si>
    <t>Rabindra kr pandey</t>
  </si>
  <si>
    <t>Lulu singh</t>
  </si>
  <si>
    <t>Latifa Bibi</t>
  </si>
  <si>
    <t>02-000050</t>
  </si>
  <si>
    <t>Biswas</t>
  </si>
  <si>
    <t>81-4188</t>
  </si>
  <si>
    <t>samir lohar</t>
  </si>
  <si>
    <t>001801-19838</t>
  </si>
  <si>
    <t>Kishori Munda</t>
  </si>
  <si>
    <t>4994</t>
  </si>
  <si>
    <t>4995</t>
  </si>
  <si>
    <t>Rabindra Kr Pandey</t>
  </si>
  <si>
    <t>Priti Dev Nath</t>
  </si>
  <si>
    <t>499590446297</t>
  </si>
  <si>
    <t xml:space="preserve">putul </t>
  </si>
  <si>
    <t>4996</t>
  </si>
  <si>
    <t>Asif Ansari</t>
  </si>
  <si>
    <t>243055721086</t>
  </si>
  <si>
    <t>7488540551</t>
  </si>
  <si>
    <t>DAJPA9757A</t>
  </si>
  <si>
    <t>81-4996</t>
  </si>
  <si>
    <t>swarn singh</t>
  </si>
  <si>
    <t>05-000024</t>
  </si>
  <si>
    <t>LF Charge</t>
  </si>
  <si>
    <t>loan pay 353</t>
  </si>
  <si>
    <t>pay to durga</t>
  </si>
  <si>
    <t>returned</t>
  </si>
  <si>
    <t>jbvnl</t>
  </si>
  <si>
    <t>rakesh mahato</t>
  </si>
  <si>
    <t>Lal Bihari</t>
  </si>
  <si>
    <t>81-4998</t>
  </si>
  <si>
    <t>Dulari Devi</t>
  </si>
  <si>
    <t>4998</t>
  </si>
  <si>
    <t>268521809514</t>
  </si>
  <si>
    <t>8434597277</t>
  </si>
  <si>
    <t>BOI</t>
  </si>
  <si>
    <t>81-5002</t>
  </si>
  <si>
    <t>Priyanshu Kumar</t>
  </si>
  <si>
    <t>81-5004</t>
  </si>
  <si>
    <t>Bristy Nayak</t>
  </si>
  <si>
    <t>5002</t>
  </si>
  <si>
    <t>558124671002</t>
  </si>
  <si>
    <t>5004</t>
  </si>
  <si>
    <t>Bristy nayak</t>
  </si>
  <si>
    <t>920416491329</t>
  </si>
  <si>
    <t>comm Sep</t>
  </si>
  <si>
    <t>7319769981</t>
  </si>
  <si>
    <t>8603270162</t>
  </si>
  <si>
    <t>211506130764</t>
  </si>
  <si>
    <t>5006</t>
  </si>
  <si>
    <t>7070888516</t>
  </si>
  <si>
    <t>81-5006</t>
  </si>
  <si>
    <t>Mahi Singh</t>
  </si>
  <si>
    <t>5007</t>
  </si>
  <si>
    <t>5009</t>
  </si>
  <si>
    <t>Harshdeep Bhamra</t>
  </si>
  <si>
    <t>500560501003</t>
  </si>
  <si>
    <t>9204500767</t>
  </si>
  <si>
    <t>Saiba Perween</t>
  </si>
  <si>
    <t>81-5007</t>
  </si>
  <si>
    <t>81-5009</t>
  </si>
  <si>
    <t>Ajay mahato</t>
  </si>
  <si>
    <t>81-5010</t>
  </si>
  <si>
    <t>Sadaf Almas</t>
  </si>
  <si>
    <t>81-5011</t>
  </si>
  <si>
    <t>Sadia Perween</t>
  </si>
  <si>
    <t>Sunia Mahato</t>
  </si>
  <si>
    <t>devraj Nayak</t>
  </si>
  <si>
    <t>8603101558</t>
  </si>
  <si>
    <t>308481-2036</t>
  </si>
  <si>
    <t>Priya Biswas</t>
  </si>
  <si>
    <t>comprot</t>
  </si>
  <si>
    <t>Rahul Gope</t>
  </si>
  <si>
    <t>81-1005</t>
  </si>
  <si>
    <t>sumit jaiswal</t>
  </si>
  <si>
    <t>Rajesh Kumar</t>
  </si>
  <si>
    <t>Sagar tantubai</t>
  </si>
  <si>
    <t>M PANDEY ELECTRICITY</t>
  </si>
  <si>
    <t>kashinath pandey</t>
  </si>
  <si>
    <t>ritesh kumar</t>
  </si>
  <si>
    <t>5014</t>
  </si>
  <si>
    <t>Mayank Kumar Kundu</t>
  </si>
  <si>
    <t>421907227741</t>
  </si>
  <si>
    <t>8210903916</t>
  </si>
  <si>
    <t>81-5014</t>
  </si>
  <si>
    <t>Mayank Kr Kundu</t>
  </si>
  <si>
    <t>81-5015</t>
  </si>
  <si>
    <t>Shabana Shahin</t>
  </si>
  <si>
    <t>81-5016</t>
  </si>
  <si>
    <t>Rupa Gorai</t>
  </si>
  <si>
    <t>5015</t>
  </si>
  <si>
    <t>5019</t>
  </si>
  <si>
    <t>8809128433</t>
  </si>
  <si>
    <t>680287383929</t>
  </si>
  <si>
    <t>905145198124</t>
  </si>
  <si>
    <t>81</t>
  </si>
  <si>
    <t>5016</t>
  </si>
  <si>
    <t>5017</t>
  </si>
  <si>
    <t>Saqlain Raza Khan</t>
  </si>
  <si>
    <t>8709274484</t>
  </si>
  <si>
    <t>81-5017</t>
  </si>
  <si>
    <t>saklain Raza Khan</t>
  </si>
  <si>
    <t>Khushboo Gorai</t>
  </si>
  <si>
    <t>81-5018</t>
  </si>
  <si>
    <t>5018</t>
  </si>
  <si>
    <t>Ravi Gorai</t>
  </si>
  <si>
    <t>593695101625</t>
  </si>
  <si>
    <t>BUUPG0847E</t>
  </si>
  <si>
    <t>LBSPK7242Q</t>
  </si>
  <si>
    <t>550301322687</t>
  </si>
  <si>
    <t>360659462652</t>
  </si>
  <si>
    <t>81-5019</t>
  </si>
  <si>
    <t>81-5020</t>
  </si>
  <si>
    <t>Kaushik Upadhyay</t>
  </si>
  <si>
    <t>9234601803</t>
  </si>
  <si>
    <t>329192437308</t>
  </si>
  <si>
    <t>ALTPU7868L</t>
  </si>
  <si>
    <t>5020</t>
  </si>
  <si>
    <t>81-5022</t>
  </si>
  <si>
    <t>Sanjib Sahu</t>
  </si>
  <si>
    <t>5022</t>
  </si>
  <si>
    <t>6201827110</t>
  </si>
  <si>
    <t>441679004563</t>
  </si>
  <si>
    <t>shubhm</t>
  </si>
  <si>
    <t>b/f</t>
  </si>
  <si>
    <t>opening</t>
  </si>
  <si>
    <t>81-5026</t>
  </si>
  <si>
    <t>Shakuntala Mukhi</t>
  </si>
  <si>
    <t>Dipak kr pandey</t>
  </si>
  <si>
    <t>5026</t>
  </si>
  <si>
    <t>8969400181</t>
  </si>
  <si>
    <t>mdslimuddin</t>
  </si>
  <si>
    <t>81-5027</t>
  </si>
  <si>
    <t>Nidhi Mahato</t>
  </si>
  <si>
    <t>03-112022</t>
  </si>
  <si>
    <t>5027</t>
  </si>
  <si>
    <t>845212463889</t>
  </si>
  <si>
    <t>HTSPM7827P</t>
  </si>
  <si>
    <t>5010</t>
  </si>
  <si>
    <t>Baneshwar hembram</t>
  </si>
  <si>
    <t>pujati kumar</t>
  </si>
  <si>
    <t>01-1988</t>
  </si>
  <si>
    <t>Amresh kr sinha</t>
  </si>
  <si>
    <t>Sristidhargorai</t>
  </si>
  <si>
    <t xml:space="preserve">fino bank </t>
  </si>
  <si>
    <t>passbook</t>
  </si>
  <si>
    <t>06-11-2022</t>
  </si>
  <si>
    <t>20-10-2022</t>
  </si>
  <si>
    <t>29-10-2022</t>
  </si>
  <si>
    <t>81-5031</t>
  </si>
  <si>
    <t>loan rcvry to 353</t>
  </si>
  <si>
    <t>cash withdrawal</t>
  </si>
  <si>
    <t>interest paid</t>
  </si>
  <si>
    <t>Putul poddar</t>
  </si>
  <si>
    <t>sumit kumar Rai</t>
  </si>
  <si>
    <t>81-3290</t>
  </si>
  <si>
    <t>4305</t>
  </si>
  <si>
    <t>sk mustaque</t>
  </si>
  <si>
    <t>81-0772</t>
  </si>
  <si>
    <t>81-1973</t>
  </si>
  <si>
    <t>haripada sardar</t>
  </si>
  <si>
    <t>husna khatun</t>
  </si>
  <si>
    <t>Kishori munda</t>
  </si>
  <si>
    <t>Ali Mel Devi</t>
  </si>
  <si>
    <t>Dulal karmakar</t>
  </si>
  <si>
    <t>mallika gorai</t>
  </si>
  <si>
    <t>5036</t>
  </si>
  <si>
    <t>5031</t>
  </si>
  <si>
    <t>81-5036</t>
  </si>
  <si>
    <t>Shani fatma</t>
  </si>
  <si>
    <t>Shagufa Siddiqui</t>
  </si>
  <si>
    <t>259086670426</t>
  </si>
  <si>
    <t>postal bank</t>
  </si>
  <si>
    <t>Reboti Nayek</t>
  </si>
  <si>
    <t>81-5038</t>
  </si>
  <si>
    <t>5038</t>
  </si>
  <si>
    <t>7970761048</t>
  </si>
  <si>
    <t>meenu kumari</t>
  </si>
  <si>
    <t>Ratni Devi</t>
  </si>
  <si>
    <t>lal mandal</t>
  </si>
  <si>
    <t>rampati devi(5+5+5)others</t>
  </si>
  <si>
    <t>cash deposite</t>
  </si>
  <si>
    <t>cash deposited</t>
  </si>
  <si>
    <t>M priya raju</t>
  </si>
  <si>
    <t>11-11-2022</t>
  </si>
  <si>
    <t>sangita kumari</t>
  </si>
  <si>
    <t>Sumit jaiswal</t>
  </si>
  <si>
    <t>Sangita devi</t>
  </si>
  <si>
    <t>ajit nayek</t>
  </si>
  <si>
    <t>13-11-2022</t>
  </si>
  <si>
    <t>Subhash shit</t>
  </si>
  <si>
    <t>ramesh badra</t>
  </si>
  <si>
    <t>5040</t>
  </si>
  <si>
    <t>9798499122</t>
  </si>
  <si>
    <t>Suraj Kumar</t>
  </si>
  <si>
    <t>778977740058</t>
  </si>
  <si>
    <t>Hleema Khatoon</t>
  </si>
  <si>
    <t>SHIVAM KUMAR JHA</t>
  </si>
  <si>
    <t>14-11-2022</t>
  </si>
  <si>
    <t>7033889064</t>
  </si>
  <si>
    <t>Mamta sardar</t>
  </si>
  <si>
    <t>01-4947</t>
  </si>
  <si>
    <t>Ajit Kumar</t>
  </si>
  <si>
    <t>590516832755</t>
  </si>
  <si>
    <t>BGHPK7257H</t>
  </si>
  <si>
    <t>Anita Kumari</t>
  </si>
  <si>
    <t>81-5041</t>
  </si>
  <si>
    <t>Ania Kumari</t>
  </si>
  <si>
    <t>808039979726</t>
  </si>
  <si>
    <t>7782930563</t>
  </si>
  <si>
    <t>Samir Biswas</t>
  </si>
  <si>
    <t>308481-1767</t>
  </si>
  <si>
    <t>Riya Biswas</t>
  </si>
  <si>
    <t>15-11-2022</t>
  </si>
  <si>
    <t>MFRPK4521A</t>
  </si>
  <si>
    <t>257571104341</t>
  </si>
  <si>
    <t>5043</t>
  </si>
  <si>
    <t>Sudip Sahu</t>
  </si>
  <si>
    <t>9234794424</t>
  </si>
  <si>
    <t>81-5043</t>
  </si>
  <si>
    <t>sudip kr sahu</t>
  </si>
  <si>
    <t>comm Oct</t>
  </si>
  <si>
    <t>4868</t>
  </si>
  <si>
    <t>9801307407</t>
  </si>
  <si>
    <t>5044</t>
  </si>
  <si>
    <t>Rupa Singh</t>
  </si>
  <si>
    <t>360728142129</t>
  </si>
  <si>
    <t>GJGPS3817E</t>
  </si>
  <si>
    <t>ranjit singh</t>
  </si>
  <si>
    <t>bob outside</t>
  </si>
  <si>
    <t>subh matrimony</t>
  </si>
  <si>
    <t>81-1892</t>
  </si>
  <si>
    <t>husan bibi</t>
  </si>
  <si>
    <t>17-11-2022</t>
  </si>
  <si>
    <t>5041</t>
  </si>
  <si>
    <t>81-5040</t>
  </si>
  <si>
    <t>SURAJ KUMAR</t>
  </si>
  <si>
    <t>EASY COLOR</t>
  </si>
  <si>
    <t>PNB</t>
  </si>
  <si>
    <t>BABULAL DUSADH</t>
  </si>
  <si>
    <t>ippb</t>
  </si>
  <si>
    <t>satyanaraya singh</t>
  </si>
  <si>
    <t>81-5048</t>
  </si>
  <si>
    <t>Deshbandhu Mahato</t>
  </si>
  <si>
    <t>abhay kumar singh</t>
  </si>
  <si>
    <t>5011</t>
  </si>
  <si>
    <t>8235245733</t>
  </si>
  <si>
    <t>81-1309</t>
  </si>
  <si>
    <t>5048</t>
  </si>
  <si>
    <t>757684424782</t>
  </si>
  <si>
    <t>8102975099</t>
  </si>
  <si>
    <t>81-4690</t>
  </si>
  <si>
    <t>minu devi</t>
  </si>
  <si>
    <t>5049</t>
  </si>
  <si>
    <t>Amit Kumar Singh</t>
  </si>
  <si>
    <t>206332744565</t>
  </si>
  <si>
    <t>QIEPS4418G</t>
  </si>
  <si>
    <t xml:space="preserve">cash withdrawl </t>
  </si>
  <si>
    <t>81-5050</t>
  </si>
  <si>
    <t>Fatick ch ghosh</t>
  </si>
  <si>
    <t>Barnali Mahato</t>
  </si>
  <si>
    <t>81-3177</t>
  </si>
  <si>
    <t>wrong a/c no</t>
  </si>
  <si>
    <t>5050</t>
  </si>
  <si>
    <t>Fatik Chandra Ghosh</t>
  </si>
  <si>
    <t>25-11-2022</t>
  </si>
  <si>
    <t>Devanshi Mahato-500</t>
  </si>
  <si>
    <t>81-5051</t>
  </si>
  <si>
    <t>Diya Kumari</t>
  </si>
  <si>
    <t>5051</t>
  </si>
  <si>
    <t>968256089803</t>
  </si>
  <si>
    <t>MGVPK6943D</t>
  </si>
  <si>
    <t>Sulochana mukhi</t>
  </si>
  <si>
    <t>rocky munda</t>
  </si>
  <si>
    <t>02000050</t>
  </si>
  <si>
    <t>81-5052</t>
  </si>
  <si>
    <t>Ratan Mahato</t>
  </si>
  <si>
    <t>6203651118</t>
  </si>
  <si>
    <t>5052</t>
  </si>
  <si>
    <t>450717949527</t>
  </si>
  <si>
    <t>ETWPM2799M</t>
  </si>
  <si>
    <t>C/D</t>
  </si>
  <si>
    <t>opening bal</t>
  </si>
  <si>
    <t>shubhamraj</t>
  </si>
  <si>
    <t>PushpamSingh</t>
  </si>
  <si>
    <t>sagar tantubai</t>
  </si>
  <si>
    <t>81-5055</t>
  </si>
  <si>
    <t>Shankar Gope</t>
  </si>
  <si>
    <t>01-12-2022</t>
  </si>
  <si>
    <t>salim khan</t>
  </si>
  <si>
    <t>Abhishek Singh</t>
  </si>
  <si>
    <t>shiv shankar pradhn</t>
  </si>
  <si>
    <t>81-5057</t>
  </si>
  <si>
    <t>5055</t>
  </si>
  <si>
    <t>5057</t>
  </si>
  <si>
    <t>81-772</t>
  </si>
  <si>
    <t>to pay 2000</t>
  </si>
  <si>
    <t>743271964754</t>
  </si>
  <si>
    <t>7667932691</t>
  </si>
  <si>
    <t>05-12-2022</t>
  </si>
  <si>
    <t>02-0000050</t>
  </si>
  <si>
    <t>81-5058</t>
  </si>
  <si>
    <t>Sima Devi</t>
  </si>
  <si>
    <t>5058</t>
  </si>
  <si>
    <t>8409719077</t>
  </si>
  <si>
    <t>228294599814</t>
  </si>
  <si>
    <t>CMOPD1807N</t>
  </si>
  <si>
    <t>Ruqaida Khatoon</t>
  </si>
  <si>
    <t>9122328347</t>
  </si>
  <si>
    <t>5059</t>
  </si>
  <si>
    <t>Mohan Das</t>
  </si>
  <si>
    <t>postal</t>
  </si>
  <si>
    <t>302328499767</t>
  </si>
  <si>
    <t>857678952891</t>
  </si>
  <si>
    <t>06-12-2022</t>
  </si>
  <si>
    <t>lulu singh</t>
  </si>
  <si>
    <t>81-5060</t>
  </si>
  <si>
    <t>5060</t>
  </si>
  <si>
    <t>452549331416</t>
  </si>
  <si>
    <t>8797591604</t>
  </si>
  <si>
    <t>saqlin raza khan</t>
  </si>
  <si>
    <t>kishorei munda</t>
  </si>
  <si>
    <t>81-5061</t>
  </si>
  <si>
    <t>Astik Kumar Mahato</t>
  </si>
  <si>
    <t>5061</t>
  </si>
  <si>
    <t>81-1144</t>
  </si>
  <si>
    <t>dipa munada</t>
  </si>
  <si>
    <t>81-4434</t>
  </si>
  <si>
    <t>mukesh murmu</t>
  </si>
  <si>
    <t>81-4358</t>
  </si>
  <si>
    <t>sanjiv kr prasad</t>
  </si>
  <si>
    <t>Deepak Gorai</t>
  </si>
  <si>
    <t>chandrakala devi</t>
  </si>
  <si>
    <t>Mallika</t>
  </si>
  <si>
    <t>813343</t>
  </si>
  <si>
    <t>Abla Manna</t>
  </si>
  <si>
    <t>sanjay singh</t>
  </si>
  <si>
    <t>idbi</t>
  </si>
  <si>
    <t>12-12-2022</t>
  </si>
  <si>
    <t>9155701653</t>
  </si>
  <si>
    <t>POSTAL</t>
  </si>
  <si>
    <t>PRIYANKA KUMARI</t>
  </si>
  <si>
    <t>19118100009720</t>
  </si>
  <si>
    <t>imran hossain</t>
  </si>
  <si>
    <t>5062</t>
  </si>
  <si>
    <t>5063</t>
  </si>
  <si>
    <t>13-12-2022</t>
  </si>
  <si>
    <t>Ravinder Kr Pandey</t>
  </si>
  <si>
    <t>484517413642</t>
  </si>
  <si>
    <t>9113196405</t>
  </si>
  <si>
    <t>Shakti Dhar Tripathi</t>
  </si>
  <si>
    <t>656708482629</t>
  </si>
  <si>
    <t>81-5063</t>
  </si>
  <si>
    <t>Shakti dhar tripathi</t>
  </si>
  <si>
    <t>Ravindra Kumar Pandey</t>
  </si>
  <si>
    <t>Rita Tantubai</t>
  </si>
  <si>
    <t>5064</t>
  </si>
  <si>
    <t>1000 thro 1115</t>
  </si>
  <si>
    <t>200 thro 1115</t>
  </si>
  <si>
    <t>81-5062</t>
  </si>
  <si>
    <t>81-5064</t>
  </si>
  <si>
    <t>SANGEETA DEVI</t>
  </si>
  <si>
    <t>rames badra</t>
  </si>
  <si>
    <t>comm nov</t>
  </si>
  <si>
    <t>suspence a/c</t>
  </si>
  <si>
    <t>81-5068</t>
  </si>
  <si>
    <t>Soma Mahato</t>
  </si>
  <si>
    <t>5068</t>
  </si>
  <si>
    <t>7079584864</t>
  </si>
  <si>
    <t>01-4854</t>
  </si>
  <si>
    <t>Barnali Mahato-1000</t>
  </si>
  <si>
    <t>5069</t>
  </si>
  <si>
    <t>7294162956</t>
  </si>
  <si>
    <t>9939286004</t>
  </si>
  <si>
    <t>17-12-2022</t>
  </si>
  <si>
    <t>Sulochana Mukhi</t>
  </si>
  <si>
    <t>Lal Mandal</t>
  </si>
  <si>
    <t>Chandan Saha</t>
  </si>
  <si>
    <t>81-5070</t>
  </si>
  <si>
    <t>Chanda Saha</t>
  </si>
  <si>
    <t>5070</t>
  </si>
  <si>
    <t>7004035105</t>
  </si>
  <si>
    <t>Astik Kumar Gorai</t>
  </si>
  <si>
    <t>365075961907</t>
  </si>
  <si>
    <t>7541961131</t>
  </si>
  <si>
    <t>Astik kumar Gorai</t>
  </si>
  <si>
    <t>Saqlain raza khan</t>
  </si>
  <si>
    <t>chd</t>
  </si>
  <si>
    <t>552622469378</t>
  </si>
  <si>
    <t>7859052916</t>
  </si>
  <si>
    <t>satish kumar</t>
  </si>
  <si>
    <t>22-12-2022</t>
  </si>
  <si>
    <t>bahadur hansdah</t>
  </si>
  <si>
    <t>915715940085</t>
  </si>
  <si>
    <t>81-5072</t>
  </si>
  <si>
    <t>Nikhil Kumar Singh</t>
  </si>
  <si>
    <t>5072</t>
  </si>
  <si>
    <t>612967582402</t>
  </si>
  <si>
    <t>7488123684</t>
  </si>
  <si>
    <t>5073</t>
  </si>
  <si>
    <t>Rakesh Munda</t>
  </si>
  <si>
    <t>988705700931</t>
  </si>
  <si>
    <t>9234013057</t>
  </si>
  <si>
    <t>DIKPM8426H</t>
  </si>
  <si>
    <t>5074</t>
  </si>
  <si>
    <t>9279050337</t>
  </si>
  <si>
    <t>Awdhesh Prasad</t>
  </si>
  <si>
    <t>81-5073</t>
  </si>
  <si>
    <t>81-5074</t>
  </si>
  <si>
    <t>Awadhesh Prasad</t>
  </si>
  <si>
    <t>Rekha Munda</t>
  </si>
  <si>
    <t>30-12-2022</t>
  </si>
  <si>
    <t>03-01-2023</t>
  </si>
  <si>
    <t>Mahabir yogi</t>
  </si>
  <si>
    <t>barnali Mahato</t>
  </si>
  <si>
    <t>300810717010</t>
  </si>
  <si>
    <t>300810723613</t>
  </si>
  <si>
    <t>basant kr soren</t>
  </si>
  <si>
    <t>300916118263</t>
  </si>
  <si>
    <t>Mallika Gorai</t>
  </si>
  <si>
    <t>300918786426</t>
  </si>
  <si>
    <t>9905235195</t>
  </si>
  <si>
    <t>424807826297</t>
  </si>
  <si>
    <t>10-01-2023</t>
  </si>
  <si>
    <t>301018847707</t>
  </si>
  <si>
    <t>Jyoti Nagar</t>
  </si>
  <si>
    <t>01-1599</t>
  </si>
  <si>
    <t>Shamresh kr sinha</t>
  </si>
  <si>
    <t>301019168184</t>
  </si>
  <si>
    <t>5075</t>
  </si>
  <si>
    <t>12-01-2023</t>
  </si>
  <si>
    <t>Rohit Lohar</t>
  </si>
  <si>
    <t>7781807945</t>
  </si>
  <si>
    <t>Saqlin</t>
  </si>
  <si>
    <t>balram mahato</t>
  </si>
  <si>
    <t>8298309421</t>
  </si>
  <si>
    <t>bivas dalai</t>
  </si>
  <si>
    <t>8340469991</t>
  </si>
  <si>
    <t>Lalbihari gupta</t>
  </si>
  <si>
    <t>7050351472</t>
  </si>
  <si>
    <t>9931306128</t>
  </si>
  <si>
    <t>81-4553</t>
  </si>
  <si>
    <t>Nifhi Mahato</t>
  </si>
  <si>
    <t>shiv jee singh</t>
  </si>
  <si>
    <t>249967381212</t>
  </si>
  <si>
    <t>9234972720</t>
  </si>
  <si>
    <t>Ravinder pandey</t>
  </si>
  <si>
    <t>BOB</t>
  </si>
  <si>
    <t>81-5078</t>
  </si>
  <si>
    <t>Toha Devi</t>
  </si>
  <si>
    <t>5078</t>
  </si>
  <si>
    <t>Tobha Devi</t>
  </si>
  <si>
    <t>571766217320</t>
  </si>
  <si>
    <t>7295958848</t>
  </si>
  <si>
    <t>madhya b g b</t>
  </si>
  <si>
    <t>hira devi</t>
  </si>
  <si>
    <t>9631965619</t>
  </si>
  <si>
    <t>81-5079</t>
  </si>
  <si>
    <t>charle sundi</t>
  </si>
  <si>
    <t>ali mel devi</t>
  </si>
  <si>
    <t>5079</t>
  </si>
  <si>
    <t>Charalesh Sundi</t>
  </si>
  <si>
    <t>694813533456</t>
  </si>
  <si>
    <t>9546832402</t>
  </si>
  <si>
    <t>ckala</t>
  </si>
  <si>
    <t>hdfc</t>
  </si>
  <si>
    <t>rajesh kumar</t>
  </si>
  <si>
    <t>6299477042</t>
  </si>
  <si>
    <t>chand</t>
  </si>
  <si>
    <t>81-5080</t>
  </si>
  <si>
    <t>Reoti Devi</t>
  </si>
  <si>
    <t>surendra choudhary</t>
  </si>
  <si>
    <t>julekha khatoon</t>
  </si>
  <si>
    <t>9263499819</t>
  </si>
  <si>
    <t>5080</t>
  </si>
  <si>
    <t>5081</t>
  </si>
  <si>
    <t>Pratima Mahanty</t>
  </si>
  <si>
    <t>873853394103</t>
  </si>
  <si>
    <t>Mary devassy</t>
  </si>
  <si>
    <t>411360009771</t>
  </si>
  <si>
    <t>9234923587</t>
  </si>
  <si>
    <t>27-01-2023</t>
  </si>
  <si>
    <t>gbarya</t>
  </si>
  <si>
    <t>rohit dayal</t>
  </si>
  <si>
    <t>6201769377</t>
  </si>
  <si>
    <t>81-5081</t>
  </si>
  <si>
    <t>81-4155</t>
  </si>
  <si>
    <t>deokrishna choudhary</t>
  </si>
  <si>
    <t>41-4902</t>
  </si>
  <si>
    <t>31-01-2023</t>
  </si>
  <si>
    <t>dactor modi</t>
  </si>
  <si>
    <t>7667542408</t>
  </si>
  <si>
    <t>81-5083</t>
  </si>
  <si>
    <t>Alomoni Lohra</t>
  </si>
  <si>
    <t>5083</t>
  </si>
  <si>
    <t>579281614669</t>
  </si>
  <si>
    <t>8797115545</t>
  </si>
  <si>
    <t>81-665</t>
  </si>
  <si>
    <t>01-02-2023</t>
  </si>
  <si>
    <t>7209824561</t>
  </si>
  <si>
    <t>manohar Ram</t>
  </si>
  <si>
    <t>7488785127</t>
  </si>
  <si>
    <t>303309441858</t>
  </si>
  <si>
    <t>mbgb</t>
  </si>
  <si>
    <t>manorama devi</t>
  </si>
  <si>
    <t>7631792660</t>
  </si>
  <si>
    <t>md fahim</t>
  </si>
  <si>
    <t>8210143514</t>
  </si>
  <si>
    <t>02-02-2023</t>
  </si>
  <si>
    <t>81-5084</t>
  </si>
  <si>
    <t>Laltu Gorai</t>
  </si>
  <si>
    <t>haleem Khatoon</t>
  </si>
  <si>
    <t>5084</t>
  </si>
  <si>
    <t>Lalutu Gorai</t>
  </si>
  <si>
    <t>6206781309</t>
  </si>
  <si>
    <t>723352977231</t>
  </si>
  <si>
    <t>03-02-2023</t>
  </si>
  <si>
    <t>81-5086</t>
  </si>
  <si>
    <t>Sayra Khatoon</t>
  </si>
  <si>
    <t>5086</t>
  </si>
  <si>
    <t>813923603586</t>
  </si>
  <si>
    <t>81-5087</t>
  </si>
  <si>
    <t>81-0556</t>
  </si>
  <si>
    <t>Savita Devi</t>
  </si>
  <si>
    <t>Shabnam Perween</t>
  </si>
  <si>
    <t>5087</t>
  </si>
  <si>
    <t>995355691831</t>
  </si>
  <si>
    <t>9835319979</t>
  </si>
  <si>
    <t>rajesh kr upadhyay</t>
  </si>
  <si>
    <t>8542958758</t>
  </si>
  <si>
    <t>radha devi</t>
  </si>
  <si>
    <t>post</t>
  </si>
  <si>
    <t>06-02-2023</t>
  </si>
  <si>
    <t>bhuktu murmu</t>
  </si>
  <si>
    <t>6202998462</t>
  </si>
  <si>
    <t>01-1278</t>
  </si>
  <si>
    <t>khushboo singh</t>
  </si>
  <si>
    <t>Rakesh munda</t>
  </si>
  <si>
    <t>304010248643</t>
  </si>
  <si>
    <t>304010261124</t>
  </si>
  <si>
    <t>4265</t>
  </si>
  <si>
    <t>Madhu shudan gorai</t>
  </si>
  <si>
    <t>81-000504</t>
  </si>
  <si>
    <t>deepak gorai</t>
  </si>
  <si>
    <t>sinha</t>
  </si>
  <si>
    <t>tapan kapardar</t>
  </si>
  <si>
    <t>mallika help</t>
  </si>
  <si>
    <t>amresh kr sinha</t>
  </si>
  <si>
    <t>01-0001599</t>
  </si>
  <si>
    <t>14-02-2023</t>
  </si>
  <si>
    <t>haleema khatoon</t>
  </si>
  <si>
    <t>Lalbihari Gupta</t>
  </si>
  <si>
    <t>commision</t>
  </si>
  <si>
    <t>Priti Dev nath</t>
  </si>
  <si>
    <t>Haripada sardar</t>
  </si>
  <si>
    <t>81-5093</t>
  </si>
  <si>
    <t>Pritam kumar</t>
  </si>
  <si>
    <t>5093</t>
  </si>
  <si>
    <t>Pritam Kumar</t>
  </si>
  <si>
    <t>409986387854</t>
  </si>
  <si>
    <t>outside</t>
  </si>
  <si>
    <t>parmeshwar bishai</t>
  </si>
  <si>
    <t>MALLIKA LOAN</t>
  </si>
  <si>
    <t>305409275556</t>
  </si>
  <si>
    <t>305409284512</t>
  </si>
  <si>
    <t>sumita karmakar</t>
  </si>
  <si>
    <t>6203603798</t>
  </si>
  <si>
    <t>chandray sardar</t>
  </si>
  <si>
    <t>vinit jaiswal</t>
  </si>
  <si>
    <t>81-4152</t>
  </si>
  <si>
    <t>23-02-2023</t>
  </si>
  <si>
    <t>7781041399</t>
  </si>
  <si>
    <t>Tusta Ghosh</t>
  </si>
  <si>
    <t>81-5095</t>
  </si>
  <si>
    <t>01-5158</t>
  </si>
  <si>
    <t>Sintu Bangal</t>
  </si>
  <si>
    <t>81-5097</t>
  </si>
  <si>
    <t>Sunil Kumar Sahu</t>
  </si>
  <si>
    <t>5095</t>
  </si>
  <si>
    <t>Tusha Ghosh</t>
  </si>
  <si>
    <t>5097</t>
  </si>
  <si>
    <t>Sunil Kumar Sahoo</t>
  </si>
  <si>
    <t>8092696013</t>
  </si>
  <si>
    <t>746127110170</t>
  </si>
  <si>
    <t>290529709946</t>
  </si>
  <si>
    <t>386814094072</t>
  </si>
  <si>
    <t>1878</t>
  </si>
  <si>
    <t>Vinod Kumar</t>
  </si>
  <si>
    <t>4434</t>
  </si>
  <si>
    <t>4477</t>
  </si>
  <si>
    <t>amresh kumar sinha</t>
  </si>
  <si>
    <t>ajay mahato</t>
  </si>
  <si>
    <t>6203594382</t>
  </si>
  <si>
    <t>Rebina Bibi</t>
  </si>
  <si>
    <t>2245</t>
  </si>
  <si>
    <t>Talat shahin arju</t>
  </si>
  <si>
    <t>28-02-2023</t>
  </si>
  <si>
    <t>8927804622</t>
  </si>
  <si>
    <t>Trilochan Mahato</t>
  </si>
  <si>
    <t>81-5098</t>
  </si>
  <si>
    <t>Amat Kumar Sony</t>
  </si>
  <si>
    <t>81-5099</t>
  </si>
  <si>
    <t>Baban Singh</t>
  </si>
  <si>
    <t>01-03-2023</t>
  </si>
  <si>
    <t>8102996303</t>
  </si>
  <si>
    <t>01-</t>
  </si>
  <si>
    <t>Lovly Kumar</t>
  </si>
  <si>
    <t>Bishnu Pada Ghosh</t>
  </si>
  <si>
    <t>02-03-2023</t>
  </si>
  <si>
    <t>5099</t>
  </si>
  <si>
    <t>Baban Prasad</t>
  </si>
  <si>
    <t>5100</t>
  </si>
  <si>
    <t>GhanshyamGorai</t>
  </si>
  <si>
    <t>335745612011</t>
  </si>
  <si>
    <t>7859056775</t>
  </si>
  <si>
    <t>7209390957</t>
  </si>
  <si>
    <t>81-5100</t>
  </si>
  <si>
    <t>julekha Khatoon</t>
  </si>
  <si>
    <t>9708867692</t>
  </si>
  <si>
    <t>210538804237</t>
  </si>
  <si>
    <t>salu pandey</t>
  </si>
  <si>
    <t>03-03-2023</t>
  </si>
  <si>
    <t>5101</t>
  </si>
  <si>
    <t>Devi Rani Sahu</t>
  </si>
  <si>
    <t>599198616705</t>
  </si>
  <si>
    <t>9304616024</t>
  </si>
  <si>
    <t>81-5101</t>
  </si>
  <si>
    <t>tasnim perween</t>
  </si>
  <si>
    <t>rajeet kamal</t>
  </si>
  <si>
    <t>9312824018</t>
  </si>
  <si>
    <t>81-611</t>
  </si>
  <si>
    <t>7481026838</t>
  </si>
  <si>
    <t>81-4836</t>
  </si>
  <si>
    <t>monoranjan mal</t>
  </si>
  <si>
    <t>Satish Kumar</t>
  </si>
  <si>
    <t>01-4655</t>
  </si>
  <si>
    <t>hrishikesh pandey</t>
  </si>
  <si>
    <t>5103</t>
  </si>
  <si>
    <t>Amal Ghosh</t>
  </si>
  <si>
    <t>867174672366</t>
  </si>
  <si>
    <t>9386090607</t>
  </si>
  <si>
    <t>Amal ghosh</t>
  </si>
  <si>
    <t>Jaydev Das</t>
  </si>
  <si>
    <t>9798478996</t>
  </si>
  <si>
    <t>Jyoti verma</t>
  </si>
  <si>
    <t>salary</t>
  </si>
  <si>
    <t>santanu chaudhry</t>
  </si>
  <si>
    <t>9204090849</t>
  </si>
  <si>
    <t>rohit pandey</t>
  </si>
  <si>
    <t>7645946388</t>
  </si>
  <si>
    <t>10-03-2023</t>
  </si>
  <si>
    <t>81-9826</t>
  </si>
  <si>
    <t>Gita munda</t>
  </si>
  <si>
    <t>8825352624</t>
  </si>
  <si>
    <t>11-03-2023</t>
  </si>
  <si>
    <t>Ajit Giri</t>
  </si>
  <si>
    <t>7764069483</t>
  </si>
  <si>
    <t>madhuri giri</t>
  </si>
  <si>
    <t>81-5103</t>
  </si>
  <si>
    <t>suraj karmakar</t>
  </si>
  <si>
    <t>manoj singh</t>
  </si>
  <si>
    <t>7992267817</t>
  </si>
  <si>
    <t>kusum devi</t>
  </si>
  <si>
    <t>191101-19859</t>
  </si>
  <si>
    <t>hira bibi</t>
  </si>
  <si>
    <t>sanchari naag</t>
  </si>
  <si>
    <t>9060260367</t>
  </si>
  <si>
    <t>1806</t>
  </si>
  <si>
    <t>rinku biswas</t>
  </si>
  <si>
    <t>axis</t>
  </si>
  <si>
    <t>laxmi devi</t>
  </si>
  <si>
    <t>shyamapad das</t>
  </si>
  <si>
    <t>01-5231</t>
  </si>
  <si>
    <t>Asit Kumar Barua</t>
  </si>
  <si>
    <t>7371898227</t>
  </si>
  <si>
    <t>5105</t>
  </si>
  <si>
    <t>9142338443</t>
  </si>
  <si>
    <t>81-5105</t>
  </si>
  <si>
    <t>Jaswant singh bedi</t>
  </si>
  <si>
    <t>durbal gorai</t>
  </si>
  <si>
    <t>6294364810</t>
  </si>
  <si>
    <t>Jaswant Singh Bedi</t>
  </si>
  <si>
    <t>16-03-2023</t>
  </si>
  <si>
    <t>970682463660</t>
  </si>
  <si>
    <t>Shahnaz begum</t>
  </si>
  <si>
    <t>laxmi munda</t>
  </si>
  <si>
    <t>manohar ram</t>
  </si>
  <si>
    <t>81-4265</t>
  </si>
  <si>
    <t>Madhusudan Gorai</t>
  </si>
  <si>
    <t>01-5251</t>
  </si>
  <si>
    <t>RIYA KUMARI</t>
  </si>
  <si>
    <t>20-03-2023</t>
  </si>
  <si>
    <t>919939488198</t>
  </si>
  <si>
    <t>ratni devi</t>
  </si>
  <si>
    <t>srikanto karmakar</t>
  </si>
  <si>
    <t>9883627603</t>
  </si>
  <si>
    <t>81-7719</t>
  </si>
  <si>
    <t>Halima Bibi</t>
  </si>
  <si>
    <t>commission of feb</t>
  </si>
  <si>
    <t>5106</t>
  </si>
  <si>
    <t>Payel Sahis</t>
  </si>
  <si>
    <t>sardar</t>
  </si>
  <si>
    <t>CANARA</t>
  </si>
  <si>
    <t>5107</t>
  </si>
  <si>
    <t>9546786074</t>
  </si>
  <si>
    <t>429680540386</t>
  </si>
  <si>
    <t>Prakash chandra Nayak</t>
  </si>
  <si>
    <t>81-5107</t>
  </si>
  <si>
    <t>308213943216</t>
  </si>
  <si>
    <t>mbvg</t>
  </si>
  <si>
    <t>81-5108</t>
  </si>
  <si>
    <t>jamuna Thakur</t>
  </si>
  <si>
    <t>5108</t>
  </si>
  <si>
    <t>Jamuna Thakur</t>
  </si>
  <si>
    <t>836760728933</t>
  </si>
  <si>
    <t>1101</t>
  </si>
  <si>
    <t>usha devi</t>
  </si>
  <si>
    <t>81-2695</t>
  </si>
  <si>
    <t>given</t>
  </si>
  <si>
    <t>suraj kumar</t>
  </si>
  <si>
    <t>5110</t>
  </si>
  <si>
    <t>Juni Sardar</t>
  </si>
  <si>
    <t>27-03-2023</t>
  </si>
  <si>
    <t>445729339700</t>
  </si>
  <si>
    <t>28-03-2023</t>
  </si>
  <si>
    <t>2070</t>
  </si>
  <si>
    <t>5633-5075</t>
  </si>
  <si>
    <t>archana devi</t>
  </si>
  <si>
    <t>c card</t>
  </si>
  <si>
    <t>81-4278</t>
  </si>
  <si>
    <t>29-03-2023</t>
  </si>
  <si>
    <t>SK Murtaza</t>
  </si>
  <si>
    <t>6206952920</t>
  </si>
  <si>
    <t>savita devi</t>
  </si>
  <si>
    <t>8083301590</t>
  </si>
  <si>
    <t>haleem khatoon</t>
  </si>
  <si>
    <t>81-4296</t>
  </si>
  <si>
    <t>ANKIT KUMAR VERMA</t>
  </si>
  <si>
    <t>81-4867</t>
  </si>
  <si>
    <t>01-713</t>
  </si>
  <si>
    <t>Nikhil kr singh</t>
  </si>
  <si>
    <t>81-1254</t>
  </si>
  <si>
    <t>Shobha sardar</t>
  </si>
  <si>
    <t>samresh kr sinha</t>
  </si>
  <si>
    <t>01-3975</t>
  </si>
  <si>
    <t>Vikas kr ram</t>
  </si>
  <si>
    <t>4867</t>
  </si>
  <si>
    <t>2309</t>
  </si>
  <si>
    <t>4902</t>
  </si>
  <si>
    <t>043-04-2023</t>
  </si>
  <si>
    <t>Tuna pandey</t>
  </si>
  <si>
    <t>Ranju devi</t>
  </si>
  <si>
    <t>sulochana devi</t>
  </si>
  <si>
    <t>81-5112</t>
  </si>
  <si>
    <t>81-1160</t>
  </si>
  <si>
    <t>Amar Mahato</t>
  </si>
  <si>
    <t>GUDIYA DEVI</t>
  </si>
  <si>
    <t>5112</t>
  </si>
  <si>
    <t>compot</t>
  </si>
  <si>
    <t>kuldip prajapati</t>
  </si>
  <si>
    <t>Abhishek gupta</t>
  </si>
  <si>
    <t>841658497073</t>
  </si>
  <si>
    <t>81-5049</t>
  </si>
  <si>
    <t>05-00004</t>
  </si>
  <si>
    <t>Sonu Tantubai</t>
  </si>
  <si>
    <t>7488909882</t>
  </si>
  <si>
    <t>679464413965</t>
  </si>
  <si>
    <t>81-5115</t>
  </si>
  <si>
    <t>soumen mukherjee</t>
  </si>
  <si>
    <t>Mallika salary</t>
  </si>
  <si>
    <t>jyoti salary</t>
  </si>
  <si>
    <t>haleema begum</t>
  </si>
  <si>
    <t>shail devi</t>
  </si>
  <si>
    <t>07-04-2023</t>
  </si>
  <si>
    <t>Subal pramanik</t>
  </si>
  <si>
    <t>UBOI</t>
  </si>
  <si>
    <t>Shobha singh</t>
  </si>
  <si>
    <t>gayatri Mahato</t>
  </si>
  <si>
    <t>5116</t>
  </si>
  <si>
    <t>Dharmshila Devi</t>
  </si>
  <si>
    <t>81-5116</t>
  </si>
  <si>
    <t>9835560444</t>
  </si>
  <si>
    <t>11-04-2023</t>
  </si>
  <si>
    <t>12-04-2023</t>
  </si>
  <si>
    <t>7643834767</t>
  </si>
  <si>
    <t>81-5117</t>
  </si>
  <si>
    <t>Haleema comport</t>
  </si>
  <si>
    <t>5117</t>
  </si>
  <si>
    <t>5119</t>
  </si>
  <si>
    <t>9934335505</t>
  </si>
  <si>
    <t>Md Kaif</t>
  </si>
  <si>
    <t>347018154371</t>
  </si>
  <si>
    <t>362651083473</t>
  </si>
  <si>
    <t>8409108948</t>
  </si>
  <si>
    <t>01-5295</t>
  </si>
  <si>
    <t>Anita Sharma</t>
  </si>
  <si>
    <t>304095938170</t>
  </si>
  <si>
    <t>81-5119</t>
  </si>
  <si>
    <t>13-04-2023</t>
  </si>
  <si>
    <t>8825179689</t>
  </si>
  <si>
    <t>choudhary ji</t>
  </si>
  <si>
    <t>17-04-2023</t>
  </si>
  <si>
    <t>karyanand kumar</t>
  </si>
  <si>
    <t>amit kumr singh</t>
  </si>
  <si>
    <t>commisson</t>
  </si>
  <si>
    <t>503</t>
  </si>
  <si>
    <t>5042</t>
  </si>
  <si>
    <t>Bhola kr pandey</t>
  </si>
  <si>
    <t>anil singh</t>
  </si>
  <si>
    <t>5122</t>
  </si>
  <si>
    <t>25-04-2023</t>
  </si>
  <si>
    <t>Zahid Nazim</t>
  </si>
  <si>
    <t>367202767026</t>
  </si>
  <si>
    <t>8677087932</t>
  </si>
  <si>
    <t>sarla devi</t>
  </si>
  <si>
    <t>rajesh lohar</t>
  </si>
  <si>
    <t>anita kumari</t>
  </si>
  <si>
    <t>moji ho</t>
  </si>
  <si>
    <t>sudha kumari</t>
  </si>
  <si>
    <t>latika mahato</t>
  </si>
  <si>
    <t>surender kaur</t>
  </si>
  <si>
    <t>madam</t>
  </si>
  <si>
    <t>pushpan singh</t>
  </si>
  <si>
    <t>sabrin khatoon</t>
  </si>
  <si>
    <t>sbin</t>
  </si>
  <si>
    <t>504</t>
  </si>
  <si>
    <t>81-4772</t>
  </si>
  <si>
    <t>Samima bano</t>
  </si>
  <si>
    <t>81-1034</t>
  </si>
  <si>
    <t>Mansi Sharma</t>
  </si>
  <si>
    <t>Samina Bano</t>
  </si>
  <si>
    <t>81-5123</t>
  </si>
  <si>
    <t>DIYA KUMARI</t>
  </si>
  <si>
    <t>5123</t>
  </si>
  <si>
    <t>7366994042</t>
  </si>
  <si>
    <t>798831830802</t>
  </si>
  <si>
    <t>5124</t>
  </si>
  <si>
    <t>Anwesh Mahato</t>
  </si>
  <si>
    <t>81-5124</t>
  </si>
  <si>
    <t>Kartik Kumar</t>
  </si>
  <si>
    <t>nepal mahato</t>
  </si>
  <si>
    <t>4482</t>
  </si>
  <si>
    <t>2028</t>
  </si>
  <si>
    <t>Shobha karmakar</t>
  </si>
  <si>
    <t>2189</t>
  </si>
  <si>
    <t>4553</t>
  </si>
  <si>
    <t>08-05-2023</t>
  </si>
  <si>
    <t>6201005825</t>
  </si>
  <si>
    <t>507134377394</t>
  </si>
  <si>
    <t>G asu Rao</t>
  </si>
  <si>
    <t>5092</t>
  </si>
  <si>
    <t>Prem Gope</t>
  </si>
  <si>
    <t>81-5127</t>
  </si>
  <si>
    <t>Kahkasha perween</t>
  </si>
  <si>
    <t>5128</t>
  </si>
  <si>
    <t>5127</t>
  </si>
  <si>
    <t>Kahkasha Perween</t>
  </si>
  <si>
    <t>Karan Hembram</t>
  </si>
  <si>
    <t>Karan hembram</t>
  </si>
  <si>
    <t>Ajit kumar</t>
  </si>
  <si>
    <t>10-05-2023</t>
  </si>
  <si>
    <t>946398056853</t>
  </si>
  <si>
    <t>7631028315</t>
  </si>
  <si>
    <t>Suraj Gupta</t>
  </si>
  <si>
    <t>81-5131</t>
  </si>
  <si>
    <t>81-5130</t>
  </si>
  <si>
    <t>Kanai Ghosh</t>
  </si>
  <si>
    <t>5130</t>
  </si>
  <si>
    <t>5131</t>
  </si>
  <si>
    <t>Sarswati Devi</t>
  </si>
  <si>
    <t>322940097820</t>
  </si>
  <si>
    <t>951212488666</t>
  </si>
  <si>
    <t>81-2028</t>
  </si>
  <si>
    <t>7091036356</t>
  </si>
  <si>
    <t>5132</t>
  </si>
  <si>
    <t>Pushpa Singh</t>
  </si>
  <si>
    <t>720128602735</t>
  </si>
  <si>
    <t>9693826916</t>
  </si>
  <si>
    <t>81-5132</t>
  </si>
  <si>
    <t>Puspa Singh</t>
  </si>
  <si>
    <t>9570184403</t>
  </si>
  <si>
    <t>Zeenat perween</t>
  </si>
  <si>
    <t>shakuntala garain</t>
  </si>
  <si>
    <t>Anita sharma</t>
  </si>
  <si>
    <t>12-05-2023</t>
  </si>
  <si>
    <t>5133</t>
  </si>
  <si>
    <t>Sristy Nayak</t>
  </si>
  <si>
    <t>991377964769</t>
  </si>
  <si>
    <t>azad kumr kharwar</t>
  </si>
  <si>
    <t>5134</t>
  </si>
  <si>
    <t>5135</t>
  </si>
  <si>
    <t>9142462188</t>
  </si>
  <si>
    <t>Mangli Gorai</t>
  </si>
  <si>
    <t>632929588058</t>
  </si>
  <si>
    <t>Chaitan singh munda</t>
  </si>
  <si>
    <t>335835040810</t>
  </si>
  <si>
    <t>16-05-2023</t>
  </si>
  <si>
    <t>Chaitan Singh Munda</t>
  </si>
  <si>
    <t>mamoni ray</t>
  </si>
  <si>
    <t>Debarati Aich</t>
  </si>
  <si>
    <t>Nityanand Aich</t>
  </si>
  <si>
    <t>9234611470</t>
  </si>
  <si>
    <t>9939356154</t>
  </si>
  <si>
    <t>Shambhu kumar</t>
  </si>
  <si>
    <t>md shamsher uddin</t>
  </si>
  <si>
    <t>chinta devi</t>
  </si>
  <si>
    <t>PUSHPAM SINGH</t>
  </si>
  <si>
    <t>ajit giri</t>
  </si>
  <si>
    <t>18-05-2023</t>
  </si>
  <si>
    <t>Ankit kumar verma</t>
  </si>
  <si>
    <t>21-05-2023</t>
  </si>
  <si>
    <t>81-5138</t>
  </si>
  <si>
    <t>Santosh Gupta</t>
  </si>
  <si>
    <t>5138</t>
  </si>
  <si>
    <t>8434295989</t>
  </si>
  <si>
    <t>718001768851</t>
  </si>
  <si>
    <t>cmprt</t>
  </si>
  <si>
    <t>abhijit sarkar</t>
  </si>
  <si>
    <t>jai nath singh</t>
  </si>
  <si>
    <t>Diksha kumari</t>
  </si>
  <si>
    <t>8210679920</t>
  </si>
  <si>
    <t>5141</t>
  </si>
  <si>
    <t>Shabnam Zahera</t>
  </si>
  <si>
    <t>656490880240</t>
  </si>
  <si>
    <t>Sarita Kumari</t>
  </si>
  <si>
    <t>kalim khan</t>
  </si>
  <si>
    <t>Lal mandal</t>
  </si>
  <si>
    <t>jhumparani saw</t>
  </si>
  <si>
    <t>Pramod Kumar</t>
  </si>
  <si>
    <t>81-5142</t>
  </si>
  <si>
    <t>81-5141</t>
  </si>
  <si>
    <t>5142</t>
  </si>
  <si>
    <t>191101-15752</t>
  </si>
  <si>
    <t>Jasmina khatun</t>
  </si>
  <si>
    <t>Cfund-10000</t>
  </si>
  <si>
    <t>household</t>
  </si>
  <si>
    <t>81-5143</t>
  </si>
  <si>
    <t>5143</t>
  </si>
  <si>
    <t>929529935920</t>
  </si>
  <si>
    <t>8063848547</t>
  </si>
  <si>
    <t>Golmuri4791</t>
  </si>
  <si>
    <t>Jeet singh</t>
  </si>
  <si>
    <t>rahul</t>
  </si>
  <si>
    <t>Opening bal</t>
  </si>
  <si>
    <t>cash balance</t>
  </si>
  <si>
    <t>01-06-2023</t>
  </si>
  <si>
    <t>arti gorai</t>
  </si>
  <si>
    <t>md aslam</t>
  </si>
  <si>
    <t>mukesh mahato</t>
  </si>
  <si>
    <t>Pintu kumra</t>
  </si>
  <si>
    <t>airtel</t>
  </si>
  <si>
    <t>haleema</t>
  </si>
  <si>
    <t>anjana devi</t>
  </si>
  <si>
    <t>07-06-2023</t>
  </si>
  <si>
    <t>8789457312</t>
  </si>
  <si>
    <t>933480848164</t>
  </si>
  <si>
    <t>chanday sardar</t>
  </si>
  <si>
    <t>191181-4367</t>
  </si>
  <si>
    <t>Samim Shaikhk</t>
  </si>
  <si>
    <t xml:space="preserve">Mallika </t>
  </si>
  <si>
    <t>shabnam khatoon</t>
  </si>
  <si>
    <t>bob-458</t>
  </si>
  <si>
    <t>prem gope</t>
  </si>
  <si>
    <t>O-5092</t>
  </si>
  <si>
    <t>priti</t>
  </si>
  <si>
    <t>halima bibi</t>
  </si>
  <si>
    <t>Ali Raza</t>
  </si>
  <si>
    <t>Md muslim</t>
  </si>
  <si>
    <t>Rebina bibi</t>
  </si>
  <si>
    <t>Bob-O</t>
  </si>
  <si>
    <t>sunita kisku</t>
  </si>
  <si>
    <t>bob-O</t>
  </si>
  <si>
    <t>putul</t>
  </si>
  <si>
    <t>5145</t>
  </si>
  <si>
    <t>13-06-2023</t>
  </si>
  <si>
    <t>shobha karmakar</t>
  </si>
  <si>
    <t>Hasrat Rehgmani</t>
  </si>
  <si>
    <t>8235431040</t>
  </si>
  <si>
    <t>5147</t>
  </si>
  <si>
    <t>Hasrat Rehmani</t>
  </si>
  <si>
    <t>5148</t>
  </si>
  <si>
    <t>9204576799</t>
  </si>
  <si>
    <t>Tulsi Manna</t>
  </si>
  <si>
    <t>572190163387</t>
  </si>
  <si>
    <t>SB01-5420</t>
  </si>
  <si>
    <t>15-06-2023</t>
  </si>
  <si>
    <t>Asha Mahato</t>
  </si>
  <si>
    <t>5149</t>
  </si>
  <si>
    <t>9094709267</t>
  </si>
  <si>
    <t>878436337060</t>
  </si>
  <si>
    <t>prity dev nath</t>
  </si>
  <si>
    <t>Methra Pramanik</t>
  </si>
  <si>
    <t>sangita Kumari</t>
  </si>
  <si>
    <t>chanchala mahato</t>
  </si>
  <si>
    <t>Youbin hembram</t>
  </si>
  <si>
    <t>01-5420</t>
  </si>
  <si>
    <t>17-06-2023</t>
  </si>
  <si>
    <t>mahrun nisha</t>
  </si>
  <si>
    <t>18-06-2023</t>
  </si>
  <si>
    <t>02----50</t>
  </si>
  <si>
    <t>Pramila Devi</t>
  </si>
  <si>
    <t>81-1135</t>
  </si>
  <si>
    <t>shabana Perween</t>
  </si>
  <si>
    <t>mohan tanti</t>
  </si>
  <si>
    <t>5150</t>
  </si>
  <si>
    <t>Naznin Begum</t>
  </si>
  <si>
    <t>Nazmin Begum</t>
  </si>
  <si>
    <t>9603488227</t>
  </si>
  <si>
    <t>bangia</t>
  </si>
  <si>
    <t>patibala sahis</t>
  </si>
  <si>
    <t>7903651543</t>
  </si>
  <si>
    <t>20-06-2023</t>
  </si>
  <si>
    <t>ggiven</t>
  </si>
  <si>
    <t>22-06-2023</t>
  </si>
  <si>
    <t>chandraya sardar</t>
  </si>
  <si>
    <t>5151</t>
  </si>
  <si>
    <t>5152</t>
  </si>
  <si>
    <t>Priya Gope</t>
  </si>
  <si>
    <t>884663458527</t>
  </si>
  <si>
    <t>7870281986</t>
  </si>
  <si>
    <t>Ratna Pramanik</t>
  </si>
  <si>
    <t>358552120185</t>
  </si>
  <si>
    <t>Jhumpa rani sao</t>
  </si>
  <si>
    <t>Preeti deb nath</t>
  </si>
  <si>
    <t>yashoda kumari</t>
  </si>
  <si>
    <t>23-06-2023</t>
  </si>
  <si>
    <t>6200454254</t>
  </si>
  <si>
    <t>0556-O</t>
  </si>
  <si>
    <t>Sitaram Mahato</t>
  </si>
  <si>
    <t>Mansi devi</t>
  </si>
  <si>
    <t>karmu gope</t>
  </si>
  <si>
    <t>COMPROT</t>
  </si>
  <si>
    <t>81-1101</t>
  </si>
  <si>
    <t>81-3001</t>
  </si>
  <si>
    <t>Diksha Kumari</t>
  </si>
  <si>
    <t>5153</t>
  </si>
  <si>
    <t>Jahanara Khatoon</t>
  </si>
  <si>
    <t>Ranju Devi</t>
  </si>
  <si>
    <t>5154</t>
  </si>
  <si>
    <t>Shashi Kumari</t>
  </si>
  <si>
    <t>rahul gope</t>
  </si>
  <si>
    <t>openig</t>
  </si>
  <si>
    <t>Ratnni Devi</t>
  </si>
  <si>
    <t>Tarannum Jabin</t>
  </si>
  <si>
    <t>5156</t>
  </si>
  <si>
    <t>7295023263</t>
  </si>
  <si>
    <t>jagdish mahato</t>
  </si>
  <si>
    <t>5157</t>
  </si>
  <si>
    <t>8969849864</t>
  </si>
  <si>
    <t>Suraj Das</t>
  </si>
  <si>
    <t>81-5157</t>
  </si>
  <si>
    <t>Futi Mahato</t>
  </si>
  <si>
    <t>Raju kumar</t>
  </si>
  <si>
    <t>ankit kumar verma</t>
  </si>
  <si>
    <t>81-5158</t>
  </si>
  <si>
    <t>Sumi Hembram</t>
  </si>
  <si>
    <t>5158</t>
  </si>
  <si>
    <t>291949147464</t>
  </si>
  <si>
    <t>Mahrun Nisha</t>
  </si>
  <si>
    <t>debnath</t>
  </si>
  <si>
    <t>Diya kumari</t>
  </si>
  <si>
    <t>01-1702</t>
  </si>
  <si>
    <t>Dashrath Mahato</t>
  </si>
  <si>
    <t>Manisha Devi</t>
  </si>
  <si>
    <t>01-00005472</t>
  </si>
  <si>
    <t>6201709372</t>
  </si>
  <si>
    <t>4-277</t>
  </si>
  <si>
    <t>860051475272</t>
  </si>
  <si>
    <t>01-5472</t>
  </si>
  <si>
    <t>14-07-2023</t>
  </si>
  <si>
    <t>comm-june</t>
  </si>
  <si>
    <t>01-005472</t>
  </si>
  <si>
    <t>81-5159</t>
  </si>
  <si>
    <t>Mamoni Gorai</t>
  </si>
  <si>
    <t>5159</t>
  </si>
  <si>
    <t>8092881627</t>
  </si>
  <si>
    <t>5160</t>
  </si>
  <si>
    <t>Shreya Maity</t>
  </si>
  <si>
    <t>6204111859</t>
  </si>
  <si>
    <t>493550089201</t>
  </si>
  <si>
    <t>81-5160</t>
  </si>
  <si>
    <t>315806507616</t>
  </si>
  <si>
    <t>17-07-2023</t>
  </si>
  <si>
    <t>18-07-2023</t>
  </si>
  <si>
    <t>5161</t>
  </si>
  <si>
    <t>Ridhi Kumari</t>
  </si>
  <si>
    <t>444252822775</t>
  </si>
  <si>
    <t>9304938337</t>
  </si>
  <si>
    <t>81-5161</t>
  </si>
  <si>
    <t>Sanjit Kumar Pandey</t>
  </si>
  <si>
    <t>01-5486</t>
  </si>
  <si>
    <t>864537801586</t>
  </si>
  <si>
    <t>856541347521</t>
  </si>
  <si>
    <t>5162</t>
  </si>
  <si>
    <t>9798273622</t>
  </si>
  <si>
    <t>01-05486</t>
  </si>
  <si>
    <t>81-5162</t>
  </si>
  <si>
    <t>81-5263</t>
  </si>
  <si>
    <t>Munni Begum</t>
  </si>
  <si>
    <t>5163</t>
  </si>
  <si>
    <t>8235303860</t>
  </si>
  <si>
    <t>844102206706</t>
  </si>
  <si>
    <t>alok sandil</t>
  </si>
  <si>
    <t>Alok Sandil-by1115</t>
  </si>
  <si>
    <t>Munni Begum by 1115</t>
  </si>
  <si>
    <t>panchhama gaundar</t>
  </si>
  <si>
    <t>20-07-2023</t>
  </si>
  <si>
    <t>578068608215</t>
  </si>
  <si>
    <t>5164</t>
  </si>
  <si>
    <t>Rubina Khatoon</t>
  </si>
  <si>
    <t>7488423659</t>
  </si>
  <si>
    <t>862399622657</t>
  </si>
  <si>
    <t>81-5164</t>
  </si>
  <si>
    <t>Rubina Khaton</t>
  </si>
  <si>
    <t>bob-out</t>
  </si>
  <si>
    <t>Suhail Khan</t>
  </si>
  <si>
    <t>tufail khan</t>
  </si>
  <si>
    <t>81-0557</t>
  </si>
  <si>
    <t>Pooja Devi</t>
  </si>
  <si>
    <t>81-4878</t>
  </si>
  <si>
    <t>22-07-2023</t>
  </si>
  <si>
    <t>sAnju devi</t>
  </si>
  <si>
    <t>81-5166</t>
  </si>
  <si>
    <t>5166</t>
  </si>
  <si>
    <t>Akash Kumar</t>
  </si>
  <si>
    <t>872543394113</t>
  </si>
  <si>
    <t>9507191078</t>
  </si>
  <si>
    <t>Akash kumar</t>
  </si>
  <si>
    <t>comort</t>
  </si>
  <si>
    <t>pandit wife</t>
  </si>
  <si>
    <t>abla manna</t>
  </si>
  <si>
    <t>Raj Kisore Gope</t>
  </si>
  <si>
    <t>Soumen Mukherjee</t>
  </si>
  <si>
    <t>ARUN KUMAR GIRI</t>
  </si>
  <si>
    <t>81-5169</t>
  </si>
  <si>
    <t>Dolly Roy</t>
  </si>
  <si>
    <t>5169</t>
  </si>
  <si>
    <t>490731412433</t>
  </si>
  <si>
    <t>Ankit Kumar Varma</t>
  </si>
  <si>
    <t>7209282084</t>
  </si>
  <si>
    <t>01-08-2023</t>
  </si>
  <si>
    <t>chetan singh munda</t>
  </si>
  <si>
    <t>ganesh mahato</t>
  </si>
  <si>
    <t>banti chachi</t>
  </si>
  <si>
    <t>528168186031</t>
  </si>
  <si>
    <t>shiv loha</t>
  </si>
  <si>
    <t>jaydev das</t>
  </si>
  <si>
    <t>4224</t>
  </si>
  <si>
    <t>81-295</t>
  </si>
  <si>
    <t>Yashoda Kumari</t>
  </si>
  <si>
    <t>Dhirmal Tudu</t>
  </si>
  <si>
    <t>1640</t>
  </si>
  <si>
    <t>81-2608</t>
  </si>
  <si>
    <t>seema Guria</t>
  </si>
  <si>
    <t>05-0000024</t>
  </si>
  <si>
    <t>03420100018766</t>
  </si>
  <si>
    <t>samridh</t>
  </si>
  <si>
    <t>Etwary Devi</t>
  </si>
  <si>
    <t>KUSUM DEVI</t>
  </si>
  <si>
    <t>81-5173</t>
  </si>
  <si>
    <t>Suman Das</t>
  </si>
  <si>
    <t>81-5174</t>
  </si>
  <si>
    <t>Kusum devi</t>
  </si>
  <si>
    <t>5173</t>
  </si>
  <si>
    <t>5174</t>
  </si>
  <si>
    <t>11-08-2023</t>
  </si>
  <si>
    <t>7033307639</t>
  </si>
  <si>
    <t>4791</t>
  </si>
  <si>
    <t>12-08-2023</t>
  </si>
  <si>
    <t>8083178319</t>
  </si>
  <si>
    <t>SANJIT KR PANDEY</t>
  </si>
  <si>
    <t>Sujita Gorai</t>
  </si>
  <si>
    <t>2100</t>
  </si>
  <si>
    <t>1818</t>
  </si>
  <si>
    <t>Dashrath mahato</t>
  </si>
  <si>
    <t>amrit kr upadhyay</t>
  </si>
  <si>
    <t>sanjit kr pandey</t>
  </si>
  <si>
    <t>0418</t>
  </si>
  <si>
    <t xml:space="preserve">Sabana Khatoon  </t>
  </si>
  <si>
    <t>5165</t>
  </si>
  <si>
    <t>Sonia Karwa</t>
  </si>
  <si>
    <t>9798078037</t>
  </si>
  <si>
    <t>Abhishek Gupta</t>
  </si>
  <si>
    <t>81-5175</t>
  </si>
  <si>
    <t>Ifat Fateema</t>
  </si>
  <si>
    <t>5175</t>
  </si>
  <si>
    <t>476495408461</t>
  </si>
  <si>
    <t>9031703893</t>
  </si>
  <si>
    <t>26-08-2023</t>
  </si>
  <si>
    <t>july comm</t>
  </si>
  <si>
    <t>5178</t>
  </si>
  <si>
    <t>Sureman Prasad Sharma</t>
  </si>
  <si>
    <t>5179</t>
  </si>
  <si>
    <t>847904075865</t>
  </si>
  <si>
    <t>9905505510</t>
  </si>
  <si>
    <t>Renu Nayak</t>
  </si>
  <si>
    <t>sanjana</t>
  </si>
  <si>
    <t>joydev das</t>
  </si>
  <si>
    <t>rina das</t>
  </si>
  <si>
    <t>bob-2070</t>
  </si>
  <si>
    <t>bob-2309</t>
  </si>
  <si>
    <t>5180</t>
  </si>
  <si>
    <t>Krishna Chatterjee</t>
  </si>
  <si>
    <t>9835106697</t>
  </si>
  <si>
    <t>738965033759</t>
  </si>
  <si>
    <t>krishna chatterjee</t>
  </si>
  <si>
    <t>5181</t>
  </si>
  <si>
    <t>474156929813</t>
  </si>
  <si>
    <t>8877004898</t>
  </si>
  <si>
    <t>5182</t>
  </si>
  <si>
    <t>Rehana Bibi</t>
  </si>
  <si>
    <t>9798786131</t>
  </si>
  <si>
    <t>87146978361</t>
  </si>
  <si>
    <t>bob-19536</t>
  </si>
  <si>
    <t>Swarn singh</t>
  </si>
  <si>
    <t>4296</t>
  </si>
  <si>
    <t>Ankit kr verma</t>
  </si>
  <si>
    <t>indus</t>
  </si>
  <si>
    <t>pinki dey</t>
  </si>
  <si>
    <t>guina karmakar</t>
  </si>
  <si>
    <t>0295</t>
  </si>
  <si>
    <t>4810</t>
  </si>
  <si>
    <t>viswanath gope</t>
  </si>
  <si>
    <t>Vinit kumar singh</t>
  </si>
  <si>
    <t>5183</t>
  </si>
  <si>
    <t>Mahwish</t>
  </si>
  <si>
    <t>7637122999</t>
  </si>
  <si>
    <t>238906133542</t>
  </si>
  <si>
    <t>Mehwih</t>
  </si>
  <si>
    <t>5184</t>
  </si>
  <si>
    <t>Meena Karmakar</t>
  </si>
  <si>
    <t>Meena karmakar</t>
  </si>
  <si>
    <t>660587076216</t>
  </si>
  <si>
    <t>5185</t>
  </si>
  <si>
    <t>Suman Sharma</t>
  </si>
  <si>
    <t>481671236801</t>
  </si>
  <si>
    <t>Goutam</t>
  </si>
  <si>
    <t>bangiya gb</t>
  </si>
  <si>
    <t>Sandip Ghosh</t>
  </si>
  <si>
    <t>5190</t>
  </si>
  <si>
    <t>Shah nawaz Akhter</t>
  </si>
  <si>
    <t>Shah Nawaz Akhter</t>
  </si>
  <si>
    <t>944700399579</t>
  </si>
  <si>
    <t>sunita gorai</t>
  </si>
  <si>
    <t>15-09-2023</t>
  </si>
  <si>
    <t>6287865861</t>
  </si>
  <si>
    <t>7070955899</t>
  </si>
  <si>
    <t>5192</t>
  </si>
  <si>
    <t>Subham kr pandey</t>
  </si>
  <si>
    <t>Ankit Kr</t>
  </si>
  <si>
    <t>Shubham kr pandey</t>
  </si>
  <si>
    <t>18-09-2023</t>
  </si>
  <si>
    <t>9060160941</t>
  </si>
  <si>
    <t>O-8932</t>
  </si>
  <si>
    <t>jaydev</t>
  </si>
  <si>
    <t>-BOB</t>
  </si>
  <si>
    <t>comm</t>
  </si>
  <si>
    <t>5193</t>
  </si>
  <si>
    <t>Ulas Machhuwa</t>
  </si>
  <si>
    <t>comport=50</t>
  </si>
  <si>
    <t>1144</t>
  </si>
  <si>
    <t>O-4455</t>
  </si>
  <si>
    <t>Puja Lohar</t>
  </si>
  <si>
    <t>20-09-2023</t>
  </si>
  <si>
    <t>834655431586</t>
  </si>
  <si>
    <t>5194</t>
  </si>
  <si>
    <t>Hema Devi</t>
  </si>
  <si>
    <t>7979042891</t>
  </si>
  <si>
    <t>409731071974</t>
  </si>
  <si>
    <t>5195</t>
  </si>
  <si>
    <t>m Surya</t>
  </si>
  <si>
    <t>5196</t>
  </si>
  <si>
    <t>M Surya</t>
  </si>
  <si>
    <t>9234125527</t>
  </si>
  <si>
    <t>8539914257</t>
  </si>
  <si>
    <t>anjani Devi</t>
  </si>
  <si>
    <t>pintu kumr</t>
  </si>
  <si>
    <t>sagar mahato</t>
  </si>
  <si>
    <t>PUSHPAMSINGH</t>
  </si>
  <si>
    <t>lukui triya</t>
  </si>
  <si>
    <t>22-09-2023</t>
  </si>
  <si>
    <t>917323241183</t>
  </si>
  <si>
    <t>23-09-2023</t>
  </si>
  <si>
    <t>5197</t>
  </si>
  <si>
    <t>Kakon Sahu</t>
  </si>
  <si>
    <t>9939861646</t>
  </si>
  <si>
    <t>718000121450</t>
  </si>
  <si>
    <t>327764943449</t>
  </si>
  <si>
    <t>ankit kumar pandey</t>
  </si>
  <si>
    <t>1141</t>
  </si>
  <si>
    <t>lalbihar gupta</t>
  </si>
  <si>
    <t>4703</t>
  </si>
  <si>
    <t>Priti sinha</t>
  </si>
  <si>
    <t>sukuntala gorai</t>
  </si>
  <si>
    <t>Sanjit Kumar pandey</t>
  </si>
  <si>
    <t>5198</t>
  </si>
  <si>
    <t>7079930335</t>
  </si>
  <si>
    <t>966773029044</t>
  </si>
  <si>
    <t>5200</t>
  </si>
  <si>
    <t>Geetika Kumari</t>
  </si>
  <si>
    <t>7870684336</t>
  </si>
  <si>
    <t>262866976981</t>
  </si>
  <si>
    <t>O-5956</t>
  </si>
  <si>
    <t>5201</t>
  </si>
  <si>
    <t>Manoramani</t>
  </si>
  <si>
    <t>7903441129</t>
  </si>
  <si>
    <t>551607752556</t>
  </si>
  <si>
    <t>5202</t>
  </si>
  <si>
    <t>Asama Begum</t>
  </si>
  <si>
    <t>8102542329</t>
  </si>
  <si>
    <t>01-5584</t>
  </si>
  <si>
    <t>81-630</t>
  </si>
  <si>
    <t>Rukmini</t>
  </si>
  <si>
    <t>Mohammad Sabir</t>
  </si>
  <si>
    <t>can</t>
  </si>
  <si>
    <t>577944585212</t>
  </si>
  <si>
    <t>5203</t>
  </si>
  <si>
    <t>Rohit Sahis</t>
  </si>
  <si>
    <t>250548405334</t>
  </si>
  <si>
    <t>28-09-2023</t>
  </si>
  <si>
    <t>minu deogan</t>
  </si>
  <si>
    <t>645150615855</t>
  </si>
  <si>
    <t>raju kumar</t>
  </si>
  <si>
    <t>5204</t>
  </si>
  <si>
    <t>Akshat Kr Mishra</t>
  </si>
  <si>
    <t>Akshat kr mishra</t>
  </si>
  <si>
    <t>9279473152</t>
  </si>
  <si>
    <t>01-10-2023</t>
  </si>
  <si>
    <t>8092635550</t>
  </si>
  <si>
    <t>2955</t>
  </si>
  <si>
    <t>MAMTA SARDAR</t>
  </si>
  <si>
    <t>jitendra mahato</t>
  </si>
  <si>
    <t>3001</t>
  </si>
  <si>
    <t>01-3942</t>
  </si>
  <si>
    <t>Vijay Kumar</t>
  </si>
  <si>
    <t>vijay choudhary</t>
  </si>
  <si>
    <t>jitendra singh</t>
  </si>
  <si>
    <t>pushpm</t>
  </si>
  <si>
    <t>Usha devi</t>
  </si>
  <si>
    <t>05-10-2023</t>
  </si>
  <si>
    <t>Nilm Sahu</t>
  </si>
  <si>
    <t>4152</t>
  </si>
  <si>
    <t>goutam banerjee</t>
  </si>
  <si>
    <t>manoranjan kr singh</t>
  </si>
  <si>
    <t>5407</t>
  </si>
  <si>
    <t>Prakash chandra nayak</t>
  </si>
  <si>
    <t>ram ayodhya singh</t>
  </si>
  <si>
    <t>09-10-2023</t>
  </si>
  <si>
    <t>5206</t>
  </si>
  <si>
    <t>Preeti Sahu</t>
  </si>
  <si>
    <t>5208</t>
  </si>
  <si>
    <t>Pushpa Nag</t>
  </si>
  <si>
    <t>9304448795</t>
  </si>
  <si>
    <t>793161009435</t>
  </si>
  <si>
    <t>989698724251</t>
  </si>
  <si>
    <t>10-10-2023</t>
  </si>
  <si>
    <t>334473450921</t>
  </si>
  <si>
    <t>5209</t>
  </si>
  <si>
    <t>9279902925</t>
  </si>
  <si>
    <t>Devraj Munda</t>
  </si>
  <si>
    <t>227465789604</t>
  </si>
  <si>
    <t>Dinesh kumar</t>
  </si>
  <si>
    <t>Shoba karmakar</t>
  </si>
  <si>
    <t>0576</t>
  </si>
  <si>
    <t>12-10-2023</t>
  </si>
  <si>
    <t>7366012263</t>
  </si>
  <si>
    <t>Md Rizwan</t>
  </si>
  <si>
    <t>madhya bihar</t>
  </si>
  <si>
    <t>suman kumar</t>
  </si>
  <si>
    <t>farhin perween</t>
  </si>
  <si>
    <t>pushpamsingh</t>
  </si>
  <si>
    <t>13-10-2023</t>
  </si>
  <si>
    <t>malti machhua</t>
  </si>
  <si>
    <t>etwary devi</t>
  </si>
  <si>
    <t>4864</t>
  </si>
  <si>
    <t>Putul biswas</t>
  </si>
  <si>
    <t>sep commision</t>
  </si>
  <si>
    <t>Gungun</t>
  </si>
  <si>
    <t>NUTAN DEVI</t>
  </si>
  <si>
    <t>5211</t>
  </si>
  <si>
    <t>Somnath maity</t>
  </si>
  <si>
    <t>Saraswati Dev</t>
  </si>
  <si>
    <t>20-10-2023</t>
  </si>
  <si>
    <t>4772</t>
  </si>
  <si>
    <t>samima Banl</t>
  </si>
  <si>
    <t>deven mahato</t>
  </si>
  <si>
    <t>samima Banl-3500</t>
  </si>
  <si>
    <t>neha kumari</t>
  </si>
  <si>
    <t>Abhishek</t>
  </si>
  <si>
    <t>191101-bob</t>
  </si>
  <si>
    <t>bibi</t>
  </si>
  <si>
    <t xml:space="preserve"> </t>
  </si>
  <si>
    <t>shekhar saha</t>
  </si>
  <si>
    <t>1345</t>
  </si>
  <si>
    <t>Maya devi pandey</t>
  </si>
  <si>
    <t>5212</t>
  </si>
  <si>
    <t>Gowind Chakrawarti</t>
  </si>
  <si>
    <t>7280944524</t>
  </si>
  <si>
    <t>397557903068</t>
  </si>
  <si>
    <t>Som Nath Maity</t>
  </si>
  <si>
    <t>27-10-2023</t>
  </si>
  <si>
    <t>5213</t>
  </si>
  <si>
    <t>Deepak Kumar</t>
  </si>
  <si>
    <t>9142908515</t>
  </si>
  <si>
    <t>5214</t>
  </si>
  <si>
    <t>Ajit Gorai</t>
  </si>
  <si>
    <t>8969721943</t>
  </si>
  <si>
    <t>28-10-2023</t>
  </si>
  <si>
    <t>rohima khan</t>
  </si>
  <si>
    <t>576</t>
  </si>
  <si>
    <t>pushpam</t>
  </si>
  <si>
    <t>5215</t>
  </si>
  <si>
    <t>Mahendra Singh</t>
  </si>
  <si>
    <t>743126386843</t>
  </si>
  <si>
    <t>OPENING</t>
  </si>
  <si>
    <t>radhika devi</t>
  </si>
  <si>
    <t>5216</t>
  </si>
  <si>
    <t>Lalmuni Devi</t>
  </si>
  <si>
    <t>8084228992</t>
  </si>
  <si>
    <t>03-11-2023</t>
  </si>
  <si>
    <t>630851612498</t>
  </si>
  <si>
    <t>Shahnaz Begam</t>
  </si>
  <si>
    <t>5217</t>
  </si>
  <si>
    <t>5218</t>
  </si>
  <si>
    <t>Parbati Devi</t>
  </si>
  <si>
    <t>442911153687</t>
  </si>
  <si>
    <t>438639628782</t>
  </si>
  <si>
    <t>Laxmi Mahato</t>
  </si>
  <si>
    <t>07-11-2023</t>
  </si>
  <si>
    <t>BANGIA</t>
  </si>
  <si>
    <t>SANDIP GHOSH</t>
  </si>
  <si>
    <t>MALLIKA</t>
  </si>
  <si>
    <t>JYOTI</t>
  </si>
  <si>
    <t>09-11-2023</t>
  </si>
  <si>
    <t>9279145344</t>
  </si>
  <si>
    <t>mohammad affan</t>
  </si>
  <si>
    <t>c</t>
  </si>
  <si>
    <t>commision oct</t>
  </si>
  <si>
    <t>PETROL-1000</t>
  </si>
  <si>
    <t>MILK-2000</t>
  </si>
  <si>
    <t>POCKET MONEY-1000</t>
  </si>
  <si>
    <t>GAS-1000</t>
  </si>
  <si>
    <t>PERSONAL-6000</t>
  </si>
  <si>
    <t>DASHRATH MAHATO</t>
  </si>
  <si>
    <t>Boi</t>
  </si>
  <si>
    <t>punita</t>
  </si>
  <si>
    <t>youbin hembra</t>
  </si>
  <si>
    <t>5219</t>
  </si>
  <si>
    <t>Hyder Ali</t>
  </si>
  <si>
    <t>980329906626</t>
  </si>
  <si>
    <t>6299726614</t>
  </si>
  <si>
    <t>reboti naya</t>
  </si>
  <si>
    <t>1991</t>
  </si>
  <si>
    <t>5220</t>
  </si>
  <si>
    <t>Shitla Tripathi</t>
  </si>
  <si>
    <t>9263644877</t>
  </si>
  <si>
    <t>14-11-2023</t>
  </si>
  <si>
    <t>7004921106</t>
  </si>
  <si>
    <t>552176885483</t>
  </si>
  <si>
    <t>4163</t>
  </si>
  <si>
    <t>360178573949</t>
  </si>
  <si>
    <t>537605462010</t>
  </si>
  <si>
    <t>joy das</t>
  </si>
  <si>
    <t>19536</t>
  </si>
  <si>
    <t>sunil kumar prasad</t>
  </si>
  <si>
    <t>16-11-2023</t>
  </si>
  <si>
    <t>jitenra singh</t>
  </si>
  <si>
    <t>ankit kr verma</t>
  </si>
  <si>
    <t>5221</t>
  </si>
  <si>
    <t>Srimanta Sahis</t>
  </si>
  <si>
    <t>9060265674</t>
  </si>
  <si>
    <t>454513988731</t>
  </si>
  <si>
    <t>biswanath gope</t>
  </si>
  <si>
    <t>5223</t>
  </si>
  <si>
    <t>Dipak Ojha</t>
  </si>
  <si>
    <t>Srimant Sahis</t>
  </si>
  <si>
    <t>17-11-2023</t>
  </si>
  <si>
    <t>882097069964</t>
  </si>
  <si>
    <t>9263807615</t>
  </si>
  <si>
    <t>swarn sngh</t>
  </si>
  <si>
    <t>jamuna</t>
  </si>
  <si>
    <t>0440</t>
  </si>
  <si>
    <t xml:space="preserve">                                                   </t>
  </si>
  <si>
    <t>7892460512</t>
  </si>
  <si>
    <t>3101</t>
  </si>
  <si>
    <t>Safiya Fatema</t>
  </si>
  <si>
    <t>665</t>
  </si>
  <si>
    <t>Talat Shahin Araju</t>
  </si>
  <si>
    <t>5224</t>
  </si>
  <si>
    <t>Amit Kumar</t>
  </si>
  <si>
    <t>719074889723</t>
  </si>
  <si>
    <t>Aman Kumar</t>
  </si>
  <si>
    <t>22-11-2023</t>
  </si>
  <si>
    <t>630</t>
  </si>
  <si>
    <t>soumendas</t>
  </si>
  <si>
    <t>9334512514</t>
  </si>
  <si>
    <t>5225</t>
  </si>
  <si>
    <t>5226</t>
  </si>
  <si>
    <t>Electric</t>
  </si>
  <si>
    <t>Water</t>
  </si>
  <si>
    <t>Shabana Parween</t>
  </si>
  <si>
    <t>228980502163</t>
  </si>
  <si>
    <t>8676822786</t>
  </si>
  <si>
    <t>9546338230</t>
  </si>
  <si>
    <t>Sajid Ali</t>
  </si>
  <si>
    <t>740761669360</t>
  </si>
  <si>
    <t>HCK073042</t>
  </si>
  <si>
    <t>mangal singh</t>
  </si>
  <si>
    <t>Lakshman yadav</t>
  </si>
  <si>
    <t>sumita sahu</t>
  </si>
  <si>
    <t>0504</t>
  </si>
  <si>
    <t>Saima Perween</t>
  </si>
  <si>
    <t>5229</t>
  </si>
  <si>
    <t>HCK073046</t>
  </si>
  <si>
    <t>788790004375</t>
  </si>
  <si>
    <t>9334959587</t>
  </si>
  <si>
    <t>01-12-2023</t>
  </si>
  <si>
    <t>suspense</t>
  </si>
  <si>
    <t>02-12-2023</t>
  </si>
  <si>
    <t>HCK073041</t>
  </si>
  <si>
    <t>Pintu</t>
  </si>
  <si>
    <t>ashvini rampravesh sharma</t>
  </si>
  <si>
    <t>772</t>
  </si>
  <si>
    <t>youbin hembram</t>
  </si>
  <si>
    <t>Ratna Sandil</t>
  </si>
  <si>
    <t>SUNITA GORAI</t>
  </si>
  <si>
    <t>SAMIMA BANO</t>
  </si>
  <si>
    <t>HCK073055</t>
  </si>
  <si>
    <t>5233</t>
  </si>
  <si>
    <t>Ranjan Kumar Singh</t>
  </si>
  <si>
    <t>7091536650</t>
  </si>
  <si>
    <t>727610616666</t>
  </si>
  <si>
    <t>1975</t>
  </si>
  <si>
    <t>nikku devi</t>
  </si>
  <si>
    <t>Ticket</t>
  </si>
  <si>
    <t>Gurdeet Singh</t>
  </si>
  <si>
    <t>552</t>
  </si>
  <si>
    <t>PINTU</t>
  </si>
  <si>
    <t>06-12-2023</t>
  </si>
  <si>
    <t>612</t>
  </si>
  <si>
    <t>5237</t>
  </si>
  <si>
    <t>Rajeshwari Sharma</t>
  </si>
  <si>
    <t>292483014582</t>
  </si>
  <si>
    <t>HCK073067</t>
  </si>
  <si>
    <t>sagar murmu</t>
  </si>
  <si>
    <t>HCK073070</t>
  </si>
  <si>
    <t>5239</t>
  </si>
  <si>
    <t>Nidhi Singh</t>
  </si>
  <si>
    <t>8603325660</t>
  </si>
  <si>
    <t>10-12-2023</t>
  </si>
  <si>
    <t>8789892993</t>
  </si>
  <si>
    <t>reboti nayek</t>
  </si>
  <si>
    <t>nidhi singh</t>
  </si>
  <si>
    <t>Rajeshwari Shrma</t>
  </si>
  <si>
    <t>455837985144</t>
  </si>
  <si>
    <t>5240</t>
  </si>
  <si>
    <t>9973918645</t>
  </si>
  <si>
    <t>sandeep hosh</t>
  </si>
  <si>
    <t>rubina khtoon</t>
  </si>
  <si>
    <t>5171</t>
  </si>
  <si>
    <t>11-12-2023</t>
  </si>
  <si>
    <t>LIC2012</t>
  </si>
  <si>
    <t>MEDICINE-1000</t>
  </si>
  <si>
    <t>Ishtvriti</t>
  </si>
  <si>
    <t>HCK073078</t>
  </si>
  <si>
    <t>HCK073071</t>
  </si>
  <si>
    <t>5243</t>
  </si>
  <si>
    <t>Mamta Singh Sardar</t>
  </si>
  <si>
    <t>9204038379</t>
  </si>
  <si>
    <t>Mamta singh sardar</t>
  </si>
  <si>
    <t>212143502396</t>
  </si>
  <si>
    <t>kaniz fatima</t>
  </si>
  <si>
    <t>kamalchandra mahato</t>
  </si>
  <si>
    <t>pabita singh</t>
  </si>
  <si>
    <t>13-12-2023</t>
  </si>
  <si>
    <t>374933347462</t>
  </si>
  <si>
    <t>5246</t>
  </si>
  <si>
    <t>Ishrat pravin</t>
  </si>
  <si>
    <t>16-12-2023</t>
  </si>
  <si>
    <t>Ranjan Karmakar</t>
  </si>
  <si>
    <t>242938467402</t>
  </si>
  <si>
    <t>5248</t>
  </si>
  <si>
    <t>Mini Karmakar</t>
  </si>
  <si>
    <t>Sambhu Kumar Bose</t>
  </si>
  <si>
    <t>5251</t>
  </si>
  <si>
    <t>Sadhna Kumari</t>
  </si>
  <si>
    <t>Md Sameer</t>
  </si>
  <si>
    <t>4779</t>
  </si>
  <si>
    <t>HCK073106</t>
  </si>
  <si>
    <t>4613</t>
  </si>
  <si>
    <t>Musiur Rahman</t>
  </si>
  <si>
    <t>hembati mahato</t>
  </si>
  <si>
    <t>vananchanl</t>
  </si>
  <si>
    <t>Kamal chandra mahato</t>
  </si>
  <si>
    <t>HCK071024</t>
  </si>
  <si>
    <t>570491471103</t>
  </si>
  <si>
    <t>6206063956</t>
  </si>
  <si>
    <t>28-12-2023</t>
  </si>
  <si>
    <t>HCK</t>
  </si>
  <si>
    <t>STATIONARY-1000</t>
  </si>
  <si>
    <t>02-50</t>
  </si>
  <si>
    <t>santosh kr mahato</t>
  </si>
  <si>
    <t>HCK073122</t>
  </si>
  <si>
    <t>5256</t>
  </si>
  <si>
    <t>Sarwesh Kumar Rajak</t>
  </si>
  <si>
    <t>992108669087</t>
  </si>
  <si>
    <t>9570156943</t>
  </si>
  <si>
    <t>HCK073112</t>
  </si>
  <si>
    <t>5155</t>
  </si>
  <si>
    <t>gramin</t>
  </si>
  <si>
    <t>asha mani lohar</t>
  </si>
  <si>
    <t>01-5719</t>
  </si>
  <si>
    <t>Somnath Bhattacharjee</t>
  </si>
  <si>
    <t>saroj devi</t>
  </si>
  <si>
    <t>SBI</t>
  </si>
  <si>
    <t>dimpio kumari</t>
  </si>
  <si>
    <t>5255</t>
  </si>
  <si>
    <t>Harsh Kumar</t>
  </si>
  <si>
    <t>380605583470</t>
  </si>
  <si>
    <t>5719</t>
  </si>
  <si>
    <t>HCK073124</t>
  </si>
  <si>
    <t>526764305793</t>
  </si>
  <si>
    <t>5257</t>
  </si>
  <si>
    <t>HCK073131</t>
  </si>
  <si>
    <t>Deepa Kumari</t>
  </si>
  <si>
    <t>9155131218</t>
  </si>
  <si>
    <t>679586001126</t>
  </si>
  <si>
    <t>Veg</t>
  </si>
  <si>
    <t>Gadda Filling</t>
  </si>
  <si>
    <t>HCK073133</t>
  </si>
  <si>
    <t>5258</t>
  </si>
  <si>
    <t>Ishika Upadhyay</t>
  </si>
  <si>
    <t>395594103976</t>
  </si>
  <si>
    <t>7061949611</t>
  </si>
  <si>
    <t>Ishika Upadhayay</t>
  </si>
  <si>
    <t>shoqut ali</t>
  </si>
  <si>
    <t>06-01-2023</t>
  </si>
  <si>
    <t>9234413453</t>
  </si>
  <si>
    <t>5486</t>
  </si>
  <si>
    <t>sanjit kumar pandey</t>
  </si>
  <si>
    <t>panchama gaunder</t>
  </si>
  <si>
    <t>08-01-2023</t>
  </si>
  <si>
    <t>ankit kr Verma</t>
  </si>
  <si>
    <t>0124</t>
  </si>
  <si>
    <t>Nishat Khatoon</t>
  </si>
  <si>
    <t>Chandray sardar</t>
  </si>
  <si>
    <t>226081-19536</t>
  </si>
  <si>
    <t>anjani devi</t>
  </si>
  <si>
    <t>Gungun Pmoney</t>
  </si>
  <si>
    <t>HCK066747</t>
  </si>
  <si>
    <t>09-01-2024</t>
  </si>
  <si>
    <t>8092524978</t>
  </si>
  <si>
    <t>5260</t>
  </si>
  <si>
    <t>Abhijit Bera</t>
  </si>
  <si>
    <t>327149205896</t>
  </si>
  <si>
    <t>5261</t>
  </si>
  <si>
    <t>HCK073137</t>
  </si>
  <si>
    <t>HCK073136</t>
  </si>
  <si>
    <t>HCK073138</t>
  </si>
  <si>
    <t>5262</t>
  </si>
  <si>
    <t>Subhojeet Das</t>
  </si>
  <si>
    <t>9031001192</t>
  </si>
  <si>
    <t>7209600376</t>
  </si>
  <si>
    <t>Subhasish Das</t>
  </si>
  <si>
    <t>485853819494</t>
  </si>
  <si>
    <t>261054117531</t>
  </si>
  <si>
    <t>10-01-2024</t>
  </si>
  <si>
    <t>1440</t>
  </si>
  <si>
    <t>12-01-2024</t>
  </si>
  <si>
    <t>mallika for transfer</t>
  </si>
  <si>
    <t>Gunadhar charmkar</t>
  </si>
  <si>
    <t>kamal chandra mahato</t>
  </si>
  <si>
    <t>julekha khaoon</t>
  </si>
  <si>
    <t>15-01-2024</t>
  </si>
  <si>
    <t>mukesh muru</t>
  </si>
  <si>
    <t>2957</t>
  </si>
  <si>
    <t>Sahani perween</t>
  </si>
  <si>
    <t>utter bihar</t>
  </si>
  <si>
    <t>sambhu kr bose</t>
  </si>
  <si>
    <t>md sameer</t>
  </si>
  <si>
    <t>paint</t>
  </si>
  <si>
    <t>2455</t>
  </si>
  <si>
    <t>Punam mishra</t>
  </si>
  <si>
    <t>HCK073170</t>
  </si>
  <si>
    <t>9234233828</t>
  </si>
  <si>
    <t>Aman Kumari</t>
  </si>
  <si>
    <t>5271</t>
  </si>
  <si>
    <t>Anida Devi</t>
  </si>
  <si>
    <t>Saraswati Das</t>
  </si>
  <si>
    <t>HCK073177</t>
  </si>
  <si>
    <t>5273</t>
  </si>
  <si>
    <t>Bijay Bahadur Singh</t>
  </si>
  <si>
    <t>7488079740</t>
  </si>
  <si>
    <t>31-01-2024</t>
  </si>
  <si>
    <t>279371894529</t>
  </si>
  <si>
    <t>Feb</t>
  </si>
  <si>
    <t>Sunil Kumar prasad</t>
  </si>
  <si>
    <t>HCK073206</t>
  </si>
  <si>
    <t>Geeta Kalsi</t>
  </si>
  <si>
    <t>673989668463</t>
  </si>
  <si>
    <t>7257992297</t>
  </si>
  <si>
    <t>5279</t>
  </si>
  <si>
    <t>HCK073208</t>
  </si>
  <si>
    <t>5280</t>
  </si>
  <si>
    <t>Muskan Perween</t>
  </si>
  <si>
    <t>7281839223</t>
  </si>
  <si>
    <t>Kanai Mandal</t>
  </si>
  <si>
    <t>HCK073209</t>
  </si>
  <si>
    <t>5281</t>
  </si>
  <si>
    <t>Kalawati Devi</t>
  </si>
  <si>
    <t>HCK073216</t>
  </si>
  <si>
    <t>5282</t>
  </si>
  <si>
    <t>sulochana</t>
  </si>
  <si>
    <t>7764824091</t>
  </si>
  <si>
    <t>mallika goria</t>
  </si>
  <si>
    <t>sanjeev kr prasad</t>
  </si>
  <si>
    <t>4358</t>
  </si>
  <si>
    <t>HCK073232</t>
  </si>
  <si>
    <t>5287</t>
  </si>
  <si>
    <t>Binoy Deb</t>
  </si>
  <si>
    <t>HCK073233</t>
  </si>
  <si>
    <t>5288</t>
  </si>
  <si>
    <t>Poly Deb</t>
  </si>
  <si>
    <t>9955143009</t>
  </si>
  <si>
    <t>822210575734</t>
  </si>
  <si>
    <t>9631015797</t>
  </si>
  <si>
    <t>896336953705</t>
  </si>
  <si>
    <t>3985</t>
  </si>
  <si>
    <t>sujan gope</t>
  </si>
  <si>
    <t>HCK073236</t>
  </si>
  <si>
    <t>HCK073237</t>
  </si>
  <si>
    <t>5289</t>
  </si>
  <si>
    <t>5290</t>
  </si>
  <si>
    <t>9507516463</t>
  </si>
  <si>
    <t>Sima Roy</t>
  </si>
  <si>
    <t>HCK073238</t>
  </si>
  <si>
    <t>5291</t>
  </si>
  <si>
    <t>Kalyani Mandal</t>
  </si>
  <si>
    <t>9231300536</t>
  </si>
  <si>
    <t>HCK073241</t>
  </si>
  <si>
    <t>8002816859</t>
  </si>
  <si>
    <t>Bidhan Chandra Deb</t>
  </si>
  <si>
    <t>5294</t>
  </si>
  <si>
    <t>640673047035</t>
  </si>
  <si>
    <t>saraswati das</t>
  </si>
  <si>
    <t>5283</t>
  </si>
  <si>
    <t>Shanti Munda</t>
  </si>
  <si>
    <t>HCK073242</t>
  </si>
  <si>
    <t>5295</t>
  </si>
  <si>
    <t>9031734827</t>
  </si>
  <si>
    <t>HCK073243</t>
  </si>
  <si>
    <t>9262582903</t>
  </si>
  <si>
    <t>Lakshmi Dutta</t>
  </si>
  <si>
    <t>970716491644</t>
  </si>
  <si>
    <t>5296</t>
  </si>
  <si>
    <t>13-02-2024</t>
  </si>
  <si>
    <t>21-02-2024</t>
  </si>
  <si>
    <t>7209439910</t>
  </si>
  <si>
    <t>HCK073254</t>
  </si>
  <si>
    <t>5299</t>
  </si>
  <si>
    <t>6205213035</t>
  </si>
  <si>
    <t>846255653682</t>
  </si>
  <si>
    <t>Pinki Devi</t>
  </si>
  <si>
    <t>HCK073255</t>
  </si>
  <si>
    <t>5300</t>
  </si>
  <si>
    <t>Santosh kumar Sharma</t>
  </si>
  <si>
    <t>222156552375</t>
  </si>
  <si>
    <t>9523783641</t>
  </si>
  <si>
    <t>5000topay</t>
  </si>
  <si>
    <t>HCK073257</t>
  </si>
  <si>
    <t>Pushpa Devi</t>
  </si>
  <si>
    <t>379543914733</t>
  </si>
  <si>
    <t>5302</t>
  </si>
  <si>
    <t>8709286914</t>
  </si>
  <si>
    <t>22-02-2024</t>
  </si>
  <si>
    <t>HCK073263</t>
  </si>
  <si>
    <t>Kali Prasad Shah</t>
  </si>
  <si>
    <t>9234494886</t>
  </si>
  <si>
    <t>7033381504</t>
  </si>
  <si>
    <t>Rani Shah</t>
  </si>
  <si>
    <t>5304</t>
  </si>
  <si>
    <t>5305</t>
  </si>
  <si>
    <t>970156493739</t>
  </si>
  <si>
    <t>784383731051</t>
  </si>
  <si>
    <t>5306</t>
  </si>
  <si>
    <t>MALATI DAS</t>
  </si>
  <si>
    <t>Anjali Chaudhuri</t>
  </si>
  <si>
    <t>8102510151</t>
  </si>
  <si>
    <t>923959577350</t>
  </si>
  <si>
    <t>HCK073267</t>
  </si>
  <si>
    <t>5308</t>
  </si>
  <si>
    <t>Junaid Akhtar</t>
  </si>
  <si>
    <t>300589223497</t>
  </si>
  <si>
    <t>23-02-2024</t>
  </si>
  <si>
    <t>HCK073270</t>
  </si>
  <si>
    <t>5309</t>
  </si>
  <si>
    <t>Mala Tripathy</t>
  </si>
  <si>
    <t>490525390416</t>
  </si>
  <si>
    <t>9334232454</t>
  </si>
  <si>
    <t>9608419384</t>
  </si>
  <si>
    <t>627964229000</t>
  </si>
  <si>
    <t>HCK073280</t>
  </si>
  <si>
    <t>5314</t>
  </si>
  <si>
    <t>Reshma Mukhi</t>
  </si>
  <si>
    <t>374277428982</t>
  </si>
  <si>
    <t>7050637212</t>
  </si>
  <si>
    <t>babita Devi</t>
  </si>
  <si>
    <t>81-405</t>
  </si>
  <si>
    <t>Anukant pandey</t>
  </si>
  <si>
    <t>24-02-2024</t>
  </si>
  <si>
    <t>340074705617</t>
  </si>
  <si>
    <t>HCK073264</t>
  </si>
  <si>
    <t>5137</t>
  </si>
  <si>
    <t>5136</t>
  </si>
  <si>
    <t>26-02-2024</t>
  </si>
  <si>
    <t>7091825872</t>
  </si>
  <si>
    <t>5318</t>
  </si>
  <si>
    <t>Budhu Gorai</t>
  </si>
  <si>
    <t>9572754927</t>
  </si>
  <si>
    <t>Hira Mani Devi</t>
  </si>
  <si>
    <t>9234026396</t>
  </si>
  <si>
    <t>5319</t>
  </si>
  <si>
    <t>5321</t>
  </si>
  <si>
    <t>Gini Karua</t>
  </si>
  <si>
    <t>HCK073294</t>
  </si>
  <si>
    <t>Dilip Das</t>
  </si>
  <si>
    <t>9031737872</t>
  </si>
  <si>
    <t>5322</t>
  </si>
  <si>
    <t>HCK073297</t>
  </si>
  <si>
    <t>9708588025</t>
  </si>
  <si>
    <t>5323</t>
  </si>
  <si>
    <t>Sanjay Kumar Sen</t>
  </si>
  <si>
    <t>Sanjay Kr Sen</t>
  </si>
  <si>
    <t>HCK073298</t>
  </si>
  <si>
    <t>5324</t>
  </si>
  <si>
    <t>Badrun Nisha</t>
  </si>
  <si>
    <t>7209938465</t>
  </si>
  <si>
    <t>825882501071</t>
  </si>
  <si>
    <t>28-02-2024</t>
  </si>
  <si>
    <t>shankar tuti</t>
  </si>
  <si>
    <t xml:space="preserve">opening </t>
  </si>
  <si>
    <t>0590</t>
  </si>
  <si>
    <t>0405</t>
  </si>
  <si>
    <t>Putul</t>
  </si>
  <si>
    <t>Anukant Pandey</t>
  </si>
  <si>
    <t>chandra</t>
  </si>
  <si>
    <t>01-03-2024</t>
  </si>
  <si>
    <t>giVEN PASSBOOK</t>
  </si>
  <si>
    <t>HCK073289</t>
  </si>
  <si>
    <t>janeshwar Singh</t>
  </si>
  <si>
    <t>HCK073313</t>
  </si>
  <si>
    <t>Punam Thakur</t>
  </si>
  <si>
    <t>5326</t>
  </si>
  <si>
    <t>491220496327</t>
  </si>
  <si>
    <t>8797019458</t>
  </si>
  <si>
    <t>81-2324</t>
  </si>
  <si>
    <t>02-03-2024</t>
  </si>
  <si>
    <t>HCK073291</t>
  </si>
  <si>
    <t>PUTUL</t>
  </si>
  <si>
    <t>Amlesh DevI</t>
  </si>
  <si>
    <t>07-03-2024</t>
  </si>
  <si>
    <t>pampa</t>
  </si>
  <si>
    <t>11-06-202</t>
  </si>
  <si>
    <t>NPS</t>
  </si>
  <si>
    <t>amount</t>
  </si>
  <si>
    <t>Guntun@19</t>
  </si>
  <si>
    <t>March</t>
  </si>
  <si>
    <t>lal Mandal</t>
  </si>
  <si>
    <t>5347</t>
  </si>
  <si>
    <t>Ramashish Pathak</t>
  </si>
  <si>
    <t>233285613307</t>
  </si>
  <si>
    <t>4483</t>
  </si>
  <si>
    <t>Chhunu lohar</t>
  </si>
  <si>
    <t>449552053098</t>
  </si>
  <si>
    <t>8298048728</t>
  </si>
  <si>
    <t>5348</t>
  </si>
  <si>
    <t>Kamla Devi</t>
  </si>
  <si>
    <t>Krishna Prajapati</t>
  </si>
  <si>
    <t>8092295318</t>
  </si>
  <si>
    <t>5349</t>
  </si>
  <si>
    <t>Krishna Prajapati-1000 gpay</t>
  </si>
  <si>
    <t>819857857965</t>
  </si>
  <si>
    <t>286075477188</t>
  </si>
  <si>
    <t>HCK073397</t>
  </si>
  <si>
    <t>HCK073396</t>
  </si>
  <si>
    <t>HCK073395</t>
  </si>
  <si>
    <t>POST</t>
  </si>
  <si>
    <t>REBOTI NAYAK</t>
  </si>
  <si>
    <t>5352</t>
  </si>
  <si>
    <t>Rajib Sahu</t>
  </si>
  <si>
    <t>HCK073400</t>
  </si>
  <si>
    <t>626885468046</t>
  </si>
  <si>
    <t>5353</t>
  </si>
  <si>
    <t>5354</t>
  </si>
  <si>
    <t>Sushan Sadhvi</t>
  </si>
  <si>
    <t>HCK073401</t>
  </si>
  <si>
    <t>HCK073402</t>
  </si>
  <si>
    <t>417224497677</t>
  </si>
  <si>
    <t>9031398311</t>
  </si>
  <si>
    <t>9234704511</t>
  </si>
  <si>
    <t>27-03-2024</t>
  </si>
  <si>
    <t>5355</t>
  </si>
  <si>
    <t>HCK073408</t>
  </si>
  <si>
    <t>HCK073407</t>
  </si>
  <si>
    <t>5356</t>
  </si>
  <si>
    <t>Rita Bhattacharjee</t>
  </si>
  <si>
    <t>7763860938</t>
  </si>
  <si>
    <t>525245050493</t>
  </si>
  <si>
    <t>HCK073411</t>
  </si>
  <si>
    <t>5358</t>
  </si>
  <si>
    <t>Sabita Bhattcharjee</t>
  </si>
  <si>
    <t>Sabita bhattacharjee</t>
  </si>
  <si>
    <t>28-03-2024</t>
  </si>
  <si>
    <t>29-03-2024</t>
  </si>
  <si>
    <t>9122923112</t>
  </si>
  <si>
    <t>369319389479</t>
  </si>
  <si>
    <t>HCK073414</t>
  </si>
  <si>
    <t>5359</t>
  </si>
  <si>
    <t>Sumi Madhu Khalkho</t>
  </si>
  <si>
    <t>764328757301</t>
  </si>
  <si>
    <t>April</t>
  </si>
  <si>
    <t>01-1997</t>
  </si>
  <si>
    <t>Karyanand Kumar</t>
  </si>
  <si>
    <t>6000topay</t>
  </si>
  <si>
    <t>opening Balance</t>
  </si>
  <si>
    <t>01-04-2024</t>
  </si>
  <si>
    <t>31-03-2024</t>
  </si>
  <si>
    <t>HCK073423</t>
  </si>
  <si>
    <t>5364</t>
  </si>
  <si>
    <t>Ayushi Kumari</t>
  </si>
  <si>
    <t>7209452449</t>
  </si>
  <si>
    <t>203372596524</t>
  </si>
  <si>
    <t>HCK073428</t>
  </si>
  <si>
    <t>5367</t>
  </si>
  <si>
    <t>ajit munda</t>
  </si>
  <si>
    <t>HCK073435</t>
  </si>
  <si>
    <t>5370</t>
  </si>
  <si>
    <t>8434815245</t>
  </si>
  <si>
    <t>HCK073439</t>
  </si>
  <si>
    <t>5371</t>
  </si>
  <si>
    <t>Binod Kumar</t>
  </si>
  <si>
    <t>9162187656</t>
  </si>
  <si>
    <t>ajad kr kharwar</t>
  </si>
  <si>
    <t>5372</t>
  </si>
  <si>
    <t>Rajiya Sultana</t>
  </si>
  <si>
    <t>9102064346</t>
  </si>
  <si>
    <t>759176300454</t>
  </si>
  <si>
    <t>HCK073440</t>
  </si>
  <si>
    <t>01-5896</t>
  </si>
  <si>
    <t>Mahadeo Prasad</t>
  </si>
  <si>
    <t>452023648080</t>
  </si>
  <si>
    <t>HCK073443</t>
  </si>
  <si>
    <t>5373</t>
  </si>
  <si>
    <t>Shaikh Sabir</t>
  </si>
  <si>
    <t>367570034796</t>
  </si>
  <si>
    <t>9931209458</t>
  </si>
  <si>
    <t>anita choudhary</t>
  </si>
  <si>
    <t>HCK073445</t>
  </si>
  <si>
    <t>5375</t>
  </si>
  <si>
    <t>Kapil Dev Pandey</t>
  </si>
  <si>
    <t>8002980785</t>
  </si>
  <si>
    <t>677311799073</t>
  </si>
  <si>
    <t>HCK073446</t>
  </si>
  <si>
    <t>5376</t>
  </si>
  <si>
    <t>Alok Das</t>
  </si>
  <si>
    <t>249916309786</t>
  </si>
  <si>
    <t>08-04-2024</t>
  </si>
  <si>
    <t>Sulochana Sahis</t>
  </si>
  <si>
    <t>09-04-2024</t>
  </si>
  <si>
    <t>alok nath das</t>
  </si>
  <si>
    <t>893</t>
  </si>
  <si>
    <t>0697</t>
  </si>
  <si>
    <t>Ranita Soren</t>
  </si>
  <si>
    <t>ghanshyam gorai</t>
  </si>
  <si>
    <t>Alok nath Das</t>
  </si>
  <si>
    <t>HCK073456</t>
  </si>
  <si>
    <t>01-5906</t>
  </si>
  <si>
    <t>Ramlal Patro</t>
  </si>
  <si>
    <t>7209943591</t>
  </si>
  <si>
    <t>320687234725</t>
  </si>
  <si>
    <t>Raj Kishore gope</t>
  </si>
  <si>
    <t>01-3765</t>
  </si>
  <si>
    <t>10-04-2024</t>
  </si>
  <si>
    <t>Putul biswa</t>
  </si>
  <si>
    <t>Soma Kha</t>
  </si>
  <si>
    <t>2131</t>
  </si>
  <si>
    <t>Mamoni Ray</t>
  </si>
  <si>
    <t>Gourav kr singh</t>
  </si>
  <si>
    <t>CASH WIDHDRAWAL</t>
  </si>
  <si>
    <t>2113</t>
  </si>
  <si>
    <t>HCK073470</t>
  </si>
  <si>
    <t>01-5918</t>
  </si>
  <si>
    <t>Mukesh Kumar</t>
  </si>
  <si>
    <t>23622127771</t>
  </si>
  <si>
    <t>958479349</t>
  </si>
  <si>
    <t>Arti Devi</t>
  </si>
  <si>
    <t>Radhika Rani Mahato</t>
  </si>
  <si>
    <t>4489</t>
  </si>
  <si>
    <t>total</t>
  </si>
  <si>
    <t>dak</t>
  </si>
  <si>
    <t>share</t>
  </si>
  <si>
    <t>in</t>
  </si>
  <si>
    <t>out</t>
  </si>
  <si>
    <t>bal</t>
  </si>
  <si>
    <t>Particulara</t>
  </si>
  <si>
    <t>CA-50</t>
  </si>
  <si>
    <t>Cash Record</t>
  </si>
  <si>
    <t>Shubham pay</t>
  </si>
  <si>
    <t>HDB Loan Pay</t>
  </si>
  <si>
    <t>bob-50</t>
  </si>
  <si>
    <t>self V2</t>
  </si>
  <si>
    <t>cash rcpv</t>
  </si>
  <si>
    <t>od-10</t>
  </si>
  <si>
    <t>lalbabu sah</t>
  </si>
  <si>
    <t>OD-10</t>
  </si>
  <si>
    <t>OTHRS</t>
  </si>
  <si>
    <t>PREVIOUS</t>
  </si>
  <si>
    <t>Total</t>
  </si>
  <si>
    <t>Shares</t>
  </si>
  <si>
    <t>customer</t>
  </si>
  <si>
    <t>from business</t>
  </si>
  <si>
    <t>stock</t>
  </si>
  <si>
    <t>SCI</t>
  </si>
  <si>
    <t>HUL</t>
  </si>
  <si>
    <t>VEDANTA</t>
  </si>
  <si>
    <t>ONGC</t>
  </si>
  <si>
    <t>IBULL REAL ESTATE</t>
  </si>
  <si>
    <t>TEAMAPRODUCTION</t>
  </si>
  <si>
    <t>SARVESHWAR FOODS</t>
  </si>
  <si>
    <t>MISHTAN FOOD</t>
  </si>
  <si>
    <t>LIOYDS ENGINEERING WORKS LTD</t>
  </si>
  <si>
    <t>AAKASH EXPLOREATION SRVICES</t>
  </si>
  <si>
    <t>PIL ITALICA LIFESTYLE</t>
  </si>
  <si>
    <t>GREEN HYDROGEN</t>
  </si>
  <si>
    <t>BHATI COMMUNICATION &amp; REAIL</t>
  </si>
  <si>
    <t>TELECOME</t>
  </si>
  <si>
    <t>B2B SOFTWA TECHNOLOGY</t>
  </si>
  <si>
    <t>IT</t>
  </si>
  <si>
    <t>UDAYSHIVKUMAR INFRA LTD</t>
  </si>
  <si>
    <t>INFRA</t>
  </si>
  <si>
    <t>YASONS CHEMEX CARE</t>
  </si>
  <si>
    <t>CHEMICAL</t>
  </si>
  <si>
    <t>AVT NATURAL PRODUCT LTD</t>
  </si>
  <si>
    <t>ALANKIT LTD</t>
  </si>
  <si>
    <t>AIRAN LTD</t>
  </si>
  <si>
    <t>RAMA STEEL TUBES LTD</t>
  </si>
  <si>
    <t>STEEL</t>
  </si>
  <si>
    <t>KOTHARI SUGARS AND CHEMICAL</t>
  </si>
  <si>
    <t>SCILAL</t>
  </si>
  <si>
    <t>PSU</t>
  </si>
  <si>
    <t>T</t>
  </si>
  <si>
    <t>S</t>
  </si>
  <si>
    <t>TS</t>
  </si>
  <si>
    <t>PALANG</t>
  </si>
  <si>
    <t>Thakur Palang</t>
  </si>
  <si>
    <t>thakur palag</t>
  </si>
  <si>
    <t>short</t>
  </si>
  <si>
    <t>land rcpt</t>
  </si>
  <si>
    <t>HCK073480</t>
  </si>
  <si>
    <t>5380</t>
  </si>
  <si>
    <t>Sunita Kumari</t>
  </si>
  <si>
    <t>7061859779</t>
  </si>
  <si>
    <t>CUST PAY</t>
  </si>
  <si>
    <t>Suman Devi</t>
  </si>
  <si>
    <t>HCK073481</t>
  </si>
  <si>
    <t>5381</t>
  </si>
  <si>
    <t>9234590356</t>
  </si>
  <si>
    <t>TRANSFER</t>
  </si>
  <si>
    <t>GROW</t>
  </si>
  <si>
    <t>cash rcvd</t>
  </si>
  <si>
    <t>HCK073488</t>
  </si>
  <si>
    <t>5383</t>
  </si>
  <si>
    <t>Sukumar Sahu</t>
  </si>
  <si>
    <t>Disha Kumari</t>
  </si>
  <si>
    <t>24-04-2024</t>
  </si>
  <si>
    <t>271602141670</t>
  </si>
  <si>
    <t>Chhanda Chatterjee</t>
  </si>
  <si>
    <t>9199617884</t>
  </si>
  <si>
    <t>25-04-204</t>
  </si>
  <si>
    <t>HCK073496</t>
  </si>
  <si>
    <t>HCK065824</t>
  </si>
  <si>
    <t>5385</t>
  </si>
  <si>
    <t>Gourav Kumar Pandey</t>
  </si>
  <si>
    <t>457771255423</t>
  </si>
  <si>
    <t>8797594838</t>
  </si>
  <si>
    <t>DEPO</t>
  </si>
  <si>
    <t>WOUT</t>
  </si>
  <si>
    <t>PUSHPAM</t>
  </si>
  <si>
    <t>HCK073499</t>
  </si>
  <si>
    <t>26-04-2024</t>
  </si>
  <si>
    <t>6203463253</t>
  </si>
  <si>
    <t>HCK073500</t>
  </si>
  <si>
    <t>Ankit Kumar</t>
  </si>
  <si>
    <t>5387</t>
  </si>
  <si>
    <t>5386</t>
  </si>
  <si>
    <t>9771339067</t>
  </si>
  <si>
    <t>0552</t>
  </si>
  <si>
    <t>Radh Devi</t>
  </si>
  <si>
    <t>radh devi</t>
  </si>
  <si>
    <t>cash in</t>
  </si>
  <si>
    <t>Sukumar sahu</t>
  </si>
  <si>
    <t>jharbhoomi</t>
  </si>
  <si>
    <t>selfjalan</t>
  </si>
  <si>
    <t>rajesh</t>
  </si>
  <si>
    <t>for fevicol</t>
  </si>
  <si>
    <t>CASH IN</t>
  </si>
  <si>
    <t>30-04-2024</t>
  </si>
  <si>
    <t>from card</t>
  </si>
  <si>
    <t>suspese</t>
  </si>
  <si>
    <t>personal</t>
  </si>
  <si>
    <t>10000.00</t>
  </si>
  <si>
    <t>May</t>
  </si>
  <si>
    <t>satsang</t>
  </si>
  <si>
    <t>Ration</t>
  </si>
  <si>
    <t>haldi</t>
  </si>
  <si>
    <t>cash in hand</t>
  </si>
  <si>
    <t>vananchan</t>
  </si>
  <si>
    <t>vanancal</t>
  </si>
  <si>
    <t>01-05-2024</t>
  </si>
  <si>
    <t>860729748020</t>
  </si>
  <si>
    <t>3500</t>
  </si>
  <si>
    <t>vananchal</t>
  </si>
  <si>
    <t>6600</t>
  </si>
  <si>
    <t>2200</t>
  </si>
  <si>
    <t>HCK070171</t>
  </si>
  <si>
    <t>1000</t>
  </si>
  <si>
    <t>jhumparani shaw</t>
  </si>
  <si>
    <t>bob out</t>
  </si>
  <si>
    <t>arjun singh</t>
  </si>
  <si>
    <t>1700</t>
  </si>
  <si>
    <t xml:space="preserve">antik </t>
  </si>
  <si>
    <t>10000</t>
  </si>
  <si>
    <t>5393</t>
  </si>
  <si>
    <t>Luv Kumar</t>
  </si>
  <si>
    <t>03-05-2024</t>
  </si>
  <si>
    <t>Rent-4320</t>
  </si>
  <si>
    <t>sunil kr prasad</t>
  </si>
  <si>
    <t>HCK073518</t>
  </si>
  <si>
    <t>723701444653</t>
  </si>
  <si>
    <t>9304730054</t>
  </si>
  <si>
    <t>1800</t>
  </si>
  <si>
    <t>itr</t>
  </si>
  <si>
    <t>4000</t>
  </si>
  <si>
    <t>cmport</t>
  </si>
  <si>
    <t>5000</t>
  </si>
  <si>
    <t>5500</t>
  </si>
  <si>
    <t>maya pandey</t>
  </si>
  <si>
    <t>coport</t>
  </si>
  <si>
    <t>Alok nath das</t>
  </si>
  <si>
    <t>self ration</t>
  </si>
  <si>
    <t>cashin</t>
  </si>
  <si>
    <t>csc transfer</t>
  </si>
  <si>
    <t>HCK073544</t>
  </si>
  <si>
    <t>5399</t>
  </si>
  <si>
    <t>Uma Sahu</t>
  </si>
  <si>
    <t>330139107018</t>
  </si>
  <si>
    <t>1005</t>
  </si>
  <si>
    <t>738</t>
  </si>
  <si>
    <t>2000</t>
  </si>
  <si>
    <t>bobo</t>
  </si>
  <si>
    <t>vbobo</t>
  </si>
  <si>
    <t>6000</t>
  </si>
  <si>
    <t>rima das</t>
  </si>
  <si>
    <t>sal</t>
  </si>
  <si>
    <t>monika mahato</t>
  </si>
  <si>
    <t>monika</t>
  </si>
  <si>
    <t>self for home ele</t>
  </si>
  <si>
    <t>customer in</t>
  </si>
  <si>
    <t>suman kumari</t>
  </si>
  <si>
    <t>custoemr out</t>
  </si>
  <si>
    <t>madhya</t>
  </si>
  <si>
    <t>suman Kumari</t>
  </si>
  <si>
    <t>10-05-2024</t>
  </si>
  <si>
    <t>HCK073556</t>
  </si>
  <si>
    <t>HCK073557</t>
  </si>
  <si>
    <t>9525417068</t>
  </si>
  <si>
    <t>cash inn</t>
  </si>
  <si>
    <t>HCK073561</t>
  </si>
  <si>
    <t>Ragini Devi</t>
  </si>
  <si>
    <t>9234849622</t>
  </si>
  <si>
    <t>digipay</t>
  </si>
  <si>
    <t>HCK073564</t>
  </si>
  <si>
    <t>8877079667</t>
  </si>
  <si>
    <t>pushpam 4000</t>
  </si>
  <si>
    <t>Rubi Kumari</t>
  </si>
  <si>
    <t>5402</t>
  </si>
  <si>
    <t>5403</t>
  </si>
  <si>
    <t>281939001468</t>
  </si>
  <si>
    <t>7003205693</t>
  </si>
  <si>
    <t>Pamila Devi</t>
  </si>
  <si>
    <t>585595041430</t>
  </si>
  <si>
    <t>5404</t>
  </si>
  <si>
    <t>5405</t>
  </si>
  <si>
    <t>Sevanand Larokar</t>
  </si>
  <si>
    <t>264330821959</t>
  </si>
  <si>
    <t>574335716301</t>
  </si>
  <si>
    <t>Ragini</t>
  </si>
  <si>
    <t>Motilal larokar</t>
  </si>
  <si>
    <t>HCK073568</t>
  </si>
  <si>
    <t>5406</t>
  </si>
  <si>
    <t>9162964828</t>
  </si>
  <si>
    <t>HCK073570</t>
  </si>
  <si>
    <t>328965456827</t>
  </si>
  <si>
    <t>6201905490</t>
  </si>
  <si>
    <t>joydev</t>
  </si>
  <si>
    <t>shadhna</t>
  </si>
  <si>
    <t>16-05-2024</t>
  </si>
  <si>
    <t>durga kumari</t>
  </si>
  <si>
    <t>17-05-2024</t>
  </si>
  <si>
    <t>HCK073583</t>
  </si>
  <si>
    <t>Nabin Das</t>
  </si>
  <si>
    <t>5408</t>
  </si>
  <si>
    <t>9204421668</t>
  </si>
  <si>
    <t>HCK071864</t>
  </si>
  <si>
    <t>HCK073584</t>
  </si>
  <si>
    <t>9113325569</t>
  </si>
  <si>
    <t>5409</t>
  </si>
  <si>
    <t>Rajin Karmakar</t>
  </si>
  <si>
    <t>584896829127</t>
  </si>
  <si>
    <t>HCK073585</t>
  </si>
  <si>
    <t>7870510798</t>
  </si>
  <si>
    <t>81-2486</t>
  </si>
  <si>
    <t>Manoj Lohar</t>
  </si>
  <si>
    <t>01-005486</t>
  </si>
  <si>
    <t>sanjit pandey</t>
  </si>
  <si>
    <t>5410</t>
  </si>
  <si>
    <t>abhishek gupta</t>
  </si>
  <si>
    <t>RAJESH SEN</t>
  </si>
  <si>
    <t>Rajesh SEn</t>
  </si>
  <si>
    <t>HCK073590</t>
  </si>
  <si>
    <t>5411</t>
  </si>
  <si>
    <t>Shyamali Biswas</t>
  </si>
  <si>
    <t>697448631195</t>
  </si>
  <si>
    <t>9142880824</t>
  </si>
  <si>
    <t>81-5411</t>
  </si>
  <si>
    <t>s5411</t>
  </si>
  <si>
    <t>HCK073592</t>
  </si>
  <si>
    <t>5412</t>
  </si>
  <si>
    <t>Rani Devi</t>
  </si>
  <si>
    <t>273798199903</t>
  </si>
  <si>
    <t>81-5412</t>
  </si>
  <si>
    <t>S5412</t>
  </si>
  <si>
    <t>22-05-2024</t>
  </si>
  <si>
    <t>713524631634</t>
  </si>
  <si>
    <t>suresh bhumij</t>
  </si>
  <si>
    <t>Pachhama gaounder</t>
  </si>
  <si>
    <t>HCK073593</t>
  </si>
  <si>
    <t>samima bano</t>
  </si>
  <si>
    <t>cfund</t>
  </si>
  <si>
    <t>HCK073594</t>
  </si>
  <si>
    <t>5413</t>
  </si>
  <si>
    <t>5414</t>
  </si>
  <si>
    <t>Vimla Devi</t>
  </si>
  <si>
    <t>507736125488</t>
  </si>
  <si>
    <t>896972143</t>
  </si>
  <si>
    <t>Tara Sahu</t>
  </si>
  <si>
    <t>690828039065</t>
  </si>
  <si>
    <t>81-5413</t>
  </si>
  <si>
    <t>81-5414</t>
  </si>
  <si>
    <t>dinesh Kumar</t>
  </si>
  <si>
    <t>24-05-2024</t>
  </si>
  <si>
    <t>678673849129</t>
  </si>
  <si>
    <t>25-04-2024</t>
  </si>
  <si>
    <t>Prakash dhibar</t>
  </si>
  <si>
    <t>mamta mahapatra</t>
  </si>
  <si>
    <t>27-05-2024</t>
  </si>
  <si>
    <t>sanju devi</t>
  </si>
  <si>
    <t>No paper</t>
  </si>
  <si>
    <t>Sanju Devi</t>
  </si>
  <si>
    <t>curtai+</t>
  </si>
  <si>
    <t>June</t>
  </si>
  <si>
    <t>loan 353- 2000(Scard)</t>
  </si>
  <si>
    <t>veg</t>
  </si>
  <si>
    <t>HCK073615</t>
  </si>
  <si>
    <t>5416</t>
  </si>
  <si>
    <t>HCK064340</t>
  </si>
  <si>
    <t>puja Gorai</t>
  </si>
  <si>
    <t>Ratni sandil</t>
  </si>
  <si>
    <t>30-05-2024</t>
  </si>
  <si>
    <t>HCK073619</t>
  </si>
  <si>
    <t>HCK073623</t>
  </si>
  <si>
    <t>5417</t>
  </si>
  <si>
    <t>5418</t>
  </si>
  <si>
    <t>Bishram Singh</t>
  </si>
  <si>
    <t>9334895208</t>
  </si>
  <si>
    <t>5419</t>
  </si>
  <si>
    <t>Chintamani Lohar</t>
  </si>
  <si>
    <t>9060177889</t>
  </si>
  <si>
    <t>HCK073627</t>
  </si>
  <si>
    <t>03-062024</t>
  </si>
  <si>
    <t>588581-5819</t>
  </si>
  <si>
    <t>04-06-2024</t>
  </si>
  <si>
    <t>406793848309</t>
  </si>
  <si>
    <t>06-06-2024</t>
  </si>
  <si>
    <t>saraswtati das</t>
  </si>
  <si>
    <t>HCK073644</t>
  </si>
  <si>
    <t>Ashish Sahis</t>
  </si>
  <si>
    <t>5422</t>
  </si>
  <si>
    <t>Mnshi Sharma</t>
  </si>
  <si>
    <t>kamla gorai</t>
  </si>
  <si>
    <t>mrs sagar mahato</t>
  </si>
  <si>
    <t>HCK066589</t>
  </si>
  <si>
    <t>HCK073656</t>
  </si>
  <si>
    <t>5426</t>
  </si>
  <si>
    <t>Shamshunnisa Begum</t>
  </si>
  <si>
    <t>9279043851</t>
  </si>
  <si>
    <t>12-06-2024</t>
  </si>
  <si>
    <t>Akash Sahih</t>
  </si>
  <si>
    <t>7870106669</t>
  </si>
  <si>
    <t>857277166148</t>
  </si>
  <si>
    <t>tapan kpardar</t>
  </si>
  <si>
    <t>HCK073661</t>
  </si>
  <si>
    <t>01-6041</t>
  </si>
  <si>
    <t>Esther Malto</t>
  </si>
  <si>
    <t>9798320455</t>
  </si>
  <si>
    <t>13-06-2024</t>
  </si>
  <si>
    <t>293092132626</t>
  </si>
  <si>
    <t>6287253397</t>
  </si>
  <si>
    <t>13-06-202</t>
  </si>
  <si>
    <t>14-06-2024</t>
  </si>
  <si>
    <t>tpaan kpadar</t>
  </si>
  <si>
    <t>Alok Nath Das</t>
  </si>
  <si>
    <t>outn</t>
  </si>
  <si>
    <t>HCK073679</t>
  </si>
  <si>
    <t>5430</t>
  </si>
  <si>
    <t>HCK073680</t>
  </si>
  <si>
    <t>5431</t>
  </si>
  <si>
    <t>Rekha Roy</t>
  </si>
  <si>
    <t>Himalay Nirjhar Roy</t>
  </si>
  <si>
    <t>229973890244</t>
  </si>
  <si>
    <t>865979013004</t>
  </si>
  <si>
    <t>7646050199</t>
  </si>
  <si>
    <t>1906-2024</t>
  </si>
  <si>
    <t>50 due</t>
  </si>
  <si>
    <t>ram aydhya singh</t>
  </si>
  <si>
    <t>priyanka gorai</t>
  </si>
  <si>
    <t>narsingh hansda</t>
  </si>
  <si>
    <t>HCK073687</t>
  </si>
  <si>
    <t>om prakash prasad</t>
  </si>
  <si>
    <t>HCK070501</t>
  </si>
  <si>
    <t>ZONE 1B</t>
  </si>
  <si>
    <t>HCK073689</t>
  </si>
  <si>
    <t>8539093555</t>
  </si>
  <si>
    <t>Pitho Soren</t>
  </si>
  <si>
    <t>5435</t>
  </si>
  <si>
    <t>5433</t>
  </si>
  <si>
    <t>mbgbank</t>
  </si>
  <si>
    <t>janeshwar singh</t>
  </si>
  <si>
    <t>HCK073691</t>
  </si>
  <si>
    <t>5437</t>
  </si>
  <si>
    <t>8709541481</t>
  </si>
  <si>
    <t>678182373043</t>
  </si>
  <si>
    <t>539677722245</t>
  </si>
  <si>
    <t>Minu Patro</t>
  </si>
  <si>
    <t>81-1991</t>
  </si>
  <si>
    <t>HCK073694</t>
  </si>
  <si>
    <t>Manny Mukhi</t>
  </si>
  <si>
    <t>6206841624</t>
  </si>
  <si>
    <t>5440</t>
  </si>
  <si>
    <t>4777</t>
  </si>
  <si>
    <t>HCK070616</t>
  </si>
  <si>
    <t>HCK073695</t>
  </si>
  <si>
    <t>5441</t>
  </si>
  <si>
    <t>Anuj Sah</t>
  </si>
  <si>
    <t>9155178115</t>
  </si>
  <si>
    <t>Anul Sah</t>
  </si>
  <si>
    <t>pachhama gaunder</t>
  </si>
  <si>
    <t>HCK073702</t>
  </si>
  <si>
    <t>26-06-2024</t>
  </si>
  <si>
    <t>6202676233</t>
  </si>
  <si>
    <t>357762541012</t>
  </si>
  <si>
    <t>6064</t>
  </si>
  <si>
    <t>HCK073706</t>
  </si>
  <si>
    <t>01-6064</t>
  </si>
  <si>
    <t>5442</t>
  </si>
  <si>
    <t>983561751045</t>
  </si>
  <si>
    <t>9939290389</t>
  </si>
  <si>
    <t>July</t>
  </si>
  <si>
    <t>HCK073707</t>
  </si>
  <si>
    <t>Arup Mall</t>
  </si>
  <si>
    <t>9798245782</t>
  </si>
  <si>
    <t>6066</t>
  </si>
  <si>
    <t>pushpam -6000</t>
  </si>
  <si>
    <t>arup mall</t>
  </si>
  <si>
    <t>28-06-2024</t>
  </si>
  <si>
    <t>29-06-2024</t>
  </si>
  <si>
    <t>Arvinash Lakra</t>
  </si>
  <si>
    <t>4061</t>
  </si>
  <si>
    <t>suz</t>
  </si>
  <si>
    <t>VI</t>
  </si>
  <si>
    <t>Rpower</t>
  </si>
  <si>
    <t>ship corp</t>
  </si>
  <si>
    <t>30-06-2024</t>
  </si>
  <si>
    <t>HCK073712</t>
  </si>
  <si>
    <t>8092290503</t>
  </si>
  <si>
    <t>Pratima Barik</t>
  </si>
  <si>
    <t>5443</t>
  </si>
  <si>
    <t>HCK073713</t>
  </si>
  <si>
    <t>5444</t>
  </si>
  <si>
    <t>Bini Barik</t>
  </si>
  <si>
    <t>HOME</t>
  </si>
  <si>
    <t>STOOL</t>
  </si>
  <si>
    <t>PAINT</t>
  </si>
  <si>
    <t>PERI</t>
  </si>
  <si>
    <t>12a</t>
  </si>
  <si>
    <t>WI-FI</t>
  </si>
  <si>
    <t>buni modak</t>
  </si>
  <si>
    <t>HCK073717</t>
  </si>
  <si>
    <t>HCK073718</t>
  </si>
  <si>
    <t>9122429354</t>
  </si>
  <si>
    <t>5445</t>
  </si>
  <si>
    <t>5446</t>
  </si>
  <si>
    <t>Asma Khatoon</t>
  </si>
  <si>
    <t>Sana Firdous</t>
  </si>
  <si>
    <t>6201279730</t>
  </si>
  <si>
    <t>jaso devi</t>
  </si>
  <si>
    <t>HCK073726</t>
  </si>
  <si>
    <t>5447</t>
  </si>
  <si>
    <t>Puja Patra</t>
  </si>
  <si>
    <t>9263532781</t>
  </si>
  <si>
    <t>3343</t>
  </si>
  <si>
    <t>HCK067844</t>
  </si>
  <si>
    <t>KESHIKUDAR</t>
  </si>
  <si>
    <t>HCK073728</t>
  </si>
  <si>
    <t>bhgun sundi</t>
  </si>
  <si>
    <t>5448</t>
  </si>
  <si>
    <t>Mrs. Sahu</t>
  </si>
  <si>
    <t>04-07-2024</t>
  </si>
  <si>
    <t>05-00050</t>
  </si>
  <si>
    <t>05-07-2024</t>
  </si>
  <si>
    <t>Mousumi Sahu</t>
  </si>
  <si>
    <t>HCK073737</t>
  </si>
  <si>
    <t>Akash Munda</t>
  </si>
  <si>
    <t>ration</t>
  </si>
  <si>
    <t>aata</t>
  </si>
  <si>
    <t>home</t>
  </si>
  <si>
    <t>Gunadhar Charmkar</t>
  </si>
  <si>
    <t>5450</t>
  </si>
  <si>
    <t>Urja global</t>
  </si>
  <si>
    <t>surana solar ltd</t>
  </si>
  <si>
    <t>Reliance home finane ltd</t>
  </si>
  <si>
    <t>Advik capital ltd</t>
  </si>
  <si>
    <t>Future Consumer ltd</t>
  </si>
  <si>
    <t>Rollatainer ltd</t>
  </si>
  <si>
    <t>G G ENGINEERING LTD</t>
  </si>
  <si>
    <t>SUNSHINE CAPITAL LTD</t>
  </si>
  <si>
    <t>GTL INFRA LTD</t>
  </si>
  <si>
    <t>INDIA STEEL WORKS LTD</t>
  </si>
  <si>
    <t>SAL STEEL LTD</t>
  </si>
  <si>
    <t>STEEL EXCHANGE INDIA LTD</t>
  </si>
  <si>
    <t>INTEGRA ESSENTIA LTD</t>
  </si>
  <si>
    <t>HCK073753</t>
  </si>
  <si>
    <t>Md Mustakim</t>
  </si>
  <si>
    <t>7209165046</t>
  </si>
  <si>
    <t>5451</t>
  </si>
  <si>
    <t>HCK073755</t>
  </si>
  <si>
    <t>5452</t>
  </si>
  <si>
    <t>5453</t>
  </si>
  <si>
    <t>Nayan Kumar</t>
  </si>
  <si>
    <t>Satyam Kumar Sahu</t>
  </si>
  <si>
    <t>HCK073757</t>
  </si>
  <si>
    <t>5454</t>
  </si>
  <si>
    <t>9608645420</t>
  </si>
  <si>
    <t>12-07-2024</t>
  </si>
  <si>
    <t>ratni sandil</t>
  </si>
  <si>
    <t>0665</t>
  </si>
  <si>
    <t>0665-1000</t>
  </si>
  <si>
    <t>HCK073759</t>
  </si>
  <si>
    <t>5455</t>
  </si>
  <si>
    <t>Sadaf Perween</t>
  </si>
  <si>
    <t>6205458762</t>
  </si>
  <si>
    <t>HCK073760</t>
  </si>
  <si>
    <t>HCK073761</t>
  </si>
  <si>
    <t>5456</t>
  </si>
  <si>
    <t>Gurmukh Singh</t>
  </si>
  <si>
    <t>9234785889</t>
  </si>
  <si>
    <t>01-6101</t>
  </si>
  <si>
    <t>Shyamal Kumar Mandal</t>
  </si>
  <si>
    <t>HCK073762</t>
  </si>
  <si>
    <t>5457</t>
  </si>
  <si>
    <t>Renu Munda</t>
  </si>
  <si>
    <t>sanchari munda</t>
  </si>
  <si>
    <t>4878</t>
  </si>
  <si>
    <t>Dhananjay singh</t>
  </si>
  <si>
    <t>01-10852</t>
  </si>
  <si>
    <t>Sanjit kr pandey</t>
  </si>
  <si>
    <t>HCK073763</t>
  </si>
  <si>
    <t>Monika Lakra</t>
  </si>
  <si>
    <t>HCK073765</t>
  </si>
  <si>
    <t>5458</t>
  </si>
  <si>
    <t>9334625109</t>
  </si>
  <si>
    <t>Priti Devi</t>
  </si>
  <si>
    <t>01-006104</t>
  </si>
  <si>
    <t>HCK073766</t>
  </si>
  <si>
    <t>HCK073768</t>
  </si>
  <si>
    <t>Pano Gorai</t>
  </si>
  <si>
    <t>5460</t>
  </si>
  <si>
    <t>5459</t>
  </si>
  <si>
    <t>HCK073769</t>
  </si>
  <si>
    <t>5461</t>
  </si>
  <si>
    <t>Chilagi Birua</t>
  </si>
  <si>
    <t>9905729287</t>
  </si>
  <si>
    <t>8092321715</t>
  </si>
  <si>
    <t>01-6404</t>
  </si>
  <si>
    <t>1</t>
  </si>
  <si>
    <t>15-07-2024</t>
  </si>
  <si>
    <t>comkport</t>
  </si>
  <si>
    <t>PERIpheral</t>
  </si>
  <si>
    <t>16-07-2024</t>
  </si>
  <si>
    <t>HCK073776</t>
  </si>
  <si>
    <t>5463</t>
  </si>
  <si>
    <t>HCK073777</t>
  </si>
  <si>
    <t>5464</t>
  </si>
  <si>
    <t>Durga Moni Sradar</t>
  </si>
  <si>
    <t>7485823555</t>
  </si>
  <si>
    <t>Durga Moni Sardar</t>
  </si>
  <si>
    <t>13-07-2024</t>
  </si>
  <si>
    <t>Sobha Karmakar</t>
  </si>
  <si>
    <t>Madhuri Mahato</t>
  </si>
  <si>
    <t>HCK073780</t>
  </si>
  <si>
    <t>5465</t>
  </si>
  <si>
    <t>Tabrez Khan</t>
  </si>
  <si>
    <t>6205420084</t>
  </si>
  <si>
    <t>Tabrej Khan</t>
  </si>
  <si>
    <t>HCK073781</t>
  </si>
  <si>
    <t>5466</t>
  </si>
  <si>
    <t>Sbambhu Banerjee</t>
  </si>
  <si>
    <t>8804382402</t>
  </si>
  <si>
    <t>18-07-2024</t>
  </si>
  <si>
    <t>HCK073794</t>
  </si>
  <si>
    <t>5467</t>
  </si>
  <si>
    <t>Shakuntala Devi</t>
  </si>
  <si>
    <t>Shakuntala Dev</t>
  </si>
  <si>
    <t>HCK073795</t>
  </si>
  <si>
    <t>5468</t>
  </si>
  <si>
    <t>Rita Dutta</t>
  </si>
  <si>
    <t>18-07-2027</t>
  </si>
  <si>
    <t>8294461875</t>
  </si>
  <si>
    <t>20-07-2024</t>
  </si>
  <si>
    <t>w/o lal mohan</t>
  </si>
  <si>
    <t>SUNITA GOPE</t>
  </si>
  <si>
    <t>HCK073801</t>
  </si>
  <si>
    <t>Sadhana umari</t>
  </si>
  <si>
    <t>Saaba Musarat</t>
  </si>
  <si>
    <t>5469</t>
  </si>
  <si>
    <t>Saba Musarat</t>
  </si>
  <si>
    <t>820568392430</t>
  </si>
  <si>
    <t>unoi</t>
  </si>
  <si>
    <t>sibo gope</t>
  </si>
  <si>
    <t>01-547</t>
  </si>
  <si>
    <t>jyoti karmakar</t>
  </si>
  <si>
    <t>694515934995</t>
  </si>
  <si>
    <t>HCK073804</t>
  </si>
  <si>
    <t>5470</t>
  </si>
  <si>
    <t>Md Abdullah</t>
  </si>
  <si>
    <t>837069239158</t>
  </si>
  <si>
    <t>sunita pardhiya</t>
  </si>
  <si>
    <t>19-07-2024</t>
  </si>
  <si>
    <t>angali sahis</t>
  </si>
  <si>
    <t>Mamata Mahapatra</t>
  </si>
  <si>
    <t>21-07-2024</t>
  </si>
  <si>
    <t>HCK073806</t>
  </si>
  <si>
    <t>indusing</t>
  </si>
  <si>
    <t>ful kumari devi</t>
  </si>
  <si>
    <t>naaz perween</t>
  </si>
  <si>
    <t>22-07-2024</t>
  </si>
  <si>
    <t>5471</t>
  </si>
  <si>
    <t>sabitri gorai</t>
  </si>
  <si>
    <t>sunil Kumar prasad</t>
  </si>
  <si>
    <t>HCK073809</t>
  </si>
  <si>
    <t>5472</t>
  </si>
  <si>
    <t>Shobha Dubey</t>
  </si>
  <si>
    <t>232831334812</t>
  </si>
  <si>
    <t>mrs kour</t>
  </si>
  <si>
    <t>Shobha dubey</t>
  </si>
  <si>
    <t>mr kuour</t>
  </si>
  <si>
    <t>anup kumar mahato</t>
  </si>
  <si>
    <t>HCK073810</t>
  </si>
  <si>
    <t>5473</t>
  </si>
  <si>
    <t>mansa Ram Sahu</t>
  </si>
  <si>
    <t>9234718535</t>
  </si>
  <si>
    <t>Mansa Ram Sahu</t>
  </si>
  <si>
    <t>HCK073813</t>
  </si>
  <si>
    <t>5474</t>
  </si>
  <si>
    <t>Priyak Chalak</t>
  </si>
  <si>
    <t>8797110215</t>
  </si>
  <si>
    <t>Priya chalak</t>
  </si>
  <si>
    <t>pinki devi</t>
  </si>
  <si>
    <t>HCK073814</t>
  </si>
  <si>
    <t>5475</t>
  </si>
  <si>
    <t>Sabita Bera</t>
  </si>
  <si>
    <t>8340195660</t>
  </si>
  <si>
    <t>HCK073815</t>
  </si>
  <si>
    <t>5476</t>
  </si>
  <si>
    <t>Nasrin Khatoon</t>
  </si>
  <si>
    <t>Jaiprakash power venture</t>
  </si>
  <si>
    <t>25-07-2024</t>
  </si>
  <si>
    <t>haripad sardar</t>
  </si>
  <si>
    <t>r Uma gounder</t>
  </si>
  <si>
    <t>24-07-2024</t>
  </si>
  <si>
    <t>8383956223</t>
  </si>
  <si>
    <t>HCK073825</t>
  </si>
  <si>
    <t>5477</t>
  </si>
  <si>
    <t>Samir Lohar</t>
  </si>
  <si>
    <t>8092876546</t>
  </si>
  <si>
    <t>623248537227</t>
  </si>
  <si>
    <t>ugar sugar</t>
  </si>
  <si>
    <t>dalmia bharat suger</t>
  </si>
  <si>
    <t>bajaj hindusthan suger ltd</t>
  </si>
  <si>
    <t>balrampur chni mile</t>
  </si>
  <si>
    <t>triven eng</t>
  </si>
  <si>
    <t>5486-01</t>
  </si>
  <si>
    <t>bobh</t>
  </si>
  <si>
    <t>HCK073844</t>
  </si>
  <si>
    <t>HCK073853</t>
  </si>
  <si>
    <t>5478</t>
  </si>
  <si>
    <t>5479</t>
  </si>
  <si>
    <t>7739350717</t>
  </si>
  <si>
    <t>Debashree Tewary</t>
  </si>
  <si>
    <t>HCK073855</t>
  </si>
  <si>
    <t>5480</t>
  </si>
  <si>
    <t>Jyoti Devi</t>
  </si>
  <si>
    <t>HCK073856</t>
  </si>
  <si>
    <t>5481</t>
  </si>
  <si>
    <t>Manika Karmakar</t>
  </si>
  <si>
    <t>7857084308</t>
  </si>
  <si>
    <t>HCK073858</t>
  </si>
  <si>
    <t>5482</t>
  </si>
  <si>
    <t>Ritu Gorai</t>
  </si>
  <si>
    <t>6205612561</t>
  </si>
  <si>
    <t>HCK073860</t>
  </si>
  <si>
    <t>5483</t>
  </si>
  <si>
    <t>Rinku manjumdar</t>
  </si>
  <si>
    <t>9661102913</t>
  </si>
  <si>
    <t>HCK073862</t>
  </si>
  <si>
    <t>5484</t>
  </si>
  <si>
    <t>Kahkasan Parwen</t>
  </si>
  <si>
    <t>HCK073864</t>
  </si>
  <si>
    <t>5485</t>
  </si>
  <si>
    <t>Zareen Perween</t>
  </si>
  <si>
    <t>9905102813</t>
  </si>
  <si>
    <t>8797126736</t>
  </si>
  <si>
    <t>Shiv Kumar Prasad</t>
  </si>
  <si>
    <t>HCK073868</t>
  </si>
  <si>
    <t>Sahenaz Parween</t>
  </si>
  <si>
    <t>7209646502</t>
  </si>
  <si>
    <t>HCK073869</t>
  </si>
  <si>
    <t>5487</t>
  </si>
  <si>
    <t>Rita Chatterjee</t>
  </si>
  <si>
    <t>inoperative</t>
  </si>
  <si>
    <t>HCK073870</t>
  </si>
  <si>
    <t>5488</t>
  </si>
  <si>
    <t>Sahinda Khatoon</t>
  </si>
  <si>
    <t>8292634449</t>
  </si>
  <si>
    <t>Sahida Khatoon</t>
  </si>
  <si>
    <t>HCK073871</t>
  </si>
  <si>
    <t>5489</t>
  </si>
  <si>
    <t>Mala Dey</t>
  </si>
  <si>
    <t>9905171766</t>
  </si>
  <si>
    <t>HCK073872</t>
  </si>
  <si>
    <t>5490</t>
  </si>
  <si>
    <t>Devi Nayak</t>
  </si>
  <si>
    <t>02-08-2024</t>
  </si>
  <si>
    <t>HCK073879</t>
  </si>
  <si>
    <t>5493</t>
  </si>
  <si>
    <t>Bindu Singh</t>
  </si>
  <si>
    <t>6205159050</t>
  </si>
  <si>
    <t>suraj gupa</t>
  </si>
  <si>
    <t>HCK073886</t>
  </si>
  <si>
    <t>5495</t>
  </si>
  <si>
    <t>Heena Begam</t>
  </si>
  <si>
    <t>8252977403</t>
  </si>
  <si>
    <t>500416359237</t>
  </si>
  <si>
    <t>Heena Begum</t>
  </si>
  <si>
    <t>HCK073887</t>
  </si>
  <si>
    <t>5496</t>
  </si>
  <si>
    <t>Mariyam Bibi</t>
  </si>
  <si>
    <t>9801319114</t>
  </si>
  <si>
    <t>682892793080</t>
  </si>
  <si>
    <t>HCK073889</t>
  </si>
  <si>
    <t>5498</t>
  </si>
  <si>
    <t>6204801749</t>
  </si>
  <si>
    <t>507635980115</t>
  </si>
  <si>
    <t>HCK073891</t>
  </si>
  <si>
    <t>692896501437</t>
  </si>
  <si>
    <t>haleema begam</t>
  </si>
  <si>
    <t>5501</t>
  </si>
  <si>
    <t>Aliya Parween</t>
  </si>
  <si>
    <t>570406416127</t>
  </si>
  <si>
    <t>HCK073893</t>
  </si>
  <si>
    <t>HCK073899</t>
  </si>
  <si>
    <t>5502</t>
  </si>
  <si>
    <t>Gelhi Dhibar</t>
  </si>
  <si>
    <t>9241880521</t>
  </si>
  <si>
    <t>914339431242</t>
  </si>
  <si>
    <t>03-08-2024</t>
  </si>
  <si>
    <t>HCK073900</t>
  </si>
  <si>
    <t>5503</t>
  </si>
  <si>
    <t>Ranjana Mishra</t>
  </si>
  <si>
    <t>70336289611</t>
  </si>
  <si>
    <t>505557165918</t>
  </si>
  <si>
    <t>Ranjana Singh</t>
  </si>
  <si>
    <t>HCK073902</t>
  </si>
  <si>
    <t>5504</t>
  </si>
  <si>
    <t>Angoori Naz</t>
  </si>
  <si>
    <t>9931746828</t>
  </si>
  <si>
    <t>Angoori naz</t>
  </si>
  <si>
    <t>911302980627</t>
  </si>
  <si>
    <t>HCK073903</t>
  </si>
  <si>
    <t>5505</t>
  </si>
  <si>
    <t>Sanil Shagufta</t>
  </si>
  <si>
    <t>937558970374</t>
  </si>
  <si>
    <t>9234737216</t>
  </si>
  <si>
    <t>ganesh panda</t>
  </si>
  <si>
    <t>HCK073906</t>
  </si>
  <si>
    <t>5506</t>
  </si>
  <si>
    <t>9031783607</t>
  </si>
  <si>
    <t>549722654544</t>
  </si>
  <si>
    <t>Shagufta perween</t>
  </si>
  <si>
    <t>HCK073907</t>
  </si>
  <si>
    <t>5507</t>
  </si>
  <si>
    <t>Moushmi Besra</t>
  </si>
  <si>
    <t>679940936148</t>
  </si>
  <si>
    <t>9113140703</t>
  </si>
  <si>
    <t>HCK073911</t>
  </si>
  <si>
    <t>5511</t>
  </si>
  <si>
    <t>Shabina Khatoon</t>
  </si>
  <si>
    <t>9102118402</t>
  </si>
  <si>
    <t>HCK073923</t>
  </si>
  <si>
    <t>5518</t>
  </si>
  <si>
    <t>Bandana Kumari</t>
  </si>
  <si>
    <t>8210343181</t>
  </si>
  <si>
    <t>HCK073926</t>
  </si>
  <si>
    <t>5520</t>
  </si>
  <si>
    <t>8235431046</t>
  </si>
  <si>
    <t>HCK073928</t>
  </si>
  <si>
    <t>5521</t>
  </si>
  <si>
    <t>HCK073932</t>
  </si>
  <si>
    <t>5523</t>
  </si>
  <si>
    <t>9334230170</t>
  </si>
  <si>
    <t>HCK073934</t>
  </si>
  <si>
    <t>5524</t>
  </si>
  <si>
    <t>Jhuma Sahu</t>
  </si>
  <si>
    <t>8210355562</t>
  </si>
  <si>
    <t>05-08-2024</t>
  </si>
  <si>
    <t>4798</t>
  </si>
  <si>
    <t>HCK073936</t>
  </si>
  <si>
    <t>5526</t>
  </si>
  <si>
    <t>Sunil Sagar</t>
  </si>
  <si>
    <t>541136931399</t>
  </si>
  <si>
    <t>9031904924</t>
  </si>
  <si>
    <t>HCK073937</t>
  </si>
  <si>
    <t>5527</t>
  </si>
  <si>
    <t>8092425467</t>
  </si>
  <si>
    <t>Anju Devi</t>
  </si>
  <si>
    <t>06-08-2024</t>
  </si>
  <si>
    <t>HCK073940</t>
  </si>
  <si>
    <t>5529</t>
  </si>
  <si>
    <t>6203755238</t>
  </si>
  <si>
    <t>866712906937</t>
  </si>
  <si>
    <t>HCK073942</t>
  </si>
  <si>
    <t>5530</t>
  </si>
  <si>
    <t>10 DUE</t>
  </si>
  <si>
    <t>Suman Mishra</t>
  </si>
  <si>
    <t>HCK073946</t>
  </si>
  <si>
    <t>01-6206</t>
  </si>
  <si>
    <t>975538058580</t>
  </si>
  <si>
    <t>Ful Kumari Devi</t>
  </si>
  <si>
    <t>swarnsingh</t>
  </si>
  <si>
    <t>HCK073958</t>
  </si>
  <si>
    <t>5537</t>
  </si>
  <si>
    <t>Vibha</t>
  </si>
  <si>
    <t>703338098</t>
  </si>
  <si>
    <t>648685583914</t>
  </si>
  <si>
    <t>HCK073960</t>
  </si>
  <si>
    <t>5538</t>
  </si>
  <si>
    <t>Reshma Parveen</t>
  </si>
  <si>
    <t>6200318490</t>
  </si>
  <si>
    <t>585197286887</t>
  </si>
  <si>
    <t>HCK073962</t>
  </si>
  <si>
    <t>5540</t>
  </si>
  <si>
    <t>Nazia Perween</t>
  </si>
  <si>
    <t>HCK073963</t>
  </si>
  <si>
    <t>5541</t>
  </si>
  <si>
    <t>Ruby Devi</t>
  </si>
  <si>
    <t>9304749541</t>
  </si>
  <si>
    <t>812292468097</t>
  </si>
  <si>
    <t>HCK073964</t>
  </si>
  <si>
    <t>5542</t>
  </si>
  <si>
    <t>9142304799</t>
  </si>
  <si>
    <t>HCK073966</t>
  </si>
  <si>
    <t>5543</t>
  </si>
  <si>
    <t>951016403365</t>
  </si>
  <si>
    <t>6203312311</t>
  </si>
  <si>
    <t>555615836845</t>
  </si>
  <si>
    <t>HCK073968</t>
  </si>
  <si>
    <t>5554</t>
  </si>
  <si>
    <t>Payel Mitra</t>
  </si>
  <si>
    <t>974409420702</t>
  </si>
  <si>
    <t>9679822630</t>
  </si>
  <si>
    <t>HCK073969</t>
  </si>
  <si>
    <t>Lakhipriya Karmakar</t>
  </si>
  <si>
    <t>708083227</t>
  </si>
  <si>
    <t>HCK073971</t>
  </si>
  <si>
    <t>5544</t>
  </si>
  <si>
    <t>5545</t>
  </si>
  <si>
    <t>5546</t>
  </si>
  <si>
    <t>Sumita Hawara</t>
  </si>
  <si>
    <t>9142733507</t>
  </si>
  <si>
    <t>530653000619</t>
  </si>
  <si>
    <t>Mani Basuri</t>
  </si>
  <si>
    <t>Sangita Verma</t>
  </si>
  <si>
    <t>5555</t>
  </si>
  <si>
    <t>07-08-2024</t>
  </si>
  <si>
    <t>HCK073974</t>
  </si>
  <si>
    <t>5548</t>
  </si>
  <si>
    <t>7209580431</t>
  </si>
  <si>
    <t>656220505056</t>
  </si>
  <si>
    <t>HCK073978</t>
  </si>
  <si>
    <t>5550</t>
  </si>
  <si>
    <t>Basira Khatun</t>
  </si>
  <si>
    <t>739004456764</t>
  </si>
  <si>
    <t>8674920327</t>
  </si>
  <si>
    <t>08-08-2024</t>
  </si>
  <si>
    <t>HCK073986</t>
  </si>
  <si>
    <t>Wajda Khatoon</t>
  </si>
  <si>
    <t>792631968788</t>
  </si>
  <si>
    <t>8252606838</t>
  </si>
  <si>
    <t>HCK073988</t>
  </si>
  <si>
    <t>5557</t>
  </si>
  <si>
    <t>8235442300</t>
  </si>
  <si>
    <t>353957806538</t>
  </si>
  <si>
    <t>Fotik Sahu</t>
  </si>
  <si>
    <t>9430710327</t>
  </si>
  <si>
    <t>HCK073991</t>
  </si>
  <si>
    <t>5560</t>
  </si>
  <si>
    <t>Nazma Khatoon</t>
  </si>
  <si>
    <t>25-02-198</t>
  </si>
  <si>
    <t>8540000342</t>
  </si>
  <si>
    <t>470881975467</t>
  </si>
  <si>
    <t>HCK07399</t>
  </si>
  <si>
    <t>5561</t>
  </si>
  <si>
    <t>Sarita Sharma</t>
  </si>
  <si>
    <t>9234759552</t>
  </si>
  <si>
    <t>HCK073995</t>
  </si>
  <si>
    <t>5563</t>
  </si>
  <si>
    <t>Rekha Singh</t>
  </si>
  <si>
    <t>683267666894</t>
  </si>
  <si>
    <t>9430377560</t>
  </si>
  <si>
    <t>rajesh gorai</t>
  </si>
  <si>
    <t>10-08-2024</t>
  </si>
  <si>
    <t>samima Bano</t>
  </si>
  <si>
    <t>viram tudu</t>
  </si>
  <si>
    <t>11-08-2024</t>
  </si>
  <si>
    <t>HCK074007</t>
  </si>
  <si>
    <t>5571</t>
  </si>
  <si>
    <t>322496089826</t>
  </si>
  <si>
    <t>8294429528</t>
  </si>
  <si>
    <t>Aarti Devi</t>
  </si>
  <si>
    <t>HCK074008</t>
  </si>
  <si>
    <t>5572</t>
  </si>
  <si>
    <t>Farida Khatoon</t>
  </si>
  <si>
    <t>8709764239</t>
  </si>
  <si>
    <t>HCK074010</t>
  </si>
  <si>
    <t>5573</t>
  </si>
  <si>
    <t>Sree Tabbsum</t>
  </si>
  <si>
    <t>758562762312</t>
  </si>
  <si>
    <t>9430776848</t>
  </si>
  <si>
    <t>HCK074017</t>
  </si>
  <si>
    <t>5574</t>
  </si>
  <si>
    <t>FARZANA KHATOON</t>
  </si>
  <si>
    <t>761461964734</t>
  </si>
  <si>
    <t>9939633712</t>
  </si>
  <si>
    <t>HCK074020</t>
  </si>
  <si>
    <t>5575</t>
  </si>
  <si>
    <t>Punita Choubey</t>
  </si>
  <si>
    <t>12-08-2024</t>
  </si>
  <si>
    <t>HCK074024</t>
  </si>
  <si>
    <t>13-08-2024</t>
  </si>
  <si>
    <t>5577</t>
  </si>
  <si>
    <t>Jitni Devi</t>
  </si>
  <si>
    <t>631009769802</t>
  </si>
  <si>
    <t>7209507321</t>
  </si>
  <si>
    <t>HCK074027</t>
  </si>
  <si>
    <t>016237</t>
  </si>
  <si>
    <t>Laldhari Das</t>
  </si>
  <si>
    <t>7461043120</t>
  </si>
  <si>
    <t>793143117508</t>
  </si>
  <si>
    <t>HCK074029</t>
  </si>
  <si>
    <t>5578</t>
  </si>
  <si>
    <t>Sandhya Karmakar</t>
  </si>
  <si>
    <t>HCK074033</t>
  </si>
  <si>
    <t>5579</t>
  </si>
  <si>
    <t>Afsa Musarrat</t>
  </si>
  <si>
    <t>8809362214</t>
  </si>
  <si>
    <t>292306340685</t>
  </si>
  <si>
    <t>14-08-2024</t>
  </si>
  <si>
    <t>979413753850</t>
  </si>
  <si>
    <t>14--08-2024</t>
  </si>
  <si>
    <t>HCK074039</t>
  </si>
  <si>
    <t>5582</t>
  </si>
  <si>
    <t>Neelam Devi</t>
  </si>
  <si>
    <t>977065959049</t>
  </si>
  <si>
    <t>7209522065</t>
  </si>
  <si>
    <t>HCK074041</t>
  </si>
  <si>
    <t>5583</t>
  </si>
  <si>
    <t>870185595891</t>
  </si>
  <si>
    <t>8789724872</t>
  </si>
  <si>
    <t>HCK074042</t>
  </si>
  <si>
    <t>5584</t>
  </si>
  <si>
    <t>Bijatwa Gorai</t>
  </si>
  <si>
    <t>753024895566</t>
  </si>
  <si>
    <t>9110186148</t>
  </si>
  <si>
    <t>tapan tapardar</t>
  </si>
  <si>
    <t>15-08-2024</t>
  </si>
  <si>
    <t>SANJIT KR PANDEWY</t>
  </si>
  <si>
    <t>15-04-2024</t>
  </si>
  <si>
    <t>7766989145</t>
  </si>
  <si>
    <t>294297789292</t>
  </si>
  <si>
    <t>comport-50</t>
  </si>
  <si>
    <t>HCK074050</t>
  </si>
  <si>
    <t>5587</t>
  </si>
  <si>
    <t>Sunaina devi</t>
  </si>
  <si>
    <t>9162708281</t>
  </si>
  <si>
    <t>656720029533</t>
  </si>
  <si>
    <t>16-08-2024</t>
  </si>
  <si>
    <t>nargis bano</t>
  </si>
  <si>
    <t>gunadhar</t>
  </si>
  <si>
    <t>HCK074060</t>
  </si>
  <si>
    <t>5589</t>
  </si>
  <si>
    <t>Md Qaish</t>
  </si>
  <si>
    <t>7250645363</t>
  </si>
  <si>
    <t>857398894523</t>
  </si>
  <si>
    <t>HCK074061</t>
  </si>
  <si>
    <t>5590</t>
  </si>
  <si>
    <t>Jyotshna Mandal</t>
  </si>
  <si>
    <t>9234399253</t>
  </si>
  <si>
    <t>524053955667</t>
  </si>
  <si>
    <t>dena</t>
  </si>
  <si>
    <t>bob-o</t>
  </si>
  <si>
    <t>Jaso devi</t>
  </si>
  <si>
    <t>17-08-2024</t>
  </si>
  <si>
    <t>NARGIS BANO</t>
  </si>
  <si>
    <t>suraj gupta</t>
  </si>
  <si>
    <t>HCK074067</t>
  </si>
  <si>
    <t>5595</t>
  </si>
  <si>
    <t>Sanjukta Bhattacharjee</t>
  </si>
  <si>
    <t>570570617150</t>
  </si>
  <si>
    <t>9162724597</t>
  </si>
  <si>
    <t>HCK074068</t>
  </si>
  <si>
    <t>5596</t>
  </si>
  <si>
    <t>Indu Bikash Bhattacharjee</t>
  </si>
  <si>
    <t>HCK074069</t>
  </si>
  <si>
    <t>5597</t>
  </si>
  <si>
    <t>Priyanka</t>
  </si>
  <si>
    <t>9708256352</t>
  </si>
  <si>
    <t>647492508428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</si>
</sst>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212529"/>
      <name val="Times New Roman"/>
      <family val="1"/>
    </font>
    <font>
      <sz val="11"/>
      <color rgb="FF212529"/>
      <name val="Times New Roman"/>
      <family val="1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5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3" borderId="0" xfId="0" applyFill="1"/>
    <xf numFmtId="0" fontId="7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center"/>
    </xf>
    <xf numFmtId="2" fontId="7" fillId="3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center"/>
    </xf>
    <xf numFmtId="2" fontId="7" fillId="0" borderId="0" xfId="0" applyNumberFormat="1" applyFont="1"/>
    <xf numFmtId="2" fontId="8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14" fontId="7" fillId="0" borderId="0" xfId="0" applyNumberFormat="1" applyFont="1"/>
    <xf numFmtId="0" fontId="0" fillId="5" borderId="0" xfId="0" applyFill="1"/>
    <xf numFmtId="1" fontId="4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4" fontId="0" fillId="5" borderId="0" xfId="0" applyNumberFormat="1" applyFill="1"/>
    <xf numFmtId="14" fontId="0" fillId="3" borderId="0" xfId="0" applyNumberFormat="1" applyFill="1"/>
    <xf numFmtId="0" fontId="1" fillId="3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4" fontId="0" fillId="6" borderId="0" xfId="0" applyNumberFormat="1" applyFill="1"/>
    <xf numFmtId="0" fontId="0" fillId="6" borderId="0" xfId="0" applyFill="1"/>
    <xf numFmtId="1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5" fillId="0" borderId="0" xfId="0" applyFont="1"/>
    <xf numFmtId="17" fontId="15" fillId="0" borderId="0" xfId="0" applyNumberFormat="1" applyFont="1"/>
    <xf numFmtId="49" fontId="8" fillId="0" borderId="0" xfId="0" applyNumberFormat="1" applyFont="1" applyAlignment="1">
      <alignment horizontal="center"/>
    </xf>
    <xf numFmtId="49" fontId="0" fillId="0" borderId="0" xfId="0" applyNumberFormat="1"/>
    <xf numFmtId="14" fontId="14" fillId="0" borderId="0" xfId="0" applyNumberFormat="1" applyFont="1" applyAlignment="1">
      <alignment horizontal="center"/>
    </xf>
    <xf numFmtId="49" fontId="12" fillId="0" borderId="0" xfId="0" applyNumberFormat="1" applyFont="1"/>
    <xf numFmtId="1" fontId="14" fillId="0" borderId="0" xfId="0" applyNumberFormat="1" applyFont="1" applyAlignment="1">
      <alignment horizontal="center"/>
    </xf>
    <xf numFmtId="1" fontId="12" fillId="0" borderId="0" xfId="0" applyNumberFormat="1" applyFo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/>
    <xf numFmtId="0" fontId="19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2" fontId="10" fillId="0" borderId="0" xfId="0" applyNumberFormat="1" applyFont="1" applyAlignment="1">
      <alignment horizontal="center"/>
    </xf>
    <xf numFmtId="2" fontId="10" fillId="3" borderId="0" xfId="0" applyNumberFormat="1" applyFont="1" applyFill="1" applyAlignment="1">
      <alignment horizontal="center"/>
    </xf>
    <xf numFmtId="0" fontId="8" fillId="0" borderId="0" xfId="0" applyFont="1"/>
    <xf numFmtId="49" fontId="0" fillId="3" borderId="0" xfId="0" applyNumberFormat="1" applyFill="1" applyAlignment="1">
      <alignment horizontal="center"/>
    </xf>
    <xf numFmtId="9" fontId="0" fillId="0" borderId="0" xfId="0" applyNumberFormat="1"/>
    <xf numFmtId="8" fontId="0" fillId="0" borderId="0" xfId="0" applyNumberFormat="1"/>
    <xf numFmtId="49" fontId="4" fillId="0" borderId="0" xfId="0" applyNumberFormat="1" applyFont="1"/>
    <xf numFmtId="0" fontId="16" fillId="0" borderId="0" xfId="1" applyAlignment="1">
      <alignment horizontal="left"/>
    </xf>
    <xf numFmtId="0" fontId="7" fillId="7" borderId="0" xfId="0" applyFont="1" applyFill="1" applyAlignment="1">
      <alignment horizontal="right"/>
    </xf>
    <xf numFmtId="14" fontId="0" fillId="7" borderId="0" xfId="0" applyNumberFormat="1" applyFill="1"/>
    <xf numFmtId="0" fontId="1" fillId="7" borderId="0" xfId="0" applyFont="1" applyFill="1"/>
    <xf numFmtId="0" fontId="0" fillId="7" borderId="0" xfId="0" applyFill="1"/>
    <xf numFmtId="0" fontId="7" fillId="7" borderId="0" xfId="0" applyFont="1" applyFill="1"/>
    <xf numFmtId="0" fontId="4" fillId="7" borderId="0" xfId="0" applyFont="1" applyFill="1"/>
    <xf numFmtId="0" fontId="8" fillId="7" borderId="0" xfId="0" applyFont="1" applyFill="1"/>
    <xf numFmtId="0" fontId="0" fillId="0" borderId="2" xfId="0" applyBorder="1"/>
    <xf numFmtId="0" fontId="1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2" fontId="20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7" fillId="3" borderId="0" xfId="0" applyFont="1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left"/>
    </xf>
    <xf numFmtId="0" fontId="7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0" fillId="5" borderId="0" xfId="0" applyFill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17" fontId="0" fillId="0" borderId="0" xfId="0" applyNumberFormat="1"/>
    <xf numFmtId="0" fontId="0" fillId="2" borderId="0" xfId="0" applyFill="1"/>
    <xf numFmtId="49" fontId="0" fillId="5" borderId="0" xfId="0" applyNumberFormat="1" applyFill="1" applyAlignment="1">
      <alignment horizontal="center"/>
    </xf>
    <xf numFmtId="0" fontId="0" fillId="5" borderId="0" xfId="0" applyFill="1" applyAlignment="1">
      <alignment horizontal="right"/>
    </xf>
    <xf numFmtId="2" fontId="0" fillId="5" borderId="0" xfId="0" applyNumberFormat="1" applyFill="1" applyAlignment="1">
      <alignment horizontal="right"/>
    </xf>
    <xf numFmtId="2" fontId="0" fillId="5" borderId="0" xfId="0" applyNumberFormat="1" applyFill="1"/>
    <xf numFmtId="0" fontId="0" fillId="0" borderId="0" xfId="0" applyAlignment="1">
      <alignment vertical="center" wrapText="1"/>
    </xf>
    <xf numFmtId="49" fontId="0" fillId="5" borderId="0" xfId="0" applyNumberFormat="1" applyFill="1" applyAlignment="1">
      <alignment horizontal="right"/>
    </xf>
    <xf numFmtId="49" fontId="0" fillId="3" borderId="0" xfId="0" applyNumberFormat="1" applyFill="1"/>
    <xf numFmtId="17" fontId="0" fillId="0" borderId="0" xfId="0" applyNumberFormat="1" applyAlignment="1">
      <alignment horizontal="center"/>
    </xf>
    <xf numFmtId="0" fontId="16" fillId="0" borderId="0" xfId="1"/>
    <xf numFmtId="0" fontId="16" fillId="0" borderId="0" xfId="1" applyAlignment="1"/>
    <xf numFmtId="0" fontId="16" fillId="0" borderId="0" xfId="1" applyAlignment="1">
      <alignment horizontal="right"/>
    </xf>
    <xf numFmtId="8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17" fontId="0" fillId="0" borderId="0" xfId="0" applyNumberForma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7" fillId="0" borderId="0" xfId="0" applyFont="1"/>
    <xf numFmtId="17" fontId="15" fillId="0" borderId="0" xfId="0" applyNumberFormat="1" applyFont="1" applyAlignment="1">
      <alignment horizontal="center"/>
    </xf>
    <xf numFmtId="1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4" fontId="1" fillId="0" borderId="0" xfId="0" applyNumberFormat="1" applyFont="1"/>
    <xf numFmtId="0" fontId="7" fillId="0" borderId="1" xfId="0" applyFont="1" applyBorder="1" applyAlignment="1">
      <alignment horizontal="left"/>
    </xf>
    <xf numFmtId="0" fontId="0" fillId="5" borderId="0" xfId="0" applyFill="1" applyAlignment="1">
      <alignment horizontal="left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3" borderId="0" xfId="0" applyFont="1" applyFill="1"/>
    <xf numFmtId="0" fontId="20" fillId="3" borderId="0" xfId="0" applyFont="1" applyFill="1" applyAlignment="1">
      <alignment horizontal="right"/>
    </xf>
    <xf numFmtId="49" fontId="0" fillId="0" borderId="1" xfId="0" applyNumberFormat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7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7" fontId="15" fillId="0" borderId="0" xfId="0" applyNumberFormat="1" applyFont="1" applyAlignment="1">
      <alignment horizontal="center"/>
    </xf>
    <xf numFmtId="17" fontId="1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39">
    <dxf>
      <font>
        <b/>
        <i/>
        <color rgb="FF00B050"/>
      </font>
    </dxf>
    <dxf>
      <font>
        <b/>
        <i/>
        <color rgb="FF00B050"/>
      </font>
    </dxf>
    <dxf>
      <font>
        <b/>
        <i val="0"/>
        <color rgb="FF00B05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 val="0"/>
        <color rgb="FF00B050"/>
      </font>
    </dxf>
    <dxf>
      <font>
        <b/>
        <i/>
        <color rgb="FF00B050"/>
      </font>
    </dxf>
    <dxf>
      <font>
        <b/>
        <i/>
        <color theme="9"/>
      </font>
    </dxf>
    <dxf>
      <font>
        <b/>
        <i val="0"/>
        <color rgb="FF00B050"/>
      </font>
    </dxf>
    <dxf>
      <font>
        <b/>
        <i/>
        <color rgb="FF00B050"/>
      </font>
    </dxf>
    <dxf>
      <font>
        <b/>
        <i val="0"/>
        <color rgb="FF00B050"/>
      </font>
    </dxf>
    <dxf>
      <font>
        <b/>
        <i/>
        <color theme="9"/>
      </font>
    </dxf>
    <dxf>
      <font>
        <b/>
        <i val="0"/>
        <color rgb="FF00B050"/>
      </font>
    </dxf>
    <dxf>
      <font>
        <b/>
        <i/>
        <color rgb="FF00B050"/>
      </font>
    </dxf>
    <dxf>
      <font>
        <b/>
        <i val="0"/>
        <color rgb="FF00B050"/>
      </font>
    </dxf>
    <dxf>
      <font>
        <b/>
        <i/>
        <color theme="9"/>
      </font>
    </dxf>
    <dxf>
      <font>
        <b/>
        <i val="0"/>
        <color rgb="FF00B050"/>
      </font>
    </dxf>
    <dxf>
      <font>
        <b/>
        <i/>
        <color rgb="FF00B050"/>
      </font>
    </dxf>
    <dxf>
      <font>
        <b/>
        <i val="0"/>
        <color rgb="FF00B050"/>
      </font>
    </dxf>
    <dxf>
      <font>
        <b/>
        <i/>
        <color theme="9"/>
      </font>
    </dxf>
    <dxf>
      <font>
        <b/>
        <i val="0"/>
        <color rgb="FF00B050"/>
      </font>
    </dxf>
    <dxf>
      <font>
        <b/>
        <i/>
        <color rgb="FF00B050"/>
      </font>
    </dxf>
    <dxf>
      <font>
        <b/>
        <i val="0"/>
        <color rgb="FF00B050"/>
      </font>
    </dxf>
    <dxf>
      <font>
        <b/>
        <i/>
        <color theme="9"/>
      </font>
    </dxf>
    <dxf>
      <font>
        <b/>
        <i val="0"/>
        <color rgb="FF00B050"/>
      </font>
    </dxf>
    <dxf>
      <font>
        <b/>
        <i/>
        <color rgb="FF00B050"/>
      </font>
    </dxf>
    <dxf>
      <font>
        <b/>
        <i val="0"/>
        <color rgb="FF00B050"/>
      </font>
    </dxf>
    <dxf>
      <font>
        <b/>
        <i/>
        <color rgb="FF00B050"/>
      </font>
    </dxf>
    <dxf>
      <font>
        <b/>
        <i val="0"/>
        <color rgb="FF00B050"/>
      </font>
    </dxf>
    <dxf>
      <font>
        <b/>
        <i val="0"/>
        <color rgb="FFC00000"/>
      </font>
      <fill>
        <patternFill>
          <bgColor theme="9" tint="-0.24994659260841701"/>
        </patternFill>
      </fill>
    </dxf>
    <dxf>
      <font>
        <color rgb="FFC00000"/>
      </font>
      <fill>
        <patternFill>
          <bgColor theme="9" tint="-0.24994659260841701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FFFF0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b/>
        <i val="0"/>
        <color rgb="FFC00000"/>
      </font>
      <fill>
        <patternFill>
          <bgColor theme="9" tint="-0.24994659260841701"/>
        </patternFill>
      </fill>
    </dxf>
    <dxf>
      <font>
        <color rgb="FFC00000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Guntun@19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M1994"/>
  <sheetViews>
    <sheetView tabSelected="1" zoomScale="115" zoomScaleNormal="115" workbookViewId="0">
      <pane ySplit="1" topLeftCell="A1983" activePane="bottomLeft" state="frozen"/>
      <selection pane="bottomLeft" activeCell="H2000" sqref="H2000"/>
    </sheetView>
  </sheetViews>
  <sheetFormatPr defaultColWidth="9.140625" defaultRowHeight="15.75" x14ac:dyDescent="0.25"/>
  <cols>
    <col min="1" max="1" width="17.7109375" customWidth="1"/>
    <col min="2" max="2" width="11.85546875" style="4" customWidth="1"/>
    <col min="3" max="3" width="8" style="11" customWidth="1"/>
    <col min="4" max="4" width="11.85546875" style="11" customWidth="1"/>
    <col min="5" max="5" width="25.42578125" style="7" customWidth="1"/>
    <col min="6" max="6" width="12.28515625" style="7" customWidth="1"/>
    <col min="7" max="7" width="13.42578125" style="55" customWidth="1"/>
    <col min="8" max="8" width="12" style="4" customWidth="1"/>
    <col min="9" max="9" width="7.42578125" style="4" customWidth="1"/>
    <col min="10" max="10" width="15.42578125" style="11" customWidth="1"/>
    <col min="11" max="11" width="12.85546875" style="11" customWidth="1"/>
    <col min="12" max="12" width="11.85546875" style="4" customWidth="1"/>
    <col min="13" max="13" width="13.28515625" style="4" customWidth="1"/>
    <col min="14" max="14" width="12.42578125" style="4" customWidth="1"/>
    <col min="15" max="15" width="17" style="4" customWidth="1"/>
    <col min="16" max="16" width="11.140625" style="4" customWidth="1"/>
    <col min="17" max="17" width="14" customWidth="1"/>
  </cols>
  <sheetData>
    <row r="1" spans="1:16" x14ac:dyDescent="0.25">
      <c r="A1" t="s">
        <v>1559</v>
      </c>
      <c r="B1" s="13" t="s">
        <v>39</v>
      </c>
      <c r="C1" s="15" t="s">
        <v>36</v>
      </c>
      <c r="D1" s="15" t="s">
        <v>2890</v>
      </c>
      <c r="E1" s="14" t="s">
        <v>1</v>
      </c>
      <c r="F1" s="14"/>
      <c r="G1" s="13" t="s">
        <v>1178</v>
      </c>
      <c r="H1" s="13" t="s">
        <v>42</v>
      </c>
      <c r="I1" s="13" t="s">
        <v>1150</v>
      </c>
      <c r="J1" s="15" t="s">
        <v>37</v>
      </c>
      <c r="K1" s="15" t="s">
        <v>38</v>
      </c>
      <c r="L1" s="25">
        <v>12</v>
      </c>
      <c r="M1" s="13">
        <v>330</v>
      </c>
      <c r="N1" s="13" t="s">
        <v>17</v>
      </c>
      <c r="O1" s="13" t="s">
        <v>40</v>
      </c>
      <c r="P1" s="4" t="s">
        <v>38</v>
      </c>
    </row>
    <row r="2" spans="1:16" x14ac:dyDescent="0.25">
      <c r="C2" s="11">
        <v>264</v>
      </c>
      <c r="E2" s="7" t="s">
        <v>54</v>
      </c>
      <c r="H2" t="s">
        <v>46</v>
      </c>
      <c r="L2" s="4" t="s">
        <v>14</v>
      </c>
      <c r="M2" s="4" t="s">
        <v>14</v>
      </c>
      <c r="N2" s="4" t="s">
        <v>14</v>
      </c>
      <c r="O2" s="4" t="s">
        <v>14</v>
      </c>
    </row>
    <row r="3" spans="1:16" x14ac:dyDescent="0.25">
      <c r="C3" s="11">
        <v>300</v>
      </c>
      <c r="E3" s="7" t="s">
        <v>55</v>
      </c>
      <c r="H3" t="s">
        <v>45</v>
      </c>
      <c r="L3" s="4" t="s">
        <v>14</v>
      </c>
      <c r="M3" s="4" t="s">
        <v>14</v>
      </c>
    </row>
    <row r="4" spans="1:16" x14ac:dyDescent="0.25">
      <c r="C4" s="11">
        <v>302</v>
      </c>
      <c r="E4" s="7" t="s">
        <v>56</v>
      </c>
      <c r="H4" t="s">
        <v>44</v>
      </c>
      <c r="L4" s="4" t="s">
        <v>14</v>
      </c>
      <c r="M4" s="4" t="s">
        <v>14</v>
      </c>
    </row>
    <row r="5" spans="1:16" x14ac:dyDescent="0.25">
      <c r="B5" s="3">
        <v>43106</v>
      </c>
      <c r="C5" s="11">
        <v>304</v>
      </c>
      <c r="E5" s="7" t="s">
        <v>57</v>
      </c>
      <c r="H5" t="s">
        <v>1164</v>
      </c>
      <c r="J5" s="11" t="s">
        <v>41</v>
      </c>
    </row>
    <row r="6" spans="1:16" x14ac:dyDescent="0.25">
      <c r="B6" s="3">
        <v>43116</v>
      </c>
      <c r="C6" s="11">
        <v>305</v>
      </c>
      <c r="E6" s="7" t="s">
        <v>58</v>
      </c>
      <c r="H6"/>
      <c r="J6" s="11" t="s">
        <v>1177</v>
      </c>
      <c r="K6" s="11" t="s">
        <v>1176</v>
      </c>
    </row>
    <row r="7" spans="1:16" x14ac:dyDescent="0.25">
      <c r="B7" s="3">
        <v>43116</v>
      </c>
      <c r="C7" s="11">
        <v>311</v>
      </c>
      <c r="E7" s="7" t="s">
        <v>59</v>
      </c>
      <c r="H7"/>
    </row>
    <row r="8" spans="1:16" x14ac:dyDescent="0.25">
      <c r="B8" s="3">
        <v>43116</v>
      </c>
      <c r="C8" s="11">
        <v>336</v>
      </c>
      <c r="E8" s="7" t="s">
        <v>60</v>
      </c>
      <c r="H8"/>
    </row>
    <row r="9" spans="1:16" x14ac:dyDescent="0.25">
      <c r="B9" s="3">
        <v>43117</v>
      </c>
      <c r="C9" s="11">
        <v>339</v>
      </c>
      <c r="E9" s="7" t="s">
        <v>61</v>
      </c>
      <c r="H9"/>
    </row>
    <row r="10" spans="1:16" x14ac:dyDescent="0.25">
      <c r="B10" s="3">
        <v>43157</v>
      </c>
      <c r="C10" s="11">
        <v>346</v>
      </c>
      <c r="E10" s="7" t="s">
        <v>62</v>
      </c>
      <c r="H10" t="s">
        <v>43</v>
      </c>
    </row>
    <row r="11" spans="1:16" x14ac:dyDescent="0.25">
      <c r="C11" s="11">
        <v>353</v>
      </c>
      <c r="E11" s="7" t="s">
        <v>63</v>
      </c>
      <c r="H11" t="s">
        <v>44</v>
      </c>
      <c r="J11" s="11" t="s">
        <v>1169</v>
      </c>
      <c r="K11" s="11" t="s">
        <v>1168</v>
      </c>
      <c r="O11" s="4" t="s">
        <v>16</v>
      </c>
    </row>
    <row r="12" spans="1:16" x14ac:dyDescent="0.25">
      <c r="B12" s="3">
        <v>43171</v>
      </c>
      <c r="C12" s="11">
        <v>356</v>
      </c>
      <c r="E12" s="7" t="s">
        <v>64</v>
      </c>
      <c r="H12"/>
    </row>
    <row r="13" spans="1:16" x14ac:dyDescent="0.25">
      <c r="B13" s="3">
        <v>43174</v>
      </c>
      <c r="C13" s="11">
        <v>357</v>
      </c>
      <c r="E13" s="7" t="s">
        <v>47</v>
      </c>
      <c r="H13" t="s">
        <v>43</v>
      </c>
      <c r="K13" s="11" t="s">
        <v>48</v>
      </c>
    </row>
    <row r="14" spans="1:16" x14ac:dyDescent="0.25">
      <c r="B14" s="3">
        <v>43174</v>
      </c>
      <c r="C14" s="11">
        <v>359</v>
      </c>
      <c r="E14" s="7" t="s">
        <v>49</v>
      </c>
      <c r="H14"/>
    </row>
    <row r="15" spans="1:16" x14ac:dyDescent="0.25">
      <c r="B15" s="3">
        <v>43178</v>
      </c>
      <c r="C15" s="11">
        <v>362</v>
      </c>
      <c r="E15" s="7" t="s">
        <v>50</v>
      </c>
      <c r="H15"/>
      <c r="K15" s="11" t="s">
        <v>51</v>
      </c>
    </row>
    <row r="16" spans="1:16" x14ac:dyDescent="0.25">
      <c r="B16" s="3">
        <v>43182</v>
      </c>
      <c r="C16" s="11">
        <v>366</v>
      </c>
      <c r="E16" s="7" t="s">
        <v>52</v>
      </c>
      <c r="H16"/>
      <c r="K16" s="11" t="s">
        <v>53</v>
      </c>
    </row>
    <row r="17" spans="3:11" x14ac:dyDescent="0.25">
      <c r="C17" s="11">
        <v>367</v>
      </c>
      <c r="E17" s="17" t="s">
        <v>65</v>
      </c>
      <c r="F17" s="17"/>
      <c r="G17" s="66"/>
      <c r="H17"/>
      <c r="J17" s="16"/>
      <c r="K17" s="16">
        <v>8709778351</v>
      </c>
    </row>
    <row r="18" spans="3:11" x14ac:dyDescent="0.25">
      <c r="C18" s="11">
        <v>368</v>
      </c>
      <c r="E18" s="17" t="s">
        <v>66</v>
      </c>
      <c r="F18" s="17"/>
      <c r="G18" s="66"/>
      <c r="H18"/>
      <c r="J18" s="16"/>
      <c r="K18" s="16">
        <v>8987909128</v>
      </c>
    </row>
    <row r="19" spans="3:11" x14ac:dyDescent="0.25">
      <c r="C19" s="11">
        <v>369</v>
      </c>
      <c r="E19" s="17" t="s">
        <v>67</v>
      </c>
      <c r="F19" s="17"/>
      <c r="G19" s="66"/>
      <c r="H19"/>
      <c r="J19" s="16"/>
      <c r="K19" s="16"/>
    </row>
    <row r="20" spans="3:11" x14ac:dyDescent="0.25">
      <c r="C20" s="11">
        <v>370</v>
      </c>
      <c r="E20" s="17" t="s">
        <v>68</v>
      </c>
      <c r="F20" s="17"/>
      <c r="G20" s="66"/>
      <c r="H20"/>
      <c r="J20" s="16"/>
      <c r="K20" s="16"/>
    </row>
    <row r="21" spans="3:11" x14ac:dyDescent="0.25">
      <c r="C21" s="11">
        <v>371</v>
      </c>
      <c r="E21" s="17" t="s">
        <v>69</v>
      </c>
      <c r="F21" s="17"/>
      <c r="G21" s="66"/>
      <c r="H21"/>
      <c r="J21" s="16"/>
      <c r="K21" s="16">
        <v>8271603334</v>
      </c>
    </row>
    <row r="22" spans="3:11" x14ac:dyDescent="0.25">
      <c r="C22" s="11">
        <v>373</v>
      </c>
      <c r="E22" s="17" t="s">
        <v>70</v>
      </c>
      <c r="F22" s="17"/>
      <c r="G22" s="66"/>
      <c r="H22"/>
      <c r="J22" s="16"/>
      <c r="K22" s="16">
        <v>7091997572</v>
      </c>
    </row>
    <row r="23" spans="3:11" x14ac:dyDescent="0.25">
      <c r="C23" s="11">
        <v>374</v>
      </c>
      <c r="E23" s="17" t="s">
        <v>18</v>
      </c>
      <c r="F23" s="17"/>
      <c r="G23" s="66"/>
      <c r="H23"/>
      <c r="J23" s="16">
        <v>927240431168</v>
      </c>
      <c r="K23" s="16"/>
    </row>
    <row r="24" spans="3:11" x14ac:dyDescent="0.25">
      <c r="C24" s="11">
        <v>375</v>
      </c>
      <c r="E24" s="17" t="s">
        <v>71</v>
      </c>
      <c r="F24" s="17"/>
      <c r="G24" s="66"/>
      <c r="H24"/>
      <c r="J24" s="16"/>
      <c r="K24" s="16"/>
    </row>
    <row r="25" spans="3:11" x14ac:dyDescent="0.25">
      <c r="C25" s="11">
        <v>376</v>
      </c>
      <c r="E25" s="17" t="s">
        <v>72</v>
      </c>
      <c r="F25" s="17"/>
      <c r="G25" s="66"/>
      <c r="H25"/>
      <c r="J25" s="16"/>
      <c r="K25" s="16"/>
    </row>
    <row r="26" spans="3:11" x14ac:dyDescent="0.25">
      <c r="C26" s="11">
        <v>378</v>
      </c>
      <c r="E26" s="17" t="s">
        <v>73</v>
      </c>
      <c r="F26" s="17"/>
      <c r="G26" s="66"/>
      <c r="H26"/>
      <c r="J26" s="16"/>
      <c r="K26" s="16"/>
    </row>
    <row r="27" spans="3:11" x14ac:dyDescent="0.25">
      <c r="C27" s="11">
        <v>383</v>
      </c>
      <c r="E27" s="17" t="s">
        <v>74</v>
      </c>
      <c r="F27" s="17"/>
      <c r="G27" s="66"/>
      <c r="H27"/>
      <c r="J27" s="16"/>
      <c r="K27" s="16">
        <v>9934182239</v>
      </c>
    </row>
    <row r="28" spans="3:11" x14ac:dyDescent="0.25">
      <c r="C28" s="11">
        <v>384</v>
      </c>
      <c r="E28" s="17" t="s">
        <v>75</v>
      </c>
      <c r="F28" s="17"/>
      <c r="G28" s="66"/>
      <c r="H28"/>
      <c r="J28" s="16"/>
      <c r="K28" s="16">
        <v>9060230821</v>
      </c>
    </row>
    <row r="29" spans="3:11" x14ac:dyDescent="0.25">
      <c r="C29" s="11">
        <v>385</v>
      </c>
      <c r="E29" s="17" t="s">
        <v>76</v>
      </c>
      <c r="F29" s="17"/>
      <c r="G29" s="66"/>
      <c r="H29"/>
      <c r="J29" s="16"/>
      <c r="K29" s="16">
        <v>8235004989</v>
      </c>
    </row>
    <row r="30" spans="3:11" x14ac:dyDescent="0.25">
      <c r="C30" s="11">
        <v>386</v>
      </c>
      <c r="E30" s="17" t="s">
        <v>77</v>
      </c>
      <c r="F30" s="17"/>
      <c r="G30" s="66"/>
      <c r="H30"/>
      <c r="J30" s="16"/>
      <c r="K30" s="16">
        <v>8092600148</v>
      </c>
    </row>
    <row r="31" spans="3:11" x14ac:dyDescent="0.25">
      <c r="C31" s="11">
        <v>387</v>
      </c>
      <c r="E31" s="17" t="s">
        <v>78</v>
      </c>
      <c r="F31" s="17"/>
      <c r="G31" s="66"/>
      <c r="H31"/>
      <c r="J31" s="16"/>
      <c r="K31" s="16">
        <v>8877025735</v>
      </c>
    </row>
    <row r="32" spans="3:11" x14ac:dyDescent="0.25">
      <c r="C32" s="11">
        <v>388</v>
      </c>
      <c r="E32" s="17" t="s">
        <v>79</v>
      </c>
      <c r="F32" s="17"/>
      <c r="G32" s="66"/>
      <c r="H32"/>
      <c r="J32" s="16"/>
      <c r="K32" s="16">
        <v>7209870436</v>
      </c>
    </row>
    <row r="33" spans="3:14" x14ac:dyDescent="0.25">
      <c r="C33" s="11">
        <v>389</v>
      </c>
      <c r="E33" s="17" t="s">
        <v>80</v>
      </c>
      <c r="F33" s="17"/>
      <c r="G33" s="66"/>
      <c r="H33"/>
      <c r="J33" s="16"/>
      <c r="K33" s="16">
        <v>7209704639</v>
      </c>
      <c r="L33" s="4" t="s">
        <v>16</v>
      </c>
      <c r="M33" s="4" t="s">
        <v>16</v>
      </c>
    </row>
    <row r="34" spans="3:14" x14ac:dyDescent="0.25">
      <c r="C34" s="11">
        <v>394</v>
      </c>
      <c r="E34" s="17" t="s">
        <v>81</v>
      </c>
      <c r="F34" s="17"/>
      <c r="G34" s="66"/>
      <c r="H34"/>
      <c r="J34" s="16"/>
      <c r="K34" s="16"/>
    </row>
    <row r="35" spans="3:14" x14ac:dyDescent="0.25">
      <c r="C35" s="11">
        <v>399</v>
      </c>
      <c r="E35" s="17" t="s">
        <v>83</v>
      </c>
      <c r="F35" s="17"/>
      <c r="G35" s="66"/>
      <c r="H35"/>
      <c r="J35" s="16"/>
      <c r="K35" s="16">
        <v>8092173343</v>
      </c>
    </row>
    <row r="36" spans="3:14" x14ac:dyDescent="0.25">
      <c r="C36" s="11">
        <v>401</v>
      </c>
      <c r="E36" s="17" t="s">
        <v>82</v>
      </c>
      <c r="F36" s="17"/>
      <c r="G36" s="66"/>
      <c r="H36"/>
      <c r="J36" s="16"/>
      <c r="K36" s="16">
        <v>8809234620</v>
      </c>
      <c r="L36" s="4" t="s">
        <v>16</v>
      </c>
      <c r="M36" s="4" t="s">
        <v>16</v>
      </c>
      <c r="N36" s="4" t="s">
        <v>16</v>
      </c>
    </row>
    <row r="37" spans="3:14" x14ac:dyDescent="0.25">
      <c r="C37" s="11">
        <v>414</v>
      </c>
      <c r="E37" s="17" t="s">
        <v>84</v>
      </c>
      <c r="F37" s="17"/>
      <c r="G37" s="66"/>
      <c r="H37"/>
      <c r="J37" s="16"/>
      <c r="K37" s="16"/>
    </row>
    <row r="38" spans="3:14" x14ac:dyDescent="0.25">
      <c r="C38" s="11">
        <v>451</v>
      </c>
      <c r="E38" s="17" t="s">
        <v>85</v>
      </c>
      <c r="F38" s="17"/>
      <c r="G38" s="66"/>
      <c r="H38"/>
      <c r="J38" s="16"/>
      <c r="K38" s="16"/>
    </row>
    <row r="39" spans="3:14" x14ac:dyDescent="0.25">
      <c r="C39" s="11">
        <v>456</v>
      </c>
      <c r="E39" s="17" t="s">
        <v>86</v>
      </c>
      <c r="F39" s="17"/>
      <c r="G39" s="66"/>
      <c r="H39"/>
      <c r="J39" s="16"/>
      <c r="K39" s="16"/>
    </row>
    <row r="40" spans="3:14" x14ac:dyDescent="0.25">
      <c r="C40" s="11">
        <v>458</v>
      </c>
      <c r="E40" s="17" t="s">
        <v>87</v>
      </c>
      <c r="F40" s="17"/>
      <c r="G40" s="66"/>
      <c r="H40"/>
      <c r="J40" s="16"/>
      <c r="K40" s="16"/>
    </row>
    <row r="41" spans="3:14" x14ac:dyDescent="0.25">
      <c r="C41" s="11">
        <v>459</v>
      </c>
      <c r="E41" s="17" t="s">
        <v>88</v>
      </c>
      <c r="F41" s="17"/>
      <c r="G41" s="66"/>
      <c r="H41"/>
      <c r="J41" s="16"/>
      <c r="K41" s="16"/>
    </row>
    <row r="42" spans="3:14" x14ac:dyDescent="0.25">
      <c r="C42" s="11">
        <v>475</v>
      </c>
      <c r="E42" s="17" t="s">
        <v>89</v>
      </c>
      <c r="F42" s="17"/>
      <c r="G42" s="66"/>
      <c r="H42"/>
      <c r="J42" s="16"/>
      <c r="K42" s="16"/>
    </row>
    <row r="43" spans="3:14" x14ac:dyDescent="0.25">
      <c r="C43" s="11">
        <v>476</v>
      </c>
      <c r="E43" s="17" t="s">
        <v>90</v>
      </c>
      <c r="F43" s="17"/>
      <c r="G43" s="66"/>
      <c r="H43"/>
      <c r="J43" s="16">
        <v>202977932732</v>
      </c>
      <c r="K43" s="16"/>
    </row>
    <row r="44" spans="3:14" x14ac:dyDescent="0.25">
      <c r="C44" s="11">
        <v>477</v>
      </c>
      <c r="E44" s="17" t="s">
        <v>91</v>
      </c>
      <c r="F44" s="17"/>
      <c r="G44" s="66"/>
      <c r="H44"/>
      <c r="J44" s="16"/>
      <c r="K44" s="16"/>
    </row>
    <row r="45" spans="3:14" x14ac:dyDescent="0.25">
      <c r="C45" s="11">
        <v>488</v>
      </c>
      <c r="E45" s="17" t="s">
        <v>92</v>
      </c>
      <c r="F45" s="17"/>
      <c r="G45" s="66"/>
      <c r="H45"/>
      <c r="J45" s="16">
        <v>724354845583</v>
      </c>
      <c r="K45" s="16">
        <v>9060547379</v>
      </c>
    </row>
    <row r="46" spans="3:14" x14ac:dyDescent="0.25">
      <c r="C46" s="11">
        <v>503</v>
      </c>
      <c r="E46" s="17" t="s">
        <v>2</v>
      </c>
      <c r="F46" s="17"/>
      <c r="G46" s="66"/>
      <c r="H46"/>
      <c r="J46" s="16">
        <v>731435964243</v>
      </c>
      <c r="K46" s="16"/>
    </row>
    <row r="47" spans="3:14" x14ac:dyDescent="0.25">
      <c r="C47" s="11">
        <v>504</v>
      </c>
      <c r="E47" s="17" t="s">
        <v>93</v>
      </c>
      <c r="F47" s="17"/>
      <c r="G47" s="66"/>
      <c r="H47"/>
      <c r="J47" s="16">
        <v>576293161966</v>
      </c>
      <c r="K47" s="16"/>
    </row>
    <row r="48" spans="3:14" x14ac:dyDescent="0.25">
      <c r="C48" s="11">
        <v>517</v>
      </c>
      <c r="E48" s="17" t="s">
        <v>3</v>
      </c>
      <c r="F48" s="17"/>
      <c r="G48" s="66"/>
      <c r="H48"/>
      <c r="J48" s="16">
        <v>423699481043</v>
      </c>
      <c r="K48" s="16">
        <v>8809409532</v>
      </c>
    </row>
    <row r="49" spans="3:13" x14ac:dyDescent="0.25">
      <c r="C49" s="11">
        <v>518</v>
      </c>
      <c r="E49" s="17" t="s">
        <v>94</v>
      </c>
      <c r="F49" s="17"/>
      <c r="G49" s="66"/>
      <c r="H49"/>
      <c r="J49" s="16">
        <v>417092564883</v>
      </c>
      <c r="K49" s="16"/>
      <c r="L49" s="4" t="s">
        <v>16</v>
      </c>
      <c r="M49" s="4" t="s">
        <v>16</v>
      </c>
    </row>
    <row r="50" spans="3:13" x14ac:dyDescent="0.25">
      <c r="C50" s="11">
        <v>526</v>
      </c>
      <c r="E50" s="17" t="s">
        <v>5</v>
      </c>
      <c r="F50" s="17"/>
      <c r="G50" s="66"/>
      <c r="H50"/>
      <c r="J50" s="16">
        <v>412074051647</v>
      </c>
      <c r="K50" s="16">
        <v>9234011403</v>
      </c>
    </row>
    <row r="51" spans="3:13" x14ac:dyDescent="0.25">
      <c r="C51" s="11">
        <v>527</v>
      </c>
      <c r="E51" s="17" t="s">
        <v>6</v>
      </c>
      <c r="F51" s="17"/>
      <c r="G51" s="66"/>
      <c r="H51"/>
      <c r="J51" s="16">
        <v>412153327436</v>
      </c>
      <c r="K51" s="16">
        <v>7979981167</v>
      </c>
    </row>
    <row r="52" spans="3:13" x14ac:dyDescent="0.25">
      <c r="C52" s="11">
        <v>532</v>
      </c>
      <c r="E52" s="17" t="s">
        <v>7</v>
      </c>
      <c r="F52" s="17"/>
      <c r="G52" s="66"/>
      <c r="H52"/>
      <c r="J52" s="16">
        <v>340550909635</v>
      </c>
      <c r="K52" s="16">
        <v>9931472073</v>
      </c>
    </row>
    <row r="53" spans="3:13" x14ac:dyDescent="0.25">
      <c r="C53" s="11">
        <v>533</v>
      </c>
      <c r="E53" s="17" t="s">
        <v>8</v>
      </c>
      <c r="F53" s="17"/>
      <c r="G53" s="66"/>
      <c r="H53"/>
      <c r="J53" s="16">
        <v>931326842950</v>
      </c>
      <c r="K53" s="16">
        <v>9279472061</v>
      </c>
    </row>
    <row r="54" spans="3:13" x14ac:dyDescent="0.25">
      <c r="C54" s="11">
        <v>534</v>
      </c>
      <c r="E54" s="17" t="s">
        <v>9</v>
      </c>
      <c r="F54" s="17"/>
      <c r="G54" s="66"/>
      <c r="H54"/>
      <c r="J54" s="16">
        <v>216434242478</v>
      </c>
      <c r="K54" s="16"/>
    </row>
    <row r="55" spans="3:13" x14ac:dyDescent="0.25">
      <c r="C55" s="11">
        <v>535</v>
      </c>
      <c r="E55" s="17" t="s">
        <v>10</v>
      </c>
      <c r="F55" s="17"/>
      <c r="G55" s="66"/>
      <c r="H55"/>
      <c r="J55" s="16">
        <v>296430780764</v>
      </c>
      <c r="K55" s="16">
        <v>7209525716</v>
      </c>
    </row>
    <row r="56" spans="3:13" x14ac:dyDescent="0.25">
      <c r="C56" s="11">
        <v>536</v>
      </c>
      <c r="E56" s="17" t="s">
        <v>95</v>
      </c>
      <c r="F56" s="17"/>
      <c r="G56" s="66"/>
      <c r="H56"/>
      <c r="J56" s="16">
        <v>834773776470</v>
      </c>
      <c r="K56" s="16">
        <v>9204707695</v>
      </c>
    </row>
    <row r="57" spans="3:13" x14ac:dyDescent="0.25">
      <c r="C57" s="11">
        <v>537</v>
      </c>
      <c r="E57" s="17" t="s">
        <v>11</v>
      </c>
      <c r="F57" s="17"/>
      <c r="G57" s="66"/>
      <c r="H57"/>
      <c r="J57" s="16">
        <v>898770625418</v>
      </c>
      <c r="K57" s="16">
        <v>8651634111</v>
      </c>
    </row>
    <row r="58" spans="3:13" x14ac:dyDescent="0.25">
      <c r="C58" s="11">
        <v>545</v>
      </c>
      <c r="E58" s="17" t="s">
        <v>13</v>
      </c>
      <c r="F58" s="17"/>
      <c r="G58" s="66"/>
      <c r="H58"/>
      <c r="J58" s="16">
        <v>886478773555</v>
      </c>
      <c r="K58" s="16">
        <v>9572923483</v>
      </c>
    </row>
    <row r="59" spans="3:13" x14ac:dyDescent="0.25">
      <c r="C59" s="11">
        <v>603</v>
      </c>
      <c r="E59" s="17" t="s">
        <v>96</v>
      </c>
      <c r="F59" s="17"/>
      <c r="G59" s="66"/>
      <c r="H59"/>
      <c r="J59" s="16"/>
      <c r="K59" s="16">
        <v>6205658028</v>
      </c>
    </row>
    <row r="60" spans="3:13" x14ac:dyDescent="0.25">
      <c r="C60" s="11">
        <v>608</v>
      </c>
      <c r="E60" s="17" t="s">
        <v>12</v>
      </c>
      <c r="F60" s="17"/>
      <c r="G60" s="66"/>
      <c r="H60"/>
      <c r="J60" s="16">
        <v>344029927236</v>
      </c>
      <c r="K60" s="16">
        <v>7061151401</v>
      </c>
    </row>
    <row r="61" spans="3:13" x14ac:dyDescent="0.25">
      <c r="C61" s="11">
        <v>609</v>
      </c>
      <c r="E61" s="17" t="s">
        <v>97</v>
      </c>
      <c r="F61" s="17"/>
      <c r="G61" s="66"/>
      <c r="H61"/>
      <c r="J61" s="16"/>
      <c r="K61" s="16"/>
    </row>
    <row r="62" spans="3:13" x14ac:dyDescent="0.25">
      <c r="C62" s="11">
        <v>617</v>
      </c>
      <c r="E62" s="17" t="s">
        <v>98</v>
      </c>
      <c r="F62" s="17"/>
      <c r="G62" s="66"/>
      <c r="H62"/>
      <c r="J62" s="16"/>
      <c r="K62" s="16">
        <v>9576851029</v>
      </c>
    </row>
    <row r="63" spans="3:13" x14ac:dyDescent="0.25">
      <c r="C63" s="11">
        <v>620</v>
      </c>
      <c r="E63" s="17" t="s">
        <v>99</v>
      </c>
      <c r="F63" s="17"/>
      <c r="G63" s="66"/>
      <c r="H63"/>
      <c r="J63" s="16"/>
      <c r="K63" s="16"/>
    </row>
    <row r="64" spans="3:13" x14ac:dyDescent="0.25">
      <c r="C64" s="11">
        <v>630</v>
      </c>
      <c r="E64" s="17" t="s">
        <v>100</v>
      </c>
      <c r="F64" s="17"/>
      <c r="G64" s="66"/>
      <c r="H64"/>
      <c r="J64" s="16">
        <v>288174197824</v>
      </c>
      <c r="K64" s="16">
        <v>7764887844</v>
      </c>
    </row>
    <row r="65" spans="1:13" x14ac:dyDescent="0.25">
      <c r="C65" s="11">
        <v>631</v>
      </c>
      <c r="E65" s="17" t="s">
        <v>101</v>
      </c>
      <c r="F65" s="17"/>
      <c r="G65" s="66"/>
      <c r="H65"/>
      <c r="J65" s="16">
        <v>427861508449</v>
      </c>
      <c r="K65" s="16">
        <v>7368900638</v>
      </c>
    </row>
    <row r="66" spans="1:13" x14ac:dyDescent="0.25">
      <c r="C66" s="11">
        <v>635</v>
      </c>
      <c r="E66" s="17" t="s">
        <v>102</v>
      </c>
      <c r="F66" s="17"/>
      <c r="G66" s="66"/>
      <c r="H66"/>
      <c r="J66" s="16">
        <v>542591450295</v>
      </c>
      <c r="K66" s="16">
        <v>8860735383</v>
      </c>
    </row>
    <row r="67" spans="1:13" x14ac:dyDescent="0.25">
      <c r="C67" s="11">
        <v>642</v>
      </c>
      <c r="E67" s="17" t="s">
        <v>103</v>
      </c>
      <c r="F67" s="17"/>
      <c r="G67" s="66"/>
      <c r="H67"/>
      <c r="J67" s="16">
        <v>743623451242</v>
      </c>
      <c r="K67" s="16">
        <v>6201227394</v>
      </c>
    </row>
    <row r="68" spans="1:13" x14ac:dyDescent="0.25">
      <c r="C68" s="11">
        <v>652</v>
      </c>
      <c r="E68" s="17" t="s">
        <v>104</v>
      </c>
      <c r="F68" s="17"/>
      <c r="G68" s="66"/>
      <c r="H68"/>
      <c r="J68" s="16">
        <v>671910882459</v>
      </c>
      <c r="K68" s="16">
        <v>7488075196</v>
      </c>
    </row>
    <row r="69" spans="1:13" x14ac:dyDescent="0.25">
      <c r="C69" s="11">
        <v>663</v>
      </c>
      <c r="E69" s="17" t="s">
        <v>105</v>
      </c>
      <c r="F69" s="17"/>
      <c r="G69" s="66"/>
      <c r="H69"/>
      <c r="J69" s="16">
        <v>428497844329</v>
      </c>
      <c r="K69" s="16">
        <v>9547154556</v>
      </c>
    </row>
    <row r="70" spans="1:13" x14ac:dyDescent="0.25">
      <c r="A70" t="s">
        <v>5020</v>
      </c>
      <c r="C70" s="11" t="s">
        <v>4231</v>
      </c>
      <c r="E70" s="17" t="s">
        <v>2580</v>
      </c>
      <c r="F70" s="17"/>
      <c r="G70" s="66"/>
      <c r="H70"/>
      <c r="J70" s="16">
        <v>955373244726</v>
      </c>
      <c r="K70" s="16"/>
    </row>
    <row r="71" spans="1:13" x14ac:dyDescent="0.25">
      <c r="C71" s="11">
        <v>672</v>
      </c>
      <c r="E71" s="17" t="s">
        <v>20</v>
      </c>
      <c r="F71" s="17"/>
      <c r="G71" s="66"/>
      <c r="H71"/>
      <c r="J71" s="16">
        <v>983694244451</v>
      </c>
      <c r="K71" s="16">
        <v>9234950455</v>
      </c>
    </row>
    <row r="72" spans="1:13" x14ac:dyDescent="0.25">
      <c r="C72" s="11">
        <v>675</v>
      </c>
      <c r="E72" s="17" t="s">
        <v>106</v>
      </c>
      <c r="F72" s="17"/>
      <c r="G72" s="66"/>
      <c r="H72"/>
      <c r="J72" s="16">
        <v>238998459439</v>
      </c>
      <c r="K72" s="16">
        <v>7292826382</v>
      </c>
    </row>
    <row r="73" spans="1:13" x14ac:dyDescent="0.25">
      <c r="C73" s="11">
        <v>682</v>
      </c>
      <c r="E73" s="17" t="s">
        <v>108</v>
      </c>
      <c r="F73" s="17"/>
      <c r="G73" s="66"/>
      <c r="H73"/>
      <c r="J73" s="16">
        <v>536682524018</v>
      </c>
      <c r="K73" s="16">
        <v>7209915280</v>
      </c>
    </row>
    <row r="74" spans="1:13" x14ac:dyDescent="0.25">
      <c r="C74" s="11">
        <v>686</v>
      </c>
      <c r="E74" s="17" t="s">
        <v>107</v>
      </c>
      <c r="F74" s="17"/>
      <c r="G74" s="66"/>
      <c r="H74"/>
      <c r="J74" s="16">
        <v>563889910048</v>
      </c>
      <c r="K74" s="16">
        <v>8092286813</v>
      </c>
    </row>
    <row r="75" spans="1:13" x14ac:dyDescent="0.25">
      <c r="C75" s="11">
        <v>691</v>
      </c>
      <c r="E75" s="17" t="s">
        <v>109</v>
      </c>
      <c r="F75" s="17"/>
      <c r="G75" s="66"/>
      <c r="H75"/>
      <c r="J75" s="16">
        <v>690243895638</v>
      </c>
      <c r="K75" s="16">
        <v>8210808013</v>
      </c>
    </row>
    <row r="76" spans="1:13" x14ac:dyDescent="0.25">
      <c r="C76" s="11">
        <v>692</v>
      </c>
      <c r="E76" s="17" t="s">
        <v>110</v>
      </c>
      <c r="F76" s="17"/>
      <c r="G76" s="66"/>
      <c r="H76"/>
      <c r="J76" s="16">
        <v>364530062672</v>
      </c>
      <c r="K76" s="16"/>
    </row>
    <row r="77" spans="1:13" x14ac:dyDescent="0.25">
      <c r="C77" s="11">
        <v>693</v>
      </c>
      <c r="E77" s="17" t="s">
        <v>22</v>
      </c>
      <c r="F77" s="17"/>
      <c r="G77" s="66"/>
      <c r="H77"/>
      <c r="J77" s="16">
        <v>875229943210</v>
      </c>
      <c r="K77" s="16">
        <v>8969721943</v>
      </c>
      <c r="L77" s="4" t="s">
        <v>16</v>
      </c>
      <c r="M77" s="4" t="s">
        <v>16</v>
      </c>
    </row>
    <row r="78" spans="1:13" x14ac:dyDescent="0.25">
      <c r="C78" s="11">
        <v>701</v>
      </c>
      <c r="E78" s="17" t="s">
        <v>111</v>
      </c>
      <c r="F78" s="17"/>
      <c r="G78" s="66"/>
      <c r="H78"/>
      <c r="J78" s="16">
        <v>577001320354</v>
      </c>
      <c r="K78" s="16">
        <v>9263500926</v>
      </c>
    </row>
    <row r="79" spans="1:13" x14ac:dyDescent="0.25">
      <c r="C79" s="11">
        <v>710</v>
      </c>
      <c r="E79" s="17" t="s">
        <v>112</v>
      </c>
      <c r="F79" s="17"/>
      <c r="G79" s="66"/>
      <c r="H79"/>
      <c r="J79" s="16">
        <v>400495219991</v>
      </c>
      <c r="K79" s="16">
        <v>9931361887</v>
      </c>
    </row>
    <row r="80" spans="1:13" x14ac:dyDescent="0.25">
      <c r="C80" s="11">
        <v>725</v>
      </c>
      <c r="E80" s="17" t="s">
        <v>113</v>
      </c>
      <c r="F80" s="17"/>
      <c r="G80" s="66"/>
      <c r="H80"/>
      <c r="J80" s="16">
        <v>791154501974</v>
      </c>
      <c r="K80" s="16">
        <v>8434842956</v>
      </c>
    </row>
    <row r="81" spans="3:11" x14ac:dyDescent="0.25">
      <c r="C81" s="11">
        <v>729</v>
      </c>
      <c r="E81" s="17" t="s">
        <v>23</v>
      </c>
      <c r="F81" s="17"/>
      <c r="G81" s="66"/>
      <c r="H81"/>
      <c r="J81" s="16">
        <v>645378638386</v>
      </c>
      <c r="K81" s="16">
        <v>7488553379</v>
      </c>
    </row>
    <row r="82" spans="3:11" x14ac:dyDescent="0.25">
      <c r="C82" s="11">
        <v>730</v>
      </c>
      <c r="E82" s="17" t="s">
        <v>114</v>
      </c>
      <c r="F82" s="17"/>
      <c r="G82" s="66"/>
      <c r="H82"/>
      <c r="J82" s="16">
        <v>800424763883</v>
      </c>
      <c r="K82" s="16">
        <v>7209249819</v>
      </c>
    </row>
    <row r="83" spans="3:11" x14ac:dyDescent="0.25">
      <c r="C83" s="11">
        <v>737</v>
      </c>
      <c r="E83" s="17" t="s">
        <v>119</v>
      </c>
      <c r="F83" s="17"/>
      <c r="G83" s="66"/>
      <c r="H83"/>
      <c r="J83" s="16"/>
      <c r="K83" s="16"/>
    </row>
    <row r="84" spans="3:11" x14ac:dyDescent="0.25">
      <c r="C84" s="11">
        <v>738</v>
      </c>
      <c r="E84" s="17" t="s">
        <v>120</v>
      </c>
      <c r="F84" s="17"/>
      <c r="G84" s="66"/>
      <c r="H84"/>
      <c r="J84" s="16"/>
      <c r="K84" s="16"/>
    </row>
    <row r="85" spans="3:11" x14ac:dyDescent="0.25">
      <c r="C85" s="11">
        <v>743</v>
      </c>
      <c r="E85" s="17" t="s">
        <v>21</v>
      </c>
      <c r="F85" s="17"/>
      <c r="G85" s="66"/>
      <c r="H85"/>
      <c r="J85" s="16"/>
      <c r="K85" s="16"/>
    </row>
    <row r="86" spans="3:11" x14ac:dyDescent="0.25">
      <c r="C86" s="11">
        <v>755</v>
      </c>
      <c r="E86" s="17" t="s">
        <v>115</v>
      </c>
      <c r="F86" s="17"/>
      <c r="G86" s="66"/>
      <c r="H86"/>
      <c r="J86" s="16">
        <v>343532565639</v>
      </c>
      <c r="K86" s="16">
        <v>9123275378</v>
      </c>
    </row>
    <row r="87" spans="3:11" x14ac:dyDescent="0.25">
      <c r="C87" s="11">
        <v>757</v>
      </c>
      <c r="E87" s="17" t="s">
        <v>116</v>
      </c>
      <c r="F87" s="17"/>
      <c r="G87" s="66"/>
      <c r="H87"/>
      <c r="J87" s="16">
        <v>461985371951</v>
      </c>
      <c r="K87" s="16">
        <v>8677959513</v>
      </c>
    </row>
    <row r="88" spans="3:11" x14ac:dyDescent="0.25">
      <c r="C88" s="11">
        <v>760</v>
      </c>
      <c r="E88" s="17" t="s">
        <v>117</v>
      </c>
      <c r="F88" s="17"/>
      <c r="G88" s="66"/>
      <c r="H88"/>
      <c r="J88" s="16">
        <v>618469117317</v>
      </c>
      <c r="K88" s="16">
        <v>7061533847</v>
      </c>
    </row>
    <row r="89" spans="3:11" x14ac:dyDescent="0.25">
      <c r="C89" s="11">
        <v>761</v>
      </c>
      <c r="E89" s="17" t="s">
        <v>118</v>
      </c>
      <c r="F89" s="17"/>
      <c r="G89" s="66"/>
      <c r="H89"/>
      <c r="J89" s="16">
        <v>623774586366</v>
      </c>
      <c r="K89" s="16">
        <v>7586984459</v>
      </c>
    </row>
    <row r="90" spans="3:11" x14ac:dyDescent="0.25">
      <c r="C90" s="11">
        <v>765</v>
      </c>
      <c r="E90" s="17" t="s">
        <v>121</v>
      </c>
      <c r="F90" s="17"/>
      <c r="G90" s="66"/>
      <c r="H90"/>
      <c r="J90" s="16">
        <v>345936337700</v>
      </c>
      <c r="K90" s="16">
        <v>7586984459</v>
      </c>
    </row>
    <row r="91" spans="3:11" x14ac:dyDescent="0.25">
      <c r="C91" s="11">
        <v>766</v>
      </c>
      <c r="E91" s="17" t="s">
        <v>122</v>
      </c>
      <c r="F91" s="17"/>
      <c r="G91" s="66"/>
      <c r="H91"/>
      <c r="J91" s="16">
        <v>782606181847</v>
      </c>
      <c r="K91" s="16">
        <v>8207351848</v>
      </c>
    </row>
    <row r="92" spans="3:11" x14ac:dyDescent="0.25">
      <c r="C92" s="11">
        <v>767</v>
      </c>
      <c r="E92" s="17" t="s">
        <v>123</v>
      </c>
      <c r="F92" s="17"/>
      <c r="G92" s="66"/>
      <c r="H92"/>
      <c r="J92" s="16">
        <v>421314203571</v>
      </c>
      <c r="K92" s="16">
        <v>7970867850</v>
      </c>
    </row>
    <row r="93" spans="3:11" x14ac:dyDescent="0.25">
      <c r="C93" s="11">
        <v>768</v>
      </c>
      <c r="E93" s="17" t="s">
        <v>124</v>
      </c>
      <c r="F93" s="17"/>
      <c r="G93" s="66"/>
      <c r="H93"/>
      <c r="J93" s="16">
        <v>249234020000</v>
      </c>
      <c r="K93" s="16">
        <v>9122187552</v>
      </c>
    </row>
    <row r="94" spans="3:11" x14ac:dyDescent="0.25">
      <c r="C94" s="11">
        <v>769</v>
      </c>
      <c r="E94" s="17" t="s">
        <v>125</v>
      </c>
      <c r="F94" s="17"/>
      <c r="G94" s="66"/>
      <c r="H94"/>
      <c r="J94" s="16">
        <v>334297598867</v>
      </c>
      <c r="K94" s="16">
        <v>9204695909</v>
      </c>
    </row>
    <row r="95" spans="3:11" x14ac:dyDescent="0.25">
      <c r="C95" s="11">
        <v>770</v>
      </c>
      <c r="E95" s="17" t="s">
        <v>126</v>
      </c>
      <c r="F95" s="17"/>
      <c r="G95" s="66"/>
      <c r="H95"/>
      <c r="J95" s="16">
        <v>782657899612</v>
      </c>
      <c r="K95" s="16">
        <v>9031721398</v>
      </c>
    </row>
    <row r="96" spans="3:11" x14ac:dyDescent="0.25">
      <c r="C96" s="11">
        <v>771</v>
      </c>
      <c r="E96" s="17" t="s">
        <v>127</v>
      </c>
      <c r="F96" s="17"/>
      <c r="G96" s="66"/>
      <c r="H96"/>
      <c r="J96" s="16">
        <v>383956411124</v>
      </c>
      <c r="K96" s="16">
        <v>7764991432</v>
      </c>
    </row>
    <row r="97" spans="3:11" x14ac:dyDescent="0.25">
      <c r="C97" s="11" t="s">
        <v>3040</v>
      </c>
      <c r="E97" s="17" t="s">
        <v>128</v>
      </c>
      <c r="F97" s="17"/>
      <c r="G97" s="66"/>
      <c r="H97"/>
      <c r="J97" s="16">
        <v>980180335163</v>
      </c>
      <c r="K97" s="16">
        <v>7061332900</v>
      </c>
    </row>
    <row r="98" spans="3:11" x14ac:dyDescent="0.25">
      <c r="C98" s="11">
        <v>773</v>
      </c>
      <c r="E98" s="17" t="s">
        <v>129</v>
      </c>
      <c r="F98" s="17"/>
      <c r="G98" s="66"/>
      <c r="H98"/>
      <c r="J98" s="16">
        <v>257391818118</v>
      </c>
      <c r="K98" s="16"/>
    </row>
    <row r="99" spans="3:11" x14ac:dyDescent="0.25">
      <c r="C99" s="11">
        <v>851</v>
      </c>
      <c r="E99" s="17" t="s">
        <v>130</v>
      </c>
      <c r="F99" s="17"/>
      <c r="G99" s="66"/>
      <c r="H99"/>
      <c r="J99" s="16">
        <v>262447420513</v>
      </c>
      <c r="K99" s="16">
        <v>8434145500</v>
      </c>
    </row>
    <row r="100" spans="3:11" x14ac:dyDescent="0.25">
      <c r="C100" s="11">
        <v>894</v>
      </c>
      <c r="E100" s="17" t="s">
        <v>131</v>
      </c>
      <c r="F100" s="17"/>
      <c r="G100" s="66"/>
      <c r="H100"/>
      <c r="J100" s="16"/>
      <c r="K100" s="16"/>
    </row>
    <row r="101" spans="3:11" x14ac:dyDescent="0.25">
      <c r="C101" s="11">
        <v>896</v>
      </c>
      <c r="E101" s="17" t="s">
        <v>132</v>
      </c>
      <c r="F101" s="17"/>
      <c r="G101" s="66"/>
      <c r="H101"/>
      <c r="J101" s="16">
        <v>268934236045</v>
      </c>
      <c r="K101" s="16">
        <v>8789598219</v>
      </c>
    </row>
    <row r="102" spans="3:11" x14ac:dyDescent="0.25">
      <c r="C102" s="11">
        <v>914</v>
      </c>
      <c r="E102" s="17" t="s">
        <v>133</v>
      </c>
      <c r="F102" s="17"/>
      <c r="G102" s="66"/>
      <c r="H102"/>
      <c r="J102" s="16">
        <v>203549715077</v>
      </c>
      <c r="K102" s="16">
        <v>9162327479</v>
      </c>
    </row>
    <row r="103" spans="3:11" x14ac:dyDescent="0.25">
      <c r="C103" s="11">
        <v>916</v>
      </c>
      <c r="E103" s="17" t="s">
        <v>24</v>
      </c>
      <c r="F103" s="17"/>
      <c r="G103" s="66"/>
      <c r="H103"/>
      <c r="J103" s="16">
        <v>996086388102</v>
      </c>
      <c r="K103" s="16">
        <v>7004909358</v>
      </c>
    </row>
    <row r="104" spans="3:11" x14ac:dyDescent="0.25">
      <c r="C104" s="11">
        <v>917</v>
      </c>
      <c r="E104" s="17" t="s">
        <v>134</v>
      </c>
      <c r="F104" s="17"/>
      <c r="G104" s="66"/>
      <c r="H104"/>
      <c r="J104" s="16">
        <v>408084263295</v>
      </c>
      <c r="K104" s="16">
        <v>6202326010</v>
      </c>
    </row>
    <row r="105" spans="3:11" x14ac:dyDescent="0.25">
      <c r="C105" s="11">
        <v>921</v>
      </c>
      <c r="E105" s="17" t="s">
        <v>25</v>
      </c>
      <c r="F105" s="17"/>
      <c r="G105" s="66"/>
      <c r="H105"/>
      <c r="J105" s="16">
        <v>603292725468</v>
      </c>
      <c r="K105" s="16">
        <v>9263632105</v>
      </c>
    </row>
    <row r="106" spans="3:11" x14ac:dyDescent="0.25">
      <c r="C106" s="11">
        <v>922</v>
      </c>
      <c r="E106" s="17" t="s">
        <v>135</v>
      </c>
      <c r="F106" s="17"/>
      <c r="G106" s="66"/>
      <c r="H106"/>
      <c r="J106" s="16">
        <v>577776566696</v>
      </c>
      <c r="K106" s="16">
        <v>7717778309</v>
      </c>
    </row>
    <row r="107" spans="3:11" x14ac:dyDescent="0.25">
      <c r="C107" s="11">
        <v>923</v>
      </c>
      <c r="E107" s="17" t="s">
        <v>136</v>
      </c>
      <c r="F107" s="17"/>
      <c r="G107" s="66"/>
      <c r="H107"/>
      <c r="J107" s="16">
        <v>924843698876</v>
      </c>
      <c r="K107" s="16">
        <v>7368044317</v>
      </c>
    </row>
    <row r="108" spans="3:11" x14ac:dyDescent="0.25">
      <c r="C108" s="11">
        <v>926</v>
      </c>
      <c r="E108" s="17" t="s">
        <v>137</v>
      </c>
      <c r="F108" s="17"/>
      <c r="G108" s="66"/>
      <c r="H108"/>
      <c r="J108" s="16">
        <v>718191812777</v>
      </c>
      <c r="K108" s="16">
        <v>9097585066</v>
      </c>
    </row>
    <row r="109" spans="3:11" x14ac:dyDescent="0.25">
      <c r="C109" s="11">
        <v>928</v>
      </c>
      <c r="E109" s="17" t="s">
        <v>138</v>
      </c>
      <c r="F109" s="17"/>
      <c r="G109" s="66"/>
      <c r="H109"/>
      <c r="J109" s="16">
        <v>793742954000</v>
      </c>
      <c r="K109" s="16">
        <v>7070287943</v>
      </c>
    </row>
    <row r="110" spans="3:11" x14ac:dyDescent="0.25">
      <c r="C110" s="11">
        <v>929</v>
      </c>
      <c r="E110" s="17" t="s">
        <v>139</v>
      </c>
      <c r="F110" s="17"/>
      <c r="G110" s="66"/>
      <c r="H110"/>
      <c r="J110" s="16">
        <v>466696079759</v>
      </c>
      <c r="K110" s="16">
        <v>9204976811</v>
      </c>
    </row>
    <row r="111" spans="3:11" x14ac:dyDescent="0.25">
      <c r="C111" s="11">
        <v>930</v>
      </c>
      <c r="E111" s="17" t="s">
        <v>26</v>
      </c>
      <c r="F111" s="17"/>
      <c r="G111" s="66"/>
      <c r="H111"/>
      <c r="J111" s="16">
        <v>287221248121</v>
      </c>
      <c r="K111" s="16">
        <v>9798657458</v>
      </c>
    </row>
    <row r="112" spans="3:11" x14ac:dyDescent="0.25">
      <c r="C112" s="11">
        <v>931</v>
      </c>
      <c r="E112" s="17" t="s">
        <v>140</v>
      </c>
      <c r="F112" s="17"/>
      <c r="G112" s="66"/>
      <c r="H112"/>
      <c r="J112" s="16">
        <v>917954525739</v>
      </c>
      <c r="K112" s="16">
        <v>8651954029</v>
      </c>
    </row>
    <row r="113" spans="3:14" x14ac:dyDescent="0.25">
      <c r="C113" s="11">
        <v>934</v>
      </c>
      <c r="E113" s="17" t="s">
        <v>28</v>
      </c>
      <c r="F113" s="17"/>
      <c r="G113" s="66"/>
      <c r="H113"/>
      <c r="J113" s="16">
        <v>893138744978</v>
      </c>
      <c r="K113" s="16">
        <v>7903697661</v>
      </c>
    </row>
    <row r="114" spans="3:14" x14ac:dyDescent="0.25">
      <c r="C114" s="11">
        <v>935</v>
      </c>
      <c r="E114" s="17" t="s">
        <v>27</v>
      </c>
      <c r="F114" s="17"/>
      <c r="G114" s="66"/>
      <c r="H114"/>
      <c r="J114" s="16">
        <v>706635215714</v>
      </c>
      <c r="K114" s="16">
        <v>6205971764</v>
      </c>
    </row>
    <row r="115" spans="3:14" x14ac:dyDescent="0.25">
      <c r="C115" s="11">
        <v>940</v>
      </c>
      <c r="E115" s="17" t="s">
        <v>141</v>
      </c>
      <c r="F115" s="17"/>
      <c r="G115" s="66"/>
      <c r="H115"/>
      <c r="J115" s="16">
        <v>479659624061</v>
      </c>
      <c r="K115" s="16">
        <v>8092201640</v>
      </c>
    </row>
    <row r="116" spans="3:14" x14ac:dyDescent="0.25">
      <c r="C116" s="11">
        <v>944</v>
      </c>
      <c r="E116" s="17" t="s">
        <v>142</v>
      </c>
      <c r="F116" s="17"/>
      <c r="G116" s="66"/>
      <c r="H116" t="s">
        <v>1149</v>
      </c>
      <c r="J116" s="16">
        <v>924289369584</v>
      </c>
      <c r="K116" s="16">
        <v>7079861101</v>
      </c>
      <c r="L116" s="4" t="s">
        <v>16</v>
      </c>
      <c r="M116" s="4" t="s">
        <v>16</v>
      </c>
    </row>
    <row r="117" spans="3:14" x14ac:dyDescent="0.25">
      <c r="C117" s="11">
        <v>960</v>
      </c>
      <c r="E117" s="17" t="s">
        <v>143</v>
      </c>
      <c r="F117" s="17"/>
      <c r="G117" s="66"/>
      <c r="H117"/>
      <c r="J117" s="16"/>
      <c r="K117" s="16"/>
    </row>
    <row r="118" spans="3:14" x14ac:dyDescent="0.25">
      <c r="C118" s="11">
        <v>964</v>
      </c>
      <c r="E118" s="17" t="s">
        <v>144</v>
      </c>
      <c r="F118" s="17"/>
      <c r="G118" s="66"/>
      <c r="H118"/>
      <c r="J118" s="16">
        <v>346527488542</v>
      </c>
      <c r="K118" s="16">
        <v>9334181654</v>
      </c>
      <c r="L118" s="4" t="s">
        <v>16</v>
      </c>
      <c r="M118" s="4" t="s">
        <v>16</v>
      </c>
    </row>
    <row r="119" spans="3:14" x14ac:dyDescent="0.25">
      <c r="C119" s="11">
        <v>966</v>
      </c>
      <c r="E119" s="17" t="s">
        <v>31</v>
      </c>
      <c r="F119" s="17"/>
      <c r="G119" s="66"/>
      <c r="H119"/>
      <c r="J119" s="16"/>
      <c r="K119" s="16"/>
    </row>
    <row r="120" spans="3:14" x14ac:dyDescent="0.25">
      <c r="C120" s="11">
        <v>969</v>
      </c>
      <c r="E120" s="17" t="s">
        <v>32</v>
      </c>
      <c r="F120" s="17"/>
      <c r="G120" s="66"/>
      <c r="H120"/>
      <c r="J120" s="16"/>
      <c r="K120" s="16"/>
    </row>
    <row r="121" spans="3:14" x14ac:dyDescent="0.25">
      <c r="C121" s="11">
        <v>984</v>
      </c>
      <c r="E121" s="17" t="s">
        <v>33</v>
      </c>
      <c r="F121" s="17"/>
      <c r="G121" s="66"/>
      <c r="H121"/>
      <c r="J121" s="16">
        <v>376938917717</v>
      </c>
      <c r="K121" s="16">
        <v>7004209776</v>
      </c>
      <c r="L121" s="4" t="s">
        <v>16</v>
      </c>
      <c r="N121" s="4">
        <v>5000</v>
      </c>
    </row>
    <row r="122" spans="3:14" x14ac:dyDescent="0.25">
      <c r="C122" s="11">
        <v>989</v>
      </c>
      <c r="E122" s="17" t="s">
        <v>145</v>
      </c>
      <c r="F122" s="17"/>
      <c r="G122" s="66"/>
      <c r="H122"/>
      <c r="J122" s="16">
        <v>629430596123</v>
      </c>
      <c r="K122" s="16">
        <v>7050312952</v>
      </c>
    </row>
    <row r="123" spans="3:14" x14ac:dyDescent="0.25">
      <c r="C123" s="11">
        <v>995</v>
      </c>
      <c r="E123" s="17" t="s">
        <v>146</v>
      </c>
      <c r="F123" s="17"/>
      <c r="G123" s="66"/>
      <c r="H123"/>
      <c r="J123" s="16">
        <v>318133820961</v>
      </c>
      <c r="K123" s="16">
        <v>9204112528</v>
      </c>
    </row>
    <row r="124" spans="3:14" x14ac:dyDescent="0.25">
      <c r="C124" s="11">
        <v>1005</v>
      </c>
      <c r="E124" s="17" t="s">
        <v>147</v>
      </c>
      <c r="F124" s="17"/>
      <c r="G124" s="66"/>
      <c r="H124"/>
      <c r="J124" s="16">
        <v>353896785197</v>
      </c>
      <c r="K124" s="16">
        <v>9031213781</v>
      </c>
    </row>
    <row r="125" spans="3:14" x14ac:dyDescent="0.25">
      <c r="C125" s="11">
        <v>1013</v>
      </c>
      <c r="E125" s="17" t="s">
        <v>148</v>
      </c>
      <c r="F125" s="17"/>
      <c r="G125" s="66"/>
      <c r="H125"/>
      <c r="J125" s="16">
        <v>309584736918</v>
      </c>
      <c r="K125" s="16">
        <v>8252012323</v>
      </c>
    </row>
    <row r="126" spans="3:14" x14ac:dyDescent="0.25">
      <c r="C126" s="11">
        <v>1014</v>
      </c>
      <c r="E126" s="17" t="s">
        <v>149</v>
      </c>
      <c r="F126" s="17"/>
      <c r="G126" s="66"/>
      <c r="H126"/>
      <c r="J126" s="16">
        <v>511328396516</v>
      </c>
      <c r="K126" s="16">
        <v>7903121089</v>
      </c>
    </row>
    <row r="127" spans="3:14" x14ac:dyDescent="0.25">
      <c r="C127" s="11">
        <v>1019</v>
      </c>
      <c r="E127" s="17" t="s">
        <v>150</v>
      </c>
      <c r="F127" s="17"/>
      <c r="G127" s="66"/>
      <c r="H127"/>
      <c r="J127" s="16">
        <v>944633431261</v>
      </c>
      <c r="K127" s="16">
        <v>9693731966</v>
      </c>
    </row>
    <row r="128" spans="3:14" x14ac:dyDescent="0.25">
      <c r="C128" s="11">
        <v>1020</v>
      </c>
      <c r="E128" s="17" t="s">
        <v>151</v>
      </c>
      <c r="F128" s="17"/>
      <c r="G128" s="66"/>
      <c r="H128"/>
      <c r="J128" s="16">
        <v>269052253006</v>
      </c>
      <c r="K128" s="16">
        <v>9110947409</v>
      </c>
    </row>
    <row r="129" spans="3:11" x14ac:dyDescent="0.25">
      <c r="C129" s="11">
        <v>1033</v>
      </c>
      <c r="E129" s="17" t="s">
        <v>152</v>
      </c>
      <c r="F129" s="17"/>
      <c r="G129" s="66"/>
      <c r="H129"/>
      <c r="J129" s="16">
        <v>793170096827</v>
      </c>
      <c r="K129" s="16">
        <v>7488419015</v>
      </c>
    </row>
    <row r="130" spans="3:11" x14ac:dyDescent="0.25">
      <c r="C130" s="11">
        <v>1034</v>
      </c>
      <c r="E130" s="17" t="s">
        <v>153</v>
      </c>
      <c r="F130" s="17"/>
      <c r="G130" s="66"/>
      <c r="H130"/>
      <c r="J130" s="16"/>
      <c r="K130" s="16"/>
    </row>
    <row r="131" spans="3:11" x14ac:dyDescent="0.25">
      <c r="C131" s="11">
        <v>1038</v>
      </c>
      <c r="E131" s="17" t="s">
        <v>155</v>
      </c>
      <c r="F131" s="17"/>
      <c r="G131" s="66"/>
      <c r="H131"/>
      <c r="J131" s="16">
        <v>546841229657</v>
      </c>
      <c r="K131" s="16"/>
    </row>
    <row r="132" spans="3:11" x14ac:dyDescent="0.25">
      <c r="C132" s="11">
        <v>1039</v>
      </c>
      <c r="E132" s="17" t="s">
        <v>154</v>
      </c>
      <c r="F132" s="17"/>
      <c r="G132" s="66"/>
      <c r="H132"/>
      <c r="J132" s="16"/>
      <c r="K132" s="16"/>
    </row>
    <row r="133" spans="3:11" x14ac:dyDescent="0.25">
      <c r="C133" s="11">
        <v>1054</v>
      </c>
      <c r="E133" s="17" t="s">
        <v>156</v>
      </c>
      <c r="F133" s="17"/>
      <c r="G133" s="66"/>
      <c r="H133"/>
      <c r="J133" s="16">
        <v>491633775866</v>
      </c>
      <c r="K133" s="16">
        <v>9431526395</v>
      </c>
    </row>
    <row r="134" spans="3:11" x14ac:dyDescent="0.25">
      <c r="C134" s="11">
        <v>1057</v>
      </c>
      <c r="E134" s="17" t="s">
        <v>34</v>
      </c>
      <c r="F134" s="17"/>
      <c r="G134" s="66"/>
      <c r="H134"/>
      <c r="J134" s="16"/>
      <c r="K134" s="16">
        <v>7209980122</v>
      </c>
    </row>
    <row r="135" spans="3:11" x14ac:dyDescent="0.25">
      <c r="C135" s="11">
        <v>1058</v>
      </c>
      <c r="E135" s="17" t="s">
        <v>35</v>
      </c>
      <c r="F135" s="17"/>
      <c r="G135" s="66"/>
      <c r="H135"/>
      <c r="J135" s="16">
        <v>795702194157</v>
      </c>
      <c r="K135" s="16">
        <v>7488940536</v>
      </c>
    </row>
    <row r="136" spans="3:11" x14ac:dyDescent="0.25">
      <c r="C136" s="11">
        <v>1059</v>
      </c>
      <c r="E136" s="17" t="s">
        <v>157</v>
      </c>
      <c r="F136" s="17"/>
      <c r="G136" s="66"/>
      <c r="H136"/>
      <c r="J136" s="16">
        <v>647642564623</v>
      </c>
      <c r="K136" s="16">
        <v>7759038609</v>
      </c>
    </row>
    <row r="137" spans="3:11" x14ac:dyDescent="0.25">
      <c r="C137" s="11">
        <v>1063</v>
      </c>
      <c r="E137" s="17" t="s">
        <v>158</v>
      </c>
      <c r="F137" s="17"/>
      <c r="G137" s="66"/>
      <c r="H137"/>
      <c r="J137" s="16">
        <v>480026548548</v>
      </c>
      <c r="K137" s="16">
        <v>9523472991</v>
      </c>
    </row>
    <row r="138" spans="3:11" x14ac:dyDescent="0.25">
      <c r="C138" s="11">
        <v>1067</v>
      </c>
      <c r="E138" s="17" t="s">
        <v>159</v>
      </c>
      <c r="F138" s="17"/>
      <c r="G138" s="66"/>
      <c r="H138"/>
      <c r="J138" s="16">
        <v>788463148624</v>
      </c>
      <c r="K138" s="16">
        <v>8271824846</v>
      </c>
    </row>
    <row r="139" spans="3:11" x14ac:dyDescent="0.25">
      <c r="C139" s="11">
        <v>1068</v>
      </c>
      <c r="E139" s="17" t="s">
        <v>160</v>
      </c>
      <c r="F139" s="17"/>
      <c r="G139" s="66"/>
      <c r="H139"/>
      <c r="J139" s="16">
        <v>393337722379</v>
      </c>
      <c r="K139" s="16"/>
    </row>
    <row r="140" spans="3:11" x14ac:dyDescent="0.25">
      <c r="C140" s="11">
        <v>1076</v>
      </c>
      <c r="E140" s="17" t="s">
        <v>161</v>
      </c>
      <c r="F140" s="17"/>
      <c r="G140" s="66"/>
      <c r="H140"/>
      <c r="J140" s="16">
        <v>541052357471</v>
      </c>
      <c r="K140" s="16"/>
    </row>
    <row r="141" spans="3:11" x14ac:dyDescent="0.25">
      <c r="C141" s="11">
        <v>1077</v>
      </c>
      <c r="E141" s="17" t="s">
        <v>162</v>
      </c>
      <c r="F141" s="17"/>
      <c r="G141" s="66"/>
      <c r="H141"/>
      <c r="J141" s="16"/>
      <c r="K141" s="16"/>
    </row>
    <row r="142" spans="3:11" x14ac:dyDescent="0.25">
      <c r="C142" s="11">
        <v>1099</v>
      </c>
      <c r="E142" s="17" t="s">
        <v>163</v>
      </c>
      <c r="F142" s="17"/>
      <c r="G142" s="66"/>
      <c r="H142"/>
      <c r="J142" s="16"/>
      <c r="K142" s="16"/>
    </row>
    <row r="143" spans="3:11" x14ac:dyDescent="0.25">
      <c r="C143" s="11">
        <v>1101</v>
      </c>
      <c r="E143" s="17" t="s">
        <v>164</v>
      </c>
      <c r="F143" s="17"/>
      <c r="G143" s="66"/>
      <c r="H143"/>
      <c r="J143" s="16">
        <v>576031597596</v>
      </c>
      <c r="K143" s="16">
        <v>620765592</v>
      </c>
    </row>
    <row r="144" spans="3:11" x14ac:dyDescent="0.25">
      <c r="C144" s="11">
        <v>1102</v>
      </c>
      <c r="E144" s="17" t="s">
        <v>165</v>
      </c>
      <c r="F144" s="17"/>
      <c r="G144" s="66"/>
      <c r="H144"/>
      <c r="J144" s="16"/>
      <c r="K144" s="16"/>
    </row>
    <row r="145" spans="2:15" x14ac:dyDescent="0.25">
      <c r="C145" s="11">
        <v>1103</v>
      </c>
      <c r="E145" s="17" t="s">
        <v>166</v>
      </c>
      <c r="F145" s="17"/>
      <c r="G145" s="66"/>
      <c r="H145"/>
      <c r="J145" s="16"/>
      <c r="K145" s="16"/>
    </row>
    <row r="146" spans="2:15" x14ac:dyDescent="0.25">
      <c r="C146" s="11">
        <v>1107</v>
      </c>
      <c r="E146" s="17" t="s">
        <v>22</v>
      </c>
      <c r="F146" s="17"/>
      <c r="G146" s="66"/>
      <c r="H146"/>
      <c r="J146" s="16">
        <v>663581583740</v>
      </c>
      <c r="K146" s="16">
        <v>7488535413</v>
      </c>
      <c r="L146" s="4" t="s">
        <v>14</v>
      </c>
      <c r="M146" s="4" t="s">
        <v>16</v>
      </c>
      <c r="N146" s="4" t="s">
        <v>16</v>
      </c>
      <c r="O146" s="4" t="s">
        <v>16</v>
      </c>
    </row>
    <row r="147" spans="2:15" x14ac:dyDescent="0.25">
      <c r="C147" s="11">
        <v>1111</v>
      </c>
      <c r="E147" s="17" t="s">
        <v>167</v>
      </c>
      <c r="F147" s="17"/>
      <c r="G147" s="66"/>
      <c r="H147"/>
      <c r="J147" s="16">
        <v>934050004580</v>
      </c>
      <c r="K147" s="16">
        <v>6203034658</v>
      </c>
      <c r="L147" s="4" t="s">
        <v>16</v>
      </c>
      <c r="M147" s="4" t="s">
        <v>16</v>
      </c>
    </row>
    <row r="148" spans="2:15" x14ac:dyDescent="0.25">
      <c r="C148" s="11">
        <v>1113</v>
      </c>
      <c r="E148" s="17" t="s">
        <v>168</v>
      </c>
      <c r="F148" s="17"/>
      <c r="G148" s="66"/>
      <c r="H148"/>
      <c r="J148" s="16">
        <v>711843671795</v>
      </c>
      <c r="K148" s="16">
        <v>9572457158</v>
      </c>
      <c r="L148" s="4" t="s">
        <v>16</v>
      </c>
      <c r="N148" s="4" t="s">
        <v>16</v>
      </c>
    </row>
    <row r="149" spans="2:15" x14ac:dyDescent="0.25">
      <c r="B149" s="3">
        <v>43874</v>
      </c>
      <c r="C149" s="11">
        <v>1114</v>
      </c>
      <c r="E149" s="17" t="s">
        <v>169</v>
      </c>
      <c r="F149" s="17"/>
      <c r="G149" s="66"/>
      <c r="H149"/>
      <c r="J149" s="16">
        <v>757178615421</v>
      </c>
      <c r="K149" s="16">
        <v>8102490894</v>
      </c>
      <c r="L149" s="4" t="s">
        <v>16</v>
      </c>
      <c r="M149" s="4" t="s">
        <v>16</v>
      </c>
    </row>
    <row r="150" spans="2:15" x14ac:dyDescent="0.25">
      <c r="C150" s="11">
        <v>1115</v>
      </c>
      <c r="E150" s="17" t="s">
        <v>170</v>
      </c>
      <c r="F150" s="17"/>
      <c r="G150" s="66"/>
      <c r="H150"/>
      <c r="J150" s="16">
        <v>812875985901</v>
      </c>
      <c r="K150" s="16">
        <v>9835552756</v>
      </c>
      <c r="L150" s="4" t="s">
        <v>16</v>
      </c>
      <c r="M150" s="4" t="s">
        <v>16</v>
      </c>
      <c r="O150" s="4" t="s">
        <v>16</v>
      </c>
    </row>
    <row r="151" spans="2:15" x14ac:dyDescent="0.25">
      <c r="C151" s="11">
        <v>1117</v>
      </c>
      <c r="E151" s="17" t="s">
        <v>171</v>
      </c>
      <c r="F151" s="17"/>
      <c r="G151" s="66"/>
      <c r="H151"/>
      <c r="J151" s="16">
        <v>464476925403</v>
      </c>
      <c r="K151" s="16">
        <v>9771542664</v>
      </c>
      <c r="L151" s="4" t="s">
        <v>16</v>
      </c>
      <c r="M151" s="4" t="s">
        <v>16</v>
      </c>
    </row>
    <row r="152" spans="2:15" x14ac:dyDescent="0.25">
      <c r="C152" s="11">
        <v>1123</v>
      </c>
      <c r="E152" s="17" t="s">
        <v>172</v>
      </c>
      <c r="F152" s="17"/>
      <c r="G152" s="66"/>
      <c r="H152"/>
      <c r="J152" s="16">
        <v>943536387920</v>
      </c>
      <c r="K152" s="16">
        <v>6202900720</v>
      </c>
      <c r="L152" s="4" t="s">
        <v>16</v>
      </c>
      <c r="M152" s="4" t="s">
        <v>16</v>
      </c>
    </row>
    <row r="153" spans="2:15" x14ac:dyDescent="0.25">
      <c r="C153" s="11">
        <v>1125</v>
      </c>
      <c r="E153" s="17" t="s">
        <v>173</v>
      </c>
      <c r="F153" s="17"/>
      <c r="G153" s="66"/>
      <c r="H153"/>
      <c r="J153" s="16">
        <v>320812956884</v>
      </c>
      <c r="K153" s="16"/>
    </row>
    <row r="154" spans="2:15" x14ac:dyDescent="0.25">
      <c r="C154" s="11">
        <v>1126</v>
      </c>
      <c r="E154" s="17" t="s">
        <v>174</v>
      </c>
      <c r="F154" s="17"/>
      <c r="G154" s="66"/>
      <c r="H154"/>
      <c r="J154" s="16">
        <v>396877752527</v>
      </c>
      <c r="K154" s="16">
        <v>6201319163</v>
      </c>
      <c r="L154" s="4" t="s">
        <v>16</v>
      </c>
      <c r="M154" s="4" t="s">
        <v>16</v>
      </c>
    </row>
    <row r="155" spans="2:15" x14ac:dyDescent="0.25">
      <c r="C155" s="11">
        <v>1127</v>
      </c>
      <c r="E155" s="17" t="s">
        <v>175</v>
      </c>
      <c r="F155" s="17"/>
      <c r="G155" s="66"/>
      <c r="H155"/>
      <c r="J155" s="16">
        <v>535564176759</v>
      </c>
      <c r="K155" s="16">
        <v>8434705239</v>
      </c>
    </row>
    <row r="156" spans="2:15" x14ac:dyDescent="0.25">
      <c r="C156" s="11">
        <v>1129</v>
      </c>
      <c r="E156" s="17" t="s">
        <v>176</v>
      </c>
      <c r="F156" s="17"/>
      <c r="G156" s="66"/>
      <c r="H156"/>
      <c r="J156" s="16">
        <v>973657681266</v>
      </c>
      <c r="K156" s="16">
        <v>7250604462</v>
      </c>
    </row>
    <row r="157" spans="2:15" x14ac:dyDescent="0.25">
      <c r="C157" s="11">
        <v>1130</v>
      </c>
      <c r="E157" s="17" t="s">
        <v>177</v>
      </c>
      <c r="F157" s="17"/>
      <c r="G157" s="66"/>
      <c r="H157"/>
      <c r="J157" s="16">
        <v>414982908001</v>
      </c>
      <c r="K157" s="16">
        <v>7352929995</v>
      </c>
      <c r="L157" s="4" t="s">
        <v>16</v>
      </c>
    </row>
    <row r="158" spans="2:15" x14ac:dyDescent="0.25">
      <c r="C158" s="11">
        <v>1131</v>
      </c>
      <c r="E158" s="17" t="s">
        <v>178</v>
      </c>
      <c r="F158" s="17"/>
      <c r="G158" s="66"/>
      <c r="H158"/>
      <c r="J158" s="16">
        <v>401583538171</v>
      </c>
      <c r="K158" s="16">
        <v>7209786317</v>
      </c>
      <c r="L158" s="4" t="s">
        <v>16</v>
      </c>
    </row>
    <row r="159" spans="2:15" x14ac:dyDescent="0.25">
      <c r="C159" s="11">
        <v>1134</v>
      </c>
      <c r="E159" s="17" t="s">
        <v>179</v>
      </c>
      <c r="F159" s="17"/>
      <c r="G159" s="66"/>
      <c r="H159"/>
      <c r="J159" s="16">
        <v>808372739693</v>
      </c>
      <c r="K159" s="16">
        <v>8084040650</v>
      </c>
    </row>
    <row r="160" spans="2:15" x14ac:dyDescent="0.25">
      <c r="C160" s="11">
        <v>1135</v>
      </c>
      <c r="E160" s="17" t="s">
        <v>180</v>
      </c>
      <c r="F160" s="17"/>
      <c r="G160" s="66"/>
      <c r="H160"/>
      <c r="J160" s="16"/>
      <c r="K160" s="16">
        <v>8102147187</v>
      </c>
    </row>
    <row r="161" spans="2:12" x14ac:dyDescent="0.25">
      <c r="C161" s="11">
        <v>1144</v>
      </c>
      <c r="E161" s="17" t="s">
        <v>181</v>
      </c>
      <c r="F161" s="17"/>
      <c r="G161" s="66"/>
      <c r="H161"/>
      <c r="J161" s="16"/>
      <c r="K161" s="16"/>
    </row>
    <row r="162" spans="2:12" x14ac:dyDescent="0.25">
      <c r="C162" s="11">
        <v>1145</v>
      </c>
      <c r="E162" s="17" t="s">
        <v>182</v>
      </c>
      <c r="F162" s="17"/>
      <c r="G162" s="66"/>
      <c r="H162"/>
      <c r="J162" s="16"/>
      <c r="K162" s="16"/>
    </row>
    <row r="163" spans="2:12" x14ac:dyDescent="0.25">
      <c r="C163" s="11">
        <v>1147</v>
      </c>
      <c r="E163" s="17" t="s">
        <v>183</v>
      </c>
      <c r="F163" s="17"/>
      <c r="G163" s="66"/>
      <c r="H163"/>
      <c r="J163" s="16">
        <v>992066667458</v>
      </c>
      <c r="K163" s="16">
        <v>7762938839</v>
      </c>
    </row>
    <row r="164" spans="2:12" x14ac:dyDescent="0.25">
      <c r="B164" s="3">
        <v>43911</v>
      </c>
      <c r="C164" s="11">
        <v>1152</v>
      </c>
      <c r="E164" s="17" t="s">
        <v>184</v>
      </c>
      <c r="F164" s="17"/>
      <c r="G164" s="66"/>
      <c r="H164"/>
      <c r="J164" s="16"/>
      <c r="K164" s="16"/>
    </row>
    <row r="165" spans="2:12" x14ac:dyDescent="0.25">
      <c r="B165" s="3">
        <v>43925</v>
      </c>
      <c r="C165" s="11">
        <v>1157</v>
      </c>
      <c r="E165" s="17" t="s">
        <v>185</v>
      </c>
      <c r="F165" s="17"/>
      <c r="G165" s="66"/>
      <c r="H165"/>
      <c r="J165" s="16">
        <v>595356099923</v>
      </c>
      <c r="K165" s="16">
        <v>9709262158</v>
      </c>
    </row>
    <row r="166" spans="2:12" x14ac:dyDescent="0.25">
      <c r="B166" s="3">
        <v>43927</v>
      </c>
      <c r="C166" s="11">
        <v>1159</v>
      </c>
      <c r="E166" s="17" t="s">
        <v>186</v>
      </c>
      <c r="F166" s="17"/>
      <c r="G166" s="66"/>
      <c r="H166"/>
      <c r="J166" s="16">
        <v>431983361524</v>
      </c>
      <c r="K166" s="16">
        <v>8706699036</v>
      </c>
    </row>
    <row r="167" spans="2:12" x14ac:dyDescent="0.25">
      <c r="B167" s="3">
        <v>43928</v>
      </c>
      <c r="C167" s="11">
        <v>1164</v>
      </c>
      <c r="E167" s="17" t="s">
        <v>187</v>
      </c>
      <c r="F167" s="17"/>
      <c r="G167" s="66"/>
      <c r="H167"/>
      <c r="J167" s="16">
        <v>680587092605</v>
      </c>
      <c r="K167" s="16">
        <v>7209962169</v>
      </c>
      <c r="L167" s="4" t="s">
        <v>16</v>
      </c>
    </row>
    <row r="168" spans="2:12" x14ac:dyDescent="0.25">
      <c r="B168" s="3">
        <v>43930</v>
      </c>
      <c r="C168" s="11">
        <v>1166</v>
      </c>
      <c r="E168" s="17" t="s">
        <v>188</v>
      </c>
      <c r="F168" s="17"/>
      <c r="G168" s="66"/>
      <c r="H168"/>
      <c r="J168" s="16">
        <v>375748530937</v>
      </c>
      <c r="K168" s="16"/>
    </row>
    <row r="169" spans="2:12" x14ac:dyDescent="0.25">
      <c r="B169" s="3">
        <v>43930</v>
      </c>
      <c r="C169" s="11">
        <v>1167</v>
      </c>
      <c r="E169" s="17" t="s">
        <v>189</v>
      </c>
      <c r="F169" s="17"/>
      <c r="G169" s="66"/>
      <c r="H169"/>
      <c r="J169" s="16">
        <v>952228841392</v>
      </c>
      <c r="K169" s="16">
        <v>8092307233</v>
      </c>
    </row>
    <row r="170" spans="2:12" x14ac:dyDescent="0.25">
      <c r="B170" s="3">
        <v>43930</v>
      </c>
      <c r="C170" s="11">
        <v>1168</v>
      </c>
      <c r="E170" s="17" t="s">
        <v>190</v>
      </c>
      <c r="F170" s="17"/>
      <c r="G170" s="66"/>
      <c r="H170"/>
      <c r="J170" s="16">
        <v>491788372949</v>
      </c>
      <c r="K170" s="16">
        <v>9234559793</v>
      </c>
    </row>
    <row r="171" spans="2:12" x14ac:dyDescent="0.25">
      <c r="B171" s="3">
        <v>43930</v>
      </c>
      <c r="C171" s="11">
        <v>1169</v>
      </c>
      <c r="E171" s="17" t="s">
        <v>108</v>
      </c>
      <c r="F171" s="17"/>
      <c r="G171" s="66"/>
      <c r="H171"/>
      <c r="J171" s="16">
        <v>852566709035</v>
      </c>
      <c r="K171" s="16">
        <v>7209978924</v>
      </c>
    </row>
    <row r="172" spans="2:12" x14ac:dyDescent="0.25">
      <c r="B172" s="3">
        <v>43931</v>
      </c>
      <c r="C172" s="11">
        <v>1179</v>
      </c>
      <c r="E172" s="17" t="s">
        <v>191</v>
      </c>
      <c r="F172" s="17"/>
      <c r="G172" s="66"/>
      <c r="H172"/>
      <c r="J172" s="16">
        <v>515721573707</v>
      </c>
      <c r="K172" s="16"/>
    </row>
    <row r="173" spans="2:12" x14ac:dyDescent="0.25">
      <c r="B173" s="3">
        <v>43931</v>
      </c>
      <c r="C173" s="11">
        <v>1181</v>
      </c>
      <c r="E173" s="17" t="s">
        <v>192</v>
      </c>
      <c r="F173" s="17"/>
      <c r="G173" s="66"/>
      <c r="H173"/>
      <c r="J173" s="16"/>
      <c r="K173" s="16"/>
    </row>
    <row r="174" spans="2:12" x14ac:dyDescent="0.25">
      <c r="B174" s="3">
        <v>43931</v>
      </c>
      <c r="C174" s="11">
        <v>1182</v>
      </c>
      <c r="E174" s="17" t="s">
        <v>193</v>
      </c>
      <c r="F174" s="17"/>
      <c r="G174" s="66"/>
      <c r="H174"/>
      <c r="J174" s="16"/>
      <c r="K174" s="16"/>
    </row>
    <row r="175" spans="2:12" x14ac:dyDescent="0.25">
      <c r="B175" s="3">
        <v>43931</v>
      </c>
      <c r="C175" s="11">
        <v>1183</v>
      </c>
      <c r="E175" s="17" t="s">
        <v>194</v>
      </c>
      <c r="F175" s="17"/>
      <c r="G175" s="66"/>
      <c r="H175"/>
      <c r="J175" s="16"/>
      <c r="K175" s="16">
        <v>9113454571</v>
      </c>
    </row>
    <row r="176" spans="2:12" x14ac:dyDescent="0.25">
      <c r="B176" s="3">
        <v>43931</v>
      </c>
      <c r="C176" s="11">
        <v>1184</v>
      </c>
      <c r="E176" s="17" t="s">
        <v>195</v>
      </c>
      <c r="F176" s="17"/>
      <c r="G176" s="66"/>
      <c r="H176"/>
      <c r="J176" s="16"/>
      <c r="K176" s="16">
        <v>8092339286</v>
      </c>
    </row>
    <row r="177" spans="2:11" x14ac:dyDescent="0.25">
      <c r="B177" s="3">
        <v>43931</v>
      </c>
      <c r="C177" s="11">
        <v>1185</v>
      </c>
      <c r="E177" s="17" t="s">
        <v>196</v>
      </c>
      <c r="F177" s="17"/>
      <c r="G177" s="66"/>
      <c r="H177"/>
      <c r="J177" s="16"/>
      <c r="K177" s="16"/>
    </row>
    <row r="178" spans="2:11" x14ac:dyDescent="0.25">
      <c r="B178" s="3">
        <v>43935</v>
      </c>
      <c r="C178" s="11">
        <v>1212</v>
      </c>
      <c r="E178" s="17" t="s">
        <v>197</v>
      </c>
      <c r="F178" s="17"/>
      <c r="G178" s="66"/>
      <c r="H178"/>
      <c r="J178" s="16">
        <v>216516591968</v>
      </c>
      <c r="K178" s="16"/>
    </row>
    <row r="179" spans="2:11" x14ac:dyDescent="0.25">
      <c r="B179" s="3">
        <v>43935</v>
      </c>
      <c r="C179" s="11">
        <v>1226</v>
      </c>
      <c r="E179" s="17" t="s">
        <v>198</v>
      </c>
      <c r="F179" s="17"/>
      <c r="G179" s="66"/>
      <c r="H179"/>
      <c r="J179" s="16">
        <v>572815144076</v>
      </c>
      <c r="K179" s="16">
        <v>8084708709</v>
      </c>
    </row>
    <row r="180" spans="2:11" x14ac:dyDescent="0.25">
      <c r="B180" s="3">
        <v>43935</v>
      </c>
      <c r="C180" s="11">
        <v>1228</v>
      </c>
      <c r="E180" s="17" t="s">
        <v>199</v>
      </c>
      <c r="F180" s="17"/>
      <c r="G180" s="66"/>
      <c r="H180"/>
      <c r="J180" s="16">
        <v>788540471635</v>
      </c>
      <c r="K180" s="16">
        <v>6202524668</v>
      </c>
    </row>
    <row r="181" spans="2:11" x14ac:dyDescent="0.25">
      <c r="B181" s="3">
        <v>43935</v>
      </c>
      <c r="C181" s="11">
        <v>1229</v>
      </c>
      <c r="E181" s="17" t="s">
        <v>200</v>
      </c>
      <c r="F181" s="17"/>
      <c r="G181" s="66"/>
      <c r="H181"/>
      <c r="J181" s="16">
        <v>539852797176</v>
      </c>
      <c r="K181" s="16">
        <v>8340588639</v>
      </c>
    </row>
    <row r="182" spans="2:11" x14ac:dyDescent="0.25">
      <c r="B182" s="3">
        <v>43936</v>
      </c>
      <c r="C182" s="11">
        <v>1232</v>
      </c>
      <c r="E182" s="17" t="s">
        <v>201</v>
      </c>
      <c r="F182" s="17"/>
      <c r="G182" s="66"/>
      <c r="H182"/>
      <c r="J182" s="16">
        <v>299260397632</v>
      </c>
      <c r="K182" s="16">
        <v>7319733055</v>
      </c>
    </row>
    <row r="183" spans="2:11" x14ac:dyDescent="0.25">
      <c r="B183" s="3">
        <v>43936</v>
      </c>
      <c r="C183" s="11">
        <v>1234</v>
      </c>
      <c r="E183" s="17" t="s">
        <v>202</v>
      </c>
      <c r="F183" s="17"/>
      <c r="G183" s="66"/>
      <c r="H183"/>
      <c r="J183" s="16">
        <v>300999874888</v>
      </c>
      <c r="K183" s="16">
        <v>7857020224</v>
      </c>
    </row>
    <row r="184" spans="2:11" x14ac:dyDescent="0.25">
      <c r="B184" s="3">
        <v>43936</v>
      </c>
      <c r="C184" s="11">
        <v>1236</v>
      </c>
      <c r="E184" s="17" t="s">
        <v>203</v>
      </c>
      <c r="F184" s="17"/>
      <c r="G184" s="66"/>
      <c r="H184"/>
      <c r="J184" s="16">
        <v>749220225262</v>
      </c>
      <c r="K184" s="16">
        <v>7050490036</v>
      </c>
    </row>
    <row r="185" spans="2:11" x14ac:dyDescent="0.25">
      <c r="B185" s="3">
        <v>43936</v>
      </c>
      <c r="C185" s="11">
        <v>1237</v>
      </c>
      <c r="E185" s="17" t="s">
        <v>204</v>
      </c>
      <c r="F185" s="17"/>
      <c r="G185" s="66"/>
      <c r="H185" t="s">
        <v>1172</v>
      </c>
      <c r="J185" s="16">
        <v>556035443700</v>
      </c>
      <c r="K185" s="16">
        <v>9304675025</v>
      </c>
    </row>
    <row r="186" spans="2:11" x14ac:dyDescent="0.25">
      <c r="B186" s="3">
        <v>43936</v>
      </c>
      <c r="C186" s="11">
        <v>1238</v>
      </c>
      <c r="E186" s="17" t="s">
        <v>205</v>
      </c>
      <c r="F186" s="17"/>
      <c r="G186" s="66"/>
      <c r="H186"/>
      <c r="J186" s="16">
        <v>736608713269</v>
      </c>
      <c r="K186" s="16">
        <v>9708668937</v>
      </c>
    </row>
    <row r="187" spans="2:11" x14ac:dyDescent="0.25">
      <c r="B187" s="3">
        <v>43936</v>
      </c>
      <c r="C187" s="11">
        <v>1239</v>
      </c>
      <c r="E187" s="17" t="s">
        <v>206</v>
      </c>
      <c r="F187" s="17"/>
      <c r="G187" s="66"/>
      <c r="H187"/>
      <c r="J187" s="16">
        <v>633194665913</v>
      </c>
      <c r="K187" s="16">
        <v>8521090352</v>
      </c>
    </row>
    <row r="188" spans="2:11" x14ac:dyDescent="0.25">
      <c r="B188" s="3">
        <v>43936</v>
      </c>
      <c r="C188" s="11">
        <v>1240</v>
      </c>
      <c r="E188" s="17" t="s">
        <v>207</v>
      </c>
      <c r="F188" s="17"/>
      <c r="G188" s="66"/>
      <c r="H188"/>
      <c r="J188" s="16">
        <v>281399456837</v>
      </c>
      <c r="K188" s="16">
        <v>8340350871</v>
      </c>
    </row>
    <row r="189" spans="2:11" x14ac:dyDescent="0.25">
      <c r="B189" s="3">
        <v>43936</v>
      </c>
      <c r="C189" s="11">
        <v>1241</v>
      </c>
      <c r="E189" s="17" t="s">
        <v>209</v>
      </c>
      <c r="F189" s="17"/>
      <c r="G189" s="66"/>
      <c r="H189"/>
      <c r="J189" s="16">
        <v>902961704976</v>
      </c>
      <c r="K189" s="16">
        <v>9852391147</v>
      </c>
    </row>
    <row r="190" spans="2:11" x14ac:dyDescent="0.25">
      <c r="B190" s="3">
        <v>43936</v>
      </c>
      <c r="C190" s="11">
        <v>1242</v>
      </c>
      <c r="E190" s="17" t="s">
        <v>208</v>
      </c>
      <c r="F190" s="17"/>
      <c r="G190" s="66"/>
      <c r="H190"/>
      <c r="J190" s="16">
        <v>743471829053</v>
      </c>
      <c r="K190" s="16"/>
    </row>
    <row r="191" spans="2:11" x14ac:dyDescent="0.25">
      <c r="B191" s="3">
        <v>43937</v>
      </c>
      <c r="C191" s="11">
        <v>1249</v>
      </c>
      <c r="E191" s="17" t="s">
        <v>210</v>
      </c>
      <c r="F191" s="17"/>
      <c r="G191" s="66"/>
      <c r="H191"/>
      <c r="J191" s="16">
        <v>820842479445</v>
      </c>
      <c r="K191" s="16">
        <v>8083558968</v>
      </c>
    </row>
    <row r="192" spans="2:11" x14ac:dyDescent="0.25">
      <c r="B192" s="3">
        <v>43937</v>
      </c>
      <c r="C192" s="11">
        <v>1250</v>
      </c>
      <c r="E192" s="17" t="s">
        <v>211</v>
      </c>
      <c r="F192" s="17"/>
      <c r="G192" s="66"/>
      <c r="H192"/>
      <c r="J192" s="16">
        <v>699769052344</v>
      </c>
      <c r="K192" s="16"/>
    </row>
    <row r="193" spans="2:15" x14ac:dyDescent="0.25">
      <c r="B193" s="3">
        <v>43937</v>
      </c>
      <c r="C193" s="11">
        <v>1251</v>
      </c>
      <c r="E193" s="17" t="s">
        <v>212</v>
      </c>
      <c r="F193" s="17"/>
      <c r="G193" s="66"/>
      <c r="H193"/>
      <c r="J193" s="16">
        <v>791802131358</v>
      </c>
      <c r="K193" s="16">
        <v>9570121244</v>
      </c>
    </row>
    <row r="194" spans="2:15" x14ac:dyDescent="0.25">
      <c r="B194" s="3">
        <v>43937</v>
      </c>
      <c r="C194" s="11">
        <v>1254</v>
      </c>
      <c r="E194" s="17" t="s">
        <v>213</v>
      </c>
      <c r="F194" s="17"/>
      <c r="G194" s="66"/>
      <c r="H194"/>
      <c r="J194" s="16">
        <v>237946563885</v>
      </c>
      <c r="K194" s="16">
        <v>7488927596</v>
      </c>
    </row>
    <row r="195" spans="2:15" x14ac:dyDescent="0.25">
      <c r="B195" s="3">
        <v>43937</v>
      </c>
      <c r="C195" s="11">
        <v>1256</v>
      </c>
      <c r="E195" s="17" t="s">
        <v>214</v>
      </c>
      <c r="F195" s="17"/>
      <c r="G195" s="66"/>
      <c r="H195"/>
      <c r="J195" s="16">
        <v>956984615158</v>
      </c>
      <c r="K195" s="16">
        <v>8797319767</v>
      </c>
    </row>
    <row r="196" spans="2:15" x14ac:dyDescent="0.25">
      <c r="B196" s="3">
        <v>43937</v>
      </c>
      <c r="C196" s="11">
        <v>1258</v>
      </c>
      <c r="E196" s="17" t="s">
        <v>215</v>
      </c>
      <c r="F196" s="17"/>
      <c r="G196" s="66"/>
      <c r="H196"/>
      <c r="J196" s="16">
        <v>576031597596</v>
      </c>
      <c r="K196" s="16">
        <v>9279260095</v>
      </c>
    </row>
    <row r="197" spans="2:15" x14ac:dyDescent="0.25">
      <c r="B197" s="3">
        <v>43937</v>
      </c>
      <c r="C197" s="11">
        <v>1261</v>
      </c>
      <c r="E197" s="17" t="s">
        <v>216</v>
      </c>
      <c r="F197" s="17"/>
      <c r="G197" s="66"/>
      <c r="H197"/>
      <c r="J197" s="16">
        <v>742077425965</v>
      </c>
      <c r="K197" s="16">
        <v>7379583291</v>
      </c>
    </row>
    <row r="198" spans="2:15" x14ac:dyDescent="0.25">
      <c r="B198" s="3">
        <v>43937</v>
      </c>
      <c r="C198" s="11">
        <v>1263</v>
      </c>
      <c r="E198" s="17" t="s">
        <v>217</v>
      </c>
      <c r="F198" s="17"/>
      <c r="G198" s="66"/>
      <c r="H198"/>
      <c r="J198" s="16">
        <v>333864245589</v>
      </c>
      <c r="K198" s="16">
        <v>7004965335</v>
      </c>
    </row>
    <row r="199" spans="2:15" x14ac:dyDescent="0.25">
      <c r="B199" s="3">
        <v>43938</v>
      </c>
      <c r="C199" s="11">
        <v>1272</v>
      </c>
      <c r="E199" s="17" t="s">
        <v>218</v>
      </c>
      <c r="F199" s="17"/>
      <c r="G199" s="66"/>
      <c r="H199"/>
      <c r="J199" s="16">
        <v>483590717308</v>
      </c>
      <c r="K199" s="16">
        <v>9204373219</v>
      </c>
    </row>
    <row r="200" spans="2:15" x14ac:dyDescent="0.25">
      <c r="B200" s="3">
        <v>43938</v>
      </c>
      <c r="C200" s="11">
        <v>1275</v>
      </c>
      <c r="E200" s="17" t="s">
        <v>219</v>
      </c>
      <c r="F200" s="17"/>
      <c r="G200" s="66"/>
      <c r="H200"/>
      <c r="J200" s="16">
        <v>937075675698</v>
      </c>
      <c r="K200" s="16">
        <v>9934946357</v>
      </c>
    </row>
    <row r="201" spans="2:15" x14ac:dyDescent="0.25">
      <c r="B201" s="3">
        <v>43938</v>
      </c>
      <c r="C201" s="11">
        <v>1276</v>
      </c>
      <c r="E201" s="17" t="s">
        <v>220</v>
      </c>
      <c r="F201" s="17"/>
      <c r="G201" s="66"/>
      <c r="H201"/>
      <c r="J201" s="16">
        <v>379563297786</v>
      </c>
      <c r="K201" s="16">
        <v>7206497570</v>
      </c>
    </row>
    <row r="202" spans="2:15" x14ac:dyDescent="0.25">
      <c r="B202" s="3">
        <v>43938</v>
      </c>
      <c r="C202" s="11">
        <v>1279</v>
      </c>
      <c r="E202" s="17" t="s">
        <v>221</v>
      </c>
      <c r="F202" s="17"/>
      <c r="G202" s="66"/>
      <c r="H202"/>
      <c r="J202" s="16">
        <v>311206830033</v>
      </c>
      <c r="K202" s="16"/>
    </row>
    <row r="203" spans="2:15" x14ac:dyDescent="0.25">
      <c r="B203" s="3">
        <v>43938</v>
      </c>
      <c r="C203" s="11">
        <v>1280</v>
      </c>
      <c r="E203" s="17" t="s">
        <v>222</v>
      </c>
      <c r="F203" s="17"/>
      <c r="G203" s="66"/>
      <c r="H203"/>
      <c r="J203" s="16">
        <v>665228644610</v>
      </c>
      <c r="K203" s="16">
        <v>8434700160</v>
      </c>
    </row>
    <row r="204" spans="2:15" x14ac:dyDescent="0.25">
      <c r="B204" s="3">
        <v>43938</v>
      </c>
      <c r="C204" s="11">
        <v>1282</v>
      </c>
      <c r="E204" s="17" t="s">
        <v>223</v>
      </c>
      <c r="F204" s="17"/>
      <c r="G204" s="66"/>
      <c r="H204"/>
      <c r="J204" s="16">
        <v>572753591149</v>
      </c>
      <c r="K204" s="16">
        <v>8092402403</v>
      </c>
    </row>
    <row r="205" spans="2:15" x14ac:dyDescent="0.25">
      <c r="B205" s="3">
        <v>43938</v>
      </c>
      <c r="C205" s="11">
        <v>1286</v>
      </c>
      <c r="E205" s="17" t="s">
        <v>224</v>
      </c>
      <c r="F205" s="17"/>
      <c r="G205" s="66"/>
      <c r="H205"/>
      <c r="J205" s="16">
        <v>401739609807</v>
      </c>
      <c r="K205" s="16">
        <v>7050195042</v>
      </c>
    </row>
    <row r="206" spans="2:15" x14ac:dyDescent="0.25">
      <c r="B206" s="3">
        <v>43938</v>
      </c>
      <c r="C206" s="11">
        <v>1290</v>
      </c>
      <c r="E206" s="17" t="s">
        <v>225</v>
      </c>
      <c r="F206" s="17"/>
      <c r="G206" s="66"/>
      <c r="H206"/>
      <c r="J206" s="16">
        <v>439507827970</v>
      </c>
      <c r="K206" s="16">
        <v>9693949599</v>
      </c>
      <c r="O206" s="4" t="s">
        <v>1554</v>
      </c>
    </row>
    <row r="207" spans="2:15" x14ac:dyDescent="0.25">
      <c r="B207" s="3">
        <v>43938</v>
      </c>
      <c r="C207" s="11">
        <v>1292</v>
      </c>
      <c r="E207" s="17" t="s">
        <v>226</v>
      </c>
      <c r="F207" s="17"/>
      <c r="G207" s="66"/>
      <c r="H207"/>
      <c r="J207" s="16">
        <v>643862303002</v>
      </c>
      <c r="K207" s="16">
        <v>8210431967</v>
      </c>
    </row>
    <row r="208" spans="2:15" x14ac:dyDescent="0.25">
      <c r="B208" s="3">
        <v>43938</v>
      </c>
      <c r="C208" s="11">
        <v>1295</v>
      </c>
      <c r="E208" s="17" t="s">
        <v>227</v>
      </c>
      <c r="F208" s="17"/>
      <c r="G208" s="66"/>
      <c r="H208"/>
      <c r="J208" s="16">
        <v>698012813946</v>
      </c>
      <c r="K208" s="16">
        <v>8409954513</v>
      </c>
    </row>
    <row r="209" spans="2:11" x14ac:dyDescent="0.25">
      <c r="B209" s="3">
        <v>43938</v>
      </c>
      <c r="C209" s="11">
        <v>1298</v>
      </c>
      <c r="E209" s="17" t="s">
        <v>228</v>
      </c>
      <c r="F209" s="17"/>
      <c r="G209" s="66"/>
      <c r="H209"/>
      <c r="J209" s="16">
        <v>665831406572</v>
      </c>
      <c r="K209" s="16"/>
    </row>
    <row r="210" spans="2:11" x14ac:dyDescent="0.25">
      <c r="B210" s="3">
        <v>43939</v>
      </c>
      <c r="C210" s="11">
        <v>1306</v>
      </c>
      <c r="E210" s="17" t="s">
        <v>231</v>
      </c>
      <c r="F210" s="17"/>
      <c r="G210" s="66"/>
      <c r="H210"/>
      <c r="J210" s="16">
        <v>512061635538</v>
      </c>
      <c r="K210" s="16">
        <v>6202644238</v>
      </c>
    </row>
    <row r="211" spans="2:11" x14ac:dyDescent="0.25">
      <c r="B211" s="3">
        <v>43939</v>
      </c>
      <c r="C211" s="11">
        <v>1307</v>
      </c>
      <c r="E211" s="17" t="s">
        <v>230</v>
      </c>
      <c r="F211" s="17"/>
      <c r="G211" s="66"/>
      <c r="H211"/>
      <c r="J211" s="16">
        <v>239849076610</v>
      </c>
      <c r="K211" s="16">
        <v>8861552600</v>
      </c>
    </row>
    <row r="212" spans="2:11" x14ac:dyDescent="0.25">
      <c r="B212" s="3">
        <v>43939</v>
      </c>
      <c r="C212" s="11">
        <v>1309</v>
      </c>
      <c r="E212" s="17" t="s">
        <v>229</v>
      </c>
      <c r="F212" s="17"/>
      <c r="G212" s="66"/>
      <c r="H212"/>
      <c r="J212" s="16">
        <v>466847371272</v>
      </c>
      <c r="K212" s="16">
        <v>7739230189</v>
      </c>
    </row>
    <row r="213" spans="2:11" x14ac:dyDescent="0.25">
      <c r="B213" s="3">
        <v>43939</v>
      </c>
      <c r="C213" s="11">
        <v>1311</v>
      </c>
      <c r="E213" s="17" t="s">
        <v>232</v>
      </c>
      <c r="F213" s="17"/>
      <c r="G213" s="66"/>
      <c r="H213"/>
      <c r="J213" s="16">
        <v>840695623541</v>
      </c>
      <c r="K213" s="16">
        <v>9905664678</v>
      </c>
    </row>
    <row r="214" spans="2:11" x14ac:dyDescent="0.25">
      <c r="B214" s="3">
        <v>43939</v>
      </c>
      <c r="C214" s="11">
        <v>1312</v>
      </c>
      <c r="E214" s="17" t="s">
        <v>233</v>
      </c>
      <c r="F214" s="17"/>
      <c r="G214" s="66"/>
      <c r="H214"/>
      <c r="J214" s="16">
        <v>486381129702</v>
      </c>
      <c r="K214" s="16">
        <v>7209444763</v>
      </c>
    </row>
    <row r="215" spans="2:11" x14ac:dyDescent="0.25">
      <c r="B215" s="3">
        <v>43939</v>
      </c>
      <c r="C215" s="11">
        <v>1313</v>
      </c>
      <c r="E215" s="17" t="s">
        <v>212</v>
      </c>
      <c r="F215" s="17"/>
      <c r="G215" s="66"/>
      <c r="H215"/>
      <c r="J215" s="16">
        <v>264851200423</v>
      </c>
      <c r="K215" s="16">
        <v>9162165527</v>
      </c>
    </row>
    <row r="216" spans="2:11" x14ac:dyDescent="0.25">
      <c r="B216" s="3">
        <v>43939</v>
      </c>
      <c r="C216" s="11">
        <v>1315</v>
      </c>
      <c r="E216" s="17" t="s">
        <v>262</v>
      </c>
      <c r="F216" s="17"/>
      <c r="G216" s="66"/>
      <c r="H216"/>
      <c r="J216" s="16">
        <v>416427178761</v>
      </c>
      <c r="K216" s="16">
        <v>9334985926</v>
      </c>
    </row>
    <row r="217" spans="2:11" x14ac:dyDescent="0.25">
      <c r="B217" s="3">
        <v>43939</v>
      </c>
      <c r="C217" s="11">
        <v>1317</v>
      </c>
      <c r="E217" s="17" t="s">
        <v>234</v>
      </c>
      <c r="F217" s="17"/>
      <c r="G217" s="66"/>
      <c r="H217"/>
      <c r="J217" s="16">
        <v>334941829238</v>
      </c>
      <c r="K217" s="16">
        <v>7488497053</v>
      </c>
    </row>
    <row r="218" spans="2:11" x14ac:dyDescent="0.25">
      <c r="B218" s="3">
        <v>43939</v>
      </c>
      <c r="C218" s="11">
        <v>1319</v>
      </c>
      <c r="E218" s="17" t="s">
        <v>235</v>
      </c>
      <c r="F218" s="17"/>
      <c r="G218" s="66"/>
      <c r="H218"/>
      <c r="J218" s="16">
        <v>677983970445</v>
      </c>
      <c r="K218" s="16">
        <v>8002668157</v>
      </c>
    </row>
    <row r="219" spans="2:11" x14ac:dyDescent="0.25">
      <c r="B219" s="3">
        <v>43939</v>
      </c>
      <c r="C219" s="11">
        <v>1320</v>
      </c>
      <c r="E219" s="17" t="s">
        <v>236</v>
      </c>
      <c r="F219" s="17"/>
      <c r="G219" s="66"/>
      <c r="H219"/>
      <c r="J219" s="16">
        <v>658764880549</v>
      </c>
      <c r="K219" s="16">
        <v>8797940075</v>
      </c>
    </row>
    <row r="220" spans="2:11" x14ac:dyDescent="0.25">
      <c r="B220" s="3">
        <v>43939</v>
      </c>
      <c r="C220" s="11">
        <v>1322</v>
      </c>
      <c r="E220" s="17" t="s">
        <v>237</v>
      </c>
      <c r="F220" s="17"/>
      <c r="G220" s="66"/>
      <c r="H220"/>
      <c r="J220" s="16">
        <v>253754366918</v>
      </c>
      <c r="K220" s="16">
        <v>7070054556</v>
      </c>
    </row>
    <row r="221" spans="2:11" x14ac:dyDescent="0.25">
      <c r="B221" s="3">
        <v>43939</v>
      </c>
      <c r="C221" s="11">
        <v>1326</v>
      </c>
      <c r="E221" s="17" t="s">
        <v>263</v>
      </c>
      <c r="F221" s="17"/>
      <c r="G221" s="66"/>
      <c r="H221"/>
      <c r="J221" s="16">
        <v>448866445330</v>
      </c>
      <c r="K221" s="16">
        <v>9279468532</v>
      </c>
    </row>
    <row r="222" spans="2:11" x14ac:dyDescent="0.25">
      <c r="B222" s="3">
        <v>43939</v>
      </c>
      <c r="C222" s="11">
        <v>1327</v>
      </c>
      <c r="E222" s="17" t="s">
        <v>238</v>
      </c>
      <c r="F222" s="17"/>
      <c r="G222" s="66"/>
      <c r="H222"/>
      <c r="J222" s="16">
        <v>516084611605</v>
      </c>
      <c r="K222" s="16">
        <v>9508109510</v>
      </c>
    </row>
    <row r="223" spans="2:11" x14ac:dyDescent="0.25">
      <c r="B223" s="3">
        <v>43939</v>
      </c>
      <c r="C223" s="11">
        <v>1329</v>
      </c>
      <c r="E223" s="17" t="s">
        <v>239</v>
      </c>
      <c r="F223" s="17"/>
      <c r="G223" s="66"/>
      <c r="H223"/>
      <c r="J223" s="16">
        <v>354345283794</v>
      </c>
      <c r="K223" s="16">
        <v>6204075275</v>
      </c>
    </row>
    <row r="224" spans="2:11" x14ac:dyDescent="0.25">
      <c r="B224" s="3">
        <v>43939</v>
      </c>
      <c r="C224" s="11">
        <v>1331</v>
      </c>
      <c r="E224" s="17" t="s">
        <v>240</v>
      </c>
      <c r="F224" s="17"/>
      <c r="G224" s="66"/>
      <c r="H224"/>
      <c r="J224" s="16">
        <v>909628220391</v>
      </c>
      <c r="K224" s="16">
        <v>8969479009</v>
      </c>
    </row>
    <row r="225" spans="1:15" x14ac:dyDescent="0.25">
      <c r="B225" s="3">
        <v>43939</v>
      </c>
      <c r="C225" s="11">
        <v>1332</v>
      </c>
      <c r="E225" s="17" t="s">
        <v>253</v>
      </c>
      <c r="F225" s="17"/>
      <c r="G225" s="66"/>
      <c r="H225"/>
      <c r="J225" s="16">
        <v>900362792482</v>
      </c>
      <c r="K225" s="16">
        <v>7992338651</v>
      </c>
    </row>
    <row r="226" spans="1:15" x14ac:dyDescent="0.25">
      <c r="B226" s="3">
        <v>43939</v>
      </c>
      <c r="C226" s="11">
        <v>1334</v>
      </c>
      <c r="E226" s="17" t="s">
        <v>254</v>
      </c>
      <c r="F226" s="17"/>
      <c r="G226" s="66"/>
      <c r="H226"/>
      <c r="J226" s="16">
        <v>546576587960</v>
      </c>
      <c r="K226" s="16">
        <v>6299327742</v>
      </c>
    </row>
    <row r="227" spans="1:15" x14ac:dyDescent="0.25">
      <c r="B227" s="3">
        <v>43939</v>
      </c>
      <c r="C227" s="11">
        <v>1336</v>
      </c>
      <c r="E227" s="17" t="s">
        <v>255</v>
      </c>
      <c r="F227" s="17"/>
      <c r="G227" s="66"/>
      <c r="H227"/>
      <c r="J227" s="16">
        <v>752158589014</v>
      </c>
      <c r="K227" s="16">
        <v>8873500209</v>
      </c>
    </row>
    <row r="228" spans="1:15" x14ac:dyDescent="0.25">
      <c r="B228" s="3">
        <v>43939</v>
      </c>
      <c r="C228" s="11">
        <v>1337</v>
      </c>
      <c r="E228" s="17" t="s">
        <v>256</v>
      </c>
      <c r="F228" s="17"/>
      <c r="G228" s="66"/>
      <c r="H228"/>
      <c r="J228" s="16">
        <v>977200166369</v>
      </c>
      <c r="K228" s="16">
        <v>8092438900</v>
      </c>
    </row>
    <row r="229" spans="1:15" x14ac:dyDescent="0.25">
      <c r="B229" s="3">
        <v>43939</v>
      </c>
      <c r="C229" s="11">
        <v>1339</v>
      </c>
      <c r="E229" s="17" t="s">
        <v>257</v>
      </c>
      <c r="F229" s="17"/>
      <c r="G229" s="66"/>
      <c r="H229"/>
      <c r="J229" s="16">
        <v>329140062284</v>
      </c>
      <c r="K229" s="16">
        <v>6203359628</v>
      </c>
    </row>
    <row r="230" spans="1:15" x14ac:dyDescent="0.25">
      <c r="B230" s="3">
        <v>43939</v>
      </c>
      <c r="C230" s="11">
        <v>1342</v>
      </c>
      <c r="E230" s="17" t="s">
        <v>258</v>
      </c>
      <c r="F230" s="17"/>
      <c r="G230" s="66"/>
      <c r="H230"/>
      <c r="J230" s="16">
        <v>247370416356</v>
      </c>
      <c r="K230" s="16">
        <v>7633966747</v>
      </c>
    </row>
    <row r="231" spans="1:15" x14ac:dyDescent="0.25">
      <c r="B231" s="3">
        <v>43939</v>
      </c>
      <c r="C231" s="11">
        <v>1343</v>
      </c>
      <c r="E231" s="17" t="s">
        <v>10</v>
      </c>
      <c r="F231" s="17"/>
      <c r="G231" s="66"/>
      <c r="H231"/>
      <c r="J231" s="16">
        <v>571449897800</v>
      </c>
      <c r="K231" s="16">
        <v>7209660967</v>
      </c>
    </row>
    <row r="232" spans="1:15" x14ac:dyDescent="0.25">
      <c r="A232" t="s">
        <v>4825</v>
      </c>
      <c r="B232" s="3">
        <v>43939</v>
      </c>
      <c r="C232" s="11">
        <v>1345</v>
      </c>
      <c r="E232" s="17" t="s">
        <v>259</v>
      </c>
      <c r="F232" s="17"/>
      <c r="G232" s="66">
        <v>29931</v>
      </c>
      <c r="H232"/>
      <c r="J232" s="16">
        <v>980617938649</v>
      </c>
      <c r="K232" s="16">
        <v>9304588126</v>
      </c>
      <c r="O232" s="4" t="s">
        <v>16</v>
      </c>
    </row>
    <row r="233" spans="1:15" x14ac:dyDescent="0.25">
      <c r="B233" s="3">
        <v>43939</v>
      </c>
      <c r="C233" s="11">
        <v>1347</v>
      </c>
      <c r="E233" s="17" t="s">
        <v>260</v>
      </c>
      <c r="F233" s="17"/>
      <c r="G233" s="66"/>
      <c r="H233"/>
      <c r="J233" s="16">
        <v>784024983785</v>
      </c>
      <c r="K233" s="16">
        <v>8469399355</v>
      </c>
    </row>
    <row r="234" spans="1:15" x14ac:dyDescent="0.25">
      <c r="B234" s="3">
        <v>43939</v>
      </c>
      <c r="C234" s="11">
        <v>1348</v>
      </c>
      <c r="E234" s="17" t="s">
        <v>261</v>
      </c>
      <c r="F234" s="17"/>
      <c r="G234" s="66"/>
      <c r="H234"/>
      <c r="J234" s="16">
        <v>575095788761</v>
      </c>
      <c r="K234" s="16">
        <v>9334985926</v>
      </c>
    </row>
    <row r="235" spans="1:15" x14ac:dyDescent="0.25">
      <c r="B235" s="3">
        <v>43939</v>
      </c>
      <c r="C235" s="11">
        <v>1349</v>
      </c>
      <c r="E235" s="17" t="s">
        <v>241</v>
      </c>
      <c r="F235" s="17"/>
      <c r="G235" s="66"/>
      <c r="H235"/>
      <c r="J235" s="16">
        <v>312017625423</v>
      </c>
      <c r="K235" s="16">
        <v>7209532047</v>
      </c>
    </row>
    <row r="236" spans="1:15" x14ac:dyDescent="0.25">
      <c r="B236" s="3">
        <v>43939</v>
      </c>
      <c r="C236" s="11">
        <v>1351</v>
      </c>
      <c r="E236" s="17" t="s">
        <v>242</v>
      </c>
      <c r="F236" s="17"/>
      <c r="G236" s="66"/>
      <c r="H236"/>
      <c r="J236" s="16">
        <v>532699195692</v>
      </c>
      <c r="K236" s="16">
        <v>9234394529</v>
      </c>
    </row>
    <row r="237" spans="1:15" x14ac:dyDescent="0.25">
      <c r="B237" s="3">
        <v>43939</v>
      </c>
      <c r="C237" s="11">
        <v>1354</v>
      </c>
      <c r="E237" s="17" t="s">
        <v>243</v>
      </c>
      <c r="F237" s="17"/>
      <c r="G237" s="66"/>
      <c r="H237"/>
      <c r="J237" s="16">
        <v>323267091000</v>
      </c>
      <c r="K237" s="16">
        <v>8235232604</v>
      </c>
    </row>
    <row r="238" spans="1:15" x14ac:dyDescent="0.25">
      <c r="B238" s="3">
        <v>43939</v>
      </c>
      <c r="C238" s="11">
        <v>1357</v>
      </c>
      <c r="E238" s="17" t="s">
        <v>244</v>
      </c>
      <c r="F238" s="17"/>
      <c r="G238" s="66"/>
      <c r="H238"/>
      <c r="J238" s="16">
        <v>792254326797</v>
      </c>
      <c r="K238" s="16">
        <v>7808466709</v>
      </c>
    </row>
    <row r="239" spans="1:15" x14ac:dyDescent="0.25">
      <c r="B239" s="3">
        <v>43939</v>
      </c>
      <c r="C239" s="11">
        <v>1358</v>
      </c>
      <c r="E239" s="17" t="s">
        <v>245</v>
      </c>
      <c r="F239" s="17"/>
      <c r="G239" s="66"/>
      <c r="H239"/>
      <c r="J239" s="16">
        <v>409255063604</v>
      </c>
      <c r="K239" s="16">
        <v>7488925533</v>
      </c>
    </row>
    <row r="240" spans="1:15" x14ac:dyDescent="0.25">
      <c r="B240" s="3">
        <v>43939</v>
      </c>
      <c r="C240" s="11">
        <v>1360</v>
      </c>
      <c r="E240" s="17" t="s">
        <v>246</v>
      </c>
      <c r="F240" s="17"/>
      <c r="G240" s="66"/>
      <c r="H240"/>
      <c r="J240" s="16">
        <v>938346257146</v>
      </c>
      <c r="K240" s="16">
        <v>8210267942</v>
      </c>
    </row>
    <row r="241" spans="2:11" x14ac:dyDescent="0.25">
      <c r="B241" s="3">
        <v>43939</v>
      </c>
      <c r="C241" s="11">
        <v>1361</v>
      </c>
      <c r="E241" s="17" t="s">
        <v>247</v>
      </c>
      <c r="F241" s="17"/>
      <c r="G241" s="66"/>
      <c r="H241"/>
      <c r="J241" s="16">
        <v>653213992239</v>
      </c>
      <c r="K241" s="16">
        <v>7260821524</v>
      </c>
    </row>
    <row r="242" spans="2:11" x14ac:dyDescent="0.25">
      <c r="B242" s="3">
        <v>43939</v>
      </c>
      <c r="C242" s="11">
        <v>1363</v>
      </c>
      <c r="E242" s="17" t="s">
        <v>248</v>
      </c>
      <c r="F242" s="17"/>
      <c r="G242" s="66"/>
      <c r="H242"/>
      <c r="J242" s="16">
        <v>998041181622</v>
      </c>
      <c r="K242" s="16">
        <v>6204597241</v>
      </c>
    </row>
    <row r="243" spans="2:11" x14ac:dyDescent="0.25">
      <c r="B243" s="3">
        <v>43939</v>
      </c>
      <c r="C243" s="11">
        <v>1364</v>
      </c>
      <c r="E243" s="17" t="s">
        <v>249</v>
      </c>
      <c r="F243" s="17"/>
      <c r="G243" s="66"/>
      <c r="H243"/>
      <c r="J243" s="16">
        <v>245052082388</v>
      </c>
      <c r="K243" s="16">
        <v>6201575916</v>
      </c>
    </row>
    <row r="244" spans="2:11" x14ac:dyDescent="0.25">
      <c r="B244" s="3">
        <v>43939</v>
      </c>
      <c r="C244" s="11">
        <v>1367</v>
      </c>
      <c r="E244" s="17" t="s">
        <v>250</v>
      </c>
      <c r="F244" s="17"/>
      <c r="G244" s="66"/>
      <c r="H244"/>
      <c r="J244" s="16">
        <v>659916455683</v>
      </c>
      <c r="K244" s="16">
        <v>9263162318</v>
      </c>
    </row>
    <row r="245" spans="2:11" x14ac:dyDescent="0.25">
      <c r="B245" s="3">
        <v>43939</v>
      </c>
      <c r="C245" s="11">
        <v>1367</v>
      </c>
      <c r="E245" s="17" t="s">
        <v>250</v>
      </c>
      <c r="F245" s="17"/>
      <c r="G245" s="66"/>
      <c r="H245"/>
      <c r="J245" s="16">
        <v>659916455683</v>
      </c>
      <c r="K245" s="16">
        <v>9263162318</v>
      </c>
    </row>
    <row r="246" spans="2:11" x14ac:dyDescent="0.25">
      <c r="B246" s="3">
        <v>43939</v>
      </c>
      <c r="C246" s="11">
        <v>1369</v>
      </c>
      <c r="E246" s="17" t="s">
        <v>251</v>
      </c>
      <c r="F246" s="17"/>
      <c r="G246" s="66"/>
      <c r="H246"/>
      <c r="J246" s="16">
        <v>613392065346</v>
      </c>
      <c r="K246" s="16">
        <v>9263853469</v>
      </c>
    </row>
    <row r="247" spans="2:11" x14ac:dyDescent="0.25">
      <c r="B247" s="3">
        <v>43939</v>
      </c>
      <c r="C247" s="11">
        <v>1369</v>
      </c>
      <c r="E247" s="17" t="s">
        <v>251</v>
      </c>
      <c r="F247" s="17"/>
      <c r="G247" s="66"/>
      <c r="H247"/>
      <c r="J247" s="16">
        <v>613392065346</v>
      </c>
      <c r="K247" s="16">
        <v>9263853469</v>
      </c>
    </row>
    <row r="248" spans="2:11" x14ac:dyDescent="0.25">
      <c r="B248" s="3">
        <v>43939</v>
      </c>
      <c r="C248" s="11">
        <v>1370</v>
      </c>
      <c r="E248" s="17" t="s">
        <v>252</v>
      </c>
      <c r="F248" s="17"/>
      <c r="G248" s="66"/>
      <c r="H248"/>
      <c r="J248" s="16">
        <v>323363754539</v>
      </c>
      <c r="K248" s="16">
        <v>8092116186</v>
      </c>
    </row>
    <row r="249" spans="2:11" x14ac:dyDescent="0.25">
      <c r="B249" s="3">
        <v>43939</v>
      </c>
      <c r="C249" s="11">
        <v>1372</v>
      </c>
      <c r="E249" s="17" t="s">
        <v>4</v>
      </c>
      <c r="F249" s="17"/>
      <c r="G249" s="66"/>
      <c r="H249"/>
      <c r="J249" s="16">
        <v>989154501529</v>
      </c>
      <c r="K249" s="16"/>
    </row>
    <row r="250" spans="2:11" x14ac:dyDescent="0.25">
      <c r="B250" s="4" t="s">
        <v>1151</v>
      </c>
      <c r="C250" s="11">
        <v>1398</v>
      </c>
      <c r="E250" s="17" t="s">
        <v>264</v>
      </c>
      <c r="F250" s="17"/>
      <c r="G250" s="66"/>
      <c r="H250"/>
      <c r="J250" s="16">
        <v>781112932017</v>
      </c>
      <c r="K250" s="16">
        <v>7903697661</v>
      </c>
    </row>
    <row r="251" spans="2:11" x14ac:dyDescent="0.25">
      <c r="B251" s="4" t="s">
        <v>1151</v>
      </c>
      <c r="C251" s="11">
        <v>1399</v>
      </c>
      <c r="E251" s="17" t="s">
        <v>265</v>
      </c>
      <c r="F251" s="17"/>
      <c r="G251" s="66"/>
      <c r="H251"/>
      <c r="J251" s="16">
        <v>219475141497</v>
      </c>
      <c r="K251" s="16">
        <v>9234405170</v>
      </c>
    </row>
    <row r="252" spans="2:11" x14ac:dyDescent="0.25">
      <c r="B252" s="4" t="s">
        <v>1151</v>
      </c>
      <c r="C252" s="11">
        <v>1400</v>
      </c>
      <c r="E252" s="17" t="s">
        <v>266</v>
      </c>
      <c r="F252" s="17"/>
      <c r="G252" s="66"/>
      <c r="H252"/>
      <c r="J252" s="16">
        <v>637715227701</v>
      </c>
      <c r="K252" s="16">
        <v>8797779940</v>
      </c>
    </row>
    <row r="253" spans="2:11" x14ac:dyDescent="0.25">
      <c r="B253" s="4" t="s">
        <v>1151</v>
      </c>
      <c r="C253" s="11">
        <v>1401</v>
      </c>
      <c r="E253" s="17" t="s">
        <v>129</v>
      </c>
      <c r="F253" s="17"/>
      <c r="G253" s="66"/>
      <c r="H253"/>
      <c r="J253" s="16">
        <v>950715483393</v>
      </c>
      <c r="K253" s="16">
        <v>70339892239</v>
      </c>
    </row>
    <row r="254" spans="2:11" x14ac:dyDescent="0.25">
      <c r="B254" s="4" t="s">
        <v>1151</v>
      </c>
      <c r="C254" s="11">
        <v>1403</v>
      </c>
      <c r="E254" s="17" t="s">
        <v>267</v>
      </c>
      <c r="F254" s="17"/>
      <c r="G254" s="66"/>
      <c r="H254"/>
      <c r="J254" s="16">
        <v>804165847068</v>
      </c>
      <c r="K254" s="16">
        <v>8102503670</v>
      </c>
    </row>
    <row r="255" spans="2:11" x14ac:dyDescent="0.25">
      <c r="B255" s="4" t="s">
        <v>1151</v>
      </c>
      <c r="C255" s="11">
        <v>1404</v>
      </c>
      <c r="E255" s="17" t="s">
        <v>268</v>
      </c>
      <c r="F255" s="17"/>
      <c r="G255" s="66"/>
      <c r="H255"/>
      <c r="J255" s="16">
        <v>319177572918</v>
      </c>
      <c r="K255" s="16">
        <v>8102503670</v>
      </c>
    </row>
    <row r="256" spans="2:11" x14ac:dyDescent="0.25">
      <c r="B256" s="4" t="s">
        <v>1151</v>
      </c>
      <c r="C256" s="11">
        <v>1405</v>
      </c>
      <c r="E256" s="17" t="s">
        <v>269</v>
      </c>
      <c r="F256" s="17"/>
      <c r="G256" s="66"/>
      <c r="H256"/>
      <c r="J256" s="16">
        <v>915907994880</v>
      </c>
      <c r="K256" s="16">
        <v>9504333554</v>
      </c>
    </row>
    <row r="257" spans="2:15" x14ac:dyDescent="0.25">
      <c r="B257" s="4" t="s">
        <v>1151</v>
      </c>
      <c r="C257" s="11">
        <v>1406</v>
      </c>
      <c r="E257" s="17" t="s">
        <v>270</v>
      </c>
      <c r="F257" s="17"/>
      <c r="G257" s="66"/>
      <c r="H257"/>
      <c r="J257" s="16">
        <v>451158110297</v>
      </c>
      <c r="K257" s="16">
        <v>8114582110</v>
      </c>
    </row>
    <row r="258" spans="2:15" x14ac:dyDescent="0.25">
      <c r="B258" s="4" t="s">
        <v>1151</v>
      </c>
      <c r="C258" s="11">
        <v>1408</v>
      </c>
      <c r="E258" s="17" t="s">
        <v>271</v>
      </c>
      <c r="F258" s="17"/>
      <c r="G258" s="66"/>
      <c r="H258"/>
      <c r="J258" s="16">
        <v>245416195765</v>
      </c>
      <c r="K258" s="16">
        <v>6201275149</v>
      </c>
    </row>
    <row r="259" spans="2:15" x14ac:dyDescent="0.25">
      <c r="B259" s="4" t="s">
        <v>1151</v>
      </c>
      <c r="C259" s="11">
        <v>1409</v>
      </c>
      <c r="E259" s="17" t="s">
        <v>272</v>
      </c>
      <c r="F259" s="17"/>
      <c r="G259" s="66"/>
      <c r="H259"/>
      <c r="J259" s="16">
        <v>323930623873</v>
      </c>
      <c r="K259" s="16">
        <v>7546054325</v>
      </c>
      <c r="O259" s="4" t="s">
        <v>14</v>
      </c>
    </row>
    <row r="260" spans="2:15" x14ac:dyDescent="0.25">
      <c r="B260" s="4" t="s">
        <v>1151</v>
      </c>
      <c r="C260" s="11">
        <v>1412</v>
      </c>
      <c r="E260" s="17" t="s">
        <v>273</v>
      </c>
      <c r="F260" s="17"/>
      <c r="G260" s="66"/>
      <c r="H260"/>
      <c r="J260" s="16">
        <v>658523773887</v>
      </c>
      <c r="K260" s="16">
        <v>7004011366</v>
      </c>
    </row>
    <row r="261" spans="2:15" x14ac:dyDescent="0.25">
      <c r="B261" s="4" t="s">
        <v>1151</v>
      </c>
      <c r="C261" s="11">
        <v>1413</v>
      </c>
      <c r="E261" s="17" t="s">
        <v>274</v>
      </c>
      <c r="F261" s="17"/>
      <c r="G261" s="66"/>
      <c r="H261"/>
      <c r="J261" s="16">
        <v>951575699516</v>
      </c>
      <c r="K261" s="16">
        <v>9097136766</v>
      </c>
    </row>
    <row r="262" spans="2:15" x14ac:dyDescent="0.25">
      <c r="B262" s="4" t="s">
        <v>1151</v>
      </c>
      <c r="C262" s="11">
        <v>1414</v>
      </c>
      <c r="E262" s="17" t="s">
        <v>275</v>
      </c>
      <c r="F262" s="17"/>
      <c r="G262" s="66"/>
      <c r="H262"/>
      <c r="J262" s="16">
        <v>277638922709</v>
      </c>
      <c r="K262" s="16">
        <v>8797591636</v>
      </c>
    </row>
    <row r="263" spans="2:15" x14ac:dyDescent="0.25">
      <c r="B263" s="4" t="s">
        <v>1151</v>
      </c>
      <c r="C263" s="11">
        <v>1415</v>
      </c>
      <c r="E263" s="17" t="s">
        <v>276</v>
      </c>
      <c r="F263" s="17"/>
      <c r="G263" s="66"/>
      <c r="H263"/>
      <c r="J263" s="16">
        <v>294416614163</v>
      </c>
      <c r="K263" s="16">
        <v>8092278258</v>
      </c>
    </row>
    <row r="264" spans="2:15" x14ac:dyDescent="0.25">
      <c r="B264" s="4" t="s">
        <v>1151</v>
      </c>
      <c r="C264" s="11">
        <v>1417</v>
      </c>
      <c r="E264" s="17" t="s">
        <v>277</v>
      </c>
      <c r="F264" s="17"/>
      <c r="G264" s="66"/>
      <c r="H264"/>
      <c r="J264" s="16">
        <v>647818809943</v>
      </c>
      <c r="K264" s="16">
        <v>91335566716</v>
      </c>
    </row>
    <row r="265" spans="2:15" x14ac:dyDescent="0.25">
      <c r="B265" s="4" t="s">
        <v>1151</v>
      </c>
      <c r="C265" s="11">
        <v>1419</v>
      </c>
      <c r="E265" s="17" t="s">
        <v>278</v>
      </c>
      <c r="F265" s="17"/>
      <c r="G265" s="66"/>
      <c r="H265"/>
      <c r="J265" s="16">
        <v>569284458530</v>
      </c>
      <c r="K265" s="16">
        <v>6206750858</v>
      </c>
    </row>
    <row r="266" spans="2:15" x14ac:dyDescent="0.25">
      <c r="B266" s="4" t="s">
        <v>1151</v>
      </c>
      <c r="C266" s="11">
        <v>1420</v>
      </c>
      <c r="E266" s="17" t="s">
        <v>279</v>
      </c>
      <c r="F266" s="17"/>
      <c r="G266" s="66"/>
      <c r="H266"/>
      <c r="J266" s="16">
        <v>434797232323</v>
      </c>
      <c r="K266" s="16">
        <v>8271860168</v>
      </c>
    </row>
    <row r="267" spans="2:15" x14ac:dyDescent="0.25">
      <c r="B267" s="4" t="s">
        <v>1151</v>
      </c>
      <c r="C267" s="11">
        <v>1421</v>
      </c>
      <c r="E267" s="17" t="s">
        <v>280</v>
      </c>
      <c r="F267" s="17"/>
      <c r="G267" s="66"/>
      <c r="H267"/>
      <c r="J267" s="16">
        <v>211653245046</v>
      </c>
      <c r="K267" s="16">
        <v>9835983164</v>
      </c>
    </row>
    <row r="268" spans="2:15" x14ac:dyDescent="0.25">
      <c r="B268" s="4" t="s">
        <v>1151</v>
      </c>
      <c r="C268" s="11">
        <v>1423</v>
      </c>
      <c r="E268" s="17" t="s">
        <v>281</v>
      </c>
      <c r="F268" s="17"/>
      <c r="G268" s="66"/>
      <c r="H268"/>
      <c r="J268" s="16">
        <v>654462093672</v>
      </c>
      <c r="K268" s="16">
        <v>7903829348</v>
      </c>
    </row>
    <row r="269" spans="2:15" x14ac:dyDescent="0.25">
      <c r="B269" s="4" t="s">
        <v>1151</v>
      </c>
      <c r="C269" s="11">
        <v>1424</v>
      </c>
      <c r="E269" s="17" t="s">
        <v>282</v>
      </c>
      <c r="F269" s="17"/>
      <c r="G269" s="66"/>
      <c r="H269"/>
      <c r="J269" s="16">
        <v>456238645702</v>
      </c>
      <c r="K269" s="16">
        <v>8809593090</v>
      </c>
    </row>
    <row r="270" spans="2:15" x14ac:dyDescent="0.25">
      <c r="B270" s="4" t="s">
        <v>1151</v>
      </c>
      <c r="C270" s="11">
        <v>1426</v>
      </c>
      <c r="E270" s="17" t="s">
        <v>283</v>
      </c>
      <c r="F270" s="17"/>
      <c r="G270" s="66"/>
      <c r="H270"/>
      <c r="J270" s="16">
        <v>555065263525</v>
      </c>
      <c r="K270" s="16">
        <v>7667578778</v>
      </c>
    </row>
    <row r="271" spans="2:15" x14ac:dyDescent="0.25">
      <c r="B271" s="4" t="s">
        <v>1151</v>
      </c>
      <c r="C271" s="11">
        <v>1428</v>
      </c>
      <c r="E271" s="17" t="s">
        <v>284</v>
      </c>
      <c r="F271" s="17"/>
      <c r="G271" s="66"/>
      <c r="H271"/>
      <c r="J271" s="16">
        <v>950633188102</v>
      </c>
      <c r="K271" s="16"/>
    </row>
    <row r="272" spans="2:15" x14ac:dyDescent="0.25">
      <c r="B272" s="4" t="s">
        <v>1151</v>
      </c>
      <c r="C272" s="11">
        <v>1429</v>
      </c>
      <c r="E272" s="17" t="s">
        <v>285</v>
      </c>
      <c r="F272" s="17"/>
      <c r="G272" s="66"/>
      <c r="H272"/>
      <c r="J272" s="16">
        <v>752751296151</v>
      </c>
      <c r="K272" s="16">
        <v>8825102958</v>
      </c>
    </row>
    <row r="273" spans="2:11" x14ac:dyDescent="0.25">
      <c r="B273" s="4" t="s">
        <v>1151</v>
      </c>
      <c r="C273" s="11">
        <v>1431</v>
      </c>
      <c r="E273" s="17" t="s">
        <v>286</v>
      </c>
      <c r="F273" s="17"/>
      <c r="G273" s="66"/>
      <c r="H273"/>
      <c r="J273" s="16">
        <v>854788042144</v>
      </c>
      <c r="K273" s="16">
        <v>6200119464</v>
      </c>
    </row>
    <row r="274" spans="2:11" x14ac:dyDescent="0.25">
      <c r="B274" s="4" t="s">
        <v>1151</v>
      </c>
      <c r="C274" s="11">
        <v>1433</v>
      </c>
      <c r="E274" s="17" t="s">
        <v>287</v>
      </c>
      <c r="F274" s="17"/>
      <c r="G274" s="66"/>
      <c r="H274"/>
      <c r="J274" s="16">
        <v>296815898192</v>
      </c>
      <c r="K274" s="16">
        <v>8292195466</v>
      </c>
    </row>
    <row r="275" spans="2:11" x14ac:dyDescent="0.25">
      <c r="B275" s="4" t="s">
        <v>1151</v>
      </c>
      <c r="C275" s="11">
        <v>1435</v>
      </c>
      <c r="E275" s="17" t="s">
        <v>288</v>
      </c>
      <c r="F275" s="17"/>
      <c r="G275" s="66"/>
      <c r="H275"/>
      <c r="J275" s="16">
        <v>496059537298</v>
      </c>
      <c r="K275" s="16">
        <v>9431320401</v>
      </c>
    </row>
    <row r="276" spans="2:11" x14ac:dyDescent="0.25">
      <c r="B276" s="4" t="s">
        <v>1151</v>
      </c>
      <c r="C276" s="11">
        <v>1436</v>
      </c>
      <c r="E276" s="17" t="s">
        <v>289</v>
      </c>
      <c r="F276" s="17"/>
      <c r="G276" s="66"/>
      <c r="H276"/>
      <c r="J276" s="16">
        <v>928885327436</v>
      </c>
      <c r="K276" s="16">
        <v>7295815713</v>
      </c>
    </row>
    <row r="277" spans="2:11" x14ac:dyDescent="0.25">
      <c r="B277" s="4" t="s">
        <v>1151</v>
      </c>
      <c r="C277" s="11">
        <v>1439</v>
      </c>
      <c r="E277" s="17" t="s">
        <v>290</v>
      </c>
      <c r="F277" s="17"/>
      <c r="G277" s="66"/>
      <c r="H277"/>
      <c r="J277" s="16">
        <v>990026878348</v>
      </c>
      <c r="K277" s="16">
        <v>8340362589</v>
      </c>
    </row>
    <row r="278" spans="2:11" x14ac:dyDescent="0.25">
      <c r="B278" s="4" t="s">
        <v>1151</v>
      </c>
      <c r="C278" s="11">
        <v>1441</v>
      </c>
      <c r="E278" s="17" t="s">
        <v>291</v>
      </c>
      <c r="F278" s="17"/>
      <c r="G278" s="66"/>
      <c r="H278"/>
      <c r="J278" s="16">
        <v>282411407996</v>
      </c>
      <c r="K278" s="16">
        <v>7667514325</v>
      </c>
    </row>
    <row r="279" spans="2:11" x14ac:dyDescent="0.25">
      <c r="B279" s="4" t="s">
        <v>1151</v>
      </c>
      <c r="C279" s="11">
        <v>1442</v>
      </c>
      <c r="E279" s="17" t="s">
        <v>292</v>
      </c>
      <c r="F279" s="17"/>
      <c r="G279" s="66"/>
      <c r="H279"/>
      <c r="J279" s="16">
        <v>648054173265</v>
      </c>
      <c r="K279" s="16">
        <v>7295815713</v>
      </c>
    </row>
    <row r="280" spans="2:11" x14ac:dyDescent="0.25">
      <c r="B280" s="4" t="s">
        <v>1151</v>
      </c>
      <c r="C280" s="11">
        <v>1445</v>
      </c>
      <c r="E280" s="17" t="s">
        <v>293</v>
      </c>
      <c r="F280" s="17"/>
      <c r="G280" s="66"/>
      <c r="H280"/>
      <c r="J280" s="16">
        <v>477234993172</v>
      </c>
      <c r="K280" s="16">
        <v>7349895796</v>
      </c>
    </row>
    <row r="281" spans="2:11" x14ac:dyDescent="0.25">
      <c r="B281" s="4" t="s">
        <v>1151</v>
      </c>
      <c r="C281" s="11">
        <v>1446</v>
      </c>
      <c r="E281" s="17" t="s">
        <v>294</v>
      </c>
      <c r="F281" s="17"/>
      <c r="G281" s="66"/>
      <c r="H281"/>
      <c r="J281" s="16">
        <v>693673473018</v>
      </c>
      <c r="K281" s="16">
        <v>8235356149</v>
      </c>
    </row>
    <row r="282" spans="2:11" x14ac:dyDescent="0.25">
      <c r="B282" s="4" t="s">
        <v>1151</v>
      </c>
      <c r="C282" s="11">
        <v>1448</v>
      </c>
      <c r="E282" s="17" t="s">
        <v>295</v>
      </c>
      <c r="F282" s="17"/>
      <c r="G282" s="66"/>
      <c r="H282"/>
      <c r="J282" s="16">
        <v>951248930061</v>
      </c>
      <c r="K282" s="16">
        <v>8936871128</v>
      </c>
    </row>
    <row r="283" spans="2:11" x14ac:dyDescent="0.25">
      <c r="B283" s="4" t="s">
        <v>1151</v>
      </c>
      <c r="C283" s="11">
        <v>1451</v>
      </c>
      <c r="E283" s="17" t="s">
        <v>296</v>
      </c>
      <c r="F283" s="17"/>
      <c r="G283" s="66"/>
      <c r="H283"/>
      <c r="J283" s="16">
        <v>583841757565</v>
      </c>
      <c r="K283" s="16">
        <v>7909063958</v>
      </c>
    </row>
    <row r="284" spans="2:11" x14ac:dyDescent="0.25">
      <c r="B284" s="3">
        <v>43942</v>
      </c>
      <c r="C284" s="11">
        <v>1453</v>
      </c>
      <c r="E284" s="17" t="s">
        <v>298</v>
      </c>
      <c r="F284" s="17"/>
      <c r="G284" s="66"/>
      <c r="H284"/>
      <c r="J284" s="16"/>
      <c r="K284" s="16"/>
    </row>
    <row r="285" spans="2:11" x14ac:dyDescent="0.25">
      <c r="B285" s="3">
        <v>43942</v>
      </c>
      <c r="C285" s="11">
        <v>1456</v>
      </c>
      <c r="E285" s="17" t="s">
        <v>299</v>
      </c>
      <c r="F285" s="17"/>
      <c r="G285" s="66"/>
      <c r="H285"/>
      <c r="J285" s="16"/>
      <c r="K285" s="16"/>
    </row>
    <row r="286" spans="2:11" x14ac:dyDescent="0.25">
      <c r="B286" s="3">
        <v>43942</v>
      </c>
      <c r="C286" s="11">
        <v>1457</v>
      </c>
      <c r="E286" s="17" t="s">
        <v>300</v>
      </c>
      <c r="F286" s="17"/>
      <c r="G286" s="66"/>
      <c r="H286"/>
      <c r="J286" s="16"/>
      <c r="K286" s="16"/>
    </row>
    <row r="287" spans="2:11" x14ac:dyDescent="0.25">
      <c r="C287" s="11">
        <v>1457</v>
      </c>
      <c r="E287" s="17" t="s">
        <v>317</v>
      </c>
      <c r="F287" s="17"/>
      <c r="G287" s="66"/>
      <c r="H287"/>
      <c r="J287" s="16">
        <v>905053653021</v>
      </c>
      <c r="K287" s="16">
        <v>8092303017</v>
      </c>
    </row>
    <row r="288" spans="2:11" x14ac:dyDescent="0.25">
      <c r="B288" s="3">
        <v>43942</v>
      </c>
      <c r="C288" s="11">
        <v>1459</v>
      </c>
      <c r="E288" s="17" t="s">
        <v>301</v>
      </c>
      <c r="F288" s="17"/>
      <c r="G288" s="66"/>
      <c r="H288"/>
      <c r="J288" s="16">
        <v>946086020725</v>
      </c>
      <c r="K288" s="16">
        <v>9031905035</v>
      </c>
    </row>
    <row r="289" spans="2:15" x14ac:dyDescent="0.25">
      <c r="B289" s="3">
        <v>43942</v>
      </c>
      <c r="C289" s="11">
        <v>1461</v>
      </c>
      <c r="E289" s="17" t="s">
        <v>302</v>
      </c>
      <c r="F289" s="17"/>
      <c r="G289" s="66"/>
      <c r="H289"/>
      <c r="J289" s="16"/>
      <c r="K289" s="16"/>
    </row>
    <row r="290" spans="2:15" x14ac:dyDescent="0.25">
      <c r="B290" s="3">
        <v>43942</v>
      </c>
      <c r="C290" s="11">
        <v>1462</v>
      </c>
      <c r="E290" s="17" t="s">
        <v>303</v>
      </c>
      <c r="F290" s="17"/>
      <c r="G290" s="66"/>
      <c r="H290"/>
      <c r="J290" s="16">
        <v>804486359969</v>
      </c>
      <c r="K290" s="16">
        <v>7209584843</v>
      </c>
    </row>
    <row r="291" spans="2:15" x14ac:dyDescent="0.25">
      <c r="B291" s="3">
        <v>43942</v>
      </c>
      <c r="C291" s="11">
        <v>1464</v>
      </c>
      <c r="E291" s="17" t="s">
        <v>304</v>
      </c>
      <c r="F291" s="17"/>
      <c r="G291" s="66"/>
      <c r="H291"/>
      <c r="J291" s="16"/>
      <c r="K291" s="16"/>
    </row>
    <row r="292" spans="2:15" x14ac:dyDescent="0.25">
      <c r="B292" s="3">
        <v>43942</v>
      </c>
      <c r="C292" s="11">
        <v>1466</v>
      </c>
      <c r="E292" s="17" t="s">
        <v>305</v>
      </c>
      <c r="F292" s="17"/>
      <c r="G292" s="66"/>
      <c r="H292"/>
      <c r="J292" s="16"/>
      <c r="K292" s="16"/>
    </row>
    <row r="293" spans="2:15" x14ac:dyDescent="0.25">
      <c r="B293" s="3">
        <v>43942</v>
      </c>
      <c r="C293" s="11">
        <v>1468</v>
      </c>
      <c r="E293" s="17" t="s">
        <v>306</v>
      </c>
      <c r="F293" s="17"/>
      <c r="G293" s="66"/>
      <c r="H293"/>
      <c r="J293" s="16">
        <v>369141857281</v>
      </c>
      <c r="K293" s="16"/>
    </row>
    <row r="294" spans="2:15" x14ac:dyDescent="0.25">
      <c r="B294" s="3">
        <v>43942</v>
      </c>
      <c r="C294" s="11">
        <v>1470</v>
      </c>
      <c r="E294" s="17" t="s">
        <v>307</v>
      </c>
      <c r="F294" s="17"/>
      <c r="G294" s="66"/>
      <c r="H294"/>
      <c r="J294" s="16"/>
      <c r="K294" s="16"/>
    </row>
    <row r="295" spans="2:15" x14ac:dyDescent="0.25">
      <c r="B295" s="3">
        <v>43942</v>
      </c>
      <c r="C295" s="11">
        <v>1471</v>
      </c>
      <c r="E295" s="17" t="s">
        <v>308</v>
      </c>
      <c r="F295" s="17"/>
      <c r="G295" s="66"/>
      <c r="H295"/>
      <c r="J295" s="16"/>
      <c r="K295" s="16"/>
    </row>
    <row r="296" spans="2:15" x14ac:dyDescent="0.25">
      <c r="B296" s="3">
        <v>43942</v>
      </c>
      <c r="C296" s="11">
        <v>1473</v>
      </c>
      <c r="E296" s="17" t="s">
        <v>309</v>
      </c>
      <c r="F296" s="17"/>
      <c r="G296" s="66"/>
      <c r="H296" t="s">
        <v>1170</v>
      </c>
      <c r="I296" s="4">
        <v>500</v>
      </c>
      <c r="J296" s="16">
        <v>330207183236</v>
      </c>
      <c r="K296" s="16">
        <v>8936012595</v>
      </c>
      <c r="O296" s="4" t="s">
        <v>16</v>
      </c>
    </row>
    <row r="297" spans="2:15" x14ac:dyDescent="0.25">
      <c r="B297" s="3">
        <v>43942</v>
      </c>
      <c r="C297" s="11">
        <v>1475</v>
      </c>
      <c r="E297" s="17" t="s">
        <v>310</v>
      </c>
      <c r="F297" s="17"/>
      <c r="G297" s="66"/>
      <c r="H297" t="s">
        <v>1170</v>
      </c>
      <c r="I297" s="4">
        <v>500</v>
      </c>
      <c r="J297" s="16">
        <v>355904278084</v>
      </c>
      <c r="K297" s="16">
        <v>8789704557</v>
      </c>
      <c r="O297" s="4" t="s">
        <v>16</v>
      </c>
    </row>
    <row r="298" spans="2:15" x14ac:dyDescent="0.25">
      <c r="B298" s="3">
        <v>43942</v>
      </c>
      <c r="C298" s="11">
        <v>1477</v>
      </c>
      <c r="E298" s="17" t="s">
        <v>311</v>
      </c>
      <c r="F298" s="17"/>
      <c r="G298" s="66"/>
      <c r="H298"/>
      <c r="I298" s="4">
        <v>500</v>
      </c>
      <c r="J298" s="16"/>
      <c r="K298" s="16"/>
    </row>
    <row r="299" spans="2:15" x14ac:dyDescent="0.25">
      <c r="B299" s="3">
        <v>43942</v>
      </c>
      <c r="C299" s="11">
        <v>1479</v>
      </c>
      <c r="E299" s="17" t="s">
        <v>312</v>
      </c>
      <c r="F299" s="17"/>
      <c r="G299" s="66"/>
      <c r="H299"/>
      <c r="J299" s="16"/>
      <c r="K299" s="16"/>
    </row>
    <row r="300" spans="2:15" x14ac:dyDescent="0.25">
      <c r="B300" s="3">
        <v>43942</v>
      </c>
      <c r="C300" s="11">
        <v>1482</v>
      </c>
      <c r="E300" s="17" t="s">
        <v>313</v>
      </c>
      <c r="F300" s="17"/>
      <c r="G300" s="66"/>
      <c r="H300"/>
      <c r="J300" s="16"/>
      <c r="K300" s="16"/>
    </row>
    <row r="301" spans="2:15" x14ac:dyDescent="0.25">
      <c r="B301" s="3">
        <v>43942</v>
      </c>
      <c r="C301" s="11">
        <v>1484</v>
      </c>
      <c r="E301" s="17" t="s">
        <v>314</v>
      </c>
      <c r="F301" s="17"/>
      <c r="G301" s="66"/>
      <c r="H301"/>
      <c r="J301" s="16"/>
      <c r="K301" s="16"/>
    </row>
    <row r="302" spans="2:15" x14ac:dyDescent="0.25">
      <c r="B302" s="3">
        <v>43942</v>
      </c>
      <c r="C302" s="11">
        <v>1486</v>
      </c>
      <c r="E302" s="17" t="s">
        <v>315</v>
      </c>
      <c r="F302" s="17"/>
      <c r="G302" s="66"/>
      <c r="H302"/>
      <c r="J302" s="16">
        <v>277515867017</v>
      </c>
      <c r="K302" s="16">
        <v>7209787688</v>
      </c>
    </row>
    <row r="303" spans="2:15" x14ac:dyDescent="0.25">
      <c r="B303" s="3">
        <v>43942</v>
      </c>
      <c r="C303" s="11">
        <v>1488</v>
      </c>
      <c r="E303" s="17" t="s">
        <v>316</v>
      </c>
      <c r="F303" s="17"/>
      <c r="G303" s="66"/>
      <c r="H303"/>
      <c r="J303" s="16">
        <v>580593383164</v>
      </c>
      <c r="K303" s="16">
        <v>8540847269</v>
      </c>
    </row>
    <row r="304" spans="2:15" x14ac:dyDescent="0.25">
      <c r="B304" s="3">
        <v>43942</v>
      </c>
      <c r="C304" s="11">
        <v>1490</v>
      </c>
      <c r="E304" s="17" t="s">
        <v>179</v>
      </c>
      <c r="F304" s="17"/>
      <c r="G304" s="66"/>
      <c r="H304"/>
      <c r="J304" s="16"/>
      <c r="K304" s="16"/>
    </row>
    <row r="305" spans="2:11" x14ac:dyDescent="0.25">
      <c r="B305" s="3">
        <v>43943</v>
      </c>
      <c r="C305" s="11">
        <v>1499</v>
      </c>
      <c r="E305" s="17" t="s">
        <v>318</v>
      </c>
      <c r="F305" s="17"/>
      <c r="G305" s="66"/>
      <c r="H305"/>
      <c r="J305" s="16">
        <v>401409500429</v>
      </c>
      <c r="K305" s="16">
        <v>9801615690</v>
      </c>
    </row>
    <row r="306" spans="2:11" x14ac:dyDescent="0.25">
      <c r="B306" s="3">
        <v>43943</v>
      </c>
      <c r="C306" s="11">
        <v>1500</v>
      </c>
      <c r="E306" s="17" t="s">
        <v>324</v>
      </c>
      <c r="F306" s="17"/>
      <c r="G306" s="66"/>
      <c r="H306"/>
      <c r="J306" s="16">
        <v>308747404117</v>
      </c>
      <c r="K306" s="16">
        <v>7870281986</v>
      </c>
    </row>
    <row r="307" spans="2:11" x14ac:dyDescent="0.25">
      <c r="B307" s="3">
        <v>43943</v>
      </c>
      <c r="C307" s="11">
        <v>1501</v>
      </c>
      <c r="E307" s="17" t="s">
        <v>319</v>
      </c>
      <c r="F307" s="17"/>
      <c r="G307" s="66"/>
      <c r="H307"/>
      <c r="J307" s="16">
        <v>921110718493</v>
      </c>
      <c r="K307" s="16">
        <v>7209801225</v>
      </c>
    </row>
    <row r="308" spans="2:11" x14ac:dyDescent="0.25">
      <c r="B308" s="3">
        <v>43943</v>
      </c>
      <c r="C308" s="11">
        <v>1502</v>
      </c>
      <c r="E308" s="17" t="s">
        <v>320</v>
      </c>
      <c r="F308" s="17"/>
      <c r="G308" s="66"/>
      <c r="H308"/>
      <c r="J308" s="16">
        <v>636730367931</v>
      </c>
      <c r="K308" s="16">
        <v>9534148477</v>
      </c>
    </row>
    <row r="309" spans="2:11" x14ac:dyDescent="0.25">
      <c r="B309" s="3">
        <v>43943</v>
      </c>
      <c r="C309" s="11">
        <v>1503</v>
      </c>
      <c r="E309" s="17" t="s">
        <v>321</v>
      </c>
      <c r="F309" s="17"/>
      <c r="G309" s="66"/>
      <c r="H309"/>
      <c r="J309" s="16">
        <v>652362941682</v>
      </c>
      <c r="K309" s="16">
        <v>8709525197</v>
      </c>
    </row>
    <row r="310" spans="2:11" x14ac:dyDescent="0.25">
      <c r="B310" s="3">
        <v>43943</v>
      </c>
      <c r="C310" s="11">
        <v>1504</v>
      </c>
      <c r="E310" s="17" t="s">
        <v>322</v>
      </c>
      <c r="F310" s="17"/>
      <c r="G310" s="66"/>
      <c r="H310"/>
      <c r="J310" s="16">
        <v>813050393553</v>
      </c>
      <c r="K310" s="16">
        <v>7070955899</v>
      </c>
    </row>
    <row r="311" spans="2:11" x14ac:dyDescent="0.25">
      <c r="B311" s="3">
        <v>43943</v>
      </c>
      <c r="C311" s="11">
        <v>1505</v>
      </c>
      <c r="E311" s="17" t="s">
        <v>323</v>
      </c>
      <c r="F311" s="17"/>
      <c r="G311" s="66"/>
      <c r="H311"/>
      <c r="J311" s="16">
        <v>464569722436</v>
      </c>
      <c r="K311" s="16">
        <v>8580241064</v>
      </c>
    </row>
    <row r="312" spans="2:11" x14ac:dyDescent="0.25">
      <c r="B312" s="3">
        <v>43943</v>
      </c>
      <c r="C312" s="11">
        <v>1508</v>
      </c>
      <c r="E312" s="17" t="s">
        <v>325</v>
      </c>
      <c r="F312" s="17"/>
      <c r="G312" s="66"/>
      <c r="H312"/>
      <c r="J312" s="16">
        <v>765426375169</v>
      </c>
      <c r="K312" s="16">
        <v>9708022268</v>
      </c>
    </row>
    <row r="313" spans="2:11" x14ac:dyDescent="0.25">
      <c r="B313" s="3">
        <v>43943</v>
      </c>
      <c r="C313" s="11">
        <v>1509</v>
      </c>
      <c r="E313" s="17" t="s">
        <v>326</v>
      </c>
      <c r="F313" s="17"/>
      <c r="G313" s="66"/>
      <c r="H313"/>
      <c r="J313" s="16">
        <v>208093639454</v>
      </c>
      <c r="K313" s="16">
        <v>9709347756</v>
      </c>
    </row>
    <row r="314" spans="2:11" x14ac:dyDescent="0.25">
      <c r="B314" s="3">
        <v>43943</v>
      </c>
      <c r="C314" s="11">
        <v>1510</v>
      </c>
      <c r="E314" s="17" t="s">
        <v>327</v>
      </c>
      <c r="F314" s="17"/>
      <c r="G314" s="66"/>
      <c r="H314"/>
      <c r="J314" s="16">
        <v>682679020558</v>
      </c>
      <c r="K314" s="16">
        <v>8789113547</v>
      </c>
    </row>
    <row r="315" spans="2:11" x14ac:dyDescent="0.25">
      <c r="B315" s="3">
        <v>43943</v>
      </c>
      <c r="C315" s="11">
        <v>1511</v>
      </c>
      <c r="E315" s="17" t="s">
        <v>328</v>
      </c>
      <c r="F315" s="17"/>
      <c r="G315" s="66"/>
      <c r="H315"/>
      <c r="J315" s="16">
        <v>755609849085</v>
      </c>
      <c r="K315" s="16">
        <v>6200117529</v>
      </c>
    </row>
    <row r="316" spans="2:11" x14ac:dyDescent="0.25">
      <c r="B316" s="3">
        <v>43943</v>
      </c>
      <c r="C316" s="11">
        <v>1513</v>
      </c>
      <c r="E316" s="17" t="s">
        <v>329</v>
      </c>
      <c r="F316" s="17"/>
      <c r="G316" s="66"/>
      <c r="H316"/>
      <c r="J316" s="16">
        <v>511852896466</v>
      </c>
      <c r="K316" s="16">
        <v>9504115577</v>
      </c>
    </row>
    <row r="317" spans="2:11" x14ac:dyDescent="0.25">
      <c r="B317" s="3">
        <v>43943</v>
      </c>
      <c r="C317" s="11">
        <v>1514</v>
      </c>
      <c r="E317" s="17" t="s">
        <v>330</v>
      </c>
      <c r="F317" s="17"/>
      <c r="G317" s="66"/>
      <c r="H317"/>
      <c r="J317" s="16">
        <v>421553023356</v>
      </c>
      <c r="K317" s="16">
        <v>9162546757</v>
      </c>
    </row>
    <row r="318" spans="2:11" x14ac:dyDescent="0.25">
      <c r="B318" s="3">
        <v>43943</v>
      </c>
      <c r="C318" s="11">
        <v>1516</v>
      </c>
      <c r="E318" s="17" t="s">
        <v>331</v>
      </c>
      <c r="F318" s="17"/>
      <c r="G318" s="66"/>
      <c r="H318"/>
      <c r="J318" s="16">
        <v>337837753875</v>
      </c>
      <c r="K318" s="16">
        <v>7209782324</v>
      </c>
    </row>
    <row r="319" spans="2:11" x14ac:dyDescent="0.25">
      <c r="B319" s="3">
        <v>43943</v>
      </c>
      <c r="C319" s="11">
        <v>1518</v>
      </c>
      <c r="E319" s="17" t="s">
        <v>332</v>
      </c>
      <c r="F319" s="17"/>
      <c r="G319" s="66"/>
      <c r="H319"/>
      <c r="J319" s="16">
        <v>614411907887</v>
      </c>
      <c r="K319" s="16">
        <v>9693547843</v>
      </c>
    </row>
    <row r="320" spans="2:11" x14ac:dyDescent="0.25">
      <c r="B320" s="3">
        <v>43943</v>
      </c>
      <c r="C320" s="11">
        <v>1523</v>
      </c>
      <c r="E320" s="17" t="s">
        <v>333</v>
      </c>
      <c r="F320" s="17"/>
      <c r="G320" s="66"/>
      <c r="H320"/>
      <c r="J320" s="16">
        <v>585114490109</v>
      </c>
      <c r="K320" s="16">
        <v>6206363107</v>
      </c>
    </row>
    <row r="321" spans="2:13" x14ac:dyDescent="0.25">
      <c r="B321" s="3">
        <v>43943</v>
      </c>
      <c r="C321" s="11">
        <v>1527</v>
      </c>
      <c r="E321" s="17" t="s">
        <v>334</v>
      </c>
      <c r="F321" s="17"/>
      <c r="G321" s="66"/>
      <c r="H321"/>
      <c r="J321" s="16">
        <v>494571832312</v>
      </c>
      <c r="K321" s="16">
        <v>8674950261</v>
      </c>
    </row>
    <row r="322" spans="2:13" x14ac:dyDescent="0.25">
      <c r="B322" s="3">
        <v>43943</v>
      </c>
      <c r="C322" s="11">
        <v>1528</v>
      </c>
      <c r="E322" s="17" t="s">
        <v>335</v>
      </c>
      <c r="F322" s="17"/>
      <c r="G322" s="66"/>
      <c r="H322"/>
      <c r="J322" s="16">
        <v>249425959647</v>
      </c>
      <c r="K322" s="16">
        <v>7979906718</v>
      </c>
    </row>
    <row r="323" spans="2:13" x14ac:dyDescent="0.25">
      <c r="B323" s="3">
        <v>43943</v>
      </c>
      <c r="C323" s="11">
        <v>1530</v>
      </c>
      <c r="E323" s="17" t="s">
        <v>336</v>
      </c>
      <c r="F323" s="17"/>
      <c r="G323" s="66"/>
      <c r="H323"/>
      <c r="J323" s="16">
        <v>323438773069</v>
      </c>
      <c r="K323" s="16">
        <v>9279494534</v>
      </c>
    </row>
    <row r="324" spans="2:13" x14ac:dyDescent="0.25">
      <c r="B324" s="3">
        <v>43943</v>
      </c>
      <c r="C324" s="11">
        <v>1531</v>
      </c>
      <c r="E324" s="17" t="s">
        <v>297</v>
      </c>
      <c r="F324" s="17"/>
      <c r="G324" s="66"/>
      <c r="H324"/>
      <c r="J324" s="16">
        <v>870357558515</v>
      </c>
      <c r="K324" s="16">
        <v>9931802939</v>
      </c>
    </row>
    <row r="325" spans="2:13" x14ac:dyDescent="0.25">
      <c r="B325" s="3">
        <v>43943</v>
      </c>
      <c r="C325" s="11">
        <v>1531</v>
      </c>
      <c r="E325" s="17" t="s">
        <v>297</v>
      </c>
      <c r="F325" s="17"/>
      <c r="G325" s="66"/>
      <c r="H325"/>
      <c r="J325" s="16">
        <v>870357558515</v>
      </c>
      <c r="K325" s="16">
        <v>9931802939</v>
      </c>
    </row>
    <row r="326" spans="2:13" x14ac:dyDescent="0.25">
      <c r="B326" s="3">
        <v>43943</v>
      </c>
      <c r="C326" s="11">
        <v>1533</v>
      </c>
      <c r="E326" s="17" t="s">
        <v>337</v>
      </c>
      <c r="F326" s="17"/>
      <c r="G326" s="66"/>
      <c r="H326"/>
      <c r="J326" s="16">
        <v>384809460416</v>
      </c>
      <c r="K326" s="16">
        <v>8797935601</v>
      </c>
    </row>
    <row r="327" spans="2:13" x14ac:dyDescent="0.25">
      <c r="B327" s="3">
        <v>43943</v>
      </c>
      <c r="C327" s="11">
        <v>1535</v>
      </c>
      <c r="E327" s="17" t="s">
        <v>338</v>
      </c>
      <c r="F327" s="17"/>
      <c r="G327" s="66"/>
      <c r="H327"/>
      <c r="J327" s="16">
        <v>892278551590</v>
      </c>
      <c r="K327" s="16">
        <v>9199462458</v>
      </c>
    </row>
    <row r="328" spans="2:13" x14ac:dyDescent="0.25">
      <c r="B328" s="3">
        <v>43943</v>
      </c>
      <c r="C328" s="11">
        <v>1538</v>
      </c>
      <c r="E328" s="17" t="s">
        <v>339</v>
      </c>
      <c r="F328" s="17"/>
      <c r="G328" s="66"/>
      <c r="H328"/>
      <c r="J328" s="16">
        <v>704688647438</v>
      </c>
      <c r="K328" s="16">
        <v>7903830136</v>
      </c>
    </row>
    <row r="329" spans="2:13" x14ac:dyDescent="0.25">
      <c r="B329" s="3">
        <v>43943</v>
      </c>
      <c r="C329" s="11">
        <v>1539</v>
      </c>
      <c r="E329" s="17" t="s">
        <v>340</v>
      </c>
      <c r="F329" s="17"/>
      <c r="G329" s="66"/>
      <c r="H329"/>
      <c r="J329" s="16">
        <v>573091473414</v>
      </c>
      <c r="K329" s="16">
        <v>8757991916</v>
      </c>
    </row>
    <row r="330" spans="2:13" x14ac:dyDescent="0.25">
      <c r="B330" s="3">
        <v>43943</v>
      </c>
      <c r="C330" s="11">
        <v>1540</v>
      </c>
      <c r="E330" s="17" t="s">
        <v>341</v>
      </c>
      <c r="F330" s="17"/>
      <c r="G330" s="66"/>
      <c r="H330"/>
      <c r="J330" s="16">
        <v>366216000536</v>
      </c>
      <c r="K330" s="16">
        <v>9031906291</v>
      </c>
    </row>
    <row r="331" spans="2:13" x14ac:dyDescent="0.25">
      <c r="B331" s="3">
        <v>43943</v>
      </c>
      <c r="C331" s="11">
        <v>1543</v>
      </c>
      <c r="E331" s="17" t="s">
        <v>342</v>
      </c>
      <c r="F331" s="17"/>
      <c r="G331" s="66"/>
      <c r="H331"/>
      <c r="J331" s="16">
        <v>974602448920</v>
      </c>
      <c r="K331" s="16">
        <v>9304538696</v>
      </c>
    </row>
    <row r="332" spans="2:13" x14ac:dyDescent="0.25">
      <c r="B332" s="3">
        <v>43943</v>
      </c>
      <c r="C332" s="11">
        <v>1544</v>
      </c>
      <c r="E332" s="17" t="s">
        <v>343</v>
      </c>
      <c r="F332" s="17"/>
      <c r="G332" s="66"/>
      <c r="H332"/>
      <c r="J332" s="16">
        <v>990015357573</v>
      </c>
      <c r="K332" s="16">
        <v>8092028595</v>
      </c>
    </row>
    <row r="333" spans="2:13" x14ac:dyDescent="0.25">
      <c r="B333" s="3">
        <v>43943</v>
      </c>
      <c r="C333" s="11">
        <v>1549</v>
      </c>
      <c r="E333" s="17" t="s">
        <v>344</v>
      </c>
      <c r="F333" s="17"/>
      <c r="G333" s="66"/>
      <c r="H333"/>
      <c r="J333" s="16">
        <v>227038804553</v>
      </c>
      <c r="K333" s="16">
        <v>7485067169</v>
      </c>
    </row>
    <row r="334" spans="2:13" x14ac:dyDescent="0.25">
      <c r="B334" s="3">
        <v>43943</v>
      </c>
      <c r="C334" s="11">
        <v>1552</v>
      </c>
      <c r="E334" s="17" t="s">
        <v>345</v>
      </c>
      <c r="F334" s="17"/>
      <c r="G334" s="66"/>
      <c r="H334" t="s">
        <v>1214</v>
      </c>
      <c r="J334" s="16">
        <v>498468088612</v>
      </c>
      <c r="K334" s="16">
        <v>9263458852</v>
      </c>
      <c r="M334" s="3">
        <v>44016</v>
      </c>
    </row>
    <row r="335" spans="2:13" x14ac:dyDescent="0.25">
      <c r="B335" s="3">
        <v>43943</v>
      </c>
      <c r="C335" s="11">
        <v>1555</v>
      </c>
      <c r="E335" s="17" t="s">
        <v>346</v>
      </c>
      <c r="F335" s="17"/>
      <c r="G335" s="66"/>
      <c r="H335"/>
      <c r="J335" s="16">
        <v>233068088612</v>
      </c>
      <c r="K335" s="16">
        <v>9135877532</v>
      </c>
    </row>
    <row r="336" spans="2:13" x14ac:dyDescent="0.25">
      <c r="B336" s="3">
        <v>43943</v>
      </c>
      <c r="C336" s="11">
        <v>1558</v>
      </c>
      <c r="E336" s="17" t="s">
        <v>347</v>
      </c>
      <c r="F336" s="17"/>
      <c r="G336" s="66"/>
      <c r="H336"/>
      <c r="J336" s="16">
        <v>314913502092</v>
      </c>
      <c r="K336" s="16">
        <v>9931723895</v>
      </c>
    </row>
    <row r="337" spans="2:11" x14ac:dyDescent="0.25">
      <c r="B337" s="3">
        <v>43943</v>
      </c>
      <c r="C337" s="11">
        <v>1559</v>
      </c>
      <c r="E337" s="17" t="s">
        <v>348</v>
      </c>
      <c r="F337" s="17"/>
      <c r="G337" s="66"/>
      <c r="H337"/>
      <c r="J337" s="16">
        <v>977741520865</v>
      </c>
      <c r="K337" s="16">
        <v>9262673895</v>
      </c>
    </row>
    <row r="338" spans="2:11" x14ac:dyDescent="0.25">
      <c r="B338" s="3">
        <v>43943</v>
      </c>
      <c r="C338" s="11">
        <v>1560</v>
      </c>
      <c r="E338" s="17" t="s">
        <v>175</v>
      </c>
      <c r="F338" s="17"/>
      <c r="G338" s="66"/>
      <c r="H338"/>
      <c r="J338" s="16">
        <v>739528574762</v>
      </c>
      <c r="K338" s="16">
        <v>7903858875</v>
      </c>
    </row>
    <row r="339" spans="2:11" x14ac:dyDescent="0.25">
      <c r="B339" s="3">
        <v>43943</v>
      </c>
      <c r="C339" s="11">
        <v>1561</v>
      </c>
      <c r="E339" s="17" t="s">
        <v>349</v>
      </c>
      <c r="F339" s="17"/>
      <c r="G339" s="66"/>
      <c r="H339"/>
      <c r="J339" s="16">
        <v>403100192332</v>
      </c>
      <c r="K339" s="16">
        <v>7903029789</v>
      </c>
    </row>
    <row r="340" spans="2:11" x14ac:dyDescent="0.25">
      <c r="B340" s="3">
        <v>43943</v>
      </c>
      <c r="C340" s="11">
        <v>1563</v>
      </c>
      <c r="E340" s="17" t="s">
        <v>350</v>
      </c>
      <c r="F340" s="17"/>
      <c r="G340" s="66"/>
      <c r="H340"/>
      <c r="J340" s="16">
        <v>522932609844</v>
      </c>
      <c r="K340" s="16">
        <v>6201691486</v>
      </c>
    </row>
    <row r="341" spans="2:11" x14ac:dyDescent="0.25">
      <c r="B341" s="3">
        <v>43943</v>
      </c>
      <c r="C341" s="11">
        <v>1564</v>
      </c>
      <c r="E341" s="17" t="s">
        <v>351</v>
      </c>
      <c r="F341" s="17"/>
      <c r="G341" s="66"/>
      <c r="H341"/>
      <c r="J341" s="16">
        <v>632347033441</v>
      </c>
      <c r="K341" s="16">
        <v>6206544462</v>
      </c>
    </row>
    <row r="342" spans="2:11" x14ac:dyDescent="0.25">
      <c r="B342" s="3">
        <v>44035</v>
      </c>
      <c r="C342" s="11">
        <v>1568</v>
      </c>
      <c r="E342" s="17" t="s">
        <v>352</v>
      </c>
      <c r="F342" s="17"/>
      <c r="G342" s="66"/>
      <c r="H342"/>
      <c r="J342" s="16">
        <v>424581778670</v>
      </c>
      <c r="K342" s="16">
        <v>8102033882</v>
      </c>
    </row>
    <row r="343" spans="2:11" x14ac:dyDescent="0.25">
      <c r="B343" s="3">
        <v>44035</v>
      </c>
      <c r="C343" s="11">
        <v>1569</v>
      </c>
      <c r="E343" s="17" t="s">
        <v>353</v>
      </c>
      <c r="F343" s="17"/>
      <c r="G343" s="66"/>
      <c r="H343"/>
      <c r="J343" s="16">
        <v>289452896503</v>
      </c>
      <c r="K343" s="16">
        <v>8434701798</v>
      </c>
    </row>
    <row r="344" spans="2:11" x14ac:dyDescent="0.25">
      <c r="B344" s="3">
        <v>44035</v>
      </c>
      <c r="C344" s="11">
        <v>1570</v>
      </c>
      <c r="E344" s="17" t="s">
        <v>354</v>
      </c>
      <c r="F344" s="17"/>
      <c r="G344" s="66"/>
      <c r="H344"/>
      <c r="J344" s="16">
        <v>594931727772</v>
      </c>
      <c r="K344" s="16">
        <v>7209634139</v>
      </c>
    </row>
    <row r="345" spans="2:11" x14ac:dyDescent="0.25">
      <c r="B345" s="3">
        <v>44035</v>
      </c>
      <c r="C345" s="11">
        <v>1572</v>
      </c>
      <c r="E345" s="17" t="s">
        <v>355</v>
      </c>
      <c r="F345" s="17"/>
      <c r="G345" s="66"/>
      <c r="H345"/>
      <c r="J345" s="16">
        <v>604151281775</v>
      </c>
      <c r="K345" s="16">
        <v>809261053</v>
      </c>
    </row>
    <row r="346" spans="2:11" x14ac:dyDescent="0.25">
      <c r="B346" s="3">
        <v>44035</v>
      </c>
      <c r="C346" s="11">
        <v>1573</v>
      </c>
      <c r="E346" s="17" t="s">
        <v>356</v>
      </c>
      <c r="F346" s="17"/>
      <c r="G346" s="66"/>
      <c r="H346"/>
      <c r="J346" s="16">
        <v>220713032834</v>
      </c>
      <c r="K346" s="16">
        <v>9097560723</v>
      </c>
    </row>
    <row r="347" spans="2:11" x14ac:dyDescent="0.25">
      <c r="B347" s="3">
        <v>44035</v>
      </c>
      <c r="C347" s="11">
        <v>1575</v>
      </c>
      <c r="E347" s="17" t="s">
        <v>357</v>
      </c>
      <c r="F347" s="17"/>
      <c r="G347" s="66"/>
      <c r="H347"/>
      <c r="J347" s="16">
        <v>577108604497</v>
      </c>
      <c r="K347" s="16">
        <v>9931502728</v>
      </c>
    </row>
    <row r="348" spans="2:11" x14ac:dyDescent="0.25">
      <c r="B348" s="3">
        <v>44035</v>
      </c>
      <c r="C348" s="11">
        <v>1577</v>
      </c>
      <c r="E348" s="17" t="s">
        <v>358</v>
      </c>
      <c r="F348" s="17"/>
      <c r="G348" s="66"/>
      <c r="H348"/>
      <c r="J348" s="16">
        <v>705074125128</v>
      </c>
      <c r="K348" s="16">
        <v>6202271270</v>
      </c>
    </row>
    <row r="349" spans="2:11" x14ac:dyDescent="0.25">
      <c r="B349" s="3">
        <v>44035</v>
      </c>
      <c r="C349" s="11">
        <v>1578</v>
      </c>
      <c r="E349" s="17" t="s">
        <v>359</v>
      </c>
      <c r="F349" s="17"/>
      <c r="G349" s="66"/>
      <c r="H349"/>
      <c r="J349" s="16">
        <v>439084605457</v>
      </c>
      <c r="K349" s="16">
        <v>7909030352</v>
      </c>
    </row>
    <row r="350" spans="2:11" x14ac:dyDescent="0.25">
      <c r="B350" s="3">
        <v>44035</v>
      </c>
      <c r="C350" s="11">
        <v>1580</v>
      </c>
      <c r="E350" s="17" t="s">
        <v>360</v>
      </c>
      <c r="F350" s="17"/>
      <c r="G350" s="66"/>
      <c r="H350"/>
      <c r="J350" s="16">
        <v>564684837594</v>
      </c>
      <c r="K350" s="16">
        <v>6200618967</v>
      </c>
    </row>
    <row r="351" spans="2:11" x14ac:dyDescent="0.25">
      <c r="B351" s="3">
        <v>44035</v>
      </c>
      <c r="C351" s="11">
        <v>1582</v>
      </c>
      <c r="E351" s="17" t="s">
        <v>361</v>
      </c>
      <c r="F351" s="17"/>
      <c r="G351" s="66"/>
      <c r="H351"/>
      <c r="J351" s="16">
        <v>281757786467</v>
      </c>
      <c r="K351" s="16">
        <v>6202438417</v>
      </c>
    </row>
    <row r="352" spans="2:11" x14ac:dyDescent="0.25">
      <c r="B352" s="3">
        <v>44035</v>
      </c>
      <c r="C352" s="11">
        <v>1584</v>
      </c>
      <c r="E352" s="17" t="s">
        <v>362</v>
      </c>
      <c r="F352" s="17"/>
      <c r="G352" s="66"/>
      <c r="H352"/>
      <c r="J352" s="16">
        <v>354102936863</v>
      </c>
      <c r="K352" s="16">
        <v>9631473782</v>
      </c>
    </row>
    <row r="353" spans="2:11" x14ac:dyDescent="0.25">
      <c r="B353" s="3">
        <v>44035</v>
      </c>
      <c r="C353" s="11">
        <v>1585</v>
      </c>
      <c r="E353" s="17" t="s">
        <v>363</v>
      </c>
      <c r="F353" s="17"/>
      <c r="G353" s="66"/>
      <c r="H353"/>
      <c r="J353" s="16">
        <v>682978880181</v>
      </c>
      <c r="K353" s="16">
        <v>7992351176</v>
      </c>
    </row>
    <row r="354" spans="2:11" x14ac:dyDescent="0.25">
      <c r="B354" s="3">
        <v>44035</v>
      </c>
      <c r="C354" s="11">
        <v>1586</v>
      </c>
      <c r="E354" s="17" t="s">
        <v>364</v>
      </c>
      <c r="F354" s="17"/>
      <c r="G354" s="66"/>
      <c r="H354"/>
      <c r="J354" s="16">
        <v>904527034977</v>
      </c>
      <c r="K354" s="16">
        <v>7763884551</v>
      </c>
    </row>
    <row r="355" spans="2:11" x14ac:dyDescent="0.25">
      <c r="B355" s="3">
        <v>44035</v>
      </c>
      <c r="C355" s="11">
        <v>1587</v>
      </c>
      <c r="E355" s="17" t="s">
        <v>365</v>
      </c>
      <c r="F355" s="17"/>
      <c r="G355" s="66"/>
      <c r="H355"/>
      <c r="J355" s="16">
        <v>596052930052</v>
      </c>
      <c r="K355" s="16">
        <v>7992351176</v>
      </c>
    </row>
    <row r="356" spans="2:11" x14ac:dyDescent="0.25">
      <c r="B356" s="3">
        <v>44035</v>
      </c>
      <c r="C356" s="11">
        <v>1589</v>
      </c>
      <c r="E356" s="17" t="s">
        <v>366</v>
      </c>
      <c r="F356" s="17"/>
      <c r="G356" s="66"/>
      <c r="H356"/>
      <c r="J356" s="16">
        <v>283521996492</v>
      </c>
      <c r="K356" s="16">
        <v>9334797919</v>
      </c>
    </row>
    <row r="357" spans="2:11" x14ac:dyDescent="0.25">
      <c r="B357" s="3">
        <v>44035</v>
      </c>
      <c r="C357" s="11">
        <v>1591</v>
      </c>
      <c r="E357" s="17" t="s">
        <v>367</v>
      </c>
      <c r="F357" s="17"/>
      <c r="G357" s="66"/>
      <c r="H357"/>
      <c r="J357" s="16">
        <v>957417226742</v>
      </c>
      <c r="K357" s="16">
        <v>9304690362</v>
      </c>
    </row>
    <row r="358" spans="2:11" x14ac:dyDescent="0.25">
      <c r="B358" s="3">
        <v>44035</v>
      </c>
      <c r="C358" s="11">
        <v>1593</v>
      </c>
      <c r="E358" s="17" t="s">
        <v>368</v>
      </c>
      <c r="F358" s="17"/>
      <c r="G358" s="66"/>
      <c r="H358"/>
      <c r="J358" s="16">
        <v>821733423993</v>
      </c>
      <c r="K358" s="16">
        <v>8340798659</v>
      </c>
    </row>
    <row r="359" spans="2:11" x14ac:dyDescent="0.25">
      <c r="B359" s="3">
        <v>44035</v>
      </c>
      <c r="C359" s="11">
        <v>1595</v>
      </c>
      <c r="E359" s="17" t="s">
        <v>369</v>
      </c>
      <c r="F359" s="17"/>
      <c r="G359" s="66"/>
      <c r="H359"/>
      <c r="J359" s="16">
        <v>544069093384</v>
      </c>
      <c r="K359" s="16">
        <v>7319634292</v>
      </c>
    </row>
    <row r="360" spans="2:11" x14ac:dyDescent="0.25">
      <c r="B360" s="3">
        <v>44035</v>
      </c>
      <c r="C360" s="11">
        <v>1596</v>
      </c>
      <c r="E360" s="17" t="s">
        <v>370</v>
      </c>
      <c r="F360" s="17"/>
      <c r="G360" s="66"/>
      <c r="H360"/>
      <c r="J360" s="16">
        <v>539357763425</v>
      </c>
      <c r="K360" s="16">
        <v>8292996345</v>
      </c>
    </row>
    <row r="361" spans="2:11" x14ac:dyDescent="0.25">
      <c r="B361" s="3">
        <v>44035</v>
      </c>
      <c r="C361" s="11">
        <v>1597</v>
      </c>
      <c r="E361" s="17" t="s">
        <v>371</v>
      </c>
      <c r="F361" s="17"/>
      <c r="G361" s="66"/>
      <c r="H361"/>
      <c r="J361" s="16">
        <v>407430407231</v>
      </c>
      <c r="K361" s="16">
        <v>7070361149</v>
      </c>
    </row>
    <row r="362" spans="2:11" x14ac:dyDescent="0.25">
      <c r="B362" s="3">
        <v>44035</v>
      </c>
      <c r="C362" s="11">
        <v>1601</v>
      </c>
      <c r="E362" s="17" t="s">
        <v>372</v>
      </c>
      <c r="F362" s="17"/>
      <c r="G362" s="66"/>
      <c r="H362"/>
      <c r="J362" s="16">
        <v>586031319285</v>
      </c>
      <c r="K362" s="16">
        <v>7209811286</v>
      </c>
    </row>
    <row r="363" spans="2:11" x14ac:dyDescent="0.25">
      <c r="B363" s="3">
        <v>44035</v>
      </c>
      <c r="C363" s="11">
        <v>1604</v>
      </c>
      <c r="E363" s="17" t="s">
        <v>373</v>
      </c>
      <c r="F363" s="17"/>
      <c r="G363" s="66"/>
      <c r="H363"/>
      <c r="J363" s="16">
        <v>661757075927</v>
      </c>
      <c r="K363" s="16">
        <v>8085371471</v>
      </c>
    </row>
    <row r="364" spans="2:11" x14ac:dyDescent="0.25">
      <c r="B364" s="3">
        <v>44035</v>
      </c>
      <c r="C364" s="11">
        <v>1607</v>
      </c>
      <c r="E364" s="17" t="s">
        <v>374</v>
      </c>
      <c r="F364" s="17"/>
      <c r="G364" s="66"/>
      <c r="H364"/>
      <c r="J364" s="16">
        <v>895036514842</v>
      </c>
      <c r="K364" s="16">
        <v>8434668600</v>
      </c>
    </row>
    <row r="365" spans="2:11" x14ac:dyDescent="0.25">
      <c r="B365" s="3">
        <v>44035</v>
      </c>
      <c r="C365" s="11">
        <v>1611</v>
      </c>
      <c r="E365" s="17" t="s">
        <v>375</v>
      </c>
      <c r="F365" s="17"/>
      <c r="G365" s="66"/>
      <c r="H365"/>
      <c r="J365" s="16">
        <v>993703146843</v>
      </c>
      <c r="K365" s="16">
        <v>7631045059</v>
      </c>
    </row>
    <row r="366" spans="2:11" x14ac:dyDescent="0.25">
      <c r="B366" s="3">
        <v>44035</v>
      </c>
      <c r="C366" s="11">
        <v>1613</v>
      </c>
      <c r="E366" s="17" t="s">
        <v>376</v>
      </c>
      <c r="F366" s="17"/>
      <c r="G366" s="66"/>
      <c r="H366"/>
      <c r="J366" s="16">
        <v>376505639200</v>
      </c>
      <c r="K366" s="16">
        <v>8210600370</v>
      </c>
    </row>
    <row r="367" spans="2:11" x14ac:dyDescent="0.25">
      <c r="B367" s="3">
        <v>44035</v>
      </c>
      <c r="C367" s="11">
        <v>1614</v>
      </c>
      <c r="E367" s="17" t="s">
        <v>377</v>
      </c>
      <c r="F367" s="17"/>
      <c r="G367" s="66"/>
      <c r="H367"/>
      <c r="J367" s="16">
        <v>989347235912</v>
      </c>
      <c r="K367" s="16">
        <v>9534168330</v>
      </c>
    </row>
    <row r="368" spans="2:11" x14ac:dyDescent="0.25">
      <c r="B368" s="3">
        <v>44035</v>
      </c>
      <c r="C368" s="11">
        <v>1617</v>
      </c>
      <c r="E368" s="17" t="s">
        <v>378</v>
      </c>
      <c r="F368" s="17"/>
      <c r="G368" s="66"/>
      <c r="H368"/>
      <c r="J368" s="16">
        <v>754616887829</v>
      </c>
      <c r="K368" s="16">
        <v>9801461096</v>
      </c>
    </row>
    <row r="369" spans="2:11" x14ac:dyDescent="0.25">
      <c r="B369" s="3">
        <v>44035</v>
      </c>
      <c r="C369" s="11">
        <v>1618</v>
      </c>
      <c r="E369" s="17" t="s">
        <v>379</v>
      </c>
      <c r="F369" s="17"/>
      <c r="G369" s="66"/>
      <c r="H369"/>
      <c r="J369" s="16">
        <v>845441065834</v>
      </c>
      <c r="K369" s="16"/>
    </row>
    <row r="370" spans="2:11" x14ac:dyDescent="0.25">
      <c r="B370" s="3">
        <v>44035</v>
      </c>
      <c r="C370" s="11">
        <v>1621</v>
      </c>
      <c r="E370" s="17" t="s">
        <v>380</v>
      </c>
      <c r="F370" s="17"/>
      <c r="G370" s="66"/>
      <c r="H370"/>
      <c r="J370" s="16">
        <v>566872755513</v>
      </c>
      <c r="K370" s="16">
        <v>7484999452</v>
      </c>
    </row>
    <row r="371" spans="2:11" x14ac:dyDescent="0.25">
      <c r="B371" s="3">
        <v>44035</v>
      </c>
      <c r="C371" s="11">
        <v>1623</v>
      </c>
      <c r="E371" s="17" t="s">
        <v>381</v>
      </c>
      <c r="F371" s="17"/>
      <c r="G371" s="66"/>
      <c r="H371"/>
      <c r="J371" s="16">
        <v>635147495907</v>
      </c>
      <c r="K371" s="16">
        <v>9031707650</v>
      </c>
    </row>
    <row r="372" spans="2:11" x14ac:dyDescent="0.25">
      <c r="B372" s="3">
        <v>44035</v>
      </c>
      <c r="C372" s="11">
        <v>1624</v>
      </c>
      <c r="E372" s="17" t="s">
        <v>382</v>
      </c>
      <c r="F372" s="17"/>
      <c r="G372" s="66"/>
      <c r="H372"/>
      <c r="J372" s="16">
        <v>790878048420</v>
      </c>
      <c r="K372" s="16">
        <v>8210233172</v>
      </c>
    </row>
    <row r="373" spans="2:11" x14ac:dyDescent="0.25">
      <c r="B373" s="3">
        <v>44035</v>
      </c>
      <c r="C373" s="11">
        <v>1627</v>
      </c>
      <c r="E373" s="17" t="s">
        <v>383</v>
      </c>
      <c r="F373" s="17"/>
      <c r="G373" s="66"/>
      <c r="H373"/>
      <c r="J373" s="16">
        <v>378886779760</v>
      </c>
      <c r="K373" s="16">
        <v>7004478788</v>
      </c>
    </row>
    <row r="374" spans="2:11" x14ac:dyDescent="0.25">
      <c r="B374" s="3">
        <v>44035</v>
      </c>
      <c r="C374" s="11">
        <v>1628</v>
      </c>
      <c r="E374" s="17" t="s">
        <v>369</v>
      </c>
      <c r="F374" s="17"/>
      <c r="G374" s="66"/>
      <c r="H374"/>
      <c r="J374" s="16">
        <v>832037656794</v>
      </c>
      <c r="K374" s="16">
        <v>7992380825</v>
      </c>
    </row>
    <row r="375" spans="2:11" x14ac:dyDescent="0.25">
      <c r="B375" s="3">
        <v>44035</v>
      </c>
      <c r="C375" s="11">
        <v>1630</v>
      </c>
      <c r="E375" s="17" t="s">
        <v>384</v>
      </c>
      <c r="F375" s="17"/>
      <c r="G375" s="66"/>
      <c r="H375"/>
      <c r="J375" s="16">
        <v>498085116803</v>
      </c>
      <c r="K375" s="16">
        <v>9031394432</v>
      </c>
    </row>
    <row r="376" spans="2:11" x14ac:dyDescent="0.25">
      <c r="B376" s="3">
        <v>44035</v>
      </c>
      <c r="C376" s="11">
        <v>1632</v>
      </c>
      <c r="E376" s="17" t="s">
        <v>385</v>
      </c>
      <c r="F376" s="17"/>
      <c r="G376" s="66"/>
      <c r="H376"/>
      <c r="J376" s="16">
        <v>327306672293</v>
      </c>
      <c r="K376" s="16">
        <v>6204294669</v>
      </c>
    </row>
    <row r="377" spans="2:11" x14ac:dyDescent="0.25">
      <c r="B377" s="3">
        <v>44035</v>
      </c>
      <c r="C377" s="11">
        <v>1634</v>
      </c>
      <c r="E377" s="17" t="s">
        <v>386</v>
      </c>
      <c r="F377" s="17"/>
      <c r="G377" s="66"/>
      <c r="H377"/>
      <c r="J377" s="16">
        <v>674051947991</v>
      </c>
      <c r="K377" s="16">
        <v>8102125251</v>
      </c>
    </row>
    <row r="378" spans="2:11" x14ac:dyDescent="0.25">
      <c r="B378" s="3">
        <v>44035</v>
      </c>
      <c r="C378" s="11">
        <v>1636</v>
      </c>
      <c r="E378" s="17" t="s">
        <v>387</v>
      </c>
      <c r="F378" s="17"/>
      <c r="G378" s="66"/>
      <c r="H378"/>
      <c r="J378" s="16">
        <v>515605391576</v>
      </c>
      <c r="K378" s="16">
        <v>7543854789</v>
      </c>
    </row>
    <row r="379" spans="2:11" x14ac:dyDescent="0.25">
      <c r="B379" s="3">
        <v>44035</v>
      </c>
      <c r="C379" s="11">
        <v>1637</v>
      </c>
      <c r="E379" s="17" t="s">
        <v>192</v>
      </c>
      <c r="F379" s="17"/>
      <c r="G379" s="66"/>
      <c r="H379"/>
      <c r="J379" s="16">
        <v>822665888234</v>
      </c>
      <c r="K379" s="16">
        <v>6206918113</v>
      </c>
    </row>
    <row r="380" spans="2:11" x14ac:dyDescent="0.25">
      <c r="B380" s="3">
        <v>44035</v>
      </c>
      <c r="C380" s="11">
        <v>1640</v>
      </c>
      <c r="E380" s="17" t="s">
        <v>388</v>
      </c>
      <c r="F380" s="17"/>
      <c r="G380" s="66"/>
      <c r="H380"/>
      <c r="J380" s="16">
        <v>248875698064</v>
      </c>
      <c r="K380" s="16">
        <v>7209950245</v>
      </c>
    </row>
    <row r="381" spans="2:11" x14ac:dyDescent="0.25">
      <c r="B381" s="3">
        <v>44035</v>
      </c>
      <c r="C381" s="11">
        <v>1642</v>
      </c>
      <c r="E381" s="17" t="s">
        <v>389</v>
      </c>
      <c r="F381" s="17"/>
      <c r="G381" s="66"/>
      <c r="H381"/>
      <c r="J381" s="16">
        <v>233109851203</v>
      </c>
      <c r="K381" s="16">
        <v>8002726662</v>
      </c>
    </row>
    <row r="382" spans="2:11" x14ac:dyDescent="0.25">
      <c r="B382" s="3">
        <v>44035</v>
      </c>
      <c r="C382" s="11">
        <v>1643</v>
      </c>
      <c r="E382" s="17" t="s">
        <v>390</v>
      </c>
      <c r="F382" s="17"/>
      <c r="G382" s="66"/>
      <c r="H382"/>
      <c r="J382" s="16">
        <v>879171434005</v>
      </c>
      <c r="K382" s="16">
        <v>7209442966</v>
      </c>
    </row>
    <row r="383" spans="2:11" x14ac:dyDescent="0.25">
      <c r="B383" s="3">
        <v>44035</v>
      </c>
      <c r="C383" s="11">
        <v>1645</v>
      </c>
      <c r="E383" s="17" t="s">
        <v>391</v>
      </c>
      <c r="F383" s="17"/>
      <c r="G383" s="66"/>
      <c r="H383"/>
      <c r="J383" s="16">
        <v>806709981013</v>
      </c>
      <c r="K383" s="16">
        <v>7488096552</v>
      </c>
    </row>
    <row r="384" spans="2:11" x14ac:dyDescent="0.25">
      <c r="B384" s="3">
        <v>43947</v>
      </c>
      <c r="C384" s="11">
        <v>1748</v>
      </c>
      <c r="E384" s="17" t="s">
        <v>392</v>
      </c>
      <c r="F384" s="17"/>
      <c r="G384" s="66"/>
      <c r="H384"/>
      <c r="J384" s="16">
        <v>326800394889</v>
      </c>
      <c r="K384" s="16">
        <v>628786302</v>
      </c>
    </row>
    <row r="385" spans="2:11" x14ac:dyDescent="0.25">
      <c r="B385" s="3">
        <v>43947</v>
      </c>
      <c r="C385" s="11">
        <v>1749</v>
      </c>
      <c r="E385" s="17" t="s">
        <v>393</v>
      </c>
      <c r="F385" s="17"/>
      <c r="G385" s="66"/>
      <c r="H385"/>
      <c r="J385" s="16">
        <v>946705384200</v>
      </c>
      <c r="K385" s="16">
        <v>8797831300</v>
      </c>
    </row>
    <row r="386" spans="2:11" x14ac:dyDescent="0.25">
      <c r="B386" s="3">
        <v>43947</v>
      </c>
      <c r="C386" s="11">
        <v>1750</v>
      </c>
      <c r="E386" s="17" t="s">
        <v>394</v>
      </c>
      <c r="F386" s="17"/>
      <c r="G386" s="66"/>
      <c r="H386"/>
      <c r="J386" s="16">
        <v>486957609307</v>
      </c>
      <c r="K386" s="16">
        <v>9798733091</v>
      </c>
    </row>
    <row r="387" spans="2:11" x14ac:dyDescent="0.25">
      <c r="B387" s="3">
        <v>43947</v>
      </c>
      <c r="C387" s="11">
        <v>1753</v>
      </c>
      <c r="E387" s="17" t="s">
        <v>395</v>
      </c>
      <c r="F387" s="17"/>
      <c r="G387" s="66"/>
      <c r="H387"/>
      <c r="J387" s="16">
        <v>635475006790</v>
      </c>
      <c r="K387" s="16">
        <v>9113752676</v>
      </c>
    </row>
    <row r="388" spans="2:11" x14ac:dyDescent="0.25">
      <c r="B388" s="3">
        <v>43947</v>
      </c>
      <c r="C388" s="11">
        <v>1754</v>
      </c>
      <c r="E388" s="17" t="s">
        <v>396</v>
      </c>
      <c r="F388" s="17"/>
      <c r="G388" s="66"/>
      <c r="H388"/>
      <c r="J388" s="16">
        <v>880158244280</v>
      </c>
      <c r="K388" s="16">
        <v>8002279102</v>
      </c>
    </row>
    <row r="389" spans="2:11" x14ac:dyDescent="0.25">
      <c r="B389" s="3">
        <v>43947</v>
      </c>
      <c r="C389" s="11">
        <v>1755</v>
      </c>
      <c r="E389" s="17" t="s">
        <v>303</v>
      </c>
      <c r="F389" s="17"/>
      <c r="G389" s="66"/>
      <c r="H389"/>
      <c r="J389" s="16">
        <v>201197697084</v>
      </c>
      <c r="K389" s="16">
        <v>9162536654</v>
      </c>
    </row>
    <row r="390" spans="2:11" x14ac:dyDescent="0.25">
      <c r="B390" s="3">
        <v>43947</v>
      </c>
      <c r="C390" s="11">
        <v>1756</v>
      </c>
      <c r="E390" s="17" t="s">
        <v>397</v>
      </c>
      <c r="F390" s="17"/>
      <c r="G390" s="66"/>
      <c r="H390"/>
      <c r="J390" s="16">
        <v>637737535690</v>
      </c>
      <c r="K390" s="16">
        <v>8210926195</v>
      </c>
    </row>
    <row r="391" spans="2:11" x14ac:dyDescent="0.25">
      <c r="B391" s="3">
        <v>43947</v>
      </c>
      <c r="C391" s="11">
        <v>1758</v>
      </c>
      <c r="E391" s="17" t="s">
        <v>398</v>
      </c>
      <c r="F391" s="17"/>
      <c r="G391" s="66"/>
      <c r="H391"/>
      <c r="J391" s="16">
        <v>637737535690</v>
      </c>
      <c r="K391" s="16">
        <v>8210926195</v>
      </c>
    </row>
    <row r="392" spans="2:11" x14ac:dyDescent="0.25">
      <c r="B392" s="3">
        <v>43947</v>
      </c>
      <c r="C392" s="11">
        <v>1760</v>
      </c>
      <c r="E392" s="17" t="s">
        <v>368</v>
      </c>
      <c r="F392" s="17"/>
      <c r="G392" s="66"/>
      <c r="H392"/>
      <c r="J392" s="16">
        <v>458917656899</v>
      </c>
      <c r="K392" s="16">
        <v>9279734621</v>
      </c>
    </row>
    <row r="393" spans="2:11" x14ac:dyDescent="0.25">
      <c r="B393" s="3">
        <v>43947</v>
      </c>
      <c r="C393" s="11">
        <v>1761</v>
      </c>
      <c r="E393" s="17" t="s">
        <v>220</v>
      </c>
      <c r="F393" s="17"/>
      <c r="G393" s="66"/>
      <c r="H393"/>
      <c r="J393" s="16">
        <v>321029701406</v>
      </c>
      <c r="K393" s="16">
        <v>8092633008</v>
      </c>
    </row>
    <row r="394" spans="2:11" x14ac:dyDescent="0.25">
      <c r="B394" s="3">
        <v>43947</v>
      </c>
      <c r="C394" s="11">
        <v>1764</v>
      </c>
      <c r="E394" s="17" t="s">
        <v>399</v>
      </c>
      <c r="F394" s="17"/>
      <c r="G394" s="66"/>
      <c r="H394"/>
      <c r="J394" s="16">
        <v>632043571594</v>
      </c>
      <c r="K394" s="16">
        <v>9031039676</v>
      </c>
    </row>
    <row r="395" spans="2:11" x14ac:dyDescent="0.25">
      <c r="B395" s="3">
        <v>43947</v>
      </c>
      <c r="C395" s="11">
        <v>1766</v>
      </c>
      <c r="E395" s="17" t="s">
        <v>400</v>
      </c>
      <c r="F395" s="17"/>
      <c r="G395" s="66"/>
      <c r="H395"/>
      <c r="J395" s="16">
        <v>737227718327</v>
      </c>
      <c r="K395" s="16">
        <v>8797792618</v>
      </c>
    </row>
    <row r="396" spans="2:11" x14ac:dyDescent="0.25">
      <c r="B396" s="3">
        <v>43947</v>
      </c>
      <c r="C396" s="11">
        <v>1767</v>
      </c>
      <c r="E396" s="17" t="s">
        <v>401</v>
      </c>
      <c r="F396" s="17"/>
      <c r="G396" s="66"/>
      <c r="H396"/>
      <c r="J396" s="16">
        <v>635894582944</v>
      </c>
      <c r="K396" s="16">
        <v>7667871768</v>
      </c>
    </row>
    <row r="397" spans="2:11" x14ac:dyDescent="0.25">
      <c r="B397" s="3">
        <v>43947</v>
      </c>
      <c r="C397" s="11">
        <v>1768</v>
      </c>
      <c r="E397" s="17" t="s">
        <v>1576</v>
      </c>
      <c r="F397" s="17"/>
      <c r="G397" s="66"/>
      <c r="H397"/>
      <c r="J397" s="16">
        <v>571063450038</v>
      </c>
      <c r="K397" s="16">
        <v>6200455335</v>
      </c>
    </row>
    <row r="398" spans="2:11" x14ac:dyDescent="0.25">
      <c r="B398" s="3">
        <v>43947</v>
      </c>
      <c r="C398" s="11">
        <v>1770</v>
      </c>
      <c r="E398" s="17" t="s">
        <v>402</v>
      </c>
      <c r="F398" s="17"/>
      <c r="G398" s="66"/>
      <c r="H398"/>
      <c r="J398" s="16">
        <v>343683505314</v>
      </c>
      <c r="K398" s="16">
        <v>7209830554</v>
      </c>
    </row>
    <row r="399" spans="2:11" x14ac:dyDescent="0.25">
      <c r="B399" s="3">
        <v>43947</v>
      </c>
      <c r="C399" s="11">
        <v>1772</v>
      </c>
      <c r="E399" s="17" t="s">
        <v>403</v>
      </c>
      <c r="F399" s="17"/>
      <c r="G399" s="66"/>
      <c r="H399"/>
      <c r="J399" s="16">
        <v>566148522530</v>
      </c>
      <c r="K399" s="16">
        <v>6201299769</v>
      </c>
    </row>
    <row r="400" spans="2:11" x14ac:dyDescent="0.25">
      <c r="B400" s="3">
        <v>43947</v>
      </c>
      <c r="C400" s="11">
        <v>1773</v>
      </c>
      <c r="E400" s="17" t="s">
        <v>404</v>
      </c>
      <c r="F400" s="17"/>
      <c r="G400" s="66"/>
      <c r="H400"/>
      <c r="J400" s="16">
        <v>253348677354</v>
      </c>
      <c r="K400" s="16">
        <v>9263310602</v>
      </c>
    </row>
    <row r="401" spans="2:11" x14ac:dyDescent="0.25">
      <c r="B401" s="3">
        <v>43947</v>
      </c>
      <c r="C401" s="11">
        <v>1778</v>
      </c>
      <c r="E401" s="17" t="s">
        <v>405</v>
      </c>
      <c r="F401" s="17"/>
      <c r="G401" s="66"/>
      <c r="H401"/>
      <c r="J401" s="16">
        <v>676484077570</v>
      </c>
      <c r="K401" s="16">
        <v>7061499610</v>
      </c>
    </row>
    <row r="402" spans="2:11" x14ac:dyDescent="0.25">
      <c r="B402" s="3">
        <v>43947</v>
      </c>
      <c r="C402" s="11">
        <v>1779</v>
      </c>
      <c r="E402" s="17" t="s">
        <v>406</v>
      </c>
      <c r="F402" s="17"/>
      <c r="G402" s="66"/>
      <c r="H402"/>
      <c r="J402" s="16">
        <v>498289958527</v>
      </c>
      <c r="K402" s="16">
        <v>8434501140</v>
      </c>
    </row>
    <row r="403" spans="2:11" x14ac:dyDescent="0.25">
      <c r="B403" s="3">
        <v>43947</v>
      </c>
      <c r="C403" s="11">
        <v>1781</v>
      </c>
      <c r="E403" s="17" t="s">
        <v>407</v>
      </c>
      <c r="F403" s="17"/>
      <c r="G403" s="66"/>
      <c r="H403"/>
      <c r="J403" s="16">
        <v>235182880101</v>
      </c>
      <c r="K403" s="16">
        <v>9031904908</v>
      </c>
    </row>
    <row r="404" spans="2:11" x14ac:dyDescent="0.25">
      <c r="B404" s="3">
        <v>43947</v>
      </c>
      <c r="C404" s="11">
        <v>1782</v>
      </c>
      <c r="E404" s="17" t="s">
        <v>408</v>
      </c>
      <c r="F404" s="17"/>
      <c r="G404" s="66"/>
      <c r="H404"/>
      <c r="J404" s="16">
        <v>438628180076</v>
      </c>
      <c r="K404" s="16">
        <v>9110936837</v>
      </c>
    </row>
    <row r="405" spans="2:11" x14ac:dyDescent="0.25">
      <c r="B405" s="3">
        <v>43947</v>
      </c>
      <c r="C405" s="11">
        <v>1783</v>
      </c>
      <c r="E405" s="17" t="s">
        <v>409</v>
      </c>
      <c r="F405" s="17"/>
      <c r="G405" s="66"/>
      <c r="H405"/>
      <c r="J405" s="16">
        <v>579359010621</v>
      </c>
      <c r="K405" s="16">
        <v>9263598198</v>
      </c>
    </row>
    <row r="406" spans="2:11" x14ac:dyDescent="0.25">
      <c r="B406" s="3">
        <v>43947</v>
      </c>
      <c r="C406" s="11">
        <v>1784</v>
      </c>
      <c r="E406" s="17" t="s">
        <v>410</v>
      </c>
      <c r="F406" s="17"/>
      <c r="G406" s="66"/>
      <c r="H406"/>
      <c r="J406" s="16">
        <v>341303224393</v>
      </c>
      <c r="K406" s="16">
        <v>7261026600</v>
      </c>
    </row>
    <row r="407" spans="2:11" x14ac:dyDescent="0.25">
      <c r="B407" s="3">
        <v>43947</v>
      </c>
      <c r="C407" s="11">
        <v>1785</v>
      </c>
      <c r="E407" s="17" t="s">
        <v>411</v>
      </c>
      <c r="F407" s="17"/>
      <c r="G407" s="66"/>
      <c r="H407"/>
      <c r="J407" s="16">
        <v>869888900269</v>
      </c>
      <c r="K407" s="16">
        <v>9234334855</v>
      </c>
    </row>
    <row r="408" spans="2:11" x14ac:dyDescent="0.25">
      <c r="B408" s="3">
        <v>43947</v>
      </c>
      <c r="C408" s="11">
        <v>1787</v>
      </c>
      <c r="E408" s="17" t="s">
        <v>412</v>
      </c>
      <c r="F408" s="17"/>
      <c r="G408" s="66"/>
      <c r="H408"/>
      <c r="J408" s="16">
        <v>507427141286</v>
      </c>
      <c r="K408" s="16">
        <v>9234275322</v>
      </c>
    </row>
    <row r="409" spans="2:11" x14ac:dyDescent="0.25">
      <c r="B409" s="3">
        <v>43947</v>
      </c>
      <c r="C409" s="11">
        <v>1788</v>
      </c>
      <c r="E409" s="17" t="s">
        <v>413</v>
      </c>
      <c r="F409" s="17"/>
      <c r="G409" s="66"/>
      <c r="H409"/>
      <c r="J409" s="16">
        <v>549445410835</v>
      </c>
      <c r="K409" s="16">
        <v>6204980169</v>
      </c>
    </row>
    <row r="410" spans="2:11" x14ac:dyDescent="0.25">
      <c r="B410" s="3">
        <v>43947</v>
      </c>
      <c r="C410" s="11">
        <v>1789</v>
      </c>
      <c r="E410" s="17" t="s">
        <v>414</v>
      </c>
      <c r="F410" s="17"/>
      <c r="G410" s="66"/>
      <c r="H410"/>
      <c r="J410" s="16">
        <v>326739420269</v>
      </c>
      <c r="K410" s="16">
        <v>9534009898</v>
      </c>
    </row>
    <row r="411" spans="2:11" x14ac:dyDescent="0.25">
      <c r="B411" s="3">
        <v>43947</v>
      </c>
      <c r="C411" s="11">
        <v>1791</v>
      </c>
      <c r="E411" s="17" t="s">
        <v>415</v>
      </c>
      <c r="F411" s="17"/>
      <c r="G411" s="66"/>
      <c r="H411"/>
      <c r="J411" s="16">
        <v>569629558465</v>
      </c>
      <c r="K411" s="16">
        <v>8709352781</v>
      </c>
    </row>
    <row r="412" spans="2:11" x14ac:dyDescent="0.25">
      <c r="B412" s="3">
        <v>43947</v>
      </c>
      <c r="C412" s="11">
        <v>1792</v>
      </c>
      <c r="E412" s="17" t="s">
        <v>416</v>
      </c>
      <c r="F412" s="17"/>
      <c r="G412" s="66"/>
      <c r="H412"/>
      <c r="J412" s="16">
        <v>902447556352</v>
      </c>
      <c r="K412" s="16">
        <v>7634890531</v>
      </c>
    </row>
    <row r="413" spans="2:11" x14ac:dyDescent="0.25">
      <c r="B413" s="3">
        <v>43947</v>
      </c>
      <c r="C413" s="11">
        <v>1793</v>
      </c>
      <c r="E413" s="17" t="s">
        <v>417</v>
      </c>
      <c r="F413" s="17"/>
      <c r="G413" s="66"/>
      <c r="H413"/>
      <c r="J413" s="16">
        <v>218961621758</v>
      </c>
      <c r="K413" s="16">
        <v>6202277408</v>
      </c>
    </row>
    <row r="414" spans="2:11" x14ac:dyDescent="0.25">
      <c r="B414" s="3">
        <v>43947</v>
      </c>
      <c r="C414" s="11">
        <v>1795</v>
      </c>
      <c r="E414" s="17" t="s">
        <v>418</v>
      </c>
      <c r="F414" s="17"/>
      <c r="G414" s="66"/>
      <c r="H414"/>
      <c r="J414" s="16">
        <v>225097594017</v>
      </c>
      <c r="K414" s="16">
        <v>7091556658</v>
      </c>
    </row>
    <row r="415" spans="2:11" x14ac:dyDescent="0.25">
      <c r="B415" s="3">
        <v>43947</v>
      </c>
      <c r="C415" s="11">
        <v>1798</v>
      </c>
      <c r="E415" s="17" t="s">
        <v>419</v>
      </c>
      <c r="F415" s="17"/>
      <c r="G415" s="66"/>
      <c r="H415"/>
      <c r="J415" s="16">
        <v>240859792944</v>
      </c>
      <c r="K415" s="16">
        <v>7488587795</v>
      </c>
    </row>
    <row r="416" spans="2:11" x14ac:dyDescent="0.25">
      <c r="B416" s="3">
        <v>43947</v>
      </c>
      <c r="C416" s="11">
        <v>1800</v>
      </c>
      <c r="E416" s="17" t="s">
        <v>420</v>
      </c>
      <c r="F416" s="17"/>
      <c r="G416" s="66"/>
      <c r="H416"/>
      <c r="J416" s="16">
        <v>482179472553</v>
      </c>
      <c r="K416" s="16">
        <v>9304174094</v>
      </c>
    </row>
    <row r="417" spans="2:11" x14ac:dyDescent="0.25">
      <c r="B417" s="3">
        <v>43947</v>
      </c>
      <c r="C417" s="11">
        <v>1801</v>
      </c>
      <c r="E417" s="17" t="s">
        <v>421</v>
      </c>
      <c r="F417" s="17"/>
      <c r="G417" s="66"/>
      <c r="H417"/>
      <c r="J417" s="16">
        <v>907940899415</v>
      </c>
      <c r="K417" s="16">
        <v>8936066644</v>
      </c>
    </row>
    <row r="418" spans="2:11" x14ac:dyDescent="0.25">
      <c r="B418" s="3">
        <v>43947</v>
      </c>
      <c r="C418" s="11">
        <v>1802</v>
      </c>
      <c r="E418" s="17" t="s">
        <v>422</v>
      </c>
      <c r="F418" s="17"/>
      <c r="G418" s="66"/>
      <c r="H418"/>
      <c r="J418" s="16">
        <v>675098182636</v>
      </c>
      <c r="K418" s="16">
        <v>7319799947</v>
      </c>
    </row>
    <row r="419" spans="2:11" x14ac:dyDescent="0.25">
      <c r="B419" s="3">
        <v>43947</v>
      </c>
      <c r="C419" s="11">
        <v>1803</v>
      </c>
      <c r="E419" s="17" t="s">
        <v>423</v>
      </c>
      <c r="F419" s="17"/>
      <c r="G419" s="66"/>
      <c r="H419"/>
      <c r="J419" s="16">
        <v>357864424408</v>
      </c>
      <c r="K419" s="16">
        <v>7631019420</v>
      </c>
    </row>
    <row r="420" spans="2:11" x14ac:dyDescent="0.25">
      <c r="B420" s="3">
        <v>43947</v>
      </c>
      <c r="C420" s="11">
        <v>1805</v>
      </c>
      <c r="E420" s="17" t="s">
        <v>424</v>
      </c>
      <c r="F420" s="17"/>
      <c r="G420" s="66"/>
      <c r="H420"/>
      <c r="J420" s="16">
        <v>530732425118</v>
      </c>
      <c r="K420" s="16">
        <v>9931128012</v>
      </c>
    </row>
    <row r="421" spans="2:11" x14ac:dyDescent="0.25">
      <c r="B421" s="3">
        <v>43947</v>
      </c>
      <c r="C421" s="11">
        <v>1806</v>
      </c>
      <c r="E421" s="17" t="s">
        <v>425</v>
      </c>
      <c r="F421" s="17"/>
      <c r="G421" s="66"/>
      <c r="H421"/>
      <c r="J421" s="16">
        <v>280102643382</v>
      </c>
      <c r="K421" s="16">
        <v>6205277263</v>
      </c>
    </row>
    <row r="422" spans="2:11" x14ac:dyDescent="0.25">
      <c r="B422" s="3">
        <v>43947</v>
      </c>
      <c r="C422" s="11">
        <v>1808</v>
      </c>
      <c r="E422" s="17" t="s">
        <v>426</v>
      </c>
      <c r="F422" s="17"/>
      <c r="G422" s="66"/>
      <c r="H422"/>
      <c r="J422" s="16">
        <v>737211675644</v>
      </c>
      <c r="K422" s="16">
        <v>6206341184</v>
      </c>
    </row>
    <row r="423" spans="2:11" x14ac:dyDescent="0.25">
      <c r="B423" s="3">
        <v>43947</v>
      </c>
      <c r="C423" s="11">
        <v>1809</v>
      </c>
      <c r="E423" s="17" t="s">
        <v>427</v>
      </c>
      <c r="F423" s="17"/>
      <c r="G423" s="66"/>
      <c r="H423"/>
      <c r="J423" s="16">
        <v>547485080433</v>
      </c>
      <c r="K423" s="16">
        <v>9693032138</v>
      </c>
    </row>
    <row r="424" spans="2:11" x14ac:dyDescent="0.25">
      <c r="B424" s="3">
        <v>43947</v>
      </c>
      <c r="C424" s="11">
        <v>1811</v>
      </c>
      <c r="E424" s="17" t="s">
        <v>428</v>
      </c>
      <c r="F424" s="17"/>
      <c r="G424" s="66"/>
      <c r="H424"/>
      <c r="J424" s="16">
        <v>667836656645</v>
      </c>
      <c r="K424" s="16">
        <v>7783001927</v>
      </c>
    </row>
    <row r="425" spans="2:11" x14ac:dyDescent="0.25">
      <c r="B425" s="3">
        <v>43947</v>
      </c>
      <c r="C425" s="11">
        <v>1813</v>
      </c>
      <c r="E425" s="17" t="s">
        <v>429</v>
      </c>
      <c r="F425" s="17"/>
      <c r="G425" s="66"/>
      <c r="H425"/>
      <c r="J425" s="16">
        <v>434346673675</v>
      </c>
      <c r="K425" s="16">
        <v>7903823498</v>
      </c>
    </row>
    <row r="426" spans="2:11" x14ac:dyDescent="0.25">
      <c r="B426" s="3">
        <v>43947</v>
      </c>
      <c r="C426" s="11">
        <v>1814</v>
      </c>
      <c r="E426" s="17" t="s">
        <v>430</v>
      </c>
      <c r="F426" s="17"/>
      <c r="G426" s="66"/>
      <c r="H426"/>
      <c r="J426" s="16">
        <v>516091699031</v>
      </c>
      <c r="K426" s="16">
        <v>8092588421</v>
      </c>
    </row>
    <row r="427" spans="2:11" x14ac:dyDescent="0.25">
      <c r="B427" s="3">
        <v>43947</v>
      </c>
      <c r="C427" s="11">
        <v>1815</v>
      </c>
      <c r="E427" s="17" t="s">
        <v>194</v>
      </c>
      <c r="F427" s="17"/>
      <c r="G427" s="66"/>
      <c r="H427"/>
      <c r="J427" s="16">
        <v>541787460245</v>
      </c>
      <c r="K427" s="16">
        <v>6201321813</v>
      </c>
    </row>
    <row r="428" spans="2:11" x14ac:dyDescent="0.25">
      <c r="B428" s="3">
        <v>43947</v>
      </c>
      <c r="C428" s="11">
        <v>1816</v>
      </c>
      <c r="E428" s="17" t="s">
        <v>431</v>
      </c>
      <c r="F428" s="17"/>
      <c r="G428" s="66"/>
      <c r="H428"/>
      <c r="J428" s="16">
        <v>972624755250</v>
      </c>
      <c r="K428" s="16">
        <v>9031139124</v>
      </c>
    </row>
    <row r="429" spans="2:11" x14ac:dyDescent="0.25">
      <c r="B429" s="3">
        <v>43947</v>
      </c>
      <c r="C429" s="11">
        <v>1817</v>
      </c>
      <c r="E429" s="17" t="s">
        <v>432</v>
      </c>
      <c r="F429" s="17"/>
      <c r="G429" s="66"/>
      <c r="H429"/>
      <c r="J429" s="16">
        <v>828203399148</v>
      </c>
      <c r="K429" s="16">
        <v>8210662155</v>
      </c>
    </row>
    <row r="430" spans="2:11" x14ac:dyDescent="0.25">
      <c r="B430" s="3">
        <v>43947</v>
      </c>
      <c r="C430" s="11">
        <v>1819</v>
      </c>
      <c r="E430" s="17" t="s">
        <v>433</v>
      </c>
      <c r="F430" s="17"/>
      <c r="G430" s="66"/>
      <c r="H430"/>
      <c r="J430" s="16">
        <v>888546216474</v>
      </c>
      <c r="K430" s="16">
        <v>9631423170</v>
      </c>
    </row>
    <row r="431" spans="2:11" x14ac:dyDescent="0.25">
      <c r="B431" s="3">
        <v>43947</v>
      </c>
      <c r="C431" s="11">
        <v>1820</v>
      </c>
      <c r="E431" s="17" t="s">
        <v>434</v>
      </c>
      <c r="F431" s="17"/>
      <c r="G431" s="66"/>
      <c r="H431"/>
      <c r="J431" s="16">
        <v>404238027508</v>
      </c>
      <c r="K431" s="16">
        <v>6202145788</v>
      </c>
    </row>
    <row r="432" spans="2:11" x14ac:dyDescent="0.25">
      <c r="B432" s="3">
        <v>43947</v>
      </c>
      <c r="C432" s="11">
        <v>1822</v>
      </c>
      <c r="E432" s="17" t="s">
        <v>435</v>
      </c>
      <c r="F432" s="17"/>
      <c r="G432" s="66"/>
      <c r="H432"/>
      <c r="J432" s="16">
        <v>849242889909</v>
      </c>
      <c r="K432" s="16">
        <v>7061650748</v>
      </c>
    </row>
    <row r="433" spans="2:11" x14ac:dyDescent="0.25">
      <c r="B433" s="3">
        <v>43947</v>
      </c>
      <c r="C433" s="11">
        <v>1824</v>
      </c>
      <c r="E433" s="17" t="s">
        <v>436</v>
      </c>
      <c r="F433" s="17"/>
      <c r="G433" s="66"/>
      <c r="H433"/>
      <c r="J433" s="16">
        <v>614624378365</v>
      </c>
      <c r="K433" s="16">
        <v>8187929668</v>
      </c>
    </row>
    <row r="434" spans="2:11" x14ac:dyDescent="0.25">
      <c r="B434" s="3">
        <v>43947</v>
      </c>
      <c r="C434" s="11">
        <v>1825</v>
      </c>
      <c r="E434" s="17" t="s">
        <v>437</v>
      </c>
      <c r="F434" s="17"/>
      <c r="G434" s="66"/>
      <c r="H434"/>
      <c r="J434" s="16">
        <v>318903552013</v>
      </c>
      <c r="K434" s="16">
        <v>6205032210</v>
      </c>
    </row>
    <row r="435" spans="2:11" x14ac:dyDescent="0.25">
      <c r="B435" s="3">
        <v>43947</v>
      </c>
      <c r="C435" s="11">
        <v>1827</v>
      </c>
      <c r="E435" s="17" t="s">
        <v>438</v>
      </c>
      <c r="F435" s="17"/>
      <c r="G435" s="66"/>
      <c r="H435"/>
      <c r="J435" s="16">
        <v>747973061469</v>
      </c>
      <c r="K435" s="16">
        <v>8581065810</v>
      </c>
    </row>
    <row r="436" spans="2:11" x14ac:dyDescent="0.25">
      <c r="B436" s="3">
        <v>43947</v>
      </c>
      <c r="C436" s="11">
        <v>1828</v>
      </c>
      <c r="E436" s="17" t="s">
        <v>439</v>
      </c>
      <c r="F436" s="17"/>
      <c r="G436" s="66"/>
      <c r="H436"/>
      <c r="J436" s="16">
        <v>207964434700</v>
      </c>
      <c r="K436" s="16">
        <v>9334168030</v>
      </c>
    </row>
    <row r="437" spans="2:11" x14ac:dyDescent="0.25">
      <c r="B437" s="3">
        <v>43947</v>
      </c>
      <c r="C437" s="11">
        <v>1829</v>
      </c>
      <c r="E437" s="17" t="s">
        <v>191</v>
      </c>
      <c r="F437" s="17"/>
      <c r="G437" s="66"/>
      <c r="H437"/>
      <c r="J437" s="16">
        <v>598702594282</v>
      </c>
      <c r="K437" s="16">
        <v>8340781943</v>
      </c>
    </row>
    <row r="438" spans="2:11" x14ac:dyDescent="0.25">
      <c r="B438" s="3">
        <v>43947</v>
      </c>
      <c r="C438" s="11">
        <v>1830</v>
      </c>
      <c r="E438" s="17" t="s">
        <v>440</v>
      </c>
      <c r="F438" s="17"/>
      <c r="G438" s="66"/>
      <c r="H438" t="s">
        <v>1157</v>
      </c>
      <c r="I438" s="4">
        <v>100</v>
      </c>
      <c r="J438" s="16">
        <v>469742898575</v>
      </c>
      <c r="K438" s="16">
        <v>9709971371</v>
      </c>
    </row>
    <row r="439" spans="2:11" x14ac:dyDescent="0.25">
      <c r="B439" s="3">
        <v>43947</v>
      </c>
      <c r="C439" s="11">
        <v>1831</v>
      </c>
      <c r="E439" s="17" t="s">
        <v>441</v>
      </c>
      <c r="F439" s="17"/>
      <c r="G439" s="66"/>
      <c r="H439"/>
      <c r="J439" s="16">
        <v>686699936281</v>
      </c>
      <c r="K439" s="16">
        <v>7033988520</v>
      </c>
    </row>
    <row r="440" spans="2:11" x14ac:dyDescent="0.25">
      <c r="B440" s="3">
        <v>43947</v>
      </c>
      <c r="C440" s="11">
        <v>1833</v>
      </c>
      <c r="E440" s="17" t="s">
        <v>442</v>
      </c>
      <c r="F440" s="17"/>
      <c r="G440" s="66"/>
      <c r="H440"/>
      <c r="J440" s="16">
        <v>524475760976</v>
      </c>
      <c r="K440" s="16">
        <v>8809363682</v>
      </c>
    </row>
    <row r="441" spans="2:11" x14ac:dyDescent="0.25">
      <c r="B441" s="3">
        <v>43947</v>
      </c>
      <c r="C441" s="11">
        <v>1834</v>
      </c>
      <c r="E441" s="17" t="s">
        <v>443</v>
      </c>
      <c r="F441" s="17"/>
      <c r="G441" s="66"/>
      <c r="H441"/>
      <c r="J441" s="16">
        <v>499965185785</v>
      </c>
      <c r="K441" s="16">
        <v>8340191227</v>
      </c>
    </row>
    <row r="442" spans="2:11" x14ac:dyDescent="0.25">
      <c r="B442" s="3">
        <v>43947</v>
      </c>
      <c r="C442" s="11">
        <v>1849</v>
      </c>
      <c r="E442" s="17" t="s">
        <v>444</v>
      </c>
      <c r="F442" s="17"/>
      <c r="G442" s="66"/>
      <c r="H442"/>
      <c r="J442" s="16">
        <v>794084530690</v>
      </c>
      <c r="K442" s="16">
        <v>8092687141</v>
      </c>
    </row>
    <row r="443" spans="2:11" x14ac:dyDescent="0.25">
      <c r="B443" s="3">
        <v>43947</v>
      </c>
      <c r="C443" s="11">
        <v>1850</v>
      </c>
      <c r="E443" s="17" t="s">
        <v>387</v>
      </c>
      <c r="F443" s="17"/>
      <c r="G443" s="66"/>
      <c r="H443"/>
      <c r="J443" s="16">
        <v>759809858126</v>
      </c>
      <c r="K443" s="16">
        <v>8210711404</v>
      </c>
    </row>
    <row r="444" spans="2:11" x14ac:dyDescent="0.25">
      <c r="B444" s="3">
        <v>43947</v>
      </c>
      <c r="C444" s="11">
        <v>1852</v>
      </c>
      <c r="E444" s="17" t="s">
        <v>445</v>
      </c>
      <c r="F444" s="17"/>
      <c r="G444" s="66"/>
      <c r="H444"/>
      <c r="J444" s="16">
        <v>448401703782</v>
      </c>
      <c r="K444" s="16">
        <v>9204544384</v>
      </c>
    </row>
    <row r="445" spans="2:11" x14ac:dyDescent="0.25">
      <c r="B445" s="3">
        <v>43947</v>
      </c>
      <c r="C445" s="11">
        <v>1854</v>
      </c>
      <c r="E445" s="17" t="s">
        <v>225</v>
      </c>
      <c r="F445" s="17"/>
      <c r="G445" s="66"/>
      <c r="H445"/>
      <c r="J445" s="16">
        <v>238944716492</v>
      </c>
      <c r="K445" s="16">
        <v>9102332598</v>
      </c>
    </row>
    <row r="446" spans="2:11" x14ac:dyDescent="0.25">
      <c r="B446" s="3">
        <v>43947</v>
      </c>
      <c r="C446" s="11">
        <v>1855</v>
      </c>
      <c r="E446" s="17" t="s">
        <v>446</v>
      </c>
      <c r="F446" s="17"/>
      <c r="G446" s="66"/>
      <c r="H446"/>
      <c r="J446" s="16">
        <v>514253321012</v>
      </c>
      <c r="K446" s="16">
        <v>6299163170</v>
      </c>
    </row>
    <row r="447" spans="2:11" x14ac:dyDescent="0.25">
      <c r="B447" s="3">
        <v>43947</v>
      </c>
      <c r="C447" s="11">
        <v>1863</v>
      </c>
      <c r="E447" s="17" t="s">
        <v>447</v>
      </c>
      <c r="F447" s="17"/>
      <c r="G447" s="66"/>
      <c r="H447"/>
      <c r="J447" s="16">
        <v>922243414872</v>
      </c>
      <c r="K447" s="16">
        <v>9470577899</v>
      </c>
    </row>
    <row r="448" spans="2:11" x14ac:dyDescent="0.25">
      <c r="B448" s="3">
        <v>43950</v>
      </c>
      <c r="C448" s="11">
        <v>1881</v>
      </c>
      <c r="E448" s="17" t="s">
        <v>99</v>
      </c>
      <c r="F448" s="17"/>
      <c r="G448" s="66"/>
      <c r="H448"/>
      <c r="J448" s="16">
        <v>369534862105</v>
      </c>
      <c r="K448" s="16">
        <v>7631310395</v>
      </c>
    </row>
    <row r="449" spans="2:11" x14ac:dyDescent="0.25">
      <c r="B449" s="3">
        <v>43950</v>
      </c>
      <c r="C449" s="11">
        <v>1882</v>
      </c>
      <c r="E449" s="17" t="s">
        <v>448</v>
      </c>
      <c r="F449" s="17"/>
      <c r="G449" s="66"/>
      <c r="H449"/>
      <c r="J449" s="16">
        <v>302606578732</v>
      </c>
      <c r="K449" s="16">
        <v>6202447176</v>
      </c>
    </row>
    <row r="450" spans="2:11" x14ac:dyDescent="0.25">
      <c r="B450" s="3">
        <v>43950</v>
      </c>
      <c r="C450" s="11">
        <v>1883</v>
      </c>
      <c r="E450" s="17" t="s">
        <v>449</v>
      </c>
      <c r="F450" s="17"/>
      <c r="G450" s="66"/>
      <c r="H450"/>
      <c r="J450" s="16">
        <v>563649948732</v>
      </c>
      <c r="K450" s="16">
        <v>6202880322</v>
      </c>
    </row>
    <row r="451" spans="2:11" x14ac:dyDescent="0.25">
      <c r="B451" s="3">
        <v>43950</v>
      </c>
      <c r="C451" s="11">
        <v>1884</v>
      </c>
      <c r="E451" s="17" t="s">
        <v>450</v>
      </c>
      <c r="F451" s="17"/>
      <c r="G451" s="66"/>
      <c r="H451"/>
      <c r="J451" s="16">
        <v>944868120015</v>
      </c>
      <c r="K451" s="16">
        <v>6203393305</v>
      </c>
    </row>
    <row r="452" spans="2:11" x14ac:dyDescent="0.25">
      <c r="B452" s="3">
        <v>43950</v>
      </c>
      <c r="C452" s="11">
        <v>1885</v>
      </c>
      <c r="E452" s="17" t="s">
        <v>451</v>
      </c>
      <c r="F452" s="17"/>
      <c r="G452" s="66"/>
      <c r="H452"/>
      <c r="J452" s="16">
        <v>782108220861</v>
      </c>
      <c r="K452" s="16">
        <v>7209261340</v>
      </c>
    </row>
    <row r="453" spans="2:11" x14ac:dyDescent="0.25">
      <c r="B453" s="3">
        <v>43950</v>
      </c>
      <c r="C453" s="11">
        <v>1886</v>
      </c>
      <c r="E453" s="17" t="s">
        <v>452</v>
      </c>
      <c r="F453" s="17"/>
      <c r="G453" s="66"/>
      <c r="H453"/>
      <c r="J453" s="16">
        <v>551940226738</v>
      </c>
      <c r="K453" s="16">
        <v>6204332120</v>
      </c>
    </row>
    <row r="454" spans="2:11" x14ac:dyDescent="0.25">
      <c r="B454" s="3">
        <v>43950</v>
      </c>
      <c r="C454" s="11">
        <v>1887</v>
      </c>
      <c r="E454" s="17" t="s">
        <v>453</v>
      </c>
      <c r="F454" s="17"/>
      <c r="G454" s="66"/>
      <c r="H454"/>
      <c r="J454" s="16">
        <v>206279528373</v>
      </c>
      <c r="K454" s="16">
        <v>7209600112</v>
      </c>
    </row>
    <row r="455" spans="2:11" x14ac:dyDescent="0.25">
      <c r="B455" s="3">
        <v>43950</v>
      </c>
      <c r="C455" s="11">
        <v>1888</v>
      </c>
      <c r="E455" s="17" t="s">
        <v>454</v>
      </c>
      <c r="F455" s="17"/>
      <c r="G455" s="66"/>
      <c r="H455"/>
      <c r="J455" s="16">
        <v>904711874590</v>
      </c>
      <c r="K455" s="16">
        <v>9279723559</v>
      </c>
    </row>
    <row r="456" spans="2:11" x14ac:dyDescent="0.25">
      <c r="B456" s="3">
        <v>43950</v>
      </c>
      <c r="C456" s="11">
        <v>1889</v>
      </c>
      <c r="E456" s="17" t="s">
        <v>455</v>
      </c>
      <c r="F456" s="17"/>
      <c r="G456" s="66"/>
      <c r="H456"/>
      <c r="J456" s="16">
        <v>814601190923</v>
      </c>
      <c r="K456" s="16">
        <v>6204375061</v>
      </c>
    </row>
    <row r="457" spans="2:11" x14ac:dyDescent="0.25">
      <c r="B457" s="3">
        <v>43950</v>
      </c>
      <c r="C457" s="11">
        <v>1890</v>
      </c>
      <c r="E457" s="17" t="s">
        <v>456</v>
      </c>
      <c r="F457" s="17"/>
      <c r="G457" s="18">
        <v>32294</v>
      </c>
      <c r="H457"/>
      <c r="J457" s="16">
        <v>824547016499</v>
      </c>
      <c r="K457" s="16">
        <v>8235232493</v>
      </c>
    </row>
    <row r="458" spans="2:11" x14ac:dyDescent="0.25">
      <c r="B458" s="3">
        <v>43950</v>
      </c>
      <c r="C458" s="11">
        <v>1891</v>
      </c>
      <c r="E458" s="17" t="s">
        <v>457</v>
      </c>
      <c r="F458" s="17"/>
      <c r="G458" s="66"/>
      <c r="H458"/>
      <c r="J458" s="16">
        <v>602718601875</v>
      </c>
      <c r="K458" s="16">
        <v>9031398273</v>
      </c>
    </row>
    <row r="459" spans="2:11" x14ac:dyDescent="0.25">
      <c r="B459" s="3">
        <v>43950</v>
      </c>
      <c r="C459" s="11">
        <v>1892</v>
      </c>
      <c r="E459" s="17" t="s">
        <v>458</v>
      </c>
      <c r="F459" s="17"/>
      <c r="G459" s="66"/>
      <c r="H459"/>
      <c r="J459" s="16">
        <v>670590102714</v>
      </c>
      <c r="K459" s="16">
        <v>7992286091</v>
      </c>
    </row>
    <row r="460" spans="2:11" x14ac:dyDescent="0.25">
      <c r="B460" s="3">
        <v>43950</v>
      </c>
      <c r="C460" s="11">
        <v>1893</v>
      </c>
      <c r="E460" s="17" t="s">
        <v>459</v>
      </c>
      <c r="F460" s="17"/>
      <c r="G460" s="66"/>
      <c r="H460"/>
      <c r="J460" s="16">
        <v>813149910276</v>
      </c>
      <c r="K460" s="16">
        <v>8797673970</v>
      </c>
    </row>
    <row r="461" spans="2:11" x14ac:dyDescent="0.25">
      <c r="B461" s="3">
        <v>43950</v>
      </c>
      <c r="C461" s="11">
        <v>1894</v>
      </c>
      <c r="E461" s="17" t="s">
        <v>460</v>
      </c>
      <c r="F461" s="17"/>
      <c r="G461" s="66"/>
      <c r="H461"/>
      <c r="J461" s="16">
        <v>528333402344</v>
      </c>
      <c r="K461" s="16">
        <v>8228811777</v>
      </c>
    </row>
    <row r="462" spans="2:11" x14ac:dyDescent="0.25">
      <c r="B462" s="3">
        <v>43950</v>
      </c>
      <c r="C462" s="11">
        <v>1895</v>
      </c>
      <c r="E462" s="17" t="s">
        <v>461</v>
      </c>
      <c r="F462" s="17"/>
      <c r="G462" s="66"/>
      <c r="H462"/>
      <c r="J462" s="16">
        <v>986017332826</v>
      </c>
      <c r="K462" s="16">
        <v>9934072904</v>
      </c>
    </row>
    <row r="463" spans="2:11" x14ac:dyDescent="0.25">
      <c r="B463" s="3">
        <v>43950</v>
      </c>
      <c r="C463" s="11">
        <v>1898</v>
      </c>
      <c r="E463" s="17" t="s">
        <v>462</v>
      </c>
      <c r="F463" s="17"/>
      <c r="G463" s="66"/>
      <c r="H463"/>
      <c r="J463" s="16">
        <v>801981226057</v>
      </c>
      <c r="K463" s="16">
        <v>7979780632</v>
      </c>
    </row>
    <row r="464" spans="2:11" x14ac:dyDescent="0.25">
      <c r="B464" s="3">
        <v>43950</v>
      </c>
      <c r="C464" s="11" t="s">
        <v>1551</v>
      </c>
      <c r="E464" s="17" t="s">
        <v>463</v>
      </c>
      <c r="F464" s="17"/>
      <c r="G464" s="66"/>
      <c r="H464"/>
      <c r="J464" s="16">
        <v>824835928365</v>
      </c>
      <c r="K464" s="16">
        <v>7654999370</v>
      </c>
    </row>
    <row r="465" spans="2:11" x14ac:dyDescent="0.25">
      <c r="B465" s="3">
        <v>43950</v>
      </c>
      <c r="C465" s="11">
        <v>1901</v>
      </c>
      <c r="E465" s="17" t="s">
        <v>464</v>
      </c>
      <c r="F465" s="17"/>
      <c r="G465" s="66"/>
      <c r="H465"/>
      <c r="J465" s="16">
        <v>316753576350</v>
      </c>
      <c r="K465" s="16">
        <v>8235656203</v>
      </c>
    </row>
    <row r="466" spans="2:11" x14ac:dyDescent="0.25">
      <c r="B466" s="3">
        <v>43950</v>
      </c>
      <c r="C466" s="11">
        <v>1902</v>
      </c>
      <c r="E466" s="17" t="s">
        <v>225</v>
      </c>
      <c r="F466" s="17"/>
      <c r="G466" s="66"/>
      <c r="H466"/>
      <c r="J466" s="16">
        <v>496875950301</v>
      </c>
      <c r="K466" s="16">
        <v>6203004262</v>
      </c>
    </row>
    <row r="467" spans="2:11" x14ac:dyDescent="0.25">
      <c r="B467" s="3">
        <v>43950</v>
      </c>
      <c r="C467" s="11">
        <v>1903</v>
      </c>
      <c r="E467" s="17" t="s">
        <v>465</v>
      </c>
      <c r="F467" s="17"/>
      <c r="G467" s="66"/>
      <c r="H467"/>
      <c r="J467" s="16">
        <v>848605168978</v>
      </c>
      <c r="K467" s="16">
        <v>6200014906</v>
      </c>
    </row>
    <row r="468" spans="2:11" x14ac:dyDescent="0.25">
      <c r="B468" s="3">
        <v>43950</v>
      </c>
      <c r="C468" s="11">
        <v>1905</v>
      </c>
      <c r="E468" s="17" t="s">
        <v>466</v>
      </c>
      <c r="F468" s="17"/>
      <c r="G468" s="66"/>
      <c r="H468"/>
      <c r="J468" s="16">
        <v>437704291016</v>
      </c>
      <c r="K468" s="16">
        <v>9835075551</v>
      </c>
    </row>
    <row r="469" spans="2:11" x14ac:dyDescent="0.25">
      <c r="B469" s="3">
        <v>43950</v>
      </c>
      <c r="C469" s="11">
        <v>1906</v>
      </c>
      <c r="E469" s="17" t="s">
        <v>467</v>
      </c>
      <c r="F469" s="17"/>
      <c r="G469" s="66"/>
      <c r="H469"/>
      <c r="J469" s="16">
        <v>288472849283</v>
      </c>
      <c r="K469" s="16">
        <v>6205505607</v>
      </c>
    </row>
    <row r="470" spans="2:11" x14ac:dyDescent="0.25">
      <c r="B470" s="3">
        <v>43950</v>
      </c>
      <c r="C470" s="11">
        <v>1909</v>
      </c>
      <c r="E470" s="17" t="s">
        <v>468</v>
      </c>
      <c r="F470" s="17"/>
      <c r="G470" s="66"/>
      <c r="H470"/>
      <c r="J470" s="16">
        <v>352013366619</v>
      </c>
      <c r="K470" s="16">
        <v>9263293122</v>
      </c>
    </row>
    <row r="471" spans="2:11" x14ac:dyDescent="0.25">
      <c r="B471" s="3">
        <v>43950</v>
      </c>
      <c r="C471" s="11">
        <v>1910</v>
      </c>
      <c r="E471" s="17" t="s">
        <v>469</v>
      </c>
      <c r="F471" s="17"/>
      <c r="G471" s="66"/>
      <c r="H471"/>
      <c r="J471" s="16">
        <v>859311970886</v>
      </c>
      <c r="K471" s="16">
        <v>9334450932</v>
      </c>
    </row>
    <row r="472" spans="2:11" x14ac:dyDescent="0.25">
      <c r="B472" s="3">
        <v>43950</v>
      </c>
      <c r="C472" s="11">
        <v>1911</v>
      </c>
      <c r="E472" s="17" t="s">
        <v>470</v>
      </c>
      <c r="F472" s="17"/>
      <c r="G472" s="66"/>
      <c r="H472"/>
      <c r="J472" s="16">
        <v>829093807207</v>
      </c>
      <c r="K472" s="16">
        <v>7061889052</v>
      </c>
    </row>
    <row r="473" spans="2:11" x14ac:dyDescent="0.25">
      <c r="B473" s="3">
        <v>43950</v>
      </c>
      <c r="C473" s="11">
        <v>1912</v>
      </c>
      <c r="E473" s="17" t="s">
        <v>471</v>
      </c>
      <c r="F473" s="17"/>
      <c r="G473" s="66"/>
      <c r="H473"/>
      <c r="J473" s="16">
        <v>855081206111</v>
      </c>
      <c r="K473" s="16">
        <v>9931335897</v>
      </c>
    </row>
    <row r="474" spans="2:11" x14ac:dyDescent="0.25">
      <c r="B474" s="3">
        <v>43950</v>
      </c>
      <c r="C474" s="11">
        <v>1913</v>
      </c>
      <c r="E474" s="17" t="s">
        <v>472</v>
      </c>
      <c r="F474" s="17"/>
      <c r="G474" s="66"/>
      <c r="H474"/>
      <c r="J474" s="16">
        <v>926001873104</v>
      </c>
      <c r="K474" s="16">
        <v>8102353096</v>
      </c>
    </row>
    <row r="475" spans="2:11" x14ac:dyDescent="0.25">
      <c r="B475" s="3">
        <v>43950</v>
      </c>
      <c r="C475" s="11">
        <v>1914</v>
      </c>
      <c r="E475" s="17" t="s">
        <v>473</v>
      </c>
      <c r="F475" s="17"/>
      <c r="G475" s="66"/>
      <c r="H475"/>
      <c r="J475" s="16">
        <v>849881497235</v>
      </c>
      <c r="K475" s="16">
        <v>9263349780</v>
      </c>
    </row>
    <row r="476" spans="2:11" x14ac:dyDescent="0.25">
      <c r="B476" s="3">
        <v>43950</v>
      </c>
      <c r="C476" s="11">
        <v>1915</v>
      </c>
      <c r="E476" s="17" t="s">
        <v>474</v>
      </c>
      <c r="F476" s="17"/>
      <c r="G476" s="66"/>
      <c r="H476"/>
      <c r="J476" s="16">
        <v>929198334745</v>
      </c>
      <c r="K476" s="16">
        <v>6203534989</v>
      </c>
    </row>
    <row r="477" spans="2:11" x14ac:dyDescent="0.25">
      <c r="B477" s="3">
        <v>43950</v>
      </c>
      <c r="C477" s="11">
        <v>1916</v>
      </c>
      <c r="E477" s="17" t="s">
        <v>475</v>
      </c>
      <c r="F477" s="17"/>
      <c r="G477" s="66"/>
      <c r="H477"/>
      <c r="J477" s="16">
        <v>386265767939</v>
      </c>
      <c r="K477" s="16">
        <v>9801828792</v>
      </c>
    </row>
    <row r="478" spans="2:11" x14ac:dyDescent="0.25">
      <c r="B478" s="3">
        <v>43950</v>
      </c>
      <c r="C478" s="11">
        <v>1917</v>
      </c>
      <c r="E478" s="17" t="s">
        <v>476</v>
      </c>
      <c r="F478" s="17"/>
      <c r="G478" s="66"/>
      <c r="H478"/>
      <c r="J478" s="16">
        <v>367417751235</v>
      </c>
      <c r="K478" s="16">
        <v>6200258754</v>
      </c>
    </row>
    <row r="479" spans="2:11" x14ac:dyDescent="0.25">
      <c r="B479" s="3">
        <v>43951</v>
      </c>
      <c r="C479" s="11">
        <v>1920</v>
      </c>
      <c r="E479" s="17" t="s">
        <v>477</v>
      </c>
      <c r="F479" s="17"/>
      <c r="G479" s="66"/>
      <c r="H479"/>
      <c r="J479" s="16">
        <v>583254842817</v>
      </c>
      <c r="K479" s="16">
        <v>7209392491</v>
      </c>
    </row>
    <row r="480" spans="2:11" x14ac:dyDescent="0.25">
      <c r="B480" s="3">
        <v>43951</v>
      </c>
      <c r="C480" s="11">
        <v>1921</v>
      </c>
      <c r="E480" s="17" t="s">
        <v>478</v>
      </c>
      <c r="F480" s="17"/>
      <c r="G480" s="66"/>
      <c r="H480"/>
      <c r="J480" s="16">
        <v>883760543340</v>
      </c>
      <c r="K480" s="16">
        <v>7903007733</v>
      </c>
    </row>
    <row r="481" spans="2:11" x14ac:dyDescent="0.25">
      <c r="B481" s="3">
        <v>43951</v>
      </c>
      <c r="C481" s="11">
        <v>1922</v>
      </c>
      <c r="E481" s="17" t="s">
        <v>479</v>
      </c>
      <c r="F481" s="17"/>
      <c r="G481" s="66"/>
      <c r="H481"/>
      <c r="J481" s="16">
        <v>937209851866</v>
      </c>
      <c r="K481" s="16">
        <v>8797582019</v>
      </c>
    </row>
    <row r="482" spans="2:11" x14ac:dyDescent="0.25">
      <c r="B482" s="3">
        <v>43951</v>
      </c>
      <c r="C482" s="11">
        <v>1925</v>
      </c>
      <c r="E482" s="17" t="s">
        <v>480</v>
      </c>
      <c r="F482" s="17"/>
      <c r="G482" s="66"/>
      <c r="H482"/>
      <c r="J482" s="16">
        <v>642846787844</v>
      </c>
      <c r="K482" s="16">
        <v>6206278090</v>
      </c>
    </row>
    <row r="483" spans="2:11" x14ac:dyDescent="0.25">
      <c r="B483" s="3">
        <v>43951</v>
      </c>
      <c r="C483" s="11">
        <v>1926</v>
      </c>
      <c r="E483" s="17" t="s">
        <v>481</v>
      </c>
      <c r="F483" s="17"/>
      <c r="G483" s="66"/>
      <c r="H483"/>
      <c r="J483" s="16">
        <v>733628405667</v>
      </c>
      <c r="K483" s="16">
        <v>7292895380</v>
      </c>
    </row>
    <row r="484" spans="2:11" x14ac:dyDescent="0.25">
      <c r="B484" s="3">
        <v>43951</v>
      </c>
      <c r="C484" s="11">
        <v>1928</v>
      </c>
      <c r="E484" s="17" t="s">
        <v>482</v>
      </c>
      <c r="F484" s="17"/>
      <c r="G484" s="66"/>
      <c r="H484"/>
      <c r="J484" s="16">
        <v>732390096456</v>
      </c>
      <c r="K484" s="16">
        <v>7667508287</v>
      </c>
    </row>
    <row r="485" spans="2:11" x14ac:dyDescent="0.25">
      <c r="B485" s="3">
        <v>43951</v>
      </c>
      <c r="C485" s="11">
        <v>1929</v>
      </c>
      <c r="E485" s="17" t="s">
        <v>483</v>
      </c>
      <c r="F485" s="17"/>
      <c r="G485" s="66"/>
      <c r="H485"/>
      <c r="J485" s="16">
        <v>558705760491</v>
      </c>
      <c r="K485" s="16">
        <v>8287867176</v>
      </c>
    </row>
    <row r="486" spans="2:11" x14ac:dyDescent="0.25">
      <c r="B486" s="3">
        <v>43951</v>
      </c>
      <c r="C486" s="11">
        <v>1930</v>
      </c>
      <c r="E486" s="17" t="s">
        <v>484</v>
      </c>
      <c r="F486" s="17"/>
      <c r="G486" s="66"/>
      <c r="H486"/>
      <c r="J486" s="16">
        <v>711264824019</v>
      </c>
      <c r="K486" s="16">
        <v>6207188708</v>
      </c>
    </row>
    <row r="487" spans="2:11" x14ac:dyDescent="0.25">
      <c r="B487" s="3">
        <v>43951</v>
      </c>
      <c r="C487" s="11">
        <v>1931</v>
      </c>
      <c r="E487" s="17" t="s">
        <v>485</v>
      </c>
      <c r="F487" s="17"/>
      <c r="G487" s="66"/>
      <c r="H487"/>
      <c r="J487" s="16">
        <v>533361030897</v>
      </c>
      <c r="K487" s="16">
        <v>9525112613</v>
      </c>
    </row>
    <row r="488" spans="2:11" x14ac:dyDescent="0.25">
      <c r="B488" s="3">
        <v>43951</v>
      </c>
      <c r="C488" s="11">
        <v>1932</v>
      </c>
      <c r="E488" s="17" t="s">
        <v>486</v>
      </c>
      <c r="F488" s="17"/>
      <c r="G488" s="66"/>
      <c r="H488"/>
      <c r="J488" s="16">
        <v>710819724554</v>
      </c>
      <c r="K488" s="16">
        <v>7250264131</v>
      </c>
    </row>
    <row r="489" spans="2:11" x14ac:dyDescent="0.25">
      <c r="B489" s="3">
        <v>43951</v>
      </c>
      <c r="C489" s="11">
        <v>1934</v>
      </c>
      <c r="E489" s="17" t="s">
        <v>487</v>
      </c>
      <c r="F489" s="17"/>
      <c r="G489" s="66"/>
      <c r="H489"/>
      <c r="J489" s="16">
        <v>587114735304</v>
      </c>
      <c r="K489" s="16">
        <v>9060980476</v>
      </c>
    </row>
    <row r="490" spans="2:11" x14ac:dyDescent="0.25">
      <c r="B490" s="3">
        <v>43951</v>
      </c>
      <c r="C490" s="11">
        <v>1938</v>
      </c>
      <c r="E490" s="17" t="s">
        <v>488</v>
      </c>
      <c r="F490" s="17"/>
      <c r="G490" s="66"/>
      <c r="H490"/>
      <c r="J490" s="16">
        <v>269330515527</v>
      </c>
      <c r="K490" s="16">
        <v>8434646898</v>
      </c>
    </row>
    <row r="491" spans="2:11" x14ac:dyDescent="0.25">
      <c r="B491" s="3">
        <v>43951</v>
      </c>
      <c r="C491" s="11">
        <v>1940</v>
      </c>
      <c r="E491" s="17" t="s">
        <v>489</v>
      </c>
      <c r="F491" s="17"/>
      <c r="G491" s="66"/>
      <c r="H491"/>
      <c r="J491" s="16">
        <v>795734482810</v>
      </c>
      <c r="K491" s="16">
        <v>7557755037</v>
      </c>
    </row>
    <row r="492" spans="2:11" x14ac:dyDescent="0.25">
      <c r="B492" s="3">
        <v>43951</v>
      </c>
      <c r="C492" s="11">
        <v>1942</v>
      </c>
      <c r="E492" s="17" t="s">
        <v>490</v>
      </c>
      <c r="F492" s="17"/>
      <c r="G492" s="66"/>
      <c r="H492"/>
      <c r="J492" s="16">
        <v>745196993630</v>
      </c>
      <c r="K492" s="16">
        <v>8710039497</v>
      </c>
    </row>
    <row r="493" spans="2:11" x14ac:dyDescent="0.25">
      <c r="B493" s="3">
        <v>43951</v>
      </c>
      <c r="C493" s="11">
        <v>1944</v>
      </c>
      <c r="E493" s="17" t="s">
        <v>491</v>
      </c>
      <c r="F493" s="17"/>
      <c r="G493" s="66"/>
      <c r="H493"/>
      <c r="J493" s="16">
        <v>771549676955</v>
      </c>
      <c r="K493" s="16">
        <v>9123479082</v>
      </c>
    </row>
    <row r="494" spans="2:11" x14ac:dyDescent="0.25">
      <c r="B494" s="3">
        <v>43951</v>
      </c>
      <c r="C494" s="11">
        <v>1945</v>
      </c>
      <c r="E494" s="17" t="s">
        <v>492</v>
      </c>
      <c r="F494" s="17"/>
      <c r="G494" s="66"/>
      <c r="H494"/>
      <c r="J494" s="16">
        <v>836739775875</v>
      </c>
      <c r="K494" s="16">
        <v>6205908083</v>
      </c>
    </row>
    <row r="495" spans="2:11" x14ac:dyDescent="0.25">
      <c r="B495" s="3">
        <v>43951</v>
      </c>
      <c r="C495" s="11">
        <v>1947</v>
      </c>
      <c r="E495" s="17" t="s">
        <v>493</v>
      </c>
      <c r="F495" s="17"/>
      <c r="G495" s="66"/>
      <c r="H495"/>
      <c r="J495" s="16">
        <v>281119035669</v>
      </c>
      <c r="K495" s="16">
        <v>8709357819</v>
      </c>
    </row>
    <row r="496" spans="2:11" x14ac:dyDescent="0.25">
      <c r="B496" s="3">
        <v>43951</v>
      </c>
      <c r="C496" s="11">
        <v>1948</v>
      </c>
      <c r="E496" s="17" t="s">
        <v>494</v>
      </c>
      <c r="F496" s="17"/>
      <c r="G496" s="66"/>
      <c r="H496"/>
      <c r="J496" s="16">
        <v>241119806512</v>
      </c>
      <c r="K496" s="16">
        <v>6205771614</v>
      </c>
    </row>
    <row r="497" spans="2:11" x14ac:dyDescent="0.25">
      <c r="B497" s="3">
        <v>43951</v>
      </c>
      <c r="C497" s="11">
        <v>1950</v>
      </c>
      <c r="E497" s="17" t="s">
        <v>495</v>
      </c>
      <c r="F497" s="17"/>
      <c r="G497" s="66"/>
      <c r="H497"/>
      <c r="J497" s="16">
        <v>803357444164</v>
      </c>
      <c r="K497" s="16">
        <v>8271187781</v>
      </c>
    </row>
    <row r="498" spans="2:11" x14ac:dyDescent="0.25">
      <c r="B498" s="3">
        <v>43951</v>
      </c>
      <c r="C498" s="11">
        <v>1953</v>
      </c>
      <c r="E498" s="17" t="s">
        <v>496</v>
      </c>
      <c r="F498" s="17"/>
      <c r="G498" s="66"/>
      <c r="H498" t="s">
        <v>1162</v>
      </c>
      <c r="I498" s="4">
        <v>100</v>
      </c>
      <c r="J498" s="16">
        <v>973798727377</v>
      </c>
      <c r="K498" s="16">
        <v>6203365885</v>
      </c>
    </row>
    <row r="499" spans="2:11" x14ac:dyDescent="0.25">
      <c r="B499" s="3">
        <v>43951</v>
      </c>
      <c r="C499" s="11">
        <v>1954</v>
      </c>
      <c r="E499" s="17" t="s">
        <v>497</v>
      </c>
      <c r="F499" s="17"/>
      <c r="G499" s="66"/>
      <c r="H499" t="s">
        <v>1161</v>
      </c>
      <c r="I499" s="4">
        <v>100</v>
      </c>
      <c r="J499" s="16">
        <v>629735817332</v>
      </c>
      <c r="K499" s="16">
        <v>6205471371</v>
      </c>
    </row>
    <row r="500" spans="2:11" x14ac:dyDescent="0.25">
      <c r="B500" s="3">
        <v>43951</v>
      </c>
      <c r="C500" s="11">
        <v>1957</v>
      </c>
      <c r="E500" s="17" t="s">
        <v>498</v>
      </c>
      <c r="F500" s="17"/>
      <c r="G500" s="66"/>
      <c r="H500"/>
      <c r="J500" s="16">
        <v>216132883459</v>
      </c>
      <c r="K500" s="16">
        <v>9955362241</v>
      </c>
    </row>
    <row r="501" spans="2:11" x14ac:dyDescent="0.25">
      <c r="B501" s="3">
        <v>43951</v>
      </c>
      <c r="C501" s="11">
        <v>1958</v>
      </c>
      <c r="E501" s="17" t="s">
        <v>499</v>
      </c>
      <c r="F501" s="17"/>
      <c r="G501" s="66"/>
      <c r="H501"/>
      <c r="J501" s="16">
        <v>556871851256</v>
      </c>
      <c r="K501" s="16">
        <v>7033628673</v>
      </c>
    </row>
    <row r="502" spans="2:11" x14ac:dyDescent="0.25">
      <c r="B502" s="3">
        <v>43951</v>
      </c>
      <c r="C502" s="11">
        <v>1959</v>
      </c>
      <c r="E502" s="17" t="s">
        <v>500</v>
      </c>
      <c r="F502" s="17"/>
      <c r="G502" s="66"/>
      <c r="H502"/>
      <c r="J502" s="16">
        <v>979491639513</v>
      </c>
      <c r="K502" s="16">
        <v>8340239496</v>
      </c>
    </row>
    <row r="503" spans="2:11" x14ac:dyDescent="0.25">
      <c r="B503" s="3">
        <v>43951</v>
      </c>
      <c r="C503" s="11">
        <v>1961</v>
      </c>
      <c r="E503" s="17" t="s">
        <v>501</v>
      </c>
      <c r="F503" s="17"/>
      <c r="G503" s="66"/>
      <c r="H503"/>
      <c r="J503" s="16">
        <v>612060912293</v>
      </c>
      <c r="K503" s="16">
        <v>8092658128</v>
      </c>
    </row>
    <row r="504" spans="2:11" x14ac:dyDescent="0.25">
      <c r="B504" s="3">
        <v>43951</v>
      </c>
      <c r="C504" s="11">
        <v>1962</v>
      </c>
      <c r="E504" s="17" t="s">
        <v>502</v>
      </c>
      <c r="F504" s="17"/>
      <c r="G504" s="66"/>
      <c r="H504"/>
      <c r="J504" s="16">
        <v>915622950926</v>
      </c>
      <c r="K504" s="16">
        <v>9334619959</v>
      </c>
    </row>
    <row r="505" spans="2:11" x14ac:dyDescent="0.25">
      <c r="B505" s="3">
        <v>43951</v>
      </c>
      <c r="C505" s="11">
        <v>1964</v>
      </c>
      <c r="E505" s="17" t="s">
        <v>503</v>
      </c>
      <c r="F505" s="17"/>
      <c r="G505" s="66"/>
      <c r="H505"/>
      <c r="J505" s="16">
        <v>234936487611</v>
      </c>
      <c r="K505" s="16">
        <v>8409371937</v>
      </c>
    </row>
    <row r="506" spans="2:11" x14ac:dyDescent="0.25">
      <c r="B506" s="3">
        <v>43951</v>
      </c>
      <c r="C506" s="11">
        <v>1965</v>
      </c>
      <c r="E506" s="17" t="s">
        <v>504</v>
      </c>
      <c r="F506" s="17"/>
      <c r="G506" s="66"/>
      <c r="H506"/>
      <c r="J506" s="16">
        <v>524673640030</v>
      </c>
      <c r="K506" s="16">
        <v>8271187781</v>
      </c>
    </row>
    <row r="507" spans="2:11" x14ac:dyDescent="0.25">
      <c r="B507" s="3">
        <v>43951</v>
      </c>
      <c r="C507" s="11">
        <v>1966</v>
      </c>
      <c r="E507" s="17" t="s">
        <v>505</v>
      </c>
      <c r="F507" s="17"/>
      <c r="G507" s="66"/>
      <c r="H507"/>
      <c r="J507" s="16">
        <v>762795781974</v>
      </c>
      <c r="K507" s="16">
        <v>7488085286</v>
      </c>
    </row>
    <row r="508" spans="2:11" x14ac:dyDescent="0.25">
      <c r="B508" s="3">
        <v>43951</v>
      </c>
      <c r="C508" s="11">
        <v>1967</v>
      </c>
      <c r="E508" s="17" t="s">
        <v>506</v>
      </c>
      <c r="F508" s="17"/>
      <c r="G508" s="66"/>
      <c r="H508"/>
      <c r="J508" s="16">
        <v>960651688540</v>
      </c>
      <c r="K508" s="16">
        <v>6205495182</v>
      </c>
    </row>
    <row r="509" spans="2:11" x14ac:dyDescent="0.25">
      <c r="B509" s="3">
        <v>43951</v>
      </c>
      <c r="C509" s="11">
        <v>1969</v>
      </c>
      <c r="E509" s="17" t="s">
        <v>507</v>
      </c>
      <c r="F509" s="17"/>
      <c r="G509" s="66"/>
      <c r="H509"/>
      <c r="J509" s="16">
        <v>364246031314</v>
      </c>
      <c r="K509" s="16">
        <v>7209648621</v>
      </c>
    </row>
    <row r="510" spans="2:11" x14ac:dyDescent="0.25">
      <c r="B510" s="3">
        <v>43951</v>
      </c>
      <c r="C510" s="11">
        <v>1971</v>
      </c>
      <c r="E510" s="17" t="s">
        <v>508</v>
      </c>
      <c r="F510" s="17"/>
      <c r="G510" s="66"/>
      <c r="H510"/>
      <c r="J510" s="16">
        <v>200329089928</v>
      </c>
      <c r="K510" s="16">
        <v>9693188030</v>
      </c>
    </row>
    <row r="511" spans="2:11" x14ac:dyDescent="0.25">
      <c r="B511" s="3">
        <v>43951</v>
      </c>
      <c r="C511" s="11">
        <v>1972</v>
      </c>
      <c r="E511" s="17" t="s">
        <v>509</v>
      </c>
      <c r="F511" s="17"/>
      <c r="G511" s="66"/>
      <c r="H511"/>
      <c r="J511" s="16">
        <v>928358407057</v>
      </c>
      <c r="K511" s="16">
        <v>7488385720</v>
      </c>
    </row>
    <row r="512" spans="2:11" x14ac:dyDescent="0.25">
      <c r="B512" s="3">
        <v>43951</v>
      </c>
      <c r="C512" s="11">
        <v>1973</v>
      </c>
      <c r="E512" s="17" t="s">
        <v>510</v>
      </c>
      <c r="F512" s="17"/>
      <c r="G512" s="66"/>
      <c r="H512"/>
      <c r="J512" s="16">
        <v>347377946289</v>
      </c>
      <c r="K512" s="16">
        <v>8674803069</v>
      </c>
    </row>
    <row r="513" spans="2:15" x14ac:dyDescent="0.25">
      <c r="B513" s="3">
        <v>43951</v>
      </c>
      <c r="C513" s="11">
        <v>1975</v>
      </c>
      <c r="E513" s="17" t="s">
        <v>511</v>
      </c>
      <c r="F513" s="17"/>
      <c r="G513" s="66"/>
      <c r="H513"/>
      <c r="J513" s="16">
        <v>976670000389</v>
      </c>
      <c r="K513" s="16">
        <v>7209980860</v>
      </c>
      <c r="O513" s="4" t="s">
        <v>16</v>
      </c>
    </row>
    <row r="514" spans="2:15" x14ac:dyDescent="0.25">
      <c r="B514" s="3">
        <v>43951</v>
      </c>
      <c r="C514" s="11">
        <v>1976</v>
      </c>
      <c r="E514" s="17" t="s">
        <v>512</v>
      </c>
      <c r="F514" s="17"/>
      <c r="G514" s="66"/>
      <c r="H514"/>
      <c r="J514" s="16">
        <v>837820579195</v>
      </c>
      <c r="K514" s="16">
        <v>9204267336</v>
      </c>
    </row>
    <row r="515" spans="2:15" x14ac:dyDescent="0.25">
      <c r="B515" s="3">
        <v>43951</v>
      </c>
      <c r="C515" s="11">
        <v>1977</v>
      </c>
      <c r="E515" s="17" t="s">
        <v>513</v>
      </c>
      <c r="F515" s="17"/>
      <c r="G515" s="66"/>
      <c r="H515"/>
      <c r="J515" s="16">
        <v>207286705333</v>
      </c>
      <c r="K515" s="16">
        <v>9204024939</v>
      </c>
    </row>
    <row r="516" spans="2:15" x14ac:dyDescent="0.25">
      <c r="B516" s="3">
        <v>43951</v>
      </c>
      <c r="C516" s="11">
        <v>1978</v>
      </c>
      <c r="E516" s="17" t="s">
        <v>514</v>
      </c>
      <c r="F516" s="17"/>
      <c r="G516" s="66"/>
      <c r="H516"/>
      <c r="J516" s="16">
        <v>787741946794</v>
      </c>
      <c r="K516" s="16">
        <v>7209469367</v>
      </c>
    </row>
    <row r="517" spans="2:15" x14ac:dyDescent="0.25">
      <c r="B517" s="3">
        <v>43951</v>
      </c>
      <c r="C517" s="11">
        <v>1979</v>
      </c>
      <c r="E517" s="19" t="s">
        <v>515</v>
      </c>
      <c r="F517" s="19"/>
      <c r="G517" s="67"/>
      <c r="H517" t="s">
        <v>1152</v>
      </c>
      <c r="I517" s="4">
        <v>100</v>
      </c>
      <c r="J517" s="16">
        <v>663941280372</v>
      </c>
      <c r="K517" s="16">
        <v>7079945884</v>
      </c>
    </row>
    <row r="518" spans="2:15" x14ac:dyDescent="0.25">
      <c r="B518" s="3">
        <v>43951</v>
      </c>
      <c r="C518" s="11">
        <v>1980</v>
      </c>
      <c r="E518" s="17" t="s">
        <v>516</v>
      </c>
      <c r="F518" s="17"/>
      <c r="G518" s="66"/>
      <c r="H518"/>
      <c r="J518" s="16">
        <v>286696859789</v>
      </c>
      <c r="K518" s="16">
        <v>9031907145</v>
      </c>
    </row>
    <row r="519" spans="2:15" x14ac:dyDescent="0.25">
      <c r="B519" s="3">
        <v>43951</v>
      </c>
      <c r="C519" s="11">
        <v>1981</v>
      </c>
      <c r="E519" s="17" t="s">
        <v>517</v>
      </c>
      <c r="F519" s="17"/>
      <c r="G519" s="66"/>
      <c r="H519"/>
      <c r="J519" s="16">
        <v>974679783820</v>
      </c>
      <c r="K519" s="16">
        <v>7209119953</v>
      </c>
    </row>
    <row r="520" spans="2:15" x14ac:dyDescent="0.25">
      <c r="B520" s="3">
        <v>43951</v>
      </c>
      <c r="C520" s="11">
        <v>1982</v>
      </c>
      <c r="E520" s="17" t="s">
        <v>518</v>
      </c>
      <c r="F520" s="17"/>
      <c r="G520" s="66"/>
      <c r="H520"/>
      <c r="J520" s="16">
        <v>430482847778</v>
      </c>
      <c r="K520" s="16">
        <v>9199343945</v>
      </c>
    </row>
    <row r="521" spans="2:15" x14ac:dyDescent="0.25">
      <c r="B521" s="3">
        <v>43951</v>
      </c>
      <c r="C521" s="11">
        <v>1983</v>
      </c>
      <c r="E521" s="17" t="s">
        <v>519</v>
      </c>
      <c r="F521" s="17"/>
      <c r="G521" s="66"/>
      <c r="H521"/>
      <c r="J521" s="16">
        <v>347439870394</v>
      </c>
      <c r="K521" s="16">
        <v>8987706330</v>
      </c>
    </row>
    <row r="522" spans="2:15" x14ac:dyDescent="0.25">
      <c r="B522" s="3">
        <v>43951</v>
      </c>
      <c r="C522" s="11">
        <v>1984</v>
      </c>
      <c r="E522" s="17" t="s">
        <v>520</v>
      </c>
      <c r="F522" s="17"/>
      <c r="G522" s="66"/>
      <c r="H522"/>
      <c r="J522" s="16">
        <v>227055289305</v>
      </c>
      <c r="K522" s="16">
        <v>9304176990</v>
      </c>
    </row>
    <row r="523" spans="2:15" x14ac:dyDescent="0.25">
      <c r="B523" s="3">
        <v>43951</v>
      </c>
      <c r="C523" s="11">
        <v>1985</v>
      </c>
      <c r="E523" s="17" t="s">
        <v>521</v>
      </c>
      <c r="F523" s="17"/>
      <c r="G523" s="66"/>
      <c r="H523"/>
      <c r="J523" s="16">
        <v>782796089823</v>
      </c>
      <c r="K523" s="16">
        <v>9693813410</v>
      </c>
    </row>
    <row r="524" spans="2:15" x14ac:dyDescent="0.25">
      <c r="B524" s="3">
        <v>43951</v>
      </c>
      <c r="C524" s="11">
        <v>1987</v>
      </c>
      <c r="E524" s="17" t="s">
        <v>522</v>
      </c>
      <c r="F524" s="17"/>
      <c r="G524" s="66"/>
      <c r="H524"/>
      <c r="J524" s="16">
        <v>660793307466</v>
      </c>
      <c r="K524" s="16">
        <v>9097401134</v>
      </c>
    </row>
    <row r="525" spans="2:15" x14ac:dyDescent="0.25">
      <c r="B525" s="3">
        <v>43951</v>
      </c>
      <c r="C525" s="11">
        <v>1988</v>
      </c>
      <c r="E525" s="17" t="s">
        <v>523</v>
      </c>
      <c r="F525" s="17"/>
      <c r="G525" s="66"/>
      <c r="H525"/>
      <c r="J525" s="16">
        <v>984136936604</v>
      </c>
      <c r="K525" s="16">
        <v>7209302446</v>
      </c>
    </row>
    <row r="526" spans="2:15" x14ac:dyDescent="0.25">
      <c r="B526" s="3">
        <v>43951</v>
      </c>
      <c r="C526" s="11">
        <v>1990</v>
      </c>
      <c r="E526" s="17" t="s">
        <v>524</v>
      </c>
      <c r="F526" s="17"/>
      <c r="G526" s="66"/>
      <c r="H526"/>
      <c r="J526" s="16">
        <v>415350622310</v>
      </c>
      <c r="K526" s="16">
        <v>9835489204</v>
      </c>
    </row>
    <row r="527" spans="2:15" x14ac:dyDescent="0.25">
      <c r="B527" s="3">
        <v>43951</v>
      </c>
      <c r="C527" s="11">
        <v>1992</v>
      </c>
      <c r="E527" s="17" t="s">
        <v>525</v>
      </c>
      <c r="F527" s="17"/>
      <c r="G527" s="66"/>
      <c r="H527"/>
      <c r="J527" s="16">
        <v>264042345817</v>
      </c>
      <c r="K527" s="16">
        <v>9534028993</v>
      </c>
    </row>
    <row r="528" spans="2:15" x14ac:dyDescent="0.25">
      <c r="B528" s="3">
        <v>43951</v>
      </c>
      <c r="C528" s="11">
        <v>1993</v>
      </c>
      <c r="E528" s="17" t="s">
        <v>526</v>
      </c>
      <c r="F528" s="17"/>
      <c r="G528" s="66"/>
      <c r="H528"/>
      <c r="J528" s="16">
        <v>488933052093</v>
      </c>
      <c r="K528" s="16">
        <v>9102726810</v>
      </c>
    </row>
    <row r="529" spans="2:12" x14ac:dyDescent="0.25">
      <c r="B529" s="3">
        <v>43951</v>
      </c>
      <c r="C529" s="11">
        <v>1995</v>
      </c>
      <c r="E529" s="17" t="s">
        <v>527</v>
      </c>
      <c r="F529" s="17"/>
      <c r="G529" s="66"/>
      <c r="H529"/>
      <c r="J529" s="16">
        <v>617076971578</v>
      </c>
      <c r="K529" s="16">
        <v>9608327198</v>
      </c>
    </row>
    <row r="530" spans="2:12" x14ac:dyDescent="0.25">
      <c r="B530" s="3">
        <v>43951</v>
      </c>
      <c r="C530" s="11">
        <v>1998</v>
      </c>
      <c r="E530" s="17" t="s">
        <v>528</v>
      </c>
      <c r="F530" s="17"/>
      <c r="G530" s="66"/>
      <c r="H530"/>
      <c r="J530" s="16">
        <v>458476873340</v>
      </c>
      <c r="K530" s="16">
        <v>9939889613</v>
      </c>
    </row>
    <row r="531" spans="2:12" x14ac:dyDescent="0.25">
      <c r="B531" s="3">
        <v>43951</v>
      </c>
      <c r="C531" s="11">
        <v>1999</v>
      </c>
      <c r="E531" s="17" t="s">
        <v>529</v>
      </c>
      <c r="F531" s="17"/>
      <c r="G531" s="66"/>
      <c r="H531"/>
      <c r="J531" s="16">
        <v>541993911117</v>
      </c>
      <c r="K531" s="16">
        <v>9304534774</v>
      </c>
    </row>
    <row r="532" spans="2:12" x14ac:dyDescent="0.25">
      <c r="B532" s="3">
        <v>43951</v>
      </c>
      <c r="C532" s="11">
        <v>2002</v>
      </c>
      <c r="E532" s="17" t="s">
        <v>530</v>
      </c>
      <c r="F532" s="17"/>
      <c r="G532" s="66"/>
      <c r="H532"/>
      <c r="J532" s="16">
        <v>997812458497</v>
      </c>
      <c r="K532" s="16">
        <v>7352712391</v>
      </c>
    </row>
    <row r="533" spans="2:12" x14ac:dyDescent="0.25">
      <c r="B533" s="3">
        <v>43951</v>
      </c>
      <c r="C533" s="11">
        <v>2003</v>
      </c>
      <c r="E533" s="17" t="s">
        <v>531</v>
      </c>
      <c r="F533" s="17"/>
      <c r="G533" s="66"/>
      <c r="H533"/>
      <c r="J533" s="16">
        <v>472271152169</v>
      </c>
      <c r="K533" s="16">
        <v>9507188627</v>
      </c>
    </row>
    <row r="534" spans="2:12" x14ac:dyDescent="0.25">
      <c r="B534" s="3">
        <v>43951</v>
      </c>
      <c r="C534" s="11">
        <v>2006</v>
      </c>
      <c r="E534" s="17" t="s">
        <v>532</v>
      </c>
      <c r="F534" s="17"/>
      <c r="G534" s="66"/>
      <c r="H534" t="s">
        <v>1162</v>
      </c>
      <c r="J534" s="16">
        <v>781860773386</v>
      </c>
      <c r="K534" s="16">
        <v>9608327198</v>
      </c>
      <c r="L534" s="3">
        <v>44000</v>
      </c>
    </row>
    <row r="535" spans="2:12" x14ac:dyDescent="0.25">
      <c r="B535" s="3">
        <v>43951</v>
      </c>
      <c r="C535" s="11">
        <v>2009</v>
      </c>
      <c r="E535" s="17" t="s">
        <v>533</v>
      </c>
      <c r="F535" s="17"/>
      <c r="G535" s="66"/>
      <c r="H535"/>
      <c r="J535" s="16">
        <v>426044324964</v>
      </c>
      <c r="K535" s="16">
        <v>9031335800</v>
      </c>
    </row>
    <row r="536" spans="2:12" x14ac:dyDescent="0.25">
      <c r="B536" s="3">
        <v>43951</v>
      </c>
      <c r="C536" s="11">
        <v>2010</v>
      </c>
      <c r="E536" s="17" t="s">
        <v>534</v>
      </c>
      <c r="F536" s="17"/>
      <c r="G536" s="66"/>
      <c r="H536"/>
      <c r="J536" s="16">
        <v>942973982382</v>
      </c>
      <c r="K536" s="16">
        <v>8789680880</v>
      </c>
    </row>
    <row r="537" spans="2:12" x14ac:dyDescent="0.25">
      <c r="B537" s="3">
        <v>43951</v>
      </c>
      <c r="C537" s="11">
        <v>2012</v>
      </c>
      <c r="E537" s="17" t="s">
        <v>535</v>
      </c>
      <c r="F537" s="17"/>
      <c r="G537" s="66"/>
      <c r="H537"/>
      <c r="J537" s="16">
        <v>550004379785</v>
      </c>
      <c r="K537" s="16">
        <v>8797590067</v>
      </c>
    </row>
    <row r="538" spans="2:12" x14ac:dyDescent="0.25">
      <c r="B538" s="3">
        <v>43951</v>
      </c>
      <c r="C538" s="11">
        <v>2013</v>
      </c>
      <c r="E538" s="17" t="s">
        <v>536</v>
      </c>
      <c r="F538" s="17"/>
      <c r="G538" s="66"/>
      <c r="H538"/>
      <c r="J538" s="16">
        <v>278849792561</v>
      </c>
      <c r="K538" s="16">
        <v>7209249441</v>
      </c>
    </row>
    <row r="539" spans="2:12" x14ac:dyDescent="0.25">
      <c r="B539" s="3">
        <v>43952</v>
      </c>
      <c r="C539" s="11">
        <v>2023</v>
      </c>
      <c r="E539" s="17" t="s">
        <v>537</v>
      </c>
      <c r="F539" s="17"/>
      <c r="G539" s="66"/>
      <c r="H539"/>
      <c r="J539" s="16">
        <v>427127003355</v>
      </c>
      <c r="K539" s="16">
        <v>930467489</v>
      </c>
    </row>
    <row r="540" spans="2:12" x14ac:dyDescent="0.25">
      <c r="B540" s="3">
        <v>43952</v>
      </c>
      <c r="C540" s="11">
        <v>2024</v>
      </c>
      <c r="E540" s="17" t="s">
        <v>538</v>
      </c>
      <c r="F540" s="17"/>
      <c r="G540" s="66"/>
      <c r="H540"/>
      <c r="J540" s="16">
        <v>997519604512</v>
      </c>
      <c r="K540" s="16">
        <v>9123103571</v>
      </c>
    </row>
    <row r="541" spans="2:12" x14ac:dyDescent="0.25">
      <c r="B541" s="3">
        <v>43952</v>
      </c>
      <c r="C541" s="11">
        <v>2025</v>
      </c>
      <c r="E541" s="17" t="s">
        <v>539</v>
      </c>
      <c r="F541" s="17"/>
      <c r="G541" s="66"/>
      <c r="H541"/>
      <c r="J541" s="16">
        <v>982511804615</v>
      </c>
      <c r="K541" s="16">
        <v>8092673271</v>
      </c>
    </row>
    <row r="542" spans="2:12" x14ac:dyDescent="0.25">
      <c r="B542" s="3">
        <v>43952</v>
      </c>
      <c r="C542" s="11">
        <v>2026</v>
      </c>
      <c r="E542" s="17" t="s">
        <v>540</v>
      </c>
      <c r="F542" s="17"/>
      <c r="G542" s="66"/>
      <c r="H542"/>
      <c r="J542" s="16">
        <v>849235899142</v>
      </c>
      <c r="K542" s="16">
        <v>748891798</v>
      </c>
    </row>
    <row r="543" spans="2:12" x14ac:dyDescent="0.25">
      <c r="B543" s="3">
        <v>43952</v>
      </c>
      <c r="C543" s="11">
        <v>2027</v>
      </c>
      <c r="E543" s="17" t="s">
        <v>387</v>
      </c>
      <c r="F543" s="17"/>
      <c r="G543" s="66"/>
      <c r="H543"/>
      <c r="J543" s="16">
        <v>229766218947</v>
      </c>
      <c r="K543" s="16">
        <v>7209442927</v>
      </c>
    </row>
    <row r="544" spans="2:12" x14ac:dyDescent="0.25">
      <c r="B544" s="3">
        <v>43952</v>
      </c>
      <c r="C544" s="11">
        <v>2028</v>
      </c>
      <c r="E544" s="17" t="s">
        <v>541</v>
      </c>
      <c r="F544" s="17"/>
      <c r="G544" s="66"/>
      <c r="H544"/>
      <c r="J544" s="16">
        <v>959560945730</v>
      </c>
      <c r="K544" s="16">
        <v>8092703035</v>
      </c>
    </row>
    <row r="545" spans="2:11" x14ac:dyDescent="0.25">
      <c r="B545" s="3">
        <v>43952</v>
      </c>
      <c r="C545" s="11">
        <v>2029</v>
      </c>
      <c r="E545" s="17" t="s">
        <v>542</v>
      </c>
      <c r="F545" s="17"/>
      <c r="G545" s="66"/>
      <c r="H545"/>
      <c r="J545" s="16">
        <v>972024883185</v>
      </c>
      <c r="K545" s="16">
        <v>9905055987</v>
      </c>
    </row>
    <row r="546" spans="2:11" x14ac:dyDescent="0.25">
      <c r="B546" s="3">
        <v>43952</v>
      </c>
      <c r="C546" s="11">
        <v>2030</v>
      </c>
      <c r="E546" s="17" t="s">
        <v>543</v>
      </c>
      <c r="F546" s="17"/>
      <c r="G546" s="66"/>
      <c r="H546"/>
      <c r="J546" s="16">
        <v>972639239659</v>
      </c>
      <c r="K546" s="16">
        <v>6396496308</v>
      </c>
    </row>
    <row r="547" spans="2:11" x14ac:dyDescent="0.25">
      <c r="B547" s="3">
        <v>43952</v>
      </c>
      <c r="C547" s="11">
        <v>2032</v>
      </c>
      <c r="E547" s="17" t="s">
        <v>544</v>
      </c>
      <c r="F547" s="17"/>
      <c r="G547" s="66"/>
      <c r="H547"/>
      <c r="J547" s="16">
        <v>208187618091</v>
      </c>
      <c r="K547" s="16">
        <v>9334882577</v>
      </c>
    </row>
    <row r="548" spans="2:11" x14ac:dyDescent="0.25">
      <c r="B548" s="3">
        <v>43952</v>
      </c>
      <c r="C548" s="11">
        <v>2033</v>
      </c>
      <c r="E548" s="17" t="s">
        <v>545</v>
      </c>
      <c r="F548" s="17"/>
      <c r="G548" s="66"/>
      <c r="H548"/>
      <c r="J548" s="16">
        <v>300567091569</v>
      </c>
      <c r="K548" s="16">
        <v>8789894681</v>
      </c>
    </row>
    <row r="549" spans="2:11" x14ac:dyDescent="0.25">
      <c r="B549" s="3">
        <v>43952</v>
      </c>
      <c r="C549" s="11">
        <v>2037</v>
      </c>
      <c r="E549" s="17" t="s">
        <v>546</v>
      </c>
      <c r="F549" s="17"/>
      <c r="G549" s="66"/>
      <c r="H549"/>
      <c r="J549" s="16">
        <v>726127257415</v>
      </c>
      <c r="K549" s="16">
        <v>6200678165</v>
      </c>
    </row>
    <row r="550" spans="2:11" x14ac:dyDescent="0.25">
      <c r="B550" s="3">
        <v>43952</v>
      </c>
      <c r="C550" s="11">
        <v>2038</v>
      </c>
      <c r="E550" s="17" t="s">
        <v>547</v>
      </c>
      <c r="F550" s="17"/>
      <c r="G550" s="66"/>
      <c r="H550"/>
      <c r="J550" s="16">
        <v>926185582379</v>
      </c>
      <c r="K550" s="16">
        <v>7209836937</v>
      </c>
    </row>
    <row r="551" spans="2:11" x14ac:dyDescent="0.25">
      <c r="B551" s="3">
        <v>43952</v>
      </c>
      <c r="C551" s="11">
        <v>2040</v>
      </c>
      <c r="E551" s="17" t="s">
        <v>548</v>
      </c>
      <c r="F551" s="17"/>
      <c r="G551" s="66"/>
      <c r="H551"/>
      <c r="J551" s="16">
        <v>271348460395</v>
      </c>
      <c r="K551" s="16">
        <v>8521178538</v>
      </c>
    </row>
    <row r="552" spans="2:11" x14ac:dyDescent="0.25">
      <c r="B552" s="3">
        <v>43952</v>
      </c>
      <c r="C552" s="11">
        <v>2042</v>
      </c>
      <c r="E552" s="17" t="s">
        <v>549</v>
      </c>
      <c r="F552" s="17"/>
      <c r="G552" s="66"/>
      <c r="H552"/>
      <c r="J552" s="16">
        <v>416059324874</v>
      </c>
      <c r="K552" s="16">
        <v>8210035066</v>
      </c>
    </row>
    <row r="553" spans="2:11" x14ac:dyDescent="0.25">
      <c r="B553" s="3">
        <v>43952</v>
      </c>
      <c r="C553" s="11">
        <v>2044</v>
      </c>
      <c r="E553" s="17" t="s">
        <v>550</v>
      </c>
      <c r="F553" s="17"/>
      <c r="G553" s="66"/>
      <c r="H553"/>
      <c r="J553" s="16">
        <v>241974562804</v>
      </c>
      <c r="K553" s="16">
        <v>9523123610</v>
      </c>
    </row>
    <row r="554" spans="2:11" x14ac:dyDescent="0.25">
      <c r="B554" s="3">
        <v>43952</v>
      </c>
      <c r="C554" s="11">
        <v>2045</v>
      </c>
      <c r="E554" s="17" t="s">
        <v>551</v>
      </c>
      <c r="F554" s="17"/>
      <c r="G554" s="66"/>
      <c r="H554"/>
      <c r="J554" s="16">
        <v>484735426915</v>
      </c>
      <c r="K554" s="16">
        <v>6204964723</v>
      </c>
    </row>
    <row r="555" spans="2:11" x14ac:dyDescent="0.25">
      <c r="B555" s="3">
        <v>43952</v>
      </c>
      <c r="C555" s="11">
        <v>2046</v>
      </c>
      <c r="E555" s="17" t="s">
        <v>552</v>
      </c>
      <c r="F555" s="17"/>
      <c r="G555" s="66"/>
      <c r="H555"/>
      <c r="J555" s="16">
        <v>306414605632</v>
      </c>
      <c r="K555" s="16">
        <v>6204069239</v>
      </c>
    </row>
    <row r="556" spans="2:11" x14ac:dyDescent="0.25">
      <c r="B556" s="3">
        <v>43952</v>
      </c>
      <c r="C556" s="11">
        <v>2048</v>
      </c>
      <c r="E556" s="17" t="s">
        <v>553</v>
      </c>
      <c r="F556" s="17"/>
      <c r="G556" s="66"/>
      <c r="H556"/>
      <c r="J556" s="16">
        <v>996399062261</v>
      </c>
      <c r="K556" s="16">
        <v>9279375236</v>
      </c>
    </row>
    <row r="557" spans="2:11" x14ac:dyDescent="0.25">
      <c r="B557" s="3">
        <v>43952</v>
      </c>
      <c r="C557" s="11">
        <v>2049</v>
      </c>
      <c r="E557" s="17" t="s">
        <v>554</v>
      </c>
      <c r="F557" s="17"/>
      <c r="G557" s="66"/>
      <c r="H557"/>
      <c r="J557" s="16">
        <v>908937667205</v>
      </c>
      <c r="K557" s="16">
        <v>7209288061</v>
      </c>
    </row>
    <row r="558" spans="2:11" x14ac:dyDescent="0.25">
      <c r="B558" s="3">
        <v>43956</v>
      </c>
      <c r="C558" s="11">
        <v>2049</v>
      </c>
      <c r="E558" s="17" t="s">
        <v>708</v>
      </c>
      <c r="F558" s="17"/>
      <c r="G558" s="66"/>
      <c r="H558"/>
      <c r="J558" s="16">
        <v>739388084029</v>
      </c>
      <c r="K558" s="16">
        <v>7903011662</v>
      </c>
    </row>
    <row r="559" spans="2:11" x14ac:dyDescent="0.25">
      <c r="B559" s="3">
        <v>43952</v>
      </c>
      <c r="C559" s="11">
        <v>2051</v>
      </c>
      <c r="E559" s="17" t="s">
        <v>555</v>
      </c>
      <c r="F559" s="17"/>
      <c r="G559" s="66"/>
      <c r="H559"/>
      <c r="J559" s="16">
        <v>332292694228</v>
      </c>
      <c r="K559" s="16">
        <v>7209643045</v>
      </c>
    </row>
    <row r="560" spans="2:11" x14ac:dyDescent="0.25">
      <c r="B560" s="3">
        <v>43952</v>
      </c>
      <c r="C560" s="11">
        <v>2053</v>
      </c>
      <c r="E560" s="17" t="s">
        <v>556</v>
      </c>
      <c r="F560" s="17"/>
      <c r="G560" s="66"/>
      <c r="H560"/>
      <c r="J560" s="16">
        <v>544827056449</v>
      </c>
      <c r="K560" s="16">
        <v>6204179903</v>
      </c>
    </row>
    <row r="561" spans="2:11" x14ac:dyDescent="0.25">
      <c r="B561" s="3">
        <v>43952</v>
      </c>
      <c r="C561" s="11">
        <v>2054</v>
      </c>
      <c r="E561" s="19" t="s">
        <v>557</v>
      </c>
      <c r="F561" s="19"/>
      <c r="G561" s="67"/>
      <c r="H561" t="s">
        <v>1171</v>
      </c>
      <c r="I561" s="4">
        <v>100</v>
      </c>
      <c r="J561" s="16">
        <v>738953520841</v>
      </c>
      <c r="K561" s="16">
        <v>7667213918</v>
      </c>
    </row>
    <row r="562" spans="2:11" x14ac:dyDescent="0.25">
      <c r="B562" s="3">
        <v>43952</v>
      </c>
      <c r="C562" s="11">
        <v>2056</v>
      </c>
      <c r="E562" s="17" t="s">
        <v>558</v>
      </c>
      <c r="F562" s="17"/>
      <c r="G562" s="66"/>
      <c r="H562"/>
      <c r="J562" s="16">
        <v>805639489317</v>
      </c>
      <c r="K562" s="16">
        <v>8709878295</v>
      </c>
    </row>
    <row r="563" spans="2:11" x14ac:dyDescent="0.25">
      <c r="B563" s="3">
        <v>43952</v>
      </c>
      <c r="C563" s="11">
        <v>2058</v>
      </c>
      <c r="E563" s="17" t="s">
        <v>559</v>
      </c>
      <c r="F563" s="17"/>
      <c r="G563" s="66"/>
      <c r="H563"/>
      <c r="J563" s="16">
        <v>805639489317</v>
      </c>
      <c r="K563" s="16">
        <v>9031967169</v>
      </c>
    </row>
    <row r="564" spans="2:11" x14ac:dyDescent="0.25">
      <c r="B564" s="3">
        <v>43952</v>
      </c>
      <c r="C564" s="11">
        <v>2060</v>
      </c>
      <c r="E564" s="17" t="s">
        <v>560</v>
      </c>
      <c r="F564" s="17"/>
      <c r="G564" s="66"/>
      <c r="H564"/>
      <c r="J564" s="16">
        <v>360905424356</v>
      </c>
      <c r="K564" s="16">
        <v>7209736439</v>
      </c>
    </row>
    <row r="565" spans="2:11" x14ac:dyDescent="0.25">
      <c r="B565" s="3">
        <v>43952</v>
      </c>
      <c r="C565" s="11">
        <v>2062</v>
      </c>
      <c r="E565" s="17" t="s">
        <v>561</v>
      </c>
      <c r="F565" s="17"/>
      <c r="G565" s="66"/>
      <c r="H565"/>
      <c r="J565" s="16">
        <v>939074305608</v>
      </c>
      <c r="K565" s="16">
        <v>9905184352</v>
      </c>
    </row>
    <row r="566" spans="2:11" x14ac:dyDescent="0.25">
      <c r="B566" s="3">
        <v>43952</v>
      </c>
      <c r="C566" s="11">
        <v>2063</v>
      </c>
      <c r="E566" s="17" t="s">
        <v>562</v>
      </c>
      <c r="F566" s="17"/>
      <c r="G566" s="66"/>
      <c r="H566"/>
      <c r="J566" s="16">
        <v>304466677444</v>
      </c>
      <c r="K566" s="16">
        <v>6200878149</v>
      </c>
    </row>
    <row r="567" spans="2:11" x14ac:dyDescent="0.25">
      <c r="B567" s="3">
        <v>43952</v>
      </c>
      <c r="C567" s="11">
        <v>2064</v>
      </c>
      <c r="E567" s="17" t="s">
        <v>563</v>
      </c>
      <c r="F567" s="17"/>
      <c r="G567" s="66"/>
      <c r="H567"/>
      <c r="J567" s="16">
        <v>250519254274</v>
      </c>
      <c r="K567" s="16">
        <v>6207538624</v>
      </c>
    </row>
    <row r="568" spans="2:11" x14ac:dyDescent="0.25">
      <c r="B568" s="3">
        <v>43952</v>
      </c>
      <c r="C568" s="11">
        <v>2066</v>
      </c>
      <c r="E568" s="17" t="s">
        <v>564</v>
      </c>
      <c r="F568" s="17"/>
      <c r="G568" s="66"/>
      <c r="H568"/>
      <c r="J568" s="16">
        <v>335909636600</v>
      </c>
      <c r="K568" s="16"/>
    </row>
    <row r="569" spans="2:11" x14ac:dyDescent="0.25">
      <c r="B569" s="3">
        <v>43952</v>
      </c>
      <c r="C569" s="11">
        <v>2068</v>
      </c>
      <c r="E569" s="17" t="s">
        <v>508</v>
      </c>
      <c r="F569" s="17"/>
      <c r="G569" s="66"/>
      <c r="H569"/>
      <c r="J569" s="16">
        <v>734458555826</v>
      </c>
      <c r="K569" s="16">
        <v>9110971263</v>
      </c>
    </row>
    <row r="570" spans="2:11" x14ac:dyDescent="0.25">
      <c r="B570" s="3">
        <v>43952</v>
      </c>
      <c r="C570" s="11">
        <v>2069</v>
      </c>
      <c r="E570" s="17" t="s">
        <v>565</v>
      </c>
      <c r="F570" s="17"/>
      <c r="G570" s="66"/>
      <c r="H570"/>
      <c r="J570" s="16">
        <v>251715995571</v>
      </c>
      <c r="K570" s="16">
        <v>7488948181</v>
      </c>
    </row>
    <row r="571" spans="2:11" x14ac:dyDescent="0.25">
      <c r="B571" s="3">
        <v>43952</v>
      </c>
      <c r="C571" s="11">
        <v>2071</v>
      </c>
      <c r="E571" s="17" t="s">
        <v>311</v>
      </c>
      <c r="F571" s="17"/>
      <c r="G571" s="66"/>
      <c r="H571"/>
      <c r="J571" s="16">
        <v>733446693365</v>
      </c>
      <c r="K571" s="16"/>
    </row>
    <row r="572" spans="2:11" x14ac:dyDescent="0.25">
      <c r="B572" s="3">
        <v>43952</v>
      </c>
      <c r="C572" s="11">
        <v>2072</v>
      </c>
      <c r="E572" s="17" t="s">
        <v>566</v>
      </c>
      <c r="F572" s="17"/>
      <c r="G572" s="66"/>
      <c r="H572"/>
      <c r="I572" s="4">
        <v>100</v>
      </c>
      <c r="J572" s="16">
        <v>728266218614</v>
      </c>
      <c r="K572" s="16">
        <v>9507632763</v>
      </c>
    </row>
    <row r="573" spans="2:11" x14ac:dyDescent="0.25">
      <c r="B573" s="3">
        <v>43952</v>
      </c>
      <c r="C573" s="11">
        <v>2073</v>
      </c>
      <c r="E573" s="17" t="s">
        <v>567</v>
      </c>
      <c r="F573" s="17"/>
      <c r="G573" s="66"/>
      <c r="H573"/>
      <c r="J573" s="16">
        <v>761780012369</v>
      </c>
      <c r="K573" s="16">
        <v>9162908841</v>
      </c>
    </row>
    <row r="574" spans="2:11" x14ac:dyDescent="0.25">
      <c r="B574" s="3">
        <v>43952</v>
      </c>
      <c r="C574" s="11">
        <v>2076</v>
      </c>
      <c r="E574" s="17" t="s">
        <v>568</v>
      </c>
      <c r="F574" s="17"/>
      <c r="G574" s="66"/>
      <c r="H574" t="s">
        <v>1170</v>
      </c>
      <c r="I574" s="20">
        <v>500</v>
      </c>
      <c r="J574" s="16">
        <v>805569426994</v>
      </c>
      <c r="K574" s="16">
        <v>7209989738</v>
      </c>
    </row>
    <row r="575" spans="2:11" x14ac:dyDescent="0.25">
      <c r="B575" s="3">
        <v>43952</v>
      </c>
      <c r="C575" s="11">
        <v>2077</v>
      </c>
      <c r="E575" s="17" t="s">
        <v>569</v>
      </c>
      <c r="F575" s="17"/>
      <c r="G575" s="66"/>
      <c r="H575"/>
      <c r="J575" s="16">
        <v>928559646678</v>
      </c>
      <c r="K575" s="16">
        <v>6200076880</v>
      </c>
    </row>
    <row r="576" spans="2:11" x14ac:dyDescent="0.25">
      <c r="B576" s="3">
        <v>43952</v>
      </c>
      <c r="C576" s="11">
        <v>2080</v>
      </c>
      <c r="E576" s="17" t="s">
        <v>570</v>
      </c>
      <c r="F576" s="17"/>
      <c r="G576" s="66"/>
      <c r="H576"/>
      <c r="J576" s="16">
        <v>792592146427</v>
      </c>
      <c r="K576" s="16"/>
    </row>
    <row r="577" spans="1:15" x14ac:dyDescent="0.25">
      <c r="B577" s="3">
        <v>43952</v>
      </c>
      <c r="C577" s="11">
        <v>2081</v>
      </c>
      <c r="E577" s="17" t="s">
        <v>571</v>
      </c>
      <c r="F577" s="17"/>
      <c r="G577" s="66"/>
      <c r="H577" t="s">
        <v>1162</v>
      </c>
      <c r="I577" s="4">
        <v>100</v>
      </c>
      <c r="J577" s="16">
        <v>473751660536</v>
      </c>
      <c r="K577" s="16">
        <v>8709734623</v>
      </c>
    </row>
    <row r="578" spans="1:15" x14ac:dyDescent="0.25">
      <c r="B578" s="3">
        <v>43952</v>
      </c>
      <c r="C578" s="11">
        <v>2086</v>
      </c>
      <c r="E578" s="17" t="s">
        <v>572</v>
      </c>
      <c r="F578" s="17"/>
      <c r="G578" s="66"/>
      <c r="H578"/>
      <c r="J578" s="16">
        <v>865260557176</v>
      </c>
      <c r="K578" s="16">
        <v>7209807805</v>
      </c>
    </row>
    <row r="579" spans="1:15" x14ac:dyDescent="0.25">
      <c r="B579" s="3">
        <v>43952</v>
      </c>
      <c r="C579" s="11">
        <v>2087</v>
      </c>
      <c r="E579" s="17" t="s">
        <v>573</v>
      </c>
      <c r="F579" s="17"/>
      <c r="G579" s="66"/>
      <c r="H579"/>
      <c r="J579" s="16">
        <v>335751890563</v>
      </c>
      <c r="K579" s="16">
        <v>8092278084</v>
      </c>
    </row>
    <row r="580" spans="1:15" x14ac:dyDescent="0.25">
      <c r="A580" t="s">
        <v>5046</v>
      </c>
      <c r="B580" s="3">
        <v>43952</v>
      </c>
      <c r="C580" s="11">
        <v>2089</v>
      </c>
      <c r="E580" s="17" t="s">
        <v>574</v>
      </c>
      <c r="F580" s="17"/>
      <c r="G580" s="66"/>
      <c r="H580"/>
      <c r="J580" s="16">
        <v>665647879469</v>
      </c>
      <c r="K580" s="16">
        <v>9234399241</v>
      </c>
    </row>
    <row r="581" spans="1:15" x14ac:dyDescent="0.25">
      <c r="B581" s="3">
        <v>43952</v>
      </c>
      <c r="C581" s="11">
        <v>2092</v>
      </c>
      <c r="E581" s="17" t="s">
        <v>575</v>
      </c>
      <c r="F581" s="17"/>
      <c r="G581" s="66"/>
      <c r="H581"/>
      <c r="J581" s="16">
        <v>468700484819</v>
      </c>
      <c r="K581" s="16">
        <v>7858092082</v>
      </c>
    </row>
    <row r="582" spans="1:15" x14ac:dyDescent="0.25">
      <c r="B582" s="3">
        <v>43952</v>
      </c>
      <c r="C582" s="11">
        <v>2095</v>
      </c>
      <c r="E582" s="17" t="s">
        <v>576</v>
      </c>
      <c r="F582" s="17"/>
      <c r="G582" s="66"/>
      <c r="H582"/>
      <c r="J582" s="16">
        <v>254710267780</v>
      </c>
      <c r="K582" s="16">
        <v>9097181187</v>
      </c>
    </row>
    <row r="583" spans="1:15" x14ac:dyDescent="0.25">
      <c r="B583" s="3">
        <v>43952</v>
      </c>
      <c r="C583" s="11">
        <v>2097</v>
      </c>
      <c r="E583" s="17" t="s">
        <v>577</v>
      </c>
      <c r="F583" s="17"/>
      <c r="G583" s="66"/>
      <c r="H583"/>
      <c r="J583" s="16">
        <v>201732259520</v>
      </c>
      <c r="K583" s="16">
        <v>6204740245</v>
      </c>
    </row>
    <row r="584" spans="1:15" x14ac:dyDescent="0.25">
      <c r="B584" s="3">
        <v>43952</v>
      </c>
      <c r="C584" s="11">
        <v>2098</v>
      </c>
      <c r="E584" s="17" t="s">
        <v>578</v>
      </c>
      <c r="F584" s="17"/>
      <c r="G584" s="66"/>
      <c r="H584" t="s">
        <v>1152</v>
      </c>
      <c r="I584" s="4">
        <v>200</v>
      </c>
      <c r="J584" s="16">
        <v>297173620774</v>
      </c>
      <c r="K584" s="16">
        <v>7209950247</v>
      </c>
      <c r="O584" s="4" t="s">
        <v>16</v>
      </c>
    </row>
    <row r="585" spans="1:15" x14ac:dyDescent="0.25">
      <c r="B585" s="3">
        <v>43952</v>
      </c>
      <c r="C585" s="11">
        <v>2100</v>
      </c>
      <c r="E585" s="17" t="s">
        <v>579</v>
      </c>
      <c r="F585" s="17"/>
      <c r="G585" s="66"/>
      <c r="H585"/>
      <c r="J585" s="16">
        <v>697403822844</v>
      </c>
      <c r="K585" s="16">
        <v>8092635915</v>
      </c>
    </row>
    <row r="586" spans="1:15" x14ac:dyDescent="0.25">
      <c r="B586" s="3">
        <v>43952</v>
      </c>
      <c r="C586" s="11">
        <v>2101</v>
      </c>
      <c r="E586" s="17" t="s">
        <v>580</v>
      </c>
      <c r="F586" s="17"/>
      <c r="G586" s="66"/>
      <c r="H586"/>
      <c r="J586" s="16">
        <v>641257898393</v>
      </c>
      <c r="K586" s="16">
        <v>7970808598</v>
      </c>
    </row>
    <row r="587" spans="1:15" x14ac:dyDescent="0.25">
      <c r="B587" s="3">
        <v>43952</v>
      </c>
      <c r="C587" s="11">
        <v>2103</v>
      </c>
      <c r="E587" s="17" t="s">
        <v>581</v>
      </c>
      <c r="F587" s="17"/>
      <c r="G587" s="66"/>
      <c r="H587"/>
      <c r="J587" s="16">
        <v>622256646972</v>
      </c>
      <c r="K587" s="16">
        <v>8294845081</v>
      </c>
    </row>
    <row r="588" spans="1:15" x14ac:dyDescent="0.25">
      <c r="B588" s="3">
        <v>43952</v>
      </c>
      <c r="C588" s="11">
        <v>2104</v>
      </c>
      <c r="E588" s="17" t="s">
        <v>582</v>
      </c>
      <c r="F588" s="17"/>
      <c r="G588" s="66"/>
      <c r="H588"/>
      <c r="J588" s="16">
        <v>495885166893</v>
      </c>
      <c r="K588" s="16">
        <v>9835210670</v>
      </c>
    </row>
    <row r="589" spans="1:15" x14ac:dyDescent="0.25">
      <c r="B589" s="3">
        <v>43952</v>
      </c>
      <c r="C589" s="11">
        <v>2106</v>
      </c>
      <c r="E589" s="17" t="s">
        <v>583</v>
      </c>
      <c r="F589" s="17"/>
      <c r="G589" s="66"/>
      <c r="H589"/>
      <c r="J589" s="16">
        <v>419855043752</v>
      </c>
      <c r="K589" s="16">
        <v>6207331890</v>
      </c>
    </row>
    <row r="590" spans="1:15" x14ac:dyDescent="0.25">
      <c r="B590" s="3">
        <v>43952</v>
      </c>
      <c r="C590" s="11">
        <v>2107</v>
      </c>
      <c r="E590" s="17" t="s">
        <v>584</v>
      </c>
      <c r="F590" s="17"/>
      <c r="G590" s="66"/>
      <c r="H590"/>
      <c r="J590" s="16">
        <v>729887709937</v>
      </c>
      <c r="K590" s="16">
        <v>8092329900</v>
      </c>
    </row>
    <row r="591" spans="1:15" x14ac:dyDescent="0.25">
      <c r="B591" s="3">
        <v>43952</v>
      </c>
      <c r="C591" s="11">
        <v>2108</v>
      </c>
      <c r="E591" s="17" t="s">
        <v>585</v>
      </c>
      <c r="F591" s="17"/>
      <c r="G591" s="66"/>
      <c r="H591"/>
      <c r="J591" s="16">
        <v>299736633206</v>
      </c>
      <c r="K591" s="16">
        <v>7050146812</v>
      </c>
    </row>
    <row r="592" spans="1:15" x14ac:dyDescent="0.25">
      <c r="B592" s="3">
        <v>43952</v>
      </c>
      <c r="C592" s="11">
        <v>2110</v>
      </c>
      <c r="E592" s="17" t="s">
        <v>586</v>
      </c>
      <c r="F592" s="17"/>
      <c r="G592" s="66"/>
      <c r="H592"/>
      <c r="J592" s="16">
        <v>395569403206</v>
      </c>
      <c r="K592" s="16">
        <v>9631533112</v>
      </c>
    </row>
    <row r="593" spans="2:12" x14ac:dyDescent="0.25">
      <c r="B593" s="3">
        <v>43952</v>
      </c>
      <c r="C593" s="11">
        <v>2113</v>
      </c>
      <c r="E593" s="17" t="s">
        <v>587</v>
      </c>
      <c r="F593" s="17"/>
      <c r="G593" s="66"/>
      <c r="H593"/>
      <c r="J593" s="16">
        <v>962591728990</v>
      </c>
      <c r="K593" s="16">
        <v>7488634417</v>
      </c>
    </row>
    <row r="594" spans="2:12" x14ac:dyDescent="0.25">
      <c r="B594" s="3">
        <v>43952</v>
      </c>
      <c r="C594" s="11">
        <v>2116</v>
      </c>
      <c r="E594" s="17" t="s">
        <v>588</v>
      </c>
      <c r="F594" s="17"/>
      <c r="G594" s="66"/>
      <c r="H594"/>
      <c r="J594" s="16">
        <v>368751199111</v>
      </c>
      <c r="K594" s="16">
        <v>8084203663</v>
      </c>
    </row>
    <row r="595" spans="2:12" x14ac:dyDescent="0.25">
      <c r="B595" s="3">
        <v>43952</v>
      </c>
      <c r="C595" s="11">
        <v>2117</v>
      </c>
      <c r="E595" s="17" t="s">
        <v>589</v>
      </c>
      <c r="F595" s="17"/>
      <c r="G595" s="66"/>
      <c r="H595"/>
      <c r="J595" s="16">
        <v>543106446248</v>
      </c>
      <c r="K595" s="16">
        <v>8092167790</v>
      </c>
    </row>
    <row r="596" spans="2:12" x14ac:dyDescent="0.25">
      <c r="B596" s="3">
        <v>43952</v>
      </c>
      <c r="C596" s="11">
        <v>2120</v>
      </c>
      <c r="E596" s="17" t="s">
        <v>590</v>
      </c>
      <c r="F596" s="17"/>
      <c r="G596" s="66"/>
      <c r="H596"/>
      <c r="J596" s="16">
        <v>973471090606</v>
      </c>
      <c r="K596" s="16">
        <v>7541886351</v>
      </c>
    </row>
    <row r="597" spans="2:12" x14ac:dyDescent="0.25">
      <c r="B597" s="3">
        <v>43952</v>
      </c>
      <c r="C597" s="11">
        <v>2122</v>
      </c>
      <c r="E597" s="17" t="s">
        <v>591</v>
      </c>
      <c r="F597" s="17"/>
      <c r="G597" s="66"/>
      <c r="H597" t="s">
        <v>1218</v>
      </c>
      <c r="I597" s="4">
        <v>100</v>
      </c>
      <c r="J597" s="16">
        <v>254823514670</v>
      </c>
      <c r="K597" s="16">
        <v>8235306713</v>
      </c>
      <c r="L597" s="3">
        <v>44019</v>
      </c>
    </row>
    <row r="598" spans="2:12" x14ac:dyDescent="0.25">
      <c r="B598" s="3">
        <v>43964</v>
      </c>
      <c r="C598" s="11">
        <v>2123</v>
      </c>
      <c r="E598" s="17" t="s">
        <v>998</v>
      </c>
      <c r="F598" s="17"/>
      <c r="G598" s="66"/>
      <c r="H598"/>
      <c r="J598" s="16">
        <v>314356120779</v>
      </c>
      <c r="K598" s="16">
        <v>8789763720</v>
      </c>
    </row>
    <row r="599" spans="2:12" x14ac:dyDescent="0.25">
      <c r="B599" s="3">
        <v>43953</v>
      </c>
      <c r="C599" s="11">
        <v>2137</v>
      </c>
      <c r="E599" s="17" t="s">
        <v>592</v>
      </c>
      <c r="F599" s="17"/>
      <c r="G599" s="66"/>
      <c r="H599"/>
      <c r="J599" s="16">
        <v>770838923910</v>
      </c>
      <c r="K599" s="16">
        <v>9939326148</v>
      </c>
    </row>
    <row r="600" spans="2:12" x14ac:dyDescent="0.25">
      <c r="B600" s="3">
        <v>43953</v>
      </c>
      <c r="C600" s="11">
        <v>2138</v>
      </c>
      <c r="E600" s="17" t="s">
        <v>593</v>
      </c>
      <c r="F600" s="17"/>
      <c r="G600" s="66"/>
      <c r="H600"/>
      <c r="J600" s="16">
        <v>496964844842</v>
      </c>
      <c r="K600" s="16">
        <v>9801375784</v>
      </c>
    </row>
    <row r="601" spans="2:12" x14ac:dyDescent="0.25">
      <c r="B601" s="3">
        <v>43953</v>
      </c>
      <c r="C601" s="11">
        <v>2139</v>
      </c>
      <c r="E601" s="17" t="s">
        <v>594</v>
      </c>
      <c r="F601" s="17"/>
      <c r="G601" s="66"/>
      <c r="H601"/>
      <c r="J601" s="16">
        <v>413729529119</v>
      </c>
      <c r="K601" s="16">
        <v>8092239141</v>
      </c>
    </row>
    <row r="602" spans="2:12" x14ac:dyDescent="0.25">
      <c r="B602" s="3">
        <v>43953</v>
      </c>
      <c r="C602" s="11">
        <v>2140</v>
      </c>
      <c r="E602" s="17" t="s">
        <v>595</v>
      </c>
      <c r="F602" s="17"/>
      <c r="G602" s="66"/>
      <c r="H602"/>
      <c r="J602" s="16">
        <v>950803490049</v>
      </c>
      <c r="K602" s="16">
        <v>8603784990</v>
      </c>
    </row>
    <row r="603" spans="2:12" x14ac:dyDescent="0.25">
      <c r="B603" s="3">
        <v>43953</v>
      </c>
      <c r="C603" s="11">
        <v>2142</v>
      </c>
      <c r="E603" s="17" t="s">
        <v>596</v>
      </c>
      <c r="F603" s="17"/>
      <c r="G603" s="66"/>
      <c r="H603"/>
      <c r="J603" s="16">
        <v>49797776494</v>
      </c>
      <c r="K603" s="16">
        <v>8292653600</v>
      </c>
    </row>
    <row r="604" spans="2:12" x14ac:dyDescent="0.25">
      <c r="B604" s="3">
        <v>43953</v>
      </c>
      <c r="C604" s="11">
        <v>2144</v>
      </c>
      <c r="E604" s="17" t="s">
        <v>597</v>
      </c>
      <c r="F604" s="17"/>
      <c r="G604" s="66"/>
      <c r="H604"/>
      <c r="J604" s="16">
        <v>74213471596</v>
      </c>
      <c r="K604" s="16">
        <v>9798242452</v>
      </c>
    </row>
    <row r="605" spans="2:12" x14ac:dyDescent="0.25">
      <c r="B605" s="3">
        <v>43953</v>
      </c>
      <c r="C605" s="11">
        <v>2145</v>
      </c>
      <c r="E605" s="17" t="s">
        <v>598</v>
      </c>
      <c r="F605" s="17"/>
      <c r="G605" s="66"/>
      <c r="H605"/>
      <c r="J605" s="16">
        <v>305628001597</v>
      </c>
      <c r="K605" s="16">
        <v>8340526922</v>
      </c>
    </row>
    <row r="606" spans="2:12" x14ac:dyDescent="0.25">
      <c r="B606" s="3">
        <v>43953</v>
      </c>
      <c r="C606" s="11">
        <v>2148</v>
      </c>
      <c r="E606" s="17" t="s">
        <v>599</v>
      </c>
      <c r="F606" s="17"/>
      <c r="G606" s="66"/>
      <c r="H606"/>
      <c r="J606" s="16">
        <v>673586699210</v>
      </c>
      <c r="K606" s="16">
        <v>9234080674</v>
      </c>
    </row>
    <row r="607" spans="2:12" x14ac:dyDescent="0.25">
      <c r="B607" s="3">
        <v>43953</v>
      </c>
      <c r="C607" s="11">
        <v>2149</v>
      </c>
      <c r="E607" s="17" t="s">
        <v>600</v>
      </c>
      <c r="F607" s="17"/>
      <c r="G607" s="66"/>
      <c r="H607" t="s">
        <v>1155</v>
      </c>
      <c r="I607" s="4">
        <v>100</v>
      </c>
      <c r="J607" s="16">
        <v>454912848930</v>
      </c>
      <c r="K607" s="16">
        <v>7366992662</v>
      </c>
    </row>
    <row r="608" spans="2:12" x14ac:dyDescent="0.25">
      <c r="B608" s="3">
        <v>43953</v>
      </c>
      <c r="C608" s="11">
        <v>2150</v>
      </c>
      <c r="E608" s="17" t="s">
        <v>601</v>
      </c>
      <c r="F608" s="17"/>
      <c r="G608" s="66"/>
      <c r="H608"/>
      <c r="J608" s="16">
        <v>942740487182</v>
      </c>
      <c r="K608" s="16">
        <v>8271939533</v>
      </c>
    </row>
    <row r="609" spans="2:15" x14ac:dyDescent="0.25">
      <c r="B609" s="3">
        <v>43953</v>
      </c>
      <c r="C609" s="11">
        <v>2152</v>
      </c>
      <c r="E609" s="17" t="s">
        <v>602</v>
      </c>
      <c r="F609" s="17"/>
      <c r="G609" s="66"/>
      <c r="H609"/>
      <c r="J609" s="16">
        <v>764712336750</v>
      </c>
      <c r="K609" s="16">
        <v>8271939433</v>
      </c>
    </row>
    <row r="610" spans="2:15" x14ac:dyDescent="0.25">
      <c r="B610" s="3">
        <v>43953</v>
      </c>
      <c r="C610" s="11">
        <v>2153</v>
      </c>
      <c r="E610" s="17" t="s">
        <v>603</v>
      </c>
      <c r="F610" s="17"/>
      <c r="G610" s="66"/>
      <c r="H610"/>
      <c r="J610" s="16">
        <v>965812663981</v>
      </c>
      <c r="K610" s="16">
        <v>9204023243</v>
      </c>
    </row>
    <row r="611" spans="2:15" x14ac:dyDescent="0.25">
      <c r="B611" s="3">
        <v>43953</v>
      </c>
      <c r="C611" s="11">
        <v>2154</v>
      </c>
      <c r="E611" s="17" t="s">
        <v>604</v>
      </c>
      <c r="F611" s="17"/>
      <c r="G611" s="66"/>
      <c r="H611"/>
      <c r="J611" s="16">
        <v>581709644826</v>
      </c>
      <c r="K611" s="16">
        <v>9931497810</v>
      </c>
    </row>
    <row r="612" spans="2:15" x14ac:dyDescent="0.25">
      <c r="B612" s="3">
        <v>43953</v>
      </c>
      <c r="C612" s="11">
        <v>2155</v>
      </c>
      <c r="E612" s="17" t="s">
        <v>605</v>
      </c>
      <c r="F612" s="17"/>
      <c r="G612" s="66"/>
      <c r="H612"/>
      <c r="J612" s="16">
        <v>865260557176</v>
      </c>
      <c r="K612" s="16">
        <v>8936002138</v>
      </c>
    </row>
    <row r="613" spans="2:15" x14ac:dyDescent="0.25">
      <c r="B613" s="3">
        <v>43953</v>
      </c>
      <c r="C613" s="11">
        <v>2157</v>
      </c>
      <c r="E613" s="17" t="s">
        <v>606</v>
      </c>
      <c r="F613" s="17"/>
      <c r="G613" s="66"/>
      <c r="H613"/>
      <c r="J613" s="16">
        <v>359797836012</v>
      </c>
      <c r="K613" s="16">
        <v>9608554537</v>
      </c>
      <c r="O613" s="4" t="s">
        <v>16</v>
      </c>
    </row>
    <row r="614" spans="2:15" x14ac:dyDescent="0.25">
      <c r="B614" s="3">
        <v>43953</v>
      </c>
      <c r="C614" s="11">
        <v>2158</v>
      </c>
      <c r="E614" s="17" t="s">
        <v>564</v>
      </c>
      <c r="F614" s="17"/>
      <c r="G614" s="66"/>
      <c r="H614"/>
      <c r="J614" s="16">
        <v>229797738251</v>
      </c>
      <c r="K614" s="16">
        <v>9798107227</v>
      </c>
    </row>
    <row r="615" spans="2:15" x14ac:dyDescent="0.25">
      <c r="B615" s="3">
        <v>43953</v>
      </c>
      <c r="C615" s="11">
        <v>2159</v>
      </c>
      <c r="E615" s="17" t="s">
        <v>607</v>
      </c>
      <c r="F615" s="17"/>
      <c r="G615" s="66"/>
      <c r="H615"/>
      <c r="J615" s="16">
        <v>640558569118</v>
      </c>
      <c r="K615" s="16">
        <v>7488854614</v>
      </c>
    </row>
    <row r="616" spans="2:15" x14ac:dyDescent="0.25">
      <c r="B616" s="3">
        <v>43953</v>
      </c>
      <c r="C616" s="11">
        <v>2160</v>
      </c>
      <c r="E616" s="17" t="s">
        <v>608</v>
      </c>
      <c r="F616" s="17"/>
      <c r="G616" s="66"/>
      <c r="H616"/>
      <c r="J616" s="16">
        <v>763507775144</v>
      </c>
      <c r="K616" s="16">
        <v>7004627154</v>
      </c>
    </row>
    <row r="617" spans="2:15" x14ac:dyDescent="0.25">
      <c r="B617" s="3">
        <v>43953</v>
      </c>
      <c r="C617" s="11">
        <v>2162</v>
      </c>
      <c r="E617" s="17" t="s">
        <v>609</v>
      </c>
      <c r="F617" s="17"/>
      <c r="G617" s="66"/>
      <c r="H617"/>
      <c r="J617" s="16">
        <v>451883144510</v>
      </c>
      <c r="K617" s="16">
        <v>9931335849</v>
      </c>
    </row>
    <row r="618" spans="2:15" x14ac:dyDescent="0.25">
      <c r="B618" s="3">
        <v>43953</v>
      </c>
      <c r="C618" s="11">
        <v>2164</v>
      </c>
      <c r="E618" s="17" t="s">
        <v>610</v>
      </c>
      <c r="F618" s="17"/>
      <c r="G618" s="66"/>
      <c r="H618"/>
      <c r="J618" s="16">
        <v>390995136156</v>
      </c>
      <c r="K618" s="16">
        <v>9879356210</v>
      </c>
    </row>
    <row r="619" spans="2:15" x14ac:dyDescent="0.25">
      <c r="B619" s="3">
        <v>43953</v>
      </c>
      <c r="C619" s="11">
        <v>2166</v>
      </c>
      <c r="E619" s="17" t="s">
        <v>611</v>
      </c>
      <c r="F619" s="17"/>
      <c r="G619" s="66"/>
      <c r="H619"/>
      <c r="I619" s="4">
        <v>100</v>
      </c>
      <c r="J619" s="16">
        <v>473293236091</v>
      </c>
      <c r="K619" s="16">
        <v>9204211833</v>
      </c>
    </row>
    <row r="620" spans="2:15" x14ac:dyDescent="0.25">
      <c r="B620" s="3">
        <v>43953</v>
      </c>
      <c r="C620" s="11">
        <v>2170</v>
      </c>
      <c r="E620" s="17" t="s">
        <v>612</v>
      </c>
      <c r="F620" s="17"/>
      <c r="G620" s="66"/>
      <c r="H620"/>
      <c r="J620" s="16">
        <v>546150440525</v>
      </c>
      <c r="K620" s="16">
        <v>9263945385</v>
      </c>
    </row>
    <row r="621" spans="2:15" x14ac:dyDescent="0.25">
      <c r="B621" s="3">
        <v>43953</v>
      </c>
      <c r="C621" s="11">
        <v>2171</v>
      </c>
      <c r="E621" s="17" t="s">
        <v>613</v>
      </c>
      <c r="F621" s="17"/>
      <c r="G621" s="66"/>
      <c r="H621"/>
      <c r="J621" s="16">
        <v>368923440151</v>
      </c>
      <c r="K621" s="16">
        <v>6203091749</v>
      </c>
    </row>
    <row r="622" spans="2:15" x14ac:dyDescent="0.25">
      <c r="B622" s="3">
        <v>43953</v>
      </c>
      <c r="C622" s="11">
        <v>2173</v>
      </c>
      <c r="E622" s="17" t="s">
        <v>614</v>
      </c>
      <c r="F622" s="17"/>
      <c r="G622" s="66"/>
      <c r="H622"/>
      <c r="J622" s="16">
        <v>703956808789</v>
      </c>
      <c r="K622" s="16">
        <v>8016007280</v>
      </c>
    </row>
    <row r="623" spans="2:15" x14ac:dyDescent="0.25">
      <c r="B623" s="3">
        <v>43953</v>
      </c>
      <c r="C623" s="11">
        <v>2175</v>
      </c>
      <c r="E623" s="17" t="s">
        <v>615</v>
      </c>
      <c r="F623" s="17"/>
      <c r="G623" s="66"/>
      <c r="H623"/>
      <c r="J623" s="16">
        <v>319438063187</v>
      </c>
      <c r="K623" s="16">
        <v>8292406002</v>
      </c>
    </row>
    <row r="624" spans="2:15" x14ac:dyDescent="0.25">
      <c r="B624" s="3">
        <v>43953</v>
      </c>
      <c r="C624" s="11">
        <v>2176</v>
      </c>
      <c r="E624" s="17" t="s">
        <v>616</v>
      </c>
      <c r="F624" s="17"/>
      <c r="G624" s="66"/>
      <c r="H624"/>
      <c r="J624" s="16">
        <v>887536133447</v>
      </c>
      <c r="K624" s="16">
        <v>9934080998</v>
      </c>
    </row>
    <row r="625" spans="2:11" x14ac:dyDescent="0.25">
      <c r="B625" s="3">
        <v>43953</v>
      </c>
      <c r="C625" s="11">
        <v>2177</v>
      </c>
      <c r="E625" s="17" t="s">
        <v>617</v>
      </c>
      <c r="F625" s="17"/>
      <c r="G625" s="66"/>
      <c r="H625"/>
      <c r="J625" s="16">
        <v>249295429555</v>
      </c>
      <c r="K625" s="16">
        <v>7209420095</v>
      </c>
    </row>
    <row r="626" spans="2:11" x14ac:dyDescent="0.25">
      <c r="B626" s="3">
        <v>43953</v>
      </c>
      <c r="C626" s="11">
        <v>2179</v>
      </c>
      <c r="E626" s="17" t="s">
        <v>618</v>
      </c>
      <c r="F626" s="17"/>
      <c r="G626" s="66"/>
      <c r="H626"/>
      <c r="J626" s="16">
        <v>705659475395</v>
      </c>
      <c r="K626" s="16">
        <v>6201711478</v>
      </c>
    </row>
    <row r="627" spans="2:11" x14ac:dyDescent="0.25">
      <c r="B627" s="3">
        <v>43953</v>
      </c>
      <c r="C627" s="11">
        <v>2180</v>
      </c>
      <c r="E627" s="17" t="s">
        <v>619</v>
      </c>
      <c r="F627" s="17"/>
      <c r="G627" s="66"/>
      <c r="H627"/>
      <c r="J627" s="16">
        <v>423626198539</v>
      </c>
      <c r="K627" s="16">
        <v>9798193621</v>
      </c>
    </row>
    <row r="628" spans="2:11" x14ac:dyDescent="0.25">
      <c r="B628" s="3">
        <v>43953</v>
      </c>
      <c r="C628" s="11">
        <v>2182</v>
      </c>
      <c r="E628" s="17" t="s">
        <v>620</v>
      </c>
      <c r="F628" s="17"/>
      <c r="G628" s="66"/>
      <c r="H628"/>
      <c r="J628" s="16">
        <v>289842238534</v>
      </c>
      <c r="K628" s="16">
        <v>8092451827</v>
      </c>
    </row>
    <row r="629" spans="2:11" x14ac:dyDescent="0.25">
      <c r="B629" s="3">
        <v>43953</v>
      </c>
      <c r="C629" s="11">
        <v>2184</v>
      </c>
      <c r="E629" s="17" t="s">
        <v>621</v>
      </c>
      <c r="F629" s="17"/>
      <c r="G629" s="66"/>
      <c r="H629"/>
      <c r="J629" s="16">
        <v>975960463098</v>
      </c>
      <c r="K629" s="16">
        <v>7209980660</v>
      </c>
    </row>
    <row r="630" spans="2:11" x14ac:dyDescent="0.25">
      <c r="B630" s="3">
        <v>43953</v>
      </c>
      <c r="C630" s="11">
        <v>2187</v>
      </c>
      <c r="E630" s="17" t="s">
        <v>622</v>
      </c>
      <c r="F630" s="17"/>
      <c r="G630" s="66"/>
      <c r="H630"/>
      <c r="J630" s="16">
        <v>482268377838</v>
      </c>
      <c r="K630" s="16">
        <v>9110173932</v>
      </c>
    </row>
    <row r="631" spans="2:11" x14ac:dyDescent="0.25">
      <c r="B631" s="3">
        <v>43953</v>
      </c>
      <c r="C631" s="11">
        <v>2188</v>
      </c>
      <c r="E631" s="17" t="s">
        <v>623</v>
      </c>
      <c r="F631" s="17"/>
      <c r="G631" s="66"/>
      <c r="H631"/>
      <c r="J631" s="16">
        <v>694310176905</v>
      </c>
      <c r="K631" s="16">
        <v>8340526922</v>
      </c>
    </row>
    <row r="632" spans="2:11" x14ac:dyDescent="0.25">
      <c r="B632" s="3">
        <v>43953</v>
      </c>
      <c r="C632" s="11">
        <v>2189</v>
      </c>
      <c r="E632" s="17" t="s">
        <v>624</v>
      </c>
      <c r="F632" s="17"/>
      <c r="G632" s="66"/>
      <c r="H632"/>
      <c r="J632" s="16">
        <v>908037318297</v>
      </c>
      <c r="K632" s="16">
        <v>6201399787</v>
      </c>
    </row>
    <row r="633" spans="2:11" x14ac:dyDescent="0.25">
      <c r="B633" s="3">
        <v>43953</v>
      </c>
      <c r="C633" s="11">
        <v>2191</v>
      </c>
      <c r="E633" s="17" t="s">
        <v>625</v>
      </c>
      <c r="F633" s="17"/>
      <c r="G633" s="66"/>
      <c r="H633"/>
      <c r="J633" s="16">
        <v>78874650335</v>
      </c>
      <c r="K633" s="16">
        <v>9204938870</v>
      </c>
    </row>
    <row r="634" spans="2:11" x14ac:dyDescent="0.25">
      <c r="B634" s="3">
        <v>43953</v>
      </c>
      <c r="C634" s="11">
        <v>2199</v>
      </c>
      <c r="E634" s="17" t="s">
        <v>626</v>
      </c>
      <c r="F634" s="17"/>
      <c r="G634" s="66"/>
      <c r="H634"/>
      <c r="J634" s="16">
        <v>395066897842</v>
      </c>
      <c r="K634" s="16">
        <v>9123238826</v>
      </c>
    </row>
    <row r="635" spans="2:11" x14ac:dyDescent="0.25">
      <c r="B635" s="3">
        <v>43953</v>
      </c>
      <c r="C635" s="11">
        <v>2200</v>
      </c>
      <c r="E635" s="17" t="s">
        <v>627</v>
      </c>
      <c r="F635" s="17"/>
      <c r="G635" s="66"/>
      <c r="H635"/>
      <c r="J635" s="16">
        <v>230731383406</v>
      </c>
      <c r="K635" s="16">
        <v>8676052347</v>
      </c>
    </row>
    <row r="636" spans="2:11" x14ac:dyDescent="0.25">
      <c r="B636" s="3">
        <v>43953</v>
      </c>
      <c r="C636" s="11">
        <v>2202</v>
      </c>
      <c r="E636" s="17" t="s">
        <v>628</v>
      </c>
      <c r="F636" s="17"/>
      <c r="G636" s="66"/>
      <c r="H636"/>
      <c r="J636" s="16">
        <v>855018887985</v>
      </c>
      <c r="K636" s="16">
        <v>7295914524</v>
      </c>
    </row>
    <row r="637" spans="2:11" x14ac:dyDescent="0.25">
      <c r="B637" s="3">
        <v>43953</v>
      </c>
      <c r="C637" s="11">
        <v>2204</v>
      </c>
      <c r="E637" s="17" t="s">
        <v>629</v>
      </c>
      <c r="F637" s="17"/>
      <c r="G637" s="66"/>
      <c r="H637"/>
      <c r="J637" s="16">
        <v>219251846468</v>
      </c>
      <c r="K637" s="16">
        <v>9304342307</v>
      </c>
    </row>
    <row r="638" spans="2:11" x14ac:dyDescent="0.25">
      <c r="B638" s="3">
        <v>43953</v>
      </c>
      <c r="C638" s="11">
        <v>2206</v>
      </c>
      <c r="E638" s="17" t="s">
        <v>630</v>
      </c>
      <c r="F638" s="17"/>
      <c r="G638" s="66"/>
      <c r="H638"/>
      <c r="J638" s="16">
        <v>845263578326</v>
      </c>
      <c r="K638" s="16">
        <v>9955796483</v>
      </c>
    </row>
    <row r="639" spans="2:11" x14ac:dyDescent="0.25">
      <c r="B639" s="3">
        <v>43953</v>
      </c>
      <c r="C639" s="11">
        <v>2207</v>
      </c>
      <c r="E639" s="17" t="s">
        <v>631</v>
      </c>
      <c r="F639" s="17"/>
      <c r="G639" s="66"/>
      <c r="H639"/>
      <c r="J639" s="16">
        <v>534995324336</v>
      </c>
      <c r="K639" s="16">
        <v>9771931727</v>
      </c>
    </row>
    <row r="640" spans="2:11" x14ac:dyDescent="0.25">
      <c r="B640" s="3">
        <v>43953</v>
      </c>
      <c r="C640" s="11">
        <v>2214</v>
      </c>
      <c r="E640" s="17" t="s">
        <v>251</v>
      </c>
      <c r="F640" s="17"/>
      <c r="G640" s="66"/>
      <c r="H640"/>
      <c r="J640" s="16">
        <v>534995324336</v>
      </c>
      <c r="K640" s="16">
        <v>7667753274</v>
      </c>
    </row>
    <row r="641" spans="2:11" x14ac:dyDescent="0.25">
      <c r="B641" s="3">
        <v>43953</v>
      </c>
      <c r="C641" s="11">
        <v>2216</v>
      </c>
      <c r="E641" s="17" t="s">
        <v>632</v>
      </c>
      <c r="F641" s="17"/>
      <c r="G641" s="66"/>
      <c r="H641"/>
      <c r="J641" s="16">
        <v>665730733227</v>
      </c>
      <c r="K641" s="16">
        <v>9570066907</v>
      </c>
    </row>
    <row r="642" spans="2:11" x14ac:dyDescent="0.25">
      <c r="B642" s="3">
        <v>43953</v>
      </c>
      <c r="C642" s="11">
        <v>2217</v>
      </c>
      <c r="E642" s="17" t="s">
        <v>633</v>
      </c>
      <c r="F642" s="17"/>
      <c r="G642" s="66"/>
      <c r="H642"/>
      <c r="J642" s="16">
        <v>829126545680</v>
      </c>
      <c r="K642" s="16">
        <v>7209801203</v>
      </c>
    </row>
    <row r="643" spans="2:11" x14ac:dyDescent="0.25">
      <c r="B643" s="3">
        <v>43953</v>
      </c>
      <c r="C643" s="11">
        <v>2219</v>
      </c>
      <c r="E643" s="17" t="s">
        <v>634</v>
      </c>
      <c r="F643" s="17"/>
      <c r="G643" s="66"/>
      <c r="H643"/>
      <c r="J643" s="16">
        <v>477703310605</v>
      </c>
      <c r="K643" s="16">
        <v>8603404038</v>
      </c>
    </row>
    <row r="644" spans="2:11" x14ac:dyDescent="0.25">
      <c r="B644" s="3">
        <v>43953</v>
      </c>
      <c r="C644" s="11">
        <v>2220</v>
      </c>
      <c r="E644" s="17" t="s">
        <v>635</v>
      </c>
      <c r="F644" s="17"/>
      <c r="G644" s="66"/>
      <c r="H644"/>
      <c r="J644" s="16">
        <v>643890968162</v>
      </c>
      <c r="K644" s="16">
        <v>9334304584</v>
      </c>
    </row>
    <row r="645" spans="2:11" x14ac:dyDescent="0.25">
      <c r="B645" s="3">
        <v>43953</v>
      </c>
      <c r="C645" s="11">
        <v>2222</v>
      </c>
      <c r="E645" s="17" t="s">
        <v>636</v>
      </c>
      <c r="F645" s="17"/>
      <c r="G645" s="66"/>
      <c r="H645"/>
      <c r="J645" s="16">
        <v>990571065681</v>
      </c>
      <c r="K645" s="16">
        <v>9279014811</v>
      </c>
    </row>
    <row r="646" spans="2:11" x14ac:dyDescent="0.25">
      <c r="B646" s="3">
        <v>43953</v>
      </c>
      <c r="C646" s="11">
        <v>2224</v>
      </c>
      <c r="E646" s="17" t="s">
        <v>637</v>
      </c>
      <c r="F646" s="17"/>
      <c r="G646" s="66"/>
      <c r="H646"/>
      <c r="J646" s="16">
        <v>314036086797</v>
      </c>
      <c r="K646" s="16">
        <v>9204581190</v>
      </c>
    </row>
    <row r="647" spans="2:11" x14ac:dyDescent="0.25">
      <c r="B647" s="3">
        <v>43953</v>
      </c>
      <c r="C647" s="11">
        <v>2225</v>
      </c>
      <c r="E647" s="17" t="s">
        <v>638</v>
      </c>
      <c r="F647" s="17"/>
      <c r="G647" s="66"/>
      <c r="H647"/>
      <c r="J647" s="16">
        <v>545379568351</v>
      </c>
      <c r="K647" s="16">
        <v>9798707227</v>
      </c>
    </row>
    <row r="648" spans="2:11" x14ac:dyDescent="0.25">
      <c r="B648" s="3">
        <v>43953</v>
      </c>
      <c r="C648" s="11">
        <v>2227</v>
      </c>
      <c r="E648" s="17" t="s">
        <v>639</v>
      </c>
      <c r="F648" s="17"/>
      <c r="G648" s="66"/>
      <c r="H648"/>
      <c r="J648" s="16">
        <v>616316547546</v>
      </c>
      <c r="K648" s="16">
        <v>9771125157</v>
      </c>
    </row>
    <row r="649" spans="2:11" x14ac:dyDescent="0.25">
      <c r="B649" s="3">
        <v>43953</v>
      </c>
      <c r="C649" s="11">
        <v>2229</v>
      </c>
      <c r="E649" s="17" t="s">
        <v>640</v>
      </c>
      <c r="F649" s="17"/>
      <c r="G649" s="66"/>
      <c r="H649" t="s">
        <v>1157</v>
      </c>
      <c r="I649" s="4">
        <v>100</v>
      </c>
      <c r="J649" s="16">
        <v>217508571201</v>
      </c>
      <c r="K649" s="16">
        <v>8789454995</v>
      </c>
    </row>
    <row r="650" spans="2:11" x14ac:dyDescent="0.25">
      <c r="B650" s="3">
        <v>43953</v>
      </c>
      <c r="C650" s="11">
        <v>2230</v>
      </c>
      <c r="E650" s="17" t="s">
        <v>641</v>
      </c>
      <c r="F650" s="17"/>
      <c r="G650" s="66"/>
      <c r="H650" t="s">
        <v>1160</v>
      </c>
      <c r="I650" s="4">
        <v>100</v>
      </c>
      <c r="J650" s="16">
        <v>592002381703</v>
      </c>
      <c r="K650" s="16">
        <v>7070944876</v>
      </c>
    </row>
    <row r="651" spans="2:11" x14ac:dyDescent="0.25">
      <c r="B651" s="3">
        <v>43953</v>
      </c>
      <c r="C651" s="11">
        <v>2232</v>
      </c>
      <c r="E651" s="17" t="s">
        <v>642</v>
      </c>
      <c r="F651" s="17"/>
      <c r="G651" s="66"/>
      <c r="H651"/>
      <c r="J651" s="16">
        <v>266043470538</v>
      </c>
      <c r="K651" s="16">
        <v>7295017463</v>
      </c>
    </row>
    <row r="652" spans="2:11" x14ac:dyDescent="0.25">
      <c r="B652" s="3">
        <v>43953</v>
      </c>
      <c r="C652" s="11">
        <v>2233</v>
      </c>
      <c r="E652" s="17" t="s">
        <v>643</v>
      </c>
      <c r="F652" s="17"/>
      <c r="G652" s="66"/>
      <c r="H652"/>
      <c r="J652" s="16">
        <v>819046344761</v>
      </c>
      <c r="K652" s="16">
        <v>7061487356</v>
      </c>
    </row>
    <row r="653" spans="2:11" x14ac:dyDescent="0.25">
      <c r="B653" s="3">
        <v>43953</v>
      </c>
      <c r="C653" s="11">
        <v>2234</v>
      </c>
      <c r="E653" s="17" t="s">
        <v>644</v>
      </c>
      <c r="F653" s="17"/>
      <c r="G653" s="66"/>
      <c r="H653"/>
      <c r="J653" s="16">
        <v>595668861149</v>
      </c>
      <c r="K653" s="16">
        <v>8102216446</v>
      </c>
    </row>
    <row r="654" spans="2:11" x14ac:dyDescent="0.25">
      <c r="B654" s="3">
        <v>43953</v>
      </c>
      <c r="C654" s="11">
        <v>2237</v>
      </c>
      <c r="E654" s="17" t="s">
        <v>645</v>
      </c>
      <c r="F654" s="17"/>
      <c r="G654" s="66"/>
      <c r="H654"/>
      <c r="J654" s="16">
        <v>791868061230</v>
      </c>
      <c r="K654" s="16">
        <v>8294041757</v>
      </c>
    </row>
    <row r="655" spans="2:11" x14ac:dyDescent="0.25">
      <c r="B655" s="3">
        <v>43953</v>
      </c>
      <c r="C655" s="11">
        <v>2238</v>
      </c>
      <c r="E655" s="17" t="s">
        <v>646</v>
      </c>
      <c r="F655" s="17"/>
      <c r="G655" s="66"/>
      <c r="H655"/>
      <c r="J655" s="16">
        <v>731939836135</v>
      </c>
      <c r="K655" s="16">
        <v>7209755547</v>
      </c>
    </row>
    <row r="656" spans="2:11" x14ac:dyDescent="0.25">
      <c r="B656" s="3">
        <v>43953</v>
      </c>
      <c r="C656" s="11">
        <v>2240</v>
      </c>
      <c r="E656" s="17" t="s">
        <v>647</v>
      </c>
      <c r="F656" s="17"/>
      <c r="G656" s="66"/>
      <c r="H656"/>
      <c r="J656" s="16">
        <v>993365059266</v>
      </c>
      <c r="K656" s="16">
        <v>7930746995</v>
      </c>
    </row>
    <row r="657" spans="1:15" x14ac:dyDescent="0.25">
      <c r="B657" s="3">
        <v>43953</v>
      </c>
      <c r="C657" s="11">
        <v>2242</v>
      </c>
      <c r="E657" s="17" t="s">
        <v>648</v>
      </c>
      <c r="F657" s="17"/>
      <c r="G657" s="66"/>
      <c r="H657"/>
      <c r="J657" s="16">
        <v>732949575435</v>
      </c>
      <c r="K657" s="16">
        <v>9771913810</v>
      </c>
    </row>
    <row r="658" spans="1:15" x14ac:dyDescent="0.25">
      <c r="B658" s="3">
        <v>43953</v>
      </c>
      <c r="C658" s="11">
        <v>2243</v>
      </c>
      <c r="E658" s="17" t="s">
        <v>649</v>
      </c>
      <c r="F658" s="17"/>
      <c r="G658" s="66"/>
      <c r="H658"/>
      <c r="J658" s="16">
        <v>709612615405</v>
      </c>
      <c r="K658" s="16">
        <v>6206866164</v>
      </c>
    </row>
    <row r="659" spans="1:15" x14ac:dyDescent="0.25">
      <c r="B659" s="3">
        <v>43953</v>
      </c>
      <c r="C659" s="11">
        <v>2244</v>
      </c>
      <c r="E659" s="17" t="s">
        <v>650</v>
      </c>
      <c r="F659" s="17"/>
      <c r="G659" s="66"/>
      <c r="H659"/>
      <c r="J659" s="16">
        <v>870702445066</v>
      </c>
      <c r="K659" s="16">
        <v>8603860150</v>
      </c>
    </row>
    <row r="660" spans="1:15" x14ac:dyDescent="0.25">
      <c r="A660" t="s">
        <v>4394</v>
      </c>
      <c r="B660" s="3">
        <v>43953</v>
      </c>
      <c r="C660" s="11">
        <v>2246</v>
      </c>
      <c r="E660" s="17" t="s">
        <v>651</v>
      </c>
      <c r="F660" s="17"/>
      <c r="G660" s="66"/>
      <c r="H660"/>
      <c r="J660" s="16">
        <v>415602445066</v>
      </c>
      <c r="K660" s="16">
        <v>6287860223</v>
      </c>
      <c r="N660" s="3">
        <v>44677</v>
      </c>
      <c r="O660" s="4" t="s">
        <v>2092</v>
      </c>
    </row>
    <row r="661" spans="1:15" x14ac:dyDescent="0.25">
      <c r="B661" s="3">
        <v>43953</v>
      </c>
      <c r="C661" s="11">
        <v>2247</v>
      </c>
      <c r="E661" s="17" t="s">
        <v>652</v>
      </c>
      <c r="F661" s="17"/>
      <c r="G661" s="66"/>
      <c r="H661"/>
      <c r="J661" s="16">
        <v>469488754674</v>
      </c>
      <c r="K661" s="16">
        <v>6206199041</v>
      </c>
    </row>
    <row r="662" spans="1:15" x14ac:dyDescent="0.25">
      <c r="B662" s="3">
        <v>43953</v>
      </c>
      <c r="C662" s="11">
        <v>2248</v>
      </c>
      <c r="E662" s="17" t="s">
        <v>653</v>
      </c>
      <c r="F662" s="17"/>
      <c r="G662" s="66"/>
      <c r="H662"/>
      <c r="J662" s="16">
        <v>588989421194</v>
      </c>
      <c r="K662" s="16">
        <v>9204090193</v>
      </c>
    </row>
    <row r="663" spans="1:15" x14ac:dyDescent="0.25">
      <c r="B663" s="3">
        <v>43953</v>
      </c>
      <c r="C663" s="11">
        <v>2250</v>
      </c>
      <c r="E663" s="17" t="s">
        <v>654</v>
      </c>
      <c r="F663" s="17"/>
      <c r="G663" s="66"/>
      <c r="H663"/>
      <c r="J663" s="16">
        <v>765397301192</v>
      </c>
      <c r="K663" s="16">
        <v>9334721757</v>
      </c>
    </row>
    <row r="664" spans="1:15" x14ac:dyDescent="0.25">
      <c r="B664" s="3">
        <v>43953</v>
      </c>
      <c r="C664" s="11">
        <v>2251</v>
      </c>
      <c r="E664" s="17" t="s">
        <v>655</v>
      </c>
      <c r="F664" s="17"/>
      <c r="G664" s="66"/>
      <c r="H664"/>
      <c r="J664" s="16">
        <v>854076584099</v>
      </c>
      <c r="K664" s="16">
        <v>9199402340</v>
      </c>
    </row>
    <row r="665" spans="1:15" x14ac:dyDescent="0.25">
      <c r="B665" s="3">
        <v>43953</v>
      </c>
      <c r="C665" s="11">
        <v>2252</v>
      </c>
      <c r="E665" s="17" t="s">
        <v>656</v>
      </c>
      <c r="F665" s="17"/>
      <c r="G665" s="66"/>
      <c r="H665"/>
      <c r="J665" s="16">
        <v>361902997459</v>
      </c>
      <c r="K665" s="16">
        <v>8434700159</v>
      </c>
    </row>
    <row r="666" spans="1:15" x14ac:dyDescent="0.25">
      <c r="B666" s="3">
        <v>43953</v>
      </c>
      <c r="C666" s="11">
        <v>2253</v>
      </c>
      <c r="E666" s="17" t="s">
        <v>657</v>
      </c>
      <c r="F666" s="17"/>
      <c r="G666" s="66"/>
      <c r="H666"/>
      <c r="J666" s="16">
        <v>623370420286</v>
      </c>
      <c r="K666" s="16">
        <v>9801523824</v>
      </c>
    </row>
    <row r="667" spans="1:15" x14ac:dyDescent="0.25">
      <c r="B667" s="3">
        <v>43953</v>
      </c>
      <c r="C667" s="11">
        <v>2254</v>
      </c>
      <c r="E667" s="17" t="s">
        <v>658</v>
      </c>
      <c r="F667" s="17"/>
      <c r="G667" s="66"/>
      <c r="H667"/>
      <c r="J667" s="16">
        <v>648377395071</v>
      </c>
      <c r="K667" s="16">
        <v>8789552082</v>
      </c>
    </row>
    <row r="668" spans="1:15" x14ac:dyDescent="0.25">
      <c r="B668" s="3">
        <v>43953</v>
      </c>
      <c r="C668" s="11">
        <v>2255</v>
      </c>
      <c r="E668" s="17" t="s">
        <v>659</v>
      </c>
      <c r="F668" s="17"/>
      <c r="G668" s="66"/>
      <c r="H668"/>
      <c r="J668" s="16">
        <v>324435737315</v>
      </c>
      <c r="K668" s="16">
        <v>8789552082</v>
      </c>
    </row>
    <row r="669" spans="1:15" x14ac:dyDescent="0.25">
      <c r="B669" s="3">
        <v>43955</v>
      </c>
      <c r="C669" s="11">
        <v>2279</v>
      </c>
      <c r="E669" s="17" t="s">
        <v>660</v>
      </c>
      <c r="F669" s="17"/>
      <c r="G669" s="66"/>
      <c r="H669"/>
      <c r="J669" s="16">
        <v>716665174904</v>
      </c>
      <c r="K669" s="16">
        <v>8603615973</v>
      </c>
    </row>
    <row r="670" spans="1:15" x14ac:dyDescent="0.25">
      <c r="B670" s="3">
        <v>43955</v>
      </c>
      <c r="C670" s="11">
        <v>2282</v>
      </c>
      <c r="E670" s="17" t="s">
        <v>661</v>
      </c>
      <c r="F670" s="17"/>
      <c r="G670" s="66"/>
      <c r="H670"/>
      <c r="J670" s="16">
        <v>943580741713</v>
      </c>
      <c r="K670" s="16">
        <v>8092563715</v>
      </c>
    </row>
    <row r="671" spans="1:15" x14ac:dyDescent="0.25">
      <c r="B671" s="3">
        <v>43955</v>
      </c>
      <c r="C671" s="11">
        <v>2283</v>
      </c>
      <c r="E671" s="17" t="s">
        <v>662</v>
      </c>
      <c r="F671" s="17"/>
      <c r="G671" s="66"/>
      <c r="H671"/>
      <c r="J671" s="16">
        <v>846908001670</v>
      </c>
      <c r="K671" s="16">
        <v>834773213</v>
      </c>
    </row>
    <row r="672" spans="1:15" x14ac:dyDescent="0.25">
      <c r="B672" s="3">
        <v>43955</v>
      </c>
      <c r="C672" s="11">
        <v>2285</v>
      </c>
      <c r="E672" s="17" t="s">
        <v>663</v>
      </c>
      <c r="F672" s="17"/>
      <c r="G672" s="66"/>
      <c r="H672"/>
      <c r="J672" s="16">
        <v>243927265035</v>
      </c>
      <c r="K672" s="16">
        <v>8092396983</v>
      </c>
    </row>
    <row r="673" spans="2:16" x14ac:dyDescent="0.25">
      <c r="B673" s="3">
        <v>43955</v>
      </c>
      <c r="C673" s="11">
        <v>2288</v>
      </c>
      <c r="E673" s="17" t="s">
        <v>439</v>
      </c>
      <c r="F673" s="17"/>
      <c r="G673" s="66"/>
      <c r="H673"/>
      <c r="J673" s="16">
        <v>297855347417</v>
      </c>
      <c r="K673" s="16">
        <v>6207227096</v>
      </c>
    </row>
    <row r="674" spans="2:16" x14ac:dyDescent="0.25">
      <c r="B674" s="3">
        <v>43955</v>
      </c>
      <c r="C674" s="11">
        <v>2290</v>
      </c>
      <c r="E674" s="17" t="s">
        <v>664</v>
      </c>
      <c r="F674" s="17"/>
      <c r="G674" s="66"/>
      <c r="H674"/>
      <c r="J674" s="16">
        <v>779994170917</v>
      </c>
      <c r="K674" s="16">
        <v>7970498299</v>
      </c>
    </row>
    <row r="675" spans="2:16" x14ac:dyDescent="0.25">
      <c r="B675" s="3">
        <v>43955</v>
      </c>
      <c r="C675" s="11">
        <v>2291</v>
      </c>
      <c r="E675" s="17" t="s">
        <v>665</v>
      </c>
      <c r="F675" s="17"/>
      <c r="G675" s="66"/>
      <c r="H675"/>
      <c r="J675" s="16">
        <v>679792721240</v>
      </c>
      <c r="K675" s="16">
        <v>7070138155</v>
      </c>
    </row>
    <row r="676" spans="2:16" x14ac:dyDescent="0.25">
      <c r="B676" s="3">
        <v>43955</v>
      </c>
      <c r="C676" s="11">
        <v>2295</v>
      </c>
      <c r="E676" s="17" t="s">
        <v>666</v>
      </c>
      <c r="F676" s="17"/>
      <c r="G676" s="66"/>
      <c r="H676"/>
      <c r="J676" s="16">
        <v>484641940106</v>
      </c>
      <c r="K676" s="16">
        <v>6206442119</v>
      </c>
    </row>
    <row r="677" spans="2:16" x14ac:dyDescent="0.25">
      <c r="B677" s="3">
        <v>43955</v>
      </c>
      <c r="C677" s="11">
        <v>2296</v>
      </c>
      <c r="E677" s="17" t="s">
        <v>667</v>
      </c>
      <c r="F677" s="17"/>
      <c r="G677" s="66"/>
      <c r="H677"/>
      <c r="J677" s="16">
        <v>719052112588</v>
      </c>
      <c r="K677" s="16">
        <v>9234734857</v>
      </c>
    </row>
    <row r="678" spans="2:16" x14ac:dyDescent="0.25">
      <c r="B678" s="3">
        <v>43955</v>
      </c>
      <c r="C678" s="11">
        <v>2297</v>
      </c>
      <c r="E678" s="17" t="s">
        <v>668</v>
      </c>
      <c r="F678" s="17"/>
      <c r="G678" s="66"/>
      <c r="H678"/>
      <c r="J678" s="16">
        <v>323971985747</v>
      </c>
      <c r="K678" s="16">
        <v>7979937948</v>
      </c>
    </row>
    <row r="679" spans="2:16" x14ac:dyDescent="0.25">
      <c r="B679" s="3">
        <v>43955</v>
      </c>
      <c r="C679" s="11">
        <v>2298</v>
      </c>
      <c r="E679" s="17" t="s">
        <v>669</v>
      </c>
      <c r="F679" s="17"/>
      <c r="G679" s="66"/>
      <c r="H679"/>
      <c r="J679" s="16">
        <v>991977718972</v>
      </c>
      <c r="K679" s="16">
        <v>8789469650</v>
      </c>
    </row>
    <row r="680" spans="2:16" x14ac:dyDescent="0.25">
      <c r="B680" s="3">
        <v>43955</v>
      </c>
      <c r="C680" s="11">
        <v>2300</v>
      </c>
      <c r="E680" s="17" t="s">
        <v>670</v>
      </c>
      <c r="F680" s="17"/>
      <c r="G680" s="66"/>
      <c r="H680"/>
      <c r="J680" s="16">
        <v>640413969953</v>
      </c>
      <c r="K680" s="16">
        <v>8797356338</v>
      </c>
    </row>
    <row r="681" spans="2:16" x14ac:dyDescent="0.25">
      <c r="B681" s="3">
        <v>43955</v>
      </c>
      <c r="C681" s="11">
        <v>2301</v>
      </c>
      <c r="E681" s="17" t="s">
        <v>671</v>
      </c>
      <c r="F681" s="17"/>
      <c r="G681" s="66"/>
      <c r="H681"/>
      <c r="J681" s="16">
        <v>539376580433</v>
      </c>
      <c r="K681" s="16">
        <v>8789117436</v>
      </c>
    </row>
    <row r="682" spans="2:16" x14ac:dyDescent="0.25">
      <c r="B682" s="3">
        <v>43955</v>
      </c>
      <c r="C682" s="11">
        <v>2303</v>
      </c>
      <c r="E682" s="17" t="s">
        <v>672</v>
      </c>
      <c r="F682" s="17"/>
      <c r="G682" s="66"/>
      <c r="H682"/>
      <c r="J682" s="16">
        <v>740339546823</v>
      </c>
      <c r="K682" s="16">
        <v>7765030376</v>
      </c>
    </row>
    <row r="683" spans="2:16" x14ac:dyDescent="0.25">
      <c r="B683" s="3">
        <v>43955</v>
      </c>
      <c r="C683" s="11">
        <v>2304</v>
      </c>
      <c r="E683" s="17" t="s">
        <v>673</v>
      </c>
      <c r="F683" s="17"/>
      <c r="G683" s="66"/>
      <c r="H683"/>
      <c r="J683" s="16">
        <v>967678487818</v>
      </c>
      <c r="K683" s="16">
        <v>7295092997</v>
      </c>
    </row>
    <row r="684" spans="2:16" x14ac:dyDescent="0.25">
      <c r="B684" s="3">
        <v>43955</v>
      </c>
      <c r="C684" s="11">
        <v>2307</v>
      </c>
      <c r="E684" s="17" t="s">
        <v>674</v>
      </c>
      <c r="F684" s="17"/>
      <c r="G684" s="66"/>
      <c r="H684"/>
      <c r="J684" s="16">
        <v>433119679123</v>
      </c>
      <c r="K684" s="16">
        <v>9065812501</v>
      </c>
    </row>
    <row r="685" spans="2:16" x14ac:dyDescent="0.25">
      <c r="B685" s="3">
        <v>43955</v>
      </c>
      <c r="C685" s="11">
        <v>2308</v>
      </c>
      <c r="E685" s="17" t="s">
        <v>675</v>
      </c>
      <c r="F685" s="17"/>
      <c r="G685" s="66"/>
      <c r="H685"/>
      <c r="J685" s="16">
        <v>572657496953</v>
      </c>
      <c r="K685" s="16">
        <v>7992253187</v>
      </c>
    </row>
    <row r="686" spans="2:16" x14ac:dyDescent="0.25">
      <c r="B686" s="3">
        <v>43955</v>
      </c>
      <c r="C686" s="11">
        <v>2311</v>
      </c>
      <c r="E686" s="17" t="s">
        <v>676</v>
      </c>
      <c r="F686" s="17"/>
      <c r="G686" s="66"/>
      <c r="H686"/>
      <c r="J686" s="16">
        <v>865398952016</v>
      </c>
      <c r="K686" s="16">
        <v>9162478336</v>
      </c>
    </row>
    <row r="687" spans="2:16" x14ac:dyDescent="0.25">
      <c r="B687" s="3">
        <v>43955</v>
      </c>
      <c r="C687" s="11">
        <v>2316</v>
      </c>
      <c r="E687" s="17" t="s">
        <v>677</v>
      </c>
      <c r="F687" s="17"/>
      <c r="G687" s="66"/>
      <c r="H687"/>
      <c r="J687" s="16">
        <v>569912299441</v>
      </c>
      <c r="K687" s="16">
        <v>7294148349</v>
      </c>
      <c r="O687" s="4" t="s">
        <v>14</v>
      </c>
      <c r="P687" s="4" t="s">
        <v>16</v>
      </c>
    </row>
    <row r="688" spans="2:16" x14ac:dyDescent="0.25">
      <c r="B688" s="3">
        <v>43955</v>
      </c>
      <c r="C688" s="11">
        <v>2318</v>
      </c>
      <c r="E688" s="17" t="s">
        <v>678</v>
      </c>
      <c r="F688" s="17"/>
      <c r="G688" s="66"/>
      <c r="H688"/>
      <c r="J688" s="16">
        <v>983143609103</v>
      </c>
      <c r="K688" s="16">
        <v>8235452197</v>
      </c>
    </row>
    <row r="689" spans="2:11" x14ac:dyDescent="0.25">
      <c r="B689" s="3">
        <v>43955</v>
      </c>
      <c r="C689" s="11">
        <v>2320</v>
      </c>
      <c r="E689" s="17" t="s">
        <v>679</v>
      </c>
      <c r="F689" s="17"/>
      <c r="G689" s="66"/>
      <c r="H689"/>
      <c r="J689" s="16">
        <v>524421939774</v>
      </c>
      <c r="K689" s="16">
        <v>7281065323</v>
      </c>
    </row>
    <row r="690" spans="2:11" x14ac:dyDescent="0.25">
      <c r="B690" s="3">
        <v>43955</v>
      </c>
      <c r="C690" s="11">
        <v>2321</v>
      </c>
      <c r="E690" s="17" t="s">
        <v>680</v>
      </c>
      <c r="F690" s="17"/>
      <c r="G690" s="66"/>
      <c r="H690"/>
      <c r="J690" s="16">
        <v>571649987986</v>
      </c>
      <c r="K690" s="16">
        <v>6204170127</v>
      </c>
    </row>
    <row r="691" spans="2:11" x14ac:dyDescent="0.25">
      <c r="B691" s="3">
        <v>43955</v>
      </c>
      <c r="C691" s="11">
        <v>2322</v>
      </c>
      <c r="E691" s="17" t="s">
        <v>681</v>
      </c>
      <c r="F691" s="17"/>
      <c r="G691" s="66"/>
      <c r="H691"/>
      <c r="J691" s="16">
        <v>606719780273</v>
      </c>
      <c r="K691" s="16">
        <v>9801344410</v>
      </c>
    </row>
    <row r="692" spans="2:11" x14ac:dyDescent="0.25">
      <c r="B692" s="3">
        <v>43955</v>
      </c>
      <c r="C692" s="11">
        <v>2324</v>
      </c>
      <c r="E692" s="17" t="s">
        <v>682</v>
      </c>
      <c r="F692" s="17"/>
      <c r="G692" s="66"/>
      <c r="H692"/>
      <c r="J692" s="16">
        <v>854084968658</v>
      </c>
      <c r="K692" s="16">
        <v>9234739947</v>
      </c>
    </row>
    <row r="693" spans="2:11" x14ac:dyDescent="0.25">
      <c r="B693" s="3">
        <v>43955</v>
      </c>
      <c r="C693" s="11">
        <v>2325</v>
      </c>
      <c r="E693" s="17" t="s">
        <v>683</v>
      </c>
      <c r="F693" s="17"/>
      <c r="G693" s="66"/>
      <c r="H693"/>
      <c r="J693" s="16">
        <v>982284968658</v>
      </c>
      <c r="K693" s="16">
        <v>6206886431</v>
      </c>
    </row>
    <row r="694" spans="2:11" x14ac:dyDescent="0.25">
      <c r="B694" s="3">
        <v>43955</v>
      </c>
      <c r="C694" s="11">
        <v>2326</v>
      </c>
      <c r="E694" s="17" t="s">
        <v>684</v>
      </c>
      <c r="F694" s="17"/>
      <c r="G694" s="66"/>
      <c r="H694"/>
      <c r="J694" s="16">
        <v>404248380457</v>
      </c>
      <c r="K694" s="16">
        <v>7903131344</v>
      </c>
    </row>
    <row r="695" spans="2:11" x14ac:dyDescent="0.25">
      <c r="B695" s="3">
        <v>43955</v>
      </c>
      <c r="C695" s="11">
        <v>2328</v>
      </c>
      <c r="E695" s="17" t="s">
        <v>685</v>
      </c>
      <c r="F695" s="17"/>
      <c r="G695" s="66"/>
      <c r="H695"/>
      <c r="J695" s="16">
        <v>635238069632</v>
      </c>
      <c r="K695" s="16">
        <v>7762974582</v>
      </c>
    </row>
    <row r="696" spans="2:11" x14ac:dyDescent="0.25">
      <c r="B696" s="3">
        <v>43955</v>
      </c>
      <c r="C696" s="11">
        <v>2330</v>
      </c>
      <c r="E696" s="17" t="s">
        <v>686</v>
      </c>
      <c r="F696" s="17"/>
      <c r="G696" s="66"/>
      <c r="H696"/>
      <c r="J696" s="16">
        <v>806469306342</v>
      </c>
      <c r="K696" s="16">
        <v>7766975087</v>
      </c>
    </row>
    <row r="697" spans="2:11" x14ac:dyDescent="0.25">
      <c r="B697" s="3">
        <v>43955</v>
      </c>
      <c r="C697" s="11">
        <v>2331</v>
      </c>
      <c r="E697" s="17" t="s">
        <v>687</v>
      </c>
      <c r="F697" s="17"/>
      <c r="G697" s="66"/>
      <c r="H697"/>
      <c r="J697" s="16">
        <v>988681437249</v>
      </c>
      <c r="K697" s="16">
        <v>9031726529</v>
      </c>
    </row>
    <row r="698" spans="2:11" x14ac:dyDescent="0.25">
      <c r="B698" s="3">
        <v>43955</v>
      </c>
      <c r="C698" s="11">
        <v>2334</v>
      </c>
      <c r="E698" s="17" t="s">
        <v>688</v>
      </c>
      <c r="F698" s="17"/>
      <c r="G698" s="66"/>
      <c r="H698"/>
      <c r="J698" s="16">
        <v>221772917203</v>
      </c>
      <c r="K698" s="16">
        <v>9334636033</v>
      </c>
    </row>
    <row r="699" spans="2:11" x14ac:dyDescent="0.25">
      <c r="B699" s="3">
        <v>43955</v>
      </c>
      <c r="C699" s="11">
        <v>2342</v>
      </c>
      <c r="E699" s="17" t="s">
        <v>689</v>
      </c>
      <c r="F699" s="17"/>
      <c r="G699" s="66"/>
      <c r="H699"/>
      <c r="J699" s="16">
        <v>628421437790</v>
      </c>
      <c r="K699" s="16">
        <v>6203491921</v>
      </c>
    </row>
    <row r="700" spans="2:11" x14ac:dyDescent="0.25">
      <c r="B700" s="3">
        <v>43955</v>
      </c>
      <c r="C700" s="11">
        <v>2344</v>
      </c>
      <c r="E700" s="17" t="s">
        <v>29</v>
      </c>
      <c r="F700" s="17"/>
      <c r="G700" s="66"/>
      <c r="H700"/>
      <c r="J700" s="16">
        <v>461019773448</v>
      </c>
      <c r="K700" s="16">
        <v>8936065592</v>
      </c>
    </row>
    <row r="701" spans="2:11" x14ac:dyDescent="0.25">
      <c r="B701" s="3">
        <v>43955</v>
      </c>
      <c r="C701" s="11">
        <v>2347</v>
      </c>
      <c r="E701" s="17" t="s">
        <v>690</v>
      </c>
      <c r="F701" s="17"/>
      <c r="G701" s="66"/>
      <c r="H701"/>
      <c r="J701" s="16">
        <v>391060973681</v>
      </c>
      <c r="K701" s="16">
        <v>6206198967</v>
      </c>
    </row>
    <row r="702" spans="2:11" x14ac:dyDescent="0.25">
      <c r="B702" s="3">
        <v>43955</v>
      </c>
      <c r="C702" s="11">
        <v>2350</v>
      </c>
      <c r="E702" s="17" t="s">
        <v>691</v>
      </c>
      <c r="F702" s="17"/>
      <c r="G702" s="66"/>
      <c r="H702"/>
      <c r="J702" s="16">
        <v>343972671029</v>
      </c>
      <c r="K702" s="16">
        <v>8010233531</v>
      </c>
    </row>
    <row r="703" spans="2:11" x14ac:dyDescent="0.25">
      <c r="B703" s="3">
        <v>43955</v>
      </c>
      <c r="C703" s="11">
        <v>2353</v>
      </c>
      <c r="E703" s="17" t="s">
        <v>692</v>
      </c>
      <c r="F703" s="17"/>
      <c r="G703" s="66"/>
      <c r="H703"/>
      <c r="J703" s="16">
        <v>300362404628</v>
      </c>
      <c r="K703" s="16">
        <v>7903059424</v>
      </c>
    </row>
    <row r="704" spans="2:11" x14ac:dyDescent="0.25">
      <c r="B704" s="3">
        <v>43955</v>
      </c>
      <c r="C704" s="11">
        <v>2355</v>
      </c>
      <c r="E704" s="17" t="s">
        <v>693</v>
      </c>
      <c r="F704" s="17"/>
      <c r="G704" s="66"/>
      <c r="H704"/>
      <c r="J704" s="16">
        <v>531154523851</v>
      </c>
      <c r="K704" s="16">
        <v>9771254124</v>
      </c>
    </row>
    <row r="705" spans="2:14" x14ac:dyDescent="0.25">
      <c r="B705" s="3">
        <v>43955</v>
      </c>
      <c r="C705" s="11">
        <v>2356</v>
      </c>
      <c r="E705" s="17" t="s">
        <v>694</v>
      </c>
      <c r="F705" s="17"/>
      <c r="G705" s="66"/>
      <c r="H705"/>
      <c r="J705" s="16"/>
      <c r="K705" s="16"/>
    </row>
    <row r="706" spans="2:14" x14ac:dyDescent="0.25">
      <c r="B706" s="3">
        <v>43955</v>
      </c>
      <c r="C706" s="11">
        <v>2357</v>
      </c>
      <c r="E706" s="17" t="s">
        <v>695</v>
      </c>
      <c r="F706" s="17"/>
      <c r="G706" s="66"/>
      <c r="H706"/>
      <c r="J706" s="16">
        <v>430136403027</v>
      </c>
      <c r="K706" s="16">
        <v>7677270579</v>
      </c>
    </row>
    <row r="707" spans="2:14" x14ac:dyDescent="0.25">
      <c r="B707" s="3">
        <v>43955</v>
      </c>
      <c r="C707" s="11">
        <v>2359</v>
      </c>
      <c r="E707" s="17" t="s">
        <v>696</v>
      </c>
      <c r="F707" s="17"/>
      <c r="G707" s="66"/>
      <c r="H707" t="s">
        <v>1162</v>
      </c>
      <c r="I707" s="4">
        <v>200</v>
      </c>
      <c r="J707" s="16">
        <v>909274131786</v>
      </c>
      <c r="K707" s="16">
        <v>7634890177</v>
      </c>
      <c r="L707" s="3">
        <v>44014</v>
      </c>
      <c r="M707" s="4" t="s">
        <v>1182</v>
      </c>
      <c r="N707" s="4" t="s">
        <v>1182</v>
      </c>
    </row>
    <row r="708" spans="2:14" x14ac:dyDescent="0.25">
      <c r="B708" s="3">
        <v>43955</v>
      </c>
      <c r="C708" s="11">
        <v>2361</v>
      </c>
      <c r="E708" s="17" t="s">
        <v>697</v>
      </c>
      <c r="F708" s="17"/>
      <c r="G708" s="66"/>
      <c r="H708"/>
      <c r="J708" s="16">
        <v>627718450059</v>
      </c>
      <c r="K708" s="16">
        <v>6206459599</v>
      </c>
    </row>
    <row r="709" spans="2:14" x14ac:dyDescent="0.25">
      <c r="B709" s="3">
        <v>43955</v>
      </c>
      <c r="C709" s="11">
        <v>2365</v>
      </c>
      <c r="E709" s="17" t="s">
        <v>698</v>
      </c>
      <c r="F709" s="17"/>
      <c r="G709" s="66"/>
      <c r="H709"/>
      <c r="J709" s="16">
        <v>619515071597</v>
      </c>
      <c r="K709" s="16">
        <v>6207002165</v>
      </c>
    </row>
    <row r="710" spans="2:14" x14ac:dyDescent="0.25">
      <c r="B710" s="3">
        <v>43955</v>
      </c>
      <c r="C710" s="11">
        <v>2366</v>
      </c>
      <c r="E710" s="17" t="s">
        <v>699</v>
      </c>
      <c r="F710" s="17"/>
      <c r="G710" s="66"/>
      <c r="H710"/>
      <c r="J710" s="16">
        <v>973989856754</v>
      </c>
      <c r="K710" s="16">
        <v>7761813871</v>
      </c>
    </row>
    <row r="711" spans="2:14" x14ac:dyDescent="0.25">
      <c r="B711" s="3">
        <v>43955</v>
      </c>
      <c r="C711" s="11">
        <v>2371</v>
      </c>
      <c r="E711" s="17" t="s">
        <v>700</v>
      </c>
      <c r="F711" s="17"/>
      <c r="G711" s="66"/>
      <c r="H711"/>
      <c r="J711" s="16">
        <v>646520706032</v>
      </c>
      <c r="K711" s="16">
        <v>9234670682</v>
      </c>
    </row>
    <row r="712" spans="2:14" x14ac:dyDescent="0.25">
      <c r="B712" s="3">
        <v>43955</v>
      </c>
      <c r="C712" s="11">
        <v>2373</v>
      </c>
      <c r="E712" s="17" t="s">
        <v>701</v>
      </c>
      <c r="F712" s="17"/>
      <c r="G712" s="66"/>
      <c r="H712"/>
      <c r="J712" s="16">
        <v>579870704017</v>
      </c>
      <c r="K712" s="16">
        <v>7857946281</v>
      </c>
    </row>
    <row r="713" spans="2:14" x14ac:dyDescent="0.25">
      <c r="B713" s="3">
        <v>43955</v>
      </c>
      <c r="C713" s="11">
        <v>2375</v>
      </c>
      <c r="E713" s="17" t="s">
        <v>702</v>
      </c>
      <c r="F713" s="17"/>
      <c r="G713" s="66"/>
      <c r="H713"/>
      <c r="J713" s="16">
        <v>448095820515</v>
      </c>
      <c r="K713" s="16">
        <v>8797343071</v>
      </c>
    </row>
    <row r="714" spans="2:14" x14ac:dyDescent="0.25">
      <c r="B714" s="3">
        <v>43956</v>
      </c>
      <c r="C714" s="11">
        <v>2396</v>
      </c>
      <c r="E714" s="17" t="s">
        <v>231</v>
      </c>
      <c r="F714" s="17"/>
      <c r="G714" s="66"/>
      <c r="H714"/>
      <c r="J714" s="16">
        <v>753604493274</v>
      </c>
      <c r="K714" s="16">
        <v>8987537772</v>
      </c>
    </row>
    <row r="715" spans="2:14" x14ac:dyDescent="0.25">
      <c r="B715" s="3">
        <v>43956</v>
      </c>
      <c r="C715" s="11">
        <v>2399</v>
      </c>
      <c r="E715" s="17" t="s">
        <v>703</v>
      </c>
      <c r="F715" s="17"/>
      <c r="G715" s="66"/>
      <c r="H715"/>
      <c r="J715" s="16"/>
      <c r="K715" s="16"/>
    </row>
    <row r="716" spans="2:14" x14ac:dyDescent="0.25">
      <c r="B716" s="3">
        <v>43956</v>
      </c>
      <c r="C716" s="11">
        <v>2401</v>
      </c>
      <c r="E716" s="17" t="s">
        <v>704</v>
      </c>
      <c r="F716" s="17"/>
      <c r="G716" s="66"/>
      <c r="H716" t="s">
        <v>1157</v>
      </c>
      <c r="I716" s="4">
        <v>200</v>
      </c>
      <c r="J716" s="16">
        <v>591724558243</v>
      </c>
      <c r="K716" s="16">
        <v>9572088493</v>
      </c>
    </row>
    <row r="717" spans="2:14" x14ac:dyDescent="0.25">
      <c r="B717" s="3">
        <v>43956</v>
      </c>
      <c r="C717" s="11">
        <v>2403</v>
      </c>
      <c r="E717" s="17" t="s">
        <v>705</v>
      </c>
      <c r="F717" s="17"/>
      <c r="G717" s="66"/>
      <c r="H717"/>
      <c r="I717" s="4">
        <v>200</v>
      </c>
      <c r="J717" s="16">
        <v>782835454037</v>
      </c>
      <c r="K717" s="16">
        <v>9661705073</v>
      </c>
    </row>
    <row r="718" spans="2:14" x14ac:dyDescent="0.25">
      <c r="B718" s="3">
        <v>43956</v>
      </c>
      <c r="C718" s="11">
        <v>2405</v>
      </c>
      <c r="E718" s="17" t="s">
        <v>706</v>
      </c>
      <c r="F718" s="17"/>
      <c r="G718" s="66"/>
      <c r="H718" t="s">
        <v>1157</v>
      </c>
      <c r="I718" s="4">
        <v>200</v>
      </c>
      <c r="J718" s="16">
        <v>390560107030</v>
      </c>
      <c r="K718" s="16">
        <v>7667608615</v>
      </c>
    </row>
    <row r="719" spans="2:14" x14ac:dyDescent="0.25">
      <c r="B719" s="3">
        <v>43956</v>
      </c>
      <c r="C719" s="11">
        <v>2407</v>
      </c>
      <c r="E719" s="17" t="s">
        <v>707</v>
      </c>
      <c r="F719" s="17"/>
      <c r="G719" s="66"/>
      <c r="H719"/>
      <c r="J719" s="16">
        <v>556861799811</v>
      </c>
      <c r="K719" s="16">
        <v>7543907306</v>
      </c>
    </row>
    <row r="720" spans="2:14" x14ac:dyDescent="0.25">
      <c r="B720" s="3">
        <v>43956</v>
      </c>
      <c r="C720" s="11">
        <v>2411</v>
      </c>
      <c r="E720" s="17" t="s">
        <v>709</v>
      </c>
      <c r="F720" s="17"/>
      <c r="G720" s="66"/>
      <c r="H720" t="s">
        <v>1157</v>
      </c>
      <c r="I720" s="4">
        <v>100</v>
      </c>
      <c r="J720" s="16">
        <v>357627195830</v>
      </c>
      <c r="K720" s="16">
        <v>8797037698</v>
      </c>
    </row>
    <row r="721" spans="2:11" x14ac:dyDescent="0.25">
      <c r="B721" s="3">
        <v>43956</v>
      </c>
      <c r="C721" s="11">
        <v>2413</v>
      </c>
      <c r="E721" s="17" t="s">
        <v>710</v>
      </c>
      <c r="F721" s="17"/>
      <c r="G721" s="66"/>
      <c r="H721" t="s">
        <v>1157</v>
      </c>
      <c r="I721" s="4">
        <v>100</v>
      </c>
      <c r="J721" s="16">
        <v>781444076906</v>
      </c>
      <c r="K721" s="16">
        <v>8789757678</v>
      </c>
    </row>
    <row r="722" spans="2:11" x14ac:dyDescent="0.25">
      <c r="B722" s="3">
        <v>43956</v>
      </c>
      <c r="C722" s="11">
        <v>2416</v>
      </c>
      <c r="E722" s="17" t="s">
        <v>711</v>
      </c>
      <c r="F722" s="17"/>
      <c r="G722" s="66"/>
      <c r="H722" t="s">
        <v>1157</v>
      </c>
      <c r="I722" s="4">
        <v>100</v>
      </c>
      <c r="J722" s="16">
        <v>981684500681</v>
      </c>
      <c r="K722" s="16">
        <v>7209702419</v>
      </c>
    </row>
    <row r="723" spans="2:11" x14ac:dyDescent="0.25">
      <c r="B723" s="3">
        <v>43956</v>
      </c>
      <c r="C723" s="11">
        <v>2418</v>
      </c>
      <c r="E723" s="17" t="s">
        <v>712</v>
      </c>
      <c r="F723" s="17"/>
      <c r="G723" s="66"/>
      <c r="H723"/>
      <c r="J723" s="16">
        <v>982731119762</v>
      </c>
      <c r="K723" s="16">
        <v>9955466612</v>
      </c>
    </row>
    <row r="724" spans="2:11" x14ac:dyDescent="0.25">
      <c r="B724" s="3">
        <v>43956</v>
      </c>
      <c r="C724" s="11">
        <v>2419</v>
      </c>
      <c r="E724" s="17" t="s">
        <v>713</v>
      </c>
      <c r="F724" s="17"/>
      <c r="G724" s="66"/>
      <c r="H724"/>
      <c r="J724" s="16">
        <v>879231617136</v>
      </c>
      <c r="K724" s="16">
        <v>8797785119</v>
      </c>
    </row>
    <row r="725" spans="2:11" x14ac:dyDescent="0.25">
      <c r="B725" s="3">
        <v>43956</v>
      </c>
      <c r="C725" s="11">
        <v>2422</v>
      </c>
      <c r="E725" s="17" t="s">
        <v>714</v>
      </c>
      <c r="F725" s="17"/>
      <c r="G725" s="66"/>
      <c r="H725"/>
      <c r="J725" s="16">
        <v>356552680946</v>
      </c>
      <c r="K725" s="16">
        <v>8797630589</v>
      </c>
    </row>
    <row r="726" spans="2:11" x14ac:dyDescent="0.25">
      <c r="B726" s="3">
        <v>43956</v>
      </c>
      <c r="C726" s="11">
        <v>2423</v>
      </c>
      <c r="E726" s="17" t="s">
        <v>715</v>
      </c>
      <c r="F726" s="17"/>
      <c r="G726" s="66"/>
      <c r="H726"/>
      <c r="J726" s="16">
        <v>356452680946</v>
      </c>
      <c r="K726" s="16">
        <v>8797630589</v>
      </c>
    </row>
    <row r="727" spans="2:11" x14ac:dyDescent="0.25">
      <c r="B727" s="3">
        <v>43956</v>
      </c>
      <c r="C727" s="11">
        <v>2425</v>
      </c>
      <c r="E727" s="17" t="s">
        <v>716</v>
      </c>
      <c r="F727" s="17"/>
      <c r="G727" s="66"/>
      <c r="H727"/>
      <c r="J727" s="16">
        <v>475851367653</v>
      </c>
      <c r="K727" s="16">
        <v>9693003404</v>
      </c>
    </row>
    <row r="728" spans="2:11" x14ac:dyDescent="0.25">
      <c r="B728" s="3">
        <v>43956</v>
      </c>
      <c r="C728" s="11">
        <v>2426</v>
      </c>
      <c r="E728" s="17" t="s">
        <v>717</v>
      </c>
      <c r="F728" s="17"/>
      <c r="G728" s="66"/>
      <c r="H728"/>
      <c r="J728" s="16">
        <v>242618346151</v>
      </c>
      <c r="K728" s="16">
        <v>790374647</v>
      </c>
    </row>
    <row r="729" spans="2:11" x14ac:dyDescent="0.25">
      <c r="B729" s="3">
        <v>43956</v>
      </c>
      <c r="C729" s="11">
        <v>2428</v>
      </c>
      <c r="E729" s="19" t="s">
        <v>251</v>
      </c>
      <c r="F729" s="19"/>
      <c r="G729" s="67"/>
      <c r="H729" t="s">
        <v>1157</v>
      </c>
      <c r="I729" s="4">
        <v>100</v>
      </c>
      <c r="J729" s="16">
        <v>759782479257</v>
      </c>
      <c r="K729" s="16">
        <v>9798442093</v>
      </c>
    </row>
    <row r="730" spans="2:11" x14ac:dyDescent="0.25">
      <c r="B730" s="3">
        <v>43956</v>
      </c>
      <c r="C730" s="11">
        <v>2430</v>
      </c>
      <c r="E730" s="17" t="s">
        <v>718</v>
      </c>
      <c r="F730" s="17"/>
      <c r="G730" s="66"/>
      <c r="H730"/>
      <c r="J730" s="16">
        <v>282516275905</v>
      </c>
      <c r="K730" s="16">
        <v>6203590858</v>
      </c>
    </row>
    <row r="731" spans="2:11" x14ac:dyDescent="0.25">
      <c r="B731" s="3">
        <v>43956</v>
      </c>
      <c r="C731" s="11">
        <v>2432</v>
      </c>
      <c r="E731" s="17" t="s">
        <v>164</v>
      </c>
      <c r="F731" s="17"/>
      <c r="G731" s="66"/>
      <c r="H731"/>
      <c r="J731" s="16">
        <v>679879884591</v>
      </c>
      <c r="K731" s="16">
        <v>8235342199</v>
      </c>
    </row>
    <row r="732" spans="2:11" x14ac:dyDescent="0.25">
      <c r="B732" s="3">
        <v>43956</v>
      </c>
      <c r="C732" s="11">
        <v>2435</v>
      </c>
      <c r="E732" s="19" t="s">
        <v>719</v>
      </c>
      <c r="F732" s="19"/>
      <c r="G732" s="67"/>
      <c r="H732" t="s">
        <v>1162</v>
      </c>
      <c r="I732" s="4">
        <v>200</v>
      </c>
      <c r="J732" s="16">
        <v>475403749120</v>
      </c>
      <c r="K732" s="16">
        <v>9123233026</v>
      </c>
    </row>
    <row r="733" spans="2:11" x14ac:dyDescent="0.25">
      <c r="B733" s="3">
        <v>43956</v>
      </c>
      <c r="C733" s="11">
        <v>2438</v>
      </c>
      <c r="E733" s="17" t="s">
        <v>640</v>
      </c>
      <c r="F733" s="17"/>
      <c r="G733" s="66"/>
      <c r="H733"/>
      <c r="J733" s="16">
        <v>391784394728</v>
      </c>
      <c r="K733" s="16">
        <v>9234932471</v>
      </c>
    </row>
    <row r="734" spans="2:11" x14ac:dyDescent="0.25">
      <c r="B734" s="3">
        <v>43956</v>
      </c>
      <c r="C734" s="11">
        <v>2440</v>
      </c>
      <c r="E734" s="17" t="s">
        <v>108</v>
      </c>
      <c r="F734" s="17"/>
      <c r="G734" s="66"/>
      <c r="H734"/>
      <c r="J734" s="16">
        <v>210542470247</v>
      </c>
      <c r="K734" s="16">
        <v>9801966179</v>
      </c>
    </row>
    <row r="735" spans="2:11" x14ac:dyDescent="0.25">
      <c r="B735" s="3">
        <v>43956</v>
      </c>
      <c r="C735" s="11">
        <v>2441</v>
      </c>
      <c r="E735" s="17" t="s">
        <v>720</v>
      </c>
      <c r="F735" s="17"/>
      <c r="G735" s="66"/>
      <c r="H735"/>
      <c r="J735" s="16">
        <v>562439420247</v>
      </c>
      <c r="K735" s="16">
        <v>9801966179</v>
      </c>
    </row>
    <row r="736" spans="2:11" x14ac:dyDescent="0.25">
      <c r="B736" s="3">
        <v>43956</v>
      </c>
      <c r="C736" s="11">
        <v>2443</v>
      </c>
      <c r="E736" s="17" t="s">
        <v>721</v>
      </c>
      <c r="F736" s="17"/>
      <c r="G736" s="66"/>
      <c r="H736" t="s">
        <v>1171</v>
      </c>
      <c r="I736" s="4">
        <v>100</v>
      </c>
      <c r="J736" s="16">
        <v>901311263269</v>
      </c>
      <c r="K736" s="16">
        <v>7677133610</v>
      </c>
    </row>
    <row r="737" spans="2:12" x14ac:dyDescent="0.25">
      <c r="B737" s="3">
        <v>43956</v>
      </c>
      <c r="C737" s="11">
        <v>2444</v>
      </c>
      <c r="E737" s="17" t="s">
        <v>722</v>
      </c>
      <c r="F737" s="17"/>
      <c r="G737" s="66"/>
      <c r="H737"/>
      <c r="J737" s="16">
        <v>573892363628</v>
      </c>
      <c r="K737" s="16">
        <v>8092169272</v>
      </c>
    </row>
    <row r="738" spans="2:12" x14ac:dyDescent="0.25">
      <c r="B738" s="3">
        <v>43956</v>
      </c>
      <c r="C738" s="11">
        <v>2445</v>
      </c>
      <c r="E738" s="17" t="s">
        <v>723</v>
      </c>
      <c r="F738" s="17"/>
      <c r="G738" s="66"/>
      <c r="H738"/>
      <c r="J738" s="16">
        <v>725383560358</v>
      </c>
      <c r="K738" s="16">
        <v>7808776056</v>
      </c>
    </row>
    <row r="739" spans="2:12" x14ac:dyDescent="0.25">
      <c r="B739" s="3">
        <v>43956</v>
      </c>
      <c r="C739" s="11">
        <v>2451</v>
      </c>
      <c r="E739" s="17" t="s">
        <v>724</v>
      </c>
      <c r="F739" s="17"/>
      <c r="G739" s="66"/>
      <c r="H739"/>
      <c r="J739" s="16">
        <v>438408598765</v>
      </c>
      <c r="K739" s="16">
        <v>7209940091</v>
      </c>
    </row>
    <row r="740" spans="2:12" x14ac:dyDescent="0.25">
      <c r="B740" s="3">
        <v>43956</v>
      </c>
      <c r="C740" s="11">
        <v>2452</v>
      </c>
      <c r="E740" s="17" t="s">
        <v>725</v>
      </c>
      <c r="F740" s="17"/>
      <c r="G740" s="66"/>
      <c r="H740"/>
      <c r="J740" s="16">
        <v>298171984376</v>
      </c>
      <c r="K740" s="16">
        <v>7209105825</v>
      </c>
    </row>
    <row r="741" spans="2:12" x14ac:dyDescent="0.25">
      <c r="B741" s="3">
        <v>43956</v>
      </c>
      <c r="C741" s="11">
        <v>2455</v>
      </c>
      <c r="E741" s="17" t="s">
        <v>726</v>
      </c>
      <c r="F741" s="17"/>
      <c r="G741" s="66"/>
      <c r="H741"/>
      <c r="J741" s="16">
        <v>452048731057</v>
      </c>
      <c r="K741" s="16">
        <v>7461069715</v>
      </c>
    </row>
    <row r="742" spans="2:12" x14ac:dyDescent="0.25">
      <c r="B742" s="3">
        <v>43956</v>
      </c>
      <c r="C742" s="11">
        <v>2458</v>
      </c>
      <c r="E742" s="17" t="s">
        <v>727</v>
      </c>
      <c r="F742" s="17"/>
      <c r="G742" s="66"/>
      <c r="H742"/>
      <c r="J742" s="16">
        <v>350325341962</v>
      </c>
      <c r="K742" s="16">
        <v>7324062632</v>
      </c>
    </row>
    <row r="743" spans="2:12" x14ac:dyDescent="0.25">
      <c r="B743" s="3">
        <v>43956</v>
      </c>
      <c r="C743" s="11">
        <v>2459</v>
      </c>
      <c r="E743" s="17" t="s">
        <v>728</v>
      </c>
      <c r="F743" s="17"/>
      <c r="G743" s="66"/>
      <c r="H743"/>
      <c r="J743" s="16">
        <v>647366072061</v>
      </c>
      <c r="K743" s="16">
        <v>8235157204</v>
      </c>
    </row>
    <row r="744" spans="2:12" x14ac:dyDescent="0.25">
      <c r="B744" s="3">
        <v>43956</v>
      </c>
      <c r="C744" s="11">
        <v>2461</v>
      </c>
      <c r="E744" s="19" t="s">
        <v>729</v>
      </c>
      <c r="F744" s="19"/>
      <c r="G744" s="67"/>
      <c r="H744" t="s">
        <v>1162</v>
      </c>
      <c r="I744" s="4">
        <v>200</v>
      </c>
      <c r="J744" s="16">
        <v>674935401436</v>
      </c>
      <c r="K744" s="16">
        <v>7209375532</v>
      </c>
    </row>
    <row r="745" spans="2:12" x14ac:dyDescent="0.25">
      <c r="B745" s="3">
        <v>43956</v>
      </c>
      <c r="C745" s="11">
        <v>2463</v>
      </c>
      <c r="E745" s="17" t="s">
        <v>730</v>
      </c>
      <c r="F745" s="17"/>
      <c r="G745" s="66"/>
      <c r="H745"/>
      <c r="J745" s="16">
        <v>412522317506</v>
      </c>
      <c r="K745" s="16">
        <v>8797939912</v>
      </c>
      <c r="L745" s="3">
        <v>44035</v>
      </c>
    </row>
    <row r="746" spans="2:12" x14ac:dyDescent="0.25">
      <c r="B746" s="3">
        <v>43956</v>
      </c>
      <c r="C746" s="11">
        <v>2467</v>
      </c>
      <c r="E746" s="17" t="s">
        <v>731</v>
      </c>
      <c r="F746" s="17"/>
      <c r="G746" s="66"/>
      <c r="H746"/>
      <c r="J746" s="16">
        <v>324188890854</v>
      </c>
      <c r="K746" s="16">
        <v>7209212645</v>
      </c>
    </row>
    <row r="747" spans="2:12" x14ac:dyDescent="0.25">
      <c r="B747" s="3">
        <v>43956</v>
      </c>
      <c r="C747" s="11">
        <v>2468</v>
      </c>
      <c r="E747" s="17" t="s">
        <v>732</v>
      </c>
      <c r="F747" s="17"/>
      <c r="G747" s="66"/>
      <c r="H747"/>
      <c r="J747" s="16">
        <v>207826929474</v>
      </c>
      <c r="K747" s="16">
        <v>8809099670</v>
      </c>
    </row>
    <row r="748" spans="2:12" x14ac:dyDescent="0.25">
      <c r="B748" s="3">
        <v>43956</v>
      </c>
      <c r="C748" s="11">
        <v>2472</v>
      </c>
      <c r="E748" s="17" t="s">
        <v>733</v>
      </c>
      <c r="F748" s="17"/>
      <c r="G748" s="66"/>
      <c r="H748" t="s">
        <v>1164</v>
      </c>
      <c r="I748" s="4">
        <v>200</v>
      </c>
      <c r="J748" s="16">
        <v>219139462947</v>
      </c>
      <c r="K748" s="16">
        <v>7367810530</v>
      </c>
    </row>
    <row r="749" spans="2:12" x14ac:dyDescent="0.25">
      <c r="B749" s="3">
        <v>43956</v>
      </c>
      <c r="C749" s="11">
        <v>2474</v>
      </c>
      <c r="E749" s="17" t="s">
        <v>734</v>
      </c>
      <c r="F749" s="17"/>
      <c r="G749" s="66"/>
      <c r="H749"/>
      <c r="J749" s="16">
        <v>220235646775</v>
      </c>
      <c r="K749" s="16">
        <v>8340178582</v>
      </c>
    </row>
    <row r="750" spans="2:12" x14ac:dyDescent="0.25">
      <c r="B750" s="3">
        <v>43956</v>
      </c>
      <c r="C750" s="11">
        <v>2477</v>
      </c>
      <c r="E750" s="17" t="s">
        <v>735</v>
      </c>
      <c r="F750" s="17"/>
      <c r="G750" s="66"/>
      <c r="H750"/>
      <c r="J750" s="16">
        <v>870479719464</v>
      </c>
      <c r="K750" s="16">
        <v>7352595072</v>
      </c>
    </row>
    <row r="751" spans="2:12" x14ac:dyDescent="0.25">
      <c r="B751" s="3">
        <v>43956</v>
      </c>
      <c r="C751" s="11">
        <v>2479</v>
      </c>
      <c r="E751" s="17" t="s">
        <v>736</v>
      </c>
      <c r="F751" s="17"/>
      <c r="G751" s="66"/>
      <c r="H751" t="s">
        <v>1154</v>
      </c>
      <c r="I751" s="4">
        <v>200</v>
      </c>
      <c r="J751" s="16">
        <v>539925314433</v>
      </c>
      <c r="K751" s="16">
        <v>9204018355</v>
      </c>
    </row>
    <row r="752" spans="2:12" x14ac:dyDescent="0.25">
      <c r="B752" s="3">
        <v>43956</v>
      </c>
      <c r="C752" s="11">
        <v>2481</v>
      </c>
      <c r="E752" s="17" t="s">
        <v>737</v>
      </c>
      <c r="F752" s="17"/>
      <c r="G752" s="66"/>
      <c r="H752" t="s">
        <v>1154</v>
      </c>
      <c r="I752" s="4">
        <v>200</v>
      </c>
      <c r="J752" s="16">
        <v>880172913520</v>
      </c>
      <c r="K752" s="16">
        <v>9279385243</v>
      </c>
    </row>
    <row r="753" spans="2:16" x14ac:dyDescent="0.25">
      <c r="B753" s="3">
        <v>43956</v>
      </c>
      <c r="C753" s="11">
        <v>2488</v>
      </c>
      <c r="E753" s="17" t="s">
        <v>738</v>
      </c>
      <c r="F753" s="17"/>
      <c r="G753" s="66"/>
      <c r="H753"/>
      <c r="J753" s="16">
        <v>434600325131</v>
      </c>
      <c r="K753" s="16">
        <v>9430156682</v>
      </c>
    </row>
    <row r="754" spans="2:16" x14ac:dyDescent="0.25">
      <c r="B754" s="3">
        <v>43956</v>
      </c>
      <c r="C754" s="11">
        <v>2490</v>
      </c>
      <c r="E754" s="19" t="s">
        <v>739</v>
      </c>
      <c r="F754" s="19"/>
      <c r="G754" s="67"/>
      <c r="H754"/>
      <c r="I754" s="4">
        <v>100</v>
      </c>
      <c r="J754" s="16">
        <v>790480281657</v>
      </c>
      <c r="K754" s="16">
        <v>8603830627</v>
      </c>
    </row>
    <row r="755" spans="2:16" x14ac:dyDescent="0.25">
      <c r="B755" s="3">
        <v>43956</v>
      </c>
      <c r="C755" s="11">
        <v>2492</v>
      </c>
      <c r="E755" s="17" t="s">
        <v>740</v>
      </c>
      <c r="F755" s="17"/>
      <c r="G755" s="66"/>
      <c r="H755" t="s">
        <v>1157</v>
      </c>
      <c r="I755" s="4">
        <v>100</v>
      </c>
      <c r="J755" s="16">
        <v>856765263087</v>
      </c>
      <c r="K755" s="16">
        <v>6202055857</v>
      </c>
    </row>
    <row r="756" spans="2:16" x14ac:dyDescent="0.25">
      <c r="B756" s="3">
        <v>43956</v>
      </c>
      <c r="C756" s="11">
        <v>2493</v>
      </c>
      <c r="E756" s="17" t="s">
        <v>741</v>
      </c>
      <c r="F756" s="17"/>
      <c r="G756" s="66"/>
      <c r="H756" t="s">
        <v>1157</v>
      </c>
      <c r="I756" s="4">
        <v>100</v>
      </c>
      <c r="J756" s="16">
        <v>612063696151</v>
      </c>
      <c r="K756" s="16">
        <v>8797853038</v>
      </c>
    </row>
    <row r="757" spans="2:16" x14ac:dyDescent="0.25">
      <c r="B757" s="3">
        <v>43956</v>
      </c>
      <c r="C757" s="11">
        <v>2497</v>
      </c>
      <c r="E757" s="19" t="s">
        <v>742</v>
      </c>
      <c r="F757" s="19"/>
      <c r="G757" s="67"/>
      <c r="H757" t="s">
        <v>1157</v>
      </c>
      <c r="I757" s="4">
        <v>100</v>
      </c>
      <c r="J757" s="16">
        <v>300421900591</v>
      </c>
      <c r="K757" s="16">
        <v>6200568655</v>
      </c>
      <c r="O757" s="4" t="s">
        <v>15</v>
      </c>
    </row>
    <row r="758" spans="2:16" x14ac:dyDescent="0.25">
      <c r="B758" s="3">
        <v>43956</v>
      </c>
      <c r="C758" s="11">
        <v>2504</v>
      </c>
      <c r="E758" s="17" t="s">
        <v>743</v>
      </c>
      <c r="F758" s="17"/>
      <c r="G758" s="66"/>
      <c r="H758"/>
      <c r="J758" s="16">
        <v>674990453509</v>
      </c>
      <c r="K758" s="16">
        <v>7643066986</v>
      </c>
    </row>
    <row r="759" spans="2:16" x14ac:dyDescent="0.25">
      <c r="B759" s="3">
        <v>43956</v>
      </c>
      <c r="C759" s="11">
        <v>2507</v>
      </c>
      <c r="E759" s="17" t="s">
        <v>744</v>
      </c>
      <c r="F759" s="17"/>
      <c r="G759" s="66"/>
      <c r="H759"/>
      <c r="J759" s="16">
        <v>901990021881</v>
      </c>
      <c r="K759" s="16">
        <v>8789410951</v>
      </c>
    </row>
    <row r="760" spans="2:16" x14ac:dyDescent="0.25">
      <c r="B760" s="3">
        <v>43956</v>
      </c>
      <c r="C760" s="11">
        <v>2508</v>
      </c>
      <c r="E760" s="17" t="s">
        <v>745</v>
      </c>
      <c r="F760" s="17"/>
      <c r="G760" s="66"/>
      <c r="H760"/>
      <c r="J760" s="16">
        <v>950454589452</v>
      </c>
      <c r="K760" s="16">
        <v>9801967683</v>
      </c>
      <c r="L760" s="3">
        <v>44019</v>
      </c>
    </row>
    <row r="761" spans="2:16" x14ac:dyDescent="0.25">
      <c r="B761" s="3">
        <v>43956</v>
      </c>
      <c r="C761" s="11">
        <v>2509</v>
      </c>
      <c r="E761" s="17" t="s">
        <v>746</v>
      </c>
      <c r="F761" s="17"/>
      <c r="G761" s="66"/>
      <c r="H761" t="s">
        <v>1157</v>
      </c>
      <c r="I761" s="4">
        <v>100</v>
      </c>
      <c r="J761" s="16">
        <v>393465543164</v>
      </c>
      <c r="K761" s="16">
        <v>9570019441</v>
      </c>
      <c r="L761" s="3">
        <v>44016</v>
      </c>
    </row>
    <row r="762" spans="2:16" x14ac:dyDescent="0.25">
      <c r="B762" s="3">
        <v>43956</v>
      </c>
      <c r="C762" s="11">
        <v>2510</v>
      </c>
      <c r="E762" s="17" t="s">
        <v>747</v>
      </c>
      <c r="F762" s="17"/>
      <c r="G762" s="66"/>
      <c r="H762" t="s">
        <v>1157</v>
      </c>
      <c r="I762" s="4">
        <v>100</v>
      </c>
      <c r="J762" s="16">
        <v>670665037829</v>
      </c>
      <c r="K762" s="16">
        <v>6204466035</v>
      </c>
      <c r="L762" s="3">
        <v>44016</v>
      </c>
    </row>
    <row r="763" spans="2:16" x14ac:dyDescent="0.25">
      <c r="B763" s="3">
        <v>43957</v>
      </c>
      <c r="C763" s="11">
        <v>2522</v>
      </c>
      <c r="E763" s="19" t="s">
        <v>748</v>
      </c>
      <c r="F763" s="19"/>
      <c r="G763" s="67"/>
      <c r="H763" t="s">
        <v>1157</v>
      </c>
      <c r="I763" s="4">
        <v>100</v>
      </c>
      <c r="J763" s="16">
        <v>871557363975</v>
      </c>
      <c r="K763" s="16">
        <v>8797586370</v>
      </c>
    </row>
    <row r="764" spans="2:16" x14ac:dyDescent="0.25">
      <c r="B764" s="3">
        <v>43957</v>
      </c>
      <c r="C764" s="11">
        <v>2524</v>
      </c>
      <c r="E764" s="17" t="s">
        <v>749</v>
      </c>
      <c r="F764" s="17"/>
      <c r="G764" s="66"/>
      <c r="H764"/>
      <c r="J764" s="16">
        <v>977320683589</v>
      </c>
      <c r="K764" s="16">
        <v>9304422186</v>
      </c>
    </row>
    <row r="765" spans="2:16" x14ac:dyDescent="0.25">
      <c r="B765" s="3">
        <v>43957</v>
      </c>
      <c r="C765" s="11">
        <v>2526</v>
      </c>
      <c r="E765" s="17" t="s">
        <v>750</v>
      </c>
      <c r="F765" s="17"/>
      <c r="G765" s="66"/>
      <c r="H765"/>
      <c r="J765" s="16">
        <v>226653960673</v>
      </c>
      <c r="K765" s="16">
        <v>8709940829</v>
      </c>
    </row>
    <row r="766" spans="2:16" ht="15" x14ac:dyDescent="0.25">
      <c r="B766" s="3">
        <v>43957</v>
      </c>
      <c r="C766" s="11">
        <v>2528</v>
      </c>
      <c r="E766" s="17" t="s">
        <v>2132</v>
      </c>
      <c r="F766" s="17"/>
      <c r="G766" s="3">
        <v>32737</v>
      </c>
      <c r="H766"/>
      <c r="J766" s="16">
        <v>635693645795</v>
      </c>
      <c r="K766" s="16">
        <v>8084179412</v>
      </c>
      <c r="N766" s="3">
        <v>44685</v>
      </c>
      <c r="P766" s="4" t="s">
        <v>16</v>
      </c>
    </row>
    <row r="767" spans="2:16" x14ac:dyDescent="0.25">
      <c r="B767" s="3">
        <v>43957</v>
      </c>
      <c r="C767" s="11">
        <v>2530</v>
      </c>
      <c r="E767" s="17" t="s">
        <v>751</v>
      </c>
      <c r="F767" s="17"/>
      <c r="G767" s="66"/>
      <c r="H767"/>
      <c r="J767" s="16">
        <v>935917520726</v>
      </c>
      <c r="K767" s="16">
        <v>8235600737</v>
      </c>
    </row>
    <row r="768" spans="2:16" x14ac:dyDescent="0.25">
      <c r="B768" s="3">
        <v>43957</v>
      </c>
      <c r="C768" s="11">
        <v>2532</v>
      </c>
      <c r="E768" s="17" t="s">
        <v>752</v>
      </c>
      <c r="F768" s="17"/>
      <c r="G768" s="66"/>
      <c r="H768" t="s">
        <v>1165</v>
      </c>
      <c r="I768" s="4">
        <v>100</v>
      </c>
      <c r="J768" s="16">
        <v>854243026526</v>
      </c>
      <c r="K768" s="16">
        <v>8084178227</v>
      </c>
    </row>
    <row r="769" spans="2:741" x14ac:dyDescent="0.25">
      <c r="B769" s="3">
        <v>43957</v>
      </c>
      <c r="C769" s="11">
        <v>2535</v>
      </c>
      <c r="E769" s="17" t="s">
        <v>753</v>
      </c>
      <c r="F769" s="17"/>
      <c r="G769" s="66"/>
      <c r="H769"/>
      <c r="J769" s="16"/>
      <c r="K769" s="16">
        <v>9204258431</v>
      </c>
    </row>
    <row r="770" spans="2:741" x14ac:dyDescent="0.25">
      <c r="B770" s="3">
        <v>43957</v>
      </c>
      <c r="C770" s="11">
        <v>2537</v>
      </c>
      <c r="E770" s="17" t="s">
        <v>754</v>
      </c>
      <c r="F770" s="17"/>
      <c r="G770" s="66"/>
      <c r="H770"/>
      <c r="J770" s="16">
        <v>309843753153</v>
      </c>
      <c r="K770" s="16">
        <v>7285912568</v>
      </c>
    </row>
    <row r="771" spans="2:741" x14ac:dyDescent="0.25">
      <c r="B771" s="3">
        <v>43957</v>
      </c>
      <c r="C771" s="11">
        <v>2538</v>
      </c>
      <c r="E771" s="17" t="s">
        <v>755</v>
      </c>
      <c r="F771" s="17"/>
      <c r="G771" s="66"/>
      <c r="H771" t="s">
        <v>1158</v>
      </c>
      <c r="I771" s="4">
        <v>100</v>
      </c>
      <c r="J771" s="16">
        <v>542767863043</v>
      </c>
      <c r="K771" s="16">
        <v>6202243938</v>
      </c>
    </row>
    <row r="772" spans="2:741" x14ac:dyDescent="0.25">
      <c r="B772" s="3">
        <v>43957</v>
      </c>
      <c r="C772" s="11">
        <v>2539</v>
      </c>
      <c r="E772" s="17" t="s">
        <v>756</v>
      </c>
      <c r="F772" s="17"/>
      <c r="G772" s="66"/>
      <c r="H772" t="s">
        <v>1157</v>
      </c>
      <c r="I772" s="4">
        <v>100</v>
      </c>
      <c r="J772" s="16">
        <v>864219735074</v>
      </c>
      <c r="K772" s="16">
        <v>9852931442</v>
      </c>
      <c r="ABM772">
        <v>5</v>
      </c>
    </row>
    <row r="773" spans="2:741" x14ac:dyDescent="0.25">
      <c r="B773" s="3">
        <v>43957</v>
      </c>
      <c r="C773" s="11">
        <v>2540</v>
      </c>
      <c r="E773" s="17" t="s">
        <v>757</v>
      </c>
      <c r="F773" s="17"/>
      <c r="G773" s="66"/>
      <c r="H773" t="s">
        <v>1162</v>
      </c>
      <c r="I773" s="4">
        <v>100</v>
      </c>
      <c r="J773" s="16">
        <v>462694375615</v>
      </c>
      <c r="K773" s="16">
        <v>9113189868</v>
      </c>
    </row>
    <row r="774" spans="2:741" x14ac:dyDescent="0.25">
      <c r="B774" s="3">
        <v>43957</v>
      </c>
      <c r="C774" s="11">
        <v>2542</v>
      </c>
      <c r="E774" s="17" t="s">
        <v>758</v>
      </c>
      <c r="F774" s="17"/>
      <c r="G774" s="66"/>
      <c r="H774" t="s">
        <v>1162</v>
      </c>
      <c r="I774" s="4">
        <v>100</v>
      </c>
      <c r="J774" s="16">
        <v>485254811580</v>
      </c>
      <c r="K774" s="16">
        <v>7903585099</v>
      </c>
    </row>
    <row r="775" spans="2:741" x14ac:dyDescent="0.25">
      <c r="B775" s="3">
        <v>43957</v>
      </c>
      <c r="C775" s="11">
        <v>2544</v>
      </c>
      <c r="E775" s="17" t="s">
        <v>759</v>
      </c>
      <c r="F775" s="17"/>
      <c r="G775" s="66"/>
      <c r="H775"/>
      <c r="I775" s="4">
        <v>100</v>
      </c>
      <c r="J775" s="16">
        <v>634455556799</v>
      </c>
      <c r="K775" s="16">
        <v>7488585909</v>
      </c>
    </row>
    <row r="776" spans="2:741" x14ac:dyDescent="0.25">
      <c r="B776" s="3">
        <v>43957</v>
      </c>
      <c r="C776" s="11">
        <v>2545</v>
      </c>
      <c r="E776" s="17" t="s">
        <v>760</v>
      </c>
      <c r="F776" s="17"/>
      <c r="G776" s="66"/>
      <c r="H776" t="s">
        <v>1157</v>
      </c>
      <c r="I776" s="4">
        <v>200</v>
      </c>
      <c r="J776" s="16">
        <v>713712314800</v>
      </c>
      <c r="K776" s="16">
        <v>9931236815</v>
      </c>
    </row>
    <row r="777" spans="2:741" x14ac:dyDescent="0.25">
      <c r="B777" s="3">
        <v>43957</v>
      </c>
      <c r="C777" s="11">
        <v>2547</v>
      </c>
      <c r="E777" s="17" t="s">
        <v>761</v>
      </c>
      <c r="F777" s="17"/>
      <c r="G777" s="66"/>
      <c r="H777" t="s">
        <v>1157</v>
      </c>
      <c r="I777" s="4">
        <v>100</v>
      </c>
      <c r="J777" s="16">
        <v>374582926737</v>
      </c>
      <c r="K777" s="16">
        <v>8084025541</v>
      </c>
    </row>
    <row r="778" spans="2:741" x14ac:dyDescent="0.25">
      <c r="B778" s="3">
        <v>43957</v>
      </c>
      <c r="C778" s="11">
        <v>2549</v>
      </c>
      <c r="E778" s="17" t="s">
        <v>762</v>
      </c>
      <c r="F778" s="17"/>
      <c r="G778" s="66"/>
      <c r="H778"/>
      <c r="J778" s="16">
        <v>202516136755</v>
      </c>
      <c r="K778" s="16">
        <v>6207099186</v>
      </c>
    </row>
    <row r="779" spans="2:741" x14ac:dyDescent="0.25">
      <c r="B779" s="3">
        <v>43957</v>
      </c>
      <c r="C779" s="11">
        <v>2551</v>
      </c>
      <c r="E779" s="17" t="s">
        <v>763</v>
      </c>
      <c r="F779" s="17"/>
      <c r="G779" s="66"/>
      <c r="H779" t="s">
        <v>1157</v>
      </c>
      <c r="I779" s="4">
        <v>100</v>
      </c>
      <c r="J779" s="16">
        <v>594670655435</v>
      </c>
      <c r="K779" s="16"/>
    </row>
    <row r="780" spans="2:741" x14ac:dyDescent="0.25">
      <c r="B780" s="3">
        <v>43957</v>
      </c>
      <c r="C780" s="11">
        <v>2553</v>
      </c>
      <c r="E780" s="17" t="s">
        <v>764</v>
      </c>
      <c r="F780" s="17"/>
      <c r="G780" s="66"/>
      <c r="H780" t="s">
        <v>1157</v>
      </c>
      <c r="I780" s="4">
        <v>100</v>
      </c>
      <c r="J780" s="16">
        <v>660991405963</v>
      </c>
      <c r="K780" s="16">
        <v>9576826024</v>
      </c>
    </row>
    <row r="781" spans="2:741" x14ac:dyDescent="0.25">
      <c r="B781" s="3">
        <v>43957</v>
      </c>
      <c r="C781" s="11">
        <v>2555</v>
      </c>
      <c r="E781" s="17" t="s">
        <v>765</v>
      </c>
      <c r="F781" s="17"/>
      <c r="G781" s="66"/>
      <c r="H781" t="s">
        <v>1159</v>
      </c>
      <c r="I781" s="4">
        <v>100</v>
      </c>
      <c r="J781" s="16">
        <v>750396047493</v>
      </c>
      <c r="K781" s="16">
        <v>9204028925</v>
      </c>
    </row>
    <row r="782" spans="2:741" x14ac:dyDescent="0.25">
      <c r="B782" s="3">
        <v>43957</v>
      </c>
      <c r="C782" s="11">
        <v>2557</v>
      </c>
      <c r="E782" s="19" t="s">
        <v>766</v>
      </c>
      <c r="F782" s="19"/>
      <c r="G782" s="67"/>
      <c r="H782" t="s">
        <v>1167</v>
      </c>
      <c r="I782" s="4">
        <v>100</v>
      </c>
      <c r="J782" s="16">
        <v>352522718482</v>
      </c>
      <c r="K782" s="16">
        <v>9031360316</v>
      </c>
    </row>
    <row r="783" spans="2:741" x14ac:dyDescent="0.25">
      <c r="B783" s="3">
        <v>43957</v>
      </c>
      <c r="C783" s="11">
        <v>2559</v>
      </c>
      <c r="E783" s="17" t="s">
        <v>768</v>
      </c>
      <c r="F783" s="17"/>
      <c r="G783" s="66"/>
      <c r="H783"/>
      <c r="J783" s="16">
        <v>936506966709</v>
      </c>
      <c r="K783" s="16">
        <v>7759028856</v>
      </c>
    </row>
    <row r="784" spans="2:741" x14ac:dyDescent="0.25">
      <c r="B784" s="3">
        <v>43957</v>
      </c>
      <c r="C784" s="11">
        <v>2560</v>
      </c>
      <c r="E784" s="17" t="s">
        <v>767</v>
      </c>
      <c r="F784" s="17"/>
      <c r="G784" s="66"/>
      <c r="H784"/>
      <c r="J784" s="16">
        <v>385753199531</v>
      </c>
      <c r="K784" s="16">
        <v>7283090864</v>
      </c>
    </row>
    <row r="785" spans="2:15" x14ac:dyDescent="0.25">
      <c r="B785" s="3">
        <v>43957</v>
      </c>
      <c r="C785" s="11">
        <v>2562</v>
      </c>
      <c r="E785" s="17" t="s">
        <v>769</v>
      </c>
      <c r="F785" s="17"/>
      <c r="G785" s="66"/>
      <c r="H785" t="s">
        <v>1157</v>
      </c>
      <c r="I785" s="4">
        <v>100</v>
      </c>
      <c r="J785" s="16">
        <v>396554093069</v>
      </c>
      <c r="K785" s="16">
        <v>6205898292</v>
      </c>
    </row>
    <row r="786" spans="2:15" x14ac:dyDescent="0.25">
      <c r="B786" s="3">
        <v>43957</v>
      </c>
      <c r="C786" s="11">
        <v>2564</v>
      </c>
      <c r="E786" s="17" t="s">
        <v>770</v>
      </c>
      <c r="F786" s="17"/>
      <c r="G786" s="66"/>
      <c r="H786"/>
      <c r="J786" s="16">
        <v>334035266316</v>
      </c>
      <c r="K786" s="16">
        <v>9234746777</v>
      </c>
    </row>
    <row r="787" spans="2:15" x14ac:dyDescent="0.25">
      <c r="B787" s="3">
        <v>43957</v>
      </c>
      <c r="C787" s="11">
        <v>2565</v>
      </c>
      <c r="E787" s="17" t="s">
        <v>771</v>
      </c>
      <c r="F787" s="17"/>
      <c r="G787" s="66"/>
      <c r="H787"/>
      <c r="J787" s="16">
        <v>990115851652</v>
      </c>
      <c r="K787" s="16">
        <v>6202714015</v>
      </c>
    </row>
    <row r="788" spans="2:15" x14ac:dyDescent="0.25">
      <c r="B788" s="3">
        <v>43957</v>
      </c>
      <c r="C788" s="11">
        <v>2567</v>
      </c>
      <c r="E788" s="17" t="s">
        <v>772</v>
      </c>
      <c r="F788" s="17"/>
      <c r="G788" s="66"/>
      <c r="H788"/>
      <c r="J788" s="16">
        <v>274482262203</v>
      </c>
      <c r="K788" s="16">
        <v>6203655634</v>
      </c>
    </row>
    <row r="789" spans="2:15" x14ac:dyDescent="0.25">
      <c r="B789" s="3">
        <v>43957</v>
      </c>
      <c r="C789" s="11">
        <v>2568</v>
      </c>
      <c r="E789" s="17" t="s">
        <v>773</v>
      </c>
      <c r="F789" s="17"/>
      <c r="G789" s="66"/>
      <c r="H789"/>
      <c r="J789" s="16">
        <v>305999203278</v>
      </c>
      <c r="K789" s="16">
        <v>9973762392</v>
      </c>
    </row>
    <row r="790" spans="2:15" x14ac:dyDescent="0.25">
      <c r="B790" s="3">
        <v>43957</v>
      </c>
      <c r="C790" s="11">
        <v>2569</v>
      </c>
      <c r="E790" s="17" t="s">
        <v>1166</v>
      </c>
      <c r="F790" s="17"/>
      <c r="G790" s="66"/>
      <c r="H790" t="s">
        <v>1157</v>
      </c>
      <c r="I790" s="4">
        <v>100</v>
      </c>
      <c r="J790" s="16">
        <v>283420992590</v>
      </c>
      <c r="K790" s="16">
        <v>9204243789</v>
      </c>
    </row>
    <row r="791" spans="2:15" x14ac:dyDescent="0.25">
      <c r="B791" s="3">
        <v>43957</v>
      </c>
      <c r="C791" s="11">
        <v>2571</v>
      </c>
      <c r="E791" s="19" t="s">
        <v>774</v>
      </c>
      <c r="F791" s="19"/>
      <c r="G791" s="67"/>
      <c r="H791" t="s">
        <v>1157</v>
      </c>
      <c r="I791" s="4">
        <v>100</v>
      </c>
      <c r="J791" s="16">
        <v>313212260375</v>
      </c>
      <c r="K791" s="16">
        <v>7209544093</v>
      </c>
    </row>
    <row r="792" spans="2:15" x14ac:dyDescent="0.25">
      <c r="B792" s="3">
        <v>43957</v>
      </c>
      <c r="C792" s="11">
        <v>2572</v>
      </c>
      <c r="E792" s="19" t="s">
        <v>775</v>
      </c>
      <c r="F792" s="19"/>
      <c r="G792" s="67"/>
      <c r="H792" t="s">
        <v>1171</v>
      </c>
      <c r="I792" s="4">
        <v>100</v>
      </c>
      <c r="J792" s="16">
        <v>881096986066</v>
      </c>
      <c r="K792" s="16">
        <v>6201680089</v>
      </c>
    </row>
    <row r="793" spans="2:15" x14ac:dyDescent="0.25">
      <c r="B793" s="3">
        <v>43957</v>
      </c>
      <c r="C793" s="11">
        <v>2574</v>
      </c>
      <c r="E793" s="19" t="s">
        <v>776</v>
      </c>
      <c r="F793" s="19"/>
      <c r="G793" s="67"/>
      <c r="H793" t="s">
        <v>1171</v>
      </c>
      <c r="I793" s="4">
        <v>100</v>
      </c>
      <c r="J793" s="16">
        <v>717475467268</v>
      </c>
      <c r="K793" s="16">
        <v>6201454081</v>
      </c>
    </row>
    <row r="794" spans="2:15" x14ac:dyDescent="0.25">
      <c r="B794" s="3">
        <v>43957</v>
      </c>
      <c r="C794" s="11">
        <v>2575</v>
      </c>
      <c r="E794" s="19" t="s">
        <v>777</v>
      </c>
      <c r="F794" s="19"/>
      <c r="G794" s="67"/>
      <c r="H794" t="s">
        <v>1157</v>
      </c>
      <c r="I794" s="4">
        <v>100</v>
      </c>
      <c r="J794" s="16">
        <v>444241974763</v>
      </c>
      <c r="K794" s="16">
        <v>6299524065</v>
      </c>
    </row>
    <row r="795" spans="2:15" x14ac:dyDescent="0.25">
      <c r="B795" s="3">
        <v>43957</v>
      </c>
      <c r="C795" s="11">
        <v>2577</v>
      </c>
      <c r="E795" s="17" t="s">
        <v>778</v>
      </c>
      <c r="F795" s="17"/>
      <c r="G795" s="66"/>
      <c r="H795"/>
      <c r="I795" s="4">
        <v>100</v>
      </c>
      <c r="J795" s="16">
        <v>472341687655</v>
      </c>
      <c r="K795" s="16">
        <v>6204509324</v>
      </c>
    </row>
    <row r="796" spans="2:15" x14ac:dyDescent="0.25">
      <c r="B796" s="3">
        <v>43957</v>
      </c>
      <c r="C796" s="11">
        <v>2578</v>
      </c>
      <c r="E796" s="19" t="s">
        <v>779</v>
      </c>
      <c r="F796" s="19"/>
      <c r="G796" s="67"/>
      <c r="H796" t="s">
        <v>1171</v>
      </c>
      <c r="I796" s="4">
        <v>100</v>
      </c>
      <c r="J796" s="16">
        <v>358839133036</v>
      </c>
      <c r="K796" s="16">
        <v>9934182743</v>
      </c>
    </row>
    <row r="797" spans="2:15" x14ac:dyDescent="0.25">
      <c r="B797" s="3">
        <v>43957</v>
      </c>
      <c r="C797" s="11">
        <v>2580</v>
      </c>
      <c r="E797" s="17" t="s">
        <v>780</v>
      </c>
      <c r="F797" s="17"/>
      <c r="G797" s="66"/>
      <c r="H797" t="s">
        <v>1156</v>
      </c>
      <c r="I797" s="4">
        <v>100</v>
      </c>
      <c r="J797" s="16">
        <v>633726256303</v>
      </c>
      <c r="K797" s="16">
        <v>7295913326</v>
      </c>
      <c r="O797" s="4" t="s">
        <v>14</v>
      </c>
    </row>
    <row r="798" spans="2:15" x14ac:dyDescent="0.25">
      <c r="B798" s="3">
        <v>43957</v>
      </c>
      <c r="C798" s="11">
        <v>2581</v>
      </c>
      <c r="E798" s="17" t="s">
        <v>781</v>
      </c>
      <c r="F798" s="17"/>
      <c r="G798" s="66"/>
      <c r="H798"/>
      <c r="J798" s="16">
        <v>534156471509</v>
      </c>
      <c r="K798" s="16">
        <v>9304772622</v>
      </c>
    </row>
    <row r="799" spans="2:15" x14ac:dyDescent="0.25">
      <c r="B799" s="3">
        <v>43957</v>
      </c>
      <c r="C799" s="11">
        <v>2587</v>
      </c>
      <c r="E799" s="17" t="s">
        <v>782</v>
      </c>
      <c r="F799" s="17"/>
      <c r="G799" s="66"/>
      <c r="H799"/>
      <c r="I799" s="4">
        <v>500</v>
      </c>
      <c r="J799" s="16">
        <v>248713565350</v>
      </c>
      <c r="K799" s="16">
        <v>7070906111</v>
      </c>
    </row>
    <row r="800" spans="2:15" x14ac:dyDescent="0.25">
      <c r="B800" s="3">
        <v>43957</v>
      </c>
      <c r="C800" s="11">
        <v>2589</v>
      </c>
      <c r="E800" s="19" t="s">
        <v>783</v>
      </c>
      <c r="F800" s="19"/>
      <c r="G800" s="67"/>
      <c r="H800" t="s">
        <v>1161</v>
      </c>
      <c r="I800" s="4">
        <v>100</v>
      </c>
      <c r="J800" s="16">
        <v>336759729717</v>
      </c>
      <c r="K800" s="16">
        <v>9576199864</v>
      </c>
    </row>
    <row r="801" spans="2:12" x14ac:dyDescent="0.25">
      <c r="B801" s="3">
        <v>43957</v>
      </c>
      <c r="C801" s="11">
        <v>2591</v>
      </c>
      <c r="E801" s="19" t="s">
        <v>784</v>
      </c>
      <c r="F801" s="19"/>
      <c r="G801" s="67"/>
      <c r="H801" t="s">
        <v>1161</v>
      </c>
      <c r="I801" s="4">
        <v>100</v>
      </c>
      <c r="J801" s="16">
        <v>413414109823</v>
      </c>
      <c r="K801" s="16">
        <v>9835118354</v>
      </c>
    </row>
    <row r="802" spans="2:12" x14ac:dyDescent="0.25">
      <c r="B802" s="3">
        <v>43957</v>
      </c>
      <c r="C802" s="11">
        <v>2592</v>
      </c>
      <c r="E802" s="17" t="s">
        <v>785</v>
      </c>
      <c r="F802" s="17"/>
      <c r="G802" s="66"/>
      <c r="H802" t="s">
        <v>1157</v>
      </c>
      <c r="I802" s="4">
        <v>100</v>
      </c>
      <c r="J802" s="16">
        <v>207500831645</v>
      </c>
      <c r="K802" s="16">
        <v>9304762707</v>
      </c>
    </row>
    <row r="803" spans="2:12" x14ac:dyDescent="0.25">
      <c r="B803" s="3">
        <v>43957</v>
      </c>
      <c r="C803" s="11">
        <v>2593</v>
      </c>
      <c r="E803" s="17" t="s">
        <v>786</v>
      </c>
      <c r="F803" s="17"/>
      <c r="G803" s="66"/>
      <c r="H803" t="s">
        <v>1157</v>
      </c>
      <c r="I803" s="4">
        <v>100</v>
      </c>
      <c r="J803" s="16">
        <v>614537594598</v>
      </c>
      <c r="K803" s="16">
        <v>7667821732</v>
      </c>
    </row>
    <row r="804" spans="2:12" x14ac:dyDescent="0.25">
      <c r="B804" s="3">
        <v>43957</v>
      </c>
      <c r="C804" s="11">
        <v>2594</v>
      </c>
      <c r="E804" s="17" t="s">
        <v>787</v>
      </c>
      <c r="F804" s="17"/>
      <c r="G804" s="66"/>
      <c r="H804"/>
      <c r="J804" s="16">
        <v>718490443939</v>
      </c>
      <c r="K804" s="16">
        <v>6201394446</v>
      </c>
    </row>
    <row r="805" spans="2:12" x14ac:dyDescent="0.25">
      <c r="B805" s="3">
        <v>43957</v>
      </c>
      <c r="C805" s="11">
        <v>2597</v>
      </c>
      <c r="E805" s="17" t="s">
        <v>788</v>
      </c>
      <c r="F805" s="17"/>
      <c r="G805" s="66"/>
      <c r="H805"/>
      <c r="J805" s="16">
        <v>815219948920</v>
      </c>
      <c r="K805" s="16">
        <v>6205617195</v>
      </c>
    </row>
    <row r="806" spans="2:12" x14ac:dyDescent="0.25">
      <c r="B806" s="3">
        <v>43957</v>
      </c>
      <c r="C806" s="11">
        <v>2598</v>
      </c>
      <c r="E806" s="17" t="s">
        <v>789</v>
      </c>
      <c r="F806" s="17"/>
      <c r="G806" s="66"/>
      <c r="H806" t="s">
        <v>1162</v>
      </c>
      <c r="I806" s="4">
        <v>100</v>
      </c>
      <c r="J806" s="16">
        <v>515111562381</v>
      </c>
      <c r="K806" s="16">
        <v>9123120619</v>
      </c>
    </row>
    <row r="807" spans="2:12" x14ac:dyDescent="0.25">
      <c r="B807" s="3">
        <v>43957</v>
      </c>
      <c r="C807" s="11">
        <v>2600</v>
      </c>
      <c r="E807" s="17" t="s">
        <v>790</v>
      </c>
      <c r="F807" s="17"/>
      <c r="G807" s="66"/>
      <c r="H807"/>
      <c r="J807" s="16">
        <v>497586907540</v>
      </c>
      <c r="K807" s="16">
        <v>9162540890</v>
      </c>
    </row>
    <row r="808" spans="2:12" x14ac:dyDescent="0.25">
      <c r="B808" s="3">
        <v>43957</v>
      </c>
      <c r="C808" s="11">
        <v>2603</v>
      </c>
      <c r="E808" s="17" t="s">
        <v>791</v>
      </c>
      <c r="F808" s="17"/>
      <c r="G808" s="66"/>
      <c r="H808"/>
      <c r="J808" s="16">
        <v>440163793375</v>
      </c>
      <c r="K808" s="16">
        <v>9031225732</v>
      </c>
    </row>
    <row r="809" spans="2:12" x14ac:dyDescent="0.25">
      <c r="B809" s="3">
        <v>43957</v>
      </c>
      <c r="C809" s="11">
        <v>2604</v>
      </c>
      <c r="E809" s="17" t="s">
        <v>792</v>
      </c>
      <c r="F809" s="17"/>
      <c r="G809" s="66"/>
      <c r="H809"/>
      <c r="J809" s="16">
        <v>855754050071</v>
      </c>
      <c r="K809" s="16">
        <v>7209766008</v>
      </c>
    </row>
    <row r="810" spans="2:12" x14ac:dyDescent="0.25">
      <c r="B810" s="3">
        <v>43957</v>
      </c>
      <c r="C810" s="11">
        <v>2608</v>
      </c>
      <c r="E810" s="17" t="s">
        <v>793</v>
      </c>
      <c r="F810" s="17"/>
      <c r="G810" s="66"/>
      <c r="H810" t="s">
        <v>1164</v>
      </c>
      <c r="I810" s="4">
        <v>200</v>
      </c>
      <c r="J810" s="16">
        <v>671017219983</v>
      </c>
      <c r="K810" s="16">
        <v>8987685172</v>
      </c>
    </row>
    <row r="811" spans="2:12" x14ac:dyDescent="0.25">
      <c r="B811" s="3">
        <v>43957</v>
      </c>
      <c r="C811" s="11">
        <v>2611</v>
      </c>
      <c r="E811" s="17" t="s">
        <v>794</v>
      </c>
      <c r="F811" s="17"/>
      <c r="G811" s="66"/>
      <c r="H811" t="s">
        <v>1220</v>
      </c>
      <c r="J811" s="16">
        <v>778761265169</v>
      </c>
      <c r="K811" s="16">
        <v>7209223291</v>
      </c>
      <c r="L811" s="3">
        <v>44019</v>
      </c>
    </row>
    <row r="812" spans="2:12" x14ac:dyDescent="0.25">
      <c r="B812" s="3">
        <v>43957</v>
      </c>
      <c r="C812" s="11">
        <v>2613</v>
      </c>
      <c r="E812" s="17" t="s">
        <v>262</v>
      </c>
      <c r="F812" s="17"/>
      <c r="G812" s="66"/>
      <c r="H812" t="s">
        <v>1157</v>
      </c>
      <c r="I812" s="4">
        <v>100</v>
      </c>
      <c r="J812" s="16">
        <v>873284125649</v>
      </c>
      <c r="K812" s="16">
        <v>7367834464</v>
      </c>
    </row>
    <row r="813" spans="2:12" x14ac:dyDescent="0.25">
      <c r="B813" s="3">
        <v>43957</v>
      </c>
      <c r="C813" s="11">
        <v>2615</v>
      </c>
      <c r="E813" s="19" t="s">
        <v>795</v>
      </c>
      <c r="F813" s="19"/>
      <c r="G813" s="67"/>
      <c r="H813"/>
      <c r="I813" s="4">
        <v>100</v>
      </c>
      <c r="J813" s="16">
        <v>485357524397</v>
      </c>
      <c r="K813" s="16">
        <v>7209529878</v>
      </c>
    </row>
    <row r="814" spans="2:12" x14ac:dyDescent="0.25">
      <c r="B814" s="3">
        <v>43957</v>
      </c>
      <c r="C814" s="11">
        <v>2616</v>
      </c>
      <c r="E814" s="17" t="s">
        <v>796</v>
      </c>
      <c r="F814" s="17"/>
      <c r="G814" s="66"/>
      <c r="H814"/>
      <c r="J814" s="16">
        <v>769133284029</v>
      </c>
      <c r="K814" s="16">
        <v>8092248694</v>
      </c>
    </row>
    <row r="815" spans="2:12" x14ac:dyDescent="0.25">
      <c r="B815" s="3">
        <v>43957</v>
      </c>
      <c r="C815" s="11">
        <v>2619</v>
      </c>
      <c r="E815" s="17" t="s">
        <v>797</v>
      </c>
      <c r="F815" s="17"/>
      <c r="G815" s="66"/>
      <c r="H815"/>
      <c r="J815" s="16">
        <v>595569163540</v>
      </c>
      <c r="K815" s="16">
        <v>7261032383</v>
      </c>
    </row>
    <row r="816" spans="2:12" x14ac:dyDescent="0.25">
      <c r="B816" s="3">
        <v>43957</v>
      </c>
      <c r="C816" s="11">
        <v>2623</v>
      </c>
      <c r="E816" s="17" t="s">
        <v>798</v>
      </c>
      <c r="F816" s="17"/>
      <c r="G816" s="66"/>
      <c r="H816"/>
      <c r="J816" s="16">
        <v>9158430568492390</v>
      </c>
      <c r="K816" s="16">
        <v>9708798359</v>
      </c>
    </row>
    <row r="817" spans="2:11" x14ac:dyDescent="0.25">
      <c r="B817" s="3">
        <v>43957</v>
      </c>
      <c r="C817" s="11">
        <v>2626</v>
      </c>
      <c r="E817" s="17" t="s">
        <v>799</v>
      </c>
      <c r="F817" s="17"/>
      <c r="G817" s="66"/>
      <c r="H817"/>
      <c r="J817" s="16">
        <v>227035989187</v>
      </c>
      <c r="K817" s="16">
        <v>7634095920</v>
      </c>
    </row>
    <row r="818" spans="2:11" x14ac:dyDescent="0.25">
      <c r="B818" s="3">
        <v>43957</v>
      </c>
      <c r="C818" s="11">
        <v>2629</v>
      </c>
      <c r="E818" s="19" t="s">
        <v>800</v>
      </c>
      <c r="F818" s="19"/>
      <c r="G818" s="67"/>
      <c r="H818" t="s">
        <v>1161</v>
      </c>
      <c r="I818" s="4">
        <v>200</v>
      </c>
      <c r="J818" s="16">
        <v>226171506412</v>
      </c>
      <c r="K818" s="16">
        <v>9264215623</v>
      </c>
    </row>
    <row r="819" spans="2:11" x14ac:dyDescent="0.25">
      <c r="B819" s="3">
        <v>43957</v>
      </c>
      <c r="C819" s="11">
        <v>2631</v>
      </c>
      <c r="E819" s="17" t="s">
        <v>234</v>
      </c>
      <c r="F819" s="17"/>
      <c r="G819" s="66"/>
      <c r="H819" t="s">
        <v>1161</v>
      </c>
      <c r="I819" s="4">
        <v>100</v>
      </c>
      <c r="J819" s="16">
        <v>830252116455</v>
      </c>
      <c r="K819" s="16">
        <v>8271281584</v>
      </c>
    </row>
    <row r="820" spans="2:11" x14ac:dyDescent="0.25">
      <c r="B820" s="3">
        <v>43957</v>
      </c>
      <c r="C820" s="11">
        <v>2633</v>
      </c>
      <c r="E820" s="17" t="s">
        <v>594</v>
      </c>
      <c r="F820" s="17"/>
      <c r="G820" s="66"/>
      <c r="H820"/>
      <c r="J820" s="16">
        <v>950169670409</v>
      </c>
      <c r="K820" s="16">
        <v>9835114081</v>
      </c>
    </row>
    <row r="821" spans="2:11" x14ac:dyDescent="0.25">
      <c r="B821" s="3">
        <v>43957</v>
      </c>
      <c r="C821" s="11">
        <v>2635</v>
      </c>
      <c r="E821" s="17" t="s">
        <v>801</v>
      </c>
      <c r="F821" s="17"/>
      <c r="G821" s="66"/>
      <c r="H821"/>
      <c r="J821" s="16">
        <v>266876610508</v>
      </c>
      <c r="K821" s="16">
        <v>9934816247</v>
      </c>
    </row>
    <row r="822" spans="2:11" x14ac:dyDescent="0.25">
      <c r="B822" s="3">
        <v>43957</v>
      </c>
      <c r="C822" s="11">
        <v>2638</v>
      </c>
      <c r="E822" s="17" t="s">
        <v>802</v>
      </c>
      <c r="F822" s="17"/>
      <c r="G822" s="66"/>
      <c r="H822"/>
      <c r="J822" s="16">
        <v>688894838532</v>
      </c>
      <c r="K822" s="16">
        <v>8092134677</v>
      </c>
    </row>
    <row r="823" spans="2:11" x14ac:dyDescent="0.25">
      <c r="B823" s="3">
        <v>43957</v>
      </c>
      <c r="C823" s="11">
        <v>2639</v>
      </c>
      <c r="E823" s="17" t="s">
        <v>803</v>
      </c>
      <c r="F823" s="17"/>
      <c r="G823" s="66"/>
      <c r="H823"/>
      <c r="J823" s="16">
        <v>605206916941</v>
      </c>
      <c r="K823" s="16">
        <v>6202162445</v>
      </c>
    </row>
    <row r="824" spans="2:11" x14ac:dyDescent="0.25">
      <c r="B824" s="3">
        <v>43958</v>
      </c>
      <c r="C824" s="11">
        <v>2667</v>
      </c>
      <c r="E824" s="17" t="s">
        <v>804</v>
      </c>
      <c r="F824" s="17"/>
      <c r="G824" s="66"/>
      <c r="H824"/>
      <c r="J824" s="16">
        <v>605206916941</v>
      </c>
      <c r="K824" s="16">
        <v>9939308932</v>
      </c>
    </row>
    <row r="825" spans="2:11" x14ac:dyDescent="0.25">
      <c r="B825" s="3">
        <v>43958</v>
      </c>
      <c r="C825" s="11">
        <v>2668</v>
      </c>
      <c r="E825" s="17" t="s">
        <v>805</v>
      </c>
      <c r="F825" s="17"/>
      <c r="G825" s="66">
        <v>37489</v>
      </c>
      <c r="H825" t="s">
        <v>1187</v>
      </c>
      <c r="I825" s="4">
        <v>100</v>
      </c>
      <c r="J825" s="16">
        <v>636390883709</v>
      </c>
      <c r="K825" s="16">
        <v>9304833942</v>
      </c>
    </row>
    <row r="826" spans="2:11" x14ac:dyDescent="0.25">
      <c r="B826" s="3">
        <v>43958</v>
      </c>
      <c r="C826" s="11">
        <v>2670</v>
      </c>
      <c r="E826" s="17" t="s">
        <v>806</v>
      </c>
      <c r="F826" s="17"/>
      <c r="G826" s="66"/>
      <c r="H826"/>
      <c r="J826" s="16">
        <v>318979634040</v>
      </c>
      <c r="K826" s="16">
        <v>8789040233</v>
      </c>
    </row>
    <row r="827" spans="2:11" x14ac:dyDescent="0.25">
      <c r="B827" s="3">
        <v>43958</v>
      </c>
      <c r="C827" s="11">
        <v>2672</v>
      </c>
      <c r="E827" s="17" t="s">
        <v>807</v>
      </c>
      <c r="F827" s="17"/>
      <c r="G827" s="66"/>
      <c r="H827"/>
      <c r="J827" s="16">
        <v>364828381169</v>
      </c>
      <c r="K827" s="16">
        <v>8051163115</v>
      </c>
    </row>
    <row r="828" spans="2:11" x14ac:dyDescent="0.25">
      <c r="B828" s="3">
        <v>43958</v>
      </c>
      <c r="C828" s="11">
        <v>2676</v>
      </c>
      <c r="E828" s="17" t="s">
        <v>808</v>
      </c>
      <c r="F828" s="17"/>
      <c r="G828" s="66"/>
      <c r="H828"/>
      <c r="J828" s="16">
        <v>691403880423</v>
      </c>
      <c r="K828" s="16">
        <v>8581085885</v>
      </c>
    </row>
    <row r="829" spans="2:11" x14ac:dyDescent="0.25">
      <c r="B829" s="3">
        <v>43958</v>
      </c>
      <c r="C829" s="11">
        <v>2678</v>
      </c>
      <c r="E829" s="17" t="s">
        <v>809</v>
      </c>
      <c r="F829" s="17"/>
      <c r="G829" s="66"/>
      <c r="H829"/>
      <c r="J829" s="16">
        <v>286137355940</v>
      </c>
      <c r="K829" s="16">
        <v>7209518515</v>
      </c>
    </row>
    <row r="830" spans="2:11" x14ac:dyDescent="0.25">
      <c r="B830" s="3">
        <v>43958</v>
      </c>
      <c r="C830" s="11">
        <v>2679</v>
      </c>
      <c r="E830" s="17" t="s">
        <v>810</v>
      </c>
      <c r="F830" s="17"/>
      <c r="G830" s="66"/>
      <c r="H830"/>
      <c r="J830" s="16">
        <v>967383443810</v>
      </c>
      <c r="K830" s="16">
        <v>9798003753</v>
      </c>
    </row>
    <row r="831" spans="2:11" x14ac:dyDescent="0.25">
      <c r="B831" s="3">
        <v>43958</v>
      </c>
      <c r="C831" s="11">
        <v>2680</v>
      </c>
      <c r="E831" s="17" t="s">
        <v>811</v>
      </c>
      <c r="F831" s="17"/>
      <c r="G831" s="66"/>
      <c r="H831"/>
      <c r="I831" s="4">
        <v>500</v>
      </c>
      <c r="J831" s="16">
        <v>995063872185</v>
      </c>
      <c r="K831" s="16">
        <v>9065618001</v>
      </c>
    </row>
    <row r="832" spans="2:11" x14ac:dyDescent="0.25">
      <c r="B832" s="3">
        <v>43958</v>
      </c>
      <c r="C832" s="11">
        <v>2682</v>
      </c>
      <c r="E832" s="17" t="s">
        <v>161</v>
      </c>
      <c r="F832" s="17"/>
      <c r="G832" s="66"/>
      <c r="H832"/>
      <c r="J832" s="16">
        <v>407171906296</v>
      </c>
      <c r="K832" s="16">
        <v>6202410861</v>
      </c>
    </row>
    <row r="833" spans="2:11" x14ac:dyDescent="0.25">
      <c r="B833" s="3">
        <v>43958</v>
      </c>
      <c r="C833" s="11">
        <v>2683</v>
      </c>
      <c r="E833" s="17" t="s">
        <v>812</v>
      </c>
      <c r="F833" s="17"/>
      <c r="G833" s="66"/>
      <c r="H833"/>
      <c r="J833" s="16">
        <v>582847085763</v>
      </c>
      <c r="K833" s="16">
        <v>7322890927</v>
      </c>
    </row>
    <row r="834" spans="2:11" x14ac:dyDescent="0.25">
      <c r="B834" s="3">
        <v>43958</v>
      </c>
      <c r="C834" s="11">
        <v>2685</v>
      </c>
      <c r="E834" s="17" t="s">
        <v>813</v>
      </c>
      <c r="F834" s="17"/>
      <c r="G834" s="66"/>
      <c r="H834"/>
      <c r="J834" s="16">
        <v>263085626300</v>
      </c>
      <c r="K834" s="16">
        <v>7209935043</v>
      </c>
    </row>
    <row r="835" spans="2:11" x14ac:dyDescent="0.25">
      <c r="B835" s="3">
        <v>43958</v>
      </c>
      <c r="C835" s="11">
        <v>2687</v>
      </c>
      <c r="E835" s="17" t="s">
        <v>1549</v>
      </c>
      <c r="F835" s="17"/>
      <c r="G835" s="66"/>
      <c r="H835"/>
      <c r="J835" s="16">
        <v>731422360506</v>
      </c>
      <c r="K835" s="16">
        <v>6201851477</v>
      </c>
    </row>
    <row r="836" spans="2:11" x14ac:dyDescent="0.25">
      <c r="B836" s="3">
        <v>43958</v>
      </c>
      <c r="C836" s="11">
        <v>2688</v>
      </c>
      <c r="E836" s="17" t="s">
        <v>814</v>
      </c>
      <c r="F836" s="17"/>
      <c r="G836" s="66"/>
      <c r="H836"/>
      <c r="I836" s="4">
        <v>100</v>
      </c>
      <c r="J836" s="16">
        <v>560139522310</v>
      </c>
      <c r="K836" s="16">
        <v>8404802743</v>
      </c>
    </row>
    <row r="837" spans="2:11" x14ac:dyDescent="0.25">
      <c r="B837" s="3">
        <v>43958</v>
      </c>
      <c r="C837" s="11">
        <v>2697</v>
      </c>
      <c r="E837" s="17" t="s">
        <v>815</v>
      </c>
      <c r="F837" s="17"/>
      <c r="G837" s="66"/>
      <c r="H837" t="s">
        <v>1157</v>
      </c>
      <c r="I837" s="4">
        <v>100</v>
      </c>
      <c r="J837" s="16">
        <v>354987908210</v>
      </c>
      <c r="K837" s="16">
        <v>8092307232</v>
      </c>
    </row>
    <row r="838" spans="2:11" x14ac:dyDescent="0.25">
      <c r="B838" s="3">
        <v>43958</v>
      </c>
      <c r="C838" s="11">
        <v>2699</v>
      </c>
      <c r="E838" s="17" t="s">
        <v>816</v>
      </c>
      <c r="F838" s="17"/>
      <c r="G838" s="66"/>
      <c r="H838"/>
      <c r="J838" s="16">
        <v>332296867890</v>
      </c>
      <c r="K838" s="16">
        <v>9471723502</v>
      </c>
    </row>
    <row r="839" spans="2:11" x14ac:dyDescent="0.25">
      <c r="B839" s="3">
        <v>43958</v>
      </c>
      <c r="C839" s="11">
        <v>2700</v>
      </c>
      <c r="E839" s="19" t="s">
        <v>817</v>
      </c>
      <c r="F839" s="19"/>
      <c r="G839" s="67"/>
      <c r="H839" t="s">
        <v>1157</v>
      </c>
      <c r="I839" s="4">
        <v>100</v>
      </c>
      <c r="J839" s="16">
        <v>488917599031</v>
      </c>
      <c r="K839" s="16">
        <v>9798245782</v>
      </c>
    </row>
    <row r="840" spans="2:11" x14ac:dyDescent="0.25">
      <c r="B840" s="3">
        <v>43958</v>
      </c>
      <c r="C840" s="11">
        <v>2701</v>
      </c>
      <c r="E840" s="17" t="s">
        <v>818</v>
      </c>
      <c r="F840" s="17"/>
      <c r="G840" s="66"/>
      <c r="H840"/>
      <c r="J840" s="16">
        <v>317601993177</v>
      </c>
      <c r="K840" s="16">
        <v>9031989535</v>
      </c>
    </row>
    <row r="841" spans="2:11" x14ac:dyDescent="0.25">
      <c r="B841" s="3">
        <v>43958</v>
      </c>
      <c r="C841" s="11">
        <v>2702</v>
      </c>
      <c r="E841" s="17" t="s">
        <v>819</v>
      </c>
      <c r="F841" s="17"/>
      <c r="G841" s="66"/>
      <c r="H841"/>
      <c r="J841" s="16">
        <v>478421540080</v>
      </c>
      <c r="K841" s="16">
        <v>7979932205</v>
      </c>
    </row>
    <row r="842" spans="2:11" x14ac:dyDescent="0.25">
      <c r="B842" s="3">
        <v>43958</v>
      </c>
      <c r="C842" s="11">
        <v>2704</v>
      </c>
      <c r="E842" s="17" t="s">
        <v>820</v>
      </c>
      <c r="F842" s="17"/>
      <c r="G842" s="66"/>
      <c r="H842" t="s">
        <v>1162</v>
      </c>
      <c r="I842" s="4">
        <v>200</v>
      </c>
      <c r="J842" s="16"/>
      <c r="K842" s="16">
        <v>8340731235</v>
      </c>
    </row>
    <row r="843" spans="2:11" x14ac:dyDescent="0.25">
      <c r="B843" s="3">
        <v>43958</v>
      </c>
      <c r="C843" s="11">
        <v>2706</v>
      </c>
      <c r="E843" s="17" t="s">
        <v>821</v>
      </c>
      <c r="F843" s="17"/>
      <c r="G843" s="66"/>
      <c r="H843"/>
      <c r="J843" s="16">
        <v>609683332327</v>
      </c>
      <c r="K843" s="16">
        <v>7070361262</v>
      </c>
    </row>
    <row r="844" spans="2:11" x14ac:dyDescent="0.25">
      <c r="B844" s="3">
        <v>43958</v>
      </c>
      <c r="C844" s="11">
        <v>2707</v>
      </c>
      <c r="E844" s="17" t="s">
        <v>822</v>
      </c>
      <c r="F844" s="17"/>
      <c r="G844" s="66"/>
      <c r="J844" s="16">
        <v>280266798675</v>
      </c>
      <c r="K844" s="16">
        <v>7764837251</v>
      </c>
    </row>
    <row r="845" spans="2:11" x14ac:dyDescent="0.25">
      <c r="B845" s="3">
        <v>43958</v>
      </c>
      <c r="C845" s="11">
        <v>2708</v>
      </c>
      <c r="E845" s="17" t="s">
        <v>823</v>
      </c>
      <c r="F845" s="17"/>
      <c r="G845" s="66"/>
      <c r="H845"/>
      <c r="J845" s="16">
        <v>244677337301</v>
      </c>
      <c r="K845" s="16">
        <v>9334387302</v>
      </c>
    </row>
    <row r="846" spans="2:11" x14ac:dyDescent="0.25">
      <c r="B846" s="3">
        <v>43958</v>
      </c>
      <c r="C846" s="11">
        <v>2710</v>
      </c>
      <c r="E846" s="17" t="s">
        <v>824</v>
      </c>
      <c r="F846" s="17"/>
      <c r="G846" s="66"/>
      <c r="H846" t="s">
        <v>1157</v>
      </c>
      <c r="I846" s="4">
        <v>100</v>
      </c>
      <c r="J846" s="16">
        <v>669517487913</v>
      </c>
      <c r="K846" s="16">
        <v>9263717055</v>
      </c>
    </row>
    <row r="847" spans="2:11" x14ac:dyDescent="0.25">
      <c r="B847" s="3">
        <v>43959</v>
      </c>
      <c r="C847" s="11">
        <v>2730</v>
      </c>
      <c r="E847" s="17" t="s">
        <v>825</v>
      </c>
      <c r="F847" s="17"/>
      <c r="G847" s="66"/>
      <c r="H847"/>
      <c r="J847" s="16">
        <v>269704007146</v>
      </c>
      <c r="K847" s="16">
        <v>7209631762</v>
      </c>
    </row>
    <row r="848" spans="2:11" x14ac:dyDescent="0.25">
      <c r="B848" s="3">
        <v>43959</v>
      </c>
      <c r="C848" s="11">
        <v>2732</v>
      </c>
      <c r="E848" s="17" t="s">
        <v>826</v>
      </c>
      <c r="F848" s="17"/>
      <c r="G848" s="66"/>
      <c r="H848"/>
      <c r="J848" s="16">
        <v>846493840865</v>
      </c>
      <c r="K848" s="16">
        <v>912322756</v>
      </c>
    </row>
    <row r="849" spans="2:13" x14ac:dyDescent="0.25">
      <c r="B849" s="3">
        <v>43959</v>
      </c>
      <c r="C849" s="11">
        <v>2733</v>
      </c>
      <c r="E849" s="17" t="s">
        <v>827</v>
      </c>
      <c r="F849" s="17"/>
      <c r="G849" s="66"/>
      <c r="H849"/>
      <c r="J849" s="16">
        <v>332272382128</v>
      </c>
      <c r="K849" s="16">
        <v>8051065482</v>
      </c>
    </row>
    <row r="850" spans="2:13" x14ac:dyDescent="0.25">
      <c r="B850" s="3">
        <v>43959</v>
      </c>
      <c r="C850" s="11">
        <v>2735</v>
      </c>
      <c r="E850" s="17" t="s">
        <v>828</v>
      </c>
      <c r="F850" s="17"/>
      <c r="G850" s="66"/>
      <c r="H850"/>
      <c r="J850" s="16">
        <v>228478595477</v>
      </c>
      <c r="K850" s="16">
        <v>7209580343</v>
      </c>
    </row>
    <row r="851" spans="2:13" x14ac:dyDescent="0.25">
      <c r="B851" s="3">
        <v>43959</v>
      </c>
      <c r="C851" s="11">
        <v>2741</v>
      </c>
      <c r="E851" s="17" t="s">
        <v>829</v>
      </c>
      <c r="F851" s="17"/>
      <c r="G851" s="66"/>
      <c r="H851" t="s">
        <v>1219</v>
      </c>
      <c r="J851" s="16">
        <v>941302168430</v>
      </c>
      <c r="K851" s="16">
        <v>6200880582</v>
      </c>
      <c r="L851" s="3">
        <v>44019</v>
      </c>
    </row>
    <row r="852" spans="2:13" x14ac:dyDescent="0.25">
      <c r="B852" s="3">
        <v>43959</v>
      </c>
      <c r="C852" s="11">
        <v>2743</v>
      </c>
      <c r="E852" s="17" t="s">
        <v>830</v>
      </c>
      <c r="F852" s="17"/>
      <c r="G852" s="66"/>
      <c r="H852"/>
      <c r="J852" s="16">
        <v>725737604516</v>
      </c>
      <c r="K852" s="16">
        <v>8083815940</v>
      </c>
    </row>
    <row r="853" spans="2:13" x14ac:dyDescent="0.25">
      <c r="B853" s="3">
        <v>43959</v>
      </c>
      <c r="C853" s="11">
        <v>2744</v>
      </c>
      <c r="E853" s="17" t="s">
        <v>831</v>
      </c>
      <c r="F853" s="17"/>
      <c r="G853" s="66"/>
      <c r="H853"/>
      <c r="J853" s="16">
        <v>344268400345</v>
      </c>
      <c r="K853" s="16">
        <v>9835270480</v>
      </c>
    </row>
    <row r="854" spans="2:13" x14ac:dyDescent="0.25">
      <c r="B854" s="3">
        <v>43959</v>
      </c>
      <c r="C854" s="11">
        <v>2747</v>
      </c>
      <c r="E854" s="17" t="s">
        <v>832</v>
      </c>
      <c r="F854" s="17"/>
      <c r="G854" s="66"/>
      <c r="H854"/>
      <c r="J854" s="16">
        <v>590809167332</v>
      </c>
      <c r="K854" s="16">
        <v>7301497220</v>
      </c>
    </row>
    <row r="855" spans="2:13" x14ac:dyDescent="0.25">
      <c r="B855" s="3">
        <v>43959</v>
      </c>
      <c r="C855" s="11">
        <v>2749</v>
      </c>
      <c r="E855" s="17" t="s">
        <v>833</v>
      </c>
      <c r="F855" s="17"/>
      <c r="G855" s="66"/>
      <c r="H855"/>
      <c r="J855" s="16">
        <v>253064835595</v>
      </c>
      <c r="K855" s="16">
        <v>9204296370</v>
      </c>
      <c r="L855" s="3">
        <v>44013</v>
      </c>
      <c r="M855" s="3">
        <v>44013</v>
      </c>
    </row>
    <row r="856" spans="2:13" x14ac:dyDescent="0.25">
      <c r="B856" s="3">
        <v>43959</v>
      </c>
      <c r="C856" s="11">
        <v>2750</v>
      </c>
      <c r="E856" s="17" t="s">
        <v>834</v>
      </c>
      <c r="F856" s="17"/>
      <c r="G856" s="66"/>
      <c r="H856"/>
      <c r="J856" s="16">
        <v>976276214984</v>
      </c>
      <c r="K856" s="16">
        <v>8084132474</v>
      </c>
    </row>
    <row r="857" spans="2:13" x14ac:dyDescent="0.25">
      <c r="B857" s="3">
        <v>43959</v>
      </c>
      <c r="C857" s="11">
        <v>2751</v>
      </c>
      <c r="E857" s="17" t="s">
        <v>835</v>
      </c>
      <c r="F857" s="17"/>
      <c r="G857" s="66"/>
      <c r="H857"/>
      <c r="J857" s="16">
        <v>802227488809</v>
      </c>
      <c r="K857" s="16">
        <v>8797429194</v>
      </c>
    </row>
    <row r="858" spans="2:13" x14ac:dyDescent="0.25">
      <c r="B858" s="3">
        <v>43959</v>
      </c>
      <c r="C858" s="11">
        <v>2752</v>
      </c>
      <c r="E858" s="17" t="s">
        <v>836</v>
      </c>
      <c r="F858" s="17"/>
      <c r="G858" s="66"/>
      <c r="H858"/>
      <c r="J858" s="16">
        <v>474756777571</v>
      </c>
      <c r="K858" s="16">
        <v>9956906711</v>
      </c>
    </row>
    <row r="859" spans="2:13" x14ac:dyDescent="0.25">
      <c r="B859" s="3">
        <v>43959</v>
      </c>
      <c r="C859" s="11">
        <v>2754</v>
      </c>
      <c r="E859" s="17" t="s">
        <v>410</v>
      </c>
      <c r="F859" s="17"/>
      <c r="G859" s="66"/>
      <c r="H859"/>
      <c r="J859" s="16">
        <v>748196753461</v>
      </c>
      <c r="K859" s="16">
        <v>6203093586</v>
      </c>
    </row>
    <row r="860" spans="2:13" x14ac:dyDescent="0.25">
      <c r="B860" s="3">
        <v>43959</v>
      </c>
      <c r="C860" s="11">
        <v>2755</v>
      </c>
      <c r="E860" s="17" t="s">
        <v>837</v>
      </c>
      <c r="F860" s="17"/>
      <c r="G860" s="66"/>
      <c r="H860"/>
      <c r="J860" s="16">
        <v>582109377505</v>
      </c>
      <c r="K860" s="16">
        <v>9801051484</v>
      </c>
    </row>
    <row r="861" spans="2:13" x14ac:dyDescent="0.25">
      <c r="B861" s="3">
        <v>43959</v>
      </c>
      <c r="C861" s="11">
        <v>2756</v>
      </c>
      <c r="E861" s="17" t="s">
        <v>838</v>
      </c>
      <c r="F861" s="17"/>
      <c r="G861" s="66"/>
      <c r="H861"/>
      <c r="J861" s="16">
        <v>679682169635</v>
      </c>
      <c r="K861" s="16">
        <v>7352610994</v>
      </c>
    </row>
    <row r="862" spans="2:13" x14ac:dyDescent="0.25">
      <c r="B862" s="3">
        <v>43959</v>
      </c>
      <c r="C862" s="11">
        <v>2757</v>
      </c>
      <c r="E862" s="17" t="s">
        <v>839</v>
      </c>
      <c r="F862" s="17"/>
      <c r="G862" s="66"/>
      <c r="H862"/>
      <c r="J862" s="16">
        <v>640800131012</v>
      </c>
      <c r="K862" s="16">
        <v>9708566120</v>
      </c>
    </row>
    <row r="863" spans="2:13" x14ac:dyDescent="0.25">
      <c r="B863" s="3">
        <v>43959</v>
      </c>
      <c r="C863" s="11">
        <v>2760</v>
      </c>
      <c r="E863" s="17" t="s">
        <v>685</v>
      </c>
      <c r="F863" s="17"/>
      <c r="G863" s="66"/>
      <c r="H863"/>
      <c r="J863" s="16">
        <v>628186755111</v>
      </c>
      <c r="K863" s="16">
        <v>8340320263</v>
      </c>
    </row>
    <row r="864" spans="2:13" x14ac:dyDescent="0.25">
      <c r="B864" s="3">
        <v>43959</v>
      </c>
      <c r="C864" s="11">
        <v>2763</v>
      </c>
      <c r="E864" s="17" t="s">
        <v>840</v>
      </c>
      <c r="F864" s="17"/>
      <c r="G864" s="66"/>
      <c r="H864"/>
      <c r="J864" s="16">
        <v>489239007007</v>
      </c>
      <c r="K864" s="16">
        <v>8210698773</v>
      </c>
      <c r="L864" s="3">
        <v>44035</v>
      </c>
    </row>
    <row r="865" spans="2:11" x14ac:dyDescent="0.25">
      <c r="B865" s="3">
        <v>43959</v>
      </c>
      <c r="C865" s="11">
        <v>2765</v>
      </c>
      <c r="E865" s="17" t="s">
        <v>841</v>
      </c>
      <c r="F865" s="17"/>
      <c r="G865" s="66"/>
      <c r="H865" t="s">
        <v>1167</v>
      </c>
      <c r="I865" s="4">
        <v>200</v>
      </c>
      <c r="J865" s="16">
        <v>233977269708</v>
      </c>
      <c r="K865" s="16">
        <v>8873507716</v>
      </c>
    </row>
    <row r="866" spans="2:11" x14ac:dyDescent="0.25">
      <c r="B866" s="3">
        <v>43959</v>
      </c>
      <c r="C866" s="11">
        <v>2767</v>
      </c>
      <c r="E866" s="17" t="s">
        <v>842</v>
      </c>
      <c r="F866" s="17"/>
      <c r="G866" s="66"/>
      <c r="H866"/>
      <c r="J866" s="16">
        <v>729828568132</v>
      </c>
      <c r="K866" s="16">
        <v>7250096678</v>
      </c>
    </row>
    <row r="867" spans="2:11" x14ac:dyDescent="0.25">
      <c r="B867" s="3">
        <v>43959</v>
      </c>
      <c r="C867" s="11">
        <v>2768</v>
      </c>
      <c r="E867" s="17" t="s">
        <v>843</v>
      </c>
      <c r="F867" s="17"/>
      <c r="G867" s="66"/>
      <c r="H867"/>
      <c r="J867" s="16">
        <v>555826621855</v>
      </c>
      <c r="K867" s="16">
        <v>8797949263</v>
      </c>
    </row>
    <row r="868" spans="2:11" x14ac:dyDescent="0.25">
      <c r="B868" s="3">
        <v>43959</v>
      </c>
      <c r="C868" s="11">
        <v>2770</v>
      </c>
      <c r="E868" s="17" t="s">
        <v>142</v>
      </c>
      <c r="F868" s="17"/>
      <c r="G868" s="66"/>
      <c r="H868" t="s">
        <v>1148</v>
      </c>
      <c r="J868" s="16">
        <v>683672388278</v>
      </c>
      <c r="K868" s="16">
        <v>9279203928</v>
      </c>
    </row>
    <row r="869" spans="2:11" x14ac:dyDescent="0.25">
      <c r="B869" s="3">
        <v>43959</v>
      </c>
      <c r="C869" s="11">
        <v>2772</v>
      </c>
      <c r="E869" s="17" t="s">
        <v>194</v>
      </c>
      <c r="F869" s="17"/>
      <c r="G869" s="66"/>
      <c r="H869"/>
      <c r="J869" s="16">
        <v>575146190372</v>
      </c>
      <c r="K869" s="16">
        <v>9262625825</v>
      </c>
    </row>
    <row r="870" spans="2:11" x14ac:dyDescent="0.25">
      <c r="B870" s="3">
        <v>43959</v>
      </c>
      <c r="C870" s="11">
        <v>2773</v>
      </c>
      <c r="E870" s="17" t="s">
        <v>844</v>
      </c>
      <c r="F870" s="17"/>
      <c r="G870" s="66"/>
      <c r="H870"/>
      <c r="J870" s="16">
        <v>787223177616</v>
      </c>
      <c r="K870" s="16">
        <v>8092538722</v>
      </c>
    </row>
    <row r="871" spans="2:11" x14ac:dyDescent="0.25">
      <c r="B871" s="3">
        <v>43959</v>
      </c>
      <c r="C871" s="11">
        <v>2775</v>
      </c>
      <c r="E871" s="17" t="s">
        <v>845</v>
      </c>
      <c r="F871" s="17"/>
      <c r="G871" s="66"/>
      <c r="H871"/>
      <c r="J871" s="16">
        <v>396881959965</v>
      </c>
      <c r="K871" s="16">
        <v>8092404853</v>
      </c>
    </row>
    <row r="872" spans="2:11" x14ac:dyDescent="0.25">
      <c r="B872" s="3">
        <v>43959</v>
      </c>
      <c r="C872" s="11">
        <v>2776</v>
      </c>
      <c r="E872" s="17" t="s">
        <v>846</v>
      </c>
      <c r="F872" s="17"/>
      <c r="G872" s="66"/>
      <c r="H872" t="s">
        <v>1164</v>
      </c>
      <c r="I872" s="4">
        <v>100</v>
      </c>
      <c r="J872" s="16">
        <v>868033621071</v>
      </c>
      <c r="K872" s="16">
        <v>7033466043</v>
      </c>
    </row>
    <row r="873" spans="2:11" x14ac:dyDescent="0.25">
      <c r="B873" s="3">
        <v>43959</v>
      </c>
      <c r="C873" s="11">
        <v>2778</v>
      </c>
      <c r="E873" s="17" t="s">
        <v>558</v>
      </c>
      <c r="F873" s="17"/>
      <c r="G873" s="66"/>
      <c r="H873"/>
      <c r="J873" s="16">
        <v>267832677804</v>
      </c>
      <c r="K873" s="16">
        <v>9631071394</v>
      </c>
    </row>
    <row r="874" spans="2:11" x14ac:dyDescent="0.25">
      <c r="B874" s="3">
        <v>43959</v>
      </c>
      <c r="C874" s="11">
        <v>2780</v>
      </c>
      <c r="E874" s="17" t="s">
        <v>847</v>
      </c>
      <c r="F874" s="17"/>
      <c r="G874" s="66"/>
      <c r="H874"/>
      <c r="J874" s="16">
        <v>527643873479</v>
      </c>
      <c r="K874" s="16">
        <v>7633966589</v>
      </c>
    </row>
    <row r="875" spans="2:11" x14ac:dyDescent="0.25">
      <c r="B875" s="3">
        <v>43959</v>
      </c>
      <c r="C875" s="11">
        <v>2782</v>
      </c>
      <c r="E875" s="17" t="s">
        <v>848</v>
      </c>
      <c r="F875" s="17"/>
      <c r="G875" s="66"/>
      <c r="H875"/>
      <c r="J875" s="16">
        <v>698391837964</v>
      </c>
      <c r="K875" s="16">
        <v>6200454254</v>
      </c>
    </row>
    <row r="876" spans="2:11" x14ac:dyDescent="0.25">
      <c r="B876" s="3">
        <v>43959</v>
      </c>
      <c r="C876" s="11">
        <v>2792</v>
      </c>
      <c r="E876" s="17" t="s">
        <v>849</v>
      </c>
      <c r="F876" s="17"/>
      <c r="G876" s="66"/>
      <c r="H876"/>
      <c r="J876" s="16">
        <v>974788572834</v>
      </c>
      <c r="K876" s="16">
        <v>9334115203</v>
      </c>
    </row>
    <row r="877" spans="2:11" x14ac:dyDescent="0.25">
      <c r="B877" s="3">
        <v>43959</v>
      </c>
      <c r="C877" s="11">
        <v>2793</v>
      </c>
      <c r="E877" s="17" t="s">
        <v>850</v>
      </c>
      <c r="F877" s="17"/>
      <c r="G877" s="66"/>
      <c r="H877"/>
      <c r="J877" s="16">
        <v>539083771272</v>
      </c>
      <c r="K877" s="16">
        <v>6202846114</v>
      </c>
    </row>
    <row r="878" spans="2:11" x14ac:dyDescent="0.25">
      <c r="B878" s="3">
        <v>43959</v>
      </c>
      <c r="C878" s="11">
        <v>2794</v>
      </c>
      <c r="E878" s="17" t="s">
        <v>851</v>
      </c>
      <c r="F878" s="17"/>
      <c r="G878" s="66"/>
      <c r="H878"/>
      <c r="J878" s="16">
        <v>560560733843</v>
      </c>
      <c r="K878" s="16">
        <v>6299058324</v>
      </c>
    </row>
    <row r="879" spans="2:11" x14ac:dyDescent="0.25">
      <c r="B879" s="3">
        <v>43959</v>
      </c>
      <c r="C879" s="11">
        <v>2795</v>
      </c>
      <c r="E879" s="17" t="s">
        <v>852</v>
      </c>
      <c r="F879" s="17"/>
      <c r="G879" s="66"/>
      <c r="H879"/>
      <c r="J879" s="16">
        <v>666249385866</v>
      </c>
      <c r="K879" s="16">
        <v>9661706305</v>
      </c>
    </row>
    <row r="880" spans="2:11" x14ac:dyDescent="0.25">
      <c r="B880" s="3">
        <v>43959</v>
      </c>
      <c r="C880" s="11">
        <v>2796</v>
      </c>
      <c r="E880" s="17" t="s">
        <v>853</v>
      </c>
      <c r="F880" s="17"/>
      <c r="G880" s="66"/>
      <c r="H880"/>
      <c r="J880" s="16">
        <v>211492044480</v>
      </c>
      <c r="K880" s="16">
        <v>7070138865</v>
      </c>
    </row>
    <row r="881" spans="2:12" x14ac:dyDescent="0.25">
      <c r="B881" s="3">
        <v>43959</v>
      </c>
      <c r="C881" s="11">
        <v>2797</v>
      </c>
      <c r="E881" s="17" t="s">
        <v>854</v>
      </c>
      <c r="F881" s="17"/>
      <c r="G881" s="66"/>
      <c r="H881"/>
      <c r="J881" s="16">
        <v>630543146925</v>
      </c>
      <c r="K881" s="16">
        <v>7903135972</v>
      </c>
    </row>
    <row r="882" spans="2:12" x14ac:dyDescent="0.25">
      <c r="B882" s="3">
        <v>43962</v>
      </c>
      <c r="C882" s="11">
        <v>2830</v>
      </c>
      <c r="E882" s="17" t="s">
        <v>855</v>
      </c>
      <c r="F882" s="17"/>
      <c r="G882" s="66"/>
      <c r="H882"/>
      <c r="J882" s="16">
        <v>869966505820</v>
      </c>
      <c r="K882" s="16">
        <v>9204883268</v>
      </c>
    </row>
    <row r="883" spans="2:12" x14ac:dyDescent="0.25">
      <c r="B883" s="3">
        <v>43962</v>
      </c>
      <c r="C883" s="11">
        <v>2831</v>
      </c>
      <c r="E883" s="17" t="s">
        <v>856</v>
      </c>
      <c r="F883" s="17"/>
      <c r="G883" s="66"/>
      <c r="H883"/>
      <c r="J883" s="16">
        <v>743633428246</v>
      </c>
      <c r="K883" s="16">
        <v>9110189760</v>
      </c>
    </row>
    <row r="884" spans="2:12" x14ac:dyDescent="0.25">
      <c r="B884" s="3">
        <v>43962</v>
      </c>
      <c r="C884" s="11">
        <v>2832</v>
      </c>
      <c r="E884" s="17" t="s">
        <v>857</v>
      </c>
      <c r="F884" s="17"/>
      <c r="G884" s="66"/>
      <c r="H884"/>
      <c r="J884" s="16">
        <v>396699275597</v>
      </c>
      <c r="K884" s="16">
        <v>6207041262</v>
      </c>
    </row>
    <row r="885" spans="2:12" x14ac:dyDescent="0.25">
      <c r="B885" s="3">
        <v>43962</v>
      </c>
      <c r="C885" s="11">
        <v>2833</v>
      </c>
      <c r="E885" s="17" t="s">
        <v>858</v>
      </c>
      <c r="F885" s="17"/>
      <c r="G885" s="66"/>
      <c r="H885"/>
      <c r="J885" s="16">
        <v>829665750592</v>
      </c>
      <c r="K885" s="16">
        <v>7070355656</v>
      </c>
    </row>
    <row r="886" spans="2:12" x14ac:dyDescent="0.25">
      <c r="B886" s="3">
        <v>43962</v>
      </c>
      <c r="C886" s="11">
        <v>2835</v>
      </c>
      <c r="E886" s="17" t="s">
        <v>859</v>
      </c>
      <c r="F886" s="17"/>
      <c r="G886" s="66"/>
      <c r="H886"/>
      <c r="J886" s="16">
        <v>990608653180</v>
      </c>
      <c r="K886" s="16">
        <v>8409882391</v>
      </c>
    </row>
    <row r="887" spans="2:12" x14ac:dyDescent="0.25">
      <c r="B887" s="3">
        <v>43962</v>
      </c>
      <c r="C887" s="11">
        <v>2836</v>
      </c>
      <c r="E887" s="17" t="s">
        <v>860</v>
      </c>
      <c r="F887" s="17"/>
      <c r="G887" s="66"/>
      <c r="H887"/>
      <c r="J887" s="16">
        <v>417436649641</v>
      </c>
      <c r="K887" s="16">
        <v>8877018768</v>
      </c>
    </row>
    <row r="888" spans="2:12" x14ac:dyDescent="0.25">
      <c r="B888" s="3">
        <v>43962</v>
      </c>
      <c r="C888" s="11">
        <v>2837</v>
      </c>
      <c r="E888" s="17" t="s">
        <v>861</v>
      </c>
      <c r="F888" s="17"/>
      <c r="G888" s="66"/>
      <c r="H888"/>
      <c r="J888" s="16">
        <v>949036649641</v>
      </c>
      <c r="K888" s="16">
        <v>7209584860</v>
      </c>
    </row>
    <row r="889" spans="2:12" x14ac:dyDescent="0.25">
      <c r="B889" s="3">
        <v>43962</v>
      </c>
      <c r="C889" s="11">
        <v>2838</v>
      </c>
      <c r="E889" s="17" t="s">
        <v>862</v>
      </c>
      <c r="F889" s="17"/>
      <c r="G889" s="66"/>
      <c r="H889"/>
      <c r="J889" s="16">
        <v>405741432512</v>
      </c>
      <c r="K889" s="16">
        <v>6209115851</v>
      </c>
    </row>
    <row r="890" spans="2:12" x14ac:dyDescent="0.25">
      <c r="B890" s="3">
        <v>43962</v>
      </c>
      <c r="C890" s="11">
        <v>2839</v>
      </c>
      <c r="E890" s="17" t="s">
        <v>863</v>
      </c>
      <c r="F890" s="17"/>
      <c r="G890" s="66"/>
      <c r="H890"/>
      <c r="J890" s="16">
        <v>954808143267</v>
      </c>
      <c r="K890" s="16">
        <v>7739754592</v>
      </c>
    </row>
    <row r="891" spans="2:12" x14ac:dyDescent="0.25">
      <c r="B891" s="3">
        <v>43962</v>
      </c>
      <c r="C891" s="11">
        <v>2840</v>
      </c>
      <c r="E891" s="17" t="s">
        <v>864</v>
      </c>
      <c r="F891" s="17"/>
      <c r="G891" s="66"/>
      <c r="H891"/>
      <c r="J891" s="16">
        <v>323706652914</v>
      </c>
      <c r="K891" s="16">
        <v>9113446958</v>
      </c>
    </row>
    <row r="892" spans="2:12" x14ac:dyDescent="0.25">
      <c r="B892" s="3">
        <v>43962</v>
      </c>
      <c r="C892" s="11">
        <v>2841</v>
      </c>
      <c r="E892" s="17" t="s">
        <v>865</v>
      </c>
      <c r="F892" s="17"/>
      <c r="G892" s="66"/>
      <c r="H892"/>
      <c r="J892" s="16">
        <v>620286908136</v>
      </c>
      <c r="K892" s="16">
        <v>9334161404</v>
      </c>
      <c r="L892" s="3">
        <v>44035</v>
      </c>
    </row>
    <row r="893" spans="2:12" x14ac:dyDescent="0.25">
      <c r="B893" s="3">
        <v>43962</v>
      </c>
      <c r="C893" s="11">
        <v>2842</v>
      </c>
      <c r="E893" s="17" t="s">
        <v>866</v>
      </c>
      <c r="F893" s="17"/>
      <c r="G893" s="66"/>
      <c r="H893"/>
      <c r="J893" s="16">
        <v>681941447480</v>
      </c>
      <c r="K893" s="16">
        <v>7209606429</v>
      </c>
    </row>
    <row r="894" spans="2:12" x14ac:dyDescent="0.25">
      <c r="B894" s="3">
        <v>43962</v>
      </c>
      <c r="C894" s="11">
        <v>2843</v>
      </c>
      <c r="E894" s="17" t="s">
        <v>867</v>
      </c>
      <c r="F894" s="17"/>
      <c r="G894" s="66"/>
      <c r="H894"/>
      <c r="J894" s="16">
        <v>613521251272</v>
      </c>
      <c r="K894" s="16">
        <v>7381319636</v>
      </c>
      <c r="L894" s="3">
        <v>44035</v>
      </c>
    </row>
    <row r="895" spans="2:12" x14ac:dyDescent="0.25">
      <c r="B895" s="3">
        <v>43962</v>
      </c>
      <c r="C895" s="11">
        <v>2850</v>
      </c>
      <c r="E895" s="17" t="s">
        <v>10</v>
      </c>
      <c r="F895" s="17"/>
      <c r="G895" s="66"/>
      <c r="H895"/>
      <c r="J895" s="16">
        <v>373214505115</v>
      </c>
      <c r="K895" s="16">
        <v>9006213700</v>
      </c>
    </row>
    <row r="896" spans="2:12" x14ac:dyDescent="0.25">
      <c r="B896" s="3">
        <v>43962</v>
      </c>
      <c r="C896" s="11">
        <v>2851</v>
      </c>
      <c r="E896" s="17" t="s">
        <v>868</v>
      </c>
      <c r="F896" s="17"/>
      <c r="G896" s="66"/>
      <c r="H896"/>
      <c r="J896" s="16">
        <v>880199075041</v>
      </c>
      <c r="K896" s="16">
        <v>7261033890</v>
      </c>
    </row>
    <row r="897" spans="2:12" x14ac:dyDescent="0.25">
      <c r="B897" s="3">
        <v>43962</v>
      </c>
      <c r="C897" s="11">
        <v>2865</v>
      </c>
      <c r="E897" s="17" t="s">
        <v>869</v>
      </c>
      <c r="F897" s="17"/>
      <c r="G897" s="66"/>
      <c r="H897"/>
      <c r="J897" s="16">
        <v>432046323385</v>
      </c>
      <c r="K897" s="16">
        <v>9122353992</v>
      </c>
    </row>
    <row r="898" spans="2:12" x14ac:dyDescent="0.25">
      <c r="B898" s="3">
        <v>43962</v>
      </c>
      <c r="C898" s="11">
        <v>2866</v>
      </c>
      <c r="E898" s="17" t="s">
        <v>870</v>
      </c>
      <c r="F898" s="17"/>
      <c r="G898" s="66"/>
      <c r="H898"/>
      <c r="J898" s="16">
        <v>650740132072</v>
      </c>
      <c r="K898" s="16">
        <v>9955616123</v>
      </c>
    </row>
    <row r="899" spans="2:12" x14ac:dyDescent="0.25">
      <c r="B899" s="3">
        <v>43962</v>
      </c>
      <c r="C899" s="11">
        <v>2869</v>
      </c>
      <c r="E899" s="17" t="s">
        <v>871</v>
      </c>
      <c r="F899" s="17"/>
      <c r="G899" s="66"/>
      <c r="H899"/>
      <c r="J899" s="16">
        <v>693498139746</v>
      </c>
      <c r="K899" s="16">
        <v>9843444590</v>
      </c>
    </row>
    <row r="900" spans="2:12" x14ac:dyDescent="0.25">
      <c r="B900" s="3">
        <v>43962</v>
      </c>
      <c r="C900" s="11">
        <v>2870</v>
      </c>
      <c r="E900" s="17" t="s">
        <v>872</v>
      </c>
      <c r="F900" s="17"/>
      <c r="G900" s="66"/>
      <c r="H900"/>
      <c r="J900" s="16">
        <v>209929564365</v>
      </c>
      <c r="K900" s="16">
        <v>7203442923</v>
      </c>
    </row>
    <row r="901" spans="2:12" x14ac:dyDescent="0.25">
      <c r="B901" s="3">
        <v>43962</v>
      </c>
      <c r="C901" s="11">
        <v>2872</v>
      </c>
      <c r="E901" s="17" t="s">
        <v>556</v>
      </c>
      <c r="F901" s="17"/>
      <c r="G901" s="66"/>
      <c r="H901"/>
      <c r="J901" s="16">
        <v>975415098364</v>
      </c>
      <c r="K901" s="16">
        <v>6207935551</v>
      </c>
      <c r="L901" s="3">
        <v>44035</v>
      </c>
    </row>
    <row r="902" spans="2:12" x14ac:dyDescent="0.25">
      <c r="B902" s="3">
        <v>43962</v>
      </c>
      <c r="C902" s="11">
        <v>2875</v>
      </c>
      <c r="E902" s="17" t="s">
        <v>873</v>
      </c>
      <c r="F902" s="17"/>
      <c r="G902" s="66"/>
      <c r="H902"/>
      <c r="J902" s="16">
        <v>777572612950</v>
      </c>
      <c r="K902" s="16">
        <v>9939802031</v>
      </c>
    </row>
    <row r="903" spans="2:12" x14ac:dyDescent="0.25">
      <c r="B903" s="3">
        <v>43962</v>
      </c>
      <c r="C903" s="11">
        <v>2876</v>
      </c>
      <c r="E903" s="17" t="s">
        <v>874</v>
      </c>
      <c r="F903" s="17"/>
      <c r="G903" s="66"/>
      <c r="H903"/>
      <c r="J903" s="16">
        <v>264486339688</v>
      </c>
      <c r="K903" s="16">
        <v>9608346078</v>
      </c>
    </row>
    <row r="904" spans="2:12" x14ac:dyDescent="0.25">
      <c r="B904" s="3">
        <v>43962</v>
      </c>
      <c r="C904" s="11">
        <v>2879</v>
      </c>
      <c r="E904" s="17" t="s">
        <v>875</v>
      </c>
      <c r="F904" s="17"/>
      <c r="G904" s="66"/>
      <c r="H904"/>
      <c r="J904" s="16">
        <v>213820390470</v>
      </c>
      <c r="K904" s="16">
        <v>9709108509</v>
      </c>
    </row>
    <row r="905" spans="2:12" x14ac:dyDescent="0.25">
      <c r="B905" s="3">
        <v>43962</v>
      </c>
      <c r="C905" s="11">
        <v>2881</v>
      </c>
      <c r="E905" s="17" t="s">
        <v>876</v>
      </c>
      <c r="F905" s="17"/>
      <c r="G905" s="66"/>
      <c r="H905"/>
      <c r="J905" s="16">
        <v>607140785828</v>
      </c>
      <c r="K905" s="16">
        <v>9740192957</v>
      </c>
    </row>
    <row r="906" spans="2:12" x14ac:dyDescent="0.25">
      <c r="B906" s="3">
        <v>43962</v>
      </c>
      <c r="C906" s="11">
        <v>2883</v>
      </c>
      <c r="E906" s="17" t="s">
        <v>877</v>
      </c>
      <c r="F906" s="17"/>
      <c r="G906" s="66"/>
      <c r="H906"/>
      <c r="J906" s="16">
        <v>293111890027</v>
      </c>
      <c r="K906" s="16">
        <v>9572074908</v>
      </c>
    </row>
    <row r="907" spans="2:12" x14ac:dyDescent="0.25">
      <c r="B907" s="3">
        <v>43962</v>
      </c>
      <c r="C907" s="11">
        <v>2886</v>
      </c>
      <c r="E907" s="17" t="s">
        <v>878</v>
      </c>
      <c r="F907" s="17"/>
      <c r="G907" s="66"/>
      <c r="H907"/>
      <c r="J907" s="16">
        <v>394062536119</v>
      </c>
      <c r="K907" s="16">
        <v>9905528183</v>
      </c>
    </row>
    <row r="908" spans="2:12" x14ac:dyDescent="0.25">
      <c r="B908" s="3">
        <v>43962</v>
      </c>
      <c r="C908" s="11">
        <v>2887</v>
      </c>
      <c r="E908" s="17" t="s">
        <v>879</v>
      </c>
      <c r="F908" s="17"/>
      <c r="G908" s="66"/>
      <c r="H908"/>
      <c r="J908" s="16">
        <v>591756676901</v>
      </c>
      <c r="K908" s="16">
        <v>9798050370</v>
      </c>
    </row>
    <row r="909" spans="2:12" x14ac:dyDescent="0.25">
      <c r="B909" s="3">
        <v>43962</v>
      </c>
      <c r="C909" s="11">
        <v>2888</v>
      </c>
      <c r="E909" s="21" t="s">
        <v>880</v>
      </c>
      <c r="F909" s="21"/>
      <c r="G909" s="66"/>
      <c r="H909"/>
      <c r="J909" s="16">
        <v>690679475676</v>
      </c>
      <c r="K909" s="16">
        <v>9204258417</v>
      </c>
    </row>
    <row r="910" spans="2:12" x14ac:dyDescent="0.25">
      <c r="B910" s="3">
        <v>43962</v>
      </c>
      <c r="C910" s="11">
        <v>2891</v>
      </c>
      <c r="E910" s="17" t="s">
        <v>881</v>
      </c>
      <c r="F910" s="17"/>
      <c r="G910" s="66"/>
      <c r="H910"/>
      <c r="J910" s="16">
        <v>271943693549</v>
      </c>
      <c r="K910" s="16">
        <v>7634095921</v>
      </c>
    </row>
    <row r="911" spans="2:12" x14ac:dyDescent="0.25">
      <c r="B911" s="3">
        <v>43962</v>
      </c>
      <c r="C911" s="11">
        <v>2893</v>
      </c>
      <c r="E911" s="17" t="s">
        <v>882</v>
      </c>
      <c r="F911" s="17"/>
      <c r="G911" s="66"/>
      <c r="H911"/>
      <c r="J911" s="16">
        <v>725209970696</v>
      </c>
      <c r="K911" s="16">
        <v>9031359851</v>
      </c>
    </row>
    <row r="912" spans="2:12" x14ac:dyDescent="0.25">
      <c r="B912" s="3">
        <v>43962</v>
      </c>
      <c r="C912" s="11">
        <v>2895</v>
      </c>
      <c r="E912" s="17" t="s">
        <v>883</v>
      </c>
      <c r="F912" s="17"/>
      <c r="G912" s="66"/>
      <c r="H912"/>
      <c r="J912" s="16">
        <v>880743363995</v>
      </c>
      <c r="K912" s="16">
        <v>9113149540</v>
      </c>
    </row>
    <row r="913" spans="2:15" x14ac:dyDescent="0.25">
      <c r="B913" s="3">
        <v>43962</v>
      </c>
      <c r="C913" s="11">
        <v>2898</v>
      </c>
      <c r="E913" s="17" t="s">
        <v>884</v>
      </c>
      <c r="F913" s="17"/>
      <c r="G913" s="66"/>
      <c r="H913"/>
      <c r="J913" s="16">
        <v>399679655060</v>
      </c>
      <c r="K913" s="16">
        <v>7634977694</v>
      </c>
    </row>
    <row r="914" spans="2:15" x14ac:dyDescent="0.25">
      <c r="B914" s="3">
        <v>43962</v>
      </c>
      <c r="C914" s="11">
        <v>2900</v>
      </c>
      <c r="E914" s="17" t="s">
        <v>885</v>
      </c>
      <c r="F914" s="17"/>
      <c r="G914" s="66"/>
      <c r="H914" t="s">
        <v>1213</v>
      </c>
      <c r="I914" s="4">
        <v>200</v>
      </c>
      <c r="J914" s="16">
        <v>676857038851</v>
      </c>
      <c r="K914" s="16">
        <v>8603286708</v>
      </c>
      <c r="M914" s="3">
        <v>44015</v>
      </c>
    </row>
    <row r="915" spans="2:15" x14ac:dyDescent="0.25">
      <c r="B915" s="3">
        <v>43962</v>
      </c>
      <c r="C915" s="11">
        <v>2901</v>
      </c>
      <c r="E915" s="17" t="s">
        <v>886</v>
      </c>
      <c r="F915" s="17"/>
      <c r="G915" s="66"/>
      <c r="H915"/>
      <c r="J915" s="16">
        <v>650323922451</v>
      </c>
      <c r="K915" s="16">
        <v>7903902278</v>
      </c>
    </row>
    <row r="916" spans="2:15" x14ac:dyDescent="0.25">
      <c r="B916" s="3">
        <v>43962</v>
      </c>
      <c r="C916" s="11">
        <v>2902</v>
      </c>
      <c r="E916" s="17" t="s">
        <v>887</v>
      </c>
      <c r="F916" s="17"/>
      <c r="G916" s="66"/>
      <c r="H916"/>
      <c r="J916" s="16">
        <v>586003324535</v>
      </c>
      <c r="K916" s="16">
        <v>7209767022</v>
      </c>
    </row>
    <row r="917" spans="2:15" x14ac:dyDescent="0.25">
      <c r="B917" s="3">
        <v>43962</v>
      </c>
      <c r="C917" s="11">
        <v>2904</v>
      </c>
      <c r="E917" s="17" t="s">
        <v>888</v>
      </c>
      <c r="F917" s="17"/>
      <c r="G917" s="66"/>
      <c r="H917"/>
      <c r="J917" s="16">
        <v>518416600982</v>
      </c>
      <c r="K917" s="16">
        <v>9234972720</v>
      </c>
    </row>
    <row r="918" spans="2:15" x14ac:dyDescent="0.25">
      <c r="B918" s="3">
        <v>43962</v>
      </c>
      <c r="C918" s="11">
        <v>2905</v>
      </c>
      <c r="E918" s="17" t="s">
        <v>889</v>
      </c>
      <c r="F918" s="17"/>
      <c r="G918" s="66"/>
      <c r="H918"/>
      <c r="J918" s="16">
        <v>620554949710</v>
      </c>
      <c r="K918" s="16">
        <v>7260867766</v>
      </c>
    </row>
    <row r="919" spans="2:15" x14ac:dyDescent="0.25">
      <c r="B919" s="3">
        <v>43962</v>
      </c>
      <c r="C919" s="11">
        <v>2906</v>
      </c>
      <c r="E919" s="17" t="s">
        <v>890</v>
      </c>
      <c r="F919" s="17"/>
      <c r="G919" s="66"/>
      <c r="H919"/>
      <c r="J919" s="16">
        <v>582681577661</v>
      </c>
      <c r="K919" s="16">
        <v>9931547403</v>
      </c>
    </row>
    <row r="920" spans="2:15" x14ac:dyDescent="0.25">
      <c r="B920" s="3">
        <v>43962</v>
      </c>
      <c r="C920" s="11">
        <v>2908</v>
      </c>
      <c r="E920" s="17" t="s">
        <v>891</v>
      </c>
      <c r="F920" s="17"/>
      <c r="G920" s="66"/>
      <c r="H920"/>
      <c r="J920" s="16">
        <v>341527365168</v>
      </c>
      <c r="K920" s="16">
        <v>9709209838</v>
      </c>
    </row>
    <row r="921" spans="2:15" x14ac:dyDescent="0.25">
      <c r="B921" s="3">
        <v>43962</v>
      </c>
      <c r="C921" s="11">
        <v>2910</v>
      </c>
      <c r="E921" s="17" t="s">
        <v>892</v>
      </c>
      <c r="F921" s="17"/>
      <c r="G921" s="66"/>
      <c r="H921"/>
      <c r="J921" s="16">
        <v>556595935074</v>
      </c>
      <c r="K921" s="16">
        <v>7530922721</v>
      </c>
    </row>
    <row r="922" spans="2:15" x14ac:dyDescent="0.25">
      <c r="B922" s="3">
        <v>43962</v>
      </c>
      <c r="C922" s="11">
        <v>2912</v>
      </c>
      <c r="E922" s="17" t="s">
        <v>893</v>
      </c>
      <c r="F922" s="17"/>
      <c r="G922" s="66"/>
      <c r="H922" t="s">
        <v>1301</v>
      </c>
      <c r="I922" s="4">
        <v>100</v>
      </c>
      <c r="J922" s="16">
        <v>963470100899</v>
      </c>
      <c r="K922" s="16">
        <v>6201722091</v>
      </c>
      <c r="O922" s="4" t="s">
        <v>16</v>
      </c>
    </row>
    <row r="923" spans="2:15" x14ac:dyDescent="0.25">
      <c r="B923" s="3">
        <v>43962</v>
      </c>
      <c r="C923" s="11">
        <v>2915</v>
      </c>
      <c r="E923" s="17" t="s">
        <v>894</v>
      </c>
      <c r="F923" s="17"/>
      <c r="G923" s="66"/>
      <c r="H923"/>
      <c r="J923" s="16">
        <v>255255773738</v>
      </c>
      <c r="K923" s="16">
        <v>9263991174</v>
      </c>
    </row>
    <row r="924" spans="2:15" x14ac:dyDescent="0.25">
      <c r="B924" s="3">
        <v>43962</v>
      </c>
      <c r="C924" s="11">
        <v>2918</v>
      </c>
      <c r="E924" s="17" t="s">
        <v>895</v>
      </c>
      <c r="F924" s="17"/>
      <c r="G924" s="66"/>
      <c r="H924"/>
      <c r="J924" s="16">
        <v>541350623738</v>
      </c>
      <c r="K924" s="16">
        <v>7488235480</v>
      </c>
    </row>
    <row r="925" spans="2:15" x14ac:dyDescent="0.25">
      <c r="B925" s="3">
        <v>43962</v>
      </c>
      <c r="C925" s="11">
        <v>2922</v>
      </c>
      <c r="E925" s="17" t="s">
        <v>896</v>
      </c>
      <c r="F925" s="17"/>
      <c r="G925" s="66"/>
      <c r="H925"/>
      <c r="J925" s="16">
        <v>606061753838</v>
      </c>
      <c r="K925" s="16">
        <v>9031350304</v>
      </c>
    </row>
    <row r="926" spans="2:15" x14ac:dyDescent="0.25">
      <c r="B926" s="3">
        <v>43962</v>
      </c>
      <c r="C926" s="11">
        <v>2924</v>
      </c>
      <c r="E926" s="17" t="s">
        <v>897</v>
      </c>
      <c r="F926" s="17"/>
      <c r="G926" s="66"/>
      <c r="H926"/>
      <c r="J926" s="16">
        <v>733011673425</v>
      </c>
      <c r="K926" s="16">
        <v>9709254072</v>
      </c>
    </row>
    <row r="927" spans="2:15" x14ac:dyDescent="0.25">
      <c r="B927" s="3">
        <v>43962</v>
      </c>
      <c r="C927" s="11">
        <v>2926</v>
      </c>
      <c r="E927" s="17" t="s">
        <v>898</v>
      </c>
      <c r="F927" s="17"/>
      <c r="G927" s="66"/>
      <c r="H927"/>
      <c r="J927" s="16">
        <v>473119001904</v>
      </c>
      <c r="K927" s="16">
        <v>9693876005</v>
      </c>
    </row>
    <row r="928" spans="2:15" x14ac:dyDescent="0.25">
      <c r="B928" s="3">
        <v>43962</v>
      </c>
      <c r="C928" s="11">
        <v>2929</v>
      </c>
      <c r="E928" s="21" t="s">
        <v>899</v>
      </c>
      <c r="F928" s="21"/>
      <c r="G928" s="66"/>
      <c r="H928"/>
      <c r="J928" s="16">
        <v>331687384258</v>
      </c>
      <c r="K928" s="16">
        <v>8271860027</v>
      </c>
    </row>
    <row r="929" spans="2:14" x14ac:dyDescent="0.25">
      <c r="B929" s="3">
        <v>43962</v>
      </c>
      <c r="C929" s="11">
        <v>2931</v>
      </c>
      <c r="E929" s="17" t="s">
        <v>900</v>
      </c>
      <c r="F929" s="17"/>
      <c r="G929" s="66"/>
      <c r="H929"/>
      <c r="J929" s="16">
        <v>876644787958</v>
      </c>
      <c r="K929" s="16">
        <v>8797465752</v>
      </c>
    </row>
    <row r="930" spans="2:14" x14ac:dyDescent="0.25">
      <c r="B930" s="3">
        <v>43962</v>
      </c>
      <c r="C930" s="11">
        <v>2932</v>
      </c>
      <c r="E930" s="17" t="s">
        <v>901</v>
      </c>
      <c r="F930" s="17"/>
      <c r="G930" s="66"/>
      <c r="H930"/>
      <c r="J930" s="16">
        <v>727183716298</v>
      </c>
      <c r="K930" s="16">
        <v>9801201470</v>
      </c>
    </row>
    <row r="931" spans="2:14" x14ac:dyDescent="0.25">
      <c r="B931" s="3">
        <v>43962</v>
      </c>
      <c r="C931" s="11">
        <v>2933</v>
      </c>
      <c r="E931" s="17" t="s">
        <v>902</v>
      </c>
      <c r="F931" s="17"/>
      <c r="G931" s="66"/>
      <c r="H931"/>
      <c r="J931" s="16">
        <v>612096322598</v>
      </c>
      <c r="K931" s="16">
        <v>9304075445</v>
      </c>
    </row>
    <row r="932" spans="2:14" x14ac:dyDescent="0.25">
      <c r="B932" s="3">
        <v>43962</v>
      </c>
      <c r="C932" s="11">
        <v>2934</v>
      </c>
      <c r="E932" s="17" t="s">
        <v>903</v>
      </c>
      <c r="F932" s="17"/>
      <c r="G932" s="66"/>
      <c r="H932"/>
      <c r="J932" s="16">
        <v>695663361036</v>
      </c>
      <c r="K932" s="16">
        <v>6209186753</v>
      </c>
    </row>
    <row r="933" spans="2:14" x14ac:dyDescent="0.25">
      <c r="B933" s="3">
        <v>43962</v>
      </c>
      <c r="C933" s="11">
        <v>2936</v>
      </c>
      <c r="E933" s="21" t="s">
        <v>904</v>
      </c>
      <c r="F933" s="21"/>
      <c r="G933" s="66"/>
      <c r="H933"/>
      <c r="J933" s="16">
        <v>335711317838</v>
      </c>
      <c r="K933" s="16">
        <v>8936021639</v>
      </c>
    </row>
    <row r="934" spans="2:14" x14ac:dyDescent="0.25">
      <c r="B934" s="3">
        <v>43962</v>
      </c>
      <c r="C934" s="11">
        <v>2938</v>
      </c>
      <c r="E934" s="17" t="s">
        <v>905</v>
      </c>
      <c r="F934" s="17"/>
      <c r="G934" s="66"/>
      <c r="H934"/>
      <c r="J934" s="16">
        <v>383734544006</v>
      </c>
      <c r="K934" s="16">
        <v>9939164882</v>
      </c>
    </row>
    <row r="935" spans="2:14" x14ac:dyDescent="0.25">
      <c r="B935" s="3">
        <v>43962</v>
      </c>
      <c r="C935" s="11">
        <v>2940</v>
      </c>
      <c r="E935" s="17" t="s">
        <v>906</v>
      </c>
      <c r="F935" s="17"/>
      <c r="G935" s="66"/>
      <c r="H935"/>
      <c r="J935" s="16">
        <v>994099635115</v>
      </c>
      <c r="K935" s="16">
        <v>6206792036</v>
      </c>
    </row>
    <row r="936" spans="2:14" x14ac:dyDescent="0.25">
      <c r="B936" s="3">
        <v>43963</v>
      </c>
      <c r="C936" s="11">
        <v>2944</v>
      </c>
      <c r="E936" s="17" t="s">
        <v>907</v>
      </c>
      <c r="F936" s="17"/>
      <c r="G936" s="66"/>
      <c r="H936"/>
      <c r="J936" s="16">
        <v>949331541373</v>
      </c>
      <c r="K936" s="16">
        <v>6207429711</v>
      </c>
    </row>
    <row r="937" spans="2:14" x14ac:dyDescent="0.25">
      <c r="B937" s="3">
        <v>43963</v>
      </c>
      <c r="C937" s="11">
        <v>2945</v>
      </c>
      <c r="E937" s="17" t="s">
        <v>908</v>
      </c>
      <c r="F937" s="17"/>
      <c r="G937" s="66"/>
      <c r="H937" t="s">
        <v>1220</v>
      </c>
      <c r="J937" s="16">
        <v>277482677551</v>
      </c>
      <c r="K937" s="16">
        <v>8521185929</v>
      </c>
      <c r="L937" s="3">
        <v>44019</v>
      </c>
      <c r="M937" s="3">
        <v>44019</v>
      </c>
      <c r="N937" s="3">
        <v>44019</v>
      </c>
    </row>
    <row r="938" spans="2:14" x14ac:dyDescent="0.25">
      <c r="B938" s="3">
        <v>43963</v>
      </c>
      <c r="C938" s="11">
        <v>2946</v>
      </c>
      <c r="E938" s="17" t="s">
        <v>909</v>
      </c>
      <c r="F938" s="17"/>
      <c r="G938" s="66"/>
      <c r="H938"/>
      <c r="J938" s="16">
        <v>390763823973</v>
      </c>
      <c r="K938" s="16">
        <v>8051918877</v>
      </c>
      <c r="L938" s="4" t="s">
        <v>30</v>
      </c>
    </row>
    <row r="939" spans="2:14" x14ac:dyDescent="0.25">
      <c r="B939" s="3">
        <v>43963</v>
      </c>
      <c r="C939" s="11">
        <v>2947</v>
      </c>
      <c r="E939" s="17" t="s">
        <v>910</v>
      </c>
      <c r="F939" s="17"/>
      <c r="G939" s="66"/>
      <c r="H939"/>
      <c r="J939" s="16">
        <v>774012107631</v>
      </c>
      <c r="K939" s="16">
        <v>9570056424</v>
      </c>
      <c r="L939" s="4" t="s">
        <v>30</v>
      </c>
    </row>
    <row r="940" spans="2:14" x14ac:dyDescent="0.25">
      <c r="B940" s="3">
        <v>43963</v>
      </c>
      <c r="C940" s="11">
        <v>2948</v>
      </c>
      <c r="E940" s="17" t="s">
        <v>911</v>
      </c>
      <c r="F940" s="17"/>
      <c r="G940" s="66"/>
      <c r="H940"/>
      <c r="J940" s="16">
        <v>433772579582</v>
      </c>
      <c r="K940" s="16">
        <v>8210190928</v>
      </c>
    </row>
    <row r="941" spans="2:14" x14ac:dyDescent="0.25">
      <c r="B941" s="3">
        <v>43963</v>
      </c>
      <c r="C941" s="11">
        <v>2950</v>
      </c>
      <c r="E941" s="17" t="s">
        <v>912</v>
      </c>
      <c r="F941" s="17"/>
      <c r="G941" s="66"/>
      <c r="H941"/>
      <c r="J941" s="16">
        <v>947712573686</v>
      </c>
      <c r="K941" s="16">
        <v>9162997465</v>
      </c>
    </row>
    <row r="942" spans="2:14" x14ac:dyDescent="0.25">
      <c r="B942" s="3">
        <v>43963</v>
      </c>
      <c r="C942" s="11">
        <v>2951</v>
      </c>
      <c r="E942" s="17" t="s">
        <v>913</v>
      </c>
      <c r="F942" s="17"/>
      <c r="G942" s="66"/>
      <c r="H942"/>
      <c r="J942" s="16">
        <v>579905069050</v>
      </c>
      <c r="K942" s="16">
        <v>7209899790</v>
      </c>
    </row>
    <row r="943" spans="2:14" x14ac:dyDescent="0.25">
      <c r="B943" s="3">
        <v>43963</v>
      </c>
      <c r="C943" s="11">
        <v>2953</v>
      </c>
      <c r="E943" s="17" t="s">
        <v>914</v>
      </c>
      <c r="F943" s="17"/>
      <c r="G943" s="66"/>
      <c r="H943"/>
      <c r="J943" s="16">
        <v>585358620643</v>
      </c>
      <c r="K943" s="16">
        <v>8210167037</v>
      </c>
      <c r="L943" s="4" t="s">
        <v>30</v>
      </c>
    </row>
    <row r="944" spans="2:14" x14ac:dyDescent="0.25">
      <c r="B944" s="3">
        <v>43963</v>
      </c>
      <c r="C944" s="11">
        <v>2955</v>
      </c>
      <c r="E944" s="17" t="s">
        <v>915</v>
      </c>
      <c r="F944" s="17"/>
      <c r="G944" s="66"/>
      <c r="H944"/>
      <c r="J944" s="16">
        <v>580455862767</v>
      </c>
      <c r="K944" s="16">
        <v>7463099523</v>
      </c>
    </row>
    <row r="945" spans="2:11" x14ac:dyDescent="0.25">
      <c r="B945" s="3">
        <v>43963</v>
      </c>
      <c r="C945" s="11">
        <v>2957</v>
      </c>
      <c r="E945" s="17" t="s">
        <v>916</v>
      </c>
      <c r="F945" s="17"/>
      <c r="G945" s="66"/>
      <c r="H945"/>
      <c r="J945" s="16">
        <v>990736768365</v>
      </c>
      <c r="K945" s="16">
        <v>7488591935</v>
      </c>
    </row>
    <row r="946" spans="2:11" x14ac:dyDescent="0.25">
      <c r="B946" s="3">
        <v>43963</v>
      </c>
      <c r="C946" s="11">
        <v>2958</v>
      </c>
      <c r="E946" s="17" t="s">
        <v>917</v>
      </c>
      <c r="F946" s="17"/>
      <c r="G946" s="66"/>
      <c r="H946"/>
      <c r="J946" s="16">
        <v>659312654046</v>
      </c>
      <c r="K946" s="16">
        <v>8789815825</v>
      </c>
    </row>
    <row r="947" spans="2:11" x14ac:dyDescent="0.25">
      <c r="B947" s="3">
        <v>43963</v>
      </c>
      <c r="C947" s="11">
        <v>2959</v>
      </c>
      <c r="E947" s="17" t="s">
        <v>918</v>
      </c>
      <c r="F947" s="17"/>
      <c r="G947" s="66"/>
      <c r="H947"/>
      <c r="J947" s="16">
        <v>446280317047</v>
      </c>
      <c r="K947" s="16">
        <v>9472755464</v>
      </c>
    </row>
    <row r="948" spans="2:11" x14ac:dyDescent="0.25">
      <c r="B948" s="3">
        <v>43963</v>
      </c>
      <c r="C948" s="11">
        <v>2961</v>
      </c>
      <c r="E948" s="17" t="s">
        <v>919</v>
      </c>
      <c r="F948" s="17"/>
      <c r="G948" s="66"/>
      <c r="H948"/>
      <c r="J948" s="16">
        <v>361810069178</v>
      </c>
      <c r="K948" s="16">
        <v>6201735633</v>
      </c>
    </row>
    <row r="949" spans="2:11" x14ac:dyDescent="0.25">
      <c r="B949" s="3">
        <v>43963</v>
      </c>
      <c r="C949" s="11">
        <v>2962</v>
      </c>
      <c r="E949" s="17" t="s">
        <v>920</v>
      </c>
      <c r="F949" s="17"/>
      <c r="G949" s="66"/>
      <c r="H949"/>
      <c r="J949" s="16">
        <v>511533289934</v>
      </c>
      <c r="K949" s="16">
        <v>9204264708</v>
      </c>
    </row>
    <row r="950" spans="2:11" x14ac:dyDescent="0.25">
      <c r="B950" s="3">
        <v>43963</v>
      </c>
      <c r="C950" s="11">
        <v>2963</v>
      </c>
      <c r="E950" s="17" t="s">
        <v>921</v>
      </c>
      <c r="F950" s="17"/>
      <c r="G950" s="66"/>
      <c r="H950"/>
      <c r="J950" s="16">
        <v>416583061796</v>
      </c>
      <c r="K950" s="16">
        <v>9031133496</v>
      </c>
    </row>
    <row r="951" spans="2:11" x14ac:dyDescent="0.25">
      <c r="B951" s="3">
        <v>43963</v>
      </c>
      <c r="C951" s="11">
        <v>2966</v>
      </c>
      <c r="E951" s="17" t="s">
        <v>922</v>
      </c>
      <c r="F951" s="17"/>
      <c r="G951" s="66"/>
      <c r="H951"/>
      <c r="J951" s="16">
        <v>353359651643</v>
      </c>
      <c r="K951" s="16">
        <v>8674821484</v>
      </c>
    </row>
    <row r="952" spans="2:11" x14ac:dyDescent="0.25">
      <c r="B952" s="3">
        <v>43963</v>
      </c>
      <c r="C952" s="11">
        <v>2967</v>
      </c>
      <c r="E952" s="17" t="s">
        <v>923</v>
      </c>
      <c r="F952" s="17"/>
      <c r="G952" s="66"/>
      <c r="H952"/>
      <c r="J952" s="16">
        <v>714960717731</v>
      </c>
      <c r="K952" s="16">
        <v>7061636868</v>
      </c>
    </row>
    <row r="953" spans="2:11" x14ac:dyDescent="0.25">
      <c r="B953" s="3">
        <v>43963</v>
      </c>
      <c r="C953" s="11">
        <v>2969</v>
      </c>
      <c r="E953" s="17" t="s">
        <v>924</v>
      </c>
      <c r="F953" s="17"/>
      <c r="G953" s="66"/>
      <c r="H953"/>
      <c r="J953" s="16">
        <v>287912220403</v>
      </c>
      <c r="K953" s="16">
        <v>6201345936</v>
      </c>
    </row>
    <row r="954" spans="2:11" x14ac:dyDescent="0.25">
      <c r="B954" s="3">
        <v>43963</v>
      </c>
      <c r="C954" s="11">
        <v>2970</v>
      </c>
      <c r="E954" s="17" t="s">
        <v>925</v>
      </c>
      <c r="F954" s="17"/>
      <c r="G954" s="66"/>
      <c r="H954"/>
      <c r="J954" s="16">
        <v>483644924978</v>
      </c>
      <c r="K954" s="16">
        <v>9471515506</v>
      </c>
    </row>
    <row r="955" spans="2:11" x14ac:dyDescent="0.25">
      <c r="B955" s="3">
        <v>43963</v>
      </c>
      <c r="C955" s="11">
        <v>2972</v>
      </c>
      <c r="E955" s="17" t="s">
        <v>926</v>
      </c>
      <c r="F955" s="17"/>
      <c r="G955" s="66"/>
      <c r="H955"/>
      <c r="J955" s="16">
        <v>942640785687</v>
      </c>
      <c r="K955" s="16">
        <v>7488673506</v>
      </c>
    </row>
    <row r="956" spans="2:11" x14ac:dyDescent="0.25">
      <c r="B956" s="3">
        <v>43963</v>
      </c>
      <c r="C956" s="11">
        <v>2974</v>
      </c>
      <c r="E956" s="17" t="s">
        <v>927</v>
      </c>
      <c r="F956" s="17"/>
      <c r="G956" s="66"/>
      <c r="H956"/>
      <c r="J956" s="16">
        <v>613872402420</v>
      </c>
      <c r="K956" s="16">
        <v>6203779541</v>
      </c>
    </row>
    <row r="957" spans="2:11" x14ac:dyDescent="0.25">
      <c r="B957" s="3">
        <v>43963</v>
      </c>
      <c r="C957" s="11">
        <v>2975</v>
      </c>
      <c r="E957" s="17" t="s">
        <v>928</v>
      </c>
      <c r="F957" s="17"/>
      <c r="G957" s="66"/>
      <c r="H957"/>
      <c r="J957" s="16">
        <v>217142073880</v>
      </c>
      <c r="K957" s="16">
        <v>9155204739</v>
      </c>
    </row>
    <row r="958" spans="2:11" x14ac:dyDescent="0.25">
      <c r="B958" s="3">
        <v>43963</v>
      </c>
      <c r="C958" s="11">
        <v>2976</v>
      </c>
      <c r="E958" s="17" t="s">
        <v>929</v>
      </c>
      <c r="F958" s="17"/>
      <c r="G958" s="66"/>
      <c r="H958"/>
      <c r="J958" s="16">
        <v>560269122017</v>
      </c>
      <c r="K958" s="16">
        <v>8581085825</v>
      </c>
    </row>
    <row r="959" spans="2:11" x14ac:dyDescent="0.25">
      <c r="B959" s="3">
        <v>43963</v>
      </c>
      <c r="C959" s="11">
        <v>2978</v>
      </c>
      <c r="E959" s="17" t="s">
        <v>930</v>
      </c>
      <c r="F959" s="17"/>
      <c r="G959" s="66"/>
      <c r="H959"/>
      <c r="J959" s="16">
        <v>521630773961</v>
      </c>
      <c r="K959" s="16">
        <v>7250492565</v>
      </c>
    </row>
    <row r="960" spans="2:11" x14ac:dyDescent="0.25">
      <c r="B960" s="3">
        <v>43963</v>
      </c>
      <c r="C960" s="11">
        <v>2979</v>
      </c>
      <c r="E960" s="17" t="s">
        <v>931</v>
      </c>
      <c r="F960" s="17"/>
      <c r="G960" s="66"/>
      <c r="H960"/>
      <c r="J960" s="16">
        <v>584858780761</v>
      </c>
      <c r="K960" s="16">
        <v>6207331808</v>
      </c>
    </row>
    <row r="961" spans="2:11" x14ac:dyDescent="0.25">
      <c r="B961" s="3">
        <v>43963</v>
      </c>
      <c r="C961" s="11">
        <v>2980</v>
      </c>
      <c r="E961" s="17" t="s">
        <v>932</v>
      </c>
      <c r="F961" s="17"/>
      <c r="G961" s="66"/>
      <c r="H961"/>
      <c r="J961" s="16">
        <v>711572543848</v>
      </c>
      <c r="K961" s="16">
        <v>8797065348</v>
      </c>
    </row>
    <row r="962" spans="2:11" x14ac:dyDescent="0.25">
      <c r="B962" s="3">
        <v>43963</v>
      </c>
      <c r="C962" s="11">
        <v>2981</v>
      </c>
      <c r="E962" s="17" t="s">
        <v>933</v>
      </c>
      <c r="F962" s="17"/>
      <c r="G962" s="66"/>
      <c r="H962"/>
      <c r="J962" s="16">
        <v>781531079002</v>
      </c>
      <c r="K962" s="16">
        <v>8235227932</v>
      </c>
    </row>
    <row r="963" spans="2:11" x14ac:dyDescent="0.25">
      <c r="B963" s="3">
        <v>43963</v>
      </c>
      <c r="C963" s="11">
        <v>2982</v>
      </c>
      <c r="E963" s="17" t="s">
        <v>392</v>
      </c>
      <c r="F963" s="17"/>
      <c r="G963" s="66"/>
      <c r="H963"/>
      <c r="J963" s="16">
        <v>779982146886</v>
      </c>
      <c r="K963" s="16">
        <v>8789978115</v>
      </c>
    </row>
    <row r="964" spans="2:11" x14ac:dyDescent="0.25">
      <c r="B964" s="3">
        <v>43963</v>
      </c>
      <c r="C964" s="11">
        <v>2984</v>
      </c>
      <c r="E964" s="17" t="s">
        <v>934</v>
      </c>
      <c r="F964" s="17"/>
      <c r="G964" s="66"/>
      <c r="H964"/>
      <c r="J964" s="16">
        <v>930916603981</v>
      </c>
      <c r="K964" s="16">
        <v>8797341152</v>
      </c>
    </row>
    <row r="965" spans="2:11" x14ac:dyDescent="0.25">
      <c r="B965" s="3">
        <v>43963</v>
      </c>
      <c r="C965" s="11">
        <v>2987</v>
      </c>
      <c r="E965" s="17" t="s">
        <v>935</v>
      </c>
      <c r="F965" s="17"/>
      <c r="G965" s="66"/>
      <c r="H965"/>
      <c r="J965" s="16">
        <v>363666183930</v>
      </c>
      <c r="K965" s="16">
        <v>7295882334</v>
      </c>
    </row>
    <row r="966" spans="2:11" x14ac:dyDescent="0.25">
      <c r="B966" s="3">
        <v>43963</v>
      </c>
      <c r="C966" s="11">
        <v>2989</v>
      </c>
      <c r="E966" s="17" t="s">
        <v>936</v>
      </c>
      <c r="F966" s="17"/>
      <c r="G966" s="66"/>
      <c r="H966"/>
      <c r="J966" s="16">
        <v>575172173152</v>
      </c>
      <c r="K966" s="16">
        <v>9386653081</v>
      </c>
    </row>
    <row r="967" spans="2:11" x14ac:dyDescent="0.25">
      <c r="B967" s="3">
        <v>43963</v>
      </c>
      <c r="C967" s="11">
        <v>2990</v>
      </c>
      <c r="E967" s="17" t="s">
        <v>937</v>
      </c>
      <c r="F967" s="17"/>
      <c r="G967" s="66"/>
      <c r="H967"/>
      <c r="J967" s="16">
        <v>430315740514</v>
      </c>
      <c r="K967" s="16">
        <v>8969421774</v>
      </c>
    </row>
    <row r="968" spans="2:11" x14ac:dyDescent="0.25">
      <c r="B968" s="3">
        <v>43963</v>
      </c>
      <c r="C968" s="11">
        <v>2991</v>
      </c>
      <c r="E968" s="17" t="s">
        <v>938</v>
      </c>
      <c r="F968" s="17"/>
      <c r="G968" s="66"/>
      <c r="H968"/>
      <c r="J968" s="16">
        <v>583123015311</v>
      </c>
      <c r="K968" s="16">
        <v>7061008545</v>
      </c>
    </row>
    <row r="969" spans="2:11" x14ac:dyDescent="0.25">
      <c r="B969" s="3">
        <v>43963</v>
      </c>
      <c r="C969" s="11">
        <v>2993</v>
      </c>
      <c r="E969" s="17" t="s">
        <v>939</v>
      </c>
      <c r="F969" s="17"/>
      <c r="G969" s="66"/>
      <c r="H969"/>
      <c r="J969" s="16">
        <v>556523015311</v>
      </c>
      <c r="K969" s="16">
        <v>8578058402</v>
      </c>
    </row>
    <row r="970" spans="2:11" x14ac:dyDescent="0.25">
      <c r="B970" s="3">
        <v>43963</v>
      </c>
      <c r="C970" s="11">
        <v>2994</v>
      </c>
      <c r="E970" s="17" t="s">
        <v>231</v>
      </c>
      <c r="F970" s="17"/>
      <c r="G970" s="66"/>
      <c r="H970"/>
      <c r="J970" s="16">
        <v>967160699911</v>
      </c>
      <c r="K970" s="16">
        <v>9934125136</v>
      </c>
    </row>
    <row r="971" spans="2:11" x14ac:dyDescent="0.25">
      <c r="B971" s="3">
        <v>43963</v>
      </c>
      <c r="C971" s="11">
        <v>2996</v>
      </c>
      <c r="E971" s="17" t="s">
        <v>940</v>
      </c>
      <c r="F971" s="17"/>
      <c r="G971" s="66"/>
      <c r="H971"/>
      <c r="J971" s="16">
        <v>662999780201</v>
      </c>
      <c r="K971" s="16">
        <v>6201809342</v>
      </c>
    </row>
    <row r="972" spans="2:11" x14ac:dyDescent="0.25">
      <c r="B972" s="3">
        <v>43963</v>
      </c>
      <c r="C972" s="11">
        <v>2998</v>
      </c>
      <c r="E972" s="17" t="s">
        <v>941</v>
      </c>
      <c r="F972" s="17"/>
      <c r="G972" s="66"/>
      <c r="H972"/>
      <c r="J972" s="16">
        <v>333470222700</v>
      </c>
      <c r="K972" s="16">
        <v>6204079728</v>
      </c>
    </row>
    <row r="973" spans="2:11" x14ac:dyDescent="0.25">
      <c r="B973" s="3">
        <v>43963</v>
      </c>
      <c r="C973" s="11">
        <v>2999</v>
      </c>
      <c r="E973" s="17" t="s">
        <v>942</v>
      </c>
      <c r="F973" s="17"/>
      <c r="G973" s="66"/>
      <c r="H973"/>
      <c r="J973" s="16">
        <v>384969999597</v>
      </c>
      <c r="K973" s="16">
        <v>7209668713</v>
      </c>
    </row>
    <row r="974" spans="2:11" x14ac:dyDescent="0.25">
      <c r="B974" s="3">
        <v>43963</v>
      </c>
      <c r="C974" s="11">
        <v>3000</v>
      </c>
      <c r="E974" s="17" t="s">
        <v>229</v>
      </c>
      <c r="F974" s="17"/>
      <c r="G974" s="66"/>
      <c r="H974"/>
      <c r="J974" s="16">
        <v>983114583030</v>
      </c>
      <c r="K974" s="16">
        <v>7549749288</v>
      </c>
    </row>
    <row r="975" spans="2:11" x14ac:dyDescent="0.25">
      <c r="B975" s="3">
        <v>43963</v>
      </c>
      <c r="C975" s="11">
        <v>3001</v>
      </c>
      <c r="E975" s="17" t="s">
        <v>943</v>
      </c>
      <c r="F975" s="17"/>
      <c r="G975" s="66"/>
      <c r="H975"/>
      <c r="J975" s="16">
        <v>279953454192</v>
      </c>
      <c r="K975" s="16">
        <v>7903618722</v>
      </c>
    </row>
    <row r="976" spans="2:11" x14ac:dyDescent="0.25">
      <c r="B976" s="3">
        <v>43963</v>
      </c>
      <c r="C976" s="11">
        <v>3002</v>
      </c>
      <c r="E976" s="17" t="s">
        <v>944</v>
      </c>
      <c r="F976" s="17"/>
      <c r="G976" s="66"/>
      <c r="H976"/>
      <c r="J976" s="16">
        <v>831059934123</v>
      </c>
      <c r="K976" s="16">
        <v>9031735317</v>
      </c>
    </row>
    <row r="977" spans="2:12" x14ac:dyDescent="0.25">
      <c r="B977" s="3">
        <v>43963</v>
      </c>
      <c r="C977" s="11">
        <v>3003</v>
      </c>
      <c r="E977" s="17" t="s">
        <v>945</v>
      </c>
      <c r="F977" s="17"/>
      <c r="G977" s="66"/>
      <c r="H977"/>
      <c r="J977" s="16">
        <v>575544518600</v>
      </c>
      <c r="K977" s="16">
        <v>7061047109</v>
      </c>
    </row>
    <row r="978" spans="2:12" x14ac:dyDescent="0.25">
      <c r="B978" s="3">
        <v>43963</v>
      </c>
      <c r="C978" s="11">
        <v>3004</v>
      </c>
      <c r="E978" s="17" t="s">
        <v>946</v>
      </c>
      <c r="F978" s="17"/>
      <c r="G978" s="66"/>
      <c r="H978"/>
      <c r="J978" s="16">
        <v>424998706262</v>
      </c>
      <c r="K978" s="16">
        <v>7765918061</v>
      </c>
    </row>
    <row r="979" spans="2:12" x14ac:dyDescent="0.25">
      <c r="B979" s="3">
        <v>43963</v>
      </c>
      <c r="C979" s="11">
        <v>3005</v>
      </c>
      <c r="E979" s="17" t="s">
        <v>947</v>
      </c>
      <c r="F979" s="17"/>
      <c r="G979" s="66"/>
      <c r="H979"/>
      <c r="J979" s="16">
        <v>527028900961</v>
      </c>
      <c r="K979" s="16">
        <v>9631271719</v>
      </c>
    </row>
    <row r="980" spans="2:12" x14ac:dyDescent="0.25">
      <c r="B980" s="3">
        <v>43963</v>
      </c>
      <c r="C980" s="11">
        <v>3006</v>
      </c>
      <c r="E980" s="17" t="s">
        <v>948</v>
      </c>
      <c r="F980" s="17"/>
      <c r="G980" s="66"/>
      <c r="H980"/>
      <c r="J980" s="16">
        <v>472075958416</v>
      </c>
      <c r="K980" s="16">
        <v>7903293845</v>
      </c>
    </row>
    <row r="981" spans="2:12" x14ac:dyDescent="0.25">
      <c r="B981" s="3">
        <v>43963</v>
      </c>
      <c r="C981" s="11">
        <v>3007</v>
      </c>
      <c r="E981" s="17" t="s">
        <v>949</v>
      </c>
      <c r="F981" s="17"/>
      <c r="G981" s="66"/>
      <c r="H981"/>
      <c r="J981" s="16">
        <v>811056593027</v>
      </c>
      <c r="K981" s="16">
        <v>8271323378</v>
      </c>
    </row>
    <row r="982" spans="2:12" x14ac:dyDescent="0.25">
      <c r="B982" s="3">
        <v>43963</v>
      </c>
      <c r="C982" s="11">
        <v>3008</v>
      </c>
      <c r="E982" s="17" t="s">
        <v>950</v>
      </c>
      <c r="F982" s="22"/>
      <c r="G982" s="18">
        <v>33222</v>
      </c>
      <c r="H982" t="s">
        <v>1301</v>
      </c>
      <c r="I982" s="4">
        <v>200</v>
      </c>
      <c r="J982" s="16">
        <v>558126232270</v>
      </c>
      <c r="K982" s="16">
        <v>8340180863</v>
      </c>
    </row>
    <row r="983" spans="2:12" x14ac:dyDescent="0.25">
      <c r="B983" s="3">
        <v>43963</v>
      </c>
      <c r="C983" s="11">
        <v>3010</v>
      </c>
      <c r="E983" s="17" t="s">
        <v>951</v>
      </c>
      <c r="F983" s="17"/>
      <c r="G983" s="66"/>
      <c r="H983"/>
      <c r="J983" s="16">
        <v>988966142203</v>
      </c>
      <c r="K983" s="16">
        <v>8252410391</v>
      </c>
    </row>
    <row r="984" spans="2:12" x14ac:dyDescent="0.25">
      <c r="B984" s="3">
        <v>43963</v>
      </c>
      <c r="C984" s="11">
        <v>3011</v>
      </c>
      <c r="E984" s="17" t="s">
        <v>952</v>
      </c>
      <c r="F984" s="17"/>
      <c r="G984" s="18"/>
      <c r="H984"/>
      <c r="J984" s="16">
        <v>975089695701</v>
      </c>
      <c r="K984" s="16">
        <v>6207930320</v>
      </c>
    </row>
    <row r="985" spans="2:12" x14ac:dyDescent="0.25">
      <c r="B985" s="3">
        <v>43963</v>
      </c>
      <c r="C985" s="11">
        <v>3014</v>
      </c>
      <c r="E985" s="17" t="s">
        <v>1376</v>
      </c>
      <c r="F985" s="17"/>
      <c r="G985" s="18">
        <v>33258</v>
      </c>
      <c r="H985" t="s">
        <v>1377</v>
      </c>
      <c r="I985" s="4">
        <v>100</v>
      </c>
      <c r="J985" s="16">
        <v>309477567947</v>
      </c>
      <c r="K985" s="16">
        <v>9939434321</v>
      </c>
      <c r="L985" s="4" t="s">
        <v>30</v>
      </c>
    </row>
    <row r="986" spans="2:12" x14ac:dyDescent="0.25">
      <c r="B986" s="3">
        <v>43964</v>
      </c>
      <c r="C986" s="11">
        <v>3024</v>
      </c>
      <c r="E986" s="17" t="s">
        <v>953</v>
      </c>
      <c r="F986" s="17"/>
      <c r="G986" s="18">
        <v>30326</v>
      </c>
      <c r="H986" t="s">
        <v>1392</v>
      </c>
      <c r="I986" s="4">
        <v>100</v>
      </c>
      <c r="J986" s="16">
        <v>380024903424</v>
      </c>
      <c r="K986" s="16">
        <v>8092027907</v>
      </c>
    </row>
    <row r="987" spans="2:12" x14ac:dyDescent="0.25">
      <c r="B987" s="3">
        <v>43964</v>
      </c>
      <c r="C987" s="11">
        <v>3025</v>
      </c>
      <c r="E987" s="17" t="s">
        <v>954</v>
      </c>
      <c r="F987" s="17"/>
      <c r="G987" s="18"/>
      <c r="H987"/>
      <c r="J987" s="16">
        <v>840334979044</v>
      </c>
      <c r="K987" s="16">
        <v>9693795817</v>
      </c>
    </row>
    <row r="988" spans="2:12" x14ac:dyDescent="0.25">
      <c r="B988" s="3">
        <v>43964</v>
      </c>
      <c r="C988" s="11">
        <v>3026</v>
      </c>
      <c r="E988" s="17" t="s">
        <v>955</v>
      </c>
      <c r="F988" s="17"/>
      <c r="G988" s="18"/>
      <c r="H988"/>
      <c r="J988" s="16">
        <v>551057840784</v>
      </c>
      <c r="K988" s="16">
        <v>8092639416</v>
      </c>
    </row>
    <row r="989" spans="2:12" x14ac:dyDescent="0.25">
      <c r="B989" s="3">
        <v>43964</v>
      </c>
      <c r="C989" s="11">
        <v>3027</v>
      </c>
      <c r="E989" s="17" t="s">
        <v>956</v>
      </c>
      <c r="F989" s="17"/>
      <c r="G989" s="18"/>
      <c r="H989"/>
      <c r="J989" s="16">
        <v>879395410848</v>
      </c>
      <c r="K989" s="16">
        <v>9031602524</v>
      </c>
      <c r="L989" s="4" t="s">
        <v>30</v>
      </c>
    </row>
    <row r="990" spans="2:12" x14ac:dyDescent="0.25">
      <c r="B990" s="3">
        <v>43964</v>
      </c>
      <c r="C990" s="11">
        <v>3028</v>
      </c>
      <c r="E990" s="17" t="s">
        <v>957</v>
      </c>
      <c r="F990" s="17"/>
      <c r="G990" s="18"/>
      <c r="H990"/>
      <c r="J990" s="16">
        <v>704266906169</v>
      </c>
      <c r="K990" s="16">
        <v>7209735049</v>
      </c>
    </row>
    <row r="991" spans="2:12" x14ac:dyDescent="0.25">
      <c r="B991" s="3">
        <v>43964</v>
      </c>
      <c r="C991" s="47">
        <v>3029</v>
      </c>
      <c r="E991" s="17" t="s">
        <v>958</v>
      </c>
      <c r="F991" s="17"/>
      <c r="G991" s="18"/>
      <c r="H991"/>
      <c r="J991" s="16">
        <v>732852874349</v>
      </c>
      <c r="K991" s="16">
        <v>6202569297</v>
      </c>
      <c r="L991" s="3">
        <v>44063</v>
      </c>
    </row>
    <row r="992" spans="2:12" x14ac:dyDescent="0.25">
      <c r="B992" s="3">
        <v>43964</v>
      </c>
      <c r="C992" s="11">
        <v>3030</v>
      </c>
      <c r="E992" s="17" t="s">
        <v>959</v>
      </c>
      <c r="F992" s="17"/>
      <c r="G992" s="18"/>
      <c r="H992"/>
      <c r="J992" s="16">
        <v>201898568553</v>
      </c>
      <c r="K992" s="16">
        <v>7667860895</v>
      </c>
      <c r="L992" s="4" t="s">
        <v>30</v>
      </c>
    </row>
    <row r="993" spans="2:11" x14ac:dyDescent="0.25">
      <c r="B993" s="3">
        <v>43964</v>
      </c>
      <c r="C993" s="11">
        <v>3031</v>
      </c>
      <c r="E993" s="17" t="s">
        <v>960</v>
      </c>
      <c r="F993" s="17"/>
      <c r="G993" s="18"/>
      <c r="H993"/>
      <c r="J993" s="16">
        <v>700156944635</v>
      </c>
      <c r="K993" s="16">
        <v>8340517616</v>
      </c>
    </row>
    <row r="994" spans="2:11" x14ac:dyDescent="0.25">
      <c r="B994" s="3">
        <v>43964</v>
      </c>
      <c r="C994" s="11">
        <v>3033</v>
      </c>
      <c r="E994" s="17" t="s">
        <v>961</v>
      </c>
      <c r="F994" s="17"/>
      <c r="G994" s="18"/>
      <c r="H994"/>
      <c r="J994" s="16">
        <v>606136287788</v>
      </c>
      <c r="K994" s="16">
        <v>7488212028</v>
      </c>
    </row>
    <row r="995" spans="2:11" x14ac:dyDescent="0.25">
      <c r="B995" s="3">
        <v>43964</v>
      </c>
      <c r="C995" s="11">
        <v>3034</v>
      </c>
      <c r="E995" s="17" t="s">
        <v>962</v>
      </c>
      <c r="F995" s="17"/>
      <c r="G995" s="18"/>
      <c r="H995"/>
      <c r="J995" s="16">
        <v>733913725589</v>
      </c>
      <c r="K995" s="16">
        <v>9234772448</v>
      </c>
    </row>
    <row r="996" spans="2:11" x14ac:dyDescent="0.25">
      <c r="B996" s="3">
        <v>43964</v>
      </c>
      <c r="C996" s="11">
        <v>3036</v>
      </c>
      <c r="E996" s="17" t="s">
        <v>963</v>
      </c>
      <c r="F996" s="17"/>
      <c r="G996" s="66"/>
      <c r="H996"/>
      <c r="J996" s="16">
        <v>994707628360</v>
      </c>
      <c r="K996" s="16">
        <v>8987429657</v>
      </c>
    </row>
    <row r="997" spans="2:11" x14ac:dyDescent="0.25">
      <c r="B997" s="3">
        <v>43964</v>
      </c>
      <c r="C997" s="11">
        <v>3037</v>
      </c>
      <c r="E997" s="17" t="s">
        <v>964</v>
      </c>
      <c r="F997" s="17"/>
      <c r="G997" s="66"/>
      <c r="H997"/>
      <c r="J997" s="16">
        <v>245761015584</v>
      </c>
      <c r="K997" s="16">
        <v>9031140852</v>
      </c>
    </row>
    <row r="998" spans="2:11" x14ac:dyDescent="0.25">
      <c r="B998" s="3">
        <v>43964</v>
      </c>
      <c r="C998" s="11">
        <v>3039</v>
      </c>
      <c r="E998" s="17" t="s">
        <v>965</v>
      </c>
      <c r="F998" s="17"/>
      <c r="G998" s="66"/>
      <c r="H998"/>
      <c r="J998" s="16">
        <v>424084391958</v>
      </c>
      <c r="K998" s="16">
        <v>9973356259</v>
      </c>
    </row>
    <row r="999" spans="2:11" x14ac:dyDescent="0.25">
      <c r="B999" s="3">
        <v>43964</v>
      </c>
      <c r="C999" s="11">
        <v>3041</v>
      </c>
      <c r="E999" s="17" t="s">
        <v>966</v>
      </c>
      <c r="F999" s="17"/>
      <c r="G999" s="66"/>
      <c r="H999"/>
      <c r="J999" s="16">
        <v>970671396521</v>
      </c>
      <c r="K999" s="16">
        <v>6203286883</v>
      </c>
    </row>
    <row r="1000" spans="2:11" x14ac:dyDescent="0.25">
      <c r="B1000" s="3">
        <v>43964</v>
      </c>
      <c r="C1000" s="11">
        <v>3043</v>
      </c>
      <c r="E1000" s="17" t="s">
        <v>967</v>
      </c>
      <c r="F1000" s="17"/>
      <c r="G1000" s="66"/>
      <c r="H1000"/>
      <c r="J1000" s="16">
        <v>954650400244</v>
      </c>
      <c r="K1000" s="16">
        <v>8797603343</v>
      </c>
    </row>
    <row r="1001" spans="2:11" x14ac:dyDescent="0.25">
      <c r="B1001" s="3">
        <v>43964</v>
      </c>
      <c r="C1001" s="11">
        <v>3044</v>
      </c>
      <c r="E1001" s="17" t="s">
        <v>968</v>
      </c>
      <c r="F1001" s="17"/>
      <c r="G1001" s="66"/>
      <c r="H1001"/>
      <c r="J1001" s="16">
        <v>827783414461</v>
      </c>
      <c r="K1001" s="16">
        <v>9771913820</v>
      </c>
    </row>
    <row r="1002" spans="2:11" x14ac:dyDescent="0.25">
      <c r="B1002" s="3">
        <v>43964</v>
      </c>
      <c r="C1002" s="11">
        <v>3045</v>
      </c>
      <c r="E1002" s="17" t="s">
        <v>969</v>
      </c>
      <c r="F1002" s="17"/>
      <c r="G1002" s="66"/>
      <c r="H1002"/>
      <c r="J1002" s="16">
        <v>890102852291</v>
      </c>
      <c r="K1002" s="16">
        <v>7992391115</v>
      </c>
    </row>
    <row r="1003" spans="2:11" x14ac:dyDescent="0.25">
      <c r="B1003" s="3">
        <v>43964</v>
      </c>
      <c r="C1003" s="11">
        <v>3046</v>
      </c>
      <c r="E1003" s="17" t="s">
        <v>970</v>
      </c>
      <c r="F1003" s="17"/>
      <c r="G1003" s="66"/>
      <c r="H1003"/>
      <c r="J1003" s="16">
        <v>757446545399</v>
      </c>
      <c r="K1003" s="16">
        <v>9693178713</v>
      </c>
    </row>
    <row r="1004" spans="2:11" x14ac:dyDescent="0.25">
      <c r="B1004" s="3">
        <v>43964</v>
      </c>
      <c r="C1004" s="11">
        <v>3047</v>
      </c>
      <c r="E1004" s="17" t="s">
        <v>971</v>
      </c>
      <c r="F1004" s="17"/>
      <c r="G1004" s="66"/>
      <c r="H1004"/>
      <c r="J1004" s="16">
        <v>566293374407</v>
      </c>
      <c r="K1004" s="16">
        <v>7488443758</v>
      </c>
    </row>
    <row r="1005" spans="2:11" x14ac:dyDescent="0.25">
      <c r="B1005" s="3">
        <v>43964</v>
      </c>
      <c r="C1005" s="11">
        <v>3049</v>
      </c>
      <c r="E1005" s="17" t="s">
        <v>972</v>
      </c>
      <c r="F1005" s="17"/>
      <c r="G1005" s="66"/>
      <c r="H1005"/>
      <c r="J1005" s="16">
        <v>249323271942</v>
      </c>
      <c r="K1005" s="16">
        <v>9939247670</v>
      </c>
    </row>
    <row r="1006" spans="2:11" x14ac:dyDescent="0.25">
      <c r="B1006" s="3">
        <v>43964</v>
      </c>
      <c r="C1006" s="11">
        <v>3050</v>
      </c>
      <c r="E1006" s="17" t="s">
        <v>973</v>
      </c>
      <c r="F1006" s="17"/>
      <c r="G1006" s="66"/>
      <c r="H1006"/>
      <c r="J1006" s="16">
        <v>369553313658</v>
      </c>
      <c r="K1006" s="16">
        <v>7488487278</v>
      </c>
    </row>
    <row r="1007" spans="2:11" x14ac:dyDescent="0.25">
      <c r="B1007" s="3">
        <v>43964</v>
      </c>
      <c r="C1007" s="11">
        <v>3051</v>
      </c>
      <c r="E1007" s="17" t="s">
        <v>974</v>
      </c>
      <c r="F1007" s="17"/>
      <c r="G1007" s="66"/>
      <c r="H1007"/>
      <c r="J1007" s="16">
        <v>810573124309</v>
      </c>
      <c r="K1007" s="16">
        <v>8651446849</v>
      </c>
    </row>
    <row r="1008" spans="2:11" x14ac:dyDescent="0.25">
      <c r="B1008" s="3">
        <v>43964</v>
      </c>
      <c r="C1008" s="11">
        <v>3053</v>
      </c>
      <c r="E1008" s="17" t="s">
        <v>585</v>
      </c>
      <c r="F1008" s="17"/>
      <c r="G1008" s="66"/>
      <c r="H1008"/>
      <c r="J1008" s="16">
        <v>821237942422</v>
      </c>
      <c r="K1008" s="16">
        <v>6201248988</v>
      </c>
    </row>
    <row r="1009" spans="2:11" x14ac:dyDescent="0.25">
      <c r="B1009" s="3">
        <v>43964</v>
      </c>
      <c r="C1009" s="11">
        <v>3055</v>
      </c>
      <c r="E1009" s="17" t="s">
        <v>975</v>
      </c>
      <c r="F1009" s="17"/>
      <c r="G1009" s="66"/>
      <c r="H1009"/>
      <c r="J1009" s="16">
        <v>827783414461</v>
      </c>
      <c r="K1009" s="16">
        <v>916294449</v>
      </c>
    </row>
    <row r="1010" spans="2:11" x14ac:dyDescent="0.25">
      <c r="B1010" s="3">
        <v>43964</v>
      </c>
      <c r="C1010" s="11">
        <v>3058</v>
      </c>
      <c r="E1010" s="17" t="s">
        <v>976</v>
      </c>
      <c r="F1010" s="17"/>
      <c r="G1010" s="66"/>
      <c r="H1010"/>
      <c r="J1010" s="16">
        <v>225638785252</v>
      </c>
      <c r="K1010" s="16">
        <v>7991138559</v>
      </c>
    </row>
    <row r="1011" spans="2:11" x14ac:dyDescent="0.25">
      <c r="B1011" s="3">
        <v>43964</v>
      </c>
      <c r="C1011" s="11">
        <v>3060</v>
      </c>
      <c r="E1011" s="17" t="s">
        <v>977</v>
      </c>
      <c r="F1011" s="17"/>
      <c r="G1011" s="66"/>
      <c r="H1011"/>
      <c r="J1011" s="16">
        <v>801995998903</v>
      </c>
      <c r="K1011" s="16">
        <v>7004600733</v>
      </c>
    </row>
    <row r="1012" spans="2:11" x14ac:dyDescent="0.25">
      <c r="B1012" s="3">
        <v>43964</v>
      </c>
      <c r="C1012" s="11">
        <v>3062</v>
      </c>
      <c r="E1012" s="17" t="s">
        <v>6</v>
      </c>
      <c r="F1012" s="17"/>
      <c r="G1012" s="66"/>
      <c r="H1012"/>
      <c r="J1012" s="16">
        <v>982745604278</v>
      </c>
      <c r="K1012" s="16">
        <v>9234879199</v>
      </c>
    </row>
    <row r="1013" spans="2:11" x14ac:dyDescent="0.25">
      <c r="B1013" s="3">
        <v>43964</v>
      </c>
      <c r="C1013" s="11">
        <v>3063</v>
      </c>
      <c r="E1013" s="17" t="s">
        <v>978</v>
      </c>
      <c r="F1013" s="17"/>
      <c r="G1013" s="66"/>
      <c r="H1013"/>
      <c r="J1013" s="16">
        <v>915142838865</v>
      </c>
      <c r="K1013" s="16">
        <v>6287831944</v>
      </c>
    </row>
    <row r="1014" spans="2:11" x14ac:dyDescent="0.25">
      <c r="B1014" s="3">
        <v>43964</v>
      </c>
      <c r="C1014" s="11">
        <v>3067</v>
      </c>
      <c r="E1014" s="17" t="s">
        <v>979</v>
      </c>
      <c r="F1014" s="17"/>
      <c r="G1014" s="66"/>
      <c r="H1014"/>
      <c r="J1014" s="16">
        <v>931030213905</v>
      </c>
      <c r="K1014" s="16"/>
    </row>
    <row r="1015" spans="2:11" x14ac:dyDescent="0.25">
      <c r="B1015" s="3">
        <v>43964</v>
      </c>
      <c r="C1015" s="11">
        <v>3068</v>
      </c>
      <c r="E1015" s="17" t="s">
        <v>980</v>
      </c>
      <c r="F1015" s="17"/>
      <c r="G1015" s="66"/>
      <c r="H1015"/>
      <c r="J1015" s="16">
        <v>387449075012</v>
      </c>
      <c r="K1015" s="16">
        <v>9204120705</v>
      </c>
    </row>
    <row r="1016" spans="2:11" x14ac:dyDescent="0.25">
      <c r="B1016" s="3">
        <v>43964</v>
      </c>
      <c r="C1016" s="11">
        <v>3069</v>
      </c>
      <c r="E1016" s="17" t="s">
        <v>855</v>
      </c>
      <c r="F1016" s="17"/>
      <c r="G1016" s="66"/>
      <c r="H1016"/>
      <c r="J1016" s="16">
        <v>668435837316</v>
      </c>
      <c r="K1016" s="16">
        <v>8092773567</v>
      </c>
    </row>
    <row r="1017" spans="2:11" x14ac:dyDescent="0.25">
      <c r="B1017" s="3">
        <v>43964</v>
      </c>
      <c r="C1017" s="11">
        <v>3070</v>
      </c>
      <c r="E1017" s="17" t="s">
        <v>981</v>
      </c>
      <c r="F1017" s="17"/>
      <c r="G1017" s="66"/>
      <c r="H1017"/>
      <c r="J1017" s="16">
        <v>348589041029</v>
      </c>
      <c r="K1017" s="16">
        <v>7488032608</v>
      </c>
    </row>
    <row r="1018" spans="2:11" x14ac:dyDescent="0.25">
      <c r="B1018" s="3">
        <v>43964</v>
      </c>
      <c r="C1018" s="11">
        <v>3072</v>
      </c>
      <c r="E1018" s="17" t="s">
        <v>982</v>
      </c>
      <c r="F1018" s="17"/>
      <c r="G1018" s="66"/>
      <c r="H1018"/>
      <c r="J1018" s="16">
        <v>845575439923</v>
      </c>
      <c r="K1018" s="16">
        <v>7004081988</v>
      </c>
    </row>
    <row r="1019" spans="2:11" x14ac:dyDescent="0.25">
      <c r="B1019" s="3">
        <v>43964</v>
      </c>
      <c r="C1019" s="11">
        <v>3073</v>
      </c>
      <c r="E1019" s="17" t="s">
        <v>983</v>
      </c>
      <c r="F1019" s="17"/>
      <c r="G1019" s="66"/>
      <c r="H1019"/>
      <c r="J1019" s="16">
        <v>673791053834</v>
      </c>
      <c r="K1019" s="16">
        <v>9234705547</v>
      </c>
    </row>
    <row r="1020" spans="2:11" x14ac:dyDescent="0.25">
      <c r="B1020" s="3">
        <v>43964</v>
      </c>
      <c r="C1020" s="11">
        <v>3075</v>
      </c>
      <c r="E1020" s="17" t="s">
        <v>984</v>
      </c>
      <c r="F1020" s="17"/>
      <c r="G1020" s="66"/>
      <c r="H1020"/>
      <c r="J1020" s="16">
        <v>775218031797</v>
      </c>
      <c r="K1020" s="16">
        <v>8797852850</v>
      </c>
    </row>
    <row r="1021" spans="2:11" x14ac:dyDescent="0.25">
      <c r="B1021" s="3">
        <v>43964</v>
      </c>
      <c r="C1021" s="11">
        <v>3077</v>
      </c>
      <c r="E1021" s="17" t="s">
        <v>619</v>
      </c>
      <c r="F1021" s="17"/>
      <c r="G1021" s="66"/>
      <c r="H1021"/>
      <c r="J1021" s="16">
        <v>954861238073</v>
      </c>
      <c r="K1021" s="16">
        <v>8987879258</v>
      </c>
    </row>
    <row r="1022" spans="2:11" x14ac:dyDescent="0.25">
      <c r="B1022" s="3">
        <v>43964</v>
      </c>
      <c r="C1022" s="11">
        <v>3079</v>
      </c>
      <c r="E1022" s="17" t="s">
        <v>985</v>
      </c>
      <c r="F1022" s="17"/>
      <c r="G1022" s="66"/>
      <c r="H1022"/>
      <c r="J1022" s="16">
        <v>757326857728</v>
      </c>
      <c r="K1022" s="16">
        <v>6207248956</v>
      </c>
    </row>
    <row r="1023" spans="2:11" x14ac:dyDescent="0.25">
      <c r="B1023" s="3">
        <v>43964</v>
      </c>
      <c r="C1023" s="11">
        <v>3084</v>
      </c>
      <c r="E1023" s="17" t="s">
        <v>986</v>
      </c>
      <c r="F1023" s="17"/>
      <c r="G1023" s="66"/>
      <c r="H1023"/>
      <c r="J1023" s="16">
        <v>865483770237</v>
      </c>
      <c r="K1023" s="16">
        <v>9608202088</v>
      </c>
    </row>
    <row r="1024" spans="2:11" x14ac:dyDescent="0.25">
      <c r="B1024" s="3">
        <v>43964</v>
      </c>
      <c r="C1024" s="11">
        <v>3086</v>
      </c>
      <c r="E1024" s="17" t="s">
        <v>987</v>
      </c>
      <c r="F1024" s="17"/>
      <c r="G1024" s="66"/>
      <c r="H1024"/>
      <c r="J1024" s="16">
        <v>478346547805</v>
      </c>
      <c r="K1024" s="16">
        <v>6299479278</v>
      </c>
    </row>
    <row r="1025" spans="2:11" x14ac:dyDescent="0.25">
      <c r="B1025" s="3">
        <v>43964</v>
      </c>
      <c r="C1025" s="11">
        <v>3094</v>
      </c>
      <c r="E1025" s="17" t="s">
        <v>988</v>
      </c>
      <c r="F1025" s="17"/>
      <c r="G1025" s="66"/>
      <c r="H1025"/>
      <c r="J1025" s="16">
        <v>323451345789</v>
      </c>
      <c r="K1025" s="16">
        <v>7367006497</v>
      </c>
    </row>
    <row r="1026" spans="2:11" x14ac:dyDescent="0.25">
      <c r="B1026" s="3">
        <v>43964</v>
      </c>
      <c r="C1026" s="11">
        <v>3095</v>
      </c>
      <c r="E1026" s="17" t="s">
        <v>989</v>
      </c>
      <c r="F1026" s="17"/>
      <c r="G1026" s="66"/>
      <c r="H1026"/>
      <c r="J1026" s="16">
        <v>224212248786</v>
      </c>
      <c r="K1026" s="16">
        <v>9931787263</v>
      </c>
    </row>
    <row r="1027" spans="2:11" x14ac:dyDescent="0.25">
      <c r="B1027" s="3">
        <v>43964</v>
      </c>
      <c r="C1027" s="11">
        <v>3097</v>
      </c>
      <c r="E1027" s="17" t="s">
        <v>990</v>
      </c>
      <c r="F1027" s="17"/>
      <c r="G1027" s="66"/>
      <c r="H1027"/>
      <c r="J1027" s="16">
        <v>655437964940</v>
      </c>
      <c r="K1027" s="16">
        <v>9570067329</v>
      </c>
    </row>
    <row r="1028" spans="2:11" x14ac:dyDescent="0.25">
      <c r="B1028" s="3">
        <v>43964</v>
      </c>
      <c r="C1028" s="11">
        <v>3098</v>
      </c>
      <c r="E1028" s="17" t="s">
        <v>991</v>
      </c>
      <c r="F1028" s="17"/>
      <c r="G1028" s="66"/>
      <c r="H1028"/>
      <c r="J1028" s="16">
        <v>832480298401</v>
      </c>
      <c r="K1028" s="16">
        <v>7979763021</v>
      </c>
    </row>
    <row r="1029" spans="2:11" x14ac:dyDescent="0.25">
      <c r="B1029" s="3">
        <v>43964</v>
      </c>
      <c r="C1029" s="11">
        <v>3101</v>
      </c>
      <c r="E1029" s="17" t="s">
        <v>992</v>
      </c>
      <c r="F1029" s="17"/>
      <c r="G1029" s="66"/>
      <c r="H1029"/>
      <c r="J1029" s="16">
        <v>465176112865</v>
      </c>
      <c r="K1029" s="16">
        <v>7534061513</v>
      </c>
    </row>
    <row r="1030" spans="2:11" x14ac:dyDescent="0.25">
      <c r="B1030" s="3">
        <v>43964</v>
      </c>
      <c r="C1030" s="11">
        <v>3103</v>
      </c>
      <c r="E1030" s="17" t="s">
        <v>993</v>
      </c>
      <c r="F1030" s="17"/>
      <c r="G1030" s="66"/>
      <c r="H1030"/>
      <c r="J1030" s="16">
        <v>371661299243</v>
      </c>
      <c r="K1030" s="16">
        <v>9117516522</v>
      </c>
    </row>
    <row r="1031" spans="2:11" x14ac:dyDescent="0.25">
      <c r="B1031" s="3">
        <v>43964</v>
      </c>
      <c r="C1031" s="11">
        <v>3111</v>
      </c>
      <c r="E1031" s="17" t="s">
        <v>994</v>
      </c>
      <c r="F1031" s="17"/>
      <c r="G1031" s="66"/>
      <c r="H1031"/>
      <c r="J1031" s="16">
        <v>9104187800150130</v>
      </c>
      <c r="K1031" s="16">
        <v>6202845926</v>
      </c>
    </row>
    <row r="1032" spans="2:11" x14ac:dyDescent="0.25">
      <c r="B1032" s="3">
        <v>43964</v>
      </c>
      <c r="C1032" s="11">
        <v>3114</v>
      </c>
      <c r="E1032" s="17" t="s">
        <v>995</v>
      </c>
      <c r="F1032" s="17"/>
      <c r="G1032" s="66"/>
      <c r="H1032"/>
      <c r="J1032" s="16">
        <v>460336496238</v>
      </c>
      <c r="K1032" s="16">
        <v>9631069599</v>
      </c>
    </row>
    <row r="1033" spans="2:11" x14ac:dyDescent="0.25">
      <c r="B1033" s="3">
        <v>43964</v>
      </c>
      <c r="C1033" s="11">
        <v>3120</v>
      </c>
      <c r="E1033" s="17" t="s">
        <v>996</v>
      </c>
      <c r="F1033" s="17"/>
      <c r="G1033" s="66"/>
      <c r="H1033"/>
      <c r="J1033" s="16">
        <v>592290384123</v>
      </c>
      <c r="K1033" s="16"/>
    </row>
    <row r="1034" spans="2:11" x14ac:dyDescent="0.25">
      <c r="B1034" s="3">
        <v>43964</v>
      </c>
      <c r="C1034" s="11">
        <v>3121</v>
      </c>
      <c r="E1034" s="17" t="s">
        <v>997</v>
      </c>
      <c r="F1034" s="17"/>
      <c r="G1034" s="66"/>
      <c r="H1034"/>
      <c r="J1034" s="16">
        <v>394906225612</v>
      </c>
      <c r="K1034" s="16">
        <v>8789765707</v>
      </c>
    </row>
    <row r="1035" spans="2:11" x14ac:dyDescent="0.25">
      <c r="B1035" s="3">
        <v>43964</v>
      </c>
      <c r="C1035" s="11">
        <v>3124</v>
      </c>
      <c r="E1035" s="17" t="s">
        <v>999</v>
      </c>
      <c r="F1035" s="17"/>
      <c r="G1035" s="66"/>
      <c r="H1035"/>
      <c r="J1035" s="16">
        <v>883280096021</v>
      </c>
      <c r="K1035" s="16"/>
    </row>
    <row r="1036" spans="2:11" x14ac:dyDescent="0.25">
      <c r="B1036" s="3">
        <v>43964</v>
      </c>
      <c r="C1036" s="11">
        <v>3126</v>
      </c>
      <c r="E1036" s="17" t="s">
        <v>725</v>
      </c>
      <c r="F1036" s="17"/>
      <c r="G1036" s="66"/>
      <c r="H1036"/>
      <c r="J1036" s="16">
        <v>559383697253</v>
      </c>
      <c r="K1036" s="16">
        <v>7079376862</v>
      </c>
    </row>
    <row r="1037" spans="2:11" x14ac:dyDescent="0.25">
      <c r="B1037" s="3">
        <v>43964</v>
      </c>
      <c r="C1037" s="11">
        <v>3129</v>
      </c>
      <c r="E1037" s="17" t="s">
        <v>1000</v>
      </c>
      <c r="F1037" s="17"/>
      <c r="G1037" s="66"/>
      <c r="H1037"/>
      <c r="J1037" s="16">
        <v>889425862267</v>
      </c>
      <c r="K1037" s="16">
        <v>7292836430</v>
      </c>
    </row>
    <row r="1038" spans="2:11" x14ac:dyDescent="0.25">
      <c r="B1038" s="3">
        <v>43965</v>
      </c>
      <c r="C1038" s="11">
        <v>3142</v>
      </c>
      <c r="E1038" s="17" t="s">
        <v>1001</v>
      </c>
      <c r="F1038" s="17"/>
      <c r="G1038" s="66"/>
      <c r="H1038"/>
      <c r="J1038" s="16">
        <v>805223987904</v>
      </c>
      <c r="K1038" s="16">
        <v>7004517781</v>
      </c>
    </row>
    <row r="1039" spans="2:11" x14ac:dyDescent="0.25">
      <c r="B1039" s="3">
        <v>43965</v>
      </c>
      <c r="C1039" s="11">
        <v>3144</v>
      </c>
      <c r="E1039" s="17" t="s">
        <v>1002</v>
      </c>
      <c r="F1039" s="17"/>
      <c r="G1039" s="66"/>
      <c r="H1039"/>
      <c r="J1039" s="16">
        <v>827594998139</v>
      </c>
      <c r="K1039" s="16">
        <v>6207052371</v>
      </c>
    </row>
    <row r="1040" spans="2:11" x14ac:dyDescent="0.25">
      <c r="B1040" s="3">
        <v>43965</v>
      </c>
      <c r="C1040" s="11">
        <v>3145</v>
      </c>
      <c r="E1040" s="17" t="s">
        <v>1003</v>
      </c>
      <c r="F1040" s="17"/>
      <c r="G1040" s="66"/>
      <c r="H1040"/>
      <c r="J1040" s="16">
        <v>347596185050</v>
      </c>
      <c r="K1040" s="16">
        <v>9931433698</v>
      </c>
    </row>
    <row r="1041" spans="2:11" x14ac:dyDescent="0.25">
      <c r="B1041" s="3">
        <v>43965</v>
      </c>
      <c r="C1041" s="11">
        <v>3147</v>
      </c>
      <c r="E1041" s="17" t="s">
        <v>1004</v>
      </c>
      <c r="F1041" s="17"/>
      <c r="G1041" s="66"/>
      <c r="H1041"/>
      <c r="J1041" s="16">
        <v>729420274267</v>
      </c>
      <c r="K1041" s="16">
        <v>9534213974</v>
      </c>
    </row>
    <row r="1042" spans="2:11" x14ac:dyDescent="0.25">
      <c r="B1042" s="3">
        <v>43965</v>
      </c>
      <c r="C1042" s="11">
        <v>3148</v>
      </c>
      <c r="E1042" s="17" t="s">
        <v>240</v>
      </c>
      <c r="F1042" s="17"/>
      <c r="G1042" s="66"/>
      <c r="H1042"/>
      <c r="J1042" s="16">
        <v>463079784806</v>
      </c>
      <c r="K1042" s="16">
        <v>6203452151</v>
      </c>
    </row>
    <row r="1043" spans="2:11" x14ac:dyDescent="0.25">
      <c r="B1043" s="3">
        <v>43965</v>
      </c>
      <c r="C1043" s="11">
        <v>3150</v>
      </c>
      <c r="E1043" s="17" t="s">
        <v>1005</v>
      </c>
      <c r="F1043" s="17"/>
      <c r="G1043" s="66"/>
      <c r="H1043"/>
      <c r="J1043" s="16">
        <v>546466658262</v>
      </c>
      <c r="K1043" s="16">
        <v>9031395536</v>
      </c>
    </row>
    <row r="1044" spans="2:11" x14ac:dyDescent="0.25">
      <c r="B1044" s="3">
        <v>43965</v>
      </c>
      <c r="C1044" s="11">
        <v>3152</v>
      </c>
      <c r="E1044" s="17" t="s">
        <v>1006</v>
      </c>
      <c r="F1044" s="17"/>
      <c r="G1044" s="66"/>
      <c r="H1044"/>
      <c r="J1044" s="16">
        <v>854452869972</v>
      </c>
      <c r="K1044" s="16">
        <v>8797457803</v>
      </c>
    </row>
    <row r="1045" spans="2:11" x14ac:dyDescent="0.25">
      <c r="B1045" s="3">
        <v>43965</v>
      </c>
      <c r="C1045" s="11">
        <v>3153</v>
      </c>
      <c r="E1045" s="17" t="s">
        <v>1007</v>
      </c>
      <c r="F1045" s="17"/>
      <c r="G1045" s="66"/>
      <c r="H1045"/>
      <c r="J1045" s="16">
        <v>993383020469</v>
      </c>
      <c r="K1045" s="16">
        <v>7209390607</v>
      </c>
    </row>
    <row r="1046" spans="2:11" x14ac:dyDescent="0.25">
      <c r="B1046" s="3">
        <v>43965</v>
      </c>
      <c r="C1046" s="11">
        <v>3155</v>
      </c>
      <c r="E1046" s="17" t="s">
        <v>1008</v>
      </c>
      <c r="F1046" s="17"/>
      <c r="G1046" s="66"/>
      <c r="H1046"/>
      <c r="J1046" s="16">
        <v>254419555721</v>
      </c>
      <c r="K1046" s="16">
        <v>8092301725</v>
      </c>
    </row>
    <row r="1047" spans="2:11" x14ac:dyDescent="0.25">
      <c r="B1047" s="3">
        <v>43965</v>
      </c>
      <c r="C1047" s="11">
        <v>3156</v>
      </c>
      <c r="E1047" s="17" t="s">
        <v>1009</v>
      </c>
      <c r="F1047" s="17"/>
      <c r="G1047" s="66"/>
      <c r="H1047"/>
      <c r="J1047" s="16">
        <v>381872541150</v>
      </c>
      <c r="K1047" s="16">
        <v>9934173838</v>
      </c>
    </row>
    <row r="1048" spans="2:11" x14ac:dyDescent="0.25">
      <c r="B1048" s="3">
        <v>43965</v>
      </c>
      <c r="C1048" s="11">
        <v>3157</v>
      </c>
      <c r="E1048" s="17" t="s">
        <v>1010</v>
      </c>
      <c r="F1048" s="17"/>
      <c r="G1048" s="66"/>
      <c r="H1048"/>
      <c r="J1048" s="16">
        <v>428776870881</v>
      </c>
      <c r="K1048" s="16">
        <v>7209473606</v>
      </c>
    </row>
    <row r="1049" spans="2:11" x14ac:dyDescent="0.25">
      <c r="B1049" s="3">
        <v>43965</v>
      </c>
      <c r="C1049" s="11">
        <v>3159</v>
      </c>
      <c r="E1049" s="17" t="s">
        <v>1011</v>
      </c>
      <c r="F1049" s="17"/>
      <c r="G1049" s="66"/>
      <c r="H1049"/>
      <c r="J1049" s="16">
        <v>800908835782</v>
      </c>
      <c r="K1049" s="16">
        <v>8797322496</v>
      </c>
    </row>
    <row r="1050" spans="2:11" x14ac:dyDescent="0.25">
      <c r="B1050" s="3">
        <v>43965</v>
      </c>
      <c r="C1050" s="11">
        <v>3160</v>
      </c>
      <c r="E1050" s="17" t="s">
        <v>1012</v>
      </c>
      <c r="F1050" s="17"/>
      <c r="G1050" s="66"/>
      <c r="H1050"/>
      <c r="J1050" s="16">
        <v>998069825078</v>
      </c>
      <c r="K1050" s="16">
        <v>8651132366</v>
      </c>
    </row>
    <row r="1051" spans="2:11" x14ac:dyDescent="0.25">
      <c r="B1051" s="3">
        <v>43965</v>
      </c>
      <c r="C1051" s="11">
        <v>3162</v>
      </c>
      <c r="E1051" s="17" t="s">
        <v>1013</v>
      </c>
      <c r="F1051" s="17"/>
      <c r="G1051" s="66"/>
      <c r="H1051"/>
      <c r="J1051" s="16">
        <v>475324833277</v>
      </c>
      <c r="K1051" s="16">
        <v>7717752583</v>
      </c>
    </row>
    <row r="1052" spans="2:11" x14ac:dyDescent="0.25">
      <c r="B1052" s="3">
        <v>43965</v>
      </c>
      <c r="C1052" s="11">
        <v>3164</v>
      </c>
      <c r="E1052" s="17" t="s">
        <v>1014</v>
      </c>
      <c r="F1052" s="17"/>
      <c r="G1052" s="66"/>
      <c r="H1052"/>
      <c r="J1052" s="16">
        <v>339841642578</v>
      </c>
      <c r="K1052" s="16">
        <v>7870993325</v>
      </c>
    </row>
    <row r="1053" spans="2:11" x14ac:dyDescent="0.25">
      <c r="B1053" s="3">
        <v>43965</v>
      </c>
      <c r="C1053" s="11">
        <v>3166</v>
      </c>
      <c r="E1053" s="17" t="s">
        <v>1015</v>
      </c>
      <c r="F1053" s="17"/>
      <c r="G1053" s="66"/>
      <c r="H1053"/>
      <c r="J1053" s="16">
        <v>472836268315</v>
      </c>
      <c r="K1053" s="16">
        <v>7061177182</v>
      </c>
    </row>
    <row r="1054" spans="2:11" x14ac:dyDescent="0.25">
      <c r="B1054" s="3">
        <v>43965</v>
      </c>
      <c r="C1054" s="11">
        <v>3168</v>
      </c>
      <c r="E1054" s="17" t="s">
        <v>1016</v>
      </c>
      <c r="F1054" s="17"/>
      <c r="G1054" s="66"/>
      <c r="H1054"/>
      <c r="J1054" s="16">
        <v>693940047900</v>
      </c>
      <c r="K1054" s="16">
        <v>9570892909</v>
      </c>
    </row>
    <row r="1055" spans="2:11" x14ac:dyDescent="0.25">
      <c r="B1055" s="3">
        <v>43965</v>
      </c>
      <c r="C1055" s="11">
        <v>3169</v>
      </c>
      <c r="E1055" s="17" t="s">
        <v>1017</v>
      </c>
      <c r="F1055" s="17"/>
      <c r="G1055" s="66"/>
      <c r="H1055"/>
      <c r="J1055" s="16">
        <v>423078076303</v>
      </c>
      <c r="K1055" s="16">
        <v>7461070473</v>
      </c>
    </row>
    <row r="1056" spans="2:11" x14ac:dyDescent="0.25">
      <c r="B1056" s="3">
        <v>43965</v>
      </c>
      <c r="C1056" s="11">
        <v>3171</v>
      </c>
      <c r="E1056" s="17" t="s">
        <v>1018</v>
      </c>
      <c r="F1056" s="17"/>
      <c r="G1056" s="66"/>
      <c r="H1056"/>
      <c r="J1056" s="16">
        <v>632603434110</v>
      </c>
      <c r="K1056" s="16"/>
    </row>
    <row r="1057" spans="2:11" x14ac:dyDescent="0.25">
      <c r="B1057" s="3">
        <v>43965</v>
      </c>
      <c r="C1057" s="11">
        <v>3172</v>
      </c>
      <c r="E1057" s="17" t="s">
        <v>1019</v>
      </c>
      <c r="F1057" s="17"/>
      <c r="G1057" s="66"/>
      <c r="H1057"/>
      <c r="J1057" s="16">
        <v>969157627793</v>
      </c>
      <c r="K1057" s="16">
        <v>7870527431</v>
      </c>
    </row>
    <row r="1058" spans="2:11" x14ac:dyDescent="0.25">
      <c r="B1058" s="3">
        <v>43965</v>
      </c>
      <c r="C1058" s="11">
        <v>3174</v>
      </c>
      <c r="E1058" s="17" t="s">
        <v>1020</v>
      </c>
      <c r="F1058" s="17"/>
      <c r="G1058" s="66"/>
      <c r="H1058"/>
      <c r="J1058" s="16">
        <v>200422406887</v>
      </c>
      <c r="K1058" s="16">
        <v>9661117865</v>
      </c>
    </row>
    <row r="1059" spans="2:11" x14ac:dyDescent="0.25">
      <c r="B1059" s="3">
        <v>43965</v>
      </c>
      <c r="C1059" s="11">
        <v>3175</v>
      </c>
      <c r="E1059" s="17" t="s">
        <v>1021</v>
      </c>
      <c r="F1059" s="17"/>
      <c r="G1059" s="66"/>
      <c r="H1059"/>
      <c r="J1059" s="16">
        <v>984904319413</v>
      </c>
      <c r="K1059" s="16">
        <v>7004820515</v>
      </c>
    </row>
    <row r="1060" spans="2:11" x14ac:dyDescent="0.25">
      <c r="B1060" s="3">
        <v>43965</v>
      </c>
      <c r="C1060" s="11">
        <v>3177</v>
      </c>
      <c r="E1060" s="17" t="s">
        <v>3005</v>
      </c>
      <c r="F1060" s="17"/>
      <c r="G1060" s="66"/>
      <c r="H1060"/>
      <c r="J1060" s="16">
        <v>446105140775</v>
      </c>
      <c r="K1060" s="16">
        <v>9031692307</v>
      </c>
    </row>
    <row r="1061" spans="2:11" x14ac:dyDescent="0.25">
      <c r="B1061" s="3">
        <v>43965</v>
      </c>
      <c r="C1061" s="11">
        <v>3179</v>
      </c>
      <c r="E1061" s="17" t="s">
        <v>1022</v>
      </c>
      <c r="F1061" s="17"/>
      <c r="G1061" s="66"/>
      <c r="H1061"/>
      <c r="J1061" s="16"/>
      <c r="K1061" s="16">
        <v>9204365819</v>
      </c>
    </row>
    <row r="1062" spans="2:11" x14ac:dyDescent="0.25">
      <c r="B1062" s="3">
        <v>43965</v>
      </c>
      <c r="C1062" s="11">
        <v>3180</v>
      </c>
      <c r="E1062" s="17" t="s">
        <v>1023</v>
      </c>
      <c r="F1062" s="17"/>
      <c r="G1062" s="66"/>
      <c r="H1062"/>
      <c r="J1062" s="16">
        <v>576981620401</v>
      </c>
      <c r="K1062" s="16">
        <v>9204020949</v>
      </c>
    </row>
    <row r="1063" spans="2:11" x14ac:dyDescent="0.25">
      <c r="B1063" s="3">
        <v>43965</v>
      </c>
      <c r="C1063" s="11">
        <v>3181</v>
      </c>
      <c r="E1063" s="17" t="s">
        <v>1024</v>
      </c>
      <c r="F1063" s="17"/>
      <c r="G1063" s="66"/>
      <c r="H1063"/>
      <c r="J1063" s="16">
        <v>411471051762</v>
      </c>
      <c r="K1063" s="16">
        <v>8102285592</v>
      </c>
    </row>
    <row r="1064" spans="2:11" x14ac:dyDescent="0.25">
      <c r="B1064" s="3">
        <v>43965</v>
      </c>
      <c r="C1064" s="11">
        <v>3183</v>
      </c>
      <c r="E1064" s="17" t="s">
        <v>1025</v>
      </c>
      <c r="F1064" s="17"/>
      <c r="G1064" s="66"/>
      <c r="H1064"/>
      <c r="J1064" s="16"/>
      <c r="K1064" s="16">
        <v>9234763568</v>
      </c>
    </row>
    <row r="1065" spans="2:11" x14ac:dyDescent="0.25">
      <c r="B1065" s="3">
        <v>43965</v>
      </c>
      <c r="C1065" s="11">
        <v>3184</v>
      </c>
      <c r="E1065" s="17" t="s">
        <v>1026</v>
      </c>
      <c r="F1065" s="17"/>
      <c r="G1065" s="66"/>
      <c r="H1065"/>
      <c r="J1065" s="16">
        <v>800165743159</v>
      </c>
      <c r="K1065" s="16">
        <v>7903832823</v>
      </c>
    </row>
    <row r="1066" spans="2:11" x14ac:dyDescent="0.25">
      <c r="B1066" s="3">
        <v>43965</v>
      </c>
      <c r="C1066" s="11">
        <v>3185</v>
      </c>
      <c r="E1066" s="17" t="s">
        <v>1027</v>
      </c>
      <c r="F1066" s="17"/>
      <c r="G1066" s="66"/>
      <c r="H1066"/>
      <c r="J1066" s="16">
        <v>454666515294</v>
      </c>
      <c r="K1066" s="16">
        <v>9608542561</v>
      </c>
    </row>
    <row r="1067" spans="2:11" x14ac:dyDescent="0.25">
      <c r="B1067" s="3">
        <v>43965</v>
      </c>
      <c r="C1067" s="11">
        <v>3187</v>
      </c>
      <c r="E1067" s="17" t="s">
        <v>1028</v>
      </c>
      <c r="F1067" s="17"/>
      <c r="G1067" s="66"/>
      <c r="H1067"/>
      <c r="J1067" s="16"/>
      <c r="K1067" s="16">
        <v>7209479130</v>
      </c>
    </row>
    <row r="1068" spans="2:11" x14ac:dyDescent="0.25">
      <c r="B1068" s="3">
        <v>43965</v>
      </c>
      <c r="C1068" s="11">
        <v>3188</v>
      </c>
      <c r="E1068" s="17" t="s">
        <v>1029</v>
      </c>
      <c r="F1068" s="17"/>
      <c r="G1068" s="66"/>
      <c r="H1068"/>
      <c r="J1068" s="16">
        <v>284847048048</v>
      </c>
      <c r="K1068" s="16">
        <v>9204938407</v>
      </c>
    </row>
    <row r="1069" spans="2:11" x14ac:dyDescent="0.25">
      <c r="B1069" s="3">
        <v>43965</v>
      </c>
      <c r="C1069" s="11">
        <v>3190</v>
      </c>
      <c r="E1069" s="17" t="s">
        <v>1030</v>
      </c>
      <c r="F1069" s="17"/>
      <c r="G1069" s="66"/>
      <c r="H1069"/>
      <c r="J1069" s="16">
        <v>564743940819</v>
      </c>
      <c r="K1069" s="16">
        <v>8002730195</v>
      </c>
    </row>
    <row r="1070" spans="2:11" x14ac:dyDescent="0.25">
      <c r="B1070" s="3">
        <v>43965</v>
      </c>
      <c r="C1070" s="11">
        <v>3191</v>
      </c>
      <c r="E1070" s="17" t="s">
        <v>1031</v>
      </c>
      <c r="F1070" s="17"/>
      <c r="G1070" s="66"/>
      <c r="H1070"/>
      <c r="J1070" s="16">
        <v>474079036186</v>
      </c>
      <c r="K1070" s="16">
        <v>9570194681</v>
      </c>
    </row>
    <row r="1071" spans="2:11" x14ac:dyDescent="0.25">
      <c r="B1071" s="3">
        <v>43965</v>
      </c>
      <c r="C1071" s="11">
        <v>3193</v>
      </c>
      <c r="E1071" s="17" t="s">
        <v>1032</v>
      </c>
      <c r="F1071" s="17"/>
      <c r="G1071" s="66"/>
      <c r="H1071"/>
      <c r="J1071" s="16">
        <v>260134048276</v>
      </c>
      <c r="K1071" s="16">
        <v>9905170813</v>
      </c>
    </row>
    <row r="1072" spans="2:11" x14ac:dyDescent="0.25">
      <c r="B1072" s="3">
        <v>43965</v>
      </c>
      <c r="C1072" s="11">
        <v>3195</v>
      </c>
      <c r="E1072" s="17" t="s">
        <v>1033</v>
      </c>
      <c r="F1072" s="17"/>
      <c r="G1072" s="66"/>
      <c r="H1072"/>
      <c r="J1072" s="16">
        <v>604067481610</v>
      </c>
      <c r="K1072" s="16">
        <v>9031903461</v>
      </c>
    </row>
    <row r="1073" spans="2:16" x14ac:dyDescent="0.25">
      <c r="B1073" s="3">
        <v>43965</v>
      </c>
      <c r="C1073" s="11">
        <v>3196</v>
      </c>
      <c r="E1073" s="17" t="s">
        <v>1034</v>
      </c>
      <c r="F1073" s="17"/>
      <c r="G1073" s="66"/>
      <c r="H1073"/>
      <c r="J1073" s="16">
        <v>998137975755</v>
      </c>
      <c r="K1073" s="16">
        <v>7903637669</v>
      </c>
    </row>
    <row r="1074" spans="2:16" x14ac:dyDescent="0.25">
      <c r="B1074" s="3">
        <v>43965</v>
      </c>
      <c r="C1074" s="11">
        <v>3198</v>
      </c>
      <c r="E1074" s="17" t="s">
        <v>1035</v>
      </c>
      <c r="F1074" s="17"/>
      <c r="G1074" s="66"/>
      <c r="H1074"/>
      <c r="J1074" s="16">
        <v>729149070851</v>
      </c>
      <c r="K1074" s="16">
        <v>6200857372</v>
      </c>
    </row>
    <row r="1075" spans="2:16" x14ac:dyDescent="0.25">
      <c r="B1075" s="3">
        <v>43965</v>
      </c>
      <c r="C1075" s="11">
        <v>3199</v>
      </c>
      <c r="E1075" s="17" t="s">
        <v>1036</v>
      </c>
      <c r="F1075" s="17"/>
      <c r="G1075" s="66"/>
      <c r="H1075"/>
      <c r="J1075" s="16">
        <v>494962385290</v>
      </c>
      <c r="K1075" s="16">
        <v>9693664140</v>
      </c>
    </row>
    <row r="1076" spans="2:16" x14ac:dyDescent="0.25">
      <c r="B1076" s="3">
        <v>43965</v>
      </c>
      <c r="C1076" s="11">
        <v>3200</v>
      </c>
      <c r="E1076" s="17" t="s">
        <v>1037</v>
      </c>
      <c r="F1076" s="17"/>
      <c r="G1076" s="66"/>
      <c r="H1076"/>
      <c r="J1076" s="16">
        <v>964590403899</v>
      </c>
      <c r="K1076" s="16">
        <v>8797262224</v>
      </c>
    </row>
    <row r="1077" spans="2:16" x14ac:dyDescent="0.25">
      <c r="B1077" s="3">
        <v>43965</v>
      </c>
      <c r="C1077" s="11">
        <v>3202</v>
      </c>
      <c r="E1077" s="17" t="s">
        <v>1038</v>
      </c>
      <c r="F1077" s="17"/>
      <c r="G1077" s="66"/>
      <c r="H1077"/>
      <c r="J1077" s="16">
        <v>510598077186</v>
      </c>
      <c r="K1077" s="16">
        <v>9931530534</v>
      </c>
    </row>
    <row r="1078" spans="2:16" x14ac:dyDescent="0.25">
      <c r="B1078" s="3">
        <v>43965</v>
      </c>
      <c r="C1078" s="11">
        <v>3203</v>
      </c>
      <c r="E1078" s="17" t="s">
        <v>1039</v>
      </c>
      <c r="F1078" s="17"/>
      <c r="G1078" s="66"/>
      <c r="H1078"/>
      <c r="J1078" s="16">
        <v>803709383152</v>
      </c>
      <c r="K1078" s="16">
        <v>8603101558</v>
      </c>
    </row>
    <row r="1079" spans="2:16" x14ac:dyDescent="0.25">
      <c r="B1079" s="3">
        <v>43965</v>
      </c>
      <c r="C1079" s="11">
        <v>3205</v>
      </c>
      <c r="E1079" s="17" t="s">
        <v>1040</v>
      </c>
      <c r="F1079" s="17"/>
      <c r="G1079" s="66"/>
      <c r="H1079"/>
      <c r="J1079" s="16">
        <v>267969203452</v>
      </c>
      <c r="K1079" s="16">
        <v>9525685344</v>
      </c>
    </row>
    <row r="1080" spans="2:16" x14ac:dyDescent="0.25">
      <c r="B1080" s="3">
        <v>43965</v>
      </c>
      <c r="C1080" s="11">
        <v>3206</v>
      </c>
      <c r="E1080" s="17" t="s">
        <v>1041</v>
      </c>
      <c r="F1080" s="17"/>
      <c r="G1080" s="66"/>
      <c r="H1080" t="s">
        <v>1312</v>
      </c>
      <c r="I1080" s="4">
        <v>100</v>
      </c>
      <c r="J1080" s="16">
        <v>542832275426</v>
      </c>
      <c r="K1080" s="16">
        <v>6206756833</v>
      </c>
    </row>
    <row r="1081" spans="2:16" x14ac:dyDescent="0.25">
      <c r="B1081" s="3">
        <v>43965</v>
      </c>
      <c r="C1081" s="11">
        <v>3208</v>
      </c>
      <c r="E1081" s="17" t="s">
        <v>1042</v>
      </c>
      <c r="F1081" s="17"/>
      <c r="G1081" s="66"/>
      <c r="H1081"/>
      <c r="J1081" s="16">
        <v>888184065146</v>
      </c>
      <c r="K1081" s="16">
        <v>9693338717</v>
      </c>
    </row>
    <row r="1082" spans="2:16" x14ac:dyDescent="0.25">
      <c r="B1082" s="3">
        <v>43965</v>
      </c>
      <c r="C1082" s="11">
        <v>3209</v>
      </c>
      <c r="E1082" s="17" t="s">
        <v>1043</v>
      </c>
      <c r="F1082" s="17"/>
      <c r="G1082" s="66"/>
      <c r="H1082"/>
      <c r="J1082" s="16">
        <v>341984858336</v>
      </c>
      <c r="K1082" s="16">
        <v>9262706722</v>
      </c>
    </row>
    <row r="1083" spans="2:16" x14ac:dyDescent="0.25">
      <c r="B1083" s="3">
        <v>43965</v>
      </c>
      <c r="C1083" s="11">
        <v>3219</v>
      </c>
      <c r="E1083" s="17" t="s">
        <v>1044</v>
      </c>
      <c r="F1083" s="17"/>
      <c r="G1083" s="66"/>
      <c r="H1083"/>
      <c r="J1083" s="16">
        <v>231400535880</v>
      </c>
      <c r="K1083" s="16">
        <v>8092229616</v>
      </c>
    </row>
    <row r="1084" spans="2:16" x14ac:dyDescent="0.25">
      <c r="B1084" s="3">
        <v>43965</v>
      </c>
      <c r="C1084" s="11">
        <v>3220</v>
      </c>
      <c r="E1084" s="17" t="s">
        <v>1045</v>
      </c>
      <c r="F1084" s="17"/>
      <c r="G1084" s="66"/>
      <c r="H1084"/>
      <c r="J1084" s="16">
        <v>347791012878</v>
      </c>
      <c r="K1084" s="16">
        <v>6203447112</v>
      </c>
    </row>
    <row r="1085" spans="2:16" x14ac:dyDescent="0.25">
      <c r="B1085" s="3">
        <v>43965</v>
      </c>
      <c r="C1085" s="11">
        <v>3222</v>
      </c>
      <c r="E1085" s="17" t="s">
        <v>1046</v>
      </c>
      <c r="F1085" s="17"/>
      <c r="G1085" s="66"/>
      <c r="H1085"/>
      <c r="J1085" s="16">
        <v>809554086304</v>
      </c>
      <c r="K1085" s="16">
        <v>8709099176</v>
      </c>
    </row>
    <row r="1086" spans="2:16" x14ac:dyDescent="0.25">
      <c r="B1086" s="3">
        <v>43965</v>
      </c>
      <c r="C1086" s="11">
        <v>3224</v>
      </c>
      <c r="E1086" s="17" t="s">
        <v>1047</v>
      </c>
      <c r="F1086" s="17"/>
      <c r="G1086" s="66"/>
      <c r="H1086"/>
      <c r="J1086" s="16">
        <v>787633073930</v>
      </c>
      <c r="K1086" s="16">
        <v>7061280181</v>
      </c>
    </row>
    <row r="1087" spans="2:16" x14ac:dyDescent="0.25">
      <c r="B1087" s="3">
        <v>43965</v>
      </c>
      <c r="C1087" s="11">
        <v>3225</v>
      </c>
      <c r="E1087" s="17" t="s">
        <v>1048</v>
      </c>
      <c r="F1087" s="17"/>
      <c r="G1087" s="66"/>
      <c r="H1087"/>
      <c r="J1087" s="16">
        <v>700555539315</v>
      </c>
      <c r="K1087" s="16">
        <v>6200959059</v>
      </c>
      <c r="O1087" s="4" t="s">
        <v>16</v>
      </c>
    </row>
    <row r="1088" spans="2:16" ht="15" x14ac:dyDescent="0.25">
      <c r="B1088" s="3">
        <v>43965</v>
      </c>
      <c r="C1088" s="11">
        <v>3228</v>
      </c>
      <c r="E1088" s="17" t="s">
        <v>1358</v>
      </c>
      <c r="F1088" s="17"/>
      <c r="G1088" s="3">
        <v>29112</v>
      </c>
      <c r="H1088"/>
      <c r="J1088" s="16">
        <v>888481112572</v>
      </c>
      <c r="K1088" s="16">
        <v>9955844105</v>
      </c>
      <c r="L1088" s="4" t="s">
        <v>16</v>
      </c>
      <c r="M1088" s="4" t="s">
        <v>19</v>
      </c>
      <c r="N1088" s="4" t="s">
        <v>19</v>
      </c>
      <c r="O1088" s="4" t="s">
        <v>16</v>
      </c>
      <c r="P1088" s="4" t="s">
        <v>16</v>
      </c>
    </row>
    <row r="1089" spans="2:15" x14ac:dyDescent="0.25">
      <c r="B1089" s="3">
        <v>43965</v>
      </c>
      <c r="C1089" s="11">
        <v>3232</v>
      </c>
      <c r="E1089" s="17" t="s">
        <v>1049</v>
      </c>
      <c r="F1089" s="17"/>
      <c r="G1089" s="66"/>
      <c r="H1089"/>
      <c r="J1089" s="16">
        <v>610077688510</v>
      </c>
      <c r="K1089" s="16">
        <v>6204113727</v>
      </c>
      <c r="L1089" s="4" t="s">
        <v>16</v>
      </c>
      <c r="M1089" s="4" t="s">
        <v>16</v>
      </c>
      <c r="O1089" s="4" t="s">
        <v>16</v>
      </c>
    </row>
    <row r="1090" spans="2:15" x14ac:dyDescent="0.25">
      <c r="B1090" s="3">
        <v>43965</v>
      </c>
      <c r="C1090" s="11">
        <v>3235</v>
      </c>
      <c r="E1090" s="17" t="s">
        <v>1050</v>
      </c>
      <c r="F1090" s="17"/>
      <c r="G1090" s="66"/>
      <c r="H1090"/>
      <c r="J1090" s="16">
        <v>33836964037</v>
      </c>
      <c r="K1090" s="16">
        <v>8674904268</v>
      </c>
    </row>
    <row r="1091" spans="2:15" x14ac:dyDescent="0.25">
      <c r="B1091" s="3">
        <v>43965</v>
      </c>
      <c r="C1091" s="11">
        <v>3238</v>
      </c>
      <c r="E1091" s="17" t="s">
        <v>1051</v>
      </c>
      <c r="F1091" s="17"/>
      <c r="G1091" s="66"/>
      <c r="H1091"/>
      <c r="J1091" s="16">
        <v>691667259075</v>
      </c>
      <c r="K1091" s="16">
        <v>9334562895</v>
      </c>
    </row>
    <row r="1092" spans="2:15" x14ac:dyDescent="0.25">
      <c r="B1092" s="3">
        <v>43966</v>
      </c>
      <c r="C1092" s="11">
        <v>3266</v>
      </c>
      <c r="E1092" s="17" t="s">
        <v>1052</v>
      </c>
      <c r="F1092" s="17"/>
      <c r="G1092" s="66"/>
      <c r="H1092"/>
      <c r="J1092" s="16">
        <v>401256893152</v>
      </c>
      <c r="K1092" s="16">
        <v>9955197873</v>
      </c>
    </row>
    <row r="1093" spans="2:15" x14ac:dyDescent="0.25">
      <c r="B1093" s="3">
        <v>43966</v>
      </c>
      <c r="C1093" s="11">
        <v>3267</v>
      </c>
      <c r="E1093" s="17" t="s">
        <v>1053</v>
      </c>
      <c r="F1093" s="17"/>
      <c r="G1093" s="66"/>
      <c r="H1093"/>
      <c r="J1093" s="16">
        <v>368120092689</v>
      </c>
      <c r="K1093" s="16">
        <v>7519933258</v>
      </c>
    </row>
    <row r="1094" spans="2:15" x14ac:dyDescent="0.25">
      <c r="B1094" s="3">
        <v>43966</v>
      </c>
      <c r="C1094" s="11">
        <v>3268</v>
      </c>
      <c r="E1094" s="17" t="s">
        <v>1054</v>
      </c>
      <c r="F1094" s="17"/>
      <c r="G1094" s="66"/>
      <c r="H1094"/>
      <c r="J1094" s="16">
        <v>449360310427</v>
      </c>
      <c r="K1094" s="16">
        <v>8797794295</v>
      </c>
    </row>
    <row r="1095" spans="2:15" x14ac:dyDescent="0.25">
      <c r="B1095" s="3">
        <v>43966</v>
      </c>
      <c r="C1095" s="11">
        <v>3269</v>
      </c>
      <c r="E1095" s="17" t="s">
        <v>1055</v>
      </c>
      <c r="F1095" s="17"/>
      <c r="G1095" s="66"/>
      <c r="H1095"/>
      <c r="J1095" s="16">
        <v>809803398957</v>
      </c>
      <c r="K1095" s="16">
        <v>8809361355</v>
      </c>
    </row>
    <row r="1096" spans="2:15" x14ac:dyDescent="0.25">
      <c r="B1096" s="3">
        <v>43966</v>
      </c>
      <c r="C1096" s="11">
        <v>3271</v>
      </c>
      <c r="E1096" s="17" t="s">
        <v>313</v>
      </c>
      <c r="F1096" s="17"/>
      <c r="G1096" s="66"/>
      <c r="H1096"/>
      <c r="J1096" s="16">
        <v>929357888454</v>
      </c>
      <c r="K1096" s="16">
        <v>7004326504</v>
      </c>
    </row>
    <row r="1097" spans="2:15" x14ac:dyDescent="0.25">
      <c r="B1097" s="3">
        <v>43966</v>
      </c>
      <c r="C1097" s="11">
        <v>3272</v>
      </c>
      <c r="E1097" s="17" t="s">
        <v>1056</v>
      </c>
      <c r="F1097" s="17"/>
      <c r="G1097" s="66"/>
      <c r="H1097"/>
      <c r="J1097" s="16">
        <v>295693795467</v>
      </c>
      <c r="K1097" s="16">
        <v>7292894723</v>
      </c>
    </row>
    <row r="1098" spans="2:15" x14ac:dyDescent="0.25">
      <c r="B1098" s="3">
        <v>43966</v>
      </c>
      <c r="C1098" s="11">
        <v>3274</v>
      </c>
      <c r="E1098" s="17" t="s">
        <v>1057</v>
      </c>
      <c r="F1098" s="17"/>
      <c r="G1098" s="66"/>
      <c r="H1098"/>
      <c r="J1098" s="16">
        <v>861549242859</v>
      </c>
      <c r="K1098" s="16">
        <v>9204244471</v>
      </c>
    </row>
    <row r="1099" spans="2:15" x14ac:dyDescent="0.25">
      <c r="B1099" s="3">
        <v>43966</v>
      </c>
      <c r="C1099" s="11">
        <v>3275</v>
      </c>
      <c r="E1099" s="17" t="s">
        <v>1058</v>
      </c>
      <c r="F1099" s="17"/>
      <c r="G1099" s="66"/>
      <c r="H1099"/>
      <c r="J1099" s="16">
        <v>746703305258</v>
      </c>
      <c r="K1099" s="16">
        <v>7280400289</v>
      </c>
    </row>
    <row r="1100" spans="2:15" x14ac:dyDescent="0.25">
      <c r="B1100" s="3">
        <v>43966</v>
      </c>
      <c r="C1100" s="11">
        <v>3276</v>
      </c>
      <c r="E1100" s="17" t="s">
        <v>1059</v>
      </c>
      <c r="F1100" s="17"/>
      <c r="G1100" s="66"/>
      <c r="H1100"/>
      <c r="J1100" s="16">
        <v>885035205082</v>
      </c>
      <c r="K1100" s="16">
        <v>7209293460</v>
      </c>
    </row>
    <row r="1101" spans="2:15" x14ac:dyDescent="0.25">
      <c r="B1101" s="3">
        <v>43966</v>
      </c>
      <c r="C1101" s="11">
        <v>3277</v>
      </c>
      <c r="E1101" s="17" t="s">
        <v>1060</v>
      </c>
      <c r="F1101" s="17"/>
      <c r="G1101" s="66"/>
      <c r="H1101"/>
      <c r="J1101" s="16">
        <v>266945775754</v>
      </c>
      <c r="K1101" s="16">
        <v>7667897565</v>
      </c>
    </row>
    <row r="1102" spans="2:15" x14ac:dyDescent="0.25">
      <c r="B1102" s="3">
        <v>43966</v>
      </c>
      <c r="C1102" s="11">
        <v>3279</v>
      </c>
      <c r="E1102" s="17" t="s">
        <v>1061</v>
      </c>
      <c r="F1102" s="17"/>
      <c r="G1102" s="66"/>
      <c r="H1102"/>
      <c r="J1102" s="16">
        <v>779167790644</v>
      </c>
      <c r="K1102" s="16">
        <v>8051293589</v>
      </c>
    </row>
    <row r="1103" spans="2:15" x14ac:dyDescent="0.25">
      <c r="B1103" s="3">
        <v>43966</v>
      </c>
      <c r="C1103" s="11">
        <v>3280</v>
      </c>
      <c r="E1103" s="17" t="s">
        <v>1302</v>
      </c>
      <c r="F1103" s="17"/>
      <c r="G1103" s="66"/>
      <c r="H1103"/>
      <c r="J1103" s="16">
        <v>406427611842</v>
      </c>
      <c r="K1103" s="16">
        <v>9693858545</v>
      </c>
    </row>
    <row r="1104" spans="2:15" x14ac:dyDescent="0.25">
      <c r="B1104" s="3">
        <v>43966</v>
      </c>
      <c r="C1104" s="11">
        <v>3281</v>
      </c>
      <c r="E1104" s="17" t="s">
        <v>1062</v>
      </c>
      <c r="F1104" s="17"/>
      <c r="G1104" s="66"/>
      <c r="H1104"/>
      <c r="J1104" s="16">
        <v>524587992358</v>
      </c>
      <c r="K1104" s="16">
        <v>6204179835</v>
      </c>
    </row>
    <row r="1105" spans="2:11" x14ac:dyDescent="0.25">
      <c r="B1105" s="3">
        <v>43966</v>
      </c>
      <c r="C1105" s="11">
        <v>3284</v>
      </c>
      <c r="E1105" s="17" t="s">
        <v>1063</v>
      </c>
      <c r="F1105" s="17"/>
      <c r="G1105" s="66"/>
      <c r="H1105"/>
      <c r="J1105" s="16">
        <v>981643489473</v>
      </c>
      <c r="K1105" s="16">
        <v>9199250480</v>
      </c>
    </row>
    <row r="1106" spans="2:11" x14ac:dyDescent="0.25">
      <c r="B1106" s="3">
        <v>43966</v>
      </c>
      <c r="C1106" s="11">
        <v>3288</v>
      </c>
      <c r="E1106" s="17" t="s">
        <v>1064</v>
      </c>
      <c r="F1106" s="17"/>
      <c r="G1106" s="66"/>
      <c r="H1106"/>
      <c r="J1106" s="16">
        <v>755366594211</v>
      </c>
      <c r="K1106" s="16">
        <v>8340724403</v>
      </c>
    </row>
    <row r="1107" spans="2:11" x14ac:dyDescent="0.25">
      <c r="B1107" s="3">
        <v>43966</v>
      </c>
      <c r="C1107" s="11">
        <v>3290</v>
      </c>
      <c r="E1107" s="17" t="s">
        <v>1065</v>
      </c>
      <c r="F1107" s="17"/>
      <c r="G1107" s="66"/>
      <c r="H1107"/>
      <c r="J1107" s="16">
        <v>379276272861</v>
      </c>
      <c r="K1107" s="16">
        <v>6202848097</v>
      </c>
    </row>
    <row r="1108" spans="2:11" x14ac:dyDescent="0.25">
      <c r="B1108" s="3">
        <v>43966</v>
      </c>
      <c r="C1108" s="11">
        <v>3292</v>
      </c>
      <c r="E1108" s="17" t="s">
        <v>1066</v>
      </c>
      <c r="F1108" s="17"/>
      <c r="G1108" s="66"/>
      <c r="H1108"/>
      <c r="J1108" s="16">
        <v>512237503608</v>
      </c>
      <c r="K1108" s="16">
        <v>6204709003</v>
      </c>
    </row>
    <row r="1109" spans="2:11" x14ac:dyDescent="0.25">
      <c r="B1109" s="3">
        <v>43966</v>
      </c>
      <c r="C1109" s="11">
        <v>3298</v>
      </c>
      <c r="E1109" s="17" t="s">
        <v>1067</v>
      </c>
      <c r="F1109" s="17"/>
      <c r="G1109" s="66"/>
      <c r="H1109"/>
      <c r="J1109" s="16">
        <v>547263072696</v>
      </c>
      <c r="K1109" s="16">
        <v>8797107528</v>
      </c>
    </row>
    <row r="1110" spans="2:11" x14ac:dyDescent="0.25">
      <c r="B1110" s="3">
        <v>43966</v>
      </c>
      <c r="C1110" s="11">
        <v>3302</v>
      </c>
      <c r="E1110" s="17" t="s">
        <v>1068</v>
      </c>
      <c r="F1110" s="17"/>
      <c r="G1110" s="66"/>
      <c r="H1110"/>
      <c r="J1110" s="16">
        <v>439304625473</v>
      </c>
      <c r="K1110" s="16">
        <v>7808482250</v>
      </c>
    </row>
    <row r="1111" spans="2:11" x14ac:dyDescent="0.25">
      <c r="B1111" s="3">
        <v>43966</v>
      </c>
      <c r="C1111" s="11">
        <v>3305</v>
      </c>
      <c r="E1111" s="17" t="s">
        <v>1069</v>
      </c>
      <c r="F1111" s="17"/>
      <c r="G1111" s="66"/>
      <c r="H1111"/>
      <c r="J1111" s="16">
        <v>902510224960</v>
      </c>
      <c r="K1111" s="16">
        <v>7209975843</v>
      </c>
    </row>
    <row r="1112" spans="2:11" x14ac:dyDescent="0.25">
      <c r="B1112" s="3">
        <v>43966</v>
      </c>
      <c r="C1112" s="11">
        <v>3307</v>
      </c>
      <c r="E1112" s="17" t="s">
        <v>1070</v>
      </c>
      <c r="F1112" s="17"/>
      <c r="G1112" s="66"/>
      <c r="H1112"/>
      <c r="J1112" s="16">
        <v>939757056443</v>
      </c>
      <c r="K1112" s="16">
        <v>6203041269</v>
      </c>
    </row>
    <row r="1113" spans="2:11" x14ac:dyDescent="0.25">
      <c r="B1113" s="3">
        <v>43966</v>
      </c>
      <c r="C1113" s="11">
        <v>3311</v>
      </c>
      <c r="E1113" s="17" t="s">
        <v>1071</v>
      </c>
      <c r="F1113" s="17"/>
      <c r="G1113" s="66"/>
      <c r="H1113"/>
      <c r="J1113" s="16">
        <v>314256908606</v>
      </c>
      <c r="K1113" s="16">
        <v>8102569323</v>
      </c>
    </row>
    <row r="1114" spans="2:11" x14ac:dyDescent="0.25">
      <c r="B1114" s="3">
        <v>43966</v>
      </c>
      <c r="C1114" s="11">
        <v>3312</v>
      </c>
      <c r="E1114" s="17" t="s">
        <v>1072</v>
      </c>
      <c r="F1114" s="17"/>
      <c r="G1114" s="66"/>
      <c r="H1114"/>
      <c r="J1114" s="16">
        <v>763402700468</v>
      </c>
      <c r="K1114" s="16">
        <v>9304058763</v>
      </c>
    </row>
    <row r="1115" spans="2:11" x14ac:dyDescent="0.25">
      <c r="B1115" s="3">
        <v>43966</v>
      </c>
      <c r="C1115" s="11">
        <v>3314</v>
      </c>
      <c r="E1115" s="17" t="s">
        <v>1073</v>
      </c>
      <c r="F1115" s="17"/>
      <c r="G1115" s="66"/>
      <c r="H1115"/>
      <c r="J1115" s="16">
        <v>918420133684</v>
      </c>
      <c r="K1115" s="16">
        <v>9123226878</v>
      </c>
    </row>
    <row r="1116" spans="2:11" x14ac:dyDescent="0.25">
      <c r="B1116" s="3">
        <v>43966</v>
      </c>
      <c r="C1116" s="11">
        <v>3315</v>
      </c>
      <c r="E1116" s="17" t="s">
        <v>4</v>
      </c>
      <c r="F1116" s="17"/>
      <c r="G1116" s="66"/>
      <c r="H1116"/>
      <c r="J1116" s="16">
        <v>750334648290</v>
      </c>
      <c r="K1116" s="16">
        <v>9304087474</v>
      </c>
    </row>
    <row r="1117" spans="2:11" x14ac:dyDescent="0.25">
      <c r="B1117" s="3">
        <v>43966</v>
      </c>
      <c r="C1117" s="11">
        <v>3325</v>
      </c>
      <c r="E1117" s="17" t="s">
        <v>1074</v>
      </c>
      <c r="F1117" s="17"/>
      <c r="G1117" s="66"/>
      <c r="H1117"/>
      <c r="J1117" s="16">
        <v>826798110851</v>
      </c>
      <c r="K1117" s="16">
        <v>8252768647</v>
      </c>
    </row>
    <row r="1118" spans="2:11" x14ac:dyDescent="0.25">
      <c r="B1118" s="3">
        <v>43966</v>
      </c>
      <c r="C1118" s="11">
        <v>3327</v>
      </c>
      <c r="E1118" s="17" t="s">
        <v>1075</v>
      </c>
      <c r="F1118" s="17"/>
      <c r="G1118" s="18">
        <v>26760</v>
      </c>
      <c r="H1118" t="s">
        <v>1281</v>
      </c>
      <c r="J1118" s="16">
        <v>265965169399</v>
      </c>
      <c r="K1118" s="16">
        <v>6204126048</v>
      </c>
    </row>
    <row r="1119" spans="2:11" x14ac:dyDescent="0.25">
      <c r="B1119" s="3">
        <v>43966</v>
      </c>
      <c r="C1119" s="11">
        <v>3328</v>
      </c>
      <c r="E1119" s="17" t="s">
        <v>1076</v>
      </c>
      <c r="F1119" s="17"/>
      <c r="G1119" s="66"/>
      <c r="H1119"/>
      <c r="J1119" s="16">
        <v>789517521920</v>
      </c>
      <c r="K1119" s="16">
        <v>7033628324</v>
      </c>
    </row>
    <row r="1120" spans="2:11" x14ac:dyDescent="0.25">
      <c r="B1120" s="3">
        <v>43966</v>
      </c>
      <c r="C1120" s="11">
        <v>3330</v>
      </c>
      <c r="E1120" s="17" t="s">
        <v>1077</v>
      </c>
      <c r="F1120" s="17"/>
      <c r="G1120" s="66"/>
      <c r="H1120"/>
      <c r="J1120" s="16">
        <v>233269365434</v>
      </c>
      <c r="K1120" s="16">
        <v>9031776803</v>
      </c>
    </row>
    <row r="1121" spans="1:11" x14ac:dyDescent="0.25">
      <c r="B1121" s="3">
        <v>43966</v>
      </c>
      <c r="C1121" s="11">
        <v>3331</v>
      </c>
      <c r="E1121" s="17" t="s">
        <v>1078</v>
      </c>
      <c r="F1121" s="17"/>
      <c r="G1121" s="66"/>
      <c r="H1121"/>
      <c r="J1121" s="16">
        <v>838817371781</v>
      </c>
      <c r="K1121" s="16">
        <v>7488404617</v>
      </c>
    </row>
    <row r="1122" spans="1:11" x14ac:dyDescent="0.25">
      <c r="B1122" s="3">
        <v>43966</v>
      </c>
      <c r="C1122" s="11">
        <v>3332</v>
      </c>
      <c r="E1122" s="17" t="s">
        <v>1079</v>
      </c>
      <c r="F1122" s="17"/>
      <c r="G1122" s="66"/>
      <c r="H1122"/>
      <c r="J1122" s="16">
        <v>398492290901</v>
      </c>
      <c r="K1122" s="16">
        <v>6206399242</v>
      </c>
    </row>
    <row r="1123" spans="1:11" x14ac:dyDescent="0.25">
      <c r="B1123" s="3">
        <v>43966</v>
      </c>
      <c r="C1123" s="11">
        <v>3335</v>
      </c>
      <c r="E1123" s="17" t="s">
        <v>1080</v>
      </c>
      <c r="F1123" s="17"/>
      <c r="G1123" s="66"/>
      <c r="H1123"/>
      <c r="J1123" s="16">
        <v>767626853745</v>
      </c>
      <c r="K1123" s="16">
        <v>9162592469</v>
      </c>
    </row>
    <row r="1124" spans="1:11" x14ac:dyDescent="0.25">
      <c r="B1124" s="3">
        <v>43966</v>
      </c>
      <c r="C1124" s="11">
        <v>3336</v>
      </c>
      <c r="E1124" s="17" t="s">
        <v>1081</v>
      </c>
      <c r="F1124" s="17"/>
      <c r="G1124" s="66"/>
      <c r="H1124"/>
      <c r="J1124" s="16">
        <v>202747907647</v>
      </c>
      <c r="K1124" s="16">
        <v>7481893131</v>
      </c>
    </row>
    <row r="1125" spans="1:11" x14ac:dyDescent="0.25">
      <c r="B1125" s="3">
        <v>43966</v>
      </c>
      <c r="C1125" s="11">
        <v>3338</v>
      </c>
      <c r="E1125" s="17" t="s">
        <v>1082</v>
      </c>
      <c r="F1125" s="17"/>
      <c r="G1125" s="66"/>
      <c r="H1125"/>
      <c r="J1125" s="16">
        <v>330337148786</v>
      </c>
      <c r="K1125" s="16">
        <v>8797944750</v>
      </c>
    </row>
    <row r="1126" spans="1:11" x14ac:dyDescent="0.25">
      <c r="B1126" s="3">
        <v>43966</v>
      </c>
      <c r="C1126" s="11">
        <v>3340</v>
      </c>
      <c r="E1126" s="17" t="s">
        <v>1083</v>
      </c>
      <c r="F1126" s="17"/>
      <c r="G1126" s="66" t="s">
        <v>44</v>
      </c>
      <c r="H1126"/>
      <c r="I1126" s="4">
        <v>100</v>
      </c>
      <c r="J1126" s="16">
        <v>840315716239</v>
      </c>
      <c r="K1126" s="16">
        <v>9304904721</v>
      </c>
    </row>
    <row r="1127" spans="1:11" x14ac:dyDescent="0.25">
      <c r="B1127" s="3">
        <v>43966</v>
      </c>
      <c r="C1127" s="11">
        <v>3342</v>
      </c>
      <c r="E1127" s="17" t="s">
        <v>1084</v>
      </c>
      <c r="F1127" s="17"/>
      <c r="G1127" s="66"/>
      <c r="H1127"/>
      <c r="J1127" s="16">
        <v>602190980207</v>
      </c>
      <c r="K1127" s="16">
        <v>8092461729</v>
      </c>
    </row>
    <row r="1128" spans="1:11" x14ac:dyDescent="0.25">
      <c r="A1128" t="s">
        <v>5166</v>
      </c>
      <c r="B1128" s="3">
        <v>43966</v>
      </c>
      <c r="C1128" s="11">
        <v>3343</v>
      </c>
      <c r="E1128" s="17" t="s">
        <v>1085</v>
      </c>
      <c r="F1128" s="17"/>
      <c r="G1128" s="66"/>
      <c r="H1128" t="s">
        <v>5167</v>
      </c>
      <c r="I1128" s="4">
        <v>300</v>
      </c>
      <c r="J1128" s="16">
        <v>362915392441</v>
      </c>
      <c r="K1128" s="16">
        <v>6203148505</v>
      </c>
    </row>
    <row r="1129" spans="1:11" x14ac:dyDescent="0.25">
      <c r="B1129" s="3">
        <v>43966</v>
      </c>
      <c r="C1129" s="11">
        <v>3345</v>
      </c>
      <c r="E1129" s="17" t="s">
        <v>1086</v>
      </c>
      <c r="F1129" s="17"/>
      <c r="G1129" s="66"/>
      <c r="H1129"/>
      <c r="J1129" s="16">
        <v>456471967096</v>
      </c>
      <c r="K1129" s="16">
        <v>9608331998</v>
      </c>
    </row>
    <row r="1130" spans="1:11" x14ac:dyDescent="0.25">
      <c r="B1130" s="3">
        <v>43966</v>
      </c>
      <c r="C1130" s="11">
        <v>3347</v>
      </c>
      <c r="E1130" s="17" t="s">
        <v>1087</v>
      </c>
      <c r="F1130" s="17"/>
      <c r="G1130" s="66"/>
      <c r="H1130"/>
      <c r="J1130" s="16">
        <v>687359172175</v>
      </c>
      <c r="K1130" s="16">
        <v>9431345663</v>
      </c>
    </row>
    <row r="1131" spans="1:11" x14ac:dyDescent="0.25">
      <c r="B1131" s="3">
        <v>43966</v>
      </c>
      <c r="C1131" s="11">
        <v>3348</v>
      </c>
      <c r="E1131" s="17" t="s">
        <v>1088</v>
      </c>
      <c r="F1131" s="17"/>
      <c r="G1131" s="66"/>
      <c r="H1131"/>
      <c r="J1131" s="16">
        <v>491735956798</v>
      </c>
      <c r="K1131" s="16">
        <v>9031392110</v>
      </c>
    </row>
    <row r="1132" spans="1:11" x14ac:dyDescent="0.25">
      <c r="B1132" s="3">
        <v>43966</v>
      </c>
      <c r="C1132" s="11">
        <v>3351</v>
      </c>
      <c r="E1132" s="17" t="s">
        <v>1089</v>
      </c>
      <c r="F1132" s="17"/>
      <c r="G1132" s="66"/>
      <c r="H1132"/>
      <c r="J1132" s="16">
        <v>507721033009</v>
      </c>
      <c r="K1132" s="16">
        <v>8092248700</v>
      </c>
    </row>
    <row r="1133" spans="1:11" x14ac:dyDescent="0.25">
      <c r="B1133" s="3">
        <v>43966</v>
      </c>
      <c r="C1133" s="11">
        <v>3354</v>
      </c>
      <c r="E1133" s="17" t="s">
        <v>1090</v>
      </c>
      <c r="F1133" s="17"/>
      <c r="G1133" s="66"/>
      <c r="H1133"/>
      <c r="J1133" s="16">
        <v>443172727596</v>
      </c>
      <c r="K1133" s="16">
        <v>9234013057</v>
      </c>
    </row>
    <row r="1134" spans="1:11" x14ac:dyDescent="0.25">
      <c r="B1134" s="3">
        <v>43966</v>
      </c>
      <c r="C1134" s="11">
        <v>3357</v>
      </c>
      <c r="E1134" s="17" t="s">
        <v>1091</v>
      </c>
      <c r="F1134" s="17"/>
      <c r="G1134" s="66"/>
      <c r="H1134"/>
      <c r="J1134" s="16">
        <v>379920279444</v>
      </c>
      <c r="K1134" s="16">
        <v>8102066266</v>
      </c>
    </row>
    <row r="1135" spans="1:11" x14ac:dyDescent="0.25">
      <c r="B1135" s="3">
        <v>43966</v>
      </c>
      <c r="C1135" s="11">
        <v>3358</v>
      </c>
      <c r="E1135" s="17" t="s">
        <v>1092</v>
      </c>
      <c r="F1135" s="17"/>
      <c r="G1135" s="66"/>
      <c r="H1135"/>
      <c r="J1135" s="16">
        <v>563417860506</v>
      </c>
      <c r="K1135" s="16">
        <v>7209442958</v>
      </c>
    </row>
    <row r="1136" spans="1:11" x14ac:dyDescent="0.25">
      <c r="B1136" s="3">
        <v>43966</v>
      </c>
      <c r="C1136" s="11">
        <v>3361</v>
      </c>
      <c r="E1136" s="17" t="s">
        <v>1093</v>
      </c>
      <c r="F1136" s="17"/>
      <c r="G1136" s="66"/>
      <c r="H1136"/>
      <c r="J1136" s="16">
        <v>279699806496</v>
      </c>
      <c r="K1136" s="16">
        <v>9534109842</v>
      </c>
    </row>
    <row r="1137" spans="2:11" x14ac:dyDescent="0.25">
      <c r="B1137" s="3">
        <v>43966</v>
      </c>
      <c r="C1137" s="11">
        <v>3364</v>
      </c>
      <c r="E1137" s="17" t="s">
        <v>1094</v>
      </c>
      <c r="F1137" s="17"/>
      <c r="G1137" s="66"/>
      <c r="H1137"/>
      <c r="J1137" s="16">
        <v>339028771447</v>
      </c>
      <c r="K1137" s="16">
        <v>8969743217</v>
      </c>
    </row>
    <row r="1138" spans="2:11" x14ac:dyDescent="0.25">
      <c r="B1138" s="3">
        <v>43966</v>
      </c>
      <c r="C1138" s="11">
        <v>3365</v>
      </c>
      <c r="E1138" s="17" t="s">
        <v>1095</v>
      </c>
      <c r="F1138" s="17"/>
      <c r="G1138" s="66"/>
      <c r="H1138"/>
      <c r="J1138" s="16">
        <v>314742023056</v>
      </c>
      <c r="K1138" s="16">
        <v>6202035484</v>
      </c>
    </row>
    <row r="1139" spans="2:11" x14ac:dyDescent="0.25">
      <c r="B1139" s="3">
        <v>43966</v>
      </c>
      <c r="C1139" s="11">
        <v>3367</v>
      </c>
      <c r="E1139" s="17" t="s">
        <v>880</v>
      </c>
      <c r="F1139" s="17"/>
      <c r="G1139" s="66"/>
      <c r="H1139"/>
      <c r="J1139" s="16">
        <v>427013205096</v>
      </c>
      <c r="K1139" s="16">
        <v>7209392538</v>
      </c>
    </row>
    <row r="1140" spans="2:11" x14ac:dyDescent="0.25">
      <c r="B1140" s="3">
        <v>43966</v>
      </c>
      <c r="C1140" s="11">
        <v>3369</v>
      </c>
      <c r="E1140" s="17" t="s">
        <v>1096</v>
      </c>
      <c r="F1140" s="17"/>
      <c r="G1140" s="66"/>
      <c r="H1140"/>
      <c r="J1140" s="16">
        <v>364817410003</v>
      </c>
      <c r="K1140" s="16">
        <v>8809295817</v>
      </c>
    </row>
    <row r="1141" spans="2:11" x14ac:dyDescent="0.25">
      <c r="B1141" s="3">
        <v>43966</v>
      </c>
      <c r="C1141" s="11">
        <v>3375</v>
      </c>
      <c r="E1141" s="17" t="s">
        <v>1153</v>
      </c>
      <c r="F1141" s="17"/>
      <c r="G1141" s="66"/>
      <c r="H1141" s="4" t="s">
        <v>1152</v>
      </c>
      <c r="I1141" s="4">
        <v>100</v>
      </c>
      <c r="J1141" s="16">
        <v>245582289827</v>
      </c>
      <c r="K1141" s="16">
        <v>8292574194</v>
      </c>
    </row>
    <row r="1142" spans="2:11" x14ac:dyDescent="0.25">
      <c r="B1142" s="3">
        <v>43966</v>
      </c>
      <c r="C1142" s="11">
        <v>3377</v>
      </c>
      <c r="E1142" s="17" t="s">
        <v>1097</v>
      </c>
      <c r="F1142" s="17"/>
      <c r="G1142" s="66"/>
      <c r="H1142"/>
      <c r="J1142" s="16">
        <v>702583905701</v>
      </c>
      <c r="K1142" s="16">
        <v>8114579151</v>
      </c>
    </row>
    <row r="1143" spans="2:11" x14ac:dyDescent="0.25">
      <c r="B1143" s="3">
        <v>43966</v>
      </c>
      <c r="C1143" s="11">
        <v>3379</v>
      </c>
      <c r="E1143" s="17" t="s">
        <v>1098</v>
      </c>
      <c r="F1143" s="17"/>
      <c r="G1143" s="66"/>
      <c r="H1143"/>
      <c r="J1143" s="16">
        <v>795611733154</v>
      </c>
      <c r="K1143" s="16">
        <v>7870317642</v>
      </c>
    </row>
    <row r="1144" spans="2:11" x14ac:dyDescent="0.25">
      <c r="B1144" s="3">
        <v>43966</v>
      </c>
      <c r="C1144" s="11">
        <v>3381</v>
      </c>
      <c r="E1144" s="17" t="s">
        <v>1099</v>
      </c>
      <c r="F1144" s="17"/>
      <c r="G1144" s="66"/>
      <c r="H1144"/>
      <c r="J1144" s="16">
        <v>648249705717</v>
      </c>
      <c r="K1144" s="16">
        <v>9334454704</v>
      </c>
    </row>
    <row r="1145" spans="2:11" x14ac:dyDescent="0.25">
      <c r="B1145" s="3">
        <v>43966</v>
      </c>
      <c r="C1145" s="11">
        <v>3384</v>
      </c>
      <c r="E1145" s="17" t="s">
        <v>1100</v>
      </c>
      <c r="F1145" s="17"/>
      <c r="G1145" s="66"/>
      <c r="H1145"/>
      <c r="J1145" s="16">
        <v>558398917152</v>
      </c>
      <c r="K1145" s="16">
        <v>9709183098</v>
      </c>
    </row>
    <row r="1146" spans="2:11" x14ac:dyDescent="0.25">
      <c r="B1146" s="3">
        <v>43966</v>
      </c>
      <c r="C1146" s="47">
        <v>3387</v>
      </c>
      <c r="E1146" s="17" t="s">
        <v>1101</v>
      </c>
      <c r="F1146" s="17"/>
      <c r="G1146" s="66"/>
      <c r="H1146"/>
      <c r="J1146" s="16">
        <v>833627108810</v>
      </c>
      <c r="K1146" s="16">
        <v>9576814709</v>
      </c>
    </row>
    <row r="1147" spans="2:11" x14ac:dyDescent="0.25">
      <c r="B1147" s="3">
        <v>43966</v>
      </c>
      <c r="C1147" s="11">
        <v>3389</v>
      </c>
      <c r="E1147" s="17" t="s">
        <v>1102</v>
      </c>
      <c r="F1147" s="17"/>
      <c r="G1147" s="66"/>
      <c r="H1147"/>
      <c r="J1147" s="16">
        <v>661873015714</v>
      </c>
      <c r="K1147" s="16">
        <v>8863950576</v>
      </c>
    </row>
    <row r="1148" spans="2:11" x14ac:dyDescent="0.25">
      <c r="B1148" s="3">
        <v>43969</v>
      </c>
      <c r="C1148" s="11">
        <v>3457</v>
      </c>
      <c r="E1148" s="17" t="s">
        <v>1103</v>
      </c>
      <c r="F1148" s="17"/>
      <c r="G1148" s="66"/>
      <c r="H1148"/>
      <c r="J1148" s="16">
        <v>275073582692</v>
      </c>
      <c r="K1148" s="16">
        <v>9204700325</v>
      </c>
    </row>
    <row r="1149" spans="2:11" x14ac:dyDescent="0.25">
      <c r="B1149" s="3">
        <v>43969</v>
      </c>
      <c r="C1149" s="11">
        <v>3459</v>
      </c>
      <c r="E1149" s="17" t="s">
        <v>1104</v>
      </c>
      <c r="F1149" s="17"/>
      <c r="G1149" s="66"/>
      <c r="H1149"/>
      <c r="J1149" s="16">
        <v>268914338877</v>
      </c>
      <c r="K1149" s="16">
        <v>9709541239</v>
      </c>
    </row>
    <row r="1150" spans="2:11" x14ac:dyDescent="0.25">
      <c r="B1150" s="3">
        <v>43969</v>
      </c>
      <c r="C1150" s="11">
        <v>3460</v>
      </c>
      <c r="E1150" s="17" t="s">
        <v>1105</v>
      </c>
      <c r="F1150" s="17"/>
      <c r="G1150" s="66"/>
      <c r="H1150"/>
      <c r="J1150" s="16">
        <v>546769573082</v>
      </c>
      <c r="K1150" s="16">
        <v>8797322523</v>
      </c>
    </row>
    <row r="1151" spans="2:11" x14ac:dyDescent="0.25">
      <c r="B1151" s="3">
        <v>43969</v>
      </c>
      <c r="C1151" s="11">
        <v>3461</v>
      </c>
      <c r="E1151" s="17" t="s">
        <v>1106</v>
      </c>
      <c r="F1151" s="17"/>
      <c r="G1151" s="66"/>
      <c r="H1151"/>
      <c r="J1151" s="16">
        <v>334951665654</v>
      </c>
      <c r="K1151" s="16">
        <v>9470568644</v>
      </c>
    </row>
    <row r="1152" spans="2:11" x14ac:dyDescent="0.25">
      <c r="B1152" s="3">
        <v>43969</v>
      </c>
      <c r="C1152" s="11">
        <v>3463</v>
      </c>
      <c r="E1152" s="17" t="s">
        <v>1107</v>
      </c>
      <c r="F1152" s="17"/>
      <c r="G1152" s="66"/>
      <c r="H1152"/>
      <c r="J1152" s="16">
        <v>455232071179</v>
      </c>
      <c r="K1152" s="16"/>
    </row>
    <row r="1153" spans="2:11" x14ac:dyDescent="0.25">
      <c r="B1153" s="3">
        <v>43969</v>
      </c>
      <c r="C1153" s="11">
        <v>3465</v>
      </c>
      <c r="E1153" s="17" t="s">
        <v>1108</v>
      </c>
      <c r="F1153" s="17"/>
      <c r="G1153" s="66"/>
      <c r="H1153"/>
      <c r="J1153" s="16">
        <v>944897027514</v>
      </c>
      <c r="K1153" s="16">
        <v>7992277806</v>
      </c>
    </row>
    <row r="1154" spans="2:11" x14ac:dyDescent="0.25">
      <c r="B1154" s="3">
        <v>43969</v>
      </c>
      <c r="C1154" s="11">
        <v>3466</v>
      </c>
      <c r="E1154" s="17" t="s">
        <v>1109</v>
      </c>
      <c r="F1154" s="17"/>
      <c r="G1154" s="66"/>
      <c r="H1154"/>
      <c r="J1154" s="16"/>
      <c r="K1154" s="16">
        <v>8092709801</v>
      </c>
    </row>
    <row r="1155" spans="2:11" x14ac:dyDescent="0.25">
      <c r="B1155" s="3">
        <v>43969</v>
      </c>
      <c r="C1155" s="11">
        <v>3468</v>
      </c>
      <c r="E1155" s="17" t="s">
        <v>1110</v>
      </c>
      <c r="F1155" s="17"/>
      <c r="G1155" s="66"/>
      <c r="H1155"/>
      <c r="J1155" s="16">
        <v>698004860807</v>
      </c>
      <c r="K1155" s="16">
        <v>9334515495</v>
      </c>
    </row>
    <row r="1156" spans="2:11" x14ac:dyDescent="0.25">
      <c r="B1156" s="3">
        <v>43969</v>
      </c>
      <c r="C1156" s="11">
        <v>3471</v>
      </c>
      <c r="E1156" s="17" t="s">
        <v>1111</v>
      </c>
      <c r="F1156" s="17"/>
      <c r="G1156" s="66"/>
      <c r="H1156"/>
      <c r="J1156" s="16">
        <v>201268454321</v>
      </c>
      <c r="K1156" s="16">
        <v>9934889350</v>
      </c>
    </row>
    <row r="1157" spans="2:11" x14ac:dyDescent="0.25">
      <c r="B1157" s="3">
        <v>43969</v>
      </c>
      <c r="C1157" s="11">
        <v>3472</v>
      </c>
      <c r="E1157" s="17" t="s">
        <v>1550</v>
      </c>
      <c r="F1157" s="17"/>
      <c r="G1157" s="66"/>
      <c r="H1157"/>
      <c r="J1157" s="16">
        <v>580511281090</v>
      </c>
      <c r="K1157" s="16">
        <v>7349898912</v>
      </c>
    </row>
    <row r="1158" spans="2:11" x14ac:dyDescent="0.25">
      <c r="B1158" s="3">
        <v>43969</v>
      </c>
      <c r="C1158" s="11">
        <v>3474</v>
      </c>
      <c r="E1158" s="17" t="s">
        <v>1112</v>
      </c>
      <c r="F1158" s="17"/>
      <c r="G1158" s="66"/>
      <c r="H1158"/>
      <c r="J1158" s="16">
        <v>583055834732</v>
      </c>
      <c r="K1158" s="16">
        <v>6203164352</v>
      </c>
    </row>
    <row r="1159" spans="2:11" x14ac:dyDescent="0.25">
      <c r="B1159" s="3">
        <v>43969</v>
      </c>
      <c r="C1159" s="11">
        <v>3475</v>
      </c>
      <c r="E1159" s="17" t="s">
        <v>1113</v>
      </c>
      <c r="F1159" s="17"/>
      <c r="G1159" s="66"/>
      <c r="H1159"/>
      <c r="J1159" s="16">
        <v>492812047957</v>
      </c>
      <c r="K1159" s="16">
        <v>7250996861</v>
      </c>
    </row>
    <row r="1160" spans="2:11" x14ac:dyDescent="0.25">
      <c r="B1160" s="3">
        <v>43969</v>
      </c>
      <c r="C1160" s="11">
        <v>3478</v>
      </c>
      <c r="E1160" s="17" t="s">
        <v>1114</v>
      </c>
      <c r="F1160" s="17"/>
      <c r="G1160" s="66"/>
      <c r="H1160"/>
      <c r="J1160" s="16">
        <v>239569864731</v>
      </c>
      <c r="K1160" s="16">
        <v>7250996861</v>
      </c>
    </row>
    <row r="1161" spans="2:11" x14ac:dyDescent="0.25">
      <c r="B1161" s="3">
        <v>43969</v>
      </c>
      <c r="C1161" s="11">
        <v>3479</v>
      </c>
      <c r="E1161" s="17" t="s">
        <v>1115</v>
      </c>
      <c r="F1161" s="17"/>
      <c r="G1161" s="66"/>
      <c r="H1161"/>
      <c r="J1161" s="16">
        <v>930450599561</v>
      </c>
      <c r="K1161" s="16">
        <v>6202860069</v>
      </c>
    </row>
    <row r="1162" spans="2:11" x14ac:dyDescent="0.25">
      <c r="B1162" s="3">
        <v>43969</v>
      </c>
      <c r="C1162" s="11">
        <v>3482</v>
      </c>
      <c r="E1162" s="17" t="s">
        <v>1116</v>
      </c>
      <c r="F1162" s="17"/>
      <c r="G1162" s="66"/>
      <c r="H1162"/>
      <c r="J1162" s="16">
        <v>468173736333</v>
      </c>
      <c r="K1162" s="16">
        <v>9608718228</v>
      </c>
    </row>
    <row r="1163" spans="2:11" x14ac:dyDescent="0.25">
      <c r="B1163" s="3">
        <v>43969</v>
      </c>
      <c r="C1163" s="11">
        <v>3485</v>
      </c>
      <c r="E1163" s="17" t="s">
        <v>1117</v>
      </c>
      <c r="F1163" s="17"/>
      <c r="G1163" s="66"/>
      <c r="H1163"/>
      <c r="J1163" s="16">
        <v>688450879416</v>
      </c>
      <c r="K1163" s="16">
        <v>9507189364</v>
      </c>
    </row>
    <row r="1164" spans="2:11" x14ac:dyDescent="0.25">
      <c r="B1164" s="3">
        <v>43969</v>
      </c>
      <c r="C1164" s="11">
        <v>3486</v>
      </c>
      <c r="E1164" s="17" t="s">
        <v>1118</v>
      </c>
      <c r="F1164" s="17"/>
      <c r="G1164" s="66"/>
      <c r="H1164"/>
      <c r="J1164" s="16">
        <v>749786009100</v>
      </c>
      <c r="K1164" s="16">
        <v>9234762289</v>
      </c>
    </row>
    <row r="1165" spans="2:11" x14ac:dyDescent="0.25">
      <c r="B1165" s="3">
        <v>43969</v>
      </c>
      <c r="C1165" s="11">
        <v>3489</v>
      </c>
      <c r="E1165" s="17" t="s">
        <v>1119</v>
      </c>
      <c r="F1165" s="17"/>
      <c r="G1165" s="66"/>
      <c r="H1165"/>
      <c r="J1165" s="16">
        <v>401595986586</v>
      </c>
      <c r="K1165" s="16">
        <v>7903796761</v>
      </c>
    </row>
    <row r="1166" spans="2:11" x14ac:dyDescent="0.25">
      <c r="B1166" s="3">
        <v>43969</v>
      </c>
      <c r="C1166" s="11">
        <v>3490</v>
      </c>
      <c r="E1166" s="17" t="s">
        <v>1120</v>
      </c>
      <c r="F1166" s="17"/>
      <c r="G1166" s="66"/>
      <c r="H1166"/>
      <c r="J1166" s="16">
        <v>262238866584</v>
      </c>
      <c r="K1166" s="16">
        <v>8709717436</v>
      </c>
    </row>
    <row r="1167" spans="2:11" x14ac:dyDescent="0.25">
      <c r="B1167" s="3">
        <v>43969</v>
      </c>
      <c r="C1167" s="11">
        <v>3494</v>
      </c>
      <c r="E1167" s="17" t="s">
        <v>1121</v>
      </c>
      <c r="F1167" s="17"/>
      <c r="G1167" s="66"/>
      <c r="H1167"/>
      <c r="J1167" s="16">
        <v>764341770516</v>
      </c>
      <c r="K1167" s="16">
        <v>8603616953</v>
      </c>
    </row>
    <row r="1168" spans="2:11" x14ac:dyDescent="0.25">
      <c r="B1168" s="3">
        <v>43969</v>
      </c>
      <c r="C1168" s="11">
        <v>3496</v>
      </c>
      <c r="E1168" s="17" t="s">
        <v>1122</v>
      </c>
      <c r="F1168" s="17"/>
      <c r="G1168" s="66"/>
      <c r="H1168"/>
      <c r="J1168" s="16">
        <v>488620975128</v>
      </c>
      <c r="K1168" s="16">
        <v>9334744335</v>
      </c>
    </row>
    <row r="1169" spans="2:11" x14ac:dyDescent="0.25">
      <c r="B1169" s="3">
        <v>43969</v>
      </c>
      <c r="C1169" s="11">
        <v>3499</v>
      </c>
      <c r="E1169" s="17" t="s">
        <v>1123</v>
      </c>
      <c r="F1169" s="17"/>
      <c r="G1169" s="66"/>
      <c r="H1169"/>
      <c r="J1169" s="16">
        <v>216353183353</v>
      </c>
      <c r="K1169" s="16">
        <v>7079677389</v>
      </c>
    </row>
    <row r="1170" spans="2:11" x14ac:dyDescent="0.25">
      <c r="B1170" s="3">
        <v>43969</v>
      </c>
      <c r="C1170" s="11">
        <v>3500</v>
      </c>
      <c r="E1170" s="17" t="s">
        <v>1124</v>
      </c>
      <c r="F1170" s="17"/>
      <c r="G1170" s="66"/>
      <c r="H1170"/>
      <c r="J1170" s="16">
        <v>560418291845</v>
      </c>
      <c r="K1170" s="16">
        <v>9110977620</v>
      </c>
    </row>
    <row r="1171" spans="2:11" x14ac:dyDescent="0.25">
      <c r="B1171" s="3">
        <v>43969</v>
      </c>
      <c r="C1171" s="11">
        <v>3501</v>
      </c>
      <c r="E1171" s="17" t="s">
        <v>1125</v>
      </c>
      <c r="F1171" s="17"/>
      <c r="G1171" s="66"/>
      <c r="H1171"/>
      <c r="J1171" s="16">
        <v>697489033268</v>
      </c>
      <c r="K1171" s="16">
        <v>6206003607</v>
      </c>
    </row>
    <row r="1172" spans="2:11" x14ac:dyDescent="0.25">
      <c r="B1172" s="3">
        <v>43969</v>
      </c>
      <c r="C1172" s="11">
        <v>3502</v>
      </c>
      <c r="E1172" s="17" t="s">
        <v>1126</v>
      </c>
      <c r="F1172" s="17"/>
      <c r="G1172" s="66"/>
      <c r="H1172"/>
      <c r="J1172" s="16">
        <v>216710508020</v>
      </c>
      <c r="K1172" s="16">
        <v>9431370524</v>
      </c>
    </row>
    <row r="1173" spans="2:11" x14ac:dyDescent="0.25">
      <c r="B1173" s="3">
        <v>43969</v>
      </c>
      <c r="C1173" s="11">
        <v>3503</v>
      </c>
      <c r="E1173" s="17" t="s">
        <v>1127</v>
      </c>
      <c r="F1173" s="17"/>
      <c r="G1173" s="66"/>
      <c r="H1173"/>
      <c r="J1173" s="16">
        <v>996823706242</v>
      </c>
      <c r="K1173" s="16">
        <v>6204242524</v>
      </c>
    </row>
    <row r="1174" spans="2:11" x14ac:dyDescent="0.25">
      <c r="B1174" s="3">
        <v>43969</v>
      </c>
      <c r="C1174" s="11">
        <v>3504</v>
      </c>
      <c r="E1174" s="17" t="s">
        <v>1128</v>
      </c>
      <c r="F1174" s="17"/>
      <c r="G1174" s="66"/>
      <c r="H1174"/>
      <c r="J1174" s="16">
        <v>960799703218</v>
      </c>
      <c r="K1174" s="16">
        <v>9955487262</v>
      </c>
    </row>
    <row r="1175" spans="2:11" x14ac:dyDescent="0.25">
      <c r="B1175" s="3">
        <v>43969</v>
      </c>
      <c r="C1175" s="11">
        <v>3505</v>
      </c>
      <c r="E1175" s="17" t="s">
        <v>1129</v>
      </c>
      <c r="F1175" s="17"/>
      <c r="G1175" s="66"/>
      <c r="H1175"/>
      <c r="J1175" s="16">
        <v>323518143679</v>
      </c>
      <c r="K1175" s="16">
        <v>9204635413</v>
      </c>
    </row>
    <row r="1176" spans="2:11" x14ac:dyDescent="0.25">
      <c r="B1176" s="3">
        <v>43969</v>
      </c>
      <c r="C1176" s="11">
        <v>3507</v>
      </c>
      <c r="E1176" s="17" t="s">
        <v>1130</v>
      </c>
      <c r="F1176" s="17"/>
      <c r="G1176" s="66"/>
      <c r="H1176"/>
      <c r="J1176" s="16">
        <v>568188536291</v>
      </c>
      <c r="K1176" s="16">
        <v>7209581251</v>
      </c>
    </row>
    <row r="1177" spans="2:11" x14ac:dyDescent="0.25">
      <c r="B1177" s="3">
        <v>43969</v>
      </c>
      <c r="C1177" s="11">
        <v>3508</v>
      </c>
      <c r="E1177" s="17" t="s">
        <v>1131</v>
      </c>
      <c r="F1177" s="17"/>
      <c r="G1177" s="66"/>
      <c r="H1177"/>
      <c r="J1177" s="16"/>
      <c r="K1177" s="16"/>
    </row>
    <row r="1178" spans="2:11" x14ac:dyDescent="0.25">
      <c r="B1178" s="3">
        <v>43969</v>
      </c>
      <c r="C1178" s="11">
        <v>3513</v>
      </c>
      <c r="E1178" s="17" t="s">
        <v>1132</v>
      </c>
      <c r="F1178" s="17"/>
      <c r="G1178" s="66"/>
      <c r="H1178"/>
      <c r="J1178" s="16">
        <v>698877792456</v>
      </c>
      <c r="K1178" s="16">
        <v>9507692003</v>
      </c>
    </row>
    <row r="1179" spans="2:11" x14ac:dyDescent="0.25">
      <c r="B1179" s="3">
        <v>43969</v>
      </c>
      <c r="C1179" s="11">
        <v>3515</v>
      </c>
      <c r="E1179" s="17" t="s">
        <v>1133</v>
      </c>
      <c r="F1179" s="17"/>
      <c r="G1179" s="66"/>
      <c r="H1179"/>
      <c r="J1179" s="16">
        <v>347942166886</v>
      </c>
      <c r="K1179" s="16">
        <v>9693003878</v>
      </c>
    </row>
    <row r="1180" spans="2:11" x14ac:dyDescent="0.25">
      <c r="B1180" s="3">
        <v>43969</v>
      </c>
      <c r="C1180" s="11">
        <v>3517</v>
      </c>
      <c r="E1180" s="17" t="s">
        <v>1134</v>
      </c>
      <c r="F1180" s="17"/>
      <c r="G1180" s="66"/>
      <c r="H1180"/>
      <c r="J1180" s="16">
        <v>271456252975</v>
      </c>
      <c r="K1180" s="16">
        <v>9113305845</v>
      </c>
    </row>
    <row r="1181" spans="2:11" x14ac:dyDescent="0.25">
      <c r="B1181" s="3">
        <v>43969</v>
      </c>
      <c r="C1181" s="11">
        <v>3520</v>
      </c>
      <c r="E1181" s="17" t="s">
        <v>1135</v>
      </c>
      <c r="F1181" s="17"/>
      <c r="G1181" s="66"/>
      <c r="H1181"/>
      <c r="J1181" s="16">
        <v>390602469415</v>
      </c>
      <c r="K1181" s="16">
        <v>6206956100</v>
      </c>
    </row>
    <row r="1182" spans="2:11" x14ac:dyDescent="0.25">
      <c r="B1182" s="3">
        <v>43969</v>
      </c>
      <c r="C1182" s="11">
        <v>3521</v>
      </c>
      <c r="E1182" s="17" t="s">
        <v>1136</v>
      </c>
      <c r="F1182" s="17"/>
      <c r="G1182" s="66"/>
      <c r="H1182"/>
      <c r="J1182" s="16">
        <v>679257950140</v>
      </c>
      <c r="K1182" s="16">
        <v>7209922404</v>
      </c>
    </row>
    <row r="1183" spans="2:11" x14ac:dyDescent="0.25">
      <c r="B1183" s="3">
        <v>43969</v>
      </c>
      <c r="C1183" s="11">
        <v>3523</v>
      </c>
      <c r="E1183" s="17" t="s">
        <v>1137</v>
      </c>
      <c r="F1183" s="17"/>
      <c r="G1183" s="66"/>
      <c r="H1183"/>
      <c r="J1183" s="16">
        <v>369200140148</v>
      </c>
      <c r="K1183" s="16">
        <v>9709213736</v>
      </c>
    </row>
    <row r="1184" spans="2:11" x14ac:dyDescent="0.25">
      <c r="B1184" s="3">
        <v>43969</v>
      </c>
      <c r="C1184" s="11">
        <v>3529</v>
      </c>
      <c r="E1184" s="17" t="s">
        <v>234</v>
      </c>
      <c r="F1184" s="17"/>
      <c r="G1184" s="66"/>
      <c r="H1184"/>
      <c r="J1184" s="16">
        <v>994302300244</v>
      </c>
      <c r="K1184" s="16">
        <v>7488605735</v>
      </c>
    </row>
    <row r="1185" spans="1:13" x14ac:dyDescent="0.25">
      <c r="B1185" s="3">
        <v>43969</v>
      </c>
      <c r="C1185" s="11">
        <v>3531</v>
      </c>
      <c r="E1185" s="17" t="s">
        <v>1138</v>
      </c>
      <c r="F1185" s="17"/>
      <c r="G1185" s="66"/>
      <c r="H1185"/>
      <c r="J1185" s="16">
        <v>428787354508</v>
      </c>
      <c r="K1185" s="16">
        <v>6200627860</v>
      </c>
    </row>
    <row r="1186" spans="1:13" x14ac:dyDescent="0.25">
      <c r="B1186" s="3">
        <v>43969</v>
      </c>
      <c r="C1186" s="11">
        <v>3533</v>
      </c>
      <c r="E1186" s="17" t="s">
        <v>1139</v>
      </c>
      <c r="F1186" s="17"/>
      <c r="G1186" s="66"/>
      <c r="H1186"/>
      <c r="J1186" s="16">
        <v>238087812339</v>
      </c>
      <c r="K1186" s="16">
        <v>9262387788</v>
      </c>
    </row>
    <row r="1187" spans="1:13" x14ac:dyDescent="0.25">
      <c r="B1187" s="3">
        <v>43969</v>
      </c>
      <c r="C1187" s="11">
        <v>3537</v>
      </c>
      <c r="E1187" s="17" t="s">
        <v>1140</v>
      </c>
      <c r="F1187" s="17"/>
      <c r="G1187" s="66"/>
      <c r="H1187"/>
      <c r="J1187" s="16">
        <v>758705515703</v>
      </c>
      <c r="K1187" s="16">
        <v>8252201211</v>
      </c>
    </row>
    <row r="1188" spans="1:13" x14ac:dyDescent="0.25">
      <c r="B1188" s="3">
        <v>43969</v>
      </c>
      <c r="C1188" s="11">
        <v>3539</v>
      </c>
      <c r="E1188" s="17" t="s">
        <v>1141</v>
      </c>
      <c r="F1188" s="17"/>
      <c r="G1188" s="66"/>
      <c r="H1188"/>
      <c r="J1188" s="16">
        <v>773086453630</v>
      </c>
      <c r="K1188" s="16">
        <v>9031736067</v>
      </c>
    </row>
    <row r="1189" spans="1:13" x14ac:dyDescent="0.25">
      <c r="B1189" s="3">
        <v>43969</v>
      </c>
      <c r="C1189" s="11">
        <v>3542</v>
      </c>
      <c r="E1189" s="17" t="s">
        <v>1142</v>
      </c>
      <c r="F1189" s="17"/>
      <c r="G1189" s="66"/>
      <c r="H1189"/>
      <c r="J1189" s="16">
        <v>438519272443</v>
      </c>
      <c r="K1189" s="16">
        <v>9264483410</v>
      </c>
    </row>
    <row r="1190" spans="1:13" x14ac:dyDescent="0.25">
      <c r="B1190" s="3">
        <v>43969</v>
      </c>
      <c r="C1190" s="11">
        <v>3545</v>
      </c>
      <c r="E1190" s="17" t="s">
        <v>1143</v>
      </c>
      <c r="F1190" s="17"/>
      <c r="G1190" s="66"/>
      <c r="H1190"/>
      <c r="J1190" s="16">
        <v>798432525513</v>
      </c>
      <c r="K1190" s="16">
        <v>8235228540</v>
      </c>
    </row>
    <row r="1191" spans="1:13" x14ac:dyDescent="0.25">
      <c r="B1191" s="3">
        <v>43969</v>
      </c>
      <c r="C1191" s="11">
        <v>3548</v>
      </c>
      <c r="E1191" s="17" t="s">
        <v>1144</v>
      </c>
      <c r="F1191" s="17"/>
      <c r="G1191" s="66"/>
      <c r="H1191"/>
      <c r="J1191" s="16">
        <v>902567335138</v>
      </c>
      <c r="K1191" s="16">
        <v>9934326632</v>
      </c>
    </row>
    <row r="1192" spans="1:13" x14ac:dyDescent="0.25">
      <c r="B1192" s="3">
        <v>43969</v>
      </c>
      <c r="C1192" s="11">
        <v>3551</v>
      </c>
      <c r="E1192" s="17" t="s">
        <v>1145</v>
      </c>
      <c r="F1192" s="17"/>
      <c r="G1192" s="66"/>
      <c r="H1192"/>
      <c r="J1192" s="16">
        <v>665473407296</v>
      </c>
      <c r="K1192" s="16">
        <v>8092724989</v>
      </c>
    </row>
    <row r="1193" spans="1:13" x14ac:dyDescent="0.25">
      <c r="B1193" s="3">
        <v>43969</v>
      </c>
      <c r="C1193" s="11">
        <v>3554</v>
      </c>
      <c r="E1193" s="17" t="s">
        <v>1146</v>
      </c>
      <c r="F1193" s="17"/>
      <c r="G1193" s="66"/>
      <c r="H1193"/>
      <c r="J1193" s="16">
        <v>701210620846</v>
      </c>
      <c r="K1193" s="16">
        <v>8210704834</v>
      </c>
    </row>
    <row r="1194" spans="1:13" x14ac:dyDescent="0.25">
      <c r="B1194" s="3">
        <v>43969</v>
      </c>
      <c r="C1194" s="11">
        <v>3557</v>
      </c>
      <c r="E1194" s="17" t="s">
        <v>1147</v>
      </c>
      <c r="F1194" s="17"/>
      <c r="G1194" s="66"/>
      <c r="H1194"/>
      <c r="J1194" s="16">
        <v>261652076977</v>
      </c>
      <c r="K1194" s="16">
        <v>9771417917</v>
      </c>
    </row>
    <row r="1195" spans="1:13" x14ac:dyDescent="0.25">
      <c r="B1195" s="3">
        <v>43969</v>
      </c>
      <c r="C1195" s="11">
        <v>3562</v>
      </c>
      <c r="E1195" s="17" t="s">
        <v>1059</v>
      </c>
      <c r="F1195" s="17"/>
      <c r="G1195" s="66"/>
      <c r="H1195"/>
      <c r="J1195" s="16">
        <v>908798732579</v>
      </c>
      <c r="K1195" s="16">
        <v>7033179949</v>
      </c>
    </row>
    <row r="1196" spans="1:13" x14ac:dyDescent="0.25">
      <c r="A1196">
        <v>1309</v>
      </c>
      <c r="B1196" s="3">
        <v>44014</v>
      </c>
      <c r="C1196" s="11">
        <v>4120</v>
      </c>
      <c r="E1196" s="17" t="s">
        <v>1179</v>
      </c>
      <c r="F1196" s="17"/>
      <c r="G1196" s="18">
        <v>28068</v>
      </c>
      <c r="H1196" s="4" t="s">
        <v>1181</v>
      </c>
      <c r="I1196" s="4">
        <v>200</v>
      </c>
      <c r="J1196" s="11" t="s">
        <v>1183</v>
      </c>
      <c r="K1196" s="11" t="s">
        <v>1184</v>
      </c>
    </row>
    <row r="1197" spans="1:13" x14ac:dyDescent="0.25">
      <c r="A1197">
        <v>1310</v>
      </c>
      <c r="B1197" s="3">
        <v>44014</v>
      </c>
      <c r="C1197" s="11">
        <v>4121</v>
      </c>
      <c r="E1197" s="17" t="s">
        <v>1180</v>
      </c>
      <c r="F1197" s="17"/>
      <c r="G1197" s="18">
        <v>21307</v>
      </c>
      <c r="H1197" s="4" t="s">
        <v>1162</v>
      </c>
      <c r="I1197" s="4">
        <v>200</v>
      </c>
      <c r="J1197" s="11" t="s">
        <v>1185</v>
      </c>
      <c r="K1197" s="11" t="s">
        <v>1186</v>
      </c>
      <c r="L1197" s="3">
        <v>44016</v>
      </c>
    </row>
    <row r="1198" spans="1:13" x14ac:dyDescent="0.25">
      <c r="A1198">
        <v>1011</v>
      </c>
      <c r="B1198" s="3">
        <v>44014</v>
      </c>
      <c r="C1198" s="11">
        <v>4124</v>
      </c>
      <c r="E1198" s="17" t="s">
        <v>1193</v>
      </c>
      <c r="F1198" s="17"/>
      <c r="H1198" s="4" t="s">
        <v>1194</v>
      </c>
      <c r="I1198" s="4">
        <v>100</v>
      </c>
      <c r="J1198" s="11" t="s">
        <v>1198</v>
      </c>
      <c r="K1198" s="11" t="s">
        <v>1197</v>
      </c>
    </row>
    <row r="1199" spans="1:13" x14ac:dyDescent="0.25">
      <c r="A1199">
        <v>1312</v>
      </c>
      <c r="B1199" s="3">
        <v>44015</v>
      </c>
      <c r="C1199" s="11">
        <v>4125</v>
      </c>
      <c r="E1199" s="17" t="s">
        <v>1188</v>
      </c>
      <c r="F1199" s="17"/>
      <c r="I1199" s="4">
        <v>200</v>
      </c>
      <c r="J1199" s="11" t="s">
        <v>1200</v>
      </c>
      <c r="K1199" s="11" t="s">
        <v>1199</v>
      </c>
      <c r="L1199" s="3">
        <v>44016</v>
      </c>
    </row>
    <row r="1200" spans="1:13" x14ac:dyDescent="0.25">
      <c r="A1200">
        <v>1313</v>
      </c>
      <c r="B1200" s="3">
        <v>44015</v>
      </c>
      <c r="C1200" s="11">
        <v>4126</v>
      </c>
      <c r="E1200" s="17" t="s">
        <v>1189</v>
      </c>
      <c r="F1200" s="17"/>
      <c r="G1200" s="18">
        <v>31048</v>
      </c>
      <c r="I1200" s="4">
        <v>200</v>
      </c>
      <c r="J1200" s="11" t="s">
        <v>1202</v>
      </c>
      <c r="K1200" s="11" t="s">
        <v>1201</v>
      </c>
      <c r="L1200" s="3">
        <v>44016</v>
      </c>
      <c r="M1200" s="3">
        <v>44016</v>
      </c>
    </row>
    <row r="1201" spans="1:15" x14ac:dyDescent="0.25">
      <c r="A1201">
        <v>1314</v>
      </c>
      <c r="B1201" s="3">
        <v>44015</v>
      </c>
      <c r="C1201" s="11">
        <v>4127</v>
      </c>
      <c r="E1201" s="17" t="s">
        <v>1190</v>
      </c>
      <c r="F1201" s="17"/>
      <c r="I1201" s="4">
        <v>200</v>
      </c>
      <c r="J1201" s="11" t="s">
        <v>1204</v>
      </c>
      <c r="K1201" s="11" t="s">
        <v>1203</v>
      </c>
      <c r="L1201" s="3">
        <v>44016</v>
      </c>
      <c r="M1201" s="3">
        <v>44016</v>
      </c>
    </row>
    <row r="1202" spans="1:15" x14ac:dyDescent="0.25">
      <c r="A1202">
        <v>1315</v>
      </c>
      <c r="B1202" s="3">
        <v>44016</v>
      </c>
      <c r="C1202" s="11">
        <v>4128</v>
      </c>
      <c r="E1202" s="17" t="s">
        <v>1191</v>
      </c>
      <c r="F1202" s="17"/>
      <c r="G1202" s="18">
        <v>35306</v>
      </c>
      <c r="H1202" s="4" t="s">
        <v>1162</v>
      </c>
      <c r="I1202" s="4">
        <v>200</v>
      </c>
      <c r="J1202" s="11" t="s">
        <v>1206</v>
      </c>
      <c r="K1202" s="11" t="s">
        <v>1205</v>
      </c>
      <c r="L1202" s="3">
        <v>44016</v>
      </c>
      <c r="M1202" s="3">
        <v>44016</v>
      </c>
      <c r="N1202" s="3">
        <v>44016</v>
      </c>
    </row>
    <row r="1203" spans="1:15" x14ac:dyDescent="0.25">
      <c r="A1203">
        <v>1316</v>
      </c>
      <c r="B1203" s="3">
        <v>44016</v>
      </c>
      <c r="C1203" s="11">
        <v>4129</v>
      </c>
      <c r="E1203" s="17" t="s">
        <v>1192</v>
      </c>
      <c r="F1203" s="17"/>
      <c r="I1203" s="4">
        <v>200</v>
      </c>
      <c r="J1203" s="11" t="s">
        <v>1208</v>
      </c>
      <c r="K1203" s="11" t="s">
        <v>1207</v>
      </c>
      <c r="L1203" s="3">
        <v>44016</v>
      </c>
    </row>
    <row r="1204" spans="1:15" x14ac:dyDescent="0.25">
      <c r="A1204">
        <v>1317</v>
      </c>
      <c r="B1204" s="3">
        <v>44016</v>
      </c>
      <c r="C1204" s="11">
        <v>4130</v>
      </c>
      <c r="E1204" s="17" t="s">
        <v>1195</v>
      </c>
      <c r="F1204" s="17"/>
      <c r="I1204" s="4">
        <v>200</v>
      </c>
      <c r="J1204" s="11" t="s">
        <v>1210</v>
      </c>
      <c r="K1204" s="11" t="s">
        <v>1209</v>
      </c>
      <c r="L1204" s="3">
        <v>44016</v>
      </c>
      <c r="M1204" s="3">
        <v>44016</v>
      </c>
    </row>
    <row r="1205" spans="1:15" x14ac:dyDescent="0.25">
      <c r="A1205">
        <v>1318</v>
      </c>
      <c r="B1205" s="3">
        <v>44016</v>
      </c>
      <c r="C1205" s="11">
        <v>4136</v>
      </c>
      <c r="E1205" s="17" t="s">
        <v>1196</v>
      </c>
      <c r="F1205" s="17"/>
      <c r="G1205" s="18">
        <v>36486</v>
      </c>
      <c r="H1205" s="4" t="s">
        <v>1181</v>
      </c>
      <c r="I1205" s="4">
        <v>200</v>
      </c>
      <c r="J1205" s="11" t="s">
        <v>1212</v>
      </c>
      <c r="K1205" s="11" t="s">
        <v>1211</v>
      </c>
    </row>
    <row r="1206" spans="1:15" x14ac:dyDescent="0.25">
      <c r="A1206">
        <v>1319</v>
      </c>
      <c r="B1206" s="3">
        <v>44019</v>
      </c>
      <c r="C1206" s="11">
        <v>4138</v>
      </c>
      <c r="E1206" s="17" t="s">
        <v>337</v>
      </c>
      <c r="F1206" s="17"/>
      <c r="G1206" s="18">
        <v>30317</v>
      </c>
      <c r="H1206" s="4" t="s">
        <v>1215</v>
      </c>
      <c r="I1206" s="4">
        <v>400</v>
      </c>
      <c r="J1206" s="11" t="s">
        <v>1222</v>
      </c>
      <c r="K1206" s="11" t="s">
        <v>1221</v>
      </c>
      <c r="L1206" s="3">
        <v>44019</v>
      </c>
      <c r="M1206" s="3">
        <v>44019</v>
      </c>
      <c r="N1206" s="3">
        <v>44019</v>
      </c>
      <c r="O1206" s="4" t="s">
        <v>14</v>
      </c>
    </row>
    <row r="1207" spans="1:15" x14ac:dyDescent="0.25">
      <c r="A1207">
        <v>1320</v>
      </c>
      <c r="B1207" s="3">
        <v>44019</v>
      </c>
      <c r="C1207" s="11">
        <v>4139</v>
      </c>
      <c r="E1207" s="17" t="s">
        <v>1216</v>
      </c>
      <c r="F1207" s="17"/>
      <c r="G1207" s="18">
        <v>37415</v>
      </c>
      <c r="H1207" s="4" t="s">
        <v>1217</v>
      </c>
      <c r="I1207" s="4">
        <v>100</v>
      </c>
      <c r="J1207" s="11" t="s">
        <v>1226</v>
      </c>
      <c r="K1207" s="11" t="s">
        <v>1225</v>
      </c>
      <c r="L1207" s="3">
        <v>44019</v>
      </c>
      <c r="M1207" s="3"/>
    </row>
    <row r="1208" spans="1:15" x14ac:dyDescent="0.25">
      <c r="A1208">
        <v>1321</v>
      </c>
      <c r="B1208" s="3">
        <v>44020</v>
      </c>
      <c r="C1208" s="11">
        <v>4141</v>
      </c>
      <c r="E1208" s="17" t="s">
        <v>1224</v>
      </c>
      <c r="F1208" s="17"/>
      <c r="G1208" s="18">
        <v>24965</v>
      </c>
      <c r="H1208" s="4" t="s">
        <v>1220</v>
      </c>
      <c r="I1208" s="4">
        <v>100</v>
      </c>
      <c r="J1208" s="11" t="s">
        <v>1228</v>
      </c>
      <c r="K1208" s="11" t="s">
        <v>1227</v>
      </c>
      <c r="L1208" s="3">
        <v>44020</v>
      </c>
    </row>
    <row r="1209" spans="1:15" x14ac:dyDescent="0.25">
      <c r="A1209">
        <v>1322</v>
      </c>
      <c r="B1209" s="3">
        <v>44020</v>
      </c>
      <c r="C1209" s="11">
        <v>4142</v>
      </c>
      <c r="E1209" s="17" t="s">
        <v>225</v>
      </c>
      <c r="F1209" s="17"/>
      <c r="G1209" s="18">
        <v>36892</v>
      </c>
      <c r="H1209" s="4" t="s">
        <v>1162</v>
      </c>
      <c r="I1209" s="4">
        <v>400</v>
      </c>
      <c r="J1209" s="11" t="s">
        <v>1230</v>
      </c>
      <c r="K1209" s="11" t="s">
        <v>1229</v>
      </c>
      <c r="L1209" s="3">
        <v>44020</v>
      </c>
      <c r="M1209" s="3">
        <v>44020</v>
      </c>
    </row>
    <row r="1210" spans="1:15" x14ac:dyDescent="0.25">
      <c r="A1210">
        <v>1323</v>
      </c>
      <c r="B1210" s="3">
        <v>44020</v>
      </c>
      <c r="C1210" s="11">
        <v>4143</v>
      </c>
      <c r="E1210" s="17" t="s">
        <v>1223</v>
      </c>
      <c r="F1210" s="17"/>
      <c r="G1210" s="18">
        <v>32149</v>
      </c>
      <c r="H1210" s="4" t="s">
        <v>1162</v>
      </c>
      <c r="I1210" s="4">
        <v>100</v>
      </c>
      <c r="J1210" s="11" t="s">
        <v>1232</v>
      </c>
      <c r="K1210" s="11" t="s">
        <v>1231</v>
      </c>
      <c r="L1210" s="3">
        <v>44020</v>
      </c>
    </row>
    <row r="1211" spans="1:15" x14ac:dyDescent="0.25">
      <c r="A1211">
        <v>1324</v>
      </c>
      <c r="B1211" s="3">
        <v>44021</v>
      </c>
      <c r="C1211" s="11">
        <v>4145</v>
      </c>
      <c r="E1211" s="17" t="s">
        <v>1233</v>
      </c>
      <c r="F1211" s="17"/>
      <c r="G1211" s="18">
        <v>33034</v>
      </c>
      <c r="H1211" s="4" t="s">
        <v>1234</v>
      </c>
      <c r="I1211" s="4">
        <v>500</v>
      </c>
      <c r="J1211" s="11" t="s">
        <v>1239</v>
      </c>
      <c r="K1211" s="11" t="s">
        <v>1240</v>
      </c>
      <c r="L1211" s="3">
        <v>44021</v>
      </c>
      <c r="M1211" s="3">
        <v>44021</v>
      </c>
      <c r="O1211" s="4" t="s">
        <v>14</v>
      </c>
    </row>
    <row r="1212" spans="1:15" x14ac:dyDescent="0.25">
      <c r="A1212">
        <v>1325</v>
      </c>
      <c r="B1212" s="3">
        <v>44029</v>
      </c>
      <c r="C1212" s="11">
        <v>4152</v>
      </c>
      <c r="E1212" s="17" t="s">
        <v>1235</v>
      </c>
      <c r="F1212" s="17"/>
      <c r="G1212" s="18">
        <v>29204</v>
      </c>
      <c r="H1212" s="4" t="s">
        <v>1236</v>
      </c>
      <c r="I1212" s="4">
        <v>500</v>
      </c>
      <c r="J1212" s="11" t="s">
        <v>1237</v>
      </c>
      <c r="K1212" s="11" t="s">
        <v>1238</v>
      </c>
      <c r="L1212" s="3">
        <v>44029</v>
      </c>
      <c r="M1212" s="3">
        <v>44029</v>
      </c>
      <c r="O1212" s="4" t="s">
        <v>14</v>
      </c>
    </row>
    <row r="1213" spans="1:15" x14ac:dyDescent="0.25">
      <c r="A1213">
        <v>1326</v>
      </c>
      <c r="B1213" s="3">
        <v>44030</v>
      </c>
      <c r="C1213" s="11">
        <v>4155</v>
      </c>
      <c r="E1213" s="17" t="s">
        <v>1241</v>
      </c>
      <c r="F1213" s="17"/>
      <c r="H1213" s="4" t="s">
        <v>1236</v>
      </c>
      <c r="I1213" s="4">
        <v>500</v>
      </c>
      <c r="L1213" s="3">
        <v>44030</v>
      </c>
    </row>
    <row r="1214" spans="1:15" x14ac:dyDescent="0.25">
      <c r="A1214">
        <v>1327</v>
      </c>
      <c r="B1214" s="3">
        <v>44030</v>
      </c>
      <c r="C1214" s="11">
        <v>4156</v>
      </c>
      <c r="E1214" s="17" t="s">
        <v>1242</v>
      </c>
      <c r="F1214" s="17"/>
      <c r="G1214" s="18">
        <v>37914</v>
      </c>
      <c r="H1214" s="4" t="s">
        <v>1236</v>
      </c>
      <c r="I1214" s="23">
        <v>500</v>
      </c>
      <c r="L1214" s="4" t="s">
        <v>1243</v>
      </c>
    </row>
    <row r="1215" spans="1:15" x14ac:dyDescent="0.25">
      <c r="A1215">
        <v>1328</v>
      </c>
      <c r="B1215" s="3">
        <v>44033</v>
      </c>
      <c r="C1215" s="11">
        <v>4157</v>
      </c>
      <c r="E1215" s="17" t="s">
        <v>908</v>
      </c>
      <c r="F1215" s="17"/>
      <c r="G1215" s="18">
        <v>32644</v>
      </c>
      <c r="H1215" s="4" t="s">
        <v>1220</v>
      </c>
      <c r="I1215" s="4">
        <v>500</v>
      </c>
      <c r="J1215" s="11" t="s">
        <v>1296</v>
      </c>
      <c r="K1215" s="11" t="s">
        <v>1297</v>
      </c>
      <c r="L1215" s="3">
        <v>44032</v>
      </c>
      <c r="M1215" s="4" t="s">
        <v>1174</v>
      </c>
    </row>
    <row r="1216" spans="1:15" x14ac:dyDescent="0.25">
      <c r="A1216">
        <v>1329</v>
      </c>
      <c r="B1216" s="3">
        <v>44033</v>
      </c>
      <c r="C1216" s="11">
        <v>4158</v>
      </c>
      <c r="E1216" s="17" t="s">
        <v>1244</v>
      </c>
      <c r="F1216" s="17"/>
      <c r="G1216" s="18">
        <v>27003</v>
      </c>
      <c r="H1216" s="4" t="s">
        <v>1245</v>
      </c>
      <c r="I1216" s="4">
        <v>1000</v>
      </c>
      <c r="L1216" s="3">
        <v>44032</v>
      </c>
      <c r="M1216" s="3">
        <v>44032</v>
      </c>
    </row>
    <row r="1217" spans="1:15" x14ac:dyDescent="0.25">
      <c r="A1217">
        <v>1330</v>
      </c>
      <c r="B1217" s="3">
        <v>44033</v>
      </c>
      <c r="C1217" s="11">
        <v>4159</v>
      </c>
      <c r="E1217" s="17" t="s">
        <v>1246</v>
      </c>
      <c r="F1217" s="17"/>
      <c r="G1217" s="18">
        <v>23743</v>
      </c>
      <c r="H1217" s="4" t="s">
        <v>1247</v>
      </c>
      <c r="I1217" s="4">
        <v>500</v>
      </c>
      <c r="J1217" s="11" t="s">
        <v>1360</v>
      </c>
      <c r="K1217" s="11" t="s">
        <v>1361</v>
      </c>
      <c r="L1217" s="3">
        <v>44035</v>
      </c>
    </row>
    <row r="1218" spans="1:15" x14ac:dyDescent="0.25">
      <c r="A1218">
        <v>1331</v>
      </c>
      <c r="B1218" s="3">
        <v>44033</v>
      </c>
      <c r="C1218" s="11">
        <v>4160</v>
      </c>
      <c r="E1218" s="17" t="s">
        <v>1248</v>
      </c>
      <c r="F1218" s="17"/>
      <c r="G1218" s="18">
        <v>26969</v>
      </c>
      <c r="H1218" s="4" t="s">
        <v>1249</v>
      </c>
      <c r="I1218" s="4">
        <v>300</v>
      </c>
      <c r="L1218" s="3">
        <v>44035</v>
      </c>
    </row>
    <row r="1219" spans="1:15" x14ac:dyDescent="0.25">
      <c r="A1219">
        <v>1332</v>
      </c>
      <c r="B1219" s="3">
        <v>44033</v>
      </c>
      <c r="C1219" s="11">
        <v>4161</v>
      </c>
      <c r="E1219" s="17" t="s">
        <v>1250</v>
      </c>
      <c r="F1219" s="17"/>
      <c r="G1219" s="18">
        <v>36911</v>
      </c>
      <c r="H1219" s="4" t="s">
        <v>1251</v>
      </c>
      <c r="I1219" s="4">
        <v>500</v>
      </c>
    </row>
    <row r="1220" spans="1:15" x14ac:dyDescent="0.25">
      <c r="A1220">
        <v>1333</v>
      </c>
      <c r="B1220" s="3">
        <v>44033</v>
      </c>
      <c r="C1220" s="11">
        <v>4162</v>
      </c>
      <c r="E1220" s="17" t="s">
        <v>1306</v>
      </c>
      <c r="F1220" s="17"/>
      <c r="G1220" s="18">
        <v>36978</v>
      </c>
      <c r="H1220" s="4" t="s">
        <v>1252</v>
      </c>
      <c r="I1220" s="4">
        <v>400</v>
      </c>
    </row>
    <row r="1221" spans="1:15" x14ac:dyDescent="0.25">
      <c r="A1221">
        <v>1334</v>
      </c>
      <c r="B1221" s="3">
        <v>44034</v>
      </c>
      <c r="C1221" s="11">
        <v>4163</v>
      </c>
      <c r="E1221" s="17" t="s">
        <v>1254</v>
      </c>
      <c r="F1221" s="17"/>
      <c r="G1221" s="18">
        <v>34721</v>
      </c>
      <c r="H1221" s="4" t="s">
        <v>1255</v>
      </c>
      <c r="I1221" s="4">
        <v>4000</v>
      </c>
      <c r="J1221" s="11" t="s">
        <v>4203</v>
      </c>
      <c r="K1221" s="11" t="s">
        <v>4202</v>
      </c>
      <c r="O1221" s="4" t="s">
        <v>16</v>
      </c>
    </row>
    <row r="1222" spans="1:15" x14ac:dyDescent="0.25">
      <c r="A1222">
        <v>1335</v>
      </c>
      <c r="B1222" s="3">
        <v>44035</v>
      </c>
      <c r="C1222" s="11">
        <v>4164</v>
      </c>
      <c r="E1222" s="17" t="s">
        <v>1256</v>
      </c>
      <c r="F1222" s="17"/>
      <c r="G1222" s="18">
        <v>24806</v>
      </c>
      <c r="H1222" s="4" t="s">
        <v>1257</v>
      </c>
      <c r="I1222" s="4">
        <v>300</v>
      </c>
    </row>
    <row r="1223" spans="1:15" x14ac:dyDescent="0.25">
      <c r="A1223">
        <v>1336</v>
      </c>
      <c r="B1223" s="3">
        <v>44035</v>
      </c>
      <c r="C1223" s="11">
        <v>4165</v>
      </c>
      <c r="E1223" s="17" t="s">
        <v>1258</v>
      </c>
      <c r="F1223" s="17"/>
      <c r="G1223" s="18">
        <v>37490</v>
      </c>
      <c r="H1223" s="4" t="s">
        <v>1257</v>
      </c>
      <c r="I1223" s="4">
        <v>200</v>
      </c>
    </row>
    <row r="1224" spans="1:15" x14ac:dyDescent="0.25">
      <c r="A1224">
        <v>1338</v>
      </c>
      <c r="B1224" s="3">
        <v>44039</v>
      </c>
      <c r="C1224" s="11">
        <v>4166</v>
      </c>
      <c r="E1224" s="17" t="s">
        <v>1263</v>
      </c>
      <c r="F1224" s="17"/>
      <c r="G1224" s="18">
        <v>34764</v>
      </c>
      <c r="H1224" s="4" t="s">
        <v>1261</v>
      </c>
      <c r="I1224" s="4">
        <v>200</v>
      </c>
      <c r="J1224" s="11" t="s">
        <v>1264</v>
      </c>
      <c r="K1224" s="11" t="s">
        <v>1265</v>
      </c>
      <c r="L1224" s="3">
        <v>44039</v>
      </c>
    </row>
    <row r="1225" spans="1:15" x14ac:dyDescent="0.25">
      <c r="A1225">
        <v>1339</v>
      </c>
      <c r="B1225" s="3">
        <v>44040</v>
      </c>
      <c r="C1225" s="11">
        <v>4167</v>
      </c>
      <c r="E1225" s="17" t="s">
        <v>1266</v>
      </c>
      <c r="F1225" s="17"/>
      <c r="G1225" s="18">
        <v>30990</v>
      </c>
      <c r="H1225" s="4" t="s">
        <v>1220</v>
      </c>
      <c r="I1225" s="4">
        <v>150</v>
      </c>
      <c r="J1225" s="11" t="s">
        <v>1267</v>
      </c>
      <c r="K1225" s="11" t="s">
        <v>1268</v>
      </c>
      <c r="L1225" s="3">
        <v>44040</v>
      </c>
    </row>
    <row r="1226" spans="1:15" x14ac:dyDescent="0.25">
      <c r="A1226">
        <v>1340</v>
      </c>
      <c r="B1226" s="3">
        <v>44041</v>
      </c>
      <c r="C1226" s="11">
        <v>4168</v>
      </c>
      <c r="E1226" s="17" t="s">
        <v>1269</v>
      </c>
      <c r="F1226" s="17"/>
      <c r="G1226" s="18">
        <v>36130</v>
      </c>
      <c r="H1226" s="4" t="s">
        <v>1162</v>
      </c>
      <c r="I1226" s="11" t="s">
        <v>1270</v>
      </c>
      <c r="J1226" s="11" t="s">
        <v>1271</v>
      </c>
      <c r="K1226" s="11" t="s">
        <v>1272</v>
      </c>
      <c r="L1226" s="3">
        <v>44041</v>
      </c>
      <c r="M1226" s="3">
        <v>44041</v>
      </c>
    </row>
    <row r="1227" spans="1:15" x14ac:dyDescent="0.25">
      <c r="A1227">
        <v>1341</v>
      </c>
      <c r="B1227" s="3">
        <v>44041</v>
      </c>
      <c r="C1227" s="11">
        <v>4169</v>
      </c>
      <c r="E1227" s="17" t="s">
        <v>1273</v>
      </c>
      <c r="F1227" s="17"/>
      <c r="G1227" s="18">
        <v>39073</v>
      </c>
      <c r="H1227" s="4" t="s">
        <v>1170</v>
      </c>
      <c r="I1227" s="4">
        <v>100</v>
      </c>
      <c r="J1227" s="11" t="s">
        <v>1275</v>
      </c>
      <c r="K1227" s="11" t="s">
        <v>1274</v>
      </c>
    </row>
    <row r="1228" spans="1:15" x14ac:dyDescent="0.25">
      <c r="A1228">
        <v>1342</v>
      </c>
      <c r="B1228" s="3">
        <v>44042</v>
      </c>
      <c r="C1228" s="11">
        <v>4170</v>
      </c>
      <c r="E1228" s="17" t="s">
        <v>1276</v>
      </c>
      <c r="F1228" s="17"/>
      <c r="G1228" s="18">
        <v>24838</v>
      </c>
      <c r="H1228" s="4" t="s">
        <v>1277</v>
      </c>
      <c r="I1228" s="4">
        <v>400</v>
      </c>
      <c r="J1228" s="11" t="s">
        <v>1279</v>
      </c>
      <c r="K1228" s="11" t="s">
        <v>1278</v>
      </c>
      <c r="L1228" s="3">
        <v>44042</v>
      </c>
      <c r="M1228" s="4" t="s">
        <v>1280</v>
      </c>
      <c r="O1228" s="4" t="s">
        <v>14</v>
      </c>
    </row>
    <row r="1229" spans="1:15" x14ac:dyDescent="0.25">
      <c r="A1229">
        <v>1343</v>
      </c>
      <c r="B1229" s="3">
        <v>44048</v>
      </c>
      <c r="C1229" s="11">
        <v>4171</v>
      </c>
      <c r="E1229" s="17" t="s">
        <v>1283</v>
      </c>
      <c r="F1229" s="17"/>
      <c r="G1229" s="18">
        <v>38515</v>
      </c>
      <c r="H1229" s="4" t="s">
        <v>1284</v>
      </c>
      <c r="I1229" s="4">
        <v>200</v>
      </c>
      <c r="L1229" s="4" t="s">
        <v>1280</v>
      </c>
      <c r="M1229" s="4" t="s">
        <v>1280</v>
      </c>
    </row>
    <row r="1230" spans="1:15" x14ac:dyDescent="0.25">
      <c r="A1230">
        <v>1344</v>
      </c>
      <c r="B1230" s="3">
        <v>44049</v>
      </c>
      <c r="C1230" s="11">
        <v>4172</v>
      </c>
      <c r="E1230" s="17" t="s">
        <v>1288</v>
      </c>
      <c r="F1230" s="17"/>
      <c r="G1230" s="18">
        <v>24121</v>
      </c>
      <c r="H1230" s="4" t="s">
        <v>1289</v>
      </c>
      <c r="I1230" s="4">
        <v>300</v>
      </c>
      <c r="J1230" s="11" t="s">
        <v>1290</v>
      </c>
      <c r="L1230" s="3">
        <v>44049</v>
      </c>
    </row>
    <row r="1231" spans="1:15" x14ac:dyDescent="0.25">
      <c r="A1231">
        <v>1345</v>
      </c>
      <c r="B1231" s="3">
        <v>44050</v>
      </c>
      <c r="C1231" s="11">
        <v>4173</v>
      </c>
      <c r="E1231" s="17" t="s">
        <v>1285</v>
      </c>
      <c r="F1231" s="17"/>
      <c r="G1231" s="18">
        <v>27395</v>
      </c>
      <c r="H1231" s="4" t="s">
        <v>1162</v>
      </c>
      <c r="I1231" s="4">
        <v>300</v>
      </c>
      <c r="J1231" s="11" t="s">
        <v>1286</v>
      </c>
      <c r="K1231" s="11" t="s">
        <v>1287</v>
      </c>
      <c r="O1231" s="4" t="s">
        <v>14</v>
      </c>
    </row>
    <row r="1232" spans="1:15" x14ac:dyDescent="0.25">
      <c r="A1232">
        <v>1347</v>
      </c>
      <c r="B1232" s="3">
        <v>44053</v>
      </c>
      <c r="C1232" s="11">
        <v>4178</v>
      </c>
      <c r="E1232" s="17" t="s">
        <v>1293</v>
      </c>
      <c r="F1232" s="17"/>
      <c r="G1232" s="18">
        <v>38884</v>
      </c>
      <c r="H1232" s="4" t="s">
        <v>1162</v>
      </c>
      <c r="I1232" s="4">
        <v>500</v>
      </c>
      <c r="J1232" s="11" t="s">
        <v>1292</v>
      </c>
      <c r="K1232" s="11" t="s">
        <v>1291</v>
      </c>
      <c r="L1232" s="4" t="s">
        <v>1280</v>
      </c>
      <c r="M1232" s="4" t="s">
        <v>1280</v>
      </c>
    </row>
    <row r="1233" spans="1:13" x14ac:dyDescent="0.25">
      <c r="A1233">
        <v>1348</v>
      </c>
      <c r="B1233" s="3">
        <v>44053</v>
      </c>
      <c r="C1233" s="11">
        <v>4179</v>
      </c>
      <c r="E1233" s="17" t="s">
        <v>1294</v>
      </c>
      <c r="F1233" s="17"/>
      <c r="G1233" s="18">
        <v>28487</v>
      </c>
      <c r="H1233" s="4" t="s">
        <v>1162</v>
      </c>
      <c r="I1233" s="4">
        <v>500</v>
      </c>
      <c r="J1233" s="11" t="s">
        <v>1295</v>
      </c>
      <c r="L1233" s="3">
        <v>44053</v>
      </c>
      <c r="M1233" s="3">
        <v>44053</v>
      </c>
    </row>
    <row r="1234" spans="1:13" x14ac:dyDescent="0.25">
      <c r="A1234">
        <v>1349</v>
      </c>
      <c r="B1234" s="3">
        <v>44056</v>
      </c>
      <c r="C1234" s="11">
        <v>4182</v>
      </c>
      <c r="E1234" s="17" t="s">
        <v>1298</v>
      </c>
      <c r="F1234" s="17"/>
      <c r="G1234" s="18">
        <v>38353</v>
      </c>
      <c r="H1234" s="4" t="s">
        <v>1167</v>
      </c>
      <c r="I1234" s="4">
        <v>1000</v>
      </c>
    </row>
    <row r="1235" spans="1:13" x14ac:dyDescent="0.25">
      <c r="A1235">
        <v>1350</v>
      </c>
      <c r="B1235" s="3">
        <v>44056</v>
      </c>
      <c r="C1235" s="11">
        <v>4183</v>
      </c>
      <c r="E1235" s="17" t="s">
        <v>1299</v>
      </c>
      <c r="F1235" s="17"/>
      <c r="G1235" s="18">
        <v>28095</v>
      </c>
      <c r="H1235" s="4" t="s">
        <v>1167</v>
      </c>
      <c r="I1235" s="4">
        <v>200</v>
      </c>
      <c r="J1235" s="11" t="s">
        <v>1314</v>
      </c>
    </row>
    <row r="1236" spans="1:13" x14ac:dyDescent="0.25">
      <c r="A1236">
        <v>1351</v>
      </c>
      <c r="B1236" s="3">
        <v>44057</v>
      </c>
      <c r="C1236" s="11">
        <v>4185</v>
      </c>
      <c r="E1236" s="7" t="s">
        <v>1315</v>
      </c>
      <c r="G1236" s="18">
        <v>37012</v>
      </c>
      <c r="I1236" s="4">
        <v>150</v>
      </c>
      <c r="J1236" s="11" t="s">
        <v>1316</v>
      </c>
      <c r="K1236" s="11" t="s">
        <v>1317</v>
      </c>
    </row>
    <row r="1237" spans="1:13" x14ac:dyDescent="0.25">
      <c r="A1237">
        <v>1352</v>
      </c>
      <c r="B1237" s="3">
        <v>44057</v>
      </c>
      <c r="C1237" s="11">
        <v>4196</v>
      </c>
      <c r="E1237" s="7" t="s">
        <v>1318</v>
      </c>
      <c r="G1237" s="24" t="s">
        <v>1303</v>
      </c>
      <c r="H1237" s="4" t="s">
        <v>1305</v>
      </c>
      <c r="I1237" s="4">
        <v>200</v>
      </c>
      <c r="K1237" s="11" t="s">
        <v>1304</v>
      </c>
    </row>
    <row r="1238" spans="1:13" x14ac:dyDescent="0.25">
      <c r="A1238">
        <v>1353</v>
      </c>
      <c r="B1238" s="3">
        <v>44057</v>
      </c>
      <c r="C1238" s="11">
        <v>4199</v>
      </c>
      <c r="E1238" s="7" t="s">
        <v>1319</v>
      </c>
    </row>
    <row r="1239" spans="1:13" x14ac:dyDescent="0.25">
      <c r="A1239">
        <v>1354</v>
      </c>
      <c r="B1239" s="3">
        <v>44075</v>
      </c>
      <c r="C1239" s="11">
        <v>4202</v>
      </c>
      <c r="E1239" s="7" t="s">
        <v>1313</v>
      </c>
      <c r="J1239" s="11" t="s">
        <v>1320</v>
      </c>
      <c r="K1239" s="11" t="s">
        <v>1321</v>
      </c>
    </row>
    <row r="1240" spans="1:13" x14ac:dyDescent="0.25">
      <c r="A1240">
        <v>1355</v>
      </c>
      <c r="B1240" s="3">
        <v>44075</v>
      </c>
      <c r="C1240" s="11">
        <v>4206</v>
      </c>
      <c r="E1240" s="7" t="s">
        <v>802</v>
      </c>
      <c r="G1240" s="18">
        <v>29835</v>
      </c>
      <c r="H1240" s="4" t="s">
        <v>1301</v>
      </c>
      <c r="I1240" s="4">
        <v>300</v>
      </c>
      <c r="J1240" s="11" t="s">
        <v>1322</v>
      </c>
    </row>
    <row r="1241" spans="1:13" x14ac:dyDescent="0.25">
      <c r="A1241">
        <v>1356</v>
      </c>
      <c r="B1241" s="3">
        <v>44076</v>
      </c>
      <c r="C1241" s="11">
        <v>4208</v>
      </c>
      <c r="E1241" s="7" t="s">
        <v>1308</v>
      </c>
      <c r="G1241" s="18">
        <v>31048</v>
      </c>
      <c r="H1241" s="4" t="s">
        <v>1220</v>
      </c>
      <c r="I1241" s="4">
        <v>44000</v>
      </c>
      <c r="J1241" s="11" t="s">
        <v>1323</v>
      </c>
      <c r="K1241" s="11" t="s">
        <v>1324</v>
      </c>
    </row>
    <row r="1242" spans="1:13" x14ac:dyDescent="0.25">
      <c r="A1242">
        <v>1357</v>
      </c>
      <c r="B1242" s="3">
        <v>44077</v>
      </c>
      <c r="C1242" s="11">
        <v>4210</v>
      </c>
      <c r="E1242" s="7" t="s">
        <v>1309</v>
      </c>
      <c r="G1242" s="18">
        <v>30897</v>
      </c>
      <c r="H1242" s="4" t="s">
        <v>1167</v>
      </c>
      <c r="I1242" s="4">
        <v>100</v>
      </c>
      <c r="J1242" s="11" t="s">
        <v>1325</v>
      </c>
    </row>
    <row r="1243" spans="1:13" x14ac:dyDescent="0.25">
      <c r="A1243">
        <v>1359</v>
      </c>
      <c r="B1243" s="3">
        <v>44079</v>
      </c>
      <c r="C1243" s="11">
        <v>4211</v>
      </c>
      <c r="E1243" s="7" t="s">
        <v>1310</v>
      </c>
      <c r="G1243" s="18">
        <v>39842</v>
      </c>
      <c r="H1243" s="4" t="s">
        <v>1170</v>
      </c>
      <c r="I1243" s="4">
        <v>100</v>
      </c>
      <c r="K1243" s="11" t="s">
        <v>1326</v>
      </c>
    </row>
    <row r="1244" spans="1:13" x14ac:dyDescent="0.25">
      <c r="A1244">
        <v>1360</v>
      </c>
      <c r="B1244" s="3">
        <v>44079</v>
      </c>
      <c r="C1244" s="11">
        <v>4212</v>
      </c>
      <c r="E1244" s="7" t="s">
        <v>1311</v>
      </c>
      <c r="G1244" s="18">
        <v>31773</v>
      </c>
      <c r="H1244" s="4" t="s">
        <v>1170</v>
      </c>
      <c r="I1244" s="4">
        <v>100</v>
      </c>
      <c r="J1244" s="11" t="s">
        <v>1327</v>
      </c>
      <c r="K1244" s="11" t="s">
        <v>1328</v>
      </c>
    </row>
    <row r="1245" spans="1:13" x14ac:dyDescent="0.25">
      <c r="A1245">
        <v>1361</v>
      </c>
      <c r="B1245" s="3">
        <v>44081</v>
      </c>
      <c r="C1245" s="11">
        <v>4224</v>
      </c>
      <c r="E1245" s="7" t="s">
        <v>1335</v>
      </c>
      <c r="G1245" s="18">
        <v>38370</v>
      </c>
      <c r="I1245" s="4">
        <v>200</v>
      </c>
      <c r="J1245" s="11" t="s">
        <v>1336</v>
      </c>
      <c r="K1245" s="11" t="s">
        <v>1337</v>
      </c>
    </row>
    <row r="1246" spans="1:13" x14ac:dyDescent="0.25">
      <c r="A1246">
        <v>1362</v>
      </c>
      <c r="B1246" s="3">
        <v>44081</v>
      </c>
      <c r="C1246" s="11">
        <v>4225</v>
      </c>
      <c r="E1246" s="7" t="s">
        <v>1338</v>
      </c>
      <c r="G1246" s="18">
        <v>38579</v>
      </c>
      <c r="I1246" s="4">
        <v>200</v>
      </c>
      <c r="J1246" s="11" t="s">
        <v>1339</v>
      </c>
      <c r="K1246" s="11" t="s">
        <v>1340</v>
      </c>
    </row>
    <row r="1247" spans="1:13" x14ac:dyDescent="0.25">
      <c r="A1247">
        <v>1363</v>
      </c>
      <c r="B1247" s="3">
        <v>44081</v>
      </c>
      <c r="C1247" s="11">
        <v>4226</v>
      </c>
      <c r="E1247" s="7" t="s">
        <v>1341</v>
      </c>
      <c r="G1247" s="18">
        <v>33618</v>
      </c>
      <c r="H1247" s="4" t="s">
        <v>1217</v>
      </c>
      <c r="I1247" s="4">
        <v>200</v>
      </c>
      <c r="J1247" s="11" t="s">
        <v>1342</v>
      </c>
      <c r="K1247" s="11" t="s">
        <v>1343</v>
      </c>
    </row>
    <row r="1248" spans="1:13" x14ac:dyDescent="0.25">
      <c r="A1248">
        <v>1364</v>
      </c>
      <c r="B1248" s="3">
        <v>44081</v>
      </c>
      <c r="C1248" s="11">
        <v>4227</v>
      </c>
      <c r="E1248" s="7" t="s">
        <v>1344</v>
      </c>
      <c r="G1248" s="18">
        <v>40074</v>
      </c>
      <c r="H1248" s="4" t="s">
        <v>1217</v>
      </c>
      <c r="I1248" s="4">
        <v>200</v>
      </c>
      <c r="J1248" s="11" t="s">
        <v>1345</v>
      </c>
      <c r="K1248" s="11" t="s">
        <v>1346</v>
      </c>
    </row>
    <row r="1249" spans="1:15" x14ac:dyDescent="0.25">
      <c r="A1249">
        <v>1365</v>
      </c>
      <c r="B1249" s="3">
        <v>44082</v>
      </c>
      <c r="C1249" s="11">
        <v>4228</v>
      </c>
      <c r="E1249" s="7" t="s">
        <v>1347</v>
      </c>
      <c r="G1249" s="18">
        <v>33363</v>
      </c>
      <c r="H1249" s="4" t="s">
        <v>1167</v>
      </c>
      <c r="I1249" s="4">
        <v>1000</v>
      </c>
      <c r="J1249" s="11" t="s">
        <v>1348</v>
      </c>
      <c r="O1249" s="4" t="s">
        <v>14</v>
      </c>
    </row>
    <row r="1250" spans="1:15" x14ac:dyDescent="0.25">
      <c r="A1250">
        <v>1366</v>
      </c>
      <c r="B1250" s="3">
        <v>44082</v>
      </c>
      <c r="C1250" s="11">
        <v>4229</v>
      </c>
      <c r="E1250" s="7" t="s">
        <v>1351</v>
      </c>
      <c r="G1250" s="18">
        <v>32874</v>
      </c>
      <c r="H1250" s="4" t="s">
        <v>1164</v>
      </c>
      <c r="I1250" s="4">
        <v>200</v>
      </c>
      <c r="J1250" s="11" t="s">
        <v>1349</v>
      </c>
      <c r="K1250" s="11" t="s">
        <v>1350</v>
      </c>
    </row>
    <row r="1251" spans="1:15" x14ac:dyDescent="0.25">
      <c r="A1251">
        <v>1367</v>
      </c>
      <c r="B1251" s="3">
        <v>44082</v>
      </c>
      <c r="C1251" s="11">
        <v>4230</v>
      </c>
      <c r="E1251" s="7" t="s">
        <v>1332</v>
      </c>
      <c r="H1251" s="4" t="s">
        <v>1164</v>
      </c>
      <c r="I1251" s="4">
        <v>200</v>
      </c>
      <c r="J1251" s="11" t="s">
        <v>1333</v>
      </c>
      <c r="K1251" s="11" t="s">
        <v>1334</v>
      </c>
    </row>
    <row r="1252" spans="1:15" x14ac:dyDescent="0.25">
      <c r="A1252">
        <v>1368</v>
      </c>
      <c r="B1252" s="3">
        <v>44082</v>
      </c>
      <c r="C1252" s="11">
        <v>4231</v>
      </c>
      <c r="E1252" s="7" t="s">
        <v>1329</v>
      </c>
      <c r="G1252" s="18">
        <v>26331</v>
      </c>
      <c r="H1252" s="4" t="s">
        <v>1301</v>
      </c>
      <c r="I1252" s="4">
        <v>500</v>
      </c>
      <c r="J1252" s="11" t="s">
        <v>1330</v>
      </c>
      <c r="K1252" s="11" t="s">
        <v>1331</v>
      </c>
    </row>
    <row r="1253" spans="1:15" x14ac:dyDescent="0.25">
      <c r="A1253">
        <v>1369</v>
      </c>
      <c r="B1253" s="3">
        <v>44084</v>
      </c>
      <c r="C1253" s="11">
        <v>4234</v>
      </c>
      <c r="E1253" s="7" t="s">
        <v>1352</v>
      </c>
      <c r="G1253" s="18">
        <v>30330</v>
      </c>
      <c r="H1253" s="4" t="s">
        <v>1167</v>
      </c>
      <c r="I1253" s="4">
        <v>1000</v>
      </c>
      <c r="J1253" s="11" t="s">
        <v>1353</v>
      </c>
      <c r="K1253" s="11" t="s">
        <v>1354</v>
      </c>
    </row>
    <row r="1254" spans="1:15" x14ac:dyDescent="0.25">
      <c r="A1254">
        <v>1370</v>
      </c>
      <c r="B1254" s="3">
        <v>44088</v>
      </c>
      <c r="C1254" s="11">
        <v>4238</v>
      </c>
      <c r="E1254" s="7" t="s">
        <v>1355</v>
      </c>
      <c r="G1254" s="18">
        <v>37582</v>
      </c>
      <c r="I1254" s="4">
        <v>200</v>
      </c>
      <c r="J1254" s="11" t="s">
        <v>1356</v>
      </c>
      <c r="K1254" s="11" t="s">
        <v>1357</v>
      </c>
    </row>
    <row r="1255" spans="1:15" x14ac:dyDescent="0.25">
      <c r="A1255">
        <v>1371</v>
      </c>
      <c r="C1255" s="11">
        <v>4241</v>
      </c>
      <c r="E1255" s="7" t="s">
        <v>1476</v>
      </c>
    </row>
    <row r="1256" spans="1:15" x14ac:dyDescent="0.25">
      <c r="A1256">
        <v>1372</v>
      </c>
      <c r="C1256" s="11">
        <v>4245</v>
      </c>
      <c r="E1256" s="7" t="s">
        <v>1477</v>
      </c>
    </row>
    <row r="1257" spans="1:15" x14ac:dyDescent="0.25">
      <c r="A1257">
        <v>1373</v>
      </c>
      <c r="C1257" s="11">
        <v>4249</v>
      </c>
      <c r="E1257" s="7" t="s">
        <v>1478</v>
      </c>
    </row>
    <row r="1258" spans="1:15" x14ac:dyDescent="0.25">
      <c r="A1258">
        <v>1374</v>
      </c>
      <c r="C1258" s="11">
        <v>4250</v>
      </c>
      <c r="E1258" s="7" t="s">
        <v>1479</v>
      </c>
    </row>
    <row r="1259" spans="1:15" x14ac:dyDescent="0.25">
      <c r="A1259">
        <v>1375</v>
      </c>
      <c r="C1259" s="11">
        <v>4256</v>
      </c>
      <c r="E1259" s="7" t="s">
        <v>1480</v>
      </c>
    </row>
    <row r="1260" spans="1:15" x14ac:dyDescent="0.25">
      <c r="A1260">
        <v>1376</v>
      </c>
      <c r="C1260" s="11">
        <v>4257</v>
      </c>
      <c r="E1260" s="7" t="s">
        <v>1300</v>
      </c>
    </row>
    <row r="1261" spans="1:15" x14ac:dyDescent="0.25">
      <c r="A1261">
        <v>1377</v>
      </c>
      <c r="C1261" s="11">
        <v>4259</v>
      </c>
      <c r="E1261" s="7" t="s">
        <v>1481</v>
      </c>
    </row>
    <row r="1262" spans="1:15" x14ac:dyDescent="0.25">
      <c r="A1262">
        <v>1378</v>
      </c>
    </row>
    <row r="1263" spans="1:15" x14ac:dyDescent="0.25">
      <c r="A1263">
        <v>1379</v>
      </c>
    </row>
    <row r="1264" spans="1:15" x14ac:dyDescent="0.25">
      <c r="A1264">
        <v>1380</v>
      </c>
    </row>
    <row r="1265" spans="1:15" x14ac:dyDescent="0.25">
      <c r="A1265">
        <v>1381</v>
      </c>
      <c r="B1265" s="3">
        <v>44109</v>
      </c>
      <c r="C1265" s="11">
        <v>4266</v>
      </c>
      <c r="E1265" s="7" t="s">
        <v>1362</v>
      </c>
      <c r="G1265" s="18">
        <v>31833</v>
      </c>
      <c r="H1265" s="4" t="s">
        <v>1363</v>
      </c>
      <c r="I1265" s="4">
        <v>100</v>
      </c>
      <c r="J1265" s="11" t="s">
        <v>1364</v>
      </c>
      <c r="O1265" s="4" t="s">
        <v>16</v>
      </c>
    </row>
    <row r="1266" spans="1:15" x14ac:dyDescent="0.25">
      <c r="A1266">
        <v>1382</v>
      </c>
      <c r="B1266" s="3">
        <v>44110</v>
      </c>
      <c r="C1266" s="11">
        <v>4268</v>
      </c>
      <c r="E1266" s="7" t="s">
        <v>1365</v>
      </c>
      <c r="G1266" s="18">
        <v>37176</v>
      </c>
      <c r="H1266" s="4" t="s">
        <v>1366</v>
      </c>
      <c r="J1266" s="11" t="s">
        <v>1367</v>
      </c>
    </row>
    <row r="1267" spans="1:15" x14ac:dyDescent="0.25">
      <c r="A1267">
        <v>1383</v>
      </c>
      <c r="B1267" s="4" t="s">
        <v>1369</v>
      </c>
      <c r="C1267" s="11">
        <v>4270</v>
      </c>
      <c r="E1267" s="7" t="s">
        <v>1370</v>
      </c>
      <c r="G1267" s="18">
        <v>33582</v>
      </c>
      <c r="H1267" s="4" t="s">
        <v>1181</v>
      </c>
      <c r="J1267" s="11" t="s">
        <v>1371</v>
      </c>
      <c r="O1267" s="4" t="s">
        <v>16</v>
      </c>
    </row>
    <row r="1268" spans="1:15" x14ac:dyDescent="0.25">
      <c r="A1268">
        <v>1384</v>
      </c>
      <c r="B1268" s="3">
        <v>44113</v>
      </c>
      <c r="C1268" s="11">
        <v>4275</v>
      </c>
      <c r="E1268" s="7" t="s">
        <v>220</v>
      </c>
      <c r="G1268" s="18">
        <v>36200</v>
      </c>
      <c r="H1268" s="4" t="s">
        <v>1301</v>
      </c>
      <c r="I1268" s="4">
        <v>500</v>
      </c>
      <c r="J1268" s="11" t="s">
        <v>1368</v>
      </c>
      <c r="O1268" s="4" t="s">
        <v>16</v>
      </c>
    </row>
    <row r="1269" spans="1:15" x14ac:dyDescent="0.25">
      <c r="A1269">
        <v>1385</v>
      </c>
      <c r="B1269" s="3">
        <v>44116</v>
      </c>
      <c r="C1269" s="11">
        <v>4277</v>
      </c>
      <c r="E1269" s="7" t="s">
        <v>1372</v>
      </c>
      <c r="G1269" s="18">
        <v>34463</v>
      </c>
      <c r="H1269" s="4" t="s">
        <v>1373</v>
      </c>
      <c r="I1269" s="4">
        <v>300</v>
      </c>
      <c r="J1269" s="11" t="s">
        <v>1374</v>
      </c>
      <c r="K1269" s="11" t="s">
        <v>1375</v>
      </c>
    </row>
    <row r="1270" spans="1:15" x14ac:dyDescent="0.25">
      <c r="A1270">
        <v>1386</v>
      </c>
      <c r="B1270" s="3">
        <v>44117</v>
      </c>
      <c r="C1270" s="11">
        <v>4278</v>
      </c>
      <c r="E1270" s="7" t="s">
        <v>1379</v>
      </c>
      <c r="G1270" s="18">
        <v>25569</v>
      </c>
      <c r="H1270" s="4" t="s">
        <v>1380</v>
      </c>
      <c r="I1270" s="4">
        <v>500</v>
      </c>
      <c r="J1270" s="11" t="s">
        <v>1552</v>
      </c>
      <c r="K1270" s="11" t="s">
        <v>1553</v>
      </c>
      <c r="O1270" s="4" t="s">
        <v>16</v>
      </c>
    </row>
    <row r="1271" spans="1:15" x14ac:dyDescent="0.25">
      <c r="A1271">
        <v>1387</v>
      </c>
      <c r="B1271" s="3">
        <v>44118</v>
      </c>
      <c r="C1271" s="11">
        <v>4280</v>
      </c>
      <c r="E1271" s="7" t="s">
        <v>1378</v>
      </c>
      <c r="G1271" s="18">
        <v>34585</v>
      </c>
      <c r="I1271" s="4">
        <v>100</v>
      </c>
    </row>
    <row r="1272" spans="1:15" x14ac:dyDescent="0.25">
      <c r="A1272">
        <v>1388</v>
      </c>
      <c r="B1272" s="3">
        <v>44119</v>
      </c>
      <c r="C1272" s="11">
        <v>4285</v>
      </c>
      <c r="E1272" s="7" t="s">
        <v>1381</v>
      </c>
      <c r="G1272" s="18">
        <v>35562</v>
      </c>
      <c r="H1272" s="4" t="s">
        <v>1382</v>
      </c>
      <c r="I1272" s="4">
        <v>100</v>
      </c>
      <c r="J1272" s="11" t="s">
        <v>1383</v>
      </c>
      <c r="K1272" s="11" t="s">
        <v>1384</v>
      </c>
      <c r="O1272" s="4" t="s">
        <v>14</v>
      </c>
    </row>
    <row r="1273" spans="1:15" x14ac:dyDescent="0.25">
      <c r="A1273">
        <v>1389</v>
      </c>
      <c r="B1273" s="3">
        <v>44119</v>
      </c>
      <c r="C1273" s="11">
        <v>4286</v>
      </c>
      <c r="E1273" s="7" t="s">
        <v>1385</v>
      </c>
      <c r="G1273" s="18">
        <v>35562</v>
      </c>
      <c r="H1273" s="4" t="s">
        <v>1382</v>
      </c>
      <c r="I1273" s="4">
        <v>100</v>
      </c>
      <c r="J1273" s="11" t="s">
        <v>1386</v>
      </c>
      <c r="K1273" s="11" t="s">
        <v>1387</v>
      </c>
      <c r="O1273" s="4" t="s">
        <v>14</v>
      </c>
    </row>
    <row r="1274" spans="1:15" x14ac:dyDescent="0.25">
      <c r="A1274">
        <v>1390</v>
      </c>
      <c r="C1274" s="11">
        <v>4288</v>
      </c>
      <c r="E1274" s="7" t="s">
        <v>1393</v>
      </c>
      <c r="J1274" s="11" t="s">
        <v>1397</v>
      </c>
      <c r="K1274" s="11" t="s">
        <v>1398</v>
      </c>
    </row>
    <row r="1275" spans="1:15" x14ac:dyDescent="0.25">
      <c r="A1275">
        <v>1391</v>
      </c>
      <c r="C1275" s="11">
        <v>4291</v>
      </c>
      <c r="E1275" s="7" t="s">
        <v>1394</v>
      </c>
      <c r="J1275" s="11" t="s">
        <v>1399</v>
      </c>
      <c r="K1275" s="11" t="s">
        <v>1400</v>
      </c>
    </row>
    <row r="1276" spans="1:15" x14ac:dyDescent="0.25">
      <c r="A1276">
        <v>1392</v>
      </c>
      <c r="C1276" s="11">
        <v>4293</v>
      </c>
      <c r="E1276" s="7" t="s">
        <v>1395</v>
      </c>
      <c r="J1276" s="11" t="s">
        <v>1401</v>
      </c>
      <c r="K1276" s="11" t="s">
        <v>1402</v>
      </c>
    </row>
    <row r="1277" spans="1:15" x14ac:dyDescent="0.25">
      <c r="A1277">
        <v>1393</v>
      </c>
      <c r="C1277" s="11">
        <v>4298</v>
      </c>
      <c r="E1277" s="7" t="s">
        <v>1396</v>
      </c>
      <c r="J1277" s="11" t="s">
        <v>1403</v>
      </c>
      <c r="K1277" s="11" t="s">
        <v>1404</v>
      </c>
    </row>
    <row r="1278" spans="1:15" x14ac:dyDescent="0.25">
      <c r="A1278">
        <v>1394</v>
      </c>
    </row>
    <row r="1279" spans="1:15" x14ac:dyDescent="0.25">
      <c r="A1279">
        <v>1395</v>
      </c>
      <c r="C1279" s="11">
        <v>4307</v>
      </c>
      <c r="E1279" s="7" t="s">
        <v>220</v>
      </c>
      <c r="G1279" s="18">
        <v>36795</v>
      </c>
      <c r="H1279" s="4" t="s">
        <v>1213</v>
      </c>
      <c r="I1279" s="4">
        <v>200</v>
      </c>
    </row>
    <row r="1280" spans="1:15" x14ac:dyDescent="0.25">
      <c r="A1280">
        <v>1396</v>
      </c>
      <c r="C1280" s="11">
        <v>4309</v>
      </c>
      <c r="E1280" s="7" t="s">
        <v>1390</v>
      </c>
      <c r="G1280" s="18">
        <v>35796</v>
      </c>
      <c r="H1280" s="4" t="s">
        <v>1170</v>
      </c>
      <c r="I1280" s="4">
        <v>200</v>
      </c>
      <c r="O1280" s="4" t="s">
        <v>16</v>
      </c>
    </row>
    <row r="1281" spans="1:15" x14ac:dyDescent="0.25">
      <c r="A1281">
        <v>1397</v>
      </c>
      <c r="B1281" s="3">
        <v>44133</v>
      </c>
      <c r="C1281" s="11">
        <v>4311</v>
      </c>
      <c r="E1281" s="7" t="s">
        <v>4280</v>
      </c>
      <c r="G1281" s="18">
        <v>34669</v>
      </c>
      <c r="H1281" s="4" t="s">
        <v>1170</v>
      </c>
      <c r="I1281" s="4">
        <v>1000</v>
      </c>
      <c r="O1281" s="4" t="s">
        <v>16</v>
      </c>
    </row>
    <row r="1282" spans="1:15" x14ac:dyDescent="0.25">
      <c r="A1282">
        <v>1398</v>
      </c>
      <c r="B1282" s="3">
        <v>44133</v>
      </c>
      <c r="C1282" s="11">
        <v>4314</v>
      </c>
      <c r="E1282" s="7" t="s">
        <v>1389</v>
      </c>
      <c r="G1282" s="18">
        <v>33668</v>
      </c>
      <c r="H1282" s="4" t="s">
        <v>1170</v>
      </c>
      <c r="I1282" s="4">
        <v>500</v>
      </c>
      <c r="J1282" s="11" t="s">
        <v>1405</v>
      </c>
      <c r="K1282" s="11" t="s">
        <v>1406</v>
      </c>
      <c r="O1282" s="4" t="s">
        <v>16</v>
      </c>
    </row>
    <row r="1283" spans="1:15" x14ac:dyDescent="0.25">
      <c r="A1283">
        <v>1399</v>
      </c>
      <c r="B1283" s="3">
        <v>44134</v>
      </c>
      <c r="C1283" s="11">
        <v>4315</v>
      </c>
      <c r="E1283" s="7" t="s">
        <v>1407</v>
      </c>
      <c r="I1283" s="4">
        <v>500</v>
      </c>
      <c r="J1283" s="11" t="s">
        <v>1408</v>
      </c>
      <c r="K1283" s="11" t="s">
        <v>1409</v>
      </c>
      <c r="O1283" s="4" t="s">
        <v>16</v>
      </c>
    </row>
    <row r="1284" spans="1:15" x14ac:dyDescent="0.25">
      <c r="A1284">
        <v>1400</v>
      </c>
      <c r="B1284" s="3">
        <v>44139</v>
      </c>
      <c r="C1284" s="11">
        <v>4326</v>
      </c>
      <c r="E1284" s="7" t="s">
        <v>1413</v>
      </c>
      <c r="J1284" s="11" t="s">
        <v>1414</v>
      </c>
    </row>
    <row r="1285" spans="1:15" x14ac:dyDescent="0.25">
      <c r="A1285">
        <v>1401</v>
      </c>
      <c r="B1285" s="3">
        <v>44139</v>
      </c>
      <c r="C1285" s="11">
        <v>4329</v>
      </c>
      <c r="E1285" s="7" t="s">
        <v>1415</v>
      </c>
      <c r="J1285" s="11" t="s">
        <v>1416</v>
      </c>
    </row>
    <row r="1286" spans="1:15" x14ac:dyDescent="0.25">
      <c r="A1286">
        <v>1402</v>
      </c>
      <c r="B1286" s="3">
        <v>44139</v>
      </c>
      <c r="C1286" s="11">
        <v>4330</v>
      </c>
      <c r="E1286" s="7" t="s">
        <v>1417</v>
      </c>
      <c r="J1286" s="11" t="s">
        <v>1418</v>
      </c>
      <c r="K1286" s="11" t="s">
        <v>1419</v>
      </c>
    </row>
    <row r="1287" spans="1:15" x14ac:dyDescent="0.25">
      <c r="A1287">
        <v>1403</v>
      </c>
      <c r="B1287" s="3">
        <v>44142</v>
      </c>
      <c r="C1287" s="11">
        <v>4332</v>
      </c>
      <c r="E1287" s="7" t="s">
        <v>1410</v>
      </c>
      <c r="J1287" s="11" t="s">
        <v>1411</v>
      </c>
      <c r="K1287" s="11" t="s">
        <v>1412</v>
      </c>
    </row>
    <row r="1288" spans="1:15" x14ac:dyDescent="0.25">
      <c r="A1288">
        <v>1404</v>
      </c>
      <c r="B1288" s="3">
        <v>44144</v>
      </c>
      <c r="C1288" s="11">
        <v>4333</v>
      </c>
      <c r="E1288" s="7" t="s">
        <v>1420</v>
      </c>
      <c r="J1288" s="11" t="s">
        <v>1421</v>
      </c>
      <c r="K1288" s="11" t="s">
        <v>1422</v>
      </c>
    </row>
    <row r="1289" spans="1:15" x14ac:dyDescent="0.25">
      <c r="A1289">
        <v>1405</v>
      </c>
      <c r="B1289" s="3">
        <v>44150</v>
      </c>
      <c r="C1289" s="11">
        <v>4342</v>
      </c>
      <c r="E1289" s="7" t="s">
        <v>1423</v>
      </c>
      <c r="J1289" s="11" t="s">
        <v>1426</v>
      </c>
      <c r="K1289" s="11" t="s">
        <v>1427</v>
      </c>
    </row>
    <row r="1290" spans="1:15" x14ac:dyDescent="0.25">
      <c r="A1290">
        <v>1406</v>
      </c>
      <c r="B1290" s="3">
        <v>44150</v>
      </c>
      <c r="C1290" s="11">
        <v>4343</v>
      </c>
      <c r="E1290" s="7" t="s">
        <v>1424</v>
      </c>
      <c r="J1290" s="11" t="s">
        <v>1428</v>
      </c>
      <c r="K1290" s="11" t="s">
        <v>1429</v>
      </c>
    </row>
    <row r="1291" spans="1:15" x14ac:dyDescent="0.25">
      <c r="A1291">
        <v>1407</v>
      </c>
      <c r="B1291" s="3">
        <v>44150</v>
      </c>
      <c r="C1291" s="11">
        <v>4344</v>
      </c>
      <c r="E1291" s="7" t="s">
        <v>1425</v>
      </c>
      <c r="J1291" s="11" t="s">
        <v>1430</v>
      </c>
      <c r="K1291" s="11" t="s">
        <v>1431</v>
      </c>
    </row>
    <row r="1292" spans="1:15" x14ac:dyDescent="0.25">
      <c r="A1292">
        <v>1408</v>
      </c>
      <c r="B1292" s="3">
        <v>44152</v>
      </c>
      <c r="C1292" s="11">
        <v>4348</v>
      </c>
      <c r="E1292" s="7" t="s">
        <v>1436</v>
      </c>
      <c r="H1292" s="4" t="s">
        <v>1167</v>
      </c>
      <c r="J1292" s="11" t="s">
        <v>1437</v>
      </c>
      <c r="K1292" s="11" t="s">
        <v>1438</v>
      </c>
    </row>
    <row r="1293" spans="1:15" x14ac:dyDescent="0.25">
      <c r="A1293">
        <v>1409</v>
      </c>
      <c r="B1293" s="3">
        <v>44152</v>
      </c>
      <c r="C1293" s="11">
        <v>4349</v>
      </c>
      <c r="E1293" s="7" t="s">
        <v>1439</v>
      </c>
      <c r="H1293" s="4" t="s">
        <v>1167</v>
      </c>
      <c r="J1293" s="11" t="s">
        <v>1440</v>
      </c>
      <c r="K1293" s="11" t="s">
        <v>1441</v>
      </c>
    </row>
    <row r="1294" spans="1:15" x14ac:dyDescent="0.25">
      <c r="A1294">
        <v>1410</v>
      </c>
      <c r="B1294" s="3">
        <v>44152</v>
      </c>
      <c r="C1294" s="11">
        <v>4362</v>
      </c>
      <c r="E1294" s="7" t="s">
        <v>1442</v>
      </c>
      <c r="H1294" s="4" t="s">
        <v>1220</v>
      </c>
    </row>
    <row r="1295" spans="1:15" x14ac:dyDescent="0.25">
      <c r="A1295">
        <v>1411</v>
      </c>
      <c r="B1295" s="3">
        <v>44152</v>
      </c>
      <c r="C1295" s="11">
        <v>4363</v>
      </c>
      <c r="E1295" s="7" t="s">
        <v>1443</v>
      </c>
      <c r="J1295" s="11" t="s">
        <v>1444</v>
      </c>
      <c r="K1295" s="11" t="s">
        <v>1445</v>
      </c>
    </row>
    <row r="1296" spans="1:15" x14ac:dyDescent="0.25">
      <c r="A1296">
        <v>1412</v>
      </c>
      <c r="B1296" s="3">
        <v>44174</v>
      </c>
      <c r="C1296" s="11">
        <v>4368</v>
      </c>
      <c r="E1296" s="7" t="s">
        <v>1446</v>
      </c>
      <c r="H1296" s="4" t="s">
        <v>1220</v>
      </c>
      <c r="J1296" s="11" t="s">
        <v>1447</v>
      </c>
      <c r="K1296" s="11" t="s">
        <v>1448</v>
      </c>
    </row>
    <row r="1297" spans="1:15" x14ac:dyDescent="0.25">
      <c r="A1297">
        <v>1413</v>
      </c>
      <c r="B1297" s="3">
        <v>44176</v>
      </c>
      <c r="C1297" s="11">
        <v>4369</v>
      </c>
      <c r="E1297" s="7" t="s">
        <v>1449</v>
      </c>
      <c r="G1297" s="18">
        <v>34566</v>
      </c>
      <c r="H1297" s="4" t="s">
        <v>1167</v>
      </c>
      <c r="J1297" s="11" t="s">
        <v>1450</v>
      </c>
      <c r="K1297" s="11" t="s">
        <v>1451</v>
      </c>
    </row>
    <row r="1298" spans="1:15" x14ac:dyDescent="0.25">
      <c r="A1298">
        <v>1414</v>
      </c>
      <c r="B1298" s="3">
        <v>44180</v>
      </c>
      <c r="C1298" s="11">
        <v>4370</v>
      </c>
      <c r="E1298" s="7" t="s">
        <v>1452</v>
      </c>
      <c r="G1298" s="18">
        <v>38047</v>
      </c>
      <c r="J1298" s="11" t="s">
        <v>1453</v>
      </c>
      <c r="K1298" s="11" t="s">
        <v>1454</v>
      </c>
    </row>
    <row r="1299" spans="1:15" x14ac:dyDescent="0.25">
      <c r="A1299">
        <v>1415</v>
      </c>
      <c r="B1299" s="3">
        <v>44180</v>
      </c>
      <c r="C1299" s="11">
        <v>4372</v>
      </c>
      <c r="E1299" s="7" t="s">
        <v>1455</v>
      </c>
      <c r="J1299" s="11" t="s">
        <v>1456</v>
      </c>
      <c r="K1299" s="11" t="s">
        <v>1457</v>
      </c>
    </row>
    <row r="1300" spans="1:15" x14ac:dyDescent="0.25">
      <c r="A1300">
        <v>1416</v>
      </c>
      <c r="B1300" s="3">
        <v>44184</v>
      </c>
      <c r="C1300" s="11">
        <v>4377</v>
      </c>
      <c r="E1300" s="7" t="s">
        <v>811</v>
      </c>
      <c r="J1300" s="11" t="s">
        <v>1458</v>
      </c>
      <c r="K1300" s="11" t="s">
        <v>1459</v>
      </c>
    </row>
    <row r="1301" spans="1:15" x14ac:dyDescent="0.25">
      <c r="A1301">
        <v>1417</v>
      </c>
      <c r="B1301" s="3">
        <v>44184</v>
      </c>
      <c r="C1301" s="11">
        <v>4378</v>
      </c>
      <c r="E1301" s="7" t="s">
        <v>1460</v>
      </c>
      <c r="I1301" s="4">
        <v>2000</v>
      </c>
      <c r="J1301" s="11" t="s">
        <v>1461</v>
      </c>
      <c r="K1301" s="11" t="s">
        <v>1462</v>
      </c>
      <c r="O1301" s="4" t="s">
        <v>14</v>
      </c>
    </row>
    <row r="1302" spans="1:15" x14ac:dyDescent="0.25">
      <c r="A1302">
        <v>1418</v>
      </c>
      <c r="B1302" s="3">
        <v>44193</v>
      </c>
      <c r="C1302" s="11">
        <v>4380</v>
      </c>
      <c r="E1302" s="7" t="s">
        <v>1463</v>
      </c>
      <c r="I1302" s="4">
        <v>500</v>
      </c>
      <c r="J1302" s="11" t="s">
        <v>1464</v>
      </c>
      <c r="K1302" s="11" t="s">
        <v>1465</v>
      </c>
      <c r="O1302" s="4" t="s">
        <v>14</v>
      </c>
    </row>
    <row r="1303" spans="1:15" x14ac:dyDescent="0.25">
      <c r="A1303">
        <v>1419</v>
      </c>
      <c r="B1303" s="3">
        <v>44193</v>
      </c>
      <c r="C1303" s="11">
        <v>4381</v>
      </c>
      <c r="E1303" s="7" t="s">
        <v>1466</v>
      </c>
      <c r="I1303" s="4">
        <v>500</v>
      </c>
      <c r="J1303" s="11" t="s">
        <v>1467</v>
      </c>
      <c r="K1303" s="11" t="s">
        <v>1468</v>
      </c>
      <c r="O1303" s="4" t="s">
        <v>14</v>
      </c>
    </row>
    <row r="1304" spans="1:15" x14ac:dyDescent="0.25">
      <c r="A1304">
        <v>1420</v>
      </c>
      <c r="B1304" s="3">
        <v>44194</v>
      </c>
      <c r="C1304" s="11">
        <v>4385</v>
      </c>
      <c r="E1304" s="7" t="s">
        <v>1469</v>
      </c>
      <c r="I1304" s="4">
        <v>500</v>
      </c>
      <c r="J1304" s="11" t="s">
        <v>1470</v>
      </c>
      <c r="K1304" s="11" t="s">
        <v>1471</v>
      </c>
      <c r="O1304" s="4" t="s">
        <v>14</v>
      </c>
    </row>
    <row r="1305" spans="1:15" x14ac:dyDescent="0.25">
      <c r="A1305">
        <v>1422</v>
      </c>
      <c r="B1305" s="3">
        <v>44196</v>
      </c>
      <c r="C1305" s="11">
        <v>4386</v>
      </c>
      <c r="E1305" s="7" t="s">
        <v>1432</v>
      </c>
      <c r="H1305" s="4" t="s">
        <v>1433</v>
      </c>
      <c r="I1305" s="4">
        <v>500</v>
      </c>
      <c r="J1305" s="11" t="s">
        <v>1434</v>
      </c>
      <c r="K1305" s="11" t="s">
        <v>1435</v>
      </c>
      <c r="O1305" s="4" t="s">
        <v>14</v>
      </c>
    </row>
    <row r="1306" spans="1:15" x14ac:dyDescent="0.25">
      <c r="A1306">
        <v>1424</v>
      </c>
      <c r="B1306" s="3">
        <v>44200</v>
      </c>
      <c r="C1306" s="11">
        <v>4388</v>
      </c>
      <c r="E1306" s="7" t="s">
        <v>1472</v>
      </c>
      <c r="G1306" s="18">
        <v>37515</v>
      </c>
      <c r="H1306" s="4" t="s">
        <v>1220</v>
      </c>
      <c r="I1306" s="4">
        <v>500</v>
      </c>
      <c r="J1306" s="11" t="s">
        <v>1473</v>
      </c>
      <c r="O1306" s="4" t="s">
        <v>14</v>
      </c>
    </row>
    <row r="1307" spans="1:15" x14ac:dyDescent="0.25">
      <c r="B1307" s="3">
        <v>44202</v>
      </c>
      <c r="C1307" s="11">
        <v>4394</v>
      </c>
      <c r="E1307" s="7" t="s">
        <v>1482</v>
      </c>
      <c r="J1307" s="11" t="s">
        <v>1512</v>
      </c>
      <c r="K1307" s="11" t="s">
        <v>1517</v>
      </c>
    </row>
    <row r="1308" spans="1:15" x14ac:dyDescent="0.25">
      <c r="B1308" s="3">
        <v>44203</v>
      </c>
      <c r="C1308" s="11">
        <v>4395</v>
      </c>
      <c r="E1308" s="7" t="s">
        <v>1483</v>
      </c>
      <c r="J1308" s="11" t="s">
        <v>1513</v>
      </c>
      <c r="K1308" s="11" t="s">
        <v>1516</v>
      </c>
    </row>
    <row r="1309" spans="1:15" x14ac:dyDescent="0.25">
      <c r="B1309" s="3">
        <v>44204</v>
      </c>
      <c r="C1309" s="11">
        <v>4398</v>
      </c>
      <c r="E1309" s="7" t="s">
        <v>215</v>
      </c>
      <c r="J1309" s="11" t="s">
        <v>1514</v>
      </c>
      <c r="K1309" s="11" t="s">
        <v>1515</v>
      </c>
    </row>
    <row r="1310" spans="1:15" x14ac:dyDescent="0.25">
      <c r="B1310" s="3">
        <v>44207</v>
      </c>
      <c r="C1310" s="11">
        <v>4399</v>
      </c>
      <c r="E1310" s="7" t="s">
        <v>1484</v>
      </c>
      <c r="J1310" s="11" t="s">
        <v>1504</v>
      </c>
      <c r="K1310" s="11" t="s">
        <v>1503</v>
      </c>
    </row>
    <row r="1311" spans="1:15" x14ac:dyDescent="0.25">
      <c r="B1311" s="3">
        <v>44207</v>
      </c>
      <c r="C1311" s="11">
        <v>4401</v>
      </c>
      <c r="E1311" s="7" t="s">
        <v>1485</v>
      </c>
      <c r="J1311" s="11" t="s">
        <v>1505</v>
      </c>
    </row>
    <row r="1312" spans="1:15" x14ac:dyDescent="0.25">
      <c r="B1312" s="3">
        <v>44208</v>
      </c>
      <c r="C1312" s="11">
        <v>4402</v>
      </c>
      <c r="E1312" s="7" t="s">
        <v>1486</v>
      </c>
      <c r="J1312" s="11" t="s">
        <v>1506</v>
      </c>
      <c r="K1312" s="11" t="s">
        <v>1502</v>
      </c>
    </row>
    <row r="1313" spans="1:15" x14ac:dyDescent="0.25">
      <c r="B1313" s="3">
        <v>44208</v>
      </c>
      <c r="C1313" s="11">
        <v>4403</v>
      </c>
      <c r="E1313" s="7" t="s">
        <v>1487</v>
      </c>
      <c r="K1313" s="11" t="s">
        <v>1501</v>
      </c>
    </row>
    <row r="1314" spans="1:15" x14ac:dyDescent="0.25">
      <c r="B1314" s="3">
        <v>44209</v>
      </c>
      <c r="C1314" s="11">
        <v>4404</v>
      </c>
      <c r="E1314" s="7" t="s">
        <v>1488</v>
      </c>
      <c r="J1314" s="11" t="s">
        <v>1507</v>
      </c>
      <c r="K1314" s="11" t="s">
        <v>1500</v>
      </c>
    </row>
    <row r="1315" spans="1:15" x14ac:dyDescent="0.25">
      <c r="B1315" s="3">
        <v>44215</v>
      </c>
      <c r="C1315" s="11">
        <v>4410</v>
      </c>
      <c r="E1315" s="7" t="s">
        <v>1489</v>
      </c>
      <c r="J1315" s="11" t="s">
        <v>1508</v>
      </c>
      <c r="K1315" s="11" t="s">
        <v>1499</v>
      </c>
    </row>
    <row r="1316" spans="1:15" x14ac:dyDescent="0.25">
      <c r="B1316" s="3">
        <v>44216</v>
      </c>
      <c r="C1316" s="11">
        <v>4413</v>
      </c>
      <c r="E1316" s="7" t="s">
        <v>1490</v>
      </c>
      <c r="K1316" s="11" t="s">
        <v>1498</v>
      </c>
    </row>
    <row r="1317" spans="1:15" x14ac:dyDescent="0.25">
      <c r="B1317" s="3">
        <v>44228</v>
      </c>
      <c r="C1317" s="11">
        <v>4431</v>
      </c>
      <c r="E1317" s="7" t="s">
        <v>1491</v>
      </c>
      <c r="J1317" s="11" t="s">
        <v>1509</v>
      </c>
      <c r="K1317" s="11" t="s">
        <v>1497</v>
      </c>
    </row>
    <row r="1318" spans="1:15" x14ac:dyDescent="0.25">
      <c r="B1318" s="3">
        <v>44228</v>
      </c>
      <c r="C1318" s="11">
        <v>4432</v>
      </c>
      <c r="E1318" s="7" t="s">
        <v>1492</v>
      </c>
      <c r="J1318" s="11" t="s">
        <v>1510</v>
      </c>
      <c r="K1318" s="11" t="s">
        <v>1496</v>
      </c>
    </row>
    <row r="1319" spans="1:15" x14ac:dyDescent="0.25">
      <c r="B1319" s="3">
        <v>44230</v>
      </c>
      <c r="C1319" s="11">
        <v>4434</v>
      </c>
      <c r="E1319" s="7" t="s">
        <v>1521</v>
      </c>
      <c r="J1319" s="11" t="s">
        <v>1522</v>
      </c>
      <c r="K1319" s="11" t="s">
        <v>1523</v>
      </c>
      <c r="O1319" s="4" t="s">
        <v>14</v>
      </c>
    </row>
    <row r="1320" spans="1:15" x14ac:dyDescent="0.25">
      <c r="B1320" s="3">
        <v>44231</v>
      </c>
      <c r="C1320" s="11">
        <v>4438</v>
      </c>
      <c r="E1320" s="7" t="s">
        <v>1534</v>
      </c>
    </row>
    <row r="1321" spans="1:15" x14ac:dyDescent="0.25">
      <c r="B1321" s="3">
        <v>44237</v>
      </c>
      <c r="C1321" s="11">
        <v>4440</v>
      </c>
      <c r="E1321" s="7" t="s">
        <v>1066</v>
      </c>
      <c r="J1321" s="11" t="s">
        <v>1511</v>
      </c>
      <c r="K1321" s="11" t="s">
        <v>1495</v>
      </c>
    </row>
    <row r="1322" spans="1:15" x14ac:dyDescent="0.25">
      <c r="B1322" s="3">
        <v>44238</v>
      </c>
      <c r="C1322" s="11">
        <v>4443</v>
      </c>
      <c r="E1322" s="7" t="s">
        <v>1493</v>
      </c>
      <c r="K1322" s="11" t="s">
        <v>1494</v>
      </c>
    </row>
    <row r="1323" spans="1:15" x14ac:dyDescent="0.25">
      <c r="B1323" s="3">
        <v>44239</v>
      </c>
      <c r="C1323" s="11">
        <v>4447</v>
      </c>
      <c r="E1323" s="7" t="s">
        <v>1518</v>
      </c>
      <c r="J1323" s="11" t="s">
        <v>1519</v>
      </c>
      <c r="K1323" s="11" t="s">
        <v>1520</v>
      </c>
    </row>
    <row r="1324" spans="1:15" x14ac:dyDescent="0.25">
      <c r="B1324" s="3">
        <v>44245</v>
      </c>
      <c r="C1324" s="11">
        <v>4449</v>
      </c>
      <c r="E1324" s="7" t="s">
        <v>1524</v>
      </c>
      <c r="K1324" s="11" t="s">
        <v>1525</v>
      </c>
    </row>
    <row r="1325" spans="1:15" x14ac:dyDescent="0.25">
      <c r="B1325" s="3">
        <v>44249</v>
      </c>
      <c r="C1325" s="11">
        <v>4450</v>
      </c>
      <c r="E1325" s="7" t="s">
        <v>1526</v>
      </c>
      <c r="J1325" s="11" t="s">
        <v>1527</v>
      </c>
      <c r="K1325" s="11" t="s">
        <v>1528</v>
      </c>
    </row>
    <row r="1326" spans="1:15" x14ac:dyDescent="0.25">
      <c r="A1326">
        <v>1444</v>
      </c>
      <c r="B1326" s="3">
        <v>44249</v>
      </c>
      <c r="C1326" s="11">
        <v>4451</v>
      </c>
      <c r="E1326" s="7" t="s">
        <v>1529</v>
      </c>
      <c r="J1326" s="11" t="s">
        <v>1530</v>
      </c>
    </row>
    <row r="1327" spans="1:15" x14ac:dyDescent="0.25">
      <c r="A1327">
        <v>1445</v>
      </c>
      <c r="B1327" s="3">
        <v>44256</v>
      </c>
      <c r="C1327" s="11">
        <v>4456</v>
      </c>
      <c r="E1327" s="7" t="s">
        <v>1531</v>
      </c>
      <c r="J1327" s="11" t="s">
        <v>1532</v>
      </c>
      <c r="K1327" s="11" t="s">
        <v>1533</v>
      </c>
    </row>
    <row r="1328" spans="1:15" x14ac:dyDescent="0.25">
      <c r="B1328" s="3">
        <v>44257</v>
      </c>
      <c r="C1328" s="11">
        <v>4457</v>
      </c>
      <c r="E1328" s="7" t="s">
        <v>1539</v>
      </c>
      <c r="J1328" s="11" t="s">
        <v>1540</v>
      </c>
      <c r="K1328" s="11" t="s">
        <v>1541</v>
      </c>
    </row>
    <row r="1329" spans="2:11" x14ac:dyDescent="0.25">
      <c r="B1329" s="3">
        <v>44264</v>
      </c>
      <c r="C1329" s="11">
        <v>4462</v>
      </c>
      <c r="E1329" s="7" t="s">
        <v>1538</v>
      </c>
      <c r="J1329" s="11" t="s">
        <v>1542</v>
      </c>
      <c r="K1329" s="11" t="s">
        <v>1543</v>
      </c>
    </row>
    <row r="1330" spans="2:11" x14ac:dyDescent="0.25">
      <c r="B1330" s="3">
        <v>44264</v>
      </c>
      <c r="C1330" s="11">
        <v>4463</v>
      </c>
      <c r="E1330" s="7" t="s">
        <v>1537</v>
      </c>
      <c r="J1330" s="11" t="s">
        <v>1544</v>
      </c>
    </row>
    <row r="1331" spans="2:11" x14ac:dyDescent="0.25">
      <c r="B1331" s="3">
        <v>44265</v>
      </c>
      <c r="C1331" s="11">
        <v>4464</v>
      </c>
      <c r="E1331" s="7" t="s">
        <v>1536</v>
      </c>
      <c r="J1331" s="11" t="s">
        <v>1545</v>
      </c>
      <c r="K1331" s="11" t="s">
        <v>1546</v>
      </c>
    </row>
    <row r="1332" spans="2:11" x14ac:dyDescent="0.25">
      <c r="B1332" s="3">
        <v>44267</v>
      </c>
      <c r="C1332" s="11">
        <v>4465</v>
      </c>
      <c r="E1332" s="7" t="s">
        <v>1535</v>
      </c>
      <c r="J1332" s="11" t="s">
        <v>1547</v>
      </c>
      <c r="K1332" s="11" t="s">
        <v>1548</v>
      </c>
    </row>
    <row r="1333" spans="2:11" x14ac:dyDescent="0.25">
      <c r="B1333" s="3">
        <v>44267</v>
      </c>
      <c r="C1333" s="11">
        <v>4466</v>
      </c>
      <c r="E1333" s="7" t="s">
        <v>1620</v>
      </c>
      <c r="J1333" s="11" t="s">
        <v>1621</v>
      </c>
      <c r="K1333" s="11" t="s">
        <v>1622</v>
      </c>
    </row>
    <row r="1334" spans="2:11" x14ac:dyDescent="0.25">
      <c r="B1334" s="3">
        <v>44267</v>
      </c>
      <c r="C1334" s="11">
        <v>4467</v>
      </c>
      <c r="E1334" s="7" t="s">
        <v>1630</v>
      </c>
      <c r="J1334" s="11" t="s">
        <v>1623</v>
      </c>
      <c r="K1334" s="11" t="s">
        <v>1624</v>
      </c>
    </row>
    <row r="1335" spans="2:11" x14ac:dyDescent="0.25">
      <c r="B1335" s="3">
        <v>44267</v>
      </c>
      <c r="C1335" s="11">
        <v>4469</v>
      </c>
      <c r="E1335" s="7" t="s">
        <v>1625</v>
      </c>
      <c r="K1335" s="11" t="s">
        <v>1626</v>
      </c>
    </row>
    <row r="1336" spans="2:11" x14ac:dyDescent="0.25">
      <c r="B1336" s="3">
        <v>44269</v>
      </c>
      <c r="C1336" s="11">
        <v>4471</v>
      </c>
      <c r="E1336" s="7" t="s">
        <v>1627</v>
      </c>
      <c r="J1336" s="11" t="s">
        <v>1628</v>
      </c>
      <c r="K1336" s="11" t="s">
        <v>1629</v>
      </c>
    </row>
    <row r="1337" spans="2:11" x14ac:dyDescent="0.25">
      <c r="B1337" s="3">
        <v>44237</v>
      </c>
      <c r="C1337" s="11">
        <v>4473</v>
      </c>
      <c r="E1337" s="7" t="s">
        <v>1631</v>
      </c>
      <c r="J1337" s="11" t="s">
        <v>1632</v>
      </c>
      <c r="K1337" s="11" t="s">
        <v>1633</v>
      </c>
    </row>
    <row r="1338" spans="2:11" x14ac:dyDescent="0.25">
      <c r="B1338" s="3">
        <v>44272</v>
      </c>
      <c r="C1338" s="11">
        <v>4476</v>
      </c>
      <c r="E1338" s="7" t="s">
        <v>1634</v>
      </c>
      <c r="J1338" s="11" t="s">
        <v>1635</v>
      </c>
      <c r="K1338" s="11" t="s">
        <v>1636</v>
      </c>
    </row>
    <row r="1339" spans="2:11" x14ac:dyDescent="0.25">
      <c r="B1339" s="3">
        <v>44272</v>
      </c>
      <c r="C1339" s="11">
        <v>4477</v>
      </c>
      <c r="E1339" s="7" t="s">
        <v>1637</v>
      </c>
      <c r="J1339" s="11" t="s">
        <v>1638</v>
      </c>
      <c r="K1339" s="11" t="s">
        <v>1639</v>
      </c>
    </row>
    <row r="1340" spans="2:11" x14ac:dyDescent="0.25">
      <c r="B1340" s="3">
        <v>44272</v>
      </c>
      <c r="C1340" s="11">
        <v>4478</v>
      </c>
      <c r="E1340" s="7" t="s">
        <v>1640</v>
      </c>
      <c r="J1340" s="11" t="s">
        <v>1641</v>
      </c>
      <c r="K1340" s="11" t="s">
        <v>1642</v>
      </c>
    </row>
    <row r="1341" spans="2:11" x14ac:dyDescent="0.25">
      <c r="B1341" s="3">
        <v>44272</v>
      </c>
      <c r="C1341" s="11">
        <v>4479</v>
      </c>
      <c r="E1341" s="7" t="s">
        <v>1643</v>
      </c>
      <c r="J1341" s="11" t="s">
        <v>1644</v>
      </c>
      <c r="K1341" s="11" t="s">
        <v>1645</v>
      </c>
    </row>
    <row r="1342" spans="2:11" x14ac:dyDescent="0.25">
      <c r="B1342" s="3">
        <v>44272</v>
      </c>
      <c r="C1342" s="11">
        <v>4481</v>
      </c>
      <c r="E1342" s="7" t="s">
        <v>1646</v>
      </c>
      <c r="K1342" s="11" t="s">
        <v>1647</v>
      </c>
    </row>
    <row r="1343" spans="2:11" x14ac:dyDescent="0.25">
      <c r="B1343" s="3">
        <v>44273</v>
      </c>
      <c r="C1343" s="11">
        <v>4482</v>
      </c>
      <c r="E1343" s="7" t="s">
        <v>1648</v>
      </c>
      <c r="J1343" s="11" t="s">
        <v>1649</v>
      </c>
      <c r="K1343" s="11" t="s">
        <v>1650</v>
      </c>
    </row>
    <row r="1344" spans="2:11" x14ac:dyDescent="0.25">
      <c r="B1344" s="3">
        <v>44274</v>
      </c>
      <c r="C1344" s="11">
        <v>4483</v>
      </c>
      <c r="E1344" s="7" t="s">
        <v>1651</v>
      </c>
      <c r="J1344" s="11" t="s">
        <v>1652</v>
      </c>
      <c r="K1344" s="11" t="s">
        <v>1653</v>
      </c>
    </row>
    <row r="1345" spans="2:11" x14ac:dyDescent="0.25">
      <c r="B1345" s="3">
        <v>44275</v>
      </c>
      <c r="C1345" s="11">
        <v>4484</v>
      </c>
      <c r="E1345" s="7" t="s">
        <v>1654</v>
      </c>
      <c r="J1345" s="11" t="s">
        <v>1655</v>
      </c>
      <c r="K1345" s="11" t="s">
        <v>1656</v>
      </c>
    </row>
    <row r="1346" spans="2:11" x14ac:dyDescent="0.25">
      <c r="B1346" s="3">
        <v>44275</v>
      </c>
      <c r="C1346" s="11">
        <v>4485</v>
      </c>
      <c r="E1346" s="7" t="s">
        <v>1657</v>
      </c>
      <c r="J1346" s="11" t="s">
        <v>1658</v>
      </c>
      <c r="K1346" s="11" t="s">
        <v>1659</v>
      </c>
    </row>
    <row r="1347" spans="2:11" x14ac:dyDescent="0.25">
      <c r="B1347" s="3">
        <v>44275</v>
      </c>
      <c r="C1347" s="11">
        <v>4486</v>
      </c>
      <c r="E1347" s="7" t="s">
        <v>1660</v>
      </c>
      <c r="J1347" s="11" t="s">
        <v>1661</v>
      </c>
      <c r="K1347" s="11" t="s">
        <v>1662</v>
      </c>
    </row>
    <row r="1348" spans="2:11" x14ac:dyDescent="0.25">
      <c r="B1348" s="3">
        <v>44277</v>
      </c>
      <c r="C1348" s="11">
        <v>4488</v>
      </c>
      <c r="E1348" s="7" t="s">
        <v>1663</v>
      </c>
      <c r="J1348" s="11" t="s">
        <v>1664</v>
      </c>
      <c r="K1348" s="11" t="s">
        <v>1665</v>
      </c>
    </row>
    <row r="1349" spans="2:11" x14ac:dyDescent="0.25">
      <c r="B1349" s="3">
        <v>44281</v>
      </c>
      <c r="C1349" s="11">
        <v>4489</v>
      </c>
      <c r="E1349" s="7" t="s">
        <v>1666</v>
      </c>
      <c r="J1349" s="11" t="s">
        <v>1667</v>
      </c>
    </row>
    <row r="1350" spans="2:11" x14ac:dyDescent="0.25">
      <c r="B1350" s="3">
        <v>44281</v>
      </c>
      <c r="C1350" s="11">
        <v>4490</v>
      </c>
      <c r="E1350" s="7" t="s">
        <v>1668</v>
      </c>
      <c r="K1350" s="11" t="s">
        <v>1669</v>
      </c>
    </row>
    <row r="1351" spans="2:11" x14ac:dyDescent="0.25">
      <c r="B1351" s="3" t="s">
        <v>1670</v>
      </c>
      <c r="C1351" s="11">
        <v>4491</v>
      </c>
      <c r="E1351" s="7" t="s">
        <v>1671</v>
      </c>
      <c r="J1351" s="11" t="s">
        <v>1672</v>
      </c>
    </row>
    <row r="1352" spans="2:11" x14ac:dyDescent="0.25">
      <c r="B1352" s="3">
        <v>44283</v>
      </c>
      <c r="C1352" s="11">
        <v>4492</v>
      </c>
      <c r="E1352" s="7" t="s">
        <v>1673</v>
      </c>
      <c r="J1352" s="11" t="s">
        <v>1674</v>
      </c>
    </row>
    <row r="1353" spans="2:11" x14ac:dyDescent="0.25">
      <c r="B1353" s="3">
        <v>44283</v>
      </c>
      <c r="C1353" s="11">
        <v>4493</v>
      </c>
      <c r="E1353" s="7" t="s">
        <v>1675</v>
      </c>
      <c r="K1353" s="11" t="s">
        <v>1676</v>
      </c>
    </row>
    <row r="1354" spans="2:11" x14ac:dyDescent="0.25">
      <c r="B1354" s="3"/>
      <c r="C1354" s="11">
        <v>4500</v>
      </c>
      <c r="E1354" s="7" t="s">
        <v>1677</v>
      </c>
      <c r="K1354" s="11" t="s">
        <v>1678</v>
      </c>
    </row>
    <row r="1355" spans="2:11" x14ac:dyDescent="0.25">
      <c r="B1355" s="3">
        <v>44383</v>
      </c>
      <c r="C1355" s="11">
        <v>4530</v>
      </c>
      <c r="E1355" s="7" t="s">
        <v>1680</v>
      </c>
      <c r="K1355" s="11" t="s">
        <v>1679</v>
      </c>
    </row>
    <row r="1356" spans="2:11" x14ac:dyDescent="0.25">
      <c r="B1356" s="3">
        <v>44390</v>
      </c>
      <c r="C1356" s="11">
        <v>4534</v>
      </c>
      <c r="E1356" s="7" t="s">
        <v>1681</v>
      </c>
      <c r="K1356" s="11" t="s">
        <v>1682</v>
      </c>
    </row>
    <row r="1357" spans="2:11" x14ac:dyDescent="0.25">
      <c r="B1357" s="3">
        <v>44390</v>
      </c>
      <c r="C1357" s="11">
        <v>4535</v>
      </c>
      <c r="E1357" s="7" t="s">
        <v>1683</v>
      </c>
      <c r="K1357" s="11" t="s">
        <v>1684</v>
      </c>
    </row>
    <row r="1358" spans="2:11" x14ac:dyDescent="0.25">
      <c r="B1358" s="3">
        <v>44391</v>
      </c>
      <c r="C1358" s="11">
        <v>4536</v>
      </c>
      <c r="E1358" s="7" t="s">
        <v>1685</v>
      </c>
      <c r="K1358" s="11" t="s">
        <v>1686</v>
      </c>
    </row>
    <row r="1359" spans="2:11" x14ac:dyDescent="0.25">
      <c r="B1359" s="3">
        <v>44396</v>
      </c>
      <c r="C1359" s="11">
        <v>4541</v>
      </c>
      <c r="E1359" s="7" t="s">
        <v>1687</v>
      </c>
      <c r="K1359" s="11" t="s">
        <v>1686</v>
      </c>
    </row>
    <row r="1360" spans="2:11" x14ac:dyDescent="0.25">
      <c r="B1360" s="3">
        <v>44403</v>
      </c>
      <c r="C1360" s="11">
        <v>4547</v>
      </c>
      <c r="E1360" s="7" t="s">
        <v>1688</v>
      </c>
      <c r="J1360" s="11" t="s">
        <v>1690</v>
      </c>
      <c r="K1360" s="11" t="s">
        <v>1689</v>
      </c>
    </row>
    <row r="1361" spans="2:16" x14ac:dyDescent="0.25">
      <c r="B1361" s="3">
        <v>44374</v>
      </c>
      <c r="C1361" s="11">
        <v>4548</v>
      </c>
      <c r="E1361" s="7" t="s">
        <v>1691</v>
      </c>
      <c r="K1361" s="11" t="s">
        <v>1692</v>
      </c>
    </row>
    <row r="1362" spans="2:16" x14ac:dyDescent="0.25">
      <c r="B1362" s="3">
        <v>44374</v>
      </c>
      <c r="C1362" s="11">
        <v>4552</v>
      </c>
      <c r="E1362" s="7" t="s">
        <v>1693</v>
      </c>
      <c r="J1362" s="11" t="s">
        <v>1694</v>
      </c>
      <c r="K1362" s="11" t="s">
        <v>1695</v>
      </c>
    </row>
    <row r="1363" spans="2:16" x14ac:dyDescent="0.25">
      <c r="B1363" s="3">
        <v>44374</v>
      </c>
      <c r="C1363" s="11">
        <v>4553</v>
      </c>
      <c r="E1363" s="7" t="s">
        <v>1696</v>
      </c>
      <c r="J1363" s="11" t="s">
        <v>1697</v>
      </c>
      <c r="K1363" s="11" t="s">
        <v>1698</v>
      </c>
      <c r="L1363" s="3">
        <v>45215</v>
      </c>
      <c r="N1363" s="3">
        <v>45029</v>
      </c>
    </row>
    <row r="1364" spans="2:16" x14ac:dyDescent="0.25">
      <c r="B1364" s="3"/>
      <c r="C1364" s="11">
        <v>4561</v>
      </c>
      <c r="E1364" s="7" t="s">
        <v>1699</v>
      </c>
      <c r="J1364" s="11" t="s">
        <v>1700</v>
      </c>
      <c r="K1364" s="11" t="s">
        <v>1701</v>
      </c>
    </row>
    <row r="1365" spans="2:16" x14ac:dyDescent="0.25">
      <c r="B1365" s="3"/>
      <c r="C1365" s="11">
        <v>4556</v>
      </c>
      <c r="E1365" s="7" t="s">
        <v>1702</v>
      </c>
      <c r="J1365" s="11" t="s">
        <v>1703</v>
      </c>
      <c r="K1365" s="11" t="s">
        <v>1704</v>
      </c>
    </row>
    <row r="1366" spans="2:16" x14ac:dyDescent="0.25">
      <c r="B1366" s="3">
        <v>44411</v>
      </c>
      <c r="C1366" s="11">
        <v>4565</v>
      </c>
      <c r="E1366" s="7" t="s">
        <v>1705</v>
      </c>
      <c r="J1366" s="11" t="s">
        <v>1706</v>
      </c>
      <c r="K1366" s="11" t="s">
        <v>1707</v>
      </c>
    </row>
    <row r="1367" spans="2:16" x14ac:dyDescent="0.25">
      <c r="B1367" s="3">
        <v>44411</v>
      </c>
      <c r="C1367" s="11">
        <v>4566</v>
      </c>
      <c r="E1367" s="7" t="s">
        <v>1708</v>
      </c>
      <c r="J1367" s="11" t="s">
        <v>1709</v>
      </c>
      <c r="K1367" s="11" t="s">
        <v>1710</v>
      </c>
    </row>
    <row r="1368" spans="2:16" x14ac:dyDescent="0.25">
      <c r="B1368" s="3">
        <v>44412</v>
      </c>
      <c r="C1368" s="11">
        <v>4569</v>
      </c>
      <c r="E1368" s="7" t="s">
        <v>1711</v>
      </c>
      <c r="K1368" s="11" t="s">
        <v>1712</v>
      </c>
    </row>
    <row r="1369" spans="2:16" x14ac:dyDescent="0.25">
      <c r="B1369" s="3">
        <v>44412</v>
      </c>
      <c r="C1369" s="11">
        <v>4570</v>
      </c>
      <c r="E1369" s="7" t="s">
        <v>1713</v>
      </c>
      <c r="J1369" s="11" t="s">
        <v>1714</v>
      </c>
      <c r="K1369" s="11" t="s">
        <v>1715</v>
      </c>
    </row>
    <row r="1370" spans="2:16" x14ac:dyDescent="0.25">
      <c r="B1370" s="3">
        <v>44413</v>
      </c>
      <c r="C1370" s="11">
        <v>4581</v>
      </c>
      <c r="E1370" s="7" t="s">
        <v>1716</v>
      </c>
      <c r="J1370" s="11" t="s">
        <v>1717</v>
      </c>
    </row>
    <row r="1371" spans="2:16" x14ac:dyDescent="0.25">
      <c r="B1371" s="3">
        <v>44413</v>
      </c>
      <c r="C1371" s="11">
        <v>4589</v>
      </c>
      <c r="E1371" s="7" t="s">
        <v>258</v>
      </c>
    </row>
    <row r="1372" spans="2:16" x14ac:dyDescent="0.25">
      <c r="B1372" s="3"/>
      <c r="C1372" s="11">
        <v>4591</v>
      </c>
      <c r="E1372" s="7" t="s">
        <v>1718</v>
      </c>
      <c r="K1372" s="11" t="s">
        <v>1719</v>
      </c>
    </row>
    <row r="1373" spans="2:16" x14ac:dyDescent="0.25">
      <c r="B1373" s="3">
        <v>44429</v>
      </c>
      <c r="C1373" s="11">
        <v>4602</v>
      </c>
      <c r="E1373" s="7" t="s">
        <v>1720</v>
      </c>
      <c r="J1373" s="11" t="s">
        <v>1721</v>
      </c>
    </row>
    <row r="1374" spans="2:16" x14ac:dyDescent="0.25">
      <c r="B1374" s="3">
        <v>44431</v>
      </c>
      <c r="C1374" s="11">
        <v>4605</v>
      </c>
      <c r="E1374" s="7" t="s">
        <v>1722</v>
      </c>
      <c r="J1374" s="11" t="s">
        <v>1723</v>
      </c>
      <c r="K1374" s="11" t="s">
        <v>1724</v>
      </c>
      <c r="O1374" s="4" t="s">
        <v>14</v>
      </c>
      <c r="P1374" s="4" t="s">
        <v>14</v>
      </c>
    </row>
    <row r="1375" spans="2:16" x14ac:dyDescent="0.25">
      <c r="B1375" s="3">
        <v>44433</v>
      </c>
      <c r="C1375" s="11">
        <v>4609</v>
      </c>
      <c r="E1375" s="7" t="s">
        <v>1725</v>
      </c>
      <c r="J1375" s="11" t="s">
        <v>1726</v>
      </c>
    </row>
    <row r="1376" spans="2:16" x14ac:dyDescent="0.25">
      <c r="B1376" s="3">
        <v>44433</v>
      </c>
      <c r="C1376" s="11">
        <v>4610</v>
      </c>
      <c r="E1376" s="7" t="s">
        <v>1727</v>
      </c>
      <c r="J1376" s="11" t="s">
        <v>1728</v>
      </c>
    </row>
    <row r="1377" spans="1:11" x14ac:dyDescent="0.25">
      <c r="B1377" s="3"/>
      <c r="C1377" s="11">
        <v>4613</v>
      </c>
      <c r="E1377" s="7" t="s">
        <v>1729</v>
      </c>
      <c r="J1377" s="11" t="s">
        <v>1730</v>
      </c>
      <c r="K1377" s="11" t="s">
        <v>1731</v>
      </c>
    </row>
    <row r="1378" spans="1:11" x14ac:dyDescent="0.25">
      <c r="B1378" s="3">
        <v>44441</v>
      </c>
      <c r="C1378" s="11">
        <v>4619</v>
      </c>
      <c r="E1378" s="7" t="s">
        <v>1732</v>
      </c>
      <c r="J1378" s="11" t="s">
        <v>1733</v>
      </c>
    </row>
    <row r="1379" spans="1:11" x14ac:dyDescent="0.25">
      <c r="A1379" s="5"/>
      <c r="B1379" s="3">
        <v>44441</v>
      </c>
      <c r="C1379" s="11">
        <v>4620</v>
      </c>
      <c r="E1379" s="7" t="s">
        <v>1734</v>
      </c>
      <c r="J1379" s="11" t="s">
        <v>1735</v>
      </c>
    </row>
    <row r="1380" spans="1:11" x14ac:dyDescent="0.25">
      <c r="B1380" s="3">
        <v>44442</v>
      </c>
      <c r="C1380" s="11">
        <v>4623</v>
      </c>
      <c r="E1380" s="7" t="s">
        <v>1736</v>
      </c>
      <c r="J1380" s="11" t="s">
        <v>1737</v>
      </c>
    </row>
    <row r="1381" spans="1:11" x14ac:dyDescent="0.25">
      <c r="B1381" s="3">
        <v>44446</v>
      </c>
      <c r="C1381" s="11">
        <v>4625</v>
      </c>
      <c r="E1381" s="7" t="s">
        <v>1738</v>
      </c>
      <c r="J1381" s="11" t="s">
        <v>1739</v>
      </c>
      <c r="K1381" s="11" t="s">
        <v>1740</v>
      </c>
    </row>
    <row r="1382" spans="1:11" x14ac:dyDescent="0.25">
      <c r="B1382" s="3">
        <v>44454</v>
      </c>
      <c r="C1382" s="11">
        <v>4635</v>
      </c>
      <c r="E1382" s="7" t="s">
        <v>1741</v>
      </c>
      <c r="J1382" s="11" t="s">
        <v>1742</v>
      </c>
      <c r="K1382" s="11" t="s">
        <v>1743</v>
      </c>
    </row>
    <row r="1383" spans="1:11" x14ac:dyDescent="0.25">
      <c r="B1383" s="3">
        <v>44457</v>
      </c>
      <c r="C1383" s="11">
        <v>4636</v>
      </c>
      <c r="E1383" s="7" t="s">
        <v>1744</v>
      </c>
      <c r="J1383" s="11" t="s">
        <v>1745</v>
      </c>
      <c r="K1383" s="11" t="s">
        <v>1746</v>
      </c>
    </row>
    <row r="1384" spans="1:11" x14ac:dyDescent="0.25">
      <c r="B1384" s="3">
        <v>44457</v>
      </c>
      <c r="C1384" s="11">
        <v>4637</v>
      </c>
      <c r="E1384" s="7" t="s">
        <v>1747</v>
      </c>
      <c r="J1384" s="11" t="s">
        <v>1749</v>
      </c>
      <c r="K1384" s="11" t="s">
        <v>1748</v>
      </c>
    </row>
    <row r="1385" spans="1:11" x14ac:dyDescent="0.25">
      <c r="B1385" s="3">
        <v>44457</v>
      </c>
      <c r="C1385" s="11">
        <v>4638</v>
      </c>
      <c r="E1385" s="7" t="s">
        <v>1750</v>
      </c>
      <c r="J1385" s="11" t="s">
        <v>1751</v>
      </c>
      <c r="K1385" s="11" t="s">
        <v>1752</v>
      </c>
    </row>
    <row r="1386" spans="1:11" x14ac:dyDescent="0.25">
      <c r="B1386" s="3">
        <v>44460</v>
      </c>
      <c r="C1386" s="11">
        <v>4639</v>
      </c>
      <c r="E1386" s="7" t="s">
        <v>1753</v>
      </c>
      <c r="J1386" s="11" t="s">
        <v>1754</v>
      </c>
    </row>
    <row r="1387" spans="1:11" x14ac:dyDescent="0.25">
      <c r="B1387" s="3">
        <v>44462</v>
      </c>
      <c r="C1387" s="11">
        <v>4641</v>
      </c>
      <c r="E1387" s="7" t="s">
        <v>1755</v>
      </c>
      <c r="J1387" s="11" t="s">
        <v>1756</v>
      </c>
      <c r="K1387" s="11" t="s">
        <v>1757</v>
      </c>
    </row>
    <row r="1388" spans="1:11" x14ac:dyDescent="0.25">
      <c r="B1388" s="3">
        <v>44463</v>
      </c>
      <c r="C1388" s="11">
        <v>4642</v>
      </c>
      <c r="E1388" s="7" t="s">
        <v>1758</v>
      </c>
      <c r="J1388" s="11" t="s">
        <v>1759</v>
      </c>
      <c r="K1388" s="11" t="s">
        <v>1760</v>
      </c>
    </row>
    <row r="1389" spans="1:11" x14ac:dyDescent="0.25">
      <c r="B1389" s="3">
        <v>44467</v>
      </c>
      <c r="C1389" s="11">
        <v>4644</v>
      </c>
      <c r="E1389" s="7" t="s">
        <v>1761</v>
      </c>
      <c r="J1389" s="11" t="s">
        <v>1762</v>
      </c>
      <c r="K1389" s="11" t="s">
        <v>1763</v>
      </c>
    </row>
    <row r="1390" spans="1:11" x14ac:dyDescent="0.25">
      <c r="B1390" s="3">
        <v>44468</v>
      </c>
      <c r="C1390" s="11">
        <v>4645</v>
      </c>
      <c r="E1390" s="7" t="s">
        <v>1764</v>
      </c>
      <c r="J1390" s="11" t="s">
        <v>1765</v>
      </c>
    </row>
    <row r="1391" spans="1:11" x14ac:dyDescent="0.25">
      <c r="B1391" s="3">
        <v>44469</v>
      </c>
      <c r="C1391" s="11">
        <v>4647</v>
      </c>
      <c r="E1391" s="7" t="s">
        <v>1766</v>
      </c>
      <c r="J1391" s="11" t="s">
        <v>1767</v>
      </c>
      <c r="K1391" s="11" t="s">
        <v>1768</v>
      </c>
    </row>
    <row r="1392" spans="1:11" x14ac:dyDescent="0.25">
      <c r="A1392" t="s">
        <v>4869</v>
      </c>
      <c r="B1392" s="3">
        <v>44473</v>
      </c>
      <c r="C1392" s="11">
        <v>4649</v>
      </c>
      <c r="E1392" s="7" t="s">
        <v>1769</v>
      </c>
      <c r="K1392" s="11" t="s">
        <v>1770</v>
      </c>
    </row>
    <row r="1393" spans="2:16" x14ac:dyDescent="0.25">
      <c r="B1393" s="3"/>
      <c r="C1393" s="11">
        <v>4651</v>
      </c>
      <c r="E1393" s="7" t="s">
        <v>1771</v>
      </c>
      <c r="J1393" s="11" t="s">
        <v>1772</v>
      </c>
      <c r="K1393" s="11" t="s">
        <v>1773</v>
      </c>
    </row>
    <row r="1394" spans="2:16" x14ac:dyDescent="0.25">
      <c r="B1394" s="3"/>
      <c r="C1394" s="11">
        <v>4652</v>
      </c>
      <c r="E1394" s="7" t="s">
        <v>1774</v>
      </c>
      <c r="J1394" s="11" t="s">
        <v>1775</v>
      </c>
    </row>
    <row r="1395" spans="2:16" x14ac:dyDescent="0.25">
      <c r="B1395" s="3">
        <v>44480</v>
      </c>
      <c r="C1395" s="11">
        <v>4653</v>
      </c>
      <c r="E1395" s="7" t="s">
        <v>941</v>
      </c>
      <c r="J1395" s="11" t="s">
        <v>1776</v>
      </c>
      <c r="K1395" s="11" t="s">
        <v>1777</v>
      </c>
    </row>
    <row r="1396" spans="2:16" x14ac:dyDescent="0.25">
      <c r="B1396" s="3">
        <v>44481</v>
      </c>
      <c r="C1396" s="11">
        <v>4654</v>
      </c>
      <c r="E1396" s="7" t="s">
        <v>252</v>
      </c>
      <c r="G1396" s="18">
        <v>29382</v>
      </c>
      <c r="H1396" s="4" t="s">
        <v>2133</v>
      </c>
      <c r="J1396" s="11" t="s">
        <v>1778</v>
      </c>
      <c r="K1396" s="11" t="s">
        <v>1779</v>
      </c>
      <c r="O1396" s="4" t="s">
        <v>16</v>
      </c>
      <c r="P1396" s="4" t="s">
        <v>16</v>
      </c>
    </row>
    <row r="1397" spans="2:16" x14ac:dyDescent="0.25">
      <c r="B1397" s="3">
        <v>44485</v>
      </c>
      <c r="C1397" s="11">
        <v>4655</v>
      </c>
      <c r="E1397" s="7" t="s">
        <v>1780</v>
      </c>
      <c r="J1397" s="11" t="s">
        <v>1781</v>
      </c>
      <c r="K1397" s="11" t="s">
        <v>1782</v>
      </c>
    </row>
    <row r="1398" spans="2:16" x14ac:dyDescent="0.25">
      <c r="B1398" s="3">
        <v>44487</v>
      </c>
      <c r="C1398" s="11">
        <v>4656</v>
      </c>
      <c r="E1398" s="7" t="s">
        <v>1783</v>
      </c>
      <c r="J1398" s="11" t="s">
        <v>1784</v>
      </c>
      <c r="K1398" s="11" t="s">
        <v>1785</v>
      </c>
    </row>
    <row r="1399" spans="2:16" x14ac:dyDescent="0.25">
      <c r="B1399" s="3">
        <v>44488</v>
      </c>
      <c r="C1399" s="11">
        <v>4657</v>
      </c>
      <c r="E1399" s="7" t="s">
        <v>1786</v>
      </c>
      <c r="K1399" s="11" t="s">
        <v>1787</v>
      </c>
    </row>
    <row r="1400" spans="2:16" x14ac:dyDescent="0.25">
      <c r="B1400" s="3">
        <v>44489</v>
      </c>
      <c r="C1400" s="11">
        <v>4658</v>
      </c>
      <c r="E1400" s="7" t="s">
        <v>1788</v>
      </c>
      <c r="J1400" s="11" t="s">
        <v>1789</v>
      </c>
    </row>
    <row r="1401" spans="2:16" x14ac:dyDescent="0.25">
      <c r="B1401" s="3">
        <v>44491</v>
      </c>
      <c r="C1401" s="11">
        <v>4661</v>
      </c>
      <c r="E1401" s="7" t="s">
        <v>640</v>
      </c>
      <c r="J1401" s="11" t="s">
        <v>1790</v>
      </c>
    </row>
    <row r="1402" spans="2:16" x14ac:dyDescent="0.25">
      <c r="B1402" s="3">
        <v>44492</v>
      </c>
      <c r="C1402" s="11">
        <v>4662</v>
      </c>
      <c r="E1402" s="7" t="s">
        <v>1791</v>
      </c>
      <c r="J1402" s="11" t="s">
        <v>1792</v>
      </c>
      <c r="K1402" s="11" t="s">
        <v>1793</v>
      </c>
    </row>
    <row r="1403" spans="2:16" x14ac:dyDescent="0.25">
      <c r="B1403" s="3">
        <v>44494</v>
      </c>
      <c r="C1403" s="11">
        <v>4663</v>
      </c>
      <c r="E1403" s="7" t="s">
        <v>1794</v>
      </c>
      <c r="J1403" s="11" t="s">
        <v>1795</v>
      </c>
      <c r="K1403" s="11" t="s">
        <v>1796</v>
      </c>
    </row>
    <row r="1404" spans="2:16" x14ac:dyDescent="0.25">
      <c r="B1404" s="3">
        <v>44494</v>
      </c>
      <c r="C1404" s="11">
        <v>4664</v>
      </c>
      <c r="E1404" s="7" t="s">
        <v>1797</v>
      </c>
      <c r="J1404" s="11" t="s">
        <v>1798</v>
      </c>
      <c r="K1404" s="11" t="s">
        <v>1799</v>
      </c>
    </row>
    <row r="1405" spans="2:16" x14ac:dyDescent="0.25">
      <c r="B1405" s="5">
        <v>44496</v>
      </c>
      <c r="C1405" s="11">
        <v>4666</v>
      </c>
      <c r="E1405" s="7" t="s">
        <v>1800</v>
      </c>
      <c r="K1405" s="11" t="s">
        <v>1801</v>
      </c>
    </row>
    <row r="1406" spans="2:16" x14ac:dyDescent="0.25">
      <c r="B1406" s="3">
        <v>44497</v>
      </c>
      <c r="C1406" s="11">
        <v>4667</v>
      </c>
      <c r="E1406" s="7" t="s">
        <v>1802</v>
      </c>
      <c r="J1406" s="11" t="s">
        <v>1808</v>
      </c>
    </row>
    <row r="1407" spans="2:16" x14ac:dyDescent="0.25">
      <c r="B1407" s="3">
        <v>44498</v>
      </c>
      <c r="C1407" s="11">
        <v>4668</v>
      </c>
      <c r="E1407" s="7" t="s">
        <v>1803</v>
      </c>
      <c r="J1407" s="11" t="s">
        <v>1804</v>
      </c>
      <c r="K1407" s="11" t="s">
        <v>1805</v>
      </c>
    </row>
    <row r="1408" spans="2:16" x14ac:dyDescent="0.25">
      <c r="B1408" s="3">
        <v>44498</v>
      </c>
      <c r="C1408" s="11">
        <v>4669</v>
      </c>
      <c r="E1408" s="7" t="s">
        <v>1806</v>
      </c>
      <c r="J1408" s="11" t="s">
        <v>1807</v>
      </c>
      <c r="K1408" s="11" t="s">
        <v>1805</v>
      </c>
    </row>
    <row r="1409" spans="2:11" x14ac:dyDescent="0.25">
      <c r="B1409" s="3">
        <v>44499</v>
      </c>
      <c r="C1409" s="11">
        <v>4671</v>
      </c>
      <c r="E1409" s="7" t="s">
        <v>1809</v>
      </c>
      <c r="J1409" s="11" t="s">
        <v>1810</v>
      </c>
    </row>
    <row r="1410" spans="2:11" x14ac:dyDescent="0.25">
      <c r="B1410" s="3">
        <v>44500</v>
      </c>
      <c r="C1410" s="11">
        <v>4674</v>
      </c>
      <c r="E1410" s="7" t="s">
        <v>1811</v>
      </c>
      <c r="J1410" s="11" t="s">
        <v>1812</v>
      </c>
    </row>
    <row r="1411" spans="2:11" x14ac:dyDescent="0.25">
      <c r="B1411" s="3"/>
      <c r="C1411" s="11">
        <v>4675</v>
      </c>
      <c r="E1411" s="7" t="s">
        <v>1813</v>
      </c>
      <c r="J1411" s="11" t="s">
        <v>1814</v>
      </c>
      <c r="K1411" s="11" t="s">
        <v>1815</v>
      </c>
    </row>
    <row r="1412" spans="2:11" x14ac:dyDescent="0.25">
      <c r="B1412" s="3"/>
      <c r="C1412" s="11">
        <v>4676</v>
      </c>
      <c r="E1412" s="7" t="s">
        <v>1816</v>
      </c>
      <c r="J1412" s="11" t="s">
        <v>1817</v>
      </c>
    </row>
    <row r="1413" spans="2:11" x14ac:dyDescent="0.25">
      <c r="B1413" s="3"/>
      <c r="C1413" s="11">
        <v>4679</v>
      </c>
      <c r="E1413" s="7" t="s">
        <v>1818</v>
      </c>
      <c r="J1413" s="11" t="s">
        <v>1819</v>
      </c>
      <c r="K1413" s="11" t="s">
        <v>1820</v>
      </c>
    </row>
    <row r="1414" spans="2:11" x14ac:dyDescent="0.25">
      <c r="B1414" s="3"/>
      <c r="C1414" s="11">
        <v>4681</v>
      </c>
      <c r="E1414" s="7" t="s">
        <v>1821</v>
      </c>
      <c r="K1414" s="11" t="s">
        <v>1822</v>
      </c>
    </row>
    <row r="1415" spans="2:11" x14ac:dyDescent="0.25">
      <c r="B1415" s="3">
        <v>44513</v>
      </c>
      <c r="C1415" s="11">
        <v>4683</v>
      </c>
      <c r="E1415" s="7" t="s">
        <v>1823</v>
      </c>
    </row>
    <row r="1416" spans="2:11" x14ac:dyDescent="0.25">
      <c r="B1416" s="3">
        <v>44513</v>
      </c>
      <c r="C1416" s="11">
        <v>4684</v>
      </c>
      <c r="E1416" s="7" t="s">
        <v>1824</v>
      </c>
      <c r="K1416" s="11" t="s">
        <v>1825</v>
      </c>
    </row>
    <row r="1417" spans="2:11" x14ac:dyDescent="0.25">
      <c r="B1417" s="3">
        <v>44513</v>
      </c>
      <c r="C1417" s="11">
        <v>4685</v>
      </c>
      <c r="E1417" s="7" t="s">
        <v>1826</v>
      </c>
      <c r="K1417" s="11" t="s">
        <v>1827</v>
      </c>
    </row>
    <row r="1418" spans="2:11" x14ac:dyDescent="0.25">
      <c r="B1418" s="3">
        <v>44516</v>
      </c>
      <c r="C1418" s="11">
        <v>4688</v>
      </c>
      <c r="E1418" s="7" t="s">
        <v>1828</v>
      </c>
      <c r="K1418" s="11" t="s">
        <v>1829</v>
      </c>
    </row>
    <row r="1419" spans="2:11" x14ac:dyDescent="0.25">
      <c r="B1419" s="3">
        <v>44517</v>
      </c>
      <c r="C1419" s="11">
        <v>4689</v>
      </c>
      <c r="E1419" s="7" t="s">
        <v>1830</v>
      </c>
      <c r="K1419" s="11" t="s">
        <v>1831</v>
      </c>
    </row>
    <row r="1420" spans="2:11" x14ac:dyDescent="0.25">
      <c r="B1420" s="3">
        <v>44517</v>
      </c>
      <c r="C1420" s="11">
        <v>4690</v>
      </c>
      <c r="E1420" s="7" t="s">
        <v>1832</v>
      </c>
      <c r="K1420" s="11" t="s">
        <v>1833</v>
      </c>
    </row>
    <row r="1421" spans="2:11" x14ac:dyDescent="0.25">
      <c r="B1421" s="3">
        <v>44517</v>
      </c>
      <c r="C1421" s="11">
        <v>4691</v>
      </c>
      <c r="E1421" s="7" t="s">
        <v>1834</v>
      </c>
      <c r="K1421" s="11" t="s">
        <v>1835</v>
      </c>
    </row>
    <row r="1422" spans="2:11" x14ac:dyDescent="0.25">
      <c r="B1422" s="3">
        <v>44520</v>
      </c>
      <c r="C1422" s="11">
        <v>4694</v>
      </c>
      <c r="E1422" s="7" t="s">
        <v>1836</v>
      </c>
      <c r="K1422" s="11" t="s">
        <v>1837</v>
      </c>
    </row>
    <row r="1423" spans="2:11" x14ac:dyDescent="0.25">
      <c r="B1423" s="3">
        <v>44526</v>
      </c>
      <c r="C1423" s="11">
        <v>4697</v>
      </c>
      <c r="E1423" s="7" t="s">
        <v>1838</v>
      </c>
      <c r="J1423" s="11" t="s">
        <v>1839</v>
      </c>
      <c r="K1423" s="11" t="s">
        <v>1840</v>
      </c>
    </row>
    <row r="1424" spans="2:11" x14ac:dyDescent="0.25">
      <c r="B1424" s="3">
        <v>44527</v>
      </c>
      <c r="C1424" s="11">
        <v>4698</v>
      </c>
      <c r="E1424" s="7" t="s">
        <v>1841</v>
      </c>
      <c r="K1424" s="11" t="s">
        <v>1842</v>
      </c>
    </row>
    <row r="1425" spans="2:11" x14ac:dyDescent="0.25">
      <c r="B1425" s="3">
        <v>44527</v>
      </c>
      <c r="C1425" s="11">
        <v>4699</v>
      </c>
      <c r="E1425" s="7" t="s">
        <v>1843</v>
      </c>
      <c r="J1425" s="11" t="s">
        <v>1844</v>
      </c>
      <c r="K1425" s="11" t="s">
        <v>1842</v>
      </c>
    </row>
    <row r="1426" spans="2:11" x14ac:dyDescent="0.25">
      <c r="B1426" s="3">
        <v>44529</v>
      </c>
      <c r="C1426" s="11">
        <v>4700</v>
      </c>
      <c r="E1426" s="7" t="s">
        <v>1845</v>
      </c>
      <c r="K1426" s="11" t="s">
        <v>1846</v>
      </c>
    </row>
    <row r="1427" spans="2:11" x14ac:dyDescent="0.25">
      <c r="B1427" s="3">
        <v>44560</v>
      </c>
      <c r="C1427" s="11">
        <v>4703</v>
      </c>
      <c r="E1427" s="7" t="s">
        <v>1847</v>
      </c>
      <c r="J1427" s="11" t="s">
        <v>1848</v>
      </c>
      <c r="K1427" s="11" t="s">
        <v>1849</v>
      </c>
    </row>
    <row r="1428" spans="2:11" x14ac:dyDescent="0.25">
      <c r="B1428" s="3">
        <v>44560</v>
      </c>
      <c r="C1428" s="11">
        <v>4704</v>
      </c>
      <c r="E1428" s="7" t="s">
        <v>1850</v>
      </c>
      <c r="J1428" s="11" t="s">
        <v>1851</v>
      </c>
      <c r="K1428" s="11" t="s">
        <v>1852</v>
      </c>
    </row>
    <row r="1429" spans="2:11" x14ac:dyDescent="0.25">
      <c r="B1429" s="3">
        <v>44533</v>
      </c>
      <c r="C1429" s="11">
        <v>4705</v>
      </c>
      <c r="E1429" s="7" t="s">
        <v>1853</v>
      </c>
      <c r="J1429" s="11" t="s">
        <v>1854</v>
      </c>
      <c r="K1429" s="11" t="s">
        <v>1855</v>
      </c>
    </row>
    <row r="1430" spans="2:11" x14ac:dyDescent="0.25">
      <c r="B1430" s="3">
        <v>44533</v>
      </c>
      <c r="C1430" s="11">
        <v>4706</v>
      </c>
      <c r="E1430" s="7" t="s">
        <v>1856</v>
      </c>
      <c r="J1430" s="11" t="s">
        <v>1857</v>
      </c>
      <c r="K1430" s="11" t="s">
        <v>1858</v>
      </c>
    </row>
    <row r="1431" spans="2:11" x14ac:dyDescent="0.25">
      <c r="B1431" s="3">
        <v>44533</v>
      </c>
      <c r="C1431" s="11">
        <v>4707</v>
      </c>
      <c r="E1431" s="7" t="s">
        <v>234</v>
      </c>
      <c r="K1431" s="11" t="s">
        <v>1859</v>
      </c>
    </row>
    <row r="1432" spans="2:11" x14ac:dyDescent="0.25">
      <c r="B1432" s="3">
        <v>44537</v>
      </c>
      <c r="C1432" s="11">
        <v>4711</v>
      </c>
      <c r="E1432" s="7" t="s">
        <v>1860</v>
      </c>
      <c r="J1432" s="11" t="s">
        <v>1861</v>
      </c>
      <c r="K1432" s="11" t="s">
        <v>1862</v>
      </c>
    </row>
    <row r="1433" spans="2:11" x14ac:dyDescent="0.25">
      <c r="B1433" s="3">
        <v>44539</v>
      </c>
      <c r="C1433" s="11">
        <v>4715</v>
      </c>
      <c r="E1433" s="7" t="s">
        <v>1863</v>
      </c>
      <c r="J1433" s="11" t="s">
        <v>1864</v>
      </c>
      <c r="K1433" s="11" t="s">
        <v>1865</v>
      </c>
    </row>
    <row r="1434" spans="2:11" x14ac:dyDescent="0.25">
      <c r="B1434" s="3">
        <v>44539</v>
      </c>
      <c r="C1434" s="11">
        <v>4716</v>
      </c>
      <c r="E1434" s="7" t="s">
        <v>1866</v>
      </c>
      <c r="J1434" s="11" t="s">
        <v>1867</v>
      </c>
      <c r="K1434" s="11" t="s">
        <v>1868</v>
      </c>
    </row>
    <row r="1435" spans="2:11" x14ac:dyDescent="0.25">
      <c r="B1435" s="3">
        <v>44541</v>
      </c>
      <c r="C1435" s="11">
        <v>4718</v>
      </c>
      <c r="E1435" s="7" t="s">
        <v>1191</v>
      </c>
      <c r="J1435" s="11" t="s">
        <v>1869</v>
      </c>
      <c r="K1435" s="11" t="s">
        <v>1870</v>
      </c>
    </row>
    <row r="1436" spans="2:11" x14ac:dyDescent="0.25">
      <c r="B1436" s="3">
        <v>44541</v>
      </c>
      <c r="C1436" s="11">
        <v>4719</v>
      </c>
      <c r="E1436" s="7" t="s">
        <v>907</v>
      </c>
      <c r="J1436" s="11" t="s">
        <v>1871</v>
      </c>
      <c r="K1436" s="11" t="s">
        <v>1872</v>
      </c>
    </row>
    <row r="1437" spans="2:11" x14ac:dyDescent="0.25">
      <c r="B1437" s="3">
        <v>44541</v>
      </c>
      <c r="C1437" s="11">
        <v>4720</v>
      </c>
      <c r="E1437" s="7" t="s">
        <v>1873</v>
      </c>
      <c r="J1437" s="11" t="s">
        <v>1874</v>
      </c>
      <c r="K1437" s="11" t="s">
        <v>1875</v>
      </c>
    </row>
    <row r="1438" spans="2:11" x14ac:dyDescent="0.25">
      <c r="B1438" s="3">
        <v>44542</v>
      </c>
      <c r="C1438" s="11">
        <v>4721</v>
      </c>
      <c r="E1438" s="7" t="s">
        <v>281</v>
      </c>
      <c r="J1438" s="11" t="s">
        <v>1876</v>
      </c>
      <c r="K1438" s="11" t="s">
        <v>1877</v>
      </c>
    </row>
    <row r="1439" spans="2:11" x14ac:dyDescent="0.25">
      <c r="B1439" s="3">
        <v>44543</v>
      </c>
      <c r="C1439" s="11">
        <v>4724</v>
      </c>
      <c r="E1439" s="7" t="s">
        <v>1878</v>
      </c>
      <c r="J1439" s="11" t="s">
        <v>1879</v>
      </c>
      <c r="K1439" s="11" t="s">
        <v>1880</v>
      </c>
    </row>
    <row r="1440" spans="2:11" x14ac:dyDescent="0.25">
      <c r="B1440" s="3">
        <v>44543</v>
      </c>
      <c r="C1440" s="11">
        <v>4725</v>
      </c>
      <c r="E1440" s="7" t="s">
        <v>1881</v>
      </c>
      <c r="J1440" s="11" t="s">
        <v>1882</v>
      </c>
      <c r="K1440" s="11" t="s">
        <v>1883</v>
      </c>
    </row>
    <row r="1441" spans="1:11" x14ac:dyDescent="0.25">
      <c r="B1441" s="3">
        <v>44543</v>
      </c>
      <c r="C1441" s="11">
        <v>4726</v>
      </c>
      <c r="E1441" s="7" t="s">
        <v>1884</v>
      </c>
      <c r="J1441" s="11" t="s">
        <v>1885</v>
      </c>
      <c r="K1441" s="11" t="s">
        <v>1886</v>
      </c>
    </row>
    <row r="1442" spans="1:11" x14ac:dyDescent="0.25">
      <c r="B1442" s="3">
        <v>44543</v>
      </c>
      <c r="C1442" s="11">
        <v>4727</v>
      </c>
      <c r="E1442" s="7" t="s">
        <v>1887</v>
      </c>
      <c r="J1442" s="11" t="s">
        <v>1888</v>
      </c>
      <c r="K1442" s="11" t="s">
        <v>1889</v>
      </c>
    </row>
    <row r="1443" spans="1:11" x14ac:dyDescent="0.25">
      <c r="B1443" s="3">
        <v>44543</v>
      </c>
      <c r="C1443" s="11">
        <v>4728</v>
      </c>
      <c r="E1443" s="7" t="s">
        <v>1890</v>
      </c>
      <c r="J1443" s="11" t="s">
        <v>1891</v>
      </c>
      <c r="K1443" s="11" t="s">
        <v>1892</v>
      </c>
    </row>
    <row r="1444" spans="1:11" x14ac:dyDescent="0.25">
      <c r="B1444" s="3">
        <v>44543</v>
      </c>
      <c r="C1444" s="11">
        <v>4729</v>
      </c>
      <c r="E1444" s="7" t="s">
        <v>1893</v>
      </c>
      <c r="J1444" s="11" t="s">
        <v>1894</v>
      </c>
      <c r="K1444" s="11" t="s">
        <v>1895</v>
      </c>
    </row>
    <row r="1445" spans="1:11" x14ac:dyDescent="0.25">
      <c r="B1445" s="3">
        <v>44543</v>
      </c>
      <c r="C1445" s="11">
        <v>4730</v>
      </c>
      <c r="E1445" s="7" t="s">
        <v>1896</v>
      </c>
      <c r="J1445" s="11" t="s">
        <v>1897</v>
      </c>
      <c r="K1445" s="11" t="s">
        <v>1898</v>
      </c>
    </row>
    <row r="1446" spans="1:11" x14ac:dyDescent="0.25">
      <c r="B1446" s="3">
        <v>44545</v>
      </c>
      <c r="C1446" s="11">
        <v>4735</v>
      </c>
      <c r="E1446" s="7" t="s">
        <v>1899</v>
      </c>
      <c r="J1446" s="11" t="s">
        <v>1900</v>
      </c>
      <c r="K1446" s="11" t="s">
        <v>1901</v>
      </c>
    </row>
    <row r="1447" spans="1:11" x14ac:dyDescent="0.25">
      <c r="B1447" s="3">
        <v>44548</v>
      </c>
      <c r="C1447" s="11">
        <v>4736</v>
      </c>
      <c r="E1447" s="7" t="s">
        <v>1902</v>
      </c>
      <c r="J1447" s="11" t="s">
        <v>1903</v>
      </c>
      <c r="K1447" s="11" t="s">
        <v>1904</v>
      </c>
    </row>
    <row r="1448" spans="1:11" x14ac:dyDescent="0.25">
      <c r="B1448" s="3">
        <v>44550</v>
      </c>
      <c r="C1448" s="11">
        <v>4737</v>
      </c>
      <c r="E1448" s="7" t="s">
        <v>1905</v>
      </c>
      <c r="J1448" s="11" t="s">
        <v>1906</v>
      </c>
      <c r="K1448" s="11" t="s">
        <v>1909</v>
      </c>
    </row>
    <row r="1449" spans="1:11" x14ac:dyDescent="0.25">
      <c r="B1449" s="3">
        <v>44550</v>
      </c>
      <c r="C1449" s="11">
        <v>4738</v>
      </c>
      <c r="E1449" s="7" t="s">
        <v>1907</v>
      </c>
      <c r="K1449" s="11" t="s">
        <v>1908</v>
      </c>
    </row>
    <row r="1450" spans="1:11" x14ac:dyDescent="0.25">
      <c r="B1450" s="3">
        <v>44550</v>
      </c>
      <c r="C1450" s="11">
        <v>4739</v>
      </c>
      <c r="E1450" s="7" t="s">
        <v>1910</v>
      </c>
      <c r="K1450" s="11" t="s">
        <v>1911</v>
      </c>
    </row>
    <row r="1451" spans="1:11" x14ac:dyDescent="0.25">
      <c r="B1451" s="3">
        <v>44550</v>
      </c>
      <c r="C1451" s="11">
        <v>4741</v>
      </c>
      <c r="E1451" s="7" t="s">
        <v>1912</v>
      </c>
      <c r="J1451" s="11" t="s">
        <v>1913</v>
      </c>
      <c r="K1451" s="11" t="s">
        <v>1914</v>
      </c>
    </row>
    <row r="1452" spans="1:11" x14ac:dyDescent="0.25">
      <c r="A1452" t="s">
        <v>5084</v>
      </c>
      <c r="B1452" s="3">
        <v>44551</v>
      </c>
      <c r="C1452" s="11">
        <v>4742</v>
      </c>
      <c r="E1452" s="7" t="s">
        <v>1915</v>
      </c>
      <c r="H1452" s="4" t="s">
        <v>5085</v>
      </c>
      <c r="J1452" s="11" t="s">
        <v>1916</v>
      </c>
      <c r="K1452" s="11" t="s">
        <v>1917</v>
      </c>
    </row>
    <row r="1453" spans="1:11" x14ac:dyDescent="0.25">
      <c r="B1453" s="3">
        <v>44551</v>
      </c>
      <c r="C1453" s="11">
        <v>4743</v>
      </c>
      <c r="E1453" s="7" t="s">
        <v>1918</v>
      </c>
      <c r="J1453" s="11" t="s">
        <v>1919</v>
      </c>
      <c r="K1453" s="11" t="s">
        <v>1920</v>
      </c>
    </row>
    <row r="1454" spans="1:11" x14ac:dyDescent="0.25">
      <c r="B1454" s="3">
        <v>44554</v>
      </c>
      <c r="C1454" s="11">
        <v>4747</v>
      </c>
      <c r="E1454" s="7" t="s">
        <v>1921</v>
      </c>
      <c r="J1454" s="11" t="s">
        <v>1922</v>
      </c>
      <c r="K1454" s="11" t="s">
        <v>1923</v>
      </c>
    </row>
    <row r="1455" spans="1:11" x14ac:dyDescent="0.25">
      <c r="B1455" s="3">
        <v>44554</v>
      </c>
      <c r="C1455" s="11">
        <v>4748</v>
      </c>
      <c r="E1455" s="7" t="s">
        <v>1924</v>
      </c>
      <c r="J1455" s="11" t="s">
        <v>1925</v>
      </c>
      <c r="K1455" s="11" t="s">
        <v>1926</v>
      </c>
    </row>
    <row r="1456" spans="1:11" x14ac:dyDescent="0.25">
      <c r="B1456" s="3">
        <v>44554</v>
      </c>
      <c r="C1456" s="11">
        <v>4749</v>
      </c>
      <c r="E1456" s="7" t="s">
        <v>1927</v>
      </c>
      <c r="J1456" s="11" t="s">
        <v>1928</v>
      </c>
      <c r="K1456" s="11" t="s">
        <v>1929</v>
      </c>
    </row>
    <row r="1457" spans="2:11" x14ac:dyDescent="0.25">
      <c r="B1457" s="3">
        <v>44554</v>
      </c>
      <c r="C1457" s="11">
        <v>4750</v>
      </c>
      <c r="E1457" s="7" t="s">
        <v>1930</v>
      </c>
      <c r="J1457" s="11" t="s">
        <v>1931</v>
      </c>
      <c r="K1457" s="11" t="s">
        <v>1929</v>
      </c>
    </row>
    <row r="1458" spans="2:11" x14ac:dyDescent="0.25">
      <c r="B1458" s="3">
        <v>44558</v>
      </c>
      <c r="C1458" s="11">
        <v>4752</v>
      </c>
      <c r="E1458" s="7" t="s">
        <v>1932</v>
      </c>
      <c r="J1458" s="11" t="s">
        <v>1933</v>
      </c>
      <c r="K1458" s="11" t="s">
        <v>1934</v>
      </c>
    </row>
    <row r="1459" spans="2:11" x14ac:dyDescent="0.25">
      <c r="B1459" s="3">
        <v>44227</v>
      </c>
      <c r="C1459" s="11">
        <v>4756</v>
      </c>
      <c r="E1459" s="7" t="s">
        <v>1935</v>
      </c>
      <c r="J1459" s="11" t="s">
        <v>1936</v>
      </c>
      <c r="K1459" s="11" t="s">
        <v>1937</v>
      </c>
    </row>
    <row r="1460" spans="2:11" x14ac:dyDescent="0.25">
      <c r="B1460" s="3">
        <v>44565</v>
      </c>
      <c r="C1460" s="11">
        <v>4757</v>
      </c>
      <c r="E1460" s="7" t="s">
        <v>1938</v>
      </c>
      <c r="J1460" s="11" t="s">
        <v>1940</v>
      </c>
      <c r="K1460" s="11" t="s">
        <v>1939</v>
      </c>
    </row>
    <row r="1461" spans="2:11" x14ac:dyDescent="0.25">
      <c r="B1461" s="3" t="s">
        <v>1941</v>
      </c>
      <c r="C1461" s="11">
        <v>4758</v>
      </c>
      <c r="E1461" s="7" t="s">
        <v>1942</v>
      </c>
      <c r="J1461" s="11" t="s">
        <v>1943</v>
      </c>
      <c r="K1461" s="11" t="s">
        <v>1944</v>
      </c>
    </row>
    <row r="1462" spans="2:11" x14ac:dyDescent="0.25">
      <c r="B1462" s="3">
        <v>44564</v>
      </c>
      <c r="C1462" s="11">
        <v>4759</v>
      </c>
      <c r="E1462" s="7" t="s">
        <v>1945</v>
      </c>
      <c r="J1462" s="11" t="s">
        <v>1946</v>
      </c>
      <c r="K1462" s="11" t="s">
        <v>1947</v>
      </c>
    </row>
    <row r="1463" spans="2:11" x14ac:dyDescent="0.25">
      <c r="B1463" s="3">
        <v>44566</v>
      </c>
      <c r="C1463" s="11">
        <v>4761</v>
      </c>
      <c r="E1463" s="7" t="s">
        <v>1948</v>
      </c>
      <c r="J1463" s="11" t="s">
        <v>1949</v>
      </c>
      <c r="K1463" s="11" t="s">
        <v>1950</v>
      </c>
    </row>
    <row r="1464" spans="2:11" x14ac:dyDescent="0.25">
      <c r="B1464" s="3">
        <v>44567</v>
      </c>
      <c r="C1464" s="11">
        <v>4762</v>
      </c>
      <c r="E1464" s="7" t="s">
        <v>1951</v>
      </c>
      <c r="J1464" s="11" t="s">
        <v>1952</v>
      </c>
      <c r="K1464" s="11" t="s">
        <v>1953</v>
      </c>
    </row>
    <row r="1465" spans="2:11" x14ac:dyDescent="0.25">
      <c r="B1465" s="3">
        <v>44902</v>
      </c>
      <c r="C1465" s="11">
        <v>4764</v>
      </c>
      <c r="E1465" s="7" t="s">
        <v>1954</v>
      </c>
      <c r="J1465" s="11" t="s">
        <v>1955</v>
      </c>
      <c r="K1465" s="11" t="s">
        <v>1956</v>
      </c>
    </row>
    <row r="1466" spans="2:11" x14ac:dyDescent="0.25">
      <c r="B1466" s="3">
        <v>44902</v>
      </c>
      <c r="C1466" s="11">
        <v>4765</v>
      </c>
      <c r="E1466" s="7" t="s">
        <v>1957</v>
      </c>
      <c r="J1466" s="11" t="s">
        <v>1958</v>
      </c>
      <c r="K1466" s="11" t="s">
        <v>1877</v>
      </c>
    </row>
    <row r="1467" spans="2:11" x14ac:dyDescent="0.25">
      <c r="B1467" s="3">
        <v>44902</v>
      </c>
      <c r="C1467" s="11">
        <v>4767</v>
      </c>
      <c r="E1467" s="7" t="s">
        <v>1959</v>
      </c>
      <c r="J1467" s="11" t="s">
        <v>1960</v>
      </c>
      <c r="K1467" s="11" t="s">
        <v>1877</v>
      </c>
    </row>
    <row r="1468" spans="2:11" x14ac:dyDescent="0.25">
      <c r="B1468" s="3">
        <v>44568</v>
      </c>
      <c r="C1468" s="11">
        <v>4768</v>
      </c>
      <c r="E1468" s="7" t="s">
        <v>1961</v>
      </c>
      <c r="J1468" s="11" t="s">
        <v>1962</v>
      </c>
      <c r="K1468" s="11" t="s">
        <v>1963</v>
      </c>
    </row>
    <row r="1469" spans="2:11" x14ac:dyDescent="0.25">
      <c r="B1469" s="3">
        <v>44571</v>
      </c>
      <c r="C1469" s="11">
        <v>4771</v>
      </c>
      <c r="E1469" s="7" t="s">
        <v>1964</v>
      </c>
      <c r="J1469" s="11" t="s">
        <v>1965</v>
      </c>
      <c r="K1469" s="11" t="s">
        <v>1966</v>
      </c>
    </row>
    <row r="1470" spans="2:11" x14ac:dyDescent="0.25">
      <c r="B1470" s="3">
        <v>44571</v>
      </c>
      <c r="C1470" s="11">
        <v>4772</v>
      </c>
      <c r="E1470" s="7" t="s">
        <v>1967</v>
      </c>
      <c r="J1470" s="11" t="s">
        <v>1968</v>
      </c>
      <c r="K1470" s="11" t="s">
        <v>1969</v>
      </c>
    </row>
    <row r="1471" spans="2:11" x14ac:dyDescent="0.25">
      <c r="B1471" s="3">
        <v>44571</v>
      </c>
      <c r="C1471" s="11">
        <v>4775</v>
      </c>
      <c r="E1471" s="7" t="s">
        <v>1970</v>
      </c>
      <c r="J1471" s="11" t="s">
        <v>1971</v>
      </c>
      <c r="K1471" s="11" t="s">
        <v>1972</v>
      </c>
    </row>
    <row r="1472" spans="2:11" x14ac:dyDescent="0.25">
      <c r="B1472" s="3">
        <v>44572</v>
      </c>
      <c r="C1472" s="11">
        <v>4776</v>
      </c>
      <c r="E1472" s="7" t="s">
        <v>1973</v>
      </c>
      <c r="K1472" s="11" t="s">
        <v>1974</v>
      </c>
    </row>
    <row r="1473" spans="1:11" x14ac:dyDescent="0.25">
      <c r="A1473" t="s">
        <v>5105</v>
      </c>
      <c r="B1473" s="3">
        <v>44572</v>
      </c>
      <c r="C1473" s="11">
        <v>4777</v>
      </c>
      <c r="E1473" s="7" t="s">
        <v>225</v>
      </c>
      <c r="J1473" s="11" t="s">
        <v>1975</v>
      </c>
      <c r="K1473" s="11" t="s">
        <v>1976</v>
      </c>
    </row>
    <row r="1474" spans="1:11" x14ac:dyDescent="0.25">
      <c r="B1474" s="3">
        <v>44572</v>
      </c>
      <c r="C1474" s="11">
        <v>4778</v>
      </c>
      <c r="E1474" s="7" t="s">
        <v>1977</v>
      </c>
      <c r="J1474" s="11" t="s">
        <v>1978</v>
      </c>
      <c r="K1474" s="11" t="s">
        <v>1979</v>
      </c>
    </row>
    <row r="1475" spans="1:11" x14ac:dyDescent="0.25">
      <c r="B1475" s="3">
        <v>44572</v>
      </c>
      <c r="C1475" s="11">
        <v>4779</v>
      </c>
      <c r="E1475" s="7" t="s">
        <v>1980</v>
      </c>
      <c r="J1475" s="11" t="s">
        <v>1981</v>
      </c>
      <c r="K1475" s="11" t="s">
        <v>1982</v>
      </c>
    </row>
    <row r="1476" spans="1:11" x14ac:dyDescent="0.25">
      <c r="B1476" s="3">
        <v>44575</v>
      </c>
      <c r="C1476" s="11">
        <v>4780</v>
      </c>
      <c r="E1476" s="7" t="s">
        <v>1983</v>
      </c>
      <c r="J1476" s="11" t="s">
        <v>1984</v>
      </c>
      <c r="K1476" s="11" t="s">
        <v>1985</v>
      </c>
    </row>
    <row r="1477" spans="1:11" x14ac:dyDescent="0.25">
      <c r="B1477" s="3">
        <v>44576</v>
      </c>
      <c r="C1477" s="11">
        <v>4781</v>
      </c>
      <c r="E1477" s="7" t="s">
        <v>1986</v>
      </c>
      <c r="J1477" s="11" t="s">
        <v>1987</v>
      </c>
      <c r="K1477" s="11" t="s">
        <v>1988</v>
      </c>
    </row>
    <row r="1478" spans="1:11" x14ac:dyDescent="0.25">
      <c r="B1478" s="3">
        <v>44576</v>
      </c>
      <c r="C1478" s="11">
        <v>4782</v>
      </c>
      <c r="E1478" s="7" t="s">
        <v>1989</v>
      </c>
      <c r="J1478" s="11" t="s">
        <v>1990</v>
      </c>
      <c r="K1478" s="11" t="s">
        <v>1991</v>
      </c>
    </row>
    <row r="1479" spans="1:11" x14ac:dyDescent="0.25">
      <c r="B1479" s="3">
        <v>44581</v>
      </c>
      <c r="C1479" s="11">
        <v>4785</v>
      </c>
      <c r="E1479" s="7" t="s">
        <v>1992</v>
      </c>
      <c r="J1479" s="11" t="s">
        <v>1993</v>
      </c>
      <c r="K1479" s="11" t="s">
        <v>1994</v>
      </c>
    </row>
    <row r="1480" spans="1:11" x14ac:dyDescent="0.25">
      <c r="B1480" s="3">
        <v>44583</v>
      </c>
      <c r="C1480" s="11">
        <v>4786</v>
      </c>
      <c r="E1480" s="7" t="s">
        <v>1995</v>
      </c>
      <c r="J1480" s="11" t="s">
        <v>1996</v>
      </c>
      <c r="K1480" s="11" t="s">
        <v>1997</v>
      </c>
    </row>
    <row r="1481" spans="1:11" x14ac:dyDescent="0.25">
      <c r="B1481" s="3">
        <v>44583</v>
      </c>
      <c r="C1481" s="11">
        <v>4788</v>
      </c>
      <c r="E1481" s="7" t="s">
        <v>1998</v>
      </c>
    </row>
    <row r="1482" spans="1:11" x14ac:dyDescent="0.25">
      <c r="B1482" s="3">
        <v>44585</v>
      </c>
      <c r="C1482" s="11">
        <v>4790</v>
      </c>
      <c r="E1482" s="7" t="s">
        <v>1999</v>
      </c>
      <c r="J1482" s="11" t="s">
        <v>2000</v>
      </c>
      <c r="K1482" s="11" t="s">
        <v>2001</v>
      </c>
    </row>
    <row r="1483" spans="1:11" x14ac:dyDescent="0.25">
      <c r="B1483" s="3">
        <v>44585</v>
      </c>
      <c r="C1483" s="11">
        <v>4791</v>
      </c>
      <c r="E1483" s="7" t="s">
        <v>2002</v>
      </c>
      <c r="G1483" s="18">
        <v>29647</v>
      </c>
      <c r="J1483" s="11" t="s">
        <v>2003</v>
      </c>
      <c r="K1483" s="11" t="s">
        <v>2004</v>
      </c>
    </row>
    <row r="1484" spans="1:11" x14ac:dyDescent="0.25">
      <c r="B1484" s="3">
        <v>44585</v>
      </c>
      <c r="C1484" s="11">
        <v>4792</v>
      </c>
      <c r="E1484" s="7" t="s">
        <v>2005</v>
      </c>
      <c r="J1484" s="11" t="s">
        <v>2006</v>
      </c>
      <c r="K1484" s="11" t="s">
        <v>2007</v>
      </c>
    </row>
    <row r="1485" spans="1:11" x14ac:dyDescent="0.25">
      <c r="B1485" s="3">
        <v>44586</v>
      </c>
      <c r="C1485" s="11">
        <v>4793</v>
      </c>
      <c r="E1485" s="7" t="s">
        <v>2008</v>
      </c>
      <c r="J1485" s="11" t="s">
        <v>2009</v>
      </c>
      <c r="K1485" s="11" t="s">
        <v>2010</v>
      </c>
    </row>
    <row r="1486" spans="1:11" x14ac:dyDescent="0.25">
      <c r="B1486" s="3">
        <v>44586</v>
      </c>
      <c r="C1486" s="11">
        <v>4794</v>
      </c>
      <c r="E1486" s="7" t="s">
        <v>2011</v>
      </c>
      <c r="J1486" s="11" t="s">
        <v>2009</v>
      </c>
      <c r="K1486" s="11" t="s">
        <v>2010</v>
      </c>
    </row>
    <row r="1487" spans="1:11" x14ac:dyDescent="0.25">
      <c r="B1487" s="3">
        <v>44588</v>
      </c>
      <c r="C1487" s="11">
        <v>4797</v>
      </c>
      <c r="E1487" s="7" t="s">
        <v>2012</v>
      </c>
      <c r="J1487" s="11" t="s">
        <v>2013</v>
      </c>
      <c r="K1487" s="11" t="s">
        <v>2014</v>
      </c>
    </row>
    <row r="1488" spans="1:11" x14ac:dyDescent="0.25">
      <c r="B1488" s="3">
        <v>44589</v>
      </c>
      <c r="C1488" s="11">
        <v>4798</v>
      </c>
      <c r="E1488" s="7" t="s">
        <v>3782</v>
      </c>
      <c r="J1488" s="11" t="s">
        <v>2015</v>
      </c>
      <c r="K1488" s="11" t="s">
        <v>2016</v>
      </c>
    </row>
    <row r="1489" spans="2:16" x14ac:dyDescent="0.25">
      <c r="B1489" s="3">
        <v>44589</v>
      </c>
      <c r="C1489" s="11">
        <v>4799</v>
      </c>
      <c r="E1489" s="7" t="s">
        <v>2017</v>
      </c>
      <c r="J1489" s="11" t="s">
        <v>2018</v>
      </c>
      <c r="K1489" s="11" t="s">
        <v>2019</v>
      </c>
    </row>
    <row r="1490" spans="2:16" x14ac:dyDescent="0.25">
      <c r="B1490" s="3">
        <v>44590</v>
      </c>
      <c r="C1490" s="11">
        <v>4800</v>
      </c>
      <c r="E1490" s="7" t="s">
        <v>2020</v>
      </c>
      <c r="J1490" s="11" t="s">
        <v>2021</v>
      </c>
      <c r="K1490" s="11" t="s">
        <v>2022</v>
      </c>
    </row>
    <row r="1491" spans="2:16" x14ac:dyDescent="0.25">
      <c r="B1491" s="3">
        <v>44593</v>
      </c>
      <c r="C1491" s="11">
        <v>4803</v>
      </c>
      <c r="E1491" s="7" t="s">
        <v>2023</v>
      </c>
      <c r="K1491" s="11" t="s">
        <v>2024</v>
      </c>
    </row>
    <row r="1492" spans="2:16" x14ac:dyDescent="0.25">
      <c r="B1492" s="3">
        <v>44593</v>
      </c>
      <c r="C1492" s="11">
        <v>4804</v>
      </c>
      <c r="E1492" s="7" t="s">
        <v>2025</v>
      </c>
      <c r="J1492" s="11" t="s">
        <v>2355</v>
      </c>
      <c r="K1492" s="11" t="s">
        <v>2026</v>
      </c>
      <c r="N1492" s="3">
        <v>44804</v>
      </c>
      <c r="P1492" s="3">
        <v>44804</v>
      </c>
    </row>
    <row r="1493" spans="2:16" x14ac:dyDescent="0.25">
      <c r="B1493" s="3">
        <v>44593</v>
      </c>
      <c r="C1493" s="11">
        <v>4805</v>
      </c>
      <c r="E1493" s="7" t="s">
        <v>2027</v>
      </c>
      <c r="K1493" s="11" t="s">
        <v>2028</v>
      </c>
    </row>
    <row r="1494" spans="2:16" x14ac:dyDescent="0.25">
      <c r="B1494" s="3">
        <v>44593</v>
      </c>
      <c r="C1494" s="11">
        <v>4806</v>
      </c>
      <c r="E1494" s="7" t="s">
        <v>2029</v>
      </c>
      <c r="K1494" s="11" t="s">
        <v>2030</v>
      </c>
    </row>
    <row r="1495" spans="2:16" x14ac:dyDescent="0.25">
      <c r="B1495" s="3">
        <v>44595</v>
      </c>
      <c r="C1495" s="11">
        <v>4808</v>
      </c>
      <c r="E1495" s="7" t="s">
        <v>2031</v>
      </c>
      <c r="J1495" s="11" t="s">
        <v>2032</v>
      </c>
      <c r="K1495" s="11" t="s">
        <v>2033</v>
      </c>
    </row>
    <row r="1496" spans="2:16" x14ac:dyDescent="0.25">
      <c r="B1496" s="3">
        <v>44595</v>
      </c>
      <c r="C1496" s="11">
        <v>4810</v>
      </c>
      <c r="E1496" s="7" t="s">
        <v>2034</v>
      </c>
      <c r="J1496" s="11" t="s">
        <v>2035</v>
      </c>
      <c r="K1496" s="11" t="s">
        <v>2036</v>
      </c>
    </row>
    <row r="1497" spans="2:16" x14ac:dyDescent="0.25">
      <c r="B1497" s="3">
        <v>44597</v>
      </c>
      <c r="C1497" s="11">
        <v>4812</v>
      </c>
      <c r="E1497" s="7" t="s">
        <v>2037</v>
      </c>
    </row>
    <row r="1498" spans="2:16" x14ac:dyDescent="0.25">
      <c r="B1498" s="3">
        <v>44599</v>
      </c>
      <c r="C1498" s="11">
        <v>4813</v>
      </c>
      <c r="E1498" s="7" t="s">
        <v>2038</v>
      </c>
      <c r="J1498" s="11" t="s">
        <v>2039</v>
      </c>
      <c r="K1498" s="11" t="s">
        <v>2040</v>
      </c>
    </row>
    <row r="1499" spans="2:16" x14ac:dyDescent="0.25">
      <c r="B1499" s="3">
        <v>44600</v>
      </c>
      <c r="C1499" s="11">
        <v>4814</v>
      </c>
      <c r="E1499" s="7" t="s">
        <v>2041</v>
      </c>
      <c r="J1499" s="11" t="s">
        <v>2042</v>
      </c>
      <c r="K1499" s="11" t="s">
        <v>2043</v>
      </c>
    </row>
    <row r="1500" spans="2:16" x14ac:dyDescent="0.25">
      <c r="B1500" s="3">
        <v>44600</v>
      </c>
      <c r="C1500" s="11">
        <v>4815</v>
      </c>
      <c r="E1500" s="7" t="s">
        <v>2044</v>
      </c>
      <c r="J1500" s="11" t="s">
        <v>2045</v>
      </c>
      <c r="K1500" s="11" t="s">
        <v>2046</v>
      </c>
    </row>
    <row r="1501" spans="2:16" x14ac:dyDescent="0.25">
      <c r="B1501" s="3">
        <v>44601</v>
      </c>
      <c r="C1501" s="11">
        <v>4816</v>
      </c>
      <c r="E1501" s="7" t="s">
        <v>2047</v>
      </c>
      <c r="J1501" s="11" t="s">
        <v>2048</v>
      </c>
      <c r="K1501" s="11" t="s">
        <v>2049</v>
      </c>
    </row>
    <row r="1502" spans="2:16" x14ac:dyDescent="0.25">
      <c r="B1502" s="3">
        <v>44606</v>
      </c>
      <c r="C1502" s="11">
        <v>4818</v>
      </c>
      <c r="D1502" s="11" t="s">
        <v>3463</v>
      </c>
      <c r="E1502" s="7" t="s">
        <v>2050</v>
      </c>
      <c r="J1502" s="11" t="s">
        <v>2051</v>
      </c>
      <c r="K1502" s="11" t="s">
        <v>2052</v>
      </c>
    </row>
    <row r="1503" spans="2:16" x14ac:dyDescent="0.25">
      <c r="B1503" s="3">
        <v>44608</v>
      </c>
      <c r="C1503" s="11">
        <v>4822</v>
      </c>
      <c r="E1503" s="7" t="s">
        <v>2053</v>
      </c>
      <c r="J1503" s="11" t="s">
        <v>2054</v>
      </c>
    </row>
    <row r="1504" spans="2:16" x14ac:dyDescent="0.25">
      <c r="B1504" s="3"/>
      <c r="C1504" s="11">
        <v>4823</v>
      </c>
      <c r="E1504" s="7" t="s">
        <v>2055</v>
      </c>
      <c r="K1504" s="11" t="s">
        <v>2056</v>
      </c>
    </row>
    <row r="1505" spans="1:17" x14ac:dyDescent="0.25">
      <c r="B1505" s="3"/>
      <c r="C1505" s="11">
        <v>4828</v>
      </c>
      <c r="E1505" s="7" t="s">
        <v>2057</v>
      </c>
      <c r="J1505" s="11" t="s">
        <v>2058</v>
      </c>
      <c r="K1505" s="11" t="s">
        <v>2059</v>
      </c>
    </row>
    <row r="1506" spans="1:17" ht="15" x14ac:dyDescent="0.25">
      <c r="B1506"/>
      <c r="C1506" s="11">
        <v>4829</v>
      </c>
      <c r="E1506" s="7" t="s">
        <v>2060</v>
      </c>
      <c r="F1506"/>
      <c r="G1506" s="4"/>
      <c r="H1506"/>
      <c r="I1506"/>
      <c r="J1506" s="11" t="s">
        <v>2061</v>
      </c>
      <c r="K1506">
        <v>8797023785</v>
      </c>
      <c r="L1506"/>
      <c r="M1506"/>
      <c r="N1506"/>
      <c r="O1506"/>
      <c r="P1506"/>
    </row>
    <row r="1507" spans="1:17" ht="15" x14ac:dyDescent="0.25">
      <c r="C1507" s="11">
        <v>4832</v>
      </c>
      <c r="E1507" s="7" t="s">
        <v>2062</v>
      </c>
      <c r="F1507" s="3"/>
      <c r="G1507" s="3"/>
      <c r="H1507" s="3"/>
      <c r="I1507" s="3"/>
      <c r="J1507" s="11" t="s">
        <v>2063</v>
      </c>
      <c r="K1507" s="3"/>
    </row>
    <row r="1508" spans="1:17" x14ac:dyDescent="0.25">
      <c r="A1508">
        <v>1631</v>
      </c>
      <c r="B1508" s="3">
        <v>44620</v>
      </c>
      <c r="C1508" s="11">
        <v>4833</v>
      </c>
      <c r="E1508" s="7" t="s">
        <v>1561</v>
      </c>
      <c r="J1508" s="11" t="s">
        <v>1562</v>
      </c>
      <c r="K1508" s="11" t="s">
        <v>1563</v>
      </c>
      <c r="P1508" s="4" t="s">
        <v>14</v>
      </c>
      <c r="Q1508" s="5">
        <v>37544</v>
      </c>
    </row>
    <row r="1509" spans="1:17" x14ac:dyDescent="0.25">
      <c r="A1509">
        <v>1632</v>
      </c>
      <c r="B1509" s="3">
        <v>44622</v>
      </c>
      <c r="C1509" s="11">
        <v>4834</v>
      </c>
      <c r="E1509" s="7" t="s">
        <v>2064</v>
      </c>
      <c r="J1509" s="11" t="s">
        <v>1564</v>
      </c>
      <c r="K1509" s="11" t="s">
        <v>1565</v>
      </c>
      <c r="Q1509" s="5">
        <v>39062</v>
      </c>
    </row>
    <row r="1510" spans="1:17" x14ac:dyDescent="0.25">
      <c r="A1510">
        <v>1633</v>
      </c>
      <c r="B1510" s="3">
        <v>44622</v>
      </c>
      <c r="C1510" s="11">
        <v>4836</v>
      </c>
      <c r="E1510" s="7" t="s">
        <v>1555</v>
      </c>
      <c r="I1510" s="4">
        <v>500</v>
      </c>
      <c r="J1510" s="11" t="s">
        <v>1566</v>
      </c>
      <c r="K1510" s="11" t="s">
        <v>1567</v>
      </c>
      <c r="L1510" s="4">
        <v>0</v>
      </c>
      <c r="M1510" s="4">
        <v>0</v>
      </c>
      <c r="N1510" s="4">
        <v>0</v>
      </c>
      <c r="O1510" s="4" t="s">
        <v>14</v>
      </c>
      <c r="P1510" s="4" t="s">
        <v>14</v>
      </c>
    </row>
    <row r="1511" spans="1:17" ht="15" x14ac:dyDescent="0.25">
      <c r="A1511">
        <v>1634</v>
      </c>
      <c r="B1511" s="3">
        <v>44622</v>
      </c>
      <c r="C1511" s="11">
        <v>4837</v>
      </c>
      <c r="E1511" s="7" t="s">
        <v>1556</v>
      </c>
      <c r="G1511" s="5">
        <v>40148</v>
      </c>
      <c r="J1511" s="11" t="s">
        <v>1569</v>
      </c>
      <c r="K1511" s="11" t="s">
        <v>1568</v>
      </c>
      <c r="O1511" s="4" t="s">
        <v>15</v>
      </c>
      <c r="P1511" s="4" t="s">
        <v>15</v>
      </c>
    </row>
    <row r="1512" spans="1:17" ht="15" x14ac:dyDescent="0.25">
      <c r="A1512">
        <v>1635</v>
      </c>
      <c r="B1512" s="3">
        <v>44622</v>
      </c>
      <c r="C1512" s="11">
        <v>4839</v>
      </c>
      <c r="E1512" s="7" t="s">
        <v>1558</v>
      </c>
      <c r="G1512" s="5">
        <v>29952</v>
      </c>
      <c r="J1512" s="11" t="s">
        <v>1570</v>
      </c>
      <c r="K1512" s="11" t="s">
        <v>1571</v>
      </c>
      <c r="L1512" s="4">
        <v>0</v>
      </c>
      <c r="M1512" s="4">
        <v>0</v>
      </c>
      <c r="N1512" s="4">
        <v>0</v>
      </c>
      <c r="O1512" s="4" t="s">
        <v>15</v>
      </c>
      <c r="P1512" s="4" t="s">
        <v>15</v>
      </c>
    </row>
    <row r="1513" spans="1:17" ht="15" x14ac:dyDescent="0.25">
      <c r="A1513">
        <v>1636</v>
      </c>
      <c r="B1513" s="3">
        <v>44622</v>
      </c>
      <c r="C1513" s="11">
        <v>4840</v>
      </c>
      <c r="E1513" s="7" t="s">
        <v>1557</v>
      </c>
      <c r="G1513" s="5">
        <v>29763</v>
      </c>
      <c r="I1513" s="4">
        <v>300</v>
      </c>
      <c r="J1513" s="11" t="s">
        <v>1560</v>
      </c>
      <c r="K1513" s="11" t="s">
        <v>1572</v>
      </c>
      <c r="L1513" s="4">
        <v>0</v>
      </c>
      <c r="M1513" s="4">
        <v>0</v>
      </c>
      <c r="N1513" s="4">
        <v>0</v>
      </c>
      <c r="O1513" s="4" t="s">
        <v>16</v>
      </c>
      <c r="P1513" s="4" t="s">
        <v>15</v>
      </c>
    </row>
    <row r="1514" spans="1:17" ht="15" x14ac:dyDescent="0.25">
      <c r="A1514">
        <v>1637</v>
      </c>
      <c r="B1514" s="3">
        <v>44624</v>
      </c>
      <c r="C1514" s="11">
        <v>4845</v>
      </c>
      <c r="E1514" s="7" t="s">
        <v>1573</v>
      </c>
      <c r="G1514" s="5">
        <v>31413</v>
      </c>
      <c r="I1514" s="4">
        <v>100</v>
      </c>
      <c r="J1514" s="11" t="s">
        <v>1574</v>
      </c>
      <c r="K1514" s="11" t="s">
        <v>1575</v>
      </c>
      <c r="L1514" s="4">
        <v>0</v>
      </c>
      <c r="M1514" s="4">
        <v>0</v>
      </c>
      <c r="N1514" s="4">
        <v>0</v>
      </c>
      <c r="O1514" s="4" t="s">
        <v>15</v>
      </c>
      <c r="P1514" s="4" t="s">
        <v>14</v>
      </c>
    </row>
    <row r="1515" spans="1:17" ht="15" x14ac:dyDescent="0.25">
      <c r="A1515">
        <v>1638</v>
      </c>
      <c r="B1515" s="3">
        <v>44624</v>
      </c>
      <c r="C1515" s="11">
        <v>4846</v>
      </c>
      <c r="E1515" s="7" t="s">
        <v>1581</v>
      </c>
      <c r="G1515"/>
    </row>
    <row r="1516" spans="1:17" ht="15" x14ac:dyDescent="0.25">
      <c r="A1516">
        <v>1639</v>
      </c>
      <c r="B1516" s="3">
        <v>44624</v>
      </c>
      <c r="C1516" s="11">
        <v>4847</v>
      </c>
      <c r="E1516" s="7" t="s">
        <v>754</v>
      </c>
      <c r="G1516"/>
    </row>
    <row r="1517" spans="1:17" ht="15" x14ac:dyDescent="0.25">
      <c r="A1517">
        <v>1640</v>
      </c>
      <c r="B1517" s="3">
        <v>44625</v>
      </c>
      <c r="C1517" s="11">
        <v>4848</v>
      </c>
      <c r="E1517" s="7" t="s">
        <v>1582</v>
      </c>
      <c r="G1517"/>
      <c r="I1517" s="4">
        <v>2000</v>
      </c>
      <c r="J1517" s="11" t="s">
        <v>1583</v>
      </c>
      <c r="L1517" s="4" t="s">
        <v>14</v>
      </c>
      <c r="M1517" s="4" t="s">
        <v>14</v>
      </c>
      <c r="N1517" s="4" t="s">
        <v>14</v>
      </c>
      <c r="O1517" s="4" t="s">
        <v>14</v>
      </c>
      <c r="P1517" s="4" t="s">
        <v>14</v>
      </c>
    </row>
    <row r="1518" spans="1:17" ht="15" x14ac:dyDescent="0.25">
      <c r="A1518">
        <v>1641</v>
      </c>
      <c r="B1518" s="3">
        <v>44627</v>
      </c>
      <c r="C1518" s="11">
        <v>4849</v>
      </c>
      <c r="E1518" s="7" t="s">
        <v>1577</v>
      </c>
      <c r="G1518" s="5">
        <v>25779</v>
      </c>
      <c r="I1518" s="4">
        <v>1000</v>
      </c>
      <c r="J1518" s="11" t="s">
        <v>1580</v>
      </c>
      <c r="L1518" s="4" t="s">
        <v>15</v>
      </c>
      <c r="M1518" s="4" t="s">
        <v>15</v>
      </c>
      <c r="N1518" s="4" t="s">
        <v>15</v>
      </c>
      <c r="O1518" s="4" t="s">
        <v>14</v>
      </c>
      <c r="P1518" s="4" t="s">
        <v>14</v>
      </c>
    </row>
    <row r="1519" spans="1:17" ht="15" x14ac:dyDescent="0.25">
      <c r="A1519">
        <v>1642</v>
      </c>
      <c r="B1519" s="3">
        <v>44627</v>
      </c>
      <c r="C1519" s="11">
        <v>4850</v>
      </c>
      <c r="E1519" s="7" t="s">
        <v>1578</v>
      </c>
      <c r="G1519" s="5">
        <v>39083</v>
      </c>
      <c r="I1519" s="4">
        <v>500</v>
      </c>
      <c r="J1519" s="11" t="s">
        <v>1579</v>
      </c>
      <c r="L1519" s="4" t="s">
        <v>15</v>
      </c>
      <c r="M1519" s="4" t="s">
        <v>15</v>
      </c>
      <c r="N1519" s="4" t="s">
        <v>15</v>
      </c>
      <c r="O1519" s="4" t="s">
        <v>15</v>
      </c>
      <c r="P1519" s="4" t="s">
        <v>15</v>
      </c>
    </row>
    <row r="1520" spans="1:17" x14ac:dyDescent="0.25">
      <c r="A1520">
        <v>1643</v>
      </c>
      <c r="C1520" s="11">
        <v>4851</v>
      </c>
      <c r="E1520" s="7" t="s">
        <v>1584</v>
      </c>
      <c r="K1520" s="11" t="s">
        <v>1588</v>
      </c>
    </row>
    <row r="1521" spans="1:16" x14ac:dyDescent="0.25">
      <c r="A1521">
        <v>1644</v>
      </c>
      <c r="C1521" s="11">
        <v>4852</v>
      </c>
      <c r="E1521" s="7" t="s">
        <v>1585</v>
      </c>
      <c r="J1521" s="11" t="s">
        <v>1590</v>
      </c>
      <c r="K1521" s="11" t="s">
        <v>1589</v>
      </c>
      <c r="P1521" s="3">
        <v>44657</v>
      </c>
    </row>
    <row r="1522" spans="1:16" x14ac:dyDescent="0.25">
      <c r="A1522">
        <v>1645</v>
      </c>
      <c r="C1522" s="11">
        <v>4853</v>
      </c>
      <c r="E1522" s="7" t="s">
        <v>1586</v>
      </c>
      <c r="J1522" s="11" t="s">
        <v>1591</v>
      </c>
      <c r="K1522" s="11" t="s">
        <v>1592</v>
      </c>
    </row>
    <row r="1523" spans="1:16" x14ac:dyDescent="0.25">
      <c r="A1523">
        <v>1646</v>
      </c>
      <c r="C1523" s="11">
        <v>4854</v>
      </c>
      <c r="E1523" s="7" t="s">
        <v>1587</v>
      </c>
      <c r="J1523" s="11" t="s">
        <v>1593</v>
      </c>
      <c r="K1523" s="11" t="s">
        <v>1594</v>
      </c>
    </row>
    <row r="1524" spans="1:16" ht="15" x14ac:dyDescent="0.25">
      <c r="A1524">
        <v>1647</v>
      </c>
      <c r="B1524" s="3">
        <v>44628</v>
      </c>
      <c r="C1524" s="11">
        <v>4855</v>
      </c>
      <c r="E1524" s="7" t="s">
        <v>1599</v>
      </c>
      <c r="F1524"/>
      <c r="G1524" s="4"/>
      <c r="H1524" t="s">
        <v>1613</v>
      </c>
      <c r="I1524"/>
      <c r="J1524"/>
      <c r="K1524"/>
    </row>
    <row r="1525" spans="1:16" x14ac:dyDescent="0.25">
      <c r="A1525">
        <v>1648</v>
      </c>
      <c r="B1525" s="3">
        <v>44628</v>
      </c>
      <c r="C1525" s="11">
        <v>4856</v>
      </c>
      <c r="E1525" s="7" t="s">
        <v>322</v>
      </c>
      <c r="H1525" t="s">
        <v>1613</v>
      </c>
    </row>
    <row r="1526" spans="1:16" x14ac:dyDescent="0.25">
      <c r="A1526">
        <v>1649</v>
      </c>
      <c r="B1526" s="3">
        <v>44628</v>
      </c>
      <c r="C1526" s="11">
        <v>4857</v>
      </c>
      <c r="E1526" s="7" t="s">
        <v>1614</v>
      </c>
      <c r="G1526" s="18">
        <v>36731</v>
      </c>
      <c r="H1526" t="s">
        <v>1613</v>
      </c>
    </row>
    <row r="1527" spans="1:16" x14ac:dyDescent="0.25">
      <c r="A1527">
        <v>1650</v>
      </c>
      <c r="B1527" s="3">
        <v>44628</v>
      </c>
      <c r="C1527" s="11">
        <v>4858</v>
      </c>
      <c r="E1527" s="7" t="s">
        <v>1615</v>
      </c>
      <c r="G1527" s="18">
        <v>31267</v>
      </c>
    </row>
    <row r="1528" spans="1:16" x14ac:dyDescent="0.25">
      <c r="A1528">
        <v>1651</v>
      </c>
      <c r="B1528" s="3">
        <v>44628</v>
      </c>
      <c r="C1528" s="11">
        <v>4859</v>
      </c>
      <c r="E1528" s="7" t="s">
        <v>1616</v>
      </c>
      <c r="G1528" s="18">
        <v>35078</v>
      </c>
    </row>
    <row r="1529" spans="1:16" x14ac:dyDescent="0.25">
      <c r="A1529">
        <v>1652</v>
      </c>
      <c r="B1529" s="3">
        <v>44628</v>
      </c>
      <c r="C1529" s="11">
        <v>4860</v>
      </c>
      <c r="E1529" s="7" t="s">
        <v>1617</v>
      </c>
      <c r="G1529" s="18">
        <v>34096</v>
      </c>
    </row>
    <row r="1530" spans="1:16" x14ac:dyDescent="0.25">
      <c r="A1530">
        <v>1653</v>
      </c>
      <c r="B1530" s="3">
        <v>44628</v>
      </c>
      <c r="C1530" s="11">
        <v>4861</v>
      </c>
      <c r="E1530" s="7" t="s">
        <v>1618</v>
      </c>
      <c r="G1530" s="18">
        <v>28575</v>
      </c>
    </row>
    <row r="1531" spans="1:16" x14ac:dyDescent="0.25">
      <c r="A1531">
        <v>1654</v>
      </c>
      <c r="B1531" s="3">
        <v>44628</v>
      </c>
      <c r="C1531" s="11">
        <v>4862</v>
      </c>
      <c r="E1531" s="7" t="s">
        <v>1619</v>
      </c>
      <c r="G1531" s="18">
        <v>29637</v>
      </c>
    </row>
    <row r="1532" spans="1:16" x14ac:dyDescent="0.25">
      <c r="A1532" t="s">
        <v>4339</v>
      </c>
      <c r="B1532" s="3">
        <v>44629</v>
      </c>
      <c r="C1532" s="11">
        <v>4864</v>
      </c>
      <c r="E1532" s="7" t="s">
        <v>1596</v>
      </c>
      <c r="J1532" s="11" t="s">
        <v>4615</v>
      </c>
      <c r="K1532" s="11" t="s">
        <v>1595</v>
      </c>
    </row>
    <row r="1533" spans="1:16" x14ac:dyDescent="0.25">
      <c r="A1533">
        <v>1656</v>
      </c>
      <c r="C1533" s="11">
        <v>4865</v>
      </c>
      <c r="E1533" s="7" t="s">
        <v>1597</v>
      </c>
      <c r="K1533" s="11" t="s">
        <v>1604</v>
      </c>
    </row>
    <row r="1534" spans="1:16" x14ac:dyDescent="0.25">
      <c r="A1534">
        <v>1657</v>
      </c>
      <c r="C1534" s="11">
        <v>4866</v>
      </c>
      <c r="E1534" s="7" t="s">
        <v>1598</v>
      </c>
      <c r="K1534" s="11" t="s">
        <v>1605</v>
      </c>
    </row>
    <row r="1535" spans="1:16" x14ac:dyDescent="0.25">
      <c r="A1535">
        <v>1658</v>
      </c>
      <c r="B1535" s="3">
        <v>44634</v>
      </c>
      <c r="C1535" s="11">
        <v>4867</v>
      </c>
      <c r="E1535" s="7" t="s">
        <v>1603</v>
      </c>
      <c r="J1535" s="11" t="s">
        <v>1606</v>
      </c>
      <c r="K1535" s="11" t="s">
        <v>1607</v>
      </c>
    </row>
    <row r="1536" spans="1:16" x14ac:dyDescent="0.25">
      <c r="A1536">
        <v>1659</v>
      </c>
      <c r="B1536" s="3">
        <v>44635</v>
      </c>
      <c r="C1536" s="11">
        <v>4868</v>
      </c>
      <c r="E1536" s="7" t="s">
        <v>1602</v>
      </c>
      <c r="J1536" s="11" t="s">
        <v>1609</v>
      </c>
      <c r="K1536" s="11" t="s">
        <v>1608</v>
      </c>
    </row>
    <row r="1537" spans="1:16" x14ac:dyDescent="0.25">
      <c r="A1537">
        <v>1660</v>
      </c>
      <c r="B1537" s="3">
        <v>44635</v>
      </c>
      <c r="C1537" s="11">
        <v>4869</v>
      </c>
      <c r="E1537" s="7" t="s">
        <v>212</v>
      </c>
      <c r="G1537" s="18">
        <v>31808</v>
      </c>
      <c r="J1537" s="11" t="s">
        <v>3889</v>
      </c>
      <c r="K1537" s="11" t="s">
        <v>1610</v>
      </c>
      <c r="O1537" s="4" t="s">
        <v>16</v>
      </c>
    </row>
    <row r="1538" spans="1:16" x14ac:dyDescent="0.25">
      <c r="A1538">
        <v>1661</v>
      </c>
      <c r="B1538" s="3">
        <v>44635</v>
      </c>
      <c r="C1538" s="11">
        <v>4870</v>
      </c>
      <c r="E1538" s="7" t="s">
        <v>1601</v>
      </c>
      <c r="K1538" s="11" t="s">
        <v>1611</v>
      </c>
    </row>
    <row r="1539" spans="1:16" x14ac:dyDescent="0.25">
      <c r="A1539">
        <v>1662</v>
      </c>
      <c r="B1539" s="3">
        <v>44635</v>
      </c>
      <c r="C1539" s="11">
        <v>4871</v>
      </c>
      <c r="E1539" s="7" t="s">
        <v>1600</v>
      </c>
      <c r="K1539" s="11" t="s">
        <v>1612</v>
      </c>
      <c r="P1539" s="4" t="s">
        <v>16</v>
      </c>
    </row>
    <row r="1540" spans="1:16" x14ac:dyDescent="0.25">
      <c r="A1540">
        <v>1663</v>
      </c>
      <c r="B1540" s="3">
        <v>44641</v>
      </c>
      <c r="C1540" s="11" t="s">
        <v>2065</v>
      </c>
      <c r="E1540" s="7" t="s">
        <v>2068</v>
      </c>
      <c r="J1540" s="11" t="s">
        <v>2075</v>
      </c>
      <c r="K1540" s="11" t="s">
        <v>2076</v>
      </c>
      <c r="P1540" s="4" t="s">
        <v>16</v>
      </c>
    </row>
    <row r="1541" spans="1:16" x14ac:dyDescent="0.25">
      <c r="A1541">
        <v>1664</v>
      </c>
      <c r="B1541" s="3">
        <v>44643</v>
      </c>
      <c r="C1541" s="11" t="s">
        <v>2066</v>
      </c>
      <c r="E1541" s="7" t="s">
        <v>2069</v>
      </c>
      <c r="J1541" s="11" t="s">
        <v>2073</v>
      </c>
      <c r="K1541" s="11" t="s">
        <v>2074</v>
      </c>
      <c r="L1541" s="4" t="s">
        <v>14</v>
      </c>
      <c r="N1541" s="4" t="s">
        <v>16</v>
      </c>
    </row>
    <row r="1542" spans="1:16" x14ac:dyDescent="0.25">
      <c r="A1542">
        <v>1665</v>
      </c>
      <c r="B1542" s="3">
        <v>44644</v>
      </c>
      <c r="C1542" s="11" t="s">
        <v>2067</v>
      </c>
      <c r="E1542" s="7" t="s">
        <v>2070</v>
      </c>
      <c r="G1542" s="18">
        <v>31778</v>
      </c>
      <c r="I1542" s="4">
        <v>500</v>
      </c>
      <c r="J1542" s="11" t="s">
        <v>2071</v>
      </c>
      <c r="K1542" s="11" t="s">
        <v>2072</v>
      </c>
      <c r="L1542" s="4" t="s">
        <v>14</v>
      </c>
      <c r="N1542" s="4" t="s">
        <v>16</v>
      </c>
      <c r="O1542" s="4" t="s">
        <v>16</v>
      </c>
      <c r="P1542" s="4" t="s">
        <v>16</v>
      </c>
    </row>
    <row r="1543" spans="1:16" x14ac:dyDescent="0.25">
      <c r="A1543">
        <v>1666</v>
      </c>
      <c r="B1543" s="3">
        <v>44646</v>
      </c>
      <c r="C1543" s="11" t="s">
        <v>2077</v>
      </c>
      <c r="E1543" s="7" t="s">
        <v>2079</v>
      </c>
      <c r="I1543" s="4">
        <v>100</v>
      </c>
    </row>
    <row r="1544" spans="1:16" x14ac:dyDescent="0.25">
      <c r="A1544">
        <v>1667</v>
      </c>
      <c r="B1544" s="3">
        <v>44646</v>
      </c>
      <c r="C1544" s="11" t="s">
        <v>2078</v>
      </c>
      <c r="E1544" s="7" t="s">
        <v>2080</v>
      </c>
      <c r="I1544" s="4">
        <v>100</v>
      </c>
    </row>
    <row r="1545" spans="1:16" x14ac:dyDescent="0.25">
      <c r="A1545">
        <v>1668</v>
      </c>
      <c r="B1545" s="3">
        <v>44656</v>
      </c>
      <c r="C1545" s="11" t="s">
        <v>2081</v>
      </c>
      <c r="E1545" s="7" t="s">
        <v>2084</v>
      </c>
      <c r="I1545" s="4">
        <v>1000</v>
      </c>
      <c r="K1545" s="11" t="s">
        <v>2087</v>
      </c>
    </row>
    <row r="1546" spans="1:16" x14ac:dyDescent="0.25">
      <c r="A1546">
        <v>1669</v>
      </c>
      <c r="B1546" s="3">
        <v>44656</v>
      </c>
      <c r="C1546" s="11" t="s">
        <v>2082</v>
      </c>
      <c r="E1546" s="7" t="s">
        <v>2085</v>
      </c>
      <c r="J1546" s="11" t="s">
        <v>2091</v>
      </c>
      <c r="K1546" s="11" t="s">
        <v>2088</v>
      </c>
    </row>
    <row r="1547" spans="1:16" x14ac:dyDescent="0.25">
      <c r="A1547">
        <v>1670</v>
      </c>
      <c r="B1547" s="3">
        <v>44657</v>
      </c>
      <c r="C1547" s="11" t="s">
        <v>2083</v>
      </c>
      <c r="E1547" s="7" t="s">
        <v>2086</v>
      </c>
      <c r="I1547" s="4">
        <v>100</v>
      </c>
      <c r="J1547" s="11" t="s">
        <v>2090</v>
      </c>
      <c r="K1547" s="11" t="s">
        <v>2089</v>
      </c>
      <c r="O1547" s="4" t="s">
        <v>14</v>
      </c>
    </row>
    <row r="1548" spans="1:16" x14ac:dyDescent="0.25">
      <c r="A1548">
        <v>1671</v>
      </c>
      <c r="B1548" s="3">
        <v>44659</v>
      </c>
      <c r="C1548" s="11" t="s">
        <v>2093</v>
      </c>
      <c r="E1548" s="7" t="s">
        <v>2103</v>
      </c>
      <c r="J1548" s="11" t="s">
        <v>2112</v>
      </c>
      <c r="K1548" s="11" t="s">
        <v>2113</v>
      </c>
      <c r="O1548" s="4" t="s">
        <v>16</v>
      </c>
    </row>
    <row r="1549" spans="1:16" x14ac:dyDescent="0.25">
      <c r="A1549">
        <v>1672</v>
      </c>
      <c r="B1549" s="3">
        <v>44659</v>
      </c>
      <c r="C1549" s="11" t="s">
        <v>2094</v>
      </c>
      <c r="E1549" s="7" t="s">
        <v>2104</v>
      </c>
      <c r="G1549" s="18">
        <v>38247</v>
      </c>
      <c r="J1549" s="11" t="s">
        <v>2115</v>
      </c>
      <c r="K1549" s="11" t="s">
        <v>2114</v>
      </c>
    </row>
    <row r="1550" spans="1:16" x14ac:dyDescent="0.25">
      <c r="A1550">
        <v>1673</v>
      </c>
      <c r="B1550" s="3">
        <v>44663</v>
      </c>
      <c r="C1550" s="11" t="s">
        <v>2095</v>
      </c>
      <c r="E1550" s="7" t="s">
        <v>2105</v>
      </c>
      <c r="G1550" s="18">
        <v>36530</v>
      </c>
      <c r="J1550" s="11" t="s">
        <v>2116</v>
      </c>
      <c r="K1550" s="11" t="s">
        <v>2117</v>
      </c>
      <c r="O1550" s="4" t="s">
        <v>16</v>
      </c>
    </row>
    <row r="1551" spans="1:16" x14ac:dyDescent="0.25">
      <c r="A1551">
        <v>1674</v>
      </c>
      <c r="B1551" s="3">
        <v>44664</v>
      </c>
      <c r="C1551" s="11" t="s">
        <v>2096</v>
      </c>
      <c r="E1551" s="7" t="s">
        <v>2106</v>
      </c>
      <c r="G1551" s="18">
        <v>37298</v>
      </c>
      <c r="J1551" s="11" t="s">
        <v>2131</v>
      </c>
      <c r="K1551" s="11" t="s">
        <v>2124</v>
      </c>
      <c r="O1551" s="4" t="s">
        <v>16</v>
      </c>
      <c r="P1551" s="4" t="s">
        <v>16</v>
      </c>
    </row>
    <row r="1552" spans="1:16" x14ac:dyDescent="0.25">
      <c r="A1552">
        <v>1675</v>
      </c>
      <c r="B1552" s="3">
        <v>44664</v>
      </c>
      <c r="C1552" s="11" t="s">
        <v>2097</v>
      </c>
      <c r="E1552" s="7" t="s">
        <v>2107</v>
      </c>
      <c r="J1552" s="11" t="s">
        <v>2118</v>
      </c>
      <c r="K1552" s="11" t="s">
        <v>2125</v>
      </c>
      <c r="O1552" s="4" t="s">
        <v>16</v>
      </c>
    </row>
    <row r="1553" spans="1:16" x14ac:dyDescent="0.25">
      <c r="A1553">
        <v>1676</v>
      </c>
      <c r="B1553" s="3">
        <v>44665</v>
      </c>
      <c r="C1553" s="11" t="s">
        <v>2098</v>
      </c>
      <c r="E1553" s="7" t="s">
        <v>2108</v>
      </c>
      <c r="J1553" s="11" t="s">
        <v>2119</v>
      </c>
      <c r="K1553" s="11" t="s">
        <v>2126</v>
      </c>
      <c r="O1553" s="4" t="s">
        <v>16</v>
      </c>
    </row>
    <row r="1554" spans="1:16" x14ac:dyDescent="0.25">
      <c r="A1554">
        <v>1677</v>
      </c>
      <c r="B1554" s="3">
        <v>44666</v>
      </c>
      <c r="C1554" s="11" t="s">
        <v>2099</v>
      </c>
      <c r="E1554" s="7" t="s">
        <v>2109</v>
      </c>
      <c r="G1554" s="18">
        <v>36080</v>
      </c>
      <c r="J1554" s="11" t="s">
        <v>2120</v>
      </c>
      <c r="K1554" s="11" t="s">
        <v>2127</v>
      </c>
      <c r="O1554" s="4" t="s">
        <v>16</v>
      </c>
    </row>
    <row r="1555" spans="1:16" x14ac:dyDescent="0.25">
      <c r="A1555">
        <v>1678</v>
      </c>
      <c r="B1555" s="3">
        <v>44667</v>
      </c>
      <c r="C1555" s="11" t="s">
        <v>2100</v>
      </c>
      <c r="E1555" s="7" t="s">
        <v>892</v>
      </c>
      <c r="G1555" s="18">
        <v>30978</v>
      </c>
      <c r="J1555" s="11" t="s">
        <v>2121</v>
      </c>
      <c r="K1555" s="11" t="s">
        <v>2128</v>
      </c>
      <c r="O1555" s="4" t="s">
        <v>16</v>
      </c>
    </row>
    <row r="1556" spans="1:16" x14ac:dyDescent="0.25">
      <c r="A1556">
        <v>1679</v>
      </c>
      <c r="B1556" s="3">
        <v>44669</v>
      </c>
      <c r="C1556" s="11" t="s">
        <v>2101</v>
      </c>
      <c r="E1556" s="7" t="s">
        <v>2110</v>
      </c>
      <c r="G1556" s="18">
        <v>31505</v>
      </c>
      <c r="J1556" s="11" t="s">
        <v>2123</v>
      </c>
      <c r="K1556" s="11" t="s">
        <v>2129</v>
      </c>
      <c r="O1556" s="4" t="s">
        <v>16</v>
      </c>
    </row>
    <row r="1557" spans="1:16" x14ac:dyDescent="0.25">
      <c r="A1557">
        <v>1681</v>
      </c>
      <c r="B1557" s="3">
        <v>44679</v>
      </c>
      <c r="C1557" s="11" t="s">
        <v>2102</v>
      </c>
      <c r="E1557" s="7" t="s">
        <v>2111</v>
      </c>
      <c r="G1557" s="18">
        <v>40167</v>
      </c>
      <c r="J1557" s="11" t="s">
        <v>2122</v>
      </c>
      <c r="K1557" s="11" t="s">
        <v>2130</v>
      </c>
    </row>
    <row r="1558" spans="1:16" x14ac:dyDescent="0.25">
      <c r="A1558">
        <v>1682</v>
      </c>
      <c r="B1558" s="3">
        <v>44685</v>
      </c>
      <c r="C1558" s="11" t="s">
        <v>2159</v>
      </c>
      <c r="E1558" s="7" t="s">
        <v>2150</v>
      </c>
      <c r="G1558" s="18">
        <v>28980</v>
      </c>
      <c r="H1558" s="4" t="s">
        <v>2165</v>
      </c>
      <c r="J1558" s="11" t="s">
        <v>2167</v>
      </c>
      <c r="K1558" s="11" t="s">
        <v>2168</v>
      </c>
      <c r="O1558" s="4" t="s">
        <v>16</v>
      </c>
    </row>
    <row r="1559" spans="1:16" x14ac:dyDescent="0.25">
      <c r="A1559">
        <v>1683</v>
      </c>
      <c r="B1559" s="3">
        <v>44686</v>
      </c>
      <c r="C1559" s="11" t="s">
        <v>2160</v>
      </c>
      <c r="E1559" s="7" t="s">
        <v>2155</v>
      </c>
      <c r="G1559" s="18">
        <v>23813</v>
      </c>
      <c r="H1559" s="4" t="s">
        <v>2165</v>
      </c>
      <c r="J1559" s="11" t="s">
        <v>2169</v>
      </c>
      <c r="K1559" s="11" t="s">
        <v>2166</v>
      </c>
      <c r="L1559" s="3">
        <v>44692</v>
      </c>
      <c r="O1559" s="4" t="s">
        <v>16</v>
      </c>
    </row>
    <row r="1560" spans="1:16" x14ac:dyDescent="0.25">
      <c r="A1560">
        <v>1684</v>
      </c>
      <c r="B1560" s="3">
        <v>44687</v>
      </c>
      <c r="C1560" s="11" t="s">
        <v>2161</v>
      </c>
      <c r="E1560" s="7" t="s">
        <v>2162</v>
      </c>
      <c r="G1560" s="18">
        <v>32947</v>
      </c>
      <c r="H1560" s="4" t="s">
        <v>1170</v>
      </c>
      <c r="J1560" s="11" t="s">
        <v>2163</v>
      </c>
      <c r="K1560" s="11" t="s">
        <v>2164</v>
      </c>
    </row>
    <row r="1561" spans="1:16" x14ac:dyDescent="0.25">
      <c r="A1561">
        <f>A1560+1</f>
        <v>1685</v>
      </c>
      <c r="B1561" s="3">
        <v>44690</v>
      </c>
      <c r="C1561" s="11" t="s">
        <v>2170</v>
      </c>
      <c r="E1561" s="7" t="s">
        <v>2171</v>
      </c>
      <c r="G1561" s="18">
        <v>33000</v>
      </c>
      <c r="H1561" s="4" t="s">
        <v>1380</v>
      </c>
      <c r="J1561" s="11" t="s">
        <v>2172</v>
      </c>
      <c r="K1561" s="11" t="s">
        <v>2173</v>
      </c>
      <c r="L1561" s="3">
        <v>44690</v>
      </c>
      <c r="M1561" s="3">
        <v>44690</v>
      </c>
      <c r="O1561" s="4" t="s">
        <v>14</v>
      </c>
    </row>
    <row r="1562" spans="1:16" x14ac:dyDescent="0.25">
      <c r="A1562">
        <f t="shared" ref="A1562:A1581" si="0">A1561+1</f>
        <v>1686</v>
      </c>
      <c r="B1562" s="3">
        <v>44691</v>
      </c>
      <c r="C1562" s="11" t="s">
        <v>2181</v>
      </c>
      <c r="E1562" s="7" t="s">
        <v>2180</v>
      </c>
      <c r="G1562" s="18">
        <v>38066</v>
      </c>
      <c r="H1562" s="4" t="s">
        <v>2182</v>
      </c>
      <c r="J1562" s="11" t="s">
        <v>2183</v>
      </c>
      <c r="K1562" s="11" t="s">
        <v>2184</v>
      </c>
    </row>
    <row r="1563" spans="1:16" x14ac:dyDescent="0.25">
      <c r="A1563">
        <f t="shared" si="0"/>
        <v>1687</v>
      </c>
      <c r="B1563" s="3">
        <v>44693</v>
      </c>
      <c r="C1563" s="11" t="s">
        <v>2198</v>
      </c>
      <c r="E1563" s="7" t="s">
        <v>2196</v>
      </c>
      <c r="G1563" s="18">
        <v>32754</v>
      </c>
      <c r="J1563" s="11" t="s">
        <v>2202</v>
      </c>
      <c r="K1563" s="11" t="s">
        <v>2638</v>
      </c>
      <c r="P1563" s="3">
        <v>44807</v>
      </c>
    </row>
    <row r="1564" spans="1:16" x14ac:dyDescent="0.25">
      <c r="A1564">
        <f t="shared" si="0"/>
        <v>1688</v>
      </c>
      <c r="B1564" s="3">
        <v>44698</v>
      </c>
      <c r="C1564" s="11" t="s">
        <v>2199</v>
      </c>
      <c r="E1564" s="7" t="s">
        <v>2197</v>
      </c>
      <c r="G1564" s="18">
        <v>38482</v>
      </c>
      <c r="J1564" s="11" t="s">
        <v>2200</v>
      </c>
      <c r="K1564" s="11" t="s">
        <v>2201</v>
      </c>
    </row>
    <row r="1565" spans="1:16" x14ac:dyDescent="0.25">
      <c r="A1565">
        <f t="shared" si="0"/>
        <v>1689</v>
      </c>
      <c r="B1565" s="3">
        <v>44699</v>
      </c>
      <c r="C1565" s="11" t="s">
        <v>2206</v>
      </c>
      <c r="E1565" s="7" t="s">
        <v>2204</v>
      </c>
      <c r="G1565" s="18">
        <v>37782</v>
      </c>
      <c r="J1565" s="11" t="s">
        <v>2207</v>
      </c>
      <c r="K1565" s="11" t="s">
        <v>2208</v>
      </c>
    </row>
    <row r="1566" spans="1:16" x14ac:dyDescent="0.25">
      <c r="A1566">
        <f t="shared" si="0"/>
        <v>1690</v>
      </c>
      <c r="B1566" s="3">
        <v>44699</v>
      </c>
      <c r="C1566" s="11" t="s">
        <v>2213</v>
      </c>
      <c r="E1566" s="7" t="s">
        <v>2212</v>
      </c>
      <c r="G1566" s="18">
        <v>37183</v>
      </c>
      <c r="J1566" s="11" t="s">
        <v>2220</v>
      </c>
      <c r="K1566" s="11" t="s">
        <v>2221</v>
      </c>
      <c r="O1566" s="4" t="s">
        <v>2529</v>
      </c>
    </row>
    <row r="1567" spans="1:16" x14ac:dyDescent="0.25">
      <c r="A1567">
        <f t="shared" si="0"/>
        <v>1691</v>
      </c>
      <c r="B1567" s="3">
        <v>44699</v>
      </c>
      <c r="C1567" s="11" t="s">
        <v>2214</v>
      </c>
      <c r="E1567" s="7" t="s">
        <v>2215</v>
      </c>
      <c r="F1567" s="26"/>
      <c r="G1567" s="18">
        <v>38265</v>
      </c>
      <c r="J1567" s="11" t="s">
        <v>2216</v>
      </c>
      <c r="K1567" s="11" t="s">
        <v>2222</v>
      </c>
    </row>
    <row r="1568" spans="1:16" x14ac:dyDescent="0.25">
      <c r="A1568">
        <f t="shared" si="0"/>
        <v>1692</v>
      </c>
      <c r="B1568" s="3">
        <v>44702</v>
      </c>
      <c r="C1568" s="11" t="s">
        <v>2225</v>
      </c>
      <c r="E1568" s="7" t="s">
        <v>2226</v>
      </c>
      <c r="G1568" s="18">
        <v>38206</v>
      </c>
      <c r="J1568" s="11" t="s">
        <v>2227</v>
      </c>
      <c r="K1568" s="11" t="s">
        <v>2228</v>
      </c>
    </row>
    <row r="1569" spans="1:15" x14ac:dyDescent="0.25">
      <c r="A1569">
        <f t="shared" si="0"/>
        <v>1693</v>
      </c>
      <c r="B1569" s="3">
        <v>44702</v>
      </c>
      <c r="C1569" s="11" t="s">
        <v>2229</v>
      </c>
      <c r="E1569" s="7" t="s">
        <v>2230</v>
      </c>
      <c r="G1569" s="18">
        <v>35099</v>
      </c>
      <c r="J1569" s="11" t="s">
        <v>2231</v>
      </c>
      <c r="K1569" s="11" t="s">
        <v>2232</v>
      </c>
      <c r="O1569" s="4" t="s">
        <v>16</v>
      </c>
    </row>
    <row r="1570" spans="1:15" x14ac:dyDescent="0.25">
      <c r="B1570" s="3">
        <v>44704</v>
      </c>
      <c r="C1570" s="11" t="s">
        <v>2663</v>
      </c>
      <c r="E1570" s="7" t="s">
        <v>2664</v>
      </c>
      <c r="G1570" s="18">
        <v>31552</v>
      </c>
      <c r="J1570" s="11" t="s">
        <v>2666</v>
      </c>
      <c r="K1570" s="11" t="s">
        <v>2665</v>
      </c>
      <c r="N1570" s="3">
        <v>44706</v>
      </c>
    </row>
    <row r="1571" spans="1:15" x14ac:dyDescent="0.25">
      <c r="A1571">
        <v>1695</v>
      </c>
      <c r="B1571" s="3">
        <v>44707</v>
      </c>
      <c r="C1571" s="4">
        <v>4926</v>
      </c>
      <c r="D1571" s="4"/>
      <c r="E1571" s="7" t="s">
        <v>2249</v>
      </c>
      <c r="G1571" s="18">
        <v>37913</v>
      </c>
      <c r="J1571" s="11" t="s">
        <v>2250</v>
      </c>
      <c r="O1571" s="4" t="s">
        <v>16</v>
      </c>
    </row>
    <row r="1572" spans="1:15" x14ac:dyDescent="0.25">
      <c r="A1572">
        <f t="shared" si="0"/>
        <v>1696</v>
      </c>
      <c r="B1572" s="3">
        <v>44709</v>
      </c>
      <c r="C1572" s="11" t="s">
        <v>2262</v>
      </c>
      <c r="E1572" s="7" t="s">
        <v>2254</v>
      </c>
      <c r="G1572" s="55" t="s">
        <v>2263</v>
      </c>
      <c r="J1572" s="11" t="s">
        <v>2264</v>
      </c>
      <c r="K1572" s="11" t="s">
        <v>2265</v>
      </c>
      <c r="O1572" s="4" t="s">
        <v>16</v>
      </c>
    </row>
    <row r="1573" spans="1:15" x14ac:dyDescent="0.25">
      <c r="A1573">
        <f t="shared" si="0"/>
        <v>1697</v>
      </c>
      <c r="B1573" s="3">
        <v>44711</v>
      </c>
      <c r="C1573" s="11" t="s">
        <v>2258</v>
      </c>
      <c r="E1573" s="7" t="s">
        <v>2259</v>
      </c>
      <c r="G1573" s="18">
        <v>37980</v>
      </c>
      <c r="J1573" s="11" t="s">
        <v>2261</v>
      </c>
      <c r="K1573" s="11" t="s">
        <v>2260</v>
      </c>
      <c r="O1573" s="4" t="s">
        <v>16</v>
      </c>
    </row>
    <row r="1574" spans="1:15" x14ac:dyDescent="0.25">
      <c r="A1574">
        <f t="shared" si="0"/>
        <v>1698</v>
      </c>
      <c r="B1574" s="3">
        <v>44711</v>
      </c>
      <c r="C1574" s="11" t="s">
        <v>2267</v>
      </c>
      <c r="E1574" s="7" t="s">
        <v>2323</v>
      </c>
      <c r="G1574" s="18">
        <v>43705</v>
      </c>
      <c r="J1574" s="11" t="s">
        <v>2324</v>
      </c>
      <c r="K1574" s="11" t="s">
        <v>2266</v>
      </c>
      <c r="O1574" s="4" t="s">
        <v>19</v>
      </c>
    </row>
    <row r="1575" spans="1:15" x14ac:dyDescent="0.25">
      <c r="A1575">
        <f t="shared" si="0"/>
        <v>1699</v>
      </c>
      <c r="B1575" s="3">
        <v>44687</v>
      </c>
      <c r="C1575" s="11" t="s">
        <v>2284</v>
      </c>
      <c r="E1575" s="7" t="s">
        <v>2321</v>
      </c>
      <c r="G1575" s="18">
        <v>38623</v>
      </c>
      <c r="J1575" s="11" t="s">
        <v>2322</v>
      </c>
      <c r="K1575" s="11" t="s">
        <v>2285</v>
      </c>
      <c r="O1575" s="4" t="s">
        <v>19</v>
      </c>
    </row>
    <row r="1576" spans="1:15" x14ac:dyDescent="0.25">
      <c r="A1576">
        <f t="shared" si="0"/>
        <v>1700</v>
      </c>
      <c r="B1576" s="3">
        <v>44723</v>
      </c>
      <c r="C1576" s="11" t="s">
        <v>2310</v>
      </c>
      <c r="E1576" s="7" t="s">
        <v>2318</v>
      </c>
      <c r="J1576" s="11" t="s">
        <v>2319</v>
      </c>
      <c r="K1576" s="11" t="s">
        <v>2320</v>
      </c>
      <c r="O1576" s="4" t="s">
        <v>19</v>
      </c>
    </row>
    <row r="1577" spans="1:15" x14ac:dyDescent="0.25">
      <c r="A1577">
        <f t="shared" si="0"/>
        <v>1701</v>
      </c>
      <c r="B1577" s="3">
        <v>44725</v>
      </c>
      <c r="C1577" s="11" t="s">
        <v>2311</v>
      </c>
      <c r="E1577" s="7" t="s">
        <v>2315</v>
      </c>
      <c r="G1577" s="18">
        <v>23699</v>
      </c>
      <c r="J1577" s="11" t="s">
        <v>2317</v>
      </c>
      <c r="K1577" s="11" t="s">
        <v>2316</v>
      </c>
      <c r="O1577" s="4" t="s">
        <v>16</v>
      </c>
    </row>
    <row r="1578" spans="1:15" x14ac:dyDescent="0.25">
      <c r="A1578">
        <f t="shared" si="0"/>
        <v>1702</v>
      </c>
      <c r="B1578" s="3">
        <v>44726</v>
      </c>
      <c r="C1578" s="11" t="s">
        <v>2312</v>
      </c>
      <c r="E1578" s="7" t="s">
        <v>2313</v>
      </c>
      <c r="G1578" s="18">
        <v>38084</v>
      </c>
      <c r="H1578" s="4" t="s">
        <v>1380</v>
      </c>
      <c r="J1578" s="11" t="s">
        <v>2314</v>
      </c>
      <c r="K1578" s="11" t="s">
        <v>1553</v>
      </c>
      <c r="O1578" s="4" t="s">
        <v>19</v>
      </c>
    </row>
    <row r="1579" spans="1:15" x14ac:dyDescent="0.25">
      <c r="A1579">
        <f t="shared" si="0"/>
        <v>1703</v>
      </c>
      <c r="B1579" s="3">
        <v>44726</v>
      </c>
      <c r="C1579" s="11" t="s">
        <v>2327</v>
      </c>
      <c r="E1579" s="7" t="s">
        <v>2326</v>
      </c>
      <c r="G1579" s="18">
        <v>37678</v>
      </c>
      <c r="H1579" s="4" t="s">
        <v>1380</v>
      </c>
      <c r="J1579" s="11" t="s">
        <v>2328</v>
      </c>
      <c r="K1579" s="11" t="s">
        <v>2329</v>
      </c>
      <c r="O1579" s="4" t="s">
        <v>16</v>
      </c>
    </row>
    <row r="1580" spans="1:15" x14ac:dyDescent="0.25">
      <c r="A1580">
        <f t="shared" si="0"/>
        <v>1704</v>
      </c>
      <c r="B1580" s="3">
        <v>44727</v>
      </c>
      <c r="C1580" s="11" t="s">
        <v>2334</v>
      </c>
      <c r="E1580" s="7" t="s">
        <v>2333</v>
      </c>
      <c r="G1580" s="18">
        <v>36557</v>
      </c>
      <c r="J1580" s="11" t="s">
        <v>2336</v>
      </c>
      <c r="K1580" s="11" t="s">
        <v>2337</v>
      </c>
    </row>
    <row r="1581" spans="1:15" x14ac:dyDescent="0.25">
      <c r="A1581">
        <f t="shared" si="0"/>
        <v>1705</v>
      </c>
      <c r="B1581" s="3">
        <v>44727</v>
      </c>
      <c r="C1581" s="11" t="s">
        <v>2335</v>
      </c>
      <c r="E1581" s="7" t="s">
        <v>35</v>
      </c>
      <c r="G1581" s="18">
        <v>37809</v>
      </c>
      <c r="J1581" s="11" t="s">
        <v>2338</v>
      </c>
      <c r="K1581" s="11" t="s">
        <v>2339</v>
      </c>
      <c r="O1581" s="4" t="s">
        <v>16</v>
      </c>
    </row>
    <row r="1582" spans="1:15" x14ac:dyDescent="0.25">
      <c r="A1582">
        <v>1706</v>
      </c>
      <c r="C1582" s="11" t="s">
        <v>2385</v>
      </c>
      <c r="E1582" s="7" t="s">
        <v>2377</v>
      </c>
    </row>
    <row r="1583" spans="1:15" x14ac:dyDescent="0.25">
      <c r="A1583">
        <v>1707</v>
      </c>
      <c r="B1583" s="3">
        <v>44753</v>
      </c>
      <c r="C1583" s="47" t="s">
        <v>2384</v>
      </c>
      <c r="E1583" s="7" t="s">
        <v>2379</v>
      </c>
      <c r="G1583" s="18">
        <v>29274</v>
      </c>
      <c r="J1583" s="11" t="s">
        <v>2380</v>
      </c>
      <c r="K1583">
        <v>7033628688</v>
      </c>
      <c r="L1583" s="4" t="s">
        <v>16</v>
      </c>
      <c r="O1583" s="4" t="s">
        <v>16</v>
      </c>
    </row>
    <row r="1584" spans="1:15" x14ac:dyDescent="0.25">
      <c r="B1584" s="3">
        <v>44754</v>
      </c>
      <c r="C1584" s="47" t="s">
        <v>2386</v>
      </c>
      <c r="E1584" s="7" t="s">
        <v>2387</v>
      </c>
      <c r="G1584" s="18">
        <v>38006</v>
      </c>
      <c r="J1584" s="11" t="s">
        <v>2388</v>
      </c>
      <c r="K1584" s="11" t="s">
        <v>2389</v>
      </c>
      <c r="O1584" s="4" t="s">
        <v>16</v>
      </c>
    </row>
    <row r="1585" spans="1:16" x14ac:dyDescent="0.25">
      <c r="B1585" s="3">
        <v>44754</v>
      </c>
      <c r="C1585" s="47" t="s">
        <v>2397</v>
      </c>
      <c r="E1585" s="7" t="s">
        <v>2403</v>
      </c>
      <c r="G1585" s="18">
        <v>36808</v>
      </c>
      <c r="J1585" s="11" t="s">
        <v>2404</v>
      </c>
      <c r="O1585" s="4" t="s">
        <v>16</v>
      </c>
    </row>
    <row r="1586" spans="1:16" x14ac:dyDescent="0.25">
      <c r="B1586" s="3">
        <v>44754</v>
      </c>
      <c r="C1586" s="47" t="s">
        <v>2398</v>
      </c>
      <c r="E1586" s="7" t="s">
        <v>635</v>
      </c>
      <c r="G1586" s="18">
        <v>34700</v>
      </c>
      <c r="J1586" s="11" t="s">
        <v>2402</v>
      </c>
      <c r="O1586" s="4" t="s">
        <v>16</v>
      </c>
    </row>
    <row r="1587" spans="1:16" x14ac:dyDescent="0.25">
      <c r="B1587" s="3">
        <v>44755</v>
      </c>
      <c r="C1587" s="47" t="s">
        <v>2399</v>
      </c>
      <c r="E1587" s="7" t="s">
        <v>2400</v>
      </c>
      <c r="G1587" s="18">
        <v>30753</v>
      </c>
      <c r="J1587" s="11" t="s">
        <v>2401</v>
      </c>
      <c r="O1587" s="4" t="s">
        <v>16</v>
      </c>
    </row>
    <row r="1588" spans="1:16" x14ac:dyDescent="0.25">
      <c r="A1588">
        <v>4000</v>
      </c>
      <c r="B1588" s="3">
        <v>44757</v>
      </c>
      <c r="C1588" s="47" t="s">
        <v>2413</v>
      </c>
      <c r="E1588" s="7" t="s">
        <v>2449</v>
      </c>
      <c r="G1588" s="18">
        <v>31094</v>
      </c>
      <c r="J1588" s="11" t="s">
        <v>2411</v>
      </c>
      <c r="L1588" s="4" t="s">
        <v>2412</v>
      </c>
      <c r="O1588" s="4" t="s">
        <v>2412</v>
      </c>
    </row>
    <row r="1589" spans="1:16" x14ac:dyDescent="0.25">
      <c r="C1589" s="47" t="s">
        <v>2445</v>
      </c>
      <c r="E1589" s="7" t="s">
        <v>2451</v>
      </c>
      <c r="O1589" s="4" t="s">
        <v>16</v>
      </c>
    </row>
    <row r="1590" spans="1:16" x14ac:dyDescent="0.25">
      <c r="C1590" s="47" t="s">
        <v>2446</v>
      </c>
      <c r="E1590" s="7" t="s">
        <v>3035</v>
      </c>
    </row>
    <row r="1591" spans="1:16" x14ac:dyDescent="0.25">
      <c r="A1591" t="s">
        <v>2450</v>
      </c>
      <c r="B1591" s="3">
        <v>44774</v>
      </c>
      <c r="C1591" s="47" t="s">
        <v>2447</v>
      </c>
      <c r="E1591" s="7" t="s">
        <v>2444</v>
      </c>
      <c r="G1591" s="18">
        <v>25906</v>
      </c>
      <c r="J1591" s="11" t="s">
        <v>2448</v>
      </c>
      <c r="K1591">
        <v>9031985788</v>
      </c>
      <c r="O1591" s="4" t="s">
        <v>16</v>
      </c>
    </row>
    <row r="1592" spans="1:16" x14ac:dyDescent="0.25">
      <c r="A1592" t="s">
        <v>2455</v>
      </c>
      <c r="B1592" s="3">
        <v>44774</v>
      </c>
      <c r="C1592" s="47" t="s">
        <v>2452</v>
      </c>
      <c r="E1592" s="7" t="s">
        <v>2453</v>
      </c>
      <c r="G1592" s="18">
        <v>28856</v>
      </c>
      <c r="J1592" s="11" t="s">
        <v>2456</v>
      </c>
      <c r="K1592" s="11" t="s">
        <v>2454</v>
      </c>
      <c r="O1592" s="4" t="s">
        <v>19</v>
      </c>
    </row>
    <row r="1593" spans="1:16" x14ac:dyDescent="0.25">
      <c r="A1593" t="s">
        <v>2496</v>
      </c>
      <c r="B1593" s="3">
        <v>44785</v>
      </c>
      <c r="C1593" s="47" t="s">
        <v>2508</v>
      </c>
      <c r="E1593" s="7" t="s">
        <v>2494</v>
      </c>
      <c r="G1593" s="18">
        <v>20825</v>
      </c>
      <c r="J1593" s="11" t="s">
        <v>2495</v>
      </c>
      <c r="O1593" s="4" t="s">
        <v>2505</v>
      </c>
    </row>
    <row r="1594" spans="1:16" x14ac:dyDescent="0.25">
      <c r="A1594" t="s">
        <v>2497</v>
      </c>
      <c r="B1594" s="3">
        <v>44785</v>
      </c>
      <c r="C1594" s="47" t="s">
        <v>2509</v>
      </c>
      <c r="E1594" s="7" t="s">
        <v>2498</v>
      </c>
      <c r="G1594" s="18">
        <v>34892</v>
      </c>
      <c r="J1594" s="11" t="s">
        <v>2499</v>
      </c>
      <c r="O1594" s="4" t="s">
        <v>2506</v>
      </c>
    </row>
    <row r="1595" spans="1:16" x14ac:dyDescent="0.25">
      <c r="A1595" t="s">
        <v>2502</v>
      </c>
      <c r="B1595" s="3">
        <v>44789</v>
      </c>
      <c r="C1595" s="47" t="s">
        <v>2510</v>
      </c>
      <c r="E1595" s="7" t="s">
        <v>2501</v>
      </c>
      <c r="G1595" s="18">
        <v>38849</v>
      </c>
      <c r="J1595" s="11" t="s">
        <v>2504</v>
      </c>
      <c r="K1595" s="11" t="s">
        <v>2503</v>
      </c>
      <c r="O1595" s="4" t="s">
        <v>15</v>
      </c>
    </row>
    <row r="1596" spans="1:16" x14ac:dyDescent="0.25">
      <c r="B1596" s="3">
        <v>44795</v>
      </c>
      <c r="C1596" s="47" t="s">
        <v>2526</v>
      </c>
      <c r="E1596" s="7" t="s">
        <v>2524</v>
      </c>
      <c r="O1596" s="4" t="s">
        <v>16</v>
      </c>
    </row>
    <row r="1597" spans="1:16" x14ac:dyDescent="0.25">
      <c r="B1597" s="3">
        <v>44795</v>
      </c>
      <c r="C1597" s="47" t="s">
        <v>2533</v>
      </c>
      <c r="E1597" s="7" t="s">
        <v>2534</v>
      </c>
      <c r="G1597" s="18">
        <v>35713</v>
      </c>
      <c r="J1597" s="11" t="s">
        <v>2535</v>
      </c>
      <c r="L1597" s="3">
        <v>44795</v>
      </c>
      <c r="O1597" s="4" t="s">
        <v>2551</v>
      </c>
    </row>
    <row r="1598" spans="1:16" x14ac:dyDescent="0.25">
      <c r="B1598" s="3">
        <v>44796</v>
      </c>
      <c r="C1598" s="47" t="s">
        <v>2536</v>
      </c>
      <c r="E1598" s="7" t="s">
        <v>2532</v>
      </c>
      <c r="G1598" s="18">
        <v>36421</v>
      </c>
      <c r="J1598" s="11" t="s">
        <v>2546</v>
      </c>
      <c r="K1598" s="11" t="s">
        <v>2547</v>
      </c>
      <c r="L1598" s="3">
        <v>44796</v>
      </c>
      <c r="O1598" s="4" t="s">
        <v>2537</v>
      </c>
      <c r="P1598" s="3">
        <v>44676</v>
      </c>
    </row>
    <row r="1599" spans="1:16" x14ac:dyDescent="0.25">
      <c r="B1599" s="3">
        <v>44798</v>
      </c>
      <c r="C1599" s="47" t="s">
        <v>2543</v>
      </c>
      <c r="E1599" s="7" t="s">
        <v>2542</v>
      </c>
      <c r="G1599" s="18">
        <v>23145</v>
      </c>
      <c r="J1599" s="11" t="s">
        <v>2545</v>
      </c>
      <c r="K1599" s="11" t="s">
        <v>2544</v>
      </c>
      <c r="O1599" s="4" t="s">
        <v>2551</v>
      </c>
    </row>
    <row r="1600" spans="1:16" x14ac:dyDescent="0.25">
      <c r="B1600" s="3">
        <v>44798</v>
      </c>
      <c r="C1600" s="47" t="s">
        <v>2548</v>
      </c>
      <c r="E1600" s="7" t="s">
        <v>2549</v>
      </c>
      <c r="G1600" s="18">
        <v>19906</v>
      </c>
      <c r="K1600" s="11" t="s">
        <v>2550</v>
      </c>
      <c r="O1600" s="4" t="s">
        <v>16</v>
      </c>
    </row>
    <row r="1601" spans="1:15" x14ac:dyDescent="0.25">
      <c r="B1601" s="3">
        <v>44799</v>
      </c>
      <c r="C1601" s="47" t="s">
        <v>2554</v>
      </c>
      <c r="E1601" s="7" t="s">
        <v>2560</v>
      </c>
      <c r="G1601" s="18">
        <v>20273</v>
      </c>
      <c r="J1601" s="11" t="s">
        <v>2561</v>
      </c>
      <c r="K1601" s="11" t="s">
        <v>2562</v>
      </c>
      <c r="O1601" s="4" t="s">
        <v>2563</v>
      </c>
    </row>
    <row r="1602" spans="1:15" x14ac:dyDescent="0.25">
      <c r="B1602" s="3">
        <v>44799</v>
      </c>
      <c r="C1602" s="47" t="s">
        <v>2555</v>
      </c>
      <c r="D1602" s="11" t="s">
        <v>3494</v>
      </c>
      <c r="E1602" s="7" t="s">
        <v>2556</v>
      </c>
      <c r="G1602" s="18">
        <v>31911</v>
      </c>
      <c r="J1602" s="11" t="s">
        <v>2558</v>
      </c>
      <c r="K1602" s="11" t="s">
        <v>2557</v>
      </c>
      <c r="O1602" s="4" t="s">
        <v>19</v>
      </c>
    </row>
    <row r="1603" spans="1:15" x14ac:dyDescent="0.25">
      <c r="B1603" s="3">
        <v>44799</v>
      </c>
      <c r="C1603" s="47" t="s">
        <v>2564</v>
      </c>
      <c r="E1603" s="7" t="s">
        <v>2565</v>
      </c>
      <c r="G1603" s="18">
        <v>21916</v>
      </c>
      <c r="J1603" s="11" t="s">
        <v>2567</v>
      </c>
      <c r="K1603" s="11" t="s">
        <v>2566</v>
      </c>
      <c r="O1603" s="4" t="s">
        <v>2551</v>
      </c>
    </row>
    <row r="1604" spans="1:15" x14ac:dyDescent="0.25">
      <c r="B1604" s="3">
        <v>44802</v>
      </c>
      <c r="C1604" s="47" t="s">
        <v>2575</v>
      </c>
      <c r="E1604" s="7" t="s">
        <v>2576</v>
      </c>
      <c r="J1604" s="11" t="s">
        <v>2598</v>
      </c>
      <c r="K1604" s="11" t="s">
        <v>2599</v>
      </c>
      <c r="O1604" s="4" t="s">
        <v>2597</v>
      </c>
    </row>
    <row r="1605" spans="1:15" x14ac:dyDescent="0.25">
      <c r="A1605" t="s">
        <v>2595</v>
      </c>
      <c r="B1605" s="3">
        <v>44802</v>
      </c>
      <c r="C1605" s="47" t="s">
        <v>2581</v>
      </c>
      <c r="E1605" s="7" t="s">
        <v>2584</v>
      </c>
      <c r="G1605" s="18">
        <v>31479</v>
      </c>
      <c r="J1605" s="11" t="s">
        <v>2590</v>
      </c>
      <c r="K1605" s="11" t="s">
        <v>2566</v>
      </c>
      <c r="L1605" s="3">
        <v>44802</v>
      </c>
      <c r="O1605" s="4" t="s">
        <v>2589</v>
      </c>
    </row>
    <row r="1606" spans="1:15" x14ac:dyDescent="0.25">
      <c r="A1606" t="s">
        <v>2596</v>
      </c>
      <c r="B1606" s="3">
        <v>44802</v>
      </c>
      <c r="C1606" s="47" t="s">
        <v>2582</v>
      </c>
      <c r="E1606" s="7" t="s">
        <v>2586</v>
      </c>
      <c r="G1606" s="18">
        <v>35331</v>
      </c>
      <c r="J1606" s="11" t="s">
        <v>2591</v>
      </c>
      <c r="K1606" s="11" t="s">
        <v>2585</v>
      </c>
      <c r="L1606" s="3">
        <v>44802</v>
      </c>
      <c r="O1606" s="4" t="s">
        <v>19</v>
      </c>
    </row>
    <row r="1607" spans="1:15" x14ac:dyDescent="0.25">
      <c r="A1607" t="s">
        <v>2594</v>
      </c>
      <c r="B1607" s="3">
        <v>44802</v>
      </c>
      <c r="C1607" s="47" t="s">
        <v>2583</v>
      </c>
      <c r="E1607" s="7" t="s">
        <v>2587</v>
      </c>
      <c r="G1607" s="18">
        <v>37009</v>
      </c>
      <c r="J1607" s="11" t="s">
        <v>2592</v>
      </c>
      <c r="K1607" s="11" t="s">
        <v>2588</v>
      </c>
      <c r="L1607" s="4" t="s">
        <v>2593</v>
      </c>
      <c r="O1607" s="4" t="s">
        <v>19</v>
      </c>
    </row>
    <row r="1608" spans="1:15" x14ac:dyDescent="0.25">
      <c r="B1608" s="3">
        <v>44804</v>
      </c>
      <c r="C1608" s="11" t="s">
        <v>2606</v>
      </c>
      <c r="J1608" s="11" t="s">
        <v>2611</v>
      </c>
      <c r="K1608" s="11" t="s">
        <v>2612</v>
      </c>
      <c r="O1608" s="4" t="s">
        <v>2613</v>
      </c>
    </row>
    <row r="1609" spans="1:15" x14ac:dyDescent="0.25">
      <c r="B1609" s="3">
        <v>44804</v>
      </c>
      <c r="C1609" s="11" t="s">
        <v>2607</v>
      </c>
      <c r="E1609" s="7" t="s">
        <v>2608</v>
      </c>
      <c r="G1609" s="18">
        <v>38724</v>
      </c>
      <c r="J1609" s="11" t="s">
        <v>2610</v>
      </c>
      <c r="K1609" s="11" t="s">
        <v>2609</v>
      </c>
      <c r="M1609" s="4" t="s">
        <v>2616</v>
      </c>
      <c r="O1609" s="4" t="s">
        <v>19</v>
      </c>
    </row>
    <row r="1610" spans="1:15" x14ac:dyDescent="0.25">
      <c r="B1610" s="3">
        <v>44804</v>
      </c>
      <c r="C1610" s="11" t="s">
        <v>2614</v>
      </c>
      <c r="E1610" s="7" t="s">
        <v>2615</v>
      </c>
      <c r="G1610" s="18">
        <v>36284</v>
      </c>
      <c r="J1610" s="11" t="s">
        <v>2618</v>
      </c>
      <c r="K1610" s="11" t="s">
        <v>2617</v>
      </c>
      <c r="L1610" s="3">
        <v>44804</v>
      </c>
      <c r="M1610" s="4" t="s">
        <v>2616</v>
      </c>
      <c r="O1610" s="4" t="s">
        <v>19</v>
      </c>
    </row>
    <row r="1611" spans="1:15" x14ac:dyDescent="0.25">
      <c r="B1611" s="3">
        <v>44806</v>
      </c>
      <c r="C1611" s="11" t="s">
        <v>2629</v>
      </c>
      <c r="E1611" s="7" t="s">
        <v>2630</v>
      </c>
      <c r="G1611" s="18">
        <v>19360</v>
      </c>
      <c r="K1611" s="11" t="s">
        <v>2631</v>
      </c>
      <c r="L1611" s="3">
        <v>44806</v>
      </c>
      <c r="O1611" s="4" t="s">
        <v>2632</v>
      </c>
    </row>
    <row r="1612" spans="1:15" x14ac:dyDescent="0.25">
      <c r="B1612" s="3">
        <v>44823</v>
      </c>
      <c r="C1612" s="11" t="s">
        <v>2658</v>
      </c>
      <c r="E1612" s="7" t="s">
        <v>2659</v>
      </c>
      <c r="G1612" s="18">
        <v>37677</v>
      </c>
      <c r="J1612" s="11" t="s">
        <v>2661</v>
      </c>
      <c r="K1612" s="11" t="s">
        <v>2660</v>
      </c>
      <c r="L1612" s="3">
        <v>44823</v>
      </c>
      <c r="O1612" s="4" t="s">
        <v>19</v>
      </c>
    </row>
    <row r="1613" spans="1:15" x14ac:dyDescent="0.25">
      <c r="B1613" s="3">
        <v>44824</v>
      </c>
      <c r="C1613" s="11" t="s">
        <v>2691</v>
      </c>
      <c r="E1613" s="7" t="s">
        <v>2673</v>
      </c>
      <c r="G1613" s="18">
        <v>33920</v>
      </c>
      <c r="J1613" s="11" t="s">
        <v>2692</v>
      </c>
      <c r="L1613" s="3">
        <v>44824</v>
      </c>
      <c r="O1613" s="4" t="s">
        <v>2693</v>
      </c>
    </row>
    <row r="1614" spans="1:15" x14ac:dyDescent="0.25">
      <c r="B1614" s="3">
        <v>44825</v>
      </c>
      <c r="C1614" s="11" t="s">
        <v>2667</v>
      </c>
      <c r="E1614" s="7" t="s">
        <v>2668</v>
      </c>
      <c r="G1614" s="18">
        <v>38129</v>
      </c>
      <c r="J1614" s="11" t="s">
        <v>2670</v>
      </c>
      <c r="K1614" s="11" t="s">
        <v>2669</v>
      </c>
      <c r="L1614" s="3">
        <v>44825</v>
      </c>
      <c r="O1614" s="4" t="s">
        <v>19</v>
      </c>
    </row>
    <row r="1615" spans="1:15" x14ac:dyDescent="0.25">
      <c r="B1615" s="3">
        <v>44825</v>
      </c>
      <c r="C1615" s="11" t="s">
        <v>2677</v>
      </c>
      <c r="E1615" s="7" t="s">
        <v>2675</v>
      </c>
      <c r="G1615" s="18">
        <v>28257</v>
      </c>
      <c r="J1615" s="11" t="s">
        <v>2678</v>
      </c>
      <c r="K1615">
        <v>7301498621</v>
      </c>
      <c r="L1615" s="3">
        <v>44825</v>
      </c>
      <c r="O1615" s="4" t="s">
        <v>2679</v>
      </c>
    </row>
    <row r="1616" spans="1:15" x14ac:dyDescent="0.25">
      <c r="B1616" s="3">
        <v>44826</v>
      </c>
      <c r="C1616" s="11" t="s">
        <v>2687</v>
      </c>
      <c r="E1616" s="7" t="s">
        <v>2689</v>
      </c>
      <c r="G1616" s="18">
        <v>35836</v>
      </c>
      <c r="J1616" s="11" t="s">
        <v>2694</v>
      </c>
      <c r="K1616" s="11" t="s">
        <v>2690</v>
      </c>
      <c r="O1616" s="4" t="s">
        <v>2695</v>
      </c>
    </row>
    <row r="1617" spans="1:16" x14ac:dyDescent="0.25">
      <c r="B1617" s="3">
        <v>44826</v>
      </c>
      <c r="C1617" s="11" t="s">
        <v>2688</v>
      </c>
      <c r="E1617" s="7" t="s">
        <v>718</v>
      </c>
      <c r="G1617" s="18">
        <v>37288</v>
      </c>
      <c r="J1617" s="11" t="s">
        <v>2696</v>
      </c>
      <c r="K1617" s="11" t="s">
        <v>2686</v>
      </c>
      <c r="L1617" s="3">
        <v>44826</v>
      </c>
      <c r="O1617" s="4" t="s">
        <v>2697</v>
      </c>
    </row>
    <row r="1618" spans="1:16" x14ac:dyDescent="0.25">
      <c r="A1618" t="s">
        <v>4958</v>
      </c>
      <c r="B1618" s="3">
        <v>44830</v>
      </c>
      <c r="C1618" s="11" t="s">
        <v>2701</v>
      </c>
      <c r="E1618" s="7" t="s">
        <v>2702</v>
      </c>
      <c r="G1618" s="18">
        <v>36161</v>
      </c>
      <c r="J1618" s="11" t="s">
        <v>4963</v>
      </c>
      <c r="K1618" s="11" t="s">
        <v>2703</v>
      </c>
      <c r="L1618" s="3">
        <v>44830</v>
      </c>
      <c r="O1618" s="4" t="s">
        <v>19</v>
      </c>
    </row>
    <row r="1619" spans="1:16" x14ac:dyDescent="0.25">
      <c r="B1619" s="3">
        <v>44835</v>
      </c>
      <c r="C1619" s="47" t="s">
        <v>2726</v>
      </c>
      <c r="E1619" s="7" t="s">
        <v>2727</v>
      </c>
      <c r="G1619" s="18">
        <v>38623</v>
      </c>
      <c r="J1619" s="11" t="s">
        <v>2758</v>
      </c>
      <c r="K1619" s="11" t="s">
        <v>2728</v>
      </c>
      <c r="M1619" s="4" t="s">
        <v>2729</v>
      </c>
      <c r="O1619" s="4" t="s">
        <v>19</v>
      </c>
    </row>
    <row r="1620" spans="1:16" x14ac:dyDescent="0.25">
      <c r="B1620" s="3">
        <v>44835</v>
      </c>
      <c r="C1620" s="47" t="s">
        <v>2754</v>
      </c>
      <c r="E1620" s="7" t="s">
        <v>2731</v>
      </c>
      <c r="G1620" s="18">
        <v>38957</v>
      </c>
      <c r="J1620" s="11" t="s">
        <v>2793</v>
      </c>
      <c r="K1620" s="11" t="s">
        <v>2792</v>
      </c>
      <c r="O1620" s="4" t="s">
        <v>19</v>
      </c>
    </row>
    <row r="1621" spans="1:16" x14ac:dyDescent="0.25">
      <c r="B1621" s="3">
        <v>44840</v>
      </c>
      <c r="C1621" s="47" t="s">
        <v>2755</v>
      </c>
      <c r="E1621" s="7" t="s">
        <v>2756</v>
      </c>
      <c r="G1621" s="18">
        <v>22802</v>
      </c>
      <c r="J1621" s="11" t="s">
        <v>3189</v>
      </c>
      <c r="K1621" s="11" t="s">
        <v>3190</v>
      </c>
      <c r="O1621" s="4" t="s">
        <v>16</v>
      </c>
    </row>
    <row r="1622" spans="1:16" x14ac:dyDescent="0.25">
      <c r="B1622" s="3">
        <v>44723</v>
      </c>
      <c r="C1622" s="47" t="s">
        <v>2760</v>
      </c>
      <c r="E1622" s="7" t="s">
        <v>2761</v>
      </c>
      <c r="G1622" s="18">
        <v>33307</v>
      </c>
      <c r="J1622" s="11" t="s">
        <v>2762</v>
      </c>
      <c r="K1622" s="11" t="s">
        <v>2763</v>
      </c>
      <c r="O1622" s="4" t="s">
        <v>2764</v>
      </c>
    </row>
    <row r="1623" spans="1:16" x14ac:dyDescent="0.25">
      <c r="B1623" s="3">
        <v>44849</v>
      </c>
      <c r="C1623" s="47" t="s">
        <v>2777</v>
      </c>
      <c r="E1623" s="7" t="s">
        <v>2776</v>
      </c>
      <c r="G1623" s="18">
        <v>20214</v>
      </c>
      <c r="J1623" s="11" t="s">
        <v>2778</v>
      </c>
      <c r="K1623" s="11" t="s">
        <v>2779</v>
      </c>
      <c r="O1623" s="4" t="s">
        <v>19</v>
      </c>
    </row>
    <row r="1624" spans="1:16" x14ac:dyDescent="0.25">
      <c r="B1624" s="3">
        <v>44851</v>
      </c>
      <c r="C1624" s="47" t="s">
        <v>2785</v>
      </c>
      <c r="E1624" s="7" t="s">
        <v>2782</v>
      </c>
      <c r="G1624" s="18">
        <v>38056</v>
      </c>
      <c r="J1624" s="11" t="s">
        <v>2786</v>
      </c>
      <c r="K1624" s="11" t="s">
        <v>2791</v>
      </c>
      <c r="O1624" s="4" t="s">
        <v>19</v>
      </c>
      <c r="P1624" s="3">
        <v>44852</v>
      </c>
    </row>
    <row r="1625" spans="1:16" x14ac:dyDescent="0.25">
      <c r="B1625" s="3">
        <v>44851</v>
      </c>
      <c r="C1625" s="47" t="s">
        <v>2787</v>
      </c>
      <c r="E1625" s="7" t="s">
        <v>2788</v>
      </c>
      <c r="G1625" s="18">
        <v>39347</v>
      </c>
      <c r="J1625" s="11" t="s">
        <v>2789</v>
      </c>
      <c r="K1625" s="11" t="s">
        <v>1926</v>
      </c>
      <c r="O1625" s="4" t="s">
        <v>19</v>
      </c>
    </row>
    <row r="1626" spans="1:16" x14ac:dyDescent="0.25">
      <c r="B1626" s="3">
        <v>44854</v>
      </c>
      <c r="C1626" s="47" t="s">
        <v>2794</v>
      </c>
      <c r="E1626" s="7" t="s">
        <v>2797</v>
      </c>
      <c r="G1626" s="18">
        <v>39626</v>
      </c>
      <c r="K1626" s="11" t="s">
        <v>2795</v>
      </c>
      <c r="O1626" s="4" t="s">
        <v>19</v>
      </c>
    </row>
    <row r="1627" spans="1:16" x14ac:dyDescent="0.25">
      <c r="B1627" s="3">
        <v>44854</v>
      </c>
      <c r="C1627" s="47" t="s">
        <v>2798</v>
      </c>
      <c r="E1627" s="7" t="s">
        <v>2803</v>
      </c>
      <c r="K1627" s="11" t="s">
        <v>2813</v>
      </c>
      <c r="L1627" s="3">
        <v>44854</v>
      </c>
      <c r="O1627" s="4" t="s">
        <v>16</v>
      </c>
    </row>
    <row r="1628" spans="1:16" x14ac:dyDescent="0.25">
      <c r="B1628" s="3">
        <v>44854</v>
      </c>
      <c r="C1628" s="47" t="s">
        <v>2799</v>
      </c>
      <c r="D1628" s="11" t="s">
        <v>2892</v>
      </c>
      <c r="E1628" s="7" t="s">
        <v>2800</v>
      </c>
      <c r="G1628" s="18">
        <v>39772</v>
      </c>
      <c r="J1628" s="11" t="s">
        <v>2801</v>
      </c>
      <c r="K1628" s="11" t="s">
        <v>2802</v>
      </c>
      <c r="O1628" s="4" t="s">
        <v>19</v>
      </c>
    </row>
    <row r="1629" spans="1:16" x14ac:dyDescent="0.25">
      <c r="B1629" s="3">
        <v>44854</v>
      </c>
      <c r="C1629" s="47" t="s">
        <v>2883</v>
      </c>
      <c r="D1629" s="11" t="s">
        <v>3234</v>
      </c>
      <c r="E1629" s="7" t="s">
        <v>2808</v>
      </c>
      <c r="G1629" s="18">
        <v>38731</v>
      </c>
      <c r="J1629" s="11" t="s">
        <v>3058</v>
      </c>
      <c r="K1629" s="11" t="s">
        <v>1612</v>
      </c>
    </row>
    <row r="1630" spans="1:16" x14ac:dyDescent="0.25">
      <c r="B1630" s="3">
        <v>44860</v>
      </c>
      <c r="C1630" s="47" t="s">
        <v>2825</v>
      </c>
      <c r="D1630" s="11" t="s">
        <v>2929</v>
      </c>
      <c r="E1630" s="7" t="s">
        <v>2826</v>
      </c>
      <c r="G1630" s="18">
        <v>40013</v>
      </c>
      <c r="J1630" s="11" t="s">
        <v>2827</v>
      </c>
      <c r="K1630" s="11" t="s">
        <v>2828</v>
      </c>
      <c r="O1630" s="4" t="s">
        <v>19</v>
      </c>
    </row>
    <row r="1631" spans="1:16" x14ac:dyDescent="0.25">
      <c r="B1631" s="3">
        <v>44861</v>
      </c>
      <c r="C1631" s="47" t="s">
        <v>2835</v>
      </c>
      <c r="D1631" s="11" t="s">
        <v>3348</v>
      </c>
      <c r="E1631" s="7" t="s">
        <v>2832</v>
      </c>
      <c r="J1631" s="11" t="s">
        <v>2839</v>
      </c>
      <c r="K1631" s="11" t="s">
        <v>3349</v>
      </c>
    </row>
    <row r="1632" spans="1:16" x14ac:dyDescent="0.25">
      <c r="B1632" s="3">
        <v>44861</v>
      </c>
      <c r="C1632" s="47" t="s">
        <v>2841</v>
      </c>
      <c r="D1632" s="11" t="s">
        <v>2893</v>
      </c>
      <c r="E1632" s="7" t="s">
        <v>2834</v>
      </c>
      <c r="G1632" s="18">
        <v>38492</v>
      </c>
      <c r="J1632" s="11" t="s">
        <v>2838</v>
      </c>
      <c r="K1632" s="11" t="s">
        <v>2837</v>
      </c>
      <c r="P1632" s="3">
        <v>44862</v>
      </c>
    </row>
    <row r="1633" spans="2:15" x14ac:dyDescent="0.25">
      <c r="B1633" s="3">
        <v>44862</v>
      </c>
      <c r="C1633" s="47" t="s">
        <v>2842</v>
      </c>
      <c r="E1633" s="7" t="s">
        <v>2843</v>
      </c>
      <c r="G1633" s="18">
        <v>37759</v>
      </c>
      <c r="J1633" s="11" t="s">
        <v>2854</v>
      </c>
      <c r="K1633" s="11" t="s">
        <v>2844</v>
      </c>
      <c r="O1633" s="4" t="s">
        <v>2853</v>
      </c>
    </row>
    <row r="1634" spans="2:15" x14ac:dyDescent="0.25">
      <c r="B1634" s="3">
        <v>44862</v>
      </c>
      <c r="C1634" s="47" t="s">
        <v>2849</v>
      </c>
      <c r="D1634" s="11" t="s">
        <v>2893</v>
      </c>
      <c r="E1634" s="7" t="s">
        <v>2847</v>
      </c>
      <c r="G1634" s="18">
        <v>39180</v>
      </c>
      <c r="J1634" s="11" t="s">
        <v>2855</v>
      </c>
      <c r="K1634" s="11" t="s">
        <v>1917</v>
      </c>
    </row>
    <row r="1635" spans="2:15" x14ac:dyDescent="0.25">
      <c r="B1635" s="3">
        <v>44862</v>
      </c>
      <c r="C1635" s="47" t="s">
        <v>2836</v>
      </c>
      <c r="D1635" s="11" t="s">
        <v>2893</v>
      </c>
      <c r="E1635" s="7" t="s">
        <v>2850</v>
      </c>
      <c r="G1635" s="18">
        <v>29952</v>
      </c>
      <c r="J1635" s="11" t="s">
        <v>2851</v>
      </c>
      <c r="K1635" s="11" t="s">
        <v>2837</v>
      </c>
      <c r="L1635" s="3">
        <v>44862</v>
      </c>
      <c r="O1635" s="4" t="s">
        <v>2852</v>
      </c>
    </row>
    <row r="1636" spans="2:15" x14ac:dyDescent="0.25">
      <c r="B1636" s="3">
        <v>44863</v>
      </c>
      <c r="C1636" s="47" t="s">
        <v>2862</v>
      </c>
      <c r="E1636" s="7" t="s">
        <v>2858</v>
      </c>
      <c r="G1636" s="18">
        <v>37439</v>
      </c>
      <c r="J1636" s="11" t="s">
        <v>2860</v>
      </c>
      <c r="K1636" s="11" t="s">
        <v>2859</v>
      </c>
      <c r="L1636" s="3">
        <v>44863</v>
      </c>
      <c r="O1636" s="4" t="s">
        <v>2861</v>
      </c>
    </row>
    <row r="1637" spans="2:15" x14ac:dyDescent="0.25">
      <c r="B1637" s="3">
        <v>44863</v>
      </c>
      <c r="C1637" s="47" t="s">
        <v>2865</v>
      </c>
      <c r="E1637" s="7" t="s">
        <v>2864</v>
      </c>
      <c r="G1637" s="18">
        <v>29587</v>
      </c>
      <c r="J1637" s="11" t="s">
        <v>2867</v>
      </c>
      <c r="K1637" s="11" t="s">
        <v>2866</v>
      </c>
      <c r="L1637" s="3">
        <v>44863</v>
      </c>
      <c r="O1637" s="4" t="s">
        <v>19</v>
      </c>
    </row>
    <row r="1638" spans="2:15" x14ac:dyDescent="0.25">
      <c r="B1638" s="3">
        <v>44867</v>
      </c>
      <c r="C1638" s="47" t="s">
        <v>2874</v>
      </c>
      <c r="E1638" s="7" t="s">
        <v>2872</v>
      </c>
      <c r="K1638" s="11" t="s">
        <v>2875</v>
      </c>
      <c r="L1638" s="3">
        <v>44867</v>
      </c>
    </row>
    <row r="1639" spans="2:15" x14ac:dyDescent="0.25">
      <c r="B1639" s="4" t="s">
        <v>2879</v>
      </c>
      <c r="C1639" s="47" t="s">
        <v>2880</v>
      </c>
      <c r="D1639" s="11" t="s">
        <v>2891</v>
      </c>
      <c r="E1639" s="7" t="s">
        <v>2878</v>
      </c>
      <c r="G1639" s="18">
        <v>25934</v>
      </c>
      <c r="J1639" s="11" t="s">
        <v>2881</v>
      </c>
      <c r="L1639" s="3">
        <v>44868</v>
      </c>
      <c r="O1639" s="4" t="s">
        <v>2882</v>
      </c>
    </row>
    <row r="1640" spans="2:15" x14ac:dyDescent="0.25">
      <c r="B1640" s="3">
        <v>44872</v>
      </c>
      <c r="C1640" s="47" t="s">
        <v>2912</v>
      </c>
      <c r="D1640" s="11" t="s">
        <v>2943</v>
      </c>
      <c r="E1640" s="7" t="s">
        <v>2935</v>
      </c>
      <c r="G1640" s="18">
        <v>38281</v>
      </c>
      <c r="K1640" s="11" t="s">
        <v>2944</v>
      </c>
      <c r="O1640" s="4" t="s">
        <v>19</v>
      </c>
    </row>
    <row r="1641" spans="2:15" x14ac:dyDescent="0.25">
      <c r="B1641" s="3">
        <v>44875</v>
      </c>
      <c r="C1641" s="47" t="s">
        <v>2911</v>
      </c>
      <c r="D1641" s="11" t="s">
        <v>2934</v>
      </c>
      <c r="E1641" s="7" t="s">
        <v>2915</v>
      </c>
      <c r="G1641" s="18">
        <v>39674</v>
      </c>
      <c r="J1641" s="11" t="s">
        <v>2916</v>
      </c>
      <c r="K1641" s="11" t="s">
        <v>1969</v>
      </c>
    </row>
    <row r="1642" spans="2:15" x14ac:dyDescent="0.25">
      <c r="B1642" s="3">
        <v>44876</v>
      </c>
      <c r="C1642" s="47" t="s">
        <v>2920</v>
      </c>
      <c r="D1642" s="11" t="s">
        <v>2958</v>
      </c>
      <c r="E1642" s="7" t="s">
        <v>2942</v>
      </c>
      <c r="G1642" s="18">
        <v>38088</v>
      </c>
      <c r="J1642" s="11" t="s">
        <v>2960</v>
      </c>
      <c r="K1642" s="11" t="s">
        <v>2921</v>
      </c>
      <c r="L1642" s="3">
        <v>44876</v>
      </c>
      <c r="O1642" s="4" t="s">
        <v>2959</v>
      </c>
    </row>
    <row r="1643" spans="2:15" x14ac:dyDescent="0.25">
      <c r="B1643" s="3">
        <v>44879</v>
      </c>
      <c r="C1643" s="47" t="s">
        <v>2937</v>
      </c>
      <c r="D1643" s="11" t="s">
        <v>3463</v>
      </c>
      <c r="E1643" s="7" t="s">
        <v>2939</v>
      </c>
      <c r="G1643" s="18">
        <v>41129</v>
      </c>
      <c r="J1643" s="11" t="s">
        <v>2940</v>
      </c>
      <c r="K1643" s="11" t="s">
        <v>2938</v>
      </c>
    </row>
    <row r="1644" spans="2:15" x14ac:dyDescent="0.25">
      <c r="B1644" s="3">
        <v>44880</v>
      </c>
      <c r="C1644" s="47" t="s">
        <v>2946</v>
      </c>
      <c r="E1644" s="7" t="s">
        <v>2947</v>
      </c>
      <c r="G1644" s="18">
        <v>31260</v>
      </c>
      <c r="J1644" s="11" t="s">
        <v>2948</v>
      </c>
      <c r="L1644" s="3">
        <v>44880</v>
      </c>
      <c r="O1644" s="4" t="s">
        <v>2949</v>
      </c>
    </row>
    <row r="1645" spans="2:15" x14ac:dyDescent="0.25">
      <c r="B1645" s="3">
        <v>44880</v>
      </c>
      <c r="C1645" s="47" t="s">
        <v>2979</v>
      </c>
      <c r="E1645" s="7" t="s">
        <v>2950</v>
      </c>
      <c r="G1645" s="18">
        <v>39220</v>
      </c>
      <c r="J1645" s="11" t="s">
        <v>2953</v>
      </c>
      <c r="K1645" s="11" t="s">
        <v>2954</v>
      </c>
      <c r="O1645" s="4" t="s">
        <v>19</v>
      </c>
    </row>
    <row r="1646" spans="2:15" x14ac:dyDescent="0.25">
      <c r="B1646" s="3">
        <v>44881</v>
      </c>
      <c r="C1646" s="47" t="s">
        <v>2961</v>
      </c>
      <c r="D1646" s="11" t="s">
        <v>2978</v>
      </c>
      <c r="E1646" s="7" t="s">
        <v>2962</v>
      </c>
      <c r="G1646" s="18">
        <v>29281</v>
      </c>
      <c r="K1646" s="11" t="s">
        <v>2963</v>
      </c>
      <c r="L1646" s="3">
        <v>44881</v>
      </c>
      <c r="O1646" s="4" t="s">
        <v>14</v>
      </c>
    </row>
    <row r="1647" spans="2:15" x14ac:dyDescent="0.25">
      <c r="B1647" s="3">
        <v>44881</v>
      </c>
      <c r="C1647" s="47" t="s">
        <v>2969</v>
      </c>
      <c r="E1647" s="7" t="s">
        <v>2970</v>
      </c>
      <c r="G1647" s="18">
        <v>25638</v>
      </c>
      <c r="J1647" s="11" t="s">
        <v>2971</v>
      </c>
      <c r="K1647" s="11" t="s">
        <v>2968</v>
      </c>
      <c r="L1647" s="3">
        <v>44881</v>
      </c>
      <c r="O1647" s="4" t="s">
        <v>2972</v>
      </c>
    </row>
    <row r="1648" spans="2:15" x14ac:dyDescent="0.25">
      <c r="C1648" s="47" t="s">
        <v>2990</v>
      </c>
      <c r="E1648" s="7" t="s">
        <v>2810</v>
      </c>
      <c r="G1648" s="18">
        <v>32874</v>
      </c>
      <c r="K1648" s="11" t="s">
        <v>2991</v>
      </c>
      <c r="L1648" s="3"/>
    </row>
    <row r="1649" spans="2:16" x14ac:dyDescent="0.25">
      <c r="B1649" s="3">
        <v>44887</v>
      </c>
      <c r="C1649" s="47" t="s">
        <v>2993</v>
      </c>
      <c r="E1649" s="7" t="s">
        <v>2988</v>
      </c>
      <c r="G1649" s="18">
        <v>38053</v>
      </c>
      <c r="J1649" s="11" t="s">
        <v>2994</v>
      </c>
      <c r="K1649" s="11" t="s">
        <v>2995</v>
      </c>
      <c r="L1649" s="3">
        <v>44887</v>
      </c>
      <c r="P1649" s="4" t="s">
        <v>16</v>
      </c>
    </row>
    <row r="1650" spans="2:16" x14ac:dyDescent="0.25">
      <c r="B1650" s="3">
        <v>44888</v>
      </c>
      <c r="C1650" s="47" t="s">
        <v>2998</v>
      </c>
      <c r="D1650" s="11" t="s">
        <v>3119</v>
      </c>
      <c r="E1650" s="7" t="s">
        <v>2999</v>
      </c>
      <c r="G1650" s="18">
        <v>37489</v>
      </c>
      <c r="J1650" s="11" t="s">
        <v>3000</v>
      </c>
      <c r="K1650" s="11" t="s">
        <v>3118</v>
      </c>
      <c r="L1650" s="3">
        <v>44888</v>
      </c>
      <c r="O1650" s="4" t="s">
        <v>3001</v>
      </c>
    </row>
    <row r="1651" spans="2:16" x14ac:dyDescent="0.25">
      <c r="B1651" s="3">
        <v>44889</v>
      </c>
      <c r="C1651" s="47" t="s">
        <v>3008</v>
      </c>
      <c r="D1651" s="11" t="s">
        <v>3010</v>
      </c>
      <c r="E1651" s="7" t="s">
        <v>3009</v>
      </c>
      <c r="L1651" s="3">
        <v>44889</v>
      </c>
      <c r="O1651" s="4" t="s">
        <v>19</v>
      </c>
    </row>
    <row r="1652" spans="2:16" x14ac:dyDescent="0.25">
      <c r="B1652" s="3">
        <v>44893</v>
      </c>
      <c r="C1652" s="47" t="s">
        <v>3014</v>
      </c>
      <c r="D1652" s="11" t="s">
        <v>3033</v>
      </c>
      <c r="E1652" s="7" t="s">
        <v>3013</v>
      </c>
      <c r="G1652" s="18">
        <v>38353</v>
      </c>
      <c r="J1652" s="11" t="s">
        <v>3015</v>
      </c>
      <c r="K1652" s="11" t="s">
        <v>1350</v>
      </c>
      <c r="L1652" s="4" t="s">
        <v>15</v>
      </c>
      <c r="O1652" s="4" t="s">
        <v>3016</v>
      </c>
    </row>
    <row r="1653" spans="2:16" x14ac:dyDescent="0.25">
      <c r="B1653" s="3">
        <v>44894</v>
      </c>
      <c r="C1653" s="47" t="s">
        <v>3023</v>
      </c>
      <c r="E1653" s="7" t="s">
        <v>3021</v>
      </c>
      <c r="G1653" s="18">
        <v>36046</v>
      </c>
      <c r="J1653" s="11" t="s">
        <v>3024</v>
      </c>
      <c r="K1653" s="11" t="s">
        <v>3022</v>
      </c>
      <c r="L1653" s="3">
        <v>44894</v>
      </c>
      <c r="O1653" s="4" t="s">
        <v>3025</v>
      </c>
    </row>
    <row r="1654" spans="2:16" x14ac:dyDescent="0.25">
      <c r="B1654" s="3">
        <v>44896</v>
      </c>
      <c r="C1654" s="47" t="s">
        <v>3038</v>
      </c>
      <c r="D1654" s="11" t="s">
        <v>3044</v>
      </c>
      <c r="E1654" s="7" t="s">
        <v>3032</v>
      </c>
      <c r="G1654" s="18">
        <v>36892</v>
      </c>
      <c r="J1654" s="11" t="s">
        <v>3042</v>
      </c>
      <c r="K1654" s="11" t="s">
        <v>3043</v>
      </c>
      <c r="L1654" s="3">
        <v>44894</v>
      </c>
      <c r="O1654" s="4" t="s">
        <v>19</v>
      </c>
      <c r="P1654" s="4" t="s">
        <v>19</v>
      </c>
    </row>
    <row r="1655" spans="2:16" x14ac:dyDescent="0.25">
      <c r="B1655" s="3">
        <v>44898</v>
      </c>
      <c r="C1655" s="47" t="s">
        <v>3039</v>
      </c>
      <c r="E1655" s="7" t="s">
        <v>3052</v>
      </c>
      <c r="K1655" s="11" t="s">
        <v>3053</v>
      </c>
      <c r="L1655" s="3">
        <v>44898</v>
      </c>
      <c r="P1655" s="4" t="s">
        <v>19</v>
      </c>
    </row>
    <row r="1656" spans="2:16" x14ac:dyDescent="0.25">
      <c r="B1656" s="3">
        <v>44900</v>
      </c>
      <c r="C1656" s="47" t="s">
        <v>3048</v>
      </c>
      <c r="D1656" s="11" t="s">
        <v>3059</v>
      </c>
      <c r="E1656" s="7" t="s">
        <v>3047</v>
      </c>
      <c r="G1656" s="18">
        <v>29221</v>
      </c>
      <c r="J1656" s="11" t="s">
        <v>3050</v>
      </c>
      <c r="K1656" s="11" t="s">
        <v>3049</v>
      </c>
      <c r="L1656" s="3">
        <v>44900</v>
      </c>
      <c r="O1656" s="4" t="s">
        <v>3051</v>
      </c>
      <c r="P1656" s="4" t="s">
        <v>19</v>
      </c>
    </row>
    <row r="1657" spans="2:16" x14ac:dyDescent="0.25">
      <c r="B1657" s="3">
        <v>44901</v>
      </c>
      <c r="C1657" s="47" t="s">
        <v>3054</v>
      </c>
      <c r="D1657" s="11" t="s">
        <v>3083</v>
      </c>
      <c r="E1657" s="7" t="s">
        <v>3055</v>
      </c>
      <c r="G1657" s="18">
        <v>37887</v>
      </c>
      <c r="J1657" s="11" t="s">
        <v>3057</v>
      </c>
      <c r="K1657" s="43" t="s">
        <v>3084</v>
      </c>
      <c r="L1657" s="3">
        <v>44901</v>
      </c>
      <c r="O1657" s="4" t="s">
        <v>19</v>
      </c>
      <c r="P1657" s="4" t="s">
        <v>19</v>
      </c>
    </row>
    <row r="1658" spans="2:16" x14ac:dyDescent="0.25">
      <c r="B1658" s="3">
        <v>44903</v>
      </c>
      <c r="C1658" s="47" t="s">
        <v>3062</v>
      </c>
      <c r="D1658" s="11" t="s">
        <v>3136</v>
      </c>
      <c r="E1658" s="7" t="s">
        <v>1003</v>
      </c>
      <c r="G1658" s="18">
        <v>33726</v>
      </c>
      <c r="J1658" s="11" t="s">
        <v>3063</v>
      </c>
      <c r="K1658" s="11" t="s">
        <v>3064</v>
      </c>
      <c r="L1658" s="3">
        <v>44903</v>
      </c>
    </row>
    <row r="1659" spans="2:16" x14ac:dyDescent="0.25">
      <c r="B1659" s="3">
        <v>44904</v>
      </c>
      <c r="C1659" s="47" t="s">
        <v>3069</v>
      </c>
      <c r="D1659" s="11" t="s">
        <v>3091</v>
      </c>
      <c r="E1659" s="7" t="s">
        <v>3127</v>
      </c>
      <c r="G1659" s="18">
        <v>32883</v>
      </c>
      <c r="J1659" s="11" t="s">
        <v>3128</v>
      </c>
      <c r="K1659" s="11" t="s">
        <v>3129</v>
      </c>
      <c r="L1659" s="3">
        <v>44904</v>
      </c>
    </row>
    <row r="1660" spans="2:16" x14ac:dyDescent="0.25">
      <c r="B1660" s="3">
        <v>44908</v>
      </c>
      <c r="C1660" s="47" t="s">
        <v>3089</v>
      </c>
      <c r="E1660" s="7" t="s">
        <v>3092</v>
      </c>
      <c r="G1660" s="18">
        <v>28872</v>
      </c>
      <c r="J1660" s="11" t="s">
        <v>3093</v>
      </c>
      <c r="K1660" s="11" t="s">
        <v>3094</v>
      </c>
      <c r="L1660" s="3">
        <v>44908</v>
      </c>
      <c r="O1660" s="4" t="s">
        <v>16</v>
      </c>
    </row>
    <row r="1661" spans="2:16" x14ac:dyDescent="0.25">
      <c r="B1661" s="3">
        <v>44908</v>
      </c>
      <c r="C1661" s="47" t="s">
        <v>3090</v>
      </c>
      <c r="E1661" s="7" t="s">
        <v>3095</v>
      </c>
      <c r="G1661" s="18">
        <v>19798</v>
      </c>
      <c r="J1661" s="11" t="s">
        <v>3096</v>
      </c>
      <c r="K1661" s="11" t="s">
        <v>3526</v>
      </c>
      <c r="L1661" s="3">
        <v>44908</v>
      </c>
      <c r="O1661" s="4" t="s">
        <v>14</v>
      </c>
    </row>
    <row r="1662" spans="2:16" x14ac:dyDescent="0.25">
      <c r="B1662" s="3">
        <v>44908</v>
      </c>
      <c r="C1662" s="47" t="s">
        <v>3101</v>
      </c>
      <c r="E1662" s="7" t="s">
        <v>3100</v>
      </c>
      <c r="G1662" s="18">
        <v>37715</v>
      </c>
      <c r="K1662" s="11" t="s">
        <v>3134</v>
      </c>
    </row>
    <row r="1663" spans="2:16" x14ac:dyDescent="0.25">
      <c r="B1663" s="3">
        <v>44911</v>
      </c>
      <c r="C1663" s="47" t="s">
        <v>3112</v>
      </c>
      <c r="E1663" s="7" t="s">
        <v>3111</v>
      </c>
      <c r="G1663" s="18">
        <v>31463</v>
      </c>
      <c r="J1663" s="11" t="s">
        <v>3133</v>
      </c>
      <c r="K1663" s="11" t="s">
        <v>3113</v>
      </c>
      <c r="L1663" s="3">
        <v>44911</v>
      </c>
      <c r="O1663" s="4" t="s">
        <v>16</v>
      </c>
    </row>
    <row r="1664" spans="2:16" x14ac:dyDescent="0.25">
      <c r="B1664" s="3">
        <v>44911</v>
      </c>
      <c r="C1664" s="47" t="s">
        <v>3116</v>
      </c>
      <c r="D1664" s="11" t="s">
        <v>3136</v>
      </c>
      <c r="E1664" s="7" t="s">
        <v>192</v>
      </c>
      <c r="K1664" s="11" t="s">
        <v>3117</v>
      </c>
      <c r="O1664" s="4" t="s">
        <v>16</v>
      </c>
    </row>
    <row r="1665" spans="2:15" x14ac:dyDescent="0.25">
      <c r="B1665" s="3">
        <v>44912</v>
      </c>
      <c r="C1665" s="47" t="s">
        <v>3125</v>
      </c>
      <c r="D1665" s="11" t="s">
        <v>3156</v>
      </c>
      <c r="E1665" s="7" t="s">
        <v>3124</v>
      </c>
      <c r="G1665" s="18">
        <v>33002</v>
      </c>
      <c r="J1665" s="11" t="s">
        <v>3138</v>
      </c>
      <c r="K1665" s="11" t="s">
        <v>3126</v>
      </c>
      <c r="L1665" s="3">
        <v>44912</v>
      </c>
      <c r="O1665" s="4" t="s">
        <v>16</v>
      </c>
    </row>
    <row r="1666" spans="2:15" x14ac:dyDescent="0.25">
      <c r="B1666" s="3">
        <v>44922</v>
      </c>
      <c r="C1666" s="11" t="s">
        <v>3141</v>
      </c>
      <c r="D1666" s="11" t="s">
        <v>3156</v>
      </c>
      <c r="E1666" s="7" t="s">
        <v>3140</v>
      </c>
      <c r="G1666" s="18">
        <v>38636</v>
      </c>
      <c r="J1666" s="11" t="s">
        <v>3142</v>
      </c>
      <c r="K1666" s="11" t="s">
        <v>3143</v>
      </c>
      <c r="O1666" s="4" t="s">
        <v>19</v>
      </c>
    </row>
    <row r="1667" spans="2:15" x14ac:dyDescent="0.25">
      <c r="B1667" s="3">
        <v>44923</v>
      </c>
      <c r="C1667" s="11" t="s">
        <v>3144</v>
      </c>
      <c r="D1667" s="11" t="s">
        <v>3157</v>
      </c>
      <c r="E1667" s="7" t="s">
        <v>3145</v>
      </c>
      <c r="G1667" s="18">
        <v>44696</v>
      </c>
      <c r="J1667" s="11" t="s">
        <v>3146</v>
      </c>
      <c r="K1667" s="11" t="s">
        <v>3147</v>
      </c>
      <c r="L1667" s="3">
        <v>44923</v>
      </c>
      <c r="O1667" s="4" t="s">
        <v>3148</v>
      </c>
    </row>
    <row r="1668" spans="2:15" x14ac:dyDescent="0.25">
      <c r="B1668" s="3">
        <v>44933</v>
      </c>
      <c r="C1668" s="11" t="s">
        <v>3149</v>
      </c>
      <c r="D1668" s="11" t="s">
        <v>3168</v>
      </c>
      <c r="E1668" s="7" t="s">
        <v>3151</v>
      </c>
      <c r="G1668" s="18">
        <v>28406</v>
      </c>
      <c r="J1668" s="11" t="s">
        <v>3167</v>
      </c>
      <c r="K1668" s="11" t="s">
        <v>3150</v>
      </c>
      <c r="O1668" s="4" t="s">
        <v>16</v>
      </c>
    </row>
    <row r="1669" spans="2:15" x14ac:dyDescent="0.25">
      <c r="B1669" s="3">
        <v>44936</v>
      </c>
      <c r="C1669" s="11" t="s">
        <v>3174</v>
      </c>
      <c r="D1669" s="11" t="s">
        <v>3175</v>
      </c>
      <c r="E1669" s="7" t="s">
        <v>3176</v>
      </c>
      <c r="G1669" s="18">
        <v>37963</v>
      </c>
      <c r="K1669" s="11" t="s">
        <v>3177</v>
      </c>
      <c r="L1669" s="3">
        <v>44573</v>
      </c>
    </row>
    <row r="1670" spans="2:15" x14ac:dyDescent="0.25">
      <c r="B1670" s="3">
        <v>44949</v>
      </c>
      <c r="C1670" s="11" t="s">
        <v>3195</v>
      </c>
      <c r="D1670" s="11" t="s">
        <v>3226</v>
      </c>
      <c r="E1670" s="7" t="s">
        <v>3196</v>
      </c>
      <c r="G1670" s="18">
        <v>29640</v>
      </c>
      <c r="J1670" s="11" t="s">
        <v>3197</v>
      </c>
      <c r="K1670" s="11" t="s">
        <v>3198</v>
      </c>
      <c r="L1670" s="3">
        <v>44949</v>
      </c>
      <c r="O1670" s="4" t="s">
        <v>16</v>
      </c>
    </row>
    <row r="1671" spans="2:15" x14ac:dyDescent="0.25">
      <c r="B1671" s="3">
        <v>44951</v>
      </c>
      <c r="C1671" s="11" t="s">
        <v>3205</v>
      </c>
      <c r="D1671" s="11" t="s">
        <v>3253</v>
      </c>
      <c r="E1671" s="7" t="s">
        <v>3206</v>
      </c>
      <c r="G1671" s="18">
        <v>23448</v>
      </c>
      <c r="J1671" s="11" t="s">
        <v>3207</v>
      </c>
      <c r="K1671" s="11" t="s">
        <v>3208</v>
      </c>
      <c r="L1671" s="3">
        <v>44951</v>
      </c>
      <c r="O1671" s="4" t="s">
        <v>16</v>
      </c>
    </row>
    <row r="1672" spans="2:15" x14ac:dyDescent="0.25">
      <c r="B1672" s="3">
        <v>44953</v>
      </c>
      <c r="C1672" s="11" t="s">
        <v>3219</v>
      </c>
      <c r="D1672" s="11" t="s">
        <v>3243</v>
      </c>
      <c r="E1672" s="7" t="s">
        <v>3221</v>
      </c>
      <c r="G1672" s="18">
        <v>36992</v>
      </c>
      <c r="J1672" s="11" t="s">
        <v>3222</v>
      </c>
      <c r="K1672" s="11" t="s">
        <v>3244</v>
      </c>
    </row>
    <row r="1673" spans="2:15" x14ac:dyDescent="0.25">
      <c r="B1673" s="3">
        <v>44953</v>
      </c>
      <c r="C1673" s="11" t="s">
        <v>3220</v>
      </c>
      <c r="D1673" s="11" t="s">
        <v>3234</v>
      </c>
      <c r="E1673" s="7" t="s">
        <v>3223</v>
      </c>
      <c r="G1673" s="18">
        <v>15846</v>
      </c>
      <c r="J1673" s="11" t="s">
        <v>3224</v>
      </c>
      <c r="K1673" s="11" t="s">
        <v>3225</v>
      </c>
      <c r="O1673" s="4" t="s">
        <v>16</v>
      </c>
    </row>
    <row r="1674" spans="2:15" x14ac:dyDescent="0.25">
      <c r="B1674" s="3">
        <v>44957</v>
      </c>
      <c r="C1674" s="11" t="s">
        <v>3239</v>
      </c>
      <c r="D1674" s="11" t="s">
        <v>3253</v>
      </c>
      <c r="E1674" s="7" t="s">
        <v>3238</v>
      </c>
      <c r="G1674" s="18">
        <v>34700</v>
      </c>
      <c r="J1674" s="11" t="s">
        <v>3240</v>
      </c>
      <c r="K1674" s="11" t="s">
        <v>3241</v>
      </c>
      <c r="L1674" s="3">
        <v>44957</v>
      </c>
      <c r="M1674" s="3">
        <v>44957</v>
      </c>
      <c r="O1674" s="4" t="s">
        <v>16</v>
      </c>
    </row>
    <row r="1675" spans="2:15" x14ac:dyDescent="0.25">
      <c r="B1675" s="3">
        <v>44959</v>
      </c>
      <c r="C1675" s="11" t="s">
        <v>3257</v>
      </c>
      <c r="D1675" s="11" t="s">
        <v>3261</v>
      </c>
      <c r="E1675" s="7" t="s">
        <v>3258</v>
      </c>
      <c r="G1675" s="18">
        <v>24473</v>
      </c>
      <c r="J1675" s="11" t="s">
        <v>3260</v>
      </c>
      <c r="K1675" s="11" t="s">
        <v>3259</v>
      </c>
      <c r="L1675" s="3">
        <v>44960</v>
      </c>
      <c r="O1675" s="4" t="s">
        <v>16</v>
      </c>
    </row>
    <row r="1676" spans="2:15" x14ac:dyDescent="0.25">
      <c r="B1676" s="3">
        <v>44989</v>
      </c>
      <c r="C1676" s="11" t="s">
        <v>3264</v>
      </c>
      <c r="D1676" s="11" t="s">
        <v>3294</v>
      </c>
      <c r="E1676" s="7" t="s">
        <v>3263</v>
      </c>
      <c r="G1676" s="18">
        <v>28856</v>
      </c>
      <c r="J1676" s="11" t="s">
        <v>3265</v>
      </c>
      <c r="K1676" s="11" t="s">
        <v>1875</v>
      </c>
      <c r="L1676" s="3">
        <v>44961</v>
      </c>
      <c r="O1676" s="4" t="s">
        <v>14</v>
      </c>
    </row>
    <row r="1677" spans="2:15" x14ac:dyDescent="0.25">
      <c r="B1677" s="3">
        <v>44989</v>
      </c>
      <c r="C1677" s="11" t="s">
        <v>3270</v>
      </c>
      <c r="D1677" s="11" t="s">
        <v>3277</v>
      </c>
      <c r="E1677" s="7" t="s">
        <v>3269</v>
      </c>
      <c r="G1677" s="18">
        <v>37110</v>
      </c>
      <c r="J1677" s="11" t="s">
        <v>3271</v>
      </c>
      <c r="K1677" s="11" t="s">
        <v>3272</v>
      </c>
      <c r="L1677" s="3">
        <v>44961</v>
      </c>
      <c r="O1677" s="4" t="s">
        <v>19</v>
      </c>
    </row>
    <row r="1678" spans="2:15" x14ac:dyDescent="0.25">
      <c r="B1678" s="3">
        <v>44979</v>
      </c>
      <c r="C1678" s="11" t="s">
        <v>3302</v>
      </c>
      <c r="D1678" s="11" t="s">
        <v>3315</v>
      </c>
      <c r="E1678" s="7" t="s">
        <v>3303</v>
      </c>
      <c r="G1678" s="18">
        <v>34829</v>
      </c>
      <c r="J1678" s="11" t="s">
        <v>3304</v>
      </c>
      <c r="K1678" s="11" t="s">
        <v>3316</v>
      </c>
      <c r="L1678" s="3">
        <v>44961</v>
      </c>
      <c r="O1678" s="4" t="s">
        <v>16</v>
      </c>
    </row>
    <row r="1679" spans="2:15" x14ac:dyDescent="0.25">
      <c r="B1679" s="3">
        <v>44981</v>
      </c>
      <c r="C1679" s="11" t="s">
        <v>3323</v>
      </c>
      <c r="D1679" s="11" t="s">
        <v>3353</v>
      </c>
      <c r="E1679" s="7" t="s">
        <v>3324</v>
      </c>
      <c r="G1679" s="18">
        <v>24602</v>
      </c>
      <c r="J1679" s="11" t="s">
        <v>3329</v>
      </c>
      <c r="K1679" s="11" t="s">
        <v>3360</v>
      </c>
      <c r="O1679" s="4" t="s">
        <v>16</v>
      </c>
    </row>
    <row r="1680" spans="2:15" x14ac:dyDescent="0.25">
      <c r="B1680" s="3">
        <v>44981</v>
      </c>
      <c r="C1680" s="11" t="s">
        <v>3319</v>
      </c>
      <c r="D1680" s="11" t="s">
        <v>3341</v>
      </c>
      <c r="E1680" s="7" t="s">
        <v>3320</v>
      </c>
      <c r="G1680" s="18">
        <v>36043</v>
      </c>
      <c r="J1680" s="11" t="s">
        <v>3330</v>
      </c>
      <c r="K1680" s="11" t="s">
        <v>3342</v>
      </c>
      <c r="L1680" s="3">
        <v>44981</v>
      </c>
      <c r="M1680" s="3">
        <v>44981</v>
      </c>
      <c r="O1680" s="4" t="s">
        <v>16</v>
      </c>
    </row>
    <row r="1681" spans="2:15" x14ac:dyDescent="0.25">
      <c r="B1681" s="3">
        <v>44981</v>
      </c>
      <c r="C1681" s="11" t="s">
        <v>3325</v>
      </c>
      <c r="D1681" s="11" t="s">
        <v>3348</v>
      </c>
      <c r="E1681" s="7" t="s">
        <v>3326</v>
      </c>
      <c r="G1681" s="18">
        <v>26863</v>
      </c>
      <c r="J1681" s="11" t="s">
        <v>3328</v>
      </c>
      <c r="K1681" s="11" t="s">
        <v>3327</v>
      </c>
      <c r="O1681" s="4" t="s">
        <v>16</v>
      </c>
    </row>
    <row r="1682" spans="2:15" x14ac:dyDescent="0.25">
      <c r="B1682" s="3">
        <v>44986</v>
      </c>
      <c r="C1682" s="11" t="s">
        <v>3054</v>
      </c>
      <c r="D1682" s="11" t="s">
        <v>3353</v>
      </c>
      <c r="E1682" s="7" t="s">
        <v>3352</v>
      </c>
      <c r="O1682" s="4" t="s">
        <v>16</v>
      </c>
    </row>
    <row r="1683" spans="2:15" x14ac:dyDescent="0.25">
      <c r="B1683" s="3">
        <v>44986</v>
      </c>
      <c r="C1683" s="11" t="s">
        <v>3354</v>
      </c>
      <c r="D1683" s="11" t="s">
        <v>3353</v>
      </c>
      <c r="E1683" s="7" t="s">
        <v>3355</v>
      </c>
      <c r="J1683" s="11" t="s">
        <v>3364</v>
      </c>
      <c r="K1683" s="11" t="s">
        <v>3363</v>
      </c>
      <c r="O1683" s="4" t="s">
        <v>16</v>
      </c>
    </row>
    <row r="1684" spans="2:15" x14ac:dyDescent="0.25">
      <c r="B1684" s="3">
        <v>44987</v>
      </c>
      <c r="C1684" s="11" t="s">
        <v>3356</v>
      </c>
      <c r="D1684" s="11" t="s">
        <v>3366</v>
      </c>
      <c r="E1684" s="7" t="s">
        <v>3357</v>
      </c>
      <c r="G1684" s="18">
        <v>35291</v>
      </c>
      <c r="J1684" s="11" t="s">
        <v>3358</v>
      </c>
      <c r="K1684" s="11" t="s">
        <v>3359</v>
      </c>
      <c r="L1684" s="3">
        <v>44987</v>
      </c>
      <c r="M1684" s="3">
        <v>44987</v>
      </c>
      <c r="O1684" s="4" t="s">
        <v>16</v>
      </c>
    </row>
    <row r="1685" spans="2:15" x14ac:dyDescent="0.25">
      <c r="B1685" s="3">
        <v>44989</v>
      </c>
      <c r="C1685" s="11" t="s">
        <v>3367</v>
      </c>
      <c r="D1685" s="11" t="s">
        <v>3395</v>
      </c>
      <c r="E1685" s="7" t="s">
        <v>3368</v>
      </c>
      <c r="G1685" s="18">
        <v>23011</v>
      </c>
      <c r="J1685" s="11" t="s">
        <v>3369</v>
      </c>
      <c r="K1685" s="11" t="s">
        <v>3370</v>
      </c>
      <c r="L1685" s="3">
        <v>44989</v>
      </c>
      <c r="O1685" s="4" t="s">
        <v>16</v>
      </c>
    </row>
    <row r="1686" spans="2:15" x14ac:dyDescent="0.25">
      <c r="B1686" s="3">
        <v>44991</v>
      </c>
      <c r="C1686" s="11" t="s">
        <v>3382</v>
      </c>
      <c r="D1686" s="11" t="s">
        <v>3399</v>
      </c>
      <c r="E1686" s="7" t="s">
        <v>3383</v>
      </c>
      <c r="J1686" s="11" t="s">
        <v>3384</v>
      </c>
      <c r="K1686" s="11" t="s">
        <v>3385</v>
      </c>
      <c r="L1686" s="3">
        <v>44991</v>
      </c>
      <c r="O1686" s="4" t="s">
        <v>16</v>
      </c>
    </row>
    <row r="1687" spans="2:15" x14ac:dyDescent="0.25">
      <c r="B1687" s="3">
        <v>45000</v>
      </c>
      <c r="C1687" s="11" t="s">
        <v>3417</v>
      </c>
      <c r="E1687" s="7" t="s">
        <v>3418</v>
      </c>
      <c r="K1687" s="11" t="s">
        <v>3419</v>
      </c>
      <c r="L1687" s="3">
        <v>45000</v>
      </c>
      <c r="O1687" s="4" t="s">
        <v>16</v>
      </c>
    </row>
    <row r="1688" spans="2:15" x14ac:dyDescent="0.25">
      <c r="B1688" s="3">
        <v>45000</v>
      </c>
      <c r="C1688" s="11" t="s">
        <v>3420</v>
      </c>
      <c r="D1688" s="11" t="s">
        <v>3427</v>
      </c>
      <c r="E1688" s="7" t="s">
        <v>3426</v>
      </c>
      <c r="G1688" s="18">
        <v>37931</v>
      </c>
      <c r="J1688" s="11" t="s">
        <v>3428</v>
      </c>
      <c r="K1688" s="11" t="s">
        <v>3421</v>
      </c>
      <c r="L1688" s="4" t="s">
        <v>19</v>
      </c>
      <c r="O1688" s="4" t="s">
        <v>16</v>
      </c>
    </row>
    <row r="1689" spans="2:15" x14ac:dyDescent="0.25">
      <c r="B1689" s="3">
        <v>45003</v>
      </c>
      <c r="C1689" s="11" t="s">
        <v>3434</v>
      </c>
      <c r="D1689" s="11" t="s">
        <v>3436</v>
      </c>
      <c r="E1689" s="26" t="s">
        <v>1841</v>
      </c>
      <c r="G1689" s="18">
        <v>37854</v>
      </c>
      <c r="K1689" s="11" t="s">
        <v>3437</v>
      </c>
      <c r="L1689" s="4" t="s">
        <v>19</v>
      </c>
    </row>
    <row r="1690" spans="2:15" x14ac:dyDescent="0.25">
      <c r="B1690" s="3">
        <v>45007</v>
      </c>
      <c r="C1690" s="11" t="s">
        <v>3444</v>
      </c>
      <c r="D1690" s="11" t="s">
        <v>3475</v>
      </c>
      <c r="E1690" s="48" t="s">
        <v>3445</v>
      </c>
      <c r="K1690" s="11" t="s">
        <v>3477</v>
      </c>
    </row>
    <row r="1691" spans="2:15" x14ac:dyDescent="0.25">
      <c r="B1691" s="3">
        <v>45008</v>
      </c>
      <c r="C1691" s="11" t="s">
        <v>3448</v>
      </c>
      <c r="D1691" s="11" t="s">
        <v>3467</v>
      </c>
      <c r="E1691" s="7" t="s">
        <v>3451</v>
      </c>
      <c r="G1691" s="18">
        <v>28126</v>
      </c>
      <c r="J1691" s="11" t="s">
        <v>3450</v>
      </c>
      <c r="K1691" s="11" t="s">
        <v>3449</v>
      </c>
      <c r="L1691" s="3">
        <v>45008</v>
      </c>
      <c r="O1691" s="4" t="s">
        <v>16</v>
      </c>
    </row>
    <row r="1692" spans="2:15" x14ac:dyDescent="0.25">
      <c r="B1692" s="3">
        <v>45008</v>
      </c>
      <c r="C1692" s="11" t="s">
        <v>3457</v>
      </c>
      <c r="D1692" s="11" t="s">
        <v>3475</v>
      </c>
      <c r="E1692" s="7" t="s">
        <v>3458</v>
      </c>
      <c r="G1692" s="18">
        <v>18629</v>
      </c>
      <c r="J1692" s="11" t="s">
        <v>3459</v>
      </c>
      <c r="K1692">
        <v>8789300498</v>
      </c>
      <c r="L1692" s="3">
        <v>45014</v>
      </c>
      <c r="O1692" s="4" t="s">
        <v>16</v>
      </c>
    </row>
    <row r="1693" spans="2:15" x14ac:dyDescent="0.25">
      <c r="B1693" s="3">
        <v>45012</v>
      </c>
      <c r="C1693" s="11" t="s">
        <v>3465</v>
      </c>
      <c r="D1693" s="11" t="s">
        <v>3469</v>
      </c>
      <c r="E1693" s="7" t="s">
        <v>3466</v>
      </c>
      <c r="J1693" s="11" t="s">
        <v>3468</v>
      </c>
      <c r="L1693" s="3">
        <v>45011</v>
      </c>
      <c r="O1693" s="4" t="s">
        <v>16</v>
      </c>
    </row>
    <row r="1694" spans="2:15" x14ac:dyDescent="0.25">
      <c r="B1694" s="3">
        <v>45020</v>
      </c>
      <c r="C1694" s="11" t="s">
        <v>3502</v>
      </c>
      <c r="D1694" s="11" t="s">
        <v>3528</v>
      </c>
      <c r="E1694" s="7" t="s">
        <v>3505</v>
      </c>
      <c r="G1694" s="18">
        <v>40576</v>
      </c>
      <c r="J1694" s="11" t="s">
        <v>3506</v>
      </c>
      <c r="K1694" s="11" t="s">
        <v>3529</v>
      </c>
      <c r="L1694" s="4" t="s">
        <v>19</v>
      </c>
      <c r="O1694" s="4" t="s">
        <v>19</v>
      </c>
    </row>
    <row r="1695" spans="2:15" x14ac:dyDescent="0.25">
      <c r="B1695" s="3">
        <v>45022</v>
      </c>
      <c r="C1695" s="11" t="s">
        <v>2835</v>
      </c>
      <c r="D1695" s="11" t="s">
        <v>3518</v>
      </c>
      <c r="E1695" s="7" t="s">
        <v>3509</v>
      </c>
      <c r="G1695" s="18">
        <v>38416</v>
      </c>
      <c r="J1695" s="11" t="s">
        <v>3511</v>
      </c>
      <c r="K1695" s="11" t="s">
        <v>3510</v>
      </c>
      <c r="L1695" s="3">
        <v>45022</v>
      </c>
      <c r="O1695" s="4" t="s">
        <v>16</v>
      </c>
    </row>
    <row r="1696" spans="2:15" x14ac:dyDescent="0.25">
      <c r="B1696" s="3">
        <v>45026</v>
      </c>
      <c r="C1696" s="11" t="s">
        <v>3523</v>
      </c>
      <c r="D1696" s="11" t="s">
        <v>3527</v>
      </c>
      <c r="E1696" s="7" t="s">
        <v>3524</v>
      </c>
      <c r="G1696" s="18">
        <v>20634</v>
      </c>
      <c r="K1696" s="11" t="s">
        <v>3526</v>
      </c>
      <c r="L1696" s="3">
        <v>45026</v>
      </c>
    </row>
    <row r="1697" spans="2:15" x14ac:dyDescent="0.25">
      <c r="B1697" s="3">
        <v>45028</v>
      </c>
      <c r="C1697" s="11" t="s">
        <v>3532</v>
      </c>
      <c r="D1697" s="11" t="s">
        <v>3543</v>
      </c>
      <c r="E1697" s="7" t="s">
        <v>3535</v>
      </c>
      <c r="G1697" s="18">
        <v>37813</v>
      </c>
      <c r="J1697" s="11" t="s">
        <v>3536</v>
      </c>
      <c r="K1697" s="11" t="s">
        <v>3544</v>
      </c>
      <c r="L1697" s="3">
        <v>45028</v>
      </c>
      <c r="O1697" s="4" t="s">
        <v>16</v>
      </c>
    </row>
    <row r="1698" spans="2:15" x14ac:dyDescent="0.25">
      <c r="B1698" s="3">
        <v>45029</v>
      </c>
      <c r="C1698" s="11" t="s">
        <v>3533</v>
      </c>
      <c r="D1698" s="11" t="s">
        <v>3546</v>
      </c>
      <c r="E1698" s="7" t="s">
        <v>252</v>
      </c>
      <c r="J1698" s="11" t="s">
        <v>3537</v>
      </c>
      <c r="K1698" s="11" t="s">
        <v>3534</v>
      </c>
      <c r="L1698" s="3">
        <v>45029</v>
      </c>
      <c r="O1698" s="4" t="s">
        <v>16</v>
      </c>
    </row>
    <row r="1699" spans="2:15" x14ac:dyDescent="0.25">
      <c r="B1699" s="3">
        <v>45029</v>
      </c>
      <c r="C1699" s="11" t="s">
        <v>3539</v>
      </c>
      <c r="D1699" s="11" t="s">
        <v>3543</v>
      </c>
      <c r="E1699" s="7" t="s">
        <v>3540</v>
      </c>
      <c r="G1699" s="18">
        <v>28385</v>
      </c>
      <c r="J1699" s="11" t="s">
        <v>3541</v>
      </c>
      <c r="K1699" s="11" t="s">
        <v>3538</v>
      </c>
      <c r="L1699" s="3">
        <v>45029</v>
      </c>
      <c r="O1699" s="4" t="s">
        <v>16</v>
      </c>
    </row>
    <row r="1700" spans="2:15" x14ac:dyDescent="0.25">
      <c r="B1700" s="3">
        <v>45040</v>
      </c>
      <c r="C1700" s="11" t="s">
        <v>3554</v>
      </c>
      <c r="D1700" s="11" t="s">
        <v>3555</v>
      </c>
      <c r="E1700" s="7" t="s">
        <v>3556</v>
      </c>
      <c r="J1700" s="11" t="s">
        <v>3557</v>
      </c>
      <c r="K1700" s="11" t="s">
        <v>3558</v>
      </c>
      <c r="L1700" s="3">
        <v>45040</v>
      </c>
      <c r="O1700" s="4" t="s">
        <v>16</v>
      </c>
    </row>
    <row r="1701" spans="2:15" x14ac:dyDescent="0.25">
      <c r="B1701" s="3">
        <v>45051</v>
      </c>
      <c r="C1701" s="11" t="s">
        <v>3578</v>
      </c>
      <c r="D1701" s="48" t="s">
        <v>3591</v>
      </c>
      <c r="E1701" s="7" t="s">
        <v>3013</v>
      </c>
      <c r="G1701" s="18">
        <v>40001</v>
      </c>
      <c r="J1701" s="11" t="s">
        <v>3580</v>
      </c>
      <c r="K1701" s="11" t="s">
        <v>3579</v>
      </c>
      <c r="L1701" s="4" t="s">
        <v>19</v>
      </c>
    </row>
    <row r="1702" spans="2:15" x14ac:dyDescent="0.25">
      <c r="B1702" s="3">
        <v>45051</v>
      </c>
      <c r="C1702" s="11" t="s">
        <v>3581</v>
      </c>
      <c r="D1702" s="48" t="s">
        <v>3591</v>
      </c>
      <c r="E1702" s="7" t="s">
        <v>3582</v>
      </c>
      <c r="J1702" s="11" t="s">
        <v>3593</v>
      </c>
      <c r="K1702" s="11" t="s">
        <v>3592</v>
      </c>
      <c r="L1702" s="4" t="s">
        <v>19</v>
      </c>
    </row>
    <row r="1703" spans="2:15" x14ac:dyDescent="0.25">
      <c r="B1703" s="3">
        <v>45054</v>
      </c>
      <c r="C1703" s="11" t="s">
        <v>3600</v>
      </c>
      <c r="E1703" s="7" t="s">
        <v>3601</v>
      </c>
      <c r="L1703" s="3">
        <v>45054</v>
      </c>
      <c r="O1703" s="4" t="s">
        <v>14</v>
      </c>
    </row>
    <row r="1704" spans="2:15" x14ac:dyDescent="0.25">
      <c r="B1704" s="3">
        <v>45055</v>
      </c>
      <c r="C1704" s="11" t="s">
        <v>3599</v>
      </c>
      <c r="D1704" s="11" t="s">
        <v>3605</v>
      </c>
      <c r="E1704" s="7" t="s">
        <v>3602</v>
      </c>
      <c r="J1704" s="11" t="s">
        <v>3606</v>
      </c>
      <c r="K1704" s="11" t="s">
        <v>3607</v>
      </c>
      <c r="L1704" s="3">
        <v>45055</v>
      </c>
      <c r="O1704" s="4" t="s">
        <v>14</v>
      </c>
    </row>
    <row r="1705" spans="2:15" x14ac:dyDescent="0.25">
      <c r="B1705" s="3">
        <v>45056</v>
      </c>
      <c r="C1705" s="11" t="s">
        <v>3612</v>
      </c>
      <c r="D1705" s="11" t="s">
        <v>3605</v>
      </c>
      <c r="E1705" s="7" t="s">
        <v>3614</v>
      </c>
      <c r="G1705" s="18">
        <v>34335</v>
      </c>
      <c r="J1705" s="11" t="s">
        <v>3615</v>
      </c>
      <c r="K1705" s="11" t="s">
        <v>3618</v>
      </c>
      <c r="L1705" s="3">
        <v>45056</v>
      </c>
      <c r="O1705" s="4" t="s">
        <v>19</v>
      </c>
    </row>
    <row r="1706" spans="2:15" x14ac:dyDescent="0.25">
      <c r="B1706" s="3">
        <v>45056</v>
      </c>
      <c r="C1706" s="11" t="s">
        <v>3613</v>
      </c>
      <c r="E1706" s="7" t="s">
        <v>3611</v>
      </c>
      <c r="G1706" s="18">
        <v>23411</v>
      </c>
      <c r="J1706" s="11" t="s">
        <v>3616</v>
      </c>
      <c r="K1706" s="11" t="s">
        <v>3625</v>
      </c>
      <c r="L1706" s="3">
        <v>45056</v>
      </c>
      <c r="O1706" s="4" t="s">
        <v>16</v>
      </c>
    </row>
    <row r="1707" spans="2:15" x14ac:dyDescent="0.25">
      <c r="B1707" s="3">
        <v>45056</v>
      </c>
      <c r="C1707" s="11" t="s">
        <v>3619</v>
      </c>
      <c r="D1707" s="11" t="s">
        <v>3629</v>
      </c>
      <c r="E1707" s="7" t="s">
        <v>3620</v>
      </c>
      <c r="G1707" s="18">
        <v>37998</v>
      </c>
      <c r="J1707" s="11" t="s">
        <v>3621</v>
      </c>
      <c r="K1707" s="11" t="s">
        <v>3622</v>
      </c>
      <c r="L1707" s="3">
        <v>45056</v>
      </c>
      <c r="O1707" s="4" t="s">
        <v>19</v>
      </c>
    </row>
    <row r="1708" spans="2:15" x14ac:dyDescent="0.25">
      <c r="B1708" s="3">
        <v>45061</v>
      </c>
      <c r="C1708" s="11" t="s">
        <v>3630</v>
      </c>
      <c r="E1708" s="7" t="s">
        <v>3631</v>
      </c>
      <c r="G1708" s="18">
        <v>40146</v>
      </c>
      <c r="J1708" s="11" t="s">
        <v>3632</v>
      </c>
      <c r="K1708" s="11" t="s">
        <v>1926</v>
      </c>
      <c r="L1708" s="4" t="s">
        <v>19</v>
      </c>
      <c r="M1708" s="4" t="s">
        <v>19</v>
      </c>
      <c r="N1708" s="4" t="s">
        <v>19</v>
      </c>
      <c r="O1708" s="4" t="s">
        <v>19</v>
      </c>
    </row>
    <row r="1709" spans="2:15" x14ac:dyDescent="0.25">
      <c r="B1709" s="3">
        <v>45062</v>
      </c>
      <c r="C1709" s="11" t="s">
        <v>3634</v>
      </c>
      <c r="D1709" s="11" t="s">
        <v>3641</v>
      </c>
      <c r="E1709" s="7" t="s">
        <v>3639</v>
      </c>
      <c r="J1709" s="11" t="s">
        <v>3640</v>
      </c>
      <c r="K1709" s="11" t="s">
        <v>3618</v>
      </c>
      <c r="L1709" s="4" t="s">
        <v>19</v>
      </c>
      <c r="O1709" s="4" t="s">
        <v>16</v>
      </c>
    </row>
    <row r="1710" spans="2:15" x14ac:dyDescent="0.25">
      <c r="B1710" s="3">
        <v>45062</v>
      </c>
      <c r="C1710" s="11" t="s">
        <v>3635</v>
      </c>
      <c r="D1710" s="11" t="s">
        <v>3653</v>
      </c>
      <c r="E1710" s="7" t="s">
        <v>3637</v>
      </c>
      <c r="G1710" s="18">
        <v>35540</v>
      </c>
      <c r="J1710" s="11" t="s">
        <v>3638</v>
      </c>
      <c r="K1710" s="11" t="s">
        <v>3636</v>
      </c>
      <c r="L1710" s="4" t="s">
        <v>19</v>
      </c>
    </row>
    <row r="1711" spans="2:15" x14ac:dyDescent="0.25">
      <c r="B1711" s="3">
        <v>45062</v>
      </c>
      <c r="C1711" s="56">
        <v>5136</v>
      </c>
      <c r="D1711" s="11" t="s">
        <v>3655</v>
      </c>
      <c r="E1711" s="48" t="s">
        <v>3644</v>
      </c>
      <c r="K1711" s="11" t="s">
        <v>3647</v>
      </c>
      <c r="L1711" s="4" t="s">
        <v>19</v>
      </c>
      <c r="O1711" s="4" t="s">
        <v>14</v>
      </c>
    </row>
    <row r="1712" spans="2:15" x14ac:dyDescent="0.25">
      <c r="B1712" s="3">
        <v>45062</v>
      </c>
      <c r="C1712" s="56">
        <v>5137</v>
      </c>
      <c r="D1712" s="11" t="s">
        <v>3655</v>
      </c>
      <c r="E1712" s="48" t="s">
        <v>3645</v>
      </c>
      <c r="K1712" s="11" t="s">
        <v>3646</v>
      </c>
      <c r="L1712" s="4" t="s">
        <v>19</v>
      </c>
      <c r="O1712" s="4" t="s">
        <v>14</v>
      </c>
    </row>
    <row r="1713" spans="2:16" x14ac:dyDescent="0.25">
      <c r="B1713" s="3">
        <v>45068</v>
      </c>
      <c r="C1713" s="11" t="s">
        <v>3658</v>
      </c>
      <c r="D1713" s="11" t="s">
        <v>3730</v>
      </c>
      <c r="E1713" s="7" t="s">
        <v>3657</v>
      </c>
      <c r="J1713" s="11" t="s">
        <v>3660</v>
      </c>
      <c r="K1713" s="11" t="s">
        <v>3659</v>
      </c>
      <c r="L1713" s="4" t="s">
        <v>19</v>
      </c>
      <c r="O1713" s="4" t="s">
        <v>19</v>
      </c>
    </row>
    <row r="1714" spans="2:16" x14ac:dyDescent="0.25">
      <c r="B1714" s="3">
        <v>45073</v>
      </c>
      <c r="C1714" s="11" t="s">
        <v>3666</v>
      </c>
      <c r="D1714" s="11" t="s">
        <v>3698</v>
      </c>
      <c r="E1714" s="7" t="s">
        <v>3667</v>
      </c>
      <c r="G1714" s="18">
        <v>31090</v>
      </c>
      <c r="J1714" s="11" t="s">
        <v>3668</v>
      </c>
      <c r="K1714" s="11" t="s">
        <v>3665</v>
      </c>
      <c r="L1714" s="4" t="s">
        <v>19</v>
      </c>
      <c r="O1714" s="4" t="s">
        <v>14</v>
      </c>
    </row>
    <row r="1715" spans="2:16" x14ac:dyDescent="0.25">
      <c r="B1715" s="3">
        <v>45075</v>
      </c>
      <c r="C1715" s="11" t="s">
        <v>3676</v>
      </c>
      <c r="D1715" s="11" t="s">
        <v>3698</v>
      </c>
      <c r="E1715" s="7" t="s">
        <v>3673</v>
      </c>
      <c r="J1715" s="11" t="s">
        <v>3700</v>
      </c>
      <c r="K1715" s="11" t="s">
        <v>3699</v>
      </c>
      <c r="L1715" s="4" t="s">
        <v>19</v>
      </c>
      <c r="O1715" s="4" t="s">
        <v>14</v>
      </c>
    </row>
    <row r="1716" spans="2:16" x14ac:dyDescent="0.25">
      <c r="B1716" s="3">
        <v>45077</v>
      </c>
      <c r="C1716" s="11" t="s">
        <v>3682</v>
      </c>
      <c r="D1716" s="11" t="s">
        <v>3690</v>
      </c>
      <c r="E1716" s="7" t="s">
        <v>1449</v>
      </c>
      <c r="G1716" s="18">
        <v>29495</v>
      </c>
      <c r="J1716" s="11" t="s">
        <v>3683</v>
      </c>
      <c r="K1716" s="11" t="s">
        <v>3684</v>
      </c>
      <c r="L1716" s="4" t="s">
        <v>19</v>
      </c>
      <c r="O1716" s="4" t="s">
        <v>14</v>
      </c>
    </row>
    <row r="1717" spans="2:16" x14ac:dyDescent="0.25">
      <c r="B1717" s="3">
        <v>45087</v>
      </c>
      <c r="C1717" s="11" t="s">
        <v>3718</v>
      </c>
      <c r="D1717" s="11" t="s">
        <v>3719</v>
      </c>
      <c r="E1717" s="7" t="s">
        <v>3711</v>
      </c>
      <c r="L1717" s="4" t="s">
        <v>19</v>
      </c>
      <c r="M1717" s="4" t="s">
        <v>1552</v>
      </c>
      <c r="O1717" s="4" t="s">
        <v>14</v>
      </c>
    </row>
    <row r="1718" spans="2:16" x14ac:dyDescent="0.25">
      <c r="B1718" s="3">
        <v>45091</v>
      </c>
      <c r="C1718" s="11" t="s">
        <v>3723</v>
      </c>
      <c r="D1718" s="11" t="s">
        <v>3756</v>
      </c>
      <c r="E1718" s="7" t="s">
        <v>3535</v>
      </c>
      <c r="G1718" s="18">
        <v>38923</v>
      </c>
      <c r="K1718" s="11" t="s">
        <v>3755</v>
      </c>
      <c r="L1718" s="4" t="s">
        <v>19</v>
      </c>
      <c r="P1718" s="4" t="s">
        <v>3757</v>
      </c>
    </row>
    <row r="1719" spans="2:16" x14ac:dyDescent="0.25">
      <c r="B1719" s="3">
        <v>45091</v>
      </c>
      <c r="C1719" s="11" t="s">
        <v>3740</v>
      </c>
      <c r="D1719" s="11" t="s">
        <v>3741</v>
      </c>
      <c r="E1719" s="7" t="s">
        <v>3721</v>
      </c>
      <c r="G1719" s="18">
        <v>30857</v>
      </c>
      <c r="I1719" s="4">
        <v>10000</v>
      </c>
      <c r="K1719" s="11" t="s">
        <v>3722</v>
      </c>
      <c r="L1719" s="4" t="s">
        <v>16</v>
      </c>
      <c r="M1719" s="4" t="s">
        <v>16</v>
      </c>
      <c r="O1719" s="4" t="s">
        <v>16</v>
      </c>
    </row>
    <row r="1720" spans="2:16" x14ac:dyDescent="0.25">
      <c r="B1720" s="3">
        <v>45092</v>
      </c>
      <c r="C1720" s="11" t="s">
        <v>3725</v>
      </c>
      <c r="D1720" s="11" t="s">
        <v>3743</v>
      </c>
      <c r="E1720" s="7" t="s">
        <v>3727</v>
      </c>
      <c r="G1720" s="18">
        <v>25569</v>
      </c>
      <c r="I1720" s="4">
        <v>1000</v>
      </c>
      <c r="J1720" s="11" t="s">
        <v>3728</v>
      </c>
      <c r="K1720" s="11" t="s">
        <v>3726</v>
      </c>
      <c r="L1720" s="4" t="s">
        <v>16</v>
      </c>
      <c r="O1720" s="4" t="s">
        <v>16</v>
      </c>
    </row>
    <row r="1721" spans="2:16" x14ac:dyDescent="0.25">
      <c r="B1721" s="3">
        <v>45092</v>
      </c>
      <c r="C1721" s="11" t="s">
        <v>3732</v>
      </c>
      <c r="D1721" s="11" t="s">
        <v>3758</v>
      </c>
      <c r="E1721" s="7" t="s">
        <v>3731</v>
      </c>
      <c r="G1721" s="18">
        <v>39766</v>
      </c>
      <c r="I1721" s="4">
        <v>500</v>
      </c>
      <c r="J1721" s="11" t="s">
        <v>3734</v>
      </c>
      <c r="K1721" s="11" t="s">
        <v>3733</v>
      </c>
      <c r="L1721" s="4" t="s">
        <v>19</v>
      </c>
      <c r="O1721" s="4" t="s">
        <v>15</v>
      </c>
    </row>
    <row r="1722" spans="2:16" x14ac:dyDescent="0.25">
      <c r="B1722" s="3">
        <v>45097</v>
      </c>
      <c r="C1722" s="11" t="s">
        <v>3749</v>
      </c>
      <c r="D1722" s="11" t="s">
        <v>3758</v>
      </c>
      <c r="E1722" s="7" t="s">
        <v>3750</v>
      </c>
      <c r="I1722" s="4">
        <v>100</v>
      </c>
      <c r="K1722" s="11" t="s">
        <v>3752</v>
      </c>
      <c r="L1722" s="4" t="s">
        <v>19</v>
      </c>
      <c r="O1722" s="4" t="s">
        <v>14</v>
      </c>
    </row>
    <row r="1723" spans="2:16" x14ac:dyDescent="0.25">
      <c r="B1723" s="3">
        <v>45100</v>
      </c>
      <c r="C1723" s="11" t="s">
        <v>3760</v>
      </c>
      <c r="D1723" s="11" t="s">
        <v>3770</v>
      </c>
      <c r="E1723" s="7" t="s">
        <v>3765</v>
      </c>
      <c r="I1723" s="4">
        <v>300</v>
      </c>
      <c r="J1723" s="11" t="s">
        <v>3766</v>
      </c>
      <c r="K1723" s="11" t="s">
        <v>3771</v>
      </c>
      <c r="L1723" s="4" t="s">
        <v>19</v>
      </c>
      <c r="O1723" s="4" t="s">
        <v>19</v>
      </c>
    </row>
    <row r="1724" spans="2:16" x14ac:dyDescent="0.25">
      <c r="B1724" s="3">
        <v>45100</v>
      </c>
      <c r="C1724" s="11" t="s">
        <v>3761</v>
      </c>
      <c r="D1724" s="11" t="s">
        <v>3770</v>
      </c>
      <c r="E1724" s="7" t="s">
        <v>3762</v>
      </c>
      <c r="G1724" s="18">
        <v>40186</v>
      </c>
      <c r="I1724" s="4">
        <v>500</v>
      </c>
      <c r="J1724" s="11" t="s">
        <v>3763</v>
      </c>
      <c r="K1724" s="11" t="s">
        <v>3764</v>
      </c>
      <c r="L1724" s="4" t="s">
        <v>19</v>
      </c>
      <c r="O1724" s="4" t="s">
        <v>19</v>
      </c>
    </row>
    <row r="1725" spans="2:16" x14ac:dyDescent="0.25">
      <c r="B1725" s="3">
        <v>45103</v>
      </c>
      <c r="C1725" s="11" t="s">
        <v>3780</v>
      </c>
      <c r="E1725" s="7" t="s">
        <v>3781</v>
      </c>
      <c r="I1725" s="4">
        <v>1000</v>
      </c>
      <c r="L1725" s="4" t="s">
        <v>19</v>
      </c>
      <c r="O1725" s="4" t="s">
        <v>16</v>
      </c>
    </row>
    <row r="1726" spans="2:16" x14ac:dyDescent="0.25">
      <c r="B1726" s="3">
        <v>45105</v>
      </c>
      <c r="C1726" s="11" t="s">
        <v>3783</v>
      </c>
      <c r="D1726" s="11" t="s">
        <v>4819</v>
      </c>
      <c r="E1726" s="7" t="s">
        <v>3784</v>
      </c>
      <c r="I1726" s="4">
        <v>200</v>
      </c>
      <c r="K1726" s="11" t="s">
        <v>4822</v>
      </c>
    </row>
    <row r="1727" spans="2:16" x14ac:dyDescent="0.25">
      <c r="B1727" s="3">
        <v>45114</v>
      </c>
      <c r="C1727" s="11" t="s">
        <v>3789</v>
      </c>
      <c r="D1727" s="11" t="s">
        <v>3827</v>
      </c>
      <c r="E1727" s="7" t="s">
        <v>3788</v>
      </c>
      <c r="G1727" s="18">
        <v>30507</v>
      </c>
      <c r="I1727" s="4">
        <v>100</v>
      </c>
      <c r="J1727" s="11" t="s">
        <v>3837</v>
      </c>
      <c r="K1727" s="11" t="s">
        <v>3790</v>
      </c>
      <c r="L1727" s="4" t="s">
        <v>16</v>
      </c>
      <c r="O1727" s="4" t="s">
        <v>16</v>
      </c>
    </row>
    <row r="1728" spans="2:16" x14ac:dyDescent="0.25">
      <c r="B1728" s="3">
        <v>45115</v>
      </c>
      <c r="C1728" s="11" t="s">
        <v>3792</v>
      </c>
      <c r="D1728" s="11" t="s">
        <v>3828</v>
      </c>
      <c r="E1728" s="7" t="s">
        <v>3794</v>
      </c>
      <c r="I1728" s="4">
        <v>150</v>
      </c>
      <c r="K1728" s="11" t="s">
        <v>3793</v>
      </c>
      <c r="L1728" s="4" t="s">
        <v>16</v>
      </c>
      <c r="O1728" s="4" t="s">
        <v>16</v>
      </c>
    </row>
    <row r="1729" spans="2:15" x14ac:dyDescent="0.25">
      <c r="B1729" s="3">
        <v>45117</v>
      </c>
      <c r="C1729" s="11" t="s">
        <v>3801</v>
      </c>
      <c r="D1729" s="11" t="s">
        <v>3814</v>
      </c>
      <c r="E1729" s="7" t="s">
        <v>3800</v>
      </c>
      <c r="G1729" s="18">
        <v>32874</v>
      </c>
      <c r="I1729" s="4">
        <v>1000</v>
      </c>
      <c r="J1729" s="11" t="s">
        <v>3802</v>
      </c>
      <c r="K1729" s="11" t="s">
        <v>3607</v>
      </c>
      <c r="L1729" s="4" t="s">
        <v>16</v>
      </c>
      <c r="O1729" s="4" t="s">
        <v>19</v>
      </c>
    </row>
    <row r="1730" spans="2:15" x14ac:dyDescent="0.25">
      <c r="B1730" s="3">
        <v>45120</v>
      </c>
      <c r="C1730" s="11" t="s">
        <v>3813</v>
      </c>
      <c r="E1730" s="7" t="s">
        <v>3808</v>
      </c>
      <c r="I1730" s="4">
        <v>2300</v>
      </c>
      <c r="J1730" s="11" t="s">
        <v>3812</v>
      </c>
      <c r="K1730" s="11" t="s">
        <v>3810</v>
      </c>
      <c r="L1730" s="4" t="s">
        <v>16</v>
      </c>
      <c r="N1730" s="4" t="s">
        <v>3811</v>
      </c>
      <c r="O1730" s="4" t="s">
        <v>16</v>
      </c>
    </row>
    <row r="1731" spans="2:15" x14ac:dyDescent="0.25">
      <c r="B1731" s="3">
        <v>45122</v>
      </c>
      <c r="C1731" s="11" t="s">
        <v>3819</v>
      </c>
      <c r="D1731" s="11" t="s">
        <v>3814</v>
      </c>
      <c r="E1731" s="7" t="s">
        <v>3818</v>
      </c>
      <c r="G1731" s="18">
        <v>40446</v>
      </c>
      <c r="I1731" s="4">
        <v>200</v>
      </c>
      <c r="J1731" s="11" t="s">
        <v>3826</v>
      </c>
      <c r="K1731" s="11" t="s">
        <v>3820</v>
      </c>
      <c r="L1731" s="4" t="s">
        <v>19</v>
      </c>
      <c r="O1731" s="4" t="s">
        <v>19</v>
      </c>
    </row>
    <row r="1732" spans="2:15" x14ac:dyDescent="0.25">
      <c r="B1732" s="3">
        <v>45122</v>
      </c>
      <c r="C1732" s="11" t="s">
        <v>3821</v>
      </c>
      <c r="D1732" s="11" t="s">
        <v>3851</v>
      </c>
      <c r="E1732" s="7" t="s">
        <v>3822</v>
      </c>
      <c r="G1732" s="18">
        <v>39336</v>
      </c>
      <c r="I1732" s="4">
        <v>500</v>
      </c>
      <c r="J1732" s="11" t="s">
        <v>3824</v>
      </c>
      <c r="K1732" s="11" t="s">
        <v>3823</v>
      </c>
      <c r="L1732" s="4" t="s">
        <v>19</v>
      </c>
      <c r="O1732" s="4" t="s">
        <v>19</v>
      </c>
    </row>
    <row r="1733" spans="2:15" x14ac:dyDescent="0.25">
      <c r="B1733" s="3">
        <v>45125</v>
      </c>
      <c r="C1733" s="11" t="s">
        <v>3829</v>
      </c>
      <c r="D1733" s="11" t="s">
        <v>3865</v>
      </c>
      <c r="E1733" s="7" t="s">
        <v>3830</v>
      </c>
      <c r="G1733" s="18">
        <v>37806</v>
      </c>
      <c r="I1733" s="4">
        <v>100</v>
      </c>
      <c r="J1733" s="11" t="s">
        <v>3831</v>
      </c>
      <c r="K1733" s="11" t="s">
        <v>3832</v>
      </c>
      <c r="L1733" s="4" t="s">
        <v>16</v>
      </c>
      <c r="O1733" s="4" t="s">
        <v>16</v>
      </c>
    </row>
    <row r="1734" spans="2:15" x14ac:dyDescent="0.25">
      <c r="B1734" s="3">
        <v>45125</v>
      </c>
      <c r="C1734" s="11" t="s">
        <v>3835</v>
      </c>
      <c r="D1734" s="11" t="s">
        <v>3913</v>
      </c>
      <c r="E1734" s="7" t="s">
        <v>3834</v>
      </c>
      <c r="G1734" s="18">
        <v>31413</v>
      </c>
      <c r="I1734" s="4">
        <v>2000</v>
      </c>
      <c r="J1734" s="11" t="s">
        <v>3836</v>
      </c>
      <c r="K1734" s="11" t="s">
        <v>3914</v>
      </c>
      <c r="L1734" s="4" t="s">
        <v>16</v>
      </c>
      <c r="O1734" s="4" t="s">
        <v>16</v>
      </c>
    </row>
    <row r="1735" spans="2:15" x14ac:dyDescent="0.25">
      <c r="B1735" s="3">
        <v>45126</v>
      </c>
      <c r="C1735" s="11" t="s">
        <v>3838</v>
      </c>
      <c r="D1735" s="11" t="s">
        <v>3851</v>
      </c>
      <c r="E1735" s="7" t="s">
        <v>3847</v>
      </c>
      <c r="I1735" s="4">
        <v>100</v>
      </c>
      <c r="J1735" s="11" t="s">
        <v>3852</v>
      </c>
      <c r="K1735" s="11" t="s">
        <v>3839</v>
      </c>
      <c r="L1735" s="4" t="s">
        <v>16</v>
      </c>
      <c r="O1735" s="4" t="s">
        <v>16</v>
      </c>
    </row>
    <row r="1736" spans="2:15" x14ac:dyDescent="0.25">
      <c r="B1736" s="3">
        <v>45126</v>
      </c>
      <c r="C1736" s="11" t="s">
        <v>3844</v>
      </c>
      <c r="D1736" s="11" t="s">
        <v>3865</v>
      </c>
      <c r="E1736" s="7" t="s">
        <v>3843</v>
      </c>
      <c r="G1736" s="18">
        <v>29221</v>
      </c>
      <c r="I1736" s="4">
        <v>100</v>
      </c>
      <c r="J1736" s="11" t="s">
        <v>3846</v>
      </c>
      <c r="K1736" s="11" t="s">
        <v>3845</v>
      </c>
      <c r="L1736" s="4" t="s">
        <v>16</v>
      </c>
      <c r="O1736" s="4" t="s">
        <v>16</v>
      </c>
    </row>
    <row r="1737" spans="2:15" x14ac:dyDescent="0.25">
      <c r="B1737" s="3">
        <v>45127</v>
      </c>
      <c r="C1737" s="11" t="s">
        <v>3853</v>
      </c>
      <c r="E1737" s="7" t="s">
        <v>3854</v>
      </c>
      <c r="G1737" s="18">
        <v>34519</v>
      </c>
      <c r="I1737" s="4">
        <v>200</v>
      </c>
      <c r="J1737" s="11" t="s">
        <v>3856</v>
      </c>
      <c r="K1737" s="11" t="s">
        <v>3855</v>
      </c>
      <c r="L1737" s="4" t="s">
        <v>16</v>
      </c>
      <c r="O1737" s="4" t="s">
        <v>16</v>
      </c>
    </row>
    <row r="1738" spans="2:15" x14ac:dyDescent="0.25">
      <c r="B1738" s="3">
        <v>45128</v>
      </c>
      <c r="C1738" s="11" t="s">
        <v>3924</v>
      </c>
      <c r="E1738" s="7" t="s">
        <v>3925</v>
      </c>
      <c r="G1738" s="18"/>
      <c r="I1738" s="4">
        <v>100</v>
      </c>
      <c r="K1738" s="11" t="s">
        <v>3926</v>
      </c>
      <c r="L1738" s="4" t="s">
        <v>19</v>
      </c>
      <c r="O1738" s="4" t="s">
        <v>19</v>
      </c>
    </row>
    <row r="1739" spans="2:15" x14ac:dyDescent="0.25">
      <c r="B1739" s="3">
        <v>45131</v>
      </c>
      <c r="C1739" s="11" t="s">
        <v>3868</v>
      </c>
      <c r="E1739" s="7" t="s">
        <v>3869</v>
      </c>
      <c r="G1739" s="18">
        <v>38650</v>
      </c>
      <c r="I1739" s="4">
        <v>100</v>
      </c>
      <c r="J1739" s="11" t="s">
        <v>3870</v>
      </c>
      <c r="K1739" s="11" t="s">
        <v>3871</v>
      </c>
      <c r="L1739" s="4" t="s">
        <v>19</v>
      </c>
      <c r="O1739" s="4" t="s">
        <v>19</v>
      </c>
    </row>
    <row r="1740" spans="2:15" x14ac:dyDescent="0.25">
      <c r="B1740" s="3">
        <v>45138</v>
      </c>
      <c r="C1740" s="11" t="s">
        <v>3881</v>
      </c>
      <c r="D1740" s="11" t="s">
        <v>3885</v>
      </c>
      <c r="E1740" s="7" t="s">
        <v>3880</v>
      </c>
      <c r="I1740" s="4">
        <v>200</v>
      </c>
      <c r="J1740" s="11" t="s">
        <v>3882</v>
      </c>
      <c r="K1740" s="11" t="s">
        <v>3884</v>
      </c>
      <c r="L1740" s="4" t="s">
        <v>14</v>
      </c>
      <c r="O1740" s="4" t="s">
        <v>14</v>
      </c>
    </row>
    <row r="1741" spans="2:15" x14ac:dyDescent="0.25">
      <c r="B1741" s="3">
        <v>45148</v>
      </c>
      <c r="C1741" s="11" t="s">
        <v>3908</v>
      </c>
      <c r="E1741" s="59" t="s">
        <v>3905</v>
      </c>
      <c r="L1741" s="4" t="s">
        <v>15</v>
      </c>
      <c r="O1741" s="4" t="s">
        <v>15</v>
      </c>
    </row>
    <row r="1742" spans="2:15" x14ac:dyDescent="0.25">
      <c r="B1742" s="3">
        <v>45148</v>
      </c>
      <c r="C1742" s="11" t="s">
        <v>3909</v>
      </c>
      <c r="D1742" s="11" t="s">
        <v>3910</v>
      </c>
      <c r="E1742" s="59" t="s">
        <v>3907</v>
      </c>
      <c r="I1742" s="4">
        <v>100</v>
      </c>
      <c r="K1742" s="11" t="s">
        <v>3911</v>
      </c>
      <c r="L1742" s="4" t="s">
        <v>15</v>
      </c>
      <c r="O1742" s="4" t="s">
        <v>14</v>
      </c>
    </row>
    <row r="1743" spans="2:15" x14ac:dyDescent="0.25">
      <c r="B1743" s="3">
        <v>45157</v>
      </c>
      <c r="C1743" s="11" t="s">
        <v>3930</v>
      </c>
      <c r="D1743" s="11" t="s">
        <v>3933</v>
      </c>
      <c r="E1743" s="7" t="s">
        <v>3929</v>
      </c>
      <c r="G1743" s="18">
        <v>39097</v>
      </c>
      <c r="I1743" s="4">
        <v>100</v>
      </c>
      <c r="J1743" s="11" t="s">
        <v>3931</v>
      </c>
      <c r="K1743" s="11" t="s">
        <v>3932</v>
      </c>
      <c r="L1743" s="4" t="s">
        <v>15</v>
      </c>
      <c r="O1743" s="4" t="s">
        <v>19</v>
      </c>
    </row>
    <row r="1744" spans="2:15" x14ac:dyDescent="0.25">
      <c r="B1744" s="3">
        <v>45175</v>
      </c>
      <c r="C1744" s="11" t="s">
        <v>3935</v>
      </c>
      <c r="D1744" s="11" t="s">
        <v>3996</v>
      </c>
      <c r="E1744" s="7" t="s">
        <v>3940</v>
      </c>
      <c r="I1744" s="4">
        <v>150</v>
      </c>
      <c r="K1744" s="11" t="s">
        <v>2114</v>
      </c>
      <c r="L1744" s="4" t="s">
        <v>19</v>
      </c>
      <c r="O1744" s="4" t="s">
        <v>19</v>
      </c>
    </row>
    <row r="1745" spans="2:15" x14ac:dyDescent="0.25">
      <c r="B1745" s="3">
        <v>45175</v>
      </c>
      <c r="C1745" s="11" t="s">
        <v>3937</v>
      </c>
      <c r="D1745" s="11" t="s">
        <v>3996</v>
      </c>
      <c r="E1745" s="7" t="s">
        <v>3936</v>
      </c>
      <c r="G1745" s="18">
        <v>20016</v>
      </c>
      <c r="I1745" s="4">
        <v>100</v>
      </c>
      <c r="J1745" s="11" t="s">
        <v>3938</v>
      </c>
      <c r="K1745" s="11" t="s">
        <v>3939</v>
      </c>
      <c r="L1745" s="4" t="s">
        <v>19</v>
      </c>
      <c r="O1745" s="4" t="s">
        <v>19</v>
      </c>
    </row>
    <row r="1746" spans="2:15" x14ac:dyDescent="0.25">
      <c r="B1746" s="3">
        <v>45177</v>
      </c>
      <c r="C1746" s="11" t="s">
        <v>3946</v>
      </c>
      <c r="D1746" s="11" t="s">
        <v>3996</v>
      </c>
      <c r="E1746" s="7" t="s">
        <v>3947</v>
      </c>
      <c r="I1746" s="4">
        <v>150</v>
      </c>
      <c r="J1746" s="11" t="s">
        <v>3949</v>
      </c>
      <c r="K1746" s="11" t="s">
        <v>3948</v>
      </c>
      <c r="L1746" s="4" t="s">
        <v>19</v>
      </c>
      <c r="O1746" s="4" t="s">
        <v>16</v>
      </c>
    </row>
    <row r="1747" spans="2:15" x14ac:dyDescent="0.25">
      <c r="B1747" s="3">
        <v>45177</v>
      </c>
      <c r="C1747" s="11" t="s">
        <v>3951</v>
      </c>
      <c r="D1747" s="11" t="s">
        <v>4084</v>
      </c>
      <c r="E1747" s="7" t="s">
        <v>209</v>
      </c>
      <c r="I1747" s="4">
        <v>200</v>
      </c>
      <c r="J1747" s="11" t="s">
        <v>3952</v>
      </c>
      <c r="K1747" s="11" t="s">
        <v>3953</v>
      </c>
      <c r="L1747" s="4" t="s">
        <v>19</v>
      </c>
      <c r="O1747" s="4" t="s">
        <v>16</v>
      </c>
    </row>
    <row r="1748" spans="2:15" x14ac:dyDescent="0.25">
      <c r="B1748" s="3">
        <v>45177</v>
      </c>
      <c r="C1748" s="11" t="s">
        <v>3954</v>
      </c>
      <c r="D1748" s="11" t="s">
        <v>4092</v>
      </c>
      <c r="E1748" s="7" t="s">
        <v>3955</v>
      </c>
      <c r="I1748" s="4">
        <v>100</v>
      </c>
      <c r="J1748" s="11" t="s">
        <v>3957</v>
      </c>
      <c r="K1748" s="11" t="s">
        <v>3956</v>
      </c>
      <c r="L1748" s="4" t="s">
        <v>19</v>
      </c>
      <c r="O1748" s="4" t="s">
        <v>16</v>
      </c>
    </row>
    <row r="1749" spans="2:15" x14ac:dyDescent="0.25">
      <c r="B1749" s="3">
        <v>45180</v>
      </c>
      <c r="C1749" s="11" t="s">
        <v>3969</v>
      </c>
      <c r="E1749" s="7" t="s">
        <v>3970</v>
      </c>
      <c r="I1749" s="4">
        <v>100</v>
      </c>
      <c r="J1749" s="11" t="s">
        <v>3972</v>
      </c>
      <c r="K1749" s="11" t="s">
        <v>3971</v>
      </c>
      <c r="L1749" s="4" t="s">
        <v>19</v>
      </c>
      <c r="O1749" s="4" t="s">
        <v>19</v>
      </c>
    </row>
    <row r="1750" spans="2:15" x14ac:dyDescent="0.25">
      <c r="B1750" s="3">
        <v>45180</v>
      </c>
      <c r="C1750" s="11" t="s">
        <v>3974</v>
      </c>
      <c r="D1750" s="11" t="s">
        <v>3996</v>
      </c>
      <c r="E1750" s="7" t="s">
        <v>3976</v>
      </c>
      <c r="I1750" s="4">
        <v>100</v>
      </c>
      <c r="J1750" s="11" t="s">
        <v>3977</v>
      </c>
      <c r="K1750" s="11" t="s">
        <v>3997</v>
      </c>
      <c r="L1750" s="4" t="s">
        <v>19</v>
      </c>
      <c r="O1750" s="4" t="s">
        <v>16</v>
      </c>
    </row>
    <row r="1751" spans="2:15" x14ac:dyDescent="0.25">
      <c r="B1751" s="3">
        <v>45181</v>
      </c>
      <c r="C1751" s="11" t="s">
        <v>3978</v>
      </c>
      <c r="E1751" s="7" t="s">
        <v>3979</v>
      </c>
      <c r="I1751" s="4">
        <v>150</v>
      </c>
      <c r="J1751" s="11" t="s">
        <v>3980</v>
      </c>
      <c r="L1751" s="4" t="s">
        <v>19</v>
      </c>
      <c r="O1751" s="4" t="s">
        <v>19</v>
      </c>
    </row>
    <row r="1752" spans="2:15" x14ac:dyDescent="0.25">
      <c r="B1752" s="3">
        <v>45183</v>
      </c>
      <c r="C1752" s="11" t="s">
        <v>3984</v>
      </c>
      <c r="D1752" s="11" t="s">
        <v>3989</v>
      </c>
      <c r="E1752" s="7" t="s">
        <v>3986</v>
      </c>
      <c r="I1752" s="4">
        <v>500</v>
      </c>
      <c r="J1752" s="11" t="s">
        <v>3987</v>
      </c>
      <c r="K1752" s="11" t="s">
        <v>3990</v>
      </c>
      <c r="L1752" s="4" t="s">
        <v>19</v>
      </c>
      <c r="O1752" s="4" t="s">
        <v>16</v>
      </c>
    </row>
    <row r="1753" spans="2:15" x14ac:dyDescent="0.25">
      <c r="B1753" s="3">
        <v>45184</v>
      </c>
      <c r="C1753" s="11" t="s">
        <v>3992</v>
      </c>
      <c r="D1753" s="11" t="s">
        <v>4008</v>
      </c>
      <c r="E1753" s="7" t="s">
        <v>3993</v>
      </c>
      <c r="G1753" s="18">
        <v>40129</v>
      </c>
      <c r="I1753" s="4">
        <v>200</v>
      </c>
      <c r="J1753" s="11" t="s">
        <v>4009</v>
      </c>
      <c r="K1753" s="11" t="s">
        <v>3991</v>
      </c>
      <c r="L1753" s="4" t="s">
        <v>19</v>
      </c>
      <c r="O1753" s="4" t="s">
        <v>19</v>
      </c>
    </row>
    <row r="1754" spans="2:15" x14ac:dyDescent="0.25">
      <c r="B1754" s="3">
        <v>45188</v>
      </c>
      <c r="C1754" s="11" t="s">
        <v>4002</v>
      </c>
      <c r="D1754" s="11" t="s">
        <v>4025</v>
      </c>
      <c r="E1754" s="7" t="s">
        <v>4003</v>
      </c>
      <c r="I1754" s="4">
        <v>400</v>
      </c>
      <c r="J1754" s="11" t="s">
        <v>4026</v>
      </c>
      <c r="K1754" s="11" t="s">
        <v>1892</v>
      </c>
      <c r="L1754" s="4" t="s">
        <v>19</v>
      </c>
      <c r="O1754" s="4" t="s">
        <v>19</v>
      </c>
    </row>
    <row r="1755" spans="2:15" x14ac:dyDescent="0.25">
      <c r="B1755" s="3">
        <v>45189</v>
      </c>
      <c r="C1755" s="11" t="s">
        <v>4010</v>
      </c>
      <c r="D1755" s="11" t="s">
        <v>4027</v>
      </c>
      <c r="E1755" s="7" t="s">
        <v>4011</v>
      </c>
      <c r="I1755" s="4">
        <v>100</v>
      </c>
      <c r="J1755" s="11" t="s">
        <v>4013</v>
      </c>
      <c r="K1755" s="11" t="s">
        <v>4012</v>
      </c>
      <c r="L1755" s="4" t="s">
        <v>19</v>
      </c>
      <c r="O1755" s="4" t="s">
        <v>19</v>
      </c>
    </row>
    <row r="1756" spans="2:15" x14ac:dyDescent="0.25">
      <c r="B1756" s="3">
        <v>45189</v>
      </c>
      <c r="C1756" s="11" t="s">
        <v>4014</v>
      </c>
      <c r="D1756" s="11" t="s">
        <v>4027</v>
      </c>
      <c r="E1756" s="7" t="s">
        <v>4017</v>
      </c>
      <c r="I1756" s="4">
        <v>100</v>
      </c>
      <c r="J1756" s="11" t="s">
        <v>4032</v>
      </c>
      <c r="K1756" s="11" t="s">
        <v>4018</v>
      </c>
      <c r="L1756" s="4" t="s">
        <v>19</v>
      </c>
      <c r="O1756" s="4" t="s">
        <v>19</v>
      </c>
    </row>
    <row r="1757" spans="2:15" x14ac:dyDescent="0.25">
      <c r="B1757" s="3">
        <v>45189</v>
      </c>
      <c r="C1757" s="11" t="s">
        <v>4016</v>
      </c>
      <c r="D1757" s="11" t="s">
        <v>4025</v>
      </c>
      <c r="E1757" s="7" t="s">
        <v>1850</v>
      </c>
      <c r="I1757" s="4">
        <v>100</v>
      </c>
      <c r="K1757" s="11" t="s">
        <v>4019</v>
      </c>
      <c r="L1757" s="4" t="s">
        <v>19</v>
      </c>
      <c r="O1757" s="4" t="s">
        <v>19</v>
      </c>
    </row>
    <row r="1758" spans="2:15" x14ac:dyDescent="0.25">
      <c r="B1758" s="3">
        <v>45192</v>
      </c>
      <c r="C1758" s="11" t="s">
        <v>4028</v>
      </c>
      <c r="D1758" s="11" t="s">
        <v>4064</v>
      </c>
      <c r="E1758" s="7" t="s">
        <v>4029</v>
      </c>
      <c r="G1758" s="18">
        <v>40411</v>
      </c>
      <c r="I1758" s="4">
        <v>100</v>
      </c>
      <c r="J1758" s="11" t="s">
        <v>4031</v>
      </c>
      <c r="K1758" s="11" t="s">
        <v>4030</v>
      </c>
      <c r="L1758" s="4" t="s">
        <v>19</v>
      </c>
      <c r="O1758" s="4" t="s">
        <v>19</v>
      </c>
    </row>
    <row r="1759" spans="2:15" x14ac:dyDescent="0.25">
      <c r="B1759" s="3">
        <v>45195</v>
      </c>
      <c r="C1759" s="11" t="s">
        <v>4040</v>
      </c>
      <c r="D1759" s="11" t="s">
        <v>4064</v>
      </c>
      <c r="E1759" s="7" t="s">
        <v>193</v>
      </c>
      <c r="I1759" s="4">
        <v>100</v>
      </c>
      <c r="J1759" s="11" t="s">
        <v>4042</v>
      </c>
      <c r="K1759" s="11" t="s">
        <v>4041</v>
      </c>
      <c r="L1759" s="4" t="s">
        <v>19</v>
      </c>
      <c r="O1759" s="4" t="s">
        <v>16</v>
      </c>
    </row>
    <row r="1760" spans="2:15" x14ac:dyDescent="0.25">
      <c r="B1760" s="3">
        <v>45195</v>
      </c>
      <c r="C1760" s="11" t="s">
        <v>4043</v>
      </c>
      <c r="D1760" s="11" t="s">
        <v>4064</v>
      </c>
      <c r="E1760" s="7" t="s">
        <v>4044</v>
      </c>
      <c r="I1760" s="4">
        <v>200</v>
      </c>
      <c r="J1760" s="11" t="s">
        <v>4046</v>
      </c>
      <c r="K1760" s="11" t="s">
        <v>4045</v>
      </c>
      <c r="L1760" s="4" t="s">
        <v>19</v>
      </c>
      <c r="O1760" s="4" t="s">
        <v>19</v>
      </c>
    </row>
    <row r="1761" spans="2:15" x14ac:dyDescent="0.25">
      <c r="B1761" s="3">
        <v>45195</v>
      </c>
      <c r="C1761" s="11" t="s">
        <v>4048</v>
      </c>
      <c r="E1761" s="7" t="s">
        <v>4049</v>
      </c>
      <c r="I1761" s="4">
        <v>500</v>
      </c>
      <c r="J1761" s="11" t="s">
        <v>4051</v>
      </c>
      <c r="K1761" s="11" t="s">
        <v>4050</v>
      </c>
      <c r="L1761" s="4" t="s">
        <v>19</v>
      </c>
      <c r="O1761" s="4" t="s">
        <v>19</v>
      </c>
    </row>
    <row r="1762" spans="2:15" ht="15" x14ac:dyDescent="0.25">
      <c r="B1762" s="3">
        <v>45196</v>
      </c>
      <c r="C1762" s="11" t="s">
        <v>4052</v>
      </c>
      <c r="D1762" s="11" t="s">
        <v>4064</v>
      </c>
      <c r="E1762" s="7" t="s">
        <v>4053</v>
      </c>
      <c r="G1762" s="3">
        <v>26452</v>
      </c>
      <c r="I1762" s="4">
        <v>200</v>
      </c>
      <c r="J1762" s="11" t="s">
        <v>4066</v>
      </c>
      <c r="K1762" s="11" t="s">
        <v>4054</v>
      </c>
      <c r="L1762" s="4" t="s">
        <v>19</v>
      </c>
      <c r="O1762" s="4" t="s">
        <v>16</v>
      </c>
    </row>
    <row r="1763" spans="2:15" x14ac:dyDescent="0.25">
      <c r="B1763" s="3">
        <v>45196</v>
      </c>
      <c r="C1763" s="11" t="s">
        <v>4055</v>
      </c>
      <c r="E1763" s="7" t="s">
        <v>4058</v>
      </c>
      <c r="G1763" s="18">
        <v>34776</v>
      </c>
      <c r="I1763" s="4">
        <v>2000</v>
      </c>
      <c r="J1763" s="11" t="s">
        <v>4060</v>
      </c>
      <c r="L1763" s="4" t="s">
        <v>19</v>
      </c>
      <c r="O1763" s="4" t="s">
        <v>16</v>
      </c>
    </row>
    <row r="1764" spans="2:15" x14ac:dyDescent="0.25">
      <c r="B1764" s="3">
        <v>45196</v>
      </c>
      <c r="C1764" s="11" t="s">
        <v>4061</v>
      </c>
      <c r="D1764" s="11" t="s">
        <v>4072</v>
      </c>
      <c r="E1764" s="7" t="s">
        <v>4062</v>
      </c>
      <c r="G1764" s="18">
        <v>40088</v>
      </c>
      <c r="I1764" s="4">
        <v>500</v>
      </c>
      <c r="J1764" s="11" t="s">
        <v>4063</v>
      </c>
      <c r="K1764" s="11" t="s">
        <v>4073</v>
      </c>
      <c r="L1764" s="4" t="s">
        <v>19</v>
      </c>
      <c r="O1764" s="4" t="s">
        <v>19</v>
      </c>
    </row>
    <row r="1765" spans="2:15" x14ac:dyDescent="0.25">
      <c r="B1765" s="3">
        <v>45200</v>
      </c>
      <c r="C1765" s="11" t="s">
        <v>4068</v>
      </c>
      <c r="D1765" s="11" t="s">
        <v>4100</v>
      </c>
      <c r="E1765" s="7" t="s">
        <v>4070</v>
      </c>
      <c r="G1765" s="18">
        <v>39086</v>
      </c>
      <c r="I1765" s="4">
        <v>100</v>
      </c>
      <c r="J1765" s="11" t="s">
        <v>4101</v>
      </c>
      <c r="K1765" s="11" t="s">
        <v>4071</v>
      </c>
      <c r="L1765" s="4" t="s">
        <v>19</v>
      </c>
      <c r="O1765" s="4" t="s">
        <v>19</v>
      </c>
    </row>
    <row r="1766" spans="2:15" x14ac:dyDescent="0.25">
      <c r="B1766" s="3">
        <v>45209</v>
      </c>
      <c r="C1766" s="11" t="s">
        <v>4093</v>
      </c>
      <c r="D1766" s="11" t="s">
        <v>4127</v>
      </c>
      <c r="E1766" s="59" t="s">
        <v>4094</v>
      </c>
      <c r="G1766" s="18">
        <v>38592</v>
      </c>
      <c r="I1766" s="4">
        <v>200</v>
      </c>
      <c r="J1766" s="11" t="s">
        <v>4099</v>
      </c>
      <c r="K1766" s="11" t="s">
        <v>1872</v>
      </c>
      <c r="L1766" s="4" t="s">
        <v>19</v>
      </c>
      <c r="O1766" s="4" t="s">
        <v>19</v>
      </c>
    </row>
    <row r="1767" spans="2:15" x14ac:dyDescent="0.25">
      <c r="B1767" s="3">
        <v>45209</v>
      </c>
      <c r="C1767" s="11" t="s">
        <v>4095</v>
      </c>
      <c r="D1767" s="11" t="s">
        <v>4109</v>
      </c>
      <c r="E1767" s="59" t="s">
        <v>4096</v>
      </c>
      <c r="G1767" s="18">
        <v>36691</v>
      </c>
      <c r="I1767" s="4">
        <v>200</v>
      </c>
      <c r="J1767" s="11" t="s">
        <v>4098</v>
      </c>
      <c r="K1767" s="11" t="s">
        <v>4097</v>
      </c>
      <c r="L1767" s="4" t="s">
        <v>19</v>
      </c>
      <c r="O1767" s="4" t="s">
        <v>16</v>
      </c>
    </row>
    <row r="1768" spans="2:15" x14ac:dyDescent="0.25">
      <c r="B1768" s="3">
        <v>45210</v>
      </c>
      <c r="C1768" s="11" t="s">
        <v>4102</v>
      </c>
      <c r="D1768" s="11" t="s">
        <v>4116</v>
      </c>
      <c r="E1768" t="s">
        <v>4104</v>
      </c>
      <c r="G1768" s="18">
        <v>40272</v>
      </c>
      <c r="I1768" s="4">
        <v>200</v>
      </c>
      <c r="J1768" s="11" t="s">
        <v>4105</v>
      </c>
      <c r="K1768" s="11" t="s">
        <v>4103</v>
      </c>
      <c r="L1768" s="4" t="s">
        <v>19</v>
      </c>
      <c r="O1768" s="4" t="s">
        <v>19</v>
      </c>
    </row>
    <row r="1769" spans="2:15" x14ac:dyDescent="0.25">
      <c r="B1769" s="3">
        <v>45217</v>
      </c>
      <c r="C1769" s="11" t="s">
        <v>4124</v>
      </c>
      <c r="E1769" s="7" t="s">
        <v>4144</v>
      </c>
      <c r="I1769" s="4">
        <v>200</v>
      </c>
      <c r="J1769" s="11" t="s">
        <v>4206</v>
      </c>
      <c r="L1769" s="4" t="s">
        <v>19</v>
      </c>
      <c r="O1769" s="4" t="s">
        <v>16</v>
      </c>
    </row>
    <row r="1770" spans="2:15" x14ac:dyDescent="0.25">
      <c r="B1770" s="3">
        <v>45224</v>
      </c>
      <c r="C1770" s="11" t="s">
        <v>4140</v>
      </c>
      <c r="D1770" s="11" t="s">
        <v>4145</v>
      </c>
      <c r="E1770" s="7" t="s">
        <v>4141</v>
      </c>
      <c r="G1770" s="18">
        <v>23052</v>
      </c>
      <c r="I1770" s="4">
        <v>100</v>
      </c>
      <c r="J1770" s="11" t="s">
        <v>4143</v>
      </c>
      <c r="K1770" s="11" t="s">
        <v>4142</v>
      </c>
      <c r="L1770" s="4" t="s">
        <v>19</v>
      </c>
      <c r="O1770" s="4" t="s">
        <v>16</v>
      </c>
    </row>
    <row r="1771" spans="2:15" x14ac:dyDescent="0.25">
      <c r="B1771" s="3">
        <v>45226</v>
      </c>
      <c r="C1771" s="11" t="s">
        <v>4146</v>
      </c>
      <c r="D1771" s="11" t="s">
        <v>4152</v>
      </c>
      <c r="E1771" s="7" t="s">
        <v>4147</v>
      </c>
      <c r="G1771" s="18">
        <v>38238</v>
      </c>
      <c r="I1771" s="4">
        <v>100</v>
      </c>
      <c r="K1771" s="11" t="s">
        <v>4148</v>
      </c>
      <c r="L1771" s="4" t="s">
        <v>16</v>
      </c>
      <c r="O1771" s="4" t="s">
        <v>16</v>
      </c>
    </row>
    <row r="1772" spans="2:15" x14ac:dyDescent="0.25">
      <c r="B1772" s="3">
        <v>45226</v>
      </c>
      <c r="C1772" s="11" t="s">
        <v>4149</v>
      </c>
      <c r="D1772" s="11" t="s">
        <v>4152</v>
      </c>
      <c r="E1772" s="7" t="s">
        <v>4150</v>
      </c>
      <c r="I1772" s="4">
        <v>500</v>
      </c>
      <c r="K1772" s="11" t="s">
        <v>4151</v>
      </c>
      <c r="L1772" s="4" t="s">
        <v>16</v>
      </c>
      <c r="O1772" s="4" t="s">
        <v>16</v>
      </c>
    </row>
    <row r="1773" spans="2:15" x14ac:dyDescent="0.25">
      <c r="B1773" s="3">
        <v>45229</v>
      </c>
      <c r="C1773" s="11" t="s">
        <v>4156</v>
      </c>
      <c r="D1773" s="11" t="s">
        <v>4164</v>
      </c>
      <c r="E1773" s="7" t="s">
        <v>4157</v>
      </c>
      <c r="G1773" s="18">
        <v>15716</v>
      </c>
      <c r="I1773" s="4">
        <v>100</v>
      </c>
      <c r="J1773" s="11" t="s">
        <v>4158</v>
      </c>
      <c r="K1773" s="11" t="s">
        <v>4163</v>
      </c>
      <c r="L1773" s="4" t="s">
        <v>19</v>
      </c>
      <c r="O1773" s="4" t="s">
        <v>16</v>
      </c>
    </row>
    <row r="1774" spans="2:15" x14ac:dyDescent="0.25">
      <c r="B1774" s="3">
        <v>45233</v>
      </c>
      <c r="C1774" s="11" t="s">
        <v>4161</v>
      </c>
      <c r="D1774" s="11" t="s">
        <v>4173</v>
      </c>
      <c r="E1774" s="7" t="s">
        <v>4162</v>
      </c>
      <c r="G1774" s="18">
        <v>17179</v>
      </c>
      <c r="I1774" s="4">
        <v>100</v>
      </c>
      <c r="J1774" s="11" t="s">
        <v>4165</v>
      </c>
      <c r="K1774" s="11" t="s">
        <v>4163</v>
      </c>
      <c r="L1774" s="4" t="s">
        <v>19</v>
      </c>
      <c r="O1774" s="4" t="s">
        <v>16</v>
      </c>
    </row>
    <row r="1775" spans="2:15" x14ac:dyDescent="0.25">
      <c r="B1775" s="3">
        <v>45236</v>
      </c>
      <c r="C1775" s="11" t="s">
        <v>4167</v>
      </c>
      <c r="D1775" s="65">
        <v>45255</v>
      </c>
      <c r="E1775" s="7" t="s">
        <v>4172</v>
      </c>
      <c r="G1775" s="18">
        <v>37956</v>
      </c>
      <c r="I1775" s="4">
        <v>100</v>
      </c>
      <c r="J1775" s="11" t="s">
        <v>4171</v>
      </c>
      <c r="K1775" s="11" t="s">
        <v>4240</v>
      </c>
      <c r="L1775" s="4" t="s">
        <v>19</v>
      </c>
      <c r="O1775" s="4" t="s">
        <v>19</v>
      </c>
    </row>
    <row r="1776" spans="2:15" x14ac:dyDescent="0.25">
      <c r="B1776" s="3">
        <v>45236</v>
      </c>
      <c r="C1776" s="11" t="s">
        <v>4168</v>
      </c>
      <c r="D1776" s="11" t="s">
        <v>4178</v>
      </c>
      <c r="E1776" s="58" t="s">
        <v>4169</v>
      </c>
      <c r="G1776" s="18">
        <v>17533</v>
      </c>
      <c r="I1776" s="4">
        <v>500</v>
      </c>
      <c r="J1776" s="11" t="s">
        <v>4170</v>
      </c>
      <c r="K1776" s="11" t="s">
        <v>4179</v>
      </c>
      <c r="L1776" s="4" t="s">
        <v>19</v>
      </c>
      <c r="O1776" s="4" t="s">
        <v>16</v>
      </c>
    </row>
    <row r="1777" spans="1:15" x14ac:dyDescent="0.25">
      <c r="B1777" s="3">
        <v>45243</v>
      </c>
      <c r="C1777" s="11" t="s">
        <v>4192</v>
      </c>
      <c r="D1777" s="11" t="s">
        <v>4201</v>
      </c>
      <c r="E1777" s="7" t="s">
        <v>4193</v>
      </c>
      <c r="G1777" s="18">
        <v>38427</v>
      </c>
      <c r="I1777" s="4">
        <v>150</v>
      </c>
      <c r="J1777" s="11" t="s">
        <v>4194</v>
      </c>
      <c r="K1777" s="11" t="s">
        <v>4195</v>
      </c>
      <c r="L1777" s="4" t="s">
        <v>19</v>
      </c>
      <c r="O1777" s="4" t="s">
        <v>19</v>
      </c>
    </row>
    <row r="1778" spans="1:15" x14ac:dyDescent="0.25">
      <c r="B1778" s="3">
        <v>45244</v>
      </c>
      <c r="C1778" s="11" t="s">
        <v>4198</v>
      </c>
      <c r="D1778" s="11" t="s">
        <v>4210</v>
      </c>
      <c r="E1778" s="7" t="s">
        <v>4199</v>
      </c>
      <c r="G1778" s="18">
        <v>38823</v>
      </c>
      <c r="I1778" s="4">
        <v>500</v>
      </c>
      <c r="J1778" s="11" t="s">
        <v>4205</v>
      </c>
      <c r="K1778" s="11" t="s">
        <v>4200</v>
      </c>
      <c r="L1778" s="4" t="s">
        <v>19</v>
      </c>
      <c r="O1778" s="4" t="s">
        <v>19</v>
      </c>
    </row>
    <row r="1779" spans="1:15" x14ac:dyDescent="0.25">
      <c r="B1779" s="3">
        <v>45246</v>
      </c>
      <c r="C1779" s="11" t="s">
        <v>4213</v>
      </c>
      <c r="D1779" s="11" t="s">
        <v>4221</v>
      </c>
      <c r="E1779" s="7" t="s">
        <v>4214</v>
      </c>
      <c r="G1779" s="18">
        <v>34678</v>
      </c>
      <c r="I1779" s="4">
        <v>200</v>
      </c>
      <c r="J1779" s="11" t="s">
        <v>4216</v>
      </c>
      <c r="K1779" s="11" t="s">
        <v>4215</v>
      </c>
      <c r="L1779" s="4" t="s">
        <v>16</v>
      </c>
      <c r="O1779" s="4" t="s">
        <v>16</v>
      </c>
    </row>
    <row r="1780" spans="1:15" x14ac:dyDescent="0.25">
      <c r="B1780" s="3">
        <v>45247</v>
      </c>
      <c r="C1780" s="11" t="s">
        <v>4218</v>
      </c>
      <c r="E1780" s="7" t="s">
        <v>4219</v>
      </c>
      <c r="G1780" s="18">
        <v>33693</v>
      </c>
      <c r="I1780" s="4">
        <v>100</v>
      </c>
      <c r="J1780" s="11" t="s">
        <v>4222</v>
      </c>
      <c r="K1780" s="11" t="s">
        <v>4223</v>
      </c>
      <c r="L1780" s="4" t="s">
        <v>16</v>
      </c>
    </row>
    <row r="1781" spans="1:15" x14ac:dyDescent="0.25">
      <c r="B1781" s="3">
        <v>45251</v>
      </c>
      <c r="C1781" s="11" t="s">
        <v>4233</v>
      </c>
      <c r="D1781" s="11" t="s">
        <v>4237</v>
      </c>
      <c r="E1781" s="7" t="s">
        <v>4234</v>
      </c>
      <c r="G1781" s="18">
        <v>33024</v>
      </c>
      <c r="I1781" s="4">
        <v>200</v>
      </c>
      <c r="J1781" s="11" t="s">
        <v>4235</v>
      </c>
      <c r="K1781" s="11" t="s">
        <v>4228</v>
      </c>
      <c r="L1781" s="4" t="s">
        <v>16</v>
      </c>
    </row>
    <row r="1782" spans="1:15" x14ac:dyDescent="0.25">
      <c r="A1782" t="s">
        <v>4264</v>
      </c>
      <c r="B1782" s="3">
        <v>45258</v>
      </c>
      <c r="C1782" s="11" t="s">
        <v>4241</v>
      </c>
      <c r="D1782" s="11" t="s">
        <v>4263</v>
      </c>
      <c r="E1782" s="7" t="s">
        <v>4245</v>
      </c>
      <c r="G1782" s="18">
        <v>33604</v>
      </c>
      <c r="I1782" s="4">
        <v>200</v>
      </c>
      <c r="J1782" s="11" t="s">
        <v>4246</v>
      </c>
      <c r="K1782" s="11" t="s">
        <v>4247</v>
      </c>
      <c r="L1782" s="4" t="s">
        <v>16</v>
      </c>
      <c r="O1782" s="4" t="s">
        <v>16</v>
      </c>
    </row>
    <row r="1783" spans="1:15" x14ac:dyDescent="0.25">
      <c r="A1783" t="s">
        <v>4251</v>
      </c>
      <c r="B1783" s="3">
        <v>45258</v>
      </c>
      <c r="C1783" s="11" t="s">
        <v>4242</v>
      </c>
      <c r="D1783" s="11" t="s">
        <v>4263</v>
      </c>
      <c r="E1783" s="7" t="s">
        <v>4249</v>
      </c>
      <c r="G1783" s="18">
        <v>40197</v>
      </c>
      <c r="I1783" s="4">
        <v>100</v>
      </c>
      <c r="J1783" s="11" t="s">
        <v>4250</v>
      </c>
      <c r="K1783" s="11" t="s">
        <v>4248</v>
      </c>
      <c r="L1783" s="4" t="s">
        <v>15</v>
      </c>
      <c r="O1783" s="4" t="s">
        <v>16</v>
      </c>
    </row>
    <row r="1784" spans="1:15" x14ac:dyDescent="0.25">
      <c r="A1784" t="s">
        <v>4258</v>
      </c>
      <c r="B1784" s="3">
        <v>45260</v>
      </c>
      <c r="C1784" s="11" t="s">
        <v>4257</v>
      </c>
      <c r="D1784" s="11" t="s">
        <v>4261</v>
      </c>
      <c r="E1784" s="7" t="s">
        <v>4256</v>
      </c>
      <c r="G1784" s="18">
        <v>36896</v>
      </c>
      <c r="I1784" s="4">
        <v>100</v>
      </c>
      <c r="J1784" s="11" t="s">
        <v>4259</v>
      </c>
      <c r="K1784" s="11" t="s">
        <v>4260</v>
      </c>
      <c r="L1784" s="4" t="s">
        <v>16</v>
      </c>
      <c r="O1784" s="4" t="s">
        <v>16</v>
      </c>
    </row>
    <row r="1785" spans="1:15" x14ac:dyDescent="0.25">
      <c r="A1785" t="s">
        <v>4272</v>
      </c>
      <c r="B1785" s="3">
        <v>45264</v>
      </c>
      <c r="C1785" s="11" t="s">
        <v>4273</v>
      </c>
      <c r="D1785" s="11" t="s">
        <v>4283</v>
      </c>
      <c r="E1785" s="7" t="s">
        <v>4274</v>
      </c>
      <c r="G1785" s="18">
        <v>36654</v>
      </c>
      <c r="I1785" s="4">
        <v>200</v>
      </c>
      <c r="J1785" s="11" t="s">
        <v>4276</v>
      </c>
      <c r="K1785" s="11" t="s">
        <v>4275</v>
      </c>
      <c r="L1785" s="4" t="s">
        <v>16</v>
      </c>
      <c r="O1785" s="4" t="s">
        <v>16</v>
      </c>
    </row>
    <row r="1786" spans="1:15" x14ac:dyDescent="0.25">
      <c r="A1786" t="s">
        <v>4288</v>
      </c>
      <c r="B1786" s="3">
        <v>45268</v>
      </c>
      <c r="C1786" s="11" t="s">
        <v>4285</v>
      </c>
      <c r="D1786" s="11" t="s">
        <v>4294</v>
      </c>
      <c r="E1786" s="7" t="s">
        <v>4286</v>
      </c>
      <c r="G1786" s="18">
        <v>33249</v>
      </c>
      <c r="I1786" s="4">
        <v>1000</v>
      </c>
      <c r="J1786" s="11" t="s">
        <v>4287</v>
      </c>
      <c r="K1786" s="11" t="s">
        <v>4295</v>
      </c>
      <c r="L1786" s="4" t="s">
        <v>16</v>
      </c>
      <c r="O1786" s="4" t="s">
        <v>16</v>
      </c>
    </row>
    <row r="1787" spans="1:15" x14ac:dyDescent="0.25">
      <c r="A1787" t="s">
        <v>4290</v>
      </c>
      <c r="B1787" s="3">
        <v>45269</v>
      </c>
      <c r="C1787" s="11" t="s">
        <v>4291</v>
      </c>
      <c r="D1787" s="11" t="s">
        <v>4305</v>
      </c>
      <c r="E1787" s="7" t="s">
        <v>4292</v>
      </c>
      <c r="G1787" s="18">
        <v>30936</v>
      </c>
      <c r="I1787" s="4">
        <v>2000</v>
      </c>
      <c r="J1787" s="11" t="s">
        <v>4299</v>
      </c>
      <c r="K1787" s="11" t="s">
        <v>4293</v>
      </c>
      <c r="L1787" s="4" t="s">
        <v>16</v>
      </c>
      <c r="O1787" s="4" t="s">
        <v>16</v>
      </c>
    </row>
    <row r="1788" spans="1:15" x14ac:dyDescent="0.25">
      <c r="A1788" t="s">
        <v>4310</v>
      </c>
      <c r="B1788" s="3">
        <v>45269</v>
      </c>
      <c r="C1788" s="11" t="s">
        <v>4300</v>
      </c>
      <c r="D1788" s="11" t="s">
        <v>4319</v>
      </c>
      <c r="E1788" s="7" t="s">
        <v>107</v>
      </c>
      <c r="G1788" s="18">
        <v>32143</v>
      </c>
      <c r="I1788" s="4">
        <v>200</v>
      </c>
      <c r="J1788" s="11" t="s">
        <v>4320</v>
      </c>
      <c r="K1788" s="11" t="s">
        <v>4301</v>
      </c>
      <c r="L1788" s="4" t="s">
        <v>19</v>
      </c>
      <c r="O1788" s="4" t="s">
        <v>16</v>
      </c>
    </row>
    <row r="1789" spans="1:15" x14ac:dyDescent="0.25">
      <c r="A1789" t="s">
        <v>4309</v>
      </c>
      <c r="B1789" s="3">
        <v>45273</v>
      </c>
      <c r="C1789" s="11" t="s">
        <v>4311</v>
      </c>
      <c r="D1789" s="11" t="s">
        <v>4323</v>
      </c>
      <c r="E1789" s="7" t="s">
        <v>4312</v>
      </c>
      <c r="G1789" s="18">
        <v>36598</v>
      </c>
      <c r="I1789" s="4">
        <v>500</v>
      </c>
      <c r="J1789" s="11" t="s">
        <v>4315</v>
      </c>
      <c r="K1789" s="11" t="s">
        <v>4313</v>
      </c>
      <c r="L1789" s="4" t="s">
        <v>16</v>
      </c>
      <c r="O1789" s="4" t="s">
        <v>16</v>
      </c>
    </row>
    <row r="1790" spans="1:15" x14ac:dyDescent="0.25">
      <c r="A1790" t="s">
        <v>4343</v>
      </c>
      <c r="B1790" s="3">
        <v>45275</v>
      </c>
      <c r="C1790" s="11" t="s">
        <v>4321</v>
      </c>
      <c r="E1790" s="58" t="s">
        <v>4322</v>
      </c>
      <c r="I1790" s="4">
        <v>200</v>
      </c>
      <c r="L1790" s="4" t="s">
        <v>16</v>
      </c>
      <c r="O1790" s="4" t="s">
        <v>16</v>
      </c>
    </row>
    <row r="1791" spans="1:15" x14ac:dyDescent="0.25">
      <c r="B1791" s="3">
        <v>45276</v>
      </c>
      <c r="C1791" s="11" t="s">
        <v>4326</v>
      </c>
      <c r="E1791" s="7" t="s">
        <v>4324</v>
      </c>
      <c r="G1791" s="18">
        <v>38021</v>
      </c>
      <c r="I1791" s="4">
        <v>150</v>
      </c>
      <c r="J1791" s="11" t="s">
        <v>4325</v>
      </c>
      <c r="K1791" s="11" t="s">
        <v>3579</v>
      </c>
      <c r="L1791" s="4" t="s">
        <v>16</v>
      </c>
      <c r="O1791" s="4" t="s">
        <v>16</v>
      </c>
    </row>
    <row r="1792" spans="1:15" x14ac:dyDescent="0.25">
      <c r="A1792" t="s">
        <v>4333</v>
      </c>
      <c r="B1792" s="3">
        <v>45286</v>
      </c>
      <c r="C1792" s="11" t="s">
        <v>4329</v>
      </c>
      <c r="D1792" s="11" t="s">
        <v>4342</v>
      </c>
      <c r="E1792" s="7" t="s">
        <v>4330</v>
      </c>
      <c r="G1792" s="18">
        <v>39760</v>
      </c>
      <c r="I1792" s="4">
        <v>100</v>
      </c>
      <c r="J1792" s="11" t="s">
        <v>4340</v>
      </c>
      <c r="K1792" s="11" t="s">
        <v>4341</v>
      </c>
      <c r="L1792" s="4" t="s">
        <v>19</v>
      </c>
      <c r="O1792" s="4" t="s">
        <v>16</v>
      </c>
    </row>
    <row r="1793" spans="1:15" x14ac:dyDescent="0.25">
      <c r="A1793" t="s">
        <v>4352</v>
      </c>
      <c r="B1793" s="3">
        <v>44929</v>
      </c>
      <c r="C1793" s="11" t="s">
        <v>4361</v>
      </c>
      <c r="D1793" s="11" t="s">
        <v>4386</v>
      </c>
      <c r="E1793" s="7" t="s">
        <v>4362</v>
      </c>
      <c r="G1793" s="18">
        <v>39305</v>
      </c>
      <c r="I1793" s="4">
        <v>200</v>
      </c>
      <c r="J1793" s="11" t="s">
        <v>4363</v>
      </c>
      <c r="O1793" s="4" t="s">
        <v>16</v>
      </c>
    </row>
    <row r="1794" spans="1:15" x14ac:dyDescent="0.25">
      <c r="A1794" t="s">
        <v>4347</v>
      </c>
      <c r="B1794" s="3">
        <v>44929</v>
      </c>
      <c r="C1794" s="11" t="s">
        <v>4348</v>
      </c>
      <c r="D1794" s="11" t="s">
        <v>4413</v>
      </c>
      <c r="E1794" s="7" t="s">
        <v>4349</v>
      </c>
      <c r="G1794" s="18">
        <v>30317</v>
      </c>
      <c r="I1794" s="4">
        <v>200</v>
      </c>
      <c r="J1794" s="11" t="s">
        <v>4350</v>
      </c>
      <c r="K1794" s="11" t="s">
        <v>4351</v>
      </c>
      <c r="L1794" s="4" t="s">
        <v>16</v>
      </c>
      <c r="O1794" s="4" t="s">
        <v>16</v>
      </c>
    </row>
    <row r="1795" spans="1:15" x14ac:dyDescent="0.25">
      <c r="A1795" t="s">
        <v>4365</v>
      </c>
      <c r="B1795" s="3">
        <v>45295</v>
      </c>
      <c r="C1795" s="69" t="s">
        <v>4364</v>
      </c>
      <c r="D1795" s="11" t="s">
        <v>4381</v>
      </c>
      <c r="E1795" s="7" t="s">
        <v>4357</v>
      </c>
      <c r="G1795" s="18">
        <v>23735</v>
      </c>
      <c r="I1795" s="4">
        <v>2000</v>
      </c>
      <c r="J1795" s="11" t="s">
        <v>4366</v>
      </c>
      <c r="K1795" s="11" t="s">
        <v>4382</v>
      </c>
      <c r="L1795" s="4" t="s">
        <v>16</v>
      </c>
      <c r="O1795" s="4" t="s">
        <v>16</v>
      </c>
    </row>
    <row r="1796" spans="1:15" x14ac:dyDescent="0.25">
      <c r="A1796" t="s">
        <v>4368</v>
      </c>
      <c r="B1796" s="3">
        <v>45296</v>
      </c>
      <c r="C1796" s="11" t="s">
        <v>4367</v>
      </c>
      <c r="D1796" s="11" t="s">
        <v>4413</v>
      </c>
      <c r="E1796" s="7" t="s">
        <v>4369</v>
      </c>
      <c r="G1796" s="18">
        <v>38353</v>
      </c>
      <c r="I1796" s="4">
        <v>150</v>
      </c>
      <c r="J1796" s="11" t="s">
        <v>4371</v>
      </c>
      <c r="K1796" s="11" t="s">
        <v>4370</v>
      </c>
      <c r="L1796" s="4" t="s">
        <v>16</v>
      </c>
      <c r="O1796" s="4" t="s">
        <v>2551</v>
      </c>
    </row>
    <row r="1797" spans="1:15" x14ac:dyDescent="0.25">
      <c r="A1797" t="s">
        <v>4374</v>
      </c>
      <c r="B1797" s="3">
        <v>45297</v>
      </c>
      <c r="C1797" s="11" t="s">
        <v>4375</v>
      </c>
      <c r="D1797" s="11" t="s">
        <v>4395</v>
      </c>
      <c r="E1797" s="7" t="s">
        <v>4376</v>
      </c>
      <c r="G1797" s="18">
        <v>38022</v>
      </c>
      <c r="I1797" s="4">
        <v>1000</v>
      </c>
      <c r="J1797" s="11" t="s">
        <v>4377</v>
      </c>
      <c r="K1797" s="11" t="s">
        <v>4378</v>
      </c>
      <c r="L1797" s="4" t="s">
        <v>16</v>
      </c>
      <c r="O1797" s="4" t="s">
        <v>16</v>
      </c>
    </row>
    <row r="1798" spans="1:15" x14ac:dyDescent="0.25">
      <c r="A1798" t="s">
        <v>4402</v>
      </c>
      <c r="B1798" s="3">
        <v>45300</v>
      </c>
      <c r="C1798" s="11" t="s">
        <v>4397</v>
      </c>
      <c r="D1798" s="11" t="s">
        <v>4411</v>
      </c>
      <c r="E1798" s="7" t="s">
        <v>4398</v>
      </c>
      <c r="G1798" s="18">
        <v>39236</v>
      </c>
      <c r="I1798" s="4">
        <v>100</v>
      </c>
      <c r="J1798" s="11" t="s">
        <v>4399</v>
      </c>
      <c r="K1798" s="11" t="s">
        <v>4396</v>
      </c>
      <c r="L1798" s="4" t="s">
        <v>19</v>
      </c>
      <c r="M1798" s="4">
        <f>95.45*5</f>
        <v>477.25</v>
      </c>
      <c r="O1798" s="4" t="s">
        <v>19</v>
      </c>
    </row>
    <row r="1799" spans="1:15" x14ac:dyDescent="0.25">
      <c r="A1799" t="s">
        <v>4401</v>
      </c>
      <c r="B1799" s="3">
        <v>45301</v>
      </c>
      <c r="C1799" s="11" t="s">
        <v>4400</v>
      </c>
      <c r="D1799" s="11" t="s">
        <v>4418</v>
      </c>
      <c r="E1799" s="7" t="s">
        <v>4408</v>
      </c>
      <c r="G1799" s="18">
        <v>23528</v>
      </c>
      <c r="I1799" s="4">
        <v>100</v>
      </c>
      <c r="J1799" s="11" t="s">
        <v>4409</v>
      </c>
      <c r="K1799" s="11" t="s">
        <v>4407</v>
      </c>
      <c r="L1799" s="4" t="s">
        <v>16</v>
      </c>
      <c r="O1799" s="4" t="s">
        <v>16</v>
      </c>
    </row>
    <row r="1800" spans="1:15" x14ac:dyDescent="0.25">
      <c r="A1800" t="s">
        <v>4403</v>
      </c>
      <c r="B1800" s="3">
        <v>45301</v>
      </c>
      <c r="C1800" s="11" t="s">
        <v>4404</v>
      </c>
      <c r="D1800" s="11" t="s">
        <v>4418</v>
      </c>
      <c r="E1800" s="7" t="s">
        <v>4405</v>
      </c>
      <c r="G1800" s="18">
        <v>34706</v>
      </c>
      <c r="I1800" s="4">
        <v>100</v>
      </c>
      <c r="J1800" s="11" t="s">
        <v>4410</v>
      </c>
      <c r="K1800" s="11" t="s">
        <v>4406</v>
      </c>
      <c r="L1800" s="4" t="s">
        <v>16</v>
      </c>
      <c r="O1800" s="4" t="s">
        <v>16</v>
      </c>
    </row>
    <row r="1801" spans="1:15" x14ac:dyDescent="0.25">
      <c r="A1801" t="s">
        <v>4428</v>
      </c>
      <c r="B1801" s="3">
        <v>45320</v>
      </c>
      <c r="C1801" s="11" t="s">
        <v>4431</v>
      </c>
      <c r="D1801" s="11" t="s">
        <v>4438</v>
      </c>
      <c r="E1801" s="7" t="s">
        <v>4430</v>
      </c>
      <c r="G1801" s="18">
        <v>38636</v>
      </c>
      <c r="I1801" s="4">
        <v>200</v>
      </c>
      <c r="J1801" s="11" t="s">
        <v>4439</v>
      </c>
      <c r="K1801" s="11" t="s">
        <v>4429</v>
      </c>
      <c r="L1801" s="4" t="s">
        <v>19</v>
      </c>
      <c r="O1801" s="4" t="s">
        <v>16</v>
      </c>
    </row>
    <row r="1802" spans="1:15" x14ac:dyDescent="0.25">
      <c r="A1802" t="s">
        <v>4434</v>
      </c>
      <c r="B1802" s="3">
        <v>45322</v>
      </c>
      <c r="C1802" s="11" t="s">
        <v>4435</v>
      </c>
      <c r="E1802" s="7" t="s">
        <v>4436</v>
      </c>
      <c r="I1802" s="4">
        <v>100</v>
      </c>
      <c r="K1802" s="11" t="s">
        <v>4437</v>
      </c>
      <c r="L1802" s="4" t="s">
        <v>19</v>
      </c>
      <c r="O1802" s="4" t="s">
        <v>16</v>
      </c>
    </row>
    <row r="1803" spans="1:15" x14ac:dyDescent="0.25">
      <c r="A1803" t="s">
        <v>4442</v>
      </c>
      <c r="B1803" s="3">
        <v>45330</v>
      </c>
      <c r="C1803" s="11" t="s">
        <v>4446</v>
      </c>
      <c r="E1803" s="7" t="s">
        <v>4443</v>
      </c>
      <c r="G1803" s="18">
        <v>22812</v>
      </c>
      <c r="I1803" s="4">
        <v>100</v>
      </c>
      <c r="J1803" s="11" t="s">
        <v>4444</v>
      </c>
      <c r="K1803" s="11" t="s">
        <v>4445</v>
      </c>
      <c r="L1803" s="4" t="s">
        <v>19</v>
      </c>
      <c r="O1803" s="4" t="s">
        <v>16</v>
      </c>
    </row>
    <row r="1804" spans="1:15" x14ac:dyDescent="0.25">
      <c r="A1804" t="s">
        <v>4447</v>
      </c>
      <c r="B1804" s="3">
        <v>45331</v>
      </c>
      <c r="C1804" s="11" t="s">
        <v>4448</v>
      </c>
      <c r="E1804" s="7" t="s">
        <v>4449</v>
      </c>
      <c r="I1804" s="4">
        <v>150</v>
      </c>
      <c r="K1804" s="11" t="s">
        <v>4450</v>
      </c>
      <c r="L1804" s="4" t="s">
        <v>19</v>
      </c>
      <c r="O1804" s="4" t="s">
        <v>16</v>
      </c>
    </row>
    <row r="1805" spans="1:15" x14ac:dyDescent="0.25">
      <c r="A1805" t="s">
        <v>4452</v>
      </c>
      <c r="B1805" s="3">
        <v>45332</v>
      </c>
      <c r="C1805" s="11" t="s">
        <v>4453</v>
      </c>
      <c r="D1805" s="11" t="s">
        <v>4500</v>
      </c>
      <c r="E1805" s="7" t="s">
        <v>4454</v>
      </c>
      <c r="G1805" s="55">
        <v>1965</v>
      </c>
      <c r="I1805" s="4">
        <v>400</v>
      </c>
      <c r="K1805" s="11" t="s">
        <v>4458</v>
      </c>
      <c r="L1805" s="4" t="s">
        <v>19</v>
      </c>
      <c r="O1805" s="4" t="s">
        <v>16</v>
      </c>
    </row>
    <row r="1806" spans="1:15" x14ac:dyDescent="0.25">
      <c r="A1806" t="s">
        <v>4455</v>
      </c>
      <c r="B1806" s="3">
        <v>45334</v>
      </c>
      <c r="C1806" s="11" t="s">
        <v>4490</v>
      </c>
      <c r="D1806" s="11" t="s">
        <v>4501</v>
      </c>
      <c r="E1806" s="7" t="s">
        <v>4491</v>
      </c>
      <c r="I1806" s="4">
        <v>200</v>
      </c>
      <c r="J1806" s="11" t="s">
        <v>4533</v>
      </c>
      <c r="K1806" s="11" t="s">
        <v>4502</v>
      </c>
      <c r="L1806" s="4" t="s">
        <v>19</v>
      </c>
      <c r="O1806" s="4" t="s">
        <v>16</v>
      </c>
    </row>
    <row r="1807" spans="1:15" x14ac:dyDescent="0.25">
      <c r="A1807" t="s">
        <v>4462</v>
      </c>
      <c r="B1807" s="3">
        <v>44976</v>
      </c>
      <c r="C1807" s="11" t="s">
        <v>4463</v>
      </c>
      <c r="E1807" s="7" t="s">
        <v>4464</v>
      </c>
      <c r="I1807" s="4">
        <v>100</v>
      </c>
      <c r="J1807" s="11" t="s">
        <v>4471</v>
      </c>
      <c r="K1807" s="11" t="s">
        <v>4470</v>
      </c>
      <c r="L1807" s="4" t="s">
        <v>19</v>
      </c>
      <c r="O1807" s="4" t="s">
        <v>16</v>
      </c>
    </row>
    <row r="1808" spans="1:15" x14ac:dyDescent="0.25">
      <c r="A1808" t="s">
        <v>4465</v>
      </c>
      <c r="B1808" s="3">
        <v>44976</v>
      </c>
      <c r="C1808" s="11" t="s">
        <v>4466</v>
      </c>
      <c r="E1808" s="7" t="s">
        <v>4467</v>
      </c>
      <c r="I1808" s="4">
        <v>100</v>
      </c>
      <c r="J1808" s="11" t="s">
        <v>4469</v>
      </c>
      <c r="K1808" s="11" t="s">
        <v>4468</v>
      </c>
      <c r="L1808" s="4" t="s">
        <v>19</v>
      </c>
      <c r="O1808" s="4" t="s">
        <v>16</v>
      </c>
    </row>
    <row r="1809" spans="1:15" x14ac:dyDescent="0.25">
      <c r="A1809" t="s">
        <v>4474</v>
      </c>
      <c r="B1809" s="3">
        <v>44977</v>
      </c>
      <c r="C1809" s="11" t="s">
        <v>4476</v>
      </c>
      <c r="D1809" s="11" t="s">
        <v>4538</v>
      </c>
      <c r="E1809" s="7" t="s">
        <v>2387</v>
      </c>
      <c r="I1809" s="4">
        <v>100</v>
      </c>
      <c r="J1809" s="11" t="s">
        <v>4545</v>
      </c>
      <c r="K1809" s="11" t="s">
        <v>4544</v>
      </c>
      <c r="L1809" s="4" t="s">
        <v>19</v>
      </c>
      <c r="O1809" s="4" t="s">
        <v>15</v>
      </c>
    </row>
    <row r="1810" spans="1:15" x14ac:dyDescent="0.25">
      <c r="A1810" t="s">
        <v>4475</v>
      </c>
      <c r="B1810" s="3">
        <v>44977</v>
      </c>
      <c r="C1810" s="11" t="s">
        <v>4477</v>
      </c>
      <c r="D1810" s="11" t="s">
        <v>4519</v>
      </c>
      <c r="E1810" s="7" t="s">
        <v>4479</v>
      </c>
      <c r="I1810" s="4">
        <v>100</v>
      </c>
      <c r="K1810" s="11" t="s">
        <v>4478</v>
      </c>
      <c r="L1810" s="4" t="s">
        <v>14</v>
      </c>
      <c r="O1810" s="4" t="s">
        <v>16</v>
      </c>
    </row>
    <row r="1811" spans="1:15" x14ac:dyDescent="0.25">
      <c r="A1811" t="s">
        <v>4480</v>
      </c>
      <c r="B1811" s="3">
        <v>44977</v>
      </c>
      <c r="C1811" s="11" t="s">
        <v>4481</v>
      </c>
      <c r="D1811" s="11" t="s">
        <v>4554</v>
      </c>
      <c r="E1811" s="7" t="s">
        <v>4482</v>
      </c>
      <c r="I1811" s="4">
        <v>100</v>
      </c>
      <c r="K1811" s="11" t="s">
        <v>4483</v>
      </c>
      <c r="L1811" s="4" t="s">
        <v>19</v>
      </c>
      <c r="O1811" s="4" t="s">
        <v>16</v>
      </c>
    </row>
    <row r="1812" spans="1:15" x14ac:dyDescent="0.25">
      <c r="A1812" t="s">
        <v>4484</v>
      </c>
      <c r="B1812" s="3">
        <v>44977</v>
      </c>
      <c r="C1812" s="11" t="s">
        <v>4487</v>
      </c>
      <c r="E1812" s="7" t="s">
        <v>4486</v>
      </c>
      <c r="I1812" s="4">
        <v>200</v>
      </c>
      <c r="J1812" s="11" t="s">
        <v>4488</v>
      </c>
      <c r="K1812" s="11" t="s">
        <v>4485</v>
      </c>
      <c r="L1812" s="4" t="s">
        <v>19</v>
      </c>
      <c r="O1812" s="4" t="s">
        <v>16</v>
      </c>
    </row>
    <row r="1813" spans="1:15" x14ac:dyDescent="0.25">
      <c r="A1813" t="s">
        <v>4492</v>
      </c>
      <c r="B1813" s="3">
        <v>45343</v>
      </c>
      <c r="C1813" s="11" t="s">
        <v>4493</v>
      </c>
      <c r="D1813" s="11" t="s">
        <v>4554</v>
      </c>
      <c r="E1813" s="7" t="s">
        <v>4531</v>
      </c>
      <c r="I1813" s="4">
        <v>500</v>
      </c>
      <c r="K1813" s="11" t="s">
        <v>4494</v>
      </c>
      <c r="L1813" s="4" t="s">
        <v>16</v>
      </c>
      <c r="O1813" s="4" t="s">
        <v>16</v>
      </c>
    </row>
    <row r="1814" spans="1:15" x14ac:dyDescent="0.25">
      <c r="A1814" t="s">
        <v>4495</v>
      </c>
      <c r="B1814" s="3">
        <v>45343</v>
      </c>
      <c r="C1814" s="11" t="s">
        <v>4499</v>
      </c>
      <c r="D1814" s="11" t="s">
        <v>4519</v>
      </c>
      <c r="E1814" s="7" t="s">
        <v>4497</v>
      </c>
      <c r="G1814" s="18">
        <v>25539</v>
      </c>
      <c r="I1814" s="4">
        <v>500</v>
      </c>
      <c r="J1814" s="11" t="s">
        <v>4498</v>
      </c>
      <c r="K1814" s="11" t="s">
        <v>4496</v>
      </c>
      <c r="L1814" s="4" t="s">
        <v>16</v>
      </c>
      <c r="O1814" s="4" t="s">
        <v>16</v>
      </c>
    </row>
    <row r="1815" spans="1:15" x14ac:dyDescent="0.25">
      <c r="A1815" t="s">
        <v>4503</v>
      </c>
      <c r="B1815" s="3">
        <v>45343</v>
      </c>
      <c r="C1815" s="11" t="s">
        <v>4504</v>
      </c>
      <c r="D1815" s="11" t="s">
        <v>4538</v>
      </c>
      <c r="E1815" s="7" t="s">
        <v>1058</v>
      </c>
      <c r="G1815" s="18">
        <v>25731</v>
      </c>
      <c r="I1815" s="4">
        <v>100</v>
      </c>
      <c r="J1815" s="11" t="s">
        <v>4506</v>
      </c>
      <c r="K1815" s="11" t="s">
        <v>4505</v>
      </c>
      <c r="L1815" s="4" t="s">
        <v>16</v>
      </c>
      <c r="O1815" s="4" t="s">
        <v>19</v>
      </c>
    </row>
    <row r="1816" spans="1:15" x14ac:dyDescent="0.25">
      <c r="A1816" t="s">
        <v>4508</v>
      </c>
      <c r="B1816" s="3">
        <v>45343</v>
      </c>
      <c r="C1816" s="11" t="s">
        <v>4509</v>
      </c>
      <c r="D1816" s="11" t="s">
        <v>4879</v>
      </c>
      <c r="E1816" s="7" t="s">
        <v>4510</v>
      </c>
      <c r="G1816" s="18">
        <v>31445</v>
      </c>
      <c r="I1816" s="4">
        <v>100</v>
      </c>
      <c r="J1816" s="11" t="s">
        <v>4511</v>
      </c>
      <c r="K1816" s="11" t="s">
        <v>4512</v>
      </c>
      <c r="L1816" s="4" t="s">
        <v>16</v>
      </c>
      <c r="O1816" s="4" t="s">
        <v>16</v>
      </c>
    </row>
    <row r="1817" spans="1:15" x14ac:dyDescent="0.25">
      <c r="A1817" t="s">
        <v>4514</v>
      </c>
      <c r="B1817" s="3">
        <v>45344</v>
      </c>
      <c r="C1817" s="11" t="s">
        <v>4517</v>
      </c>
      <c r="D1817" s="11" t="s">
        <v>4554</v>
      </c>
      <c r="E1817" s="7" t="s">
        <v>4515</v>
      </c>
      <c r="G1817" s="18">
        <v>24337</v>
      </c>
      <c r="I1817" s="4">
        <v>500</v>
      </c>
      <c r="J1817" s="11" t="s">
        <v>4516</v>
      </c>
      <c r="K1817" s="11" t="s">
        <v>4518</v>
      </c>
      <c r="L1817" s="4" t="s">
        <v>16</v>
      </c>
      <c r="O1817" s="4" t="s">
        <v>16</v>
      </c>
    </row>
    <row r="1818" spans="1:15" x14ac:dyDescent="0.25">
      <c r="B1818" s="3">
        <v>45344</v>
      </c>
      <c r="C1818" s="11" t="s">
        <v>4525</v>
      </c>
      <c r="D1818" s="11" t="s">
        <v>4538</v>
      </c>
      <c r="E1818" s="7" t="s">
        <v>4524</v>
      </c>
      <c r="G1818" s="18">
        <v>25851</v>
      </c>
      <c r="I1818" s="4">
        <v>100</v>
      </c>
      <c r="J1818" s="11" t="s">
        <v>4527</v>
      </c>
      <c r="K1818" s="11" t="s">
        <v>4523</v>
      </c>
      <c r="L1818" s="4" t="s">
        <v>16</v>
      </c>
      <c r="O1818" s="4" t="s">
        <v>16</v>
      </c>
    </row>
    <row r="1819" spans="1:15" x14ac:dyDescent="0.25">
      <c r="A1819" t="s">
        <v>4520</v>
      </c>
      <c r="B1819" s="3">
        <v>45344</v>
      </c>
      <c r="C1819" s="11" t="s">
        <v>4526</v>
      </c>
      <c r="D1819" s="11" t="s">
        <v>4538</v>
      </c>
      <c r="E1819" s="7" t="s">
        <v>4521</v>
      </c>
      <c r="G1819" s="18">
        <v>22375</v>
      </c>
      <c r="I1819" s="4">
        <v>100</v>
      </c>
      <c r="J1819" s="11" t="s">
        <v>4528</v>
      </c>
      <c r="K1819" s="11" t="s">
        <v>4522</v>
      </c>
      <c r="L1819" s="4" t="s">
        <v>16</v>
      </c>
      <c r="O1819" s="4" t="s">
        <v>16</v>
      </c>
    </row>
    <row r="1820" spans="1:15" x14ac:dyDescent="0.25">
      <c r="A1820" t="s">
        <v>4556</v>
      </c>
      <c r="B1820" s="3">
        <v>45344</v>
      </c>
      <c r="C1820" s="11" t="s">
        <v>4529</v>
      </c>
      <c r="D1820" s="11" t="s">
        <v>4554</v>
      </c>
      <c r="E1820" s="58" t="s">
        <v>4530</v>
      </c>
      <c r="F1820"/>
      <c r="G1820" s="18">
        <v>26665</v>
      </c>
      <c r="I1820" s="4">
        <v>100</v>
      </c>
      <c r="J1820" s="11" t="s">
        <v>4555</v>
      </c>
      <c r="K1820" s="11" t="s">
        <v>4532</v>
      </c>
      <c r="L1820" s="4" t="s">
        <v>16</v>
      </c>
      <c r="O1820" s="4" t="s">
        <v>16</v>
      </c>
    </row>
    <row r="1821" spans="1:15" x14ac:dyDescent="0.25">
      <c r="A1821" t="s">
        <v>4534</v>
      </c>
      <c r="B1821" s="3">
        <v>45344</v>
      </c>
      <c r="C1821" s="11" t="s">
        <v>4535</v>
      </c>
      <c r="D1821" s="11" t="s">
        <v>4559</v>
      </c>
      <c r="E1821" s="7" t="s">
        <v>4536</v>
      </c>
      <c r="G1821" s="18">
        <v>34429</v>
      </c>
      <c r="I1821" s="4">
        <v>2000</v>
      </c>
      <c r="J1821" s="11" t="s">
        <v>4537</v>
      </c>
      <c r="K1821" s="11" t="s">
        <v>4560</v>
      </c>
      <c r="L1821" s="4" t="s">
        <v>19</v>
      </c>
      <c r="O1821" s="4" t="s">
        <v>16</v>
      </c>
    </row>
    <row r="1822" spans="1:15" x14ac:dyDescent="0.25">
      <c r="A1822" t="s">
        <v>4539</v>
      </c>
      <c r="B1822" s="3">
        <v>45345</v>
      </c>
      <c r="C1822" s="11" t="s">
        <v>4540</v>
      </c>
      <c r="E1822" s="7" t="s">
        <v>4541</v>
      </c>
      <c r="I1822" s="4">
        <v>500</v>
      </c>
      <c r="J1822" s="11" t="s">
        <v>4542</v>
      </c>
      <c r="K1822" s="11" t="s">
        <v>4543</v>
      </c>
      <c r="L1822" s="4" t="s">
        <v>19</v>
      </c>
      <c r="O1822" s="4" t="s">
        <v>16</v>
      </c>
    </row>
    <row r="1823" spans="1:15" x14ac:dyDescent="0.25">
      <c r="A1823" t="s">
        <v>4546</v>
      </c>
      <c r="B1823" s="3">
        <v>45345</v>
      </c>
      <c r="C1823" s="11" t="s">
        <v>4547</v>
      </c>
      <c r="D1823" s="11" t="s">
        <v>4591</v>
      </c>
      <c r="E1823" s="7" t="s">
        <v>4548</v>
      </c>
      <c r="G1823" s="18">
        <v>33411</v>
      </c>
      <c r="I1823" s="4">
        <v>100</v>
      </c>
      <c r="J1823" s="11" t="s">
        <v>4549</v>
      </c>
      <c r="K1823" s="11" t="s">
        <v>4550</v>
      </c>
      <c r="L1823" s="4" t="s">
        <v>16</v>
      </c>
      <c r="O1823" s="4" t="s">
        <v>16</v>
      </c>
    </row>
    <row r="1824" spans="1:15" x14ac:dyDescent="0.25">
      <c r="B1824" s="3">
        <v>45348</v>
      </c>
      <c r="C1824" s="11" t="s">
        <v>4561</v>
      </c>
      <c r="E1824" s="7" t="s">
        <v>4562</v>
      </c>
      <c r="F1824" s="7" t="s">
        <v>4592</v>
      </c>
      <c r="I1824" s="4">
        <v>400</v>
      </c>
      <c r="K1824" s="11" t="s">
        <v>4563</v>
      </c>
      <c r="L1824" s="4" t="s">
        <v>16</v>
      </c>
      <c r="O1824" s="4" t="s">
        <v>16</v>
      </c>
    </row>
    <row r="1825" spans="1:15" x14ac:dyDescent="0.25">
      <c r="A1825" t="s">
        <v>4593</v>
      </c>
      <c r="B1825" s="3">
        <v>45348</v>
      </c>
      <c r="C1825" s="11" t="s">
        <v>4566</v>
      </c>
      <c r="D1825" s="11" t="s">
        <v>4591</v>
      </c>
      <c r="E1825" s="7" t="s">
        <v>4564</v>
      </c>
      <c r="I1825" s="4">
        <v>100</v>
      </c>
      <c r="K1825" s="11" t="s">
        <v>4565</v>
      </c>
      <c r="L1825" s="4" t="s">
        <v>16</v>
      </c>
      <c r="O1825" s="4" t="s">
        <v>19</v>
      </c>
    </row>
    <row r="1826" spans="1:15" x14ac:dyDescent="0.25">
      <c r="A1826" t="s">
        <v>4602</v>
      </c>
      <c r="B1826" s="3">
        <v>45348</v>
      </c>
      <c r="C1826" s="11" t="s">
        <v>4567</v>
      </c>
      <c r="D1826" s="11" t="s">
        <v>4601</v>
      </c>
      <c r="E1826" s="7" t="s">
        <v>4568</v>
      </c>
      <c r="G1826" s="18">
        <v>30973</v>
      </c>
      <c r="I1826" s="4">
        <v>100</v>
      </c>
      <c r="L1826" s="4" t="s">
        <v>16</v>
      </c>
      <c r="O1826" s="4" t="s">
        <v>16</v>
      </c>
    </row>
    <row r="1827" spans="1:15" x14ac:dyDescent="0.25">
      <c r="A1827" t="s">
        <v>4569</v>
      </c>
      <c r="B1827" s="3">
        <v>45349</v>
      </c>
      <c r="C1827" s="11" t="s">
        <v>4572</v>
      </c>
      <c r="D1827" s="11" t="s">
        <v>4601</v>
      </c>
      <c r="E1827" s="7" t="s">
        <v>4570</v>
      </c>
      <c r="G1827" s="18">
        <v>21916</v>
      </c>
      <c r="I1827" s="4">
        <v>100</v>
      </c>
      <c r="K1827" s="11" t="s">
        <v>4571</v>
      </c>
      <c r="L1827" s="4" t="s">
        <v>19</v>
      </c>
      <c r="O1827" s="4" t="s">
        <v>16</v>
      </c>
    </row>
    <row r="1828" spans="1:15" x14ac:dyDescent="0.25">
      <c r="A1828" t="s">
        <v>4573</v>
      </c>
      <c r="B1828" s="3">
        <v>45349</v>
      </c>
      <c r="C1828" s="11" t="s">
        <v>4575</v>
      </c>
      <c r="E1828" s="7" t="s">
        <v>4576</v>
      </c>
      <c r="G1828" s="18">
        <v>22689</v>
      </c>
      <c r="I1828" s="4">
        <v>100</v>
      </c>
      <c r="K1828" s="11" t="s">
        <v>4574</v>
      </c>
      <c r="L1828" s="4" t="s">
        <v>14</v>
      </c>
      <c r="O1828" s="4" t="s">
        <v>16</v>
      </c>
    </row>
    <row r="1829" spans="1:15" x14ac:dyDescent="0.25">
      <c r="A1829" t="s">
        <v>4578</v>
      </c>
      <c r="B1829" s="3">
        <v>45349</v>
      </c>
      <c r="C1829" s="11" t="s">
        <v>4579</v>
      </c>
      <c r="D1829" s="11" t="s">
        <v>4583</v>
      </c>
      <c r="E1829" s="7" t="s">
        <v>4580</v>
      </c>
      <c r="G1829" s="18">
        <v>20455</v>
      </c>
      <c r="I1829" s="4">
        <v>100</v>
      </c>
      <c r="J1829" s="11" t="s">
        <v>4582</v>
      </c>
      <c r="K1829" s="11" t="s">
        <v>4581</v>
      </c>
      <c r="L1829" s="4" t="s">
        <v>14</v>
      </c>
      <c r="O1829" s="4" t="s">
        <v>16</v>
      </c>
    </row>
    <row r="1830" spans="1:15" x14ac:dyDescent="0.25">
      <c r="A1830" t="s">
        <v>4595</v>
      </c>
      <c r="B1830" s="3">
        <v>45353</v>
      </c>
      <c r="C1830" s="11" t="s">
        <v>4597</v>
      </c>
      <c r="D1830" s="11" t="s">
        <v>4605</v>
      </c>
      <c r="E1830" s="7" t="s">
        <v>4596</v>
      </c>
      <c r="G1830" s="18">
        <v>24108</v>
      </c>
      <c r="I1830" s="4">
        <v>500</v>
      </c>
      <c r="J1830" s="11" t="s">
        <v>4598</v>
      </c>
      <c r="K1830" s="11" t="s">
        <v>4599</v>
      </c>
      <c r="L1830" s="4" t="s">
        <v>14</v>
      </c>
      <c r="O1830" s="4" t="s">
        <v>16</v>
      </c>
    </row>
    <row r="1831" spans="1:15" x14ac:dyDescent="0.25">
      <c r="A1831" t="s">
        <v>4630</v>
      </c>
      <c r="B1831" s="3">
        <v>45372</v>
      </c>
      <c r="C1831" s="11" t="s">
        <v>4613</v>
      </c>
      <c r="D1831" s="11" t="s">
        <v>4657</v>
      </c>
      <c r="E1831" s="7" t="s">
        <v>4614</v>
      </c>
      <c r="G1831" s="18">
        <v>21223</v>
      </c>
      <c r="H1831" s="4" t="s">
        <v>3463</v>
      </c>
      <c r="I1831" s="4">
        <v>100</v>
      </c>
      <c r="J1831" s="11" t="s">
        <v>4618</v>
      </c>
      <c r="K1831" s="11" t="s">
        <v>4619</v>
      </c>
      <c r="L1831" s="4" t="s">
        <v>19</v>
      </c>
      <c r="O1831" s="4" t="s">
        <v>16</v>
      </c>
    </row>
    <row r="1832" spans="1:15" x14ac:dyDescent="0.25">
      <c r="A1832" t="s">
        <v>4629</v>
      </c>
      <c r="B1832" s="3">
        <v>45373</v>
      </c>
      <c r="C1832" s="11" t="s">
        <v>4620</v>
      </c>
      <c r="D1832" s="11" t="s">
        <v>4645</v>
      </c>
      <c r="E1832" s="7" t="s">
        <v>4621</v>
      </c>
      <c r="I1832" s="4">
        <v>1000</v>
      </c>
      <c r="J1832" s="11" t="s">
        <v>4627</v>
      </c>
      <c r="K1832" s="11" t="s">
        <v>4623</v>
      </c>
      <c r="L1832" s="4" t="s">
        <v>16</v>
      </c>
      <c r="O1832" s="4" t="s">
        <v>19</v>
      </c>
    </row>
    <row r="1833" spans="1:15" x14ac:dyDescent="0.25">
      <c r="A1833" t="s">
        <v>4628</v>
      </c>
      <c r="B1833" s="3">
        <v>45373</v>
      </c>
      <c r="C1833" s="11" t="s">
        <v>4624</v>
      </c>
      <c r="D1833" s="11" t="s">
        <v>4645</v>
      </c>
      <c r="E1833" s="7" t="s">
        <v>4622</v>
      </c>
      <c r="G1833" s="18">
        <v>20090</v>
      </c>
      <c r="I1833" s="4">
        <v>1000</v>
      </c>
      <c r="J1833" s="11" t="s">
        <v>4626</v>
      </c>
      <c r="K1833" s="11" t="s">
        <v>4623</v>
      </c>
      <c r="L1833" s="4" t="s">
        <v>16</v>
      </c>
      <c r="O1833" s="4" t="s">
        <v>19</v>
      </c>
    </row>
    <row r="1834" spans="1:15" x14ac:dyDescent="0.25">
      <c r="A1834" t="s">
        <v>4635</v>
      </c>
      <c r="B1834" s="3">
        <v>45377</v>
      </c>
      <c r="C1834" s="11" t="s">
        <v>4633</v>
      </c>
      <c r="D1834" s="11" t="s">
        <v>4671</v>
      </c>
      <c r="E1834" s="7" t="s">
        <v>4634</v>
      </c>
      <c r="G1834" s="18">
        <v>29952</v>
      </c>
      <c r="I1834" s="4">
        <v>100</v>
      </c>
      <c r="J1834" s="11" t="s">
        <v>4636</v>
      </c>
      <c r="L1834" s="4" t="s">
        <v>16</v>
      </c>
      <c r="O1834" s="4" t="s">
        <v>16</v>
      </c>
    </row>
    <row r="1835" spans="1:15" x14ac:dyDescent="0.25">
      <c r="A1835" t="s">
        <v>4640</v>
      </c>
      <c r="B1835" s="3">
        <v>45377</v>
      </c>
      <c r="C1835" s="11" t="s">
        <v>4637</v>
      </c>
      <c r="D1835" s="11" t="s">
        <v>4645</v>
      </c>
      <c r="E1835" s="7" t="s">
        <v>4639</v>
      </c>
      <c r="G1835" s="18">
        <v>21566</v>
      </c>
      <c r="I1835" s="4">
        <v>100</v>
      </c>
      <c r="J1835" s="11" t="s">
        <v>4642</v>
      </c>
      <c r="K1835" s="11" t="s">
        <v>4643</v>
      </c>
      <c r="L1835" s="4" t="s">
        <v>16</v>
      </c>
      <c r="O1835" s="4" t="s">
        <v>16</v>
      </c>
    </row>
    <row r="1836" spans="1:15" x14ac:dyDescent="0.25">
      <c r="A1836" t="s">
        <v>4641</v>
      </c>
      <c r="B1836" s="3">
        <v>45377</v>
      </c>
      <c r="C1836" s="11" t="s">
        <v>4638</v>
      </c>
      <c r="D1836" s="11" t="s">
        <v>4645</v>
      </c>
      <c r="E1836" s="7" t="s">
        <v>3</v>
      </c>
      <c r="G1836" s="7"/>
      <c r="H1836" s="55"/>
      <c r="I1836" s="4">
        <v>100</v>
      </c>
      <c r="K1836" s="11" t="s">
        <v>4644</v>
      </c>
      <c r="L1836" s="4" t="s">
        <v>16</v>
      </c>
      <c r="O1836" s="4" t="s">
        <v>16</v>
      </c>
    </row>
    <row r="1837" spans="1:15" x14ac:dyDescent="0.25">
      <c r="A1837" t="s">
        <v>4648</v>
      </c>
      <c r="B1837" s="3">
        <v>45379</v>
      </c>
      <c r="C1837" s="11" t="s">
        <v>4646</v>
      </c>
      <c r="E1837" s="7" t="s">
        <v>219</v>
      </c>
      <c r="G1837" s="18">
        <v>26665</v>
      </c>
      <c r="I1837" s="4">
        <v>100</v>
      </c>
      <c r="L1837" s="4" t="s">
        <v>16</v>
      </c>
      <c r="O1837" s="4" t="s">
        <v>19</v>
      </c>
    </row>
    <row r="1838" spans="1:15" x14ac:dyDescent="0.25">
      <c r="A1838" t="s">
        <v>4647</v>
      </c>
      <c r="B1838" s="3">
        <v>45379</v>
      </c>
      <c r="C1838" s="11" t="s">
        <v>4649</v>
      </c>
      <c r="D1838" s="11" t="s">
        <v>4670</v>
      </c>
      <c r="E1838" s="7" t="s">
        <v>4650</v>
      </c>
      <c r="G1838" s="18">
        <v>25569</v>
      </c>
      <c r="I1838" s="4">
        <v>500</v>
      </c>
      <c r="J1838" s="11" t="s">
        <v>4652</v>
      </c>
      <c r="K1838" s="11" t="s">
        <v>4651</v>
      </c>
      <c r="L1838" s="4" t="s">
        <v>16</v>
      </c>
      <c r="O1838" s="4" t="s">
        <v>16</v>
      </c>
    </row>
    <row r="1839" spans="1:15" x14ac:dyDescent="0.25">
      <c r="A1839" t="s">
        <v>4653</v>
      </c>
      <c r="B1839" s="3">
        <v>45379</v>
      </c>
      <c r="C1839" s="11" t="s">
        <v>4654</v>
      </c>
      <c r="D1839" s="11" t="s">
        <v>4658</v>
      </c>
      <c r="E1839" s="7" t="s">
        <v>4655</v>
      </c>
      <c r="G1839" s="18">
        <v>16177</v>
      </c>
      <c r="I1839" s="4">
        <v>100</v>
      </c>
      <c r="J1839" s="11" t="s">
        <v>4660</v>
      </c>
      <c r="K1839" s="11" t="s">
        <v>4659</v>
      </c>
      <c r="L1839" s="4" t="s">
        <v>19</v>
      </c>
      <c r="O1839" s="4" t="s">
        <v>16</v>
      </c>
    </row>
    <row r="1840" spans="1:15" x14ac:dyDescent="0.25">
      <c r="A1840" t="s">
        <v>4661</v>
      </c>
      <c r="B1840" s="3">
        <v>45381</v>
      </c>
      <c r="C1840" s="11" t="s">
        <v>4662</v>
      </c>
      <c r="E1840" s="7" t="s">
        <v>4663</v>
      </c>
      <c r="G1840" s="18">
        <v>26581</v>
      </c>
      <c r="I1840" s="4">
        <v>100</v>
      </c>
      <c r="J1840" s="11" t="s">
        <v>4664</v>
      </c>
      <c r="L1840" s="4" t="s">
        <v>16</v>
      </c>
      <c r="O1840" s="4" t="s">
        <v>16</v>
      </c>
    </row>
    <row r="1841" spans="1:15" x14ac:dyDescent="0.25">
      <c r="A1841" t="s">
        <v>4672</v>
      </c>
      <c r="B1841" s="3">
        <v>45384</v>
      </c>
      <c r="C1841" s="11" t="s">
        <v>4673</v>
      </c>
      <c r="E1841" s="7" t="s">
        <v>4674</v>
      </c>
      <c r="G1841" s="18">
        <v>41395</v>
      </c>
      <c r="I1841" s="4">
        <v>400</v>
      </c>
      <c r="J1841" s="11" t="s">
        <v>4676</v>
      </c>
      <c r="K1841" s="11" t="s">
        <v>4675</v>
      </c>
      <c r="L1841" s="4" t="s">
        <v>19</v>
      </c>
      <c r="O1841" s="4" t="s">
        <v>19</v>
      </c>
    </row>
    <row r="1842" spans="1:15" x14ac:dyDescent="0.25">
      <c r="A1842" t="s">
        <v>4677</v>
      </c>
      <c r="B1842" s="3">
        <v>45386</v>
      </c>
      <c r="C1842" s="11" t="s">
        <v>4678</v>
      </c>
      <c r="D1842" s="11" t="s">
        <v>4713</v>
      </c>
      <c r="E1842" s="7" t="s">
        <v>4712</v>
      </c>
      <c r="G1842" s="55">
        <v>1972</v>
      </c>
      <c r="I1842" s="4">
        <v>400</v>
      </c>
      <c r="L1842" s="4" t="s">
        <v>16</v>
      </c>
      <c r="O1842" s="4" t="s">
        <v>16</v>
      </c>
    </row>
    <row r="1843" spans="1:15" x14ac:dyDescent="0.25">
      <c r="A1843" t="s">
        <v>4680</v>
      </c>
      <c r="B1843" s="3">
        <v>45386</v>
      </c>
      <c r="C1843" s="11" t="s">
        <v>4681</v>
      </c>
      <c r="D1843" s="11" t="s">
        <v>4711</v>
      </c>
      <c r="E1843" s="7" t="s">
        <v>941</v>
      </c>
      <c r="G1843" s="18">
        <v>19808</v>
      </c>
      <c r="I1843" s="4">
        <v>500</v>
      </c>
      <c r="K1843" s="11" t="s">
        <v>4682</v>
      </c>
      <c r="L1843" s="4" t="s">
        <v>19</v>
      </c>
      <c r="O1843" s="4" t="s">
        <v>16</v>
      </c>
    </row>
    <row r="1844" spans="1:15" x14ac:dyDescent="0.25">
      <c r="B1844" s="3">
        <v>45386</v>
      </c>
      <c r="C1844" s="11" t="s">
        <v>4684</v>
      </c>
      <c r="D1844" s="11" t="s">
        <v>4711</v>
      </c>
      <c r="E1844" s="7" t="s">
        <v>4685</v>
      </c>
      <c r="G1844" s="18">
        <v>19139</v>
      </c>
      <c r="I1844" s="4">
        <v>500</v>
      </c>
      <c r="K1844" s="11" t="s">
        <v>4686</v>
      </c>
      <c r="L1844" s="4" t="s">
        <v>19</v>
      </c>
      <c r="O1844" s="4" t="s">
        <v>16</v>
      </c>
    </row>
    <row r="1845" spans="1:15" x14ac:dyDescent="0.25">
      <c r="A1845" t="s">
        <v>4683</v>
      </c>
      <c r="B1845" s="3">
        <v>45387</v>
      </c>
      <c r="C1845" s="11" t="s">
        <v>4688</v>
      </c>
      <c r="E1845" s="7" t="s">
        <v>4689</v>
      </c>
      <c r="I1845" s="4">
        <v>100</v>
      </c>
      <c r="J1845" s="11" t="s">
        <v>4691</v>
      </c>
      <c r="K1845" s="11" t="s">
        <v>4690</v>
      </c>
      <c r="L1845" s="4" t="s">
        <v>16</v>
      </c>
      <c r="O1845" s="4" t="s">
        <v>16</v>
      </c>
    </row>
    <row r="1846" spans="1:15" x14ac:dyDescent="0.25">
      <c r="A1846" t="s">
        <v>4692</v>
      </c>
      <c r="B1846" s="3">
        <v>45388</v>
      </c>
      <c r="C1846" s="11" t="s">
        <v>4693</v>
      </c>
      <c r="E1846" s="7" t="s">
        <v>4694</v>
      </c>
      <c r="G1846" s="18">
        <v>25158</v>
      </c>
      <c r="I1846" s="4">
        <v>2000</v>
      </c>
      <c r="J1846" s="11" t="s">
        <v>4695</v>
      </c>
      <c r="L1846" s="4" t="s">
        <v>16</v>
      </c>
      <c r="O1846" s="4" t="s">
        <v>16</v>
      </c>
    </row>
    <row r="1847" spans="1:15" x14ac:dyDescent="0.25">
      <c r="A1847" t="s">
        <v>4696</v>
      </c>
      <c r="B1847" s="3">
        <v>45388</v>
      </c>
      <c r="C1847" s="11" t="s">
        <v>4697</v>
      </c>
      <c r="D1847" s="11" t="s">
        <v>4727</v>
      </c>
      <c r="E1847" s="7" t="s">
        <v>4698</v>
      </c>
      <c r="G1847" s="18">
        <v>28830</v>
      </c>
      <c r="I1847" s="4">
        <v>100</v>
      </c>
      <c r="J1847" s="11" t="s">
        <v>4699</v>
      </c>
      <c r="K1847" s="11" t="s">
        <v>4700</v>
      </c>
      <c r="L1847" s="4" t="s">
        <v>19</v>
      </c>
      <c r="O1847" s="4" t="s">
        <v>16</v>
      </c>
    </row>
    <row r="1848" spans="1:15" x14ac:dyDescent="0.25">
      <c r="A1848" t="s">
        <v>4702</v>
      </c>
      <c r="B1848" s="3">
        <v>45390</v>
      </c>
      <c r="C1848" s="11" t="s">
        <v>4703</v>
      </c>
      <c r="D1848" s="11" t="s">
        <v>4713</v>
      </c>
      <c r="E1848" s="7" t="s">
        <v>4704</v>
      </c>
      <c r="G1848" s="18">
        <v>17899</v>
      </c>
      <c r="I1848" s="4">
        <v>100</v>
      </c>
      <c r="J1848" s="11" t="s">
        <v>4706</v>
      </c>
      <c r="K1848" s="11" t="s">
        <v>4705</v>
      </c>
      <c r="L1848" s="4" t="s">
        <v>19</v>
      </c>
      <c r="O1848" s="4" t="s">
        <v>16</v>
      </c>
    </row>
    <row r="1849" spans="1:15" x14ac:dyDescent="0.25">
      <c r="A1849" t="s">
        <v>4707</v>
      </c>
      <c r="B1849" s="3">
        <v>45390</v>
      </c>
      <c r="C1849" s="11" t="s">
        <v>4708</v>
      </c>
      <c r="E1849" s="7" t="s">
        <v>4709</v>
      </c>
      <c r="G1849" s="18">
        <v>37223</v>
      </c>
      <c r="I1849" s="4">
        <v>8050</v>
      </c>
      <c r="J1849" s="11" t="s">
        <v>4710</v>
      </c>
      <c r="K1849" s="11" t="s">
        <v>4571</v>
      </c>
      <c r="L1849" s="4" t="s">
        <v>19</v>
      </c>
      <c r="O1849" s="4" t="s">
        <v>16</v>
      </c>
    </row>
    <row r="1850" spans="1:15" x14ac:dyDescent="0.25">
      <c r="A1850" t="s">
        <v>4720</v>
      </c>
      <c r="B1850" s="3">
        <v>45392</v>
      </c>
      <c r="C1850" s="11" t="s">
        <v>4721</v>
      </c>
      <c r="E1850" s="7" t="s">
        <v>4722</v>
      </c>
      <c r="G1850" s="18">
        <v>24473</v>
      </c>
      <c r="I1850" s="4">
        <v>2000</v>
      </c>
      <c r="J1850" s="11" t="s">
        <v>4724</v>
      </c>
      <c r="K1850" s="11" t="s">
        <v>4723</v>
      </c>
      <c r="L1850" s="4" t="s">
        <v>16</v>
      </c>
      <c r="O1850" s="4" t="s">
        <v>16</v>
      </c>
    </row>
    <row r="1851" spans="1:15" x14ac:dyDescent="0.25">
      <c r="A1851" t="s">
        <v>4735</v>
      </c>
      <c r="B1851" s="3">
        <v>45401</v>
      </c>
      <c r="C1851" s="11" t="s">
        <v>4736</v>
      </c>
      <c r="D1851" s="11" t="s">
        <v>4851</v>
      </c>
      <c r="E1851" s="7" t="s">
        <v>4737</v>
      </c>
      <c r="G1851" s="18">
        <v>32509</v>
      </c>
      <c r="I1851" s="4">
        <v>2000</v>
      </c>
      <c r="J1851" s="11" t="s">
        <v>4738</v>
      </c>
      <c r="K1851" s="11" t="s">
        <v>4739</v>
      </c>
      <c r="L1851" s="4" t="s">
        <v>16</v>
      </c>
      <c r="O1851" s="4" t="s">
        <v>16</v>
      </c>
    </row>
    <row r="1852" spans="1:15" x14ac:dyDescent="0.25">
      <c r="A1852" t="s">
        <v>4803</v>
      </c>
      <c r="B1852" s="3">
        <v>45405</v>
      </c>
      <c r="C1852" s="11" t="s">
        <v>4804</v>
      </c>
      <c r="D1852" s="11" t="s">
        <v>4819</v>
      </c>
      <c r="E1852" s="7" t="s">
        <v>4805</v>
      </c>
      <c r="G1852" s="18">
        <v>38825</v>
      </c>
      <c r="I1852" s="4">
        <v>200</v>
      </c>
      <c r="J1852" s="11" t="s">
        <v>4820</v>
      </c>
      <c r="K1852" s="11" t="s">
        <v>4806</v>
      </c>
      <c r="L1852" s="4" t="s">
        <v>16</v>
      </c>
      <c r="O1852" s="4" t="s">
        <v>16</v>
      </c>
    </row>
    <row r="1853" spans="1:15" x14ac:dyDescent="0.25">
      <c r="A1853" t="s">
        <v>4809</v>
      </c>
      <c r="B1853" s="3">
        <v>45405</v>
      </c>
      <c r="C1853" s="11" t="s">
        <v>4810</v>
      </c>
      <c r="D1853" s="11" t="s">
        <v>4834</v>
      </c>
      <c r="E1853" s="7" t="s">
        <v>4808</v>
      </c>
      <c r="G1853" s="18">
        <v>32583</v>
      </c>
      <c r="I1853" s="4">
        <v>500</v>
      </c>
      <c r="K1853" s="11" t="s">
        <v>4811</v>
      </c>
      <c r="L1853" s="4" t="s">
        <v>16</v>
      </c>
      <c r="O1853" s="4" t="s">
        <v>16</v>
      </c>
    </row>
    <row r="1854" spans="1:15" x14ac:dyDescent="0.25">
      <c r="A1854" t="s">
        <v>4815</v>
      </c>
      <c r="B1854" s="3">
        <v>45405</v>
      </c>
      <c r="C1854" s="11" t="s">
        <v>4816</v>
      </c>
      <c r="D1854" s="11" t="s">
        <v>4834</v>
      </c>
      <c r="E1854" s="7" t="s">
        <v>4817</v>
      </c>
      <c r="G1854" s="18">
        <v>22287</v>
      </c>
      <c r="I1854" s="4">
        <v>100</v>
      </c>
      <c r="K1854" s="11" t="s">
        <v>4835</v>
      </c>
      <c r="L1854" s="4" t="s">
        <v>16</v>
      </c>
      <c r="O1854" s="4" t="s">
        <v>16</v>
      </c>
    </row>
    <row r="1855" spans="1:15" x14ac:dyDescent="0.25">
      <c r="A1855" t="s">
        <v>4824</v>
      </c>
      <c r="B1855" s="3">
        <v>45407</v>
      </c>
      <c r="C1855" s="11" t="s">
        <v>4826</v>
      </c>
      <c r="E1855" s="7" t="s">
        <v>4827</v>
      </c>
      <c r="G1855" s="18">
        <v>40025</v>
      </c>
      <c r="I1855" s="4">
        <v>500</v>
      </c>
      <c r="J1855" s="11" t="s">
        <v>4828</v>
      </c>
      <c r="K1855" s="11" t="s">
        <v>4829</v>
      </c>
      <c r="L1855" s="4" t="s">
        <v>19</v>
      </c>
      <c r="O1855" s="4" t="s">
        <v>19</v>
      </c>
    </row>
    <row r="1856" spans="1:15" x14ac:dyDescent="0.25">
      <c r="A1856" t="s">
        <v>4833</v>
      </c>
      <c r="B1856" s="3">
        <v>45408</v>
      </c>
      <c r="C1856" s="11" t="s">
        <v>4839</v>
      </c>
      <c r="D1856" s="11" t="s">
        <v>4863</v>
      </c>
      <c r="E1856" s="7" t="s">
        <v>2230</v>
      </c>
      <c r="I1856" s="4">
        <v>100</v>
      </c>
      <c r="K1856" s="11" t="s">
        <v>4840</v>
      </c>
      <c r="L1856" s="4" t="s">
        <v>19</v>
      </c>
      <c r="O1856" s="4" t="s">
        <v>14</v>
      </c>
    </row>
    <row r="1857" spans="1:15" x14ac:dyDescent="0.25">
      <c r="A1857" t="s">
        <v>4836</v>
      </c>
      <c r="B1857" s="3">
        <v>45408</v>
      </c>
      <c r="C1857" s="11" t="s">
        <v>4838</v>
      </c>
      <c r="D1857" s="11" t="s">
        <v>4863</v>
      </c>
      <c r="E1857" s="7" t="s">
        <v>4837</v>
      </c>
      <c r="G1857" s="18">
        <v>40178</v>
      </c>
      <c r="I1857" s="4">
        <v>100</v>
      </c>
      <c r="J1857" s="11" t="s">
        <v>4864</v>
      </c>
      <c r="K1857" s="11" t="s">
        <v>4840</v>
      </c>
      <c r="L1857" s="4" t="s">
        <v>19</v>
      </c>
      <c r="O1857" s="4" t="s">
        <v>19</v>
      </c>
    </row>
    <row r="1858" spans="1:15" x14ac:dyDescent="0.25">
      <c r="A1858" t="s">
        <v>4882</v>
      </c>
      <c r="B1858" s="3">
        <v>45415</v>
      </c>
      <c r="C1858" s="11" t="s">
        <v>4877</v>
      </c>
      <c r="E1858" s="7" t="s">
        <v>4878</v>
      </c>
      <c r="G1858" s="18">
        <v>40488</v>
      </c>
      <c r="I1858" s="4">
        <v>200</v>
      </c>
      <c r="J1858" s="11" t="s">
        <v>4883</v>
      </c>
      <c r="K1858" s="11" t="s">
        <v>4884</v>
      </c>
      <c r="L1858" s="4" t="s">
        <v>19</v>
      </c>
      <c r="O1858" s="4" t="s">
        <v>19</v>
      </c>
    </row>
    <row r="1859" spans="1:15" x14ac:dyDescent="0.25">
      <c r="A1859" t="s">
        <v>4897</v>
      </c>
      <c r="B1859" s="3">
        <v>45420</v>
      </c>
      <c r="C1859" s="11" t="s">
        <v>4898</v>
      </c>
      <c r="D1859" s="11" t="s">
        <v>4917</v>
      </c>
      <c r="E1859" s="7" t="s">
        <v>4899</v>
      </c>
      <c r="G1859" s="18">
        <v>26980</v>
      </c>
      <c r="I1859" s="4">
        <v>200</v>
      </c>
      <c r="J1859" s="11" t="s">
        <v>4900</v>
      </c>
      <c r="K1859" s="11" t="s">
        <v>4835</v>
      </c>
      <c r="L1859" s="4" t="s">
        <v>16</v>
      </c>
      <c r="O1859" s="4" t="s">
        <v>16</v>
      </c>
    </row>
    <row r="1860" spans="1:15" x14ac:dyDescent="0.25">
      <c r="A1860" t="s">
        <v>4918</v>
      </c>
      <c r="B1860" s="3">
        <v>45425</v>
      </c>
      <c r="C1860" s="11" t="s">
        <v>4930</v>
      </c>
      <c r="D1860" s="11" t="s">
        <v>4953</v>
      </c>
      <c r="E1860" s="7" t="s">
        <v>4929</v>
      </c>
      <c r="G1860" s="18">
        <v>36712</v>
      </c>
      <c r="I1860" s="4">
        <v>500</v>
      </c>
      <c r="J1860" s="11" t="s">
        <v>4932</v>
      </c>
      <c r="K1860" s="11" t="s">
        <v>4933</v>
      </c>
      <c r="L1860" s="4" t="s">
        <v>16</v>
      </c>
      <c r="O1860" s="4" t="s">
        <v>16</v>
      </c>
    </row>
    <row r="1861" spans="1:15" x14ac:dyDescent="0.25">
      <c r="A1861" t="s">
        <v>4919</v>
      </c>
      <c r="B1861" s="3">
        <v>45425</v>
      </c>
      <c r="C1861" s="11" t="s">
        <v>4931</v>
      </c>
      <c r="D1861" s="11" t="s">
        <v>4953</v>
      </c>
      <c r="E1861" s="7" t="s">
        <v>4934</v>
      </c>
      <c r="G1861" s="18">
        <v>27030</v>
      </c>
      <c r="I1861" s="4">
        <v>500</v>
      </c>
      <c r="J1861" s="11" t="s">
        <v>4935</v>
      </c>
      <c r="K1861" s="11" t="s">
        <v>4920</v>
      </c>
      <c r="O1861" s="4" t="s">
        <v>16</v>
      </c>
    </row>
    <row r="1862" spans="1:15" x14ac:dyDescent="0.25">
      <c r="A1862" t="s">
        <v>4922</v>
      </c>
      <c r="B1862" s="3">
        <v>45426</v>
      </c>
      <c r="C1862" s="11" t="s">
        <v>4936</v>
      </c>
      <c r="D1862" s="11" t="s">
        <v>5064</v>
      </c>
      <c r="E1862" s="7" t="s">
        <v>4923</v>
      </c>
      <c r="G1862" s="18">
        <v>30871</v>
      </c>
      <c r="I1862" s="4">
        <v>500</v>
      </c>
      <c r="J1862" s="11" t="s">
        <v>4939</v>
      </c>
      <c r="K1862" s="11" t="s">
        <v>4924</v>
      </c>
      <c r="L1862" s="4" t="s">
        <v>16</v>
      </c>
      <c r="M1862" s="4" t="s">
        <v>16</v>
      </c>
      <c r="O1862" s="4" t="s">
        <v>16</v>
      </c>
    </row>
    <row r="1863" spans="1:15" x14ac:dyDescent="0.25">
      <c r="A1863" t="s">
        <v>4926</v>
      </c>
      <c r="B1863" s="3">
        <v>45426</v>
      </c>
      <c r="C1863" s="11" t="s">
        <v>4937</v>
      </c>
      <c r="D1863" s="11" t="s">
        <v>4951</v>
      </c>
      <c r="E1863" s="7" t="s">
        <v>4938</v>
      </c>
      <c r="G1863" s="18">
        <v>27030</v>
      </c>
      <c r="I1863" s="4">
        <v>500</v>
      </c>
      <c r="J1863" s="11" t="s">
        <v>4940</v>
      </c>
      <c r="K1863" s="11" t="s">
        <v>4927</v>
      </c>
      <c r="L1863" s="4" t="s">
        <v>16</v>
      </c>
      <c r="M1863" s="4" t="s">
        <v>19</v>
      </c>
      <c r="O1863" s="4" t="s">
        <v>16</v>
      </c>
    </row>
    <row r="1864" spans="1:15" x14ac:dyDescent="0.25">
      <c r="A1864" t="s">
        <v>4943</v>
      </c>
      <c r="B1864" s="3">
        <v>45427</v>
      </c>
      <c r="C1864" s="11" t="s">
        <v>4944</v>
      </c>
      <c r="E1864" s="7" t="s">
        <v>4805</v>
      </c>
      <c r="I1864" s="4">
        <v>100</v>
      </c>
      <c r="K1864" s="11" t="s">
        <v>4945</v>
      </c>
      <c r="L1864" s="4" t="s">
        <v>19</v>
      </c>
      <c r="O1864" s="4" t="s">
        <v>19</v>
      </c>
    </row>
    <row r="1865" spans="1:15" x14ac:dyDescent="0.25">
      <c r="A1865" t="s">
        <v>4946</v>
      </c>
      <c r="B1865" s="3">
        <v>45427</v>
      </c>
      <c r="C1865" s="11" t="s">
        <v>4089</v>
      </c>
      <c r="D1865" s="11" t="s">
        <v>4951</v>
      </c>
      <c r="E1865" s="7" t="s">
        <v>52</v>
      </c>
      <c r="G1865" s="18">
        <v>38028</v>
      </c>
      <c r="I1865" s="4">
        <v>500</v>
      </c>
      <c r="J1865" s="11" t="s">
        <v>4947</v>
      </c>
      <c r="K1865" s="11" t="s">
        <v>4948</v>
      </c>
      <c r="L1865" s="4" t="s">
        <v>16</v>
      </c>
      <c r="O1865" s="4" t="s">
        <v>19</v>
      </c>
    </row>
    <row r="1866" spans="1:15" x14ac:dyDescent="0.25">
      <c r="A1866" t="s">
        <v>4954</v>
      </c>
      <c r="B1866" s="3">
        <v>45432</v>
      </c>
      <c r="C1866" s="11" t="s">
        <v>4956</v>
      </c>
      <c r="D1866" s="11" t="s">
        <v>5005</v>
      </c>
      <c r="E1866" s="7" t="s">
        <v>4955</v>
      </c>
      <c r="G1866" s="18">
        <v>38362</v>
      </c>
      <c r="I1866" s="4">
        <v>200</v>
      </c>
      <c r="J1866" s="11" t="s">
        <v>5006</v>
      </c>
      <c r="K1866" s="11" t="s">
        <v>4957</v>
      </c>
      <c r="L1866" s="4" t="s">
        <v>19</v>
      </c>
      <c r="O1866" s="4" t="s">
        <v>2551</v>
      </c>
    </row>
    <row r="1867" spans="1:15" x14ac:dyDescent="0.25">
      <c r="A1867" t="s">
        <v>4959</v>
      </c>
      <c r="B1867" s="3">
        <v>45432</v>
      </c>
      <c r="C1867" s="11" t="s">
        <v>4961</v>
      </c>
      <c r="D1867" s="11" t="s">
        <v>4987</v>
      </c>
      <c r="E1867" s="7" t="s">
        <v>4962</v>
      </c>
      <c r="G1867" s="18">
        <v>36262</v>
      </c>
      <c r="I1867" s="4">
        <v>300</v>
      </c>
      <c r="J1867" s="11" t="s">
        <v>4988</v>
      </c>
      <c r="K1867" s="11" t="s">
        <v>4960</v>
      </c>
      <c r="L1867" s="4" t="s">
        <v>19</v>
      </c>
      <c r="O1867" s="4" t="s">
        <v>16</v>
      </c>
    </row>
    <row r="1868" spans="1:15" x14ac:dyDescent="0.25">
      <c r="A1868" t="s">
        <v>4964</v>
      </c>
      <c r="B1868" s="3">
        <v>45433</v>
      </c>
      <c r="C1868" s="11" t="s">
        <v>4970</v>
      </c>
      <c r="D1868" s="11" t="s">
        <v>5007</v>
      </c>
      <c r="E1868" s="7" t="s">
        <v>4967</v>
      </c>
      <c r="I1868" s="4">
        <v>500</v>
      </c>
      <c r="K1868" s="11" t="s">
        <v>4965</v>
      </c>
      <c r="L1868" s="4" t="s">
        <v>19</v>
      </c>
      <c r="O1868" s="4" t="s">
        <v>16</v>
      </c>
    </row>
    <row r="1869" spans="1:15" x14ac:dyDescent="0.25">
      <c r="A1869" t="s">
        <v>4974</v>
      </c>
      <c r="B1869" s="3">
        <v>45434</v>
      </c>
      <c r="C1869" s="11" t="s">
        <v>4975</v>
      </c>
      <c r="D1869" s="11" t="s">
        <v>5010</v>
      </c>
      <c r="E1869" s="7" t="s">
        <v>4976</v>
      </c>
      <c r="G1869" s="18">
        <v>25162</v>
      </c>
      <c r="I1869" s="4">
        <v>600</v>
      </c>
      <c r="J1869" s="11" t="s">
        <v>4977</v>
      </c>
      <c r="K1869" s="11" t="s">
        <v>4978</v>
      </c>
      <c r="L1869" s="4" t="s">
        <v>19</v>
      </c>
      <c r="O1869" s="4" t="s">
        <v>16</v>
      </c>
    </row>
    <row r="1870" spans="1:15" x14ac:dyDescent="0.25">
      <c r="A1870" t="s">
        <v>4981</v>
      </c>
      <c r="B1870" s="3">
        <v>45434</v>
      </c>
      <c r="C1870" s="11" t="s">
        <v>4982</v>
      </c>
      <c r="D1870" s="11" t="s">
        <v>5005</v>
      </c>
      <c r="E1870" s="7" t="s">
        <v>4983</v>
      </c>
      <c r="G1870" s="18">
        <v>28856</v>
      </c>
      <c r="I1870" s="4">
        <v>200</v>
      </c>
      <c r="J1870" s="11" t="s">
        <v>4984</v>
      </c>
      <c r="K1870" s="11" t="s">
        <v>1541</v>
      </c>
      <c r="L1870" s="4" t="s">
        <v>19</v>
      </c>
      <c r="O1870" s="4" t="s">
        <v>16</v>
      </c>
    </row>
    <row r="1871" spans="1:15" x14ac:dyDescent="0.25">
      <c r="A1871" t="s">
        <v>4991</v>
      </c>
      <c r="B1871" s="3">
        <v>45435</v>
      </c>
      <c r="C1871" s="11" t="s">
        <v>4995</v>
      </c>
      <c r="E1871" s="7" t="s">
        <v>5000</v>
      </c>
      <c r="G1871" s="18">
        <v>26665</v>
      </c>
      <c r="I1871" s="4">
        <v>100</v>
      </c>
      <c r="J1871" s="11" t="s">
        <v>5001</v>
      </c>
      <c r="L1871" s="4" t="s">
        <v>19</v>
      </c>
      <c r="O1871" s="4" t="s">
        <v>16</v>
      </c>
    </row>
    <row r="1872" spans="1:15" x14ac:dyDescent="0.25">
      <c r="A1872" t="s">
        <v>4994</v>
      </c>
      <c r="B1872" s="3">
        <v>45436</v>
      </c>
      <c r="C1872" s="11" t="s">
        <v>4996</v>
      </c>
      <c r="D1872" s="11" t="s">
        <v>5023</v>
      </c>
      <c r="E1872" s="7" t="s">
        <v>4997</v>
      </c>
      <c r="F1872" s="7" t="s">
        <v>5012</v>
      </c>
      <c r="G1872" s="18">
        <v>27822</v>
      </c>
      <c r="I1872" s="4">
        <v>1000</v>
      </c>
      <c r="J1872" s="11" t="s">
        <v>4998</v>
      </c>
      <c r="K1872" s="11" t="s">
        <v>4999</v>
      </c>
      <c r="L1872" s="4" t="s">
        <v>19</v>
      </c>
      <c r="O1872" s="4" t="s">
        <v>16</v>
      </c>
    </row>
    <row r="1873" spans="1:15" x14ac:dyDescent="0.25">
      <c r="A1873" t="s">
        <v>5018</v>
      </c>
      <c r="B1873" s="3">
        <v>45442</v>
      </c>
      <c r="C1873" s="11" t="s">
        <v>5019</v>
      </c>
      <c r="D1873" s="11" t="s">
        <v>5060</v>
      </c>
      <c r="E1873" s="7" t="s">
        <v>4</v>
      </c>
      <c r="I1873" s="4">
        <v>500</v>
      </c>
      <c r="J1873" s="11" t="s">
        <v>5061</v>
      </c>
      <c r="K1873" s="11" t="s">
        <v>5062</v>
      </c>
      <c r="L1873" s="4" t="s">
        <v>19</v>
      </c>
      <c r="O1873" s="4" t="s">
        <v>16</v>
      </c>
    </row>
    <row r="1874" spans="1:15" x14ac:dyDescent="0.25">
      <c r="A1874" t="s">
        <v>5024</v>
      </c>
      <c r="B1874" s="3">
        <v>45443</v>
      </c>
      <c r="C1874" s="11" t="s">
        <v>5026</v>
      </c>
      <c r="D1874" s="11" t="s">
        <v>5038</v>
      </c>
      <c r="E1874" s="7" t="s">
        <v>821</v>
      </c>
      <c r="G1874" s="18">
        <v>25668</v>
      </c>
      <c r="I1874" s="4">
        <v>100</v>
      </c>
      <c r="K1874" s="11" t="s">
        <v>5029</v>
      </c>
      <c r="L1874" s="4" t="s">
        <v>19</v>
      </c>
      <c r="O1874" s="4" t="s">
        <v>16</v>
      </c>
    </row>
    <row r="1875" spans="1:15" x14ac:dyDescent="0.25">
      <c r="A1875" t="s">
        <v>5025</v>
      </c>
      <c r="B1875" s="3">
        <v>45443</v>
      </c>
      <c r="C1875" s="11" t="s">
        <v>5027</v>
      </c>
      <c r="D1875" s="11" t="s">
        <v>5038</v>
      </c>
      <c r="E1875" s="7" t="s">
        <v>5028</v>
      </c>
      <c r="G1875" s="18">
        <v>23779</v>
      </c>
      <c r="I1875" s="4">
        <v>100</v>
      </c>
      <c r="K1875" s="11" t="s">
        <v>5029</v>
      </c>
      <c r="L1875" s="4" t="s">
        <v>19</v>
      </c>
      <c r="O1875" s="4" t="s">
        <v>16</v>
      </c>
    </row>
    <row r="1876" spans="1:15" x14ac:dyDescent="0.25">
      <c r="A1876" t="s">
        <v>5033</v>
      </c>
      <c r="B1876" s="3">
        <v>45443</v>
      </c>
      <c r="C1876" s="11" t="s">
        <v>5030</v>
      </c>
      <c r="D1876" s="11" t="s">
        <v>5036</v>
      </c>
      <c r="E1876" s="7" t="s">
        <v>5031</v>
      </c>
      <c r="G1876" s="18">
        <v>29221</v>
      </c>
      <c r="I1876" s="4">
        <v>500</v>
      </c>
      <c r="J1876" s="11" t="s">
        <v>5037</v>
      </c>
      <c r="K1876" s="11" t="s">
        <v>5032</v>
      </c>
      <c r="L1876" s="4" t="s">
        <v>19</v>
      </c>
      <c r="O1876" s="4" t="s">
        <v>16</v>
      </c>
    </row>
    <row r="1877" spans="1:15" x14ac:dyDescent="0.25">
      <c r="A1877" t="s">
        <v>5040</v>
      </c>
      <c r="B1877" s="3"/>
      <c r="C1877" s="11" t="s">
        <v>5042</v>
      </c>
      <c r="D1877" s="11" t="s">
        <v>5051</v>
      </c>
      <c r="E1877" s="7" t="s">
        <v>5052</v>
      </c>
      <c r="I1877" s="4">
        <v>200</v>
      </c>
      <c r="K1877" s="11" t="s">
        <v>5053</v>
      </c>
      <c r="L1877" s="4" t="s">
        <v>19</v>
      </c>
      <c r="O1877" s="4" t="s">
        <v>16</v>
      </c>
    </row>
    <row r="1878" spans="1:15" x14ac:dyDescent="0.25">
      <c r="A1878" t="s">
        <v>5047</v>
      </c>
      <c r="B1878" s="3">
        <v>45454</v>
      </c>
      <c r="C1878" s="11" t="s">
        <v>5048</v>
      </c>
      <c r="D1878" s="11" t="s">
        <v>5060</v>
      </c>
      <c r="E1878" s="7" t="s">
        <v>5049</v>
      </c>
      <c r="G1878" s="18">
        <v>25569</v>
      </c>
      <c r="I1878" s="4">
        <v>100</v>
      </c>
      <c r="J1878" s="11" t="s">
        <v>5054</v>
      </c>
      <c r="K1878" s="11" t="s">
        <v>5050</v>
      </c>
      <c r="L1878" s="4" t="s">
        <v>19</v>
      </c>
      <c r="O1878" s="4" t="s">
        <v>19</v>
      </c>
    </row>
    <row r="1879" spans="1:15" x14ac:dyDescent="0.25">
      <c r="A1879" t="s">
        <v>5056</v>
      </c>
      <c r="B1879" s="3">
        <v>45456</v>
      </c>
      <c r="C1879" s="11" t="s">
        <v>5057</v>
      </c>
      <c r="D1879" s="11" t="s">
        <v>5063</v>
      </c>
      <c r="E1879" s="7" t="s">
        <v>5058</v>
      </c>
      <c r="G1879" s="18">
        <v>37043</v>
      </c>
      <c r="I1879" s="4">
        <v>2000</v>
      </c>
      <c r="K1879" s="11" t="s">
        <v>5059</v>
      </c>
      <c r="L1879" s="4" t="s">
        <v>16</v>
      </c>
      <c r="O1879" s="4" t="s">
        <v>16</v>
      </c>
    </row>
    <row r="1880" spans="1:15" x14ac:dyDescent="0.25">
      <c r="A1880" t="s">
        <v>5068</v>
      </c>
      <c r="B1880" s="3">
        <v>45462</v>
      </c>
      <c r="C1880" s="11" t="s">
        <v>5069</v>
      </c>
      <c r="D1880" s="11" t="s">
        <v>5113</v>
      </c>
      <c r="E1880" s="7" t="s">
        <v>5072</v>
      </c>
      <c r="G1880" s="18">
        <v>24838</v>
      </c>
      <c r="I1880" s="4">
        <v>100</v>
      </c>
      <c r="J1880" s="11" t="s">
        <v>5074</v>
      </c>
      <c r="K1880" s="11" t="s">
        <v>5076</v>
      </c>
      <c r="L1880" s="4" t="s">
        <v>16</v>
      </c>
      <c r="O1880" s="4" t="s">
        <v>19</v>
      </c>
    </row>
    <row r="1881" spans="1:15" x14ac:dyDescent="0.25">
      <c r="A1881" t="s">
        <v>5070</v>
      </c>
      <c r="B1881" s="3">
        <v>45462</v>
      </c>
      <c r="C1881" s="11" t="s">
        <v>5071</v>
      </c>
      <c r="D1881" s="11" t="s">
        <v>5113</v>
      </c>
      <c r="E1881" s="7" t="s">
        <v>5073</v>
      </c>
      <c r="G1881" s="18">
        <v>21189</v>
      </c>
      <c r="I1881" s="4">
        <v>100</v>
      </c>
      <c r="J1881" s="11" t="s">
        <v>5075</v>
      </c>
      <c r="K1881" s="11" t="s">
        <v>5076</v>
      </c>
      <c r="L1881" s="4" t="s">
        <v>16</v>
      </c>
      <c r="O1881" s="4" t="s">
        <v>19</v>
      </c>
    </row>
    <row r="1882" spans="1:15" x14ac:dyDescent="0.25">
      <c r="A1882" t="s">
        <v>5082</v>
      </c>
      <c r="B1882" s="3">
        <v>45465</v>
      </c>
      <c r="C1882" s="11" t="s">
        <v>5090</v>
      </c>
      <c r="D1882" s="11" t="s">
        <v>5113</v>
      </c>
      <c r="E1882" s="133" t="s">
        <v>5088</v>
      </c>
      <c r="I1882" s="4">
        <v>2000</v>
      </c>
      <c r="L1882" s="4" t="s">
        <v>19</v>
      </c>
      <c r="O1882" s="4" t="s">
        <v>16</v>
      </c>
    </row>
    <row r="1883" spans="1:15" x14ac:dyDescent="0.25">
      <c r="A1883" t="s">
        <v>5086</v>
      </c>
      <c r="B1883" s="3">
        <v>45467</v>
      </c>
      <c r="C1883" s="11" t="s">
        <v>5089</v>
      </c>
      <c r="D1883" s="11" t="s">
        <v>5113</v>
      </c>
      <c r="E1883" s="7" t="s">
        <v>4621</v>
      </c>
      <c r="G1883" s="18">
        <v>22282</v>
      </c>
      <c r="I1883" s="4">
        <v>2100</v>
      </c>
      <c r="J1883" s="11" t="s">
        <v>5097</v>
      </c>
      <c r="K1883" s="11" t="s">
        <v>5087</v>
      </c>
      <c r="L1883" s="4" t="s">
        <v>19</v>
      </c>
      <c r="O1883" s="4" t="s">
        <v>16</v>
      </c>
    </row>
    <row r="1884" spans="1:15" x14ac:dyDescent="0.25">
      <c r="A1884" t="s">
        <v>5093</v>
      </c>
      <c r="B1884" s="3">
        <v>45467</v>
      </c>
      <c r="C1884" s="11" t="s">
        <v>5094</v>
      </c>
      <c r="E1884" s="7" t="s">
        <v>5098</v>
      </c>
      <c r="I1884" s="4">
        <v>100</v>
      </c>
      <c r="J1884" s="11" t="s">
        <v>5096</v>
      </c>
      <c r="K1884" s="11" t="s">
        <v>5095</v>
      </c>
      <c r="L1884" s="4" t="s">
        <v>16</v>
      </c>
      <c r="O1884" s="4" t="s">
        <v>19</v>
      </c>
    </row>
    <row r="1885" spans="1:15" x14ac:dyDescent="0.25">
      <c r="A1885" t="s">
        <v>5100</v>
      </c>
      <c r="B1885" s="3">
        <v>45468</v>
      </c>
      <c r="C1885" s="11" t="s">
        <v>5103</v>
      </c>
      <c r="D1885" s="11" t="s">
        <v>5129</v>
      </c>
      <c r="E1885" s="7" t="s">
        <v>5101</v>
      </c>
      <c r="I1885" s="4">
        <v>100</v>
      </c>
      <c r="K1885" s="11" t="s">
        <v>5102</v>
      </c>
      <c r="L1885" s="4" t="s">
        <v>16</v>
      </c>
      <c r="O1885" s="4" t="s">
        <v>16</v>
      </c>
    </row>
    <row r="1886" spans="1:15" x14ac:dyDescent="0.25">
      <c r="A1886" t="s">
        <v>5106</v>
      </c>
      <c r="B1886" s="3">
        <v>45468</v>
      </c>
      <c r="C1886" s="11" t="s">
        <v>5107</v>
      </c>
      <c r="D1886" s="11" t="s">
        <v>5113</v>
      </c>
      <c r="E1886" s="7" t="s">
        <v>5108</v>
      </c>
      <c r="I1886" s="4">
        <v>200</v>
      </c>
      <c r="K1886" s="11" t="s">
        <v>5109</v>
      </c>
      <c r="L1886" s="4" t="s">
        <v>16</v>
      </c>
      <c r="O1886" s="4" t="s">
        <v>16</v>
      </c>
    </row>
    <row r="1887" spans="1:15" x14ac:dyDescent="0.25">
      <c r="A1887" t="s">
        <v>5112</v>
      </c>
      <c r="B1887" s="3">
        <v>45470</v>
      </c>
      <c r="C1887" s="11" t="s">
        <v>5118</v>
      </c>
      <c r="D1887" s="11" t="s">
        <v>5130</v>
      </c>
      <c r="E1887" s="7" t="s">
        <v>5131</v>
      </c>
      <c r="G1887" s="18">
        <v>35724</v>
      </c>
      <c r="I1887" s="4">
        <v>2000</v>
      </c>
      <c r="J1887" s="11" t="s">
        <v>5115</v>
      </c>
      <c r="K1887" s="11" t="s">
        <v>5114</v>
      </c>
      <c r="L1887" s="4" t="s">
        <v>16</v>
      </c>
      <c r="M1887" s="4" t="s">
        <v>16</v>
      </c>
      <c r="O1887" s="4" t="s">
        <v>16</v>
      </c>
    </row>
    <row r="1888" spans="1:15" x14ac:dyDescent="0.25">
      <c r="A1888" t="s">
        <v>5117</v>
      </c>
      <c r="B1888" s="3">
        <v>45501</v>
      </c>
      <c r="C1888" s="11" t="s">
        <v>5119</v>
      </c>
      <c r="D1888" s="11" t="s">
        <v>5137</v>
      </c>
      <c r="E1888" s="7" t="s">
        <v>313</v>
      </c>
      <c r="G1888" s="18">
        <v>25689</v>
      </c>
      <c r="I1888" s="4">
        <v>100</v>
      </c>
      <c r="J1888" s="11" t="s">
        <v>5120</v>
      </c>
      <c r="K1888" s="11" t="s">
        <v>5121</v>
      </c>
      <c r="L1888" s="4" t="s">
        <v>19</v>
      </c>
      <c r="O1888" s="4" t="s">
        <v>16</v>
      </c>
    </row>
    <row r="1889" spans="1:15" x14ac:dyDescent="0.25">
      <c r="A1889" t="s">
        <v>5123</v>
      </c>
      <c r="B1889" s="3">
        <v>45501</v>
      </c>
      <c r="C1889" s="11" t="s">
        <v>5126</v>
      </c>
      <c r="E1889" s="7" t="s">
        <v>5124</v>
      </c>
      <c r="G1889" s="18">
        <v>29403</v>
      </c>
      <c r="I1889" s="4">
        <v>2000</v>
      </c>
      <c r="K1889" s="11" t="s">
        <v>5125</v>
      </c>
      <c r="L1889" s="4" t="s">
        <v>16</v>
      </c>
      <c r="M1889" s="4" t="s">
        <v>16</v>
      </c>
      <c r="O1889" s="4" t="s">
        <v>16</v>
      </c>
    </row>
    <row r="1890" spans="1:15" x14ac:dyDescent="0.25">
      <c r="A1890" t="s">
        <v>5138</v>
      </c>
      <c r="B1890" s="3">
        <v>45474</v>
      </c>
      <c r="C1890" s="11" t="s">
        <v>5141</v>
      </c>
      <c r="D1890" s="11" t="s">
        <v>5172</v>
      </c>
      <c r="E1890" s="7" t="s">
        <v>5140</v>
      </c>
      <c r="I1890" s="4">
        <v>200</v>
      </c>
      <c r="K1890" s="11" t="s">
        <v>5139</v>
      </c>
      <c r="L1890" s="4" t="s">
        <v>16</v>
      </c>
      <c r="O1890" s="4" t="s">
        <v>16</v>
      </c>
    </row>
    <row r="1891" spans="1:15" x14ac:dyDescent="0.25">
      <c r="A1891" t="s">
        <v>5142</v>
      </c>
      <c r="B1891" s="3">
        <v>45474</v>
      </c>
      <c r="C1891" s="11" t="s">
        <v>5143</v>
      </c>
      <c r="D1891" s="11" t="s">
        <v>5172</v>
      </c>
      <c r="E1891" s="7" t="s">
        <v>5144</v>
      </c>
      <c r="I1891" s="4">
        <v>450</v>
      </c>
      <c r="L1891" s="4" t="s">
        <v>16</v>
      </c>
      <c r="O1891" s="4" t="s">
        <v>16</v>
      </c>
    </row>
    <row r="1892" spans="1:15" x14ac:dyDescent="0.25">
      <c r="A1892" t="s">
        <v>5152</v>
      </c>
      <c r="B1892" s="3">
        <v>45476</v>
      </c>
      <c r="C1892" s="11" t="s">
        <v>5155</v>
      </c>
      <c r="D1892" s="11" t="s">
        <v>5174</v>
      </c>
      <c r="E1892" s="7" t="s">
        <v>5158</v>
      </c>
      <c r="G1892" s="18">
        <v>38622</v>
      </c>
      <c r="I1892" s="4">
        <v>200</v>
      </c>
      <c r="K1892" s="11" t="s">
        <v>5159</v>
      </c>
      <c r="L1892" s="4" t="s">
        <v>19</v>
      </c>
      <c r="O1892" s="4" t="s">
        <v>16</v>
      </c>
    </row>
    <row r="1893" spans="1:15" x14ac:dyDescent="0.25">
      <c r="A1893" t="s">
        <v>5153</v>
      </c>
      <c r="B1893" s="3">
        <v>45476</v>
      </c>
      <c r="C1893" s="11" t="s">
        <v>5156</v>
      </c>
      <c r="D1893" s="11" t="s">
        <v>5174</v>
      </c>
      <c r="E1893" s="7" t="s">
        <v>5157</v>
      </c>
      <c r="G1893" s="18">
        <v>27498</v>
      </c>
      <c r="I1893" s="4">
        <v>200</v>
      </c>
      <c r="K1893" s="11" t="s">
        <v>5154</v>
      </c>
      <c r="L1893" s="4" t="s">
        <v>19</v>
      </c>
      <c r="O1893" s="4" t="s">
        <v>16</v>
      </c>
    </row>
    <row r="1894" spans="1:15" x14ac:dyDescent="0.25">
      <c r="A1894" t="s">
        <v>5161</v>
      </c>
      <c r="B1894" s="3">
        <v>45476</v>
      </c>
      <c r="C1894" s="11" t="s">
        <v>5162</v>
      </c>
      <c r="D1894" s="11" t="s">
        <v>5172</v>
      </c>
      <c r="E1894" s="7" t="s">
        <v>5163</v>
      </c>
      <c r="I1894" s="4">
        <v>500</v>
      </c>
      <c r="K1894" s="11" t="s">
        <v>5164</v>
      </c>
      <c r="L1894" s="4" t="s">
        <v>16</v>
      </c>
      <c r="O1894" s="4" t="s">
        <v>16</v>
      </c>
    </row>
    <row r="1895" spans="1:15" x14ac:dyDescent="0.25">
      <c r="A1895" t="s">
        <v>5168</v>
      </c>
      <c r="B1895" s="3">
        <v>45477</v>
      </c>
      <c r="C1895" s="11" t="s">
        <v>5170</v>
      </c>
      <c r="D1895" s="11" t="s">
        <v>5174</v>
      </c>
      <c r="E1895" s="7" t="s">
        <v>5175</v>
      </c>
      <c r="I1895" s="4">
        <v>1500</v>
      </c>
      <c r="L1895" s="4" t="s">
        <v>19</v>
      </c>
      <c r="O1895" s="4" t="s">
        <v>16</v>
      </c>
    </row>
    <row r="1896" spans="1:15" x14ac:dyDescent="0.25">
      <c r="A1896" t="s">
        <v>5176</v>
      </c>
      <c r="B1896" s="3">
        <v>45478</v>
      </c>
      <c r="C1896" s="11" t="s">
        <v>5182</v>
      </c>
      <c r="D1896" s="11" t="s">
        <v>5261</v>
      </c>
      <c r="E1896" s="7" t="s">
        <v>5177</v>
      </c>
      <c r="I1896" s="4">
        <v>300</v>
      </c>
      <c r="L1896" s="4" t="s">
        <v>19</v>
      </c>
      <c r="O1896" s="4" t="s">
        <v>16</v>
      </c>
    </row>
    <row r="1897" spans="1:15" x14ac:dyDescent="0.25">
      <c r="A1897" t="s">
        <v>5196</v>
      </c>
      <c r="B1897" s="3">
        <v>45483</v>
      </c>
      <c r="C1897" s="11" t="s">
        <v>5199</v>
      </c>
      <c r="D1897" s="11" t="s">
        <v>5261</v>
      </c>
      <c r="E1897" s="7" t="s">
        <v>5197</v>
      </c>
      <c r="G1897" s="18">
        <v>38175</v>
      </c>
      <c r="I1897" s="4">
        <v>450</v>
      </c>
      <c r="K1897" s="11" t="s">
        <v>5198</v>
      </c>
      <c r="L1897" s="4" t="s">
        <v>19</v>
      </c>
      <c r="O1897" s="4" t="s">
        <v>16</v>
      </c>
    </row>
    <row r="1898" spans="1:15" x14ac:dyDescent="0.25">
      <c r="A1898" t="s">
        <v>5200</v>
      </c>
      <c r="B1898" s="3">
        <v>45483</v>
      </c>
      <c r="C1898" s="11" t="s">
        <v>5201</v>
      </c>
      <c r="D1898" s="11" t="s">
        <v>5208</v>
      </c>
      <c r="E1898" s="7" t="s">
        <v>5203</v>
      </c>
      <c r="I1898" s="4">
        <v>100</v>
      </c>
      <c r="K1898" s="11" t="s">
        <v>4341</v>
      </c>
      <c r="L1898" s="4" t="s">
        <v>19</v>
      </c>
      <c r="O1898" s="4" t="s">
        <v>16</v>
      </c>
    </row>
    <row r="1899" spans="1:15" x14ac:dyDescent="0.25">
      <c r="A1899" t="s">
        <v>5200</v>
      </c>
      <c r="B1899" s="3">
        <v>45483</v>
      </c>
      <c r="C1899" s="11" t="s">
        <v>5202</v>
      </c>
      <c r="D1899" s="11" t="s">
        <v>5208</v>
      </c>
      <c r="E1899" s="7" t="s">
        <v>5204</v>
      </c>
      <c r="I1899" s="4">
        <v>100</v>
      </c>
      <c r="K1899" s="11" t="s">
        <v>4341</v>
      </c>
      <c r="L1899" s="4" t="s">
        <v>19</v>
      </c>
      <c r="O1899" s="4" t="s">
        <v>16</v>
      </c>
    </row>
    <row r="1900" spans="1:15" x14ac:dyDescent="0.25">
      <c r="A1900" t="s">
        <v>5205</v>
      </c>
      <c r="B1900" s="3">
        <v>45483</v>
      </c>
      <c r="C1900" s="11" t="s">
        <v>5206</v>
      </c>
      <c r="D1900" s="11" t="s">
        <v>5273</v>
      </c>
      <c r="E1900" s="7" t="s">
        <v>4740</v>
      </c>
      <c r="G1900" s="18">
        <v>32462</v>
      </c>
      <c r="I1900" s="4">
        <v>100</v>
      </c>
      <c r="K1900" s="11" t="s">
        <v>5207</v>
      </c>
      <c r="L1900" s="4" t="s">
        <v>16</v>
      </c>
      <c r="O1900" s="4" t="s">
        <v>16</v>
      </c>
    </row>
    <row r="1901" spans="1:15" x14ac:dyDescent="0.25">
      <c r="A1901" t="s">
        <v>5212</v>
      </c>
      <c r="B1901" s="3">
        <v>45485</v>
      </c>
      <c r="C1901" s="11" t="s">
        <v>5213</v>
      </c>
      <c r="D1901" s="11" t="s">
        <v>5249</v>
      </c>
      <c r="E1901" s="7" t="s">
        <v>5214</v>
      </c>
      <c r="G1901" s="18">
        <v>35394</v>
      </c>
      <c r="I1901" s="4">
        <v>200</v>
      </c>
      <c r="K1901" s="11" t="s">
        <v>5215</v>
      </c>
      <c r="L1901" s="4" t="s">
        <v>19</v>
      </c>
      <c r="O1901" s="4" t="s">
        <v>16</v>
      </c>
    </row>
    <row r="1902" spans="1:15" x14ac:dyDescent="0.25">
      <c r="A1902" t="s">
        <v>5216</v>
      </c>
      <c r="B1902" s="3">
        <v>45485</v>
      </c>
      <c r="C1902" s="11" t="s">
        <v>5221</v>
      </c>
      <c r="D1902" s="11" t="s">
        <v>5253</v>
      </c>
      <c r="E1902" s="7" t="s">
        <v>5222</v>
      </c>
      <c r="G1902" s="18">
        <v>22567</v>
      </c>
      <c r="I1902" s="4">
        <v>2000</v>
      </c>
      <c r="L1902" s="4" t="s">
        <v>19</v>
      </c>
      <c r="O1902" s="4" t="s">
        <v>16</v>
      </c>
    </row>
    <row r="1903" spans="1:15" x14ac:dyDescent="0.25">
      <c r="A1903" t="s">
        <v>5217</v>
      </c>
      <c r="B1903" s="3">
        <v>45485</v>
      </c>
      <c r="C1903" s="11" t="s">
        <v>5218</v>
      </c>
      <c r="D1903" s="11" t="s">
        <v>5253</v>
      </c>
      <c r="E1903" s="7" t="s">
        <v>5219</v>
      </c>
      <c r="G1903" s="18">
        <v>28872</v>
      </c>
      <c r="I1903" s="4">
        <v>500</v>
      </c>
      <c r="K1903" s="11" t="s">
        <v>5220</v>
      </c>
      <c r="L1903" s="4" t="s">
        <v>19</v>
      </c>
      <c r="O1903" s="4" t="s">
        <v>16</v>
      </c>
    </row>
    <row r="1904" spans="1:15" x14ac:dyDescent="0.25">
      <c r="A1904" t="s">
        <v>5223</v>
      </c>
      <c r="B1904" s="3">
        <v>45485</v>
      </c>
      <c r="C1904" s="11" t="s">
        <v>5224</v>
      </c>
      <c r="D1904" s="11" t="s">
        <v>5250</v>
      </c>
      <c r="E1904" s="7" t="s">
        <v>5225</v>
      </c>
      <c r="G1904" s="18">
        <v>35596</v>
      </c>
      <c r="I1904" s="4">
        <v>150</v>
      </c>
      <c r="L1904" s="4" t="s">
        <v>19</v>
      </c>
      <c r="O1904" s="4" t="s">
        <v>16</v>
      </c>
    </row>
    <row r="1905" spans="1:15" x14ac:dyDescent="0.25">
      <c r="A1905" t="s">
        <v>5231</v>
      </c>
      <c r="B1905" s="3">
        <v>45488</v>
      </c>
      <c r="C1905" s="11" t="s">
        <v>5248</v>
      </c>
      <c r="D1905" s="11" t="s">
        <v>5249</v>
      </c>
      <c r="E1905" s="7" t="s">
        <v>5232</v>
      </c>
      <c r="G1905" s="18">
        <v>31048</v>
      </c>
      <c r="I1905" s="4">
        <v>2000</v>
      </c>
      <c r="L1905" s="4" t="s">
        <v>19</v>
      </c>
      <c r="O1905" s="4" t="s">
        <v>16</v>
      </c>
    </row>
    <row r="1906" spans="1:15" x14ac:dyDescent="0.25">
      <c r="A1906" t="s">
        <v>5233</v>
      </c>
      <c r="B1906" s="3">
        <v>45488</v>
      </c>
      <c r="C1906" s="11" t="s">
        <v>5234</v>
      </c>
      <c r="D1906" s="11" t="s">
        <v>5253</v>
      </c>
      <c r="E1906" s="7" t="s">
        <v>5236</v>
      </c>
      <c r="G1906" s="18">
        <v>33023</v>
      </c>
      <c r="I1906" s="4">
        <v>200</v>
      </c>
      <c r="K1906" s="11" t="s">
        <v>5235</v>
      </c>
      <c r="L1906" s="4" t="s">
        <v>19</v>
      </c>
      <c r="O1906" s="4" t="s">
        <v>16</v>
      </c>
    </row>
    <row r="1907" spans="1:15" x14ac:dyDescent="0.25">
      <c r="A1907" t="s">
        <v>5238</v>
      </c>
      <c r="B1907" s="3">
        <v>45488</v>
      </c>
      <c r="C1907" s="11" t="s">
        <v>5242</v>
      </c>
      <c r="D1907" s="11" t="s">
        <v>5283</v>
      </c>
      <c r="E1907" s="7" t="s">
        <v>4983</v>
      </c>
      <c r="G1907" s="18">
        <v>35080</v>
      </c>
      <c r="I1907" s="4">
        <v>500</v>
      </c>
      <c r="K1907" s="11" t="s">
        <v>5282</v>
      </c>
      <c r="L1907" s="4" t="s">
        <v>19</v>
      </c>
      <c r="O1907" s="4" t="s">
        <v>16</v>
      </c>
    </row>
    <row r="1908" spans="1:15" x14ac:dyDescent="0.25">
      <c r="A1908" t="s">
        <v>5239</v>
      </c>
      <c r="B1908" s="3">
        <v>45488</v>
      </c>
      <c r="C1908" s="11" t="s">
        <v>5241</v>
      </c>
      <c r="D1908" s="11" t="s">
        <v>5253</v>
      </c>
      <c r="E1908" s="7" t="s">
        <v>5240</v>
      </c>
      <c r="G1908" s="18">
        <v>31848</v>
      </c>
      <c r="I1908" s="4">
        <v>500</v>
      </c>
      <c r="K1908" s="11" t="s">
        <v>5247</v>
      </c>
      <c r="L1908" s="4" t="s">
        <v>19</v>
      </c>
      <c r="O1908" s="4" t="s">
        <v>16</v>
      </c>
    </row>
    <row r="1909" spans="1:15" x14ac:dyDescent="0.25">
      <c r="A1909" t="s">
        <v>5243</v>
      </c>
      <c r="B1909" s="3">
        <v>45488</v>
      </c>
      <c r="C1909" s="11" t="s">
        <v>5244</v>
      </c>
      <c r="D1909" s="11" t="s">
        <v>5253</v>
      </c>
      <c r="E1909" s="7" t="s">
        <v>5245</v>
      </c>
      <c r="G1909" s="18">
        <v>28352</v>
      </c>
      <c r="I1909" s="4">
        <v>500</v>
      </c>
      <c r="K1909" s="11" t="s">
        <v>5246</v>
      </c>
      <c r="L1909" s="4" t="s">
        <v>19</v>
      </c>
      <c r="O1909" s="4" t="s">
        <v>19</v>
      </c>
    </row>
    <row r="1910" spans="1:15" x14ac:dyDescent="0.25">
      <c r="A1910" t="s">
        <v>5254</v>
      </c>
      <c r="B1910" s="3">
        <v>45489</v>
      </c>
      <c r="C1910" s="11" t="s">
        <v>5255</v>
      </c>
      <c r="D1910" s="11" t="s">
        <v>5283</v>
      </c>
      <c r="E1910" s="7" t="s">
        <v>685</v>
      </c>
      <c r="I1910" s="4">
        <v>300</v>
      </c>
      <c r="K1910" s="11" t="s">
        <v>5235</v>
      </c>
      <c r="L1910" s="4" t="s">
        <v>19</v>
      </c>
      <c r="O1910" s="4" t="s">
        <v>16</v>
      </c>
    </row>
    <row r="1911" spans="1:15" x14ac:dyDescent="0.25">
      <c r="A1911" t="s">
        <v>5256</v>
      </c>
      <c r="B1911" s="3">
        <v>45489</v>
      </c>
      <c r="C1911" s="11" t="s">
        <v>5257</v>
      </c>
      <c r="D1911" s="11" t="s">
        <v>5273</v>
      </c>
      <c r="E1911" s="7" t="s">
        <v>5258</v>
      </c>
      <c r="G1911" s="18">
        <v>32419</v>
      </c>
      <c r="I1911" s="4">
        <v>200</v>
      </c>
      <c r="K1911" s="11" t="s">
        <v>5259</v>
      </c>
      <c r="L1911" s="4" t="s">
        <v>19</v>
      </c>
      <c r="O1911" s="4" t="s">
        <v>16</v>
      </c>
    </row>
    <row r="1912" spans="1:15" x14ac:dyDescent="0.25">
      <c r="A1912" t="s">
        <v>5264</v>
      </c>
      <c r="B1912" s="3">
        <v>45490</v>
      </c>
      <c r="C1912" s="11" t="s">
        <v>5265</v>
      </c>
      <c r="D1912" s="11" t="s">
        <v>5305</v>
      </c>
      <c r="E1912" s="7" t="s">
        <v>5266</v>
      </c>
      <c r="G1912" s="18">
        <v>37758</v>
      </c>
      <c r="I1912" s="4">
        <v>200</v>
      </c>
      <c r="K1912" s="11" t="s">
        <v>5267</v>
      </c>
      <c r="L1912" s="4" t="s">
        <v>19</v>
      </c>
      <c r="O1912" s="4" t="s">
        <v>16</v>
      </c>
    </row>
    <row r="1913" spans="1:15" x14ac:dyDescent="0.25">
      <c r="A1913" t="s">
        <v>5269</v>
      </c>
      <c r="B1913" s="3">
        <v>45490</v>
      </c>
      <c r="C1913" s="11" t="s">
        <v>5270</v>
      </c>
      <c r="D1913" s="11" t="s">
        <v>5283</v>
      </c>
      <c r="E1913" s="7" t="s">
        <v>5271</v>
      </c>
      <c r="G1913" s="18">
        <v>21310</v>
      </c>
      <c r="I1913" s="4">
        <v>200</v>
      </c>
      <c r="J1913" s="11" t="s">
        <v>5296</v>
      </c>
      <c r="K1913" s="11" t="s">
        <v>5272</v>
      </c>
      <c r="L1913" s="4" t="s">
        <v>19</v>
      </c>
      <c r="O1913" s="4" t="s">
        <v>16</v>
      </c>
    </row>
    <row r="1914" spans="1:15" x14ac:dyDescent="0.25">
      <c r="A1914" t="s">
        <v>5274</v>
      </c>
      <c r="B1914" s="3">
        <v>45492</v>
      </c>
      <c r="C1914" s="11" t="s">
        <v>5275</v>
      </c>
      <c r="D1914" s="11" t="s">
        <v>5302</v>
      </c>
      <c r="E1914" s="7" t="s">
        <v>5276</v>
      </c>
      <c r="G1914" s="18">
        <v>21185</v>
      </c>
      <c r="I1914" s="4">
        <v>200</v>
      </c>
      <c r="K1914">
        <v>8797627332</v>
      </c>
      <c r="L1914" s="4" t="s">
        <v>19</v>
      </c>
      <c r="O1914" s="4" t="s">
        <v>16</v>
      </c>
    </row>
    <row r="1915" spans="1:15" x14ac:dyDescent="0.25">
      <c r="A1915" t="s">
        <v>5278</v>
      </c>
      <c r="B1915" s="3">
        <v>45492</v>
      </c>
      <c r="C1915" s="11" t="s">
        <v>5279</v>
      </c>
      <c r="D1915" s="11" t="s">
        <v>5281</v>
      </c>
      <c r="E1915" s="7" t="s">
        <v>5280</v>
      </c>
      <c r="I1915" s="4">
        <v>500</v>
      </c>
      <c r="L1915" s="4" t="s">
        <v>19</v>
      </c>
      <c r="O1915" s="4" t="s">
        <v>16</v>
      </c>
    </row>
    <row r="1916" spans="1:15" x14ac:dyDescent="0.25">
      <c r="A1916" t="s">
        <v>5286</v>
      </c>
      <c r="B1916" s="3">
        <v>45493</v>
      </c>
      <c r="C1916" s="11" t="s">
        <v>5289</v>
      </c>
      <c r="D1916" s="11" t="s">
        <v>5310</v>
      </c>
      <c r="E1916" s="7" t="s">
        <v>5290</v>
      </c>
      <c r="I1916" s="4">
        <v>150</v>
      </c>
      <c r="J1916" s="11" t="s">
        <v>5291</v>
      </c>
      <c r="L1916" s="4" t="s">
        <v>19</v>
      </c>
      <c r="O1916" s="4" t="s">
        <v>16</v>
      </c>
    </row>
    <row r="1917" spans="1:15" x14ac:dyDescent="0.25">
      <c r="A1917" t="s">
        <v>5297</v>
      </c>
      <c r="B1917" s="3">
        <v>45493</v>
      </c>
      <c r="C1917" s="11" t="s">
        <v>5298</v>
      </c>
      <c r="D1917" s="11" t="s">
        <v>5341</v>
      </c>
      <c r="E1917" s="7" t="s">
        <v>5299</v>
      </c>
      <c r="G1917" s="18">
        <v>41340</v>
      </c>
      <c r="I1917" s="4">
        <v>100</v>
      </c>
      <c r="J1917" s="11" t="s">
        <v>5300</v>
      </c>
      <c r="K1917" s="11" t="s">
        <v>1994</v>
      </c>
      <c r="L1917" s="4" t="s">
        <v>19</v>
      </c>
      <c r="O1917" s="4" t="s">
        <v>19</v>
      </c>
    </row>
    <row r="1918" spans="1:15" x14ac:dyDescent="0.25">
      <c r="A1918" t="s">
        <v>5306</v>
      </c>
      <c r="B1918" s="3">
        <v>45495</v>
      </c>
      <c r="C1918" s="11" t="s">
        <v>5311</v>
      </c>
      <c r="D1918" s="11" t="s">
        <v>5344</v>
      </c>
      <c r="E1918" s="7" t="s">
        <v>5318</v>
      </c>
      <c r="I1918" s="4">
        <v>500</v>
      </c>
      <c r="L1918" s="4" t="s">
        <v>19</v>
      </c>
      <c r="O1918" s="4" t="s">
        <v>16</v>
      </c>
    </row>
    <row r="1919" spans="1:15" x14ac:dyDescent="0.25">
      <c r="A1919" t="s">
        <v>5314</v>
      </c>
      <c r="B1919" s="3">
        <v>45496</v>
      </c>
      <c r="C1919" s="11" t="s">
        <v>5315</v>
      </c>
      <c r="D1919" s="11" t="s">
        <v>5341</v>
      </c>
      <c r="E1919" s="7" t="s">
        <v>5316</v>
      </c>
      <c r="G1919" s="18">
        <v>26226</v>
      </c>
      <c r="I1919" s="4">
        <v>500</v>
      </c>
      <c r="J1919" s="11" t="s">
        <v>5317</v>
      </c>
      <c r="K1919" s="11" t="s">
        <v>5345</v>
      </c>
      <c r="L1919" s="4" t="s">
        <v>19</v>
      </c>
      <c r="O1919" s="4" t="s">
        <v>16</v>
      </c>
    </row>
    <row r="1920" spans="1:15" x14ac:dyDescent="0.25">
      <c r="A1920" t="s">
        <v>5322</v>
      </c>
      <c r="B1920" s="3">
        <v>45497</v>
      </c>
      <c r="C1920" s="11" t="s">
        <v>5323</v>
      </c>
      <c r="D1920" s="11" t="s">
        <v>5341</v>
      </c>
      <c r="E1920" s="7" t="s">
        <v>5324</v>
      </c>
      <c r="I1920" s="4">
        <v>500</v>
      </c>
      <c r="K1920" s="11" t="s">
        <v>5325</v>
      </c>
      <c r="L1920" s="4" t="s">
        <v>19</v>
      </c>
      <c r="O1920" s="4" t="s">
        <v>16</v>
      </c>
    </row>
    <row r="1921" spans="1:15" x14ac:dyDescent="0.25">
      <c r="A1921" t="s">
        <v>5327</v>
      </c>
      <c r="B1921" s="3">
        <v>45497</v>
      </c>
      <c r="C1921" s="11" t="s">
        <v>5328</v>
      </c>
      <c r="D1921" s="11" t="s">
        <v>5341</v>
      </c>
      <c r="E1921" s="7" t="s">
        <v>5329</v>
      </c>
      <c r="G1921" s="18">
        <v>35693</v>
      </c>
      <c r="I1921" s="4">
        <v>500</v>
      </c>
      <c r="K1921" s="11" t="s">
        <v>5330</v>
      </c>
      <c r="L1921" s="4" t="s">
        <v>19</v>
      </c>
      <c r="O1921" s="4" t="s">
        <v>16</v>
      </c>
    </row>
    <row r="1922" spans="1:15" x14ac:dyDescent="0.25">
      <c r="A1922" t="s">
        <v>5333</v>
      </c>
      <c r="B1922" s="3">
        <v>45497</v>
      </c>
      <c r="C1922" s="11" t="s">
        <v>5334</v>
      </c>
      <c r="D1922" s="11" t="s">
        <v>5341</v>
      </c>
      <c r="E1922" s="7" t="s">
        <v>5335</v>
      </c>
      <c r="G1922" s="18">
        <v>35473</v>
      </c>
      <c r="I1922" s="4">
        <v>150</v>
      </c>
      <c r="K1922" s="11" t="s">
        <v>5336</v>
      </c>
      <c r="L1922" s="4" t="s">
        <v>19</v>
      </c>
      <c r="O1922" s="4" t="s">
        <v>16</v>
      </c>
    </row>
    <row r="1923" spans="1:15" x14ac:dyDescent="0.25">
      <c r="A1923" t="s">
        <v>5337</v>
      </c>
      <c r="B1923" s="3">
        <v>45497</v>
      </c>
      <c r="C1923" s="11" t="s">
        <v>5338</v>
      </c>
      <c r="D1923" s="11" t="s">
        <v>5341</v>
      </c>
      <c r="E1923" s="7" t="s">
        <v>5339</v>
      </c>
      <c r="G1923" s="18">
        <v>28323</v>
      </c>
      <c r="I1923" s="4">
        <v>500</v>
      </c>
      <c r="K1923" s="11" t="s">
        <v>2329</v>
      </c>
      <c r="L1923" s="4" t="s">
        <v>19</v>
      </c>
      <c r="O1923" s="4" t="s">
        <v>16</v>
      </c>
    </row>
    <row r="1924" spans="1:15" x14ac:dyDescent="0.25">
      <c r="A1924" t="s">
        <v>5346</v>
      </c>
      <c r="B1924" s="3">
        <v>45499</v>
      </c>
      <c r="C1924" s="11" t="s">
        <v>5347</v>
      </c>
      <c r="D1924" s="11" t="s">
        <v>5568</v>
      </c>
      <c r="E1924" s="7" t="s">
        <v>5348</v>
      </c>
      <c r="G1924" s="18">
        <v>37257</v>
      </c>
      <c r="I1924" s="4">
        <v>100</v>
      </c>
      <c r="J1924" s="11" t="s">
        <v>5350</v>
      </c>
      <c r="K1924" s="11" t="s">
        <v>5349</v>
      </c>
      <c r="L1924" s="4" t="s">
        <v>19</v>
      </c>
      <c r="O1924" s="4" t="s">
        <v>16</v>
      </c>
    </row>
    <row r="1925" spans="1:15" x14ac:dyDescent="0.25">
      <c r="A1925" t="s">
        <v>5358</v>
      </c>
      <c r="B1925" s="3">
        <v>45504</v>
      </c>
      <c r="C1925" s="11" t="s">
        <v>5360</v>
      </c>
      <c r="D1925" s="11" t="s">
        <v>5249</v>
      </c>
      <c r="E1925" s="7" t="s">
        <v>385</v>
      </c>
      <c r="I1925" s="4">
        <v>500</v>
      </c>
      <c r="L1925" s="4" t="s">
        <v>19</v>
      </c>
      <c r="O1925" s="4" t="s">
        <v>16</v>
      </c>
    </row>
    <row r="1926" spans="1:15" x14ac:dyDescent="0.25">
      <c r="A1926" t="s">
        <v>5359</v>
      </c>
      <c r="B1926" s="3">
        <v>45504</v>
      </c>
      <c r="C1926" s="11" t="s">
        <v>5361</v>
      </c>
      <c r="D1926" s="11" t="s">
        <v>5407</v>
      </c>
      <c r="E1926" s="7" t="s">
        <v>5363</v>
      </c>
      <c r="G1926" s="18">
        <v>32891</v>
      </c>
      <c r="I1926" s="4">
        <v>400</v>
      </c>
      <c r="J1926" s="11" t="s">
        <v>5429</v>
      </c>
      <c r="K1926" s="11" t="s">
        <v>5362</v>
      </c>
      <c r="L1926" s="4" t="s">
        <v>19</v>
      </c>
      <c r="O1926" s="4" t="s">
        <v>16</v>
      </c>
    </row>
    <row r="1927" spans="1:15" x14ac:dyDescent="0.25">
      <c r="A1927" t="s">
        <v>5364</v>
      </c>
      <c r="B1927" s="3">
        <v>45504</v>
      </c>
      <c r="C1927" s="11" t="s">
        <v>5365</v>
      </c>
      <c r="D1927" s="11" t="s">
        <v>5249</v>
      </c>
      <c r="E1927" s="7" t="s">
        <v>5366</v>
      </c>
      <c r="I1927" s="4">
        <v>200</v>
      </c>
      <c r="K1927" s="11" t="s">
        <v>1548</v>
      </c>
      <c r="L1927" s="4" t="s">
        <v>19</v>
      </c>
      <c r="O1927" s="4" t="s">
        <v>19</v>
      </c>
    </row>
    <row r="1928" spans="1:15" x14ac:dyDescent="0.25">
      <c r="A1928" t="s">
        <v>5367</v>
      </c>
      <c r="B1928" s="3">
        <v>45505</v>
      </c>
      <c r="C1928" s="11" t="s">
        <v>5368</v>
      </c>
      <c r="D1928" s="11" t="s">
        <v>5407</v>
      </c>
      <c r="E1928" s="7" t="s">
        <v>5369</v>
      </c>
      <c r="I1928" s="4">
        <v>100</v>
      </c>
      <c r="K1928" s="11" t="s">
        <v>5370</v>
      </c>
      <c r="L1928" s="4" t="s">
        <v>19</v>
      </c>
      <c r="O1928" s="4" t="s">
        <v>19</v>
      </c>
    </row>
    <row r="1929" spans="1:15" x14ac:dyDescent="0.25">
      <c r="A1929" t="s">
        <v>5371</v>
      </c>
      <c r="B1929" s="3">
        <v>45505</v>
      </c>
      <c r="C1929" s="11" t="s">
        <v>5372</v>
      </c>
      <c r="D1929" s="11" t="s">
        <v>5249</v>
      </c>
      <c r="E1929" s="7" t="s">
        <v>5373</v>
      </c>
      <c r="G1929" s="18">
        <v>35838</v>
      </c>
      <c r="I1929" s="4">
        <v>100</v>
      </c>
      <c r="K1929" s="11" t="s">
        <v>5374</v>
      </c>
      <c r="L1929" s="4" t="s">
        <v>19</v>
      </c>
      <c r="O1929" s="4" t="s">
        <v>16</v>
      </c>
    </row>
    <row r="1930" spans="1:15" x14ac:dyDescent="0.25">
      <c r="A1930" t="s">
        <v>5375</v>
      </c>
      <c r="B1930" s="3">
        <v>45505</v>
      </c>
      <c r="C1930" s="11" t="s">
        <v>5376</v>
      </c>
      <c r="D1930" s="11" t="s">
        <v>5407</v>
      </c>
      <c r="E1930" s="7" t="s">
        <v>5377</v>
      </c>
      <c r="G1930" s="18">
        <v>35555</v>
      </c>
      <c r="I1930" s="4">
        <v>100</v>
      </c>
      <c r="K1930" s="11" t="s">
        <v>5378</v>
      </c>
      <c r="L1930" s="4" t="s">
        <v>19</v>
      </c>
      <c r="O1930" s="4" t="s">
        <v>19</v>
      </c>
    </row>
    <row r="1931" spans="1:15" x14ac:dyDescent="0.25">
      <c r="A1931" t="s">
        <v>5379</v>
      </c>
      <c r="B1931" s="3">
        <v>45505</v>
      </c>
      <c r="C1931" s="11" t="s">
        <v>5380</v>
      </c>
      <c r="D1931" s="11" t="s">
        <v>5249</v>
      </c>
      <c r="E1931" s="7" t="s">
        <v>5381</v>
      </c>
      <c r="G1931" s="18">
        <v>28491</v>
      </c>
      <c r="I1931" s="4">
        <v>100</v>
      </c>
      <c r="K1931" s="11" t="s">
        <v>5386</v>
      </c>
      <c r="L1931" s="4" t="s">
        <v>19</v>
      </c>
      <c r="O1931" s="4" t="s">
        <v>16</v>
      </c>
    </row>
    <row r="1932" spans="1:15" x14ac:dyDescent="0.25">
      <c r="A1932" t="s">
        <v>5382</v>
      </c>
      <c r="B1932" s="3">
        <v>45505</v>
      </c>
      <c r="C1932" s="11" t="s">
        <v>5383</v>
      </c>
      <c r="D1932" s="11" t="s">
        <v>5249</v>
      </c>
      <c r="E1932" s="7" t="s">
        <v>5384</v>
      </c>
      <c r="G1932" s="18">
        <v>37223</v>
      </c>
      <c r="I1932" s="4">
        <v>100</v>
      </c>
      <c r="K1932" s="11" t="s">
        <v>5385</v>
      </c>
      <c r="L1932" s="4" t="s">
        <v>19</v>
      </c>
      <c r="O1932" s="4" t="s">
        <v>16</v>
      </c>
    </row>
    <row r="1933" spans="1:15" x14ac:dyDescent="0.25">
      <c r="A1933" t="s">
        <v>5388</v>
      </c>
      <c r="B1933" s="3">
        <v>45506</v>
      </c>
      <c r="C1933" s="11" t="s">
        <v>4383</v>
      </c>
      <c r="D1933" s="11" t="s">
        <v>5500</v>
      </c>
      <c r="E1933" s="7" t="s">
        <v>5389</v>
      </c>
      <c r="G1933" s="18">
        <v>31105</v>
      </c>
      <c r="I1933" s="4">
        <v>100</v>
      </c>
      <c r="K1933" s="11" t="s">
        <v>5390</v>
      </c>
      <c r="L1933" s="4" t="s">
        <v>19</v>
      </c>
      <c r="O1933" s="4" t="s">
        <v>16</v>
      </c>
    </row>
    <row r="1934" spans="1:15" x14ac:dyDescent="0.25">
      <c r="A1934" t="s">
        <v>5391</v>
      </c>
      <c r="B1934" s="3">
        <v>45506</v>
      </c>
      <c r="C1934" s="11" t="s">
        <v>5392</v>
      </c>
      <c r="D1934" s="11" t="s">
        <v>5249</v>
      </c>
      <c r="E1934" s="7" t="s">
        <v>5393</v>
      </c>
      <c r="G1934" s="18">
        <v>24473</v>
      </c>
      <c r="I1934" s="4">
        <v>100</v>
      </c>
      <c r="L1934" s="4" t="s">
        <v>19</v>
      </c>
      <c r="O1934" s="4" t="s">
        <v>5394</v>
      </c>
    </row>
    <row r="1935" spans="1:15" x14ac:dyDescent="0.25">
      <c r="A1935" t="s">
        <v>5395</v>
      </c>
      <c r="B1935" s="3">
        <v>45506</v>
      </c>
      <c r="C1935" s="11" t="s">
        <v>5396</v>
      </c>
      <c r="D1935" s="11" t="s">
        <v>5595</v>
      </c>
      <c r="E1935" s="7" t="s">
        <v>5397</v>
      </c>
      <c r="G1935" s="18">
        <v>31413</v>
      </c>
      <c r="I1935" s="4">
        <v>100</v>
      </c>
      <c r="K1935" s="11" t="s">
        <v>5398</v>
      </c>
      <c r="L1935" s="4" t="s">
        <v>19</v>
      </c>
      <c r="O1935" s="4" t="s">
        <v>16</v>
      </c>
    </row>
    <row r="1936" spans="1:15" x14ac:dyDescent="0.25">
      <c r="A1936" t="s">
        <v>5400</v>
      </c>
      <c r="B1936" s="3">
        <v>45506</v>
      </c>
      <c r="C1936" s="11" t="s">
        <v>5401</v>
      </c>
      <c r="D1936" s="11" t="s">
        <v>5249</v>
      </c>
      <c r="E1936" s="7" t="s">
        <v>5402</v>
      </c>
      <c r="G1936" s="18">
        <v>29731</v>
      </c>
      <c r="I1936" s="4">
        <v>300</v>
      </c>
      <c r="K1936" s="11" t="s">
        <v>5403</v>
      </c>
      <c r="L1936" s="4" t="s">
        <v>19</v>
      </c>
      <c r="O1936" s="4" t="s">
        <v>16</v>
      </c>
    </row>
    <row r="1937" spans="1:15" x14ac:dyDescent="0.25">
      <c r="A1937" t="s">
        <v>5404</v>
      </c>
      <c r="B1937" s="3">
        <v>45506</v>
      </c>
      <c r="C1937" s="11" t="s">
        <v>5405</v>
      </c>
      <c r="D1937" s="11" t="s">
        <v>5489</v>
      </c>
      <c r="E1937" s="7" t="s">
        <v>5406</v>
      </c>
      <c r="G1937" s="18">
        <v>32339</v>
      </c>
      <c r="I1937" s="4">
        <v>300</v>
      </c>
      <c r="K1937" s="11" t="s">
        <v>1926</v>
      </c>
      <c r="L1937" s="4" t="s">
        <v>19</v>
      </c>
      <c r="O1937" s="4" t="s">
        <v>19</v>
      </c>
    </row>
    <row r="1938" spans="1:15" x14ac:dyDescent="0.25">
      <c r="A1938" t="s">
        <v>5408</v>
      </c>
      <c r="B1938" s="3">
        <v>45506</v>
      </c>
      <c r="C1938" s="11" t="s">
        <v>5409</v>
      </c>
      <c r="D1938" s="11" t="s">
        <v>5440</v>
      </c>
      <c r="E1938" s="7" t="s">
        <v>5410</v>
      </c>
      <c r="G1938" s="18">
        <v>32894</v>
      </c>
      <c r="I1938" s="4">
        <v>200</v>
      </c>
      <c r="K1938" s="11" t="s">
        <v>5411</v>
      </c>
      <c r="L1938" s="4" t="s">
        <v>19</v>
      </c>
      <c r="O1938" s="4" t="s">
        <v>19</v>
      </c>
    </row>
    <row r="1939" spans="1:15" x14ac:dyDescent="0.25">
      <c r="A1939" t="s">
        <v>5413</v>
      </c>
      <c r="B1939" s="3">
        <v>45506</v>
      </c>
      <c r="C1939" s="11" t="s">
        <v>5414</v>
      </c>
      <c r="D1939" s="11" t="s">
        <v>5595</v>
      </c>
      <c r="E1939" s="7" t="s">
        <v>5415</v>
      </c>
      <c r="G1939" s="18">
        <v>34426</v>
      </c>
      <c r="I1939" s="4">
        <v>100</v>
      </c>
      <c r="J1939" s="11" t="s">
        <v>5417</v>
      </c>
      <c r="K1939" s="11" t="s">
        <v>5416</v>
      </c>
      <c r="L1939" s="4" t="s">
        <v>19</v>
      </c>
      <c r="O1939" s="4" t="s">
        <v>16</v>
      </c>
    </row>
    <row r="1940" spans="1:15" x14ac:dyDescent="0.25">
      <c r="A1940" t="s">
        <v>5419</v>
      </c>
      <c r="B1940" s="3">
        <v>45506</v>
      </c>
      <c r="C1940" s="11" t="s">
        <v>5420</v>
      </c>
      <c r="D1940" s="11" t="s">
        <v>5595</v>
      </c>
      <c r="E1940" s="7" t="s">
        <v>5421</v>
      </c>
      <c r="G1940" s="18">
        <v>30544</v>
      </c>
      <c r="I1940" s="4">
        <v>200</v>
      </c>
      <c r="J1940" s="11" t="s">
        <v>5423</v>
      </c>
      <c r="K1940" s="11" t="s">
        <v>5422</v>
      </c>
      <c r="L1940" s="4" t="s">
        <v>19</v>
      </c>
      <c r="O1940" s="4" t="s">
        <v>16</v>
      </c>
    </row>
    <row r="1941" spans="1:15" x14ac:dyDescent="0.25">
      <c r="A1941" t="s">
        <v>5424</v>
      </c>
      <c r="B1941" s="3">
        <v>45506</v>
      </c>
      <c r="C1941" s="11" t="s">
        <v>5425</v>
      </c>
      <c r="D1941" s="11" t="s">
        <v>5500</v>
      </c>
      <c r="E1941" s="7" t="s">
        <v>1058</v>
      </c>
      <c r="G1941" s="18">
        <v>29882</v>
      </c>
      <c r="I1941" s="4">
        <v>100</v>
      </c>
      <c r="J1941" s="11" t="s">
        <v>5427</v>
      </c>
      <c r="K1941" s="11" t="s">
        <v>5426</v>
      </c>
      <c r="L1941" s="4" t="s">
        <v>19</v>
      </c>
      <c r="O1941" s="4" t="s">
        <v>19</v>
      </c>
    </row>
    <row r="1942" spans="1:15" x14ac:dyDescent="0.25">
      <c r="A1942" t="s">
        <v>5428</v>
      </c>
      <c r="B1942" s="3">
        <v>45506</v>
      </c>
      <c r="C1942" s="11" t="s">
        <v>4890</v>
      </c>
      <c r="D1942" s="11" t="s">
        <v>5568</v>
      </c>
      <c r="E1942" s="7" t="s">
        <v>5556</v>
      </c>
      <c r="I1942" s="4">
        <v>500</v>
      </c>
      <c r="K1942" s="11" t="s">
        <v>5578</v>
      </c>
      <c r="L1942" s="4" t="s">
        <v>19</v>
      </c>
      <c r="O1942" s="4" t="s">
        <v>16</v>
      </c>
    </row>
    <row r="1943" spans="1:15" x14ac:dyDescent="0.25">
      <c r="A1943" t="s">
        <v>5434</v>
      </c>
      <c r="B1943" s="3">
        <v>45507</v>
      </c>
      <c r="C1943" s="11" t="s">
        <v>5431</v>
      </c>
      <c r="D1943" s="11" t="s">
        <v>5249</v>
      </c>
      <c r="E1943" s="7" t="s">
        <v>5432</v>
      </c>
      <c r="F1943" s="26">
        <v>45509</v>
      </c>
      <c r="G1943" s="18">
        <v>41256</v>
      </c>
      <c r="I1943" s="4">
        <v>100</v>
      </c>
      <c r="J1943" s="11" t="s">
        <v>5433</v>
      </c>
      <c r="K1943" s="11" t="s">
        <v>5386</v>
      </c>
      <c r="L1943" s="4" t="s">
        <v>19</v>
      </c>
      <c r="O1943" s="4" t="s">
        <v>19</v>
      </c>
    </row>
    <row r="1944" spans="1:15" x14ac:dyDescent="0.25">
      <c r="A1944" t="s">
        <v>5435</v>
      </c>
      <c r="B1944" s="3">
        <v>45507</v>
      </c>
      <c r="C1944" s="11" t="s">
        <v>5436</v>
      </c>
      <c r="D1944" s="11" t="s">
        <v>5500</v>
      </c>
      <c r="E1944" s="7" t="s">
        <v>5437</v>
      </c>
      <c r="G1944" s="18">
        <v>35840</v>
      </c>
      <c r="I1944" s="4">
        <v>100</v>
      </c>
      <c r="J1944" s="11" t="s">
        <v>5439</v>
      </c>
      <c r="K1944" s="11" t="s">
        <v>5438</v>
      </c>
      <c r="L1944" s="4" t="s">
        <v>19</v>
      </c>
      <c r="O1944" s="4" t="s">
        <v>16</v>
      </c>
    </row>
    <row r="1945" spans="1:15" x14ac:dyDescent="0.25">
      <c r="A1945" t="s">
        <v>5441</v>
      </c>
      <c r="B1945" s="3">
        <v>45507</v>
      </c>
      <c r="C1945" s="11" t="s">
        <v>5442</v>
      </c>
      <c r="D1945" s="11" t="s">
        <v>5500</v>
      </c>
      <c r="E1945" s="7" t="s">
        <v>5443</v>
      </c>
      <c r="I1945" s="4">
        <v>400</v>
      </c>
      <c r="J1945" s="11" t="s">
        <v>5445</v>
      </c>
      <c r="K1945" s="11" t="s">
        <v>5444</v>
      </c>
      <c r="L1945" s="4" t="s">
        <v>19</v>
      </c>
      <c r="O1945" s="4" t="s">
        <v>16</v>
      </c>
    </row>
    <row r="1946" spans="1:15" x14ac:dyDescent="0.25">
      <c r="A1946" t="s">
        <v>5447</v>
      </c>
      <c r="B1946" s="3">
        <v>45507</v>
      </c>
      <c r="C1946" s="11" t="s">
        <v>5448</v>
      </c>
      <c r="D1946" s="11" t="s">
        <v>5489</v>
      </c>
      <c r="E1946" s="7" t="s">
        <v>5449</v>
      </c>
      <c r="G1946" s="18">
        <v>36856</v>
      </c>
      <c r="I1946" s="4">
        <v>500</v>
      </c>
      <c r="J1946" s="11" t="s">
        <v>5452</v>
      </c>
      <c r="K1946" s="11" t="s">
        <v>5450</v>
      </c>
      <c r="L1946" s="4" t="s">
        <v>19</v>
      </c>
      <c r="O1946" s="4" t="s">
        <v>16</v>
      </c>
    </row>
    <row r="1947" spans="1:15" x14ac:dyDescent="0.25">
      <c r="A1947" t="s">
        <v>5453</v>
      </c>
      <c r="B1947" s="3">
        <v>45507</v>
      </c>
      <c r="C1947" s="11" t="s">
        <v>5454</v>
      </c>
      <c r="D1947" s="11" t="s">
        <v>5489</v>
      </c>
      <c r="E1947" s="7" t="s">
        <v>5455</v>
      </c>
      <c r="G1947" s="18">
        <v>33169</v>
      </c>
      <c r="I1947" s="4">
        <v>500</v>
      </c>
      <c r="J1947" s="11" t="s">
        <v>5456</v>
      </c>
      <c r="K1947" s="11" t="s">
        <v>5457</v>
      </c>
      <c r="L1947" s="4" t="s">
        <v>19</v>
      </c>
      <c r="O1947" s="4" t="s">
        <v>16</v>
      </c>
    </row>
    <row r="1948" spans="1:15" x14ac:dyDescent="0.25">
      <c r="A1948" t="s">
        <v>5459</v>
      </c>
      <c r="B1948" s="3">
        <v>45507</v>
      </c>
      <c r="C1948" s="11" t="s">
        <v>5460</v>
      </c>
      <c r="D1948" s="11" t="s">
        <v>5595</v>
      </c>
      <c r="E1948" s="7" t="s">
        <v>886</v>
      </c>
      <c r="G1948" s="18">
        <v>37292</v>
      </c>
      <c r="I1948" s="4">
        <v>200</v>
      </c>
      <c r="J1948" s="11" t="s">
        <v>5462</v>
      </c>
      <c r="K1948" s="11" t="s">
        <v>5461</v>
      </c>
      <c r="L1948" s="4" t="s">
        <v>19</v>
      </c>
      <c r="O1948" s="4" t="s">
        <v>16</v>
      </c>
    </row>
    <row r="1949" spans="1:15" x14ac:dyDescent="0.25">
      <c r="A1949" t="s">
        <v>5464</v>
      </c>
      <c r="B1949" s="3">
        <v>45507</v>
      </c>
      <c r="C1949" s="11" t="s">
        <v>5465</v>
      </c>
      <c r="D1949" s="11" t="s">
        <v>5249</v>
      </c>
      <c r="E1949" s="7" t="s">
        <v>5466</v>
      </c>
      <c r="G1949" s="18">
        <v>39688</v>
      </c>
      <c r="I1949" s="4">
        <v>500</v>
      </c>
      <c r="J1949" s="11" t="s">
        <v>5467</v>
      </c>
      <c r="K1949" s="11" t="s">
        <v>5468</v>
      </c>
      <c r="L1949" s="4" t="s">
        <v>19</v>
      </c>
      <c r="O1949" s="4" t="s">
        <v>19</v>
      </c>
    </row>
    <row r="1950" spans="1:15" x14ac:dyDescent="0.25">
      <c r="A1950" t="s">
        <v>5469</v>
      </c>
      <c r="B1950" s="3">
        <v>45509</v>
      </c>
      <c r="C1950" s="11" t="s">
        <v>5470</v>
      </c>
      <c r="D1950" s="11" t="s">
        <v>5500</v>
      </c>
      <c r="E1950" s="7" t="s">
        <v>5471</v>
      </c>
      <c r="G1950" s="18">
        <v>30622</v>
      </c>
      <c r="I1950" s="4">
        <v>500</v>
      </c>
      <c r="K1950" s="11" t="s">
        <v>5472</v>
      </c>
      <c r="L1950" s="4" t="s">
        <v>19</v>
      </c>
      <c r="O1950" s="4" t="s">
        <v>16</v>
      </c>
    </row>
    <row r="1951" spans="1:15" x14ac:dyDescent="0.25">
      <c r="A1951" t="s">
        <v>5473</v>
      </c>
      <c r="B1951" s="3">
        <v>45509</v>
      </c>
      <c r="C1951" s="11" t="s">
        <v>5474</v>
      </c>
      <c r="D1951" s="11" t="s">
        <v>5249</v>
      </c>
      <c r="E1951" s="7" t="s">
        <v>5475</v>
      </c>
      <c r="G1951" s="18">
        <v>28185</v>
      </c>
      <c r="I1951" s="4">
        <v>500</v>
      </c>
      <c r="K1951" s="11" t="s">
        <v>5476</v>
      </c>
      <c r="L1951" s="4" t="s">
        <v>19</v>
      </c>
      <c r="O1951" s="4" t="s">
        <v>16</v>
      </c>
    </row>
    <row r="1952" spans="1:15" x14ac:dyDescent="0.25">
      <c r="A1952" t="s">
        <v>5477</v>
      </c>
      <c r="B1952" s="3">
        <v>45509</v>
      </c>
      <c r="C1952" s="11" t="s">
        <v>5478</v>
      </c>
      <c r="D1952" s="11" t="s">
        <v>5558</v>
      </c>
      <c r="E1952" s="7" t="s">
        <v>5157</v>
      </c>
      <c r="G1952" s="18">
        <v>33263</v>
      </c>
      <c r="I1952" s="4">
        <v>100</v>
      </c>
      <c r="K1952" s="11" t="s">
        <v>5479</v>
      </c>
      <c r="L1952" s="4" t="s">
        <v>19</v>
      </c>
      <c r="O1952" s="4" t="s">
        <v>16</v>
      </c>
    </row>
    <row r="1953" spans="1:15" x14ac:dyDescent="0.25">
      <c r="A1953" t="s">
        <v>5480</v>
      </c>
      <c r="B1953" s="3">
        <v>45509</v>
      </c>
      <c r="C1953" s="11" t="s">
        <v>5481</v>
      </c>
      <c r="D1953" s="11" t="s">
        <v>5249</v>
      </c>
      <c r="E1953" s="7" t="s">
        <v>2011</v>
      </c>
      <c r="G1953" s="18">
        <v>32888</v>
      </c>
      <c r="I1953" s="4">
        <v>200</v>
      </c>
      <c r="L1953" s="4" t="s">
        <v>19</v>
      </c>
      <c r="O1953" s="4" t="s">
        <v>16</v>
      </c>
    </row>
    <row r="1954" spans="1:15" x14ac:dyDescent="0.25">
      <c r="A1954" t="s">
        <v>5482</v>
      </c>
      <c r="B1954" s="3">
        <v>45509</v>
      </c>
      <c r="C1954" s="11" t="s">
        <v>5483</v>
      </c>
      <c r="D1954" s="11" t="s">
        <v>5558</v>
      </c>
      <c r="E1954" s="7" t="s">
        <v>5555</v>
      </c>
      <c r="G1954" s="18">
        <v>31916</v>
      </c>
      <c r="I1954" s="4">
        <v>500</v>
      </c>
      <c r="K1954" s="11" t="s">
        <v>5484</v>
      </c>
      <c r="L1954" s="4" t="s">
        <v>19</v>
      </c>
      <c r="O1954" s="4" t="s">
        <v>16</v>
      </c>
    </row>
    <row r="1955" spans="1:15" x14ac:dyDescent="0.25">
      <c r="A1955" t="s">
        <v>5485</v>
      </c>
      <c r="B1955" s="3">
        <v>45509</v>
      </c>
      <c r="C1955" s="11" t="s">
        <v>5486</v>
      </c>
      <c r="D1955" s="11" t="s">
        <v>5595</v>
      </c>
      <c r="E1955" s="7" t="s">
        <v>5487</v>
      </c>
      <c r="G1955" s="18">
        <v>37362</v>
      </c>
      <c r="I1955" s="4">
        <v>200</v>
      </c>
      <c r="K1955" s="11" t="s">
        <v>5488</v>
      </c>
      <c r="L1955" s="4" t="s">
        <v>19</v>
      </c>
      <c r="O1955" s="4" t="s">
        <v>15</v>
      </c>
    </row>
    <row r="1956" spans="1:15" x14ac:dyDescent="0.25">
      <c r="A1956" t="s">
        <v>5491</v>
      </c>
      <c r="B1956" s="3">
        <v>45509</v>
      </c>
      <c r="C1956" s="11" t="s">
        <v>5492</v>
      </c>
      <c r="D1956" s="11" t="s">
        <v>5598</v>
      </c>
      <c r="E1956" s="7" t="s">
        <v>5493</v>
      </c>
      <c r="I1956" s="4">
        <v>150</v>
      </c>
      <c r="J1956" s="11" t="s">
        <v>5494</v>
      </c>
      <c r="K1956" s="11" t="s">
        <v>5495</v>
      </c>
      <c r="L1956" s="4" t="s">
        <v>19</v>
      </c>
      <c r="O1956" s="4" t="s">
        <v>14</v>
      </c>
    </row>
    <row r="1957" spans="1:15" x14ac:dyDescent="0.25">
      <c r="A1957" t="s">
        <v>5496</v>
      </c>
      <c r="B1957" s="3">
        <v>45509</v>
      </c>
      <c r="C1957" s="11" t="s">
        <v>5497</v>
      </c>
      <c r="D1957" s="11" t="s">
        <v>5558</v>
      </c>
      <c r="E1957" s="7" t="s">
        <v>5499</v>
      </c>
      <c r="I1957" s="4">
        <v>100</v>
      </c>
      <c r="K1957" s="11" t="s">
        <v>5498</v>
      </c>
      <c r="L1957" s="4" t="s">
        <v>19</v>
      </c>
      <c r="O1957" s="4" t="s">
        <v>14</v>
      </c>
    </row>
    <row r="1958" spans="1:15" x14ac:dyDescent="0.25">
      <c r="A1958" t="s">
        <v>5501</v>
      </c>
      <c r="B1958" s="3">
        <v>45510</v>
      </c>
      <c r="C1958" s="11" t="s">
        <v>5502</v>
      </c>
      <c r="D1958" s="11" t="s">
        <v>5249</v>
      </c>
      <c r="E1958" s="7" t="s">
        <v>1668</v>
      </c>
      <c r="G1958" s="18">
        <v>35381</v>
      </c>
      <c r="I1958" s="4">
        <v>1000</v>
      </c>
      <c r="J1958" s="11" t="s">
        <v>5504</v>
      </c>
      <c r="K1958" s="11" t="s">
        <v>5503</v>
      </c>
      <c r="L1958" s="4" t="s">
        <v>19</v>
      </c>
      <c r="O1958" s="4" t="s">
        <v>16</v>
      </c>
    </row>
    <row r="1959" spans="1:15" x14ac:dyDescent="0.25">
      <c r="A1959" t="s">
        <v>5505</v>
      </c>
      <c r="B1959" s="3">
        <v>45510</v>
      </c>
      <c r="C1959" s="11" t="s">
        <v>5506</v>
      </c>
      <c r="D1959" s="11" t="s">
        <v>5249</v>
      </c>
      <c r="E1959" s="7" t="s">
        <v>5508</v>
      </c>
      <c r="I1959" s="4">
        <v>2000</v>
      </c>
      <c r="L1959" s="4" t="s">
        <v>19</v>
      </c>
      <c r="O1959" s="4" t="s">
        <v>16</v>
      </c>
    </row>
    <row r="1960" spans="1:15" x14ac:dyDescent="0.25">
      <c r="A1960" t="s">
        <v>5509</v>
      </c>
      <c r="B1960" s="3">
        <v>45510</v>
      </c>
      <c r="C1960" s="11" t="s">
        <v>5510</v>
      </c>
      <c r="D1960" s="11" t="s">
        <v>5249</v>
      </c>
      <c r="E1960" s="7" t="s">
        <v>1003</v>
      </c>
      <c r="G1960" s="18">
        <v>33208</v>
      </c>
      <c r="I1960" s="4">
        <f>2000+15000</f>
        <v>17000</v>
      </c>
      <c r="J1960" s="11" t="s">
        <v>5511</v>
      </c>
      <c r="L1960" s="4" t="s">
        <v>19</v>
      </c>
      <c r="O1960" s="4" t="s">
        <v>16</v>
      </c>
    </row>
    <row r="1961" spans="1:15" x14ac:dyDescent="0.25">
      <c r="A1961" t="s">
        <v>5514</v>
      </c>
      <c r="B1961" s="3">
        <v>45511</v>
      </c>
      <c r="C1961" s="11" t="s">
        <v>5515</v>
      </c>
      <c r="D1961" s="11" t="s">
        <v>5641</v>
      </c>
      <c r="E1961" s="7" t="s">
        <v>5516</v>
      </c>
      <c r="G1961" s="18">
        <v>35462</v>
      </c>
      <c r="I1961" s="4">
        <v>100</v>
      </c>
      <c r="J1961" s="11" t="s">
        <v>5518</v>
      </c>
      <c r="K1961" s="11" t="s">
        <v>5517</v>
      </c>
      <c r="L1961" s="4" t="s">
        <v>19</v>
      </c>
      <c r="O1961" s="4" t="s">
        <v>16</v>
      </c>
    </row>
    <row r="1962" spans="1:15" x14ac:dyDescent="0.25">
      <c r="A1962" t="s">
        <v>5519</v>
      </c>
      <c r="B1962" s="3">
        <v>45511</v>
      </c>
      <c r="C1962" s="11" t="s">
        <v>5520</v>
      </c>
      <c r="D1962" s="11" t="s">
        <v>5621</v>
      </c>
      <c r="E1962" s="7" t="s">
        <v>5521</v>
      </c>
      <c r="G1962" s="18">
        <v>34700</v>
      </c>
      <c r="I1962" s="4">
        <v>100</v>
      </c>
      <c r="J1962" s="11" t="s">
        <v>5523</v>
      </c>
      <c r="K1962" s="11" t="s">
        <v>5522</v>
      </c>
      <c r="L1962" s="4" t="s">
        <v>19</v>
      </c>
      <c r="O1962" s="4" t="s">
        <v>16</v>
      </c>
    </row>
    <row r="1963" spans="1:15" x14ac:dyDescent="0.25">
      <c r="A1963" t="s">
        <v>5524</v>
      </c>
      <c r="B1963" s="3">
        <v>45511</v>
      </c>
      <c r="C1963" s="11" t="s">
        <v>5525</v>
      </c>
      <c r="D1963" s="11" t="s">
        <v>5661</v>
      </c>
      <c r="E1963" s="7" t="s">
        <v>5526</v>
      </c>
      <c r="G1963" s="18">
        <v>32899</v>
      </c>
      <c r="I1963" s="4">
        <v>100</v>
      </c>
      <c r="J1963" s="11" t="s">
        <v>5663</v>
      </c>
      <c r="K1963" s="11" t="s">
        <v>5662</v>
      </c>
      <c r="L1963" s="4" t="s">
        <v>19</v>
      </c>
      <c r="O1963" s="4" t="s">
        <v>16</v>
      </c>
    </row>
    <row r="1964" spans="1:15" x14ac:dyDescent="0.25">
      <c r="A1964" t="s">
        <v>5527</v>
      </c>
      <c r="B1964" s="3">
        <v>45511</v>
      </c>
      <c r="C1964" s="11" t="s">
        <v>5528</v>
      </c>
      <c r="D1964" s="11" t="s">
        <v>5623</v>
      </c>
      <c r="E1964" s="7" t="s">
        <v>5529</v>
      </c>
      <c r="G1964" s="18">
        <v>36071</v>
      </c>
      <c r="I1964" s="4">
        <v>150</v>
      </c>
      <c r="J1964" s="11" t="s">
        <v>5531</v>
      </c>
      <c r="K1964" s="11" t="s">
        <v>5530</v>
      </c>
      <c r="L1964" s="4" t="s">
        <v>19</v>
      </c>
      <c r="O1964" s="4" t="s">
        <v>16</v>
      </c>
    </row>
    <row r="1965" spans="1:15" x14ac:dyDescent="0.25">
      <c r="A1965" t="s">
        <v>5532</v>
      </c>
      <c r="B1965" s="3">
        <v>45511</v>
      </c>
      <c r="C1965" s="11" t="s">
        <v>5533</v>
      </c>
      <c r="D1965" s="11" t="s">
        <v>5249</v>
      </c>
      <c r="E1965" s="7" t="s">
        <v>4621</v>
      </c>
      <c r="G1965" s="18">
        <v>27249</v>
      </c>
      <c r="I1965" s="4">
        <v>100</v>
      </c>
      <c r="J1965" s="11" t="s">
        <v>5539</v>
      </c>
      <c r="K1965" s="11" t="s">
        <v>5534</v>
      </c>
      <c r="L1965" s="4" t="s">
        <v>19</v>
      </c>
      <c r="O1965" s="4" t="s">
        <v>16</v>
      </c>
    </row>
    <row r="1966" spans="1:15" x14ac:dyDescent="0.25">
      <c r="A1966" t="s">
        <v>5535</v>
      </c>
      <c r="B1966" s="3">
        <v>45511</v>
      </c>
      <c r="C1966" s="11" t="s">
        <v>5536</v>
      </c>
      <c r="D1966" s="11" t="s">
        <v>5249</v>
      </c>
      <c r="E1966" s="7" t="s">
        <v>192</v>
      </c>
      <c r="G1966" s="18">
        <v>36329</v>
      </c>
      <c r="I1966" s="4">
        <v>100</v>
      </c>
      <c r="J1966" s="11" t="s">
        <v>5537</v>
      </c>
      <c r="K1966" s="11" t="s">
        <v>5538</v>
      </c>
      <c r="L1966" s="4" t="s">
        <v>19</v>
      </c>
      <c r="O1966" s="4" t="s">
        <v>16</v>
      </c>
    </row>
    <row r="1967" spans="1:15" x14ac:dyDescent="0.25">
      <c r="A1967" t="s">
        <v>5540</v>
      </c>
      <c r="B1967" s="3">
        <v>45511</v>
      </c>
      <c r="C1967" s="11" t="s">
        <v>5549</v>
      </c>
      <c r="D1967" s="11" t="s">
        <v>5623</v>
      </c>
      <c r="E1967" s="7" t="s">
        <v>5542</v>
      </c>
      <c r="G1967" s="18">
        <v>34877</v>
      </c>
      <c r="I1967" s="4">
        <v>100</v>
      </c>
      <c r="J1967" s="11" t="s">
        <v>5543</v>
      </c>
      <c r="K1967" s="11" t="s">
        <v>5544</v>
      </c>
      <c r="L1967" s="4" t="s">
        <v>19</v>
      </c>
      <c r="O1967" s="4" t="s">
        <v>16</v>
      </c>
    </row>
    <row r="1968" spans="1:15" x14ac:dyDescent="0.25">
      <c r="A1968" t="s">
        <v>5545</v>
      </c>
      <c r="B1968" s="3">
        <v>45511</v>
      </c>
      <c r="C1968" s="11" t="s">
        <v>5550</v>
      </c>
      <c r="D1968" s="11" t="s">
        <v>5249</v>
      </c>
      <c r="E1968" s="7" t="s">
        <v>5546</v>
      </c>
      <c r="G1968" s="18">
        <v>39045</v>
      </c>
      <c r="I1968" s="4">
        <v>100</v>
      </c>
      <c r="J1968" s="11" t="s">
        <v>5547</v>
      </c>
      <c r="K1968" s="11" t="s">
        <v>4948</v>
      </c>
      <c r="L1968" s="4" t="s">
        <v>19</v>
      </c>
      <c r="O1968" s="4" t="s">
        <v>19</v>
      </c>
    </row>
    <row r="1969" spans="1:15" x14ac:dyDescent="0.25">
      <c r="A1969" t="s">
        <v>5548</v>
      </c>
      <c r="B1969" s="3">
        <v>45511</v>
      </c>
      <c r="C1969" s="11" t="s">
        <v>5551</v>
      </c>
      <c r="D1969" s="11" t="s">
        <v>5623</v>
      </c>
      <c r="E1969" s="7" t="s">
        <v>5552</v>
      </c>
      <c r="G1969" s="18">
        <v>29221</v>
      </c>
      <c r="I1969" s="4">
        <v>200</v>
      </c>
      <c r="J1969" s="11" t="s">
        <v>5554</v>
      </c>
      <c r="K1969" s="11" t="s">
        <v>5553</v>
      </c>
      <c r="L1969" s="4" t="s">
        <v>19</v>
      </c>
      <c r="O1969" s="4" t="s">
        <v>16</v>
      </c>
    </row>
    <row r="1970" spans="1:15" x14ac:dyDescent="0.25">
      <c r="A1970" t="s">
        <v>5559</v>
      </c>
      <c r="B1970" s="3">
        <v>45512</v>
      </c>
      <c r="C1970" s="11" t="s">
        <v>5560</v>
      </c>
      <c r="D1970" s="11" t="s">
        <v>5249</v>
      </c>
      <c r="E1970" s="7" t="s">
        <v>405</v>
      </c>
      <c r="G1970" s="18">
        <v>31425</v>
      </c>
      <c r="I1970" s="4">
        <v>100</v>
      </c>
      <c r="J1970" s="11" t="s">
        <v>5562</v>
      </c>
      <c r="K1970" s="11" t="s">
        <v>5561</v>
      </c>
      <c r="L1970" s="4" t="s">
        <v>19</v>
      </c>
      <c r="O1970" s="4" t="s">
        <v>16</v>
      </c>
    </row>
    <row r="1971" spans="1:15" x14ac:dyDescent="0.25">
      <c r="A1971" t="s">
        <v>5563</v>
      </c>
      <c r="B1971" s="3">
        <v>45512</v>
      </c>
      <c r="C1971" s="11" t="s">
        <v>5564</v>
      </c>
      <c r="D1971" s="11" t="s">
        <v>5249</v>
      </c>
      <c r="E1971" s="7" t="s">
        <v>5565</v>
      </c>
      <c r="G1971" s="18">
        <v>24088</v>
      </c>
      <c r="I1971" s="4">
        <v>200</v>
      </c>
      <c r="J1971" s="11" t="s">
        <v>5566</v>
      </c>
      <c r="K1971" s="11" t="s">
        <v>5567</v>
      </c>
      <c r="L1971" s="4" t="s">
        <v>19</v>
      </c>
      <c r="O1971" s="4" t="s">
        <v>16</v>
      </c>
    </row>
    <row r="1972" spans="1:15" x14ac:dyDescent="0.25">
      <c r="A1972" t="s">
        <v>5569</v>
      </c>
      <c r="B1972" s="3">
        <v>45512</v>
      </c>
      <c r="C1972" s="11" t="s">
        <v>5557</v>
      </c>
      <c r="D1972" s="11" t="s">
        <v>5249</v>
      </c>
      <c r="E1972" s="7" t="s">
        <v>5570</v>
      </c>
      <c r="G1972" s="18">
        <v>29647</v>
      </c>
      <c r="I1972" s="4">
        <v>200</v>
      </c>
      <c r="J1972" s="11" t="s">
        <v>5571</v>
      </c>
      <c r="K1972" s="11" t="s">
        <v>5572</v>
      </c>
      <c r="L1972" s="4" t="s">
        <v>19</v>
      </c>
      <c r="O1972" s="4" t="s">
        <v>16</v>
      </c>
    </row>
    <row r="1973" spans="1:15" x14ac:dyDescent="0.25">
      <c r="A1973" t="s">
        <v>5573</v>
      </c>
      <c r="B1973" s="3">
        <v>45512</v>
      </c>
      <c r="C1973" s="11" t="s">
        <v>5574</v>
      </c>
      <c r="D1973" s="11" t="s">
        <v>5659</v>
      </c>
      <c r="E1973" s="7" t="s">
        <v>5577</v>
      </c>
      <c r="G1973" s="18">
        <v>23743</v>
      </c>
      <c r="I1973" s="4">
        <v>200</v>
      </c>
      <c r="J1973" s="11" t="s">
        <v>5576</v>
      </c>
      <c r="K1973" s="11" t="s">
        <v>5575</v>
      </c>
      <c r="L1973" s="4" t="s">
        <v>19</v>
      </c>
      <c r="O1973" s="4" t="s">
        <v>16</v>
      </c>
    </row>
    <row r="1974" spans="1:15" x14ac:dyDescent="0.25">
      <c r="A1974" t="s">
        <v>5579</v>
      </c>
      <c r="B1974" s="3">
        <v>45513</v>
      </c>
      <c r="C1974" s="11" t="s">
        <v>5580</v>
      </c>
      <c r="D1974" s="11" t="s">
        <v>5641</v>
      </c>
      <c r="E1974" s="7" t="s">
        <v>5581</v>
      </c>
      <c r="G1974" s="55" t="s">
        <v>5582</v>
      </c>
      <c r="I1974" s="4">
        <v>500</v>
      </c>
      <c r="J1974" s="11" t="s">
        <v>5584</v>
      </c>
      <c r="K1974" s="11" t="s">
        <v>5583</v>
      </c>
      <c r="L1974" s="4" t="s">
        <v>19</v>
      </c>
      <c r="O1974" s="4" t="s">
        <v>16</v>
      </c>
    </row>
    <row r="1975" spans="1:15" x14ac:dyDescent="0.25">
      <c r="A1975" t="s">
        <v>5585</v>
      </c>
      <c r="B1975" s="3">
        <v>45513</v>
      </c>
      <c r="C1975" s="11" t="s">
        <v>5586</v>
      </c>
      <c r="D1975" s="11" t="s">
        <v>5686</v>
      </c>
      <c r="E1975" s="7" t="s">
        <v>5587</v>
      </c>
      <c r="I1975" s="4">
        <v>500</v>
      </c>
      <c r="K1975" s="11" t="s">
        <v>5588</v>
      </c>
      <c r="L1975" s="4" t="s">
        <v>19</v>
      </c>
      <c r="O1975" s="4" t="s">
        <v>16</v>
      </c>
    </row>
    <row r="1976" spans="1:15" x14ac:dyDescent="0.25">
      <c r="A1976" t="s">
        <v>5589</v>
      </c>
      <c r="B1976" s="3">
        <v>45513</v>
      </c>
      <c r="C1976" s="11" t="s">
        <v>5590</v>
      </c>
      <c r="D1976" s="11" t="s">
        <v>5670</v>
      </c>
      <c r="E1976" s="7" t="s">
        <v>5591</v>
      </c>
      <c r="G1976" s="18">
        <v>29041</v>
      </c>
      <c r="I1976" s="4">
        <v>200</v>
      </c>
      <c r="J1976" s="11" t="s">
        <v>5592</v>
      </c>
      <c r="K1976" s="11" t="s">
        <v>5593</v>
      </c>
      <c r="L1976" s="4" t="s">
        <v>19</v>
      </c>
      <c r="O1976" s="4" t="s">
        <v>16</v>
      </c>
    </row>
    <row r="1977" spans="1:15" x14ac:dyDescent="0.25">
      <c r="A1977" t="s">
        <v>5599</v>
      </c>
      <c r="B1977" s="3">
        <v>45516</v>
      </c>
      <c r="C1977" s="11" t="s">
        <v>5600</v>
      </c>
      <c r="D1977" s="11" t="s">
        <v>5641</v>
      </c>
      <c r="E1977" s="7" t="s">
        <v>5603</v>
      </c>
      <c r="F1977" s="7" t="s">
        <v>5643</v>
      </c>
      <c r="G1977" s="18">
        <v>31604</v>
      </c>
      <c r="I1977" s="4">
        <v>200</v>
      </c>
      <c r="J1977" s="11" t="s">
        <v>5601</v>
      </c>
      <c r="K1977" s="11" t="s">
        <v>5602</v>
      </c>
      <c r="L1977" s="4" t="s">
        <v>19</v>
      </c>
      <c r="O1977" s="4" t="s">
        <v>16</v>
      </c>
    </row>
    <row r="1978" spans="1:15" x14ac:dyDescent="0.25">
      <c r="A1978" t="s">
        <v>5604</v>
      </c>
      <c r="B1978" s="3">
        <v>45516</v>
      </c>
      <c r="C1978" s="11" t="s">
        <v>5605</v>
      </c>
      <c r="D1978" s="11" t="s">
        <v>5641</v>
      </c>
      <c r="E1978" s="7" t="s">
        <v>5606</v>
      </c>
      <c r="G1978" s="18">
        <v>28919</v>
      </c>
      <c r="I1978" s="4">
        <v>500</v>
      </c>
      <c r="J1978" s="11" t="s">
        <v>5642</v>
      </c>
      <c r="K1978" s="11" t="s">
        <v>5607</v>
      </c>
      <c r="L1978" s="4" t="s">
        <v>19</v>
      </c>
      <c r="O1978" s="4" t="s">
        <v>16</v>
      </c>
    </row>
    <row r="1979" spans="1:15" x14ac:dyDescent="0.25">
      <c r="A1979" t="s">
        <v>5608</v>
      </c>
      <c r="B1979" s="3">
        <v>45516</v>
      </c>
      <c r="C1979" s="11" t="s">
        <v>5609</v>
      </c>
      <c r="D1979" s="11" t="s">
        <v>5686</v>
      </c>
      <c r="E1979" s="7" t="s">
        <v>5610</v>
      </c>
      <c r="G1979" s="18">
        <v>32998</v>
      </c>
      <c r="I1979" s="4">
        <v>500</v>
      </c>
      <c r="J1979" s="11" t="s">
        <v>5611</v>
      </c>
      <c r="K1979" s="11" t="s">
        <v>5612</v>
      </c>
      <c r="L1979" s="4" t="s">
        <v>19</v>
      </c>
      <c r="O1979" s="4" t="s">
        <v>16</v>
      </c>
    </row>
    <row r="1980" spans="1:15" x14ac:dyDescent="0.25">
      <c r="A1980" t="s">
        <v>5613</v>
      </c>
      <c r="B1980" s="3">
        <v>45516</v>
      </c>
      <c r="C1980" s="11" t="s">
        <v>5614</v>
      </c>
      <c r="D1980" s="11" t="s">
        <v>5249</v>
      </c>
      <c r="E1980" s="7" t="s">
        <v>5615</v>
      </c>
      <c r="G1980" s="18">
        <v>33156</v>
      </c>
      <c r="I1980" s="4">
        <v>200</v>
      </c>
      <c r="J1980" s="11" t="s">
        <v>5616</v>
      </c>
      <c r="K1980" s="11" t="s">
        <v>5617</v>
      </c>
      <c r="L1980" s="4" t="s">
        <v>19</v>
      </c>
      <c r="O1980" s="4" t="s">
        <v>16</v>
      </c>
    </row>
    <row r="1981" spans="1:15" x14ac:dyDescent="0.25">
      <c r="A1981" t="s">
        <v>5618</v>
      </c>
      <c r="B1981" s="3">
        <v>45520</v>
      </c>
      <c r="C1981" s="11" t="s">
        <v>5619</v>
      </c>
      <c r="D1981" s="11" t="s">
        <v>5641</v>
      </c>
      <c r="E1981" s="7" t="s">
        <v>5620</v>
      </c>
      <c r="I1981" s="4">
        <v>100</v>
      </c>
      <c r="L1981" s="4" t="s">
        <v>19</v>
      </c>
      <c r="O1981" s="4" t="s">
        <v>16</v>
      </c>
    </row>
    <row r="1982" spans="1:15" x14ac:dyDescent="0.25">
      <c r="A1982" t="s">
        <v>5622</v>
      </c>
      <c r="B1982" s="3">
        <v>45517</v>
      </c>
      <c r="C1982" s="11" t="s">
        <v>5624</v>
      </c>
      <c r="D1982" s="11" t="s">
        <v>5249</v>
      </c>
      <c r="E1982" s="7" t="s">
        <v>5625</v>
      </c>
      <c r="G1982" s="18">
        <v>32509</v>
      </c>
      <c r="I1982" s="4">
        <v>200</v>
      </c>
      <c r="J1982" s="11" t="s">
        <v>5626</v>
      </c>
      <c r="K1982" s="11" t="s">
        <v>5627</v>
      </c>
      <c r="L1982" s="4" t="s">
        <v>19</v>
      </c>
      <c r="O1982" s="4" t="s">
        <v>16</v>
      </c>
    </row>
    <row r="1983" spans="1:15" x14ac:dyDescent="0.25">
      <c r="A1983" t="s">
        <v>5628</v>
      </c>
      <c r="B1983" s="3">
        <v>45517</v>
      </c>
      <c r="C1983" s="11" t="s">
        <v>5629</v>
      </c>
      <c r="D1983" s="11" t="s">
        <v>5659</v>
      </c>
      <c r="E1983" s="7" t="s">
        <v>5630</v>
      </c>
      <c r="G1983" s="18">
        <v>29221</v>
      </c>
      <c r="I1983" s="4">
        <v>2500</v>
      </c>
      <c r="J1983" s="11" t="s">
        <v>5632</v>
      </c>
      <c r="K1983" s="11" t="s">
        <v>5631</v>
      </c>
      <c r="L1983" s="4" t="s">
        <v>16</v>
      </c>
      <c r="M1983" s="4" t="s">
        <v>16</v>
      </c>
      <c r="O1983" s="4" t="s">
        <v>16</v>
      </c>
    </row>
    <row r="1984" spans="1:15" x14ac:dyDescent="0.25">
      <c r="A1984" t="s">
        <v>5633</v>
      </c>
      <c r="B1984" s="3">
        <v>45517</v>
      </c>
      <c r="C1984" s="11" t="s">
        <v>5634</v>
      </c>
      <c r="D1984" s="11" t="s">
        <v>5249</v>
      </c>
      <c r="E1984" s="7" t="s">
        <v>5635</v>
      </c>
      <c r="G1984" s="18">
        <v>27030</v>
      </c>
      <c r="I1984" s="4">
        <v>100</v>
      </c>
      <c r="L1984" s="4" t="s">
        <v>19</v>
      </c>
      <c r="O1984" s="4" t="s">
        <v>2551</v>
      </c>
    </row>
    <row r="1985" spans="1:15" x14ac:dyDescent="0.25">
      <c r="A1985" t="s">
        <v>5636</v>
      </c>
      <c r="B1985" s="3">
        <v>45517</v>
      </c>
      <c r="C1985" s="11" t="s">
        <v>5637</v>
      </c>
      <c r="D1985" s="11" t="s">
        <v>5641</v>
      </c>
      <c r="E1985" s="7" t="s">
        <v>5638</v>
      </c>
      <c r="G1985" s="18">
        <v>29221</v>
      </c>
      <c r="I1985" s="4">
        <v>500</v>
      </c>
      <c r="J1985" s="11" t="s">
        <v>5640</v>
      </c>
      <c r="K1985" s="11" t="s">
        <v>5639</v>
      </c>
      <c r="L1985" s="4" t="s">
        <v>19</v>
      </c>
      <c r="O1985" s="4" t="s">
        <v>2551</v>
      </c>
    </row>
    <row r="1986" spans="1:15" x14ac:dyDescent="0.25">
      <c r="A1986" t="s">
        <v>5644</v>
      </c>
      <c r="B1986" s="3">
        <v>45518</v>
      </c>
      <c r="C1986" s="11" t="s">
        <v>5645</v>
      </c>
      <c r="D1986" s="11" t="s">
        <v>5641</v>
      </c>
      <c r="E1986" s="7" t="s">
        <v>5646</v>
      </c>
      <c r="I1986" s="4">
        <v>100</v>
      </c>
      <c r="J1986" s="11" t="s">
        <v>5647</v>
      </c>
      <c r="K1986" s="11" t="s">
        <v>5648</v>
      </c>
      <c r="L1986" s="4" t="s">
        <v>19</v>
      </c>
      <c r="O1986" s="4" t="s">
        <v>19</v>
      </c>
    </row>
    <row r="1987" spans="1:15" x14ac:dyDescent="0.25">
      <c r="A1987" t="s">
        <v>5649</v>
      </c>
      <c r="B1987" s="3">
        <v>45518</v>
      </c>
      <c r="C1987" s="11" t="s">
        <v>5650</v>
      </c>
      <c r="D1987" s="11" t="s">
        <v>5249</v>
      </c>
      <c r="E1987" s="7" t="s">
        <v>5526</v>
      </c>
      <c r="G1987" s="18">
        <v>36067</v>
      </c>
      <c r="I1987" s="4">
        <v>500</v>
      </c>
      <c r="J1987" s="11" t="s">
        <v>5651</v>
      </c>
      <c r="K1987" s="11" t="s">
        <v>5652</v>
      </c>
      <c r="L1987" s="4" t="s">
        <v>19</v>
      </c>
      <c r="O1987" s="4" t="s">
        <v>16</v>
      </c>
    </row>
    <row r="1988" spans="1:15" x14ac:dyDescent="0.25">
      <c r="A1988" t="s">
        <v>5653</v>
      </c>
      <c r="B1988" s="3">
        <v>45518</v>
      </c>
      <c r="C1988" s="11" t="s">
        <v>5654</v>
      </c>
      <c r="D1988" s="11" t="s">
        <v>5249</v>
      </c>
      <c r="E1988" s="7" t="s">
        <v>5655</v>
      </c>
      <c r="G1988" s="18">
        <v>28491</v>
      </c>
      <c r="I1988" s="4">
        <v>100</v>
      </c>
      <c r="J1988" s="11" t="s">
        <v>5656</v>
      </c>
      <c r="K1988" s="11" t="s">
        <v>5657</v>
      </c>
      <c r="L1988" s="4" t="s">
        <v>19</v>
      </c>
      <c r="O1988" s="4" t="s">
        <v>16</v>
      </c>
    </row>
    <row r="1989" spans="1:15" x14ac:dyDescent="0.25">
      <c r="A1989" t="s">
        <v>5665</v>
      </c>
      <c r="B1989" s="3">
        <v>45520</v>
      </c>
      <c r="C1989" s="11" t="s">
        <v>5666</v>
      </c>
      <c r="E1989" s="7" t="s">
        <v>5667</v>
      </c>
      <c r="I1989" s="4">
        <v>1000</v>
      </c>
      <c r="J1989" s="11" t="s">
        <v>5669</v>
      </c>
      <c r="K1989" s="11" t="s">
        <v>5668</v>
      </c>
      <c r="L1989" s="4" t="s">
        <v>19</v>
      </c>
      <c r="O1989" s="4" t="s">
        <v>16</v>
      </c>
    </row>
    <row r="1990" spans="1:15" x14ac:dyDescent="0.25">
      <c r="A1990" t="s">
        <v>5673</v>
      </c>
      <c r="B1990" s="3">
        <v>45520</v>
      </c>
      <c r="C1990" s="11" t="s">
        <v>5674</v>
      </c>
      <c r="E1990" s="7" t="s">
        <v>5675</v>
      </c>
      <c r="G1990" s="18">
        <v>38513</v>
      </c>
      <c r="I1990" s="4">
        <v>200</v>
      </c>
      <c r="J1990" s="11" t="s">
        <v>5677</v>
      </c>
      <c r="K1990" s="11" t="s">
        <v>5676</v>
      </c>
      <c r="L1990" s="4" t="s">
        <v>19</v>
      </c>
      <c r="O1990" s="4" t="s">
        <v>16</v>
      </c>
    </row>
    <row r="1991" spans="1:15" x14ac:dyDescent="0.25">
      <c r="A1991" t="s">
        <v>5678</v>
      </c>
      <c r="B1991" s="3">
        <v>45520</v>
      </c>
      <c r="C1991" s="11" t="s">
        <v>5679</v>
      </c>
      <c r="E1991" s="7" t="s">
        <v>5680</v>
      </c>
      <c r="G1991" s="18">
        <v>23396</v>
      </c>
      <c r="I1991" s="4">
        <v>100</v>
      </c>
      <c r="J1991" s="11" t="s">
        <v>5682</v>
      </c>
      <c r="K1991" s="11" t="s">
        <v>5681</v>
      </c>
      <c r="L1991" s="4" t="s">
        <v>19</v>
      </c>
      <c r="O1991" s="4" t="s">
        <v>16</v>
      </c>
    </row>
    <row r="1992" spans="1:15" x14ac:dyDescent="0.25">
      <c r="A1992" t="s">
        <v>5689</v>
      </c>
      <c r="B1992" s="3">
        <v>45524</v>
      </c>
      <c r="C1992" s="11" t="s">
        <v>5690</v>
      </c>
      <c r="E1992" s="7" t="s">
        <v>5691</v>
      </c>
      <c r="G1992" s="18">
        <v>22174</v>
      </c>
      <c r="I1992" s="4">
        <v>100</v>
      </c>
      <c r="J1992" s="11" t="s">
        <v>5692</v>
      </c>
      <c r="K1992" s="11" t="s">
        <v>5693</v>
      </c>
      <c r="L1992" s="4" t="s">
        <v>19</v>
      </c>
      <c r="O1992" s="4" t="s">
        <v>16</v>
      </c>
    </row>
    <row r="1993" spans="1:15" x14ac:dyDescent="0.25">
      <c r="A1993" t="s">
        <v>5694</v>
      </c>
      <c r="B1993" s="3">
        <v>45524</v>
      </c>
      <c r="C1993" s="11" t="s">
        <v>5695</v>
      </c>
      <c r="E1993" s="7" t="s">
        <v>5696</v>
      </c>
      <c r="I1993" s="4">
        <v>100</v>
      </c>
      <c r="L1993" s="4" t="s">
        <v>19</v>
      </c>
      <c r="O1993" s="4" t="s">
        <v>16</v>
      </c>
    </row>
    <row r="1994" spans="1:15" x14ac:dyDescent="0.25">
      <c r="A1994" t="s">
        <v>5697</v>
      </c>
      <c r="B1994" s="3">
        <v>45524</v>
      </c>
      <c r="C1994" s="11" t="s">
        <v>5698</v>
      </c>
      <c r="E1994" s="7" t="s">
        <v>5699</v>
      </c>
      <c r="G1994" s="18">
        <v>27886</v>
      </c>
      <c r="I1994" s="4">
        <v>500</v>
      </c>
      <c r="J1994" s="11" t="s">
        <v>5701</v>
      </c>
      <c r="K1994" s="11" t="s">
        <v>5700</v>
      </c>
      <c r="L1994" s="4" t="s">
        <v>19</v>
      </c>
      <c r="O1994" s="4" t="s">
        <v>16</v>
      </c>
    </row>
  </sheetData>
  <autoFilter ref="B1:O1332" xr:uid="{00000000-0009-0000-0000-000000000000}">
    <sortState xmlns:xlrd2="http://schemas.microsoft.com/office/spreadsheetml/2017/richdata2" ref="B2:O1195">
      <sortCondition ref="C2:C1195"/>
    </sortState>
  </autoFilter>
  <sortState xmlns:xlrd2="http://schemas.microsoft.com/office/spreadsheetml/2017/richdata2" ref="B2:K16">
    <sortCondition ref="C2:C16"/>
  </sortState>
  <customSheetViews>
    <customSheetView guid="{1459FC0D-58BA-4BEC-951C-298999986759}" showAutoFilter="1">
      <pane ySplit="1" topLeftCell="A1345" activePane="bottomLeft" state="frozen"/>
      <selection pane="bottomLeft" activeCell="E1347" sqref="E1347"/>
      <pageMargins left="0.70866141732283472" right="0.70866141732283472" top="0.35433070866141736" bottom="0.35433070866141736" header="0.31496062992125984" footer="0.31496062992125984"/>
      <pageSetup paperSize="9" orientation="portrait" r:id="rId1"/>
      <autoFilter ref="B1:O1331" xr:uid="{C06578E9-6482-4F7B-B2C1-5FCC9D4C2A0A}">
        <sortState xmlns:xlrd2="http://schemas.microsoft.com/office/spreadsheetml/2017/richdata2" ref="B2:O1194">
          <sortCondition ref="C2:C1194"/>
        </sortState>
      </autoFilter>
    </customSheetView>
    <customSheetView guid="{EB31AAB7-3CD3-47EA-8FB3-E6304DCC89B3}" showAutoFilter="1" hiddenColumns="1">
      <pane ySplit="1" topLeftCell="A1333" activePane="bottomLeft" state="frozen"/>
      <selection pane="bottomLeft" activeCell="A1340" sqref="A1340"/>
      <pageMargins left="0.70866141732283472" right="0.70866141732283472" top="0.35433070866141736" bottom="0.35433070866141736" header="0.31496062992125984" footer="0.31496062992125984"/>
      <pageSetup paperSize="9" orientation="portrait" r:id="rId2"/>
      <autoFilter ref="B1:O1331" xr:uid="{88D00229-4623-4B52-93F0-8162C471CED8}">
        <sortState xmlns:xlrd2="http://schemas.microsoft.com/office/spreadsheetml/2017/richdata2" ref="B2:O1194">
          <sortCondition ref="C2:C1194"/>
        </sortState>
      </autoFilter>
    </customSheetView>
    <customSheetView guid="{2FF9BCA9-095C-4E73-9C86-2243907C0824}" scale="55" showAutoFilter="1">
      <pane ySplit="1" topLeftCell="A1272" activePane="bottomLeft" state="frozen"/>
      <selection pane="bottomLeft" activeCell="U1294" sqref="U1294"/>
      <pageMargins left="0.70866141732283472" right="0.70866141732283472" top="0.35433070866141736" bottom="0.35433070866141736" header="0.31496062992125984" footer="0.31496062992125984"/>
      <pageSetup paperSize="9" orientation="portrait" r:id="rId3"/>
      <autoFilter ref="B1:O1331" xr:uid="{16537264-FC38-4553-875F-0052C4C9EAA4}">
        <sortState xmlns:xlrd2="http://schemas.microsoft.com/office/spreadsheetml/2017/richdata2" ref="B2:O1194">
          <sortCondition ref="C2:C1194"/>
        </sortState>
      </autoFilter>
    </customSheetView>
    <customSheetView guid="{A0CE3161-5061-442F-A27F-2BA55581F316}" showAutoFilter="1">
      <pane ySplit="1" topLeftCell="A1242" activePane="bottomLeft" state="frozen"/>
      <selection pane="bottomLeft" activeCell="D1257" sqref="D1257"/>
      <pageMargins left="0.70866141732283472" right="0.70866141732283472" top="0.35433070866141736" bottom="0.35433070866141736" header="0.31496062992125984" footer="0.31496062992125984"/>
      <pageSetup paperSize="9" orientation="portrait" r:id="rId4"/>
      <autoFilter ref="B1:O1331" xr:uid="{F27F4A71-7FE4-46A3-8885-86DCF2EC2CAC}">
        <sortState xmlns:xlrd2="http://schemas.microsoft.com/office/spreadsheetml/2017/richdata2" ref="B2:O1194">
          <sortCondition ref="C2:C1194"/>
        </sortState>
      </autoFilter>
    </customSheetView>
  </customSheetViews>
  <phoneticPr fontId="11" type="noConversion"/>
  <conditionalFormatting sqref="L1:L1505 L1507:L1612 L1614:L1048576">
    <cfRule type="cellIs" dxfId="38" priority="5" operator="greaterThan">
      <formula>0</formula>
    </cfRule>
  </conditionalFormatting>
  <conditionalFormatting sqref="L1:M1505 L1507:M1612 L1614:M1048576">
    <cfRule type="cellIs" dxfId="37" priority="9" operator="equal">
      <formula>"Y"</formula>
    </cfRule>
  </conditionalFormatting>
  <conditionalFormatting sqref="M1:M1505 M1507:M1612 M1614:M1048576">
    <cfRule type="cellIs" dxfId="36" priority="4" operator="greaterThan">
      <formula>0</formula>
    </cfRule>
    <cfRule type="cellIs" dxfId="35" priority="8" operator="equal">
      <formula>"Y"</formula>
    </cfRule>
  </conditionalFormatting>
  <conditionalFormatting sqref="N1:N1505 N1507:N1612 N1614:N1048576">
    <cfRule type="cellIs" dxfId="34" priority="7" operator="equal">
      <formula>"Y"</formula>
    </cfRule>
  </conditionalFormatting>
  <conditionalFormatting sqref="O1:O1505 O1507:O1587 O1589:O1612 O1614:O1048576">
    <cfRule type="cellIs" dxfId="33" priority="3" operator="equal">
      <formula>"Y"</formula>
    </cfRule>
    <cfRule type="cellIs" dxfId="32" priority="6" operator="equal">
      <formula>"Y"</formula>
    </cfRule>
  </conditionalFormatting>
  <conditionalFormatting sqref="O1588">
    <cfRule type="cellIs" dxfId="31" priority="1" operator="greaterThan">
      <formula>0</formula>
    </cfRule>
    <cfRule type="cellIs" dxfId="30" priority="2" operator="equal">
      <formula>"Y"</formula>
    </cfRule>
  </conditionalFormatting>
  <pageMargins left="0.70866141732283472" right="0.70866141732283472" top="0.35433070866141736" bottom="0.35433070866141736" header="0.31496062992125984" footer="0.31496062992125984"/>
  <pageSetup paperSize="9"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A874-93DF-4ED5-8F79-25AA5274DD38}">
  <dimension ref="A1:U2565"/>
  <sheetViews>
    <sheetView zoomScaleNormal="100" workbookViewId="0">
      <pane ySplit="3" topLeftCell="A2542" activePane="bottomLeft" state="frozen"/>
      <selection pane="bottomLeft" activeCell="E2557" sqref="E2557:E2558"/>
    </sheetView>
  </sheetViews>
  <sheetFormatPr defaultRowHeight="15" x14ac:dyDescent="0.25"/>
  <cols>
    <col min="1" max="1" width="13.42578125" style="4" customWidth="1"/>
    <col min="2" max="2" width="13" style="11" customWidth="1"/>
    <col min="3" max="3" width="25" customWidth="1"/>
    <col min="4" max="4" width="18.42578125" style="58" customWidth="1"/>
    <col min="5" max="5" width="8.85546875" style="115" customWidth="1"/>
    <col min="6" max="6" width="16.7109375" style="4" customWidth="1"/>
    <col min="7" max="7" width="10.7109375" style="2" bestFit="1" customWidth="1"/>
    <col min="8" max="8" width="9.85546875" style="2" bestFit="1" customWidth="1"/>
    <col min="9" max="9" width="12.140625" style="2" customWidth="1"/>
    <col min="10" max="10" width="11" customWidth="1"/>
    <col min="14" max="14" width="9.140625" style="2"/>
    <col min="21" max="21" width="23.85546875" customWidth="1"/>
  </cols>
  <sheetData>
    <row r="1" spans="1:14" x14ac:dyDescent="0.25">
      <c r="J1">
        <v>9000</v>
      </c>
    </row>
    <row r="2" spans="1:14" x14ac:dyDescent="0.25">
      <c r="A2" s="151" t="s">
        <v>2134</v>
      </c>
      <c r="B2" s="151"/>
      <c r="C2" s="151"/>
      <c r="D2" s="151"/>
      <c r="E2" s="151"/>
      <c r="F2" s="151"/>
      <c r="G2" s="151"/>
      <c r="H2" s="151"/>
      <c r="I2" s="151"/>
      <c r="J2" s="151"/>
    </row>
    <row r="3" spans="1:14" x14ac:dyDescent="0.25">
      <c r="A3" s="38" t="s">
        <v>0</v>
      </c>
      <c r="B3" s="145" t="s">
        <v>2135</v>
      </c>
      <c r="C3" s="39" t="s">
        <v>1</v>
      </c>
      <c r="D3" s="138" t="s">
        <v>2136</v>
      </c>
      <c r="E3" s="116" t="s">
        <v>2148</v>
      </c>
      <c r="F3" s="38" t="s">
        <v>2137</v>
      </c>
      <c r="G3" s="93" t="s">
        <v>2138</v>
      </c>
      <c r="H3" s="93" t="s">
        <v>2139</v>
      </c>
      <c r="I3" s="93" t="s">
        <v>2140</v>
      </c>
      <c r="J3" s="39" t="s">
        <v>2141</v>
      </c>
    </row>
    <row r="4" spans="1:14" x14ac:dyDescent="0.25">
      <c r="A4" s="3">
        <v>44682</v>
      </c>
      <c r="B4" s="11" t="s">
        <v>2142</v>
      </c>
      <c r="C4" t="s">
        <v>252</v>
      </c>
      <c r="F4" s="16"/>
      <c r="H4" s="98">
        <v>2000</v>
      </c>
      <c r="I4" s="98">
        <v>7209.3</v>
      </c>
      <c r="J4" s="99">
        <f t="shared" ref="J4:J35" si="0">I4-$J$1</f>
        <v>-1790.6999999999998</v>
      </c>
      <c r="N4" s="98">
        <f t="shared" ref="N4:N28" si="1">IF((G4+H4)&lt;=5000,(H4+G4)*0.004,20)+IF(E4="Y",25,0)</f>
        <v>8</v>
      </c>
    </row>
    <row r="5" spans="1:14" x14ac:dyDescent="0.25">
      <c r="A5" s="3">
        <v>44682</v>
      </c>
      <c r="B5" s="11" t="s">
        <v>1253</v>
      </c>
      <c r="F5" s="16"/>
      <c r="G5" s="2">
        <v>5000</v>
      </c>
      <c r="I5" s="98">
        <f t="shared" ref="I5:I68" si="2">I4+G5-H5</f>
        <v>12209.3</v>
      </c>
      <c r="J5" s="99">
        <f t="shared" si="0"/>
        <v>3209.2999999999993</v>
      </c>
      <c r="N5" s="98">
        <f t="shared" si="1"/>
        <v>20</v>
      </c>
    </row>
    <row r="6" spans="1:14" x14ac:dyDescent="0.25">
      <c r="A6" s="3">
        <v>44682</v>
      </c>
      <c r="B6" s="11" t="s">
        <v>2143</v>
      </c>
      <c r="C6" t="s">
        <v>1256</v>
      </c>
      <c r="F6" s="16"/>
      <c r="H6" s="2">
        <v>5000</v>
      </c>
      <c r="I6" s="98">
        <f t="shared" si="2"/>
        <v>7209.2999999999993</v>
      </c>
      <c r="J6" s="99">
        <f t="shared" si="0"/>
        <v>-1790.7000000000007</v>
      </c>
      <c r="N6" s="98">
        <f t="shared" si="1"/>
        <v>20</v>
      </c>
    </row>
    <row r="7" spans="1:14" x14ac:dyDescent="0.25">
      <c r="A7" s="3">
        <v>44682</v>
      </c>
      <c r="B7" s="11" t="s">
        <v>2145</v>
      </c>
      <c r="C7" t="s">
        <v>2145</v>
      </c>
      <c r="F7" s="16"/>
      <c r="H7" s="2">
        <v>2000</v>
      </c>
      <c r="I7" s="98">
        <f t="shared" si="2"/>
        <v>5209.2999999999993</v>
      </c>
      <c r="J7" s="99">
        <f t="shared" si="0"/>
        <v>-3790.7000000000007</v>
      </c>
      <c r="N7" s="98">
        <f t="shared" si="1"/>
        <v>8</v>
      </c>
    </row>
    <row r="8" spans="1:14" x14ac:dyDescent="0.25">
      <c r="A8" s="3">
        <v>44682</v>
      </c>
      <c r="B8" s="11" t="s">
        <v>2144</v>
      </c>
      <c r="C8" t="s">
        <v>1282</v>
      </c>
      <c r="F8" s="16"/>
      <c r="H8" s="2">
        <v>4000</v>
      </c>
      <c r="I8" s="98">
        <f t="shared" si="2"/>
        <v>1209.2999999999993</v>
      </c>
      <c r="J8" s="99">
        <f t="shared" si="0"/>
        <v>-7790.7000000000007</v>
      </c>
      <c r="N8" s="98">
        <f t="shared" si="1"/>
        <v>16</v>
      </c>
    </row>
    <row r="9" spans="1:14" x14ac:dyDescent="0.25">
      <c r="A9" s="3">
        <v>44683</v>
      </c>
      <c r="B9" s="11" t="s">
        <v>2146</v>
      </c>
      <c r="C9" t="s">
        <v>2025</v>
      </c>
      <c r="F9" s="16">
        <v>629728</v>
      </c>
      <c r="G9" s="2">
        <v>4000</v>
      </c>
      <c r="I9" s="98">
        <f t="shared" si="2"/>
        <v>5209.2999999999993</v>
      </c>
      <c r="J9" s="99">
        <f t="shared" si="0"/>
        <v>-3790.7000000000007</v>
      </c>
      <c r="N9" s="98">
        <f t="shared" si="1"/>
        <v>16</v>
      </c>
    </row>
    <row r="10" spans="1:14" x14ac:dyDescent="0.25">
      <c r="A10" s="3">
        <v>44683</v>
      </c>
      <c r="B10" s="11" t="s">
        <v>2147</v>
      </c>
      <c r="C10" t="s">
        <v>1282</v>
      </c>
      <c r="F10" s="16">
        <v>212218507448</v>
      </c>
      <c r="H10" s="2">
        <v>4000</v>
      </c>
      <c r="I10" s="98">
        <f t="shared" si="2"/>
        <v>1209.2999999999993</v>
      </c>
      <c r="J10" s="99">
        <f t="shared" si="0"/>
        <v>-7790.7000000000007</v>
      </c>
      <c r="N10" s="98">
        <f t="shared" si="1"/>
        <v>16</v>
      </c>
    </row>
    <row r="11" spans="1:14" x14ac:dyDescent="0.25">
      <c r="A11" s="3">
        <v>44685</v>
      </c>
      <c r="B11" s="11" t="s">
        <v>2149</v>
      </c>
      <c r="C11" t="s">
        <v>2150</v>
      </c>
      <c r="E11" s="115" t="s">
        <v>16</v>
      </c>
      <c r="F11" s="16">
        <v>212411963578</v>
      </c>
      <c r="H11" s="2">
        <v>100</v>
      </c>
      <c r="I11" s="98">
        <f t="shared" si="2"/>
        <v>1109.2999999999993</v>
      </c>
      <c r="J11" s="99">
        <f t="shared" si="0"/>
        <v>-7890.7000000000007</v>
      </c>
      <c r="N11" s="98">
        <f t="shared" si="1"/>
        <v>25.4</v>
      </c>
    </row>
    <row r="12" spans="1:14" x14ac:dyDescent="0.25">
      <c r="A12" s="3">
        <v>44685</v>
      </c>
      <c r="B12" s="11" t="s">
        <v>2151</v>
      </c>
      <c r="C12" t="s">
        <v>2152</v>
      </c>
      <c r="D12" s="58">
        <v>9798756883</v>
      </c>
      <c r="F12" s="16"/>
      <c r="G12" s="2">
        <v>10000</v>
      </c>
      <c r="I12" s="98">
        <f t="shared" si="2"/>
        <v>11109.3</v>
      </c>
      <c r="J12" s="99">
        <f t="shared" si="0"/>
        <v>2109.2999999999993</v>
      </c>
      <c r="N12" s="98">
        <f t="shared" si="1"/>
        <v>20</v>
      </c>
    </row>
    <row r="13" spans="1:14" x14ac:dyDescent="0.25">
      <c r="A13" s="3">
        <v>44685</v>
      </c>
      <c r="B13" s="11" t="s">
        <v>1260</v>
      </c>
      <c r="C13" t="s">
        <v>1256</v>
      </c>
      <c r="F13" s="16">
        <v>212420512180</v>
      </c>
      <c r="H13" s="2">
        <v>5000</v>
      </c>
      <c r="I13" s="98">
        <f t="shared" si="2"/>
        <v>6109.2999999999993</v>
      </c>
      <c r="J13" s="99">
        <f t="shared" si="0"/>
        <v>-2890.7000000000007</v>
      </c>
      <c r="N13" s="98">
        <f t="shared" si="1"/>
        <v>20</v>
      </c>
    </row>
    <row r="14" spans="1:14" x14ac:dyDescent="0.25">
      <c r="A14" s="3">
        <v>44686</v>
      </c>
      <c r="C14" t="s">
        <v>2153</v>
      </c>
      <c r="D14" s="58">
        <v>72099825729</v>
      </c>
      <c r="F14" s="16"/>
      <c r="G14" s="2">
        <v>2000</v>
      </c>
      <c r="I14" s="98">
        <f t="shared" si="2"/>
        <v>8109.2999999999993</v>
      </c>
      <c r="J14" s="99">
        <f t="shared" si="0"/>
        <v>-890.70000000000073</v>
      </c>
      <c r="N14" s="98">
        <f t="shared" si="1"/>
        <v>8</v>
      </c>
    </row>
    <row r="15" spans="1:14" x14ac:dyDescent="0.25">
      <c r="A15" s="3">
        <v>44686</v>
      </c>
      <c r="B15" s="11" t="s">
        <v>1260</v>
      </c>
      <c r="C15" t="s">
        <v>1256</v>
      </c>
      <c r="F15" s="16">
        <v>212518826688</v>
      </c>
      <c r="H15" s="2">
        <v>3000</v>
      </c>
      <c r="I15" s="98">
        <f t="shared" si="2"/>
        <v>5109.2999999999993</v>
      </c>
      <c r="J15" s="99">
        <f t="shared" si="0"/>
        <v>-3890.7000000000007</v>
      </c>
      <c r="N15" s="98">
        <f t="shared" si="1"/>
        <v>12</v>
      </c>
    </row>
    <row r="16" spans="1:14" x14ac:dyDescent="0.25">
      <c r="A16" s="3">
        <v>44686</v>
      </c>
      <c r="B16" s="11" t="s">
        <v>2154</v>
      </c>
      <c r="C16" t="s">
        <v>2155</v>
      </c>
      <c r="E16" s="115" t="s">
        <v>16</v>
      </c>
      <c r="F16" s="16"/>
      <c r="H16" s="2">
        <v>200</v>
      </c>
      <c r="I16" s="98">
        <f t="shared" si="2"/>
        <v>4909.2999999999993</v>
      </c>
      <c r="J16" s="99">
        <f t="shared" si="0"/>
        <v>-4090.7000000000007</v>
      </c>
      <c r="N16" s="98">
        <f t="shared" si="1"/>
        <v>25.8</v>
      </c>
    </row>
    <row r="17" spans="1:14" x14ac:dyDescent="0.25">
      <c r="A17" s="3">
        <v>44686</v>
      </c>
      <c r="B17" s="11" t="s">
        <v>1173</v>
      </c>
      <c r="F17" s="16">
        <v>212519120262</v>
      </c>
      <c r="G17" s="2">
        <v>7800</v>
      </c>
      <c r="I17" s="98">
        <f t="shared" si="2"/>
        <v>12709.3</v>
      </c>
      <c r="J17" s="99">
        <f t="shared" si="0"/>
        <v>3709.2999999999993</v>
      </c>
      <c r="N17" s="98">
        <f t="shared" si="1"/>
        <v>20</v>
      </c>
    </row>
    <row r="18" spans="1:14" x14ac:dyDescent="0.25">
      <c r="A18" s="3">
        <v>44686</v>
      </c>
      <c r="B18" s="11" t="s">
        <v>2147</v>
      </c>
      <c r="C18" t="s">
        <v>1359</v>
      </c>
      <c r="F18" s="16"/>
      <c r="H18" s="2">
        <v>10000</v>
      </c>
      <c r="I18" s="98">
        <f t="shared" si="2"/>
        <v>2709.2999999999993</v>
      </c>
      <c r="J18" s="99">
        <f t="shared" si="0"/>
        <v>-6290.7000000000007</v>
      </c>
      <c r="N18" s="98">
        <f t="shared" si="1"/>
        <v>20</v>
      </c>
    </row>
    <row r="19" spans="1:14" x14ac:dyDescent="0.25">
      <c r="A19" s="3">
        <v>44686</v>
      </c>
      <c r="B19" s="11" t="s">
        <v>2156</v>
      </c>
      <c r="C19" t="s">
        <v>1358</v>
      </c>
      <c r="D19" s="58">
        <v>9955844105</v>
      </c>
      <c r="F19" s="16"/>
      <c r="H19" s="2">
        <v>500</v>
      </c>
      <c r="I19" s="98">
        <f t="shared" si="2"/>
        <v>2209.2999999999993</v>
      </c>
      <c r="J19" s="99">
        <f t="shared" si="0"/>
        <v>-6790.7000000000007</v>
      </c>
      <c r="N19" s="98">
        <f t="shared" si="1"/>
        <v>2</v>
      </c>
    </row>
    <row r="20" spans="1:14" x14ac:dyDescent="0.25">
      <c r="A20" s="3">
        <v>44687</v>
      </c>
      <c r="C20" t="s">
        <v>2157</v>
      </c>
      <c r="F20" s="16"/>
      <c r="G20" s="2">
        <v>10000</v>
      </c>
      <c r="I20" s="98">
        <f t="shared" si="2"/>
        <v>12209.3</v>
      </c>
      <c r="J20" s="99">
        <f t="shared" si="0"/>
        <v>3209.2999999999993</v>
      </c>
      <c r="N20" s="98">
        <f t="shared" si="1"/>
        <v>20</v>
      </c>
    </row>
    <row r="21" spans="1:14" x14ac:dyDescent="0.25">
      <c r="A21" s="3">
        <v>44687</v>
      </c>
      <c r="B21" s="11" t="s">
        <v>2147</v>
      </c>
      <c r="C21" s="100" t="s">
        <v>1282</v>
      </c>
      <c r="F21" s="16"/>
      <c r="H21" s="2">
        <v>10000</v>
      </c>
      <c r="I21" s="98">
        <f t="shared" si="2"/>
        <v>2209.2999999999993</v>
      </c>
      <c r="J21" s="99">
        <f t="shared" si="0"/>
        <v>-6790.7000000000007</v>
      </c>
      <c r="N21" s="98">
        <f t="shared" si="1"/>
        <v>20</v>
      </c>
    </row>
    <row r="22" spans="1:14" x14ac:dyDescent="0.25">
      <c r="A22" s="3">
        <v>44687</v>
      </c>
      <c r="B22" s="11" t="s">
        <v>2158</v>
      </c>
      <c r="E22" s="115" t="s">
        <v>14</v>
      </c>
      <c r="F22" s="16">
        <v>212612777859</v>
      </c>
      <c r="H22" s="2">
        <v>500</v>
      </c>
      <c r="I22" s="98">
        <f t="shared" si="2"/>
        <v>1709.2999999999993</v>
      </c>
      <c r="J22" s="99">
        <f t="shared" si="0"/>
        <v>-7290.7000000000007</v>
      </c>
      <c r="N22" s="98">
        <f t="shared" si="1"/>
        <v>27</v>
      </c>
    </row>
    <row r="23" spans="1:14" x14ac:dyDescent="0.25">
      <c r="A23" s="3">
        <v>44689</v>
      </c>
      <c r="B23" s="11" t="s">
        <v>1173</v>
      </c>
      <c r="F23" s="16">
        <v>212811934878</v>
      </c>
      <c r="G23" s="2">
        <v>900</v>
      </c>
      <c r="I23" s="98">
        <f t="shared" si="2"/>
        <v>2609.2999999999993</v>
      </c>
      <c r="J23" s="99">
        <f t="shared" si="0"/>
        <v>-6390.7000000000007</v>
      </c>
      <c r="N23" s="98">
        <f t="shared" si="1"/>
        <v>3.6</v>
      </c>
    </row>
    <row r="24" spans="1:14" x14ac:dyDescent="0.25">
      <c r="A24" s="3">
        <v>44690</v>
      </c>
      <c r="B24" s="11" t="s">
        <v>2174</v>
      </c>
      <c r="C24" t="s">
        <v>2175</v>
      </c>
      <c r="D24" s="58">
        <v>7209627589</v>
      </c>
      <c r="E24" s="115" t="s">
        <v>16</v>
      </c>
      <c r="F24" s="16">
        <v>212913469233</v>
      </c>
      <c r="H24" s="2">
        <v>1000</v>
      </c>
      <c r="I24" s="98">
        <f t="shared" si="2"/>
        <v>1609.2999999999993</v>
      </c>
      <c r="J24" s="99">
        <f t="shared" si="0"/>
        <v>-7390.7000000000007</v>
      </c>
      <c r="N24" s="98">
        <f t="shared" si="1"/>
        <v>29</v>
      </c>
    </row>
    <row r="25" spans="1:14" x14ac:dyDescent="0.25">
      <c r="A25" s="3">
        <v>44691</v>
      </c>
      <c r="B25" s="11" t="s">
        <v>2177</v>
      </c>
      <c r="C25" t="s">
        <v>2176</v>
      </c>
      <c r="D25" s="58">
        <v>7070948598</v>
      </c>
      <c r="F25" s="16">
        <v>213009802402</v>
      </c>
      <c r="G25" s="2">
        <v>3000</v>
      </c>
      <c r="I25" s="98">
        <f t="shared" si="2"/>
        <v>4609.2999999999993</v>
      </c>
      <c r="J25" s="99">
        <f t="shared" si="0"/>
        <v>-4390.7000000000007</v>
      </c>
      <c r="N25" s="98">
        <f t="shared" si="1"/>
        <v>12</v>
      </c>
    </row>
    <row r="26" spans="1:14" x14ac:dyDescent="0.25">
      <c r="A26" s="3">
        <v>44691</v>
      </c>
      <c r="B26" s="11" t="s">
        <v>2178</v>
      </c>
      <c r="F26"/>
      <c r="G26" s="2">
        <v>5000</v>
      </c>
      <c r="I26" s="98">
        <f t="shared" si="2"/>
        <v>9609.2999999999993</v>
      </c>
      <c r="J26" s="99">
        <f t="shared" si="0"/>
        <v>609.29999999999927</v>
      </c>
      <c r="N26" s="98">
        <f t="shared" si="1"/>
        <v>20</v>
      </c>
    </row>
    <row r="27" spans="1:14" x14ac:dyDescent="0.25">
      <c r="A27" s="3">
        <v>44691</v>
      </c>
      <c r="B27" s="11" t="s">
        <v>1253</v>
      </c>
      <c r="F27" s="16">
        <v>213012852966</v>
      </c>
      <c r="G27" s="2">
        <v>3000</v>
      </c>
      <c r="I27" s="98">
        <f t="shared" si="2"/>
        <v>12609.3</v>
      </c>
      <c r="J27" s="99">
        <f t="shared" si="0"/>
        <v>3609.2999999999993</v>
      </c>
      <c r="N27" s="98">
        <f t="shared" si="1"/>
        <v>12</v>
      </c>
    </row>
    <row r="28" spans="1:14" x14ac:dyDescent="0.25">
      <c r="A28" s="3">
        <v>44691</v>
      </c>
      <c r="B28" s="11" t="s">
        <v>2143</v>
      </c>
      <c r="C28" t="s">
        <v>1256</v>
      </c>
      <c r="F28" s="16">
        <v>213012883286</v>
      </c>
      <c r="H28" s="2">
        <v>5000</v>
      </c>
      <c r="I28" s="98">
        <f t="shared" si="2"/>
        <v>7609.2999999999993</v>
      </c>
      <c r="J28" s="99">
        <f t="shared" si="0"/>
        <v>-1390.7000000000007</v>
      </c>
      <c r="N28" s="98">
        <f t="shared" si="1"/>
        <v>20</v>
      </c>
    </row>
    <row r="29" spans="1:14" x14ac:dyDescent="0.25">
      <c r="A29" s="3">
        <v>44691</v>
      </c>
      <c r="C29" t="s">
        <v>2188</v>
      </c>
      <c r="F29" s="16"/>
      <c r="G29" s="2">
        <v>460</v>
      </c>
      <c r="I29" s="98">
        <f t="shared" si="2"/>
        <v>8069.2999999999993</v>
      </c>
      <c r="J29" s="99">
        <f t="shared" si="0"/>
        <v>-930.70000000000073</v>
      </c>
      <c r="N29" s="98"/>
    </row>
    <row r="30" spans="1:14" x14ac:dyDescent="0.25">
      <c r="A30" s="3">
        <v>44691</v>
      </c>
      <c r="B30" s="11" t="s">
        <v>2179</v>
      </c>
      <c r="C30" t="s">
        <v>2180</v>
      </c>
      <c r="E30" s="115" t="s">
        <v>14</v>
      </c>
      <c r="F30" s="16"/>
      <c r="I30" s="98">
        <f t="shared" si="2"/>
        <v>8069.2999999999993</v>
      </c>
      <c r="J30" s="99">
        <f t="shared" si="0"/>
        <v>-930.70000000000073</v>
      </c>
      <c r="N30" s="98">
        <f>IF((G30+H30)&lt;=5000,(H30+G30)*0.004,20)+IF(E30="Y",25,0)</f>
        <v>25</v>
      </c>
    </row>
    <row r="31" spans="1:14" x14ac:dyDescent="0.25">
      <c r="A31" s="3">
        <v>44692</v>
      </c>
      <c r="B31" s="11" t="s">
        <v>2185</v>
      </c>
      <c r="C31" t="s">
        <v>2186</v>
      </c>
      <c r="F31" s="16">
        <v>213111021763</v>
      </c>
      <c r="G31" s="2">
        <v>5000</v>
      </c>
      <c r="I31" s="98">
        <f t="shared" si="2"/>
        <v>13069.3</v>
      </c>
      <c r="J31" s="99">
        <f t="shared" si="0"/>
        <v>4069.2999999999993</v>
      </c>
      <c r="N31" s="98">
        <f>IF((G31+H31)&lt;=5000,(H31+G31)*0.004,20)+IF(E31="Y",25,0)</f>
        <v>20</v>
      </c>
    </row>
    <row r="32" spans="1:14" x14ac:dyDescent="0.25">
      <c r="A32" s="3">
        <v>44692</v>
      </c>
      <c r="B32" s="11" t="s">
        <v>1260</v>
      </c>
      <c r="C32" t="s">
        <v>1256</v>
      </c>
      <c r="F32" s="16">
        <v>213111047491</v>
      </c>
      <c r="H32" s="2">
        <v>5000</v>
      </c>
      <c r="I32" s="98">
        <f t="shared" si="2"/>
        <v>8069.2999999999993</v>
      </c>
      <c r="J32" s="99">
        <f t="shared" si="0"/>
        <v>-930.70000000000073</v>
      </c>
      <c r="N32" s="98">
        <f>IF((G32+H32)&lt;=5000,(H32+G32)*0.004,20)+IF(E32="Y",25,0)</f>
        <v>20</v>
      </c>
    </row>
    <row r="33" spans="1:14" x14ac:dyDescent="0.25">
      <c r="A33" s="3">
        <v>44693</v>
      </c>
      <c r="C33" t="s">
        <v>2187</v>
      </c>
      <c r="F33" s="16">
        <v>213111237518</v>
      </c>
      <c r="H33" s="2">
        <v>4800</v>
      </c>
      <c r="I33" s="98">
        <f t="shared" si="2"/>
        <v>3269.2999999999993</v>
      </c>
      <c r="J33" s="99">
        <f t="shared" si="0"/>
        <v>-5730.7000000000007</v>
      </c>
      <c r="N33" s="98">
        <f>IF((G33+H33)&lt;=5000,(H33+G33)*0.004,20)+IF(E33="Y",25,0)</f>
        <v>19.2</v>
      </c>
    </row>
    <row r="34" spans="1:14" x14ac:dyDescent="0.25">
      <c r="A34" s="3">
        <v>44695</v>
      </c>
      <c r="C34" s="101" t="s">
        <v>2189</v>
      </c>
      <c r="F34" s="16"/>
      <c r="G34" s="2">
        <v>610</v>
      </c>
      <c r="I34" s="98">
        <f t="shared" si="2"/>
        <v>3879.2999999999993</v>
      </c>
      <c r="J34" s="99">
        <f t="shared" si="0"/>
        <v>-5120.7000000000007</v>
      </c>
      <c r="N34" s="98"/>
    </row>
    <row r="35" spans="1:14" x14ac:dyDescent="0.25">
      <c r="A35" s="3">
        <v>44695</v>
      </c>
      <c r="C35" t="s">
        <v>1163</v>
      </c>
      <c r="F35" s="16">
        <v>213411398130</v>
      </c>
      <c r="G35" s="2">
        <v>2000</v>
      </c>
      <c r="I35" s="98">
        <f t="shared" si="2"/>
        <v>5879.2999999999993</v>
      </c>
      <c r="J35" s="99">
        <f t="shared" si="0"/>
        <v>-3120.7000000000007</v>
      </c>
      <c r="N35" s="98">
        <f t="shared" ref="N35:N45" si="3">IF((G35+H35)&lt;=5000,(H35+G35)*0.004,20)+IF(E35="Y",25,0)</f>
        <v>8</v>
      </c>
    </row>
    <row r="36" spans="1:14" x14ac:dyDescent="0.25">
      <c r="A36" s="3">
        <v>44695</v>
      </c>
      <c r="B36" s="11" t="s">
        <v>2190</v>
      </c>
      <c r="C36" t="s">
        <v>2192</v>
      </c>
      <c r="F36"/>
      <c r="H36" s="2">
        <v>3600</v>
      </c>
      <c r="I36" s="98">
        <f t="shared" si="2"/>
        <v>2279.2999999999993</v>
      </c>
      <c r="J36" s="99">
        <f t="shared" ref="J36:J67" si="4">I36-$J$1</f>
        <v>-6720.7000000000007</v>
      </c>
      <c r="N36" s="98">
        <f t="shared" si="3"/>
        <v>14.4</v>
      </c>
    </row>
    <row r="37" spans="1:14" x14ac:dyDescent="0.25">
      <c r="A37" s="3">
        <v>44695</v>
      </c>
      <c r="B37" s="11" t="s">
        <v>2191</v>
      </c>
      <c r="C37" t="s">
        <v>2193</v>
      </c>
      <c r="F37" s="16">
        <v>213417638813</v>
      </c>
      <c r="H37" s="2">
        <v>400</v>
      </c>
      <c r="I37" s="98">
        <f t="shared" si="2"/>
        <v>1879.2999999999993</v>
      </c>
      <c r="J37" s="99">
        <f t="shared" si="4"/>
        <v>-7120.7000000000007</v>
      </c>
      <c r="N37" s="98">
        <f t="shared" si="3"/>
        <v>1.6</v>
      </c>
    </row>
    <row r="38" spans="1:14" x14ac:dyDescent="0.25">
      <c r="A38" s="3">
        <v>44698</v>
      </c>
      <c r="B38" s="11" t="s">
        <v>1474</v>
      </c>
      <c r="C38" t="s">
        <v>1472</v>
      </c>
      <c r="F38" s="16">
        <v>213709523566</v>
      </c>
      <c r="H38" s="2">
        <v>500</v>
      </c>
      <c r="I38" s="98">
        <f t="shared" si="2"/>
        <v>1379.2999999999993</v>
      </c>
      <c r="J38" s="99">
        <f t="shared" si="4"/>
        <v>-7620.7000000000007</v>
      </c>
      <c r="N38" s="98">
        <f t="shared" si="3"/>
        <v>2</v>
      </c>
    </row>
    <row r="39" spans="1:14" x14ac:dyDescent="0.25">
      <c r="A39" s="3">
        <v>44698</v>
      </c>
      <c r="B39" s="11" t="s">
        <v>2194</v>
      </c>
      <c r="C39" t="s">
        <v>2195</v>
      </c>
      <c r="F39" s="16">
        <v>213709530996</v>
      </c>
      <c r="H39" s="2">
        <v>1000</v>
      </c>
      <c r="I39" s="98">
        <f t="shared" si="2"/>
        <v>379.29999999999927</v>
      </c>
      <c r="J39" s="99">
        <f t="shared" si="4"/>
        <v>-8620.7000000000007</v>
      </c>
      <c r="N39" s="98">
        <f t="shared" si="3"/>
        <v>4</v>
      </c>
    </row>
    <row r="40" spans="1:14" x14ac:dyDescent="0.25">
      <c r="A40" s="3">
        <v>44699</v>
      </c>
      <c r="B40" s="11" t="s">
        <v>2203</v>
      </c>
      <c r="C40" t="s">
        <v>2204</v>
      </c>
      <c r="E40" s="115" t="s">
        <v>16</v>
      </c>
      <c r="F40" s="16"/>
      <c r="H40" s="2">
        <v>100</v>
      </c>
      <c r="I40" s="98">
        <f t="shared" si="2"/>
        <v>279.29999999999927</v>
      </c>
      <c r="J40" s="99">
        <f t="shared" si="4"/>
        <v>-8720.7000000000007</v>
      </c>
      <c r="N40" s="98">
        <f t="shared" si="3"/>
        <v>25.4</v>
      </c>
    </row>
    <row r="41" spans="1:14" x14ac:dyDescent="0.25">
      <c r="A41" s="3">
        <v>44699</v>
      </c>
      <c r="B41" s="11" t="s">
        <v>2205</v>
      </c>
      <c r="C41" t="s">
        <v>2196</v>
      </c>
      <c r="F41" s="16"/>
      <c r="H41" s="2">
        <v>100</v>
      </c>
      <c r="I41" s="98">
        <f t="shared" si="2"/>
        <v>179.29999999999927</v>
      </c>
      <c r="J41" s="99">
        <f t="shared" si="4"/>
        <v>-8820.7000000000007</v>
      </c>
      <c r="N41" s="98">
        <f t="shared" si="3"/>
        <v>0.4</v>
      </c>
    </row>
    <row r="42" spans="1:14" x14ac:dyDescent="0.25">
      <c r="A42" s="3">
        <v>44699</v>
      </c>
      <c r="B42" s="11" t="s">
        <v>2210</v>
      </c>
      <c r="C42" t="s">
        <v>2209</v>
      </c>
      <c r="F42" s="16">
        <v>213817801560</v>
      </c>
      <c r="G42" s="2">
        <v>2000</v>
      </c>
      <c r="I42" s="98">
        <f t="shared" si="2"/>
        <v>2179.2999999999993</v>
      </c>
      <c r="J42" s="99">
        <f t="shared" si="4"/>
        <v>-6820.7000000000007</v>
      </c>
      <c r="N42" s="98">
        <f t="shared" si="3"/>
        <v>8</v>
      </c>
    </row>
    <row r="43" spans="1:14" x14ac:dyDescent="0.25">
      <c r="A43" s="3">
        <v>44699</v>
      </c>
      <c r="B43" s="11" t="s">
        <v>2203</v>
      </c>
      <c r="C43" t="s">
        <v>2204</v>
      </c>
      <c r="F43" s="16">
        <v>213817813431</v>
      </c>
      <c r="H43" s="2">
        <v>400</v>
      </c>
      <c r="I43" s="98">
        <f t="shared" si="2"/>
        <v>1779.2999999999993</v>
      </c>
      <c r="J43" s="99">
        <f t="shared" si="4"/>
        <v>-7220.7000000000007</v>
      </c>
      <c r="N43" s="98">
        <f t="shared" si="3"/>
        <v>1.6</v>
      </c>
    </row>
    <row r="44" spans="1:14" x14ac:dyDescent="0.25">
      <c r="A44" s="3">
        <v>44699</v>
      </c>
      <c r="B44" s="11" t="s">
        <v>2211</v>
      </c>
      <c r="C44" t="s">
        <v>2212</v>
      </c>
      <c r="E44" s="115" t="s">
        <v>16</v>
      </c>
      <c r="F44" s="16"/>
      <c r="H44" s="2">
        <v>150</v>
      </c>
      <c r="I44" s="98">
        <f t="shared" si="2"/>
        <v>1629.2999999999993</v>
      </c>
      <c r="J44" s="99">
        <f t="shared" si="4"/>
        <v>-7370.7000000000007</v>
      </c>
      <c r="N44" s="98">
        <f t="shared" si="3"/>
        <v>25.6</v>
      </c>
    </row>
    <row r="45" spans="1:14" x14ac:dyDescent="0.25">
      <c r="A45" s="3">
        <v>44699</v>
      </c>
      <c r="B45" s="11" t="s">
        <v>2217</v>
      </c>
      <c r="C45" t="s">
        <v>2218</v>
      </c>
      <c r="E45" s="115" t="s">
        <v>16</v>
      </c>
      <c r="F45" s="16">
        <v>213820644497</v>
      </c>
      <c r="H45" s="2">
        <v>100</v>
      </c>
      <c r="I45" s="98">
        <f t="shared" si="2"/>
        <v>1529.2999999999993</v>
      </c>
      <c r="J45" s="99">
        <f t="shared" si="4"/>
        <v>-7470.7000000000007</v>
      </c>
      <c r="N45" s="98">
        <f t="shared" si="3"/>
        <v>25.4</v>
      </c>
    </row>
    <row r="46" spans="1:14" x14ac:dyDescent="0.25">
      <c r="A46" s="3">
        <v>44700</v>
      </c>
      <c r="C46" t="s">
        <v>2219</v>
      </c>
      <c r="F46" s="16"/>
      <c r="G46" s="2">
        <v>7000</v>
      </c>
      <c r="I46" s="98">
        <f t="shared" si="2"/>
        <v>8529.2999999999993</v>
      </c>
      <c r="J46" s="99">
        <f t="shared" si="4"/>
        <v>-470.70000000000073</v>
      </c>
      <c r="N46" s="98"/>
    </row>
    <row r="47" spans="1:14" x14ac:dyDescent="0.25">
      <c r="A47" s="3">
        <v>44700</v>
      </c>
      <c r="B47" s="11" t="s">
        <v>1260</v>
      </c>
      <c r="C47" t="s">
        <v>1256</v>
      </c>
      <c r="F47" s="16">
        <v>213912340875</v>
      </c>
      <c r="H47" s="2">
        <v>5000</v>
      </c>
      <c r="I47" s="98">
        <f t="shared" si="2"/>
        <v>3529.2999999999993</v>
      </c>
      <c r="J47" s="99">
        <f t="shared" si="4"/>
        <v>-5470.7000000000007</v>
      </c>
      <c r="N47" s="98">
        <f t="shared" ref="N47:N75" si="5">IF((G47+H47)&lt;=5000,(H47+G47)*0.004,20)+IF(E47="Y",25,0)</f>
        <v>20</v>
      </c>
    </row>
    <row r="48" spans="1:14" x14ac:dyDescent="0.25">
      <c r="A48" s="3">
        <v>44702</v>
      </c>
      <c r="B48" s="11" t="s">
        <v>2223</v>
      </c>
      <c r="C48" t="s">
        <v>2224</v>
      </c>
      <c r="D48" s="58">
        <v>8825227510</v>
      </c>
      <c r="F48" s="16">
        <v>214112102770</v>
      </c>
      <c r="G48" s="2">
        <v>2000</v>
      </c>
      <c r="I48" s="98">
        <f t="shared" si="2"/>
        <v>5529.2999999999993</v>
      </c>
      <c r="J48" s="99">
        <f t="shared" si="4"/>
        <v>-3470.7000000000007</v>
      </c>
      <c r="N48" s="98">
        <f t="shared" si="5"/>
        <v>8</v>
      </c>
    </row>
    <row r="49" spans="1:14" x14ac:dyDescent="0.25">
      <c r="A49" s="3">
        <v>44702</v>
      </c>
      <c r="B49" s="11" t="s">
        <v>2233</v>
      </c>
      <c r="E49" s="115" t="s">
        <v>16</v>
      </c>
      <c r="F49" s="16"/>
      <c r="H49" s="2">
        <v>100</v>
      </c>
      <c r="I49" s="98">
        <f t="shared" si="2"/>
        <v>5429.2999999999993</v>
      </c>
      <c r="J49" s="99">
        <f t="shared" si="4"/>
        <v>-3570.7000000000007</v>
      </c>
      <c r="N49" s="98">
        <f t="shared" si="5"/>
        <v>25.4</v>
      </c>
    </row>
    <row r="50" spans="1:14" x14ac:dyDescent="0.25">
      <c r="A50" s="3">
        <v>44702</v>
      </c>
      <c r="B50" s="11" t="s">
        <v>2234</v>
      </c>
      <c r="C50" t="s">
        <v>2235</v>
      </c>
      <c r="E50" s="115" t="s">
        <v>16</v>
      </c>
      <c r="F50" s="16"/>
      <c r="H50" s="2">
        <v>150</v>
      </c>
      <c r="I50" s="98">
        <f t="shared" si="2"/>
        <v>5279.2999999999993</v>
      </c>
      <c r="J50" s="99">
        <f t="shared" si="4"/>
        <v>-3720.7000000000007</v>
      </c>
      <c r="N50" s="98">
        <f t="shared" si="5"/>
        <v>25.6</v>
      </c>
    </row>
    <row r="51" spans="1:14" x14ac:dyDescent="0.25">
      <c r="A51" s="3">
        <v>44704</v>
      </c>
      <c r="B51" s="11" t="s">
        <v>2236</v>
      </c>
      <c r="C51" t="s">
        <v>2237</v>
      </c>
      <c r="F51" s="16">
        <v>214310941836</v>
      </c>
      <c r="H51" s="2">
        <v>3300</v>
      </c>
      <c r="I51" s="98">
        <f t="shared" si="2"/>
        <v>1979.2999999999993</v>
      </c>
      <c r="J51" s="99">
        <f t="shared" si="4"/>
        <v>-7020.7000000000007</v>
      </c>
      <c r="N51" s="98">
        <f t="shared" si="5"/>
        <v>13.200000000000001</v>
      </c>
    </row>
    <row r="52" spans="1:14" x14ac:dyDescent="0.25">
      <c r="A52" s="3">
        <v>44704</v>
      </c>
      <c r="B52" s="11" t="s">
        <v>2205</v>
      </c>
      <c r="C52" t="s">
        <v>2196</v>
      </c>
      <c r="F52" s="16">
        <v>214312828563</v>
      </c>
      <c r="G52" s="2">
        <v>1000</v>
      </c>
      <c r="I52" s="98">
        <f t="shared" si="2"/>
        <v>2979.2999999999993</v>
      </c>
      <c r="J52" s="99">
        <f t="shared" si="4"/>
        <v>-6020.7000000000007</v>
      </c>
      <c r="N52" s="98">
        <f t="shared" si="5"/>
        <v>4</v>
      </c>
    </row>
    <row r="53" spans="1:14" x14ac:dyDescent="0.25">
      <c r="A53" s="3">
        <v>44704</v>
      </c>
      <c r="B53" s="11" t="s">
        <v>2238</v>
      </c>
      <c r="C53" t="s">
        <v>2239</v>
      </c>
      <c r="E53" s="115" t="s">
        <v>16</v>
      </c>
      <c r="F53" s="16"/>
      <c r="H53" s="2">
        <v>100</v>
      </c>
      <c r="I53" s="98">
        <f t="shared" si="2"/>
        <v>2879.2999999999993</v>
      </c>
      <c r="J53" s="99">
        <f t="shared" si="4"/>
        <v>-6120.7000000000007</v>
      </c>
      <c r="N53" s="98">
        <f t="shared" si="5"/>
        <v>25.4</v>
      </c>
    </row>
    <row r="54" spans="1:14" x14ac:dyDescent="0.25">
      <c r="A54" s="3">
        <v>44705</v>
      </c>
      <c r="B54" s="11" t="s">
        <v>2240</v>
      </c>
      <c r="C54" t="s">
        <v>2241</v>
      </c>
      <c r="D54" s="58">
        <v>6299599390</v>
      </c>
      <c r="F54" s="16">
        <v>214410624012</v>
      </c>
      <c r="G54" s="2">
        <v>2000</v>
      </c>
      <c r="I54" s="98">
        <f t="shared" si="2"/>
        <v>4879.2999999999993</v>
      </c>
      <c r="J54" s="99">
        <f t="shared" si="4"/>
        <v>-4120.7000000000007</v>
      </c>
      <c r="N54" s="98">
        <f t="shared" si="5"/>
        <v>8</v>
      </c>
    </row>
    <row r="55" spans="1:14" x14ac:dyDescent="0.25">
      <c r="A55" s="3">
        <v>44705</v>
      </c>
      <c r="B55" s="11" t="s">
        <v>2242</v>
      </c>
      <c r="C55" t="s">
        <v>2243</v>
      </c>
      <c r="F55" s="16">
        <v>214410652712</v>
      </c>
      <c r="H55" s="2">
        <v>3000</v>
      </c>
      <c r="I55" s="98">
        <f t="shared" si="2"/>
        <v>1879.2999999999993</v>
      </c>
      <c r="J55" s="99">
        <f t="shared" si="4"/>
        <v>-7120.7000000000007</v>
      </c>
      <c r="N55" s="98">
        <f t="shared" si="5"/>
        <v>12</v>
      </c>
    </row>
    <row r="56" spans="1:14" x14ac:dyDescent="0.25">
      <c r="A56" s="3">
        <v>44705</v>
      </c>
      <c r="B56" s="11" t="s">
        <v>2244</v>
      </c>
      <c r="C56" t="s">
        <v>2245</v>
      </c>
      <c r="F56" s="16"/>
      <c r="H56" s="2">
        <v>500</v>
      </c>
      <c r="I56" s="98">
        <f t="shared" si="2"/>
        <v>1379.2999999999993</v>
      </c>
      <c r="J56" s="99">
        <f t="shared" si="4"/>
        <v>-7620.7000000000007</v>
      </c>
      <c r="N56" s="98">
        <f t="shared" si="5"/>
        <v>2</v>
      </c>
    </row>
    <row r="57" spans="1:14" x14ac:dyDescent="0.25">
      <c r="A57" s="3">
        <v>44706</v>
      </c>
      <c r="B57" s="11" t="s">
        <v>2238</v>
      </c>
      <c r="C57" t="s">
        <v>2239</v>
      </c>
      <c r="F57" s="16"/>
      <c r="H57" s="2">
        <v>700</v>
      </c>
      <c r="I57" s="98">
        <f t="shared" si="2"/>
        <v>679.29999999999927</v>
      </c>
      <c r="J57" s="99">
        <f t="shared" si="4"/>
        <v>-8320.7000000000007</v>
      </c>
      <c r="N57" s="98">
        <f t="shared" si="5"/>
        <v>2.8000000000000003</v>
      </c>
    </row>
    <row r="58" spans="1:14" x14ac:dyDescent="0.25">
      <c r="A58" s="3">
        <v>44707</v>
      </c>
      <c r="C58" t="s">
        <v>2247</v>
      </c>
      <c r="D58" s="58">
        <v>8542958757</v>
      </c>
      <c r="F58" s="16">
        <v>214612201950</v>
      </c>
      <c r="G58" s="2">
        <v>1000</v>
      </c>
      <c r="I58" s="98">
        <f t="shared" si="2"/>
        <v>1679.2999999999993</v>
      </c>
      <c r="J58" s="99">
        <f t="shared" si="4"/>
        <v>-7320.7000000000007</v>
      </c>
      <c r="N58" s="98">
        <f t="shared" si="5"/>
        <v>4</v>
      </c>
    </row>
    <row r="59" spans="1:14" x14ac:dyDescent="0.25">
      <c r="A59" s="3">
        <v>44707</v>
      </c>
      <c r="C59" t="s">
        <v>1253</v>
      </c>
      <c r="F59" s="16">
        <v>214614562205</v>
      </c>
      <c r="G59" s="2">
        <v>6000</v>
      </c>
      <c r="I59" s="98">
        <f t="shared" si="2"/>
        <v>7679.2999999999993</v>
      </c>
      <c r="J59" s="99">
        <f t="shared" si="4"/>
        <v>-1320.7000000000007</v>
      </c>
      <c r="N59" s="98">
        <f t="shared" si="5"/>
        <v>20</v>
      </c>
    </row>
    <row r="60" spans="1:14" x14ac:dyDescent="0.25">
      <c r="A60" s="3">
        <v>44707</v>
      </c>
      <c r="B60" s="11" t="s">
        <v>2246</v>
      </c>
      <c r="C60" t="s">
        <v>1388</v>
      </c>
      <c r="F60" s="16">
        <v>214614581584</v>
      </c>
      <c r="H60" s="2">
        <v>2000</v>
      </c>
      <c r="I60" s="98">
        <f t="shared" si="2"/>
        <v>5679.2999999999993</v>
      </c>
      <c r="J60" s="99">
        <f t="shared" si="4"/>
        <v>-3320.7000000000007</v>
      </c>
      <c r="N60" s="98">
        <f t="shared" si="5"/>
        <v>8</v>
      </c>
    </row>
    <row r="61" spans="1:14" x14ac:dyDescent="0.25">
      <c r="A61" s="3">
        <v>44707</v>
      </c>
      <c r="B61" s="11" t="s">
        <v>2143</v>
      </c>
      <c r="C61" t="s">
        <v>1256</v>
      </c>
      <c r="F61" s="16">
        <v>214614570928</v>
      </c>
      <c r="H61" s="2">
        <v>5000</v>
      </c>
      <c r="I61" s="98">
        <f t="shared" si="2"/>
        <v>679.29999999999927</v>
      </c>
      <c r="J61" s="99">
        <f t="shared" si="4"/>
        <v>-8320.7000000000007</v>
      </c>
      <c r="N61" s="98">
        <f t="shared" si="5"/>
        <v>20</v>
      </c>
    </row>
    <row r="62" spans="1:14" x14ac:dyDescent="0.25">
      <c r="A62" s="3">
        <v>44707</v>
      </c>
      <c r="B62" s="11" t="s">
        <v>2248</v>
      </c>
      <c r="C62" t="s">
        <v>2249</v>
      </c>
      <c r="E62" s="115" t="s">
        <v>16</v>
      </c>
      <c r="F62"/>
      <c r="H62" s="2">
        <v>500</v>
      </c>
      <c r="I62" s="98">
        <f t="shared" si="2"/>
        <v>179.29999999999927</v>
      </c>
      <c r="J62" s="99">
        <f t="shared" si="4"/>
        <v>-8820.7000000000007</v>
      </c>
      <c r="N62" s="98">
        <f t="shared" si="5"/>
        <v>27</v>
      </c>
    </row>
    <row r="63" spans="1:14" x14ac:dyDescent="0.25">
      <c r="A63" s="3">
        <v>44708</v>
      </c>
      <c r="B63" s="11" t="s">
        <v>1253</v>
      </c>
      <c r="C63" t="s">
        <v>2251</v>
      </c>
      <c r="F63" s="16">
        <v>214717550579</v>
      </c>
      <c r="G63" s="2">
        <v>1000</v>
      </c>
      <c r="I63" s="98">
        <f t="shared" si="2"/>
        <v>1179.2999999999993</v>
      </c>
      <c r="J63" s="99">
        <f t="shared" si="4"/>
        <v>-7820.7000000000007</v>
      </c>
      <c r="N63" s="98">
        <f t="shared" si="5"/>
        <v>4</v>
      </c>
    </row>
    <row r="64" spans="1:14" x14ac:dyDescent="0.25">
      <c r="A64" s="3">
        <v>44709</v>
      </c>
      <c r="B64" s="11" t="s">
        <v>1307</v>
      </c>
      <c r="C64" t="s">
        <v>2252</v>
      </c>
      <c r="F64" s="16">
        <v>214810613178</v>
      </c>
      <c r="H64" s="2">
        <v>500</v>
      </c>
      <c r="I64" s="98">
        <f t="shared" si="2"/>
        <v>679.29999999999927</v>
      </c>
      <c r="J64" s="99">
        <f t="shared" si="4"/>
        <v>-8320.7000000000007</v>
      </c>
      <c r="N64" s="98">
        <f t="shared" si="5"/>
        <v>2</v>
      </c>
    </row>
    <row r="65" spans="1:16" x14ac:dyDescent="0.25">
      <c r="A65" s="3">
        <v>44709</v>
      </c>
      <c r="B65" s="11" t="s">
        <v>2253</v>
      </c>
      <c r="C65" t="s">
        <v>2254</v>
      </c>
      <c r="E65" s="115" t="s">
        <v>16</v>
      </c>
      <c r="F65" s="16">
        <v>214811789834</v>
      </c>
      <c r="H65" s="2">
        <v>50</v>
      </c>
      <c r="I65" s="98">
        <f t="shared" si="2"/>
        <v>629.29999999999927</v>
      </c>
      <c r="J65" s="99">
        <f t="shared" si="4"/>
        <v>-8370.7000000000007</v>
      </c>
      <c r="N65" s="98">
        <f t="shared" si="5"/>
        <v>25.2</v>
      </c>
    </row>
    <row r="66" spans="1:16" x14ac:dyDescent="0.25">
      <c r="A66" s="3">
        <v>44709</v>
      </c>
      <c r="B66" s="11" t="s">
        <v>1163</v>
      </c>
      <c r="C66" t="s">
        <v>2255</v>
      </c>
      <c r="D66" s="58">
        <v>7209351669</v>
      </c>
      <c r="F66" s="16">
        <v>214811857380</v>
      </c>
      <c r="G66" s="2">
        <v>8000</v>
      </c>
      <c r="I66" s="98">
        <f t="shared" si="2"/>
        <v>8629.2999999999993</v>
      </c>
      <c r="J66" s="99">
        <f t="shared" si="4"/>
        <v>-370.70000000000073</v>
      </c>
      <c r="N66" s="98">
        <f t="shared" si="5"/>
        <v>20</v>
      </c>
    </row>
    <row r="67" spans="1:16" x14ac:dyDescent="0.25">
      <c r="A67" s="3">
        <v>44709</v>
      </c>
      <c r="B67" s="11" t="s">
        <v>1253</v>
      </c>
      <c r="C67" t="s">
        <v>2251</v>
      </c>
      <c r="F67" s="16">
        <v>214819397647</v>
      </c>
      <c r="G67" s="2">
        <v>500</v>
      </c>
      <c r="I67" s="98">
        <f t="shared" si="2"/>
        <v>9129.2999999999993</v>
      </c>
      <c r="J67" s="99">
        <f t="shared" si="4"/>
        <v>129.29999999999927</v>
      </c>
      <c r="N67" s="98">
        <f t="shared" si="5"/>
        <v>2</v>
      </c>
    </row>
    <row r="68" spans="1:16" x14ac:dyDescent="0.25">
      <c r="A68" s="3">
        <v>44709</v>
      </c>
      <c r="B68" s="11" t="s">
        <v>2244</v>
      </c>
      <c r="C68" t="s">
        <v>2245</v>
      </c>
      <c r="F68" s="16">
        <v>214819403186</v>
      </c>
      <c r="H68" s="2">
        <v>1000</v>
      </c>
      <c r="I68" s="98">
        <f t="shared" si="2"/>
        <v>8129.2999999999993</v>
      </c>
      <c r="J68" s="99">
        <f>I68-$J$1</f>
        <v>-870.70000000000073</v>
      </c>
      <c r="N68" s="98">
        <f t="shared" si="5"/>
        <v>4</v>
      </c>
    </row>
    <row r="69" spans="1:16" x14ac:dyDescent="0.25">
      <c r="A69" s="3">
        <v>44709</v>
      </c>
      <c r="B69" s="11" t="s">
        <v>2257</v>
      </c>
      <c r="C69" t="s">
        <v>2256</v>
      </c>
      <c r="F69" s="16">
        <v>214819419736</v>
      </c>
      <c r="G69" s="2">
        <v>1500</v>
      </c>
      <c r="I69" s="98">
        <f t="shared" ref="I69:I155" si="6">I68+G69-H69</f>
        <v>9629.2999999999993</v>
      </c>
      <c r="J69" s="99">
        <f>I69-$J$1</f>
        <v>629.29999999999927</v>
      </c>
      <c r="N69" s="98">
        <f t="shared" si="5"/>
        <v>6</v>
      </c>
    </row>
    <row r="70" spans="1:16" x14ac:dyDescent="0.25">
      <c r="A70" s="3">
        <v>44711</v>
      </c>
      <c r="B70" s="11" t="s">
        <v>2268</v>
      </c>
      <c r="C70" t="s">
        <v>2259</v>
      </c>
      <c r="E70" s="115" t="s">
        <v>16</v>
      </c>
      <c r="F70" s="16">
        <v>215012765985</v>
      </c>
      <c r="H70" s="2">
        <v>300</v>
      </c>
      <c r="I70" s="98">
        <f t="shared" si="6"/>
        <v>9329.2999999999993</v>
      </c>
      <c r="J70" s="99">
        <f>I70-$J$1</f>
        <v>329.29999999999927</v>
      </c>
      <c r="N70" s="98">
        <f t="shared" si="5"/>
        <v>26.2</v>
      </c>
    </row>
    <row r="71" spans="1:16" x14ac:dyDescent="0.25">
      <c r="A71" s="3">
        <v>44711</v>
      </c>
      <c r="B71" s="11" t="s">
        <v>2269</v>
      </c>
      <c r="C71" t="s">
        <v>2270</v>
      </c>
      <c r="E71" s="115" t="s">
        <v>16</v>
      </c>
      <c r="F71" s="16">
        <v>215012786399</v>
      </c>
      <c r="H71" s="2">
        <v>200</v>
      </c>
      <c r="I71" s="98">
        <f t="shared" si="6"/>
        <v>9129.2999999999993</v>
      </c>
      <c r="J71" s="99">
        <f>$J$1-I71</f>
        <v>-129.29999999999927</v>
      </c>
      <c r="N71" s="98">
        <f t="shared" si="5"/>
        <v>25.8</v>
      </c>
    </row>
    <row r="72" spans="1:16" x14ac:dyDescent="0.25">
      <c r="A72" s="3">
        <v>44711</v>
      </c>
      <c r="B72" s="11" t="s">
        <v>1260</v>
      </c>
      <c r="C72" t="s">
        <v>1256</v>
      </c>
      <c r="F72" s="16">
        <v>215012798202</v>
      </c>
      <c r="H72" s="2">
        <v>5000</v>
      </c>
      <c r="I72" s="98">
        <f t="shared" si="6"/>
        <v>4129.2999999999993</v>
      </c>
      <c r="J72" s="99">
        <f>$J$1-I72</f>
        <v>4870.7000000000007</v>
      </c>
      <c r="N72" s="98">
        <f t="shared" si="5"/>
        <v>20</v>
      </c>
    </row>
    <row r="73" spans="1:16" x14ac:dyDescent="0.25">
      <c r="A73" s="3">
        <v>44711</v>
      </c>
      <c r="B73" s="11" t="s">
        <v>2244</v>
      </c>
      <c r="C73" t="s">
        <v>2245</v>
      </c>
      <c r="F73" s="16">
        <v>215018613760</v>
      </c>
      <c r="H73" s="2">
        <v>1000</v>
      </c>
      <c r="I73" s="98">
        <f t="shared" si="6"/>
        <v>3129.2999999999993</v>
      </c>
      <c r="J73" s="99">
        <f>$J$1-I73</f>
        <v>5870.7000000000007</v>
      </c>
      <c r="N73" s="98">
        <f t="shared" si="5"/>
        <v>4</v>
      </c>
    </row>
    <row r="74" spans="1:16" x14ac:dyDescent="0.25">
      <c r="A74" s="3">
        <v>44711</v>
      </c>
      <c r="B74" s="11" t="s">
        <v>2271</v>
      </c>
      <c r="C74" t="s">
        <v>1640</v>
      </c>
      <c r="F74" s="16">
        <v>215019626407</v>
      </c>
      <c r="H74" s="2">
        <v>500</v>
      </c>
      <c r="I74" s="98">
        <f t="shared" si="6"/>
        <v>2629.2999999999993</v>
      </c>
      <c r="J74" s="99">
        <f>$J$1-I74</f>
        <v>6370.7000000000007</v>
      </c>
      <c r="N74" s="98">
        <f t="shared" si="5"/>
        <v>2</v>
      </c>
    </row>
    <row r="75" spans="1:16" x14ac:dyDescent="0.25">
      <c r="A75" s="3">
        <v>44712</v>
      </c>
      <c r="F75" s="16"/>
      <c r="H75" s="2">
        <v>1000</v>
      </c>
      <c r="I75" s="98">
        <f t="shared" si="6"/>
        <v>1629.2999999999993</v>
      </c>
      <c r="J75" s="99">
        <f>$J$1-I75</f>
        <v>7370.7000000000007</v>
      </c>
      <c r="N75" s="98">
        <f t="shared" si="5"/>
        <v>4</v>
      </c>
    </row>
    <row r="76" spans="1:16" x14ac:dyDescent="0.25">
      <c r="A76" s="97"/>
      <c r="B76" s="102"/>
      <c r="C76" s="27"/>
      <c r="D76" s="139"/>
      <c r="E76" s="117">
        <f>COUNTIF(E4:E75,"y")</f>
        <v>15</v>
      </c>
      <c r="F76" s="28">
        <f>G76+H76</f>
        <v>189120</v>
      </c>
      <c r="G76" s="103">
        <f>SUM(G4:G74)</f>
        <v>90770</v>
      </c>
      <c r="H76" s="103">
        <f>SUM(H4:H75)</f>
        <v>98350</v>
      </c>
      <c r="I76" s="104"/>
      <c r="J76" s="27"/>
      <c r="K76" s="27"/>
      <c r="L76" s="27"/>
      <c r="M76" s="27"/>
      <c r="N76" s="104">
        <f>SUM(N4:N75)</f>
        <v>992</v>
      </c>
      <c r="O76" s="105"/>
      <c r="P76" s="27"/>
    </row>
    <row r="77" spans="1:16" x14ac:dyDescent="0.25">
      <c r="F77" s="16"/>
      <c r="I77" s="98"/>
    </row>
    <row r="78" spans="1:16" x14ac:dyDescent="0.25">
      <c r="A78" s="3">
        <v>44713</v>
      </c>
      <c r="B78" s="11" t="s">
        <v>2274</v>
      </c>
      <c r="F78" s="16"/>
      <c r="G78" s="2">
        <v>1629.3</v>
      </c>
      <c r="I78" s="98">
        <f t="shared" si="6"/>
        <v>1629.3</v>
      </c>
      <c r="J78">
        <f t="shared" ref="J78:J109" si="7">$J$1-I78</f>
        <v>7370.7</v>
      </c>
      <c r="N78" s="2">
        <v>0</v>
      </c>
    </row>
    <row r="79" spans="1:16" x14ac:dyDescent="0.25">
      <c r="A79" s="3">
        <v>44713</v>
      </c>
      <c r="B79" s="11" t="s">
        <v>2272</v>
      </c>
      <c r="C79" t="s">
        <v>2273</v>
      </c>
      <c r="D79" s="58">
        <v>7250991299</v>
      </c>
      <c r="F79" s="16">
        <v>215216321337</v>
      </c>
      <c r="G79" s="2">
        <v>3030</v>
      </c>
      <c r="I79" s="98">
        <f t="shared" si="6"/>
        <v>4659.3</v>
      </c>
      <c r="J79">
        <f t="shared" si="7"/>
        <v>4340.7</v>
      </c>
      <c r="N79" s="2">
        <f t="shared" ref="N79:N126" si="8">IF((G79+H79)&lt;=5000,(H79+G79)*0.004,20)+IF(E79="Y",25,0)</f>
        <v>12.120000000000001</v>
      </c>
    </row>
    <row r="80" spans="1:16" x14ac:dyDescent="0.25">
      <c r="A80" s="3">
        <v>44713</v>
      </c>
      <c r="B80" s="11" t="s">
        <v>2275</v>
      </c>
      <c r="C80" t="s">
        <v>587</v>
      </c>
      <c r="F80" s="16">
        <v>215216347301</v>
      </c>
      <c r="H80" s="2">
        <v>1500</v>
      </c>
      <c r="I80" s="98">
        <f t="shared" si="6"/>
        <v>3159.3</v>
      </c>
      <c r="J80">
        <f t="shared" si="7"/>
        <v>5840.7</v>
      </c>
      <c r="N80" s="2">
        <f t="shared" si="8"/>
        <v>6</v>
      </c>
    </row>
    <row r="81" spans="1:14" x14ac:dyDescent="0.25">
      <c r="A81" s="3">
        <v>44713</v>
      </c>
      <c r="B81" s="11" t="s">
        <v>2144</v>
      </c>
      <c r="C81" t="s">
        <v>1282</v>
      </c>
      <c r="F81" s="16">
        <v>215216355301</v>
      </c>
      <c r="H81" s="2">
        <v>3000</v>
      </c>
      <c r="I81" s="98">
        <f t="shared" si="6"/>
        <v>159.30000000000018</v>
      </c>
      <c r="J81">
        <f t="shared" si="7"/>
        <v>8840.7000000000007</v>
      </c>
      <c r="N81" s="2">
        <f t="shared" si="8"/>
        <v>12</v>
      </c>
    </row>
    <row r="82" spans="1:14" x14ac:dyDescent="0.25">
      <c r="A82" s="3">
        <v>44713</v>
      </c>
      <c r="B82" s="11" t="s">
        <v>1163</v>
      </c>
      <c r="C82" t="s">
        <v>2276</v>
      </c>
      <c r="D82" s="58">
        <v>8252623129</v>
      </c>
      <c r="F82" s="16">
        <v>215217629484</v>
      </c>
      <c r="G82" s="2">
        <v>8100</v>
      </c>
      <c r="I82" s="98">
        <f t="shared" si="6"/>
        <v>8259.2999999999993</v>
      </c>
      <c r="J82">
        <f t="shared" si="7"/>
        <v>740.70000000000073</v>
      </c>
      <c r="N82" s="2">
        <f t="shared" si="8"/>
        <v>20</v>
      </c>
    </row>
    <row r="83" spans="1:14" x14ac:dyDescent="0.25">
      <c r="A83" s="3">
        <v>44713</v>
      </c>
      <c r="B83" s="11" t="s">
        <v>1262</v>
      </c>
      <c r="C83" t="s">
        <v>1175</v>
      </c>
      <c r="F83" s="16">
        <v>21521641757</v>
      </c>
      <c r="H83" s="2">
        <v>1000</v>
      </c>
      <c r="I83" s="98">
        <f t="shared" si="6"/>
        <v>7259.2999999999993</v>
      </c>
      <c r="J83">
        <f t="shared" si="7"/>
        <v>1740.7000000000007</v>
      </c>
      <c r="N83" s="2">
        <f t="shared" si="8"/>
        <v>4</v>
      </c>
    </row>
    <row r="84" spans="1:14" x14ac:dyDescent="0.25">
      <c r="A84" s="3">
        <v>44713</v>
      </c>
      <c r="B84" s="11" t="s">
        <v>2277</v>
      </c>
      <c r="C84" t="s">
        <v>2278</v>
      </c>
      <c r="D84" s="58">
        <v>8409954513</v>
      </c>
      <c r="F84" s="16">
        <v>215219199194</v>
      </c>
      <c r="G84" s="2">
        <v>7000</v>
      </c>
      <c r="I84" s="98">
        <f t="shared" si="6"/>
        <v>14259.3</v>
      </c>
      <c r="J84">
        <f t="shared" si="7"/>
        <v>-5259.2999999999993</v>
      </c>
      <c r="N84" s="2">
        <f t="shared" si="8"/>
        <v>20</v>
      </c>
    </row>
    <row r="85" spans="1:14" x14ac:dyDescent="0.25">
      <c r="A85" s="3">
        <v>44713</v>
      </c>
      <c r="B85" s="11" t="s">
        <v>2244</v>
      </c>
      <c r="C85" t="s">
        <v>2245</v>
      </c>
      <c r="F85" s="16">
        <v>215219226192</v>
      </c>
      <c r="H85" s="2">
        <v>1000</v>
      </c>
      <c r="I85" s="98">
        <f t="shared" si="6"/>
        <v>13259.3</v>
      </c>
      <c r="J85">
        <f t="shared" si="7"/>
        <v>-4259.2999999999993</v>
      </c>
      <c r="N85" s="2">
        <f t="shared" si="8"/>
        <v>4</v>
      </c>
    </row>
    <row r="86" spans="1:14" x14ac:dyDescent="0.25">
      <c r="A86" s="3">
        <v>44714</v>
      </c>
      <c r="B86" s="11" t="s">
        <v>2144</v>
      </c>
      <c r="C86" t="s">
        <v>1282</v>
      </c>
      <c r="F86" s="16">
        <v>215309867661</v>
      </c>
      <c r="H86" s="2">
        <v>10000</v>
      </c>
      <c r="I86" s="98">
        <f t="shared" si="6"/>
        <v>3259.2999999999993</v>
      </c>
      <c r="J86">
        <f t="shared" si="7"/>
        <v>5740.7000000000007</v>
      </c>
      <c r="N86" s="2">
        <f t="shared" si="8"/>
        <v>20</v>
      </c>
    </row>
    <row r="87" spans="1:14" x14ac:dyDescent="0.25">
      <c r="A87" s="3">
        <v>44714</v>
      </c>
      <c r="B87" s="11" t="s">
        <v>1475</v>
      </c>
      <c r="D87" s="58">
        <v>8809833046</v>
      </c>
      <c r="F87" s="16"/>
      <c r="G87" s="2">
        <v>500</v>
      </c>
      <c r="I87" s="98">
        <f t="shared" si="6"/>
        <v>3759.2999999999993</v>
      </c>
      <c r="J87">
        <f t="shared" si="7"/>
        <v>5240.7000000000007</v>
      </c>
      <c r="N87" s="2">
        <f t="shared" si="8"/>
        <v>2</v>
      </c>
    </row>
    <row r="88" spans="1:14" x14ac:dyDescent="0.25">
      <c r="A88" s="3">
        <v>44714</v>
      </c>
      <c r="B88" s="11" t="s">
        <v>2247</v>
      </c>
      <c r="C88" t="s">
        <v>2279</v>
      </c>
      <c r="D88" s="58">
        <v>9097862092</v>
      </c>
      <c r="F88" s="16">
        <v>215319383205</v>
      </c>
      <c r="G88" s="2">
        <v>1000</v>
      </c>
      <c r="I88" s="98">
        <f t="shared" si="6"/>
        <v>4759.2999999999993</v>
      </c>
      <c r="J88">
        <f t="shared" si="7"/>
        <v>4240.7000000000007</v>
      </c>
      <c r="N88" s="2">
        <f t="shared" si="8"/>
        <v>4</v>
      </c>
    </row>
    <row r="89" spans="1:14" x14ac:dyDescent="0.25">
      <c r="A89" s="3">
        <v>44715</v>
      </c>
      <c r="B89" s="11" t="s">
        <v>1253</v>
      </c>
      <c r="C89" t="s">
        <v>2281</v>
      </c>
      <c r="F89" s="16">
        <v>215410504620</v>
      </c>
      <c r="G89" s="2">
        <v>3000</v>
      </c>
      <c r="I89" s="98">
        <f t="shared" si="6"/>
        <v>7759.2999999999993</v>
      </c>
      <c r="J89">
        <f t="shared" si="7"/>
        <v>1240.7000000000007</v>
      </c>
      <c r="N89" s="2">
        <f t="shared" si="8"/>
        <v>12</v>
      </c>
    </row>
    <row r="90" spans="1:14" x14ac:dyDescent="0.25">
      <c r="A90" s="3">
        <v>44715</v>
      </c>
      <c r="B90" s="11" t="s">
        <v>1260</v>
      </c>
      <c r="C90" t="s">
        <v>2280</v>
      </c>
      <c r="F90" s="16">
        <v>215410522597</v>
      </c>
      <c r="H90" s="2">
        <v>5000</v>
      </c>
      <c r="I90" s="98">
        <f t="shared" si="6"/>
        <v>2759.2999999999993</v>
      </c>
      <c r="J90">
        <f t="shared" si="7"/>
        <v>6240.7000000000007</v>
      </c>
      <c r="N90" s="2">
        <f t="shared" si="8"/>
        <v>20</v>
      </c>
    </row>
    <row r="91" spans="1:14" x14ac:dyDescent="0.25">
      <c r="A91" s="3">
        <v>44715</v>
      </c>
      <c r="B91" s="11" t="s">
        <v>1163</v>
      </c>
      <c r="C91" t="s">
        <v>2282</v>
      </c>
      <c r="D91" s="58">
        <v>9905235195</v>
      </c>
      <c r="F91" s="16">
        <v>215418718877</v>
      </c>
      <c r="G91" s="2">
        <v>1900</v>
      </c>
      <c r="I91" s="98">
        <f t="shared" si="6"/>
        <v>4659.2999999999993</v>
      </c>
      <c r="J91">
        <f t="shared" si="7"/>
        <v>4340.7000000000007</v>
      </c>
      <c r="N91" s="2">
        <f t="shared" si="8"/>
        <v>7.6000000000000005</v>
      </c>
    </row>
    <row r="92" spans="1:14" x14ac:dyDescent="0.25">
      <c r="A92" s="3">
        <v>44715</v>
      </c>
      <c r="B92" s="11" t="s">
        <v>2147</v>
      </c>
      <c r="C92" t="s">
        <v>1282</v>
      </c>
      <c r="F92" s="16">
        <v>215419995326</v>
      </c>
      <c r="H92" s="2">
        <v>4600</v>
      </c>
      <c r="I92" s="98">
        <f t="shared" si="6"/>
        <v>59.299999999999272</v>
      </c>
      <c r="J92">
        <f t="shared" si="7"/>
        <v>8940.7000000000007</v>
      </c>
      <c r="N92" s="2">
        <f t="shared" si="8"/>
        <v>18.400000000000002</v>
      </c>
    </row>
    <row r="93" spans="1:14" x14ac:dyDescent="0.25">
      <c r="A93" s="3">
        <v>44719</v>
      </c>
      <c r="B93" s="11" t="s">
        <v>1163</v>
      </c>
      <c r="F93" s="16">
        <v>215810041864</v>
      </c>
      <c r="G93" s="2">
        <v>1000</v>
      </c>
      <c r="I93" s="98">
        <f t="shared" si="6"/>
        <v>1059.2999999999993</v>
      </c>
      <c r="J93">
        <f t="shared" si="7"/>
        <v>7940.7000000000007</v>
      </c>
      <c r="N93" s="2">
        <f t="shared" si="8"/>
        <v>4</v>
      </c>
    </row>
    <row r="94" spans="1:14" x14ac:dyDescent="0.25">
      <c r="A94" s="3">
        <v>44719</v>
      </c>
      <c r="B94" s="11" t="s">
        <v>2283</v>
      </c>
      <c r="E94" s="115" t="s">
        <v>16</v>
      </c>
      <c r="F94" s="16">
        <v>21581281807</v>
      </c>
      <c r="H94" s="2">
        <v>50</v>
      </c>
      <c r="I94" s="98">
        <f t="shared" si="6"/>
        <v>1009.2999999999993</v>
      </c>
      <c r="J94">
        <f t="shared" si="7"/>
        <v>7990.7000000000007</v>
      </c>
      <c r="N94" s="2">
        <f t="shared" si="8"/>
        <v>25.2</v>
      </c>
    </row>
    <row r="95" spans="1:14" x14ac:dyDescent="0.25">
      <c r="A95" s="3">
        <v>44720</v>
      </c>
      <c r="B95" s="11" t="s">
        <v>1163</v>
      </c>
      <c r="D95" s="58">
        <v>9693663062</v>
      </c>
      <c r="F95" s="16">
        <v>215918638808</v>
      </c>
      <c r="G95" s="2">
        <v>5900</v>
      </c>
      <c r="I95" s="98">
        <f t="shared" si="6"/>
        <v>6909.2999999999993</v>
      </c>
      <c r="J95">
        <f t="shared" si="7"/>
        <v>2090.7000000000007</v>
      </c>
      <c r="N95" s="2">
        <f t="shared" si="8"/>
        <v>20</v>
      </c>
    </row>
    <row r="96" spans="1:14" x14ac:dyDescent="0.25">
      <c r="A96" s="3">
        <v>44720</v>
      </c>
      <c r="B96" s="11" t="s">
        <v>1259</v>
      </c>
      <c r="F96" s="16">
        <v>215918651422</v>
      </c>
      <c r="H96" s="2">
        <v>3000</v>
      </c>
      <c r="I96" s="98">
        <f t="shared" si="6"/>
        <v>3909.2999999999993</v>
      </c>
      <c r="J96">
        <f t="shared" si="7"/>
        <v>5090.7000000000007</v>
      </c>
      <c r="N96" s="2">
        <f t="shared" si="8"/>
        <v>12</v>
      </c>
    </row>
    <row r="97" spans="1:14" x14ac:dyDescent="0.25">
      <c r="A97" s="3">
        <v>44721</v>
      </c>
      <c r="B97" s="11" t="s">
        <v>2244</v>
      </c>
      <c r="C97" t="s">
        <v>2245</v>
      </c>
      <c r="F97" s="16">
        <v>216010938699</v>
      </c>
      <c r="H97" s="2">
        <v>1500</v>
      </c>
      <c r="I97" s="98">
        <f t="shared" si="6"/>
        <v>2409.2999999999993</v>
      </c>
      <c r="J97">
        <f t="shared" si="7"/>
        <v>6590.7000000000007</v>
      </c>
      <c r="N97" s="2">
        <f t="shared" si="8"/>
        <v>6</v>
      </c>
    </row>
    <row r="98" spans="1:14" x14ac:dyDescent="0.25">
      <c r="A98" s="3">
        <v>44721</v>
      </c>
      <c r="B98" s="11" t="s">
        <v>2288</v>
      </c>
      <c r="C98" t="s">
        <v>2287</v>
      </c>
      <c r="F98" s="16"/>
      <c r="G98" s="2">
        <v>3000</v>
      </c>
      <c r="I98" s="98">
        <f t="shared" si="6"/>
        <v>5409.2999999999993</v>
      </c>
      <c r="J98">
        <f t="shared" si="7"/>
        <v>3590.7000000000007</v>
      </c>
      <c r="N98" s="2">
        <f t="shared" si="8"/>
        <v>12</v>
      </c>
    </row>
    <row r="99" spans="1:14" x14ac:dyDescent="0.25">
      <c r="A99" s="3">
        <v>44721</v>
      </c>
      <c r="B99" s="11" t="s">
        <v>2286</v>
      </c>
      <c r="D99" s="58">
        <v>9308174062</v>
      </c>
      <c r="F99" s="16">
        <v>216010196341</v>
      </c>
      <c r="H99" s="2">
        <v>5000</v>
      </c>
      <c r="I99" s="98">
        <f t="shared" si="6"/>
        <v>409.29999999999927</v>
      </c>
      <c r="J99">
        <f t="shared" si="7"/>
        <v>8590.7000000000007</v>
      </c>
      <c r="N99" s="2">
        <f t="shared" si="8"/>
        <v>20</v>
      </c>
    </row>
    <row r="100" spans="1:14" x14ac:dyDescent="0.25">
      <c r="A100" s="3">
        <v>44721</v>
      </c>
      <c r="B100" s="11" t="s">
        <v>1163</v>
      </c>
      <c r="C100" t="s">
        <v>2289</v>
      </c>
      <c r="D100" s="58">
        <v>8102305117</v>
      </c>
      <c r="G100" s="2">
        <v>6500</v>
      </c>
      <c r="I100" s="98">
        <f t="shared" si="6"/>
        <v>6909.2999999999993</v>
      </c>
      <c r="J100">
        <f t="shared" si="7"/>
        <v>2090.7000000000007</v>
      </c>
      <c r="N100" s="2">
        <f t="shared" si="8"/>
        <v>20</v>
      </c>
    </row>
    <row r="101" spans="1:14" x14ac:dyDescent="0.25">
      <c r="A101" s="3">
        <v>44722</v>
      </c>
      <c r="B101" s="11" t="s">
        <v>1253</v>
      </c>
      <c r="C101" t="s">
        <v>1637</v>
      </c>
      <c r="G101" s="2">
        <v>1000</v>
      </c>
      <c r="I101" s="98">
        <f t="shared" si="6"/>
        <v>7909.2999999999993</v>
      </c>
      <c r="J101">
        <f t="shared" si="7"/>
        <v>1090.7000000000007</v>
      </c>
      <c r="N101" s="2">
        <f t="shared" si="8"/>
        <v>4</v>
      </c>
    </row>
    <row r="102" spans="1:14" x14ac:dyDescent="0.25">
      <c r="A102" s="3">
        <v>44722</v>
      </c>
      <c r="B102" s="11" t="s">
        <v>1253</v>
      </c>
      <c r="C102" t="s">
        <v>2290</v>
      </c>
      <c r="F102" s="16">
        <v>216112599885</v>
      </c>
      <c r="G102" s="2">
        <v>5000</v>
      </c>
      <c r="I102" s="98">
        <f t="shared" si="6"/>
        <v>12909.3</v>
      </c>
      <c r="J102">
        <f t="shared" si="7"/>
        <v>-3909.2999999999993</v>
      </c>
      <c r="N102" s="2">
        <f t="shared" si="8"/>
        <v>20</v>
      </c>
    </row>
    <row r="103" spans="1:14" x14ac:dyDescent="0.25">
      <c r="A103" s="3">
        <v>44722</v>
      </c>
      <c r="B103" s="11" t="s">
        <v>2190</v>
      </c>
      <c r="C103" t="s">
        <v>2291</v>
      </c>
      <c r="F103" s="16">
        <v>216113061107</v>
      </c>
      <c r="H103" s="2">
        <v>3600</v>
      </c>
      <c r="I103" s="98">
        <f t="shared" si="6"/>
        <v>9309.2999999999993</v>
      </c>
      <c r="J103">
        <f t="shared" si="7"/>
        <v>-309.29999999999927</v>
      </c>
      <c r="N103" s="2">
        <f t="shared" si="8"/>
        <v>14.4</v>
      </c>
    </row>
    <row r="104" spans="1:14" x14ac:dyDescent="0.25">
      <c r="A104" s="3">
        <v>44722</v>
      </c>
      <c r="B104" s="11" t="s">
        <v>2292</v>
      </c>
      <c r="F104" s="16">
        <v>216113068245</v>
      </c>
      <c r="H104" s="2">
        <v>4800</v>
      </c>
      <c r="I104" s="98">
        <f t="shared" si="6"/>
        <v>4509.2999999999993</v>
      </c>
      <c r="J104">
        <f t="shared" si="7"/>
        <v>4490.7000000000007</v>
      </c>
      <c r="N104" s="2">
        <f t="shared" si="8"/>
        <v>19.2</v>
      </c>
    </row>
    <row r="105" spans="1:14" x14ac:dyDescent="0.25">
      <c r="A105" s="3">
        <v>44722</v>
      </c>
      <c r="B105" s="11" t="s">
        <v>2147</v>
      </c>
      <c r="C105" t="s">
        <v>1282</v>
      </c>
      <c r="F105" s="16"/>
      <c r="H105" s="2">
        <v>4000</v>
      </c>
      <c r="I105" s="98">
        <f t="shared" si="6"/>
        <v>509.29999999999927</v>
      </c>
      <c r="J105">
        <f t="shared" si="7"/>
        <v>8490.7000000000007</v>
      </c>
      <c r="N105" s="2">
        <f t="shared" si="8"/>
        <v>16</v>
      </c>
    </row>
    <row r="106" spans="1:14" x14ac:dyDescent="0.25">
      <c r="A106" s="3">
        <v>44723</v>
      </c>
      <c r="B106" s="11" t="s">
        <v>2294</v>
      </c>
      <c r="E106" s="115" t="s">
        <v>16</v>
      </c>
      <c r="F106" s="16"/>
      <c r="H106" s="2">
        <v>100</v>
      </c>
      <c r="I106" s="98">
        <f t="shared" si="6"/>
        <v>409.29999999999927</v>
      </c>
      <c r="J106">
        <f t="shared" si="7"/>
        <v>8590.7000000000007</v>
      </c>
      <c r="N106" s="2">
        <f t="shared" si="8"/>
        <v>25.4</v>
      </c>
    </row>
    <row r="107" spans="1:14" x14ac:dyDescent="0.25">
      <c r="A107" s="3">
        <v>44723</v>
      </c>
      <c r="F107" s="16"/>
      <c r="G107" s="2">
        <v>1000</v>
      </c>
      <c r="I107" s="98">
        <f t="shared" si="6"/>
        <v>1409.2999999999993</v>
      </c>
      <c r="J107">
        <f t="shared" si="7"/>
        <v>7590.7000000000007</v>
      </c>
      <c r="N107" s="2">
        <f t="shared" si="8"/>
        <v>4</v>
      </c>
    </row>
    <row r="108" spans="1:14" x14ac:dyDescent="0.25">
      <c r="A108" s="3">
        <v>44725</v>
      </c>
      <c r="F108" s="16"/>
      <c r="G108" s="2">
        <v>15000</v>
      </c>
      <c r="I108" s="98">
        <f t="shared" si="6"/>
        <v>16409.3</v>
      </c>
      <c r="J108">
        <f t="shared" si="7"/>
        <v>-7409.2999999999993</v>
      </c>
      <c r="N108" s="2">
        <f t="shared" si="8"/>
        <v>20</v>
      </c>
    </row>
    <row r="109" spans="1:14" x14ac:dyDescent="0.25">
      <c r="A109" s="3">
        <v>44725</v>
      </c>
      <c r="B109" s="11" t="s">
        <v>1253</v>
      </c>
      <c r="F109" s="16">
        <v>216413333010</v>
      </c>
      <c r="G109" s="2">
        <v>500</v>
      </c>
      <c r="I109" s="98">
        <f t="shared" si="6"/>
        <v>16909.3</v>
      </c>
      <c r="J109">
        <f t="shared" si="7"/>
        <v>-7909.2999999999993</v>
      </c>
      <c r="N109" s="2">
        <f t="shared" si="8"/>
        <v>2</v>
      </c>
    </row>
    <row r="110" spans="1:14" x14ac:dyDescent="0.25">
      <c r="A110" s="3">
        <v>44725</v>
      </c>
      <c r="B110" s="11" t="s">
        <v>2247</v>
      </c>
      <c r="C110" t="s">
        <v>2293</v>
      </c>
      <c r="D110" s="58">
        <v>7781918281</v>
      </c>
      <c r="F110" s="16">
        <v>216413369297</v>
      </c>
      <c r="G110" s="2">
        <v>10000</v>
      </c>
      <c r="I110" s="98">
        <f t="shared" si="6"/>
        <v>26909.3</v>
      </c>
      <c r="J110">
        <f t="shared" ref="J110:J141" si="9">$J$1-I110</f>
        <v>-17909.3</v>
      </c>
      <c r="N110" s="2">
        <f t="shared" si="8"/>
        <v>20</v>
      </c>
    </row>
    <row r="111" spans="1:14" x14ac:dyDescent="0.25">
      <c r="A111" s="3">
        <v>44725</v>
      </c>
      <c r="B111" s="11" t="s">
        <v>1260</v>
      </c>
      <c r="C111" t="s">
        <v>2295</v>
      </c>
      <c r="F111" s="16"/>
      <c r="H111" s="2">
        <v>5000</v>
      </c>
      <c r="I111" s="98">
        <f t="shared" si="6"/>
        <v>21909.3</v>
      </c>
      <c r="J111">
        <f t="shared" si="9"/>
        <v>-12909.3</v>
      </c>
      <c r="N111" s="2">
        <f t="shared" si="8"/>
        <v>20</v>
      </c>
    </row>
    <row r="112" spans="1:14" x14ac:dyDescent="0.25">
      <c r="A112" s="3">
        <v>44725</v>
      </c>
      <c r="B112" s="11" t="s">
        <v>2144</v>
      </c>
      <c r="F112" s="16"/>
      <c r="H112" s="2">
        <v>10000</v>
      </c>
      <c r="I112" s="98">
        <f t="shared" si="6"/>
        <v>11909.3</v>
      </c>
      <c r="J112">
        <f t="shared" si="9"/>
        <v>-2909.2999999999993</v>
      </c>
      <c r="N112" s="2">
        <f t="shared" si="8"/>
        <v>20</v>
      </c>
    </row>
    <row r="113" spans="1:14" x14ac:dyDescent="0.25">
      <c r="A113" s="3">
        <v>44725</v>
      </c>
      <c r="B113" s="11" t="s">
        <v>2300</v>
      </c>
      <c r="C113" t="s">
        <v>2301</v>
      </c>
      <c r="F113" s="16">
        <v>216414618748</v>
      </c>
      <c r="H113" s="2">
        <v>4000</v>
      </c>
      <c r="I113" s="98">
        <f t="shared" si="6"/>
        <v>7909.2999999999993</v>
      </c>
      <c r="J113">
        <f t="shared" si="9"/>
        <v>1090.7000000000007</v>
      </c>
      <c r="N113" s="2">
        <f t="shared" si="8"/>
        <v>16</v>
      </c>
    </row>
    <row r="114" spans="1:14" x14ac:dyDescent="0.25">
      <c r="A114" s="3">
        <v>44725</v>
      </c>
      <c r="B114" s="11" t="s">
        <v>1253</v>
      </c>
      <c r="C114" t="s">
        <v>2302</v>
      </c>
      <c r="F114" s="16">
        <v>216419144008</v>
      </c>
      <c r="G114" s="2">
        <v>200</v>
      </c>
      <c r="I114" s="98">
        <f t="shared" si="6"/>
        <v>8109.2999999999993</v>
      </c>
      <c r="J114">
        <f t="shared" si="9"/>
        <v>890.70000000000073</v>
      </c>
      <c r="N114" s="2">
        <f t="shared" si="8"/>
        <v>0.8</v>
      </c>
    </row>
    <row r="115" spans="1:14" x14ac:dyDescent="0.25">
      <c r="A115" s="3">
        <v>44725</v>
      </c>
      <c r="B115" s="11" t="s">
        <v>1163</v>
      </c>
      <c r="F115" s="16">
        <v>216419153776</v>
      </c>
      <c r="G115" s="2">
        <v>1000</v>
      </c>
      <c r="I115" s="98">
        <f t="shared" si="6"/>
        <v>9109.2999999999993</v>
      </c>
      <c r="J115">
        <f t="shared" si="9"/>
        <v>-109.29999999999927</v>
      </c>
      <c r="N115" s="2">
        <f t="shared" si="8"/>
        <v>4</v>
      </c>
    </row>
    <row r="116" spans="1:14" x14ac:dyDescent="0.25">
      <c r="A116" s="3">
        <v>44725</v>
      </c>
      <c r="B116" s="11" t="s">
        <v>1475</v>
      </c>
      <c r="C116" t="s">
        <v>2303</v>
      </c>
      <c r="D116" s="58">
        <v>6297604434</v>
      </c>
      <c r="F116" s="16">
        <v>216419173949</v>
      </c>
      <c r="G116" s="2">
        <v>10000</v>
      </c>
      <c r="I116" s="98">
        <f t="shared" si="6"/>
        <v>19109.3</v>
      </c>
      <c r="J116">
        <f t="shared" si="9"/>
        <v>-10109.299999999999</v>
      </c>
      <c r="N116" s="2">
        <f t="shared" si="8"/>
        <v>20</v>
      </c>
    </row>
    <row r="117" spans="1:14" x14ac:dyDescent="0.25">
      <c r="A117" s="3">
        <v>44725</v>
      </c>
      <c r="B117" s="11" t="s">
        <v>1253</v>
      </c>
      <c r="C117" t="s">
        <v>2304</v>
      </c>
      <c r="F117" s="16">
        <v>216420231800</v>
      </c>
      <c r="G117" s="2">
        <v>4000</v>
      </c>
      <c r="I117" s="98">
        <f t="shared" si="6"/>
        <v>23109.3</v>
      </c>
      <c r="J117">
        <f t="shared" si="9"/>
        <v>-14109.3</v>
      </c>
      <c r="N117" s="2">
        <f t="shared" si="8"/>
        <v>16</v>
      </c>
    </row>
    <row r="118" spans="1:14" x14ac:dyDescent="0.25">
      <c r="A118" s="3">
        <v>44725</v>
      </c>
      <c r="B118" s="11" t="s">
        <v>1307</v>
      </c>
      <c r="C118" t="s">
        <v>2252</v>
      </c>
      <c r="F118" s="16">
        <v>216420237659</v>
      </c>
      <c r="H118" s="82">
        <v>1200</v>
      </c>
      <c r="I118" s="98">
        <f t="shared" si="6"/>
        <v>21909.3</v>
      </c>
      <c r="J118">
        <f t="shared" si="9"/>
        <v>-12909.3</v>
      </c>
      <c r="N118" s="2">
        <f t="shared" si="8"/>
        <v>4.8</v>
      </c>
    </row>
    <row r="119" spans="1:14" x14ac:dyDescent="0.25">
      <c r="A119" s="3">
        <v>44725</v>
      </c>
      <c r="B119" s="11" t="s">
        <v>2305</v>
      </c>
      <c r="C119" t="s">
        <v>2306</v>
      </c>
      <c r="E119" s="115" t="s">
        <v>16</v>
      </c>
      <c r="F119" s="16">
        <v>216420322839</v>
      </c>
      <c r="H119" s="2">
        <v>100</v>
      </c>
      <c r="I119" s="98">
        <f t="shared" si="6"/>
        <v>21809.3</v>
      </c>
      <c r="J119">
        <f t="shared" si="9"/>
        <v>-12809.3</v>
      </c>
      <c r="N119" s="2">
        <f t="shared" si="8"/>
        <v>25.4</v>
      </c>
    </row>
    <row r="120" spans="1:14" x14ac:dyDescent="0.25">
      <c r="A120" s="3">
        <v>44726</v>
      </c>
      <c r="B120" s="11" t="s">
        <v>2307</v>
      </c>
      <c r="F120" s="16">
        <v>216510114139</v>
      </c>
      <c r="G120" s="2">
        <v>2000</v>
      </c>
      <c r="I120" s="98">
        <f t="shared" si="6"/>
        <v>23809.3</v>
      </c>
      <c r="J120">
        <f t="shared" si="9"/>
        <v>-14809.3</v>
      </c>
      <c r="N120" s="2">
        <f t="shared" si="8"/>
        <v>8</v>
      </c>
    </row>
    <row r="121" spans="1:14" x14ac:dyDescent="0.25">
      <c r="A121" s="3">
        <v>44726</v>
      </c>
      <c r="B121" s="11" t="s">
        <v>2144</v>
      </c>
      <c r="C121" t="s">
        <v>1282</v>
      </c>
      <c r="F121" s="16">
        <v>216510150459</v>
      </c>
      <c r="H121" s="2">
        <v>10000</v>
      </c>
      <c r="I121" s="98">
        <f t="shared" si="6"/>
        <v>13809.3</v>
      </c>
      <c r="J121">
        <f t="shared" si="9"/>
        <v>-4809.2999999999993</v>
      </c>
      <c r="N121" s="2">
        <f t="shared" si="8"/>
        <v>20</v>
      </c>
    </row>
    <row r="122" spans="1:14" x14ac:dyDescent="0.25">
      <c r="A122" s="3">
        <v>44726</v>
      </c>
      <c r="B122" s="11" t="s">
        <v>2309</v>
      </c>
      <c r="C122" t="s">
        <v>2308</v>
      </c>
      <c r="E122" s="115" t="s">
        <v>16</v>
      </c>
      <c r="F122" s="16">
        <v>216511500309</v>
      </c>
      <c r="H122" s="2">
        <v>100</v>
      </c>
      <c r="I122" s="98">
        <f t="shared" si="6"/>
        <v>13709.3</v>
      </c>
      <c r="J122">
        <f t="shared" si="9"/>
        <v>-4709.2999999999993</v>
      </c>
      <c r="N122" s="2">
        <f t="shared" si="8"/>
        <v>25.4</v>
      </c>
    </row>
    <row r="123" spans="1:14" x14ac:dyDescent="0.25">
      <c r="A123" s="3">
        <v>44726</v>
      </c>
      <c r="B123" s="11" t="s">
        <v>2325</v>
      </c>
      <c r="C123" t="s">
        <v>2326</v>
      </c>
      <c r="E123" s="115" t="s">
        <v>16</v>
      </c>
      <c r="F123" s="16">
        <v>216513243741</v>
      </c>
      <c r="H123" s="2">
        <v>100</v>
      </c>
      <c r="I123" s="98">
        <f t="shared" si="6"/>
        <v>13609.3</v>
      </c>
      <c r="J123">
        <f t="shared" si="9"/>
        <v>-4609.2999999999993</v>
      </c>
      <c r="N123" s="2">
        <f t="shared" si="8"/>
        <v>25.4</v>
      </c>
    </row>
    <row r="124" spans="1:14" x14ac:dyDescent="0.25">
      <c r="A124" s="3">
        <v>44727</v>
      </c>
      <c r="B124" s="11" t="s">
        <v>2330</v>
      </c>
      <c r="C124" t="s">
        <v>35</v>
      </c>
      <c r="E124" s="115" t="s">
        <v>16</v>
      </c>
      <c r="F124" s="16">
        <v>216611378151</v>
      </c>
      <c r="H124" s="2">
        <v>300</v>
      </c>
      <c r="I124" s="98">
        <f t="shared" si="6"/>
        <v>13309.3</v>
      </c>
      <c r="J124">
        <f t="shared" si="9"/>
        <v>-4309.2999999999993</v>
      </c>
      <c r="N124" s="2">
        <f t="shared" si="8"/>
        <v>26.2</v>
      </c>
    </row>
    <row r="125" spans="1:14" x14ac:dyDescent="0.25">
      <c r="A125" s="3">
        <v>44727</v>
      </c>
      <c r="B125" s="11" t="s">
        <v>2331</v>
      </c>
      <c r="C125" t="s">
        <v>2332</v>
      </c>
      <c r="E125" s="115" t="s">
        <v>16</v>
      </c>
      <c r="F125" s="16">
        <v>216611413859</v>
      </c>
      <c r="H125" s="2">
        <v>2000</v>
      </c>
      <c r="I125" s="98">
        <f t="shared" si="6"/>
        <v>11309.3</v>
      </c>
      <c r="J125">
        <f t="shared" si="9"/>
        <v>-2309.2999999999993</v>
      </c>
      <c r="N125" s="2">
        <f t="shared" si="8"/>
        <v>33</v>
      </c>
    </row>
    <row r="126" spans="1:14" x14ac:dyDescent="0.25">
      <c r="A126" s="3">
        <v>44727</v>
      </c>
      <c r="B126" s="11" t="s">
        <v>2244</v>
      </c>
      <c r="C126" t="s">
        <v>2245</v>
      </c>
      <c r="F126" s="16"/>
      <c r="H126" s="94">
        <v>500</v>
      </c>
      <c r="I126" s="98">
        <f t="shared" si="6"/>
        <v>10809.3</v>
      </c>
      <c r="J126">
        <f t="shared" si="9"/>
        <v>-1809.2999999999993</v>
      </c>
      <c r="N126" s="2">
        <f t="shared" si="8"/>
        <v>2</v>
      </c>
    </row>
    <row r="127" spans="1:14" x14ac:dyDescent="0.25">
      <c r="A127" s="3">
        <v>44727</v>
      </c>
      <c r="C127" t="s">
        <v>2342</v>
      </c>
      <c r="F127" s="16"/>
      <c r="G127" s="2">
        <v>603</v>
      </c>
      <c r="H127" s="94"/>
      <c r="I127" s="98">
        <f t="shared" si="6"/>
        <v>11412.3</v>
      </c>
      <c r="J127">
        <f t="shared" si="9"/>
        <v>-2412.2999999999993</v>
      </c>
    </row>
    <row r="128" spans="1:14" x14ac:dyDescent="0.25">
      <c r="A128" s="3">
        <v>44727</v>
      </c>
      <c r="F128" s="16">
        <v>216618213679</v>
      </c>
      <c r="G128" s="2">
        <v>1000</v>
      </c>
      <c r="I128" s="98">
        <f t="shared" si="6"/>
        <v>12412.3</v>
      </c>
      <c r="J128">
        <f t="shared" si="9"/>
        <v>-3412.2999999999993</v>
      </c>
      <c r="N128" s="2">
        <f t="shared" ref="N128:N155" si="10">IF((G128+H128)&lt;=5000,(H128+G128)*0.004,20)+IF(E128="Y",25,0)</f>
        <v>4</v>
      </c>
    </row>
    <row r="129" spans="1:19" x14ac:dyDescent="0.25">
      <c r="A129" s="3">
        <v>44727</v>
      </c>
      <c r="B129" s="11" t="s">
        <v>2340</v>
      </c>
      <c r="E129" s="115" t="s">
        <v>14</v>
      </c>
      <c r="F129" s="16">
        <v>216618219444</v>
      </c>
      <c r="H129" s="2">
        <v>100</v>
      </c>
      <c r="I129" s="98">
        <f t="shared" si="6"/>
        <v>12312.3</v>
      </c>
      <c r="J129">
        <f t="shared" si="9"/>
        <v>-3312.2999999999993</v>
      </c>
      <c r="N129" s="2">
        <f t="shared" si="10"/>
        <v>25.4</v>
      </c>
    </row>
    <row r="130" spans="1:19" x14ac:dyDescent="0.25">
      <c r="A130" s="3">
        <v>44727</v>
      </c>
      <c r="B130" s="11" t="s">
        <v>2144</v>
      </c>
      <c r="F130" s="16"/>
      <c r="H130" s="2">
        <v>10000</v>
      </c>
      <c r="I130" s="98">
        <f t="shared" si="6"/>
        <v>2312.2999999999993</v>
      </c>
      <c r="J130">
        <f t="shared" si="9"/>
        <v>6687.7000000000007</v>
      </c>
      <c r="N130" s="2">
        <f t="shared" si="10"/>
        <v>20</v>
      </c>
    </row>
    <row r="131" spans="1:19" x14ac:dyDescent="0.25">
      <c r="A131" s="3">
        <v>44727</v>
      </c>
      <c r="B131" s="11" t="s">
        <v>1163</v>
      </c>
      <c r="F131" s="16"/>
      <c r="G131" s="2">
        <v>1000</v>
      </c>
      <c r="I131" s="98">
        <f t="shared" si="6"/>
        <v>3312.2999999999993</v>
      </c>
      <c r="J131">
        <f t="shared" si="9"/>
        <v>5687.7000000000007</v>
      </c>
      <c r="N131" s="2">
        <f t="shared" si="10"/>
        <v>4</v>
      </c>
      <c r="S131">
        <v>3312.43</v>
      </c>
    </row>
    <row r="132" spans="1:19" x14ac:dyDescent="0.25">
      <c r="A132" s="3">
        <v>44728</v>
      </c>
      <c r="B132" s="11" t="s">
        <v>2185</v>
      </c>
      <c r="C132" t="s">
        <v>1602</v>
      </c>
      <c r="F132" s="16">
        <v>216711628998</v>
      </c>
      <c r="G132" s="2">
        <v>5000</v>
      </c>
      <c r="I132" s="98">
        <f t="shared" si="6"/>
        <v>8312.2999999999993</v>
      </c>
      <c r="J132">
        <f t="shared" si="9"/>
        <v>687.70000000000073</v>
      </c>
      <c r="N132" s="2">
        <f t="shared" si="10"/>
        <v>20</v>
      </c>
    </row>
    <row r="133" spans="1:19" x14ac:dyDescent="0.25">
      <c r="A133" s="3">
        <v>44728</v>
      </c>
      <c r="B133" s="11" t="s">
        <v>2144</v>
      </c>
      <c r="C133" t="s">
        <v>1282</v>
      </c>
      <c r="F133" s="16">
        <v>216711673090</v>
      </c>
      <c r="H133" s="2">
        <v>5000</v>
      </c>
      <c r="I133" s="98">
        <f t="shared" si="6"/>
        <v>3312.2999999999993</v>
      </c>
      <c r="J133">
        <f t="shared" si="9"/>
        <v>5687.7000000000007</v>
      </c>
      <c r="N133" s="2">
        <f t="shared" si="10"/>
        <v>20</v>
      </c>
    </row>
    <row r="134" spans="1:19" x14ac:dyDescent="0.25">
      <c r="A134" s="3">
        <v>44728</v>
      </c>
      <c r="B134" s="11" t="s">
        <v>1475</v>
      </c>
      <c r="C134" t="s">
        <v>2343</v>
      </c>
      <c r="D134" s="58">
        <v>7480052292</v>
      </c>
      <c r="F134" s="16">
        <v>216713555896</v>
      </c>
      <c r="G134" s="2">
        <v>500</v>
      </c>
      <c r="I134" s="98">
        <f t="shared" si="6"/>
        <v>3812.2999999999993</v>
      </c>
      <c r="J134">
        <f t="shared" si="9"/>
        <v>5187.7000000000007</v>
      </c>
      <c r="N134" s="2">
        <f t="shared" si="10"/>
        <v>2</v>
      </c>
    </row>
    <row r="135" spans="1:19" x14ac:dyDescent="0.25">
      <c r="A135" s="3">
        <v>44729</v>
      </c>
      <c r="B135" s="11" t="s">
        <v>2247</v>
      </c>
      <c r="C135" t="s">
        <v>2344</v>
      </c>
      <c r="D135" s="58">
        <v>7781918281</v>
      </c>
      <c r="F135" s="16">
        <v>216710910388</v>
      </c>
      <c r="G135" s="2">
        <v>4000</v>
      </c>
      <c r="I135" s="98">
        <f t="shared" si="6"/>
        <v>7812.2999999999993</v>
      </c>
      <c r="J135">
        <f t="shared" si="9"/>
        <v>1187.7000000000007</v>
      </c>
      <c r="N135" s="2">
        <f t="shared" si="10"/>
        <v>16</v>
      </c>
    </row>
    <row r="136" spans="1:19" x14ac:dyDescent="0.25">
      <c r="A136" s="3">
        <v>44729</v>
      </c>
      <c r="B136" s="11" t="s">
        <v>2246</v>
      </c>
      <c r="D136" s="58">
        <v>8340157050</v>
      </c>
      <c r="F136" s="16"/>
      <c r="G136" s="2">
        <v>1000</v>
      </c>
      <c r="I136" s="98">
        <f t="shared" si="6"/>
        <v>8812.2999999999993</v>
      </c>
      <c r="J136">
        <f t="shared" si="9"/>
        <v>187.70000000000073</v>
      </c>
      <c r="N136" s="2">
        <f t="shared" si="10"/>
        <v>4</v>
      </c>
    </row>
    <row r="137" spans="1:19" x14ac:dyDescent="0.25">
      <c r="A137" s="3">
        <v>44730</v>
      </c>
      <c r="B137" s="11" t="s">
        <v>2144</v>
      </c>
      <c r="C137" t="s">
        <v>1282</v>
      </c>
      <c r="F137" s="16"/>
      <c r="H137" s="2">
        <v>7000</v>
      </c>
      <c r="I137" s="98">
        <f t="shared" si="6"/>
        <v>1812.2999999999993</v>
      </c>
      <c r="J137">
        <f t="shared" si="9"/>
        <v>7187.7000000000007</v>
      </c>
      <c r="N137" s="2">
        <f t="shared" si="10"/>
        <v>20</v>
      </c>
    </row>
    <row r="138" spans="1:19" x14ac:dyDescent="0.25">
      <c r="A138" s="3">
        <v>44731</v>
      </c>
      <c r="B138" s="11" t="s">
        <v>2345</v>
      </c>
      <c r="F138" s="16">
        <v>217010032426</v>
      </c>
      <c r="G138" s="2">
        <v>1600</v>
      </c>
      <c r="I138" s="98">
        <f t="shared" si="6"/>
        <v>3412.2999999999993</v>
      </c>
      <c r="J138">
        <f t="shared" si="9"/>
        <v>5587.7000000000007</v>
      </c>
      <c r="N138" s="2">
        <f t="shared" si="10"/>
        <v>6.4</v>
      </c>
    </row>
    <row r="139" spans="1:19" x14ac:dyDescent="0.25">
      <c r="A139" s="3">
        <v>44731</v>
      </c>
      <c r="B139" s="11" t="s">
        <v>1163</v>
      </c>
      <c r="F139" s="16"/>
      <c r="G139" s="2">
        <v>3000</v>
      </c>
      <c r="I139" s="98">
        <f t="shared" si="6"/>
        <v>6412.2999999999993</v>
      </c>
      <c r="J139">
        <f t="shared" si="9"/>
        <v>2587.7000000000007</v>
      </c>
      <c r="N139" s="2">
        <f t="shared" si="10"/>
        <v>12</v>
      </c>
    </row>
    <row r="140" spans="1:19" x14ac:dyDescent="0.25">
      <c r="A140" s="3">
        <v>44732</v>
      </c>
      <c r="B140" s="11" t="s">
        <v>1253</v>
      </c>
      <c r="C140" t="s">
        <v>2346</v>
      </c>
      <c r="F140" s="16"/>
      <c r="G140" s="2">
        <v>500</v>
      </c>
      <c r="I140" s="98">
        <f t="shared" si="6"/>
        <v>6912.2999999999993</v>
      </c>
      <c r="J140">
        <f t="shared" si="9"/>
        <v>2087.7000000000007</v>
      </c>
      <c r="N140" s="2">
        <f t="shared" si="10"/>
        <v>2</v>
      </c>
    </row>
    <row r="141" spans="1:19" x14ac:dyDescent="0.25">
      <c r="A141" s="3">
        <v>44732</v>
      </c>
      <c r="B141" s="11" t="s">
        <v>2244</v>
      </c>
      <c r="C141" t="s">
        <v>2245</v>
      </c>
      <c r="F141" s="16">
        <v>217114579468</v>
      </c>
      <c r="H141" s="2">
        <v>500</v>
      </c>
      <c r="I141" s="98">
        <f t="shared" si="6"/>
        <v>6412.2999999999993</v>
      </c>
      <c r="J141">
        <f t="shared" si="9"/>
        <v>2587.7000000000007</v>
      </c>
      <c r="N141" s="2">
        <f t="shared" si="10"/>
        <v>2</v>
      </c>
    </row>
    <row r="142" spans="1:19" x14ac:dyDescent="0.25">
      <c r="A142" s="3">
        <v>44732</v>
      </c>
      <c r="B142" s="11" t="s">
        <v>2144</v>
      </c>
      <c r="F142" s="16">
        <v>217114588628</v>
      </c>
      <c r="H142" s="2">
        <v>5000</v>
      </c>
      <c r="I142" s="98">
        <f t="shared" si="6"/>
        <v>1412.2999999999993</v>
      </c>
      <c r="J142">
        <f t="shared" ref="J142:J155" si="11">$J$1-I142</f>
        <v>7587.7000000000007</v>
      </c>
      <c r="N142" s="2">
        <f t="shared" si="10"/>
        <v>20</v>
      </c>
    </row>
    <row r="143" spans="1:19" x14ac:dyDescent="0.25">
      <c r="A143" s="3">
        <v>44732</v>
      </c>
      <c r="F143" s="16">
        <v>217118780137</v>
      </c>
      <c r="G143" s="2">
        <v>1000</v>
      </c>
      <c r="I143" s="98">
        <f t="shared" si="6"/>
        <v>2412.2999999999993</v>
      </c>
      <c r="J143">
        <f t="shared" si="11"/>
        <v>6587.7000000000007</v>
      </c>
      <c r="N143" s="2">
        <f t="shared" si="10"/>
        <v>4</v>
      </c>
    </row>
    <row r="144" spans="1:19" x14ac:dyDescent="0.25">
      <c r="A144" s="3">
        <v>44734</v>
      </c>
      <c r="B144" s="11" t="s">
        <v>1163</v>
      </c>
      <c r="F144" s="16"/>
      <c r="G144" s="2">
        <v>500</v>
      </c>
      <c r="I144" s="98">
        <f t="shared" si="6"/>
        <v>2912.2999999999993</v>
      </c>
      <c r="J144">
        <f t="shared" si="11"/>
        <v>6087.7000000000007</v>
      </c>
      <c r="N144" s="2">
        <f t="shared" si="10"/>
        <v>2</v>
      </c>
    </row>
    <row r="145" spans="1:16" x14ac:dyDescent="0.25">
      <c r="A145" s="3">
        <v>44735</v>
      </c>
      <c r="B145" s="11" t="s">
        <v>1163</v>
      </c>
      <c r="C145" t="s">
        <v>2289</v>
      </c>
      <c r="F145" s="16">
        <v>217417766752</v>
      </c>
      <c r="G145" s="2">
        <v>1000</v>
      </c>
      <c r="I145" s="98">
        <f t="shared" si="6"/>
        <v>3912.2999999999993</v>
      </c>
      <c r="J145">
        <f t="shared" si="11"/>
        <v>5087.7000000000007</v>
      </c>
      <c r="N145" s="2">
        <f t="shared" si="10"/>
        <v>4</v>
      </c>
    </row>
    <row r="146" spans="1:16" x14ac:dyDescent="0.25">
      <c r="A146" s="3">
        <v>44736</v>
      </c>
      <c r="B146" s="11" t="s">
        <v>2347</v>
      </c>
      <c r="D146" s="58">
        <v>6201399787</v>
      </c>
      <c r="F146"/>
      <c r="G146" s="2">
        <v>5300</v>
      </c>
      <c r="I146" s="98">
        <f t="shared" si="6"/>
        <v>9212.2999999999993</v>
      </c>
      <c r="J146">
        <f t="shared" si="11"/>
        <v>-212.29999999999927</v>
      </c>
      <c r="N146" s="2">
        <f t="shared" si="10"/>
        <v>20</v>
      </c>
    </row>
    <row r="147" spans="1:16" x14ac:dyDescent="0.25">
      <c r="A147" s="3">
        <v>44736</v>
      </c>
      <c r="B147" s="11" t="s">
        <v>2349</v>
      </c>
      <c r="F147" s="16"/>
      <c r="H147" s="2">
        <v>5000</v>
      </c>
      <c r="I147" s="98">
        <f t="shared" si="6"/>
        <v>4212.2999999999993</v>
      </c>
      <c r="J147">
        <f t="shared" si="11"/>
        <v>4787.7000000000007</v>
      </c>
      <c r="N147" s="2">
        <f t="shared" si="10"/>
        <v>20</v>
      </c>
    </row>
    <row r="148" spans="1:16" x14ac:dyDescent="0.25">
      <c r="A148" s="3">
        <v>44737</v>
      </c>
      <c r="B148" s="11" t="s">
        <v>1475</v>
      </c>
      <c r="C148" t="s">
        <v>2352</v>
      </c>
      <c r="D148" s="58">
        <v>9304835651</v>
      </c>
      <c r="F148" s="16">
        <v>217610114209</v>
      </c>
      <c r="G148" s="2">
        <v>6050</v>
      </c>
      <c r="I148" s="98">
        <f t="shared" si="6"/>
        <v>10262.299999999999</v>
      </c>
      <c r="J148">
        <f t="shared" si="11"/>
        <v>-1262.2999999999993</v>
      </c>
      <c r="N148" s="2">
        <f t="shared" si="10"/>
        <v>20</v>
      </c>
    </row>
    <row r="149" spans="1:16" x14ac:dyDescent="0.25">
      <c r="A149" s="3">
        <v>44739</v>
      </c>
      <c r="B149" s="11" t="s">
        <v>1253</v>
      </c>
      <c r="F149" s="16">
        <v>217811328912</v>
      </c>
      <c r="G149" s="2">
        <v>3000</v>
      </c>
      <c r="I149" s="98">
        <f t="shared" si="6"/>
        <v>13262.3</v>
      </c>
      <c r="J149">
        <f t="shared" si="11"/>
        <v>-4262.2999999999993</v>
      </c>
      <c r="N149" s="2">
        <f t="shared" si="10"/>
        <v>12</v>
      </c>
    </row>
    <row r="150" spans="1:16" x14ac:dyDescent="0.25">
      <c r="A150" s="3">
        <v>44740</v>
      </c>
      <c r="B150" s="11" t="s">
        <v>2244</v>
      </c>
      <c r="C150" t="s">
        <v>2245</v>
      </c>
      <c r="F150" s="16">
        <v>217909047783</v>
      </c>
      <c r="H150" s="2">
        <v>2000</v>
      </c>
      <c r="I150" s="98">
        <f t="shared" si="6"/>
        <v>11262.3</v>
      </c>
      <c r="J150">
        <f t="shared" si="11"/>
        <v>-2262.2999999999993</v>
      </c>
      <c r="N150" s="2">
        <f t="shared" si="10"/>
        <v>8</v>
      </c>
    </row>
    <row r="151" spans="1:16" x14ac:dyDescent="0.25">
      <c r="A151" s="3">
        <v>44740</v>
      </c>
      <c r="B151" s="11" t="s">
        <v>2349</v>
      </c>
      <c r="F151" s="16">
        <v>218012550103</v>
      </c>
      <c r="H151" s="2">
        <v>5000</v>
      </c>
      <c r="I151" s="98">
        <f t="shared" si="6"/>
        <v>6262.2999999999993</v>
      </c>
      <c r="J151">
        <f t="shared" si="11"/>
        <v>2737.7000000000007</v>
      </c>
      <c r="N151" s="2">
        <f t="shared" si="10"/>
        <v>20</v>
      </c>
    </row>
    <row r="152" spans="1:16" x14ac:dyDescent="0.25">
      <c r="A152" s="3">
        <v>44741</v>
      </c>
      <c r="B152" s="11" t="s">
        <v>1163</v>
      </c>
      <c r="F152" s="16">
        <v>218012550103</v>
      </c>
      <c r="G152" s="2">
        <v>3000</v>
      </c>
      <c r="I152" s="98">
        <f t="shared" si="6"/>
        <v>9262.2999999999993</v>
      </c>
      <c r="J152">
        <f t="shared" si="11"/>
        <v>-262.29999999999927</v>
      </c>
      <c r="N152" s="2">
        <f t="shared" si="10"/>
        <v>12</v>
      </c>
    </row>
    <row r="153" spans="1:16" x14ac:dyDescent="0.25">
      <c r="A153" s="3">
        <v>44741</v>
      </c>
      <c r="B153" s="11" t="s">
        <v>2142</v>
      </c>
      <c r="C153" t="s">
        <v>252</v>
      </c>
      <c r="F153" s="16">
        <v>218013759624</v>
      </c>
      <c r="H153" s="2">
        <v>9000</v>
      </c>
      <c r="I153" s="98">
        <f t="shared" si="6"/>
        <v>262.29999999999927</v>
      </c>
      <c r="J153">
        <f t="shared" si="11"/>
        <v>8737.7000000000007</v>
      </c>
      <c r="N153" s="2">
        <f t="shared" si="10"/>
        <v>20</v>
      </c>
    </row>
    <row r="154" spans="1:16" x14ac:dyDescent="0.25">
      <c r="A154" s="3">
        <v>44742</v>
      </c>
      <c r="B154" s="11" t="s">
        <v>1163</v>
      </c>
      <c r="C154" t="s">
        <v>2289</v>
      </c>
      <c r="F154" s="16">
        <v>218117942908</v>
      </c>
      <c r="G154" s="2">
        <v>10000</v>
      </c>
      <c r="I154" s="98">
        <f t="shared" si="6"/>
        <v>10262.299999999999</v>
      </c>
      <c r="J154">
        <f t="shared" si="11"/>
        <v>-1262.2999999999993</v>
      </c>
      <c r="N154" s="2">
        <f t="shared" si="10"/>
        <v>20</v>
      </c>
    </row>
    <row r="155" spans="1:16" x14ac:dyDescent="0.25">
      <c r="A155" s="3">
        <v>44742</v>
      </c>
      <c r="B155" s="11" t="s">
        <v>1253</v>
      </c>
      <c r="F155" s="16"/>
      <c r="G155" s="2">
        <v>5000</v>
      </c>
      <c r="I155" s="98">
        <f t="shared" si="6"/>
        <v>15262.3</v>
      </c>
      <c r="J155">
        <f t="shared" si="11"/>
        <v>-6262.2999999999993</v>
      </c>
      <c r="N155" s="2">
        <f t="shared" si="10"/>
        <v>20</v>
      </c>
    </row>
    <row r="156" spans="1:16" x14ac:dyDescent="0.25">
      <c r="F156" s="16"/>
    </row>
    <row r="157" spans="1:16" x14ac:dyDescent="0.25">
      <c r="A157" s="97"/>
      <c r="B157" s="102"/>
      <c r="C157" s="27"/>
      <c r="D157" s="139"/>
      <c r="E157" s="117">
        <f>COUNTIF(E78:E156,"y")</f>
        <v>8</v>
      </c>
      <c r="F157" s="29">
        <f>G157+H157</f>
        <v>273733</v>
      </c>
      <c r="G157" s="103">
        <f>SUM(G79:G156)</f>
        <v>143683</v>
      </c>
      <c r="H157" s="103">
        <f>SUM(H79:H156)</f>
        <v>130050</v>
      </c>
      <c r="I157" s="103"/>
      <c r="J157" s="27"/>
      <c r="K157" s="27"/>
      <c r="L157" s="27"/>
      <c r="M157" s="27"/>
      <c r="N157" s="103">
        <f>SUM(N78:N156)</f>
        <v>1053.1199999999999</v>
      </c>
      <c r="O157" s="27">
        <f>SUM(O78:O156)</f>
        <v>0</v>
      </c>
      <c r="P157" s="27"/>
    </row>
    <row r="159" spans="1:16" x14ac:dyDescent="0.25">
      <c r="I159" s="2">
        <v>15262</v>
      </c>
    </row>
    <row r="160" spans="1:16" x14ac:dyDescent="0.25">
      <c r="A160" s="3">
        <v>44743</v>
      </c>
      <c r="B160" s="11" t="s">
        <v>2272</v>
      </c>
      <c r="C160" t="s">
        <v>2356</v>
      </c>
      <c r="D160" s="58">
        <v>9555925249</v>
      </c>
      <c r="F160" s="16">
        <v>218210100384</v>
      </c>
      <c r="G160" s="2">
        <v>500</v>
      </c>
      <c r="I160" s="98">
        <f t="shared" ref="I160:I174" si="12">I159+G160-H160</f>
        <v>15762</v>
      </c>
      <c r="J160">
        <f t="shared" ref="J160:J191" si="13">$J$1-I160</f>
        <v>-6762</v>
      </c>
      <c r="N160" s="2">
        <f t="shared" ref="N160:N204" si="14">IF((G160+H160)&lt;=5000,(H160+G160)*0.004,20)+IF(E160="Y",25,0)</f>
        <v>2</v>
      </c>
    </row>
    <row r="161" spans="1:19" x14ac:dyDescent="0.25">
      <c r="A161" s="3">
        <v>44743</v>
      </c>
      <c r="B161" s="11" t="s">
        <v>2147</v>
      </c>
      <c r="F161" s="16"/>
      <c r="H161" s="2">
        <v>7000</v>
      </c>
      <c r="I161" s="98">
        <f t="shared" si="12"/>
        <v>8762</v>
      </c>
      <c r="J161">
        <f t="shared" si="13"/>
        <v>238</v>
      </c>
      <c r="N161" s="2">
        <f t="shared" si="14"/>
        <v>20</v>
      </c>
    </row>
    <row r="162" spans="1:19" x14ac:dyDescent="0.25">
      <c r="A162" s="3">
        <v>44744</v>
      </c>
      <c r="B162" s="11" t="s">
        <v>2357</v>
      </c>
      <c r="F162" s="16">
        <v>218312914598</v>
      </c>
      <c r="G162" s="2">
        <v>1100</v>
      </c>
      <c r="I162" s="98">
        <f t="shared" si="12"/>
        <v>9862</v>
      </c>
      <c r="J162">
        <f t="shared" si="13"/>
        <v>-862</v>
      </c>
      <c r="N162" s="2">
        <f t="shared" si="14"/>
        <v>4.4000000000000004</v>
      </c>
    </row>
    <row r="163" spans="1:19" x14ac:dyDescent="0.25">
      <c r="A163" s="3">
        <v>44744</v>
      </c>
      <c r="B163" s="11" t="s">
        <v>2244</v>
      </c>
      <c r="C163" t="s">
        <v>2245</v>
      </c>
      <c r="F163" s="16">
        <v>218312927158</v>
      </c>
      <c r="H163" s="2">
        <v>1500</v>
      </c>
      <c r="I163" s="98">
        <f t="shared" si="12"/>
        <v>8362</v>
      </c>
      <c r="J163">
        <f t="shared" si="13"/>
        <v>638</v>
      </c>
      <c r="N163" s="2">
        <f t="shared" si="14"/>
        <v>6</v>
      </c>
    </row>
    <row r="164" spans="1:19" x14ac:dyDescent="0.25">
      <c r="A164" s="3">
        <v>44744</v>
      </c>
      <c r="B164" s="11" t="s">
        <v>1260</v>
      </c>
      <c r="C164" t="s">
        <v>2280</v>
      </c>
      <c r="F164" s="16">
        <v>218316012455</v>
      </c>
      <c r="H164" s="2">
        <v>6000</v>
      </c>
      <c r="I164" s="98">
        <f t="shared" si="12"/>
        <v>2362</v>
      </c>
      <c r="J164">
        <f t="shared" si="13"/>
        <v>6638</v>
      </c>
      <c r="N164" s="2">
        <f t="shared" si="14"/>
        <v>20</v>
      </c>
    </row>
    <row r="165" spans="1:19" x14ac:dyDescent="0.25">
      <c r="A165" s="3">
        <v>44744</v>
      </c>
      <c r="B165" s="11" t="s">
        <v>1163</v>
      </c>
      <c r="F165" s="16">
        <v>218319392693</v>
      </c>
      <c r="G165" s="2">
        <v>500</v>
      </c>
      <c r="I165" s="98">
        <f t="shared" si="12"/>
        <v>2862</v>
      </c>
      <c r="J165">
        <f t="shared" si="13"/>
        <v>6138</v>
      </c>
      <c r="N165" s="2">
        <f t="shared" si="14"/>
        <v>2</v>
      </c>
    </row>
    <row r="166" spans="1:19" x14ac:dyDescent="0.25">
      <c r="A166" s="3">
        <v>44745</v>
      </c>
      <c r="B166" s="11" t="s">
        <v>1253</v>
      </c>
      <c r="C166" t="s">
        <v>2358</v>
      </c>
      <c r="D166" s="58">
        <v>9304431703</v>
      </c>
      <c r="F166" s="16">
        <v>218411204806</v>
      </c>
      <c r="G166" s="2">
        <v>500</v>
      </c>
      <c r="I166" s="98">
        <f t="shared" si="12"/>
        <v>3362</v>
      </c>
      <c r="J166">
        <f t="shared" si="13"/>
        <v>5638</v>
      </c>
      <c r="N166" s="2">
        <f t="shared" si="14"/>
        <v>2</v>
      </c>
    </row>
    <row r="167" spans="1:19" x14ac:dyDescent="0.25">
      <c r="A167" s="3">
        <v>44746</v>
      </c>
      <c r="B167" s="11" t="s">
        <v>1163</v>
      </c>
      <c r="F167" s="16">
        <v>218517718627</v>
      </c>
      <c r="G167" s="2">
        <v>10000</v>
      </c>
      <c r="I167" s="98">
        <f t="shared" si="12"/>
        <v>13362</v>
      </c>
      <c r="J167">
        <f t="shared" si="13"/>
        <v>-4362</v>
      </c>
      <c r="N167" s="2">
        <f t="shared" si="14"/>
        <v>20</v>
      </c>
    </row>
    <row r="168" spans="1:19" x14ac:dyDescent="0.25">
      <c r="A168" s="3">
        <v>44746</v>
      </c>
      <c r="B168" s="11" t="s">
        <v>2144</v>
      </c>
      <c r="C168" t="s">
        <v>1282</v>
      </c>
      <c r="F168" s="16"/>
      <c r="H168" s="2">
        <v>10000</v>
      </c>
      <c r="I168" s="98">
        <f t="shared" si="12"/>
        <v>3362</v>
      </c>
      <c r="J168">
        <f t="shared" si="13"/>
        <v>5638</v>
      </c>
      <c r="N168" s="2">
        <f t="shared" si="14"/>
        <v>20</v>
      </c>
    </row>
    <row r="169" spans="1:19" x14ac:dyDescent="0.25">
      <c r="A169" s="3">
        <v>44747</v>
      </c>
      <c r="F169" s="16"/>
      <c r="G169" s="2">
        <v>1000</v>
      </c>
      <c r="I169" s="98">
        <f t="shared" si="12"/>
        <v>4362</v>
      </c>
      <c r="J169">
        <f t="shared" si="13"/>
        <v>4638</v>
      </c>
      <c r="N169" s="2">
        <f t="shared" si="14"/>
        <v>4</v>
      </c>
    </row>
    <row r="170" spans="1:19" x14ac:dyDescent="0.25">
      <c r="A170" s="3">
        <v>44747</v>
      </c>
      <c r="B170" s="11" t="s">
        <v>1253</v>
      </c>
      <c r="C170" t="s">
        <v>2359</v>
      </c>
      <c r="F170" s="16"/>
      <c r="G170" s="2">
        <v>1500</v>
      </c>
      <c r="I170" s="98">
        <f t="shared" si="12"/>
        <v>5862</v>
      </c>
      <c r="J170">
        <f t="shared" si="13"/>
        <v>3138</v>
      </c>
      <c r="N170" s="2">
        <f t="shared" si="14"/>
        <v>6</v>
      </c>
    </row>
    <row r="171" spans="1:19" x14ac:dyDescent="0.25">
      <c r="A171" s="3">
        <v>44747</v>
      </c>
      <c r="B171" s="11" t="s">
        <v>1163</v>
      </c>
      <c r="F171" s="16"/>
      <c r="G171" s="2">
        <v>10000</v>
      </c>
      <c r="I171" s="98">
        <f t="shared" si="12"/>
        <v>15862</v>
      </c>
      <c r="J171">
        <f t="shared" si="13"/>
        <v>-6862</v>
      </c>
      <c r="N171" s="2">
        <f t="shared" si="14"/>
        <v>20</v>
      </c>
    </row>
    <row r="172" spans="1:19" x14ac:dyDescent="0.25">
      <c r="A172" s="3">
        <v>44747</v>
      </c>
      <c r="B172" s="11" t="s">
        <v>2144</v>
      </c>
      <c r="F172" s="16"/>
      <c r="H172" s="2">
        <v>7000</v>
      </c>
      <c r="I172" s="98">
        <f t="shared" si="12"/>
        <v>8862</v>
      </c>
      <c r="J172">
        <f t="shared" si="13"/>
        <v>138</v>
      </c>
      <c r="N172" s="2">
        <f t="shared" si="14"/>
        <v>20</v>
      </c>
    </row>
    <row r="173" spans="1:19" x14ac:dyDescent="0.25">
      <c r="A173" s="3">
        <v>44747</v>
      </c>
      <c r="B173" s="11" t="s">
        <v>2190</v>
      </c>
      <c r="C173" t="s">
        <v>579</v>
      </c>
      <c r="F173" s="16">
        <v>218709294721</v>
      </c>
      <c r="H173" s="2">
        <v>3600</v>
      </c>
      <c r="I173" s="98">
        <f t="shared" si="12"/>
        <v>5262</v>
      </c>
      <c r="J173">
        <f t="shared" si="13"/>
        <v>3738</v>
      </c>
      <c r="N173" s="2">
        <f t="shared" si="14"/>
        <v>14.4</v>
      </c>
      <c r="S173">
        <v>8932.93</v>
      </c>
    </row>
    <row r="174" spans="1:19" x14ac:dyDescent="0.25">
      <c r="A174" s="3">
        <v>44747</v>
      </c>
      <c r="B174" s="11" t="s">
        <v>2360</v>
      </c>
      <c r="C174" t="s">
        <v>2361</v>
      </c>
      <c r="F174" s="16">
        <v>218709300669</v>
      </c>
      <c r="H174" s="2">
        <v>2000</v>
      </c>
      <c r="I174" s="98">
        <f t="shared" si="12"/>
        <v>3262</v>
      </c>
      <c r="J174">
        <f t="shared" si="13"/>
        <v>5738</v>
      </c>
      <c r="N174" s="2">
        <f t="shared" si="14"/>
        <v>8</v>
      </c>
    </row>
    <row r="175" spans="1:19" x14ac:dyDescent="0.25">
      <c r="A175" s="3">
        <v>44749</v>
      </c>
      <c r="C175" t="s">
        <v>2362</v>
      </c>
      <c r="F175" s="16"/>
      <c r="G175" s="2">
        <v>5000</v>
      </c>
      <c r="I175" s="98">
        <f t="shared" ref="I175:I199" si="15">I174+G175-H175</f>
        <v>8262</v>
      </c>
      <c r="J175">
        <f t="shared" si="13"/>
        <v>738</v>
      </c>
      <c r="N175" s="2">
        <f t="shared" si="14"/>
        <v>20</v>
      </c>
    </row>
    <row r="176" spans="1:19" x14ac:dyDescent="0.25">
      <c r="A176" s="3">
        <v>44749</v>
      </c>
      <c r="B176" s="11" t="s">
        <v>1475</v>
      </c>
      <c r="C176" t="s">
        <v>2363</v>
      </c>
      <c r="D176" s="58">
        <v>8521140245</v>
      </c>
      <c r="F176" s="16">
        <v>218812886330</v>
      </c>
      <c r="G176" s="2">
        <v>10000</v>
      </c>
      <c r="I176" s="98">
        <f t="shared" si="15"/>
        <v>18262</v>
      </c>
      <c r="J176">
        <f t="shared" si="13"/>
        <v>-9262</v>
      </c>
      <c r="N176" s="2">
        <f t="shared" si="14"/>
        <v>20</v>
      </c>
    </row>
    <row r="177" spans="1:14" x14ac:dyDescent="0.25">
      <c r="A177" s="3">
        <v>44749</v>
      </c>
      <c r="B177" s="11" t="s">
        <v>2144</v>
      </c>
      <c r="F177"/>
      <c r="H177" s="2">
        <v>10000</v>
      </c>
      <c r="I177" s="98">
        <f t="shared" si="15"/>
        <v>8262</v>
      </c>
      <c r="J177">
        <f t="shared" si="13"/>
        <v>738</v>
      </c>
      <c r="N177" s="2">
        <f t="shared" si="14"/>
        <v>20</v>
      </c>
    </row>
    <row r="178" spans="1:14" x14ac:dyDescent="0.25">
      <c r="A178" s="3">
        <v>44749</v>
      </c>
      <c r="B178" s="11" t="s">
        <v>1163</v>
      </c>
      <c r="C178" t="s">
        <v>2364</v>
      </c>
      <c r="D178" s="58">
        <v>9931683670</v>
      </c>
      <c r="F178" s="16">
        <v>218818473576</v>
      </c>
      <c r="G178" s="2">
        <v>2000</v>
      </c>
      <c r="I178" s="98">
        <f t="shared" si="15"/>
        <v>10262</v>
      </c>
      <c r="J178">
        <f t="shared" si="13"/>
        <v>-1262</v>
      </c>
      <c r="N178" s="2">
        <f t="shared" si="14"/>
        <v>8</v>
      </c>
    </row>
    <row r="179" spans="1:14" x14ac:dyDescent="0.25">
      <c r="A179" s="3">
        <v>44749</v>
      </c>
      <c r="B179" s="11" t="s">
        <v>2365</v>
      </c>
      <c r="C179" t="s">
        <v>2366</v>
      </c>
      <c r="F179" s="16">
        <v>218819619397</v>
      </c>
      <c r="G179" s="2">
        <v>4500</v>
      </c>
      <c r="I179" s="98">
        <f t="shared" si="15"/>
        <v>14762</v>
      </c>
      <c r="J179">
        <f t="shared" si="13"/>
        <v>-5762</v>
      </c>
      <c r="N179" s="2">
        <f t="shared" si="14"/>
        <v>18</v>
      </c>
    </row>
    <row r="180" spans="1:14" x14ac:dyDescent="0.25">
      <c r="A180" s="3">
        <v>44749</v>
      </c>
      <c r="B180" s="11" t="s">
        <v>1475</v>
      </c>
      <c r="C180" t="s">
        <v>2367</v>
      </c>
      <c r="D180" s="58">
        <v>8521140245</v>
      </c>
      <c r="F180" s="16"/>
      <c r="G180" s="2">
        <v>2000</v>
      </c>
      <c r="I180" s="98">
        <f t="shared" si="15"/>
        <v>16762</v>
      </c>
      <c r="J180">
        <f t="shared" si="13"/>
        <v>-7762</v>
      </c>
      <c r="N180" s="2">
        <f t="shared" si="14"/>
        <v>8</v>
      </c>
    </row>
    <row r="181" spans="1:14" x14ac:dyDescent="0.25">
      <c r="A181" s="3">
        <v>37445</v>
      </c>
      <c r="B181" s="11" t="s">
        <v>1253</v>
      </c>
      <c r="F181" s="16"/>
      <c r="G181" s="2">
        <v>4500</v>
      </c>
      <c r="I181" s="98">
        <f t="shared" si="15"/>
        <v>21262</v>
      </c>
      <c r="J181">
        <f t="shared" si="13"/>
        <v>-12262</v>
      </c>
      <c r="N181" s="2">
        <f t="shared" si="14"/>
        <v>18</v>
      </c>
    </row>
    <row r="182" spans="1:14" x14ac:dyDescent="0.25">
      <c r="A182" s="3">
        <v>37445</v>
      </c>
      <c r="B182" s="11" t="s">
        <v>2144</v>
      </c>
      <c r="C182" t="s">
        <v>1282</v>
      </c>
      <c r="F182" s="16"/>
      <c r="H182" s="2">
        <v>10000</v>
      </c>
      <c r="I182" s="98">
        <f t="shared" si="15"/>
        <v>11262</v>
      </c>
      <c r="J182">
        <f t="shared" si="13"/>
        <v>-2262</v>
      </c>
      <c r="N182" s="2">
        <f t="shared" si="14"/>
        <v>20</v>
      </c>
    </row>
    <row r="183" spans="1:14" x14ac:dyDescent="0.25">
      <c r="A183" s="3">
        <v>44751</v>
      </c>
      <c r="B183" s="11" t="s">
        <v>2373</v>
      </c>
      <c r="F183" s="16">
        <v>219019237801</v>
      </c>
      <c r="G183" s="2">
        <v>800</v>
      </c>
      <c r="I183" s="98">
        <f t="shared" si="15"/>
        <v>12062</v>
      </c>
      <c r="J183">
        <f t="shared" si="13"/>
        <v>-3062</v>
      </c>
      <c r="N183" s="2">
        <f t="shared" si="14"/>
        <v>3.2</v>
      </c>
    </row>
    <row r="184" spans="1:14" x14ac:dyDescent="0.25">
      <c r="A184" s="3">
        <v>44751</v>
      </c>
      <c r="B184" s="11" t="s">
        <v>2144</v>
      </c>
      <c r="F184" s="16"/>
      <c r="H184" s="2">
        <v>10000</v>
      </c>
      <c r="I184" s="98">
        <f t="shared" si="15"/>
        <v>2062</v>
      </c>
      <c r="J184">
        <f t="shared" si="13"/>
        <v>6938</v>
      </c>
      <c r="N184" s="2">
        <f t="shared" si="14"/>
        <v>20</v>
      </c>
    </row>
    <row r="185" spans="1:14" x14ac:dyDescent="0.25">
      <c r="A185" s="3">
        <v>44752</v>
      </c>
      <c r="B185" s="11" t="s">
        <v>2247</v>
      </c>
      <c r="C185" t="s">
        <v>2376</v>
      </c>
      <c r="D185" s="58">
        <v>7033321811</v>
      </c>
      <c r="F185" s="16">
        <v>219117509587</v>
      </c>
      <c r="G185" s="2">
        <v>1000</v>
      </c>
      <c r="I185" s="98">
        <f t="shared" si="15"/>
        <v>3062</v>
      </c>
      <c r="J185">
        <f t="shared" si="13"/>
        <v>5938</v>
      </c>
      <c r="N185" s="2">
        <f t="shared" si="14"/>
        <v>4</v>
      </c>
    </row>
    <row r="186" spans="1:14" x14ac:dyDescent="0.25">
      <c r="A186" s="3">
        <v>44753</v>
      </c>
      <c r="B186" s="11" t="s">
        <v>2378</v>
      </c>
      <c r="C186" t="s">
        <v>2379</v>
      </c>
      <c r="D186" s="58">
        <v>7033628688</v>
      </c>
      <c r="E186" s="115" t="s">
        <v>16</v>
      </c>
      <c r="F186" s="16">
        <v>219210702767</v>
      </c>
      <c r="H186" s="2">
        <v>400</v>
      </c>
      <c r="I186" s="98">
        <f t="shared" si="15"/>
        <v>2662</v>
      </c>
      <c r="J186">
        <f t="shared" si="13"/>
        <v>6338</v>
      </c>
      <c r="N186" s="2">
        <f t="shared" si="14"/>
        <v>26.6</v>
      </c>
    </row>
    <row r="187" spans="1:14" x14ac:dyDescent="0.25">
      <c r="A187" s="3">
        <v>44753</v>
      </c>
      <c r="B187" s="11" t="s">
        <v>2190</v>
      </c>
      <c r="C187" t="s">
        <v>579</v>
      </c>
      <c r="D187" s="58" t="s">
        <v>2381</v>
      </c>
      <c r="F187" s="16">
        <v>219213739316</v>
      </c>
      <c r="G187" s="2">
        <v>3000</v>
      </c>
      <c r="I187" s="98">
        <f t="shared" si="15"/>
        <v>5662</v>
      </c>
      <c r="J187">
        <f t="shared" si="13"/>
        <v>3338</v>
      </c>
      <c r="N187" s="2">
        <f t="shared" si="14"/>
        <v>12</v>
      </c>
    </row>
    <row r="188" spans="1:14" x14ac:dyDescent="0.25">
      <c r="A188" s="3">
        <v>44753</v>
      </c>
      <c r="B188" s="11" t="s">
        <v>2374</v>
      </c>
      <c r="C188" t="s">
        <v>2375</v>
      </c>
      <c r="D188" s="58">
        <v>9031395162</v>
      </c>
      <c r="F188" s="16">
        <v>219213762450</v>
      </c>
      <c r="H188" s="2">
        <v>5000</v>
      </c>
      <c r="I188" s="98">
        <f t="shared" si="15"/>
        <v>662</v>
      </c>
      <c r="J188">
        <f t="shared" si="13"/>
        <v>8338</v>
      </c>
      <c r="N188" s="2">
        <f t="shared" si="14"/>
        <v>20</v>
      </c>
    </row>
    <row r="189" spans="1:14" x14ac:dyDescent="0.25">
      <c r="A189" s="3">
        <v>44753</v>
      </c>
      <c r="B189" s="11" t="s">
        <v>1163</v>
      </c>
      <c r="C189" t="s">
        <v>2289</v>
      </c>
      <c r="F189" s="16">
        <v>219217921090</v>
      </c>
      <c r="G189" s="2">
        <v>10000</v>
      </c>
      <c r="I189" s="98">
        <f t="shared" si="15"/>
        <v>10662</v>
      </c>
      <c r="J189">
        <f t="shared" si="13"/>
        <v>-1662</v>
      </c>
      <c r="N189" s="2">
        <f t="shared" si="14"/>
        <v>20</v>
      </c>
    </row>
    <row r="190" spans="1:14" x14ac:dyDescent="0.25">
      <c r="A190" s="3">
        <v>44753</v>
      </c>
      <c r="B190" s="11" t="s">
        <v>2190</v>
      </c>
      <c r="C190" t="s">
        <v>579</v>
      </c>
      <c r="F190" s="16">
        <v>219217941359</v>
      </c>
      <c r="H190" s="2">
        <v>3000</v>
      </c>
      <c r="I190" s="98">
        <f t="shared" si="15"/>
        <v>7662</v>
      </c>
      <c r="J190">
        <f t="shared" si="13"/>
        <v>1338</v>
      </c>
      <c r="N190" s="2">
        <f t="shared" si="14"/>
        <v>12</v>
      </c>
    </row>
    <row r="191" spans="1:14" x14ac:dyDescent="0.25">
      <c r="A191" s="3">
        <v>44753</v>
      </c>
      <c r="B191" s="11" t="s">
        <v>2144</v>
      </c>
      <c r="C191" t="s">
        <v>1282</v>
      </c>
      <c r="F191" s="16">
        <v>219217014453</v>
      </c>
      <c r="H191" s="2">
        <v>7000</v>
      </c>
      <c r="I191" s="98">
        <f t="shared" si="15"/>
        <v>662</v>
      </c>
      <c r="J191">
        <f t="shared" si="13"/>
        <v>8338</v>
      </c>
      <c r="N191" s="2">
        <f t="shared" si="14"/>
        <v>20</v>
      </c>
    </row>
    <row r="192" spans="1:14" x14ac:dyDescent="0.25">
      <c r="A192" s="3">
        <v>44754</v>
      </c>
      <c r="B192" s="11" t="s">
        <v>2185</v>
      </c>
      <c r="C192" t="s">
        <v>1602</v>
      </c>
      <c r="F192" s="16">
        <v>219310355337</v>
      </c>
      <c r="G192" s="2">
        <v>5000</v>
      </c>
      <c r="I192" s="98">
        <f t="shared" si="15"/>
        <v>5662</v>
      </c>
      <c r="J192">
        <f t="shared" ref="J192:J223" si="16">$J$1-I192</f>
        <v>3338</v>
      </c>
      <c r="N192" s="2">
        <f t="shared" si="14"/>
        <v>20</v>
      </c>
    </row>
    <row r="193" spans="1:21" x14ac:dyDescent="0.25">
      <c r="A193" s="3">
        <v>44754</v>
      </c>
      <c r="B193" s="11" t="s">
        <v>1173</v>
      </c>
      <c r="C193" t="s">
        <v>2383</v>
      </c>
      <c r="D193" s="58">
        <v>8825227510</v>
      </c>
      <c r="F193" s="16">
        <v>219311525961</v>
      </c>
      <c r="G193" s="2">
        <v>2000</v>
      </c>
      <c r="I193" s="98">
        <f t="shared" si="15"/>
        <v>7662</v>
      </c>
      <c r="J193">
        <f t="shared" si="16"/>
        <v>1338</v>
      </c>
      <c r="N193" s="2">
        <f t="shared" si="14"/>
        <v>8</v>
      </c>
    </row>
    <row r="194" spans="1:21" x14ac:dyDescent="0.25">
      <c r="A194" s="3">
        <v>44754</v>
      </c>
      <c r="B194" s="11" t="s">
        <v>1163</v>
      </c>
      <c r="C194" t="s">
        <v>2390</v>
      </c>
      <c r="D194" s="58">
        <v>9608531099</v>
      </c>
      <c r="F194" s="16">
        <v>219319154188</v>
      </c>
      <c r="G194" s="2">
        <v>9100</v>
      </c>
      <c r="I194" s="98">
        <f t="shared" si="15"/>
        <v>16762</v>
      </c>
      <c r="J194">
        <f t="shared" si="16"/>
        <v>-7762</v>
      </c>
      <c r="N194" s="2">
        <f t="shared" si="14"/>
        <v>20</v>
      </c>
    </row>
    <row r="195" spans="1:21" x14ac:dyDescent="0.25">
      <c r="A195" s="3">
        <v>44754</v>
      </c>
      <c r="B195" s="11" t="s">
        <v>2391</v>
      </c>
      <c r="C195" t="s">
        <v>2392</v>
      </c>
      <c r="E195" s="115" t="s">
        <v>14</v>
      </c>
      <c r="F195" s="16">
        <v>219319201720</v>
      </c>
      <c r="H195" s="2">
        <v>200</v>
      </c>
      <c r="I195" s="98">
        <f t="shared" si="15"/>
        <v>16562</v>
      </c>
      <c r="J195">
        <f t="shared" si="16"/>
        <v>-7562</v>
      </c>
      <c r="N195" s="2">
        <f t="shared" si="14"/>
        <v>25.8</v>
      </c>
    </row>
    <row r="196" spans="1:21" x14ac:dyDescent="0.25">
      <c r="A196" s="3">
        <v>44754</v>
      </c>
      <c r="B196" s="11" t="s">
        <v>1262</v>
      </c>
      <c r="C196" t="s">
        <v>201</v>
      </c>
      <c r="F196" s="16">
        <v>219319208325</v>
      </c>
      <c r="H196" s="2">
        <v>5000</v>
      </c>
      <c r="I196" s="98">
        <f t="shared" si="15"/>
        <v>11562</v>
      </c>
      <c r="J196">
        <f t="shared" si="16"/>
        <v>-2562</v>
      </c>
      <c r="N196" s="2">
        <f t="shared" si="14"/>
        <v>20</v>
      </c>
    </row>
    <row r="197" spans="1:21" x14ac:dyDescent="0.25">
      <c r="A197" s="3">
        <v>44754</v>
      </c>
      <c r="B197" s="11" t="s">
        <v>2393</v>
      </c>
      <c r="C197" t="s">
        <v>2394</v>
      </c>
      <c r="E197" s="115" t="s">
        <v>16</v>
      </c>
      <c r="F197" s="16">
        <v>219319216154</v>
      </c>
      <c r="H197" s="2">
        <v>200</v>
      </c>
      <c r="I197" s="98">
        <f t="shared" si="15"/>
        <v>11362</v>
      </c>
      <c r="J197">
        <f t="shared" si="16"/>
        <v>-2362</v>
      </c>
      <c r="N197" s="2">
        <f t="shared" si="14"/>
        <v>25.8</v>
      </c>
    </row>
    <row r="198" spans="1:21" x14ac:dyDescent="0.25">
      <c r="A198" s="3">
        <v>44754</v>
      </c>
      <c r="B198" s="11" t="s">
        <v>2395</v>
      </c>
      <c r="C198" t="s">
        <v>635</v>
      </c>
      <c r="D198" s="58">
        <v>9113364784</v>
      </c>
      <c r="E198" s="115" t="s">
        <v>16</v>
      </c>
      <c r="F198" s="16"/>
      <c r="H198" s="2">
        <v>100</v>
      </c>
      <c r="I198" s="98">
        <f t="shared" si="15"/>
        <v>11262</v>
      </c>
      <c r="J198">
        <f t="shared" si="16"/>
        <v>-2262</v>
      </c>
      <c r="N198" s="2">
        <f t="shared" si="14"/>
        <v>25.4</v>
      </c>
    </row>
    <row r="199" spans="1:21" x14ac:dyDescent="0.25">
      <c r="A199" s="3">
        <v>44754</v>
      </c>
      <c r="B199" s="11" t="s">
        <v>2144</v>
      </c>
      <c r="C199" t="s">
        <v>1282</v>
      </c>
      <c r="F199" s="16">
        <v>219321404207</v>
      </c>
      <c r="H199" s="2">
        <v>6000</v>
      </c>
      <c r="I199" s="98">
        <f t="shared" si="15"/>
        <v>5262</v>
      </c>
      <c r="J199">
        <f t="shared" si="16"/>
        <v>3738</v>
      </c>
      <c r="N199" s="2">
        <f t="shared" si="14"/>
        <v>20</v>
      </c>
    </row>
    <row r="200" spans="1:21" x14ac:dyDescent="0.25">
      <c r="A200" s="3">
        <v>44754</v>
      </c>
      <c r="B200" s="11" t="s">
        <v>2405</v>
      </c>
      <c r="C200" t="s">
        <v>2406</v>
      </c>
      <c r="F200" s="16">
        <v>219417277158</v>
      </c>
      <c r="H200" s="2">
        <v>5000</v>
      </c>
      <c r="I200" s="98">
        <f>I199+G200-H200</f>
        <v>262</v>
      </c>
      <c r="J200">
        <f t="shared" si="16"/>
        <v>8738</v>
      </c>
      <c r="N200" s="2">
        <f t="shared" si="14"/>
        <v>20</v>
      </c>
    </row>
    <row r="201" spans="1:21" x14ac:dyDescent="0.25">
      <c r="A201" s="3">
        <v>44756</v>
      </c>
      <c r="B201" s="11" t="s">
        <v>2407</v>
      </c>
      <c r="C201" t="s">
        <v>2408</v>
      </c>
      <c r="F201" s="16">
        <v>219512279566</v>
      </c>
      <c r="G201" s="2">
        <v>1400</v>
      </c>
      <c r="I201" s="98">
        <f>I200+G201-H201</f>
        <v>1662</v>
      </c>
      <c r="J201">
        <f t="shared" si="16"/>
        <v>7338</v>
      </c>
      <c r="N201" s="2">
        <f t="shared" si="14"/>
        <v>5.6000000000000005</v>
      </c>
    </row>
    <row r="202" spans="1:21" x14ac:dyDescent="0.25">
      <c r="A202" s="3">
        <v>44756</v>
      </c>
      <c r="B202" s="11" t="s">
        <v>2191</v>
      </c>
      <c r="C202" t="s">
        <v>2193</v>
      </c>
      <c r="F202" s="16">
        <v>219512296157</v>
      </c>
      <c r="H202" s="2">
        <v>1000</v>
      </c>
      <c r="I202" s="98">
        <f>I201+G202-H202</f>
        <v>662</v>
      </c>
      <c r="J202">
        <f t="shared" si="16"/>
        <v>8338</v>
      </c>
      <c r="N202" s="2">
        <f t="shared" si="14"/>
        <v>4</v>
      </c>
    </row>
    <row r="203" spans="1:21" x14ac:dyDescent="0.25">
      <c r="A203" s="3">
        <v>44756</v>
      </c>
      <c r="B203" s="11" t="s">
        <v>2414</v>
      </c>
      <c r="C203" t="s">
        <v>2415</v>
      </c>
      <c r="E203" s="115" t="s">
        <v>14</v>
      </c>
      <c r="F203" s="16"/>
      <c r="H203" s="2">
        <v>100</v>
      </c>
      <c r="I203" s="98">
        <f t="shared" ref="I203:I245" si="17">I202+G203-H203</f>
        <v>562</v>
      </c>
      <c r="J203">
        <f t="shared" si="16"/>
        <v>8438</v>
      </c>
      <c r="N203" s="2">
        <f t="shared" si="14"/>
        <v>25.4</v>
      </c>
    </row>
    <row r="204" spans="1:21" x14ac:dyDescent="0.25">
      <c r="A204" s="3">
        <v>44757</v>
      </c>
      <c r="B204" s="11" t="s">
        <v>2409</v>
      </c>
      <c r="C204" t="s">
        <v>2410</v>
      </c>
      <c r="E204" s="115" t="s">
        <v>16</v>
      </c>
      <c r="F204" s="16">
        <v>219613884836</v>
      </c>
      <c r="H204" s="2">
        <v>200</v>
      </c>
      <c r="I204" s="98">
        <f t="shared" si="17"/>
        <v>362</v>
      </c>
      <c r="J204">
        <f t="shared" si="16"/>
        <v>8638</v>
      </c>
      <c r="N204" s="2">
        <f t="shared" si="14"/>
        <v>25.8</v>
      </c>
    </row>
    <row r="205" spans="1:21" x14ac:dyDescent="0.25">
      <c r="A205" s="3">
        <v>44757</v>
      </c>
      <c r="C205" t="s">
        <v>2416</v>
      </c>
      <c r="F205" s="16"/>
      <c r="G205" s="2">
        <v>713.43</v>
      </c>
      <c r="I205" s="98">
        <f t="shared" si="17"/>
        <v>1075.4299999999998</v>
      </c>
      <c r="J205">
        <f t="shared" si="16"/>
        <v>7924.57</v>
      </c>
    </row>
    <row r="206" spans="1:21" x14ac:dyDescent="0.25">
      <c r="A206" s="3">
        <v>44760</v>
      </c>
      <c r="C206" t="s">
        <v>2417</v>
      </c>
      <c r="F206" s="16">
        <v>219920280001</v>
      </c>
      <c r="G206" s="2">
        <v>900</v>
      </c>
      <c r="I206" s="98">
        <f t="shared" si="17"/>
        <v>1975.4299999999998</v>
      </c>
      <c r="J206">
        <f t="shared" si="16"/>
        <v>7024.57</v>
      </c>
      <c r="N206" s="2">
        <f t="shared" ref="N206:N245" si="18">IF((G206+H206)&lt;=5000,(H206+G206)*0.004,20)+IF(E206="Y",25,0)</f>
        <v>3.6</v>
      </c>
    </row>
    <row r="207" spans="1:21" x14ac:dyDescent="0.25">
      <c r="A207" s="3">
        <v>44761</v>
      </c>
      <c r="B207" s="11" t="s">
        <v>2223</v>
      </c>
      <c r="F207" s="16">
        <v>220010052031</v>
      </c>
      <c r="G207" s="2">
        <v>1000</v>
      </c>
      <c r="I207" s="98">
        <f t="shared" si="17"/>
        <v>2975.43</v>
      </c>
      <c r="J207">
        <f t="shared" si="16"/>
        <v>6024.57</v>
      </c>
      <c r="N207" s="2">
        <f t="shared" si="18"/>
        <v>4</v>
      </c>
    </row>
    <row r="208" spans="1:21" x14ac:dyDescent="0.25">
      <c r="A208" s="3">
        <v>44761</v>
      </c>
      <c r="B208" s="11" t="s">
        <v>2418</v>
      </c>
      <c r="C208" t="s">
        <v>2419</v>
      </c>
      <c r="F208" s="16">
        <v>220011534931</v>
      </c>
      <c r="G208" s="2">
        <v>2000</v>
      </c>
      <c r="I208" s="98">
        <f t="shared" si="17"/>
        <v>4975.43</v>
      </c>
      <c r="J208">
        <f t="shared" si="16"/>
        <v>4024.5699999999997</v>
      </c>
      <c r="N208" s="2">
        <f t="shared" si="18"/>
        <v>8</v>
      </c>
      <c r="U208">
        <f>952820-150000-50000-2100-75000-121947</f>
        <v>553773</v>
      </c>
    </row>
    <row r="209" spans="1:14" x14ac:dyDescent="0.25">
      <c r="A209" s="3">
        <v>44761</v>
      </c>
      <c r="B209" s="11" t="s">
        <v>2307</v>
      </c>
      <c r="F209" s="16">
        <v>220012557141</v>
      </c>
      <c r="G209" s="2">
        <v>5000</v>
      </c>
      <c r="I209" s="98">
        <f t="shared" si="17"/>
        <v>9975.43</v>
      </c>
      <c r="J209">
        <f t="shared" si="16"/>
        <v>-975.43000000000029</v>
      </c>
      <c r="N209" s="2">
        <f t="shared" si="18"/>
        <v>20</v>
      </c>
    </row>
    <row r="210" spans="1:14" x14ac:dyDescent="0.25">
      <c r="A210" s="3">
        <v>44761</v>
      </c>
      <c r="B210" s="11" t="s">
        <v>1475</v>
      </c>
      <c r="C210" t="s">
        <v>2420</v>
      </c>
      <c r="D210" s="58">
        <v>8448328406</v>
      </c>
      <c r="F210" s="16">
        <v>220017205716</v>
      </c>
      <c r="G210" s="2">
        <v>3000</v>
      </c>
      <c r="I210" s="98">
        <f t="shared" si="17"/>
        <v>12975.43</v>
      </c>
      <c r="J210">
        <f t="shared" si="16"/>
        <v>-3975.4300000000003</v>
      </c>
      <c r="N210" s="2">
        <f t="shared" si="18"/>
        <v>12</v>
      </c>
    </row>
    <row r="211" spans="1:14" x14ac:dyDescent="0.25">
      <c r="A211" s="3">
        <v>44762</v>
      </c>
      <c r="B211" s="11" t="s">
        <v>2421</v>
      </c>
      <c r="C211" t="s">
        <v>2422</v>
      </c>
      <c r="F211" s="16">
        <v>220109178087</v>
      </c>
      <c r="H211" s="2">
        <v>2100</v>
      </c>
      <c r="I211" s="98">
        <f t="shared" si="17"/>
        <v>10875.43</v>
      </c>
      <c r="J211">
        <f t="shared" si="16"/>
        <v>-1875.4300000000003</v>
      </c>
      <c r="N211" s="2">
        <f t="shared" si="18"/>
        <v>8.4</v>
      </c>
    </row>
    <row r="212" spans="1:14" x14ac:dyDescent="0.25">
      <c r="A212" s="3">
        <v>44762</v>
      </c>
      <c r="B212" s="11" t="s">
        <v>1475</v>
      </c>
      <c r="C212" t="s">
        <v>2420</v>
      </c>
      <c r="D212" s="58">
        <v>8448328406</v>
      </c>
      <c r="F212" s="16">
        <v>220118755392</v>
      </c>
      <c r="G212" s="2">
        <v>5000</v>
      </c>
      <c r="I212" s="98">
        <f t="shared" si="17"/>
        <v>15875.43</v>
      </c>
      <c r="J212">
        <f t="shared" si="16"/>
        <v>-6875.43</v>
      </c>
      <c r="N212" s="2">
        <f t="shared" si="18"/>
        <v>20</v>
      </c>
    </row>
    <row r="213" spans="1:14" x14ac:dyDescent="0.25">
      <c r="A213" s="3">
        <v>44763</v>
      </c>
      <c r="B213" s="11" t="s">
        <v>2424</v>
      </c>
      <c r="C213" t="s">
        <v>2425</v>
      </c>
      <c r="F213" s="16">
        <v>220220242562</v>
      </c>
      <c r="H213" s="2">
        <v>5000</v>
      </c>
      <c r="I213" s="98">
        <f t="shared" si="17"/>
        <v>10875.43</v>
      </c>
      <c r="J213">
        <f t="shared" si="16"/>
        <v>-1875.4300000000003</v>
      </c>
      <c r="N213" s="2">
        <f t="shared" si="18"/>
        <v>20</v>
      </c>
    </row>
    <row r="214" spans="1:14" x14ac:dyDescent="0.25">
      <c r="A214" s="3">
        <v>44764</v>
      </c>
      <c r="B214" s="11" t="s">
        <v>2424</v>
      </c>
      <c r="C214" t="s">
        <v>2425</v>
      </c>
      <c r="F214" s="16">
        <v>220311133293</v>
      </c>
      <c r="H214" s="2">
        <v>4000</v>
      </c>
      <c r="I214" s="98">
        <f t="shared" si="17"/>
        <v>6875.43</v>
      </c>
      <c r="J214">
        <f t="shared" si="16"/>
        <v>2124.5699999999997</v>
      </c>
      <c r="N214" s="2">
        <f t="shared" si="18"/>
        <v>16</v>
      </c>
    </row>
    <row r="215" spans="1:14" x14ac:dyDescent="0.25">
      <c r="A215" s="3">
        <v>44764</v>
      </c>
      <c r="B215" s="11" t="s">
        <v>2147</v>
      </c>
      <c r="F215" s="16"/>
      <c r="H215" s="2">
        <v>5000</v>
      </c>
      <c r="I215" s="98">
        <f t="shared" si="17"/>
        <v>1875.4300000000003</v>
      </c>
      <c r="J215">
        <f t="shared" si="16"/>
        <v>7124.57</v>
      </c>
      <c r="N215" s="2">
        <f t="shared" si="18"/>
        <v>20</v>
      </c>
    </row>
    <row r="216" spans="1:14" x14ac:dyDescent="0.25">
      <c r="A216" s="3">
        <v>44764</v>
      </c>
      <c r="B216" s="11" t="s">
        <v>2253</v>
      </c>
      <c r="F216" s="16">
        <v>220319255609</v>
      </c>
      <c r="G216" s="2">
        <v>8000</v>
      </c>
      <c r="I216" s="98">
        <f t="shared" si="17"/>
        <v>9875.43</v>
      </c>
      <c r="J216">
        <f t="shared" si="16"/>
        <v>-875.43000000000029</v>
      </c>
      <c r="N216" s="2">
        <f t="shared" si="18"/>
        <v>20</v>
      </c>
    </row>
    <row r="217" spans="1:14" x14ac:dyDescent="0.25">
      <c r="A217" s="3">
        <v>44764</v>
      </c>
      <c r="B217" s="11" t="s">
        <v>1253</v>
      </c>
      <c r="F217" s="16"/>
      <c r="G217" s="2">
        <v>4000</v>
      </c>
      <c r="I217" s="98">
        <f t="shared" si="17"/>
        <v>13875.43</v>
      </c>
      <c r="J217">
        <f t="shared" si="16"/>
        <v>-4875.43</v>
      </c>
      <c r="N217" s="2">
        <f t="shared" si="18"/>
        <v>16</v>
      </c>
    </row>
    <row r="218" spans="1:14" x14ac:dyDescent="0.25">
      <c r="A218" s="3">
        <v>44765</v>
      </c>
      <c r="B218" s="11" t="s">
        <v>1163</v>
      </c>
      <c r="C218" t="s">
        <v>2390</v>
      </c>
      <c r="D218" s="58">
        <v>9608531011</v>
      </c>
      <c r="F218" s="16">
        <v>220411993485</v>
      </c>
      <c r="G218" s="2">
        <v>2000</v>
      </c>
      <c r="I218" s="98">
        <f t="shared" si="17"/>
        <v>15875.43</v>
      </c>
      <c r="J218">
        <f t="shared" si="16"/>
        <v>-6875.43</v>
      </c>
      <c r="N218" s="2">
        <f t="shared" si="18"/>
        <v>8</v>
      </c>
    </row>
    <row r="219" spans="1:14" x14ac:dyDescent="0.25">
      <c r="A219" s="3">
        <v>44765</v>
      </c>
      <c r="B219" s="11" t="s">
        <v>1163</v>
      </c>
      <c r="F219" s="16">
        <v>220417259021</v>
      </c>
      <c r="G219" s="2">
        <v>7000</v>
      </c>
      <c r="I219" s="98">
        <f t="shared" si="17"/>
        <v>22875.43</v>
      </c>
      <c r="J219">
        <f t="shared" si="16"/>
        <v>-13875.43</v>
      </c>
      <c r="N219" s="2">
        <f t="shared" si="18"/>
        <v>20</v>
      </c>
    </row>
    <row r="220" spans="1:14" x14ac:dyDescent="0.25">
      <c r="A220" s="3">
        <v>44765</v>
      </c>
      <c r="B220" s="11" t="s">
        <v>1163</v>
      </c>
      <c r="C220" t="s">
        <v>2426</v>
      </c>
      <c r="F220" s="16">
        <v>220417329572</v>
      </c>
      <c r="G220" s="2">
        <v>3000</v>
      </c>
      <c r="I220" s="98">
        <f t="shared" si="17"/>
        <v>25875.43</v>
      </c>
      <c r="J220">
        <f t="shared" si="16"/>
        <v>-16875.43</v>
      </c>
      <c r="N220" s="2">
        <f t="shared" si="18"/>
        <v>12</v>
      </c>
    </row>
    <row r="221" spans="1:14" x14ac:dyDescent="0.25">
      <c r="A221" s="3">
        <v>44765</v>
      </c>
      <c r="B221" s="11" t="s">
        <v>2427</v>
      </c>
      <c r="C221" t="s">
        <v>2428</v>
      </c>
      <c r="F221" s="16">
        <v>220417333437</v>
      </c>
      <c r="H221" s="2">
        <v>3000</v>
      </c>
      <c r="I221" s="98">
        <f t="shared" si="17"/>
        <v>22875.43</v>
      </c>
      <c r="J221">
        <f t="shared" si="16"/>
        <v>-13875.43</v>
      </c>
      <c r="N221" s="2">
        <f t="shared" si="18"/>
        <v>12</v>
      </c>
    </row>
    <row r="222" spans="1:14" x14ac:dyDescent="0.25">
      <c r="A222" s="3">
        <v>44765</v>
      </c>
      <c r="B222" s="11" t="s">
        <v>2144</v>
      </c>
      <c r="F222" s="16"/>
      <c r="H222" s="2">
        <v>10000</v>
      </c>
      <c r="I222" s="98">
        <f t="shared" si="17"/>
        <v>12875.43</v>
      </c>
      <c r="J222">
        <f t="shared" si="16"/>
        <v>-3875.4300000000003</v>
      </c>
      <c r="N222" s="2">
        <f t="shared" si="18"/>
        <v>20</v>
      </c>
    </row>
    <row r="223" spans="1:14" x14ac:dyDescent="0.25">
      <c r="A223" s="3">
        <v>44767</v>
      </c>
      <c r="B223" s="11" t="s">
        <v>1253</v>
      </c>
      <c r="F223" s="16">
        <v>220618476453</v>
      </c>
      <c r="G223" s="2">
        <v>1000</v>
      </c>
      <c r="I223" s="98">
        <f t="shared" si="17"/>
        <v>13875.43</v>
      </c>
      <c r="J223">
        <f t="shared" si="16"/>
        <v>-4875.43</v>
      </c>
      <c r="N223" s="2">
        <f t="shared" si="18"/>
        <v>4</v>
      </c>
    </row>
    <row r="224" spans="1:14" x14ac:dyDescent="0.25">
      <c r="A224" s="3">
        <v>44767</v>
      </c>
      <c r="B224" s="11" t="s">
        <v>2144</v>
      </c>
      <c r="F224" s="16">
        <v>220618485467</v>
      </c>
      <c r="H224" s="2">
        <v>10000</v>
      </c>
      <c r="I224" s="98">
        <f t="shared" si="17"/>
        <v>3875.4300000000003</v>
      </c>
      <c r="J224">
        <f t="shared" ref="J224:J245" si="19">$J$1-I224</f>
        <v>5124.57</v>
      </c>
      <c r="N224" s="2">
        <f t="shared" si="18"/>
        <v>20</v>
      </c>
    </row>
    <row r="225" spans="1:14" x14ac:dyDescent="0.25">
      <c r="A225" s="3">
        <v>44767</v>
      </c>
      <c r="B225" s="11" t="s">
        <v>2429</v>
      </c>
      <c r="C225" t="s">
        <v>2062</v>
      </c>
      <c r="D225" s="58">
        <v>8969518219</v>
      </c>
      <c r="F225" s="16"/>
      <c r="H225" s="2">
        <v>3000</v>
      </c>
      <c r="I225" s="98">
        <f t="shared" si="17"/>
        <v>875.43000000000029</v>
      </c>
      <c r="J225">
        <f t="shared" si="19"/>
        <v>8124.57</v>
      </c>
      <c r="N225" s="2">
        <f t="shared" si="18"/>
        <v>12</v>
      </c>
    </row>
    <row r="226" spans="1:14" x14ac:dyDescent="0.25">
      <c r="A226" s="3">
        <v>44768</v>
      </c>
      <c r="B226" s="11" t="s">
        <v>2430</v>
      </c>
      <c r="C226" t="s">
        <v>2431</v>
      </c>
      <c r="D226" s="58">
        <v>7717747591</v>
      </c>
      <c r="F226" s="16">
        <v>220719944204</v>
      </c>
      <c r="G226" s="2">
        <v>2000</v>
      </c>
      <c r="I226" s="98">
        <f t="shared" si="17"/>
        <v>2875.4300000000003</v>
      </c>
      <c r="J226">
        <f t="shared" si="19"/>
        <v>6124.57</v>
      </c>
      <c r="N226" s="2">
        <f t="shared" si="18"/>
        <v>8</v>
      </c>
    </row>
    <row r="227" spans="1:14" x14ac:dyDescent="0.25">
      <c r="A227" s="3">
        <v>44768</v>
      </c>
      <c r="B227" s="11" t="s">
        <v>2432</v>
      </c>
      <c r="C227" t="s">
        <v>2062</v>
      </c>
      <c r="F227" s="16"/>
      <c r="G227" s="2">
        <v>500</v>
      </c>
      <c r="I227" s="98">
        <f t="shared" si="17"/>
        <v>3375.4300000000003</v>
      </c>
      <c r="J227">
        <f t="shared" si="19"/>
        <v>5624.57</v>
      </c>
      <c r="N227" s="2">
        <f t="shared" si="18"/>
        <v>2</v>
      </c>
    </row>
    <row r="228" spans="1:14" x14ac:dyDescent="0.25">
      <c r="A228" s="3">
        <v>44768</v>
      </c>
      <c r="F228" s="16"/>
      <c r="G228" s="2">
        <v>500</v>
      </c>
      <c r="I228" s="98">
        <f t="shared" si="17"/>
        <v>3875.4300000000003</v>
      </c>
      <c r="J228">
        <f t="shared" si="19"/>
        <v>5124.57</v>
      </c>
      <c r="N228" s="2">
        <f t="shared" si="18"/>
        <v>2</v>
      </c>
    </row>
    <row r="229" spans="1:14" x14ac:dyDescent="0.25">
      <c r="A229" s="3">
        <v>44769</v>
      </c>
      <c r="B229" s="11" t="s">
        <v>2432</v>
      </c>
      <c r="C229" t="s">
        <v>2062</v>
      </c>
      <c r="F229" s="16"/>
      <c r="G229" s="2">
        <v>600</v>
      </c>
      <c r="I229" s="98">
        <f t="shared" si="17"/>
        <v>4475.43</v>
      </c>
      <c r="J229">
        <f t="shared" si="19"/>
        <v>4524.57</v>
      </c>
      <c r="N229" s="2">
        <f t="shared" si="18"/>
        <v>2.4</v>
      </c>
    </row>
    <row r="230" spans="1:14" x14ac:dyDescent="0.25">
      <c r="A230" s="3">
        <v>44769</v>
      </c>
      <c r="B230" s="11" t="s">
        <v>2433</v>
      </c>
      <c r="C230" t="s">
        <v>2434</v>
      </c>
      <c r="F230" s="16">
        <v>220912936517</v>
      </c>
      <c r="G230" s="2">
        <v>5000</v>
      </c>
      <c r="I230" s="98">
        <f t="shared" si="17"/>
        <v>9475.43</v>
      </c>
      <c r="J230">
        <f t="shared" si="19"/>
        <v>-475.43000000000029</v>
      </c>
      <c r="N230" s="2">
        <f t="shared" si="18"/>
        <v>20</v>
      </c>
    </row>
    <row r="231" spans="1:14" x14ac:dyDescent="0.25">
      <c r="A231" s="3">
        <v>44769</v>
      </c>
      <c r="B231" s="11" t="s">
        <v>2432</v>
      </c>
      <c r="C231" t="s">
        <v>2062</v>
      </c>
      <c r="F231" s="16"/>
      <c r="G231" s="2">
        <v>600</v>
      </c>
      <c r="I231" s="98">
        <f t="shared" si="17"/>
        <v>10075.43</v>
      </c>
      <c r="J231">
        <f t="shared" si="19"/>
        <v>-1075.4300000000003</v>
      </c>
      <c r="N231" s="2">
        <f t="shared" si="18"/>
        <v>2.4</v>
      </c>
    </row>
    <row r="232" spans="1:14" x14ac:dyDescent="0.25">
      <c r="A232" s="3">
        <v>44770</v>
      </c>
      <c r="B232" s="11" t="s">
        <v>2435</v>
      </c>
      <c r="F232" s="16">
        <v>220912987537</v>
      </c>
      <c r="H232" s="2">
        <v>5000</v>
      </c>
      <c r="I232" s="98">
        <f t="shared" si="17"/>
        <v>5075.43</v>
      </c>
      <c r="J232">
        <f t="shared" si="19"/>
        <v>3924.5699999999997</v>
      </c>
      <c r="N232" s="2">
        <f t="shared" si="18"/>
        <v>20</v>
      </c>
    </row>
    <row r="233" spans="1:14" x14ac:dyDescent="0.25">
      <c r="A233" s="3">
        <v>44770</v>
      </c>
      <c r="B233" s="11" t="s">
        <v>1253</v>
      </c>
      <c r="C233" t="s">
        <v>2436</v>
      </c>
      <c r="F233" s="16">
        <v>220912016661</v>
      </c>
      <c r="G233" s="2">
        <v>1000</v>
      </c>
      <c r="I233" s="98">
        <f t="shared" si="17"/>
        <v>6075.43</v>
      </c>
      <c r="J233">
        <f t="shared" si="19"/>
        <v>2924.5699999999997</v>
      </c>
      <c r="N233" s="2">
        <f t="shared" si="18"/>
        <v>4</v>
      </c>
    </row>
    <row r="234" spans="1:14" x14ac:dyDescent="0.25">
      <c r="A234" s="3">
        <v>44770</v>
      </c>
      <c r="B234" s="11" t="s">
        <v>1260</v>
      </c>
      <c r="C234" t="s">
        <v>2280</v>
      </c>
      <c r="F234" s="16"/>
      <c r="H234" s="2">
        <v>6000</v>
      </c>
      <c r="I234" s="98">
        <f t="shared" si="17"/>
        <v>75.430000000000291</v>
      </c>
      <c r="J234">
        <f t="shared" si="19"/>
        <v>8924.57</v>
      </c>
      <c r="N234" s="2">
        <f t="shared" si="18"/>
        <v>20</v>
      </c>
    </row>
    <row r="235" spans="1:14" x14ac:dyDescent="0.25">
      <c r="A235" s="3">
        <v>44770</v>
      </c>
      <c r="B235" s="11" t="s">
        <v>2437</v>
      </c>
      <c r="F235" s="16"/>
      <c r="H235" s="2">
        <v>100</v>
      </c>
      <c r="I235" s="98">
        <f t="shared" si="17"/>
        <v>-24.569999999999709</v>
      </c>
      <c r="J235">
        <f t="shared" si="19"/>
        <v>9024.57</v>
      </c>
      <c r="N235" s="2">
        <f t="shared" si="18"/>
        <v>0.4</v>
      </c>
    </row>
    <row r="236" spans="1:14" x14ac:dyDescent="0.25">
      <c r="A236" s="3">
        <v>44770</v>
      </c>
      <c r="B236" s="11" t="s">
        <v>2438</v>
      </c>
      <c r="C236" t="s">
        <v>2439</v>
      </c>
      <c r="D236" s="58">
        <v>7209530774</v>
      </c>
      <c r="F236" s="16">
        <v>220918423084</v>
      </c>
      <c r="G236" s="2">
        <v>3000</v>
      </c>
      <c r="I236" s="98">
        <f t="shared" si="17"/>
        <v>2975.4300000000003</v>
      </c>
      <c r="J236">
        <f t="shared" si="19"/>
        <v>6024.57</v>
      </c>
      <c r="N236" s="2">
        <f t="shared" si="18"/>
        <v>12</v>
      </c>
    </row>
    <row r="237" spans="1:14" x14ac:dyDescent="0.25">
      <c r="A237" s="3">
        <v>44771</v>
      </c>
      <c r="C237" t="s">
        <v>1475</v>
      </c>
      <c r="F237" s="16"/>
      <c r="G237" s="2">
        <v>9000</v>
      </c>
      <c r="I237" s="98">
        <f t="shared" si="17"/>
        <v>11975.43</v>
      </c>
      <c r="J237">
        <f t="shared" si="19"/>
        <v>-2975.4300000000003</v>
      </c>
      <c r="N237" s="2">
        <f t="shared" si="18"/>
        <v>20</v>
      </c>
    </row>
    <row r="238" spans="1:14" x14ac:dyDescent="0.25">
      <c r="A238" s="3">
        <v>44771</v>
      </c>
      <c r="B238" s="11" t="s">
        <v>2432</v>
      </c>
      <c r="C238" t="s">
        <v>2062</v>
      </c>
      <c r="F238" s="16"/>
      <c r="G238" s="2">
        <v>200</v>
      </c>
      <c r="I238" s="98">
        <f t="shared" si="17"/>
        <v>12175.43</v>
      </c>
      <c r="J238">
        <f t="shared" si="19"/>
        <v>-3175.4300000000003</v>
      </c>
      <c r="N238" s="2">
        <f t="shared" si="18"/>
        <v>0.8</v>
      </c>
    </row>
    <row r="239" spans="1:14" x14ac:dyDescent="0.25">
      <c r="A239" s="3">
        <v>44772</v>
      </c>
      <c r="B239" s="11" t="s">
        <v>2440</v>
      </c>
      <c r="C239" t="s">
        <v>2441</v>
      </c>
      <c r="F239" s="16"/>
      <c r="H239" s="2">
        <v>200</v>
      </c>
      <c r="I239" s="98">
        <f t="shared" si="17"/>
        <v>11975.43</v>
      </c>
      <c r="J239">
        <f t="shared" si="19"/>
        <v>-2975.4300000000003</v>
      </c>
      <c r="N239" s="2">
        <f t="shared" si="18"/>
        <v>0.8</v>
      </c>
    </row>
    <row r="240" spans="1:14" x14ac:dyDescent="0.25">
      <c r="A240" s="3">
        <v>44772</v>
      </c>
      <c r="B240" s="11" t="s">
        <v>1260</v>
      </c>
      <c r="C240" t="s">
        <v>2280</v>
      </c>
      <c r="F240" s="16"/>
      <c r="H240" s="2">
        <v>2000</v>
      </c>
      <c r="I240" s="98">
        <f t="shared" si="17"/>
        <v>9975.43</v>
      </c>
      <c r="J240">
        <f t="shared" si="19"/>
        <v>-975.43000000000029</v>
      </c>
      <c r="N240" s="2">
        <f t="shared" si="18"/>
        <v>8</v>
      </c>
    </row>
    <row r="241" spans="1:21" x14ac:dyDescent="0.25">
      <c r="A241" s="3">
        <v>44772</v>
      </c>
      <c r="B241" s="11" t="s">
        <v>1260</v>
      </c>
      <c r="F241" s="16">
        <v>221119936380</v>
      </c>
      <c r="G241" s="2">
        <v>1000</v>
      </c>
      <c r="I241" s="98">
        <f t="shared" si="17"/>
        <v>10975.43</v>
      </c>
      <c r="J241">
        <f t="shared" si="19"/>
        <v>-1975.4300000000003</v>
      </c>
      <c r="N241" s="2">
        <f t="shared" si="18"/>
        <v>4</v>
      </c>
      <c r="U241">
        <f>151120-45720</f>
        <v>105400</v>
      </c>
    </row>
    <row r="242" spans="1:21" x14ac:dyDescent="0.25">
      <c r="A242" s="3">
        <v>44773</v>
      </c>
      <c r="B242" s="11" t="s">
        <v>2272</v>
      </c>
      <c r="F242" s="16">
        <v>221211435713</v>
      </c>
      <c r="G242" s="2">
        <v>3000</v>
      </c>
      <c r="I242" s="98">
        <f t="shared" si="17"/>
        <v>13975.43</v>
      </c>
      <c r="J242">
        <f t="shared" si="19"/>
        <v>-4975.43</v>
      </c>
      <c r="N242" s="2">
        <f t="shared" si="18"/>
        <v>12</v>
      </c>
    </row>
    <row r="243" spans="1:21" x14ac:dyDescent="0.25">
      <c r="A243" s="3">
        <v>44773</v>
      </c>
      <c r="B243" s="11" t="s">
        <v>1253</v>
      </c>
      <c r="C243" t="s">
        <v>2290</v>
      </c>
      <c r="F243" s="16">
        <v>221212582685</v>
      </c>
      <c r="G243" s="2">
        <v>3000</v>
      </c>
      <c r="I243" s="98">
        <f t="shared" si="17"/>
        <v>16975.43</v>
      </c>
      <c r="J243">
        <f t="shared" si="19"/>
        <v>-7975.43</v>
      </c>
      <c r="N243" s="2">
        <f t="shared" si="18"/>
        <v>12</v>
      </c>
    </row>
    <row r="244" spans="1:21" x14ac:dyDescent="0.25">
      <c r="A244" s="3">
        <v>44773</v>
      </c>
      <c r="B244" s="11" t="s">
        <v>2144</v>
      </c>
      <c r="C244" t="s">
        <v>1282</v>
      </c>
      <c r="F244" s="16"/>
      <c r="H244" s="2">
        <v>10000</v>
      </c>
      <c r="I244" s="98">
        <f t="shared" si="17"/>
        <v>6975.43</v>
      </c>
      <c r="J244">
        <f t="shared" si="19"/>
        <v>2024.5699999999997</v>
      </c>
      <c r="N244" s="2">
        <f t="shared" si="18"/>
        <v>20</v>
      </c>
    </row>
    <row r="245" spans="1:21" x14ac:dyDescent="0.25">
      <c r="A245" s="3">
        <v>44773</v>
      </c>
      <c r="B245" s="11" t="s">
        <v>1253</v>
      </c>
      <c r="F245" s="16"/>
      <c r="G245" s="2">
        <v>2000</v>
      </c>
      <c r="I245" s="98">
        <f t="shared" si="17"/>
        <v>8975.43</v>
      </c>
      <c r="J245">
        <f t="shared" si="19"/>
        <v>24.569999999999709</v>
      </c>
      <c r="N245" s="2">
        <f t="shared" si="18"/>
        <v>8</v>
      </c>
    </row>
    <row r="246" spans="1:21" x14ac:dyDescent="0.25">
      <c r="A246" s="97"/>
      <c r="B246" s="102"/>
      <c r="C246" s="27"/>
      <c r="D246" s="139"/>
      <c r="E246" s="117">
        <f>COUNTIF(E160:E245,"y")</f>
        <v>6</v>
      </c>
      <c r="F246" s="29">
        <f>G246+H246</f>
        <v>325113.43</v>
      </c>
      <c r="G246" s="103">
        <f>SUM(G160:G245)</f>
        <v>159413.43</v>
      </c>
      <c r="H246" s="103">
        <f>SUM(H160:H245)</f>
        <v>165700</v>
      </c>
      <c r="I246" s="103"/>
      <c r="J246" s="27"/>
      <c r="K246" s="27"/>
      <c r="L246" s="27"/>
      <c r="M246" s="27"/>
      <c r="N246" s="103">
        <f>SUM(N160:N245)</f>
        <v>1139.1999999999998</v>
      </c>
      <c r="O246" s="27">
        <f>SUM(O160:O245)</f>
        <v>0</v>
      </c>
      <c r="P246" s="27"/>
    </row>
    <row r="247" spans="1:21" x14ac:dyDescent="0.25">
      <c r="F247" s="16"/>
    </row>
    <row r="249" spans="1:21" x14ac:dyDescent="0.25">
      <c r="A249" s="3">
        <v>44774</v>
      </c>
      <c r="B249" s="11" t="s">
        <v>2442</v>
      </c>
      <c r="F249" s="16"/>
      <c r="G249" s="2">
        <v>9246.36</v>
      </c>
      <c r="I249" s="98">
        <f t="shared" ref="I249:I286" si="20">I248+G249-H249</f>
        <v>9246.36</v>
      </c>
      <c r="J249">
        <f t="shared" ref="J249:J280" si="21">$J$1-I249</f>
        <v>-246.36000000000058</v>
      </c>
    </row>
    <row r="250" spans="1:21" x14ac:dyDescent="0.25">
      <c r="A250" s="3">
        <v>44774</v>
      </c>
      <c r="B250" s="11" t="s">
        <v>2443</v>
      </c>
      <c r="C250" t="s">
        <v>2444</v>
      </c>
      <c r="D250" s="58">
        <v>9031985788</v>
      </c>
      <c r="E250" s="115" t="s">
        <v>16</v>
      </c>
      <c r="F250" s="16">
        <v>221311948847</v>
      </c>
      <c r="H250" s="2">
        <v>300</v>
      </c>
      <c r="I250" s="98">
        <f t="shared" si="20"/>
        <v>8946.36</v>
      </c>
      <c r="J250">
        <f t="shared" si="21"/>
        <v>53.639999999999418</v>
      </c>
      <c r="N250" s="2">
        <f t="shared" ref="N250:N281" si="22">IF((G250+H250)&lt;=5000,(H250+G250)*0.004,20)+IF(E250="Y",25,0)</f>
        <v>26.2</v>
      </c>
    </row>
    <row r="251" spans="1:21" x14ac:dyDescent="0.25">
      <c r="A251" s="3">
        <v>44774</v>
      </c>
      <c r="B251" s="11" t="s">
        <v>2457</v>
      </c>
      <c r="C251" t="s">
        <v>2453</v>
      </c>
      <c r="D251" s="59" t="s">
        <v>2454</v>
      </c>
      <c r="E251" s="115" t="s">
        <v>16</v>
      </c>
      <c r="F251" s="16">
        <v>221312402249</v>
      </c>
      <c r="H251" s="2">
        <v>200</v>
      </c>
      <c r="I251" s="98">
        <f t="shared" si="20"/>
        <v>8746.36</v>
      </c>
      <c r="J251">
        <f t="shared" si="21"/>
        <v>253.63999999999942</v>
      </c>
      <c r="N251" s="2">
        <f t="shared" si="22"/>
        <v>25.8</v>
      </c>
    </row>
    <row r="252" spans="1:21" x14ac:dyDescent="0.25">
      <c r="A252" s="3">
        <v>44774</v>
      </c>
      <c r="B252" s="11" t="s">
        <v>2458</v>
      </c>
      <c r="C252" t="s">
        <v>2459</v>
      </c>
      <c r="D252" s="58">
        <v>8084689741</v>
      </c>
      <c r="F252" s="16">
        <v>221318220351</v>
      </c>
      <c r="H252" s="2">
        <v>900</v>
      </c>
      <c r="I252" s="98">
        <f t="shared" si="20"/>
        <v>7846.3600000000006</v>
      </c>
      <c r="J252">
        <f t="shared" si="21"/>
        <v>1153.6399999999994</v>
      </c>
      <c r="N252" s="2">
        <f t="shared" si="22"/>
        <v>3.6</v>
      </c>
    </row>
    <row r="253" spans="1:21" x14ac:dyDescent="0.25">
      <c r="A253" s="3">
        <v>44774</v>
      </c>
      <c r="B253" s="11" t="s">
        <v>1262</v>
      </c>
      <c r="C253" t="s">
        <v>1175</v>
      </c>
      <c r="F253" s="16">
        <v>221319467662</v>
      </c>
      <c r="H253" s="2">
        <v>5000</v>
      </c>
      <c r="I253" s="98">
        <f t="shared" si="20"/>
        <v>2846.3600000000006</v>
      </c>
      <c r="J253">
        <f t="shared" si="21"/>
        <v>6153.6399999999994</v>
      </c>
      <c r="N253" s="2">
        <f t="shared" si="22"/>
        <v>20</v>
      </c>
    </row>
    <row r="254" spans="1:21" x14ac:dyDescent="0.25">
      <c r="A254" s="3">
        <v>44774</v>
      </c>
      <c r="B254" s="11" t="s">
        <v>1163</v>
      </c>
      <c r="C254" t="s">
        <v>2460</v>
      </c>
      <c r="D254" s="58">
        <v>8298309421</v>
      </c>
      <c r="F254" s="16">
        <v>221319497966</v>
      </c>
      <c r="G254" s="2">
        <v>8000</v>
      </c>
      <c r="I254" s="98">
        <f t="shared" si="20"/>
        <v>10846.36</v>
      </c>
      <c r="J254">
        <f t="shared" si="21"/>
        <v>-1846.3600000000006</v>
      </c>
      <c r="N254" s="2">
        <f t="shared" si="22"/>
        <v>20</v>
      </c>
    </row>
    <row r="255" spans="1:21" x14ac:dyDescent="0.25">
      <c r="A255" s="3">
        <v>44775</v>
      </c>
      <c r="B255" s="11" t="s">
        <v>2365</v>
      </c>
      <c r="C255" t="s">
        <v>2461</v>
      </c>
      <c r="D255" s="58">
        <v>9204401811</v>
      </c>
      <c r="F255" s="16">
        <v>221409063006</v>
      </c>
      <c r="G255" s="2">
        <v>3000</v>
      </c>
      <c r="I255" s="98">
        <f t="shared" si="20"/>
        <v>13846.36</v>
      </c>
      <c r="J255">
        <f t="shared" si="21"/>
        <v>-4846.3600000000006</v>
      </c>
      <c r="N255" s="2">
        <f t="shared" si="22"/>
        <v>12</v>
      </c>
    </row>
    <row r="256" spans="1:21" x14ac:dyDescent="0.25">
      <c r="A256" s="3">
        <v>44775</v>
      </c>
      <c r="B256" s="11" t="s">
        <v>2144</v>
      </c>
      <c r="C256" t="s">
        <v>1282</v>
      </c>
      <c r="F256" s="16">
        <v>221410082341</v>
      </c>
      <c r="H256" s="2">
        <v>5000</v>
      </c>
      <c r="I256" s="98">
        <f t="shared" si="20"/>
        <v>8846.36</v>
      </c>
      <c r="J256">
        <f t="shared" si="21"/>
        <v>153.63999999999942</v>
      </c>
      <c r="N256" s="2">
        <f t="shared" si="22"/>
        <v>20</v>
      </c>
    </row>
    <row r="257" spans="1:14" x14ac:dyDescent="0.25">
      <c r="A257" s="3">
        <v>44775</v>
      </c>
      <c r="B257" s="11" t="s">
        <v>1262</v>
      </c>
      <c r="C257" t="s">
        <v>1175</v>
      </c>
      <c r="F257" s="16"/>
      <c r="H257" s="2">
        <v>5000</v>
      </c>
      <c r="I257" s="98">
        <f t="shared" si="20"/>
        <v>3846.3600000000006</v>
      </c>
      <c r="J257">
        <f t="shared" si="21"/>
        <v>5153.6399999999994</v>
      </c>
      <c r="N257" s="2">
        <f t="shared" si="22"/>
        <v>20</v>
      </c>
    </row>
    <row r="258" spans="1:14" x14ac:dyDescent="0.25">
      <c r="A258" s="3">
        <v>44775</v>
      </c>
      <c r="B258" s="11" t="s">
        <v>1163</v>
      </c>
      <c r="C258" t="s">
        <v>2464</v>
      </c>
      <c r="D258" s="58">
        <v>8235671046</v>
      </c>
      <c r="F258" s="16">
        <v>221410208739</v>
      </c>
      <c r="G258" s="2">
        <v>10000</v>
      </c>
      <c r="I258" s="98">
        <f t="shared" si="20"/>
        <v>13846.36</v>
      </c>
      <c r="J258">
        <f t="shared" si="21"/>
        <v>-4846.3600000000006</v>
      </c>
      <c r="N258" s="2">
        <f t="shared" si="22"/>
        <v>20</v>
      </c>
    </row>
    <row r="259" spans="1:14" x14ac:dyDescent="0.25">
      <c r="A259" s="3">
        <v>44775</v>
      </c>
      <c r="B259" s="11" t="s">
        <v>1253</v>
      </c>
      <c r="C259" t="s">
        <v>2465</v>
      </c>
      <c r="F259" s="16"/>
      <c r="H259" s="2">
        <v>10000</v>
      </c>
      <c r="I259" s="98">
        <f t="shared" si="20"/>
        <v>3846.3600000000006</v>
      </c>
      <c r="J259">
        <f t="shared" si="21"/>
        <v>5153.6399999999994</v>
      </c>
      <c r="N259" s="2">
        <f t="shared" si="22"/>
        <v>20</v>
      </c>
    </row>
    <row r="260" spans="1:14" x14ac:dyDescent="0.25">
      <c r="A260" s="3">
        <v>44775</v>
      </c>
      <c r="B260" s="11" t="s">
        <v>2373</v>
      </c>
      <c r="F260" s="16">
        <v>221420131725</v>
      </c>
      <c r="G260" s="2">
        <v>4000</v>
      </c>
      <c r="I260" s="98">
        <f t="shared" si="20"/>
        <v>7846.3600000000006</v>
      </c>
      <c r="J260">
        <f t="shared" si="21"/>
        <v>1153.6399999999994</v>
      </c>
      <c r="N260" s="2">
        <f t="shared" si="22"/>
        <v>16</v>
      </c>
    </row>
    <row r="261" spans="1:14" x14ac:dyDescent="0.25">
      <c r="A261" s="3">
        <v>44776</v>
      </c>
      <c r="B261" s="11" t="s">
        <v>2147</v>
      </c>
      <c r="F261" s="16"/>
      <c r="H261" s="2">
        <v>7000</v>
      </c>
      <c r="I261" s="98">
        <f t="shared" si="20"/>
        <v>846.36000000000058</v>
      </c>
      <c r="J261">
        <f t="shared" si="21"/>
        <v>8153.6399999999994</v>
      </c>
      <c r="N261" s="2">
        <f t="shared" si="22"/>
        <v>20</v>
      </c>
    </row>
    <row r="262" spans="1:14" x14ac:dyDescent="0.25">
      <c r="A262" s="3">
        <v>44776</v>
      </c>
      <c r="B262" s="11" t="s">
        <v>1253</v>
      </c>
      <c r="C262" t="s">
        <v>2256</v>
      </c>
      <c r="F262" s="16">
        <v>221519752067</v>
      </c>
      <c r="G262" s="2">
        <v>1000</v>
      </c>
      <c r="I262" s="98">
        <f t="shared" si="20"/>
        <v>1846.3600000000006</v>
      </c>
      <c r="J262">
        <f t="shared" si="21"/>
        <v>7153.6399999999994</v>
      </c>
      <c r="N262" s="2">
        <f t="shared" si="22"/>
        <v>4</v>
      </c>
    </row>
    <row r="263" spans="1:14" x14ac:dyDescent="0.25">
      <c r="A263" s="3">
        <v>44776</v>
      </c>
      <c r="B263" s="11" t="s">
        <v>1253</v>
      </c>
      <c r="C263" t="s">
        <v>2466</v>
      </c>
      <c r="D263" s="58">
        <v>6201399787</v>
      </c>
      <c r="F263" s="16">
        <v>221520875083</v>
      </c>
      <c r="G263" s="2">
        <v>5000</v>
      </c>
      <c r="I263" s="98">
        <f t="shared" si="20"/>
        <v>6846.3600000000006</v>
      </c>
      <c r="J263">
        <f t="shared" si="21"/>
        <v>2153.6399999999994</v>
      </c>
      <c r="N263" s="2">
        <f t="shared" si="22"/>
        <v>20</v>
      </c>
    </row>
    <row r="264" spans="1:14" x14ac:dyDescent="0.25">
      <c r="A264" s="3">
        <v>44776</v>
      </c>
      <c r="B264" s="11" t="s">
        <v>1253</v>
      </c>
      <c r="C264" t="s">
        <v>2467</v>
      </c>
      <c r="F264" s="16">
        <v>221520881422</v>
      </c>
      <c r="G264" s="2">
        <v>1000</v>
      </c>
      <c r="I264" s="98">
        <f t="shared" si="20"/>
        <v>7846.3600000000006</v>
      </c>
      <c r="J264">
        <f t="shared" si="21"/>
        <v>1153.6399999999994</v>
      </c>
      <c r="N264" s="2">
        <f t="shared" si="22"/>
        <v>4</v>
      </c>
    </row>
    <row r="265" spans="1:14" x14ac:dyDescent="0.25">
      <c r="A265" s="3">
        <v>44777</v>
      </c>
      <c r="B265" s="11" t="s">
        <v>2468</v>
      </c>
      <c r="C265" t="s">
        <v>2469</v>
      </c>
      <c r="F265" s="16"/>
      <c r="G265" s="2">
        <v>2550</v>
      </c>
      <c r="I265" s="98">
        <f t="shared" si="20"/>
        <v>10396.36</v>
      </c>
      <c r="J265">
        <f t="shared" si="21"/>
        <v>-1396.3600000000006</v>
      </c>
      <c r="N265" s="2">
        <f t="shared" si="22"/>
        <v>10.200000000000001</v>
      </c>
    </row>
    <row r="266" spans="1:14" x14ac:dyDescent="0.25">
      <c r="A266" s="3">
        <v>44777</v>
      </c>
      <c r="B266" s="11" t="s">
        <v>2247</v>
      </c>
      <c r="C266" t="s">
        <v>2470</v>
      </c>
      <c r="D266" s="58">
        <v>7033954515</v>
      </c>
      <c r="F266" s="16">
        <v>221611730183</v>
      </c>
      <c r="G266" s="2">
        <v>1000</v>
      </c>
      <c r="I266" s="98">
        <f t="shared" si="20"/>
        <v>11396.36</v>
      </c>
      <c r="J266">
        <f t="shared" si="21"/>
        <v>-2396.3600000000006</v>
      </c>
      <c r="N266" s="2">
        <f t="shared" si="22"/>
        <v>4</v>
      </c>
    </row>
    <row r="267" spans="1:14" x14ac:dyDescent="0.25">
      <c r="A267" s="3">
        <v>44777</v>
      </c>
      <c r="B267" s="11" t="s">
        <v>2147</v>
      </c>
      <c r="C267" t="s">
        <v>1282</v>
      </c>
      <c r="F267" s="16"/>
      <c r="H267" s="2">
        <v>10000</v>
      </c>
      <c r="I267" s="98">
        <f t="shared" si="20"/>
        <v>1396.3600000000006</v>
      </c>
      <c r="J267">
        <f t="shared" si="21"/>
        <v>7603.6399999999994</v>
      </c>
      <c r="N267" s="2">
        <f t="shared" si="22"/>
        <v>20</v>
      </c>
    </row>
    <row r="268" spans="1:14" x14ac:dyDescent="0.25">
      <c r="A268" s="3">
        <v>44777</v>
      </c>
      <c r="B268" s="11" t="s">
        <v>1253</v>
      </c>
      <c r="F268" s="16"/>
      <c r="G268" s="2">
        <v>2000</v>
      </c>
      <c r="I268" s="98">
        <f t="shared" si="20"/>
        <v>3396.3600000000006</v>
      </c>
      <c r="J268">
        <f t="shared" si="21"/>
        <v>5603.6399999999994</v>
      </c>
      <c r="N268" s="2">
        <f t="shared" si="22"/>
        <v>8</v>
      </c>
    </row>
    <row r="269" spans="1:14" x14ac:dyDescent="0.25">
      <c r="A269" s="3">
        <v>44777</v>
      </c>
      <c r="B269" s="11" t="s">
        <v>2247</v>
      </c>
      <c r="C269" t="s">
        <v>2470</v>
      </c>
      <c r="F269" s="16"/>
      <c r="G269" s="2">
        <v>3000</v>
      </c>
      <c r="I269" s="98">
        <f t="shared" si="20"/>
        <v>6396.3600000000006</v>
      </c>
      <c r="J269">
        <f t="shared" si="21"/>
        <v>2603.6399999999994</v>
      </c>
      <c r="N269" s="2">
        <f t="shared" si="22"/>
        <v>12</v>
      </c>
    </row>
    <row r="270" spans="1:14" x14ac:dyDescent="0.25">
      <c r="A270" s="3">
        <v>44777</v>
      </c>
      <c r="B270" s="11" t="s">
        <v>2471</v>
      </c>
      <c r="F270" s="16">
        <v>221617068107</v>
      </c>
      <c r="G270" s="2">
        <v>3800</v>
      </c>
      <c r="I270" s="98">
        <f t="shared" si="20"/>
        <v>10196.36</v>
      </c>
      <c r="J270">
        <f t="shared" si="21"/>
        <v>-1196.3600000000006</v>
      </c>
      <c r="N270" s="2">
        <f t="shared" si="22"/>
        <v>15.200000000000001</v>
      </c>
    </row>
    <row r="271" spans="1:14" x14ac:dyDescent="0.25">
      <c r="A271" s="3">
        <v>44777</v>
      </c>
      <c r="B271" s="11" t="s">
        <v>2472</v>
      </c>
      <c r="C271" t="s">
        <v>2280</v>
      </c>
      <c r="F271" s="16">
        <v>221617081075</v>
      </c>
      <c r="H271" s="2">
        <v>3000</v>
      </c>
      <c r="I271" s="98">
        <f t="shared" si="20"/>
        <v>7196.3600000000006</v>
      </c>
      <c r="J271">
        <f t="shared" si="21"/>
        <v>1803.6399999999994</v>
      </c>
      <c r="N271" s="2">
        <f t="shared" si="22"/>
        <v>12</v>
      </c>
    </row>
    <row r="272" spans="1:14" x14ac:dyDescent="0.25">
      <c r="A272" s="3">
        <v>44778</v>
      </c>
      <c r="B272" s="11" t="s">
        <v>1163</v>
      </c>
      <c r="C272" t="s">
        <v>2474</v>
      </c>
      <c r="F272" s="16">
        <v>221717682433</v>
      </c>
      <c r="G272" s="2">
        <v>8100</v>
      </c>
      <c r="I272" s="98">
        <f t="shared" si="20"/>
        <v>15296.36</v>
      </c>
      <c r="J272">
        <f t="shared" si="21"/>
        <v>-6296.3600000000006</v>
      </c>
      <c r="N272" s="2">
        <f t="shared" si="22"/>
        <v>20</v>
      </c>
    </row>
    <row r="273" spans="1:14" x14ac:dyDescent="0.25">
      <c r="A273" s="3">
        <v>44778</v>
      </c>
      <c r="C273" t="s">
        <v>2473</v>
      </c>
      <c r="F273" s="16"/>
      <c r="H273" s="2">
        <v>10000</v>
      </c>
      <c r="I273" s="98">
        <f t="shared" si="20"/>
        <v>5296.3600000000006</v>
      </c>
      <c r="J273">
        <f t="shared" si="21"/>
        <v>3703.6399999999994</v>
      </c>
      <c r="N273" s="2">
        <f t="shared" si="22"/>
        <v>20</v>
      </c>
    </row>
    <row r="274" spans="1:14" x14ac:dyDescent="0.25">
      <c r="A274" s="3">
        <v>44778</v>
      </c>
      <c r="F274" s="16"/>
      <c r="G274" s="2">
        <v>4100</v>
      </c>
      <c r="I274" s="98">
        <f t="shared" si="20"/>
        <v>9396.36</v>
      </c>
      <c r="J274">
        <f t="shared" si="21"/>
        <v>-396.36000000000058</v>
      </c>
      <c r="N274" s="2">
        <f t="shared" si="22"/>
        <v>16.399999999999999</v>
      </c>
    </row>
    <row r="275" spans="1:14" x14ac:dyDescent="0.25">
      <c r="A275" s="3">
        <v>44779</v>
      </c>
      <c r="B275" s="11" t="s">
        <v>1163</v>
      </c>
      <c r="C275" t="s">
        <v>2475</v>
      </c>
      <c r="D275" s="58">
        <v>8102305117</v>
      </c>
      <c r="F275" s="16">
        <v>221817176479</v>
      </c>
      <c r="G275" s="2">
        <v>1500</v>
      </c>
      <c r="I275" s="98">
        <f t="shared" si="20"/>
        <v>10896.36</v>
      </c>
      <c r="J275">
        <f t="shared" si="21"/>
        <v>-1896.3600000000006</v>
      </c>
      <c r="N275" s="2">
        <f t="shared" si="22"/>
        <v>6</v>
      </c>
    </row>
    <row r="276" spans="1:14" x14ac:dyDescent="0.25">
      <c r="A276" s="3">
        <v>44781</v>
      </c>
      <c r="B276" s="11" t="s">
        <v>1163</v>
      </c>
      <c r="F276" s="16"/>
      <c r="G276" s="2">
        <v>6500</v>
      </c>
      <c r="I276" s="98">
        <f t="shared" si="20"/>
        <v>17396.36</v>
      </c>
      <c r="J276">
        <f t="shared" si="21"/>
        <v>-8396.36</v>
      </c>
      <c r="N276" s="2">
        <f t="shared" si="22"/>
        <v>20</v>
      </c>
    </row>
    <row r="277" spans="1:14" x14ac:dyDescent="0.25">
      <c r="A277" s="3">
        <v>44781</v>
      </c>
      <c r="B277" s="11" t="s">
        <v>2292</v>
      </c>
      <c r="C277" t="s">
        <v>2473</v>
      </c>
      <c r="F277" s="16"/>
      <c r="H277" s="2">
        <v>10000</v>
      </c>
      <c r="I277" s="98">
        <f t="shared" si="20"/>
        <v>7396.3600000000006</v>
      </c>
      <c r="J277">
        <f t="shared" si="21"/>
        <v>1603.6399999999994</v>
      </c>
      <c r="N277" s="2">
        <f t="shared" si="22"/>
        <v>20</v>
      </c>
    </row>
    <row r="278" spans="1:14" x14ac:dyDescent="0.25">
      <c r="A278" s="3">
        <v>44781</v>
      </c>
      <c r="B278" s="11" t="s">
        <v>2190</v>
      </c>
      <c r="C278" t="s">
        <v>2192</v>
      </c>
      <c r="F278" s="16"/>
      <c r="H278" s="2">
        <v>4200</v>
      </c>
      <c r="I278" s="98">
        <f t="shared" si="20"/>
        <v>3196.3600000000006</v>
      </c>
      <c r="J278">
        <f t="shared" si="21"/>
        <v>5803.6399999999994</v>
      </c>
      <c r="N278" s="2">
        <f t="shared" si="22"/>
        <v>16.8</v>
      </c>
    </row>
    <row r="279" spans="1:14" x14ac:dyDescent="0.25">
      <c r="A279" s="3">
        <v>44781</v>
      </c>
      <c r="B279" s="11" t="s">
        <v>1163</v>
      </c>
      <c r="F279" s="16">
        <v>222017042253</v>
      </c>
      <c r="G279" s="2">
        <v>2100</v>
      </c>
      <c r="I279" s="98">
        <f t="shared" si="20"/>
        <v>5296.3600000000006</v>
      </c>
      <c r="J279">
        <f t="shared" si="21"/>
        <v>3703.6399999999994</v>
      </c>
      <c r="N279" s="2">
        <f t="shared" si="22"/>
        <v>8.4</v>
      </c>
    </row>
    <row r="280" spans="1:14" x14ac:dyDescent="0.25">
      <c r="A280" s="3">
        <v>44781</v>
      </c>
      <c r="B280" s="11" t="s">
        <v>1163</v>
      </c>
      <c r="C280" t="s">
        <v>2476</v>
      </c>
      <c r="D280" s="58">
        <v>7209603651</v>
      </c>
      <c r="F280" s="16"/>
      <c r="G280" s="2">
        <v>8000</v>
      </c>
      <c r="I280" s="98">
        <f t="shared" si="20"/>
        <v>13296.36</v>
      </c>
      <c r="J280">
        <f t="shared" si="21"/>
        <v>-4296.3600000000006</v>
      </c>
      <c r="N280" s="2">
        <f t="shared" si="22"/>
        <v>20</v>
      </c>
    </row>
    <row r="281" spans="1:14" x14ac:dyDescent="0.25">
      <c r="A281" s="3">
        <v>44781</v>
      </c>
      <c r="B281" s="11" t="s">
        <v>1163</v>
      </c>
      <c r="C281" t="s">
        <v>2477</v>
      </c>
      <c r="D281" s="58">
        <v>6205612193</v>
      </c>
      <c r="F281" s="16"/>
      <c r="G281" s="2">
        <v>2800</v>
      </c>
      <c r="I281" s="98">
        <f t="shared" si="20"/>
        <v>16096.36</v>
      </c>
      <c r="J281">
        <f t="shared" ref="J281:J312" si="23">$J$1-I281</f>
        <v>-7096.3600000000006</v>
      </c>
      <c r="N281" s="2">
        <f t="shared" si="22"/>
        <v>11.200000000000001</v>
      </c>
    </row>
    <row r="282" spans="1:14" x14ac:dyDescent="0.25">
      <c r="A282" s="3">
        <v>44781</v>
      </c>
      <c r="B282" s="11" t="s">
        <v>2147</v>
      </c>
      <c r="C282" t="s">
        <v>1282</v>
      </c>
      <c r="F282" s="16"/>
      <c r="H282" s="2">
        <v>5000</v>
      </c>
      <c r="I282" s="98">
        <f t="shared" si="20"/>
        <v>11096.36</v>
      </c>
      <c r="J282">
        <f t="shared" si="23"/>
        <v>-2096.3600000000006</v>
      </c>
      <c r="N282" s="2">
        <f t="shared" ref="N282:N313" si="24">IF((G282+H282)&lt;=5000,(H282+G282)*0.004,20)+IF(E282="Y",25,0)</f>
        <v>20</v>
      </c>
    </row>
    <row r="283" spans="1:14" x14ac:dyDescent="0.25">
      <c r="A283" s="3">
        <v>44782</v>
      </c>
      <c r="B283" s="11" t="s">
        <v>1253</v>
      </c>
      <c r="C283" t="s">
        <v>2478</v>
      </c>
      <c r="F283" s="16">
        <v>222119816001</v>
      </c>
      <c r="G283" s="2">
        <v>8000</v>
      </c>
      <c r="I283" s="98">
        <f t="shared" si="20"/>
        <v>19096.36</v>
      </c>
      <c r="J283">
        <f t="shared" si="23"/>
        <v>-10096.36</v>
      </c>
      <c r="N283" s="2">
        <f t="shared" si="24"/>
        <v>20</v>
      </c>
    </row>
    <row r="284" spans="1:14" x14ac:dyDescent="0.25">
      <c r="A284" s="3">
        <v>44782</v>
      </c>
      <c r="B284" s="11" t="s">
        <v>2479</v>
      </c>
      <c r="C284" t="s">
        <v>2473</v>
      </c>
      <c r="F284" s="16">
        <v>222119820869</v>
      </c>
      <c r="H284" s="2">
        <v>10000</v>
      </c>
      <c r="I284" s="98">
        <f t="shared" si="20"/>
        <v>9096.36</v>
      </c>
      <c r="J284">
        <f t="shared" si="23"/>
        <v>-96.360000000000582</v>
      </c>
      <c r="N284" s="2">
        <f t="shared" si="24"/>
        <v>20</v>
      </c>
    </row>
    <row r="285" spans="1:14" x14ac:dyDescent="0.25">
      <c r="A285" s="3">
        <v>44782</v>
      </c>
      <c r="B285" s="11" t="s">
        <v>2360</v>
      </c>
      <c r="C285" t="s">
        <v>2480</v>
      </c>
      <c r="F285" s="16">
        <v>222119827117</v>
      </c>
      <c r="H285" s="2">
        <v>2000</v>
      </c>
      <c r="I285" s="98">
        <f t="shared" si="20"/>
        <v>7096.3600000000006</v>
      </c>
      <c r="J285">
        <f t="shared" si="23"/>
        <v>1903.6399999999994</v>
      </c>
      <c r="N285" s="2">
        <f t="shared" si="24"/>
        <v>8</v>
      </c>
    </row>
    <row r="286" spans="1:14" x14ac:dyDescent="0.25">
      <c r="A286" s="3">
        <v>44783</v>
      </c>
      <c r="B286" s="11" t="s">
        <v>1163</v>
      </c>
      <c r="F286" s="16"/>
      <c r="G286" s="2">
        <v>2000</v>
      </c>
      <c r="I286" s="98">
        <f t="shared" si="20"/>
        <v>9096.36</v>
      </c>
      <c r="J286">
        <f t="shared" si="23"/>
        <v>-96.360000000000582</v>
      </c>
      <c r="N286" s="2">
        <f t="shared" si="24"/>
        <v>8</v>
      </c>
    </row>
    <row r="287" spans="1:14" x14ac:dyDescent="0.25">
      <c r="A287" s="3">
        <v>44783</v>
      </c>
      <c r="B287" s="11" t="s">
        <v>2481</v>
      </c>
      <c r="C287" t="s">
        <v>2482</v>
      </c>
      <c r="F287" s="16"/>
      <c r="H287" s="2">
        <v>6500</v>
      </c>
      <c r="I287" s="98">
        <f t="shared" ref="I287:I301" si="25">I286+G287-H287</f>
        <v>2596.3600000000006</v>
      </c>
      <c r="J287">
        <f t="shared" si="23"/>
        <v>6403.6399999999994</v>
      </c>
      <c r="N287" s="2">
        <f t="shared" si="24"/>
        <v>20</v>
      </c>
    </row>
    <row r="288" spans="1:14" x14ac:dyDescent="0.25">
      <c r="A288" s="3">
        <v>44783</v>
      </c>
      <c r="B288" s="11" t="s">
        <v>1475</v>
      </c>
      <c r="C288" t="s">
        <v>2483</v>
      </c>
      <c r="D288" s="58">
        <v>9523935388</v>
      </c>
      <c r="F288" s="16">
        <v>222217689829</v>
      </c>
      <c r="G288" s="2">
        <v>6900</v>
      </c>
      <c r="I288" s="98">
        <f t="shared" si="25"/>
        <v>9496.36</v>
      </c>
      <c r="J288">
        <f t="shared" si="23"/>
        <v>-496.36000000000058</v>
      </c>
      <c r="N288" s="2">
        <f t="shared" si="24"/>
        <v>20</v>
      </c>
    </row>
    <row r="289" spans="1:14" x14ac:dyDescent="0.25">
      <c r="A289" s="3">
        <v>44783</v>
      </c>
      <c r="B289" s="11" t="s">
        <v>2292</v>
      </c>
      <c r="F289" s="16"/>
      <c r="H289" s="2">
        <v>9000</v>
      </c>
      <c r="I289" s="98">
        <f t="shared" si="25"/>
        <v>496.36000000000058</v>
      </c>
      <c r="J289">
        <f t="shared" si="23"/>
        <v>8503.64</v>
      </c>
      <c r="N289" s="2">
        <f t="shared" si="24"/>
        <v>20</v>
      </c>
    </row>
    <row r="290" spans="1:14" x14ac:dyDescent="0.25">
      <c r="A290" s="3">
        <v>44783</v>
      </c>
      <c r="B290" s="11" t="s">
        <v>2484</v>
      </c>
      <c r="C290" t="s">
        <v>2485</v>
      </c>
      <c r="F290" s="16">
        <v>222217854483</v>
      </c>
      <c r="G290" s="2">
        <v>5000</v>
      </c>
      <c r="I290" s="98">
        <f t="shared" si="25"/>
        <v>5496.3600000000006</v>
      </c>
      <c r="J290">
        <f t="shared" si="23"/>
        <v>3503.6399999999994</v>
      </c>
      <c r="N290" s="2">
        <f t="shared" si="24"/>
        <v>20</v>
      </c>
    </row>
    <row r="291" spans="1:14" x14ac:dyDescent="0.25">
      <c r="A291" s="3">
        <v>44783</v>
      </c>
      <c r="B291" s="11" t="s">
        <v>2407</v>
      </c>
      <c r="C291" t="s">
        <v>2486</v>
      </c>
      <c r="F291" s="16"/>
      <c r="G291" s="2">
        <v>1000</v>
      </c>
      <c r="I291" s="98">
        <f t="shared" si="25"/>
        <v>6496.3600000000006</v>
      </c>
      <c r="J291">
        <f t="shared" si="23"/>
        <v>2503.6399999999994</v>
      </c>
      <c r="N291" s="2">
        <f t="shared" si="24"/>
        <v>4</v>
      </c>
    </row>
    <row r="292" spans="1:14" x14ac:dyDescent="0.25">
      <c r="A292" s="3">
        <v>44783</v>
      </c>
      <c r="B292" s="11" t="s">
        <v>1253</v>
      </c>
      <c r="F292" s="16">
        <v>222311858945</v>
      </c>
      <c r="G292" s="2">
        <v>1000</v>
      </c>
      <c r="I292" s="98">
        <f t="shared" si="25"/>
        <v>7496.3600000000006</v>
      </c>
      <c r="J292">
        <f t="shared" si="23"/>
        <v>1503.6399999999994</v>
      </c>
      <c r="N292" s="2">
        <f t="shared" si="24"/>
        <v>4</v>
      </c>
    </row>
    <row r="293" spans="1:14" x14ac:dyDescent="0.25">
      <c r="A293" s="3">
        <v>44783</v>
      </c>
      <c r="B293" s="11" t="s">
        <v>1253</v>
      </c>
      <c r="C293" t="s">
        <v>1521</v>
      </c>
      <c r="F293" s="16">
        <v>222316285956</v>
      </c>
      <c r="G293" s="2">
        <v>3000</v>
      </c>
      <c r="I293" s="98">
        <f t="shared" si="25"/>
        <v>10496.36</v>
      </c>
      <c r="J293">
        <f t="shared" si="23"/>
        <v>-1496.3600000000006</v>
      </c>
      <c r="N293" s="2">
        <f t="shared" si="24"/>
        <v>12</v>
      </c>
    </row>
    <row r="294" spans="1:14" x14ac:dyDescent="0.25">
      <c r="A294" s="3">
        <v>44783</v>
      </c>
      <c r="B294" s="11" t="s">
        <v>2365</v>
      </c>
      <c r="C294" t="s">
        <v>2487</v>
      </c>
      <c r="D294" s="58">
        <v>9204215721</v>
      </c>
      <c r="F294" s="16">
        <v>222317314187</v>
      </c>
      <c r="G294" s="2">
        <v>5000</v>
      </c>
      <c r="I294" s="98">
        <f t="shared" si="25"/>
        <v>15496.36</v>
      </c>
      <c r="J294">
        <f t="shared" si="23"/>
        <v>-6496.3600000000006</v>
      </c>
      <c r="N294" s="2">
        <f t="shared" si="24"/>
        <v>20</v>
      </c>
    </row>
    <row r="295" spans="1:14" x14ac:dyDescent="0.25">
      <c r="A295" s="3">
        <v>44783</v>
      </c>
      <c r="B295" s="11" t="s">
        <v>2292</v>
      </c>
      <c r="F295" s="16">
        <v>222317326540</v>
      </c>
      <c r="H295" s="2">
        <v>10000</v>
      </c>
      <c r="I295" s="98">
        <f t="shared" si="25"/>
        <v>5496.3600000000006</v>
      </c>
      <c r="J295">
        <f t="shared" si="23"/>
        <v>3503.6399999999994</v>
      </c>
      <c r="N295" s="2">
        <f t="shared" si="24"/>
        <v>20</v>
      </c>
    </row>
    <row r="296" spans="1:14" x14ac:dyDescent="0.25">
      <c r="A296" s="3">
        <v>44783</v>
      </c>
      <c r="B296" s="11" t="s">
        <v>2247</v>
      </c>
      <c r="C296" t="s">
        <v>2470</v>
      </c>
      <c r="D296" s="58">
        <v>9973890123</v>
      </c>
      <c r="F296" s="16">
        <v>222317503814</v>
      </c>
      <c r="G296" s="2">
        <v>1000</v>
      </c>
      <c r="I296" s="98">
        <f t="shared" si="25"/>
        <v>6496.3600000000006</v>
      </c>
      <c r="J296">
        <f t="shared" si="23"/>
        <v>2503.6399999999994</v>
      </c>
      <c r="N296" s="2">
        <f t="shared" si="24"/>
        <v>4</v>
      </c>
    </row>
    <row r="297" spans="1:14" x14ac:dyDescent="0.25">
      <c r="A297" s="3">
        <v>44783</v>
      </c>
      <c r="B297" s="11" t="s">
        <v>1163</v>
      </c>
      <c r="C297" t="s">
        <v>2488</v>
      </c>
      <c r="D297" s="58">
        <v>9608531099</v>
      </c>
      <c r="F297" s="16">
        <v>222410569476</v>
      </c>
      <c r="G297" s="2">
        <v>8100</v>
      </c>
      <c r="I297" s="98">
        <f t="shared" si="25"/>
        <v>14596.36</v>
      </c>
      <c r="J297">
        <f t="shared" si="23"/>
        <v>-5596.3600000000006</v>
      </c>
      <c r="N297" s="2">
        <f t="shared" si="24"/>
        <v>20</v>
      </c>
    </row>
    <row r="298" spans="1:14" x14ac:dyDescent="0.25">
      <c r="A298" s="3">
        <v>44785</v>
      </c>
      <c r="B298" s="11" t="s">
        <v>2489</v>
      </c>
      <c r="C298" t="s">
        <v>2490</v>
      </c>
      <c r="D298" s="58">
        <v>7209608165</v>
      </c>
      <c r="E298" s="115" t="s">
        <v>16</v>
      </c>
      <c r="F298" s="16">
        <v>222411825113</v>
      </c>
      <c r="H298" s="2">
        <v>100</v>
      </c>
      <c r="I298" s="98">
        <f t="shared" si="25"/>
        <v>14496.36</v>
      </c>
      <c r="J298">
        <f t="shared" si="23"/>
        <v>-5496.3600000000006</v>
      </c>
      <c r="N298" s="2">
        <f t="shared" si="24"/>
        <v>25.4</v>
      </c>
    </row>
    <row r="299" spans="1:14" x14ac:dyDescent="0.25">
      <c r="A299" s="3">
        <v>44785</v>
      </c>
      <c r="B299" s="11" t="s">
        <v>2288</v>
      </c>
      <c r="C299" t="s">
        <v>2002</v>
      </c>
      <c r="F299" s="16"/>
      <c r="G299" s="2">
        <v>3000</v>
      </c>
      <c r="I299" s="98">
        <f t="shared" si="25"/>
        <v>17496.36</v>
      </c>
      <c r="J299">
        <f t="shared" si="23"/>
        <v>-8496.36</v>
      </c>
      <c r="N299" s="2">
        <f t="shared" si="24"/>
        <v>12</v>
      </c>
    </row>
    <row r="300" spans="1:14" x14ac:dyDescent="0.25">
      <c r="A300" s="3">
        <v>44785</v>
      </c>
      <c r="B300" s="11" t="s">
        <v>2349</v>
      </c>
      <c r="C300" t="s">
        <v>1282</v>
      </c>
      <c r="F300" s="16"/>
      <c r="H300" s="2">
        <v>10000</v>
      </c>
      <c r="I300" s="98">
        <f t="shared" si="25"/>
        <v>7496.3600000000006</v>
      </c>
      <c r="J300">
        <f t="shared" si="23"/>
        <v>1503.6399999999994</v>
      </c>
      <c r="N300" s="2">
        <f t="shared" si="24"/>
        <v>20</v>
      </c>
    </row>
    <row r="301" spans="1:14" x14ac:dyDescent="0.25">
      <c r="A301" s="3">
        <v>44785</v>
      </c>
      <c r="B301" s="11" t="s">
        <v>1253</v>
      </c>
      <c r="F301" s="16">
        <v>222416332972</v>
      </c>
      <c r="G301" s="2">
        <v>10000</v>
      </c>
      <c r="I301" s="98">
        <f t="shared" si="25"/>
        <v>17496.36</v>
      </c>
      <c r="J301">
        <f t="shared" si="23"/>
        <v>-8496.36</v>
      </c>
      <c r="N301" s="2">
        <f t="shared" si="24"/>
        <v>20</v>
      </c>
    </row>
    <row r="302" spans="1:14" x14ac:dyDescent="0.25">
      <c r="A302" s="3">
        <v>44785</v>
      </c>
      <c r="B302" s="11" t="s">
        <v>1253</v>
      </c>
      <c r="C302" t="s">
        <v>2473</v>
      </c>
      <c r="F302" s="16"/>
      <c r="H302" s="2">
        <v>10000</v>
      </c>
      <c r="I302" s="98">
        <f>I301+G302-H302</f>
        <v>7496.3600000000006</v>
      </c>
      <c r="J302">
        <f t="shared" si="23"/>
        <v>1503.6399999999994</v>
      </c>
      <c r="N302" s="2">
        <f t="shared" si="24"/>
        <v>20</v>
      </c>
    </row>
    <row r="303" spans="1:14" x14ac:dyDescent="0.25">
      <c r="A303" s="3">
        <v>44785</v>
      </c>
      <c r="B303" s="11" t="s">
        <v>2491</v>
      </c>
      <c r="C303" t="s">
        <v>2492</v>
      </c>
      <c r="E303" s="115" t="s">
        <v>16</v>
      </c>
      <c r="F303" s="16"/>
      <c r="H303" s="2">
        <v>100</v>
      </c>
      <c r="I303" s="98">
        <f>I302+G303-H303</f>
        <v>7396.3600000000006</v>
      </c>
      <c r="J303">
        <f t="shared" si="23"/>
        <v>1603.6399999999994</v>
      </c>
      <c r="N303" s="2">
        <f t="shared" si="24"/>
        <v>25.4</v>
      </c>
    </row>
    <row r="304" spans="1:14" x14ac:dyDescent="0.25">
      <c r="A304" s="3">
        <v>44785</v>
      </c>
      <c r="B304" s="11" t="s">
        <v>1163</v>
      </c>
      <c r="F304" s="16">
        <v>222417565072</v>
      </c>
      <c r="G304" s="2">
        <v>500</v>
      </c>
      <c r="I304" s="98">
        <f>I303+G304-H304</f>
        <v>7896.3600000000006</v>
      </c>
      <c r="J304">
        <f t="shared" si="23"/>
        <v>1103.6399999999994</v>
      </c>
      <c r="N304" s="2">
        <f t="shared" si="24"/>
        <v>2</v>
      </c>
    </row>
    <row r="305" spans="1:14" x14ac:dyDescent="0.25">
      <c r="A305" s="3">
        <v>44785</v>
      </c>
      <c r="B305" s="11" t="s">
        <v>1163</v>
      </c>
      <c r="F305" s="16"/>
      <c r="G305" s="2">
        <v>8000</v>
      </c>
      <c r="I305" s="98">
        <f t="shared" ref="I305:I320" si="26">I304+G305-H305</f>
        <v>15896.36</v>
      </c>
      <c r="J305">
        <f t="shared" si="23"/>
        <v>-6896.3600000000006</v>
      </c>
      <c r="N305" s="2">
        <f t="shared" si="24"/>
        <v>20</v>
      </c>
    </row>
    <row r="306" spans="1:14" x14ac:dyDescent="0.25">
      <c r="A306" s="3">
        <v>44785</v>
      </c>
      <c r="B306" s="11" t="s">
        <v>1260</v>
      </c>
      <c r="C306" t="s">
        <v>1256</v>
      </c>
      <c r="F306" s="16"/>
      <c r="H306" s="2">
        <v>8000</v>
      </c>
      <c r="I306" s="98">
        <f t="shared" si="26"/>
        <v>7896.3600000000006</v>
      </c>
      <c r="J306">
        <f t="shared" si="23"/>
        <v>1103.6399999999994</v>
      </c>
      <c r="N306" s="2">
        <f t="shared" si="24"/>
        <v>20</v>
      </c>
    </row>
    <row r="307" spans="1:14" x14ac:dyDescent="0.25">
      <c r="A307" s="3">
        <v>44787</v>
      </c>
      <c r="B307" s="11" t="s">
        <v>2481</v>
      </c>
      <c r="C307" t="s">
        <v>2493</v>
      </c>
      <c r="F307" s="16">
        <v>222620822011</v>
      </c>
      <c r="H307" s="2">
        <v>7000</v>
      </c>
      <c r="I307" s="98">
        <f t="shared" si="26"/>
        <v>896.36000000000058</v>
      </c>
      <c r="J307">
        <f t="shared" si="23"/>
        <v>8103.6399999999994</v>
      </c>
      <c r="N307" s="2">
        <f t="shared" si="24"/>
        <v>20</v>
      </c>
    </row>
    <row r="308" spans="1:14" x14ac:dyDescent="0.25">
      <c r="A308" s="3">
        <v>44789</v>
      </c>
      <c r="B308" s="11" t="s">
        <v>2500</v>
      </c>
      <c r="C308" t="s">
        <v>2501</v>
      </c>
      <c r="E308" s="115" t="s">
        <v>16</v>
      </c>
      <c r="F308" s="16">
        <v>222812133047</v>
      </c>
      <c r="H308" s="2">
        <v>350</v>
      </c>
      <c r="I308" s="98">
        <f t="shared" si="26"/>
        <v>546.36000000000058</v>
      </c>
      <c r="J308">
        <f t="shared" si="23"/>
        <v>8453.64</v>
      </c>
      <c r="N308" s="2">
        <f t="shared" si="24"/>
        <v>26.4</v>
      </c>
    </row>
    <row r="309" spans="1:14" x14ac:dyDescent="0.25">
      <c r="A309" s="3">
        <v>44790</v>
      </c>
      <c r="B309" s="11" t="s">
        <v>1475</v>
      </c>
      <c r="C309" t="s">
        <v>2507</v>
      </c>
      <c r="F309" s="16">
        <v>222912876746</v>
      </c>
      <c r="G309" s="2">
        <v>500</v>
      </c>
      <c r="I309" s="98">
        <f t="shared" si="26"/>
        <v>1046.3600000000006</v>
      </c>
      <c r="J309">
        <f t="shared" si="23"/>
        <v>7953.6399999999994</v>
      </c>
      <c r="N309" s="2">
        <f t="shared" si="24"/>
        <v>2</v>
      </c>
    </row>
    <row r="310" spans="1:14" x14ac:dyDescent="0.25">
      <c r="A310" s="3">
        <v>44790</v>
      </c>
      <c r="B310" s="11" t="s">
        <v>1163</v>
      </c>
      <c r="C310" t="s">
        <v>2460</v>
      </c>
      <c r="D310" s="58">
        <v>9110951992</v>
      </c>
      <c r="F310" s="16">
        <v>222913399034</v>
      </c>
      <c r="G310" s="2">
        <v>10000</v>
      </c>
      <c r="I310" s="98">
        <f t="shared" si="26"/>
        <v>11046.36</v>
      </c>
      <c r="J310">
        <f t="shared" si="23"/>
        <v>-2046.3600000000006</v>
      </c>
      <c r="N310" s="2">
        <f t="shared" si="24"/>
        <v>20</v>
      </c>
    </row>
    <row r="311" spans="1:14" x14ac:dyDescent="0.25">
      <c r="A311" s="3">
        <v>44790</v>
      </c>
      <c r="B311" s="11" t="s">
        <v>2511</v>
      </c>
      <c r="F311" s="16"/>
      <c r="G311" s="2">
        <v>5000</v>
      </c>
      <c r="I311" s="98">
        <f t="shared" si="26"/>
        <v>16046.36</v>
      </c>
      <c r="J311">
        <f t="shared" si="23"/>
        <v>-7046.3600000000006</v>
      </c>
      <c r="N311" s="2">
        <f t="shared" si="24"/>
        <v>20</v>
      </c>
    </row>
    <row r="312" spans="1:14" x14ac:dyDescent="0.25">
      <c r="A312" s="3">
        <v>44790</v>
      </c>
      <c r="B312" s="11" t="s">
        <v>2144</v>
      </c>
      <c r="F312" s="16"/>
      <c r="H312" s="2">
        <v>10000</v>
      </c>
      <c r="I312" s="98">
        <f t="shared" si="26"/>
        <v>6046.3600000000006</v>
      </c>
      <c r="J312">
        <f t="shared" si="23"/>
        <v>2953.6399999999994</v>
      </c>
      <c r="N312" s="2">
        <f t="shared" si="24"/>
        <v>20</v>
      </c>
    </row>
    <row r="313" spans="1:14" x14ac:dyDescent="0.25">
      <c r="A313" s="3">
        <v>44791</v>
      </c>
      <c r="B313" s="11" t="s">
        <v>1475</v>
      </c>
      <c r="C313" t="s">
        <v>2512</v>
      </c>
      <c r="D313" s="58">
        <v>8797783108</v>
      </c>
      <c r="F313" s="16">
        <v>223017514130</v>
      </c>
      <c r="G313" s="2">
        <v>1000</v>
      </c>
      <c r="I313" s="98">
        <f t="shared" si="26"/>
        <v>7046.3600000000006</v>
      </c>
      <c r="J313">
        <f t="shared" ref="J313:J344" si="27">$J$1-I313</f>
        <v>1953.6399999999994</v>
      </c>
      <c r="N313" s="2">
        <f t="shared" si="24"/>
        <v>4</v>
      </c>
    </row>
    <row r="314" spans="1:14" x14ac:dyDescent="0.25">
      <c r="A314" s="3">
        <v>44792</v>
      </c>
      <c r="B314" s="11" t="s">
        <v>2247</v>
      </c>
      <c r="C314" t="s">
        <v>2513</v>
      </c>
      <c r="D314" s="58">
        <v>9905321988</v>
      </c>
      <c r="F314" s="16">
        <v>223111958949</v>
      </c>
      <c r="G314" s="2">
        <v>1000</v>
      </c>
      <c r="I314" s="98">
        <f t="shared" si="26"/>
        <v>8046.3600000000006</v>
      </c>
      <c r="J314">
        <f t="shared" si="27"/>
        <v>953.63999999999942</v>
      </c>
      <c r="N314" s="2">
        <f t="shared" ref="N314:N345" si="28">IF((G314+H314)&lt;=5000,(H314+G314)*0.004,20)+IF(E314="Y",25,0)</f>
        <v>4</v>
      </c>
    </row>
    <row r="315" spans="1:14" x14ac:dyDescent="0.25">
      <c r="A315" s="3">
        <v>44793</v>
      </c>
      <c r="B315" s="11" t="s">
        <v>2347</v>
      </c>
      <c r="C315" t="s">
        <v>2466</v>
      </c>
      <c r="D315" s="58">
        <v>6201399787</v>
      </c>
      <c r="F315" s="16">
        <v>223212433584</v>
      </c>
      <c r="G315" s="2">
        <v>8000</v>
      </c>
      <c r="I315" s="98">
        <f t="shared" si="26"/>
        <v>16046.36</v>
      </c>
      <c r="J315">
        <f t="shared" si="27"/>
        <v>-7046.3600000000006</v>
      </c>
      <c r="N315" s="2">
        <f t="shared" si="28"/>
        <v>20</v>
      </c>
    </row>
    <row r="316" spans="1:14" x14ac:dyDescent="0.25">
      <c r="A316" s="3">
        <v>44793</v>
      </c>
      <c r="B316" s="11" t="s">
        <v>2144</v>
      </c>
      <c r="C316" t="s">
        <v>1282</v>
      </c>
      <c r="F316" s="16"/>
      <c r="H316" s="2">
        <v>10000</v>
      </c>
      <c r="I316" s="98">
        <f t="shared" si="26"/>
        <v>6046.3600000000006</v>
      </c>
      <c r="J316">
        <f t="shared" si="27"/>
        <v>2953.6399999999994</v>
      </c>
      <c r="N316" s="2">
        <f t="shared" si="28"/>
        <v>20</v>
      </c>
    </row>
    <row r="317" spans="1:14" x14ac:dyDescent="0.25">
      <c r="A317" s="3">
        <v>44793</v>
      </c>
      <c r="B317" s="11" t="s">
        <v>1163</v>
      </c>
      <c r="C317" t="s">
        <v>2517</v>
      </c>
      <c r="D317" s="58">
        <v>9931772395</v>
      </c>
      <c r="F317" s="16">
        <v>223218177254</v>
      </c>
      <c r="G317" s="2">
        <v>1000</v>
      </c>
      <c r="I317" s="98">
        <f t="shared" si="26"/>
        <v>7046.3600000000006</v>
      </c>
      <c r="J317">
        <f t="shared" si="27"/>
        <v>1953.6399999999994</v>
      </c>
      <c r="N317" s="2">
        <f t="shared" si="28"/>
        <v>4</v>
      </c>
    </row>
    <row r="318" spans="1:14" x14ac:dyDescent="0.25">
      <c r="A318" s="3">
        <v>44793</v>
      </c>
      <c r="B318" s="11" t="s">
        <v>2247</v>
      </c>
      <c r="C318" t="s">
        <v>2518</v>
      </c>
      <c r="D318" s="58">
        <v>7320859285</v>
      </c>
      <c r="F318" s="16">
        <v>223218191319</v>
      </c>
      <c r="G318" s="2">
        <v>3000</v>
      </c>
      <c r="I318" s="98">
        <f t="shared" si="26"/>
        <v>10046.36</v>
      </c>
      <c r="J318">
        <f t="shared" si="27"/>
        <v>-1046.3600000000006</v>
      </c>
      <c r="N318" s="2">
        <f t="shared" si="28"/>
        <v>12</v>
      </c>
    </row>
    <row r="319" spans="1:14" x14ac:dyDescent="0.25">
      <c r="A319" s="3">
        <v>44793</v>
      </c>
      <c r="B319" s="11" t="s">
        <v>2277</v>
      </c>
      <c r="C319" t="s">
        <v>2519</v>
      </c>
      <c r="D319" s="58">
        <v>7739221846</v>
      </c>
      <c r="F319" s="16">
        <v>223218227289</v>
      </c>
      <c r="G319" s="2">
        <v>10000</v>
      </c>
      <c r="I319" s="98">
        <f t="shared" si="26"/>
        <v>20046.36</v>
      </c>
      <c r="J319">
        <f t="shared" si="27"/>
        <v>-11046.36</v>
      </c>
      <c r="N319" s="2">
        <f t="shared" si="28"/>
        <v>20</v>
      </c>
    </row>
    <row r="320" spans="1:14" x14ac:dyDescent="0.25">
      <c r="A320" s="3">
        <v>44793</v>
      </c>
      <c r="B320" s="11" t="s">
        <v>1163</v>
      </c>
      <c r="F320" s="16">
        <v>223218243584</v>
      </c>
      <c r="G320" s="2">
        <v>2000</v>
      </c>
      <c r="I320" s="98">
        <f t="shared" si="26"/>
        <v>22046.36</v>
      </c>
      <c r="J320">
        <f t="shared" si="27"/>
        <v>-13046.36</v>
      </c>
      <c r="N320" s="2">
        <f t="shared" si="28"/>
        <v>8</v>
      </c>
    </row>
    <row r="321" spans="1:17" x14ac:dyDescent="0.25">
      <c r="A321" s="3"/>
      <c r="C321" s="8" t="s">
        <v>2522</v>
      </c>
      <c r="F321" s="16"/>
      <c r="G321" s="82">
        <v>809</v>
      </c>
      <c r="I321" s="98">
        <f t="shared" ref="I321:I346" si="29">I320+G321-H321</f>
        <v>22855.360000000001</v>
      </c>
      <c r="J321">
        <f t="shared" si="27"/>
        <v>-13855.36</v>
      </c>
      <c r="N321" s="2">
        <f t="shared" si="28"/>
        <v>3.2360000000000002</v>
      </c>
    </row>
    <row r="322" spans="1:17" s="33" customFormat="1" x14ac:dyDescent="0.25">
      <c r="A322" s="3">
        <v>44794</v>
      </c>
      <c r="B322" s="146" t="s">
        <v>2520</v>
      </c>
      <c r="C322" s="34" t="s">
        <v>2521</v>
      </c>
      <c r="D322" s="129"/>
      <c r="E322" s="118"/>
      <c r="F322" s="16">
        <v>223317787229</v>
      </c>
      <c r="G322" s="54"/>
      <c r="H322" s="54">
        <v>500</v>
      </c>
      <c r="I322" s="98">
        <f t="shared" si="29"/>
        <v>22355.360000000001</v>
      </c>
      <c r="J322">
        <f t="shared" si="27"/>
        <v>-13355.36</v>
      </c>
      <c r="N322" s="2">
        <f t="shared" si="28"/>
        <v>2</v>
      </c>
    </row>
    <row r="323" spans="1:17" x14ac:dyDescent="0.25">
      <c r="A323" s="3">
        <v>44794</v>
      </c>
      <c r="B323" s="11" t="s">
        <v>2144</v>
      </c>
      <c r="C323" t="s">
        <v>1282</v>
      </c>
      <c r="F323" s="16"/>
      <c r="H323" s="2">
        <v>10000</v>
      </c>
      <c r="I323" s="98">
        <f t="shared" si="29"/>
        <v>12355.36</v>
      </c>
      <c r="J323">
        <f t="shared" si="27"/>
        <v>-3355.3600000000006</v>
      </c>
      <c r="N323" s="2">
        <f t="shared" si="28"/>
        <v>20</v>
      </c>
      <c r="Q323" s="99"/>
    </row>
    <row r="324" spans="1:17" x14ac:dyDescent="0.25">
      <c r="A324" s="3">
        <v>44794</v>
      </c>
      <c r="B324" s="11" t="s">
        <v>2277</v>
      </c>
      <c r="C324" t="s">
        <v>2519</v>
      </c>
      <c r="D324" s="58">
        <v>7739221846</v>
      </c>
      <c r="F324" s="16">
        <v>223317935427</v>
      </c>
      <c r="G324" s="2">
        <v>6000</v>
      </c>
      <c r="I324" s="98">
        <f t="shared" si="29"/>
        <v>18355.36</v>
      </c>
      <c r="J324">
        <f t="shared" si="27"/>
        <v>-9355.36</v>
      </c>
      <c r="N324" s="2">
        <f t="shared" si="28"/>
        <v>20</v>
      </c>
      <c r="Q324" s="99"/>
    </row>
    <row r="325" spans="1:17" x14ac:dyDescent="0.25">
      <c r="A325" s="3">
        <v>44794</v>
      </c>
      <c r="B325" s="11" t="s">
        <v>2257</v>
      </c>
      <c r="C325" t="s">
        <v>2256</v>
      </c>
      <c r="F325" s="16"/>
      <c r="G325" s="2">
        <v>2000</v>
      </c>
      <c r="I325" s="98">
        <f t="shared" si="29"/>
        <v>20355.36</v>
      </c>
      <c r="J325">
        <f t="shared" si="27"/>
        <v>-11355.36</v>
      </c>
      <c r="N325" s="2">
        <f t="shared" si="28"/>
        <v>8</v>
      </c>
      <c r="Q325" s="99"/>
    </row>
    <row r="326" spans="1:17" x14ac:dyDescent="0.25">
      <c r="A326" s="3">
        <v>44795</v>
      </c>
      <c r="B326" s="11" t="s">
        <v>2395</v>
      </c>
      <c r="C326" t="s">
        <v>635</v>
      </c>
      <c r="F326" s="16">
        <v>223409932874</v>
      </c>
      <c r="G326" s="2">
        <v>600</v>
      </c>
      <c r="I326" s="98">
        <f t="shared" si="29"/>
        <v>20955.36</v>
      </c>
      <c r="J326">
        <f t="shared" si="27"/>
        <v>-11955.36</v>
      </c>
      <c r="N326" s="2">
        <f t="shared" si="28"/>
        <v>2.4</v>
      </c>
      <c r="Q326" s="99"/>
    </row>
    <row r="327" spans="1:17" x14ac:dyDescent="0.25">
      <c r="A327" s="3">
        <v>44795</v>
      </c>
      <c r="B327" s="11" t="s">
        <v>1475</v>
      </c>
      <c r="F327" s="16">
        <v>223411664217</v>
      </c>
      <c r="G327" s="2">
        <v>1000</v>
      </c>
      <c r="I327" s="98">
        <f t="shared" si="29"/>
        <v>21955.360000000001</v>
      </c>
      <c r="J327">
        <f t="shared" si="27"/>
        <v>-12955.36</v>
      </c>
      <c r="N327" s="2">
        <f t="shared" si="28"/>
        <v>4</v>
      </c>
      <c r="Q327" s="99"/>
    </row>
    <row r="328" spans="1:17" x14ac:dyDescent="0.25">
      <c r="A328" s="3">
        <v>44795</v>
      </c>
      <c r="B328" s="11" t="s">
        <v>2144</v>
      </c>
      <c r="C328" t="s">
        <v>1282</v>
      </c>
      <c r="F328" s="16"/>
      <c r="H328" s="2">
        <v>10000</v>
      </c>
      <c r="I328" s="98">
        <f t="shared" si="29"/>
        <v>11955.36</v>
      </c>
      <c r="J328">
        <f t="shared" si="27"/>
        <v>-2955.3600000000006</v>
      </c>
      <c r="N328" s="2">
        <f t="shared" si="28"/>
        <v>20</v>
      </c>
      <c r="Q328" s="99"/>
    </row>
    <row r="329" spans="1:17" x14ac:dyDescent="0.25">
      <c r="A329" s="3">
        <v>44795</v>
      </c>
      <c r="B329" s="11" t="s">
        <v>2523</v>
      </c>
      <c r="C329" t="s">
        <v>2524</v>
      </c>
      <c r="E329" s="115" t="s">
        <v>16</v>
      </c>
      <c r="F329" s="16">
        <v>223417879494</v>
      </c>
      <c r="H329" s="2">
        <v>100</v>
      </c>
      <c r="I329" s="98">
        <f t="shared" si="29"/>
        <v>11855.36</v>
      </c>
      <c r="J329">
        <f t="shared" si="27"/>
        <v>-2855.3600000000006</v>
      </c>
      <c r="N329" s="2">
        <f t="shared" si="28"/>
        <v>25.4</v>
      </c>
      <c r="Q329" s="99"/>
    </row>
    <row r="330" spans="1:17" x14ac:dyDescent="0.25">
      <c r="A330" s="3">
        <v>44795</v>
      </c>
      <c r="B330" s="11" t="s">
        <v>2191</v>
      </c>
      <c r="C330" t="s">
        <v>2525</v>
      </c>
      <c r="F330" s="16">
        <v>223417891576</v>
      </c>
      <c r="H330" s="2">
        <v>500</v>
      </c>
      <c r="I330" s="98">
        <f t="shared" si="29"/>
        <v>11355.36</v>
      </c>
      <c r="J330">
        <f t="shared" si="27"/>
        <v>-2355.3600000000006</v>
      </c>
      <c r="N330" s="2">
        <f t="shared" si="28"/>
        <v>2</v>
      </c>
      <c r="Q330" s="99"/>
    </row>
    <row r="331" spans="1:17" x14ac:dyDescent="0.25">
      <c r="A331" s="3">
        <v>44795</v>
      </c>
      <c r="B331" s="11" t="s">
        <v>2527</v>
      </c>
      <c r="E331" s="115" t="s">
        <v>16</v>
      </c>
      <c r="F331" s="16"/>
      <c r="H331" s="2">
        <v>100</v>
      </c>
      <c r="I331" s="98">
        <f t="shared" si="29"/>
        <v>11255.36</v>
      </c>
      <c r="J331">
        <f t="shared" si="27"/>
        <v>-2255.3600000000006</v>
      </c>
      <c r="N331" s="2">
        <f t="shared" si="28"/>
        <v>25.4</v>
      </c>
      <c r="Q331" s="99"/>
    </row>
    <row r="332" spans="1:17" x14ac:dyDescent="0.25">
      <c r="A332" s="3">
        <v>44795</v>
      </c>
      <c r="B332" s="11" t="s">
        <v>2528</v>
      </c>
      <c r="C332" t="s">
        <v>2212</v>
      </c>
      <c r="F332" s="16">
        <v>223418415040</v>
      </c>
      <c r="H332" s="2">
        <v>1000</v>
      </c>
      <c r="I332" s="98">
        <f t="shared" si="29"/>
        <v>10255.36</v>
      </c>
      <c r="J332">
        <f t="shared" si="27"/>
        <v>-1255.3600000000006</v>
      </c>
      <c r="N332" s="2">
        <f t="shared" si="28"/>
        <v>4</v>
      </c>
      <c r="Q332" s="99"/>
    </row>
    <row r="333" spans="1:17" x14ac:dyDescent="0.25">
      <c r="A333" s="3">
        <v>44796</v>
      </c>
      <c r="B333" s="11" t="s">
        <v>1163</v>
      </c>
      <c r="C333" t="s">
        <v>2530</v>
      </c>
      <c r="F333" s="16">
        <v>223510339263</v>
      </c>
      <c r="G333" s="2">
        <v>2000</v>
      </c>
      <c r="I333" s="98">
        <f t="shared" si="29"/>
        <v>12255.36</v>
      </c>
      <c r="J333">
        <f t="shared" si="27"/>
        <v>-3255.3600000000006</v>
      </c>
      <c r="N333" s="2">
        <f t="shared" si="28"/>
        <v>8</v>
      </c>
      <c r="Q333" s="99"/>
    </row>
    <row r="334" spans="1:17" x14ac:dyDescent="0.25">
      <c r="A334" s="3">
        <v>44796</v>
      </c>
      <c r="B334" s="11" t="s">
        <v>1253</v>
      </c>
      <c r="F334" s="16">
        <v>223512397307</v>
      </c>
      <c r="G334" s="2">
        <v>1200</v>
      </c>
      <c r="I334" s="98">
        <f t="shared" si="29"/>
        <v>13455.36</v>
      </c>
      <c r="J334">
        <f t="shared" si="27"/>
        <v>-4455.3600000000006</v>
      </c>
      <c r="N334" s="2">
        <f t="shared" si="28"/>
        <v>4.8</v>
      </c>
      <c r="Q334" s="99"/>
    </row>
    <row r="335" spans="1:17" x14ac:dyDescent="0.25">
      <c r="A335" s="3">
        <v>44796</v>
      </c>
      <c r="B335" s="11" t="s">
        <v>1253</v>
      </c>
      <c r="C335" t="s">
        <v>2144</v>
      </c>
      <c r="F335" s="16"/>
      <c r="H335" s="2">
        <v>10000</v>
      </c>
      <c r="I335" s="98">
        <f t="shared" si="29"/>
        <v>3455.3600000000006</v>
      </c>
      <c r="J335">
        <f t="shared" si="27"/>
        <v>5544.6399999999994</v>
      </c>
      <c r="N335" s="2">
        <f t="shared" si="28"/>
        <v>20</v>
      </c>
      <c r="Q335" s="99"/>
    </row>
    <row r="336" spans="1:17" x14ac:dyDescent="0.25">
      <c r="A336" s="3">
        <v>44796</v>
      </c>
      <c r="B336" s="11" t="s">
        <v>2531</v>
      </c>
      <c r="C336" t="s">
        <v>2532</v>
      </c>
      <c r="D336" s="58">
        <v>7209975612</v>
      </c>
      <c r="E336" s="115" t="s">
        <v>16</v>
      </c>
      <c r="F336" s="16">
        <v>223514813418</v>
      </c>
      <c r="H336" s="2">
        <v>500</v>
      </c>
      <c r="I336" s="98">
        <f t="shared" si="29"/>
        <v>2955.3600000000006</v>
      </c>
      <c r="J336">
        <f t="shared" si="27"/>
        <v>6044.6399999999994</v>
      </c>
      <c r="N336" s="2">
        <f t="shared" si="28"/>
        <v>27</v>
      </c>
      <c r="Q336" s="99"/>
    </row>
    <row r="337" spans="1:17" x14ac:dyDescent="0.25">
      <c r="A337" s="3">
        <v>44796</v>
      </c>
      <c r="B337" s="11" t="s">
        <v>1163</v>
      </c>
      <c r="C337" t="s">
        <v>2538</v>
      </c>
      <c r="D337" s="58">
        <v>7209603651</v>
      </c>
      <c r="F337" s="16">
        <v>223517022944</v>
      </c>
      <c r="G337" s="2">
        <v>1000</v>
      </c>
      <c r="I337" s="98">
        <f t="shared" si="29"/>
        <v>3955.3600000000006</v>
      </c>
      <c r="J337">
        <f t="shared" si="27"/>
        <v>5044.6399999999994</v>
      </c>
      <c r="N337" s="2">
        <f t="shared" si="28"/>
        <v>4</v>
      </c>
      <c r="Q337" s="99"/>
    </row>
    <row r="338" spans="1:17" x14ac:dyDescent="0.25">
      <c r="A338" s="3">
        <v>44796</v>
      </c>
      <c r="B338" s="11" t="s">
        <v>1163</v>
      </c>
      <c r="C338" t="s">
        <v>2488</v>
      </c>
      <c r="F338" s="16">
        <v>223519341629</v>
      </c>
      <c r="G338" s="2">
        <v>3000</v>
      </c>
      <c r="I338" s="98">
        <f t="shared" si="29"/>
        <v>6955.3600000000006</v>
      </c>
      <c r="J338">
        <f t="shared" si="27"/>
        <v>2044.6399999999994</v>
      </c>
      <c r="N338" s="2">
        <f t="shared" si="28"/>
        <v>12</v>
      </c>
      <c r="Q338" s="99"/>
    </row>
    <row r="339" spans="1:17" x14ac:dyDescent="0.25">
      <c r="A339" s="3">
        <v>44796</v>
      </c>
      <c r="B339" s="11" t="s">
        <v>2481</v>
      </c>
      <c r="C339" t="s">
        <v>2482</v>
      </c>
      <c r="F339" s="16"/>
      <c r="H339" s="2">
        <v>5000</v>
      </c>
      <c r="I339" s="98">
        <f t="shared" si="29"/>
        <v>1955.3600000000006</v>
      </c>
      <c r="J339">
        <f t="shared" si="27"/>
        <v>7044.6399999999994</v>
      </c>
      <c r="N339" s="2">
        <f t="shared" si="28"/>
        <v>20</v>
      </c>
      <c r="Q339" s="99"/>
    </row>
    <row r="340" spans="1:17" x14ac:dyDescent="0.25">
      <c r="A340" s="3">
        <v>44797</v>
      </c>
      <c r="B340" s="11" t="s">
        <v>1253</v>
      </c>
      <c r="C340" t="s">
        <v>2539</v>
      </c>
      <c r="F340" s="16">
        <v>223609858110</v>
      </c>
      <c r="G340" s="2">
        <v>1400</v>
      </c>
      <c r="I340" s="98">
        <f t="shared" si="29"/>
        <v>3355.3600000000006</v>
      </c>
      <c r="J340">
        <f t="shared" si="27"/>
        <v>5644.6399999999994</v>
      </c>
      <c r="N340" s="2">
        <f t="shared" si="28"/>
        <v>5.6000000000000005</v>
      </c>
      <c r="Q340" s="99"/>
    </row>
    <row r="341" spans="1:17" x14ac:dyDescent="0.25">
      <c r="A341" s="3">
        <v>44797</v>
      </c>
      <c r="B341" s="11" t="s">
        <v>2277</v>
      </c>
      <c r="C341" t="s">
        <v>2540</v>
      </c>
      <c r="D341" s="58">
        <v>7739221846</v>
      </c>
      <c r="F341" s="16">
        <v>223618086654</v>
      </c>
      <c r="G341" s="2">
        <v>10000</v>
      </c>
      <c r="I341" s="98">
        <f t="shared" si="29"/>
        <v>13355.36</v>
      </c>
      <c r="J341">
        <f t="shared" si="27"/>
        <v>-4355.3600000000006</v>
      </c>
      <c r="N341" s="2">
        <f t="shared" si="28"/>
        <v>20</v>
      </c>
      <c r="Q341" s="99"/>
    </row>
    <row r="342" spans="1:17" x14ac:dyDescent="0.25">
      <c r="A342" s="3">
        <v>44797</v>
      </c>
      <c r="B342" s="11" t="s">
        <v>2144</v>
      </c>
      <c r="C342" t="s">
        <v>1282</v>
      </c>
      <c r="F342" s="16"/>
      <c r="H342" s="2">
        <v>10000</v>
      </c>
      <c r="I342" s="98">
        <f t="shared" si="29"/>
        <v>3355.3600000000006</v>
      </c>
      <c r="J342">
        <f t="shared" si="27"/>
        <v>5644.6399999999994</v>
      </c>
      <c r="N342" s="2">
        <f t="shared" si="28"/>
        <v>20</v>
      </c>
      <c r="Q342" s="99"/>
    </row>
    <row r="343" spans="1:17" x14ac:dyDescent="0.25">
      <c r="A343" s="3">
        <v>44798</v>
      </c>
      <c r="B343" s="11" t="s">
        <v>2541</v>
      </c>
      <c r="C343" t="s">
        <v>2542</v>
      </c>
      <c r="E343" s="115" t="s">
        <v>16</v>
      </c>
      <c r="F343" s="16">
        <v>223711427883</v>
      </c>
      <c r="H343" s="2">
        <v>200</v>
      </c>
      <c r="I343" s="98">
        <f t="shared" si="29"/>
        <v>3155.3600000000006</v>
      </c>
      <c r="J343">
        <f t="shared" si="27"/>
        <v>5844.6399999999994</v>
      </c>
      <c r="N343" s="2">
        <f t="shared" si="28"/>
        <v>25.8</v>
      </c>
      <c r="Q343" s="99"/>
    </row>
    <row r="344" spans="1:17" x14ac:dyDescent="0.25">
      <c r="A344" s="3">
        <v>44799</v>
      </c>
      <c r="B344" s="11" t="s">
        <v>1475</v>
      </c>
      <c r="C344" t="s">
        <v>2512</v>
      </c>
      <c r="D344" s="58">
        <v>8797783108</v>
      </c>
      <c r="F344" s="16">
        <v>223811444445</v>
      </c>
      <c r="G344" s="2">
        <v>2500</v>
      </c>
      <c r="I344" s="98">
        <f t="shared" si="29"/>
        <v>5655.3600000000006</v>
      </c>
      <c r="J344">
        <f t="shared" si="27"/>
        <v>3344.6399999999994</v>
      </c>
      <c r="N344" s="2">
        <f t="shared" si="28"/>
        <v>10</v>
      </c>
      <c r="Q344" s="99"/>
    </row>
    <row r="345" spans="1:17" x14ac:dyDescent="0.25">
      <c r="A345" s="3">
        <v>44799</v>
      </c>
      <c r="B345" s="11" t="s">
        <v>2552</v>
      </c>
      <c r="C345" t="s">
        <v>2553</v>
      </c>
      <c r="E345" s="115" t="s">
        <v>16</v>
      </c>
      <c r="F345" s="16">
        <v>223811478506</v>
      </c>
      <c r="H345" s="2">
        <v>200</v>
      </c>
      <c r="I345" s="98">
        <f t="shared" si="29"/>
        <v>5455.3600000000006</v>
      </c>
      <c r="J345">
        <f t="shared" ref="J345:J368" si="30">$J$1-I345</f>
        <v>3544.6399999999994</v>
      </c>
      <c r="N345" s="2">
        <f t="shared" si="28"/>
        <v>25.8</v>
      </c>
      <c r="Q345" s="99"/>
    </row>
    <row r="346" spans="1:17" x14ac:dyDescent="0.25">
      <c r="A346" s="3">
        <v>44799</v>
      </c>
      <c r="B346" s="11" t="s">
        <v>1253</v>
      </c>
      <c r="C346" t="s">
        <v>2196</v>
      </c>
      <c r="F346" s="16"/>
      <c r="G346" s="2">
        <v>2000</v>
      </c>
      <c r="I346" s="98">
        <f t="shared" si="29"/>
        <v>7455.3600000000006</v>
      </c>
      <c r="J346">
        <f t="shared" si="30"/>
        <v>1544.6399999999994</v>
      </c>
      <c r="N346" s="2">
        <f t="shared" ref="N346:N368" si="31">IF((G346+H346)&lt;=5000,(H346+G346)*0.004,20)+IF(E346="Y",25,0)</f>
        <v>8</v>
      </c>
      <c r="Q346" s="99"/>
    </row>
    <row r="347" spans="1:17" x14ac:dyDescent="0.25">
      <c r="A347" s="3">
        <v>44799</v>
      </c>
      <c r="B347" s="11" t="s">
        <v>2559</v>
      </c>
      <c r="C347" t="s">
        <v>2556</v>
      </c>
      <c r="D347" s="58">
        <v>7549341547</v>
      </c>
      <c r="E347" s="115" t="s">
        <v>16</v>
      </c>
      <c r="F347" s="16">
        <v>223813313659</v>
      </c>
      <c r="H347" s="2">
        <v>100</v>
      </c>
      <c r="I347" s="98">
        <f t="shared" ref="I347:I356" si="32">I346+G347-H347</f>
        <v>7355.3600000000006</v>
      </c>
      <c r="J347">
        <f t="shared" si="30"/>
        <v>1644.6399999999994</v>
      </c>
      <c r="N347" s="2">
        <f t="shared" si="31"/>
        <v>25.4</v>
      </c>
      <c r="Q347" s="99"/>
    </row>
    <row r="348" spans="1:17" x14ac:dyDescent="0.25">
      <c r="A348" s="3">
        <v>44799</v>
      </c>
      <c r="B348" s="11" t="s">
        <v>2570</v>
      </c>
      <c r="C348" t="s">
        <v>2565</v>
      </c>
      <c r="E348" s="115" t="s">
        <v>16</v>
      </c>
      <c r="F348" s="16"/>
      <c r="H348" s="2">
        <v>500</v>
      </c>
      <c r="I348" s="98">
        <f t="shared" si="32"/>
        <v>6855.3600000000006</v>
      </c>
      <c r="J348">
        <f t="shared" si="30"/>
        <v>2144.6399999999994</v>
      </c>
      <c r="N348" s="2">
        <f t="shared" si="31"/>
        <v>27</v>
      </c>
      <c r="Q348" s="99"/>
    </row>
    <row r="349" spans="1:17" x14ac:dyDescent="0.25">
      <c r="A349" s="3">
        <v>44800</v>
      </c>
      <c r="B349" s="11" t="s">
        <v>2568</v>
      </c>
      <c r="C349" t="s">
        <v>2569</v>
      </c>
      <c r="D349" s="58">
        <v>7488699236</v>
      </c>
      <c r="F349" s="16"/>
      <c r="H349" s="2">
        <v>1000</v>
      </c>
      <c r="I349" s="98">
        <f t="shared" si="32"/>
        <v>5855.3600000000006</v>
      </c>
      <c r="J349">
        <f t="shared" si="30"/>
        <v>3144.6399999999994</v>
      </c>
      <c r="N349" s="2">
        <f t="shared" si="31"/>
        <v>4</v>
      </c>
      <c r="Q349" s="99"/>
    </row>
    <row r="350" spans="1:17" x14ac:dyDescent="0.25">
      <c r="A350" s="3">
        <v>44800</v>
      </c>
      <c r="B350" s="11" t="s">
        <v>1253</v>
      </c>
      <c r="C350" t="s">
        <v>2571</v>
      </c>
      <c r="D350" s="140">
        <v>6201309013</v>
      </c>
      <c r="F350" s="16">
        <v>223912283868</v>
      </c>
      <c r="G350" s="2">
        <v>1500</v>
      </c>
      <c r="I350" s="98">
        <f t="shared" si="32"/>
        <v>7355.3600000000006</v>
      </c>
      <c r="J350">
        <f t="shared" si="30"/>
        <v>1644.6399999999994</v>
      </c>
      <c r="N350" s="2">
        <f t="shared" si="31"/>
        <v>6</v>
      </c>
      <c r="Q350" s="99"/>
    </row>
    <row r="351" spans="1:17" s="35" customFormat="1" x14ac:dyDescent="0.25">
      <c r="A351" s="3">
        <v>44802</v>
      </c>
      <c r="B351" s="11" t="s">
        <v>2572</v>
      </c>
      <c r="C351" s="35" t="s">
        <v>2573</v>
      </c>
      <c r="D351" s="131"/>
      <c r="E351" s="119"/>
      <c r="G351" s="95">
        <v>250</v>
      </c>
      <c r="H351" s="95"/>
      <c r="I351" s="98">
        <f t="shared" si="32"/>
        <v>7605.3600000000006</v>
      </c>
      <c r="J351">
        <f t="shared" si="30"/>
        <v>1394.6399999999994</v>
      </c>
      <c r="N351" s="2">
        <f t="shared" si="31"/>
        <v>1</v>
      </c>
    </row>
    <row r="352" spans="1:17" s="35" customFormat="1" x14ac:dyDescent="0.25">
      <c r="A352" s="3">
        <v>44802</v>
      </c>
      <c r="B352" s="11" t="s">
        <v>2574</v>
      </c>
      <c r="C352" s="35" t="s">
        <v>2573</v>
      </c>
      <c r="D352" s="131"/>
      <c r="E352" s="119" t="s">
        <v>14</v>
      </c>
      <c r="G352" s="95"/>
      <c r="H352" s="95">
        <v>300</v>
      </c>
      <c r="I352" s="98">
        <f t="shared" si="32"/>
        <v>7305.3600000000006</v>
      </c>
      <c r="J352">
        <f t="shared" si="30"/>
        <v>1694.6399999999994</v>
      </c>
      <c r="N352" s="2">
        <f t="shared" si="31"/>
        <v>26.2</v>
      </c>
    </row>
    <row r="353" spans="1:17" s="35" customFormat="1" x14ac:dyDescent="0.25">
      <c r="A353" s="3">
        <v>44802</v>
      </c>
      <c r="B353" s="11" t="s">
        <v>2481</v>
      </c>
      <c r="C353" s="35" t="s">
        <v>2577</v>
      </c>
      <c r="D353" s="131"/>
      <c r="E353" s="119"/>
      <c r="F353" s="16">
        <v>224113023882</v>
      </c>
      <c r="G353" s="95"/>
      <c r="H353" s="95">
        <v>6000</v>
      </c>
      <c r="I353" s="98">
        <f t="shared" si="32"/>
        <v>1305.3600000000006</v>
      </c>
      <c r="J353">
        <f t="shared" si="30"/>
        <v>7694.6399999999994</v>
      </c>
      <c r="N353" s="2">
        <f t="shared" si="31"/>
        <v>20</v>
      </c>
    </row>
    <row r="354" spans="1:17" x14ac:dyDescent="0.25">
      <c r="A354" s="3">
        <v>44802</v>
      </c>
      <c r="B354" s="11" t="s">
        <v>1163</v>
      </c>
      <c r="C354" s="35" t="s">
        <v>2578</v>
      </c>
      <c r="F354" s="16"/>
      <c r="G354" s="2">
        <v>1000</v>
      </c>
      <c r="I354" s="98">
        <f t="shared" si="32"/>
        <v>2305.3600000000006</v>
      </c>
      <c r="J354">
        <f t="shared" si="30"/>
        <v>6694.6399999999994</v>
      </c>
      <c r="N354" s="2">
        <f t="shared" si="31"/>
        <v>4</v>
      </c>
      <c r="Q354" s="99"/>
    </row>
    <row r="355" spans="1:17" x14ac:dyDescent="0.25">
      <c r="A355" s="3">
        <v>44802</v>
      </c>
      <c r="B355" s="11" t="s">
        <v>1475</v>
      </c>
      <c r="C355" s="35" t="s">
        <v>2343</v>
      </c>
      <c r="D355" s="58">
        <v>7480052292</v>
      </c>
      <c r="F355" s="16">
        <v>224114346227</v>
      </c>
      <c r="G355" s="2">
        <v>1000</v>
      </c>
      <c r="I355" s="98">
        <f t="shared" si="32"/>
        <v>3305.3600000000006</v>
      </c>
      <c r="J355">
        <f t="shared" si="30"/>
        <v>5694.6399999999994</v>
      </c>
      <c r="N355" s="2">
        <f t="shared" si="31"/>
        <v>4</v>
      </c>
      <c r="Q355" s="99"/>
    </row>
    <row r="356" spans="1:17" x14ac:dyDescent="0.25">
      <c r="A356" s="3">
        <v>44802</v>
      </c>
      <c r="B356" s="11" t="s">
        <v>1253</v>
      </c>
      <c r="C356" s="35" t="s">
        <v>2579</v>
      </c>
      <c r="F356" s="16">
        <v>224117398615</v>
      </c>
      <c r="G356" s="2">
        <v>10000</v>
      </c>
      <c r="I356" s="98">
        <f t="shared" si="32"/>
        <v>13305.36</v>
      </c>
      <c r="J356">
        <f t="shared" si="30"/>
        <v>-4305.3600000000006</v>
      </c>
      <c r="N356" s="2">
        <f t="shared" si="31"/>
        <v>20</v>
      </c>
      <c r="Q356" s="99"/>
    </row>
    <row r="357" spans="1:17" x14ac:dyDescent="0.25">
      <c r="A357" s="3">
        <v>44802</v>
      </c>
      <c r="B357" s="11" t="s">
        <v>1253</v>
      </c>
      <c r="C357" s="35" t="s">
        <v>2580</v>
      </c>
      <c r="F357" s="16"/>
      <c r="G357" s="2">
        <v>5000</v>
      </c>
      <c r="I357" s="98">
        <f t="shared" ref="I357:I365" si="33">I356+G357-H357</f>
        <v>18305.36</v>
      </c>
      <c r="J357">
        <f t="shared" si="30"/>
        <v>-9305.36</v>
      </c>
      <c r="N357" s="2">
        <f t="shared" si="31"/>
        <v>20</v>
      </c>
      <c r="Q357" s="99"/>
    </row>
    <row r="358" spans="1:17" x14ac:dyDescent="0.25">
      <c r="A358" s="3">
        <v>44802</v>
      </c>
      <c r="B358" s="11" t="s">
        <v>1260</v>
      </c>
      <c r="C358" s="35" t="s">
        <v>2280</v>
      </c>
      <c r="F358" s="16"/>
      <c r="H358" s="2">
        <v>5000</v>
      </c>
      <c r="I358" s="98">
        <f t="shared" si="33"/>
        <v>13305.36</v>
      </c>
      <c r="J358">
        <f t="shared" si="30"/>
        <v>-4305.3600000000006</v>
      </c>
      <c r="N358" s="2">
        <f t="shared" si="31"/>
        <v>20</v>
      </c>
      <c r="Q358" s="99"/>
    </row>
    <row r="359" spans="1:17" x14ac:dyDescent="0.25">
      <c r="A359" s="37">
        <v>44802</v>
      </c>
      <c r="B359" s="147" t="s">
        <v>2600</v>
      </c>
      <c r="C359" s="35" t="s">
        <v>2584</v>
      </c>
      <c r="E359" s="115" t="s">
        <v>16</v>
      </c>
      <c r="F359" s="16"/>
      <c r="H359" s="2">
        <v>100</v>
      </c>
      <c r="I359" s="98">
        <f t="shared" si="33"/>
        <v>13205.36</v>
      </c>
      <c r="J359">
        <f t="shared" si="30"/>
        <v>-4205.3600000000006</v>
      </c>
      <c r="N359" s="2">
        <f t="shared" si="31"/>
        <v>25.4</v>
      </c>
      <c r="Q359" s="99"/>
    </row>
    <row r="360" spans="1:17" x14ac:dyDescent="0.25">
      <c r="A360" s="37">
        <v>44802</v>
      </c>
      <c r="B360" s="147" t="s">
        <v>2601</v>
      </c>
      <c r="C360" s="35" t="s">
        <v>2586</v>
      </c>
      <c r="E360" s="115" t="s">
        <v>16</v>
      </c>
      <c r="F360" s="16"/>
      <c r="H360" s="2">
        <v>100</v>
      </c>
      <c r="I360" s="98">
        <f t="shared" si="33"/>
        <v>13105.36</v>
      </c>
      <c r="J360">
        <f t="shared" si="30"/>
        <v>-4105.3600000000006</v>
      </c>
      <c r="N360" s="2">
        <f t="shared" si="31"/>
        <v>25.4</v>
      </c>
      <c r="Q360" s="99"/>
    </row>
    <row r="361" spans="1:17" x14ac:dyDescent="0.25">
      <c r="A361" s="37">
        <v>44802</v>
      </c>
      <c r="B361" s="147" t="s">
        <v>2602</v>
      </c>
      <c r="C361" s="35" t="s">
        <v>2587</v>
      </c>
      <c r="E361" s="115" t="s">
        <v>16</v>
      </c>
      <c r="F361" s="16"/>
      <c r="H361" s="2">
        <v>150</v>
      </c>
      <c r="I361" s="98">
        <f t="shared" si="33"/>
        <v>12955.36</v>
      </c>
      <c r="J361">
        <f t="shared" si="30"/>
        <v>-3955.3600000000006</v>
      </c>
      <c r="N361" s="2">
        <f t="shared" si="31"/>
        <v>25.6</v>
      </c>
      <c r="Q361" s="99"/>
    </row>
    <row r="362" spans="1:17" x14ac:dyDescent="0.25">
      <c r="A362" s="37">
        <v>44803</v>
      </c>
      <c r="B362" s="147" t="s">
        <v>1260</v>
      </c>
      <c r="C362" s="35" t="s">
        <v>2280</v>
      </c>
      <c r="F362" s="16">
        <v>224210974296</v>
      </c>
      <c r="H362" s="2">
        <v>5000</v>
      </c>
      <c r="I362" s="98">
        <f t="shared" si="33"/>
        <v>7955.3600000000006</v>
      </c>
      <c r="J362">
        <f t="shared" si="30"/>
        <v>1044.6399999999994</v>
      </c>
      <c r="N362" s="2">
        <f t="shared" si="31"/>
        <v>20</v>
      </c>
      <c r="Q362" s="99"/>
    </row>
    <row r="363" spans="1:17" x14ac:dyDescent="0.25">
      <c r="A363" s="37">
        <v>44803</v>
      </c>
      <c r="B363" s="147" t="s">
        <v>2191</v>
      </c>
      <c r="C363" s="35" t="s">
        <v>2603</v>
      </c>
      <c r="F363" s="16"/>
      <c r="H363" s="2">
        <v>900</v>
      </c>
      <c r="I363" s="98">
        <f t="shared" si="33"/>
        <v>7055.3600000000006</v>
      </c>
      <c r="J363">
        <f t="shared" si="30"/>
        <v>1944.6399999999994</v>
      </c>
      <c r="N363" s="2">
        <f t="shared" si="31"/>
        <v>3.6</v>
      </c>
      <c r="Q363" s="99"/>
    </row>
    <row r="364" spans="1:17" x14ac:dyDescent="0.25">
      <c r="A364" s="37">
        <v>37499</v>
      </c>
      <c r="B364" s="147" t="s">
        <v>2604</v>
      </c>
      <c r="C364" s="35" t="s">
        <v>2605</v>
      </c>
      <c r="E364" s="115" t="s">
        <v>16</v>
      </c>
      <c r="F364" s="16">
        <v>224310683150</v>
      </c>
      <c r="H364" s="2">
        <v>200</v>
      </c>
      <c r="I364" s="98">
        <f t="shared" si="33"/>
        <v>6855.3600000000006</v>
      </c>
      <c r="J364">
        <f t="shared" si="30"/>
        <v>2144.6399999999994</v>
      </c>
      <c r="N364" s="2">
        <f t="shared" si="31"/>
        <v>25.8</v>
      </c>
      <c r="P364">
        <v>7505.61</v>
      </c>
      <c r="Q364" s="99"/>
    </row>
    <row r="365" spans="1:17" x14ac:dyDescent="0.25">
      <c r="A365" s="37">
        <v>37499</v>
      </c>
      <c r="B365" s="147" t="s">
        <v>2619</v>
      </c>
      <c r="C365" s="35" t="s">
        <v>2608</v>
      </c>
      <c r="E365" s="115" t="s">
        <v>16</v>
      </c>
      <c r="F365" s="16"/>
      <c r="H365" s="2">
        <v>150</v>
      </c>
      <c r="I365" s="98">
        <f t="shared" si="33"/>
        <v>6705.3600000000006</v>
      </c>
      <c r="J365">
        <f t="shared" si="30"/>
        <v>2294.6399999999994</v>
      </c>
      <c r="N365" s="2">
        <f t="shared" si="31"/>
        <v>25.6</v>
      </c>
      <c r="Q365" s="99"/>
    </row>
    <row r="366" spans="1:17" x14ac:dyDescent="0.25">
      <c r="A366" s="37">
        <v>37499</v>
      </c>
      <c r="B366" s="147" t="s">
        <v>2622</v>
      </c>
      <c r="C366" s="35" t="s">
        <v>2623</v>
      </c>
      <c r="E366" s="115" t="s">
        <v>16</v>
      </c>
      <c r="H366" s="2">
        <v>0</v>
      </c>
      <c r="I366" s="98">
        <f>I365+G366-H366</f>
        <v>6705.3600000000006</v>
      </c>
      <c r="J366">
        <f t="shared" si="30"/>
        <v>2294.6399999999994</v>
      </c>
      <c r="N366" s="2">
        <f t="shared" si="31"/>
        <v>25</v>
      </c>
      <c r="Q366" s="99"/>
    </row>
    <row r="367" spans="1:17" x14ac:dyDescent="0.25">
      <c r="A367" s="37">
        <v>37499</v>
      </c>
      <c r="B367" s="147" t="s">
        <v>2620</v>
      </c>
      <c r="C367" s="35" t="s">
        <v>2621</v>
      </c>
      <c r="D367" s="58">
        <v>9801647764</v>
      </c>
      <c r="F367" s="16">
        <v>224313634344</v>
      </c>
      <c r="G367" s="2">
        <v>1000</v>
      </c>
      <c r="I367" s="98">
        <f>I366+G367-H367</f>
        <v>7705.3600000000006</v>
      </c>
      <c r="J367">
        <f t="shared" si="30"/>
        <v>1294.6399999999994</v>
      </c>
      <c r="N367" s="2">
        <f t="shared" si="31"/>
        <v>4</v>
      </c>
      <c r="Q367" s="99"/>
    </row>
    <row r="368" spans="1:17" x14ac:dyDescent="0.25">
      <c r="A368" s="37">
        <v>37499</v>
      </c>
      <c r="B368" s="147" t="s">
        <v>2347</v>
      </c>
      <c r="C368" s="35" t="s">
        <v>2466</v>
      </c>
      <c r="F368" s="16"/>
      <c r="G368" s="2">
        <v>4500</v>
      </c>
      <c r="I368" s="98">
        <f>I367+G368-H368</f>
        <v>12205.36</v>
      </c>
      <c r="J368">
        <f t="shared" si="30"/>
        <v>-3205.3600000000006</v>
      </c>
      <c r="N368" s="2">
        <f t="shared" si="31"/>
        <v>18</v>
      </c>
      <c r="Q368" s="99"/>
    </row>
    <row r="369" spans="1:19" s="33" customFormat="1" x14ac:dyDescent="0.25">
      <c r="A369" s="36"/>
      <c r="B369" s="146"/>
      <c r="D369" s="130"/>
      <c r="E369" s="120"/>
      <c r="G369" s="53"/>
      <c r="H369" s="53"/>
      <c r="I369" s="53"/>
      <c r="N369" s="53"/>
    </row>
    <row r="370" spans="1:19" x14ac:dyDescent="0.25">
      <c r="A370" s="3"/>
      <c r="F370" s="16"/>
      <c r="I370" s="98"/>
    </row>
    <row r="371" spans="1:19" x14ac:dyDescent="0.25">
      <c r="A371" s="97"/>
      <c r="B371" s="102"/>
      <c r="C371" s="27"/>
      <c r="D371" s="139"/>
      <c r="E371" s="117">
        <f>COUNTIF(E250:E370,"y")</f>
        <v>19</v>
      </c>
      <c r="F371" s="29">
        <f>G371+H371</f>
        <v>475459</v>
      </c>
      <c r="G371" s="103">
        <f>SUM(G250:G370)</f>
        <v>239209</v>
      </c>
      <c r="H371" s="103">
        <f>SUM(H249:H370)</f>
        <v>236250</v>
      </c>
      <c r="I371" s="103"/>
      <c r="J371" s="27"/>
      <c r="K371" s="27"/>
      <c r="L371" s="27"/>
      <c r="M371" s="27"/>
      <c r="N371" s="103">
        <f>SUM(N249:N370)</f>
        <v>1820.4360000000001</v>
      </c>
      <c r="O371" s="27">
        <f>SUM(O249:O370)</f>
        <v>0</v>
      </c>
      <c r="P371" s="27"/>
    </row>
    <row r="372" spans="1:19" x14ac:dyDescent="0.25">
      <c r="F372" s="16"/>
    </row>
    <row r="373" spans="1:19" x14ac:dyDescent="0.25">
      <c r="A373" s="3">
        <v>44805</v>
      </c>
      <c r="B373" s="11" t="s">
        <v>2624</v>
      </c>
      <c r="C373" s="7"/>
      <c r="F373" s="16"/>
      <c r="G373" s="98">
        <f>I368</f>
        <v>12205.36</v>
      </c>
      <c r="I373" s="98">
        <f t="shared" ref="I373:I456" si="34">I372+G373-H373</f>
        <v>12205.36</v>
      </c>
      <c r="J373">
        <f t="shared" ref="J373:J399" si="35">$J$1-I373</f>
        <v>-3205.3600000000006</v>
      </c>
      <c r="N373" s="2">
        <f t="shared" ref="N373:N404" si="36">IF((G373+H373)&lt;=5000,(H373+G373)*0.004,20)+IF(E373="Y",25,0)</f>
        <v>20</v>
      </c>
    </row>
    <row r="374" spans="1:19" x14ac:dyDescent="0.25">
      <c r="A374" s="3">
        <v>44805</v>
      </c>
      <c r="B374" s="11" t="s">
        <v>1475</v>
      </c>
      <c r="C374" t="s">
        <v>2512</v>
      </c>
      <c r="D374" s="58">
        <v>8797783108</v>
      </c>
      <c r="F374" s="16">
        <v>224410824349</v>
      </c>
      <c r="G374" s="2">
        <v>5000</v>
      </c>
      <c r="H374" s="2">
        <v>0</v>
      </c>
      <c r="I374" s="98">
        <f t="shared" si="34"/>
        <v>17205.36</v>
      </c>
      <c r="J374">
        <f t="shared" si="35"/>
        <v>-8205.36</v>
      </c>
      <c r="N374" s="2">
        <f t="shared" si="36"/>
        <v>20</v>
      </c>
    </row>
    <row r="375" spans="1:19" x14ac:dyDescent="0.25">
      <c r="A375" s="3">
        <v>44805</v>
      </c>
      <c r="B375" s="11" t="s">
        <v>2144</v>
      </c>
      <c r="C375" t="s">
        <v>1282</v>
      </c>
      <c r="F375" s="16"/>
      <c r="H375" s="2">
        <v>10000</v>
      </c>
      <c r="I375" s="98">
        <f t="shared" si="34"/>
        <v>7205.3600000000006</v>
      </c>
      <c r="J375">
        <f t="shared" si="35"/>
        <v>1794.6399999999994</v>
      </c>
      <c r="N375" s="2">
        <f t="shared" si="36"/>
        <v>20</v>
      </c>
    </row>
    <row r="376" spans="1:19" x14ac:dyDescent="0.25">
      <c r="C376" t="s">
        <v>2626</v>
      </c>
      <c r="F376" s="16"/>
      <c r="G376" s="2">
        <v>800</v>
      </c>
      <c r="I376" s="98">
        <f t="shared" si="34"/>
        <v>8005.3600000000006</v>
      </c>
      <c r="J376">
        <f t="shared" si="35"/>
        <v>994.63999999999942</v>
      </c>
      <c r="N376" s="2">
        <f t="shared" si="36"/>
        <v>3.2</v>
      </c>
      <c r="S376" s="99"/>
    </row>
    <row r="377" spans="1:19" x14ac:dyDescent="0.25">
      <c r="A377" s="3">
        <v>44805</v>
      </c>
      <c r="B377" s="11" t="s">
        <v>2625</v>
      </c>
      <c r="C377" t="s">
        <v>1648</v>
      </c>
      <c r="D377" s="129"/>
      <c r="E377" s="118"/>
      <c r="F377" s="16">
        <v>224418792821</v>
      </c>
      <c r="G377" s="54"/>
      <c r="H377" s="54">
        <v>2500</v>
      </c>
      <c r="I377" s="98">
        <f t="shared" si="34"/>
        <v>5505.3600000000006</v>
      </c>
      <c r="J377">
        <f t="shared" si="35"/>
        <v>3494.6399999999994</v>
      </c>
      <c r="K377" s="34"/>
      <c r="L377" s="34"/>
      <c r="M377" s="34"/>
      <c r="N377" s="2">
        <f t="shared" si="36"/>
        <v>10</v>
      </c>
      <c r="O377" s="34"/>
      <c r="P377" s="33"/>
    </row>
    <row r="378" spans="1:19" x14ac:dyDescent="0.25">
      <c r="A378" s="3">
        <v>44805</v>
      </c>
      <c r="B378" s="146" t="s">
        <v>2627</v>
      </c>
      <c r="C378" s="34" t="s">
        <v>2628</v>
      </c>
      <c r="D378" s="129"/>
      <c r="E378" s="118"/>
      <c r="F378" s="16">
        <v>224418797925</v>
      </c>
      <c r="G378" s="54"/>
      <c r="H378" s="54">
        <v>1000</v>
      </c>
      <c r="I378" s="98">
        <f t="shared" si="34"/>
        <v>4505.3600000000006</v>
      </c>
      <c r="J378">
        <f t="shared" si="35"/>
        <v>4494.6399999999994</v>
      </c>
      <c r="K378" s="34"/>
      <c r="L378" s="34"/>
      <c r="M378" s="34"/>
      <c r="N378" s="54">
        <f t="shared" si="36"/>
        <v>4</v>
      </c>
      <c r="O378" s="34"/>
      <c r="P378" s="33"/>
    </row>
    <row r="379" spans="1:19" x14ac:dyDescent="0.25">
      <c r="A379" s="127">
        <v>44806</v>
      </c>
      <c r="B379" s="146" t="s">
        <v>2633</v>
      </c>
      <c r="C379" s="34" t="s">
        <v>2634</v>
      </c>
      <c r="D379" s="129"/>
      <c r="E379" s="118" t="s">
        <v>16</v>
      </c>
      <c r="F379" s="16"/>
      <c r="G379" s="54"/>
      <c r="H379" s="54">
        <v>100</v>
      </c>
      <c r="I379" s="98">
        <f t="shared" si="34"/>
        <v>4405.3600000000006</v>
      </c>
      <c r="J379">
        <f t="shared" si="35"/>
        <v>4594.6399999999994</v>
      </c>
      <c r="K379" s="34"/>
      <c r="L379" s="34"/>
      <c r="M379" s="34"/>
      <c r="N379" s="54">
        <f t="shared" si="36"/>
        <v>25.4</v>
      </c>
      <c r="O379" s="34"/>
      <c r="P379" s="33"/>
    </row>
    <row r="380" spans="1:19" x14ac:dyDescent="0.25">
      <c r="A380" s="127">
        <v>44806</v>
      </c>
      <c r="B380" s="146"/>
      <c r="C380" s="34" t="s">
        <v>2635</v>
      </c>
      <c r="D380" s="129"/>
      <c r="E380" s="118"/>
      <c r="F380" s="16">
        <v>224519899533</v>
      </c>
      <c r="G380" s="54">
        <v>5000</v>
      </c>
      <c r="H380" s="54"/>
      <c r="I380" s="98">
        <f t="shared" si="34"/>
        <v>9405.36</v>
      </c>
      <c r="J380">
        <f t="shared" si="35"/>
        <v>-405.36000000000058</v>
      </c>
      <c r="K380" s="34"/>
      <c r="L380" s="34"/>
      <c r="M380" s="34"/>
      <c r="N380" s="54">
        <f t="shared" si="36"/>
        <v>20</v>
      </c>
      <c r="O380" s="34"/>
      <c r="P380" s="33"/>
    </row>
    <row r="381" spans="1:19" x14ac:dyDescent="0.25">
      <c r="A381" s="127">
        <v>44806</v>
      </c>
      <c r="B381" s="146" t="s">
        <v>2484</v>
      </c>
      <c r="C381" s="34" t="s">
        <v>2025</v>
      </c>
      <c r="D381" s="129"/>
      <c r="E381" s="118"/>
      <c r="F381" s="16">
        <v>224519906618</v>
      </c>
      <c r="G381" s="54">
        <v>1000</v>
      </c>
      <c r="H381" s="54"/>
      <c r="I381" s="98">
        <f t="shared" si="34"/>
        <v>10405.36</v>
      </c>
      <c r="J381">
        <f t="shared" si="35"/>
        <v>-1405.3600000000006</v>
      </c>
      <c r="K381" s="34"/>
      <c r="L381" s="34"/>
      <c r="M381" s="34"/>
      <c r="N381" s="54">
        <f t="shared" si="36"/>
        <v>4</v>
      </c>
      <c r="O381" s="34"/>
      <c r="P381" s="33"/>
    </row>
    <row r="382" spans="1:19" x14ac:dyDescent="0.25">
      <c r="A382" s="127">
        <v>44807</v>
      </c>
      <c r="B382" s="146" t="s">
        <v>1475</v>
      </c>
      <c r="C382" s="34" t="s">
        <v>2512</v>
      </c>
      <c r="D382" s="129"/>
      <c r="E382" s="118"/>
      <c r="F382" s="16">
        <v>224610570638</v>
      </c>
      <c r="G382" s="54">
        <v>5000</v>
      </c>
      <c r="H382" s="54"/>
      <c r="I382" s="98">
        <f t="shared" si="34"/>
        <v>15405.36</v>
      </c>
      <c r="J382">
        <f t="shared" si="35"/>
        <v>-6405.3600000000006</v>
      </c>
      <c r="K382" s="34"/>
      <c r="L382" s="34"/>
      <c r="M382" s="34"/>
      <c r="N382" s="54">
        <f t="shared" si="36"/>
        <v>20</v>
      </c>
      <c r="O382" s="34"/>
      <c r="P382" s="33"/>
    </row>
    <row r="383" spans="1:19" x14ac:dyDescent="0.25">
      <c r="A383" s="127">
        <v>44807</v>
      </c>
      <c r="B383" s="147" t="s">
        <v>1253</v>
      </c>
      <c r="C383" s="35" t="s">
        <v>2635</v>
      </c>
      <c r="D383" s="131"/>
      <c r="E383" s="119"/>
      <c r="F383" s="16">
        <v>224610646171</v>
      </c>
      <c r="G383" s="95">
        <v>10000</v>
      </c>
      <c r="H383" s="95"/>
      <c r="I383" s="95">
        <f t="shared" si="34"/>
        <v>25405.360000000001</v>
      </c>
      <c r="J383" s="35">
        <f t="shared" si="35"/>
        <v>-16405.36</v>
      </c>
      <c r="N383" s="2">
        <f t="shared" si="36"/>
        <v>20</v>
      </c>
    </row>
    <row r="384" spans="1:19" x14ac:dyDescent="0.25">
      <c r="A384" s="127">
        <v>44807</v>
      </c>
      <c r="B384" s="147" t="s">
        <v>1475</v>
      </c>
      <c r="C384" s="35" t="s">
        <v>2350</v>
      </c>
      <c r="D384" s="131"/>
      <c r="E384" s="119"/>
      <c r="F384" s="35"/>
      <c r="G384" s="95">
        <v>10000</v>
      </c>
      <c r="H384" s="95"/>
      <c r="I384" s="95">
        <f t="shared" si="34"/>
        <v>35405.360000000001</v>
      </c>
      <c r="J384" s="35">
        <f t="shared" si="35"/>
        <v>-26405.360000000001</v>
      </c>
      <c r="N384" s="2">
        <f t="shared" si="36"/>
        <v>20</v>
      </c>
    </row>
    <row r="385" spans="1:17" x14ac:dyDescent="0.25">
      <c r="A385" s="127">
        <v>44807</v>
      </c>
      <c r="B385" s="147" t="s">
        <v>2144</v>
      </c>
      <c r="C385" s="35" t="s">
        <v>1282</v>
      </c>
      <c r="D385" s="131"/>
      <c r="E385" s="119"/>
      <c r="F385" s="35"/>
      <c r="G385" s="95"/>
      <c r="H385" s="95">
        <v>10000</v>
      </c>
      <c r="I385" s="95">
        <f t="shared" si="34"/>
        <v>25405.360000000001</v>
      </c>
      <c r="J385" s="35">
        <f t="shared" si="35"/>
        <v>-16405.36</v>
      </c>
      <c r="N385" s="2">
        <f t="shared" si="36"/>
        <v>20</v>
      </c>
    </row>
    <row r="386" spans="1:17" x14ac:dyDescent="0.25">
      <c r="A386" s="127">
        <v>44807</v>
      </c>
      <c r="B386" s="11" t="s">
        <v>1163</v>
      </c>
      <c r="C386" t="s">
        <v>2460</v>
      </c>
      <c r="D386" s="58">
        <v>9110951992</v>
      </c>
      <c r="F386" s="16">
        <v>224613783625</v>
      </c>
      <c r="G386" s="2">
        <v>5000</v>
      </c>
      <c r="I386" s="95">
        <f t="shared" si="34"/>
        <v>30405.360000000001</v>
      </c>
      <c r="J386" s="35">
        <f t="shared" si="35"/>
        <v>-21405.360000000001</v>
      </c>
      <c r="N386" s="2">
        <f t="shared" si="36"/>
        <v>20</v>
      </c>
    </row>
    <row r="387" spans="1:17" x14ac:dyDescent="0.25">
      <c r="A387" s="127">
        <v>44807</v>
      </c>
      <c r="B387" s="11" t="s">
        <v>1475</v>
      </c>
      <c r="C387" t="s">
        <v>2639</v>
      </c>
      <c r="D387" s="58">
        <v>8757705789</v>
      </c>
      <c r="F387" s="16">
        <v>224617937704</v>
      </c>
      <c r="G387" s="2">
        <v>10000</v>
      </c>
      <c r="I387" s="95">
        <f t="shared" si="34"/>
        <v>40405.360000000001</v>
      </c>
      <c r="J387" s="35">
        <f t="shared" si="35"/>
        <v>-31405.360000000001</v>
      </c>
      <c r="N387" s="2">
        <f t="shared" si="36"/>
        <v>20</v>
      </c>
      <c r="Q387">
        <v>40355.61</v>
      </c>
    </row>
    <row r="388" spans="1:17" x14ac:dyDescent="0.25">
      <c r="A388" s="3">
        <v>44809</v>
      </c>
      <c r="B388" s="11" t="s">
        <v>1260</v>
      </c>
      <c r="C388" t="s">
        <v>2280</v>
      </c>
      <c r="F388" s="16">
        <v>224809708127</v>
      </c>
      <c r="H388" s="2">
        <v>9000</v>
      </c>
      <c r="I388" s="95">
        <f t="shared" si="34"/>
        <v>31405.360000000001</v>
      </c>
      <c r="J388" s="35">
        <f t="shared" si="35"/>
        <v>-22405.360000000001</v>
      </c>
      <c r="N388" s="2">
        <f t="shared" si="36"/>
        <v>20</v>
      </c>
    </row>
    <row r="389" spans="1:17" x14ac:dyDescent="0.25">
      <c r="A389" s="3">
        <v>44809</v>
      </c>
      <c r="B389" s="11" t="s">
        <v>2144</v>
      </c>
      <c r="C389" t="s">
        <v>2640</v>
      </c>
      <c r="F389" s="16"/>
      <c r="H389" s="2">
        <v>10000</v>
      </c>
      <c r="I389" s="95">
        <f t="shared" si="34"/>
        <v>21405.360000000001</v>
      </c>
      <c r="J389" s="35">
        <f t="shared" si="35"/>
        <v>-12405.36</v>
      </c>
      <c r="N389" s="2">
        <f t="shared" si="36"/>
        <v>20</v>
      </c>
    </row>
    <row r="390" spans="1:17" x14ac:dyDescent="0.25">
      <c r="A390" s="3">
        <v>44809</v>
      </c>
      <c r="B390" s="11" t="s">
        <v>2641</v>
      </c>
      <c r="F390"/>
      <c r="H390" s="2">
        <v>1000</v>
      </c>
      <c r="I390" s="95">
        <f t="shared" si="34"/>
        <v>20405.36</v>
      </c>
      <c r="J390" s="35">
        <f t="shared" si="35"/>
        <v>-11405.36</v>
      </c>
      <c r="N390" s="2">
        <f t="shared" si="36"/>
        <v>4</v>
      </c>
    </row>
    <row r="391" spans="1:17" x14ac:dyDescent="0.25">
      <c r="A391" s="3">
        <v>44809</v>
      </c>
      <c r="B391" s="11" t="s">
        <v>2642</v>
      </c>
      <c r="C391" t="s">
        <v>2643</v>
      </c>
      <c r="D391" s="58">
        <v>7488927596</v>
      </c>
      <c r="F391" s="16">
        <v>224812092269</v>
      </c>
      <c r="H391" s="94">
        <v>500</v>
      </c>
      <c r="I391" s="95">
        <f t="shared" si="34"/>
        <v>19905.36</v>
      </c>
      <c r="J391" s="35">
        <f t="shared" si="35"/>
        <v>-10905.36</v>
      </c>
      <c r="N391" s="2">
        <f t="shared" si="36"/>
        <v>2</v>
      </c>
    </row>
    <row r="392" spans="1:17" x14ac:dyDescent="0.25">
      <c r="A392" s="3">
        <v>44809</v>
      </c>
      <c r="B392" s="11" t="s">
        <v>1253</v>
      </c>
      <c r="C392" t="s">
        <v>2635</v>
      </c>
      <c r="F392" s="16">
        <v>224817849536</v>
      </c>
      <c r="G392" s="2">
        <v>5000</v>
      </c>
      <c r="I392" s="95">
        <f t="shared" si="34"/>
        <v>24905.360000000001</v>
      </c>
      <c r="J392" s="35">
        <f t="shared" si="35"/>
        <v>-15905.36</v>
      </c>
      <c r="N392" s="2">
        <f t="shared" si="36"/>
        <v>20</v>
      </c>
    </row>
    <row r="393" spans="1:17" x14ac:dyDescent="0.25">
      <c r="A393" s="3">
        <v>44809</v>
      </c>
      <c r="B393" s="11" t="s">
        <v>1253</v>
      </c>
      <c r="C393" t="s">
        <v>2644</v>
      </c>
      <c r="F393" s="16"/>
      <c r="G393" s="2">
        <v>200</v>
      </c>
      <c r="I393" s="95">
        <f t="shared" si="34"/>
        <v>25105.360000000001</v>
      </c>
      <c r="J393" s="35">
        <f t="shared" si="35"/>
        <v>-16105.36</v>
      </c>
      <c r="N393" s="2">
        <f t="shared" si="36"/>
        <v>0.8</v>
      </c>
    </row>
    <row r="394" spans="1:17" x14ac:dyDescent="0.25">
      <c r="A394" s="3">
        <v>44809</v>
      </c>
      <c r="B394" s="11" t="s">
        <v>1253</v>
      </c>
      <c r="F394" s="16">
        <v>244817875830</v>
      </c>
      <c r="G394" s="2">
        <v>100</v>
      </c>
      <c r="I394" s="95">
        <f t="shared" si="34"/>
        <v>25205.360000000001</v>
      </c>
      <c r="J394" s="35">
        <f t="shared" si="35"/>
        <v>-16205.36</v>
      </c>
      <c r="N394" s="2">
        <f t="shared" si="36"/>
        <v>0.4</v>
      </c>
    </row>
    <row r="395" spans="1:17" x14ac:dyDescent="0.25">
      <c r="A395" s="3">
        <v>44810</v>
      </c>
      <c r="B395" s="11" t="s">
        <v>1253</v>
      </c>
      <c r="C395" t="s">
        <v>635</v>
      </c>
      <c r="D395" s="58">
        <v>9113364784</v>
      </c>
      <c r="F395" s="16"/>
      <c r="H395" s="2">
        <v>3000</v>
      </c>
      <c r="I395" s="95">
        <f t="shared" si="34"/>
        <v>22205.360000000001</v>
      </c>
      <c r="J395" s="35">
        <f t="shared" si="35"/>
        <v>-13205.36</v>
      </c>
      <c r="N395" s="2">
        <f t="shared" si="36"/>
        <v>12</v>
      </c>
    </row>
    <row r="396" spans="1:17" x14ac:dyDescent="0.25">
      <c r="A396" s="3">
        <v>44810</v>
      </c>
      <c r="B396" s="11" t="s">
        <v>1253</v>
      </c>
      <c r="F396" s="16"/>
      <c r="H396" s="2">
        <v>10000</v>
      </c>
      <c r="I396" s="95">
        <f t="shared" si="34"/>
        <v>12205.36</v>
      </c>
      <c r="J396" s="35">
        <f t="shared" si="35"/>
        <v>-3205.3600000000006</v>
      </c>
      <c r="N396" s="2">
        <f t="shared" si="36"/>
        <v>20</v>
      </c>
    </row>
    <row r="397" spans="1:17" x14ac:dyDescent="0.25">
      <c r="A397" s="3">
        <v>44810</v>
      </c>
      <c r="B397" s="11" t="s">
        <v>1475</v>
      </c>
      <c r="C397" t="s">
        <v>2639</v>
      </c>
      <c r="D397" s="58">
        <v>8757705789</v>
      </c>
      <c r="F397" s="16">
        <v>224914983960</v>
      </c>
      <c r="G397" s="2">
        <v>10000</v>
      </c>
      <c r="I397" s="95">
        <f t="shared" si="34"/>
        <v>22205.360000000001</v>
      </c>
      <c r="J397" s="35">
        <f t="shared" si="35"/>
        <v>-13205.36</v>
      </c>
      <c r="N397" s="2">
        <f t="shared" si="36"/>
        <v>20</v>
      </c>
    </row>
    <row r="398" spans="1:17" x14ac:dyDescent="0.25">
      <c r="A398" s="3">
        <v>44810</v>
      </c>
      <c r="B398" s="11" t="s">
        <v>2144</v>
      </c>
      <c r="F398" s="16"/>
      <c r="H398" s="2">
        <v>10000</v>
      </c>
      <c r="I398" s="95">
        <f t="shared" si="34"/>
        <v>12205.36</v>
      </c>
      <c r="J398" s="35">
        <f t="shared" si="35"/>
        <v>-3205.3600000000006</v>
      </c>
      <c r="N398" s="2">
        <f t="shared" si="36"/>
        <v>20</v>
      </c>
    </row>
    <row r="399" spans="1:17" x14ac:dyDescent="0.25">
      <c r="A399" s="3">
        <v>44811</v>
      </c>
      <c r="B399" s="11" t="s">
        <v>2645</v>
      </c>
      <c r="C399" t="s">
        <v>2646</v>
      </c>
      <c r="F399" s="16">
        <v>225009947812</v>
      </c>
      <c r="H399" s="2">
        <v>1000</v>
      </c>
      <c r="I399" s="95">
        <f t="shared" si="34"/>
        <v>11205.36</v>
      </c>
      <c r="J399" s="35">
        <f t="shared" si="35"/>
        <v>-2205.3600000000006</v>
      </c>
      <c r="N399" s="2">
        <f t="shared" si="36"/>
        <v>4</v>
      </c>
    </row>
    <row r="400" spans="1:17" x14ac:dyDescent="0.25">
      <c r="A400" s="3">
        <v>44811</v>
      </c>
      <c r="B400" s="11" t="s">
        <v>1163</v>
      </c>
      <c r="C400" t="s">
        <v>2390</v>
      </c>
      <c r="F400" s="16">
        <v>225012042358</v>
      </c>
      <c r="G400" s="2">
        <v>4000</v>
      </c>
      <c r="I400" s="95">
        <f t="shared" si="34"/>
        <v>15205.36</v>
      </c>
      <c r="N400" s="2">
        <f t="shared" si="36"/>
        <v>16</v>
      </c>
    </row>
    <row r="401" spans="1:14" x14ac:dyDescent="0.25">
      <c r="A401" s="3">
        <v>44811</v>
      </c>
      <c r="B401" s="11" t="s">
        <v>2349</v>
      </c>
      <c r="C401" t="s">
        <v>1282</v>
      </c>
      <c r="F401" s="16">
        <v>225012055313</v>
      </c>
      <c r="H401" s="2">
        <v>10000</v>
      </c>
      <c r="I401" s="95">
        <f t="shared" si="34"/>
        <v>5205.3600000000006</v>
      </c>
      <c r="N401" s="2">
        <f t="shared" si="36"/>
        <v>20</v>
      </c>
    </row>
    <row r="402" spans="1:14" x14ac:dyDescent="0.25">
      <c r="A402" s="3">
        <v>44812</v>
      </c>
      <c r="B402" s="11" t="s">
        <v>2190</v>
      </c>
      <c r="C402" t="s">
        <v>579</v>
      </c>
      <c r="F402" s="16">
        <v>225111312363</v>
      </c>
      <c r="H402" s="2">
        <v>4200</v>
      </c>
      <c r="I402" s="95">
        <f t="shared" si="34"/>
        <v>1005.3600000000006</v>
      </c>
      <c r="N402" s="2">
        <f t="shared" si="36"/>
        <v>16.8</v>
      </c>
    </row>
    <row r="403" spans="1:14" x14ac:dyDescent="0.25">
      <c r="A403" s="3">
        <v>44812</v>
      </c>
      <c r="B403" s="11" t="s">
        <v>2360</v>
      </c>
      <c r="C403" t="s">
        <v>2480</v>
      </c>
      <c r="F403" s="16">
        <v>225111335338</v>
      </c>
      <c r="H403" s="2">
        <v>2000</v>
      </c>
      <c r="I403" s="95">
        <f t="shared" si="34"/>
        <v>-994.63999999999942</v>
      </c>
      <c r="N403" s="2">
        <f t="shared" si="36"/>
        <v>8</v>
      </c>
    </row>
    <row r="404" spans="1:14" x14ac:dyDescent="0.25">
      <c r="A404" s="3">
        <v>44812</v>
      </c>
      <c r="B404" s="11" t="s">
        <v>2292</v>
      </c>
      <c r="F404" s="16">
        <v>225111350140</v>
      </c>
      <c r="H404" s="2">
        <v>2400</v>
      </c>
      <c r="I404" s="95">
        <f t="shared" si="34"/>
        <v>-3394.6399999999994</v>
      </c>
      <c r="N404" s="2">
        <f t="shared" si="36"/>
        <v>9.6</v>
      </c>
    </row>
    <row r="405" spans="1:14" x14ac:dyDescent="0.25">
      <c r="A405" s="3">
        <v>44812</v>
      </c>
      <c r="B405" s="11" t="s">
        <v>2647</v>
      </c>
      <c r="F405" s="16">
        <v>225112072445</v>
      </c>
      <c r="G405" s="2">
        <v>1500</v>
      </c>
      <c r="I405" s="95">
        <f t="shared" si="34"/>
        <v>-1894.6399999999994</v>
      </c>
      <c r="M405">
        <v>4055.61</v>
      </c>
      <c r="N405" s="2">
        <f t="shared" ref="N405:N436" si="37">IF((G405+H405)&lt;=5000,(H405+G405)*0.004,20)+IF(E405="Y",25,0)</f>
        <v>6</v>
      </c>
    </row>
    <row r="406" spans="1:14" x14ac:dyDescent="0.25">
      <c r="A406" s="3">
        <v>44814</v>
      </c>
      <c r="B406" s="11" t="s">
        <v>1163</v>
      </c>
      <c r="C406" t="s">
        <v>2648</v>
      </c>
      <c r="D406" s="58">
        <v>6299129452</v>
      </c>
      <c r="F406" s="16">
        <v>225309336471</v>
      </c>
      <c r="G406" s="2">
        <v>800</v>
      </c>
      <c r="I406" s="95">
        <f t="shared" si="34"/>
        <v>-1094.6399999999994</v>
      </c>
      <c r="M406">
        <v>4855.6099999999997</v>
      </c>
      <c r="N406" s="2">
        <f t="shared" si="37"/>
        <v>3.2</v>
      </c>
    </row>
    <row r="407" spans="1:14" x14ac:dyDescent="0.25">
      <c r="A407" s="3">
        <v>44814</v>
      </c>
      <c r="B407" s="11" t="s">
        <v>2650</v>
      </c>
      <c r="C407" t="s">
        <v>2649</v>
      </c>
      <c r="D407" s="58">
        <v>6201309013</v>
      </c>
      <c r="F407" s="16">
        <v>225311984705</v>
      </c>
      <c r="G407" s="2">
        <v>2000</v>
      </c>
      <c r="I407" s="95">
        <f t="shared" si="34"/>
        <v>905.36000000000058</v>
      </c>
      <c r="M407">
        <f t="shared" ref="M407:M438" si="38">M406+G407-H407</f>
        <v>6855.61</v>
      </c>
      <c r="N407" s="2">
        <f t="shared" si="37"/>
        <v>8</v>
      </c>
    </row>
    <row r="408" spans="1:14" x14ac:dyDescent="0.25">
      <c r="A408" s="3">
        <v>44814</v>
      </c>
      <c r="B408" s="11" t="s">
        <v>1260</v>
      </c>
      <c r="F408" s="16"/>
      <c r="H408" s="2">
        <v>5000</v>
      </c>
      <c r="I408" s="95">
        <f t="shared" si="34"/>
        <v>-4094.6399999999994</v>
      </c>
      <c r="M408">
        <f t="shared" si="38"/>
        <v>1855.6099999999997</v>
      </c>
      <c r="N408" s="2">
        <f t="shared" si="37"/>
        <v>20</v>
      </c>
    </row>
    <row r="409" spans="1:14" x14ac:dyDescent="0.25">
      <c r="A409" s="3">
        <v>44814</v>
      </c>
      <c r="B409" s="11" t="s">
        <v>2651</v>
      </c>
      <c r="F409" s="16"/>
      <c r="H409" s="2">
        <v>500</v>
      </c>
      <c r="I409" s="95">
        <f t="shared" si="34"/>
        <v>-4594.6399999999994</v>
      </c>
      <c r="M409">
        <f t="shared" si="38"/>
        <v>1355.6099999999997</v>
      </c>
      <c r="N409" s="2">
        <f t="shared" si="37"/>
        <v>2</v>
      </c>
    </row>
    <row r="410" spans="1:14" x14ac:dyDescent="0.25">
      <c r="A410" s="3">
        <v>44816</v>
      </c>
      <c r="B410" s="11" t="s">
        <v>2300</v>
      </c>
      <c r="C410" t="s">
        <v>2580</v>
      </c>
      <c r="D410" s="58">
        <v>7763928089</v>
      </c>
      <c r="F410" s="16">
        <v>225517336770</v>
      </c>
      <c r="G410" s="2">
        <v>1000</v>
      </c>
      <c r="I410" s="95">
        <f t="shared" si="34"/>
        <v>-3594.6399999999994</v>
      </c>
      <c r="M410">
        <f t="shared" si="38"/>
        <v>2355.6099999999997</v>
      </c>
      <c r="N410" s="2">
        <f t="shared" si="37"/>
        <v>4</v>
      </c>
    </row>
    <row r="411" spans="1:14" x14ac:dyDescent="0.25">
      <c r="A411" s="3">
        <v>44817</v>
      </c>
      <c r="B411" s="11" t="s">
        <v>2238</v>
      </c>
      <c r="C411" t="s">
        <v>2239</v>
      </c>
      <c r="F411" s="16">
        <v>225613138824</v>
      </c>
      <c r="H411" s="2">
        <v>150</v>
      </c>
      <c r="I411" s="95">
        <f t="shared" si="34"/>
        <v>-3744.6399999999994</v>
      </c>
      <c r="M411">
        <f t="shared" si="38"/>
        <v>2205.6099999999997</v>
      </c>
      <c r="N411" s="2">
        <f t="shared" si="37"/>
        <v>0.6</v>
      </c>
    </row>
    <row r="412" spans="1:14" x14ac:dyDescent="0.25">
      <c r="A412" s="3">
        <v>44817</v>
      </c>
      <c r="C412" t="s">
        <v>2652</v>
      </c>
      <c r="F412" s="16"/>
      <c r="H412" s="2">
        <v>29.5</v>
      </c>
      <c r="I412" s="95">
        <f t="shared" si="34"/>
        <v>-3774.1399999999994</v>
      </c>
      <c r="M412">
        <f t="shared" si="38"/>
        <v>2176.1099999999997</v>
      </c>
      <c r="N412" s="2">
        <f t="shared" si="37"/>
        <v>0.11800000000000001</v>
      </c>
    </row>
    <row r="413" spans="1:14" x14ac:dyDescent="0.25">
      <c r="A413" s="3">
        <v>44817</v>
      </c>
      <c r="B413" s="11" t="s">
        <v>1475</v>
      </c>
      <c r="C413" t="s">
        <v>2406</v>
      </c>
      <c r="D413" s="58">
        <v>7480052292</v>
      </c>
      <c r="F413" s="16">
        <v>225614435708</v>
      </c>
      <c r="G413" s="2">
        <v>1000</v>
      </c>
      <c r="I413" s="95">
        <f t="shared" si="34"/>
        <v>-2774.1399999999994</v>
      </c>
      <c r="M413">
        <f t="shared" si="38"/>
        <v>3176.1099999999997</v>
      </c>
      <c r="N413" s="2">
        <f t="shared" si="37"/>
        <v>4</v>
      </c>
    </row>
    <row r="414" spans="1:14" x14ac:dyDescent="0.25">
      <c r="A414" s="3">
        <v>44817</v>
      </c>
      <c r="B414" s="11" t="s">
        <v>1253</v>
      </c>
      <c r="C414" t="s">
        <v>2644</v>
      </c>
      <c r="F414" s="16">
        <v>225618745262</v>
      </c>
      <c r="G414" s="2">
        <v>8000</v>
      </c>
      <c r="I414" s="95">
        <f t="shared" si="34"/>
        <v>5225.8600000000006</v>
      </c>
      <c r="M414">
        <f t="shared" si="38"/>
        <v>11176.11</v>
      </c>
      <c r="N414" s="2">
        <f t="shared" si="37"/>
        <v>20</v>
      </c>
    </row>
    <row r="415" spans="1:14" x14ac:dyDescent="0.25">
      <c r="A415" s="3">
        <v>44817</v>
      </c>
      <c r="B415" s="11" t="s">
        <v>2288</v>
      </c>
      <c r="C415" t="s">
        <v>2002</v>
      </c>
      <c r="F415" s="16"/>
      <c r="G415" s="2">
        <v>1000</v>
      </c>
      <c r="I415" s="95">
        <f t="shared" si="34"/>
        <v>6225.8600000000006</v>
      </c>
      <c r="M415">
        <f t="shared" si="38"/>
        <v>12176.11</v>
      </c>
      <c r="N415" s="2">
        <f t="shared" si="37"/>
        <v>4</v>
      </c>
    </row>
    <row r="416" spans="1:14" x14ac:dyDescent="0.25">
      <c r="A416" s="3">
        <v>44818</v>
      </c>
      <c r="B416" s="11" t="s">
        <v>1163</v>
      </c>
      <c r="C416" t="s">
        <v>2653</v>
      </c>
      <c r="D416" s="58">
        <v>8809544365</v>
      </c>
      <c r="F416" s="16">
        <v>225717443795</v>
      </c>
      <c r="G416" s="2">
        <v>5000</v>
      </c>
      <c r="I416" s="95">
        <f t="shared" si="34"/>
        <v>11225.86</v>
      </c>
      <c r="M416">
        <f t="shared" si="38"/>
        <v>17176.11</v>
      </c>
      <c r="N416" s="2">
        <f t="shared" si="37"/>
        <v>20</v>
      </c>
    </row>
    <row r="417" spans="1:14" x14ac:dyDescent="0.25">
      <c r="A417" s="3">
        <v>44818</v>
      </c>
      <c r="B417" s="11" t="s">
        <v>2300</v>
      </c>
      <c r="C417" t="s">
        <v>2580</v>
      </c>
      <c r="D417" s="58">
        <v>7763928089</v>
      </c>
      <c r="F417" s="16">
        <v>225717471488</v>
      </c>
      <c r="G417" s="2">
        <v>3950</v>
      </c>
      <c r="I417" s="95">
        <f t="shared" si="34"/>
        <v>15175.86</v>
      </c>
      <c r="M417">
        <f t="shared" si="38"/>
        <v>21126.11</v>
      </c>
      <c r="N417" s="2">
        <f t="shared" si="37"/>
        <v>15.8</v>
      </c>
    </row>
    <row r="418" spans="1:14" x14ac:dyDescent="0.25">
      <c r="A418" s="3">
        <v>44818</v>
      </c>
      <c r="B418" s="11" t="s">
        <v>2144</v>
      </c>
      <c r="C418" t="s">
        <v>1282</v>
      </c>
      <c r="F418" s="16"/>
      <c r="H418" s="2">
        <v>10000</v>
      </c>
      <c r="I418" s="95">
        <f t="shared" si="34"/>
        <v>5175.8600000000006</v>
      </c>
      <c r="M418">
        <f t="shared" si="38"/>
        <v>11126.11</v>
      </c>
      <c r="N418" s="2">
        <f t="shared" si="37"/>
        <v>20</v>
      </c>
    </row>
    <row r="419" spans="1:14" x14ac:dyDescent="0.25">
      <c r="A419" s="3">
        <v>44818</v>
      </c>
      <c r="B419" s="11" t="s">
        <v>1260</v>
      </c>
      <c r="C419" t="s">
        <v>2280</v>
      </c>
      <c r="F419" s="16">
        <v>225718577893</v>
      </c>
      <c r="H419" s="2">
        <v>5000</v>
      </c>
      <c r="I419" s="95">
        <f t="shared" si="34"/>
        <v>175.86000000000058</v>
      </c>
      <c r="M419">
        <f t="shared" si="38"/>
        <v>6126.1100000000006</v>
      </c>
      <c r="N419" s="2">
        <f t="shared" si="37"/>
        <v>20</v>
      </c>
    </row>
    <row r="420" spans="1:14" x14ac:dyDescent="0.25">
      <c r="A420" s="3">
        <v>44820</v>
      </c>
      <c r="B420" s="11" t="s">
        <v>2185</v>
      </c>
      <c r="C420" t="s">
        <v>1602</v>
      </c>
      <c r="F420" s="16"/>
      <c r="G420" s="2">
        <v>5000</v>
      </c>
      <c r="I420" s="95">
        <f t="shared" si="34"/>
        <v>5175.8600000000006</v>
      </c>
      <c r="M420">
        <f t="shared" si="38"/>
        <v>11126.11</v>
      </c>
      <c r="N420" s="2">
        <f t="shared" si="37"/>
        <v>20</v>
      </c>
    </row>
    <row r="421" spans="1:14" x14ac:dyDescent="0.25">
      <c r="A421" s="3">
        <v>44820</v>
      </c>
      <c r="B421" s="11" t="s">
        <v>2185</v>
      </c>
      <c r="C421" t="s">
        <v>1602</v>
      </c>
      <c r="F421" s="16"/>
      <c r="H421" s="94">
        <v>10000</v>
      </c>
      <c r="I421" s="95">
        <f t="shared" si="34"/>
        <v>-4824.1399999999994</v>
      </c>
      <c r="M421">
        <f t="shared" si="38"/>
        <v>1126.1100000000006</v>
      </c>
      <c r="N421" s="2">
        <f t="shared" si="37"/>
        <v>20</v>
      </c>
    </row>
    <row r="422" spans="1:14" x14ac:dyDescent="0.25">
      <c r="A422" s="3">
        <v>44821</v>
      </c>
      <c r="B422" s="11" t="s">
        <v>1163</v>
      </c>
      <c r="F422" s="16">
        <v>226010887679</v>
      </c>
      <c r="G422" s="2">
        <v>1000</v>
      </c>
      <c r="I422" s="95">
        <f t="shared" si="34"/>
        <v>-3824.1399999999994</v>
      </c>
      <c r="M422">
        <f t="shared" si="38"/>
        <v>2126.1100000000006</v>
      </c>
      <c r="N422" s="2">
        <f t="shared" si="37"/>
        <v>4</v>
      </c>
    </row>
    <row r="423" spans="1:14" x14ac:dyDescent="0.25">
      <c r="A423" s="3">
        <v>44821</v>
      </c>
      <c r="B423" s="11" t="s">
        <v>2185</v>
      </c>
      <c r="C423" t="s">
        <v>1602</v>
      </c>
      <c r="F423" s="16"/>
      <c r="H423" s="94">
        <v>500</v>
      </c>
      <c r="I423" s="95">
        <f t="shared" si="34"/>
        <v>-4324.1399999999994</v>
      </c>
      <c r="M423">
        <f t="shared" si="38"/>
        <v>1626.1100000000006</v>
      </c>
      <c r="N423" s="2">
        <f t="shared" si="37"/>
        <v>2</v>
      </c>
    </row>
    <row r="424" spans="1:14" x14ac:dyDescent="0.25">
      <c r="A424" s="3">
        <v>44821</v>
      </c>
      <c r="B424" s="11" t="s">
        <v>1253</v>
      </c>
      <c r="C424" t="s">
        <v>2467</v>
      </c>
      <c r="F424" s="16">
        <v>226011431005</v>
      </c>
      <c r="G424" s="2">
        <v>1000</v>
      </c>
      <c r="I424" s="95">
        <f t="shared" si="34"/>
        <v>-3324.1399999999994</v>
      </c>
      <c r="M424">
        <f t="shared" si="38"/>
        <v>2626.1100000000006</v>
      </c>
      <c r="N424" s="2">
        <f t="shared" si="37"/>
        <v>4</v>
      </c>
    </row>
    <row r="425" spans="1:14" x14ac:dyDescent="0.25">
      <c r="A425" s="3">
        <v>44821</v>
      </c>
      <c r="B425" s="11" t="s">
        <v>1253</v>
      </c>
      <c r="C425" t="s">
        <v>2654</v>
      </c>
      <c r="F425" s="16"/>
      <c r="G425" s="2">
        <v>3500</v>
      </c>
      <c r="I425" s="95">
        <f t="shared" si="34"/>
        <v>175.86000000000058</v>
      </c>
      <c r="M425">
        <f t="shared" si="38"/>
        <v>6126.1100000000006</v>
      </c>
      <c r="N425" s="2">
        <f t="shared" si="37"/>
        <v>14</v>
      </c>
    </row>
    <row r="426" spans="1:14" x14ac:dyDescent="0.25">
      <c r="A426" s="3">
        <v>44822</v>
      </c>
      <c r="B426" s="11" t="s">
        <v>2247</v>
      </c>
      <c r="C426" t="s">
        <v>2655</v>
      </c>
      <c r="D426" s="58">
        <v>6294902878</v>
      </c>
      <c r="F426" s="16">
        <v>226111240261</v>
      </c>
      <c r="G426" s="2">
        <v>4000</v>
      </c>
      <c r="I426" s="95">
        <f t="shared" si="34"/>
        <v>4175.8600000000006</v>
      </c>
      <c r="M426">
        <f t="shared" si="38"/>
        <v>10126.11</v>
      </c>
      <c r="N426" s="2">
        <f t="shared" si="37"/>
        <v>16</v>
      </c>
    </row>
    <row r="427" spans="1:14" x14ac:dyDescent="0.25">
      <c r="A427" s="3">
        <v>44822</v>
      </c>
      <c r="B427" s="11" t="s">
        <v>2349</v>
      </c>
      <c r="C427" t="s">
        <v>1282</v>
      </c>
      <c r="F427" s="16">
        <v>226111244101</v>
      </c>
      <c r="H427" s="2">
        <v>10000</v>
      </c>
      <c r="I427" s="95">
        <f t="shared" si="34"/>
        <v>-5824.1399999999994</v>
      </c>
      <c r="M427">
        <f t="shared" si="38"/>
        <v>126.11000000000058</v>
      </c>
      <c r="N427" s="2">
        <f t="shared" si="37"/>
        <v>20</v>
      </c>
    </row>
    <row r="428" spans="1:14" x14ac:dyDescent="0.25">
      <c r="A428" s="3">
        <v>44823</v>
      </c>
      <c r="B428" s="11" t="s">
        <v>1253</v>
      </c>
      <c r="C428" t="s">
        <v>2657</v>
      </c>
      <c r="F428" s="16"/>
      <c r="G428" s="2">
        <v>300</v>
      </c>
      <c r="I428" s="95">
        <f t="shared" si="34"/>
        <v>-5524.1399999999994</v>
      </c>
      <c r="M428">
        <f t="shared" si="38"/>
        <v>426.11000000000058</v>
      </c>
      <c r="N428" s="2">
        <f t="shared" si="37"/>
        <v>1.2</v>
      </c>
    </row>
    <row r="429" spans="1:14" x14ac:dyDescent="0.25">
      <c r="A429" s="3">
        <v>44823</v>
      </c>
      <c r="B429" s="11" t="s">
        <v>1475</v>
      </c>
      <c r="C429" t="s">
        <v>2512</v>
      </c>
      <c r="F429" s="16">
        <v>226217497718</v>
      </c>
      <c r="G429" s="2">
        <v>4000</v>
      </c>
      <c r="I429" s="95">
        <f t="shared" si="34"/>
        <v>-1524.1399999999994</v>
      </c>
      <c r="M429">
        <f t="shared" si="38"/>
        <v>4426.1100000000006</v>
      </c>
      <c r="N429" s="2">
        <f t="shared" si="37"/>
        <v>16</v>
      </c>
    </row>
    <row r="430" spans="1:14" x14ac:dyDescent="0.25">
      <c r="A430" s="3">
        <v>44823</v>
      </c>
      <c r="B430" s="11">
        <v>4482</v>
      </c>
      <c r="C430" t="s">
        <v>1648</v>
      </c>
      <c r="F430" s="16">
        <v>226217517280</v>
      </c>
      <c r="H430" s="2">
        <v>2000</v>
      </c>
      <c r="I430" s="95">
        <f t="shared" si="34"/>
        <v>-3524.1399999999994</v>
      </c>
      <c r="M430">
        <f t="shared" si="38"/>
        <v>2426.1100000000006</v>
      </c>
      <c r="N430" s="2">
        <f t="shared" si="37"/>
        <v>8</v>
      </c>
    </row>
    <row r="431" spans="1:14" x14ac:dyDescent="0.25">
      <c r="A431" s="3">
        <v>44823</v>
      </c>
      <c r="B431" s="11" t="s">
        <v>1253</v>
      </c>
      <c r="C431" t="s">
        <v>2654</v>
      </c>
      <c r="F431" s="16">
        <v>226218579702</v>
      </c>
      <c r="G431" s="2">
        <v>4500</v>
      </c>
      <c r="I431" s="95">
        <f t="shared" si="34"/>
        <v>975.86000000000058</v>
      </c>
      <c r="M431">
        <f t="shared" si="38"/>
        <v>6926.1100000000006</v>
      </c>
      <c r="N431" s="2">
        <f t="shared" si="37"/>
        <v>18</v>
      </c>
    </row>
    <row r="432" spans="1:14" x14ac:dyDescent="0.25">
      <c r="A432" s="3">
        <v>44823</v>
      </c>
      <c r="B432" s="11" t="s">
        <v>2277</v>
      </c>
      <c r="C432" t="s">
        <v>2519</v>
      </c>
      <c r="D432" s="58">
        <v>7739221846</v>
      </c>
      <c r="F432" s="16">
        <v>226218622013</v>
      </c>
      <c r="G432" s="2">
        <v>4500</v>
      </c>
      <c r="I432" s="95">
        <f t="shared" si="34"/>
        <v>5475.8600000000006</v>
      </c>
      <c r="M432">
        <f t="shared" si="38"/>
        <v>11426.11</v>
      </c>
      <c r="N432" s="2">
        <f t="shared" si="37"/>
        <v>18</v>
      </c>
    </row>
    <row r="433" spans="1:14" x14ac:dyDescent="0.25">
      <c r="A433" s="3">
        <v>44823</v>
      </c>
      <c r="B433" s="11" t="s">
        <v>2349</v>
      </c>
      <c r="C433" t="s">
        <v>1282</v>
      </c>
      <c r="F433" s="16"/>
      <c r="H433" s="2">
        <v>10000</v>
      </c>
      <c r="I433" s="95">
        <f t="shared" si="34"/>
        <v>-4524.1399999999994</v>
      </c>
      <c r="M433">
        <f t="shared" si="38"/>
        <v>1426.1100000000006</v>
      </c>
      <c r="N433" s="2">
        <f t="shared" si="37"/>
        <v>20</v>
      </c>
    </row>
    <row r="434" spans="1:14" x14ac:dyDescent="0.25">
      <c r="A434" s="3">
        <v>44823</v>
      </c>
      <c r="B434" s="11" t="s">
        <v>2662</v>
      </c>
      <c r="C434" t="s">
        <v>2659</v>
      </c>
      <c r="E434" s="115" t="s">
        <v>16</v>
      </c>
      <c r="F434" s="16">
        <v>226219860120</v>
      </c>
      <c r="H434" s="2">
        <v>500</v>
      </c>
      <c r="I434" s="95">
        <f t="shared" si="34"/>
        <v>-5024.1399999999994</v>
      </c>
      <c r="M434">
        <f t="shared" si="38"/>
        <v>926.11000000000058</v>
      </c>
      <c r="N434" s="2">
        <f t="shared" si="37"/>
        <v>27</v>
      </c>
    </row>
    <row r="435" spans="1:14" x14ac:dyDescent="0.25">
      <c r="A435" s="3">
        <v>44824</v>
      </c>
      <c r="B435" s="11" t="s">
        <v>2238</v>
      </c>
      <c r="C435" t="s">
        <v>2239</v>
      </c>
      <c r="D435" s="58">
        <v>7004459030</v>
      </c>
      <c r="F435" s="16"/>
      <c r="H435" s="2">
        <v>500</v>
      </c>
      <c r="I435" s="95">
        <f t="shared" si="34"/>
        <v>-5524.1399999999994</v>
      </c>
      <c r="M435">
        <f t="shared" si="38"/>
        <v>426.11000000000058</v>
      </c>
      <c r="N435" s="2">
        <f t="shared" si="37"/>
        <v>2</v>
      </c>
    </row>
    <row r="436" spans="1:14" x14ac:dyDescent="0.25">
      <c r="A436" s="3">
        <v>44824</v>
      </c>
      <c r="B436" s="11" t="s">
        <v>2672</v>
      </c>
      <c r="C436" t="s">
        <v>2673</v>
      </c>
      <c r="E436" s="115" t="s">
        <v>16</v>
      </c>
      <c r="F436" s="16"/>
      <c r="H436" s="2">
        <v>100</v>
      </c>
      <c r="I436" s="95">
        <f t="shared" si="34"/>
        <v>-5624.1399999999994</v>
      </c>
      <c r="M436">
        <f t="shared" si="38"/>
        <v>326.11000000000058</v>
      </c>
      <c r="N436" s="2">
        <f t="shared" si="37"/>
        <v>25.4</v>
      </c>
    </row>
    <row r="437" spans="1:14" x14ac:dyDescent="0.25">
      <c r="A437" s="3">
        <v>44825</v>
      </c>
      <c r="B437" s="11" t="s">
        <v>2671</v>
      </c>
      <c r="C437" t="s">
        <v>2668</v>
      </c>
      <c r="E437" s="115" t="s">
        <v>16</v>
      </c>
      <c r="F437" s="16"/>
      <c r="H437" s="2">
        <v>200</v>
      </c>
      <c r="I437" s="95">
        <f t="shared" si="34"/>
        <v>-5824.1399999999994</v>
      </c>
      <c r="M437">
        <f t="shared" si="38"/>
        <v>126.11000000000058</v>
      </c>
      <c r="N437" s="2">
        <f t="shared" ref="N437:N464" si="39">IF((G437+H437)&lt;=5000,(H437+G437)*0.004,20)+IF(E437="Y",25,0)</f>
        <v>25.8</v>
      </c>
    </row>
    <row r="438" spans="1:14" x14ac:dyDescent="0.25">
      <c r="A438" s="3">
        <v>44825</v>
      </c>
      <c r="B438" s="11" t="s">
        <v>1253</v>
      </c>
      <c r="C438" t="s">
        <v>2674</v>
      </c>
      <c r="F438" s="16"/>
      <c r="G438" s="2">
        <v>500</v>
      </c>
      <c r="I438" s="95">
        <f t="shared" si="34"/>
        <v>-5324.1399999999994</v>
      </c>
      <c r="M438">
        <f t="shared" si="38"/>
        <v>626.11000000000058</v>
      </c>
      <c r="N438" s="2">
        <f t="shared" si="39"/>
        <v>2</v>
      </c>
    </row>
    <row r="439" spans="1:14" x14ac:dyDescent="0.25">
      <c r="A439" s="3">
        <v>44825</v>
      </c>
      <c r="B439" s="11" t="s">
        <v>2676</v>
      </c>
      <c r="C439" t="s">
        <v>2675</v>
      </c>
      <c r="D439" s="58">
        <v>7301498621</v>
      </c>
      <c r="E439" s="115" t="s">
        <v>16</v>
      </c>
      <c r="F439" s="16"/>
      <c r="H439" s="2">
        <v>200</v>
      </c>
      <c r="I439" s="95">
        <f t="shared" si="34"/>
        <v>-5524.1399999999994</v>
      </c>
      <c r="M439">
        <f t="shared" ref="M439:M464" si="40">M438+G439-H439</f>
        <v>426.11000000000058</v>
      </c>
      <c r="N439" s="2">
        <f t="shared" si="39"/>
        <v>25.8</v>
      </c>
    </row>
    <row r="440" spans="1:14" x14ac:dyDescent="0.25">
      <c r="A440" s="3">
        <v>44825</v>
      </c>
      <c r="B440" s="60" t="s">
        <v>2682</v>
      </c>
      <c r="C440" s="8" t="s">
        <v>2683</v>
      </c>
      <c r="D440" s="88"/>
      <c r="E440" s="121"/>
      <c r="F440" s="42"/>
      <c r="G440" s="64">
        <v>1216</v>
      </c>
      <c r="I440" s="95">
        <f t="shared" si="34"/>
        <v>-4308.1399999999994</v>
      </c>
      <c r="M440">
        <f t="shared" si="40"/>
        <v>1642.1100000000006</v>
      </c>
      <c r="N440" s="2">
        <f t="shared" si="39"/>
        <v>4.8639999999999999</v>
      </c>
    </row>
    <row r="441" spans="1:14" x14ac:dyDescent="0.25">
      <c r="A441" s="3">
        <v>44826</v>
      </c>
      <c r="B441" s="11" t="s">
        <v>1475</v>
      </c>
      <c r="F441" s="16">
        <v>226510356624</v>
      </c>
      <c r="G441" s="2">
        <v>2000</v>
      </c>
      <c r="I441" s="95">
        <f t="shared" si="34"/>
        <v>-2308.1399999999994</v>
      </c>
      <c r="M441">
        <f t="shared" si="40"/>
        <v>3642.1100000000006</v>
      </c>
      <c r="N441" s="2">
        <f t="shared" si="39"/>
        <v>8</v>
      </c>
    </row>
    <row r="442" spans="1:14" x14ac:dyDescent="0.25">
      <c r="A442" s="3">
        <v>44826</v>
      </c>
      <c r="B442" s="11" t="s">
        <v>2680</v>
      </c>
      <c r="C442" t="s">
        <v>2681</v>
      </c>
      <c r="F442" s="16">
        <v>226510374212</v>
      </c>
      <c r="H442" s="2">
        <v>1000</v>
      </c>
      <c r="I442" s="95">
        <f t="shared" si="34"/>
        <v>-3308.1399999999994</v>
      </c>
      <c r="M442">
        <f t="shared" si="40"/>
        <v>2642.1100000000006</v>
      </c>
      <c r="N442" s="2">
        <f t="shared" si="39"/>
        <v>4</v>
      </c>
    </row>
    <row r="443" spans="1:14" x14ac:dyDescent="0.25">
      <c r="A443" s="3">
        <v>44826</v>
      </c>
      <c r="B443" s="11" t="s">
        <v>2684</v>
      </c>
      <c r="C443" t="s">
        <v>2685</v>
      </c>
      <c r="E443" s="115" t="s">
        <v>14</v>
      </c>
      <c r="F443" s="16"/>
      <c r="H443" s="2">
        <v>100</v>
      </c>
      <c r="I443" s="95">
        <f t="shared" si="34"/>
        <v>-3408.1399999999994</v>
      </c>
      <c r="M443">
        <f t="shared" si="40"/>
        <v>2542.1100000000006</v>
      </c>
      <c r="N443" s="2">
        <f t="shared" si="39"/>
        <v>25.4</v>
      </c>
    </row>
    <row r="444" spans="1:14" x14ac:dyDescent="0.25">
      <c r="A444" s="3">
        <v>44828</v>
      </c>
      <c r="B444" s="11" t="s">
        <v>2568</v>
      </c>
      <c r="C444" t="s">
        <v>2698</v>
      </c>
      <c r="F444" s="16"/>
      <c r="H444" s="2">
        <v>1000</v>
      </c>
      <c r="I444" s="95">
        <f t="shared" si="34"/>
        <v>-4408.1399999999994</v>
      </c>
      <c r="M444">
        <f t="shared" si="40"/>
        <v>1542.1100000000006</v>
      </c>
      <c r="N444" s="2">
        <f t="shared" si="39"/>
        <v>4</v>
      </c>
    </row>
    <row r="445" spans="1:14" x14ac:dyDescent="0.25">
      <c r="A445" s="3">
        <v>44828</v>
      </c>
      <c r="B445" s="11" t="s">
        <v>1163</v>
      </c>
      <c r="C445" t="s">
        <v>2699</v>
      </c>
      <c r="F445" s="16">
        <v>226718264666</v>
      </c>
      <c r="G445" s="2">
        <v>1000</v>
      </c>
      <c r="I445" s="95">
        <f t="shared" si="34"/>
        <v>-3408.1399999999994</v>
      </c>
      <c r="M445">
        <f t="shared" si="40"/>
        <v>2542.1100000000006</v>
      </c>
      <c r="N445" s="2">
        <f t="shared" si="39"/>
        <v>4</v>
      </c>
    </row>
    <row r="446" spans="1:14" x14ac:dyDescent="0.25">
      <c r="A446" s="3">
        <v>44828</v>
      </c>
      <c r="B446" s="11" t="s">
        <v>1253</v>
      </c>
      <c r="C446" t="s">
        <v>2290</v>
      </c>
      <c r="F446" s="16"/>
      <c r="G446" s="2">
        <v>1000</v>
      </c>
      <c r="I446" s="95">
        <f t="shared" si="34"/>
        <v>-2408.1399999999994</v>
      </c>
      <c r="M446">
        <f t="shared" si="40"/>
        <v>3542.1100000000006</v>
      </c>
      <c r="N446" s="2">
        <f t="shared" si="39"/>
        <v>4</v>
      </c>
    </row>
    <row r="447" spans="1:14" x14ac:dyDescent="0.25">
      <c r="A447" s="3">
        <v>44829</v>
      </c>
      <c r="B447" s="11" t="s">
        <v>2205</v>
      </c>
      <c r="C447" t="s">
        <v>2196</v>
      </c>
      <c r="F447" s="16">
        <v>226812221273</v>
      </c>
      <c r="G447" s="2">
        <v>4000</v>
      </c>
      <c r="I447" s="95">
        <f t="shared" si="34"/>
        <v>1591.8600000000006</v>
      </c>
      <c r="M447">
        <f t="shared" si="40"/>
        <v>7542.1100000000006</v>
      </c>
      <c r="N447" s="2">
        <f t="shared" si="39"/>
        <v>16</v>
      </c>
    </row>
    <row r="448" spans="1:14" x14ac:dyDescent="0.25">
      <c r="A448" s="3">
        <v>44829</v>
      </c>
      <c r="B448" s="11" t="s">
        <v>1253</v>
      </c>
      <c r="C448" t="s">
        <v>2467</v>
      </c>
      <c r="F448" s="16">
        <v>226820618226</v>
      </c>
      <c r="G448" s="2">
        <v>1000</v>
      </c>
      <c r="I448" s="95">
        <f t="shared" si="34"/>
        <v>2591.8600000000006</v>
      </c>
      <c r="M448">
        <f t="shared" si="40"/>
        <v>8542.11</v>
      </c>
      <c r="N448" s="2">
        <f t="shared" si="39"/>
        <v>4</v>
      </c>
    </row>
    <row r="449" spans="1:14" x14ac:dyDescent="0.25">
      <c r="A449" s="3">
        <v>44830</v>
      </c>
      <c r="B449" s="11" t="s">
        <v>2247</v>
      </c>
      <c r="C449" t="s">
        <v>2655</v>
      </c>
      <c r="D449" s="58">
        <v>6294902878</v>
      </c>
      <c r="F449" s="16">
        <v>226910152429</v>
      </c>
      <c r="G449" s="2">
        <v>4000</v>
      </c>
      <c r="I449" s="95">
        <f t="shared" si="34"/>
        <v>6591.8600000000006</v>
      </c>
      <c r="M449">
        <f t="shared" si="40"/>
        <v>12542.11</v>
      </c>
      <c r="N449" s="2">
        <f t="shared" si="39"/>
        <v>16</v>
      </c>
    </row>
    <row r="450" spans="1:14" x14ac:dyDescent="0.25">
      <c r="A450" s="3">
        <v>44830</v>
      </c>
      <c r="B450" s="11" t="s">
        <v>2700</v>
      </c>
      <c r="C450" t="s">
        <v>2304</v>
      </c>
      <c r="F450" s="16">
        <v>226910191309</v>
      </c>
      <c r="G450" s="2">
        <v>3000</v>
      </c>
      <c r="I450" s="95">
        <f t="shared" si="34"/>
        <v>9591.86</v>
      </c>
      <c r="M450">
        <f t="shared" si="40"/>
        <v>15542.11</v>
      </c>
      <c r="N450" s="2">
        <f t="shared" si="39"/>
        <v>12</v>
      </c>
    </row>
    <row r="451" spans="1:14" x14ac:dyDescent="0.25">
      <c r="A451" s="3">
        <v>44830</v>
      </c>
      <c r="B451" s="11" t="s">
        <v>2704</v>
      </c>
      <c r="C451" t="s">
        <v>2702</v>
      </c>
      <c r="E451" s="115" t="s">
        <v>16</v>
      </c>
      <c r="F451" s="16"/>
      <c r="H451" s="2">
        <v>500</v>
      </c>
      <c r="I451" s="95">
        <f t="shared" si="34"/>
        <v>9091.86</v>
      </c>
      <c r="M451">
        <f t="shared" si="40"/>
        <v>15042.11</v>
      </c>
      <c r="N451" s="2">
        <f t="shared" si="39"/>
        <v>27</v>
      </c>
    </row>
    <row r="452" spans="1:14" x14ac:dyDescent="0.25">
      <c r="A452" s="3">
        <v>44830</v>
      </c>
      <c r="B452" s="11" t="s">
        <v>2277</v>
      </c>
      <c r="C452" t="s">
        <v>2519</v>
      </c>
      <c r="D452" s="58">
        <v>7739221846</v>
      </c>
      <c r="F452" s="16">
        <v>226912433945</v>
      </c>
      <c r="G452" s="2">
        <v>2500</v>
      </c>
      <c r="I452" s="95">
        <f t="shared" si="34"/>
        <v>11591.86</v>
      </c>
      <c r="M452">
        <f t="shared" si="40"/>
        <v>17542.11</v>
      </c>
      <c r="N452" s="2">
        <f t="shared" si="39"/>
        <v>10</v>
      </c>
    </row>
    <row r="453" spans="1:14" x14ac:dyDescent="0.25">
      <c r="A453" s="3">
        <v>44831</v>
      </c>
      <c r="B453" s="11" t="s">
        <v>2647</v>
      </c>
      <c r="C453" t="s">
        <v>1637</v>
      </c>
      <c r="F453" s="16"/>
      <c r="G453" s="2">
        <v>500</v>
      </c>
      <c r="I453" s="95">
        <f t="shared" si="34"/>
        <v>12091.86</v>
      </c>
      <c r="M453">
        <f t="shared" si="40"/>
        <v>18042.11</v>
      </c>
      <c r="N453" s="2">
        <f t="shared" si="39"/>
        <v>2</v>
      </c>
    </row>
    <row r="454" spans="1:14" x14ac:dyDescent="0.25">
      <c r="A454" s="3">
        <v>44831</v>
      </c>
      <c r="B454" s="11" t="s">
        <v>2365</v>
      </c>
      <c r="C454" t="s">
        <v>2705</v>
      </c>
      <c r="D454" s="58">
        <v>9693980960</v>
      </c>
      <c r="F454" s="16"/>
      <c r="G454" s="2">
        <v>500</v>
      </c>
      <c r="I454" s="95">
        <f t="shared" si="34"/>
        <v>12591.86</v>
      </c>
      <c r="M454">
        <f t="shared" si="40"/>
        <v>18542.11</v>
      </c>
      <c r="N454" s="2">
        <f t="shared" si="39"/>
        <v>2</v>
      </c>
    </row>
    <row r="455" spans="1:14" x14ac:dyDescent="0.25">
      <c r="A455" s="3">
        <v>44831</v>
      </c>
      <c r="B455" s="11" t="s">
        <v>2247</v>
      </c>
      <c r="C455" t="s">
        <v>2706</v>
      </c>
      <c r="F455" s="16">
        <v>227019797698</v>
      </c>
      <c r="G455" s="2">
        <v>2000</v>
      </c>
      <c r="I455" s="95">
        <f t="shared" si="34"/>
        <v>14591.86</v>
      </c>
      <c r="M455">
        <f t="shared" si="40"/>
        <v>20542.11</v>
      </c>
      <c r="N455" s="2">
        <f t="shared" si="39"/>
        <v>8</v>
      </c>
    </row>
    <row r="456" spans="1:14" x14ac:dyDescent="0.25">
      <c r="A456" s="3">
        <v>44831</v>
      </c>
      <c r="B456" s="11" t="s">
        <v>2707</v>
      </c>
      <c r="C456" t="s">
        <v>2708</v>
      </c>
      <c r="F456" s="16"/>
      <c r="H456" s="2">
        <v>10000</v>
      </c>
      <c r="I456" s="95">
        <f t="shared" si="34"/>
        <v>4591.8600000000006</v>
      </c>
      <c r="M456">
        <f t="shared" si="40"/>
        <v>10542.11</v>
      </c>
      <c r="N456" s="2">
        <f t="shared" si="39"/>
        <v>20</v>
      </c>
    </row>
    <row r="457" spans="1:14" x14ac:dyDescent="0.25">
      <c r="A457" s="3">
        <v>44832</v>
      </c>
      <c r="B457" s="11" t="s">
        <v>2438</v>
      </c>
      <c r="C457" t="s">
        <v>2709</v>
      </c>
      <c r="D457" s="58">
        <v>8603846373</v>
      </c>
      <c r="F457" s="16">
        <v>227112279789</v>
      </c>
      <c r="G457" s="2">
        <v>1000</v>
      </c>
      <c r="I457" s="95">
        <f t="shared" ref="I457:I464" si="41">I456+G457-H457</f>
        <v>5591.8600000000006</v>
      </c>
      <c r="M457">
        <f t="shared" si="40"/>
        <v>11542.11</v>
      </c>
      <c r="N457" s="2">
        <f t="shared" si="39"/>
        <v>4</v>
      </c>
    </row>
    <row r="458" spans="1:14" x14ac:dyDescent="0.25">
      <c r="A458" s="3">
        <v>44832</v>
      </c>
      <c r="B458" s="11" t="s">
        <v>2710</v>
      </c>
      <c r="C458" t="s">
        <v>2711</v>
      </c>
      <c r="F458" s="16">
        <v>227112298766</v>
      </c>
      <c r="H458" s="2">
        <v>500</v>
      </c>
      <c r="I458" s="95">
        <f t="shared" si="41"/>
        <v>5091.8600000000006</v>
      </c>
      <c r="M458">
        <f t="shared" si="40"/>
        <v>11042.11</v>
      </c>
      <c r="N458" s="2">
        <f t="shared" si="39"/>
        <v>2</v>
      </c>
    </row>
    <row r="459" spans="1:14" x14ac:dyDescent="0.25">
      <c r="A459" s="3">
        <v>44832</v>
      </c>
      <c r="B459" s="11" t="s">
        <v>2707</v>
      </c>
      <c r="C459" t="s">
        <v>2708</v>
      </c>
      <c r="F459" s="16"/>
      <c r="H459" s="2">
        <v>5000</v>
      </c>
      <c r="I459" s="95">
        <f t="shared" si="41"/>
        <v>91.860000000000582</v>
      </c>
      <c r="M459">
        <f t="shared" si="40"/>
        <v>6042.1100000000006</v>
      </c>
      <c r="N459" s="2">
        <f t="shared" si="39"/>
        <v>20</v>
      </c>
    </row>
    <row r="460" spans="1:14" x14ac:dyDescent="0.25">
      <c r="A460" s="3">
        <v>44834</v>
      </c>
      <c r="B460" s="11" t="s">
        <v>2721</v>
      </c>
      <c r="C460" t="s">
        <v>2722</v>
      </c>
      <c r="F460" s="16"/>
      <c r="H460" s="2">
        <v>5000</v>
      </c>
      <c r="I460" s="95">
        <f t="shared" si="41"/>
        <v>-4908.1399999999994</v>
      </c>
      <c r="M460">
        <f t="shared" si="40"/>
        <v>1042.1100000000006</v>
      </c>
      <c r="N460" s="2">
        <f t="shared" si="39"/>
        <v>20</v>
      </c>
    </row>
    <row r="461" spans="1:14" x14ac:dyDescent="0.25">
      <c r="A461" s="3">
        <v>44834</v>
      </c>
      <c r="B461" s="11" t="s">
        <v>2723</v>
      </c>
      <c r="C461" t="s">
        <v>2724</v>
      </c>
      <c r="F461" s="16">
        <v>227317162613</v>
      </c>
      <c r="G461" s="2">
        <v>10000</v>
      </c>
      <c r="I461" s="95">
        <f t="shared" si="41"/>
        <v>5091.8600000000006</v>
      </c>
      <c r="M461">
        <f t="shared" si="40"/>
        <v>11042.11</v>
      </c>
      <c r="N461" s="2">
        <f t="shared" si="39"/>
        <v>20</v>
      </c>
    </row>
    <row r="462" spans="1:14" x14ac:dyDescent="0.25">
      <c r="A462" s="3">
        <v>44834</v>
      </c>
      <c r="B462" s="11" t="s">
        <v>1260</v>
      </c>
      <c r="C462" t="s">
        <v>2280</v>
      </c>
      <c r="F462" s="16">
        <v>227319535067</v>
      </c>
      <c r="H462" s="2">
        <v>8000</v>
      </c>
      <c r="I462" s="95">
        <f t="shared" si="41"/>
        <v>-2908.1399999999994</v>
      </c>
      <c r="M462">
        <f t="shared" si="40"/>
        <v>3042.1100000000006</v>
      </c>
      <c r="N462" s="2">
        <f t="shared" si="39"/>
        <v>20</v>
      </c>
    </row>
    <row r="463" spans="1:14" x14ac:dyDescent="0.25">
      <c r="A463" s="3">
        <v>44834</v>
      </c>
      <c r="B463" s="11" t="s">
        <v>1253</v>
      </c>
      <c r="C463" t="s">
        <v>2467</v>
      </c>
      <c r="F463" s="16">
        <v>227319543888</v>
      </c>
      <c r="G463" s="2">
        <v>3200</v>
      </c>
      <c r="I463" s="95">
        <f t="shared" si="41"/>
        <v>291.86000000000058</v>
      </c>
      <c r="M463">
        <f t="shared" si="40"/>
        <v>6242.1100000000006</v>
      </c>
      <c r="N463" s="2">
        <f t="shared" si="39"/>
        <v>12.8</v>
      </c>
    </row>
    <row r="464" spans="1:14" x14ac:dyDescent="0.25">
      <c r="A464" s="3">
        <v>44834</v>
      </c>
      <c r="B464" s="11" t="s">
        <v>1253</v>
      </c>
      <c r="C464" t="s">
        <v>2256</v>
      </c>
      <c r="D464" s="58">
        <v>9608087215</v>
      </c>
      <c r="F464" s="16">
        <v>227319556138</v>
      </c>
      <c r="G464" s="2">
        <v>1000</v>
      </c>
      <c r="I464" s="95">
        <f t="shared" si="41"/>
        <v>1291.8600000000006</v>
      </c>
      <c r="M464">
        <f t="shared" si="40"/>
        <v>7242.1100000000006</v>
      </c>
      <c r="N464" s="2">
        <f t="shared" si="39"/>
        <v>4</v>
      </c>
    </row>
    <row r="465" spans="1:16" x14ac:dyDescent="0.25">
      <c r="A465" s="97"/>
      <c r="B465" s="102"/>
      <c r="C465" s="27"/>
      <c r="D465" s="139"/>
      <c r="E465" s="117">
        <f>COUNTIF(E373:E464,"y")</f>
        <v>7</v>
      </c>
      <c r="F465" s="29">
        <f>G465+H465</f>
        <v>334045.5</v>
      </c>
      <c r="G465" s="103">
        <f>SUM(G374:G464)</f>
        <v>161566</v>
      </c>
      <c r="H465" s="103">
        <f>SUM(H374:H464)</f>
        <v>172479.5</v>
      </c>
      <c r="I465" s="103"/>
      <c r="J465" s="27"/>
      <c r="K465" s="27"/>
      <c r="L465" s="27"/>
      <c r="M465" s="27"/>
      <c r="N465" s="103">
        <f>SUM(N373:N464)</f>
        <v>1171.182</v>
      </c>
      <c r="O465" s="27">
        <f>SUM(O257:O464)</f>
        <v>0</v>
      </c>
      <c r="P465" s="27">
        <f>N465*0.8</f>
        <v>936.94560000000001</v>
      </c>
    </row>
    <row r="467" spans="1:16" x14ac:dyDescent="0.25">
      <c r="A467" s="3">
        <v>44835</v>
      </c>
      <c r="C467" t="s">
        <v>2725</v>
      </c>
      <c r="F467" s="16"/>
      <c r="I467" s="95">
        <v>7142.11</v>
      </c>
      <c r="N467" s="2">
        <f t="shared" ref="N467:N498" si="42">IF((G467+H467)&lt;=5000,(H467+G467)*0.004,20)+IF(E467="Y",25,0)</f>
        <v>0</v>
      </c>
    </row>
    <row r="468" spans="1:16" x14ac:dyDescent="0.25">
      <c r="A468" s="3">
        <v>44835</v>
      </c>
      <c r="B468" s="11" t="s">
        <v>2730</v>
      </c>
      <c r="C468" t="s">
        <v>2727</v>
      </c>
      <c r="E468" s="115" t="s">
        <v>16</v>
      </c>
      <c r="F468" s="16">
        <v>227413959282</v>
      </c>
      <c r="H468" s="2">
        <v>150</v>
      </c>
      <c r="I468" s="95">
        <f t="shared" ref="I468:I486" si="43">I467+G468-H468</f>
        <v>6992.11</v>
      </c>
      <c r="N468" s="2">
        <f t="shared" si="42"/>
        <v>25.6</v>
      </c>
    </row>
    <row r="469" spans="1:16" x14ac:dyDescent="0.25">
      <c r="A469" s="3">
        <v>44835</v>
      </c>
      <c r="B469" s="11" t="s">
        <v>2732</v>
      </c>
      <c r="C469" t="s">
        <v>2731</v>
      </c>
      <c r="E469" s="115" t="s">
        <v>16</v>
      </c>
      <c r="F469" s="16"/>
      <c r="H469" s="2">
        <v>100</v>
      </c>
      <c r="I469" s="95">
        <f t="shared" si="43"/>
        <v>6892.11</v>
      </c>
      <c r="N469" s="2">
        <f t="shared" si="42"/>
        <v>25.4</v>
      </c>
    </row>
    <row r="470" spans="1:16" x14ac:dyDescent="0.25">
      <c r="A470" s="3">
        <v>44835</v>
      </c>
      <c r="B470" s="11" t="s">
        <v>1163</v>
      </c>
      <c r="C470" t="s">
        <v>2733</v>
      </c>
      <c r="D470" s="58">
        <v>7903542834</v>
      </c>
      <c r="F470" s="16"/>
      <c r="G470" s="2">
        <v>3000</v>
      </c>
      <c r="I470" s="95">
        <f t="shared" si="43"/>
        <v>9892.11</v>
      </c>
      <c r="N470" s="2">
        <f t="shared" si="42"/>
        <v>12</v>
      </c>
    </row>
    <row r="471" spans="1:16" x14ac:dyDescent="0.25">
      <c r="A471" s="3">
        <v>44835</v>
      </c>
      <c r="B471" s="11" t="s">
        <v>2734</v>
      </c>
      <c r="C471" t="s">
        <v>2735</v>
      </c>
      <c r="F471" s="16">
        <v>227418184732</v>
      </c>
      <c r="H471" s="2">
        <v>2000</v>
      </c>
      <c r="I471" s="95">
        <f t="shared" si="43"/>
        <v>7892.1100000000006</v>
      </c>
      <c r="N471" s="2">
        <f t="shared" si="42"/>
        <v>8</v>
      </c>
    </row>
    <row r="472" spans="1:16" x14ac:dyDescent="0.25">
      <c r="A472" s="3">
        <v>44835</v>
      </c>
      <c r="B472" s="11" t="s">
        <v>2520</v>
      </c>
      <c r="C472" t="s">
        <v>2521</v>
      </c>
      <c r="F472" s="16">
        <v>227418315021</v>
      </c>
      <c r="H472" s="2">
        <v>1500</v>
      </c>
      <c r="I472" s="95">
        <f t="shared" si="43"/>
        <v>6392.1100000000006</v>
      </c>
      <c r="N472" s="2">
        <f t="shared" si="42"/>
        <v>6</v>
      </c>
    </row>
    <row r="473" spans="1:16" x14ac:dyDescent="0.25">
      <c r="A473" s="3">
        <v>44836</v>
      </c>
      <c r="B473" s="11" t="s">
        <v>2736</v>
      </c>
      <c r="C473" t="s">
        <v>915</v>
      </c>
      <c r="F473" s="16">
        <v>227510896356</v>
      </c>
      <c r="H473" s="2">
        <v>1500</v>
      </c>
      <c r="I473" s="95">
        <f t="shared" si="43"/>
        <v>4892.1100000000006</v>
      </c>
      <c r="N473" s="2">
        <f t="shared" si="42"/>
        <v>6</v>
      </c>
    </row>
    <row r="474" spans="1:16" x14ac:dyDescent="0.25">
      <c r="A474" s="3">
        <v>44836</v>
      </c>
      <c r="B474" s="11" t="s">
        <v>1163</v>
      </c>
      <c r="C474" t="s">
        <v>2737</v>
      </c>
      <c r="D474" s="58">
        <v>61400624231</v>
      </c>
      <c r="F474" s="16">
        <v>227513454961</v>
      </c>
      <c r="G474" s="2">
        <v>1000</v>
      </c>
      <c r="I474" s="95">
        <f t="shared" si="43"/>
        <v>5892.1100000000006</v>
      </c>
      <c r="N474" s="2">
        <f t="shared" si="42"/>
        <v>4</v>
      </c>
    </row>
    <row r="475" spans="1:16" x14ac:dyDescent="0.25">
      <c r="A475" s="3">
        <v>44837</v>
      </c>
      <c r="B475" s="11" t="s">
        <v>1163</v>
      </c>
      <c r="C475" t="s">
        <v>2738</v>
      </c>
      <c r="D475" s="58">
        <v>7992267817</v>
      </c>
      <c r="F475" s="16">
        <v>227610494218</v>
      </c>
      <c r="G475" s="2">
        <v>1000</v>
      </c>
      <c r="I475" s="95">
        <f t="shared" si="43"/>
        <v>6892.1100000000006</v>
      </c>
      <c r="N475" s="2">
        <f t="shared" si="42"/>
        <v>4</v>
      </c>
    </row>
    <row r="476" spans="1:16" x14ac:dyDescent="0.25">
      <c r="A476" s="3">
        <v>44837</v>
      </c>
      <c r="B476" s="11" t="s">
        <v>1475</v>
      </c>
      <c r="C476" t="s">
        <v>2739</v>
      </c>
      <c r="D476" s="58">
        <v>9102092283</v>
      </c>
      <c r="F476" s="16">
        <v>227611680837</v>
      </c>
      <c r="G476" s="2">
        <v>5000</v>
      </c>
      <c r="I476" s="95">
        <f t="shared" si="43"/>
        <v>11892.11</v>
      </c>
      <c r="N476" s="2">
        <f t="shared" si="42"/>
        <v>20</v>
      </c>
    </row>
    <row r="477" spans="1:16" x14ac:dyDescent="0.25">
      <c r="A477" s="3">
        <v>44837</v>
      </c>
      <c r="B477" s="11" t="s">
        <v>2143</v>
      </c>
      <c r="C477" t="s">
        <v>2280</v>
      </c>
      <c r="F477" s="16">
        <v>227612160559</v>
      </c>
      <c r="H477" s="2">
        <v>7000</v>
      </c>
      <c r="I477" s="95">
        <f t="shared" si="43"/>
        <v>4892.1100000000006</v>
      </c>
      <c r="N477" s="2">
        <f t="shared" si="42"/>
        <v>20</v>
      </c>
    </row>
    <row r="478" spans="1:16" x14ac:dyDescent="0.25">
      <c r="A478" s="3">
        <v>44837</v>
      </c>
      <c r="B478" s="11" t="s">
        <v>1163</v>
      </c>
      <c r="C478" t="s">
        <v>2740</v>
      </c>
      <c r="D478" s="58">
        <v>8102132045</v>
      </c>
      <c r="F478" s="16">
        <v>227612294873</v>
      </c>
      <c r="G478" s="2">
        <v>1500</v>
      </c>
      <c r="I478" s="95">
        <f t="shared" si="43"/>
        <v>6392.1100000000006</v>
      </c>
      <c r="N478" s="2">
        <f t="shared" si="42"/>
        <v>6</v>
      </c>
    </row>
    <row r="479" spans="1:16" x14ac:dyDescent="0.25">
      <c r="A479" s="3">
        <v>44838</v>
      </c>
      <c r="B479" s="11" t="s">
        <v>1163</v>
      </c>
      <c r="C479" t="s">
        <v>2741</v>
      </c>
      <c r="D479" s="58">
        <v>9204268926</v>
      </c>
      <c r="F479" s="16">
        <v>227710117643</v>
      </c>
      <c r="G479" s="2">
        <v>1000</v>
      </c>
      <c r="I479" s="95">
        <f t="shared" si="43"/>
        <v>7392.1100000000006</v>
      </c>
      <c r="N479" s="2">
        <f t="shared" si="42"/>
        <v>4</v>
      </c>
    </row>
    <row r="480" spans="1:16" x14ac:dyDescent="0.25">
      <c r="A480" s="3">
        <v>44838</v>
      </c>
      <c r="B480" s="11" t="s">
        <v>2143</v>
      </c>
      <c r="C480" t="s">
        <v>2280</v>
      </c>
      <c r="F480" s="16">
        <v>227710128626</v>
      </c>
      <c r="H480" s="2">
        <v>5000</v>
      </c>
      <c r="I480" s="95">
        <f t="shared" si="43"/>
        <v>2392.1100000000006</v>
      </c>
      <c r="N480" s="2">
        <f t="shared" si="42"/>
        <v>20</v>
      </c>
    </row>
    <row r="481" spans="1:14" x14ac:dyDescent="0.25">
      <c r="A481" s="3">
        <v>44840</v>
      </c>
      <c r="B481" s="11" t="s">
        <v>2438</v>
      </c>
      <c r="C481" t="s">
        <v>2742</v>
      </c>
      <c r="F481" s="16">
        <v>227911394992</v>
      </c>
      <c r="G481" s="2">
        <v>1000</v>
      </c>
      <c r="I481" s="95">
        <f t="shared" si="43"/>
        <v>3392.1100000000006</v>
      </c>
      <c r="N481" s="2">
        <f t="shared" si="42"/>
        <v>4</v>
      </c>
    </row>
    <row r="482" spans="1:14" x14ac:dyDescent="0.25">
      <c r="A482" s="3">
        <v>44840</v>
      </c>
      <c r="B482" s="11" t="s">
        <v>1163</v>
      </c>
      <c r="C482" t="s">
        <v>2743</v>
      </c>
      <c r="D482" s="58">
        <v>8093602634</v>
      </c>
      <c r="F482" s="16">
        <v>227912850905</v>
      </c>
      <c r="G482" s="2">
        <v>1000</v>
      </c>
      <c r="I482" s="95">
        <f t="shared" si="43"/>
        <v>4392.1100000000006</v>
      </c>
      <c r="N482" s="2">
        <f t="shared" si="42"/>
        <v>4</v>
      </c>
    </row>
    <row r="483" spans="1:14" x14ac:dyDescent="0.25">
      <c r="A483" s="3">
        <v>44840</v>
      </c>
      <c r="B483" s="11" t="s">
        <v>2142</v>
      </c>
      <c r="C483" t="s">
        <v>252</v>
      </c>
      <c r="F483" s="16">
        <v>227913363595</v>
      </c>
      <c r="H483" s="2">
        <v>2000</v>
      </c>
      <c r="I483" s="95">
        <f t="shared" si="43"/>
        <v>2392.1100000000006</v>
      </c>
      <c r="N483" s="2">
        <f t="shared" si="42"/>
        <v>8</v>
      </c>
    </row>
    <row r="484" spans="1:14" x14ac:dyDescent="0.25">
      <c r="A484" s="3">
        <v>44840</v>
      </c>
      <c r="B484" s="11" t="s">
        <v>2242</v>
      </c>
      <c r="C484" t="s">
        <v>2243</v>
      </c>
      <c r="D484" s="58">
        <v>9771417917</v>
      </c>
      <c r="F484" s="16">
        <v>2279199946745</v>
      </c>
      <c r="H484" s="2">
        <v>2000</v>
      </c>
      <c r="I484" s="95">
        <f t="shared" si="43"/>
        <v>392.11000000000058</v>
      </c>
      <c r="N484" s="2">
        <f t="shared" si="42"/>
        <v>8</v>
      </c>
    </row>
    <row r="485" spans="1:14" x14ac:dyDescent="0.25">
      <c r="A485" s="3">
        <v>44840</v>
      </c>
      <c r="B485" s="11" t="s">
        <v>2744</v>
      </c>
      <c r="C485" t="s">
        <v>2745</v>
      </c>
      <c r="E485" s="115" t="s">
        <v>16</v>
      </c>
      <c r="F485" s="16"/>
      <c r="H485" s="2">
        <v>350</v>
      </c>
      <c r="I485" s="95">
        <f t="shared" si="43"/>
        <v>42.110000000000582</v>
      </c>
      <c r="N485" s="2">
        <f t="shared" si="42"/>
        <v>26.4</v>
      </c>
    </row>
    <row r="486" spans="1:14" x14ac:dyDescent="0.25">
      <c r="A486" s="3">
        <v>44841</v>
      </c>
      <c r="B486" s="11" t="s">
        <v>1163</v>
      </c>
      <c r="C486" t="s">
        <v>2746</v>
      </c>
      <c r="D486" s="58">
        <v>6299828697</v>
      </c>
      <c r="F486" s="16">
        <v>228010793880</v>
      </c>
      <c r="G486" s="2">
        <v>10000</v>
      </c>
      <c r="I486" s="95">
        <f t="shared" si="43"/>
        <v>10042.11</v>
      </c>
      <c r="N486" s="2">
        <f t="shared" si="42"/>
        <v>20</v>
      </c>
    </row>
    <row r="487" spans="1:14" x14ac:dyDescent="0.25">
      <c r="A487" s="3">
        <v>44841</v>
      </c>
      <c r="B487" s="11" t="s">
        <v>2242</v>
      </c>
      <c r="C487" t="s">
        <v>2243</v>
      </c>
      <c r="D487" s="58">
        <v>9771417917</v>
      </c>
      <c r="F487" s="16">
        <v>228010810758</v>
      </c>
      <c r="H487" s="2">
        <v>1000</v>
      </c>
      <c r="I487" s="95">
        <f t="shared" ref="I487:I508" si="44">I486+G487-H487</f>
        <v>9042.11</v>
      </c>
      <c r="N487" s="2">
        <f t="shared" si="42"/>
        <v>4</v>
      </c>
    </row>
    <row r="488" spans="1:14" x14ac:dyDescent="0.25">
      <c r="A488" s="3">
        <v>44841</v>
      </c>
      <c r="B488" s="11" t="s">
        <v>2744</v>
      </c>
      <c r="C488" t="s">
        <v>2745</v>
      </c>
      <c r="F488" s="16">
        <v>228010817311</v>
      </c>
      <c r="H488" s="2">
        <v>1000</v>
      </c>
      <c r="I488" s="95">
        <f t="shared" si="44"/>
        <v>8042.1100000000006</v>
      </c>
      <c r="N488" s="2">
        <f t="shared" si="42"/>
        <v>4</v>
      </c>
    </row>
    <row r="489" spans="1:14" x14ac:dyDescent="0.25">
      <c r="A489" s="3">
        <v>44841</v>
      </c>
      <c r="B489" s="11" t="s">
        <v>2642</v>
      </c>
      <c r="C489" t="s">
        <v>2643</v>
      </c>
      <c r="F489" s="16">
        <v>228013845585</v>
      </c>
      <c r="H489" s="2">
        <v>200</v>
      </c>
      <c r="I489" s="95">
        <f t="shared" si="44"/>
        <v>7842.1100000000006</v>
      </c>
      <c r="N489" s="2">
        <f t="shared" si="42"/>
        <v>0.8</v>
      </c>
    </row>
    <row r="490" spans="1:14" x14ac:dyDescent="0.25">
      <c r="A490" s="3">
        <v>44841</v>
      </c>
      <c r="B490" s="11" t="s">
        <v>2244</v>
      </c>
      <c r="C490" t="s">
        <v>2747</v>
      </c>
      <c r="F490" s="16">
        <v>228017218295</v>
      </c>
      <c r="H490" s="2">
        <v>1000</v>
      </c>
      <c r="I490" s="95">
        <f t="shared" si="44"/>
        <v>6842.1100000000006</v>
      </c>
      <c r="N490" s="2">
        <f t="shared" si="42"/>
        <v>4</v>
      </c>
    </row>
    <row r="491" spans="1:14" x14ac:dyDescent="0.25">
      <c r="A491" s="3">
        <v>44841</v>
      </c>
      <c r="B491" s="11" t="s">
        <v>2748</v>
      </c>
      <c r="C491" t="s">
        <v>1282</v>
      </c>
      <c r="F491" s="16"/>
      <c r="H491" s="2">
        <v>5000</v>
      </c>
      <c r="I491" s="95">
        <f t="shared" si="44"/>
        <v>1842.1100000000006</v>
      </c>
      <c r="N491" s="2">
        <f t="shared" si="42"/>
        <v>20</v>
      </c>
    </row>
    <row r="492" spans="1:14" x14ac:dyDescent="0.25">
      <c r="A492" s="3">
        <v>44841</v>
      </c>
      <c r="C492" t="s">
        <v>2749</v>
      </c>
      <c r="F492" s="16"/>
      <c r="G492" s="2">
        <v>6000</v>
      </c>
      <c r="I492" s="95">
        <f t="shared" si="44"/>
        <v>7842.1100000000006</v>
      </c>
      <c r="N492" s="2">
        <f t="shared" si="42"/>
        <v>20</v>
      </c>
    </row>
    <row r="493" spans="1:14" x14ac:dyDescent="0.25">
      <c r="A493" s="3">
        <v>44841</v>
      </c>
      <c r="B493" s="11" t="s">
        <v>2750</v>
      </c>
      <c r="C493" t="s">
        <v>1472</v>
      </c>
      <c r="F493" s="16"/>
      <c r="H493" s="2">
        <v>500</v>
      </c>
      <c r="I493" s="95">
        <f t="shared" si="44"/>
        <v>7342.1100000000006</v>
      </c>
      <c r="N493" s="2">
        <f t="shared" si="42"/>
        <v>2</v>
      </c>
    </row>
    <row r="494" spans="1:14" x14ac:dyDescent="0.25">
      <c r="A494" s="3">
        <v>44842</v>
      </c>
      <c r="B494" s="11" t="s">
        <v>2481</v>
      </c>
      <c r="C494" t="s">
        <v>2482</v>
      </c>
      <c r="F494" s="16">
        <v>228111682410</v>
      </c>
      <c r="H494" s="2">
        <v>4200</v>
      </c>
      <c r="I494" s="95">
        <f t="shared" si="44"/>
        <v>3142.1100000000006</v>
      </c>
      <c r="N494" s="2">
        <f t="shared" si="42"/>
        <v>16.8</v>
      </c>
    </row>
    <row r="495" spans="1:14" x14ac:dyDescent="0.25">
      <c r="A495" s="3">
        <v>44842</v>
      </c>
      <c r="B495" s="11" t="s">
        <v>1163</v>
      </c>
      <c r="C495" t="s">
        <v>2751</v>
      </c>
      <c r="D495" s="58">
        <v>9304749874</v>
      </c>
      <c r="F495" s="16">
        <v>228120665220</v>
      </c>
      <c r="G495" s="2">
        <v>800</v>
      </c>
      <c r="I495" s="95">
        <f t="shared" si="44"/>
        <v>3942.1100000000006</v>
      </c>
      <c r="N495" s="2">
        <f t="shared" si="42"/>
        <v>3.2</v>
      </c>
    </row>
    <row r="496" spans="1:14" x14ac:dyDescent="0.25">
      <c r="A496" s="3">
        <v>44844</v>
      </c>
      <c r="B496" s="11" t="s">
        <v>1163</v>
      </c>
      <c r="C496" t="s">
        <v>2751</v>
      </c>
      <c r="F496" s="16">
        <v>228310101772</v>
      </c>
      <c r="G496" s="2">
        <v>2000</v>
      </c>
      <c r="I496" s="95">
        <f t="shared" si="44"/>
        <v>5942.1100000000006</v>
      </c>
      <c r="N496" s="2">
        <f t="shared" si="42"/>
        <v>8</v>
      </c>
    </row>
    <row r="497" spans="1:14" x14ac:dyDescent="0.25">
      <c r="A497" s="3">
        <v>44844</v>
      </c>
      <c r="B497" s="11" t="s">
        <v>2752</v>
      </c>
      <c r="C497" t="s">
        <v>2753</v>
      </c>
      <c r="F497" s="16">
        <v>228310122282</v>
      </c>
      <c r="H497" s="2">
        <v>5000</v>
      </c>
      <c r="I497" s="95">
        <f t="shared" si="44"/>
        <v>942.11000000000058</v>
      </c>
      <c r="N497" s="2">
        <f t="shared" si="42"/>
        <v>20</v>
      </c>
    </row>
    <row r="498" spans="1:14" x14ac:dyDescent="0.25">
      <c r="A498" s="3">
        <v>44844</v>
      </c>
      <c r="B498" s="11" t="s">
        <v>1253</v>
      </c>
      <c r="C498" t="s">
        <v>1038</v>
      </c>
      <c r="F498" s="16"/>
      <c r="G498" s="2">
        <v>10000</v>
      </c>
      <c r="I498" s="95">
        <f t="shared" si="44"/>
        <v>10942.11</v>
      </c>
      <c r="N498" s="2">
        <f t="shared" si="42"/>
        <v>20</v>
      </c>
    </row>
    <row r="499" spans="1:14" x14ac:dyDescent="0.25">
      <c r="A499" s="3">
        <v>44844</v>
      </c>
      <c r="B499" s="11" t="s">
        <v>1260</v>
      </c>
      <c r="C499" t="s">
        <v>2280</v>
      </c>
      <c r="F499" s="16"/>
      <c r="H499" s="2">
        <v>6000</v>
      </c>
      <c r="I499" s="95">
        <f t="shared" si="44"/>
        <v>4942.1100000000006</v>
      </c>
      <c r="N499" s="2">
        <f t="shared" ref="N499:N530" si="45">IF((G499+H499)&lt;=5000,(H499+G499)*0.004,20)+IF(E499="Y",25,0)</f>
        <v>20</v>
      </c>
    </row>
    <row r="500" spans="1:14" x14ac:dyDescent="0.25">
      <c r="A500" s="3">
        <v>44844</v>
      </c>
      <c r="B500" s="11" t="s">
        <v>1253</v>
      </c>
      <c r="C500" t="s">
        <v>2757</v>
      </c>
      <c r="F500" s="16"/>
      <c r="G500" s="2">
        <v>500</v>
      </c>
      <c r="I500" s="95">
        <f t="shared" si="44"/>
        <v>5442.1100000000006</v>
      </c>
      <c r="N500" s="2">
        <f t="shared" si="45"/>
        <v>2</v>
      </c>
    </row>
    <row r="501" spans="1:14" x14ac:dyDescent="0.25">
      <c r="A501" s="3">
        <v>44845</v>
      </c>
      <c r="B501" s="11" t="s">
        <v>1253</v>
      </c>
      <c r="C501" t="s">
        <v>2759</v>
      </c>
      <c r="F501" s="16"/>
      <c r="G501" s="2">
        <v>1100</v>
      </c>
      <c r="I501" s="95">
        <f t="shared" si="44"/>
        <v>6542.1100000000006</v>
      </c>
      <c r="N501" s="2">
        <f t="shared" si="45"/>
        <v>4.4000000000000004</v>
      </c>
    </row>
    <row r="502" spans="1:14" x14ac:dyDescent="0.25">
      <c r="A502" s="3">
        <v>44845</v>
      </c>
      <c r="B502" s="11" t="s">
        <v>2765</v>
      </c>
      <c r="C502" t="s">
        <v>2761</v>
      </c>
      <c r="E502" s="115" t="s">
        <v>16</v>
      </c>
      <c r="F502" s="16"/>
      <c r="H502" s="2">
        <v>200</v>
      </c>
      <c r="I502" s="95">
        <f t="shared" si="44"/>
        <v>6342.1100000000006</v>
      </c>
      <c r="N502" s="2">
        <f t="shared" si="45"/>
        <v>25.8</v>
      </c>
    </row>
    <row r="503" spans="1:14" x14ac:dyDescent="0.25">
      <c r="A503" s="3">
        <v>44845</v>
      </c>
      <c r="B503" s="11" t="s">
        <v>2360</v>
      </c>
      <c r="C503" t="s">
        <v>2480</v>
      </c>
      <c r="F503" s="16"/>
      <c r="H503" s="2">
        <v>3600</v>
      </c>
      <c r="I503" s="95">
        <f t="shared" si="44"/>
        <v>2742.1100000000006</v>
      </c>
      <c r="N503" s="2">
        <f t="shared" si="45"/>
        <v>14.4</v>
      </c>
    </row>
    <row r="504" spans="1:14" x14ac:dyDescent="0.25">
      <c r="A504" s="3">
        <v>44846</v>
      </c>
      <c r="B504" s="11" t="s">
        <v>2671</v>
      </c>
      <c r="C504" t="s">
        <v>2668</v>
      </c>
      <c r="H504" s="2">
        <v>1000</v>
      </c>
      <c r="I504" s="95">
        <f t="shared" si="44"/>
        <v>1742.1100000000006</v>
      </c>
      <c r="N504" s="2">
        <f t="shared" si="45"/>
        <v>4</v>
      </c>
    </row>
    <row r="505" spans="1:14" x14ac:dyDescent="0.25">
      <c r="A505" s="3">
        <v>44846</v>
      </c>
      <c r="B505" s="11" t="s">
        <v>1253</v>
      </c>
      <c r="C505" t="s">
        <v>2766</v>
      </c>
      <c r="F505" s="16"/>
      <c r="G505" s="2">
        <v>3000</v>
      </c>
      <c r="I505" s="95">
        <f t="shared" si="44"/>
        <v>4742.1100000000006</v>
      </c>
      <c r="N505" s="2">
        <f t="shared" si="45"/>
        <v>12</v>
      </c>
    </row>
    <row r="506" spans="1:14" x14ac:dyDescent="0.25">
      <c r="A506" s="3">
        <v>44846</v>
      </c>
      <c r="B506" s="11" t="s">
        <v>2190</v>
      </c>
      <c r="C506" t="s">
        <v>579</v>
      </c>
      <c r="F506" s="16"/>
      <c r="H506" s="2">
        <v>4200</v>
      </c>
      <c r="I506" s="95">
        <f t="shared" si="44"/>
        <v>542.11000000000058</v>
      </c>
      <c r="N506" s="2">
        <f t="shared" si="45"/>
        <v>16.8</v>
      </c>
    </row>
    <row r="507" spans="1:14" x14ac:dyDescent="0.25">
      <c r="A507" s="3">
        <v>44846</v>
      </c>
      <c r="B507" s="11" t="s">
        <v>2277</v>
      </c>
      <c r="C507" t="s">
        <v>2519</v>
      </c>
      <c r="D507" s="58">
        <v>7739221846</v>
      </c>
      <c r="F507" s="16">
        <v>228517712141</v>
      </c>
      <c r="G507" s="2">
        <v>1500</v>
      </c>
      <c r="I507" s="95">
        <f t="shared" si="44"/>
        <v>2042.1100000000006</v>
      </c>
      <c r="N507" s="2">
        <f t="shared" si="45"/>
        <v>6</v>
      </c>
    </row>
    <row r="508" spans="1:14" x14ac:dyDescent="0.25">
      <c r="A508" s="3">
        <v>44846</v>
      </c>
      <c r="B508" s="11" t="s">
        <v>1253</v>
      </c>
      <c r="C508" t="s">
        <v>2408</v>
      </c>
      <c r="F508" s="16"/>
      <c r="G508" s="2">
        <v>2200</v>
      </c>
      <c r="I508" s="95">
        <f t="shared" si="44"/>
        <v>4242.1100000000006</v>
      </c>
      <c r="N508" s="2">
        <f t="shared" si="45"/>
        <v>8.8000000000000007</v>
      </c>
    </row>
    <row r="509" spans="1:14" x14ac:dyDescent="0.25">
      <c r="A509" s="3">
        <v>44846</v>
      </c>
      <c r="B509" s="11" t="s">
        <v>2767</v>
      </c>
      <c r="C509" t="s">
        <v>1282</v>
      </c>
      <c r="F509" s="16"/>
      <c r="H509" s="2">
        <v>4000</v>
      </c>
      <c r="I509" s="95">
        <f t="shared" ref="I509:I563" si="46">I508+G509-H509</f>
        <v>242.11000000000058</v>
      </c>
      <c r="N509" s="2">
        <f t="shared" si="45"/>
        <v>16</v>
      </c>
    </row>
    <row r="510" spans="1:14" x14ac:dyDescent="0.25">
      <c r="A510" s="3">
        <v>44847</v>
      </c>
      <c r="B510" s="11" t="s">
        <v>1163</v>
      </c>
      <c r="C510" t="s">
        <v>231</v>
      </c>
      <c r="D510" s="58">
        <v>7739230189</v>
      </c>
      <c r="F510" s="16">
        <v>228612780241</v>
      </c>
      <c r="G510" s="2">
        <v>6000</v>
      </c>
      <c r="I510" s="95">
        <f t="shared" si="46"/>
        <v>6242.1100000000006</v>
      </c>
      <c r="N510" s="2">
        <f t="shared" si="45"/>
        <v>20</v>
      </c>
    </row>
    <row r="511" spans="1:14" x14ac:dyDescent="0.25">
      <c r="A511" s="3">
        <v>44847</v>
      </c>
      <c r="B511" s="11" t="s">
        <v>2244</v>
      </c>
      <c r="C511" t="s">
        <v>2747</v>
      </c>
      <c r="F511" s="16"/>
      <c r="H511" s="2">
        <v>4000</v>
      </c>
      <c r="I511" s="95">
        <f t="shared" si="46"/>
        <v>2242.1100000000006</v>
      </c>
      <c r="N511" s="2">
        <f t="shared" si="45"/>
        <v>16</v>
      </c>
    </row>
    <row r="512" spans="1:14" x14ac:dyDescent="0.25">
      <c r="A512" s="3">
        <v>44848</v>
      </c>
      <c r="B512" s="11" t="s">
        <v>1163</v>
      </c>
      <c r="C512" t="s">
        <v>2773</v>
      </c>
      <c r="F512" s="16">
        <v>228717473757</v>
      </c>
      <c r="G512" s="2">
        <v>4100</v>
      </c>
      <c r="I512" s="95">
        <f t="shared" si="46"/>
        <v>6342.1100000000006</v>
      </c>
      <c r="N512" s="2">
        <f t="shared" si="45"/>
        <v>16.399999999999999</v>
      </c>
    </row>
    <row r="513" spans="1:14" x14ac:dyDescent="0.25">
      <c r="A513" s="3">
        <v>44848</v>
      </c>
      <c r="B513" s="11" t="s">
        <v>2625</v>
      </c>
      <c r="C513" t="s">
        <v>1648</v>
      </c>
      <c r="F513" s="16">
        <v>228717505333</v>
      </c>
      <c r="H513" s="2">
        <v>3000</v>
      </c>
      <c r="I513" s="95">
        <f t="shared" si="46"/>
        <v>3342.1100000000006</v>
      </c>
      <c r="N513" s="2">
        <f t="shared" si="45"/>
        <v>12</v>
      </c>
    </row>
    <row r="514" spans="1:14" x14ac:dyDescent="0.25">
      <c r="A514" s="3">
        <v>44848</v>
      </c>
      <c r="B514" s="11" t="s">
        <v>1253</v>
      </c>
      <c r="C514" t="s">
        <v>2774</v>
      </c>
      <c r="F514" s="16"/>
      <c r="G514" s="2">
        <v>4000</v>
      </c>
      <c r="I514" s="95">
        <f t="shared" si="46"/>
        <v>7342.1100000000006</v>
      </c>
      <c r="N514" s="2">
        <f t="shared" si="45"/>
        <v>16</v>
      </c>
    </row>
    <row r="515" spans="1:14" x14ac:dyDescent="0.25">
      <c r="A515" s="3">
        <v>44849</v>
      </c>
      <c r="B515" s="11" t="s">
        <v>1163</v>
      </c>
      <c r="C515" t="s">
        <v>231</v>
      </c>
      <c r="F515" s="16">
        <v>228812497887</v>
      </c>
      <c r="G515" s="2">
        <v>2000</v>
      </c>
      <c r="I515" s="95">
        <f t="shared" si="46"/>
        <v>9342.11</v>
      </c>
      <c r="N515" s="2">
        <f t="shared" si="45"/>
        <v>8</v>
      </c>
    </row>
    <row r="516" spans="1:14" x14ac:dyDescent="0.25">
      <c r="A516" s="3">
        <v>44849</v>
      </c>
      <c r="B516" s="11" t="s">
        <v>2775</v>
      </c>
      <c r="C516" t="s">
        <v>2776</v>
      </c>
      <c r="E516" s="115" t="s">
        <v>16</v>
      </c>
      <c r="F516" s="16">
        <v>228818283564</v>
      </c>
      <c r="H516" s="2">
        <v>100</v>
      </c>
      <c r="I516" s="95">
        <f t="shared" si="46"/>
        <v>9242.11</v>
      </c>
      <c r="N516" s="2">
        <f t="shared" si="45"/>
        <v>25.4</v>
      </c>
    </row>
    <row r="517" spans="1:14" x14ac:dyDescent="0.25">
      <c r="A517" s="3">
        <v>44849</v>
      </c>
      <c r="B517" s="11" t="s">
        <v>2767</v>
      </c>
      <c r="C517" t="s">
        <v>1282</v>
      </c>
      <c r="F517" s="16"/>
      <c r="H517" s="2">
        <v>9000</v>
      </c>
      <c r="I517" s="95">
        <f t="shared" si="46"/>
        <v>242.11000000000058</v>
      </c>
      <c r="N517" s="2">
        <f t="shared" si="45"/>
        <v>20</v>
      </c>
    </row>
    <row r="518" spans="1:14" x14ac:dyDescent="0.25">
      <c r="A518" s="3">
        <v>44851</v>
      </c>
      <c r="B518" s="11" t="s">
        <v>2780</v>
      </c>
      <c r="F518" s="16"/>
      <c r="G518" s="2">
        <v>200</v>
      </c>
      <c r="I518" s="95">
        <f t="shared" si="46"/>
        <v>442.11000000000058</v>
      </c>
      <c r="N518" s="2">
        <f t="shared" si="45"/>
        <v>0.8</v>
      </c>
    </row>
    <row r="519" spans="1:14" x14ac:dyDescent="0.25">
      <c r="A519" s="3">
        <v>44851</v>
      </c>
      <c r="B519" s="11" t="s">
        <v>2781</v>
      </c>
      <c r="C519" t="s">
        <v>2782</v>
      </c>
      <c r="E519" s="115" t="s">
        <v>16</v>
      </c>
      <c r="F519" s="16"/>
      <c r="G519" s="2">
        <v>1</v>
      </c>
      <c r="I519" s="95">
        <f t="shared" si="46"/>
        <v>443.11000000000058</v>
      </c>
      <c r="N519" s="2">
        <f t="shared" si="45"/>
        <v>25.004000000000001</v>
      </c>
    </row>
    <row r="520" spans="1:14" x14ac:dyDescent="0.25">
      <c r="A520" s="3">
        <v>44851</v>
      </c>
      <c r="B520" s="11" t="s">
        <v>2190</v>
      </c>
      <c r="C520" t="s">
        <v>579</v>
      </c>
      <c r="F520" s="16"/>
      <c r="G520" s="2">
        <v>2000</v>
      </c>
      <c r="I520" s="95">
        <f t="shared" si="46"/>
        <v>2443.1100000000006</v>
      </c>
      <c r="N520" s="2">
        <f t="shared" si="45"/>
        <v>8</v>
      </c>
    </row>
    <row r="521" spans="1:14" x14ac:dyDescent="0.25">
      <c r="A521" s="3">
        <v>44851</v>
      </c>
      <c r="B521" s="11" t="s">
        <v>2783</v>
      </c>
      <c r="C521" t="s">
        <v>2784</v>
      </c>
      <c r="E521" s="115" t="s">
        <v>16</v>
      </c>
      <c r="F521" s="16">
        <v>229020222604</v>
      </c>
      <c r="H521" s="2">
        <v>1000</v>
      </c>
      <c r="I521" s="95">
        <f t="shared" si="46"/>
        <v>1443.1100000000006</v>
      </c>
      <c r="N521" s="2">
        <f t="shared" si="45"/>
        <v>29</v>
      </c>
    </row>
    <row r="522" spans="1:14" x14ac:dyDescent="0.25">
      <c r="A522" s="3">
        <v>44851</v>
      </c>
      <c r="B522" s="11" t="s">
        <v>2736</v>
      </c>
      <c r="C522" t="s">
        <v>915</v>
      </c>
      <c r="F522" s="16">
        <v>229020234711</v>
      </c>
      <c r="H522" s="2">
        <v>1000</v>
      </c>
      <c r="I522" s="95">
        <f t="shared" si="46"/>
        <v>443.11000000000058</v>
      </c>
      <c r="N522" s="2">
        <f t="shared" si="45"/>
        <v>4</v>
      </c>
    </row>
    <row r="523" spans="1:14" x14ac:dyDescent="0.25">
      <c r="A523" s="3">
        <v>44852</v>
      </c>
      <c r="C523" t="s">
        <v>2790</v>
      </c>
      <c r="F523" s="16"/>
      <c r="G523" s="2">
        <v>842.14</v>
      </c>
      <c r="I523" s="95">
        <f t="shared" si="46"/>
        <v>1285.2500000000005</v>
      </c>
      <c r="N523" s="2">
        <f t="shared" si="45"/>
        <v>3.36856</v>
      </c>
    </row>
    <row r="524" spans="1:14" x14ac:dyDescent="0.25">
      <c r="A524" s="3">
        <v>44852</v>
      </c>
      <c r="B524" s="11" t="s">
        <v>2257</v>
      </c>
      <c r="C524" t="s">
        <v>2757</v>
      </c>
      <c r="F524" s="16">
        <v>229118602181</v>
      </c>
      <c r="G524" s="2">
        <v>3600</v>
      </c>
      <c r="I524" s="95">
        <f t="shared" si="46"/>
        <v>4885.25</v>
      </c>
      <c r="N524" s="2">
        <f t="shared" si="45"/>
        <v>14.4</v>
      </c>
    </row>
    <row r="525" spans="1:14" x14ac:dyDescent="0.25">
      <c r="A525" s="3">
        <v>44852</v>
      </c>
      <c r="B525" s="11" t="s">
        <v>2190</v>
      </c>
      <c r="C525" t="s">
        <v>579</v>
      </c>
      <c r="F525" s="16"/>
      <c r="H525" s="2">
        <v>2000</v>
      </c>
      <c r="I525" s="95">
        <f t="shared" si="46"/>
        <v>2885.25</v>
      </c>
      <c r="N525" s="2">
        <f t="shared" si="45"/>
        <v>8</v>
      </c>
    </row>
    <row r="526" spans="1:14" x14ac:dyDescent="0.25">
      <c r="A526" s="3">
        <v>37549</v>
      </c>
      <c r="B526" s="11" t="s">
        <v>2796</v>
      </c>
      <c r="C526" t="s">
        <v>2797</v>
      </c>
      <c r="E526" s="115" t="s">
        <v>16</v>
      </c>
      <c r="F526" s="16">
        <v>229312614208</v>
      </c>
      <c r="H526" s="2">
        <v>100</v>
      </c>
      <c r="I526" s="95">
        <f t="shared" si="46"/>
        <v>2785.25</v>
      </c>
      <c r="N526" s="2">
        <f t="shared" si="45"/>
        <v>25.4</v>
      </c>
    </row>
    <row r="527" spans="1:14" x14ac:dyDescent="0.25">
      <c r="A527" s="3">
        <v>37549</v>
      </c>
      <c r="B527" s="11" t="s">
        <v>2804</v>
      </c>
      <c r="C527" t="s">
        <v>2803</v>
      </c>
      <c r="E527" s="115" t="s">
        <v>16</v>
      </c>
      <c r="F527" s="16">
        <v>229317861640</v>
      </c>
      <c r="H527" s="2">
        <v>100</v>
      </c>
      <c r="I527" s="95">
        <f t="shared" si="46"/>
        <v>2685.25</v>
      </c>
      <c r="N527" s="2">
        <f t="shared" si="45"/>
        <v>25.4</v>
      </c>
    </row>
    <row r="528" spans="1:14" x14ac:dyDescent="0.25">
      <c r="A528" s="3">
        <v>37549</v>
      </c>
      <c r="B528" s="11" t="s">
        <v>2805</v>
      </c>
      <c r="C528" t="s">
        <v>2800</v>
      </c>
      <c r="E528" s="115" t="s">
        <v>16</v>
      </c>
      <c r="F528" s="16">
        <v>229317871450</v>
      </c>
      <c r="H528" s="2">
        <v>100</v>
      </c>
      <c r="I528" s="95">
        <f t="shared" si="46"/>
        <v>2585.25</v>
      </c>
      <c r="N528" s="2">
        <f t="shared" si="45"/>
        <v>25.4</v>
      </c>
    </row>
    <row r="529" spans="1:14" x14ac:dyDescent="0.25">
      <c r="A529" s="3">
        <v>37549</v>
      </c>
      <c r="B529" s="11" t="s">
        <v>1163</v>
      </c>
      <c r="C529" t="s">
        <v>2806</v>
      </c>
      <c r="D529" s="58">
        <v>8434809648</v>
      </c>
      <c r="F529" s="16"/>
      <c r="G529" s="2">
        <v>900</v>
      </c>
      <c r="I529" s="95">
        <f t="shared" si="46"/>
        <v>3485.25</v>
      </c>
      <c r="N529" s="2">
        <f t="shared" si="45"/>
        <v>3.6</v>
      </c>
    </row>
    <row r="530" spans="1:14" x14ac:dyDescent="0.25">
      <c r="A530" s="3">
        <v>37549</v>
      </c>
      <c r="B530" s="11" t="s">
        <v>2807</v>
      </c>
      <c r="C530" t="s">
        <v>2808</v>
      </c>
      <c r="E530" s="115" t="s">
        <v>16</v>
      </c>
      <c r="F530" s="16">
        <v>229317991802</v>
      </c>
      <c r="H530" s="2">
        <v>450</v>
      </c>
      <c r="I530" s="95">
        <f t="shared" si="46"/>
        <v>3035.25</v>
      </c>
      <c r="N530" s="2">
        <f t="shared" si="45"/>
        <v>26.8</v>
      </c>
    </row>
    <row r="531" spans="1:14" x14ac:dyDescent="0.25">
      <c r="A531" s="3">
        <v>37549</v>
      </c>
      <c r="B531" s="11" t="s">
        <v>1253</v>
      </c>
      <c r="C531" t="s">
        <v>2290</v>
      </c>
      <c r="F531" s="16">
        <v>229317030075</v>
      </c>
      <c r="G531" s="2">
        <v>2000</v>
      </c>
      <c r="I531" s="95">
        <f t="shared" si="46"/>
        <v>5035.25</v>
      </c>
      <c r="N531" s="2">
        <f t="shared" ref="N531:N563" si="47">IF((G531+H531)&lt;=5000,(H531+G531)*0.004,20)+IF(E531="Y",25,0)</f>
        <v>8</v>
      </c>
    </row>
    <row r="532" spans="1:14" x14ac:dyDescent="0.25">
      <c r="A532" s="3">
        <v>37549</v>
      </c>
      <c r="B532" s="11" t="s">
        <v>2809</v>
      </c>
      <c r="C532" t="s">
        <v>2810</v>
      </c>
      <c r="E532" s="115" t="s">
        <v>16</v>
      </c>
      <c r="F532" s="16">
        <v>229318121459</v>
      </c>
      <c r="H532" s="2">
        <v>100</v>
      </c>
      <c r="I532" s="95">
        <f t="shared" si="46"/>
        <v>4935.25</v>
      </c>
      <c r="N532" s="2">
        <f t="shared" si="47"/>
        <v>25.4</v>
      </c>
    </row>
    <row r="533" spans="1:14" x14ac:dyDescent="0.25">
      <c r="A533" s="3">
        <v>37549</v>
      </c>
      <c r="B533" s="11" t="s">
        <v>1163</v>
      </c>
      <c r="C533" t="s">
        <v>2811</v>
      </c>
      <c r="D533" s="58">
        <v>8210917296</v>
      </c>
      <c r="F533" s="16">
        <v>229318147846</v>
      </c>
      <c r="G533" s="2">
        <v>3000</v>
      </c>
      <c r="I533" s="95">
        <f t="shared" si="46"/>
        <v>7935.25</v>
      </c>
      <c r="N533" s="2">
        <f t="shared" si="47"/>
        <v>12</v>
      </c>
    </row>
    <row r="534" spans="1:14" x14ac:dyDescent="0.25">
      <c r="A534" s="3">
        <v>37549</v>
      </c>
      <c r="B534" s="11" t="s">
        <v>2365</v>
      </c>
      <c r="C534" t="s">
        <v>2812</v>
      </c>
      <c r="F534" s="16"/>
      <c r="G534" s="2">
        <v>3600</v>
      </c>
      <c r="I534" s="95">
        <f t="shared" si="46"/>
        <v>11535.25</v>
      </c>
      <c r="N534" s="2">
        <f t="shared" si="47"/>
        <v>14.4</v>
      </c>
    </row>
    <row r="535" spans="1:14" x14ac:dyDescent="0.25">
      <c r="A535" s="3">
        <v>44855</v>
      </c>
      <c r="B535" s="11" t="s">
        <v>2814</v>
      </c>
      <c r="C535" t="s">
        <v>2815</v>
      </c>
      <c r="D535" s="58">
        <v>9832335077</v>
      </c>
      <c r="F535" s="16">
        <v>229417519595</v>
      </c>
      <c r="G535" s="2">
        <v>1000</v>
      </c>
      <c r="I535" s="95">
        <f t="shared" si="46"/>
        <v>12535.25</v>
      </c>
      <c r="N535" s="2">
        <f t="shared" si="47"/>
        <v>4</v>
      </c>
    </row>
    <row r="536" spans="1:14" x14ac:dyDescent="0.25">
      <c r="A536" s="3">
        <v>44855</v>
      </c>
      <c r="B536" s="11" t="s">
        <v>2767</v>
      </c>
      <c r="C536" t="s">
        <v>2816</v>
      </c>
      <c r="F536" s="16"/>
      <c r="H536" s="2">
        <v>10000</v>
      </c>
      <c r="I536" s="95">
        <f t="shared" si="46"/>
        <v>2535.25</v>
      </c>
      <c r="N536" s="2">
        <f t="shared" si="47"/>
        <v>20</v>
      </c>
    </row>
    <row r="537" spans="1:14" x14ac:dyDescent="0.25">
      <c r="A537" s="3">
        <v>44855</v>
      </c>
      <c r="B537" s="11" t="s">
        <v>1163</v>
      </c>
      <c r="C537" t="s">
        <v>2817</v>
      </c>
      <c r="D537" s="58">
        <v>8235429892</v>
      </c>
      <c r="F537" s="16">
        <v>229419410404</v>
      </c>
      <c r="G537" s="2">
        <v>1500</v>
      </c>
      <c r="I537" s="95">
        <f t="shared" si="46"/>
        <v>4035.25</v>
      </c>
      <c r="N537" s="2">
        <f t="shared" si="47"/>
        <v>6</v>
      </c>
    </row>
    <row r="538" spans="1:14" x14ac:dyDescent="0.25">
      <c r="A538" s="3">
        <v>44856</v>
      </c>
      <c r="B538" s="11" t="s">
        <v>2818</v>
      </c>
      <c r="C538" t="s">
        <v>2819</v>
      </c>
      <c r="F538" s="16">
        <v>229517999797</v>
      </c>
      <c r="H538" s="2">
        <v>1200</v>
      </c>
      <c r="I538" s="95">
        <f t="shared" si="46"/>
        <v>2835.25</v>
      </c>
      <c r="N538" s="2">
        <f t="shared" si="47"/>
        <v>4.8</v>
      </c>
    </row>
    <row r="539" spans="1:14" x14ac:dyDescent="0.25">
      <c r="A539" s="3"/>
      <c r="F539" s="16"/>
      <c r="G539" s="2">
        <v>1000</v>
      </c>
      <c r="I539" s="95">
        <f t="shared" si="46"/>
        <v>3835.25</v>
      </c>
      <c r="N539" s="2">
        <f t="shared" si="47"/>
        <v>4</v>
      </c>
    </row>
    <row r="540" spans="1:14" x14ac:dyDescent="0.25">
      <c r="A540" s="3">
        <v>44857</v>
      </c>
      <c r="B540" s="11" t="s">
        <v>1475</v>
      </c>
      <c r="C540" t="s">
        <v>2512</v>
      </c>
      <c r="F540" s="16">
        <v>229609092495</v>
      </c>
      <c r="G540" s="2">
        <v>1500</v>
      </c>
      <c r="I540" s="95">
        <f t="shared" si="46"/>
        <v>5335.25</v>
      </c>
      <c r="N540" s="2">
        <f t="shared" si="47"/>
        <v>6</v>
      </c>
    </row>
    <row r="541" spans="1:14" x14ac:dyDescent="0.25">
      <c r="A541" s="3">
        <v>44857</v>
      </c>
      <c r="C541" t="s">
        <v>2821</v>
      </c>
      <c r="F541" s="16"/>
      <c r="H541" s="2">
        <v>500</v>
      </c>
      <c r="I541" s="95">
        <f t="shared" si="46"/>
        <v>4835.25</v>
      </c>
      <c r="N541" s="2">
        <f t="shared" si="47"/>
        <v>2</v>
      </c>
    </row>
    <row r="542" spans="1:14" x14ac:dyDescent="0.25">
      <c r="A542" s="3">
        <v>44858</v>
      </c>
      <c r="B542" s="11" t="s">
        <v>2365</v>
      </c>
      <c r="C542" t="s">
        <v>2820</v>
      </c>
      <c r="D542" s="58">
        <v>9798478996</v>
      </c>
      <c r="F542" s="16"/>
      <c r="G542" s="2">
        <v>2000</v>
      </c>
      <c r="I542" s="95">
        <f t="shared" si="46"/>
        <v>6835.25</v>
      </c>
      <c r="N542" s="2">
        <f t="shared" si="47"/>
        <v>8</v>
      </c>
    </row>
    <row r="543" spans="1:14" x14ac:dyDescent="0.25">
      <c r="A543" s="3">
        <v>44858</v>
      </c>
      <c r="B543" s="11" t="s">
        <v>2153</v>
      </c>
      <c r="F543" s="16">
        <v>229714883558</v>
      </c>
      <c r="G543" s="2">
        <v>2100</v>
      </c>
      <c r="I543" s="95">
        <f t="shared" si="46"/>
        <v>8935.25</v>
      </c>
      <c r="N543" s="2">
        <f t="shared" si="47"/>
        <v>8.4</v>
      </c>
    </row>
    <row r="544" spans="1:14" x14ac:dyDescent="0.25">
      <c r="A544" s="3">
        <v>44858</v>
      </c>
      <c r="B544" s="11" t="s">
        <v>2767</v>
      </c>
      <c r="C544" t="s">
        <v>1359</v>
      </c>
      <c r="F544" s="16"/>
      <c r="H544" s="2">
        <v>8500</v>
      </c>
      <c r="I544" s="95">
        <f t="shared" si="46"/>
        <v>435.25</v>
      </c>
      <c r="N544" s="2">
        <f t="shared" si="47"/>
        <v>20</v>
      </c>
    </row>
    <row r="545" spans="1:14" x14ac:dyDescent="0.25">
      <c r="A545" s="3">
        <v>44859</v>
      </c>
      <c r="B545" s="11" t="s">
        <v>2347</v>
      </c>
      <c r="C545" t="s">
        <v>2654</v>
      </c>
      <c r="F545" s="16">
        <v>229811687799</v>
      </c>
      <c r="G545" s="2">
        <v>500</v>
      </c>
      <c r="I545" s="95">
        <f t="shared" si="46"/>
        <v>935.25</v>
      </c>
      <c r="N545" s="2">
        <f t="shared" si="47"/>
        <v>2</v>
      </c>
    </row>
    <row r="546" spans="1:14" x14ac:dyDescent="0.25">
      <c r="A546" s="3">
        <v>44859</v>
      </c>
      <c r="B546" s="11" t="s">
        <v>2238</v>
      </c>
      <c r="C546" t="s">
        <v>2664</v>
      </c>
      <c r="F546" s="16">
        <v>229812744718</v>
      </c>
      <c r="G546" s="2">
        <v>1100</v>
      </c>
      <c r="I546" s="95">
        <f t="shared" si="46"/>
        <v>2035.25</v>
      </c>
      <c r="N546" s="2">
        <f t="shared" si="47"/>
        <v>4.4000000000000004</v>
      </c>
    </row>
    <row r="547" spans="1:14" x14ac:dyDescent="0.25">
      <c r="A547" s="3">
        <v>44860</v>
      </c>
      <c r="B547" s="11" t="s">
        <v>2151</v>
      </c>
      <c r="C547" t="s">
        <v>2823</v>
      </c>
      <c r="F547" s="16">
        <v>229911454197</v>
      </c>
      <c r="G547" s="2">
        <v>2000</v>
      </c>
      <c r="I547" s="95">
        <f t="shared" si="46"/>
        <v>4035.25</v>
      </c>
      <c r="N547" s="2">
        <f t="shared" si="47"/>
        <v>8</v>
      </c>
    </row>
    <row r="548" spans="1:14" x14ac:dyDescent="0.25">
      <c r="A548" s="3">
        <v>44860</v>
      </c>
      <c r="B548" s="11" t="s">
        <v>1163</v>
      </c>
      <c r="C548" t="s">
        <v>2824</v>
      </c>
      <c r="D548" s="58">
        <v>8789860681</v>
      </c>
      <c r="F548" s="16">
        <v>229912614024</v>
      </c>
      <c r="G548" s="2">
        <v>2000</v>
      </c>
      <c r="I548" s="95">
        <f t="shared" si="46"/>
        <v>6035.25</v>
      </c>
      <c r="N548" s="2">
        <f t="shared" si="47"/>
        <v>8</v>
      </c>
    </row>
    <row r="549" spans="1:14" x14ac:dyDescent="0.25">
      <c r="A549" s="3">
        <v>44860</v>
      </c>
      <c r="B549" s="11" t="s">
        <v>2829</v>
      </c>
      <c r="C549" t="s">
        <v>2830</v>
      </c>
      <c r="E549" s="115" t="s">
        <v>14</v>
      </c>
      <c r="F549" s="16"/>
      <c r="H549" s="2">
        <v>500</v>
      </c>
      <c r="I549" s="95">
        <f t="shared" si="46"/>
        <v>5535.25</v>
      </c>
      <c r="N549" s="2">
        <f t="shared" si="47"/>
        <v>27</v>
      </c>
    </row>
    <row r="550" spans="1:14" x14ac:dyDescent="0.25">
      <c r="A550" s="3">
        <v>44860</v>
      </c>
      <c r="B550" s="11" t="s">
        <v>2767</v>
      </c>
      <c r="C550" t="s">
        <v>2816</v>
      </c>
      <c r="F550" s="16"/>
      <c r="H550" s="2">
        <v>5000</v>
      </c>
      <c r="I550" s="95">
        <f t="shared" si="46"/>
        <v>535.25</v>
      </c>
      <c r="N550" s="2">
        <f t="shared" si="47"/>
        <v>20</v>
      </c>
    </row>
    <row r="551" spans="1:14" x14ac:dyDescent="0.25">
      <c r="A551" s="3">
        <v>44861</v>
      </c>
      <c r="B551" s="11" t="s">
        <v>2831</v>
      </c>
      <c r="C551" t="s">
        <v>2832</v>
      </c>
      <c r="E551" s="115" t="s">
        <v>16</v>
      </c>
      <c r="F551" s="16"/>
      <c r="H551" s="2">
        <v>100</v>
      </c>
      <c r="I551" s="95">
        <f t="shared" si="46"/>
        <v>435.25</v>
      </c>
      <c r="N551" s="2">
        <f t="shared" si="47"/>
        <v>25.4</v>
      </c>
    </row>
    <row r="552" spans="1:14" x14ac:dyDescent="0.25">
      <c r="A552" s="3">
        <v>44861</v>
      </c>
      <c r="B552" s="11" t="s">
        <v>2833</v>
      </c>
      <c r="C552" t="s">
        <v>2834</v>
      </c>
      <c r="E552" s="115" t="s">
        <v>16</v>
      </c>
      <c r="F552" s="16"/>
      <c r="H552" s="2">
        <v>100</v>
      </c>
      <c r="I552" s="95">
        <f t="shared" si="46"/>
        <v>335.25</v>
      </c>
      <c r="N552" s="2">
        <f t="shared" si="47"/>
        <v>25.4</v>
      </c>
    </row>
    <row r="553" spans="1:14" x14ac:dyDescent="0.25">
      <c r="A553" s="3">
        <v>44861</v>
      </c>
      <c r="B553" s="11" t="s">
        <v>2840</v>
      </c>
      <c r="C553" t="s">
        <v>2304</v>
      </c>
      <c r="F553" s="16">
        <v>230020544141</v>
      </c>
      <c r="G553" s="2">
        <v>9000</v>
      </c>
      <c r="I553" s="95">
        <f t="shared" si="46"/>
        <v>9335.25</v>
      </c>
      <c r="N553" s="2">
        <f t="shared" si="47"/>
        <v>20</v>
      </c>
    </row>
    <row r="554" spans="1:14" x14ac:dyDescent="0.25">
      <c r="A554" s="3">
        <v>44861</v>
      </c>
      <c r="B554" s="11" t="s">
        <v>1260</v>
      </c>
      <c r="C554" t="s">
        <v>2280</v>
      </c>
      <c r="F554" s="16">
        <v>230020548921</v>
      </c>
      <c r="H554" s="2">
        <v>9000</v>
      </c>
      <c r="I554" s="95">
        <f t="shared" si="46"/>
        <v>335.25</v>
      </c>
      <c r="N554" s="2">
        <f t="shared" si="47"/>
        <v>20</v>
      </c>
    </row>
    <row r="555" spans="1:14" x14ac:dyDescent="0.25">
      <c r="A555" s="3">
        <v>44862</v>
      </c>
      <c r="B555" s="11" t="s">
        <v>2438</v>
      </c>
      <c r="C555" t="s">
        <v>2742</v>
      </c>
      <c r="F555" s="16">
        <v>230111683748</v>
      </c>
      <c r="G555" s="2">
        <v>1000</v>
      </c>
      <c r="I555" s="95">
        <f t="shared" si="46"/>
        <v>1335.25</v>
      </c>
      <c r="N555" s="2">
        <f t="shared" si="47"/>
        <v>4</v>
      </c>
    </row>
    <row r="556" spans="1:14" x14ac:dyDescent="0.25">
      <c r="A556" s="3">
        <v>44862</v>
      </c>
      <c r="B556" s="11" t="s">
        <v>2845</v>
      </c>
      <c r="C556" t="s">
        <v>2846</v>
      </c>
      <c r="E556" s="115" t="s">
        <v>16</v>
      </c>
      <c r="F556" s="16">
        <v>230112031702</v>
      </c>
      <c r="H556" s="2">
        <v>100</v>
      </c>
      <c r="I556" s="95">
        <f t="shared" si="46"/>
        <v>1235.25</v>
      </c>
      <c r="N556" s="2">
        <f t="shared" si="47"/>
        <v>25.4</v>
      </c>
    </row>
    <row r="557" spans="1:14" x14ac:dyDescent="0.25">
      <c r="A557" s="3">
        <v>44862</v>
      </c>
      <c r="B557" s="11" t="s">
        <v>2848</v>
      </c>
      <c r="C557" t="s">
        <v>2847</v>
      </c>
      <c r="E557" s="115" t="s">
        <v>16</v>
      </c>
      <c r="F557" s="16"/>
      <c r="H557" s="2">
        <v>100</v>
      </c>
      <c r="I557" s="95">
        <f t="shared" si="46"/>
        <v>1135.25</v>
      </c>
      <c r="N557" s="2">
        <f t="shared" si="47"/>
        <v>25.4</v>
      </c>
    </row>
    <row r="558" spans="1:14" x14ac:dyDescent="0.25">
      <c r="A558" s="3">
        <v>44862</v>
      </c>
      <c r="B558" s="11" t="s">
        <v>2856</v>
      </c>
      <c r="C558" t="s">
        <v>2850</v>
      </c>
      <c r="E558" s="115" t="s">
        <v>16</v>
      </c>
      <c r="F558" s="16"/>
      <c r="H558" s="2">
        <v>100</v>
      </c>
      <c r="I558" s="95">
        <f t="shared" si="46"/>
        <v>1035.25</v>
      </c>
      <c r="N558" s="2">
        <f t="shared" si="47"/>
        <v>25.4</v>
      </c>
    </row>
    <row r="559" spans="1:14" x14ac:dyDescent="0.25">
      <c r="A559" s="3">
        <v>44863</v>
      </c>
      <c r="B559" s="11" t="s">
        <v>2857</v>
      </c>
      <c r="C559" t="s">
        <v>2858</v>
      </c>
      <c r="E559" s="115" t="s">
        <v>16</v>
      </c>
      <c r="F559" s="16">
        <v>230212869517</v>
      </c>
      <c r="H559" s="2">
        <v>100</v>
      </c>
      <c r="I559" s="95">
        <f t="shared" si="46"/>
        <v>935.25</v>
      </c>
      <c r="N559" s="2">
        <f t="shared" si="47"/>
        <v>25.4</v>
      </c>
    </row>
    <row r="560" spans="1:14" x14ac:dyDescent="0.25">
      <c r="A560" s="3">
        <v>44863</v>
      </c>
      <c r="B560" s="11" t="s">
        <v>2863</v>
      </c>
      <c r="C560" t="s">
        <v>2864</v>
      </c>
      <c r="E560" s="115" t="s">
        <v>16</v>
      </c>
      <c r="F560" s="16">
        <v>230217647816</v>
      </c>
      <c r="H560" s="2">
        <v>100</v>
      </c>
      <c r="I560" s="95">
        <f t="shared" si="46"/>
        <v>835.25</v>
      </c>
      <c r="N560" s="2">
        <f t="shared" si="47"/>
        <v>25.4</v>
      </c>
    </row>
    <row r="561" spans="1:16" x14ac:dyDescent="0.25">
      <c r="A561" s="3">
        <v>44865</v>
      </c>
      <c r="B561" s="11" t="s">
        <v>1475</v>
      </c>
      <c r="C561" t="s">
        <v>2868</v>
      </c>
      <c r="F561" s="16"/>
      <c r="G561" s="2">
        <v>10000</v>
      </c>
      <c r="I561" s="95">
        <f t="shared" si="46"/>
        <v>10835.25</v>
      </c>
      <c r="N561" s="2">
        <f t="shared" si="47"/>
        <v>20</v>
      </c>
    </row>
    <row r="562" spans="1:16" x14ac:dyDescent="0.25">
      <c r="A562" s="3">
        <v>44865</v>
      </c>
      <c r="B562" s="11" t="s">
        <v>2149</v>
      </c>
      <c r="C562" t="s">
        <v>2150</v>
      </c>
      <c r="F562" s="16"/>
      <c r="H562" s="2">
        <v>2000</v>
      </c>
      <c r="I562" s="95">
        <f t="shared" si="46"/>
        <v>8835.25</v>
      </c>
      <c r="N562" s="2">
        <f t="shared" si="47"/>
        <v>8</v>
      </c>
    </row>
    <row r="563" spans="1:16" x14ac:dyDescent="0.25">
      <c r="A563" s="3">
        <v>44865</v>
      </c>
      <c r="B563" s="11" t="s">
        <v>2143</v>
      </c>
      <c r="C563" t="s">
        <v>2280</v>
      </c>
      <c r="F563" s="16"/>
      <c r="H563" s="2">
        <v>5000</v>
      </c>
      <c r="I563" s="95">
        <f t="shared" si="46"/>
        <v>3835.25</v>
      </c>
      <c r="N563" s="2">
        <f t="shared" si="47"/>
        <v>20</v>
      </c>
    </row>
    <row r="564" spans="1:16" x14ac:dyDescent="0.25">
      <c r="A564" s="97"/>
      <c r="B564" s="102"/>
      <c r="C564" s="27"/>
      <c r="D564" s="139"/>
      <c r="E564" s="117">
        <f>COUNTIF(E467:E563,"y")</f>
        <v>20</v>
      </c>
      <c r="F564" s="29">
        <f>G564+H564</f>
        <v>240393.14</v>
      </c>
      <c r="G564" s="103">
        <f>SUM(G467:G563)</f>
        <v>118543.14</v>
      </c>
      <c r="H564" s="103">
        <f>SUM(H467:H563)</f>
        <v>121850</v>
      </c>
      <c r="I564" s="103"/>
      <c r="K564" s="27"/>
      <c r="L564" s="27"/>
      <c r="M564" s="27"/>
      <c r="N564" s="103">
        <f>SUM(N467:N563)</f>
        <v>1299.5725600000005</v>
      </c>
      <c r="O564" s="27">
        <f>N564*0.8</f>
        <v>1039.6580480000005</v>
      </c>
      <c r="P564" s="27">
        <v>839</v>
      </c>
    </row>
    <row r="566" spans="1:16" x14ac:dyDescent="0.25">
      <c r="A566" s="3">
        <v>44866</v>
      </c>
      <c r="B566" s="11" t="s">
        <v>2869</v>
      </c>
      <c r="C566" t="s">
        <v>2870</v>
      </c>
      <c r="F566" s="16"/>
      <c r="G566" s="2">
        <f>I563</f>
        <v>3835.25</v>
      </c>
      <c r="I566" s="95">
        <f t="shared" ref="I566:I571" si="48">I565+G566-H566</f>
        <v>3835.25</v>
      </c>
      <c r="N566" s="2">
        <f t="shared" ref="N566:N597" si="49">IF((G566+H566)&lt;=5000,(H566+G566)*0.004,20)+IF(E566="Y",25,0)</f>
        <v>15.341000000000001</v>
      </c>
    </row>
    <row r="567" spans="1:16" x14ac:dyDescent="0.25">
      <c r="A567" s="3">
        <v>44866</v>
      </c>
      <c r="B567" s="11" t="s">
        <v>2238</v>
      </c>
      <c r="C567" t="s">
        <v>2664</v>
      </c>
      <c r="F567" s="16">
        <v>230511374880</v>
      </c>
      <c r="G567" s="2">
        <v>10000</v>
      </c>
      <c r="I567" s="95">
        <f t="shared" si="48"/>
        <v>13835.25</v>
      </c>
      <c r="N567" s="2">
        <f t="shared" si="49"/>
        <v>20</v>
      </c>
    </row>
    <row r="568" spans="1:16" x14ac:dyDescent="0.25">
      <c r="A568" s="3">
        <v>44866</v>
      </c>
      <c r="B568" s="11" t="s">
        <v>1260</v>
      </c>
      <c r="C568" t="s">
        <v>2295</v>
      </c>
      <c r="F568" s="16">
        <v>230511398426</v>
      </c>
      <c r="H568" s="2">
        <v>4000</v>
      </c>
      <c r="I568" s="95">
        <f t="shared" si="48"/>
        <v>9835.25</v>
      </c>
      <c r="N568" s="2">
        <f t="shared" si="49"/>
        <v>16</v>
      </c>
    </row>
    <row r="569" spans="1:16" x14ac:dyDescent="0.25">
      <c r="A569" s="3">
        <v>44867</v>
      </c>
      <c r="B569" s="11" t="s">
        <v>2871</v>
      </c>
      <c r="C569" t="s">
        <v>2872</v>
      </c>
      <c r="E569" s="115" t="s">
        <v>16</v>
      </c>
      <c r="F569" s="16">
        <v>230619356583</v>
      </c>
      <c r="H569" s="2">
        <v>100</v>
      </c>
      <c r="I569" s="95">
        <f t="shared" si="48"/>
        <v>9735.25</v>
      </c>
      <c r="N569" s="2">
        <f t="shared" si="49"/>
        <v>25.4</v>
      </c>
    </row>
    <row r="570" spans="1:16" x14ac:dyDescent="0.25">
      <c r="A570" s="3">
        <v>44868</v>
      </c>
      <c r="B570" s="11" t="s">
        <v>1475</v>
      </c>
      <c r="C570" t="s">
        <v>2873</v>
      </c>
      <c r="D570" s="58">
        <v>8271453328</v>
      </c>
      <c r="G570" s="2">
        <v>300</v>
      </c>
      <c r="I570" s="95">
        <f t="shared" si="48"/>
        <v>10035.25</v>
      </c>
      <c r="N570" s="2">
        <f t="shared" si="49"/>
        <v>1.2</v>
      </c>
    </row>
    <row r="571" spans="1:16" x14ac:dyDescent="0.25">
      <c r="A571" s="3">
        <v>44868</v>
      </c>
      <c r="B571" s="11" t="s">
        <v>2877</v>
      </c>
      <c r="C571" t="s">
        <v>2878</v>
      </c>
      <c r="E571" s="115" t="s">
        <v>16</v>
      </c>
      <c r="H571" s="2">
        <v>100</v>
      </c>
      <c r="I571" s="95">
        <f t="shared" si="48"/>
        <v>9935.25</v>
      </c>
      <c r="N571" s="2">
        <f t="shared" si="49"/>
        <v>25.4</v>
      </c>
    </row>
    <row r="572" spans="1:16" x14ac:dyDescent="0.25">
      <c r="A572" s="3">
        <v>44868</v>
      </c>
      <c r="B572" s="11" t="s">
        <v>1163</v>
      </c>
      <c r="C572" t="s">
        <v>2876</v>
      </c>
      <c r="G572" s="2">
        <v>1000</v>
      </c>
      <c r="I572" s="95">
        <f t="shared" ref="I572:I639" si="50">I571+G572-H572</f>
        <v>10935.25</v>
      </c>
      <c r="N572" s="2">
        <f t="shared" si="49"/>
        <v>4</v>
      </c>
    </row>
    <row r="573" spans="1:16" x14ac:dyDescent="0.25">
      <c r="A573" s="3">
        <v>44869</v>
      </c>
      <c r="B573" s="11" t="s">
        <v>2767</v>
      </c>
      <c r="C573" t="s">
        <v>1282</v>
      </c>
      <c r="H573" s="2">
        <v>10000</v>
      </c>
      <c r="I573" s="95">
        <f t="shared" si="50"/>
        <v>935.25</v>
      </c>
      <c r="N573" s="2">
        <f t="shared" si="49"/>
        <v>20</v>
      </c>
    </row>
    <row r="574" spans="1:16" x14ac:dyDescent="0.25">
      <c r="A574" s="3">
        <v>44870</v>
      </c>
      <c r="B574" s="11" t="s">
        <v>1163</v>
      </c>
      <c r="C574" t="s">
        <v>2884</v>
      </c>
      <c r="D574" s="58">
        <v>7857812547</v>
      </c>
      <c r="F574" s="16">
        <v>230911116461</v>
      </c>
      <c r="G574" s="2">
        <v>3000</v>
      </c>
      <c r="I574" s="95">
        <f t="shared" si="50"/>
        <v>3935.25</v>
      </c>
      <c r="N574" s="2">
        <f t="shared" si="49"/>
        <v>12</v>
      </c>
    </row>
    <row r="575" spans="1:16" x14ac:dyDescent="0.25">
      <c r="A575" s="3">
        <v>44870</v>
      </c>
      <c r="B575" s="11" t="s">
        <v>1163</v>
      </c>
      <c r="C575" t="s">
        <v>2885</v>
      </c>
      <c r="D575" s="58">
        <v>7679597871</v>
      </c>
      <c r="F575" s="16">
        <v>230917372175</v>
      </c>
      <c r="G575" s="2">
        <v>500</v>
      </c>
      <c r="I575" s="95">
        <f t="shared" si="50"/>
        <v>4435.25</v>
      </c>
      <c r="N575" s="2">
        <f t="shared" si="49"/>
        <v>2</v>
      </c>
    </row>
    <row r="576" spans="1:16" x14ac:dyDescent="0.25">
      <c r="A576" s="3">
        <v>44870</v>
      </c>
      <c r="B576" s="11" t="s">
        <v>2886</v>
      </c>
      <c r="C576" t="s">
        <v>2887</v>
      </c>
      <c r="F576" s="16">
        <v>230919701792</v>
      </c>
      <c r="H576" s="2">
        <v>3000</v>
      </c>
      <c r="I576" s="95">
        <f t="shared" si="50"/>
        <v>1435.25</v>
      </c>
      <c r="N576" s="2">
        <f t="shared" si="49"/>
        <v>12</v>
      </c>
    </row>
    <row r="577" spans="1:14" x14ac:dyDescent="0.25">
      <c r="A577" s="3">
        <v>44872</v>
      </c>
      <c r="B577" s="11" t="s">
        <v>2440</v>
      </c>
      <c r="C577" t="s">
        <v>2888</v>
      </c>
      <c r="F577" s="16">
        <v>231111749942</v>
      </c>
      <c r="H577" s="2">
        <v>500</v>
      </c>
      <c r="I577" s="95">
        <f t="shared" si="50"/>
        <v>935.25</v>
      </c>
      <c r="N577" s="2">
        <f t="shared" si="49"/>
        <v>2</v>
      </c>
    </row>
    <row r="578" spans="1:14" x14ac:dyDescent="0.25">
      <c r="A578" s="3">
        <v>44872</v>
      </c>
      <c r="B578" s="11" t="s">
        <v>2889</v>
      </c>
      <c r="C578" t="s">
        <v>2724</v>
      </c>
      <c r="F578" s="16">
        <v>231112646919</v>
      </c>
      <c r="G578" s="2">
        <v>10000</v>
      </c>
      <c r="I578" s="95">
        <f t="shared" si="50"/>
        <v>10935.25</v>
      </c>
      <c r="N578" s="2">
        <f t="shared" si="49"/>
        <v>20</v>
      </c>
    </row>
    <row r="579" spans="1:14" x14ac:dyDescent="0.25">
      <c r="A579" s="3">
        <v>44872</v>
      </c>
      <c r="B579" s="11" t="s">
        <v>2894</v>
      </c>
      <c r="E579" s="115" t="s">
        <v>16</v>
      </c>
      <c r="H579" s="2">
        <v>500</v>
      </c>
      <c r="I579" s="95">
        <f t="shared" si="50"/>
        <v>10435.25</v>
      </c>
      <c r="N579" s="2">
        <f t="shared" si="49"/>
        <v>27</v>
      </c>
    </row>
    <row r="580" spans="1:14" x14ac:dyDescent="0.25">
      <c r="A580" s="3">
        <v>44872</v>
      </c>
      <c r="B580" s="11" t="s">
        <v>2767</v>
      </c>
      <c r="C580" t="s">
        <v>1282</v>
      </c>
      <c r="H580" s="2">
        <v>10000</v>
      </c>
      <c r="I580" s="95">
        <f t="shared" si="50"/>
        <v>435.25</v>
      </c>
      <c r="N580" s="2">
        <f t="shared" si="49"/>
        <v>20</v>
      </c>
    </row>
    <row r="581" spans="1:14" x14ac:dyDescent="0.25">
      <c r="A581" s="3">
        <v>44873</v>
      </c>
      <c r="B581" s="11" t="s">
        <v>2347</v>
      </c>
      <c r="C581" t="s">
        <v>2898</v>
      </c>
      <c r="F581" s="16">
        <v>231210696254</v>
      </c>
      <c r="G581" s="2">
        <v>3500</v>
      </c>
      <c r="I581" s="95">
        <f t="shared" si="50"/>
        <v>3935.25</v>
      </c>
      <c r="N581" s="2">
        <f t="shared" si="49"/>
        <v>14</v>
      </c>
    </row>
    <row r="582" spans="1:14" x14ac:dyDescent="0.25">
      <c r="A582" s="3">
        <v>44873</v>
      </c>
      <c r="B582" s="11" t="s">
        <v>2900</v>
      </c>
      <c r="C582" t="s">
        <v>2899</v>
      </c>
      <c r="F582" s="16">
        <v>231210734654</v>
      </c>
      <c r="G582" s="2">
        <v>6100</v>
      </c>
      <c r="I582" s="95">
        <f t="shared" si="50"/>
        <v>10035.25</v>
      </c>
      <c r="N582" s="2">
        <f t="shared" si="49"/>
        <v>20</v>
      </c>
    </row>
    <row r="583" spans="1:14" x14ac:dyDescent="0.25">
      <c r="A583" s="3">
        <v>44873</v>
      </c>
      <c r="B583" s="11" t="s">
        <v>2901</v>
      </c>
      <c r="C583" t="s">
        <v>2902</v>
      </c>
      <c r="D583" s="58">
        <v>9570120437</v>
      </c>
      <c r="F583" s="16">
        <v>231211799340</v>
      </c>
      <c r="G583" s="2">
        <v>500</v>
      </c>
      <c r="I583" s="95">
        <f t="shared" si="50"/>
        <v>10535.25</v>
      </c>
      <c r="N583" s="2">
        <f t="shared" si="49"/>
        <v>2</v>
      </c>
    </row>
    <row r="584" spans="1:14" x14ac:dyDescent="0.25">
      <c r="A584" s="3">
        <v>44873</v>
      </c>
      <c r="B584" s="11" t="s">
        <v>2903</v>
      </c>
      <c r="C584" t="s">
        <v>128</v>
      </c>
      <c r="F584" s="16">
        <v>231211823929</v>
      </c>
      <c r="G584" s="2">
        <v>5000</v>
      </c>
      <c r="I584" s="95">
        <f t="shared" si="50"/>
        <v>15535.25</v>
      </c>
      <c r="N584" s="2">
        <f t="shared" si="49"/>
        <v>20</v>
      </c>
    </row>
    <row r="585" spans="1:14" x14ac:dyDescent="0.25">
      <c r="A585" s="3">
        <v>44873</v>
      </c>
      <c r="B585" s="11" t="s">
        <v>2904</v>
      </c>
      <c r="C585" t="s">
        <v>510</v>
      </c>
      <c r="F585" s="16"/>
      <c r="G585" s="2">
        <v>1000</v>
      </c>
      <c r="I585" s="95">
        <f t="shared" si="50"/>
        <v>16535.25</v>
      </c>
      <c r="N585" s="2">
        <f t="shared" si="49"/>
        <v>4</v>
      </c>
    </row>
    <row r="586" spans="1:14" x14ac:dyDescent="0.25">
      <c r="A586" s="3">
        <v>44873</v>
      </c>
      <c r="B586" s="11" t="s">
        <v>2647</v>
      </c>
      <c r="C586" t="s">
        <v>2905</v>
      </c>
      <c r="F586" s="16">
        <v>231212523925</v>
      </c>
      <c r="G586" s="2">
        <v>2000</v>
      </c>
      <c r="I586" s="95">
        <f t="shared" si="50"/>
        <v>18535.25</v>
      </c>
      <c r="N586" s="2">
        <f t="shared" si="49"/>
        <v>8</v>
      </c>
    </row>
    <row r="587" spans="1:14" x14ac:dyDescent="0.25">
      <c r="A587" s="3">
        <v>44873</v>
      </c>
      <c r="B587" s="11" t="s">
        <v>2767</v>
      </c>
      <c r="C587" t="s">
        <v>1282</v>
      </c>
      <c r="F587" s="16"/>
      <c r="H587" s="2">
        <v>10000</v>
      </c>
      <c r="I587" s="95">
        <f t="shared" si="50"/>
        <v>8535.25</v>
      </c>
      <c r="N587" s="2">
        <f t="shared" si="49"/>
        <v>20</v>
      </c>
    </row>
    <row r="588" spans="1:14" x14ac:dyDescent="0.25">
      <c r="A588" s="3">
        <v>44873</v>
      </c>
      <c r="B588" s="11" t="s">
        <v>2620</v>
      </c>
      <c r="C588" t="s">
        <v>2906</v>
      </c>
      <c r="F588" s="16"/>
      <c r="G588" s="2">
        <v>200</v>
      </c>
      <c r="I588" s="95">
        <f t="shared" si="50"/>
        <v>8735.25</v>
      </c>
      <c r="N588" s="2">
        <f t="shared" si="49"/>
        <v>0.8</v>
      </c>
    </row>
    <row r="589" spans="1:14" x14ac:dyDescent="0.25">
      <c r="A589" s="3">
        <v>44873</v>
      </c>
      <c r="B589" s="11" t="s">
        <v>2438</v>
      </c>
      <c r="C589" t="s">
        <v>2439</v>
      </c>
      <c r="D589" s="58">
        <v>7209530774</v>
      </c>
      <c r="F589" s="16">
        <v>231217793772</v>
      </c>
      <c r="G589" s="2">
        <v>5500</v>
      </c>
      <c r="I589" s="95">
        <f t="shared" si="50"/>
        <v>14235.25</v>
      </c>
      <c r="N589" s="2">
        <f t="shared" si="49"/>
        <v>20</v>
      </c>
    </row>
    <row r="590" spans="1:14" x14ac:dyDescent="0.25">
      <c r="A590" s="3">
        <v>44873</v>
      </c>
      <c r="B590" s="11" t="s">
        <v>1163</v>
      </c>
      <c r="C590" t="s">
        <v>2876</v>
      </c>
      <c r="D590" s="58">
        <v>7209351669</v>
      </c>
      <c r="F590" s="16">
        <v>231218031501</v>
      </c>
      <c r="G590" s="2">
        <v>2000</v>
      </c>
      <c r="I590" s="95">
        <f t="shared" si="50"/>
        <v>16235.25</v>
      </c>
      <c r="N590" s="2">
        <f t="shared" si="49"/>
        <v>8</v>
      </c>
    </row>
    <row r="591" spans="1:14" x14ac:dyDescent="0.25">
      <c r="A591" s="3">
        <v>44874</v>
      </c>
      <c r="B591" s="11" t="s">
        <v>1163</v>
      </c>
      <c r="C591" t="s">
        <v>2282</v>
      </c>
      <c r="D591" s="58">
        <v>9905235195</v>
      </c>
      <c r="F591" s="16">
        <v>231311144339</v>
      </c>
      <c r="G591" s="2">
        <v>1300</v>
      </c>
      <c r="I591" s="95">
        <f t="shared" si="50"/>
        <v>17535.25</v>
      </c>
      <c r="N591" s="2">
        <f t="shared" si="49"/>
        <v>5.2</v>
      </c>
    </row>
    <row r="592" spans="1:14" x14ac:dyDescent="0.25">
      <c r="A592" s="3">
        <v>44874</v>
      </c>
      <c r="B592" s="11" t="s">
        <v>2286</v>
      </c>
      <c r="C592" t="s">
        <v>2907</v>
      </c>
      <c r="D592" s="58">
        <v>9308174062</v>
      </c>
      <c r="F592" s="16">
        <v>231311161901</v>
      </c>
      <c r="H592" s="2">
        <v>5000</v>
      </c>
      <c r="I592" s="95">
        <f t="shared" si="50"/>
        <v>12535.25</v>
      </c>
      <c r="N592" s="2">
        <f t="shared" si="49"/>
        <v>20</v>
      </c>
    </row>
    <row r="593" spans="1:14" x14ac:dyDescent="0.25">
      <c r="A593" s="3">
        <v>44874</v>
      </c>
      <c r="B593" s="11" t="s">
        <v>2645</v>
      </c>
      <c r="C593" t="s">
        <v>2908</v>
      </c>
      <c r="F593" s="16">
        <v>231313126159</v>
      </c>
      <c r="G593" s="2">
        <v>4500</v>
      </c>
      <c r="I593" s="95">
        <f t="shared" si="50"/>
        <v>17035.25</v>
      </c>
      <c r="N593" s="2">
        <f t="shared" si="49"/>
        <v>18</v>
      </c>
    </row>
    <row r="594" spans="1:14" x14ac:dyDescent="0.25">
      <c r="A594" s="3">
        <v>44874</v>
      </c>
      <c r="B594" s="11" t="s">
        <v>2767</v>
      </c>
      <c r="F594" s="16">
        <v>231313146838</v>
      </c>
      <c r="H594" s="2">
        <v>10000</v>
      </c>
      <c r="I594" s="95">
        <f t="shared" si="50"/>
        <v>7035.25</v>
      </c>
      <c r="N594" s="2">
        <f t="shared" si="49"/>
        <v>20</v>
      </c>
    </row>
    <row r="595" spans="1:14" x14ac:dyDescent="0.25">
      <c r="A595" s="3">
        <v>44874</v>
      </c>
      <c r="B595" s="11" t="s">
        <v>2365</v>
      </c>
      <c r="C595" t="s">
        <v>2909</v>
      </c>
      <c r="D595" s="58">
        <v>9341147272</v>
      </c>
      <c r="F595" s="16">
        <v>231318992478</v>
      </c>
      <c r="G595" s="2">
        <v>8300</v>
      </c>
      <c r="I595" s="95">
        <f t="shared" si="50"/>
        <v>15335.25</v>
      </c>
      <c r="N595" s="2">
        <f t="shared" si="49"/>
        <v>20</v>
      </c>
    </row>
    <row r="596" spans="1:14" x14ac:dyDescent="0.25">
      <c r="A596" s="3">
        <v>44874</v>
      </c>
      <c r="B596" s="11" t="s">
        <v>2360</v>
      </c>
      <c r="C596" t="s">
        <v>2910</v>
      </c>
      <c r="F596" s="16"/>
      <c r="H596" s="2">
        <v>3600</v>
      </c>
      <c r="I596" s="95">
        <f t="shared" si="50"/>
        <v>11735.25</v>
      </c>
      <c r="N596" s="2">
        <f t="shared" si="49"/>
        <v>14.4</v>
      </c>
    </row>
    <row r="597" spans="1:14" x14ac:dyDescent="0.25">
      <c r="A597" s="3">
        <v>44874</v>
      </c>
      <c r="B597" s="11" t="s">
        <v>2190</v>
      </c>
      <c r="C597" t="s">
        <v>579</v>
      </c>
      <c r="F597" s="16"/>
      <c r="H597" s="2">
        <v>4200</v>
      </c>
      <c r="I597" s="95">
        <f t="shared" si="50"/>
        <v>7535.25</v>
      </c>
      <c r="N597" s="2">
        <f t="shared" si="49"/>
        <v>16.8</v>
      </c>
    </row>
    <row r="598" spans="1:14" x14ac:dyDescent="0.25">
      <c r="A598" s="3">
        <v>44875</v>
      </c>
      <c r="B598" s="11" t="s">
        <v>2913</v>
      </c>
      <c r="C598" t="s">
        <v>2915</v>
      </c>
      <c r="E598" s="115" t="s">
        <v>14</v>
      </c>
      <c r="F598" s="16"/>
      <c r="H598" s="2">
        <v>200</v>
      </c>
      <c r="I598" s="95">
        <f t="shared" si="50"/>
        <v>7335.25</v>
      </c>
      <c r="N598" s="2">
        <f t="shared" ref="N598:N629" si="51">IF((G598+H598)&lt;=5000,(H598+G598)*0.004,20)+IF(E598="Y",25,0)</f>
        <v>25.8</v>
      </c>
    </row>
    <row r="599" spans="1:14" x14ac:dyDescent="0.25">
      <c r="A599" s="3">
        <v>44875</v>
      </c>
      <c r="B599" s="11" t="s">
        <v>2174</v>
      </c>
      <c r="C599" t="s">
        <v>2914</v>
      </c>
      <c r="F599" s="16">
        <v>231412752179</v>
      </c>
      <c r="H599" s="2">
        <v>500</v>
      </c>
      <c r="I599" s="95">
        <f t="shared" si="50"/>
        <v>6835.25</v>
      </c>
      <c r="N599" s="2">
        <f t="shared" si="51"/>
        <v>2</v>
      </c>
    </row>
    <row r="600" spans="1:14" x14ac:dyDescent="0.25">
      <c r="A600" s="3">
        <v>44875</v>
      </c>
      <c r="B600" s="11" t="s">
        <v>2917</v>
      </c>
      <c r="C600" t="s">
        <v>2918</v>
      </c>
      <c r="F600" s="16"/>
      <c r="G600" s="2">
        <v>4000</v>
      </c>
      <c r="I600" s="95">
        <f t="shared" si="50"/>
        <v>10835.25</v>
      </c>
      <c r="N600" s="2">
        <f t="shared" si="51"/>
        <v>16</v>
      </c>
    </row>
    <row r="601" spans="1:14" x14ac:dyDescent="0.25">
      <c r="A601" s="3">
        <v>44875</v>
      </c>
      <c r="B601" s="11" t="s">
        <v>1253</v>
      </c>
      <c r="C601" t="s">
        <v>2766</v>
      </c>
      <c r="F601" s="16">
        <v>231412063836</v>
      </c>
      <c r="H601" s="2">
        <v>1500</v>
      </c>
      <c r="I601" s="95">
        <f t="shared" si="50"/>
        <v>9335.25</v>
      </c>
      <c r="N601" s="2">
        <f t="shared" si="51"/>
        <v>6</v>
      </c>
    </row>
    <row r="602" spans="1:14" x14ac:dyDescent="0.25">
      <c r="A602" s="3">
        <v>44875</v>
      </c>
      <c r="C602" t="s">
        <v>2644</v>
      </c>
      <c r="F602" s="16">
        <v>231416549710</v>
      </c>
      <c r="G602" s="2">
        <v>5000</v>
      </c>
      <c r="I602" s="95">
        <f t="shared" si="50"/>
        <v>14335.25</v>
      </c>
      <c r="N602" s="2">
        <f t="shared" si="51"/>
        <v>20</v>
      </c>
    </row>
    <row r="603" spans="1:14" x14ac:dyDescent="0.25">
      <c r="A603" s="3">
        <v>44875</v>
      </c>
      <c r="B603" s="11" t="s">
        <v>2767</v>
      </c>
      <c r="C603" t="s">
        <v>1282</v>
      </c>
      <c r="H603" s="2">
        <v>10000</v>
      </c>
      <c r="I603" s="95">
        <f t="shared" si="50"/>
        <v>4335.25</v>
      </c>
      <c r="N603" s="2">
        <f t="shared" si="51"/>
        <v>20</v>
      </c>
    </row>
    <row r="604" spans="1:14" x14ac:dyDescent="0.25">
      <c r="A604" s="3">
        <v>44876</v>
      </c>
      <c r="B604" s="11" t="s">
        <v>2919</v>
      </c>
      <c r="C604" t="s">
        <v>1355</v>
      </c>
      <c r="E604" s="115" t="s">
        <v>16</v>
      </c>
      <c r="F604" s="16">
        <v>231511468960</v>
      </c>
      <c r="H604" s="2">
        <v>100</v>
      </c>
      <c r="I604" s="95">
        <f t="shared" si="50"/>
        <v>4235.25</v>
      </c>
      <c r="N604" s="2">
        <f t="shared" si="51"/>
        <v>25.4</v>
      </c>
    </row>
    <row r="605" spans="1:14" x14ac:dyDescent="0.25">
      <c r="A605" s="3">
        <v>44876</v>
      </c>
      <c r="B605" s="11" t="s">
        <v>1253</v>
      </c>
      <c r="C605" t="s">
        <v>2922</v>
      </c>
      <c r="D605" s="58">
        <v>9793561178</v>
      </c>
      <c r="F605" s="16">
        <v>231511557062</v>
      </c>
      <c r="G605" s="2">
        <v>5000</v>
      </c>
      <c r="I605" s="95">
        <f t="shared" si="50"/>
        <v>9235.25</v>
      </c>
      <c r="N605" s="2">
        <f t="shared" si="51"/>
        <v>20</v>
      </c>
    </row>
    <row r="606" spans="1:14" x14ac:dyDescent="0.25">
      <c r="A606" s="3">
        <v>44876</v>
      </c>
      <c r="B606" s="11" t="s">
        <v>2481</v>
      </c>
      <c r="F606" s="16">
        <v>231511581709</v>
      </c>
      <c r="H606" s="2">
        <v>5000</v>
      </c>
      <c r="I606" s="95">
        <f t="shared" si="50"/>
        <v>4235.25</v>
      </c>
      <c r="N606" s="2">
        <f t="shared" si="51"/>
        <v>20</v>
      </c>
    </row>
    <row r="607" spans="1:14" x14ac:dyDescent="0.25">
      <c r="A607" s="3">
        <v>44876</v>
      </c>
      <c r="B607" s="11" t="s">
        <v>1253</v>
      </c>
      <c r="C607" t="s">
        <v>2923</v>
      </c>
      <c r="D607" s="58">
        <v>9060902727</v>
      </c>
      <c r="F607" s="16">
        <v>231512604725</v>
      </c>
      <c r="G607" s="2">
        <v>500</v>
      </c>
      <c r="I607" s="95">
        <f t="shared" si="50"/>
        <v>4735.25</v>
      </c>
      <c r="N607" s="2">
        <f t="shared" si="51"/>
        <v>2</v>
      </c>
    </row>
    <row r="608" spans="1:14" x14ac:dyDescent="0.25">
      <c r="A608" s="3">
        <v>44876</v>
      </c>
      <c r="B608" s="11" t="s">
        <v>1253</v>
      </c>
      <c r="C608" t="s">
        <v>2924</v>
      </c>
      <c r="D608" s="58">
        <v>9060902727</v>
      </c>
      <c r="G608" s="2">
        <v>500</v>
      </c>
      <c r="I608" s="95">
        <f t="shared" si="50"/>
        <v>5235.25</v>
      </c>
      <c r="N608" s="2">
        <f t="shared" si="51"/>
        <v>2</v>
      </c>
    </row>
    <row r="609" spans="1:14" x14ac:dyDescent="0.25">
      <c r="A609" s="3">
        <v>44876</v>
      </c>
      <c r="B609" s="11" t="s">
        <v>2242</v>
      </c>
      <c r="C609" t="s">
        <v>2925</v>
      </c>
      <c r="F609" s="16">
        <v>231512055897</v>
      </c>
      <c r="H609" s="2">
        <v>5000</v>
      </c>
      <c r="I609" s="95">
        <f t="shared" si="50"/>
        <v>235.25</v>
      </c>
      <c r="N609" s="2">
        <f t="shared" si="51"/>
        <v>20</v>
      </c>
    </row>
    <row r="610" spans="1:14" x14ac:dyDescent="0.25">
      <c r="A610" s="3">
        <v>44876</v>
      </c>
      <c r="B610" s="11" t="s">
        <v>2926</v>
      </c>
      <c r="C610" t="s">
        <v>2927</v>
      </c>
      <c r="F610" s="16"/>
      <c r="G610" s="2">
        <v>20000</v>
      </c>
      <c r="I610" s="95">
        <f t="shared" si="50"/>
        <v>20235.25</v>
      </c>
      <c r="N610" s="2">
        <f t="shared" si="51"/>
        <v>20</v>
      </c>
    </row>
    <row r="611" spans="1:14" x14ac:dyDescent="0.25">
      <c r="A611" s="3">
        <v>44876</v>
      </c>
      <c r="B611" s="11" t="s">
        <v>1253</v>
      </c>
      <c r="C611" t="s">
        <v>2644</v>
      </c>
      <c r="F611" s="16"/>
      <c r="G611" s="2">
        <v>2000</v>
      </c>
      <c r="I611" s="95">
        <f t="shared" si="50"/>
        <v>22235.25</v>
      </c>
      <c r="N611" s="2">
        <f t="shared" si="51"/>
        <v>8</v>
      </c>
    </row>
    <row r="612" spans="1:14" x14ac:dyDescent="0.25">
      <c r="A612" s="3">
        <v>44876</v>
      </c>
      <c r="B612" s="11" t="s">
        <v>2190</v>
      </c>
      <c r="C612" t="s">
        <v>579</v>
      </c>
      <c r="F612" s="16">
        <v>231517554984</v>
      </c>
      <c r="H612" s="2">
        <v>5000</v>
      </c>
      <c r="I612" s="95">
        <f t="shared" si="50"/>
        <v>17235.25</v>
      </c>
      <c r="N612" s="2">
        <f t="shared" si="51"/>
        <v>20</v>
      </c>
    </row>
    <row r="613" spans="1:14" x14ac:dyDescent="0.25">
      <c r="A613" s="3">
        <v>44876</v>
      </c>
      <c r="B613" s="11" t="s">
        <v>2360</v>
      </c>
      <c r="C613" t="s">
        <v>2910</v>
      </c>
      <c r="F613" s="16">
        <v>231517559749</v>
      </c>
      <c r="H613" s="2">
        <v>5000</v>
      </c>
      <c r="I613" s="95">
        <f t="shared" si="50"/>
        <v>12235.25</v>
      </c>
      <c r="N613" s="2">
        <f t="shared" si="51"/>
        <v>20</v>
      </c>
    </row>
    <row r="614" spans="1:14" x14ac:dyDescent="0.25">
      <c r="A614" s="3">
        <v>44876</v>
      </c>
      <c r="B614" s="11" t="s">
        <v>1260</v>
      </c>
      <c r="C614" t="s">
        <v>2295</v>
      </c>
      <c r="F614" s="16">
        <v>231517568281</v>
      </c>
      <c r="H614" s="2">
        <v>5000</v>
      </c>
      <c r="I614" s="95">
        <f t="shared" si="50"/>
        <v>7235.25</v>
      </c>
      <c r="N614" s="2">
        <f t="shared" si="51"/>
        <v>20</v>
      </c>
    </row>
    <row r="615" spans="1:14" x14ac:dyDescent="0.25">
      <c r="A615" s="3">
        <v>44876</v>
      </c>
      <c r="B615" s="11" t="s">
        <v>1253</v>
      </c>
      <c r="C615" t="s">
        <v>2928</v>
      </c>
      <c r="F615" s="16"/>
      <c r="G615" s="2">
        <v>3300</v>
      </c>
      <c r="I615" s="95">
        <f t="shared" si="50"/>
        <v>10535.25</v>
      </c>
      <c r="N615" s="2">
        <f t="shared" si="51"/>
        <v>13.200000000000001</v>
      </c>
    </row>
    <row r="616" spans="1:14" x14ac:dyDescent="0.25">
      <c r="A616" s="3">
        <v>44877</v>
      </c>
      <c r="B616" s="11" t="s">
        <v>1253</v>
      </c>
      <c r="C616" t="s">
        <v>2930</v>
      </c>
      <c r="F616" s="16"/>
      <c r="G616" s="2">
        <v>2000</v>
      </c>
      <c r="I616" s="95">
        <f t="shared" si="50"/>
        <v>12535.25</v>
      </c>
      <c r="N616" s="2">
        <f t="shared" si="51"/>
        <v>8</v>
      </c>
    </row>
    <row r="617" spans="1:14" x14ac:dyDescent="0.25">
      <c r="A617" s="3">
        <v>44877</v>
      </c>
      <c r="B617" s="11" t="s">
        <v>1260</v>
      </c>
      <c r="C617" t="s">
        <v>2280</v>
      </c>
      <c r="F617" s="16">
        <v>231611294512</v>
      </c>
      <c r="H617" s="2">
        <v>3000</v>
      </c>
      <c r="I617" s="95">
        <f t="shared" si="50"/>
        <v>9535.25</v>
      </c>
      <c r="N617" s="2">
        <f t="shared" si="51"/>
        <v>12</v>
      </c>
    </row>
    <row r="618" spans="1:14" x14ac:dyDescent="0.25">
      <c r="A618" s="3">
        <v>44877</v>
      </c>
      <c r="B618" s="11" t="s">
        <v>2360</v>
      </c>
      <c r="C618" t="s">
        <v>2910</v>
      </c>
      <c r="F618" s="16"/>
      <c r="H618" s="2">
        <v>5000</v>
      </c>
      <c r="I618" s="95">
        <f t="shared" si="50"/>
        <v>4535.25</v>
      </c>
      <c r="N618" s="2">
        <f t="shared" si="51"/>
        <v>20</v>
      </c>
    </row>
    <row r="619" spans="1:14" x14ac:dyDescent="0.25">
      <c r="A619" s="3">
        <v>44877</v>
      </c>
      <c r="B619" s="11" t="s">
        <v>2818</v>
      </c>
      <c r="C619" t="s">
        <v>2931</v>
      </c>
      <c r="F619" s="16">
        <v>231611311980</v>
      </c>
      <c r="H619" s="2">
        <v>1400</v>
      </c>
      <c r="I619" s="95">
        <f t="shared" si="50"/>
        <v>3135.25</v>
      </c>
      <c r="N619" s="2">
        <f t="shared" si="51"/>
        <v>5.6000000000000005</v>
      </c>
    </row>
    <row r="620" spans="1:14" x14ac:dyDescent="0.25">
      <c r="A620" s="3">
        <v>44877</v>
      </c>
      <c r="B620" s="11" t="s">
        <v>2190</v>
      </c>
      <c r="C620" t="s">
        <v>579</v>
      </c>
      <c r="F620" s="16"/>
      <c r="G620" s="2">
        <v>2000</v>
      </c>
      <c r="I620" s="95">
        <f t="shared" si="50"/>
        <v>5135.25</v>
      </c>
      <c r="N620" s="2">
        <f t="shared" si="51"/>
        <v>8</v>
      </c>
    </row>
    <row r="621" spans="1:14" x14ac:dyDescent="0.25">
      <c r="A621" s="3">
        <v>44877</v>
      </c>
      <c r="B621" s="11" t="s">
        <v>2142</v>
      </c>
      <c r="C621" t="s">
        <v>2932</v>
      </c>
      <c r="F621" s="16">
        <v>231613086061</v>
      </c>
      <c r="H621" s="2">
        <v>4500</v>
      </c>
      <c r="I621" s="95">
        <f t="shared" si="50"/>
        <v>635.25</v>
      </c>
      <c r="N621" s="2">
        <f t="shared" si="51"/>
        <v>18</v>
      </c>
    </row>
    <row r="622" spans="1:14" x14ac:dyDescent="0.25">
      <c r="A622" s="3">
        <v>44877</v>
      </c>
      <c r="B622" s="11" t="s">
        <v>2247</v>
      </c>
      <c r="C622" t="s">
        <v>2933</v>
      </c>
      <c r="D622" s="58">
        <v>9430747725</v>
      </c>
      <c r="F622" s="16"/>
      <c r="G622" s="2">
        <v>1500</v>
      </c>
      <c r="I622" s="95">
        <f t="shared" si="50"/>
        <v>2135.25</v>
      </c>
      <c r="N622" s="2">
        <f t="shared" si="51"/>
        <v>6</v>
      </c>
    </row>
    <row r="623" spans="1:14" x14ac:dyDescent="0.25">
      <c r="A623" s="3">
        <v>44878</v>
      </c>
      <c r="B623" s="11" t="s">
        <v>2244</v>
      </c>
      <c r="C623" t="s">
        <v>2245</v>
      </c>
      <c r="F623" s="16"/>
      <c r="H623" s="2">
        <v>1000</v>
      </c>
      <c r="I623" s="95">
        <f t="shared" si="50"/>
        <v>1135.25</v>
      </c>
      <c r="N623" s="2">
        <f t="shared" si="51"/>
        <v>4</v>
      </c>
    </row>
    <row r="624" spans="1:14" x14ac:dyDescent="0.25">
      <c r="A624" s="3">
        <v>44879</v>
      </c>
      <c r="B624" s="11" t="s">
        <v>1163</v>
      </c>
      <c r="C624" t="s">
        <v>2936</v>
      </c>
      <c r="D624" s="58">
        <v>8294518663</v>
      </c>
      <c r="F624" s="16">
        <v>231811659406</v>
      </c>
      <c r="G624" s="2">
        <v>6000</v>
      </c>
      <c r="I624" s="95">
        <f t="shared" si="50"/>
        <v>7135.25</v>
      </c>
      <c r="N624" s="2">
        <f t="shared" si="51"/>
        <v>20</v>
      </c>
    </row>
    <row r="625" spans="1:14" x14ac:dyDescent="0.25">
      <c r="A625" s="3">
        <v>44879</v>
      </c>
      <c r="B625" s="11" t="s">
        <v>2238</v>
      </c>
      <c r="C625" t="s">
        <v>2941</v>
      </c>
      <c r="F625" s="16"/>
      <c r="G625" s="2">
        <v>7000</v>
      </c>
      <c r="I625" s="95">
        <f t="shared" si="50"/>
        <v>14135.25</v>
      </c>
      <c r="N625" s="2">
        <f t="shared" si="51"/>
        <v>20</v>
      </c>
    </row>
    <row r="626" spans="1:14" x14ac:dyDescent="0.25">
      <c r="A626" s="3">
        <v>36844</v>
      </c>
      <c r="B626" s="11" t="s">
        <v>2980</v>
      </c>
      <c r="C626" t="s">
        <v>2981</v>
      </c>
      <c r="E626" s="115" t="s">
        <v>16</v>
      </c>
      <c r="F626" s="16"/>
      <c r="H626" s="2">
        <v>0</v>
      </c>
      <c r="I626" s="95">
        <f t="shared" si="50"/>
        <v>14135.25</v>
      </c>
      <c r="N626" s="2">
        <f t="shared" si="51"/>
        <v>25</v>
      </c>
    </row>
    <row r="627" spans="1:14" x14ac:dyDescent="0.25">
      <c r="A627" s="3">
        <v>44880</v>
      </c>
      <c r="B627" s="11" t="s">
        <v>2190</v>
      </c>
      <c r="C627" t="s">
        <v>579</v>
      </c>
      <c r="F627" s="16">
        <v>231910112201</v>
      </c>
      <c r="H627" s="2">
        <v>2000</v>
      </c>
      <c r="I627" s="95">
        <f t="shared" si="50"/>
        <v>12135.25</v>
      </c>
      <c r="N627" s="2">
        <f t="shared" si="51"/>
        <v>8</v>
      </c>
    </row>
    <row r="628" spans="1:14" x14ac:dyDescent="0.25">
      <c r="A628" s="3">
        <v>44880</v>
      </c>
      <c r="B628" s="11" t="s">
        <v>2736</v>
      </c>
      <c r="C628" t="s">
        <v>2945</v>
      </c>
      <c r="F628" s="16">
        <v>231910126754</v>
      </c>
      <c r="H628" s="2">
        <v>7000</v>
      </c>
      <c r="I628" s="95">
        <f t="shared" si="50"/>
        <v>5135.25</v>
      </c>
      <c r="N628" s="2">
        <f t="shared" si="51"/>
        <v>20</v>
      </c>
    </row>
    <row r="629" spans="1:14" x14ac:dyDescent="0.25">
      <c r="A629" s="3">
        <v>44880</v>
      </c>
      <c r="B629" s="11" t="s">
        <v>2946</v>
      </c>
      <c r="C629" t="s">
        <v>2947</v>
      </c>
      <c r="E629" s="115" t="s">
        <v>16</v>
      </c>
      <c r="F629" s="16"/>
      <c r="H629" s="2">
        <v>2000</v>
      </c>
      <c r="I629" s="95">
        <f t="shared" si="50"/>
        <v>3135.25</v>
      </c>
      <c r="N629" s="2">
        <f t="shared" si="51"/>
        <v>33</v>
      </c>
    </row>
    <row r="630" spans="1:14" x14ac:dyDescent="0.25">
      <c r="A630" s="3">
        <v>44880</v>
      </c>
      <c r="B630" s="11" t="s">
        <v>2951</v>
      </c>
      <c r="C630" t="s">
        <v>2952</v>
      </c>
      <c r="E630" s="115" t="s">
        <v>16</v>
      </c>
      <c r="F630" s="16"/>
      <c r="H630" s="2">
        <v>100</v>
      </c>
      <c r="I630" s="95">
        <f t="shared" si="50"/>
        <v>3035.25</v>
      </c>
      <c r="N630" s="2">
        <f t="shared" ref="N630:N658" si="52">IF((G630+H630)&lt;=5000,(H630+G630)*0.004,20)+IF(E630="Y",25,0)</f>
        <v>25.4</v>
      </c>
    </row>
    <row r="631" spans="1:14" x14ac:dyDescent="0.25">
      <c r="A631" s="3">
        <v>44880</v>
      </c>
      <c r="B631" s="11" t="s">
        <v>2956</v>
      </c>
      <c r="C631" t="s">
        <v>2955</v>
      </c>
      <c r="F631" s="16">
        <v>231917924977</v>
      </c>
      <c r="H631" s="2">
        <v>1000</v>
      </c>
      <c r="I631" s="95">
        <f t="shared" si="50"/>
        <v>2035.25</v>
      </c>
      <c r="N631" s="2">
        <f t="shared" si="52"/>
        <v>4</v>
      </c>
    </row>
    <row r="632" spans="1:14" x14ac:dyDescent="0.25">
      <c r="A632" s="3">
        <v>44880</v>
      </c>
      <c r="B632" s="11" t="s">
        <v>2814</v>
      </c>
      <c r="C632" t="s">
        <v>2957</v>
      </c>
      <c r="F632" s="16"/>
      <c r="G632" s="2">
        <v>2000</v>
      </c>
      <c r="I632" s="95">
        <f t="shared" si="50"/>
        <v>4035.25</v>
      </c>
      <c r="N632" s="2">
        <f t="shared" si="52"/>
        <v>8</v>
      </c>
    </row>
    <row r="633" spans="1:14" x14ac:dyDescent="0.25">
      <c r="A633" s="3">
        <v>44880</v>
      </c>
      <c r="C633" s="1" t="s">
        <v>2966</v>
      </c>
      <c r="F633" s="16"/>
      <c r="G633" s="82">
        <v>839.8</v>
      </c>
      <c r="I633" s="95">
        <f t="shared" si="50"/>
        <v>4875.05</v>
      </c>
      <c r="N633" s="2">
        <f t="shared" si="52"/>
        <v>3.3592</v>
      </c>
    </row>
    <row r="634" spans="1:14" x14ac:dyDescent="0.25">
      <c r="A634" s="3">
        <v>44881</v>
      </c>
      <c r="B634" s="11" t="s">
        <v>2964</v>
      </c>
      <c r="C634" t="s">
        <v>2965</v>
      </c>
      <c r="E634" s="115" t="s">
        <v>16</v>
      </c>
      <c r="F634" s="16">
        <v>232011709675</v>
      </c>
      <c r="H634" s="2">
        <v>200</v>
      </c>
      <c r="I634" s="95">
        <f t="shared" si="50"/>
        <v>4675.05</v>
      </c>
      <c r="N634" s="2">
        <f t="shared" si="52"/>
        <v>25.8</v>
      </c>
    </row>
    <row r="635" spans="1:14" x14ac:dyDescent="0.25">
      <c r="A635" s="3">
        <v>44881</v>
      </c>
      <c r="B635" s="11" t="s">
        <v>2967</v>
      </c>
      <c r="C635" t="s">
        <v>1602</v>
      </c>
      <c r="F635" s="16">
        <v>232011875310</v>
      </c>
      <c r="G635" s="2">
        <v>5000</v>
      </c>
      <c r="I635" s="95">
        <f t="shared" si="50"/>
        <v>9675.0499999999993</v>
      </c>
      <c r="N635" s="2">
        <f t="shared" si="52"/>
        <v>20</v>
      </c>
    </row>
    <row r="636" spans="1:14" x14ac:dyDescent="0.25">
      <c r="A636" s="3">
        <v>44881</v>
      </c>
      <c r="B636" s="11" t="s">
        <v>2969</v>
      </c>
      <c r="C636" t="s">
        <v>2970</v>
      </c>
      <c r="E636" s="115" t="s">
        <v>16</v>
      </c>
      <c r="F636" s="16">
        <v>232013526692</v>
      </c>
      <c r="H636" s="2">
        <v>1000</v>
      </c>
      <c r="I636" s="95">
        <f t="shared" si="50"/>
        <v>8675.0499999999993</v>
      </c>
      <c r="N636" s="2">
        <f t="shared" si="52"/>
        <v>29</v>
      </c>
    </row>
    <row r="637" spans="1:14" x14ac:dyDescent="0.25">
      <c r="A637" s="3">
        <v>44881</v>
      </c>
      <c r="B637" s="11" t="s">
        <v>1163</v>
      </c>
      <c r="C637" t="s">
        <v>2973</v>
      </c>
      <c r="D637" s="58">
        <v>9534132978</v>
      </c>
      <c r="F637" s="16">
        <v>232013633563</v>
      </c>
      <c r="G637" s="2">
        <v>500</v>
      </c>
      <c r="I637" s="95">
        <f t="shared" si="50"/>
        <v>9175.0499999999993</v>
      </c>
      <c r="N637" s="2">
        <f t="shared" si="52"/>
        <v>2</v>
      </c>
    </row>
    <row r="638" spans="1:14" x14ac:dyDescent="0.25">
      <c r="A638" s="3">
        <v>44881</v>
      </c>
      <c r="B638" s="11" t="s">
        <v>1163</v>
      </c>
      <c r="C638" t="s">
        <v>2970</v>
      </c>
      <c r="F638" s="16">
        <v>232013665722</v>
      </c>
      <c r="G638" s="2">
        <v>1500</v>
      </c>
      <c r="I638" s="95">
        <f t="shared" si="50"/>
        <v>10675.05</v>
      </c>
      <c r="N638" s="2">
        <f t="shared" si="52"/>
        <v>6</v>
      </c>
    </row>
    <row r="639" spans="1:14" x14ac:dyDescent="0.25">
      <c r="A639" s="3">
        <v>44881</v>
      </c>
      <c r="B639" s="11" t="s">
        <v>2974</v>
      </c>
      <c r="C639" t="s">
        <v>2975</v>
      </c>
      <c r="F639" s="16">
        <v>232016739690</v>
      </c>
      <c r="H639" s="2">
        <v>300</v>
      </c>
      <c r="I639" s="95">
        <f t="shared" si="50"/>
        <v>10375.049999999999</v>
      </c>
      <c r="N639" s="2">
        <f t="shared" si="52"/>
        <v>1.2</v>
      </c>
    </row>
    <row r="640" spans="1:14" x14ac:dyDescent="0.25">
      <c r="A640" s="3">
        <v>44881</v>
      </c>
      <c r="B640" s="11" t="s">
        <v>2976</v>
      </c>
      <c r="C640" t="s">
        <v>2977</v>
      </c>
      <c r="F640" s="16"/>
      <c r="G640" s="2">
        <v>2000</v>
      </c>
      <c r="I640" s="95">
        <f>I639+G640-H640</f>
        <v>12375.05</v>
      </c>
      <c r="N640" s="2">
        <f t="shared" si="52"/>
        <v>8</v>
      </c>
    </row>
    <row r="641" spans="1:14" x14ac:dyDescent="0.25">
      <c r="A641" s="3">
        <v>44881</v>
      </c>
      <c r="B641" s="11" t="s">
        <v>2748</v>
      </c>
      <c r="C641" t="s">
        <v>1359</v>
      </c>
      <c r="F641" s="16"/>
      <c r="H641" s="2">
        <v>10000</v>
      </c>
      <c r="I641" s="95">
        <f>I640+G641-H641</f>
        <v>2375.0499999999993</v>
      </c>
      <c r="N641" s="2">
        <f t="shared" si="52"/>
        <v>20</v>
      </c>
    </row>
    <row r="642" spans="1:14" x14ac:dyDescent="0.25">
      <c r="A642" s="3">
        <v>44882</v>
      </c>
      <c r="B642" s="11" t="s">
        <v>2980</v>
      </c>
      <c r="C642" t="s">
        <v>2981</v>
      </c>
      <c r="F642" s="16">
        <v>232111846754</v>
      </c>
      <c r="H642" s="2">
        <v>100</v>
      </c>
      <c r="I642" s="95">
        <f>I641+G642-H642</f>
        <v>2275.0499999999993</v>
      </c>
      <c r="N642" s="2">
        <f t="shared" si="52"/>
        <v>0.4</v>
      </c>
    </row>
    <row r="643" spans="1:14" x14ac:dyDescent="0.25">
      <c r="A643" s="3">
        <v>44882</v>
      </c>
      <c r="B643" s="11" t="s">
        <v>2680</v>
      </c>
      <c r="C643" t="s">
        <v>2681</v>
      </c>
      <c r="F643" s="16"/>
      <c r="H643" s="2">
        <v>800</v>
      </c>
      <c r="I643" s="95">
        <f t="shared" ref="I643:I669" si="53">I642+G643-H643</f>
        <v>1475.0499999999993</v>
      </c>
      <c r="N643" s="2">
        <f t="shared" si="52"/>
        <v>3.2</v>
      </c>
    </row>
    <row r="644" spans="1:14" x14ac:dyDescent="0.25">
      <c r="A644" s="3">
        <v>44883</v>
      </c>
      <c r="C644" t="s">
        <v>2644</v>
      </c>
      <c r="F644" s="16">
        <v>232217275834</v>
      </c>
      <c r="G644" s="2">
        <v>1000</v>
      </c>
      <c r="I644" s="95">
        <f t="shared" si="53"/>
        <v>2475.0499999999993</v>
      </c>
      <c r="N644" s="2">
        <f t="shared" si="52"/>
        <v>4</v>
      </c>
    </row>
    <row r="645" spans="1:14" x14ac:dyDescent="0.25">
      <c r="A645" s="3">
        <v>44883</v>
      </c>
      <c r="B645" s="11" t="s">
        <v>2244</v>
      </c>
      <c r="C645" t="s">
        <v>2245</v>
      </c>
      <c r="F645" s="16">
        <v>232217398770</v>
      </c>
      <c r="H645" s="2">
        <v>2470</v>
      </c>
      <c r="I645" s="95">
        <f t="shared" si="53"/>
        <v>5.0499999999992724</v>
      </c>
      <c r="N645" s="2">
        <f t="shared" si="52"/>
        <v>9.8800000000000008</v>
      </c>
    </row>
    <row r="646" spans="1:14" x14ac:dyDescent="0.25">
      <c r="A646" s="3">
        <v>44883</v>
      </c>
      <c r="B646" s="11" t="s">
        <v>2238</v>
      </c>
      <c r="C646" t="s">
        <v>2664</v>
      </c>
      <c r="F646" s="16"/>
      <c r="G646" s="2">
        <v>2000</v>
      </c>
      <c r="I646" s="95">
        <f t="shared" si="53"/>
        <v>2005.0499999999993</v>
      </c>
      <c r="N646" s="2">
        <f t="shared" si="52"/>
        <v>8</v>
      </c>
    </row>
    <row r="647" spans="1:14" x14ac:dyDescent="0.25">
      <c r="A647" s="3">
        <v>44884</v>
      </c>
      <c r="B647" s="11" t="s">
        <v>2983</v>
      </c>
      <c r="C647" t="s">
        <v>2984</v>
      </c>
      <c r="D647" s="58">
        <v>9064525599</v>
      </c>
      <c r="F647" s="16">
        <v>232317930310</v>
      </c>
      <c r="G647" s="2">
        <v>1500</v>
      </c>
      <c r="I647" s="95">
        <f t="shared" si="53"/>
        <v>3505.0499999999993</v>
      </c>
      <c r="N647" s="2">
        <f t="shared" si="52"/>
        <v>6</v>
      </c>
    </row>
    <row r="648" spans="1:14" x14ac:dyDescent="0.25">
      <c r="A648" s="3">
        <v>44884</v>
      </c>
      <c r="B648" s="11" t="s">
        <v>2985</v>
      </c>
      <c r="C648" t="s">
        <v>2518</v>
      </c>
      <c r="D648" s="58">
        <v>9801226384</v>
      </c>
      <c r="F648" s="16">
        <v>232318105724</v>
      </c>
      <c r="G648" s="2">
        <v>1500</v>
      </c>
      <c r="I648" s="95">
        <f t="shared" si="53"/>
        <v>5005.0499999999993</v>
      </c>
      <c r="N648" s="2">
        <f t="shared" si="52"/>
        <v>6</v>
      </c>
    </row>
    <row r="649" spans="1:14" x14ac:dyDescent="0.25">
      <c r="A649" s="3">
        <v>44884</v>
      </c>
      <c r="B649" s="11" t="s">
        <v>1260</v>
      </c>
      <c r="C649" t="s">
        <v>2295</v>
      </c>
      <c r="H649" s="2">
        <v>5000</v>
      </c>
      <c r="I649" s="95">
        <f t="shared" si="53"/>
        <v>5.0499999999992724</v>
      </c>
      <c r="N649" s="2">
        <f t="shared" si="52"/>
        <v>20</v>
      </c>
    </row>
    <row r="650" spans="1:14" x14ac:dyDescent="0.25">
      <c r="A650" s="3">
        <v>44886</v>
      </c>
      <c r="B650" s="11" t="s">
        <v>1163</v>
      </c>
      <c r="C650" t="s">
        <v>2986</v>
      </c>
      <c r="G650" s="2">
        <v>2000</v>
      </c>
      <c r="I650" s="95">
        <f t="shared" si="53"/>
        <v>2005.0499999999993</v>
      </c>
      <c r="N650" s="2">
        <f t="shared" si="52"/>
        <v>8</v>
      </c>
    </row>
    <row r="651" spans="1:14" x14ac:dyDescent="0.25">
      <c r="A651" s="3">
        <v>44886</v>
      </c>
      <c r="B651" s="11" t="s">
        <v>1253</v>
      </c>
      <c r="C651" t="s">
        <v>2898</v>
      </c>
      <c r="G651" s="2">
        <v>300</v>
      </c>
      <c r="I651" s="95">
        <f t="shared" si="53"/>
        <v>2305.0499999999993</v>
      </c>
      <c r="N651" s="2">
        <f t="shared" si="52"/>
        <v>1.2</v>
      </c>
    </row>
    <row r="652" spans="1:14" x14ac:dyDescent="0.25">
      <c r="A652" s="3">
        <v>44887</v>
      </c>
      <c r="B652" s="11" t="s">
        <v>2987</v>
      </c>
      <c r="C652" t="s">
        <v>2988</v>
      </c>
      <c r="E652" s="115" t="s">
        <v>16</v>
      </c>
      <c r="F652" s="16"/>
      <c r="H652" s="2">
        <v>100</v>
      </c>
      <c r="I652" s="95">
        <f t="shared" si="53"/>
        <v>2205.0499999999993</v>
      </c>
      <c r="N652" s="2">
        <f t="shared" si="52"/>
        <v>25.4</v>
      </c>
    </row>
    <row r="653" spans="1:14" x14ac:dyDescent="0.25">
      <c r="A653" s="3">
        <v>44887</v>
      </c>
      <c r="B653" s="11" t="s">
        <v>2247</v>
      </c>
      <c r="C653" t="s">
        <v>2989</v>
      </c>
      <c r="D653" s="58">
        <v>9631500251</v>
      </c>
      <c r="F653" s="16">
        <v>232618018019</v>
      </c>
      <c r="G653" s="2">
        <v>1500</v>
      </c>
      <c r="I653" s="95">
        <f t="shared" si="53"/>
        <v>3705.0499999999993</v>
      </c>
      <c r="N653" s="2">
        <f t="shared" si="52"/>
        <v>6</v>
      </c>
    </row>
    <row r="654" spans="1:14" x14ac:dyDescent="0.25">
      <c r="A654" s="3">
        <v>44887</v>
      </c>
      <c r="B654" s="11" t="s">
        <v>2142</v>
      </c>
      <c r="C654" t="s">
        <v>2932</v>
      </c>
      <c r="F654" s="16">
        <v>232618025145</v>
      </c>
      <c r="H654" s="2">
        <v>3000</v>
      </c>
      <c r="I654" s="95">
        <f t="shared" si="53"/>
        <v>705.04999999999927</v>
      </c>
      <c r="N654" s="2">
        <f t="shared" si="52"/>
        <v>12</v>
      </c>
    </row>
    <row r="655" spans="1:14" x14ac:dyDescent="0.25">
      <c r="A655" s="3">
        <v>44888</v>
      </c>
      <c r="B655" s="11" t="s">
        <v>2992</v>
      </c>
      <c r="C655" t="s">
        <v>229</v>
      </c>
      <c r="F655" s="16">
        <v>232716406671</v>
      </c>
      <c r="G655" s="2">
        <v>1500</v>
      </c>
      <c r="I655" s="95">
        <f t="shared" si="53"/>
        <v>2205.0499999999993</v>
      </c>
      <c r="N655" s="2">
        <f t="shared" si="52"/>
        <v>6</v>
      </c>
    </row>
    <row r="656" spans="1:14" x14ac:dyDescent="0.25">
      <c r="A656" s="3">
        <v>44888</v>
      </c>
      <c r="B656" s="11" t="s">
        <v>2996</v>
      </c>
      <c r="C656" t="s">
        <v>2542</v>
      </c>
      <c r="F656" s="16">
        <v>232717688638</v>
      </c>
      <c r="G656" s="2">
        <v>5000</v>
      </c>
      <c r="I656" s="95">
        <f t="shared" si="53"/>
        <v>7205.0499999999993</v>
      </c>
      <c r="N656" s="2">
        <f t="shared" si="52"/>
        <v>20</v>
      </c>
    </row>
    <row r="657" spans="1:16" x14ac:dyDescent="0.25">
      <c r="A657" s="3">
        <v>44888</v>
      </c>
      <c r="B657" s="11" t="s">
        <v>1260</v>
      </c>
      <c r="C657" t="s">
        <v>2295</v>
      </c>
      <c r="F657" s="16">
        <v>232717705215</v>
      </c>
      <c r="H657" s="2">
        <v>5000</v>
      </c>
      <c r="I657" s="95">
        <f t="shared" si="53"/>
        <v>2205.0499999999993</v>
      </c>
      <c r="N657" s="2">
        <f t="shared" si="52"/>
        <v>20</v>
      </c>
    </row>
    <row r="658" spans="1:16" x14ac:dyDescent="0.25">
      <c r="A658" s="3">
        <v>44889</v>
      </c>
      <c r="B658" s="11" t="s">
        <v>2625</v>
      </c>
      <c r="C658" t="s">
        <v>2997</v>
      </c>
      <c r="F658" s="16">
        <v>232810784641</v>
      </c>
      <c r="G658" s="2">
        <v>10000</v>
      </c>
      <c r="I658" s="95">
        <f t="shared" si="53"/>
        <v>12205.05</v>
      </c>
      <c r="N658" s="2">
        <f t="shared" si="52"/>
        <v>20</v>
      </c>
    </row>
    <row r="659" spans="1:16" x14ac:dyDescent="0.25">
      <c r="A659" s="3">
        <v>44889</v>
      </c>
      <c r="B659" s="11" t="s">
        <v>1391</v>
      </c>
      <c r="C659" t="s">
        <v>3002</v>
      </c>
      <c r="F659" s="16"/>
      <c r="H659" s="2">
        <v>10000</v>
      </c>
      <c r="I659" s="95">
        <f t="shared" si="53"/>
        <v>2205.0499999999993</v>
      </c>
    </row>
    <row r="660" spans="1:16" x14ac:dyDescent="0.25">
      <c r="A660" s="3">
        <v>44889</v>
      </c>
      <c r="B660" s="11" t="s">
        <v>3003</v>
      </c>
      <c r="C660" t="s">
        <v>3004</v>
      </c>
      <c r="E660" s="115" t="s">
        <v>16</v>
      </c>
      <c r="F660" s="16">
        <v>2328199</v>
      </c>
      <c r="H660" s="2">
        <v>150</v>
      </c>
      <c r="I660" s="95">
        <f t="shared" si="53"/>
        <v>2055.0499999999993</v>
      </c>
      <c r="N660" s="2">
        <f t="shared" ref="N660:N669" si="54">IF((G660+H660)&lt;=5000,(H660+G660)*0.004,20)+IF(E660="Y",25,0)</f>
        <v>25.6</v>
      </c>
    </row>
    <row r="661" spans="1:16" x14ac:dyDescent="0.25">
      <c r="A661" s="3">
        <v>44890</v>
      </c>
      <c r="B661" s="11" t="s">
        <v>3006</v>
      </c>
      <c r="C661" t="s">
        <v>3005</v>
      </c>
      <c r="F661" s="16">
        <v>232913765827</v>
      </c>
      <c r="H661" s="2">
        <v>1000</v>
      </c>
      <c r="I661" s="95">
        <f t="shared" si="53"/>
        <v>1055.0499999999993</v>
      </c>
      <c r="N661" s="2">
        <f t="shared" si="54"/>
        <v>4</v>
      </c>
    </row>
    <row r="662" spans="1:16" x14ac:dyDescent="0.25">
      <c r="A662" s="3">
        <v>44890</v>
      </c>
      <c r="B662" s="11" t="s">
        <v>2244</v>
      </c>
      <c r="C662" t="s">
        <v>2245</v>
      </c>
      <c r="E662" s="122"/>
      <c r="F662" s="44">
        <v>232920542118</v>
      </c>
      <c r="G662" s="82"/>
      <c r="H662" s="94">
        <v>500</v>
      </c>
      <c r="I662" s="95">
        <f t="shared" si="53"/>
        <v>555.04999999999927</v>
      </c>
      <c r="N662" s="2">
        <f t="shared" si="54"/>
        <v>2</v>
      </c>
    </row>
    <row r="663" spans="1:16" x14ac:dyDescent="0.25">
      <c r="A663" s="3">
        <v>44893</v>
      </c>
      <c r="B663" s="11" t="s">
        <v>3012</v>
      </c>
      <c r="C663" t="s">
        <v>3013</v>
      </c>
      <c r="E663" s="115" t="s">
        <v>16</v>
      </c>
      <c r="F663" s="16">
        <v>233212085296</v>
      </c>
      <c r="H663" s="2">
        <v>450</v>
      </c>
      <c r="I663" s="95">
        <f t="shared" si="53"/>
        <v>105.04999999999927</v>
      </c>
      <c r="N663" s="2">
        <f t="shared" si="54"/>
        <v>26.8</v>
      </c>
    </row>
    <row r="664" spans="1:16" x14ac:dyDescent="0.25">
      <c r="A664" s="3">
        <v>44893</v>
      </c>
      <c r="B664" s="11" t="s">
        <v>1475</v>
      </c>
      <c r="C664" t="s">
        <v>3017</v>
      </c>
      <c r="D664" s="58">
        <v>8797783108</v>
      </c>
      <c r="F664" s="16"/>
      <c r="G664" s="2">
        <v>10000</v>
      </c>
      <c r="I664" s="95">
        <f t="shared" si="53"/>
        <v>10105.049999999999</v>
      </c>
      <c r="N664" s="2">
        <f t="shared" si="54"/>
        <v>20</v>
      </c>
    </row>
    <row r="665" spans="1:16" x14ac:dyDescent="0.25">
      <c r="A665" s="3">
        <v>44893</v>
      </c>
      <c r="B665" s="11" t="s">
        <v>2903</v>
      </c>
      <c r="C665" t="s">
        <v>128</v>
      </c>
      <c r="F665" s="16"/>
      <c r="G665" s="2">
        <v>5000</v>
      </c>
      <c r="I665" s="95">
        <f t="shared" si="53"/>
        <v>15105.05</v>
      </c>
      <c r="N665" s="2">
        <f t="shared" si="54"/>
        <v>20</v>
      </c>
    </row>
    <row r="666" spans="1:16" x14ac:dyDescent="0.25">
      <c r="A666" s="3">
        <v>44893</v>
      </c>
      <c r="B666" s="11" t="s">
        <v>2365</v>
      </c>
      <c r="C666" t="s">
        <v>3018</v>
      </c>
      <c r="D666" s="58">
        <v>8709902261</v>
      </c>
      <c r="F666" s="16"/>
      <c r="G666" s="2">
        <v>2500</v>
      </c>
      <c r="I666" s="95">
        <f t="shared" si="53"/>
        <v>17605.05</v>
      </c>
      <c r="N666" s="2">
        <f t="shared" si="54"/>
        <v>10</v>
      </c>
    </row>
    <row r="667" spans="1:16" x14ac:dyDescent="0.25">
      <c r="A667" s="3">
        <v>44893</v>
      </c>
      <c r="B667" s="11" t="s">
        <v>3019</v>
      </c>
      <c r="C667" t="s">
        <v>1282</v>
      </c>
      <c r="D667" s="141"/>
      <c r="F667" s="16"/>
      <c r="H667" s="2">
        <v>10000</v>
      </c>
      <c r="I667" s="95">
        <f t="shared" si="53"/>
        <v>7605.0499999999993</v>
      </c>
      <c r="N667" s="2">
        <f t="shared" si="54"/>
        <v>20</v>
      </c>
    </row>
    <row r="668" spans="1:16" x14ac:dyDescent="0.25">
      <c r="A668" s="3">
        <v>44893</v>
      </c>
      <c r="C668" t="s">
        <v>579</v>
      </c>
      <c r="D668" s="141"/>
      <c r="F668" s="16"/>
      <c r="H668" s="2">
        <v>5000</v>
      </c>
      <c r="I668" s="95">
        <f t="shared" si="53"/>
        <v>2605.0499999999993</v>
      </c>
      <c r="N668" s="2">
        <f t="shared" si="54"/>
        <v>20</v>
      </c>
    </row>
    <row r="669" spans="1:16" x14ac:dyDescent="0.25">
      <c r="A669" s="3">
        <v>44894</v>
      </c>
      <c r="B669" s="11" t="s">
        <v>3020</v>
      </c>
      <c r="C669" t="s">
        <v>3021</v>
      </c>
      <c r="D669" s="58">
        <v>6203651118</v>
      </c>
      <c r="E669" s="115" t="s">
        <v>16</v>
      </c>
      <c r="F669"/>
      <c r="H669" s="2">
        <v>250</v>
      </c>
      <c r="I669" s="95">
        <f t="shared" si="53"/>
        <v>2355.0499999999993</v>
      </c>
      <c r="N669" s="2">
        <f t="shared" si="54"/>
        <v>26</v>
      </c>
    </row>
    <row r="670" spans="1:16" x14ac:dyDescent="0.25">
      <c r="A670" s="97"/>
      <c r="B670" s="102"/>
      <c r="C670" s="27"/>
      <c r="D670" s="139"/>
      <c r="E670" s="117">
        <f>COUNTIF(E566:E669,"y")</f>
        <v>14</v>
      </c>
      <c r="F670" s="29">
        <f>G670+H670</f>
        <v>363595.05</v>
      </c>
      <c r="G670" s="103">
        <f>SUM(G566:G669)</f>
        <v>182975.05</v>
      </c>
      <c r="H670" s="103">
        <f>SUM(H566:H669)</f>
        <v>180620</v>
      </c>
      <c r="I670" s="103"/>
      <c r="K670" s="27"/>
      <c r="L670" s="27"/>
      <c r="M670" s="27"/>
      <c r="N670" s="103">
        <f>SUM(N566:N669)</f>
        <v>1444.7802000000001</v>
      </c>
      <c r="O670" s="27">
        <f>N670*0.8</f>
        <v>1155.8241600000001</v>
      </c>
      <c r="P670" s="27"/>
    </row>
    <row r="672" spans="1:16" x14ac:dyDescent="0.25">
      <c r="A672" s="3">
        <v>44896</v>
      </c>
      <c r="B672" s="11" t="s">
        <v>3026</v>
      </c>
      <c r="C672" t="s">
        <v>3027</v>
      </c>
      <c r="D672" s="141"/>
      <c r="F672" s="16"/>
      <c r="I672" s="95">
        <v>2355</v>
      </c>
      <c r="N672" s="2">
        <v>0</v>
      </c>
    </row>
    <row r="673" spans="1:15" x14ac:dyDescent="0.25">
      <c r="A673" s="3">
        <v>44896</v>
      </c>
      <c r="B673" s="11" t="s">
        <v>2244</v>
      </c>
      <c r="C673" t="s">
        <v>2245</v>
      </c>
      <c r="D673" s="141"/>
      <c r="F673" s="16"/>
      <c r="H673" s="2">
        <v>2000</v>
      </c>
      <c r="I673" s="95">
        <f t="shared" ref="I673:I763" si="55">I672+G673-H673</f>
        <v>355</v>
      </c>
      <c r="N673" s="2">
        <f t="shared" ref="N673:N704" si="56">IF((G673+H673)&lt;=5000,(H673+G673)*0.004,20)+IF(E673="Y",25,0)</f>
        <v>8</v>
      </c>
    </row>
    <row r="674" spans="1:15" x14ac:dyDescent="0.25">
      <c r="A674" s="3">
        <v>44896</v>
      </c>
      <c r="B674" s="11" t="s">
        <v>1475</v>
      </c>
      <c r="C674" t="s">
        <v>3028</v>
      </c>
      <c r="F674"/>
      <c r="G674" s="2">
        <v>10000</v>
      </c>
      <c r="H674" s="2">
        <v>250</v>
      </c>
      <c r="I674" s="95">
        <f t="shared" si="55"/>
        <v>10105</v>
      </c>
      <c r="N674" s="2">
        <f t="shared" si="56"/>
        <v>20</v>
      </c>
    </row>
    <row r="675" spans="1:15" x14ac:dyDescent="0.25">
      <c r="A675" s="3">
        <v>44896</v>
      </c>
      <c r="B675" s="11" t="s">
        <v>1260</v>
      </c>
      <c r="C675" t="s">
        <v>3029</v>
      </c>
      <c r="F675"/>
      <c r="H675" s="2">
        <v>6000</v>
      </c>
      <c r="I675" s="95">
        <f t="shared" si="55"/>
        <v>4105</v>
      </c>
      <c r="N675" s="2">
        <f t="shared" si="56"/>
        <v>20</v>
      </c>
    </row>
    <row r="676" spans="1:15" x14ac:dyDescent="0.25">
      <c r="A676" s="3">
        <v>44896</v>
      </c>
      <c r="B676" s="11" t="s">
        <v>1474</v>
      </c>
      <c r="C676" t="s">
        <v>3030</v>
      </c>
      <c r="F676"/>
      <c r="H676" s="2">
        <v>500</v>
      </c>
      <c r="I676" s="95">
        <f t="shared" si="55"/>
        <v>3605</v>
      </c>
      <c r="N676" s="2">
        <f t="shared" si="56"/>
        <v>2</v>
      </c>
    </row>
    <row r="677" spans="1:15" x14ac:dyDescent="0.25">
      <c r="A677" s="3">
        <v>44896</v>
      </c>
      <c r="B677" s="11" t="s">
        <v>3031</v>
      </c>
      <c r="C677" t="s">
        <v>3032</v>
      </c>
      <c r="D677" s="58">
        <v>7667932691</v>
      </c>
      <c r="E677" s="115" t="s">
        <v>16</v>
      </c>
      <c r="F677"/>
      <c r="H677" s="2">
        <v>100</v>
      </c>
      <c r="I677" s="95">
        <f t="shared" si="55"/>
        <v>3505</v>
      </c>
      <c r="N677" s="2">
        <f t="shared" si="56"/>
        <v>25.4</v>
      </c>
    </row>
    <row r="678" spans="1:15" x14ac:dyDescent="0.25">
      <c r="A678" s="3">
        <v>44896</v>
      </c>
      <c r="B678" s="11" t="s">
        <v>1163</v>
      </c>
      <c r="C678" t="s">
        <v>2390</v>
      </c>
      <c r="G678" s="2">
        <v>2000</v>
      </c>
      <c r="I678" s="95">
        <f t="shared" si="55"/>
        <v>5505</v>
      </c>
      <c r="N678" s="2">
        <f t="shared" si="56"/>
        <v>8</v>
      </c>
    </row>
    <row r="679" spans="1:15" x14ac:dyDescent="0.25">
      <c r="A679" s="3">
        <v>44896</v>
      </c>
      <c r="B679" s="11" t="s">
        <v>2149</v>
      </c>
      <c r="C679" t="s">
        <v>3034</v>
      </c>
      <c r="F679" s="44"/>
      <c r="H679" s="2">
        <v>1800</v>
      </c>
      <c r="I679" s="95">
        <f t="shared" si="55"/>
        <v>3705</v>
      </c>
      <c r="N679" s="2">
        <f t="shared" si="56"/>
        <v>7.2</v>
      </c>
    </row>
    <row r="680" spans="1:15" x14ac:dyDescent="0.25">
      <c r="A680" s="3">
        <v>44896</v>
      </c>
      <c r="C680" t="s">
        <v>2654</v>
      </c>
      <c r="F680" s="44"/>
      <c r="G680" s="2">
        <v>10000</v>
      </c>
      <c r="I680" s="95">
        <f t="shared" si="55"/>
        <v>13705</v>
      </c>
      <c r="N680" s="2">
        <f t="shared" si="56"/>
        <v>20</v>
      </c>
    </row>
    <row r="681" spans="1:15" x14ac:dyDescent="0.25">
      <c r="A681" s="3">
        <v>44896</v>
      </c>
      <c r="B681" s="11" t="s">
        <v>2748</v>
      </c>
      <c r="C681" t="s">
        <v>1282</v>
      </c>
      <c r="F681" s="44"/>
      <c r="H681" s="2">
        <v>5000</v>
      </c>
      <c r="I681" s="95">
        <f t="shared" si="55"/>
        <v>8705</v>
      </c>
      <c r="N681" s="2">
        <f t="shared" si="56"/>
        <v>20</v>
      </c>
    </row>
    <row r="682" spans="1:15" x14ac:dyDescent="0.25">
      <c r="A682" s="3">
        <v>44897</v>
      </c>
      <c r="B682" s="11" t="s">
        <v>1260</v>
      </c>
      <c r="C682" t="s">
        <v>3029</v>
      </c>
      <c r="F682" s="44">
        <v>233611074829</v>
      </c>
      <c r="H682" s="2">
        <v>6000</v>
      </c>
      <c r="I682" s="95">
        <f t="shared" si="55"/>
        <v>2705</v>
      </c>
      <c r="N682" s="2">
        <f t="shared" si="56"/>
        <v>20</v>
      </c>
    </row>
    <row r="683" spans="1:15" x14ac:dyDescent="0.25">
      <c r="A683" s="3">
        <v>44897</v>
      </c>
      <c r="C683" t="s">
        <v>2766</v>
      </c>
      <c r="F683" s="44"/>
      <c r="G683" s="2">
        <v>500</v>
      </c>
      <c r="I683" s="95">
        <f t="shared" si="55"/>
        <v>3205</v>
      </c>
      <c r="N683" s="2">
        <f t="shared" si="56"/>
        <v>2</v>
      </c>
    </row>
    <row r="684" spans="1:15" x14ac:dyDescent="0.25">
      <c r="A684" s="3">
        <v>44898</v>
      </c>
      <c r="B684" s="11" t="s">
        <v>1163</v>
      </c>
      <c r="C684" t="s">
        <v>3036</v>
      </c>
      <c r="D684" s="58">
        <v>8809544365</v>
      </c>
      <c r="F684" s="44">
        <v>233711483773</v>
      </c>
      <c r="G684" s="2">
        <v>1000</v>
      </c>
      <c r="I684" s="95">
        <f t="shared" si="55"/>
        <v>4205</v>
      </c>
      <c r="N684" s="2">
        <f t="shared" si="56"/>
        <v>4</v>
      </c>
    </row>
    <row r="685" spans="1:15" x14ac:dyDescent="0.25">
      <c r="A685" s="3">
        <v>44898</v>
      </c>
      <c r="B685" s="11" t="s">
        <v>3037</v>
      </c>
      <c r="E685" s="115" t="s">
        <v>16</v>
      </c>
      <c r="F685" s="44"/>
      <c r="H685" s="2">
        <v>250</v>
      </c>
      <c r="I685" s="95">
        <f t="shared" si="55"/>
        <v>3955</v>
      </c>
      <c r="N685" s="2">
        <f t="shared" si="56"/>
        <v>26</v>
      </c>
    </row>
    <row r="686" spans="1:15" x14ac:dyDescent="0.25">
      <c r="A686" s="3">
        <v>44900</v>
      </c>
      <c r="B686" s="11" t="s">
        <v>3012</v>
      </c>
      <c r="C686" t="s">
        <v>3013</v>
      </c>
      <c r="F686" s="44">
        <v>233911375880</v>
      </c>
      <c r="H686" s="2">
        <v>500</v>
      </c>
      <c r="I686" s="95">
        <f t="shared" si="55"/>
        <v>3455</v>
      </c>
      <c r="N686" s="2">
        <f t="shared" si="56"/>
        <v>2</v>
      </c>
    </row>
    <row r="687" spans="1:15" x14ac:dyDescent="0.25">
      <c r="A687" s="3">
        <v>44900</v>
      </c>
      <c r="B687" s="11" t="s">
        <v>2238</v>
      </c>
      <c r="C687" t="s">
        <v>2239</v>
      </c>
      <c r="F687" s="44">
        <v>233912477369</v>
      </c>
      <c r="G687" s="2">
        <v>1000</v>
      </c>
      <c r="I687" s="95">
        <f t="shared" si="55"/>
        <v>4455</v>
      </c>
      <c r="N687" s="2">
        <f t="shared" si="56"/>
        <v>4</v>
      </c>
    </row>
    <row r="688" spans="1:15" x14ac:dyDescent="0.25">
      <c r="A688" s="3">
        <v>44900</v>
      </c>
      <c r="B688" s="11" t="s">
        <v>3040</v>
      </c>
      <c r="C688" t="s">
        <v>128</v>
      </c>
      <c r="F688" s="44"/>
      <c r="G688" s="2">
        <v>5000</v>
      </c>
      <c r="I688" s="95">
        <f t="shared" si="55"/>
        <v>9455</v>
      </c>
      <c r="N688" s="2">
        <f t="shared" si="56"/>
        <v>20</v>
      </c>
      <c r="O688" t="s">
        <v>3041</v>
      </c>
    </row>
    <row r="689" spans="1:14" x14ac:dyDescent="0.25">
      <c r="A689" s="3">
        <v>44900</v>
      </c>
      <c r="B689" s="11" t="s">
        <v>3045</v>
      </c>
      <c r="C689" t="s">
        <v>1282</v>
      </c>
      <c r="F689" s="44"/>
      <c r="H689" s="2">
        <v>7000</v>
      </c>
      <c r="I689" s="95">
        <f t="shared" si="55"/>
        <v>2455</v>
      </c>
      <c r="N689" s="2">
        <f t="shared" si="56"/>
        <v>20</v>
      </c>
    </row>
    <row r="690" spans="1:14" x14ac:dyDescent="0.25">
      <c r="A690" s="3">
        <v>44900</v>
      </c>
      <c r="B690" s="11" t="s">
        <v>3046</v>
      </c>
      <c r="C690" t="s">
        <v>3047</v>
      </c>
      <c r="E690" s="115" t="s">
        <v>16</v>
      </c>
      <c r="F690" s="44"/>
      <c r="H690" s="2">
        <v>500</v>
      </c>
      <c r="I690" s="95">
        <f t="shared" si="55"/>
        <v>1955</v>
      </c>
      <c r="N690" s="2">
        <f t="shared" si="56"/>
        <v>27</v>
      </c>
    </row>
    <row r="691" spans="1:14" x14ac:dyDescent="0.25">
      <c r="A691" s="3">
        <v>44901</v>
      </c>
      <c r="B691" s="11" t="s">
        <v>3056</v>
      </c>
      <c r="F691" s="44"/>
      <c r="G691" s="2">
        <v>2000</v>
      </c>
      <c r="I691" s="95">
        <f t="shared" si="55"/>
        <v>3955</v>
      </c>
      <c r="N691" s="2">
        <f t="shared" si="56"/>
        <v>8</v>
      </c>
    </row>
    <row r="692" spans="1:14" x14ac:dyDescent="0.25">
      <c r="A692" s="3">
        <v>44901</v>
      </c>
      <c r="B692" s="11" t="s">
        <v>3054</v>
      </c>
      <c r="C692" t="s">
        <v>3055</v>
      </c>
      <c r="E692" s="115" t="s">
        <v>16</v>
      </c>
      <c r="F692" s="44">
        <v>234016614799</v>
      </c>
      <c r="H692" s="2">
        <v>150</v>
      </c>
      <c r="I692" s="95">
        <f t="shared" si="55"/>
        <v>3805</v>
      </c>
      <c r="N692" s="2">
        <f t="shared" si="56"/>
        <v>25.6</v>
      </c>
    </row>
    <row r="693" spans="1:14" x14ac:dyDescent="0.25">
      <c r="A693" s="3">
        <v>44901</v>
      </c>
      <c r="B693" s="11" t="s">
        <v>2244</v>
      </c>
      <c r="C693" t="s">
        <v>2245</v>
      </c>
      <c r="F693" s="44">
        <v>234018904900</v>
      </c>
      <c r="H693" s="2">
        <v>3000</v>
      </c>
      <c r="I693" s="95">
        <f t="shared" si="55"/>
        <v>805</v>
      </c>
      <c r="N693" s="2">
        <f t="shared" si="56"/>
        <v>12</v>
      </c>
    </row>
    <row r="694" spans="1:14" x14ac:dyDescent="0.25">
      <c r="A694" s="3">
        <v>44902</v>
      </c>
      <c r="B694" s="11" t="s">
        <v>1163</v>
      </c>
      <c r="C694" t="s">
        <v>3060</v>
      </c>
      <c r="F694" s="44"/>
      <c r="G694" s="2">
        <v>2000</v>
      </c>
      <c r="I694" s="95">
        <f t="shared" si="55"/>
        <v>2805</v>
      </c>
      <c r="N694" s="2">
        <f t="shared" si="56"/>
        <v>8</v>
      </c>
    </row>
    <row r="695" spans="1:14" x14ac:dyDescent="0.25">
      <c r="A695" s="3">
        <v>44903</v>
      </c>
      <c r="B695" s="11" t="s">
        <v>3061</v>
      </c>
      <c r="C695" t="s">
        <v>1003</v>
      </c>
      <c r="E695" s="115" t="s">
        <v>16</v>
      </c>
      <c r="F695" s="44"/>
      <c r="H695" s="2">
        <v>200</v>
      </c>
      <c r="I695" s="95">
        <f t="shared" si="55"/>
        <v>2605</v>
      </c>
      <c r="N695" s="2">
        <f t="shared" si="56"/>
        <v>25.8</v>
      </c>
    </row>
    <row r="696" spans="1:14" x14ac:dyDescent="0.25">
      <c r="A696" s="3">
        <v>44903</v>
      </c>
      <c r="B696" s="11" t="s">
        <v>2842</v>
      </c>
      <c r="C696" t="s">
        <v>3065</v>
      </c>
      <c r="F696" s="44">
        <v>2342188022645</v>
      </c>
      <c r="H696" s="2">
        <v>2500</v>
      </c>
      <c r="I696" s="95">
        <f t="shared" si="55"/>
        <v>105</v>
      </c>
      <c r="N696" s="2">
        <f t="shared" si="56"/>
        <v>10</v>
      </c>
    </row>
    <row r="697" spans="1:14" x14ac:dyDescent="0.25">
      <c r="A697" s="3">
        <v>44903</v>
      </c>
      <c r="B697" s="11" t="s">
        <v>1163</v>
      </c>
      <c r="C697" t="s">
        <v>3060</v>
      </c>
      <c r="D697" s="58">
        <v>6299828697</v>
      </c>
      <c r="G697" s="2">
        <v>4500</v>
      </c>
      <c r="I697" s="95">
        <f t="shared" si="55"/>
        <v>4605</v>
      </c>
      <c r="N697" s="2">
        <f t="shared" si="56"/>
        <v>18</v>
      </c>
    </row>
    <row r="698" spans="1:14" x14ac:dyDescent="0.25">
      <c r="A698" s="3">
        <v>44903</v>
      </c>
      <c r="B698" s="11" t="s">
        <v>1253</v>
      </c>
      <c r="C698" t="s">
        <v>2654</v>
      </c>
      <c r="F698" s="44"/>
      <c r="G698" s="2">
        <v>2000</v>
      </c>
      <c r="I698" s="95">
        <f t="shared" si="55"/>
        <v>6605</v>
      </c>
      <c r="N698" s="2">
        <f t="shared" si="56"/>
        <v>8</v>
      </c>
    </row>
    <row r="699" spans="1:14" x14ac:dyDescent="0.25">
      <c r="A699" s="3">
        <v>44904</v>
      </c>
      <c r="B699" s="11" t="s">
        <v>2286</v>
      </c>
      <c r="C699" t="s">
        <v>3066</v>
      </c>
      <c r="D699" s="58">
        <v>9308174062</v>
      </c>
      <c r="F699" s="44"/>
      <c r="H699" s="2">
        <v>5500</v>
      </c>
      <c r="I699" s="95">
        <f t="shared" si="55"/>
        <v>1105</v>
      </c>
      <c r="N699" s="2">
        <f t="shared" si="56"/>
        <v>20</v>
      </c>
    </row>
    <row r="700" spans="1:14" x14ac:dyDescent="0.25">
      <c r="A700" s="3">
        <v>44904</v>
      </c>
      <c r="B700" s="11" t="s">
        <v>3067</v>
      </c>
      <c r="C700" t="s">
        <v>3068</v>
      </c>
      <c r="E700" s="115" t="s">
        <v>16</v>
      </c>
      <c r="F700" s="44"/>
      <c r="H700" s="2">
        <v>500</v>
      </c>
      <c r="I700" s="95">
        <f t="shared" si="55"/>
        <v>605</v>
      </c>
      <c r="N700" s="2">
        <f t="shared" si="56"/>
        <v>27</v>
      </c>
    </row>
    <row r="701" spans="1:14" x14ac:dyDescent="0.25">
      <c r="A701" s="3">
        <v>44904</v>
      </c>
      <c r="B701" s="11" t="s">
        <v>2149</v>
      </c>
      <c r="C701" t="s">
        <v>3034</v>
      </c>
      <c r="F701" s="44"/>
      <c r="G701" s="2">
        <v>500</v>
      </c>
      <c r="I701" s="95">
        <f t="shared" si="55"/>
        <v>1105</v>
      </c>
      <c r="N701" s="2">
        <f t="shared" si="56"/>
        <v>2</v>
      </c>
    </row>
    <row r="702" spans="1:14" x14ac:dyDescent="0.25">
      <c r="A702" s="3">
        <v>44904</v>
      </c>
      <c r="B702" s="11" t="s">
        <v>3070</v>
      </c>
      <c r="C702" t="s">
        <v>3071</v>
      </c>
      <c r="F702" s="44"/>
      <c r="G702" s="2">
        <v>500</v>
      </c>
      <c r="I702" s="95">
        <f t="shared" si="55"/>
        <v>1605</v>
      </c>
      <c r="N702" s="2">
        <f t="shared" si="56"/>
        <v>2</v>
      </c>
    </row>
    <row r="703" spans="1:14" x14ac:dyDescent="0.25">
      <c r="A703" s="3">
        <v>44905</v>
      </c>
      <c r="B703" s="11" t="s">
        <v>3072</v>
      </c>
      <c r="C703" t="s">
        <v>2766</v>
      </c>
      <c r="F703" s="44"/>
      <c r="H703" s="2">
        <v>1500</v>
      </c>
      <c r="I703" s="95">
        <f t="shared" si="55"/>
        <v>105</v>
      </c>
      <c r="N703" s="2">
        <f t="shared" si="56"/>
        <v>6</v>
      </c>
    </row>
    <row r="704" spans="1:14" x14ac:dyDescent="0.25">
      <c r="A704" s="3">
        <v>44905</v>
      </c>
      <c r="B704" s="11" t="s">
        <v>1163</v>
      </c>
      <c r="C704" t="s">
        <v>3073</v>
      </c>
      <c r="F704" s="44"/>
      <c r="G704" s="2">
        <v>1050</v>
      </c>
      <c r="I704" s="95">
        <f t="shared" si="55"/>
        <v>1155</v>
      </c>
      <c r="N704" s="2">
        <f t="shared" si="56"/>
        <v>4.2</v>
      </c>
    </row>
    <row r="705" spans="1:14" x14ac:dyDescent="0.25">
      <c r="A705" s="3">
        <v>44905</v>
      </c>
      <c r="B705" s="11" t="s">
        <v>3074</v>
      </c>
      <c r="C705" t="s">
        <v>3075</v>
      </c>
      <c r="F705" s="44"/>
      <c r="G705" s="2">
        <v>5000</v>
      </c>
      <c r="I705" s="95">
        <f t="shared" si="55"/>
        <v>6155</v>
      </c>
      <c r="N705" s="2">
        <f t="shared" ref="N705:N727" si="57">IF((G705+H705)&lt;=5000,(H705+G705)*0.004,20)+IF(E705="Y",25,0)</f>
        <v>20</v>
      </c>
    </row>
    <row r="706" spans="1:14" x14ac:dyDescent="0.25">
      <c r="A706" s="3">
        <v>44905</v>
      </c>
      <c r="B706" s="11" t="s">
        <v>2247</v>
      </c>
      <c r="C706" t="s">
        <v>3076</v>
      </c>
      <c r="F706" s="44">
        <v>234418924705</v>
      </c>
      <c r="G706" s="2">
        <v>7100</v>
      </c>
      <c r="I706" s="95">
        <f t="shared" si="55"/>
        <v>13255</v>
      </c>
      <c r="N706" s="2">
        <f t="shared" si="57"/>
        <v>20</v>
      </c>
    </row>
    <row r="707" spans="1:14" x14ac:dyDescent="0.25">
      <c r="A707" s="3">
        <v>44905</v>
      </c>
      <c r="B707" s="11" t="s">
        <v>2143</v>
      </c>
      <c r="C707" t="s">
        <v>3029</v>
      </c>
      <c r="F707" s="44">
        <v>234418936663</v>
      </c>
      <c r="H707" s="2">
        <v>5000</v>
      </c>
      <c r="I707" s="95">
        <f t="shared" si="55"/>
        <v>8255</v>
      </c>
      <c r="N707" s="2">
        <f t="shared" si="57"/>
        <v>20</v>
      </c>
    </row>
    <row r="708" spans="1:14" x14ac:dyDescent="0.25">
      <c r="A708" s="3">
        <v>44905</v>
      </c>
      <c r="B708" s="11" t="s">
        <v>2707</v>
      </c>
      <c r="C708" t="s">
        <v>3077</v>
      </c>
      <c r="H708" s="2">
        <v>5000</v>
      </c>
      <c r="I708" s="95">
        <f t="shared" si="55"/>
        <v>3255</v>
      </c>
      <c r="N708" s="2">
        <f t="shared" si="57"/>
        <v>20</v>
      </c>
    </row>
    <row r="709" spans="1:14" x14ac:dyDescent="0.25">
      <c r="A709" s="3">
        <v>44905</v>
      </c>
      <c r="B709" s="11" t="s">
        <v>2360</v>
      </c>
      <c r="C709" t="s">
        <v>3078</v>
      </c>
      <c r="F709" s="44">
        <v>234418949810</v>
      </c>
      <c r="H709" s="2">
        <v>2700</v>
      </c>
      <c r="I709" s="95">
        <f t="shared" si="55"/>
        <v>555</v>
      </c>
      <c r="N709" s="2">
        <f t="shared" si="57"/>
        <v>10.8</v>
      </c>
    </row>
    <row r="710" spans="1:14" x14ac:dyDescent="0.25">
      <c r="A710" s="3">
        <v>44907</v>
      </c>
      <c r="B710" s="11" t="s">
        <v>3079</v>
      </c>
      <c r="C710" t="s">
        <v>3080</v>
      </c>
      <c r="G710" s="2">
        <v>1000</v>
      </c>
      <c r="I710" s="95">
        <f t="shared" si="55"/>
        <v>1555</v>
      </c>
      <c r="N710" s="2">
        <f t="shared" si="57"/>
        <v>4</v>
      </c>
    </row>
    <row r="711" spans="1:14" x14ac:dyDescent="0.25">
      <c r="A711" s="3">
        <v>44907</v>
      </c>
      <c r="B711" s="11" t="s">
        <v>2238</v>
      </c>
      <c r="C711" t="s">
        <v>2664</v>
      </c>
      <c r="F711" s="44"/>
      <c r="G711" s="2">
        <v>3000</v>
      </c>
      <c r="I711" s="95">
        <f t="shared" si="55"/>
        <v>4555</v>
      </c>
      <c r="N711" s="2">
        <f t="shared" si="57"/>
        <v>12</v>
      </c>
    </row>
    <row r="712" spans="1:14" x14ac:dyDescent="0.25">
      <c r="A712" s="3">
        <v>44907</v>
      </c>
      <c r="B712" s="11" t="s">
        <v>3082</v>
      </c>
      <c r="C712" t="s">
        <v>3081</v>
      </c>
      <c r="F712" s="44"/>
      <c r="G712" s="2">
        <v>500</v>
      </c>
      <c r="I712" s="95">
        <f t="shared" si="55"/>
        <v>5055</v>
      </c>
      <c r="N712" s="2">
        <f t="shared" si="57"/>
        <v>2</v>
      </c>
    </row>
    <row r="713" spans="1:14" x14ac:dyDescent="0.25">
      <c r="A713" s="3">
        <v>44907</v>
      </c>
      <c r="B713" s="11" t="s">
        <v>2360</v>
      </c>
      <c r="C713" t="s">
        <v>3078</v>
      </c>
      <c r="F713" s="44"/>
      <c r="G713" s="2">
        <v>500</v>
      </c>
      <c r="I713" s="95">
        <f t="shared" si="55"/>
        <v>5555</v>
      </c>
      <c r="N713" s="2">
        <f t="shared" si="57"/>
        <v>2</v>
      </c>
    </row>
    <row r="714" spans="1:14" x14ac:dyDescent="0.25">
      <c r="A714" s="3">
        <v>44907</v>
      </c>
      <c r="B714" s="11" t="s">
        <v>2190</v>
      </c>
      <c r="C714" t="s">
        <v>2192</v>
      </c>
      <c r="F714" s="44"/>
      <c r="H714" s="2">
        <v>4200</v>
      </c>
      <c r="I714" s="95">
        <f t="shared" si="55"/>
        <v>1355</v>
      </c>
      <c r="N714" s="2">
        <f t="shared" si="57"/>
        <v>16.8</v>
      </c>
    </row>
    <row r="715" spans="1:14" x14ac:dyDescent="0.25">
      <c r="A715" s="3">
        <v>44907</v>
      </c>
      <c r="B715" s="11" t="s">
        <v>2191</v>
      </c>
      <c r="C715" t="s">
        <v>2193</v>
      </c>
      <c r="F715" s="44"/>
      <c r="H715" s="2">
        <v>1300</v>
      </c>
      <c r="I715" s="95">
        <f t="shared" si="55"/>
        <v>55</v>
      </c>
      <c r="N715" s="2">
        <f t="shared" si="57"/>
        <v>5.2</v>
      </c>
    </row>
    <row r="716" spans="1:14" x14ac:dyDescent="0.25">
      <c r="A716" s="3">
        <v>44908</v>
      </c>
      <c r="B716" s="11" t="s">
        <v>3085</v>
      </c>
      <c r="C716" t="s">
        <v>3086</v>
      </c>
      <c r="D716" s="58">
        <v>6205130094</v>
      </c>
      <c r="F716" s="44"/>
      <c r="G716" s="2">
        <v>2000</v>
      </c>
      <c r="I716" s="95">
        <f t="shared" si="55"/>
        <v>2055</v>
      </c>
      <c r="N716" s="2">
        <f t="shared" si="57"/>
        <v>8</v>
      </c>
    </row>
    <row r="717" spans="1:14" x14ac:dyDescent="0.25">
      <c r="A717" s="3">
        <v>44908</v>
      </c>
      <c r="B717" s="11" t="s">
        <v>3087</v>
      </c>
      <c r="C717" t="s">
        <v>3088</v>
      </c>
      <c r="F717" s="44">
        <v>234710864913</v>
      </c>
      <c r="H717" s="2">
        <v>1500</v>
      </c>
      <c r="I717" s="95">
        <f t="shared" si="55"/>
        <v>555</v>
      </c>
      <c r="N717" s="2">
        <f t="shared" si="57"/>
        <v>6</v>
      </c>
    </row>
    <row r="718" spans="1:14" x14ac:dyDescent="0.25">
      <c r="A718" s="3">
        <v>44908</v>
      </c>
      <c r="C718" t="s">
        <v>2256</v>
      </c>
      <c r="F718" s="4">
        <v>234717046002</v>
      </c>
      <c r="G718" s="2">
        <v>500</v>
      </c>
      <c r="I718" s="95">
        <f t="shared" si="55"/>
        <v>1055</v>
      </c>
      <c r="N718" s="2">
        <f t="shared" si="57"/>
        <v>2</v>
      </c>
    </row>
    <row r="719" spans="1:14" x14ac:dyDescent="0.25">
      <c r="A719" s="3">
        <v>44908</v>
      </c>
      <c r="B719" s="11" t="s">
        <v>3097</v>
      </c>
      <c r="C719" t="s">
        <v>3098</v>
      </c>
      <c r="E719" s="115" t="s">
        <v>16</v>
      </c>
      <c r="H719" s="2">
        <v>1000</v>
      </c>
      <c r="I719" s="95">
        <f t="shared" si="55"/>
        <v>55</v>
      </c>
      <c r="N719" s="2">
        <f t="shared" si="57"/>
        <v>29</v>
      </c>
    </row>
    <row r="720" spans="1:14" x14ac:dyDescent="0.25">
      <c r="A720" s="3">
        <v>44908</v>
      </c>
      <c r="B720" s="11" t="s">
        <v>3104</v>
      </c>
      <c r="C720" t="s">
        <v>3099</v>
      </c>
      <c r="D720" s="58" t="s">
        <v>3102</v>
      </c>
      <c r="E720" s="115" t="s">
        <v>16</v>
      </c>
      <c r="I720" s="95">
        <f t="shared" si="55"/>
        <v>55</v>
      </c>
      <c r="N720" s="2">
        <f t="shared" si="57"/>
        <v>25</v>
      </c>
    </row>
    <row r="721" spans="1:14" x14ac:dyDescent="0.25">
      <c r="A721" s="3">
        <v>44908</v>
      </c>
      <c r="B721" s="11" t="s">
        <v>3105</v>
      </c>
      <c r="C721" t="s">
        <v>3100</v>
      </c>
      <c r="D721" s="58" t="s">
        <v>3103</v>
      </c>
      <c r="E721" s="115" t="s">
        <v>16</v>
      </c>
      <c r="I721" s="95">
        <f t="shared" si="55"/>
        <v>55</v>
      </c>
      <c r="N721" s="2">
        <f t="shared" si="57"/>
        <v>25</v>
      </c>
    </row>
    <row r="722" spans="1:14" x14ac:dyDescent="0.25">
      <c r="A722" s="3">
        <v>44910</v>
      </c>
      <c r="B722" s="11" t="s">
        <v>2840</v>
      </c>
      <c r="C722" t="s">
        <v>231</v>
      </c>
      <c r="G722" s="2">
        <v>500</v>
      </c>
      <c r="I722" s="95">
        <f t="shared" si="55"/>
        <v>555</v>
      </c>
      <c r="N722" s="2">
        <f t="shared" si="57"/>
        <v>2</v>
      </c>
    </row>
    <row r="723" spans="1:14" x14ac:dyDescent="0.25">
      <c r="A723" s="3">
        <v>44910</v>
      </c>
      <c r="B723" s="11" t="s">
        <v>1163</v>
      </c>
      <c r="C723" t="s">
        <v>231</v>
      </c>
      <c r="G723" s="2">
        <v>800</v>
      </c>
      <c r="I723" s="95">
        <f t="shared" si="55"/>
        <v>1355</v>
      </c>
      <c r="N723" s="2">
        <f t="shared" si="57"/>
        <v>3.2</v>
      </c>
    </row>
    <row r="724" spans="1:14" x14ac:dyDescent="0.25">
      <c r="A724" s="3">
        <v>44910</v>
      </c>
      <c r="B724" s="11" t="s">
        <v>2840</v>
      </c>
      <c r="C724" t="s">
        <v>2239</v>
      </c>
      <c r="G724" s="2">
        <v>1500</v>
      </c>
      <c r="I724" s="95">
        <f t="shared" si="55"/>
        <v>2855</v>
      </c>
      <c r="N724" s="2">
        <f t="shared" si="57"/>
        <v>6</v>
      </c>
    </row>
    <row r="725" spans="1:14" x14ac:dyDescent="0.25">
      <c r="A725" s="3">
        <v>44910</v>
      </c>
      <c r="B725" s="11" t="s">
        <v>2142</v>
      </c>
      <c r="C725" t="s">
        <v>3106</v>
      </c>
      <c r="H725" s="2">
        <v>1000</v>
      </c>
      <c r="I725" s="95">
        <f t="shared" si="55"/>
        <v>1855</v>
      </c>
      <c r="N725" s="2">
        <f t="shared" si="57"/>
        <v>4</v>
      </c>
    </row>
    <row r="726" spans="1:14" x14ac:dyDescent="0.25">
      <c r="A726" s="3">
        <v>44910</v>
      </c>
      <c r="C726" s="1" t="s">
        <v>3108</v>
      </c>
      <c r="G726" s="2">
        <v>959.94</v>
      </c>
      <c r="I726" s="95">
        <f t="shared" si="55"/>
        <v>2814.94</v>
      </c>
      <c r="N726" s="2">
        <f t="shared" si="57"/>
        <v>3.8397600000000005</v>
      </c>
    </row>
    <row r="727" spans="1:14" x14ac:dyDescent="0.25">
      <c r="A727" s="3">
        <v>44910</v>
      </c>
      <c r="B727" s="11" t="s">
        <v>1163</v>
      </c>
      <c r="C727" t="s">
        <v>3107</v>
      </c>
      <c r="G727" s="2">
        <v>1000</v>
      </c>
      <c r="I727" s="95">
        <f t="shared" si="55"/>
        <v>3814.94</v>
      </c>
      <c r="N727" s="2">
        <f t="shared" si="57"/>
        <v>4</v>
      </c>
    </row>
    <row r="728" spans="1:14" x14ac:dyDescent="0.25">
      <c r="A728" s="3">
        <v>44910</v>
      </c>
      <c r="C728" s="1" t="s">
        <v>3109</v>
      </c>
      <c r="D728" s="141"/>
      <c r="E728" s="122"/>
      <c r="F728" s="10"/>
      <c r="G728" s="82">
        <v>150.05000000000001</v>
      </c>
      <c r="I728" s="95">
        <f t="shared" si="55"/>
        <v>3964.9900000000002</v>
      </c>
    </row>
    <row r="729" spans="1:14" x14ac:dyDescent="0.25">
      <c r="A729" s="3">
        <v>44910</v>
      </c>
      <c r="B729" s="11" t="s">
        <v>1253</v>
      </c>
      <c r="C729" t="s">
        <v>2654</v>
      </c>
      <c r="G729" s="2">
        <v>1500</v>
      </c>
      <c r="I729" s="95">
        <f t="shared" si="55"/>
        <v>5464.99</v>
      </c>
      <c r="N729" s="2">
        <f t="shared" ref="N729:N760" si="58">IF((G729+H729)&lt;=5000,(H729+G729)*0.004,20)+IF(E729="Y",25,0)</f>
        <v>6</v>
      </c>
    </row>
    <row r="730" spans="1:14" x14ac:dyDescent="0.25">
      <c r="A730" s="3">
        <v>44910</v>
      </c>
      <c r="B730" s="11" t="s">
        <v>1260</v>
      </c>
      <c r="C730" s="12" t="s">
        <v>3029</v>
      </c>
      <c r="H730" s="2">
        <v>5000</v>
      </c>
      <c r="I730" s="95">
        <f t="shared" si="55"/>
        <v>464.98999999999978</v>
      </c>
      <c r="N730" s="2">
        <f t="shared" si="58"/>
        <v>20</v>
      </c>
    </row>
    <row r="731" spans="1:14" x14ac:dyDescent="0.25">
      <c r="A731" s="3">
        <v>44911</v>
      </c>
      <c r="B731" s="11" t="s">
        <v>3110</v>
      </c>
      <c r="C731" t="s">
        <v>3111</v>
      </c>
      <c r="E731" s="115" t="s">
        <v>16</v>
      </c>
      <c r="H731" s="2">
        <v>150</v>
      </c>
      <c r="I731" s="95">
        <f t="shared" si="55"/>
        <v>314.98999999999978</v>
      </c>
      <c r="N731" s="2">
        <f t="shared" si="58"/>
        <v>25.6</v>
      </c>
    </row>
    <row r="732" spans="1:14" x14ac:dyDescent="0.25">
      <c r="A732" s="3">
        <v>44911</v>
      </c>
      <c r="C732" t="s">
        <v>192</v>
      </c>
      <c r="E732" s="115" t="s">
        <v>16</v>
      </c>
      <c r="H732" s="2">
        <v>50</v>
      </c>
      <c r="I732" s="95">
        <f t="shared" si="55"/>
        <v>264.98999999999978</v>
      </c>
      <c r="N732" s="2">
        <f t="shared" si="58"/>
        <v>25.2</v>
      </c>
    </row>
    <row r="733" spans="1:14" x14ac:dyDescent="0.25">
      <c r="A733" s="3">
        <v>44912</v>
      </c>
      <c r="B733" s="11" t="s">
        <v>1475</v>
      </c>
      <c r="C733" t="s">
        <v>3120</v>
      </c>
      <c r="G733" s="2">
        <v>1500</v>
      </c>
      <c r="I733" s="95">
        <f t="shared" si="55"/>
        <v>1764.9899999999998</v>
      </c>
      <c r="N733" s="2">
        <f t="shared" si="58"/>
        <v>6</v>
      </c>
    </row>
    <row r="734" spans="1:14" x14ac:dyDescent="0.25">
      <c r="A734" s="3">
        <v>44912</v>
      </c>
      <c r="B734" s="11" t="s">
        <v>1253</v>
      </c>
      <c r="C734" t="s">
        <v>3121</v>
      </c>
      <c r="G734" s="2">
        <v>1500</v>
      </c>
      <c r="I734" s="95">
        <f t="shared" si="55"/>
        <v>3264.99</v>
      </c>
      <c r="N734" s="2">
        <f t="shared" si="58"/>
        <v>6</v>
      </c>
    </row>
    <row r="735" spans="1:14" x14ac:dyDescent="0.25">
      <c r="A735" s="3">
        <v>44912</v>
      </c>
      <c r="B735" s="11" t="s">
        <v>1253</v>
      </c>
      <c r="C735" t="s">
        <v>2923</v>
      </c>
      <c r="G735" s="2">
        <v>400</v>
      </c>
      <c r="I735" s="95">
        <f t="shared" si="55"/>
        <v>3664.99</v>
      </c>
      <c r="N735" s="2">
        <f t="shared" si="58"/>
        <v>1.6</v>
      </c>
    </row>
    <row r="736" spans="1:14" x14ac:dyDescent="0.25">
      <c r="A736" s="3">
        <v>44912</v>
      </c>
      <c r="B736" s="11" t="s">
        <v>3006</v>
      </c>
      <c r="C736" t="s">
        <v>3115</v>
      </c>
      <c r="H736" s="2">
        <v>1000</v>
      </c>
      <c r="I736" s="95">
        <f t="shared" si="55"/>
        <v>2664.99</v>
      </c>
      <c r="N736" s="2">
        <f t="shared" si="58"/>
        <v>4</v>
      </c>
    </row>
    <row r="737" spans="1:14" x14ac:dyDescent="0.25">
      <c r="A737" s="3">
        <v>44912</v>
      </c>
      <c r="B737" s="11" t="s">
        <v>1253</v>
      </c>
      <c r="C737" t="s">
        <v>2256</v>
      </c>
      <c r="G737" s="2">
        <v>500</v>
      </c>
      <c r="I737" s="95">
        <f t="shared" si="55"/>
        <v>3164.99</v>
      </c>
      <c r="N737" s="2">
        <f t="shared" si="58"/>
        <v>2</v>
      </c>
    </row>
    <row r="738" spans="1:14" x14ac:dyDescent="0.25">
      <c r="A738" s="3">
        <v>44912</v>
      </c>
      <c r="B738" s="11" t="s">
        <v>3123</v>
      </c>
      <c r="C738" t="s">
        <v>3122</v>
      </c>
      <c r="E738" s="115" t="s">
        <v>16</v>
      </c>
      <c r="H738" s="2">
        <v>300</v>
      </c>
      <c r="I738" s="95">
        <f t="shared" si="55"/>
        <v>2864.99</v>
      </c>
      <c r="N738" s="2">
        <f t="shared" si="58"/>
        <v>26.2</v>
      </c>
    </row>
    <row r="739" spans="1:14" x14ac:dyDescent="0.25">
      <c r="A739" s="3">
        <v>44913</v>
      </c>
      <c r="B739" s="11" t="s">
        <v>1253</v>
      </c>
      <c r="C739" t="s">
        <v>3130</v>
      </c>
      <c r="G739" s="2">
        <v>5000</v>
      </c>
      <c r="I739" s="95">
        <f t="shared" si="55"/>
        <v>7864.99</v>
      </c>
      <c r="N739" s="2">
        <f t="shared" si="58"/>
        <v>20</v>
      </c>
    </row>
    <row r="740" spans="1:14" x14ac:dyDescent="0.25">
      <c r="A740" s="3">
        <v>44914</v>
      </c>
      <c r="B740" s="11" t="s">
        <v>2845</v>
      </c>
      <c r="C740" t="s">
        <v>3131</v>
      </c>
      <c r="H740" s="2">
        <v>1000</v>
      </c>
      <c r="I740" s="95">
        <f t="shared" si="55"/>
        <v>6864.99</v>
      </c>
      <c r="N740" s="2">
        <f t="shared" si="58"/>
        <v>4</v>
      </c>
    </row>
    <row r="741" spans="1:14" x14ac:dyDescent="0.25">
      <c r="A741" s="3">
        <v>44914</v>
      </c>
      <c r="B741" s="11" t="s">
        <v>2238</v>
      </c>
      <c r="G741" s="2">
        <v>500</v>
      </c>
      <c r="I741" s="95">
        <f t="shared" si="55"/>
        <v>7364.99</v>
      </c>
      <c r="N741" s="2">
        <f t="shared" si="58"/>
        <v>2</v>
      </c>
    </row>
    <row r="742" spans="1:14" x14ac:dyDescent="0.25">
      <c r="A742" s="3">
        <v>44914</v>
      </c>
      <c r="B742" s="11" t="s">
        <v>2481</v>
      </c>
      <c r="C742" t="s">
        <v>2482</v>
      </c>
      <c r="F742" s="11"/>
      <c r="H742" s="2">
        <v>2500</v>
      </c>
      <c r="I742" s="95">
        <f t="shared" si="55"/>
        <v>4864.99</v>
      </c>
      <c r="N742" s="2">
        <f t="shared" si="58"/>
        <v>10</v>
      </c>
    </row>
    <row r="743" spans="1:14" x14ac:dyDescent="0.25">
      <c r="A743" s="3">
        <v>44914</v>
      </c>
      <c r="B743" s="11" t="s">
        <v>2707</v>
      </c>
      <c r="C743" t="s">
        <v>3132</v>
      </c>
      <c r="F743" s="11"/>
      <c r="H743" s="2">
        <v>4000</v>
      </c>
      <c r="I743" s="95">
        <f t="shared" si="55"/>
        <v>864.98999999999978</v>
      </c>
      <c r="N743" s="2">
        <f t="shared" si="58"/>
        <v>16</v>
      </c>
    </row>
    <row r="744" spans="1:14" x14ac:dyDescent="0.25">
      <c r="A744" s="3">
        <v>44914</v>
      </c>
      <c r="B744" s="11" t="s">
        <v>1253</v>
      </c>
      <c r="C744" t="s">
        <v>2304</v>
      </c>
      <c r="F744" s="11"/>
      <c r="G744" s="2">
        <v>5000</v>
      </c>
      <c r="I744" s="95">
        <f t="shared" si="55"/>
        <v>5864.99</v>
      </c>
      <c r="N744" s="2">
        <f t="shared" si="58"/>
        <v>20</v>
      </c>
    </row>
    <row r="745" spans="1:14" x14ac:dyDescent="0.25">
      <c r="A745" s="3">
        <v>44914</v>
      </c>
      <c r="B745" s="11" t="s">
        <v>1253</v>
      </c>
      <c r="C745" t="s">
        <v>2654</v>
      </c>
      <c r="F745" s="16"/>
      <c r="G745" s="2">
        <v>500</v>
      </c>
      <c r="I745" s="95">
        <f t="shared" si="55"/>
        <v>6364.99</v>
      </c>
      <c r="N745" s="2">
        <f t="shared" si="58"/>
        <v>2</v>
      </c>
    </row>
    <row r="746" spans="1:14" x14ac:dyDescent="0.25">
      <c r="A746" s="3">
        <v>44915</v>
      </c>
      <c r="B746" s="11" t="s">
        <v>2707</v>
      </c>
      <c r="C746" t="s">
        <v>3077</v>
      </c>
      <c r="F746" s="16"/>
      <c r="H746" s="2">
        <v>6000</v>
      </c>
      <c r="I746" s="95">
        <f t="shared" si="55"/>
        <v>364.98999999999978</v>
      </c>
      <c r="N746" s="2">
        <f t="shared" si="58"/>
        <v>20</v>
      </c>
    </row>
    <row r="747" spans="1:14" x14ac:dyDescent="0.25">
      <c r="A747" s="3">
        <v>44915</v>
      </c>
      <c r="B747" s="11" t="s">
        <v>1163</v>
      </c>
      <c r="C747" t="s">
        <v>3036</v>
      </c>
      <c r="F747" s="16"/>
      <c r="G747" s="2">
        <v>500</v>
      </c>
      <c r="I747" s="95">
        <f t="shared" si="55"/>
        <v>864.98999999999978</v>
      </c>
      <c r="N747" s="2">
        <f t="shared" si="58"/>
        <v>2</v>
      </c>
    </row>
    <row r="748" spans="1:14" x14ac:dyDescent="0.25">
      <c r="A748" s="3">
        <v>44915</v>
      </c>
      <c r="B748" s="11" t="s">
        <v>2647</v>
      </c>
      <c r="C748" t="s">
        <v>1637</v>
      </c>
      <c r="F748" s="16"/>
      <c r="G748" s="2">
        <v>1000</v>
      </c>
      <c r="I748" s="95">
        <f t="shared" si="55"/>
        <v>1864.9899999999998</v>
      </c>
      <c r="N748" s="2">
        <f t="shared" si="58"/>
        <v>4</v>
      </c>
    </row>
    <row r="749" spans="1:14" x14ac:dyDescent="0.25">
      <c r="A749" s="3">
        <v>44915</v>
      </c>
      <c r="B749" s="11" t="s">
        <v>1163</v>
      </c>
      <c r="C749" t="s">
        <v>3135</v>
      </c>
      <c r="D749" s="58">
        <v>6201677321</v>
      </c>
      <c r="F749" s="16"/>
      <c r="G749" s="2">
        <v>500</v>
      </c>
      <c r="I749" s="95">
        <f t="shared" si="55"/>
        <v>2364.9899999999998</v>
      </c>
      <c r="N749" s="2">
        <f t="shared" si="58"/>
        <v>2</v>
      </c>
    </row>
    <row r="750" spans="1:14" x14ac:dyDescent="0.25">
      <c r="A750" s="3">
        <v>44916</v>
      </c>
      <c r="B750" s="11" t="s">
        <v>1253</v>
      </c>
      <c r="C750" t="s">
        <v>2256</v>
      </c>
      <c r="F750" s="16"/>
      <c r="G750" s="2">
        <v>1600</v>
      </c>
      <c r="I750" s="95">
        <f t="shared" si="55"/>
        <v>3964.99</v>
      </c>
      <c r="N750" s="2">
        <f t="shared" si="58"/>
        <v>6.4</v>
      </c>
    </row>
    <row r="751" spans="1:14" s="37" customFormat="1" x14ac:dyDescent="0.25">
      <c r="A751" s="3">
        <v>44916</v>
      </c>
      <c r="B751" s="11" t="s">
        <v>1253</v>
      </c>
      <c r="C751" t="s">
        <v>2304</v>
      </c>
      <c r="D751" s="131"/>
      <c r="E751" s="119"/>
      <c r="F751" s="51"/>
      <c r="G751" s="95">
        <v>5000</v>
      </c>
      <c r="H751" s="95"/>
      <c r="I751" s="95">
        <f t="shared" si="55"/>
        <v>8964.99</v>
      </c>
      <c r="N751" s="2">
        <f t="shared" si="58"/>
        <v>20</v>
      </c>
    </row>
    <row r="752" spans="1:14" s="37" customFormat="1" x14ac:dyDescent="0.25">
      <c r="A752" s="3">
        <v>44916</v>
      </c>
      <c r="B752" s="11">
        <v>4164</v>
      </c>
      <c r="C752" t="s">
        <v>2280</v>
      </c>
      <c r="D752" s="131"/>
      <c r="E752" s="119"/>
      <c r="F752" s="51"/>
      <c r="G752" s="95"/>
      <c r="H752" s="95">
        <v>5000</v>
      </c>
      <c r="I752" s="95">
        <f t="shared" si="55"/>
        <v>3964.99</v>
      </c>
      <c r="N752" s="2">
        <f t="shared" si="58"/>
        <v>20</v>
      </c>
    </row>
    <row r="753" spans="1:16" s="37" customFormat="1" x14ac:dyDescent="0.25">
      <c r="A753" s="3">
        <v>44917</v>
      </c>
      <c r="B753" s="147" t="s">
        <v>2365</v>
      </c>
      <c r="C753" t="s">
        <v>3137</v>
      </c>
      <c r="D753" s="131">
        <v>9508531910</v>
      </c>
      <c r="E753" s="119"/>
      <c r="F753" s="51"/>
      <c r="G753" s="95">
        <v>1000</v>
      </c>
      <c r="H753" s="95"/>
      <c r="I753" s="95">
        <f t="shared" si="55"/>
        <v>4964.99</v>
      </c>
      <c r="N753" s="2">
        <f t="shared" si="58"/>
        <v>4</v>
      </c>
    </row>
    <row r="754" spans="1:16" s="37" customFormat="1" x14ac:dyDescent="0.25">
      <c r="A754" s="49">
        <v>44918</v>
      </c>
      <c r="B754" s="147" t="s">
        <v>1253</v>
      </c>
      <c r="C754" s="35" t="s">
        <v>2654</v>
      </c>
      <c r="D754" s="131"/>
      <c r="E754" s="119"/>
      <c r="F754" s="51"/>
      <c r="G754" s="95">
        <v>1200</v>
      </c>
      <c r="H754" s="95"/>
      <c r="I754" s="95">
        <f t="shared" si="55"/>
        <v>6164.99</v>
      </c>
      <c r="N754" s="2">
        <f t="shared" si="58"/>
        <v>4.8</v>
      </c>
    </row>
    <row r="755" spans="1:16" s="37" customFormat="1" x14ac:dyDescent="0.25">
      <c r="A755" s="49">
        <v>44918</v>
      </c>
      <c r="B755" s="147" t="s">
        <v>1260</v>
      </c>
      <c r="C755" s="35" t="s">
        <v>2280</v>
      </c>
      <c r="D755" s="131"/>
      <c r="E755" s="119"/>
      <c r="F755" s="51"/>
      <c r="G755" s="95"/>
      <c r="H755" s="95">
        <v>6000</v>
      </c>
      <c r="I755" s="95">
        <f t="shared" si="55"/>
        <v>164.98999999999978</v>
      </c>
      <c r="N755" s="2">
        <f t="shared" si="58"/>
        <v>20</v>
      </c>
    </row>
    <row r="756" spans="1:16" s="37" customFormat="1" x14ac:dyDescent="0.25">
      <c r="A756" s="49">
        <v>44921</v>
      </c>
      <c r="B756" s="147" t="s">
        <v>1253</v>
      </c>
      <c r="C756" s="35"/>
      <c r="D756" s="131"/>
      <c r="E756" s="119"/>
      <c r="F756" s="51"/>
      <c r="G756" s="95">
        <v>600</v>
      </c>
      <c r="H756" s="95"/>
      <c r="I756" s="95">
        <f t="shared" si="55"/>
        <v>764.98999999999978</v>
      </c>
      <c r="N756" s="2">
        <f t="shared" si="58"/>
        <v>2.4</v>
      </c>
    </row>
    <row r="757" spans="1:16" s="37" customFormat="1" x14ac:dyDescent="0.25">
      <c r="A757" s="49">
        <v>44921</v>
      </c>
      <c r="B757" s="147"/>
      <c r="C757" s="35" t="s">
        <v>2927</v>
      </c>
      <c r="D757" s="131"/>
      <c r="E757" s="119"/>
      <c r="F757" s="51"/>
      <c r="G757" s="95">
        <v>10000</v>
      </c>
      <c r="H757" s="95"/>
      <c r="I757" s="95">
        <f t="shared" si="55"/>
        <v>10764.99</v>
      </c>
      <c r="N757" s="2">
        <f t="shared" si="58"/>
        <v>20</v>
      </c>
    </row>
    <row r="758" spans="1:16" s="37" customFormat="1" x14ac:dyDescent="0.25">
      <c r="A758" s="49">
        <v>44921</v>
      </c>
      <c r="B758" s="147" t="s">
        <v>1260</v>
      </c>
      <c r="C758" s="35" t="s">
        <v>2280</v>
      </c>
      <c r="D758" s="131"/>
      <c r="E758" s="119"/>
      <c r="F758" s="51">
        <v>236017747236</v>
      </c>
      <c r="G758" s="95"/>
      <c r="H758" s="95">
        <v>5500</v>
      </c>
      <c r="I758" s="95">
        <f t="shared" si="55"/>
        <v>5264.99</v>
      </c>
      <c r="N758" s="2">
        <f t="shared" si="58"/>
        <v>20</v>
      </c>
    </row>
    <row r="759" spans="1:16" s="37" customFormat="1" x14ac:dyDescent="0.25">
      <c r="A759" s="49">
        <v>44922</v>
      </c>
      <c r="B759" s="147" t="s">
        <v>2247</v>
      </c>
      <c r="C759" s="35"/>
      <c r="D759" s="131"/>
      <c r="E759" s="119"/>
      <c r="F759" s="51">
        <v>236110783871</v>
      </c>
      <c r="G759" s="95">
        <v>3050</v>
      </c>
      <c r="H759" s="95"/>
      <c r="I759" s="95">
        <f t="shared" si="55"/>
        <v>8314.99</v>
      </c>
      <c r="N759" s="2">
        <f t="shared" si="58"/>
        <v>12.200000000000001</v>
      </c>
    </row>
    <row r="760" spans="1:16" s="33" customFormat="1" x14ac:dyDescent="0.25">
      <c r="A760" s="49">
        <v>44922</v>
      </c>
      <c r="B760" s="148" t="s">
        <v>1260</v>
      </c>
      <c r="C760" t="s">
        <v>2295</v>
      </c>
      <c r="D760" s="130"/>
      <c r="E760" s="120"/>
      <c r="F760" s="51">
        <v>236110818239</v>
      </c>
      <c r="G760" s="53"/>
      <c r="H760" s="54">
        <v>3000</v>
      </c>
      <c r="I760" s="95">
        <f t="shared" si="55"/>
        <v>5314.99</v>
      </c>
      <c r="N760" s="2">
        <f t="shared" si="58"/>
        <v>12</v>
      </c>
    </row>
    <row r="761" spans="1:16" s="33" customFormat="1" x14ac:dyDescent="0.25">
      <c r="A761" s="49">
        <v>44922</v>
      </c>
      <c r="B761" s="148"/>
      <c r="C761" s="35"/>
      <c r="D761" s="130"/>
      <c r="E761" s="120" t="s">
        <v>16</v>
      </c>
      <c r="F761" s="52"/>
      <c r="G761" s="53">
        <v>1000</v>
      </c>
      <c r="H761" s="53"/>
      <c r="I761" s="95">
        <f t="shared" si="55"/>
        <v>6314.99</v>
      </c>
      <c r="N761" s="53"/>
    </row>
    <row r="762" spans="1:16" s="33" customFormat="1" x14ac:dyDescent="0.25">
      <c r="A762" s="49">
        <v>44922</v>
      </c>
      <c r="B762" s="148" t="s">
        <v>3139</v>
      </c>
      <c r="C762" s="35" t="s">
        <v>3140</v>
      </c>
      <c r="D762" s="130"/>
      <c r="E762" s="120" t="s">
        <v>16</v>
      </c>
      <c r="F762" s="52"/>
      <c r="G762" s="53"/>
      <c r="H762" s="53">
        <v>100</v>
      </c>
      <c r="I762" s="95">
        <f t="shared" si="55"/>
        <v>6214.99</v>
      </c>
      <c r="N762" s="53"/>
    </row>
    <row r="763" spans="1:16" s="33" customFormat="1" x14ac:dyDescent="0.25">
      <c r="A763" s="49">
        <v>44923</v>
      </c>
      <c r="B763" s="148" t="s">
        <v>3152</v>
      </c>
      <c r="C763" s="35" t="s">
        <v>3155</v>
      </c>
      <c r="D763" s="130"/>
      <c r="E763" s="120" t="s">
        <v>16</v>
      </c>
      <c r="F763" s="50"/>
      <c r="G763" s="53"/>
      <c r="H763" s="53">
        <v>150</v>
      </c>
      <c r="I763" s="95">
        <f t="shared" si="55"/>
        <v>6064.99</v>
      </c>
      <c r="N763" s="53"/>
    </row>
    <row r="764" spans="1:16" x14ac:dyDescent="0.25">
      <c r="H764" s="53"/>
      <c r="N764" s="2">
        <f>SUM(I764:M764)</f>
        <v>0</v>
      </c>
    </row>
    <row r="765" spans="1:16" x14ac:dyDescent="0.25">
      <c r="A765" s="97"/>
      <c r="B765" s="102"/>
      <c r="C765" s="27"/>
      <c r="D765" s="139"/>
      <c r="E765" s="117">
        <f>COUNTIF(E672:E764,"y")</f>
        <v>15</v>
      </c>
      <c r="F765" s="97">
        <f>G765+H765</f>
        <v>213109.99</v>
      </c>
      <c r="G765" s="103">
        <f>SUM(G672:G764)</f>
        <v>108409.99</v>
      </c>
      <c r="H765" s="103">
        <f>SUM(H672:H764)</f>
        <v>104700</v>
      </c>
      <c r="I765" s="103"/>
      <c r="J765" s="97"/>
      <c r="K765" s="97"/>
      <c r="L765" s="97"/>
      <c r="M765" s="97"/>
      <c r="N765" s="103">
        <f>SUM(N672:N764)</f>
        <v>1049.43976</v>
      </c>
      <c r="O765" s="97"/>
      <c r="P765" s="97"/>
    </row>
    <row r="767" spans="1:16" x14ac:dyDescent="0.25">
      <c r="A767" s="3">
        <v>44927</v>
      </c>
      <c r="B767" s="11" t="s">
        <v>3026</v>
      </c>
      <c r="C767" t="s">
        <v>3027</v>
      </c>
      <c r="D767" s="141"/>
      <c r="F767" s="11"/>
      <c r="I767" s="95">
        <f>I763</f>
        <v>6064.99</v>
      </c>
    </row>
    <row r="768" spans="1:16" x14ac:dyDescent="0.25">
      <c r="A768" s="3">
        <v>44933</v>
      </c>
      <c r="B768" s="11" t="s">
        <v>3153</v>
      </c>
      <c r="C768" t="s">
        <v>3154</v>
      </c>
      <c r="E768" s="115" t="s">
        <v>16</v>
      </c>
      <c r="F768" s="11"/>
      <c r="H768" s="2">
        <v>3000</v>
      </c>
      <c r="I768" s="95">
        <f t="shared" ref="I768:I829" si="59">I767+G768-H768</f>
        <v>3064.99</v>
      </c>
      <c r="N768" s="2">
        <f>IF((G768+H768)&lt;=5000,(H768+G768)*0.004,20)+IF(E768="Y",25,0)</f>
        <v>37</v>
      </c>
    </row>
    <row r="769" spans="1:14" x14ac:dyDescent="0.25">
      <c r="A769" s="3">
        <v>44934</v>
      </c>
      <c r="B769" s="11" t="s">
        <v>1163</v>
      </c>
      <c r="C769" t="s">
        <v>3158</v>
      </c>
      <c r="D769" s="58">
        <v>7321959054</v>
      </c>
      <c r="F769" s="11" t="s">
        <v>3160</v>
      </c>
      <c r="G769" s="2">
        <v>1000</v>
      </c>
      <c r="I769" s="95">
        <f t="shared" si="59"/>
        <v>4064.99</v>
      </c>
      <c r="N769" s="2">
        <f>IF((G769+H769)&lt;=5000,(H769+G769)*0.004,20)+IF(E769="Y",25,0)</f>
        <v>4</v>
      </c>
    </row>
    <row r="770" spans="1:14" x14ac:dyDescent="0.25">
      <c r="A770" s="3">
        <v>44934</v>
      </c>
      <c r="B770" s="11" t="s">
        <v>3006</v>
      </c>
      <c r="C770" t="s">
        <v>3159</v>
      </c>
      <c r="F770" s="11" t="s">
        <v>3161</v>
      </c>
      <c r="H770" s="2">
        <v>1000</v>
      </c>
      <c r="I770" s="95">
        <f t="shared" si="59"/>
        <v>3064.99</v>
      </c>
      <c r="N770" s="2">
        <f>IF((G770+H770)&lt;=5000,(H770+G770)*0.004,20)+IF(E770="Y",25,0)</f>
        <v>4</v>
      </c>
    </row>
    <row r="771" spans="1:14" x14ac:dyDescent="0.25">
      <c r="A771" s="3">
        <v>44935</v>
      </c>
      <c r="B771" s="11" t="s">
        <v>1163</v>
      </c>
      <c r="C771" t="s">
        <v>3162</v>
      </c>
      <c r="D771" s="58">
        <v>9835780540</v>
      </c>
      <c r="F771" s="11" t="s">
        <v>3163</v>
      </c>
      <c r="G771" s="2">
        <v>3000</v>
      </c>
      <c r="I771" s="95">
        <f t="shared" si="59"/>
        <v>6064.99</v>
      </c>
      <c r="N771" s="2">
        <f>IF((G771+H771)&lt;=5000,(H771+G771)*0.004,20)+IF(F771="Y",25,0)</f>
        <v>12</v>
      </c>
    </row>
    <row r="772" spans="1:14" x14ac:dyDescent="0.25">
      <c r="A772" s="3">
        <v>44935</v>
      </c>
      <c r="B772" s="11" t="s">
        <v>2360</v>
      </c>
      <c r="C772" s="48" t="s">
        <v>3164</v>
      </c>
      <c r="D772" s="59"/>
      <c r="F772" s="11"/>
      <c r="H772" s="2">
        <v>3600</v>
      </c>
      <c r="I772" s="95">
        <f t="shared" si="59"/>
        <v>2464.9899999999998</v>
      </c>
      <c r="N772" s="2">
        <f t="shared" ref="N772:N816" si="60">IF((G772+H772)&lt;=5000,(H772+G772)*0.004,20)+IF(E772="Y",25,0)</f>
        <v>14.4</v>
      </c>
    </row>
    <row r="773" spans="1:14" x14ac:dyDescent="0.25">
      <c r="A773" s="3">
        <v>44935</v>
      </c>
      <c r="B773" s="11" t="s">
        <v>1253</v>
      </c>
      <c r="C773" s="48" t="s">
        <v>2362</v>
      </c>
      <c r="D773" s="59"/>
      <c r="F773" s="11"/>
      <c r="G773" s="2">
        <v>5000</v>
      </c>
      <c r="I773" s="95">
        <f t="shared" si="59"/>
        <v>7464.99</v>
      </c>
      <c r="N773" s="2">
        <f t="shared" si="60"/>
        <v>20</v>
      </c>
    </row>
    <row r="774" spans="1:14" x14ac:dyDescent="0.25">
      <c r="A774" s="3">
        <v>44935</v>
      </c>
      <c r="B774" s="11" t="s">
        <v>2286</v>
      </c>
      <c r="C774" s="48" t="s">
        <v>2753</v>
      </c>
      <c r="D774" s="59"/>
      <c r="F774" s="11" t="s">
        <v>3165</v>
      </c>
      <c r="H774" s="2">
        <v>5000</v>
      </c>
      <c r="I774" s="95">
        <f t="shared" si="59"/>
        <v>2464.9899999999998</v>
      </c>
      <c r="N774" s="2">
        <f t="shared" si="60"/>
        <v>20</v>
      </c>
    </row>
    <row r="775" spans="1:14" x14ac:dyDescent="0.25">
      <c r="A775" s="3">
        <v>44935</v>
      </c>
      <c r="B775" s="11" t="s">
        <v>1163</v>
      </c>
      <c r="C775" s="48" t="s">
        <v>2282</v>
      </c>
      <c r="D775" s="59" t="s">
        <v>3166</v>
      </c>
      <c r="F775" s="11"/>
      <c r="G775" s="2">
        <v>6500</v>
      </c>
      <c r="I775" s="95">
        <f t="shared" si="59"/>
        <v>8964.99</v>
      </c>
      <c r="N775" s="2">
        <f t="shared" si="60"/>
        <v>20</v>
      </c>
    </row>
    <row r="776" spans="1:14" x14ac:dyDescent="0.25">
      <c r="A776" s="3">
        <v>44936</v>
      </c>
      <c r="B776" s="11" t="s">
        <v>3072</v>
      </c>
      <c r="C776" s="48" t="s">
        <v>1521</v>
      </c>
      <c r="D776" s="59"/>
      <c r="F776" s="11" t="s">
        <v>3169</v>
      </c>
      <c r="H776" s="2">
        <v>2000</v>
      </c>
      <c r="I776" s="95">
        <f t="shared" si="59"/>
        <v>6964.99</v>
      </c>
      <c r="N776" s="2">
        <f t="shared" si="60"/>
        <v>8</v>
      </c>
    </row>
    <row r="777" spans="1:14" x14ac:dyDescent="0.25">
      <c r="A777" s="3">
        <v>44936</v>
      </c>
      <c r="B777" s="11" t="s">
        <v>2190</v>
      </c>
      <c r="C777" s="48" t="s">
        <v>3170</v>
      </c>
      <c r="D777" s="59"/>
      <c r="F777" s="11"/>
      <c r="H777" s="2">
        <v>4200</v>
      </c>
      <c r="I777" s="95">
        <f t="shared" si="59"/>
        <v>2764.99</v>
      </c>
      <c r="N777" s="2">
        <f t="shared" si="60"/>
        <v>16.8</v>
      </c>
    </row>
    <row r="778" spans="1:14" x14ac:dyDescent="0.25">
      <c r="A778" s="3">
        <v>44936</v>
      </c>
      <c r="B778" s="11" t="s">
        <v>2347</v>
      </c>
      <c r="C778" s="48" t="s">
        <v>2654</v>
      </c>
      <c r="D778" s="59"/>
      <c r="F778" s="11"/>
      <c r="G778" s="2">
        <v>4000</v>
      </c>
      <c r="I778" s="95">
        <f t="shared" si="59"/>
        <v>6764.99</v>
      </c>
      <c r="N778" s="2">
        <f t="shared" si="60"/>
        <v>16</v>
      </c>
    </row>
    <row r="779" spans="1:14" x14ac:dyDescent="0.25">
      <c r="A779" s="3">
        <v>44936</v>
      </c>
      <c r="B779" s="11" t="s">
        <v>3171</v>
      </c>
      <c r="C779" s="48" t="s">
        <v>3172</v>
      </c>
      <c r="D779" s="59"/>
      <c r="F779" s="11" t="s">
        <v>3173</v>
      </c>
      <c r="H779" s="2">
        <v>3000</v>
      </c>
      <c r="I779" s="95">
        <f t="shared" si="59"/>
        <v>3764.99</v>
      </c>
      <c r="N779" s="2">
        <f t="shared" si="60"/>
        <v>12</v>
      </c>
    </row>
    <row r="780" spans="1:14" x14ac:dyDescent="0.25">
      <c r="A780" s="3">
        <v>44574</v>
      </c>
      <c r="B780" s="11" t="s">
        <v>2845</v>
      </c>
      <c r="C780" s="48" t="s">
        <v>3178</v>
      </c>
      <c r="D780" s="59"/>
      <c r="F780" s="11"/>
      <c r="H780" s="2">
        <v>2000</v>
      </c>
      <c r="I780" s="95">
        <f t="shared" si="59"/>
        <v>1764.9899999999998</v>
      </c>
      <c r="N780" s="2">
        <f t="shared" si="60"/>
        <v>8</v>
      </c>
    </row>
    <row r="781" spans="1:14" x14ac:dyDescent="0.25">
      <c r="A781" s="3">
        <v>44574</v>
      </c>
      <c r="B781" s="11" t="s">
        <v>2365</v>
      </c>
      <c r="C781" s="48" t="s">
        <v>3179</v>
      </c>
      <c r="D781" s="59" t="s">
        <v>3180</v>
      </c>
      <c r="F781" s="11"/>
      <c r="G781" s="2">
        <v>3100</v>
      </c>
      <c r="I781" s="95">
        <f t="shared" si="59"/>
        <v>4864.99</v>
      </c>
      <c r="N781" s="2">
        <f t="shared" si="60"/>
        <v>12.4</v>
      </c>
    </row>
    <row r="782" spans="1:14" x14ac:dyDescent="0.25">
      <c r="A782" s="3">
        <v>44940</v>
      </c>
      <c r="B782" s="11" t="s">
        <v>1253</v>
      </c>
      <c r="C782" s="48"/>
      <c r="D782" s="59"/>
      <c r="F782" s="11"/>
      <c r="G782" s="2">
        <v>500</v>
      </c>
      <c r="I782" s="95">
        <f t="shared" si="59"/>
        <v>5364.99</v>
      </c>
      <c r="N782" s="2">
        <f t="shared" si="60"/>
        <v>2</v>
      </c>
    </row>
    <row r="783" spans="1:14" x14ac:dyDescent="0.25">
      <c r="A783" s="3">
        <v>44940</v>
      </c>
      <c r="B783" s="11" t="s">
        <v>1260</v>
      </c>
      <c r="C783" s="48" t="s">
        <v>1256</v>
      </c>
      <c r="D783" s="59"/>
      <c r="F783" s="11"/>
      <c r="H783" s="2">
        <v>5000</v>
      </c>
      <c r="I783" s="95">
        <f t="shared" si="59"/>
        <v>364.98999999999978</v>
      </c>
      <c r="N783" s="2">
        <f t="shared" si="60"/>
        <v>20</v>
      </c>
    </row>
    <row r="784" spans="1:14" x14ac:dyDescent="0.25">
      <c r="A784" s="3">
        <v>44940</v>
      </c>
      <c r="B784" s="11" t="s">
        <v>1163</v>
      </c>
      <c r="C784" s="48" t="s">
        <v>2530</v>
      </c>
      <c r="D784" s="59"/>
      <c r="F784" s="11"/>
      <c r="G784" s="2">
        <v>2100</v>
      </c>
      <c r="I784" s="95">
        <f t="shared" si="59"/>
        <v>2464.9899999999998</v>
      </c>
      <c r="N784" s="2">
        <f t="shared" si="60"/>
        <v>8.4</v>
      </c>
    </row>
    <row r="785" spans="1:14" x14ac:dyDescent="0.25">
      <c r="A785" s="3">
        <v>44940</v>
      </c>
      <c r="B785" s="11" t="s">
        <v>3153</v>
      </c>
      <c r="C785" s="48" t="s">
        <v>3154</v>
      </c>
      <c r="D785" s="59"/>
      <c r="F785" s="11"/>
      <c r="G785" s="2">
        <v>200</v>
      </c>
      <c r="I785" s="95">
        <f t="shared" si="59"/>
        <v>2664.99</v>
      </c>
      <c r="N785" s="2">
        <f t="shared" si="60"/>
        <v>0.8</v>
      </c>
    </row>
    <row r="786" spans="1:14" x14ac:dyDescent="0.25">
      <c r="A786" s="3">
        <v>44940</v>
      </c>
      <c r="B786" s="11" t="s">
        <v>2365</v>
      </c>
      <c r="C786" s="48" t="s">
        <v>3181</v>
      </c>
      <c r="D786" s="59" t="s">
        <v>3182</v>
      </c>
      <c r="F786" s="11"/>
      <c r="G786" s="2">
        <v>4000</v>
      </c>
      <c r="I786" s="95">
        <f t="shared" si="59"/>
        <v>6664.99</v>
      </c>
      <c r="N786" s="2">
        <f t="shared" si="60"/>
        <v>16</v>
      </c>
    </row>
    <row r="787" spans="1:14" x14ac:dyDescent="0.25">
      <c r="A787" s="3">
        <v>44940</v>
      </c>
      <c r="B787" s="11" t="s">
        <v>2748</v>
      </c>
      <c r="C787" s="48" t="s">
        <v>1282</v>
      </c>
      <c r="D787" s="59"/>
      <c r="F787" s="11"/>
      <c r="H787" s="2">
        <v>5000</v>
      </c>
      <c r="I787" s="95">
        <f t="shared" si="59"/>
        <v>1664.9899999999998</v>
      </c>
      <c r="N787" s="2">
        <f t="shared" si="60"/>
        <v>20</v>
      </c>
    </row>
    <row r="788" spans="1:14" x14ac:dyDescent="0.25">
      <c r="A788" s="3">
        <v>44940</v>
      </c>
      <c r="B788" s="11" t="s">
        <v>2700</v>
      </c>
      <c r="C788" s="48" t="s">
        <v>3183</v>
      </c>
      <c r="D788" s="59"/>
      <c r="F788" s="11"/>
      <c r="G788" s="2">
        <v>8000</v>
      </c>
      <c r="I788" s="95">
        <f t="shared" si="59"/>
        <v>9664.99</v>
      </c>
      <c r="N788" s="2">
        <f t="shared" si="60"/>
        <v>20</v>
      </c>
    </row>
    <row r="789" spans="1:14" x14ac:dyDescent="0.25">
      <c r="A789" s="3">
        <v>44940</v>
      </c>
      <c r="B789" s="11" t="s">
        <v>1163</v>
      </c>
      <c r="C789" s="48" t="s">
        <v>3081</v>
      </c>
      <c r="D789" s="59" t="s">
        <v>3184</v>
      </c>
      <c r="F789" s="11"/>
      <c r="G789" s="2">
        <v>1000</v>
      </c>
      <c r="I789" s="95">
        <f t="shared" si="59"/>
        <v>10664.99</v>
      </c>
      <c r="N789" s="2">
        <f t="shared" si="60"/>
        <v>4</v>
      </c>
    </row>
    <row r="790" spans="1:14" x14ac:dyDescent="0.25">
      <c r="A790" s="3">
        <v>44942</v>
      </c>
      <c r="B790" s="11" t="s">
        <v>1163</v>
      </c>
      <c r="C790" s="48" t="s">
        <v>3073</v>
      </c>
      <c r="D790" s="59" t="s">
        <v>3185</v>
      </c>
      <c r="F790" s="11"/>
      <c r="G790" s="2">
        <v>1500</v>
      </c>
      <c r="I790" s="95">
        <f t="shared" si="59"/>
        <v>12164.99</v>
      </c>
      <c r="N790" s="2">
        <f t="shared" si="60"/>
        <v>6</v>
      </c>
    </row>
    <row r="791" spans="1:14" x14ac:dyDescent="0.25">
      <c r="A791" s="3">
        <v>44942</v>
      </c>
      <c r="B791" s="11" t="s">
        <v>1260</v>
      </c>
      <c r="C791" s="48" t="s">
        <v>1256</v>
      </c>
      <c r="D791" s="59"/>
      <c r="F791" s="11"/>
      <c r="H791" s="2">
        <v>1000</v>
      </c>
      <c r="I791" s="95">
        <f t="shared" si="59"/>
        <v>11164.99</v>
      </c>
      <c r="N791" s="2">
        <f t="shared" si="60"/>
        <v>4</v>
      </c>
    </row>
    <row r="792" spans="1:14" x14ac:dyDescent="0.25">
      <c r="A792" s="3">
        <v>44942</v>
      </c>
      <c r="B792" s="11" t="s">
        <v>3186</v>
      </c>
      <c r="C792" s="48" t="s">
        <v>1696</v>
      </c>
      <c r="D792" s="59"/>
      <c r="F792" s="11"/>
      <c r="G792" s="2">
        <v>3000</v>
      </c>
      <c r="I792" s="95">
        <f t="shared" si="59"/>
        <v>14164.99</v>
      </c>
      <c r="N792" s="2">
        <f t="shared" si="60"/>
        <v>12</v>
      </c>
    </row>
    <row r="793" spans="1:14" x14ac:dyDescent="0.25">
      <c r="A793" s="3">
        <v>44942</v>
      </c>
      <c r="B793" s="11" t="s">
        <v>2191</v>
      </c>
      <c r="C793" s="48" t="s">
        <v>2603</v>
      </c>
      <c r="D793" s="59"/>
      <c r="F793" s="11"/>
      <c r="H793" s="2">
        <v>200</v>
      </c>
      <c r="I793" s="95">
        <f t="shared" si="59"/>
        <v>13964.99</v>
      </c>
      <c r="N793" s="2">
        <f t="shared" si="60"/>
        <v>0.8</v>
      </c>
    </row>
    <row r="794" spans="1:14" x14ac:dyDescent="0.25">
      <c r="A794" s="3">
        <v>44943</v>
      </c>
      <c r="B794" s="11" t="s">
        <v>2877</v>
      </c>
      <c r="C794" s="48" t="s">
        <v>3187</v>
      </c>
      <c r="D794" s="59"/>
      <c r="F794" s="11"/>
      <c r="G794" s="2">
        <v>3000</v>
      </c>
      <c r="I794" s="95">
        <f t="shared" si="59"/>
        <v>16964.989999999998</v>
      </c>
      <c r="N794" s="2">
        <f t="shared" si="60"/>
        <v>12</v>
      </c>
    </row>
    <row r="795" spans="1:14" x14ac:dyDescent="0.25">
      <c r="A795" s="3">
        <v>44943</v>
      </c>
      <c r="B795" s="11" t="s">
        <v>1475</v>
      </c>
      <c r="C795" s="48" t="s">
        <v>3188</v>
      </c>
      <c r="D795" s="59"/>
      <c r="F795" s="11"/>
      <c r="G795" s="2">
        <v>4000</v>
      </c>
      <c r="I795" s="95">
        <f t="shared" si="59"/>
        <v>20964.989999999998</v>
      </c>
      <c r="N795" s="2">
        <f t="shared" si="60"/>
        <v>16</v>
      </c>
    </row>
    <row r="796" spans="1:14" x14ac:dyDescent="0.25">
      <c r="A796" s="3">
        <v>44944</v>
      </c>
      <c r="B796" s="11" t="s">
        <v>1253</v>
      </c>
      <c r="C796" s="48"/>
      <c r="D796" s="59"/>
      <c r="F796" s="11"/>
      <c r="G796" s="2">
        <v>400</v>
      </c>
      <c r="I796" s="95">
        <f t="shared" si="59"/>
        <v>21364.989999999998</v>
      </c>
      <c r="N796" s="2">
        <f t="shared" si="60"/>
        <v>1.6</v>
      </c>
    </row>
    <row r="797" spans="1:14" x14ac:dyDescent="0.25">
      <c r="A797" s="3">
        <v>44945</v>
      </c>
      <c r="B797" s="11" t="s">
        <v>2744</v>
      </c>
      <c r="C797" s="48" t="s">
        <v>3191</v>
      </c>
      <c r="D797" s="59"/>
      <c r="F797" s="11"/>
      <c r="G797" s="2">
        <v>4000</v>
      </c>
      <c r="I797" s="95">
        <f t="shared" si="59"/>
        <v>25364.989999999998</v>
      </c>
      <c r="N797" s="2">
        <f t="shared" si="60"/>
        <v>16</v>
      </c>
    </row>
    <row r="798" spans="1:14" x14ac:dyDescent="0.25">
      <c r="A798" s="3">
        <v>44945</v>
      </c>
      <c r="C798" s="48" t="s">
        <v>2654</v>
      </c>
      <c r="D798" s="59"/>
      <c r="F798" s="11"/>
      <c r="G798" s="2">
        <v>1200</v>
      </c>
      <c r="I798" s="95">
        <f t="shared" si="59"/>
        <v>26564.989999999998</v>
      </c>
      <c r="N798" s="2">
        <f t="shared" si="60"/>
        <v>4.8</v>
      </c>
    </row>
    <row r="799" spans="1:14" x14ac:dyDescent="0.25">
      <c r="A799" s="3">
        <v>44945</v>
      </c>
      <c r="C799" s="48"/>
      <c r="D799" s="59"/>
      <c r="F799" s="11"/>
      <c r="G799" s="2">
        <v>710.6</v>
      </c>
      <c r="I799" s="95">
        <f t="shared" si="59"/>
        <v>27275.589999999997</v>
      </c>
      <c r="N799" s="2">
        <f t="shared" si="60"/>
        <v>2.8424</v>
      </c>
    </row>
    <row r="800" spans="1:14" x14ac:dyDescent="0.25">
      <c r="A800" s="3">
        <v>44946</v>
      </c>
      <c r="B800" s="11" t="s">
        <v>3192</v>
      </c>
      <c r="C800" s="48" t="s">
        <v>1521</v>
      </c>
      <c r="D800" s="59"/>
      <c r="F800" s="11"/>
      <c r="G800" s="2">
        <v>500</v>
      </c>
      <c r="I800" s="95">
        <f t="shared" si="59"/>
        <v>27775.589999999997</v>
      </c>
      <c r="N800" s="2">
        <f t="shared" si="60"/>
        <v>2</v>
      </c>
    </row>
    <row r="801" spans="1:14" x14ac:dyDescent="0.25">
      <c r="A801" s="3">
        <v>44946</v>
      </c>
      <c r="B801" s="11" t="s">
        <v>1253</v>
      </c>
      <c r="C801" s="48" t="s">
        <v>2930</v>
      </c>
      <c r="D801" s="59"/>
      <c r="F801" s="11"/>
      <c r="G801" s="2">
        <v>1000</v>
      </c>
      <c r="I801" s="95">
        <f t="shared" si="59"/>
        <v>28775.589999999997</v>
      </c>
      <c r="N801" s="2">
        <f t="shared" si="60"/>
        <v>4</v>
      </c>
    </row>
    <row r="802" spans="1:14" x14ac:dyDescent="0.25">
      <c r="A802" s="3">
        <v>44949</v>
      </c>
      <c r="B802" s="11" t="s">
        <v>3193</v>
      </c>
      <c r="C802" s="48" t="s">
        <v>3194</v>
      </c>
      <c r="D802" s="59"/>
      <c r="E802" s="115" t="s">
        <v>16</v>
      </c>
      <c r="F802" s="11"/>
      <c r="H802" s="2">
        <v>100</v>
      </c>
      <c r="I802" s="95">
        <f t="shared" si="59"/>
        <v>28675.589999999997</v>
      </c>
      <c r="N802" s="2">
        <f t="shared" si="60"/>
        <v>25.4</v>
      </c>
    </row>
    <row r="803" spans="1:14" x14ac:dyDescent="0.25">
      <c r="A803" s="3">
        <v>44950</v>
      </c>
      <c r="B803" s="11" t="s">
        <v>3072</v>
      </c>
      <c r="C803" s="48"/>
      <c r="D803" s="59"/>
      <c r="F803" s="11"/>
      <c r="G803" s="2">
        <v>500</v>
      </c>
      <c r="I803" s="95">
        <f t="shared" si="59"/>
        <v>29175.589999999997</v>
      </c>
      <c r="N803" s="2">
        <f t="shared" si="60"/>
        <v>2</v>
      </c>
    </row>
    <row r="804" spans="1:14" x14ac:dyDescent="0.25">
      <c r="A804" s="3">
        <v>44950</v>
      </c>
      <c r="B804" s="11" t="s">
        <v>2748</v>
      </c>
      <c r="C804" s="48" t="s">
        <v>1282</v>
      </c>
      <c r="D804" s="59"/>
      <c r="F804" s="11"/>
      <c r="H804" s="2">
        <v>10000</v>
      </c>
      <c r="I804" s="95">
        <f t="shared" si="59"/>
        <v>19175.589999999997</v>
      </c>
      <c r="N804" s="2">
        <f t="shared" si="60"/>
        <v>20</v>
      </c>
    </row>
    <row r="805" spans="1:14" x14ac:dyDescent="0.25">
      <c r="A805" s="3">
        <v>44951</v>
      </c>
      <c r="B805" s="11" t="s">
        <v>3199</v>
      </c>
      <c r="C805" s="48" t="s">
        <v>3200</v>
      </c>
      <c r="D805" s="59" t="s">
        <v>3201</v>
      </c>
      <c r="F805" s="11"/>
      <c r="G805" s="2">
        <v>3500</v>
      </c>
      <c r="I805" s="95">
        <f t="shared" si="59"/>
        <v>22675.589999999997</v>
      </c>
      <c r="N805" s="2">
        <f t="shared" si="60"/>
        <v>14</v>
      </c>
    </row>
    <row r="806" spans="1:14" x14ac:dyDescent="0.25">
      <c r="A806" s="3">
        <v>44951</v>
      </c>
      <c r="B806" s="11" t="s">
        <v>2700</v>
      </c>
      <c r="C806" s="48" t="s">
        <v>3183</v>
      </c>
      <c r="D806" s="59"/>
      <c r="F806" s="11"/>
      <c r="G806" s="2">
        <v>3000</v>
      </c>
      <c r="I806" s="95">
        <f t="shared" si="59"/>
        <v>25675.589999999997</v>
      </c>
      <c r="N806" s="2">
        <f t="shared" si="60"/>
        <v>12</v>
      </c>
    </row>
    <row r="807" spans="1:14" x14ac:dyDescent="0.25">
      <c r="A807" s="3">
        <v>44951</v>
      </c>
      <c r="B807" s="11" t="s">
        <v>3202</v>
      </c>
      <c r="C807" s="48" t="s">
        <v>3203</v>
      </c>
      <c r="D807" s="59"/>
      <c r="E807" s="115" t="s">
        <v>16</v>
      </c>
      <c r="F807" s="11"/>
      <c r="H807" s="2">
        <v>1000</v>
      </c>
      <c r="I807" s="95">
        <f t="shared" si="59"/>
        <v>24675.589999999997</v>
      </c>
      <c r="N807" s="2">
        <f t="shared" si="60"/>
        <v>29</v>
      </c>
    </row>
    <row r="808" spans="1:14" x14ac:dyDescent="0.25">
      <c r="A808" s="3">
        <v>44951</v>
      </c>
      <c r="B808" s="11" t="s">
        <v>2645</v>
      </c>
      <c r="C808" s="48" t="s">
        <v>3204</v>
      </c>
      <c r="D808" s="59"/>
      <c r="F808" s="11"/>
      <c r="G808" s="2">
        <v>3000</v>
      </c>
      <c r="I808" s="95">
        <f t="shared" si="59"/>
        <v>27675.589999999997</v>
      </c>
      <c r="N808" s="2">
        <f t="shared" si="60"/>
        <v>12</v>
      </c>
    </row>
    <row r="809" spans="1:14" x14ac:dyDescent="0.25">
      <c r="A809" s="3">
        <v>44951</v>
      </c>
      <c r="B809" s="11" t="s">
        <v>1163</v>
      </c>
      <c r="C809" s="48" t="s">
        <v>2530</v>
      </c>
      <c r="D809" s="59"/>
      <c r="F809" s="11"/>
      <c r="G809" s="2">
        <v>600</v>
      </c>
      <c r="I809" s="95">
        <f t="shared" si="59"/>
        <v>28275.589999999997</v>
      </c>
      <c r="N809" s="2">
        <f t="shared" si="60"/>
        <v>2.4</v>
      </c>
    </row>
    <row r="810" spans="1:14" x14ac:dyDescent="0.25">
      <c r="A810" s="3">
        <v>44951</v>
      </c>
      <c r="B810" s="11" t="s">
        <v>1253</v>
      </c>
      <c r="C810" s="48"/>
      <c r="D810" s="59"/>
      <c r="F810" s="11"/>
      <c r="G810" s="2">
        <v>400</v>
      </c>
      <c r="I810" s="95">
        <f t="shared" si="59"/>
        <v>28675.589999999997</v>
      </c>
      <c r="N810" s="2">
        <f t="shared" si="60"/>
        <v>1.6</v>
      </c>
    </row>
    <row r="811" spans="1:14" x14ac:dyDescent="0.25">
      <c r="A811" s="3">
        <v>44951</v>
      </c>
      <c r="B811" s="11" t="s">
        <v>2707</v>
      </c>
      <c r="C811" s="48" t="s">
        <v>3209</v>
      </c>
      <c r="D811" s="59"/>
      <c r="F811" s="11"/>
      <c r="H811" s="2">
        <v>10000</v>
      </c>
      <c r="I811" s="95">
        <f t="shared" si="59"/>
        <v>18675.589999999997</v>
      </c>
      <c r="N811" s="2">
        <f t="shared" si="60"/>
        <v>20</v>
      </c>
    </row>
    <row r="812" spans="1:14" x14ac:dyDescent="0.25">
      <c r="A812" s="3">
        <v>44952</v>
      </c>
      <c r="B812" s="11" t="s">
        <v>3210</v>
      </c>
      <c r="C812" s="48" t="s">
        <v>3211</v>
      </c>
      <c r="D812" s="59" t="s">
        <v>3212</v>
      </c>
      <c r="F812" s="11"/>
      <c r="G812" s="2">
        <v>500</v>
      </c>
      <c r="I812" s="95">
        <f t="shared" si="59"/>
        <v>19175.589999999997</v>
      </c>
      <c r="N812" s="2">
        <f t="shared" si="60"/>
        <v>2</v>
      </c>
    </row>
    <row r="813" spans="1:14" x14ac:dyDescent="0.25">
      <c r="A813" s="3">
        <v>44952</v>
      </c>
      <c r="B813" s="11" t="s">
        <v>1253</v>
      </c>
      <c r="C813" s="48" t="s">
        <v>1521</v>
      </c>
      <c r="D813" s="59"/>
      <c r="F813" s="11"/>
      <c r="G813" s="2">
        <v>500</v>
      </c>
      <c r="I813" s="95">
        <f t="shared" si="59"/>
        <v>19675.589999999997</v>
      </c>
      <c r="N813" s="2">
        <f t="shared" si="60"/>
        <v>2</v>
      </c>
    </row>
    <row r="814" spans="1:14" x14ac:dyDescent="0.25">
      <c r="A814" s="3">
        <v>44953</v>
      </c>
      <c r="B814" s="11" t="s">
        <v>2347</v>
      </c>
      <c r="C814" s="48" t="s">
        <v>2654</v>
      </c>
      <c r="D814" s="59"/>
      <c r="F814" s="11"/>
      <c r="G814" s="2">
        <v>250</v>
      </c>
      <c r="I814" s="95">
        <f t="shared" si="59"/>
        <v>19925.589999999997</v>
      </c>
      <c r="N814" s="2">
        <f t="shared" si="60"/>
        <v>1</v>
      </c>
    </row>
    <row r="815" spans="1:14" x14ac:dyDescent="0.25">
      <c r="A815" s="3">
        <v>44953</v>
      </c>
      <c r="B815" s="11" t="s">
        <v>2707</v>
      </c>
      <c r="C815" s="48" t="s">
        <v>3213</v>
      </c>
      <c r="D815" s="59"/>
      <c r="F815" s="11"/>
      <c r="H815" s="2">
        <v>10000</v>
      </c>
      <c r="I815" s="95">
        <f t="shared" si="59"/>
        <v>9925.5899999999965</v>
      </c>
      <c r="N815" s="2">
        <f t="shared" si="60"/>
        <v>20</v>
      </c>
    </row>
    <row r="816" spans="1:14" x14ac:dyDescent="0.25">
      <c r="A816" s="3">
        <v>44953</v>
      </c>
      <c r="B816" s="11" t="s">
        <v>3214</v>
      </c>
      <c r="C816" s="48"/>
      <c r="D816" s="59"/>
      <c r="E816" s="115" t="s">
        <v>14</v>
      </c>
      <c r="F816" s="11"/>
      <c r="H816" s="2">
        <v>200</v>
      </c>
      <c r="I816" s="95">
        <f t="shared" si="59"/>
        <v>9725.5899999999965</v>
      </c>
      <c r="N816" s="2">
        <f t="shared" si="60"/>
        <v>25.8</v>
      </c>
    </row>
    <row r="817" spans="1:16" x14ac:dyDescent="0.25">
      <c r="A817" s="3">
        <v>44953</v>
      </c>
      <c r="B817" s="11" t="s">
        <v>3230</v>
      </c>
      <c r="C817" s="48"/>
      <c r="D817" s="59"/>
      <c r="E817" s="115" t="s">
        <v>14</v>
      </c>
      <c r="F817" s="11"/>
      <c r="H817" s="2">
        <v>500</v>
      </c>
      <c r="I817" s="95">
        <f t="shared" si="59"/>
        <v>9225.5899999999965</v>
      </c>
    </row>
    <row r="818" spans="1:16" x14ac:dyDescent="0.25">
      <c r="A818" s="3">
        <v>44953</v>
      </c>
      <c r="B818" s="11" t="s">
        <v>2247</v>
      </c>
      <c r="C818" s="48" t="s">
        <v>3216</v>
      </c>
      <c r="D818" s="59"/>
      <c r="F818" s="11"/>
      <c r="G818" s="2">
        <v>4000</v>
      </c>
      <c r="I818" s="95">
        <f t="shared" si="59"/>
        <v>13225.589999999997</v>
      </c>
      <c r="N818" s="2">
        <f t="shared" ref="N818:N829" si="61">IF((G818+H818)&lt;=5000,(H818+G818)*0.004,20)+IF(E818="Y",25,0)</f>
        <v>16</v>
      </c>
    </row>
    <row r="819" spans="1:16" x14ac:dyDescent="0.25">
      <c r="A819" s="3">
        <v>44953</v>
      </c>
      <c r="B819" s="11" t="s">
        <v>2247</v>
      </c>
      <c r="C819" s="48" t="s">
        <v>3216</v>
      </c>
      <c r="D819" s="59"/>
      <c r="F819" s="11"/>
      <c r="G819" s="2">
        <v>3000</v>
      </c>
      <c r="I819" s="95">
        <f t="shared" si="59"/>
        <v>16225.589999999997</v>
      </c>
      <c r="N819" s="2">
        <f t="shared" si="61"/>
        <v>12</v>
      </c>
    </row>
    <row r="820" spans="1:16" x14ac:dyDescent="0.25">
      <c r="A820" s="3">
        <v>44953</v>
      </c>
      <c r="B820" s="11" t="s">
        <v>2153</v>
      </c>
      <c r="C820" s="48" t="s">
        <v>3215</v>
      </c>
      <c r="D820" s="59"/>
      <c r="F820" s="11"/>
      <c r="G820" s="2">
        <v>3000</v>
      </c>
      <c r="I820" s="95">
        <f t="shared" si="59"/>
        <v>19225.589999999997</v>
      </c>
      <c r="N820" s="2">
        <f t="shared" si="61"/>
        <v>12</v>
      </c>
    </row>
    <row r="821" spans="1:16" x14ac:dyDescent="0.25">
      <c r="A821" s="3">
        <v>44953</v>
      </c>
      <c r="B821" s="11" t="s">
        <v>2142</v>
      </c>
      <c r="C821" s="48" t="s">
        <v>2485</v>
      </c>
      <c r="D821" s="59"/>
      <c r="F821" s="11"/>
      <c r="G821" s="2">
        <v>500</v>
      </c>
      <c r="I821" s="95">
        <f t="shared" si="59"/>
        <v>19725.589999999997</v>
      </c>
      <c r="N821" s="2">
        <f t="shared" si="61"/>
        <v>2</v>
      </c>
    </row>
    <row r="822" spans="1:16" x14ac:dyDescent="0.25">
      <c r="A822" s="3">
        <v>44953</v>
      </c>
      <c r="B822" s="11" t="s">
        <v>1260</v>
      </c>
      <c r="C822" s="48" t="s">
        <v>1256</v>
      </c>
      <c r="D822" s="59"/>
      <c r="F822" s="11"/>
      <c r="H822" s="2">
        <v>7000</v>
      </c>
      <c r="I822" s="95">
        <f t="shared" si="59"/>
        <v>12725.589999999997</v>
      </c>
      <c r="N822" s="2">
        <f t="shared" si="61"/>
        <v>20</v>
      </c>
    </row>
    <row r="823" spans="1:16" x14ac:dyDescent="0.25">
      <c r="A823" s="3">
        <v>44953</v>
      </c>
      <c r="B823" s="11" t="s">
        <v>1163</v>
      </c>
      <c r="C823" s="48" t="s">
        <v>3217</v>
      </c>
      <c r="D823" s="59" t="s">
        <v>3218</v>
      </c>
      <c r="F823" s="11"/>
      <c r="G823" s="2">
        <v>2000</v>
      </c>
      <c r="I823" s="95">
        <f t="shared" si="59"/>
        <v>14725.589999999997</v>
      </c>
      <c r="N823" s="2">
        <f t="shared" si="61"/>
        <v>8</v>
      </c>
    </row>
    <row r="824" spans="1:16" x14ac:dyDescent="0.25">
      <c r="A824" s="3">
        <v>44955</v>
      </c>
      <c r="B824" s="11" t="s">
        <v>3227</v>
      </c>
      <c r="C824" s="48" t="s">
        <v>3228</v>
      </c>
      <c r="D824" s="59" t="s">
        <v>3229</v>
      </c>
      <c r="F824" s="11"/>
      <c r="G824" s="2">
        <v>4200</v>
      </c>
      <c r="I824" s="95">
        <f t="shared" si="59"/>
        <v>18925.589999999997</v>
      </c>
      <c r="N824" s="2">
        <f t="shared" si="61"/>
        <v>16.8</v>
      </c>
    </row>
    <row r="825" spans="1:16" x14ac:dyDescent="0.25">
      <c r="A825" s="3">
        <v>44955</v>
      </c>
      <c r="B825" s="11" t="s">
        <v>3231</v>
      </c>
      <c r="C825" s="48" t="s">
        <v>3232</v>
      </c>
      <c r="D825" s="59"/>
      <c r="F825" s="11"/>
      <c r="H825" s="2">
        <v>10000</v>
      </c>
      <c r="I825" s="95">
        <f t="shared" si="59"/>
        <v>8925.5899999999965</v>
      </c>
      <c r="N825" s="2">
        <f t="shared" si="61"/>
        <v>20</v>
      </c>
    </row>
    <row r="826" spans="1:16" x14ac:dyDescent="0.25">
      <c r="A826" s="3">
        <v>44955</v>
      </c>
      <c r="B826" s="11" t="s">
        <v>3233</v>
      </c>
      <c r="C826" s="48"/>
      <c r="D826" s="59"/>
      <c r="F826" s="11"/>
      <c r="G826" s="2">
        <v>1000</v>
      </c>
      <c r="I826" s="95">
        <f t="shared" si="59"/>
        <v>9925.5899999999965</v>
      </c>
      <c r="N826" s="2">
        <f t="shared" si="61"/>
        <v>4</v>
      </c>
    </row>
    <row r="827" spans="1:16" x14ac:dyDescent="0.25">
      <c r="A827" s="3">
        <v>44956</v>
      </c>
      <c r="B827" s="11" t="s">
        <v>1253</v>
      </c>
      <c r="C827" s="48" t="s">
        <v>1521</v>
      </c>
      <c r="D827" s="59"/>
      <c r="F827" s="11"/>
      <c r="G827" s="2">
        <v>1000</v>
      </c>
      <c r="I827" s="95">
        <f t="shared" si="59"/>
        <v>10925.589999999997</v>
      </c>
      <c r="N827" s="2">
        <f t="shared" si="61"/>
        <v>4</v>
      </c>
    </row>
    <row r="828" spans="1:16" x14ac:dyDescent="0.25">
      <c r="A828" s="3">
        <v>44957</v>
      </c>
      <c r="B828" s="11" t="s">
        <v>1163</v>
      </c>
      <c r="C828" s="48" t="s">
        <v>3235</v>
      </c>
      <c r="D828" s="59" t="s">
        <v>3236</v>
      </c>
      <c r="F828" s="11"/>
      <c r="G828" s="2">
        <v>1300</v>
      </c>
      <c r="I828" s="95">
        <f t="shared" si="59"/>
        <v>12225.589999999997</v>
      </c>
      <c r="N828" s="2">
        <f t="shared" si="61"/>
        <v>5.2</v>
      </c>
    </row>
    <row r="829" spans="1:16" x14ac:dyDescent="0.25">
      <c r="A829" s="3">
        <v>44957</v>
      </c>
      <c r="B829" s="11" t="s">
        <v>3237</v>
      </c>
      <c r="C829" s="48" t="s">
        <v>3238</v>
      </c>
      <c r="D829" s="59"/>
      <c r="E829" s="115" t="s">
        <v>16</v>
      </c>
      <c r="F829" s="11"/>
      <c r="H829" s="2">
        <v>1000</v>
      </c>
      <c r="I829" s="95">
        <f t="shared" si="59"/>
        <v>11225.589999999997</v>
      </c>
      <c r="N829" s="2">
        <f t="shared" si="61"/>
        <v>29</v>
      </c>
    </row>
    <row r="830" spans="1:16" x14ac:dyDescent="0.25">
      <c r="A830" s="97"/>
      <c r="B830" s="102"/>
      <c r="C830" s="27"/>
      <c r="D830" s="139"/>
      <c r="E830" s="117">
        <f>COUNTIF(E768:E829,"y")</f>
        <v>6</v>
      </c>
      <c r="F830" s="97">
        <f>G830+H830</f>
        <v>174760.6</v>
      </c>
      <c r="G830" s="103">
        <f>SUM(G768:G829)</f>
        <v>89960.6</v>
      </c>
      <c r="H830" s="103">
        <f>SUM(H768:H829)</f>
        <v>84800</v>
      </c>
      <c r="I830" s="103"/>
      <c r="J830" s="97"/>
      <c r="K830" s="97"/>
      <c r="L830" s="97"/>
      <c r="M830" s="97"/>
      <c r="N830" s="103">
        <f>SUM(N768:N829)</f>
        <v>716.04240000000004</v>
      </c>
      <c r="O830" s="97"/>
      <c r="P830" s="97"/>
    </row>
    <row r="831" spans="1:16" x14ac:dyDescent="0.25">
      <c r="C831" s="48"/>
      <c r="D831" s="59"/>
      <c r="F831" s="11"/>
    </row>
    <row r="832" spans="1:16" x14ac:dyDescent="0.25">
      <c r="A832" s="3">
        <v>44958</v>
      </c>
      <c r="C832" s="48"/>
      <c r="D832" s="59"/>
      <c r="F832" s="11"/>
      <c r="G832" s="2">
        <v>11096.9</v>
      </c>
      <c r="I832" s="95">
        <f t="shared" ref="I832:I872" si="62">I831+G832-H832</f>
        <v>11096.9</v>
      </c>
    </row>
    <row r="833" spans="1:14" x14ac:dyDescent="0.25">
      <c r="A833" s="3">
        <v>44958</v>
      </c>
      <c r="B833" s="11" t="s">
        <v>1253</v>
      </c>
      <c r="C833" s="48"/>
      <c r="D833" s="59"/>
      <c r="F833" s="11"/>
      <c r="G833" s="2">
        <v>2000</v>
      </c>
      <c r="I833" s="95">
        <f t="shared" si="62"/>
        <v>13096.9</v>
      </c>
      <c r="N833" s="2">
        <f t="shared" ref="N833:N864" si="63">IF((G833+H833)&lt;=5000,(H833+G833)*0.004,20)+IF(E833="Y",25,0)</f>
        <v>8</v>
      </c>
    </row>
    <row r="834" spans="1:14" x14ac:dyDescent="0.25">
      <c r="A834" s="3">
        <v>44958</v>
      </c>
      <c r="B834" s="11" t="s">
        <v>1253</v>
      </c>
      <c r="C834" s="48"/>
      <c r="D834" s="59"/>
      <c r="F834" s="11"/>
      <c r="H834" s="2">
        <v>9000</v>
      </c>
      <c r="I834" s="95">
        <f t="shared" si="62"/>
        <v>4096.8999999999996</v>
      </c>
      <c r="N834" s="2">
        <f t="shared" si="63"/>
        <v>20</v>
      </c>
    </row>
    <row r="835" spans="1:14" x14ac:dyDescent="0.25">
      <c r="A835" s="3">
        <v>44958</v>
      </c>
      <c r="B835" s="11" t="s">
        <v>3242</v>
      </c>
      <c r="C835" s="48" t="s">
        <v>2580</v>
      </c>
      <c r="D835" s="59"/>
      <c r="F835" s="11"/>
      <c r="H835" s="2">
        <v>500</v>
      </c>
      <c r="I835" s="95">
        <f t="shared" si="62"/>
        <v>3596.8999999999996</v>
      </c>
      <c r="N835" s="2">
        <f t="shared" si="63"/>
        <v>2</v>
      </c>
    </row>
    <row r="836" spans="1:14" x14ac:dyDescent="0.25">
      <c r="A836" s="3">
        <v>44959</v>
      </c>
      <c r="B836" s="11" t="s">
        <v>1475</v>
      </c>
      <c r="C836" s="48" t="s">
        <v>3245</v>
      </c>
      <c r="D836" s="59" t="s">
        <v>3246</v>
      </c>
      <c r="F836" s="11" t="s">
        <v>3247</v>
      </c>
      <c r="G836" s="2">
        <v>2000</v>
      </c>
      <c r="I836" s="95">
        <f t="shared" si="62"/>
        <v>5596.9</v>
      </c>
      <c r="N836" s="2">
        <f t="shared" si="63"/>
        <v>8</v>
      </c>
    </row>
    <row r="837" spans="1:14" x14ac:dyDescent="0.25">
      <c r="A837" s="3">
        <v>44959</v>
      </c>
      <c r="B837" s="11" t="s">
        <v>2767</v>
      </c>
      <c r="C837" s="48" t="s">
        <v>1282</v>
      </c>
      <c r="D837" s="59"/>
      <c r="F837" s="11"/>
      <c r="H837" s="2">
        <v>4500</v>
      </c>
      <c r="I837" s="95">
        <f t="shared" si="62"/>
        <v>1096.8999999999996</v>
      </c>
      <c r="N837" s="2">
        <f t="shared" si="63"/>
        <v>18</v>
      </c>
    </row>
    <row r="838" spans="1:14" x14ac:dyDescent="0.25">
      <c r="A838" s="3">
        <v>44959</v>
      </c>
      <c r="B838" s="11" t="s">
        <v>2680</v>
      </c>
      <c r="C838" s="48" t="s">
        <v>2681</v>
      </c>
      <c r="D838" s="59"/>
      <c r="F838" s="11"/>
      <c r="H838" s="2">
        <v>700</v>
      </c>
      <c r="I838" s="95">
        <f t="shared" si="62"/>
        <v>396.89999999999964</v>
      </c>
      <c r="N838" s="2">
        <f t="shared" si="63"/>
        <v>2.8000000000000003</v>
      </c>
    </row>
    <row r="839" spans="1:14" x14ac:dyDescent="0.25">
      <c r="A839" s="3">
        <v>44959</v>
      </c>
      <c r="B839" s="11" t="s">
        <v>3248</v>
      </c>
      <c r="C839" s="48" t="s">
        <v>3249</v>
      </c>
      <c r="D839" s="59" t="s">
        <v>3250</v>
      </c>
      <c r="F839" s="11"/>
      <c r="G839" s="2">
        <v>500</v>
      </c>
      <c r="I839" s="95">
        <f t="shared" si="62"/>
        <v>896.89999999999964</v>
      </c>
      <c r="N839" s="2">
        <f t="shared" si="63"/>
        <v>2</v>
      </c>
    </row>
    <row r="840" spans="1:14" x14ac:dyDescent="0.25">
      <c r="A840" s="3">
        <v>44959</v>
      </c>
      <c r="B840" s="11" t="s">
        <v>1163</v>
      </c>
      <c r="C840" s="48" t="s">
        <v>3251</v>
      </c>
      <c r="D840" s="59" t="s">
        <v>3252</v>
      </c>
      <c r="F840" s="11"/>
      <c r="G840" s="2">
        <v>2000</v>
      </c>
      <c r="I840" s="95">
        <f t="shared" si="62"/>
        <v>2896.8999999999996</v>
      </c>
      <c r="N840" s="2">
        <f t="shared" si="63"/>
        <v>8</v>
      </c>
    </row>
    <row r="841" spans="1:14" x14ac:dyDescent="0.25">
      <c r="A841" s="3">
        <v>44959</v>
      </c>
      <c r="B841" s="11" t="s">
        <v>1253</v>
      </c>
      <c r="C841" s="48"/>
      <c r="D841" s="59"/>
      <c r="F841" s="11"/>
      <c r="G841" s="2">
        <v>500</v>
      </c>
      <c r="I841" s="95">
        <f t="shared" si="62"/>
        <v>3396.8999999999996</v>
      </c>
      <c r="N841" s="2">
        <f t="shared" si="63"/>
        <v>2</v>
      </c>
    </row>
    <row r="842" spans="1:14" x14ac:dyDescent="0.25">
      <c r="A842" s="3">
        <v>44959</v>
      </c>
      <c r="B842" s="11" t="s">
        <v>1253</v>
      </c>
      <c r="C842" s="48" t="s">
        <v>2654</v>
      </c>
      <c r="D842" s="59"/>
      <c r="F842" s="11"/>
      <c r="G842" s="2">
        <v>5000</v>
      </c>
      <c r="I842" s="95">
        <f t="shared" si="62"/>
        <v>8396.9</v>
      </c>
      <c r="N842" s="2">
        <f t="shared" si="63"/>
        <v>20</v>
      </c>
    </row>
    <row r="843" spans="1:14" x14ac:dyDescent="0.25">
      <c r="A843" s="3">
        <v>44959</v>
      </c>
      <c r="B843" s="11" t="s">
        <v>3254</v>
      </c>
      <c r="C843" s="48" t="s">
        <v>3255</v>
      </c>
      <c r="D843" s="59"/>
      <c r="E843" s="115" t="s">
        <v>16</v>
      </c>
      <c r="F843" s="11"/>
      <c r="H843" s="2">
        <v>200</v>
      </c>
      <c r="I843" s="95">
        <f t="shared" si="62"/>
        <v>8196.9</v>
      </c>
      <c r="N843" s="2">
        <f t="shared" si="63"/>
        <v>25.8</v>
      </c>
    </row>
    <row r="844" spans="1:14" x14ac:dyDescent="0.25">
      <c r="A844" s="3">
        <v>44959</v>
      </c>
      <c r="B844" s="11" t="s">
        <v>1260</v>
      </c>
      <c r="C844" s="48" t="s">
        <v>2295</v>
      </c>
      <c r="D844" s="59"/>
      <c r="F844" s="11"/>
      <c r="H844" s="2">
        <v>5000</v>
      </c>
      <c r="I844" s="95">
        <f t="shared" si="62"/>
        <v>3196.8999999999996</v>
      </c>
      <c r="N844" s="2">
        <f t="shared" si="63"/>
        <v>20</v>
      </c>
    </row>
    <row r="845" spans="1:14" x14ac:dyDescent="0.25">
      <c r="A845" s="3">
        <v>44960</v>
      </c>
      <c r="B845" s="11" t="s">
        <v>2238</v>
      </c>
      <c r="C845" s="48" t="s">
        <v>3256</v>
      </c>
      <c r="D845" s="59"/>
      <c r="F845" s="11"/>
      <c r="G845" s="2">
        <v>5000</v>
      </c>
      <c r="I845" s="95">
        <f t="shared" si="62"/>
        <v>8196.9</v>
      </c>
      <c r="N845" s="2">
        <f t="shared" si="63"/>
        <v>20</v>
      </c>
    </row>
    <row r="846" spans="1:14" x14ac:dyDescent="0.25">
      <c r="A846" s="3">
        <v>44960</v>
      </c>
      <c r="B846" s="11" t="s">
        <v>1260</v>
      </c>
      <c r="C846" s="48" t="s">
        <v>2295</v>
      </c>
      <c r="D846" s="59"/>
      <c r="F846" s="11"/>
      <c r="H846" s="2">
        <v>4000</v>
      </c>
      <c r="I846" s="95">
        <f t="shared" si="62"/>
        <v>4196.8999999999996</v>
      </c>
      <c r="N846" s="2">
        <f t="shared" si="63"/>
        <v>16</v>
      </c>
    </row>
    <row r="847" spans="1:14" x14ac:dyDescent="0.25">
      <c r="A847" s="3">
        <v>44960</v>
      </c>
      <c r="B847" s="11" t="s">
        <v>1475</v>
      </c>
      <c r="C847" s="48" t="s">
        <v>2512</v>
      </c>
      <c r="D847" s="59"/>
      <c r="F847" s="11"/>
      <c r="G847" s="2">
        <v>10000</v>
      </c>
      <c r="I847" s="95">
        <f t="shared" si="62"/>
        <v>14196.9</v>
      </c>
      <c r="N847" s="2">
        <f t="shared" si="63"/>
        <v>20</v>
      </c>
    </row>
    <row r="848" spans="1:14" x14ac:dyDescent="0.25">
      <c r="A848" s="3">
        <v>44961</v>
      </c>
      <c r="B848" s="11" t="s">
        <v>1474</v>
      </c>
      <c r="C848" s="48" t="s">
        <v>3030</v>
      </c>
      <c r="D848" s="59"/>
      <c r="F848" s="11"/>
      <c r="H848" s="2">
        <v>400</v>
      </c>
      <c r="I848" s="95">
        <f t="shared" si="62"/>
        <v>13796.9</v>
      </c>
      <c r="N848" s="2">
        <f t="shared" si="63"/>
        <v>1.6</v>
      </c>
    </row>
    <row r="849" spans="1:14" x14ac:dyDescent="0.25">
      <c r="A849" s="3">
        <v>44961</v>
      </c>
      <c r="B849" s="11" t="s">
        <v>2748</v>
      </c>
      <c r="C849" s="48" t="s">
        <v>1282</v>
      </c>
      <c r="D849" s="59"/>
      <c r="F849" s="11"/>
      <c r="H849" s="2">
        <v>3000</v>
      </c>
      <c r="I849" s="95">
        <f t="shared" si="62"/>
        <v>10796.9</v>
      </c>
      <c r="N849" s="2">
        <f t="shared" si="63"/>
        <v>12</v>
      </c>
    </row>
    <row r="850" spans="1:14" x14ac:dyDescent="0.25">
      <c r="A850" s="3">
        <v>44961</v>
      </c>
      <c r="B850" s="11" t="s">
        <v>1253</v>
      </c>
      <c r="C850" s="48"/>
      <c r="D850" s="59"/>
      <c r="F850" s="11"/>
      <c r="G850" s="2">
        <v>2000</v>
      </c>
      <c r="I850" s="95">
        <f t="shared" si="62"/>
        <v>12796.9</v>
      </c>
      <c r="N850" s="2">
        <f t="shared" si="63"/>
        <v>8</v>
      </c>
    </row>
    <row r="851" spans="1:14" x14ac:dyDescent="0.25">
      <c r="A851" s="3">
        <v>44961</v>
      </c>
      <c r="B851" s="11" t="s">
        <v>3262</v>
      </c>
      <c r="C851" s="48" t="s">
        <v>3263</v>
      </c>
      <c r="D851" s="59"/>
      <c r="E851" s="115" t="s">
        <v>16</v>
      </c>
      <c r="F851" s="11"/>
      <c r="H851" s="2">
        <v>100</v>
      </c>
      <c r="I851" s="95">
        <f t="shared" si="62"/>
        <v>12696.9</v>
      </c>
      <c r="N851" s="2">
        <f t="shared" si="63"/>
        <v>25.4</v>
      </c>
    </row>
    <row r="852" spans="1:14" x14ac:dyDescent="0.25">
      <c r="A852" s="3">
        <v>44961</v>
      </c>
      <c r="B852" s="11" t="s">
        <v>3266</v>
      </c>
      <c r="C852" s="48" t="s">
        <v>3269</v>
      </c>
      <c r="D852" s="59"/>
      <c r="E852" s="115" t="s">
        <v>16</v>
      </c>
      <c r="F852" s="11"/>
      <c r="H852" s="2">
        <v>100</v>
      </c>
      <c r="I852" s="95">
        <f t="shared" si="62"/>
        <v>12596.9</v>
      </c>
      <c r="N852" s="2">
        <f t="shared" si="63"/>
        <v>25.4</v>
      </c>
    </row>
    <row r="853" spans="1:14" x14ac:dyDescent="0.25">
      <c r="A853" s="3">
        <v>44961</v>
      </c>
      <c r="B853" s="11" t="s">
        <v>3267</v>
      </c>
      <c r="C853" s="48" t="s">
        <v>3268</v>
      </c>
      <c r="D853" s="59"/>
      <c r="F853" s="11"/>
      <c r="G853" s="2">
        <v>1000</v>
      </c>
      <c r="I853" s="95">
        <f t="shared" si="62"/>
        <v>13596.9</v>
      </c>
      <c r="N853" s="2">
        <f t="shared" si="63"/>
        <v>4</v>
      </c>
    </row>
    <row r="854" spans="1:14" x14ac:dyDescent="0.25">
      <c r="A854" s="3">
        <v>44961</v>
      </c>
      <c r="B854" s="11" t="s">
        <v>2247</v>
      </c>
      <c r="C854" s="48" t="s">
        <v>3273</v>
      </c>
      <c r="D854" s="59" t="s">
        <v>3274</v>
      </c>
      <c r="F854" s="11"/>
      <c r="G854" s="2">
        <v>600</v>
      </c>
      <c r="I854" s="95">
        <f t="shared" si="62"/>
        <v>14196.9</v>
      </c>
      <c r="N854" s="2">
        <f t="shared" si="63"/>
        <v>2.4</v>
      </c>
    </row>
    <row r="855" spans="1:14" x14ac:dyDescent="0.25">
      <c r="A855" s="3">
        <v>44962</v>
      </c>
      <c r="B855" s="11" t="s">
        <v>1253</v>
      </c>
      <c r="C855" s="48" t="s">
        <v>3275</v>
      </c>
      <c r="D855" s="59"/>
      <c r="F855" s="11"/>
      <c r="G855" s="2">
        <v>1000</v>
      </c>
      <c r="I855" s="95">
        <f t="shared" si="62"/>
        <v>15196.9</v>
      </c>
      <c r="N855" s="2">
        <f t="shared" si="63"/>
        <v>4</v>
      </c>
    </row>
    <row r="856" spans="1:14" x14ac:dyDescent="0.25">
      <c r="A856" s="3">
        <v>44963</v>
      </c>
      <c r="B856" s="11" t="s">
        <v>2242</v>
      </c>
      <c r="C856" s="48" t="s">
        <v>2243</v>
      </c>
      <c r="D856" s="59"/>
      <c r="F856" s="11"/>
      <c r="H856" s="2">
        <v>2500</v>
      </c>
      <c r="I856" s="95">
        <f t="shared" si="62"/>
        <v>12696.9</v>
      </c>
      <c r="N856" s="2">
        <f t="shared" si="63"/>
        <v>10</v>
      </c>
    </row>
    <row r="857" spans="1:14" x14ac:dyDescent="0.25">
      <c r="A857" s="3">
        <v>44963</v>
      </c>
      <c r="B857" s="11" t="s">
        <v>3276</v>
      </c>
      <c r="C857" s="48" t="s">
        <v>2436</v>
      </c>
      <c r="D857" s="59"/>
      <c r="F857" s="11"/>
      <c r="G857" s="2">
        <v>3000</v>
      </c>
      <c r="I857" s="95">
        <f t="shared" si="62"/>
        <v>15696.9</v>
      </c>
      <c r="N857" s="2">
        <f t="shared" si="63"/>
        <v>12</v>
      </c>
    </row>
    <row r="858" spans="1:14" x14ac:dyDescent="0.25">
      <c r="A858" s="3">
        <v>44963</v>
      </c>
      <c r="B858" s="11" t="s">
        <v>1163</v>
      </c>
      <c r="C858" s="48" t="s">
        <v>3278</v>
      </c>
      <c r="D858" s="59" t="s">
        <v>3279</v>
      </c>
      <c r="F858" s="11"/>
      <c r="G858" s="2">
        <v>5000</v>
      </c>
      <c r="I858" s="95">
        <f t="shared" si="62"/>
        <v>20696.900000000001</v>
      </c>
      <c r="N858" s="2">
        <f t="shared" si="63"/>
        <v>20</v>
      </c>
    </row>
    <row r="859" spans="1:14" x14ac:dyDescent="0.25">
      <c r="A859" s="3">
        <v>44964</v>
      </c>
      <c r="B859" s="11" t="s">
        <v>3280</v>
      </c>
      <c r="C859" s="48" t="s">
        <v>3281</v>
      </c>
      <c r="D859" s="59"/>
      <c r="F859" s="11"/>
      <c r="H859" s="2">
        <v>10000</v>
      </c>
      <c r="I859" s="95">
        <f t="shared" si="62"/>
        <v>10696.900000000001</v>
      </c>
      <c r="N859" s="2">
        <f t="shared" si="63"/>
        <v>20</v>
      </c>
    </row>
    <row r="860" spans="1:14" x14ac:dyDescent="0.25">
      <c r="A860" s="3">
        <v>44965</v>
      </c>
      <c r="B860" s="11" t="s">
        <v>2818</v>
      </c>
      <c r="C860" s="48" t="s">
        <v>2819</v>
      </c>
      <c r="D860" s="59"/>
      <c r="F860" s="11"/>
      <c r="H860" s="2">
        <v>4600</v>
      </c>
      <c r="I860" s="95">
        <f t="shared" si="62"/>
        <v>6096.9000000000015</v>
      </c>
      <c r="N860" s="2">
        <f t="shared" si="63"/>
        <v>18.400000000000002</v>
      </c>
    </row>
    <row r="861" spans="1:14" x14ac:dyDescent="0.25">
      <c r="A861" s="3">
        <v>44965</v>
      </c>
      <c r="B861" s="11" t="s">
        <v>1475</v>
      </c>
      <c r="C861" s="48" t="s">
        <v>3245</v>
      </c>
      <c r="D861" s="59"/>
      <c r="F861" s="11"/>
      <c r="G861" s="2">
        <v>5050</v>
      </c>
      <c r="I861" s="95">
        <f t="shared" si="62"/>
        <v>11146.900000000001</v>
      </c>
      <c r="N861" s="2">
        <f t="shared" si="63"/>
        <v>20</v>
      </c>
    </row>
    <row r="862" spans="1:14" x14ac:dyDescent="0.25">
      <c r="A862" s="3">
        <v>44965</v>
      </c>
      <c r="B862" s="11" t="s">
        <v>2707</v>
      </c>
      <c r="C862" s="48" t="s">
        <v>3077</v>
      </c>
      <c r="D862" s="59"/>
      <c r="F862" s="11"/>
      <c r="H862" s="2">
        <v>5000</v>
      </c>
      <c r="I862" s="95">
        <f t="shared" si="62"/>
        <v>6146.9000000000015</v>
      </c>
      <c r="N862" s="2">
        <f t="shared" si="63"/>
        <v>20</v>
      </c>
    </row>
    <row r="863" spans="1:14" x14ac:dyDescent="0.25">
      <c r="A863" s="3">
        <v>44965</v>
      </c>
      <c r="B863" s="11" t="s">
        <v>3152</v>
      </c>
      <c r="C863" s="48" t="s">
        <v>3282</v>
      </c>
      <c r="D863" s="59"/>
      <c r="F863" s="11"/>
      <c r="G863" s="2">
        <v>500</v>
      </c>
      <c r="I863" s="95">
        <f t="shared" si="62"/>
        <v>6646.9000000000015</v>
      </c>
      <c r="N863" s="2">
        <f t="shared" si="63"/>
        <v>2</v>
      </c>
    </row>
    <row r="864" spans="1:14" x14ac:dyDescent="0.25">
      <c r="A864" s="3">
        <v>44966</v>
      </c>
      <c r="B864" s="11" t="s">
        <v>1163</v>
      </c>
      <c r="C864" s="48" t="s">
        <v>3135</v>
      </c>
      <c r="D864" s="59"/>
      <c r="F864" s="11" t="s">
        <v>3283</v>
      </c>
      <c r="G864" s="2">
        <v>500</v>
      </c>
      <c r="I864" s="95">
        <f t="shared" si="62"/>
        <v>7146.9000000000015</v>
      </c>
      <c r="N864" s="2">
        <f t="shared" si="63"/>
        <v>2</v>
      </c>
    </row>
    <row r="865" spans="1:14" x14ac:dyDescent="0.25">
      <c r="A865" s="3">
        <v>44966</v>
      </c>
      <c r="B865" s="11" t="s">
        <v>2247</v>
      </c>
      <c r="C865" s="48" t="s">
        <v>2989</v>
      </c>
      <c r="D865" s="59"/>
      <c r="F865" s="11" t="s">
        <v>3284</v>
      </c>
      <c r="G865" s="2">
        <v>600</v>
      </c>
      <c r="I865" s="95">
        <f t="shared" si="62"/>
        <v>7746.9000000000015</v>
      </c>
      <c r="N865" s="2">
        <f t="shared" ref="N865:N896" si="64">IF((G865+H865)&lt;=5000,(H865+G865)*0.004,20)+IF(E865="Y",25,0)</f>
        <v>2.4</v>
      </c>
    </row>
    <row r="866" spans="1:14" x14ac:dyDescent="0.25">
      <c r="A866" s="3">
        <v>44966</v>
      </c>
      <c r="B866" s="11" t="s">
        <v>3285</v>
      </c>
      <c r="C866" s="48" t="s">
        <v>3286</v>
      </c>
      <c r="D866" s="59"/>
      <c r="F866" s="11"/>
      <c r="G866" s="2">
        <v>1000</v>
      </c>
      <c r="I866" s="95">
        <f t="shared" si="62"/>
        <v>8746.9000000000015</v>
      </c>
      <c r="N866" s="2">
        <f t="shared" si="64"/>
        <v>4</v>
      </c>
    </row>
    <row r="867" spans="1:14" x14ac:dyDescent="0.25">
      <c r="A867" s="3">
        <v>44966</v>
      </c>
      <c r="B867" s="11" t="s">
        <v>3287</v>
      </c>
      <c r="C867" s="48" t="s">
        <v>3077</v>
      </c>
      <c r="D867" s="59"/>
      <c r="F867" s="11"/>
      <c r="H867" s="2">
        <v>5000</v>
      </c>
      <c r="I867" s="95">
        <f t="shared" si="62"/>
        <v>3746.9000000000015</v>
      </c>
      <c r="N867" s="2">
        <f t="shared" si="64"/>
        <v>20</v>
      </c>
    </row>
    <row r="868" spans="1:14" x14ac:dyDescent="0.25">
      <c r="A868" s="3">
        <v>44966</v>
      </c>
      <c r="B868" s="11" t="s">
        <v>2247</v>
      </c>
      <c r="C868" s="48" t="s">
        <v>3288</v>
      </c>
      <c r="D868" s="59"/>
      <c r="F868" s="11"/>
      <c r="G868" s="2">
        <v>2500</v>
      </c>
      <c r="I868" s="95">
        <f t="shared" si="62"/>
        <v>6246.9000000000015</v>
      </c>
      <c r="N868" s="2">
        <f t="shared" si="64"/>
        <v>10</v>
      </c>
    </row>
    <row r="869" spans="1:14" x14ac:dyDescent="0.25">
      <c r="A869" s="3">
        <v>44967</v>
      </c>
      <c r="B869" s="11" t="s">
        <v>3171</v>
      </c>
      <c r="C869" s="48" t="s">
        <v>3289</v>
      </c>
      <c r="D869" s="59"/>
      <c r="F869" s="11"/>
      <c r="H869" s="2">
        <v>1000</v>
      </c>
      <c r="I869" s="95">
        <f t="shared" si="62"/>
        <v>5246.9000000000015</v>
      </c>
      <c r="N869" s="2">
        <f t="shared" si="64"/>
        <v>4</v>
      </c>
    </row>
    <row r="870" spans="1:14" x14ac:dyDescent="0.25">
      <c r="A870" s="3">
        <v>44967</v>
      </c>
      <c r="B870" s="11" t="s">
        <v>3171</v>
      </c>
      <c r="C870" s="48" t="s">
        <v>3289</v>
      </c>
      <c r="D870" s="59"/>
      <c r="F870" s="11"/>
      <c r="H870" s="2">
        <v>5000</v>
      </c>
      <c r="I870" s="95">
        <f t="shared" si="62"/>
        <v>246.90000000000146</v>
      </c>
      <c r="N870" s="2">
        <f t="shared" si="64"/>
        <v>20</v>
      </c>
    </row>
    <row r="871" spans="1:14" x14ac:dyDescent="0.25">
      <c r="A871" s="3">
        <v>44968</v>
      </c>
      <c r="B871" s="11" t="s">
        <v>2365</v>
      </c>
      <c r="C871" s="48" t="s">
        <v>3290</v>
      </c>
      <c r="D871" s="59"/>
      <c r="F871" s="11"/>
      <c r="G871" s="2">
        <v>2000</v>
      </c>
      <c r="I871" s="95">
        <f t="shared" si="62"/>
        <v>2246.9000000000015</v>
      </c>
      <c r="N871" s="2">
        <f t="shared" si="64"/>
        <v>8</v>
      </c>
    </row>
    <row r="872" spans="1:14" x14ac:dyDescent="0.25">
      <c r="A872" s="3">
        <v>44970</v>
      </c>
      <c r="C872" s="48" t="s">
        <v>3291</v>
      </c>
      <c r="D872" s="59"/>
      <c r="F872" s="11"/>
      <c r="G872" s="2">
        <v>3500</v>
      </c>
      <c r="I872" s="95">
        <f t="shared" si="62"/>
        <v>5746.9000000000015</v>
      </c>
      <c r="N872" s="2">
        <f t="shared" si="64"/>
        <v>14</v>
      </c>
    </row>
    <row r="873" spans="1:14" x14ac:dyDescent="0.25">
      <c r="A873" s="3">
        <v>44970</v>
      </c>
      <c r="B873" s="11" t="s">
        <v>3293</v>
      </c>
      <c r="C873" s="48" t="s">
        <v>3292</v>
      </c>
      <c r="D873" s="59"/>
      <c r="F873" s="11"/>
      <c r="H873" s="2">
        <v>5500</v>
      </c>
      <c r="I873" s="95">
        <f t="shared" ref="I873:I912" si="65">I872+G873-H873</f>
        <v>246.90000000000146</v>
      </c>
      <c r="N873" s="2">
        <f t="shared" si="64"/>
        <v>20</v>
      </c>
    </row>
    <row r="874" spans="1:14" x14ac:dyDescent="0.25">
      <c r="A874" s="3">
        <v>44971</v>
      </c>
      <c r="B874" s="11" t="s">
        <v>2238</v>
      </c>
      <c r="C874" s="48" t="s">
        <v>3295</v>
      </c>
      <c r="D874" s="59"/>
      <c r="F874" s="11"/>
      <c r="G874" s="2">
        <v>1400</v>
      </c>
      <c r="I874" s="95">
        <f t="shared" si="65"/>
        <v>1646.9000000000015</v>
      </c>
      <c r="N874" s="2">
        <f t="shared" si="64"/>
        <v>5.6000000000000005</v>
      </c>
    </row>
    <row r="875" spans="1:14" x14ac:dyDescent="0.25">
      <c r="A875" s="3">
        <v>44971</v>
      </c>
      <c r="C875" s="48" t="s">
        <v>3297</v>
      </c>
      <c r="D875" s="59"/>
      <c r="F875" s="11"/>
      <c r="G875" s="2">
        <v>557</v>
      </c>
      <c r="I875" s="95">
        <f t="shared" si="65"/>
        <v>2203.9000000000015</v>
      </c>
      <c r="N875" s="2">
        <f t="shared" si="64"/>
        <v>2.2280000000000002</v>
      </c>
    </row>
    <row r="876" spans="1:14" x14ac:dyDescent="0.25">
      <c r="A876" s="3">
        <v>44972</v>
      </c>
      <c r="B876" s="11" t="s">
        <v>1253</v>
      </c>
      <c r="C876" s="48" t="s">
        <v>3296</v>
      </c>
      <c r="D876" s="59"/>
      <c r="F876" s="11"/>
      <c r="G876" s="2">
        <v>10000</v>
      </c>
      <c r="I876" s="95">
        <f t="shared" si="65"/>
        <v>12203.900000000001</v>
      </c>
      <c r="N876" s="2">
        <f t="shared" si="64"/>
        <v>20</v>
      </c>
    </row>
    <row r="877" spans="1:14" x14ac:dyDescent="0.25">
      <c r="A877" s="3">
        <v>44972</v>
      </c>
      <c r="B877" s="11" t="s">
        <v>1260</v>
      </c>
      <c r="C877" s="48"/>
      <c r="D877" s="59"/>
      <c r="F877" s="11"/>
      <c r="H877" s="2">
        <v>5000</v>
      </c>
      <c r="I877" s="95">
        <f t="shared" si="65"/>
        <v>7203.9000000000015</v>
      </c>
      <c r="N877" s="2">
        <f t="shared" si="64"/>
        <v>20</v>
      </c>
    </row>
    <row r="878" spans="1:14" x14ac:dyDescent="0.25">
      <c r="A878" s="3">
        <v>44972</v>
      </c>
      <c r="B878" s="11" t="s">
        <v>2680</v>
      </c>
      <c r="C878" s="48" t="s">
        <v>2681</v>
      </c>
      <c r="D878" s="59"/>
      <c r="F878" s="11"/>
      <c r="H878" s="2">
        <v>500</v>
      </c>
      <c r="I878" s="95">
        <f t="shared" si="65"/>
        <v>6703.9000000000015</v>
      </c>
      <c r="N878" s="2">
        <f t="shared" si="64"/>
        <v>2</v>
      </c>
    </row>
    <row r="879" spans="1:14" x14ac:dyDescent="0.25">
      <c r="A879" s="3">
        <v>44975</v>
      </c>
      <c r="B879" s="11" t="s">
        <v>1260</v>
      </c>
      <c r="C879" s="48" t="s">
        <v>2295</v>
      </c>
      <c r="D879" s="59"/>
      <c r="F879" s="11"/>
      <c r="H879" s="2">
        <v>6500</v>
      </c>
      <c r="I879" s="95">
        <f t="shared" si="65"/>
        <v>203.90000000000146</v>
      </c>
      <c r="N879" s="2">
        <f t="shared" si="64"/>
        <v>20</v>
      </c>
    </row>
    <row r="880" spans="1:14" x14ac:dyDescent="0.25">
      <c r="A880" s="3">
        <v>44975</v>
      </c>
      <c r="B880" s="11" t="s">
        <v>2257</v>
      </c>
      <c r="C880" s="48" t="s">
        <v>3298</v>
      </c>
      <c r="D880" s="59"/>
      <c r="F880" s="11"/>
      <c r="G880" s="2">
        <v>6000</v>
      </c>
      <c r="I880" s="95">
        <f t="shared" si="65"/>
        <v>6203.9000000000015</v>
      </c>
      <c r="N880" s="2">
        <f t="shared" si="64"/>
        <v>20</v>
      </c>
    </row>
    <row r="881" spans="1:14" x14ac:dyDescent="0.25">
      <c r="A881" s="3">
        <v>44975</v>
      </c>
      <c r="B881" s="11" t="s">
        <v>2481</v>
      </c>
      <c r="C881" s="48" t="s">
        <v>2482</v>
      </c>
      <c r="D881" s="59"/>
      <c r="F881" s="11"/>
      <c r="H881" s="2">
        <v>5000</v>
      </c>
      <c r="I881" s="95">
        <f t="shared" si="65"/>
        <v>1203.9000000000015</v>
      </c>
      <c r="N881" s="2">
        <f t="shared" si="64"/>
        <v>20</v>
      </c>
    </row>
    <row r="882" spans="1:14" x14ac:dyDescent="0.25">
      <c r="A882" s="3">
        <v>44977</v>
      </c>
      <c r="B882" s="11" t="s">
        <v>1163</v>
      </c>
      <c r="C882" s="48"/>
      <c r="D882" s="59"/>
      <c r="F882" s="11"/>
      <c r="G882" s="2">
        <v>200</v>
      </c>
      <c r="I882" s="95">
        <f t="shared" si="65"/>
        <v>1403.9000000000015</v>
      </c>
      <c r="N882" s="2">
        <f t="shared" si="64"/>
        <v>0.8</v>
      </c>
    </row>
    <row r="883" spans="1:14" x14ac:dyDescent="0.25">
      <c r="A883" s="3">
        <v>44978</v>
      </c>
      <c r="B883" s="11" t="s">
        <v>3152</v>
      </c>
      <c r="C883" s="48" t="s">
        <v>3282</v>
      </c>
      <c r="D883" s="59"/>
      <c r="F883" s="11"/>
      <c r="G883" s="2">
        <v>1000</v>
      </c>
      <c r="I883" s="95">
        <f t="shared" si="65"/>
        <v>2403.9000000000015</v>
      </c>
      <c r="N883" s="2">
        <f t="shared" si="64"/>
        <v>4</v>
      </c>
    </row>
    <row r="884" spans="1:14" x14ac:dyDescent="0.25">
      <c r="A884" s="3">
        <v>44978</v>
      </c>
      <c r="B884" s="11" t="s">
        <v>3152</v>
      </c>
      <c r="C884" s="48" t="s">
        <v>3282</v>
      </c>
      <c r="D884" s="59"/>
      <c r="F884" s="11"/>
      <c r="G884" s="2">
        <v>550</v>
      </c>
      <c r="I884" s="95">
        <f t="shared" si="65"/>
        <v>2953.9000000000015</v>
      </c>
      <c r="N884" s="2">
        <f t="shared" si="64"/>
        <v>2.2000000000000002</v>
      </c>
    </row>
    <row r="885" spans="1:14" x14ac:dyDescent="0.25">
      <c r="A885" s="3">
        <v>44979</v>
      </c>
      <c r="C885" s="48"/>
      <c r="D885" s="59"/>
      <c r="F885" s="11"/>
      <c r="H885" s="2">
        <v>2000</v>
      </c>
      <c r="I885" s="95">
        <f t="shared" si="65"/>
        <v>953.90000000000146</v>
      </c>
      <c r="N885" s="2">
        <f t="shared" si="64"/>
        <v>8</v>
      </c>
    </row>
    <row r="886" spans="1:14" x14ac:dyDescent="0.25">
      <c r="A886" s="3">
        <v>44979</v>
      </c>
      <c r="C886" s="48"/>
      <c r="D886" s="59"/>
      <c r="F886" s="11"/>
      <c r="G886" s="2">
        <v>500</v>
      </c>
      <c r="I886" s="95">
        <f t="shared" si="65"/>
        <v>1453.9000000000015</v>
      </c>
      <c r="N886" s="2">
        <f t="shared" si="64"/>
        <v>2</v>
      </c>
    </row>
    <row r="887" spans="1:14" x14ac:dyDescent="0.25">
      <c r="A887" s="3">
        <v>44979</v>
      </c>
      <c r="B887" s="11" t="s">
        <v>2647</v>
      </c>
      <c r="C887" s="48" t="s">
        <v>3299</v>
      </c>
      <c r="D887" s="59"/>
      <c r="F887" s="11"/>
      <c r="G887" s="2">
        <v>1000</v>
      </c>
      <c r="I887" s="95">
        <f t="shared" si="65"/>
        <v>2453.9000000000015</v>
      </c>
      <c r="N887" s="2">
        <f t="shared" si="64"/>
        <v>4</v>
      </c>
    </row>
    <row r="888" spans="1:14" x14ac:dyDescent="0.25">
      <c r="A888" s="3">
        <v>44979</v>
      </c>
      <c r="B888" s="11" t="s">
        <v>3300</v>
      </c>
      <c r="C888" s="48" t="s">
        <v>3301</v>
      </c>
      <c r="D888" s="59"/>
      <c r="E888" s="115" t="s">
        <v>16</v>
      </c>
      <c r="F888" s="11"/>
      <c r="H888" s="2">
        <v>200</v>
      </c>
      <c r="I888" s="95">
        <f t="shared" si="65"/>
        <v>2253.9000000000015</v>
      </c>
      <c r="N888" s="2">
        <f t="shared" si="64"/>
        <v>25.8</v>
      </c>
    </row>
    <row r="889" spans="1:14" x14ac:dyDescent="0.25">
      <c r="A889" s="3">
        <v>44979</v>
      </c>
      <c r="B889" s="11" t="s">
        <v>1253</v>
      </c>
      <c r="C889" s="48" t="s">
        <v>3305</v>
      </c>
      <c r="D889" s="59"/>
      <c r="F889" s="11"/>
      <c r="H889" s="2">
        <v>1500</v>
      </c>
      <c r="I889" s="95">
        <f t="shared" si="65"/>
        <v>753.90000000000146</v>
      </c>
      <c r="N889" s="2">
        <f t="shared" si="64"/>
        <v>6</v>
      </c>
    </row>
    <row r="890" spans="1:14" x14ac:dyDescent="0.25">
      <c r="A890" s="3">
        <v>44979</v>
      </c>
      <c r="B890" s="11" t="s">
        <v>1163</v>
      </c>
      <c r="C890" s="48"/>
      <c r="D890" s="59"/>
      <c r="F890" s="11"/>
      <c r="G890" s="2">
        <v>1000</v>
      </c>
      <c r="I890" s="95">
        <f t="shared" si="65"/>
        <v>1753.9000000000015</v>
      </c>
      <c r="N890" s="2">
        <f t="shared" si="64"/>
        <v>4</v>
      </c>
    </row>
    <row r="891" spans="1:14" x14ac:dyDescent="0.25">
      <c r="A891" s="3">
        <v>44980</v>
      </c>
      <c r="B891" s="11" t="s">
        <v>1163</v>
      </c>
      <c r="C891" s="48" t="s">
        <v>3306</v>
      </c>
      <c r="D891" s="59"/>
      <c r="F891" s="11" t="s">
        <v>3308</v>
      </c>
      <c r="G891" s="2">
        <v>3000</v>
      </c>
      <c r="I891" s="95">
        <f t="shared" si="65"/>
        <v>4753.9000000000015</v>
      </c>
      <c r="N891" s="2">
        <f t="shared" si="64"/>
        <v>12</v>
      </c>
    </row>
    <row r="892" spans="1:14" x14ac:dyDescent="0.25">
      <c r="A892" s="3">
        <v>44980</v>
      </c>
      <c r="B892" s="11" t="s">
        <v>2360</v>
      </c>
      <c r="C892" s="48" t="s">
        <v>3307</v>
      </c>
      <c r="D892" s="59"/>
      <c r="F892" s="11" t="s">
        <v>3309</v>
      </c>
      <c r="H892" s="2">
        <v>3500</v>
      </c>
      <c r="I892" s="95">
        <f t="shared" si="65"/>
        <v>1253.9000000000015</v>
      </c>
      <c r="N892" s="2">
        <f t="shared" si="64"/>
        <v>14</v>
      </c>
    </row>
    <row r="893" spans="1:14" x14ac:dyDescent="0.25">
      <c r="A893" s="3">
        <v>44980</v>
      </c>
      <c r="B893" s="11" t="s">
        <v>1163</v>
      </c>
      <c r="C893" s="48" t="s">
        <v>3310</v>
      </c>
      <c r="D893" s="59" t="s">
        <v>3311</v>
      </c>
      <c r="F893" s="11"/>
      <c r="G893" s="2">
        <v>2000</v>
      </c>
      <c r="I893" s="95">
        <f t="shared" si="65"/>
        <v>3253.9000000000015</v>
      </c>
      <c r="N893" s="2">
        <f t="shared" si="64"/>
        <v>8</v>
      </c>
    </row>
    <row r="894" spans="1:14" x14ac:dyDescent="0.25">
      <c r="A894" s="3">
        <v>44980</v>
      </c>
      <c r="B894" s="11" t="s">
        <v>3074</v>
      </c>
      <c r="C894" s="48"/>
      <c r="D894" s="59"/>
      <c r="F894" s="11"/>
      <c r="G894" s="2">
        <v>6000</v>
      </c>
      <c r="I894" s="95">
        <f t="shared" si="65"/>
        <v>9253.9000000000015</v>
      </c>
      <c r="N894" s="2">
        <f t="shared" si="64"/>
        <v>20</v>
      </c>
    </row>
    <row r="895" spans="1:14" x14ac:dyDescent="0.25">
      <c r="A895" s="3">
        <v>44980</v>
      </c>
      <c r="B895" s="11" t="s">
        <v>2818</v>
      </c>
      <c r="C895" s="48" t="s">
        <v>3313</v>
      </c>
      <c r="D895" s="59"/>
      <c r="F895" s="11"/>
      <c r="H895" s="2">
        <v>6500</v>
      </c>
      <c r="I895" s="95">
        <f t="shared" si="65"/>
        <v>2753.9000000000015</v>
      </c>
      <c r="N895" s="2">
        <f t="shared" si="64"/>
        <v>20</v>
      </c>
    </row>
    <row r="896" spans="1:14" x14ac:dyDescent="0.25">
      <c r="A896" s="3">
        <v>44980</v>
      </c>
      <c r="B896" s="11" t="s">
        <v>3186</v>
      </c>
      <c r="C896" s="48" t="s">
        <v>3312</v>
      </c>
      <c r="D896" s="59"/>
      <c r="F896" s="11"/>
      <c r="G896" s="2">
        <v>2000</v>
      </c>
      <c r="I896" s="95">
        <f t="shared" si="65"/>
        <v>4753.9000000000015</v>
      </c>
      <c r="N896" s="2">
        <f t="shared" si="64"/>
        <v>8</v>
      </c>
    </row>
    <row r="897" spans="1:14" x14ac:dyDescent="0.25">
      <c r="A897" s="3">
        <v>44980</v>
      </c>
      <c r="B897" s="11" t="s">
        <v>3314</v>
      </c>
      <c r="C897" s="48" t="s">
        <v>1235</v>
      </c>
      <c r="D897" s="59"/>
      <c r="F897" s="11"/>
      <c r="H897" s="2">
        <v>1000</v>
      </c>
      <c r="I897" s="95">
        <f t="shared" si="65"/>
        <v>3753.9000000000015</v>
      </c>
      <c r="N897" s="2">
        <f t="shared" ref="N897:N911" si="66">IF((G897+H897)&lt;=5000,(H897+G897)*0.004,20)+IF(E897="Y",25,0)</f>
        <v>4</v>
      </c>
    </row>
    <row r="898" spans="1:14" x14ac:dyDescent="0.25">
      <c r="A898" s="3">
        <v>44981</v>
      </c>
      <c r="B898" s="11" t="s">
        <v>3318</v>
      </c>
      <c r="C898" s="48" t="s">
        <v>3317</v>
      </c>
      <c r="D898" s="59"/>
      <c r="E898" s="115" t="s">
        <v>16</v>
      </c>
      <c r="F898" s="11"/>
      <c r="H898" s="2">
        <v>200</v>
      </c>
      <c r="I898" s="95">
        <f t="shared" si="65"/>
        <v>3553.9000000000015</v>
      </c>
      <c r="N898" s="2">
        <f t="shared" si="66"/>
        <v>25.8</v>
      </c>
    </row>
    <row r="899" spans="1:14" x14ac:dyDescent="0.25">
      <c r="A899" s="3">
        <v>44981</v>
      </c>
      <c r="B899" s="11" t="s">
        <v>1163</v>
      </c>
      <c r="C899" s="48"/>
      <c r="D899" s="59"/>
      <c r="F899" s="11"/>
      <c r="G899" s="2">
        <v>5000</v>
      </c>
      <c r="I899" s="95">
        <f t="shared" si="65"/>
        <v>8553.9000000000015</v>
      </c>
      <c r="N899" s="2">
        <f t="shared" si="66"/>
        <v>20</v>
      </c>
    </row>
    <row r="900" spans="1:14" x14ac:dyDescent="0.25">
      <c r="A900" s="3">
        <v>44981</v>
      </c>
      <c r="B900" s="11" t="s">
        <v>3319</v>
      </c>
      <c r="C900" s="48" t="s">
        <v>3320</v>
      </c>
      <c r="D900" s="59"/>
      <c r="E900" s="115" t="s">
        <v>16</v>
      </c>
      <c r="F900" s="11"/>
      <c r="H900" s="2">
        <v>2000</v>
      </c>
      <c r="I900" s="95">
        <f t="shared" si="65"/>
        <v>6553.9000000000015</v>
      </c>
      <c r="N900" s="2">
        <f t="shared" si="66"/>
        <v>33</v>
      </c>
    </row>
    <row r="901" spans="1:14" x14ac:dyDescent="0.25">
      <c r="A901" s="3">
        <v>44981</v>
      </c>
      <c r="B901" s="11" t="s">
        <v>3321</v>
      </c>
      <c r="C901" s="48" t="s">
        <v>3322</v>
      </c>
      <c r="D901" s="59"/>
      <c r="E901" s="115" t="s">
        <v>16</v>
      </c>
      <c r="F901" s="11"/>
      <c r="H901" s="2">
        <v>100</v>
      </c>
      <c r="I901" s="95">
        <f t="shared" si="65"/>
        <v>6453.9000000000015</v>
      </c>
      <c r="N901" s="2">
        <f t="shared" si="66"/>
        <v>25.4</v>
      </c>
    </row>
    <row r="902" spans="1:14" x14ac:dyDescent="0.25">
      <c r="A902" s="3">
        <v>44981</v>
      </c>
      <c r="B902" s="11" t="s">
        <v>3331</v>
      </c>
      <c r="C902" s="48" t="s">
        <v>3332</v>
      </c>
      <c r="D902" s="59"/>
      <c r="F902" s="11"/>
      <c r="G902" s="2">
        <v>840</v>
      </c>
      <c r="I902" s="95">
        <f t="shared" si="65"/>
        <v>7293.9000000000015</v>
      </c>
      <c r="N902" s="2">
        <f t="shared" si="66"/>
        <v>3.36</v>
      </c>
    </row>
    <row r="903" spans="1:14" x14ac:dyDescent="0.25">
      <c r="A903" s="3">
        <v>44981</v>
      </c>
      <c r="B903" s="11" t="s">
        <v>2472</v>
      </c>
      <c r="C903" s="48" t="s">
        <v>2295</v>
      </c>
      <c r="D903" s="59"/>
      <c r="F903" s="11"/>
      <c r="H903" s="2">
        <v>7000</v>
      </c>
      <c r="I903" s="95">
        <f t="shared" si="65"/>
        <v>293.90000000000146</v>
      </c>
      <c r="N903" s="2">
        <f t="shared" si="66"/>
        <v>20</v>
      </c>
    </row>
    <row r="904" spans="1:14" x14ac:dyDescent="0.25">
      <c r="A904" s="3">
        <v>44982</v>
      </c>
      <c r="B904" s="11" t="s">
        <v>3333</v>
      </c>
      <c r="C904" s="48" t="s">
        <v>1521</v>
      </c>
      <c r="D904" s="59"/>
      <c r="F904" s="11"/>
      <c r="G904" s="2">
        <v>1000</v>
      </c>
      <c r="I904" s="95">
        <f t="shared" si="65"/>
        <v>1293.9000000000015</v>
      </c>
      <c r="N904" s="2">
        <f t="shared" si="66"/>
        <v>4</v>
      </c>
    </row>
    <row r="905" spans="1:14" x14ac:dyDescent="0.25">
      <c r="A905" s="3">
        <v>44982</v>
      </c>
      <c r="B905" s="11" t="s">
        <v>2365</v>
      </c>
      <c r="C905" s="48" t="s">
        <v>3290</v>
      </c>
      <c r="D905" s="59"/>
      <c r="F905" s="11"/>
      <c r="G905" s="2">
        <v>4000</v>
      </c>
      <c r="I905" s="95">
        <f t="shared" si="65"/>
        <v>5293.9000000000015</v>
      </c>
      <c r="N905" s="2">
        <f t="shared" si="66"/>
        <v>16</v>
      </c>
    </row>
    <row r="906" spans="1:14" x14ac:dyDescent="0.25">
      <c r="A906" s="3">
        <v>44982</v>
      </c>
      <c r="B906" s="11" t="s">
        <v>3334</v>
      </c>
      <c r="C906" s="48" t="s">
        <v>3299</v>
      </c>
      <c r="D906" s="59"/>
      <c r="F906" s="11"/>
      <c r="G906" s="2">
        <v>500</v>
      </c>
      <c r="I906" s="95">
        <f t="shared" si="65"/>
        <v>5793.9000000000015</v>
      </c>
      <c r="N906" s="2">
        <f t="shared" si="66"/>
        <v>2</v>
      </c>
    </row>
    <row r="907" spans="1:14" x14ac:dyDescent="0.25">
      <c r="A907" s="3">
        <v>44983</v>
      </c>
      <c r="B907" s="11" t="s">
        <v>3171</v>
      </c>
      <c r="C907" s="48" t="s">
        <v>3335</v>
      </c>
      <c r="D907" s="59"/>
      <c r="F907" s="11"/>
      <c r="H907" s="2">
        <v>3100</v>
      </c>
      <c r="I907" s="95">
        <f t="shared" si="65"/>
        <v>2693.9000000000015</v>
      </c>
      <c r="N907" s="2">
        <f t="shared" si="66"/>
        <v>12.4</v>
      </c>
    </row>
    <row r="908" spans="1:14" x14ac:dyDescent="0.25">
      <c r="A908" s="3">
        <v>44983</v>
      </c>
      <c r="B908" s="11" t="s">
        <v>1163</v>
      </c>
      <c r="C908" s="48" t="s">
        <v>3336</v>
      </c>
      <c r="D908" s="59" t="s">
        <v>3337</v>
      </c>
      <c r="F908" s="11"/>
      <c r="G908" s="2">
        <v>4000</v>
      </c>
      <c r="I908" s="95">
        <f t="shared" si="65"/>
        <v>6693.9000000000015</v>
      </c>
      <c r="N908" s="2">
        <f t="shared" si="66"/>
        <v>16</v>
      </c>
    </row>
    <row r="909" spans="1:14" x14ac:dyDescent="0.25">
      <c r="A909" s="3">
        <v>44983</v>
      </c>
      <c r="B909" s="11" t="s">
        <v>1163</v>
      </c>
      <c r="C909" s="48" t="s">
        <v>3217</v>
      </c>
      <c r="D909" s="59"/>
      <c r="F909" s="11"/>
      <c r="G909" s="2">
        <v>5000</v>
      </c>
      <c r="I909" s="95">
        <f t="shared" si="65"/>
        <v>11693.900000000001</v>
      </c>
      <c r="N909" s="2">
        <f t="shared" si="66"/>
        <v>20</v>
      </c>
    </row>
    <row r="910" spans="1:14" x14ac:dyDescent="0.25">
      <c r="A910" s="3">
        <v>44983</v>
      </c>
      <c r="B910" s="11" t="s">
        <v>1260</v>
      </c>
      <c r="C910" s="48" t="s">
        <v>2280</v>
      </c>
      <c r="D910" s="59"/>
      <c r="F910" s="11"/>
      <c r="H910" s="2">
        <v>5000</v>
      </c>
      <c r="I910" s="95">
        <f t="shared" si="65"/>
        <v>6693.9000000000015</v>
      </c>
      <c r="N910" s="2">
        <f t="shared" si="66"/>
        <v>20</v>
      </c>
    </row>
    <row r="911" spans="1:14" x14ac:dyDescent="0.25">
      <c r="A911" s="3">
        <v>44983</v>
      </c>
      <c r="B911" s="11" t="s">
        <v>1253</v>
      </c>
      <c r="C911" s="48" t="s">
        <v>3338</v>
      </c>
      <c r="D911" s="59"/>
      <c r="F911" s="11"/>
      <c r="H911" s="2">
        <v>5000</v>
      </c>
      <c r="I911" s="95">
        <f t="shared" si="65"/>
        <v>1693.9000000000015</v>
      </c>
      <c r="N911" s="2">
        <f t="shared" si="66"/>
        <v>20</v>
      </c>
    </row>
    <row r="912" spans="1:14" x14ac:dyDescent="0.25">
      <c r="A912" s="3">
        <v>44984</v>
      </c>
      <c r="B912" s="11" t="s">
        <v>3339</v>
      </c>
      <c r="C912" s="48" t="s">
        <v>3340</v>
      </c>
      <c r="D912" s="59"/>
      <c r="F912" s="11"/>
      <c r="G912" s="2">
        <v>1000</v>
      </c>
      <c r="I912" s="95">
        <f t="shared" si="65"/>
        <v>2693.9000000000015</v>
      </c>
    </row>
    <row r="913" spans="1:16" x14ac:dyDescent="0.25">
      <c r="A913" s="97"/>
      <c r="B913" s="102"/>
      <c r="C913" s="27"/>
      <c r="D913" s="139"/>
      <c r="E913" s="117">
        <f>COUNTIF(E833:E912,"y")</f>
        <v>7</v>
      </c>
      <c r="F913" s="97">
        <f>G913+H913</f>
        <v>231997</v>
      </c>
      <c r="G913" s="103">
        <f>SUM(G833:G912)</f>
        <v>111797</v>
      </c>
      <c r="H913" s="103">
        <f>SUM(H833:H912)</f>
        <v>120200</v>
      </c>
      <c r="I913" s="103"/>
      <c r="J913" s="97"/>
      <c r="K913" s="97"/>
      <c r="L913" s="97"/>
      <c r="M913" s="97"/>
      <c r="N913" s="103">
        <f>SUM(N833:N912)</f>
        <v>992.7879999999999</v>
      </c>
      <c r="O913" s="97"/>
      <c r="P913" s="97"/>
    </row>
    <row r="914" spans="1:16" x14ac:dyDescent="0.25">
      <c r="C914" s="48"/>
      <c r="D914" s="59"/>
      <c r="F914" s="11"/>
    </row>
    <row r="915" spans="1:16" x14ac:dyDescent="0.25">
      <c r="C915" s="48"/>
      <c r="D915" s="59"/>
      <c r="F915" s="11"/>
      <c r="I915" s="2">
        <v>2743.47</v>
      </c>
      <c r="L915" s="106"/>
    </row>
    <row r="916" spans="1:16" x14ac:dyDescent="0.25">
      <c r="A916" s="3">
        <v>44986</v>
      </c>
      <c r="B916" s="11" t="s">
        <v>1163</v>
      </c>
      <c r="C916" s="48" t="s">
        <v>3343</v>
      </c>
      <c r="D916" s="59"/>
      <c r="F916" s="11"/>
      <c r="G916" s="2">
        <v>7000</v>
      </c>
      <c r="I916" s="2">
        <f t="shared" ref="I916:I988" si="67">I915+G916-H916</f>
        <v>9743.4699999999993</v>
      </c>
      <c r="N916" s="2">
        <f t="shared" ref="N916:N947" si="68">IF((G916+H916)&lt;=5000,(H916+G916)*0.004,20)+IF(E916="Y",25,0)</f>
        <v>20</v>
      </c>
    </row>
    <row r="917" spans="1:16" x14ac:dyDescent="0.25">
      <c r="A917" s="3">
        <v>44986</v>
      </c>
      <c r="B917" s="11" t="s">
        <v>3171</v>
      </c>
      <c r="C917" t="s">
        <v>2887</v>
      </c>
      <c r="F917" s="11"/>
      <c r="H917" s="2">
        <v>3300</v>
      </c>
      <c r="I917" s="2">
        <f t="shared" si="67"/>
        <v>6443.4699999999993</v>
      </c>
      <c r="N917" s="2">
        <f t="shared" si="68"/>
        <v>13.200000000000001</v>
      </c>
    </row>
    <row r="918" spans="1:16" x14ac:dyDescent="0.25">
      <c r="A918" s="3">
        <v>44986</v>
      </c>
      <c r="B918" s="11" t="s">
        <v>2700</v>
      </c>
      <c r="C918" s="48" t="s">
        <v>2304</v>
      </c>
      <c r="D918" s="59"/>
      <c r="F918" s="11"/>
      <c r="G918" s="2">
        <v>1000</v>
      </c>
      <c r="I918" s="2">
        <f t="shared" si="67"/>
        <v>7443.4699999999993</v>
      </c>
      <c r="N918" s="2">
        <f t="shared" si="68"/>
        <v>4</v>
      </c>
    </row>
    <row r="919" spans="1:16" x14ac:dyDescent="0.25">
      <c r="A919" s="3">
        <v>44986</v>
      </c>
      <c r="B919" s="11" t="s">
        <v>3344</v>
      </c>
      <c r="C919" s="48"/>
      <c r="D919" s="59"/>
      <c r="E919" s="115" t="s">
        <v>16</v>
      </c>
      <c r="F919" s="11"/>
      <c r="H919" s="2">
        <v>100</v>
      </c>
      <c r="I919" s="2">
        <f t="shared" si="67"/>
        <v>7343.4699999999993</v>
      </c>
      <c r="N919" s="2">
        <f t="shared" si="68"/>
        <v>25.4</v>
      </c>
    </row>
    <row r="920" spans="1:16" x14ac:dyDescent="0.25">
      <c r="A920" s="3">
        <v>44986</v>
      </c>
      <c r="B920" s="11" t="s">
        <v>1163</v>
      </c>
      <c r="C920" s="48" t="s">
        <v>3345</v>
      </c>
      <c r="D920" s="59"/>
      <c r="F920" s="11"/>
      <c r="G920" s="2">
        <v>1500</v>
      </c>
      <c r="I920" s="2">
        <f t="shared" si="67"/>
        <v>8843.4699999999993</v>
      </c>
      <c r="N920" s="2">
        <f t="shared" si="68"/>
        <v>6</v>
      </c>
    </row>
    <row r="921" spans="1:16" x14ac:dyDescent="0.25">
      <c r="A921" s="3">
        <v>44986</v>
      </c>
      <c r="B921" s="11" t="s">
        <v>3346</v>
      </c>
      <c r="C921" s="48" t="s">
        <v>3347</v>
      </c>
      <c r="D921" s="59"/>
      <c r="E921" s="115" t="s">
        <v>16</v>
      </c>
      <c r="F921" s="11"/>
      <c r="H921" s="2">
        <v>100</v>
      </c>
      <c r="I921" s="2">
        <f t="shared" si="67"/>
        <v>8743.4699999999993</v>
      </c>
      <c r="N921" s="2">
        <f t="shared" si="68"/>
        <v>25.4</v>
      </c>
    </row>
    <row r="922" spans="1:16" x14ac:dyDescent="0.25">
      <c r="A922" s="3">
        <v>44986</v>
      </c>
      <c r="B922" s="11" t="s">
        <v>3350</v>
      </c>
      <c r="C922" s="48" t="s">
        <v>3351</v>
      </c>
      <c r="D922" s="59"/>
      <c r="F922" s="11"/>
      <c r="H922" s="2">
        <v>1800</v>
      </c>
      <c r="I922" s="2">
        <f t="shared" si="67"/>
        <v>6943.4699999999993</v>
      </c>
      <c r="N922" s="2">
        <f t="shared" si="68"/>
        <v>7.2</v>
      </c>
    </row>
    <row r="923" spans="1:16" x14ac:dyDescent="0.25">
      <c r="A923" s="3">
        <v>44986</v>
      </c>
      <c r="B923" s="11" t="s">
        <v>2481</v>
      </c>
      <c r="C923" s="48" t="s">
        <v>2577</v>
      </c>
      <c r="D923" s="59"/>
      <c r="F923" s="11"/>
      <c r="H923" s="2">
        <v>4800</v>
      </c>
      <c r="I923" s="2">
        <f t="shared" si="67"/>
        <v>2143.4699999999993</v>
      </c>
      <c r="N923" s="2">
        <f t="shared" si="68"/>
        <v>19.2</v>
      </c>
    </row>
    <row r="924" spans="1:16" x14ac:dyDescent="0.25">
      <c r="A924" s="3">
        <v>44987</v>
      </c>
      <c r="B924" s="11" t="s">
        <v>3361</v>
      </c>
      <c r="C924" s="48"/>
      <c r="D924" s="59"/>
      <c r="E924" s="115" t="s">
        <v>16</v>
      </c>
      <c r="F924" s="11"/>
      <c r="H924" s="2">
        <v>1000</v>
      </c>
      <c r="I924" s="2">
        <f t="shared" si="67"/>
        <v>1143.4699999999993</v>
      </c>
      <c r="N924" s="2">
        <f t="shared" si="68"/>
        <v>29</v>
      </c>
    </row>
    <row r="925" spans="1:16" x14ac:dyDescent="0.25">
      <c r="A925" s="3">
        <v>44987</v>
      </c>
      <c r="B925" s="11" t="s">
        <v>1163</v>
      </c>
      <c r="C925" s="48" t="s">
        <v>3362</v>
      </c>
      <c r="D925" s="59"/>
      <c r="F925" s="11"/>
      <c r="G925" s="2">
        <v>3000</v>
      </c>
      <c r="I925" s="2">
        <f t="shared" si="67"/>
        <v>4143.4699999999993</v>
      </c>
      <c r="N925" s="2">
        <f t="shared" si="68"/>
        <v>12</v>
      </c>
    </row>
    <row r="926" spans="1:16" x14ac:dyDescent="0.25">
      <c r="A926" s="3">
        <v>44987</v>
      </c>
      <c r="B926" s="11" t="s">
        <v>1475</v>
      </c>
      <c r="C926" s="48" t="s">
        <v>3365</v>
      </c>
      <c r="D926" s="59"/>
      <c r="F926" s="11"/>
      <c r="G926" s="2">
        <v>1300</v>
      </c>
      <c r="I926" s="2">
        <f t="shared" si="67"/>
        <v>5443.4699999999993</v>
      </c>
      <c r="N926" s="2">
        <f t="shared" si="68"/>
        <v>5.2</v>
      </c>
    </row>
    <row r="927" spans="1:16" x14ac:dyDescent="0.25">
      <c r="A927" s="3">
        <v>44987</v>
      </c>
      <c r="B927" s="11" t="s">
        <v>3171</v>
      </c>
      <c r="C927" s="48" t="s">
        <v>2887</v>
      </c>
      <c r="D927" s="59"/>
      <c r="F927" s="11"/>
      <c r="H927" s="2">
        <v>5000</v>
      </c>
      <c r="I927" s="2">
        <f t="shared" si="67"/>
        <v>443.46999999999935</v>
      </c>
      <c r="N927" s="2">
        <f t="shared" si="68"/>
        <v>20</v>
      </c>
    </row>
    <row r="928" spans="1:16" x14ac:dyDescent="0.25">
      <c r="A928" s="3">
        <v>44988</v>
      </c>
      <c r="B928" s="11" t="s">
        <v>1253</v>
      </c>
      <c r="C928" s="48" t="s">
        <v>2654</v>
      </c>
      <c r="D928" s="59"/>
      <c r="F928" s="11"/>
      <c r="G928" s="2">
        <v>9000</v>
      </c>
      <c r="I928" s="2">
        <f t="shared" si="67"/>
        <v>9443.4699999999993</v>
      </c>
      <c r="N928" s="2">
        <f t="shared" si="68"/>
        <v>20</v>
      </c>
    </row>
    <row r="929" spans="1:14" x14ac:dyDescent="0.25">
      <c r="A929" s="3">
        <v>44988</v>
      </c>
      <c r="B929" s="11" t="s">
        <v>1260</v>
      </c>
      <c r="C929" s="48" t="s">
        <v>2280</v>
      </c>
      <c r="D929" s="59"/>
      <c r="F929" s="11"/>
      <c r="H929" s="2">
        <v>6000</v>
      </c>
      <c r="I929" s="2">
        <f t="shared" si="67"/>
        <v>3443.4699999999993</v>
      </c>
      <c r="N929" s="2">
        <f t="shared" si="68"/>
        <v>20</v>
      </c>
    </row>
    <row r="930" spans="1:14" x14ac:dyDescent="0.25">
      <c r="A930" s="3">
        <v>44988</v>
      </c>
      <c r="B930" s="11" t="s">
        <v>1253</v>
      </c>
      <c r="C930" s="48" t="s">
        <v>1521</v>
      </c>
      <c r="D930" s="59"/>
      <c r="F930" s="11"/>
      <c r="G930" s="2">
        <v>1000</v>
      </c>
      <c r="I930" s="2">
        <f t="shared" si="67"/>
        <v>4443.4699999999993</v>
      </c>
      <c r="N930" s="2">
        <f t="shared" si="68"/>
        <v>4</v>
      </c>
    </row>
    <row r="931" spans="1:14" x14ac:dyDescent="0.25">
      <c r="A931" s="3">
        <v>44989</v>
      </c>
      <c r="B931" s="11" t="s">
        <v>1163</v>
      </c>
      <c r="C931" s="48" t="s">
        <v>2460</v>
      </c>
      <c r="D931" s="59"/>
      <c r="F931" s="11"/>
      <c r="G931" s="2">
        <v>6000</v>
      </c>
      <c r="I931" s="2">
        <f t="shared" si="67"/>
        <v>10443.469999999999</v>
      </c>
      <c r="N931" s="2">
        <f t="shared" si="68"/>
        <v>20</v>
      </c>
    </row>
    <row r="932" spans="1:14" x14ac:dyDescent="0.25">
      <c r="A932" s="3">
        <v>44989</v>
      </c>
      <c r="B932" s="11" t="s">
        <v>3371</v>
      </c>
      <c r="C932" s="48" t="s">
        <v>3368</v>
      </c>
      <c r="D932" s="59"/>
      <c r="E932" s="115" t="s">
        <v>16</v>
      </c>
      <c r="F932" s="11"/>
      <c r="H932" s="2">
        <v>100</v>
      </c>
      <c r="I932" s="2">
        <f t="shared" si="67"/>
        <v>10343.469999999999</v>
      </c>
      <c r="N932" s="2">
        <f t="shared" si="68"/>
        <v>25.4</v>
      </c>
    </row>
    <row r="933" spans="1:14" x14ac:dyDescent="0.25">
      <c r="A933" s="3">
        <v>44989</v>
      </c>
      <c r="B933" s="11" t="s">
        <v>2365</v>
      </c>
      <c r="C933" s="48" t="s">
        <v>3372</v>
      </c>
      <c r="D933" s="59"/>
      <c r="F933" s="11"/>
      <c r="G933" s="2">
        <v>200</v>
      </c>
      <c r="I933" s="2">
        <f t="shared" si="67"/>
        <v>10543.47</v>
      </c>
      <c r="N933" s="2">
        <f t="shared" si="68"/>
        <v>0.8</v>
      </c>
    </row>
    <row r="934" spans="1:14" x14ac:dyDescent="0.25">
      <c r="A934" s="3">
        <v>44990</v>
      </c>
      <c r="B934" s="11" t="s">
        <v>1475</v>
      </c>
      <c r="C934" s="48" t="s">
        <v>3373</v>
      </c>
      <c r="D934" s="59" t="s">
        <v>3374</v>
      </c>
      <c r="F934" s="11"/>
      <c r="G934" s="2">
        <v>4000</v>
      </c>
      <c r="I934" s="2">
        <f t="shared" si="67"/>
        <v>14543.47</v>
      </c>
      <c r="N934" s="2">
        <f t="shared" si="68"/>
        <v>16</v>
      </c>
    </row>
    <row r="935" spans="1:14" x14ac:dyDescent="0.25">
      <c r="A935" s="3">
        <v>44990</v>
      </c>
      <c r="B935" s="11" t="s">
        <v>3375</v>
      </c>
      <c r="C935" s="48" t="s">
        <v>2406</v>
      </c>
      <c r="D935" s="59"/>
      <c r="F935" s="11"/>
      <c r="H935" s="2">
        <v>10000</v>
      </c>
      <c r="I935" s="2">
        <f t="shared" si="67"/>
        <v>4543.4699999999993</v>
      </c>
      <c r="N935" s="2">
        <f t="shared" si="68"/>
        <v>20</v>
      </c>
    </row>
    <row r="936" spans="1:14" x14ac:dyDescent="0.25">
      <c r="A936" s="3">
        <v>44990</v>
      </c>
      <c r="B936" s="11" t="s">
        <v>2365</v>
      </c>
      <c r="C936" s="48" t="s">
        <v>3290</v>
      </c>
      <c r="D936" s="59" t="s">
        <v>3376</v>
      </c>
      <c r="F936" s="11"/>
      <c r="G936" s="2">
        <v>1000</v>
      </c>
      <c r="I936" s="2">
        <f t="shared" si="67"/>
        <v>5543.4699999999993</v>
      </c>
      <c r="N936" s="2">
        <f t="shared" si="68"/>
        <v>4</v>
      </c>
    </row>
    <row r="937" spans="1:14" x14ac:dyDescent="0.25">
      <c r="A937" s="3">
        <v>44991</v>
      </c>
      <c r="B937" s="11" t="s">
        <v>1475</v>
      </c>
      <c r="C937" s="48" t="s">
        <v>2512</v>
      </c>
      <c r="D937" s="59"/>
      <c r="F937" s="11"/>
      <c r="G937" s="2">
        <v>10000</v>
      </c>
      <c r="I937" s="2">
        <f t="shared" si="67"/>
        <v>15543.47</v>
      </c>
      <c r="N937" s="2">
        <f t="shared" si="68"/>
        <v>20</v>
      </c>
    </row>
    <row r="938" spans="1:14" x14ac:dyDescent="0.25">
      <c r="A938" s="3">
        <v>44991</v>
      </c>
      <c r="B938" s="11" t="s">
        <v>3375</v>
      </c>
      <c r="C938" s="48" t="s">
        <v>2406</v>
      </c>
      <c r="D938" s="59"/>
      <c r="F938" s="11"/>
      <c r="H938" s="2">
        <v>5000</v>
      </c>
      <c r="I938" s="2">
        <f t="shared" si="67"/>
        <v>10543.47</v>
      </c>
      <c r="N938" s="2">
        <f t="shared" si="68"/>
        <v>20</v>
      </c>
    </row>
    <row r="939" spans="1:14" x14ac:dyDescent="0.25">
      <c r="A939" s="3">
        <v>44991</v>
      </c>
      <c r="B939" s="11" t="s">
        <v>3377</v>
      </c>
      <c r="C939" s="48" t="s">
        <v>3378</v>
      </c>
      <c r="D939" s="59"/>
      <c r="F939" s="11"/>
      <c r="G939" s="2">
        <v>2000</v>
      </c>
      <c r="I939" s="2">
        <f t="shared" si="67"/>
        <v>12543.47</v>
      </c>
      <c r="N939" s="2">
        <f t="shared" si="68"/>
        <v>8</v>
      </c>
    </row>
    <row r="940" spans="1:14" x14ac:dyDescent="0.25">
      <c r="A940" s="3">
        <v>44991</v>
      </c>
      <c r="B940" s="11" t="s">
        <v>1163</v>
      </c>
      <c r="C940" s="48" t="s">
        <v>3379</v>
      </c>
      <c r="D940" s="59"/>
      <c r="F940" s="11"/>
      <c r="G940" s="2">
        <v>500</v>
      </c>
      <c r="I940" s="2">
        <f t="shared" si="67"/>
        <v>13043.47</v>
      </c>
      <c r="N940" s="2">
        <f t="shared" si="68"/>
        <v>2</v>
      </c>
    </row>
    <row r="941" spans="1:14" x14ac:dyDescent="0.25">
      <c r="A941" s="3">
        <v>44991</v>
      </c>
      <c r="B941" s="11" t="s">
        <v>2736</v>
      </c>
      <c r="C941" s="48" t="s">
        <v>915</v>
      </c>
      <c r="D941" s="59"/>
      <c r="F941" s="11"/>
      <c r="H941" s="2">
        <v>2000</v>
      </c>
      <c r="I941" s="2">
        <f t="shared" si="67"/>
        <v>11043.47</v>
      </c>
      <c r="N941" s="2">
        <f t="shared" si="68"/>
        <v>8</v>
      </c>
    </row>
    <row r="942" spans="1:14" x14ac:dyDescent="0.25">
      <c r="A942" s="3">
        <v>44991</v>
      </c>
      <c r="B942" s="11" t="s">
        <v>3380</v>
      </c>
      <c r="C942" s="48" t="s">
        <v>3381</v>
      </c>
      <c r="D942" s="59"/>
      <c r="F942" s="11"/>
      <c r="H942" s="2">
        <v>10000</v>
      </c>
      <c r="I942" s="2">
        <f t="shared" si="67"/>
        <v>1043.4699999999993</v>
      </c>
      <c r="N942" s="2">
        <f t="shared" si="68"/>
        <v>20</v>
      </c>
    </row>
    <row r="943" spans="1:14" x14ac:dyDescent="0.25">
      <c r="A943" s="3">
        <v>44991</v>
      </c>
      <c r="B943" s="11" t="s">
        <v>3403</v>
      </c>
      <c r="C943" s="48" t="s">
        <v>3386</v>
      </c>
      <c r="D943" s="59"/>
      <c r="E943" s="115" t="s">
        <v>16</v>
      </c>
      <c r="F943" s="11"/>
      <c r="H943" s="2">
        <v>200</v>
      </c>
      <c r="I943" s="2">
        <f t="shared" si="67"/>
        <v>843.46999999999935</v>
      </c>
      <c r="N943" s="2">
        <f t="shared" si="68"/>
        <v>25.8</v>
      </c>
    </row>
    <row r="944" spans="1:14" x14ac:dyDescent="0.25">
      <c r="A944" s="3">
        <v>44991</v>
      </c>
      <c r="B944" s="11" t="s">
        <v>1253</v>
      </c>
      <c r="C944" s="48" t="s">
        <v>3387</v>
      </c>
      <c r="D944" s="59"/>
      <c r="F944" s="11"/>
      <c r="G944" s="2">
        <v>4000</v>
      </c>
      <c r="I944" s="2">
        <f t="shared" si="67"/>
        <v>4843.4699999999993</v>
      </c>
      <c r="N944" s="2">
        <f t="shared" si="68"/>
        <v>16</v>
      </c>
    </row>
    <row r="945" spans="1:14" x14ac:dyDescent="0.25">
      <c r="A945" s="3">
        <v>44992</v>
      </c>
      <c r="B945" s="11" t="s">
        <v>2365</v>
      </c>
      <c r="C945" s="48" t="s">
        <v>2820</v>
      </c>
      <c r="D945" s="59" t="s">
        <v>3388</v>
      </c>
      <c r="F945" s="11"/>
      <c r="G945" s="2">
        <v>3000</v>
      </c>
      <c r="I945" s="2">
        <f t="shared" si="67"/>
        <v>7843.4699999999993</v>
      </c>
      <c r="N945" s="2">
        <f t="shared" si="68"/>
        <v>12</v>
      </c>
    </row>
    <row r="946" spans="1:14" x14ac:dyDescent="0.25">
      <c r="A946" s="3">
        <v>44992</v>
      </c>
      <c r="B946" s="11" t="s">
        <v>2365</v>
      </c>
      <c r="C946" s="48"/>
      <c r="D946" s="59"/>
      <c r="F946" s="11"/>
      <c r="G946" s="2">
        <v>3000</v>
      </c>
      <c r="I946" s="2">
        <f t="shared" si="67"/>
        <v>10843.47</v>
      </c>
      <c r="N946" s="2">
        <f t="shared" si="68"/>
        <v>12</v>
      </c>
    </row>
    <row r="947" spans="1:14" x14ac:dyDescent="0.25">
      <c r="A947" s="3">
        <v>44994</v>
      </c>
      <c r="B947" s="11" t="s">
        <v>3389</v>
      </c>
      <c r="C947" s="48" t="s">
        <v>3390</v>
      </c>
      <c r="D947" s="59"/>
      <c r="F947" s="11"/>
      <c r="H947" s="2">
        <v>4000</v>
      </c>
      <c r="I947" s="2">
        <f t="shared" si="67"/>
        <v>6843.4699999999993</v>
      </c>
      <c r="N947" s="2">
        <f t="shared" si="68"/>
        <v>16</v>
      </c>
    </row>
    <row r="948" spans="1:14" x14ac:dyDescent="0.25">
      <c r="A948" s="3">
        <v>44994</v>
      </c>
      <c r="B948" s="11" t="s">
        <v>3078</v>
      </c>
      <c r="C948" s="48" t="s">
        <v>3390</v>
      </c>
      <c r="D948" s="59"/>
      <c r="F948" s="11"/>
      <c r="H948" s="2">
        <f>3600-500-100-100</f>
        <v>2900</v>
      </c>
      <c r="I948" s="2">
        <f t="shared" si="67"/>
        <v>3943.4699999999993</v>
      </c>
      <c r="N948" s="2">
        <f t="shared" ref="N948:N976" si="69">IF((G948+H948)&lt;=5000,(H948+G948)*0.004,20)+IF(E948="Y",25,0)</f>
        <v>11.6</v>
      </c>
    </row>
    <row r="949" spans="1:14" x14ac:dyDescent="0.25">
      <c r="A949" s="3">
        <v>44994</v>
      </c>
      <c r="B949" s="11" t="s">
        <v>2277</v>
      </c>
      <c r="C949" s="48" t="s">
        <v>3391</v>
      </c>
      <c r="D949" s="59" t="s">
        <v>3392</v>
      </c>
      <c r="F949" s="11"/>
      <c r="G949" s="2">
        <v>700</v>
      </c>
      <c r="I949" s="2">
        <f t="shared" si="67"/>
        <v>4643.4699999999993</v>
      </c>
      <c r="N949" s="2">
        <f t="shared" si="69"/>
        <v>2.8000000000000003</v>
      </c>
    </row>
    <row r="950" spans="1:14" x14ac:dyDescent="0.25">
      <c r="A950" s="3">
        <v>44994</v>
      </c>
      <c r="B950" s="11" t="s">
        <v>2985</v>
      </c>
      <c r="C950" s="48" t="s">
        <v>3393</v>
      </c>
      <c r="D950" s="59" t="s">
        <v>3394</v>
      </c>
      <c r="F950" s="11"/>
      <c r="G950" s="2">
        <v>8000</v>
      </c>
      <c r="I950" s="2">
        <f t="shared" si="67"/>
        <v>12643.47</v>
      </c>
      <c r="N950" s="2">
        <f t="shared" si="69"/>
        <v>20</v>
      </c>
    </row>
    <row r="951" spans="1:14" x14ac:dyDescent="0.25">
      <c r="A951" s="3">
        <v>44994</v>
      </c>
      <c r="B951" s="11" t="s">
        <v>2818</v>
      </c>
      <c r="C951" s="48" t="s">
        <v>2931</v>
      </c>
      <c r="D951" s="59"/>
      <c r="F951" s="11"/>
      <c r="H951" s="2">
        <v>7500</v>
      </c>
      <c r="I951" s="2">
        <f t="shared" si="67"/>
        <v>5143.4699999999993</v>
      </c>
      <c r="N951" s="2">
        <f t="shared" si="69"/>
        <v>20</v>
      </c>
    </row>
    <row r="952" spans="1:14" x14ac:dyDescent="0.25">
      <c r="A952" s="3">
        <v>44994</v>
      </c>
      <c r="B952" s="11" t="s">
        <v>3152</v>
      </c>
      <c r="C952" s="48" t="s">
        <v>3145</v>
      </c>
      <c r="D952" s="59"/>
      <c r="F952" s="11"/>
      <c r="G952" s="2">
        <v>400</v>
      </c>
      <c r="I952" s="2">
        <f t="shared" si="67"/>
        <v>5543.4699999999993</v>
      </c>
      <c r="N952" s="2">
        <f t="shared" si="69"/>
        <v>1.6</v>
      </c>
    </row>
    <row r="953" spans="1:14" x14ac:dyDescent="0.25">
      <c r="A953" s="3">
        <v>44995</v>
      </c>
      <c r="C953" s="48"/>
      <c r="D953" s="59"/>
      <c r="F953" s="11"/>
      <c r="G953" s="2">
        <v>1000</v>
      </c>
      <c r="I953" s="2">
        <f t="shared" si="67"/>
        <v>6543.4699999999993</v>
      </c>
      <c r="N953" s="2">
        <f t="shared" si="69"/>
        <v>4</v>
      </c>
    </row>
    <row r="954" spans="1:14" x14ac:dyDescent="0.25">
      <c r="A954" s="3">
        <v>44995</v>
      </c>
      <c r="B954" s="11" t="s">
        <v>1260</v>
      </c>
      <c r="C954" s="48" t="s">
        <v>2295</v>
      </c>
      <c r="D954" s="59"/>
      <c r="F954" s="11"/>
      <c r="H954" s="2">
        <v>5000</v>
      </c>
      <c r="I954" s="2">
        <f t="shared" si="67"/>
        <v>1543.4699999999993</v>
      </c>
      <c r="N954" s="2">
        <f t="shared" si="69"/>
        <v>20</v>
      </c>
    </row>
    <row r="955" spans="1:14" x14ac:dyDescent="0.25">
      <c r="A955" s="3">
        <v>44995</v>
      </c>
      <c r="B955" s="11" t="s">
        <v>3396</v>
      </c>
      <c r="C955" s="48" t="s">
        <v>3397</v>
      </c>
      <c r="D955" s="59" t="s">
        <v>3398</v>
      </c>
      <c r="F955" s="11"/>
      <c r="G955" s="2">
        <v>1000</v>
      </c>
      <c r="I955" s="2">
        <f t="shared" si="67"/>
        <v>2543.4699999999993</v>
      </c>
      <c r="N955" s="2">
        <f t="shared" si="69"/>
        <v>4</v>
      </c>
    </row>
    <row r="956" spans="1:14" x14ac:dyDescent="0.25">
      <c r="A956" s="3">
        <v>44996</v>
      </c>
      <c r="B956" s="11" t="s">
        <v>2985</v>
      </c>
      <c r="C956" s="48" t="s">
        <v>2436</v>
      </c>
      <c r="D956" s="59"/>
      <c r="F956" s="11"/>
      <c r="G956" s="2">
        <v>2050</v>
      </c>
      <c r="I956" s="2">
        <f t="shared" si="67"/>
        <v>4593.4699999999993</v>
      </c>
      <c r="N956" s="2">
        <f t="shared" si="69"/>
        <v>8.1999999999999993</v>
      </c>
    </row>
    <row r="957" spans="1:14" x14ac:dyDescent="0.25">
      <c r="A957" s="3">
        <v>44996</v>
      </c>
      <c r="B957" s="11" t="s">
        <v>2247</v>
      </c>
      <c r="C957" s="48" t="s">
        <v>3400</v>
      </c>
      <c r="D957" s="59" t="s">
        <v>3401</v>
      </c>
      <c r="F957" s="11"/>
      <c r="G957" s="2">
        <v>300</v>
      </c>
      <c r="I957" s="2">
        <f t="shared" si="67"/>
        <v>4893.4699999999993</v>
      </c>
      <c r="N957" s="2">
        <f t="shared" si="69"/>
        <v>1.2</v>
      </c>
    </row>
    <row r="958" spans="1:14" x14ac:dyDescent="0.25">
      <c r="A958" s="3">
        <v>44996</v>
      </c>
      <c r="B958" s="11" t="s">
        <v>1163</v>
      </c>
      <c r="C958" s="48" t="s">
        <v>3402</v>
      </c>
      <c r="D958" s="59"/>
      <c r="F958" s="11"/>
      <c r="G958" s="2">
        <v>1000</v>
      </c>
      <c r="I958" s="2">
        <f t="shared" si="67"/>
        <v>5893.4699999999993</v>
      </c>
      <c r="N958" s="2">
        <f t="shared" si="69"/>
        <v>4</v>
      </c>
    </row>
    <row r="959" spans="1:14" x14ac:dyDescent="0.25">
      <c r="A959" s="3">
        <v>44996</v>
      </c>
      <c r="B959" s="11" t="s">
        <v>2347</v>
      </c>
      <c r="C959" s="48" t="s">
        <v>2654</v>
      </c>
      <c r="D959" s="59"/>
      <c r="F959" s="11"/>
      <c r="G959" s="2">
        <v>2000</v>
      </c>
      <c r="I959" s="2">
        <f t="shared" si="67"/>
        <v>7893.4699999999993</v>
      </c>
      <c r="N959" s="2">
        <f t="shared" si="69"/>
        <v>8</v>
      </c>
    </row>
    <row r="960" spans="1:14" x14ac:dyDescent="0.25">
      <c r="A960" s="3">
        <v>44997</v>
      </c>
      <c r="B960" s="11" t="s">
        <v>1163</v>
      </c>
      <c r="C960" s="48" t="s">
        <v>3404</v>
      </c>
      <c r="D960" s="59"/>
      <c r="F960" s="11"/>
      <c r="G960" s="2">
        <v>1000</v>
      </c>
      <c r="I960" s="2">
        <f t="shared" si="67"/>
        <v>8893.4699999999993</v>
      </c>
      <c r="N960" s="2">
        <f t="shared" si="69"/>
        <v>4</v>
      </c>
    </row>
    <row r="961" spans="1:14" x14ac:dyDescent="0.25">
      <c r="A961" s="3">
        <v>44997</v>
      </c>
      <c r="B961" s="11" t="s">
        <v>1163</v>
      </c>
      <c r="C961" s="48" t="s">
        <v>3405</v>
      </c>
      <c r="D961" s="59" t="s">
        <v>3406</v>
      </c>
      <c r="F961" s="11"/>
      <c r="G961" s="2">
        <v>2000</v>
      </c>
      <c r="I961" s="2">
        <f t="shared" si="67"/>
        <v>10893.47</v>
      </c>
      <c r="N961" s="2">
        <f t="shared" si="69"/>
        <v>8</v>
      </c>
    </row>
    <row r="962" spans="1:14" x14ac:dyDescent="0.25">
      <c r="A962" s="3">
        <v>44997</v>
      </c>
      <c r="B962" s="11" t="s">
        <v>2767</v>
      </c>
      <c r="C962" s="48" t="s">
        <v>1282</v>
      </c>
      <c r="D962" s="59"/>
      <c r="F962" s="11"/>
      <c r="H962" s="2">
        <v>7000</v>
      </c>
      <c r="I962" s="2">
        <f t="shared" si="67"/>
        <v>3893.4699999999993</v>
      </c>
      <c r="N962" s="2">
        <f t="shared" si="69"/>
        <v>20</v>
      </c>
    </row>
    <row r="963" spans="1:14" x14ac:dyDescent="0.25">
      <c r="A963" s="3">
        <v>44997</v>
      </c>
      <c r="B963" s="11" t="s">
        <v>2365</v>
      </c>
      <c r="C963" s="48" t="s">
        <v>3290</v>
      </c>
      <c r="D963" s="59" t="s">
        <v>3376</v>
      </c>
      <c r="F963" s="11"/>
      <c r="G963" s="2">
        <v>5000</v>
      </c>
      <c r="I963" s="2">
        <f t="shared" si="67"/>
        <v>8893.4699999999993</v>
      </c>
      <c r="N963" s="2">
        <f t="shared" si="69"/>
        <v>20</v>
      </c>
    </row>
    <row r="964" spans="1:14" x14ac:dyDescent="0.25">
      <c r="A964" s="3">
        <v>44997</v>
      </c>
      <c r="B964" s="11" t="s">
        <v>1163</v>
      </c>
      <c r="C964" s="48" t="s">
        <v>3407</v>
      </c>
      <c r="D964" s="59"/>
      <c r="F964" s="11"/>
      <c r="G964" s="2">
        <v>1000</v>
      </c>
      <c r="I964" s="2">
        <f t="shared" si="67"/>
        <v>9893.4699999999993</v>
      </c>
      <c r="N964" s="2">
        <f t="shared" si="69"/>
        <v>4</v>
      </c>
    </row>
    <row r="965" spans="1:14" x14ac:dyDescent="0.25">
      <c r="A965" s="3">
        <v>44998</v>
      </c>
      <c r="B965" s="11" t="s">
        <v>1253</v>
      </c>
      <c r="C965" s="48"/>
      <c r="D965" s="59"/>
      <c r="F965" s="11"/>
      <c r="G965" s="2">
        <v>4000</v>
      </c>
      <c r="I965" s="2">
        <f t="shared" si="67"/>
        <v>13893.47</v>
      </c>
      <c r="N965" s="2">
        <f t="shared" si="69"/>
        <v>16</v>
      </c>
    </row>
    <row r="966" spans="1:14" x14ac:dyDescent="0.25">
      <c r="A966" s="3">
        <v>44998</v>
      </c>
      <c r="B966" s="11" t="s">
        <v>3408</v>
      </c>
      <c r="C966" s="48" t="s">
        <v>3409</v>
      </c>
      <c r="D966" s="59"/>
      <c r="F966" s="11"/>
      <c r="H966" s="2">
        <v>4000</v>
      </c>
      <c r="I966" s="2">
        <f t="shared" si="67"/>
        <v>9893.4699999999993</v>
      </c>
      <c r="N966" s="2">
        <f t="shared" si="69"/>
        <v>16</v>
      </c>
    </row>
    <row r="967" spans="1:14" x14ac:dyDescent="0.25">
      <c r="A967" s="3">
        <v>44998</v>
      </c>
      <c r="B967" s="11" t="s">
        <v>1475</v>
      </c>
      <c r="C967" s="48" t="s">
        <v>3365</v>
      </c>
      <c r="D967" s="59"/>
      <c r="F967" s="11"/>
      <c r="G967" s="2">
        <v>700</v>
      </c>
      <c r="I967" s="2">
        <f t="shared" si="67"/>
        <v>10593.47</v>
      </c>
      <c r="N967" s="2">
        <f t="shared" si="69"/>
        <v>2.8000000000000003</v>
      </c>
    </row>
    <row r="968" spans="1:14" x14ac:dyDescent="0.25">
      <c r="A968" s="3">
        <v>44998</v>
      </c>
      <c r="B968" s="11" t="s">
        <v>1163</v>
      </c>
      <c r="C968" s="48" t="s">
        <v>3410</v>
      </c>
      <c r="D968" s="59" t="s">
        <v>3411</v>
      </c>
      <c r="F968" s="11"/>
      <c r="G968" s="2">
        <v>5000</v>
      </c>
      <c r="I968" s="2">
        <f t="shared" si="67"/>
        <v>15593.47</v>
      </c>
      <c r="N968" s="2">
        <f t="shared" si="69"/>
        <v>20</v>
      </c>
    </row>
    <row r="969" spans="1:14" x14ac:dyDescent="0.25">
      <c r="A969" s="3">
        <v>44998</v>
      </c>
      <c r="B969" s="11" t="s">
        <v>2767</v>
      </c>
      <c r="C969" s="48" t="s">
        <v>1282</v>
      </c>
      <c r="D969" s="59"/>
      <c r="F969" s="11"/>
      <c r="H969" s="2">
        <v>10000</v>
      </c>
      <c r="I969" s="2">
        <f t="shared" si="67"/>
        <v>5593.4699999999993</v>
      </c>
      <c r="N969" s="2">
        <f t="shared" si="69"/>
        <v>20</v>
      </c>
    </row>
    <row r="970" spans="1:14" x14ac:dyDescent="0.25">
      <c r="A970" s="3">
        <v>44998</v>
      </c>
      <c r="B970" s="11" t="s">
        <v>1253</v>
      </c>
      <c r="C970" s="48" t="s">
        <v>3312</v>
      </c>
      <c r="D970" s="59"/>
      <c r="F970" s="11"/>
      <c r="G970" s="2">
        <v>2000</v>
      </c>
      <c r="I970" s="2">
        <f t="shared" si="67"/>
        <v>7593.4699999999993</v>
      </c>
      <c r="N970" s="2">
        <f t="shared" si="69"/>
        <v>8</v>
      </c>
    </row>
    <row r="971" spans="1:14" x14ac:dyDescent="0.25">
      <c r="A971" s="3">
        <v>44998</v>
      </c>
      <c r="B971" s="11" t="s">
        <v>3412</v>
      </c>
      <c r="C971" s="48" t="s">
        <v>3413</v>
      </c>
      <c r="D971" s="59"/>
      <c r="F971" s="11"/>
      <c r="G971" s="2">
        <v>2000</v>
      </c>
      <c r="I971" s="2">
        <f t="shared" si="67"/>
        <v>9593.4699999999993</v>
      </c>
      <c r="N971" s="2">
        <f t="shared" si="69"/>
        <v>8</v>
      </c>
    </row>
    <row r="972" spans="1:14" x14ac:dyDescent="0.25">
      <c r="A972" s="3">
        <v>44999</v>
      </c>
      <c r="B972" s="11" t="s">
        <v>1253</v>
      </c>
      <c r="C972" s="48" t="s">
        <v>3296</v>
      </c>
      <c r="D972" s="59"/>
      <c r="F972" s="11"/>
      <c r="G972" s="2">
        <v>8100</v>
      </c>
      <c r="I972" s="2">
        <f t="shared" si="67"/>
        <v>17693.47</v>
      </c>
      <c r="N972" s="2">
        <f t="shared" si="69"/>
        <v>20</v>
      </c>
    </row>
    <row r="973" spans="1:14" x14ac:dyDescent="0.25">
      <c r="A973" s="3">
        <v>44999</v>
      </c>
      <c r="B973" s="11" t="s">
        <v>2767</v>
      </c>
      <c r="C973" s="48" t="s">
        <v>1282</v>
      </c>
      <c r="D973" s="59"/>
      <c r="F973" s="11"/>
      <c r="H973" s="2">
        <v>10000</v>
      </c>
      <c r="I973" s="2">
        <f t="shared" si="67"/>
        <v>7693.4700000000012</v>
      </c>
      <c r="N973" s="2">
        <f t="shared" si="69"/>
        <v>20</v>
      </c>
    </row>
    <row r="974" spans="1:14" x14ac:dyDescent="0.25">
      <c r="A974" s="3">
        <v>44999</v>
      </c>
      <c r="B974" s="11" t="s">
        <v>3414</v>
      </c>
      <c r="C974" s="48" t="s">
        <v>3415</v>
      </c>
      <c r="D974" s="59"/>
      <c r="F974" s="11"/>
      <c r="G974" s="2">
        <v>2000</v>
      </c>
      <c r="I974" s="2">
        <f t="shared" si="67"/>
        <v>9693.4700000000012</v>
      </c>
      <c r="N974" s="2">
        <f t="shared" si="69"/>
        <v>8</v>
      </c>
    </row>
    <row r="975" spans="1:14" x14ac:dyDescent="0.25">
      <c r="A975" s="3">
        <v>44999</v>
      </c>
      <c r="B975" s="11" t="s">
        <v>1163</v>
      </c>
      <c r="C975" s="48" t="s">
        <v>3416</v>
      </c>
      <c r="D975" s="59"/>
      <c r="F975" s="11"/>
      <c r="G975" s="2">
        <v>1000</v>
      </c>
      <c r="I975" s="2">
        <f t="shared" si="67"/>
        <v>10693.470000000001</v>
      </c>
      <c r="N975" s="2">
        <f t="shared" si="69"/>
        <v>4</v>
      </c>
    </row>
    <row r="976" spans="1:14" x14ac:dyDescent="0.25">
      <c r="A976" s="3">
        <v>44999</v>
      </c>
      <c r="B976" s="11" t="s">
        <v>2174</v>
      </c>
      <c r="C976" s="48" t="s">
        <v>2171</v>
      </c>
      <c r="D976" s="59"/>
      <c r="F976" s="11"/>
      <c r="H976" s="2">
        <v>500</v>
      </c>
      <c r="I976" s="2">
        <f t="shared" si="67"/>
        <v>10193.470000000001</v>
      </c>
      <c r="N976" s="2">
        <f t="shared" si="69"/>
        <v>2</v>
      </c>
    </row>
    <row r="977" spans="1:14" x14ac:dyDescent="0.25">
      <c r="A977" s="3"/>
      <c r="C977" s="48" t="s">
        <v>3443</v>
      </c>
      <c r="D977" s="59"/>
      <c r="F977" s="11"/>
      <c r="G977" s="2">
        <v>677.28</v>
      </c>
      <c r="I977" s="2">
        <f t="shared" si="67"/>
        <v>10870.750000000002</v>
      </c>
    </row>
    <row r="978" spans="1:14" x14ac:dyDescent="0.25">
      <c r="A978" s="3">
        <v>45000</v>
      </c>
      <c r="B978" s="11" t="s">
        <v>3417</v>
      </c>
      <c r="C978" s="7" t="s">
        <v>3418</v>
      </c>
      <c r="D978" s="59"/>
      <c r="E978" s="115" t="s">
        <v>16</v>
      </c>
      <c r="F978" s="11"/>
      <c r="H978" s="2">
        <v>2000</v>
      </c>
      <c r="I978" s="2">
        <f t="shared" si="67"/>
        <v>8870.7500000000018</v>
      </c>
      <c r="N978" s="2">
        <f t="shared" ref="N978:N1009" si="70">IF((G978+H978)&lt;=5000,(H978+G978)*0.004,20)+IF(E978="Y",25,0)</f>
        <v>33</v>
      </c>
    </row>
    <row r="979" spans="1:14" x14ac:dyDescent="0.25">
      <c r="A979" s="3">
        <v>45000</v>
      </c>
      <c r="B979" s="11" t="s">
        <v>3422</v>
      </c>
      <c r="C979" s="48" t="s">
        <v>3423</v>
      </c>
      <c r="D979" s="59"/>
      <c r="E979" s="115" t="s">
        <v>16</v>
      </c>
      <c r="F979" s="11"/>
      <c r="H979" s="2">
        <v>300</v>
      </c>
      <c r="I979" s="2">
        <f t="shared" si="67"/>
        <v>8570.7500000000018</v>
      </c>
      <c r="N979" s="2">
        <f t="shared" si="70"/>
        <v>26.2</v>
      </c>
    </row>
    <row r="980" spans="1:14" x14ac:dyDescent="0.25">
      <c r="A980" s="3">
        <v>45000</v>
      </c>
      <c r="B980" s="11" t="s">
        <v>2767</v>
      </c>
      <c r="C980" s="48" t="s">
        <v>1282</v>
      </c>
      <c r="D980" s="59"/>
      <c r="F980" s="11"/>
      <c r="H980" s="2">
        <v>6000</v>
      </c>
      <c r="I980" s="2">
        <f t="shared" si="67"/>
        <v>2570.7500000000018</v>
      </c>
      <c r="N980" s="2">
        <f t="shared" si="70"/>
        <v>20</v>
      </c>
    </row>
    <row r="981" spans="1:14" x14ac:dyDescent="0.25">
      <c r="A981" s="3">
        <v>45000</v>
      </c>
      <c r="B981" s="11" t="s">
        <v>1163</v>
      </c>
      <c r="C981" s="48" t="s">
        <v>3424</v>
      </c>
      <c r="D981" s="59" t="s">
        <v>3425</v>
      </c>
      <c r="F981" s="11"/>
      <c r="G981" s="2">
        <v>4000</v>
      </c>
      <c r="I981" s="2">
        <f t="shared" si="67"/>
        <v>6570.7500000000018</v>
      </c>
      <c r="N981" s="2">
        <f t="shared" si="70"/>
        <v>16</v>
      </c>
    </row>
    <row r="982" spans="1:14" x14ac:dyDescent="0.25">
      <c r="A982" s="3">
        <v>45001</v>
      </c>
      <c r="B982" s="11" t="s">
        <v>1260</v>
      </c>
      <c r="C982" s="48" t="s">
        <v>2280</v>
      </c>
      <c r="D982" s="59"/>
      <c r="F982" s="11"/>
      <c r="H982" s="2">
        <v>5000</v>
      </c>
      <c r="I982" s="2">
        <f t="shared" si="67"/>
        <v>1570.7500000000018</v>
      </c>
      <c r="N982" s="2">
        <f t="shared" si="70"/>
        <v>20</v>
      </c>
    </row>
    <row r="983" spans="1:14" x14ac:dyDescent="0.25">
      <c r="A983" s="3">
        <v>45002</v>
      </c>
      <c r="B983" s="11" t="s">
        <v>2904</v>
      </c>
      <c r="C983" s="48" t="s">
        <v>3429</v>
      </c>
      <c r="D983" s="59"/>
      <c r="F983" s="11"/>
      <c r="G983" s="2">
        <v>1000</v>
      </c>
      <c r="I983" s="2">
        <f t="shared" si="67"/>
        <v>2570.7500000000018</v>
      </c>
      <c r="N983" s="2">
        <f t="shared" si="70"/>
        <v>4</v>
      </c>
    </row>
    <row r="984" spans="1:14" x14ac:dyDescent="0.25">
      <c r="A984" s="3">
        <v>45002</v>
      </c>
      <c r="B984" s="11" t="s">
        <v>2309</v>
      </c>
      <c r="C984" s="48" t="s">
        <v>2308</v>
      </c>
      <c r="D984" s="59"/>
      <c r="F984" s="11"/>
      <c r="H984" s="2">
        <v>1000</v>
      </c>
      <c r="I984" s="2">
        <f t="shared" si="67"/>
        <v>1570.7500000000018</v>
      </c>
      <c r="N984" s="2">
        <f t="shared" si="70"/>
        <v>4</v>
      </c>
    </row>
    <row r="985" spans="1:14" x14ac:dyDescent="0.25">
      <c r="A985" s="3">
        <v>45002</v>
      </c>
      <c r="B985" s="11" t="s">
        <v>1475</v>
      </c>
      <c r="C985" s="48" t="s">
        <v>3430</v>
      </c>
      <c r="D985" s="59"/>
      <c r="F985" s="11"/>
      <c r="G985" s="2">
        <v>5000</v>
      </c>
      <c r="I985" s="2">
        <f t="shared" si="67"/>
        <v>6570.7500000000018</v>
      </c>
      <c r="N985" s="2">
        <f t="shared" si="70"/>
        <v>20</v>
      </c>
    </row>
    <row r="986" spans="1:14" x14ac:dyDescent="0.25">
      <c r="A986" s="3">
        <v>45002</v>
      </c>
      <c r="B986" s="11" t="s">
        <v>1475</v>
      </c>
      <c r="C986" s="48" t="s">
        <v>3431</v>
      </c>
      <c r="D986" s="59"/>
      <c r="F986" s="11"/>
      <c r="G986" s="2">
        <v>900</v>
      </c>
      <c r="I986" s="2">
        <f t="shared" si="67"/>
        <v>7470.7500000000018</v>
      </c>
      <c r="N986" s="2">
        <f t="shared" si="70"/>
        <v>3.6</v>
      </c>
    </row>
    <row r="987" spans="1:14" x14ac:dyDescent="0.25">
      <c r="A987" s="3">
        <v>45003</v>
      </c>
      <c r="B987" s="11" t="s">
        <v>3432</v>
      </c>
      <c r="C987" s="48" t="s">
        <v>3433</v>
      </c>
      <c r="D987" s="59"/>
      <c r="F987" s="11"/>
      <c r="G987" s="2">
        <v>3050</v>
      </c>
      <c r="I987" s="2">
        <f t="shared" si="67"/>
        <v>10520.750000000002</v>
      </c>
      <c r="N987" s="2">
        <f t="shared" si="70"/>
        <v>12.200000000000001</v>
      </c>
    </row>
    <row r="988" spans="1:14" x14ac:dyDescent="0.25">
      <c r="A988" s="3">
        <v>45003</v>
      </c>
      <c r="B988" s="11" t="s">
        <v>3434</v>
      </c>
      <c r="C988" s="48" t="s">
        <v>3435</v>
      </c>
      <c r="D988" s="59"/>
      <c r="E988" s="115" t="s">
        <v>16</v>
      </c>
      <c r="F988" s="11"/>
      <c r="H988" s="2">
        <v>2000</v>
      </c>
      <c r="I988" s="2">
        <f t="shared" si="67"/>
        <v>8520.7500000000018</v>
      </c>
      <c r="N988" s="2">
        <f t="shared" si="70"/>
        <v>33</v>
      </c>
    </row>
    <row r="989" spans="1:14" x14ac:dyDescent="0.25">
      <c r="A989" s="3">
        <v>45005</v>
      </c>
      <c r="B989" s="11" t="s">
        <v>2238</v>
      </c>
      <c r="C989" s="48" t="s">
        <v>2664</v>
      </c>
      <c r="D989" s="59"/>
      <c r="F989" s="11"/>
      <c r="G989" s="2">
        <v>3500</v>
      </c>
      <c r="I989" s="2">
        <f t="shared" ref="I989:I1027" si="71">I988+G989-H989</f>
        <v>12020.750000000002</v>
      </c>
      <c r="N989" s="2">
        <f t="shared" si="70"/>
        <v>14</v>
      </c>
    </row>
    <row r="990" spans="1:14" x14ac:dyDescent="0.25">
      <c r="A990" s="3">
        <v>45005</v>
      </c>
      <c r="B990" s="11" t="s">
        <v>1253</v>
      </c>
      <c r="C990" s="48" t="s">
        <v>3438</v>
      </c>
      <c r="D990" s="59"/>
      <c r="F990" s="11"/>
      <c r="G990" s="2">
        <v>800</v>
      </c>
      <c r="I990" s="2">
        <f t="shared" si="71"/>
        <v>12820.750000000002</v>
      </c>
      <c r="N990" s="2">
        <f t="shared" si="70"/>
        <v>3.2</v>
      </c>
    </row>
    <row r="991" spans="1:14" x14ac:dyDescent="0.25">
      <c r="A991" s="3">
        <v>45005</v>
      </c>
      <c r="B991" s="11" t="s">
        <v>2767</v>
      </c>
      <c r="C991" s="48" t="s">
        <v>1282</v>
      </c>
      <c r="D991" s="59"/>
      <c r="F991" s="11"/>
      <c r="H991" s="2">
        <v>10000</v>
      </c>
      <c r="I991" s="2">
        <f t="shared" si="71"/>
        <v>2820.7500000000018</v>
      </c>
      <c r="N991" s="2">
        <f t="shared" si="70"/>
        <v>20</v>
      </c>
    </row>
    <row r="992" spans="1:14" x14ac:dyDescent="0.25">
      <c r="A992" s="3">
        <v>45006</v>
      </c>
      <c r="B992" s="11" t="s">
        <v>3082</v>
      </c>
      <c r="C992" s="48" t="s">
        <v>3439</v>
      </c>
      <c r="D992" s="59" t="s">
        <v>3440</v>
      </c>
      <c r="F992" s="11"/>
      <c r="G992" s="2">
        <v>550</v>
      </c>
      <c r="I992" s="2">
        <f t="shared" si="71"/>
        <v>3370.7500000000018</v>
      </c>
      <c r="N992" s="2">
        <f t="shared" si="70"/>
        <v>2.2000000000000002</v>
      </c>
    </row>
    <row r="993" spans="1:14" x14ac:dyDescent="0.25">
      <c r="A993" s="3">
        <v>45006</v>
      </c>
      <c r="B993" s="11" t="s">
        <v>3441</v>
      </c>
      <c r="C993" s="48" t="s">
        <v>3442</v>
      </c>
      <c r="D993" s="59"/>
      <c r="F993" s="11"/>
      <c r="G993" s="2">
        <v>500</v>
      </c>
      <c r="I993" s="2">
        <f t="shared" si="71"/>
        <v>3870.7500000000018</v>
      </c>
      <c r="N993" s="2">
        <f t="shared" si="70"/>
        <v>2</v>
      </c>
    </row>
    <row r="994" spans="1:14" x14ac:dyDescent="0.25">
      <c r="A994" s="3">
        <v>45006</v>
      </c>
      <c r="B994" s="11" t="s">
        <v>1163</v>
      </c>
      <c r="C994" s="48" t="s">
        <v>3073</v>
      </c>
      <c r="D994" s="59"/>
      <c r="F994" s="11"/>
      <c r="G994" s="2">
        <v>500</v>
      </c>
      <c r="I994" s="2">
        <f t="shared" si="71"/>
        <v>4370.7500000000018</v>
      </c>
      <c r="N994" s="2">
        <f t="shared" si="70"/>
        <v>2</v>
      </c>
    </row>
    <row r="995" spans="1:14" x14ac:dyDescent="0.25">
      <c r="A995" s="3">
        <v>45006</v>
      </c>
      <c r="B995" s="11" t="s">
        <v>1253</v>
      </c>
      <c r="C995" s="48" t="s">
        <v>2930</v>
      </c>
      <c r="D995" s="59"/>
      <c r="F995" s="11"/>
      <c r="G995" s="2">
        <v>3000</v>
      </c>
      <c r="I995" s="2">
        <f t="shared" si="71"/>
        <v>7370.7500000000018</v>
      </c>
      <c r="N995" s="2">
        <f t="shared" si="70"/>
        <v>12</v>
      </c>
    </row>
    <row r="996" spans="1:14" x14ac:dyDescent="0.25">
      <c r="A996" s="3">
        <v>45006</v>
      </c>
      <c r="B996" s="11" t="s">
        <v>1260</v>
      </c>
      <c r="C996" s="48" t="s">
        <v>2280</v>
      </c>
      <c r="D996" s="59"/>
      <c r="F996" s="11"/>
      <c r="H996" s="2">
        <v>5000</v>
      </c>
      <c r="I996" s="2">
        <f t="shared" si="71"/>
        <v>2370.7500000000018</v>
      </c>
      <c r="N996" s="2">
        <f t="shared" si="70"/>
        <v>20</v>
      </c>
    </row>
    <row r="997" spans="1:14" x14ac:dyDescent="0.25">
      <c r="A997" s="3">
        <v>45007</v>
      </c>
      <c r="B997" s="11" t="s">
        <v>3444</v>
      </c>
      <c r="C997" s="48" t="s">
        <v>3445</v>
      </c>
      <c r="D997" s="59"/>
      <c r="E997" s="115" t="s">
        <v>16</v>
      </c>
      <c r="F997" s="11"/>
      <c r="H997" s="2">
        <v>100</v>
      </c>
      <c r="I997" s="2">
        <f t="shared" si="71"/>
        <v>2270.7500000000018</v>
      </c>
      <c r="N997" s="2">
        <f t="shared" si="70"/>
        <v>25.4</v>
      </c>
    </row>
    <row r="998" spans="1:14" x14ac:dyDescent="0.25">
      <c r="A998" s="3">
        <v>45008</v>
      </c>
      <c r="B998" s="11" t="s">
        <v>2647</v>
      </c>
      <c r="C998" s="48" t="s">
        <v>3446</v>
      </c>
      <c r="D998" s="59"/>
      <c r="F998" s="11"/>
      <c r="G998" s="2">
        <v>2000</v>
      </c>
      <c r="I998" s="2">
        <f t="shared" si="71"/>
        <v>4270.7500000000018</v>
      </c>
      <c r="N998" s="2">
        <f t="shared" si="70"/>
        <v>8</v>
      </c>
    </row>
    <row r="999" spans="1:14" x14ac:dyDescent="0.25">
      <c r="A999" s="3">
        <v>45008</v>
      </c>
      <c r="B999" s="11" t="s">
        <v>3447</v>
      </c>
      <c r="C999" s="48" t="s">
        <v>3290</v>
      </c>
      <c r="D999" s="59"/>
      <c r="F999" s="11"/>
      <c r="G999" s="2">
        <v>1000</v>
      </c>
      <c r="I999" s="2">
        <f t="shared" si="71"/>
        <v>5270.7500000000018</v>
      </c>
      <c r="N999" s="2">
        <f t="shared" si="70"/>
        <v>4</v>
      </c>
    </row>
    <row r="1000" spans="1:14" x14ac:dyDescent="0.25">
      <c r="A1000" s="3">
        <v>45008</v>
      </c>
      <c r="B1000" s="11" t="s">
        <v>3186</v>
      </c>
      <c r="C1000" s="48" t="s">
        <v>3312</v>
      </c>
      <c r="D1000" s="59"/>
      <c r="F1000" s="11"/>
      <c r="G1000" s="2">
        <v>1000</v>
      </c>
      <c r="I1000" s="2">
        <f t="shared" si="71"/>
        <v>6270.7500000000018</v>
      </c>
      <c r="N1000" s="2">
        <f t="shared" si="70"/>
        <v>4</v>
      </c>
    </row>
    <row r="1001" spans="1:14" x14ac:dyDescent="0.25">
      <c r="A1001" s="3">
        <v>45008</v>
      </c>
      <c r="B1001" s="11" t="s">
        <v>3452</v>
      </c>
      <c r="C1001" s="48"/>
      <c r="D1001" s="59"/>
      <c r="E1001" s="115" t="s">
        <v>16</v>
      </c>
      <c r="F1001" s="11" t="s">
        <v>3453</v>
      </c>
      <c r="H1001" s="2">
        <v>100</v>
      </c>
      <c r="I1001" s="2">
        <f t="shared" si="71"/>
        <v>6170.7500000000018</v>
      </c>
      <c r="N1001" s="2">
        <f t="shared" si="70"/>
        <v>25.4</v>
      </c>
    </row>
    <row r="1002" spans="1:14" x14ac:dyDescent="0.25">
      <c r="A1002" s="3">
        <v>45008</v>
      </c>
      <c r="B1002" s="11" t="s">
        <v>3454</v>
      </c>
      <c r="C1002" s="48"/>
      <c r="D1002" s="59"/>
      <c r="F1002" s="11"/>
      <c r="G1002" s="2">
        <v>800</v>
      </c>
      <c r="I1002" s="2">
        <f t="shared" si="71"/>
        <v>6970.7500000000018</v>
      </c>
      <c r="N1002" s="2">
        <f t="shared" si="70"/>
        <v>3.2</v>
      </c>
    </row>
    <row r="1003" spans="1:14" x14ac:dyDescent="0.25">
      <c r="A1003" s="3">
        <v>45008</v>
      </c>
      <c r="B1003" s="11" t="s">
        <v>3455</v>
      </c>
      <c r="C1003" s="48" t="s">
        <v>3456</v>
      </c>
      <c r="D1003" s="59"/>
      <c r="E1003" s="115" t="s">
        <v>16</v>
      </c>
      <c r="F1003" s="11"/>
      <c r="H1003" s="2">
        <v>200</v>
      </c>
      <c r="I1003" s="2">
        <f t="shared" si="71"/>
        <v>6770.7500000000018</v>
      </c>
      <c r="N1003" s="2">
        <f t="shared" si="70"/>
        <v>25.8</v>
      </c>
    </row>
    <row r="1004" spans="1:14" x14ac:dyDescent="0.25">
      <c r="A1004" s="3">
        <v>45008</v>
      </c>
      <c r="B1004" s="11" t="s">
        <v>1253</v>
      </c>
      <c r="C1004" s="48" t="s">
        <v>2654</v>
      </c>
      <c r="D1004" s="59"/>
      <c r="F1004" s="11"/>
      <c r="G1004" s="2">
        <v>500</v>
      </c>
      <c r="I1004" s="2">
        <f t="shared" si="71"/>
        <v>7270.7500000000018</v>
      </c>
      <c r="N1004" s="2">
        <f t="shared" si="70"/>
        <v>2</v>
      </c>
    </row>
    <row r="1005" spans="1:14" x14ac:dyDescent="0.25">
      <c r="A1005" s="3">
        <v>45008</v>
      </c>
      <c r="B1005" s="11" t="s">
        <v>1253</v>
      </c>
      <c r="C1005" s="48"/>
      <c r="D1005" s="59"/>
      <c r="F1005" s="11"/>
      <c r="G1005" s="2">
        <v>1000</v>
      </c>
      <c r="I1005" s="2">
        <f t="shared" si="71"/>
        <v>8270.7500000000018</v>
      </c>
      <c r="N1005" s="2">
        <f t="shared" si="70"/>
        <v>4</v>
      </c>
    </row>
    <row r="1006" spans="1:14" x14ac:dyDescent="0.25">
      <c r="A1006" s="3">
        <v>45009</v>
      </c>
      <c r="B1006" s="11" t="s">
        <v>3460</v>
      </c>
      <c r="C1006" s="48"/>
      <c r="D1006" s="59"/>
      <c r="F1006" s="11"/>
      <c r="H1006" s="2">
        <v>2000</v>
      </c>
      <c r="I1006" s="2">
        <f t="shared" si="71"/>
        <v>6270.7500000000018</v>
      </c>
      <c r="N1006" s="2">
        <f t="shared" si="70"/>
        <v>8</v>
      </c>
    </row>
    <row r="1007" spans="1:14" x14ac:dyDescent="0.25">
      <c r="A1007" s="3">
        <v>45009</v>
      </c>
      <c r="B1007" s="11" t="s">
        <v>2903</v>
      </c>
      <c r="C1007" s="48" t="s">
        <v>3461</v>
      </c>
      <c r="D1007" s="59"/>
      <c r="F1007" s="11"/>
      <c r="G1007" s="2">
        <v>5000</v>
      </c>
      <c r="I1007" s="2">
        <f t="shared" si="71"/>
        <v>11270.750000000002</v>
      </c>
      <c r="N1007" s="2">
        <f t="shared" si="70"/>
        <v>20</v>
      </c>
    </row>
    <row r="1008" spans="1:14" x14ac:dyDescent="0.25">
      <c r="A1008" s="3">
        <v>45010</v>
      </c>
      <c r="B1008" s="11" t="s">
        <v>3462</v>
      </c>
      <c r="C1008" s="48"/>
      <c r="D1008" s="59"/>
      <c r="F1008" s="11"/>
      <c r="G1008" s="2">
        <v>1200</v>
      </c>
      <c r="I1008" s="2">
        <f t="shared" si="71"/>
        <v>12470.750000000002</v>
      </c>
      <c r="N1008" s="2">
        <f t="shared" si="70"/>
        <v>4.8</v>
      </c>
    </row>
    <row r="1009" spans="1:14" x14ac:dyDescent="0.25">
      <c r="A1009" s="3">
        <v>45010</v>
      </c>
      <c r="B1009" s="11" t="s">
        <v>1260</v>
      </c>
      <c r="C1009" s="48" t="s">
        <v>2280</v>
      </c>
      <c r="D1009" s="59"/>
      <c r="F1009" s="11"/>
      <c r="H1009" s="2">
        <v>5000</v>
      </c>
      <c r="I1009" s="2">
        <f t="shared" si="71"/>
        <v>7470.7500000000018</v>
      </c>
      <c r="N1009" s="2">
        <f t="shared" si="70"/>
        <v>20</v>
      </c>
    </row>
    <row r="1010" spans="1:14" x14ac:dyDescent="0.25">
      <c r="A1010" s="3">
        <v>45010</v>
      </c>
      <c r="B1010" s="11" t="s">
        <v>2748</v>
      </c>
      <c r="C1010" s="48" t="s">
        <v>1282</v>
      </c>
      <c r="D1010" s="59"/>
      <c r="F1010" s="11"/>
      <c r="H1010" s="2">
        <v>7000</v>
      </c>
      <c r="I1010" s="2">
        <f t="shared" si="71"/>
        <v>470.75000000000182</v>
      </c>
      <c r="N1010" s="2">
        <f t="shared" ref="N1010:N1027" si="72">IF((G1010+H1010)&lt;=5000,(H1010+G1010)*0.004,20)+IF(E1010="Y",25,0)</f>
        <v>20</v>
      </c>
    </row>
    <row r="1011" spans="1:14" x14ac:dyDescent="0.25">
      <c r="A1011" s="3"/>
      <c r="C1011" s="48"/>
      <c r="D1011" s="59"/>
      <c r="F1011" s="11"/>
      <c r="I1011" s="2">
        <f t="shared" si="71"/>
        <v>470.75000000000182</v>
      </c>
      <c r="N1011" s="2">
        <f t="shared" si="72"/>
        <v>0</v>
      </c>
    </row>
    <row r="1012" spans="1:14" x14ac:dyDescent="0.25">
      <c r="A1012" s="3">
        <v>45011</v>
      </c>
      <c r="B1012" s="11" t="s">
        <v>2980</v>
      </c>
      <c r="C1012" s="48" t="s">
        <v>3464</v>
      </c>
      <c r="D1012" s="59"/>
      <c r="F1012" s="11"/>
      <c r="G1012" s="2">
        <v>600</v>
      </c>
      <c r="I1012" s="2">
        <f t="shared" si="71"/>
        <v>1070.7500000000018</v>
      </c>
      <c r="N1012" s="2">
        <f t="shared" si="72"/>
        <v>2.4</v>
      </c>
    </row>
    <row r="1013" spans="1:14" x14ac:dyDescent="0.25">
      <c r="A1013" s="3">
        <v>45012</v>
      </c>
      <c r="B1013" s="11" t="s">
        <v>2807</v>
      </c>
      <c r="C1013" s="48"/>
      <c r="D1013" s="59"/>
      <c r="E1013" s="115" t="s">
        <v>14</v>
      </c>
      <c r="F1013" s="11"/>
      <c r="H1013" s="2">
        <v>100</v>
      </c>
      <c r="I1013" s="2">
        <f t="shared" si="71"/>
        <v>970.75000000000182</v>
      </c>
      <c r="N1013" s="2">
        <f t="shared" si="72"/>
        <v>25.4</v>
      </c>
    </row>
    <row r="1014" spans="1:14" x14ac:dyDescent="0.25">
      <c r="A1014" s="3">
        <v>45012</v>
      </c>
      <c r="B1014" s="11" t="s">
        <v>2238</v>
      </c>
      <c r="C1014" s="48" t="s">
        <v>3295</v>
      </c>
      <c r="D1014" s="59"/>
      <c r="F1014" s="11"/>
      <c r="G1014" s="2">
        <v>1000</v>
      </c>
      <c r="I1014" s="2">
        <f t="shared" si="71"/>
        <v>1970.7500000000018</v>
      </c>
      <c r="N1014" s="2">
        <f t="shared" si="72"/>
        <v>4</v>
      </c>
    </row>
    <row r="1015" spans="1:14" x14ac:dyDescent="0.25">
      <c r="A1015" s="3">
        <v>45013</v>
      </c>
      <c r="B1015" s="11" t="s">
        <v>1253</v>
      </c>
      <c r="C1015" s="48"/>
      <c r="D1015" s="59"/>
      <c r="F1015" s="11"/>
      <c r="H1015" s="2">
        <v>700</v>
      </c>
      <c r="I1015" s="2">
        <f t="shared" si="71"/>
        <v>1270.7500000000018</v>
      </c>
      <c r="N1015" s="2">
        <f t="shared" si="72"/>
        <v>2.8000000000000003</v>
      </c>
    </row>
    <row r="1016" spans="1:14" x14ac:dyDescent="0.25">
      <c r="A1016" s="3">
        <v>45013</v>
      </c>
      <c r="B1016" s="11" t="s">
        <v>3470</v>
      </c>
      <c r="C1016" s="48"/>
      <c r="D1016" s="59"/>
      <c r="F1016" s="11"/>
      <c r="G1016" s="2">
        <v>400</v>
      </c>
      <c r="I1016" s="2">
        <f t="shared" si="71"/>
        <v>1670.7500000000018</v>
      </c>
      <c r="N1016" s="2">
        <f t="shared" si="72"/>
        <v>1.6</v>
      </c>
    </row>
    <row r="1017" spans="1:14" x14ac:dyDescent="0.25">
      <c r="A1017" s="3">
        <v>45013</v>
      </c>
      <c r="B1017" s="11" t="s">
        <v>3471</v>
      </c>
      <c r="C1017" s="48"/>
      <c r="D1017" s="59"/>
      <c r="F1017" s="11"/>
      <c r="H1017" s="2">
        <v>1500</v>
      </c>
      <c r="I1017" s="2">
        <f t="shared" si="71"/>
        <v>170.75000000000182</v>
      </c>
      <c r="N1017" s="2">
        <f t="shared" si="72"/>
        <v>6</v>
      </c>
    </row>
    <row r="1018" spans="1:14" x14ac:dyDescent="0.25">
      <c r="A1018" s="3">
        <v>45013</v>
      </c>
      <c r="B1018" s="11" t="s">
        <v>1163</v>
      </c>
      <c r="C1018" s="48" t="s">
        <v>3472</v>
      </c>
      <c r="D1018" s="59"/>
      <c r="F1018" s="11"/>
      <c r="G1018" s="2">
        <v>3000</v>
      </c>
      <c r="I1018" s="2">
        <f t="shared" si="71"/>
        <v>3170.7500000000018</v>
      </c>
      <c r="N1018" s="2">
        <f t="shared" si="72"/>
        <v>12</v>
      </c>
    </row>
    <row r="1019" spans="1:14" x14ac:dyDescent="0.25">
      <c r="A1019" s="3">
        <v>45014</v>
      </c>
      <c r="B1019" s="11" t="s">
        <v>3474</v>
      </c>
      <c r="C1019" s="48"/>
      <c r="D1019" s="59"/>
      <c r="F1019" s="11"/>
      <c r="G1019" s="2">
        <v>5000</v>
      </c>
      <c r="I1019" s="2">
        <f t="shared" si="71"/>
        <v>8170.7500000000018</v>
      </c>
      <c r="N1019" s="2">
        <f t="shared" si="72"/>
        <v>20</v>
      </c>
    </row>
    <row r="1020" spans="1:14" x14ac:dyDescent="0.25">
      <c r="A1020" s="3">
        <v>45014</v>
      </c>
      <c r="B1020" s="11" t="s">
        <v>2309</v>
      </c>
      <c r="C1020" s="48" t="s">
        <v>2308</v>
      </c>
      <c r="D1020" s="59"/>
      <c r="F1020" s="11"/>
      <c r="H1020" s="2">
        <v>5000</v>
      </c>
      <c r="I1020" s="2">
        <f t="shared" si="71"/>
        <v>3170.7500000000018</v>
      </c>
      <c r="N1020" s="2">
        <f t="shared" si="72"/>
        <v>20</v>
      </c>
    </row>
    <row r="1021" spans="1:14" x14ac:dyDescent="0.25">
      <c r="A1021" s="3">
        <v>45014</v>
      </c>
      <c r="B1021" s="11" t="s">
        <v>1253</v>
      </c>
      <c r="C1021" s="48" t="s">
        <v>3476</v>
      </c>
      <c r="D1021" s="59"/>
      <c r="F1021" s="11"/>
      <c r="H1021" s="2">
        <v>2300</v>
      </c>
      <c r="I1021" s="2">
        <f t="shared" si="71"/>
        <v>870.75000000000182</v>
      </c>
      <c r="N1021" s="2">
        <f t="shared" si="72"/>
        <v>9.2000000000000011</v>
      </c>
    </row>
    <row r="1022" spans="1:14" x14ac:dyDescent="0.25">
      <c r="A1022" s="3">
        <v>45014</v>
      </c>
      <c r="B1022" s="11" t="s">
        <v>1173</v>
      </c>
      <c r="C1022" s="48" t="s">
        <v>3478</v>
      </c>
      <c r="D1022" s="59" t="s">
        <v>3479</v>
      </c>
      <c r="F1022" s="11"/>
      <c r="G1022" s="2">
        <v>10000</v>
      </c>
      <c r="I1022" s="2">
        <f t="shared" si="71"/>
        <v>10870.750000000002</v>
      </c>
      <c r="N1022" s="2">
        <f t="shared" si="72"/>
        <v>20</v>
      </c>
    </row>
    <row r="1023" spans="1:14" x14ac:dyDescent="0.25">
      <c r="A1023" s="3">
        <v>45014</v>
      </c>
      <c r="B1023" s="11" t="s">
        <v>1253</v>
      </c>
      <c r="C1023" s="48" t="s">
        <v>2748</v>
      </c>
      <c r="D1023" s="59"/>
      <c r="F1023" s="11"/>
      <c r="H1023" s="2">
        <v>9000</v>
      </c>
      <c r="I1023" s="2">
        <f t="shared" si="71"/>
        <v>1870.7500000000018</v>
      </c>
      <c r="N1023" s="2">
        <f t="shared" si="72"/>
        <v>20</v>
      </c>
    </row>
    <row r="1024" spans="1:14" x14ac:dyDescent="0.25">
      <c r="A1024" s="3">
        <v>45014</v>
      </c>
      <c r="B1024" s="11" t="s">
        <v>2663</v>
      </c>
      <c r="C1024" s="48" t="s">
        <v>3480</v>
      </c>
      <c r="D1024" s="59"/>
      <c r="F1024" s="11"/>
      <c r="G1024" s="2">
        <v>1000</v>
      </c>
      <c r="I1024" s="2">
        <f t="shared" si="71"/>
        <v>2870.7500000000018</v>
      </c>
      <c r="N1024" s="2">
        <f t="shared" si="72"/>
        <v>4</v>
      </c>
    </row>
    <row r="1025" spans="1:16" x14ac:dyDescent="0.25">
      <c r="A1025" s="3">
        <v>45015</v>
      </c>
      <c r="B1025" s="11" t="s">
        <v>3082</v>
      </c>
      <c r="C1025" s="48" t="s">
        <v>3081</v>
      </c>
      <c r="D1025" s="59"/>
      <c r="F1025" s="11"/>
      <c r="G1025" s="2">
        <v>2500</v>
      </c>
      <c r="I1025" s="2">
        <f t="shared" si="71"/>
        <v>5370.7500000000018</v>
      </c>
      <c r="N1025" s="2">
        <f t="shared" si="72"/>
        <v>10</v>
      </c>
    </row>
    <row r="1026" spans="1:16" x14ac:dyDescent="0.25">
      <c r="A1026" s="3">
        <v>45015</v>
      </c>
      <c r="B1026" s="11" t="s">
        <v>1173</v>
      </c>
      <c r="C1026" s="48" t="s">
        <v>3478</v>
      </c>
      <c r="F1026"/>
      <c r="G1026" s="2">
        <v>10000</v>
      </c>
      <c r="I1026" s="2">
        <f t="shared" si="71"/>
        <v>15370.750000000002</v>
      </c>
      <c r="N1026" s="2">
        <f t="shared" si="72"/>
        <v>20</v>
      </c>
    </row>
    <row r="1027" spans="1:16" x14ac:dyDescent="0.25">
      <c r="A1027" s="3">
        <v>45015</v>
      </c>
      <c r="B1027" s="11">
        <v>1005</v>
      </c>
      <c r="C1027" s="48" t="s">
        <v>2819</v>
      </c>
      <c r="F1027"/>
      <c r="H1027" s="2">
        <v>7000</v>
      </c>
      <c r="I1027" s="2">
        <f t="shared" si="71"/>
        <v>8370.7500000000018</v>
      </c>
      <c r="N1027" s="2">
        <f t="shared" si="72"/>
        <v>20</v>
      </c>
    </row>
    <row r="1028" spans="1:16" x14ac:dyDescent="0.25">
      <c r="A1028" s="97"/>
      <c r="B1028" s="102"/>
      <c r="C1028" s="27"/>
      <c r="D1028" s="139"/>
      <c r="E1028" s="117">
        <f>COUNTIF(E916:E1027,"Y")</f>
        <v>12</v>
      </c>
      <c r="F1028" s="97">
        <f>G1028+H1028</f>
        <v>348827.28</v>
      </c>
      <c r="G1028" s="107">
        <f>SUM(G916:G1027)</f>
        <v>177227.28</v>
      </c>
      <c r="H1028" s="107">
        <f>SUM(H916:H1027)</f>
        <v>171600</v>
      </c>
      <c r="I1028" s="103"/>
      <c r="J1028" s="97"/>
      <c r="K1028" s="97"/>
      <c r="L1028" s="97"/>
      <c r="M1028" s="97"/>
      <c r="N1028" s="103">
        <f>SUM(N916:N1027)</f>
        <v>1422.2000000000005</v>
      </c>
      <c r="O1028" s="97">
        <f>N1028*0.8</f>
        <v>1137.7600000000004</v>
      </c>
      <c r="P1028" s="97"/>
    </row>
    <row r="1029" spans="1:16" x14ac:dyDescent="0.25">
      <c r="F1029" s="11"/>
    </row>
    <row r="1030" spans="1:16" x14ac:dyDescent="0.25">
      <c r="A1030" s="3">
        <v>45017</v>
      </c>
      <c r="C1030" s="48" t="s">
        <v>3027</v>
      </c>
      <c r="D1030" s="59"/>
      <c r="F1030" s="11"/>
      <c r="I1030" s="2">
        <v>8370.75</v>
      </c>
      <c r="N1030" s="2">
        <f t="shared" ref="N1030:N1061" si="73">IF((G1030+H1030)&lt;=5000,(H1030+G1030)*0.004,20)+IF(E1030="Y",25,0)</f>
        <v>0</v>
      </c>
    </row>
    <row r="1031" spans="1:16" x14ac:dyDescent="0.25">
      <c r="A1031" s="3">
        <v>45017</v>
      </c>
      <c r="B1031" s="11" t="s">
        <v>1163</v>
      </c>
      <c r="C1031" s="48" t="s">
        <v>3405</v>
      </c>
      <c r="F1031"/>
      <c r="G1031" s="2">
        <v>2000</v>
      </c>
      <c r="I1031" s="2">
        <f t="shared" ref="I1031:I1114" si="74">I1030+G1031-H1031</f>
        <v>10370.75</v>
      </c>
      <c r="N1031" s="2">
        <f t="shared" si="73"/>
        <v>8</v>
      </c>
    </row>
    <row r="1032" spans="1:16" x14ac:dyDescent="0.25">
      <c r="A1032" s="3">
        <v>45017</v>
      </c>
      <c r="B1032" s="11" t="s">
        <v>3481</v>
      </c>
      <c r="C1032" s="48" t="s">
        <v>3482</v>
      </c>
      <c r="F1032"/>
      <c r="H1032" s="2">
        <v>2000</v>
      </c>
      <c r="I1032" s="2">
        <f t="shared" si="74"/>
        <v>8370.75</v>
      </c>
      <c r="N1032" s="2">
        <f t="shared" si="73"/>
        <v>8</v>
      </c>
    </row>
    <row r="1033" spans="1:16" x14ac:dyDescent="0.25">
      <c r="A1033" s="3">
        <v>45017</v>
      </c>
      <c r="B1033" s="11" t="s">
        <v>3483</v>
      </c>
      <c r="C1033" s="48" t="s">
        <v>1603</v>
      </c>
      <c r="F1033"/>
      <c r="G1033" s="2">
        <v>10000</v>
      </c>
      <c r="I1033" s="2">
        <f t="shared" si="74"/>
        <v>18370.75</v>
      </c>
      <c r="N1033" s="2">
        <f t="shared" si="73"/>
        <v>20</v>
      </c>
    </row>
    <row r="1034" spans="1:16" x14ac:dyDescent="0.25">
      <c r="A1034" s="3">
        <v>45017</v>
      </c>
      <c r="B1034" s="11" t="s">
        <v>3484</v>
      </c>
      <c r="C1034" s="48" t="s">
        <v>3485</v>
      </c>
      <c r="F1034"/>
      <c r="H1034" s="2">
        <v>10000</v>
      </c>
      <c r="I1034" s="2">
        <f t="shared" si="74"/>
        <v>8370.75</v>
      </c>
      <c r="N1034" s="2">
        <f t="shared" si="73"/>
        <v>20</v>
      </c>
    </row>
    <row r="1035" spans="1:16" x14ac:dyDescent="0.25">
      <c r="A1035" s="3">
        <v>45017</v>
      </c>
      <c r="B1035" s="11" t="s">
        <v>3486</v>
      </c>
      <c r="C1035" s="48" t="s">
        <v>3487</v>
      </c>
      <c r="F1035"/>
      <c r="G1035" s="2">
        <v>1500</v>
      </c>
      <c r="I1035" s="2">
        <f t="shared" si="74"/>
        <v>9870.75</v>
      </c>
      <c r="N1035" s="2">
        <f t="shared" si="73"/>
        <v>6</v>
      </c>
    </row>
    <row r="1036" spans="1:16" x14ac:dyDescent="0.25">
      <c r="A1036" s="3">
        <v>45017</v>
      </c>
      <c r="B1036" s="11" t="s">
        <v>3171</v>
      </c>
      <c r="C1036" s="48" t="s">
        <v>3488</v>
      </c>
      <c r="F1036"/>
      <c r="H1036" s="2">
        <v>1700</v>
      </c>
      <c r="I1036" s="2">
        <f t="shared" si="74"/>
        <v>8170.75</v>
      </c>
      <c r="N1036" s="2">
        <f t="shared" si="73"/>
        <v>6.8</v>
      </c>
    </row>
    <row r="1037" spans="1:16" x14ac:dyDescent="0.25">
      <c r="A1037" s="3">
        <v>45017</v>
      </c>
      <c r="B1037" s="11" t="s">
        <v>3489</v>
      </c>
      <c r="C1037" s="48" t="s">
        <v>3490</v>
      </c>
      <c r="F1037"/>
      <c r="H1037" s="2">
        <v>5300</v>
      </c>
      <c r="I1037" s="2">
        <f t="shared" si="74"/>
        <v>2870.75</v>
      </c>
      <c r="N1037" s="2">
        <f t="shared" si="73"/>
        <v>20</v>
      </c>
    </row>
    <row r="1038" spans="1:16" x14ac:dyDescent="0.25">
      <c r="A1038" s="3">
        <v>45018</v>
      </c>
      <c r="B1038" s="11" t="s">
        <v>3491</v>
      </c>
      <c r="C1038" s="48" t="s">
        <v>1603</v>
      </c>
      <c r="F1038"/>
      <c r="G1038" s="2">
        <v>10000</v>
      </c>
      <c r="I1038" s="2">
        <f t="shared" si="74"/>
        <v>12870.75</v>
      </c>
      <c r="N1038" s="2">
        <f t="shared" si="73"/>
        <v>20</v>
      </c>
    </row>
    <row r="1039" spans="1:16" x14ac:dyDescent="0.25">
      <c r="A1039" s="3">
        <v>45018</v>
      </c>
      <c r="B1039" s="11" t="s">
        <v>3484</v>
      </c>
      <c r="C1039" s="48" t="s">
        <v>3485</v>
      </c>
      <c r="F1039"/>
      <c r="H1039" s="2">
        <v>10000</v>
      </c>
      <c r="I1039" s="2">
        <f t="shared" si="74"/>
        <v>2870.75</v>
      </c>
      <c r="N1039" s="2">
        <f t="shared" si="73"/>
        <v>20</v>
      </c>
    </row>
    <row r="1040" spans="1:16" x14ac:dyDescent="0.25">
      <c r="A1040" s="3">
        <v>45018</v>
      </c>
      <c r="B1040" s="11" t="s">
        <v>3492</v>
      </c>
      <c r="C1040" s="48" t="s">
        <v>2924</v>
      </c>
      <c r="F1040"/>
      <c r="G1040" s="2">
        <v>400</v>
      </c>
      <c r="I1040" s="2">
        <f t="shared" si="74"/>
        <v>3270.75</v>
      </c>
      <c r="N1040" s="2">
        <f t="shared" si="73"/>
        <v>1.6</v>
      </c>
    </row>
    <row r="1041" spans="1:14" x14ac:dyDescent="0.25">
      <c r="A1041" s="3">
        <v>45018</v>
      </c>
      <c r="B1041" s="11" t="s">
        <v>3493</v>
      </c>
      <c r="C1041" s="48" t="s">
        <v>2757</v>
      </c>
      <c r="F1041"/>
      <c r="G1041" s="2">
        <v>500</v>
      </c>
      <c r="I1041" s="2">
        <f t="shared" si="74"/>
        <v>3770.75</v>
      </c>
      <c r="N1041" s="2">
        <f t="shared" si="73"/>
        <v>2</v>
      </c>
    </row>
    <row r="1042" spans="1:14" x14ac:dyDescent="0.25">
      <c r="A1042" s="3">
        <v>45019</v>
      </c>
      <c r="B1042" s="11" t="s">
        <v>2365</v>
      </c>
      <c r="C1042" s="48" t="s">
        <v>3290</v>
      </c>
      <c r="F1042"/>
      <c r="G1042" s="2">
        <v>400</v>
      </c>
      <c r="I1042" s="2">
        <f t="shared" si="74"/>
        <v>4170.75</v>
      </c>
      <c r="N1042" s="2">
        <f t="shared" si="73"/>
        <v>1.6</v>
      </c>
    </row>
    <row r="1043" spans="1:14" x14ac:dyDescent="0.25">
      <c r="A1043" s="3">
        <v>45019</v>
      </c>
      <c r="B1043" s="11" t="s">
        <v>1253</v>
      </c>
      <c r="C1043" s="48" t="s">
        <v>3495</v>
      </c>
      <c r="F1043"/>
      <c r="G1043" s="2">
        <v>950</v>
      </c>
      <c r="I1043" s="2">
        <f t="shared" si="74"/>
        <v>5120.75</v>
      </c>
      <c r="N1043" s="2">
        <f t="shared" si="73"/>
        <v>3.8000000000000003</v>
      </c>
    </row>
    <row r="1044" spans="1:14" x14ac:dyDescent="0.25">
      <c r="A1044" s="3">
        <v>45019</v>
      </c>
      <c r="B1044" s="11" t="s">
        <v>1253</v>
      </c>
      <c r="C1044" s="48" t="s">
        <v>2654</v>
      </c>
      <c r="F1044"/>
      <c r="G1044" s="2">
        <v>10000</v>
      </c>
      <c r="I1044" s="2">
        <f t="shared" si="74"/>
        <v>15120.75</v>
      </c>
      <c r="N1044" s="2">
        <f t="shared" si="73"/>
        <v>20</v>
      </c>
    </row>
    <row r="1045" spans="1:14" x14ac:dyDescent="0.25">
      <c r="A1045" s="3">
        <v>45019</v>
      </c>
      <c r="B1045" s="11" t="s">
        <v>2767</v>
      </c>
      <c r="C1045" s="48" t="s">
        <v>1282</v>
      </c>
      <c r="F1045"/>
      <c r="H1045" s="2">
        <v>10000</v>
      </c>
      <c r="I1045" s="2">
        <f t="shared" si="74"/>
        <v>5120.75</v>
      </c>
      <c r="N1045" s="2">
        <f t="shared" si="73"/>
        <v>20</v>
      </c>
    </row>
    <row r="1046" spans="1:14" x14ac:dyDescent="0.25">
      <c r="A1046" s="3">
        <v>45020</v>
      </c>
      <c r="B1046" s="11" t="s">
        <v>1253</v>
      </c>
      <c r="C1046" s="48" t="s">
        <v>3496</v>
      </c>
      <c r="F1046"/>
      <c r="H1046" s="2">
        <v>3000</v>
      </c>
      <c r="I1046" s="2">
        <f t="shared" si="74"/>
        <v>2120.75</v>
      </c>
      <c r="N1046" s="2">
        <f t="shared" si="73"/>
        <v>12</v>
      </c>
    </row>
    <row r="1047" spans="1:14" x14ac:dyDescent="0.25">
      <c r="A1047" s="3">
        <v>45020</v>
      </c>
      <c r="B1047" s="11" t="s">
        <v>1475</v>
      </c>
      <c r="C1047" s="48" t="s">
        <v>3497</v>
      </c>
      <c r="F1047"/>
      <c r="G1047" s="2">
        <v>10000</v>
      </c>
      <c r="I1047" s="2">
        <f t="shared" si="74"/>
        <v>12120.75</v>
      </c>
      <c r="N1047" s="2">
        <f t="shared" si="73"/>
        <v>20</v>
      </c>
    </row>
    <row r="1048" spans="1:14" x14ac:dyDescent="0.25">
      <c r="A1048" s="3">
        <v>45020</v>
      </c>
      <c r="B1048" s="11" t="s">
        <v>3498</v>
      </c>
      <c r="C1048" s="48"/>
      <c r="E1048" s="115" t="s">
        <v>16</v>
      </c>
      <c r="F1048"/>
      <c r="H1048" s="2">
        <v>100</v>
      </c>
      <c r="I1048" s="2">
        <f t="shared" si="74"/>
        <v>12020.75</v>
      </c>
      <c r="N1048" s="2">
        <f t="shared" si="73"/>
        <v>25.4</v>
      </c>
    </row>
    <row r="1049" spans="1:14" x14ac:dyDescent="0.25">
      <c r="A1049" s="3">
        <v>45020</v>
      </c>
      <c r="B1049" s="11" t="s">
        <v>3499</v>
      </c>
      <c r="C1049" s="48" t="s">
        <v>3500</v>
      </c>
      <c r="F1049"/>
      <c r="G1049" s="2">
        <v>1010</v>
      </c>
      <c r="I1049" s="2">
        <f t="shared" si="74"/>
        <v>13030.75</v>
      </c>
      <c r="N1049" s="2">
        <f t="shared" si="73"/>
        <v>4.04</v>
      </c>
    </row>
    <row r="1050" spans="1:14" x14ac:dyDescent="0.25">
      <c r="A1050" s="3">
        <v>45020</v>
      </c>
      <c r="B1050" s="11" t="s">
        <v>2405</v>
      </c>
      <c r="C1050" s="48" t="s">
        <v>3501</v>
      </c>
      <c r="F1050"/>
      <c r="H1050" s="2">
        <v>6000</v>
      </c>
      <c r="I1050" s="2">
        <f t="shared" si="74"/>
        <v>7030.75</v>
      </c>
      <c r="N1050" s="2">
        <f t="shared" si="73"/>
        <v>20</v>
      </c>
    </row>
    <row r="1051" spans="1:14" x14ac:dyDescent="0.25">
      <c r="A1051" s="3">
        <v>45020</v>
      </c>
      <c r="B1051" s="11" t="s">
        <v>3040</v>
      </c>
      <c r="C1051" s="48" t="s">
        <v>128</v>
      </c>
      <c r="F1051"/>
      <c r="G1051" s="2">
        <v>10000</v>
      </c>
      <c r="I1051" s="2">
        <f t="shared" si="74"/>
        <v>17030.75</v>
      </c>
      <c r="N1051" s="2">
        <f t="shared" si="73"/>
        <v>20</v>
      </c>
    </row>
    <row r="1052" spans="1:14" x14ac:dyDescent="0.25">
      <c r="A1052" s="3">
        <v>45020</v>
      </c>
      <c r="B1052" s="11" t="s">
        <v>2767</v>
      </c>
      <c r="C1052" s="48" t="s">
        <v>3503</v>
      </c>
      <c r="F1052"/>
      <c r="H1052" s="2">
        <v>10000</v>
      </c>
      <c r="I1052" s="2">
        <f t="shared" si="74"/>
        <v>7030.75</v>
      </c>
      <c r="N1052" s="2">
        <f t="shared" si="73"/>
        <v>20</v>
      </c>
    </row>
    <row r="1053" spans="1:14" x14ac:dyDescent="0.25">
      <c r="A1053" s="3">
        <v>45021</v>
      </c>
      <c r="B1053" s="11" t="s">
        <v>1163</v>
      </c>
      <c r="C1053" s="48" t="s">
        <v>3504</v>
      </c>
      <c r="F1053"/>
      <c r="G1053" s="2">
        <v>1000</v>
      </c>
      <c r="I1053" s="2">
        <f t="shared" si="74"/>
        <v>8030.75</v>
      </c>
      <c r="N1053" s="2">
        <f t="shared" si="73"/>
        <v>4</v>
      </c>
    </row>
    <row r="1054" spans="1:14" x14ac:dyDescent="0.25">
      <c r="A1054" s="3">
        <v>45021</v>
      </c>
      <c r="B1054" s="11" t="s">
        <v>3507</v>
      </c>
      <c r="C1054" s="48" t="s">
        <v>2999</v>
      </c>
      <c r="F1054"/>
      <c r="G1054" s="2">
        <v>8000</v>
      </c>
      <c r="I1054" s="2">
        <f t="shared" si="74"/>
        <v>16030.75</v>
      </c>
      <c r="N1054" s="2">
        <f t="shared" si="73"/>
        <v>20</v>
      </c>
    </row>
    <row r="1055" spans="1:14" x14ac:dyDescent="0.25">
      <c r="A1055" s="3">
        <v>45021</v>
      </c>
      <c r="B1055" s="11" t="s">
        <v>2767</v>
      </c>
      <c r="C1055" s="48" t="s">
        <v>1282</v>
      </c>
      <c r="F1055"/>
      <c r="H1055" s="2">
        <v>10000</v>
      </c>
      <c r="I1055" s="2">
        <f t="shared" si="74"/>
        <v>6030.75</v>
      </c>
      <c r="N1055" s="2">
        <f t="shared" si="73"/>
        <v>20</v>
      </c>
    </row>
    <row r="1056" spans="1:14" x14ac:dyDescent="0.25">
      <c r="A1056" s="3">
        <v>45021</v>
      </c>
      <c r="B1056" s="11" t="s">
        <v>2253</v>
      </c>
      <c r="C1056" s="48" t="s">
        <v>2254</v>
      </c>
      <c r="F1056"/>
      <c r="G1056" s="2">
        <v>5000</v>
      </c>
      <c r="I1056" s="2">
        <f t="shared" si="74"/>
        <v>11030.75</v>
      </c>
      <c r="N1056" s="2">
        <f t="shared" si="73"/>
        <v>20</v>
      </c>
    </row>
    <row r="1057" spans="1:14" x14ac:dyDescent="0.25">
      <c r="A1057" s="3">
        <v>45022</v>
      </c>
      <c r="B1057" s="11" t="s">
        <v>2238</v>
      </c>
      <c r="C1057" s="48"/>
      <c r="F1057"/>
      <c r="G1057" s="2">
        <v>10000</v>
      </c>
      <c r="I1057" s="2">
        <f t="shared" si="74"/>
        <v>21030.75</v>
      </c>
      <c r="N1057" s="2">
        <f t="shared" si="73"/>
        <v>20</v>
      </c>
    </row>
    <row r="1058" spans="1:14" x14ac:dyDescent="0.25">
      <c r="A1058" s="3">
        <v>45022</v>
      </c>
      <c r="B1058" s="11" t="s">
        <v>3508</v>
      </c>
      <c r="C1058" s="48" t="s">
        <v>1282</v>
      </c>
      <c r="F1058"/>
      <c r="H1058" s="2">
        <v>10000</v>
      </c>
      <c r="I1058" s="2">
        <f t="shared" si="74"/>
        <v>11030.75</v>
      </c>
      <c r="N1058" s="2">
        <f t="shared" si="73"/>
        <v>20</v>
      </c>
    </row>
    <row r="1059" spans="1:14" x14ac:dyDescent="0.25">
      <c r="A1059" s="3">
        <v>45022</v>
      </c>
      <c r="B1059" s="11" t="s">
        <v>3512</v>
      </c>
      <c r="C1059" s="48" t="s">
        <v>3509</v>
      </c>
      <c r="E1059" s="115" t="s">
        <v>16</v>
      </c>
      <c r="F1059"/>
      <c r="H1059" s="2">
        <v>300</v>
      </c>
      <c r="I1059" s="2">
        <f t="shared" si="74"/>
        <v>10730.75</v>
      </c>
      <c r="N1059" s="2">
        <f t="shared" si="73"/>
        <v>26.2</v>
      </c>
    </row>
    <row r="1060" spans="1:14" x14ac:dyDescent="0.25">
      <c r="A1060" s="3">
        <v>45022</v>
      </c>
      <c r="B1060" s="11" t="s">
        <v>1163</v>
      </c>
      <c r="C1060" s="48" t="s">
        <v>3513</v>
      </c>
      <c r="F1060"/>
      <c r="G1060" s="2">
        <v>800</v>
      </c>
      <c r="I1060" s="2">
        <f t="shared" si="74"/>
        <v>11530.75</v>
      </c>
      <c r="N1060" s="2">
        <f t="shared" si="73"/>
        <v>3.2</v>
      </c>
    </row>
    <row r="1061" spans="1:14" x14ac:dyDescent="0.25">
      <c r="A1061" s="3">
        <v>45022</v>
      </c>
      <c r="B1061" s="11" t="s">
        <v>2360</v>
      </c>
      <c r="C1061" s="48" t="s">
        <v>3514</v>
      </c>
      <c r="F1061"/>
      <c r="H1061" s="2">
        <v>3600</v>
      </c>
      <c r="I1061" s="2">
        <f t="shared" si="74"/>
        <v>7930.75</v>
      </c>
      <c r="N1061" s="2">
        <f t="shared" si="73"/>
        <v>14.4</v>
      </c>
    </row>
    <row r="1062" spans="1:14" x14ac:dyDescent="0.25">
      <c r="A1062" s="3">
        <v>45022</v>
      </c>
      <c r="B1062" s="11" t="s">
        <v>2190</v>
      </c>
      <c r="C1062" s="48" t="s">
        <v>3515</v>
      </c>
      <c r="F1062"/>
      <c r="H1062" s="2">
        <v>4200</v>
      </c>
      <c r="I1062" s="2">
        <f t="shared" si="74"/>
        <v>3730.75</v>
      </c>
      <c r="N1062" s="2">
        <f t="shared" ref="N1062:N1088" si="75">IF((G1062+H1062)&lt;=5000,(H1062+G1062)*0.004,20)+IF(E1062="Y",25,0)</f>
        <v>16.8</v>
      </c>
    </row>
    <row r="1063" spans="1:14" x14ac:dyDescent="0.25">
      <c r="A1063" s="3">
        <v>45023</v>
      </c>
      <c r="B1063" s="11" t="s">
        <v>1253</v>
      </c>
      <c r="C1063" s="48" t="s">
        <v>2290</v>
      </c>
      <c r="F1063"/>
      <c r="G1063" s="2">
        <v>5000</v>
      </c>
      <c r="I1063" s="2">
        <f t="shared" si="74"/>
        <v>8730.75</v>
      </c>
      <c r="N1063" s="2">
        <f t="shared" si="75"/>
        <v>20</v>
      </c>
    </row>
    <row r="1064" spans="1:14" x14ac:dyDescent="0.25">
      <c r="A1064" s="3">
        <v>45023</v>
      </c>
      <c r="B1064" s="11" t="s">
        <v>2736</v>
      </c>
      <c r="C1064" s="48" t="s">
        <v>915</v>
      </c>
      <c r="F1064">
        <v>309711569216</v>
      </c>
      <c r="H1064" s="2">
        <v>4000</v>
      </c>
      <c r="I1064" s="2">
        <f t="shared" si="74"/>
        <v>4730.75</v>
      </c>
      <c r="N1064" s="2">
        <f t="shared" si="75"/>
        <v>16</v>
      </c>
    </row>
    <row r="1065" spans="1:14" x14ac:dyDescent="0.25">
      <c r="A1065" s="3">
        <v>45023</v>
      </c>
      <c r="B1065" s="11" t="s">
        <v>2238</v>
      </c>
      <c r="C1065" s="48" t="s">
        <v>3516</v>
      </c>
      <c r="F1065"/>
      <c r="G1065" s="2">
        <v>4800</v>
      </c>
      <c r="I1065" s="2">
        <f t="shared" si="74"/>
        <v>9530.75</v>
      </c>
      <c r="N1065" s="2">
        <f t="shared" si="75"/>
        <v>19.2</v>
      </c>
    </row>
    <row r="1066" spans="1:14" x14ac:dyDescent="0.25">
      <c r="A1066" s="3">
        <v>45023</v>
      </c>
      <c r="B1066" s="11" t="s">
        <v>2247</v>
      </c>
      <c r="C1066" s="48" t="s">
        <v>3517</v>
      </c>
      <c r="D1066" s="58">
        <v>7766998308</v>
      </c>
      <c r="F1066"/>
      <c r="G1066" s="2">
        <v>1050</v>
      </c>
      <c r="I1066" s="2">
        <f t="shared" si="74"/>
        <v>10580.75</v>
      </c>
      <c r="N1066" s="2">
        <f t="shared" si="75"/>
        <v>4.2</v>
      </c>
    </row>
    <row r="1067" spans="1:14" x14ac:dyDescent="0.25">
      <c r="A1067" s="3">
        <v>45024</v>
      </c>
      <c r="B1067" s="11" t="s">
        <v>1253</v>
      </c>
      <c r="C1067" s="48" t="s">
        <v>2654</v>
      </c>
      <c r="G1067" s="2">
        <v>2500</v>
      </c>
      <c r="I1067" s="2">
        <f t="shared" si="74"/>
        <v>13080.75</v>
      </c>
      <c r="N1067" s="2">
        <f t="shared" si="75"/>
        <v>10</v>
      </c>
    </row>
    <row r="1068" spans="1:14" x14ac:dyDescent="0.25">
      <c r="A1068" s="3">
        <v>45024</v>
      </c>
      <c r="B1068" s="11" t="s">
        <v>3520</v>
      </c>
      <c r="C1068" s="48" t="s">
        <v>3519</v>
      </c>
      <c r="D1068" s="58">
        <v>9635077871</v>
      </c>
      <c r="F1068"/>
      <c r="G1068" s="2">
        <v>1000</v>
      </c>
      <c r="I1068" s="2">
        <f t="shared" si="74"/>
        <v>14080.75</v>
      </c>
      <c r="N1068" s="2">
        <f t="shared" si="75"/>
        <v>4</v>
      </c>
    </row>
    <row r="1069" spans="1:14" x14ac:dyDescent="0.25">
      <c r="A1069" s="3">
        <v>45024</v>
      </c>
      <c r="B1069" s="11" t="s">
        <v>3486</v>
      </c>
      <c r="C1069" s="48" t="s">
        <v>3521</v>
      </c>
      <c r="F1069"/>
      <c r="G1069" s="2">
        <v>1000</v>
      </c>
      <c r="I1069" s="2">
        <f t="shared" si="74"/>
        <v>15080.75</v>
      </c>
      <c r="N1069" s="2">
        <f t="shared" si="75"/>
        <v>4</v>
      </c>
    </row>
    <row r="1070" spans="1:14" x14ac:dyDescent="0.25">
      <c r="A1070" s="3">
        <v>45024</v>
      </c>
      <c r="B1070" s="11" t="s">
        <v>1163</v>
      </c>
      <c r="C1070" s="48" t="s">
        <v>3522</v>
      </c>
      <c r="F1070"/>
      <c r="G1070" s="2">
        <v>1000</v>
      </c>
      <c r="I1070" s="2">
        <f t="shared" si="74"/>
        <v>16080.75</v>
      </c>
      <c r="N1070" s="2">
        <f t="shared" si="75"/>
        <v>4</v>
      </c>
    </row>
    <row r="1071" spans="1:14" x14ac:dyDescent="0.25">
      <c r="A1071" s="3">
        <v>45024</v>
      </c>
      <c r="B1071" s="11" t="s">
        <v>1260</v>
      </c>
      <c r="C1071" s="48" t="s">
        <v>1256</v>
      </c>
      <c r="F1071"/>
      <c r="H1071" s="2">
        <v>5000</v>
      </c>
      <c r="I1071" s="2">
        <f t="shared" si="74"/>
        <v>11080.75</v>
      </c>
      <c r="N1071" s="2">
        <f t="shared" si="75"/>
        <v>20</v>
      </c>
    </row>
    <row r="1072" spans="1:14" x14ac:dyDescent="0.25">
      <c r="A1072" s="3">
        <v>45026</v>
      </c>
      <c r="B1072" s="11" t="s">
        <v>3525</v>
      </c>
      <c r="C1072" s="48" t="s">
        <v>3524</v>
      </c>
      <c r="E1072" s="115" t="s">
        <v>16</v>
      </c>
      <c r="F1072"/>
      <c r="H1072" s="2">
        <v>1000</v>
      </c>
      <c r="I1072" s="2">
        <f t="shared" si="74"/>
        <v>10080.75</v>
      </c>
      <c r="N1072" s="2">
        <f t="shared" si="75"/>
        <v>29</v>
      </c>
    </row>
    <row r="1073" spans="1:14" x14ac:dyDescent="0.25">
      <c r="A1073" s="3">
        <v>45026</v>
      </c>
      <c r="C1073" s="48" t="s">
        <v>2290</v>
      </c>
      <c r="F1073"/>
      <c r="G1073" s="2">
        <v>10000</v>
      </c>
      <c r="I1073" s="2">
        <f t="shared" si="74"/>
        <v>20080.75</v>
      </c>
      <c r="N1073" s="2">
        <f t="shared" si="75"/>
        <v>20</v>
      </c>
    </row>
    <row r="1074" spans="1:14" x14ac:dyDescent="0.25">
      <c r="A1074" s="3">
        <v>45027</v>
      </c>
      <c r="B1074" s="11" t="s">
        <v>1253</v>
      </c>
      <c r="C1074" s="48"/>
      <c r="F1074"/>
      <c r="G1074" s="2">
        <v>7000</v>
      </c>
      <c r="I1074" s="2">
        <f t="shared" si="74"/>
        <v>27080.75</v>
      </c>
      <c r="N1074" s="2">
        <f t="shared" si="75"/>
        <v>20</v>
      </c>
    </row>
    <row r="1075" spans="1:14" x14ac:dyDescent="0.25">
      <c r="A1075" s="3">
        <v>45027</v>
      </c>
      <c r="B1075" s="11" t="s">
        <v>3045</v>
      </c>
      <c r="C1075" s="48" t="s">
        <v>1282</v>
      </c>
      <c r="F1075"/>
      <c r="H1075" s="2">
        <v>10000</v>
      </c>
      <c r="I1075" s="2">
        <f t="shared" si="74"/>
        <v>17080.75</v>
      </c>
      <c r="N1075" s="2">
        <f t="shared" si="75"/>
        <v>20</v>
      </c>
    </row>
    <row r="1076" spans="1:14" x14ac:dyDescent="0.25">
      <c r="A1076" s="3">
        <v>45028</v>
      </c>
      <c r="B1076" s="11" t="s">
        <v>1253</v>
      </c>
      <c r="C1076" s="48" t="s">
        <v>3211</v>
      </c>
      <c r="F1076"/>
      <c r="G1076" s="2">
        <v>4000</v>
      </c>
      <c r="I1076" s="2">
        <f t="shared" si="74"/>
        <v>21080.75</v>
      </c>
      <c r="N1076" s="2">
        <f t="shared" si="75"/>
        <v>16</v>
      </c>
    </row>
    <row r="1077" spans="1:14" x14ac:dyDescent="0.25">
      <c r="A1077" s="3">
        <v>45028</v>
      </c>
      <c r="B1077" s="11" t="s">
        <v>2748</v>
      </c>
      <c r="C1077" s="48" t="s">
        <v>1282</v>
      </c>
      <c r="F1077"/>
      <c r="H1077" s="2">
        <v>10000</v>
      </c>
      <c r="I1077" s="2">
        <f t="shared" si="74"/>
        <v>11080.75</v>
      </c>
      <c r="N1077" s="2">
        <f t="shared" si="75"/>
        <v>20</v>
      </c>
    </row>
    <row r="1078" spans="1:14" x14ac:dyDescent="0.25">
      <c r="A1078" s="3">
        <v>45028</v>
      </c>
      <c r="B1078" s="11" t="s">
        <v>1253</v>
      </c>
      <c r="C1078" s="48" t="s">
        <v>2254</v>
      </c>
      <c r="F1078"/>
      <c r="G1078" s="2">
        <v>4000</v>
      </c>
      <c r="I1078" s="2">
        <f t="shared" si="74"/>
        <v>15080.75</v>
      </c>
      <c r="N1078" s="2">
        <f t="shared" si="75"/>
        <v>16</v>
      </c>
    </row>
    <row r="1079" spans="1:14" x14ac:dyDescent="0.25">
      <c r="A1079" s="3">
        <v>45028</v>
      </c>
      <c r="B1079" s="11" t="s">
        <v>3530</v>
      </c>
      <c r="C1079" s="48"/>
      <c r="F1079"/>
      <c r="H1079" s="2">
        <v>100</v>
      </c>
      <c r="I1079" s="2">
        <f t="shared" si="74"/>
        <v>14980.75</v>
      </c>
      <c r="N1079" s="2">
        <f t="shared" si="75"/>
        <v>0.4</v>
      </c>
    </row>
    <row r="1080" spans="1:14" x14ac:dyDescent="0.25">
      <c r="A1080" s="3">
        <v>45029</v>
      </c>
      <c r="B1080" s="11" t="s">
        <v>2238</v>
      </c>
      <c r="C1080" s="48" t="s">
        <v>3531</v>
      </c>
      <c r="F1080"/>
      <c r="G1080" s="2">
        <v>2500</v>
      </c>
      <c r="I1080" s="2">
        <f t="shared" si="74"/>
        <v>17480.75</v>
      </c>
      <c r="N1080" s="2">
        <f t="shared" si="75"/>
        <v>10</v>
      </c>
    </row>
    <row r="1081" spans="1:14" x14ac:dyDescent="0.25">
      <c r="A1081" s="3">
        <v>45029</v>
      </c>
      <c r="B1081" s="11" t="s">
        <v>1253</v>
      </c>
      <c r="G1081" s="2">
        <v>2000</v>
      </c>
      <c r="I1081" s="2">
        <f t="shared" si="74"/>
        <v>19480.75</v>
      </c>
      <c r="N1081" s="2">
        <f t="shared" si="75"/>
        <v>8</v>
      </c>
    </row>
    <row r="1082" spans="1:14" x14ac:dyDescent="0.25">
      <c r="A1082" s="3">
        <v>45029</v>
      </c>
      <c r="B1082" s="11" t="s">
        <v>3542</v>
      </c>
      <c r="C1082" s="48" t="s">
        <v>252</v>
      </c>
      <c r="E1082" s="115" t="s">
        <v>16</v>
      </c>
      <c r="F1082"/>
      <c r="H1082" s="2">
        <v>200</v>
      </c>
      <c r="I1082" s="2">
        <f t="shared" si="74"/>
        <v>19280.75</v>
      </c>
      <c r="N1082" s="2">
        <f t="shared" si="75"/>
        <v>25.8</v>
      </c>
    </row>
    <row r="1083" spans="1:14" x14ac:dyDescent="0.25">
      <c r="A1083" s="3">
        <v>45029</v>
      </c>
      <c r="B1083" s="11" t="s">
        <v>3539</v>
      </c>
      <c r="C1083" s="48" t="s">
        <v>3540</v>
      </c>
      <c r="E1083" s="115" t="s">
        <v>16</v>
      </c>
      <c r="F1083"/>
      <c r="H1083" s="2">
        <v>2000</v>
      </c>
      <c r="I1083" s="2">
        <f t="shared" si="74"/>
        <v>17280.75</v>
      </c>
      <c r="N1083" s="2">
        <f t="shared" si="75"/>
        <v>33</v>
      </c>
    </row>
    <row r="1084" spans="1:14" x14ac:dyDescent="0.25">
      <c r="A1084" s="3">
        <v>45029</v>
      </c>
      <c r="B1084" s="11" t="s">
        <v>3539</v>
      </c>
      <c r="C1084" s="48" t="s">
        <v>3540</v>
      </c>
      <c r="F1084"/>
      <c r="H1084" s="2">
        <v>1000</v>
      </c>
      <c r="I1084" s="2">
        <f t="shared" si="74"/>
        <v>16280.75</v>
      </c>
      <c r="N1084" s="2">
        <f t="shared" si="75"/>
        <v>4</v>
      </c>
    </row>
    <row r="1085" spans="1:14" x14ac:dyDescent="0.25">
      <c r="A1085" s="3">
        <v>45032</v>
      </c>
      <c r="B1085" s="11" t="s">
        <v>2247</v>
      </c>
      <c r="C1085" s="48" t="s">
        <v>3545</v>
      </c>
      <c r="F1085"/>
      <c r="G1085" s="2">
        <v>4000</v>
      </c>
      <c r="I1085" s="2">
        <f t="shared" si="74"/>
        <v>20280.75</v>
      </c>
      <c r="N1085" s="2">
        <f t="shared" si="75"/>
        <v>16</v>
      </c>
    </row>
    <row r="1086" spans="1:14" x14ac:dyDescent="0.25">
      <c r="A1086" s="3">
        <v>45032</v>
      </c>
      <c r="B1086" s="11" t="s">
        <v>1260</v>
      </c>
      <c r="C1086" s="48" t="s">
        <v>1256</v>
      </c>
      <c r="F1086"/>
      <c r="H1086" s="2">
        <v>6500</v>
      </c>
      <c r="I1086" s="2">
        <f t="shared" si="74"/>
        <v>13780.75</v>
      </c>
      <c r="N1086" s="2">
        <f t="shared" si="75"/>
        <v>20</v>
      </c>
    </row>
    <row r="1087" spans="1:14" x14ac:dyDescent="0.25">
      <c r="A1087" s="3">
        <v>45094</v>
      </c>
      <c r="B1087" s="11" t="s">
        <v>1163</v>
      </c>
      <c r="C1087" s="48" t="s">
        <v>2773</v>
      </c>
      <c r="F1087"/>
      <c r="G1087" s="2">
        <v>2850</v>
      </c>
      <c r="I1087" s="2">
        <f t="shared" si="74"/>
        <v>16630.75</v>
      </c>
      <c r="N1087" s="2">
        <f t="shared" si="75"/>
        <v>11.4</v>
      </c>
    </row>
    <row r="1088" spans="1:14" x14ac:dyDescent="0.25">
      <c r="A1088" s="3">
        <v>45094</v>
      </c>
      <c r="B1088" s="11" t="s">
        <v>2191</v>
      </c>
      <c r="C1088" s="48" t="s">
        <v>2193</v>
      </c>
      <c r="F1088"/>
      <c r="H1088" s="2">
        <v>2000</v>
      </c>
      <c r="I1088" s="2">
        <f t="shared" si="74"/>
        <v>14630.75</v>
      </c>
      <c r="N1088" s="2">
        <f t="shared" si="75"/>
        <v>8</v>
      </c>
    </row>
    <row r="1089" spans="1:14" x14ac:dyDescent="0.25">
      <c r="A1089" s="3">
        <v>45094</v>
      </c>
      <c r="C1089" s="108" t="s">
        <v>3549</v>
      </c>
      <c r="D1089" s="90"/>
      <c r="E1089" s="123"/>
      <c r="F1089" s="6"/>
      <c r="G1089" s="91">
        <v>1128.52</v>
      </c>
      <c r="I1089" s="2">
        <f t="shared" si="74"/>
        <v>15759.27</v>
      </c>
    </row>
    <row r="1090" spans="1:14" x14ac:dyDescent="0.25">
      <c r="A1090" s="3">
        <v>45094</v>
      </c>
      <c r="B1090" s="11" t="s">
        <v>1253</v>
      </c>
      <c r="C1090" s="48" t="s">
        <v>3547</v>
      </c>
      <c r="F1090"/>
      <c r="G1090" s="2">
        <v>1050</v>
      </c>
      <c r="I1090" s="2">
        <f t="shared" si="74"/>
        <v>16809.27</v>
      </c>
      <c r="N1090" s="2">
        <f t="shared" ref="N1090:N1103" si="76">IF((G1090+H1090)&lt;=5000,(H1090+G1090)*0.004,20)+IF(E1090="Y",25,0)</f>
        <v>4.2</v>
      </c>
    </row>
    <row r="1091" spans="1:14" x14ac:dyDescent="0.25">
      <c r="A1091" s="3">
        <v>45094</v>
      </c>
      <c r="B1091" s="11" t="s">
        <v>1253</v>
      </c>
      <c r="C1091" s="48" t="s">
        <v>3548</v>
      </c>
      <c r="F1091"/>
      <c r="G1091" s="2">
        <v>700</v>
      </c>
      <c r="I1091" s="2">
        <f t="shared" si="74"/>
        <v>17509.27</v>
      </c>
      <c r="N1091" s="2">
        <f t="shared" si="76"/>
        <v>2.8000000000000003</v>
      </c>
    </row>
    <row r="1092" spans="1:14" x14ac:dyDescent="0.25">
      <c r="A1092" s="3">
        <v>45094</v>
      </c>
      <c r="B1092" s="11" t="s">
        <v>3550</v>
      </c>
      <c r="C1092" s="48" t="s">
        <v>2681</v>
      </c>
      <c r="F1092"/>
      <c r="H1092" s="2">
        <v>1000</v>
      </c>
      <c r="I1092" s="2">
        <f t="shared" si="74"/>
        <v>16509.27</v>
      </c>
      <c r="N1092" s="2">
        <f t="shared" si="76"/>
        <v>4</v>
      </c>
    </row>
    <row r="1093" spans="1:14" x14ac:dyDescent="0.25">
      <c r="A1093" s="3">
        <v>45034</v>
      </c>
      <c r="B1093" s="11" t="s">
        <v>3551</v>
      </c>
      <c r="C1093" s="48" t="s">
        <v>3552</v>
      </c>
      <c r="F1093"/>
      <c r="G1093" s="2">
        <v>5050</v>
      </c>
      <c r="I1093" s="2">
        <f t="shared" si="74"/>
        <v>21559.27</v>
      </c>
      <c r="N1093" s="2">
        <f t="shared" si="76"/>
        <v>20</v>
      </c>
    </row>
    <row r="1094" spans="1:14" x14ac:dyDescent="0.25">
      <c r="A1094" s="3">
        <v>45035</v>
      </c>
      <c r="B1094" s="11" t="s">
        <v>3045</v>
      </c>
      <c r="C1094" s="48" t="s">
        <v>1282</v>
      </c>
      <c r="F1094"/>
      <c r="H1094" s="2">
        <v>10000</v>
      </c>
      <c r="I1094" s="2">
        <f t="shared" si="74"/>
        <v>11559.27</v>
      </c>
      <c r="N1094" s="2">
        <f t="shared" si="76"/>
        <v>20</v>
      </c>
    </row>
    <row r="1095" spans="1:14" x14ac:dyDescent="0.25">
      <c r="A1095" s="3">
        <v>45036</v>
      </c>
      <c r="B1095" s="11" t="s">
        <v>2365</v>
      </c>
      <c r="C1095" s="48" t="s">
        <v>3290</v>
      </c>
      <c r="F1095"/>
      <c r="G1095" s="2">
        <v>500</v>
      </c>
      <c r="I1095" s="2">
        <f t="shared" si="74"/>
        <v>12059.27</v>
      </c>
      <c r="N1095" s="2">
        <f t="shared" si="76"/>
        <v>2</v>
      </c>
    </row>
    <row r="1096" spans="1:14" x14ac:dyDescent="0.25">
      <c r="A1096" s="3">
        <v>45037</v>
      </c>
      <c r="B1096" s="11" t="s">
        <v>1253</v>
      </c>
      <c r="C1096" s="48"/>
      <c r="F1096"/>
      <c r="G1096" s="2">
        <v>2000</v>
      </c>
      <c r="I1096" s="2">
        <f t="shared" si="74"/>
        <v>14059.27</v>
      </c>
      <c r="N1096" s="2">
        <f t="shared" si="76"/>
        <v>8</v>
      </c>
    </row>
    <row r="1097" spans="1:14" x14ac:dyDescent="0.25">
      <c r="A1097" s="3">
        <v>45037</v>
      </c>
      <c r="B1097" s="11" t="s">
        <v>2238</v>
      </c>
      <c r="C1097" s="48" t="s">
        <v>2239</v>
      </c>
      <c r="F1097"/>
      <c r="G1097" s="2">
        <v>1000</v>
      </c>
      <c r="I1097" s="2">
        <f t="shared" si="74"/>
        <v>15059.27</v>
      </c>
      <c r="N1097" s="2">
        <f t="shared" si="76"/>
        <v>4</v>
      </c>
    </row>
    <row r="1098" spans="1:14" x14ac:dyDescent="0.25">
      <c r="A1098" s="3">
        <v>45037</v>
      </c>
      <c r="B1098" s="11" t="s">
        <v>1253</v>
      </c>
      <c r="C1098" s="48" t="s">
        <v>2654</v>
      </c>
      <c r="F1098"/>
      <c r="G1098" s="2">
        <v>1200</v>
      </c>
      <c r="I1098" s="2">
        <f t="shared" si="74"/>
        <v>16259.27</v>
      </c>
      <c r="N1098" s="2">
        <f t="shared" si="76"/>
        <v>4.8</v>
      </c>
    </row>
    <row r="1099" spans="1:14" x14ac:dyDescent="0.25">
      <c r="A1099" s="3">
        <v>45037</v>
      </c>
      <c r="B1099" s="11" t="s">
        <v>1260</v>
      </c>
      <c r="C1099" s="48" t="s">
        <v>1256</v>
      </c>
      <c r="F1099"/>
      <c r="H1099" s="2">
        <v>6000</v>
      </c>
      <c r="I1099" s="2">
        <f t="shared" si="74"/>
        <v>10259.27</v>
      </c>
      <c r="N1099" s="2">
        <f t="shared" si="76"/>
        <v>20</v>
      </c>
    </row>
    <row r="1100" spans="1:14" x14ac:dyDescent="0.25">
      <c r="A1100" s="3">
        <v>45037</v>
      </c>
      <c r="B1100" s="11" t="s">
        <v>1475</v>
      </c>
      <c r="C1100" s="48" t="s">
        <v>3373</v>
      </c>
      <c r="D1100" s="58">
        <v>9312824018</v>
      </c>
      <c r="F1100"/>
      <c r="G1100" s="2">
        <v>5000</v>
      </c>
      <c r="I1100" s="2">
        <f t="shared" si="74"/>
        <v>15259.27</v>
      </c>
      <c r="N1100" s="2">
        <f t="shared" si="76"/>
        <v>20</v>
      </c>
    </row>
    <row r="1101" spans="1:14" x14ac:dyDescent="0.25">
      <c r="A1101" s="3">
        <v>45038</v>
      </c>
      <c r="B1101" s="11" t="s">
        <v>3333</v>
      </c>
      <c r="C1101" s="48" t="s">
        <v>2766</v>
      </c>
      <c r="F1101"/>
      <c r="G1101" s="2">
        <v>1000</v>
      </c>
      <c r="I1101" s="2">
        <f t="shared" si="74"/>
        <v>16259.27</v>
      </c>
      <c r="N1101" s="2">
        <f t="shared" si="76"/>
        <v>4</v>
      </c>
    </row>
    <row r="1102" spans="1:14" x14ac:dyDescent="0.25">
      <c r="A1102" s="3">
        <v>45038</v>
      </c>
      <c r="B1102" s="11" t="s">
        <v>1475</v>
      </c>
      <c r="C1102" s="48" t="s">
        <v>3553</v>
      </c>
      <c r="D1102" s="58">
        <v>8969168180</v>
      </c>
      <c r="F1102"/>
      <c r="G1102" s="2">
        <v>1000</v>
      </c>
      <c r="I1102" s="2">
        <f t="shared" si="74"/>
        <v>17259.27</v>
      </c>
      <c r="N1102" s="2">
        <f t="shared" si="76"/>
        <v>4</v>
      </c>
    </row>
    <row r="1103" spans="1:14" x14ac:dyDescent="0.25">
      <c r="A1103" s="3">
        <v>45039</v>
      </c>
      <c r="B1103" s="11" t="s">
        <v>2472</v>
      </c>
      <c r="C1103" s="48" t="s">
        <v>1256</v>
      </c>
      <c r="F1103"/>
      <c r="H1103" s="2">
        <v>5000</v>
      </c>
      <c r="I1103" s="2">
        <f t="shared" si="74"/>
        <v>12259.27</v>
      </c>
      <c r="N1103" s="2">
        <f t="shared" si="76"/>
        <v>20</v>
      </c>
    </row>
    <row r="1104" spans="1:14" x14ac:dyDescent="0.25">
      <c r="A1104" s="3">
        <v>45040</v>
      </c>
      <c r="B1104" s="11" t="s">
        <v>3554</v>
      </c>
      <c r="C1104" t="s">
        <v>3556</v>
      </c>
      <c r="F1104"/>
      <c r="H1104" s="2">
        <v>100</v>
      </c>
      <c r="I1104" s="2">
        <f t="shared" si="74"/>
        <v>12159.27</v>
      </c>
    </row>
    <row r="1105" spans="1:16" x14ac:dyDescent="0.25">
      <c r="A1105" s="3">
        <v>45043</v>
      </c>
      <c r="B1105" s="11" t="s">
        <v>2663</v>
      </c>
      <c r="C1105" s="48" t="s">
        <v>2664</v>
      </c>
      <c r="F1105"/>
      <c r="G1105" s="2">
        <v>500</v>
      </c>
      <c r="I1105" s="2">
        <f t="shared" si="74"/>
        <v>12659.27</v>
      </c>
      <c r="N1105" s="2">
        <f t="shared" ref="N1105:N1114" si="77">IF((G1105+H1105)&lt;=5000,(H1105+G1105)*0.004,20)+IF(E1105="Y",25,0)</f>
        <v>2</v>
      </c>
    </row>
    <row r="1106" spans="1:16" x14ac:dyDescent="0.25">
      <c r="A1106" s="3">
        <v>45043</v>
      </c>
      <c r="B1106" s="11" t="s">
        <v>1163</v>
      </c>
      <c r="C1106" s="48" t="s">
        <v>3559</v>
      </c>
      <c r="F1106"/>
      <c r="G1106" s="2">
        <v>4000</v>
      </c>
      <c r="I1106" s="2">
        <f t="shared" si="74"/>
        <v>16659.27</v>
      </c>
      <c r="N1106" s="2">
        <f t="shared" si="77"/>
        <v>16</v>
      </c>
    </row>
    <row r="1107" spans="1:16" x14ac:dyDescent="0.25">
      <c r="A1107" s="3">
        <v>45043</v>
      </c>
      <c r="B1107" s="11" t="s">
        <v>2472</v>
      </c>
      <c r="C1107" s="48" t="s">
        <v>1256</v>
      </c>
      <c r="F1107"/>
      <c r="H1107" s="2">
        <v>5000</v>
      </c>
      <c r="I1107" s="2">
        <f t="shared" si="74"/>
        <v>11659.27</v>
      </c>
      <c r="N1107" s="2">
        <f t="shared" si="77"/>
        <v>20</v>
      </c>
    </row>
    <row r="1108" spans="1:16" x14ac:dyDescent="0.25">
      <c r="A1108" s="3">
        <v>45043</v>
      </c>
      <c r="B1108" s="11" t="s">
        <v>1475</v>
      </c>
      <c r="C1108" s="48" t="s">
        <v>3560</v>
      </c>
      <c r="D1108" s="58">
        <v>9608611365</v>
      </c>
      <c r="F1108"/>
      <c r="G1108" s="2">
        <v>3900</v>
      </c>
      <c r="I1108" s="2">
        <f t="shared" si="74"/>
        <v>15559.27</v>
      </c>
      <c r="N1108" s="2">
        <f t="shared" si="77"/>
        <v>15.6</v>
      </c>
    </row>
    <row r="1109" spans="1:16" x14ac:dyDescent="0.25">
      <c r="A1109" s="3">
        <v>45044</v>
      </c>
      <c r="B1109" s="11" t="s">
        <v>2438</v>
      </c>
      <c r="C1109" s="48" t="s">
        <v>3561</v>
      </c>
      <c r="D1109" s="58">
        <v>9835900755</v>
      </c>
      <c r="F1109"/>
      <c r="G1109" s="2">
        <v>1000</v>
      </c>
      <c r="I1109" s="2">
        <f t="shared" si="74"/>
        <v>16559.27</v>
      </c>
      <c r="N1109" s="2">
        <f t="shared" si="77"/>
        <v>4</v>
      </c>
    </row>
    <row r="1110" spans="1:16" x14ac:dyDescent="0.25">
      <c r="A1110" s="3">
        <v>45044</v>
      </c>
      <c r="B1110" s="11" t="s">
        <v>1163</v>
      </c>
      <c r="C1110" s="48" t="s">
        <v>3562</v>
      </c>
      <c r="F1110"/>
      <c r="G1110" s="2">
        <v>1000</v>
      </c>
      <c r="I1110" s="2">
        <f t="shared" si="74"/>
        <v>17559.27</v>
      </c>
      <c r="N1110" s="2">
        <f t="shared" si="77"/>
        <v>4</v>
      </c>
    </row>
    <row r="1111" spans="1:16" x14ac:dyDescent="0.25">
      <c r="A1111" s="3">
        <v>45044</v>
      </c>
      <c r="B1111" s="11" t="s">
        <v>1253</v>
      </c>
      <c r="C1111" s="48" t="s">
        <v>3563</v>
      </c>
      <c r="D1111" s="58">
        <v>637103514</v>
      </c>
      <c r="F1111"/>
      <c r="G1111" s="2">
        <v>4000</v>
      </c>
      <c r="I1111" s="2">
        <f t="shared" si="74"/>
        <v>21559.27</v>
      </c>
      <c r="N1111" s="2">
        <f t="shared" si="77"/>
        <v>16</v>
      </c>
    </row>
    <row r="1112" spans="1:16" x14ac:dyDescent="0.25">
      <c r="A1112" s="3">
        <v>45044</v>
      </c>
      <c r="B1112" s="11" t="s">
        <v>2748</v>
      </c>
      <c r="C1112" s="48" t="s">
        <v>1282</v>
      </c>
      <c r="F1112"/>
      <c r="H1112" s="2">
        <v>10000</v>
      </c>
      <c r="I1112" s="2">
        <f t="shared" si="74"/>
        <v>11559.27</v>
      </c>
      <c r="N1112" s="2">
        <f t="shared" si="77"/>
        <v>20</v>
      </c>
    </row>
    <row r="1113" spans="1:16" x14ac:dyDescent="0.25">
      <c r="A1113" s="3">
        <v>45044</v>
      </c>
      <c r="B1113" s="11" t="s">
        <v>1253</v>
      </c>
      <c r="C1113" s="48"/>
      <c r="F1113"/>
      <c r="G1113" s="2">
        <v>950</v>
      </c>
      <c r="I1113" s="2">
        <f t="shared" si="74"/>
        <v>12509.27</v>
      </c>
      <c r="N1113" s="2">
        <f t="shared" si="77"/>
        <v>3.8000000000000003</v>
      </c>
    </row>
    <row r="1114" spans="1:16" x14ac:dyDescent="0.25">
      <c r="A1114" s="3">
        <v>45046</v>
      </c>
      <c r="B1114" s="11" t="s">
        <v>1163</v>
      </c>
      <c r="C1114" s="48" t="s">
        <v>3564</v>
      </c>
      <c r="F1114"/>
      <c r="G1114" s="2">
        <v>200</v>
      </c>
      <c r="I1114" s="2">
        <f t="shared" si="74"/>
        <v>12709.27</v>
      </c>
      <c r="N1114" s="2">
        <f t="shared" si="77"/>
        <v>0.8</v>
      </c>
    </row>
    <row r="1115" spans="1:16" x14ac:dyDescent="0.25">
      <c r="A1115" s="3"/>
      <c r="C1115" s="48"/>
      <c r="F1115"/>
    </row>
    <row r="1116" spans="1:16" x14ac:dyDescent="0.25">
      <c r="A1116" s="97"/>
      <c r="B1116" s="102"/>
      <c r="C1116" s="27"/>
      <c r="D1116" s="139"/>
      <c r="E1116" s="117">
        <f>COUNTIF(E1030:E1115,"Y")</f>
        <v>5</v>
      </c>
      <c r="F1116" s="97">
        <f>G1116+H1116</f>
        <v>334538.52</v>
      </c>
      <c r="G1116" s="107">
        <f>SUM(G1030:G1115)</f>
        <v>169438.52</v>
      </c>
      <c r="H1116" s="107">
        <f>SUM(H1030:H1115)</f>
        <v>165100</v>
      </c>
      <c r="I1116" s="103"/>
      <c r="J1116" s="97"/>
      <c r="K1116" s="97"/>
      <c r="L1116" s="97"/>
      <c r="M1116" s="97"/>
      <c r="N1116" s="103">
        <f>SUM(N1030:N1115)</f>
        <v>1082.8399999999997</v>
      </c>
      <c r="O1116" s="97"/>
      <c r="P1116" s="97"/>
    </row>
    <row r="1117" spans="1:16" x14ac:dyDescent="0.25">
      <c r="C1117" s="48"/>
      <c r="D1117" s="59"/>
      <c r="F1117" s="11"/>
    </row>
    <row r="1118" spans="1:16" x14ac:dyDescent="0.25">
      <c r="A1118" s="3">
        <v>45047</v>
      </c>
      <c r="C1118" s="48" t="s">
        <v>3027</v>
      </c>
      <c r="F1118"/>
      <c r="G1118" s="2">
        <v>15008.79</v>
      </c>
      <c r="I1118" s="2">
        <f t="shared" ref="I1118:I1185" si="78">I1117+G1118-H1118</f>
        <v>15008.79</v>
      </c>
    </row>
    <row r="1119" spans="1:16" x14ac:dyDescent="0.25">
      <c r="A1119" s="3">
        <v>45047</v>
      </c>
      <c r="B1119" s="11" t="s">
        <v>1253</v>
      </c>
      <c r="C1119" s="48" t="s">
        <v>2664</v>
      </c>
      <c r="F1119"/>
      <c r="G1119" s="2">
        <v>500</v>
      </c>
      <c r="I1119" s="2">
        <f t="shared" si="78"/>
        <v>15508.79</v>
      </c>
      <c r="N1119" s="2">
        <f t="shared" ref="N1119:N1150" si="79">IF((G1119+H1119)&lt;=5000,(H1119+G1119)*0.004,20)+IF(E1119="Y",25,0)</f>
        <v>2</v>
      </c>
    </row>
    <row r="1120" spans="1:16" x14ac:dyDescent="0.25">
      <c r="A1120" s="3">
        <v>45047</v>
      </c>
      <c r="B1120" s="11" t="s">
        <v>2247</v>
      </c>
      <c r="C1120" s="48" t="s">
        <v>3565</v>
      </c>
      <c r="D1120" s="58">
        <v>9031090013</v>
      </c>
      <c r="F1120"/>
      <c r="G1120" s="2">
        <v>4500</v>
      </c>
      <c r="I1120" s="2">
        <f t="shared" si="78"/>
        <v>20008.79</v>
      </c>
      <c r="N1120" s="2">
        <f t="shared" si="79"/>
        <v>18</v>
      </c>
    </row>
    <row r="1121" spans="1:14" x14ac:dyDescent="0.25">
      <c r="A1121" s="3">
        <v>45047</v>
      </c>
      <c r="B1121" s="11" t="s">
        <v>2347</v>
      </c>
      <c r="C1121" s="48" t="s">
        <v>2654</v>
      </c>
      <c r="F1121"/>
      <c r="G1121" s="2">
        <v>10000</v>
      </c>
      <c r="I1121" s="2">
        <f t="shared" si="78"/>
        <v>30008.79</v>
      </c>
      <c r="N1121" s="2">
        <f t="shared" si="79"/>
        <v>20</v>
      </c>
    </row>
    <row r="1122" spans="1:14" x14ac:dyDescent="0.25">
      <c r="A1122" s="3">
        <v>45047</v>
      </c>
      <c r="B1122" s="11" t="s">
        <v>1260</v>
      </c>
      <c r="C1122" s="48" t="s">
        <v>3567</v>
      </c>
      <c r="F1122"/>
      <c r="H1122" s="2">
        <v>6000</v>
      </c>
      <c r="I1122" s="2">
        <f t="shared" si="78"/>
        <v>24008.79</v>
      </c>
      <c r="N1122" s="2">
        <f t="shared" si="79"/>
        <v>20</v>
      </c>
    </row>
    <row r="1123" spans="1:14" x14ac:dyDescent="0.25">
      <c r="A1123" s="3">
        <v>45047</v>
      </c>
      <c r="B1123" s="11" t="s">
        <v>2707</v>
      </c>
      <c r="C1123" s="48" t="s">
        <v>3566</v>
      </c>
      <c r="F1123"/>
      <c r="H1123" s="2">
        <v>10000</v>
      </c>
      <c r="I1123" s="2">
        <f t="shared" si="78"/>
        <v>14008.79</v>
      </c>
      <c r="N1123" s="2">
        <f t="shared" si="79"/>
        <v>20</v>
      </c>
    </row>
    <row r="1124" spans="1:14" x14ac:dyDescent="0.25">
      <c r="A1124" s="3">
        <v>45047</v>
      </c>
      <c r="B1124" s="11" t="s">
        <v>1163</v>
      </c>
      <c r="C1124" s="48" t="s">
        <v>3568</v>
      </c>
      <c r="D1124" s="58">
        <v>6299391883</v>
      </c>
      <c r="F1124"/>
      <c r="G1124" s="2">
        <v>8000</v>
      </c>
      <c r="I1124" s="2">
        <f t="shared" si="78"/>
        <v>22008.79</v>
      </c>
      <c r="N1124" s="2">
        <f t="shared" si="79"/>
        <v>20</v>
      </c>
    </row>
    <row r="1125" spans="1:14" x14ac:dyDescent="0.25">
      <c r="A1125" s="3">
        <v>45048</v>
      </c>
      <c r="B1125" s="11" t="s">
        <v>2347</v>
      </c>
      <c r="C1125" s="48" t="s">
        <v>2654</v>
      </c>
      <c r="F1125"/>
      <c r="G1125" s="2">
        <v>1000</v>
      </c>
      <c r="I1125" s="2">
        <f t="shared" si="78"/>
        <v>23008.79</v>
      </c>
      <c r="N1125" s="2">
        <f t="shared" si="79"/>
        <v>4</v>
      </c>
    </row>
    <row r="1126" spans="1:14" x14ac:dyDescent="0.25">
      <c r="A1126" s="3">
        <v>45048</v>
      </c>
      <c r="B1126" s="11" t="s">
        <v>2307</v>
      </c>
      <c r="C1126" s="48" t="s">
        <v>3080</v>
      </c>
      <c r="F1126"/>
      <c r="G1126" s="2">
        <v>3000</v>
      </c>
      <c r="I1126" s="2">
        <f t="shared" si="78"/>
        <v>26008.79</v>
      </c>
      <c r="N1126" s="2">
        <f t="shared" si="79"/>
        <v>12</v>
      </c>
    </row>
    <row r="1127" spans="1:14" x14ac:dyDescent="0.25">
      <c r="A1127" s="3">
        <v>45048</v>
      </c>
      <c r="B1127" s="11" t="s">
        <v>3569</v>
      </c>
      <c r="C1127" s="48" t="s">
        <v>2420</v>
      </c>
      <c r="F1127"/>
      <c r="G1127" s="2">
        <v>1400</v>
      </c>
      <c r="I1127" s="2">
        <f t="shared" si="78"/>
        <v>27408.79</v>
      </c>
      <c r="N1127" s="2">
        <f t="shared" si="79"/>
        <v>5.6000000000000005</v>
      </c>
    </row>
    <row r="1128" spans="1:14" x14ac:dyDescent="0.25">
      <c r="A1128" s="3">
        <v>45048</v>
      </c>
      <c r="B1128" s="11" t="s">
        <v>1253</v>
      </c>
      <c r="C1128" s="48" t="s">
        <v>3570</v>
      </c>
      <c r="F1128"/>
      <c r="H1128" s="2">
        <v>10000</v>
      </c>
      <c r="I1128" s="2">
        <f t="shared" si="78"/>
        <v>17408.79</v>
      </c>
      <c r="N1128" s="2">
        <f t="shared" si="79"/>
        <v>20</v>
      </c>
    </row>
    <row r="1129" spans="1:14" x14ac:dyDescent="0.25">
      <c r="A1129" s="3">
        <v>45049</v>
      </c>
      <c r="B1129" s="11" t="s">
        <v>1253</v>
      </c>
      <c r="C1129" s="48" t="s">
        <v>2664</v>
      </c>
      <c r="F1129"/>
      <c r="G1129" s="2">
        <v>10000</v>
      </c>
      <c r="I1129" s="2">
        <f t="shared" si="78"/>
        <v>27408.79</v>
      </c>
      <c r="N1129" s="2">
        <f t="shared" si="79"/>
        <v>20</v>
      </c>
    </row>
    <row r="1130" spans="1:14" x14ac:dyDescent="0.25">
      <c r="A1130" s="3">
        <v>45050</v>
      </c>
      <c r="B1130" s="11" t="s">
        <v>1163</v>
      </c>
      <c r="C1130" s="48"/>
      <c r="F1130"/>
      <c r="G1130" s="2">
        <v>2000</v>
      </c>
      <c r="I1130" s="2">
        <f t="shared" si="78"/>
        <v>29408.79</v>
      </c>
      <c r="N1130" s="2">
        <f t="shared" si="79"/>
        <v>8</v>
      </c>
    </row>
    <row r="1131" spans="1:14" x14ac:dyDescent="0.25">
      <c r="A1131" s="3">
        <v>45050</v>
      </c>
      <c r="C1131" s="48"/>
      <c r="F1131"/>
      <c r="G1131" s="2">
        <v>1000</v>
      </c>
      <c r="I1131" s="2">
        <f t="shared" si="78"/>
        <v>30408.79</v>
      </c>
      <c r="N1131" s="2">
        <f t="shared" si="79"/>
        <v>4</v>
      </c>
    </row>
    <row r="1132" spans="1:14" x14ac:dyDescent="0.25">
      <c r="A1132" s="3">
        <v>45050</v>
      </c>
      <c r="B1132" s="11" t="s">
        <v>3571</v>
      </c>
      <c r="C1132" s="48" t="s">
        <v>3572</v>
      </c>
      <c r="F1132"/>
      <c r="H1132" s="2">
        <v>5000</v>
      </c>
      <c r="I1132" s="2">
        <f t="shared" si="78"/>
        <v>25408.79</v>
      </c>
      <c r="N1132" s="2">
        <f t="shared" si="79"/>
        <v>20</v>
      </c>
    </row>
    <row r="1133" spans="1:14" x14ac:dyDescent="0.25">
      <c r="A1133" s="3">
        <v>45051</v>
      </c>
      <c r="B1133" s="11" t="s">
        <v>3573</v>
      </c>
      <c r="C1133" s="48" t="s">
        <v>3574</v>
      </c>
      <c r="F1133"/>
      <c r="H1133" s="2">
        <v>4000</v>
      </c>
      <c r="I1133" s="2">
        <f t="shared" si="78"/>
        <v>21408.79</v>
      </c>
      <c r="N1133" s="2">
        <f t="shared" si="79"/>
        <v>16</v>
      </c>
    </row>
    <row r="1134" spans="1:14" x14ac:dyDescent="0.25">
      <c r="A1134" s="3">
        <v>45051</v>
      </c>
      <c r="B1134" s="11" t="s">
        <v>3571</v>
      </c>
      <c r="C1134" s="48" t="s">
        <v>3575</v>
      </c>
      <c r="F1134"/>
      <c r="H1134" s="2">
        <v>5000</v>
      </c>
      <c r="I1134" s="2">
        <f t="shared" si="78"/>
        <v>16408.79</v>
      </c>
      <c r="N1134" s="2">
        <f t="shared" si="79"/>
        <v>20</v>
      </c>
    </row>
    <row r="1135" spans="1:14" x14ac:dyDescent="0.25">
      <c r="A1135" s="3">
        <v>45051</v>
      </c>
      <c r="C1135" s="48" t="s">
        <v>3570</v>
      </c>
      <c r="F1135"/>
      <c r="H1135" s="2">
        <v>3000</v>
      </c>
      <c r="I1135" s="2">
        <f t="shared" si="78"/>
        <v>13408.79</v>
      </c>
      <c r="N1135" s="2">
        <f t="shared" si="79"/>
        <v>12</v>
      </c>
    </row>
    <row r="1136" spans="1:14" x14ac:dyDescent="0.25">
      <c r="A1136" s="3">
        <v>45051</v>
      </c>
      <c r="B1136" s="11" t="s">
        <v>3576</v>
      </c>
      <c r="C1136" s="48" t="s">
        <v>3577</v>
      </c>
      <c r="E1136" s="115" t="s">
        <v>16</v>
      </c>
      <c r="F1136"/>
      <c r="H1136" s="2">
        <v>100</v>
      </c>
      <c r="I1136" s="2">
        <f t="shared" si="78"/>
        <v>13308.79</v>
      </c>
      <c r="N1136" s="2">
        <f t="shared" si="79"/>
        <v>25.4</v>
      </c>
    </row>
    <row r="1137" spans="1:14" x14ac:dyDescent="0.25">
      <c r="A1137" s="3">
        <v>45051</v>
      </c>
      <c r="B1137" s="11" t="s">
        <v>3583</v>
      </c>
      <c r="C1137" s="48"/>
      <c r="E1137" s="115" t="s">
        <v>16</v>
      </c>
      <c r="F1137"/>
      <c r="H1137" s="2">
        <v>200</v>
      </c>
      <c r="I1137" s="2">
        <f t="shared" si="78"/>
        <v>13108.79</v>
      </c>
      <c r="N1137" s="2">
        <f t="shared" si="79"/>
        <v>25.8</v>
      </c>
    </row>
    <row r="1138" spans="1:14" x14ac:dyDescent="0.25">
      <c r="A1138" s="3">
        <v>45052</v>
      </c>
      <c r="B1138" s="11" t="s">
        <v>1253</v>
      </c>
      <c r="C1138" s="48" t="s">
        <v>2654</v>
      </c>
      <c r="F1138"/>
      <c r="G1138" s="2">
        <v>500</v>
      </c>
      <c r="I1138" s="2">
        <f t="shared" si="78"/>
        <v>13608.79</v>
      </c>
      <c r="N1138" s="2">
        <f t="shared" si="79"/>
        <v>2</v>
      </c>
    </row>
    <row r="1139" spans="1:14" x14ac:dyDescent="0.25">
      <c r="A1139" s="3">
        <v>45052</v>
      </c>
      <c r="B1139" s="11" t="s">
        <v>1253</v>
      </c>
      <c r="C1139" s="48" t="s">
        <v>2766</v>
      </c>
      <c r="F1139"/>
      <c r="G1139" s="2">
        <v>800</v>
      </c>
      <c r="I1139" s="2">
        <f t="shared" si="78"/>
        <v>14408.79</v>
      </c>
      <c r="N1139" s="2">
        <f t="shared" si="79"/>
        <v>3.2</v>
      </c>
    </row>
    <row r="1140" spans="1:14" x14ac:dyDescent="0.25">
      <c r="A1140" s="3">
        <v>45052</v>
      </c>
      <c r="B1140" s="11" t="s">
        <v>1253</v>
      </c>
      <c r="C1140" s="48" t="s">
        <v>3584</v>
      </c>
      <c r="F1140"/>
      <c r="G1140" s="2">
        <v>5000</v>
      </c>
      <c r="I1140" s="2">
        <f t="shared" si="78"/>
        <v>19408.79</v>
      </c>
      <c r="N1140" s="2">
        <f t="shared" si="79"/>
        <v>20</v>
      </c>
    </row>
    <row r="1141" spans="1:14" x14ac:dyDescent="0.25">
      <c r="A1141" s="3">
        <v>45052</v>
      </c>
      <c r="B1141" s="11" t="s">
        <v>1253</v>
      </c>
      <c r="C1141" s="48" t="s">
        <v>3585</v>
      </c>
      <c r="F1141"/>
      <c r="G1141" s="2">
        <v>2000</v>
      </c>
      <c r="I1141" s="2">
        <f t="shared" si="78"/>
        <v>21408.79</v>
      </c>
      <c r="N1141" s="2">
        <f t="shared" si="79"/>
        <v>8</v>
      </c>
    </row>
    <row r="1142" spans="1:14" x14ac:dyDescent="0.25">
      <c r="A1142" s="3">
        <v>45052</v>
      </c>
      <c r="B1142" s="11" t="s">
        <v>3586</v>
      </c>
      <c r="C1142" s="48" t="s">
        <v>1648</v>
      </c>
      <c r="F1142"/>
      <c r="H1142" s="2">
        <v>2500</v>
      </c>
      <c r="I1142" s="2">
        <f t="shared" si="78"/>
        <v>18908.79</v>
      </c>
      <c r="N1142" s="2">
        <f t="shared" si="79"/>
        <v>10</v>
      </c>
    </row>
    <row r="1143" spans="1:14" x14ac:dyDescent="0.25">
      <c r="A1143" s="3">
        <v>45052</v>
      </c>
      <c r="B1143" s="11" t="s">
        <v>3587</v>
      </c>
      <c r="C1143" s="48" t="s">
        <v>3588</v>
      </c>
      <c r="F1143"/>
      <c r="G1143" s="2">
        <v>2000</v>
      </c>
      <c r="I1143" s="2">
        <f t="shared" si="78"/>
        <v>20908.79</v>
      </c>
      <c r="N1143" s="2">
        <f t="shared" si="79"/>
        <v>8</v>
      </c>
    </row>
    <row r="1144" spans="1:14" x14ac:dyDescent="0.25">
      <c r="A1144" s="3">
        <v>45052</v>
      </c>
      <c r="B1144" s="11" t="s">
        <v>3589</v>
      </c>
      <c r="C1144" s="48" t="s">
        <v>2654</v>
      </c>
      <c r="F1144"/>
      <c r="G1144" s="2">
        <v>1000</v>
      </c>
      <c r="I1144" s="2">
        <f t="shared" si="78"/>
        <v>21908.79</v>
      </c>
      <c r="N1144" s="2">
        <f t="shared" si="79"/>
        <v>4</v>
      </c>
    </row>
    <row r="1145" spans="1:14" x14ac:dyDescent="0.25">
      <c r="A1145" s="3">
        <v>45054</v>
      </c>
      <c r="B1145" s="11" t="s">
        <v>3590</v>
      </c>
      <c r="C1145" s="48" t="s">
        <v>3312</v>
      </c>
      <c r="F1145"/>
      <c r="G1145" s="2">
        <v>2000</v>
      </c>
      <c r="I1145" s="2">
        <f t="shared" si="78"/>
        <v>23908.79</v>
      </c>
      <c r="N1145" s="2">
        <f t="shared" si="79"/>
        <v>8</v>
      </c>
    </row>
    <row r="1146" spans="1:14" x14ac:dyDescent="0.25">
      <c r="A1146" s="3">
        <v>45054</v>
      </c>
      <c r="B1146" s="11" t="s">
        <v>2748</v>
      </c>
      <c r="C1146" s="48" t="s">
        <v>1282</v>
      </c>
      <c r="F1146"/>
      <c r="H1146" s="2">
        <v>10000</v>
      </c>
      <c r="I1146" s="2">
        <f t="shared" si="78"/>
        <v>13908.79</v>
      </c>
      <c r="N1146" s="2">
        <f t="shared" si="79"/>
        <v>20</v>
      </c>
    </row>
    <row r="1147" spans="1:14" x14ac:dyDescent="0.25">
      <c r="A1147" s="3">
        <v>45054</v>
      </c>
      <c r="B1147" s="11" t="s">
        <v>1253</v>
      </c>
      <c r="C1147" s="48" t="s">
        <v>2664</v>
      </c>
      <c r="F1147"/>
      <c r="G1147" s="2">
        <v>2000</v>
      </c>
      <c r="I1147" s="2">
        <f t="shared" si="78"/>
        <v>15908.79</v>
      </c>
      <c r="N1147" s="2">
        <f t="shared" si="79"/>
        <v>8</v>
      </c>
    </row>
    <row r="1148" spans="1:14" x14ac:dyDescent="0.25">
      <c r="A1148" s="3">
        <v>45054</v>
      </c>
      <c r="C1148" s="48" t="s">
        <v>3289</v>
      </c>
      <c r="F1148"/>
      <c r="H1148" s="2">
        <v>1600</v>
      </c>
      <c r="I1148" s="2">
        <f t="shared" si="78"/>
        <v>14308.79</v>
      </c>
      <c r="N1148" s="2">
        <f t="shared" si="79"/>
        <v>6.4</v>
      </c>
    </row>
    <row r="1149" spans="1:14" x14ac:dyDescent="0.25">
      <c r="A1149" s="3">
        <v>45054</v>
      </c>
      <c r="B1149" s="11" t="s">
        <v>3597</v>
      </c>
      <c r="C1149" s="48" t="s">
        <v>3598</v>
      </c>
      <c r="E1149" s="115" t="s">
        <v>16</v>
      </c>
      <c r="F1149"/>
      <c r="H1149" s="2">
        <v>200</v>
      </c>
      <c r="I1149" s="2">
        <f t="shared" si="78"/>
        <v>14108.79</v>
      </c>
      <c r="N1149" s="2">
        <f t="shared" si="79"/>
        <v>25.8</v>
      </c>
    </row>
    <row r="1150" spans="1:14" x14ac:dyDescent="0.25">
      <c r="A1150" s="3">
        <v>45054</v>
      </c>
      <c r="B1150" s="11" t="s">
        <v>1163</v>
      </c>
      <c r="C1150" s="48" t="s">
        <v>3594</v>
      </c>
      <c r="F1150"/>
      <c r="G1150" s="2">
        <v>300</v>
      </c>
      <c r="I1150" s="2">
        <f t="shared" si="78"/>
        <v>14408.79</v>
      </c>
      <c r="N1150" s="2">
        <f t="shared" si="79"/>
        <v>1.2</v>
      </c>
    </row>
    <row r="1151" spans="1:14" x14ac:dyDescent="0.25">
      <c r="A1151" s="3">
        <v>45055</v>
      </c>
      <c r="B1151" s="11" t="s">
        <v>3595</v>
      </c>
      <c r="C1151" s="48" t="s">
        <v>3596</v>
      </c>
      <c r="D1151" s="58">
        <v>9122946438</v>
      </c>
      <c r="F1151"/>
      <c r="G1151" s="2">
        <v>2000</v>
      </c>
      <c r="I1151" s="2">
        <f t="shared" si="78"/>
        <v>16408.79</v>
      </c>
      <c r="N1151" s="2">
        <f t="shared" ref="N1151:N1182" si="80">IF((G1151+H1151)&lt;=5000,(H1151+G1151)*0.004,20)+IF(E1151="Y",25,0)</f>
        <v>8</v>
      </c>
    </row>
    <row r="1152" spans="1:14" x14ac:dyDescent="0.25">
      <c r="A1152" s="3">
        <v>45055</v>
      </c>
      <c r="B1152" s="11" t="s">
        <v>1253</v>
      </c>
      <c r="C1152" s="48"/>
      <c r="F1152"/>
      <c r="H1152" s="2">
        <v>500</v>
      </c>
      <c r="I1152" s="2">
        <f t="shared" si="78"/>
        <v>15908.79</v>
      </c>
      <c r="N1152" s="2">
        <f t="shared" si="80"/>
        <v>2</v>
      </c>
    </row>
    <row r="1153" spans="1:14" x14ac:dyDescent="0.25">
      <c r="A1153" s="3">
        <v>45055</v>
      </c>
      <c r="B1153" s="11" t="s">
        <v>2472</v>
      </c>
      <c r="C1153" s="48" t="s">
        <v>2295</v>
      </c>
      <c r="F1153"/>
      <c r="H1153" s="2">
        <v>5000</v>
      </c>
      <c r="I1153" s="2">
        <f t="shared" si="78"/>
        <v>10908.79</v>
      </c>
      <c r="N1153" s="2">
        <f t="shared" si="80"/>
        <v>20</v>
      </c>
    </row>
    <row r="1154" spans="1:14" x14ac:dyDescent="0.25">
      <c r="A1154" s="3">
        <v>45055</v>
      </c>
      <c r="B1154" s="11" t="s">
        <v>3599</v>
      </c>
      <c r="C1154" s="48" t="s">
        <v>3603</v>
      </c>
      <c r="E1154" s="115" t="s">
        <v>16</v>
      </c>
      <c r="F1154"/>
      <c r="H1154" s="2">
        <v>500</v>
      </c>
      <c r="I1154" s="2">
        <f t="shared" si="78"/>
        <v>10408.790000000001</v>
      </c>
      <c r="N1154" s="2">
        <f t="shared" si="80"/>
        <v>27</v>
      </c>
    </row>
    <row r="1155" spans="1:14" x14ac:dyDescent="0.25">
      <c r="A1155" s="3">
        <v>45055</v>
      </c>
      <c r="B1155" s="11" t="s">
        <v>2190</v>
      </c>
      <c r="C1155" s="48" t="s">
        <v>3389</v>
      </c>
      <c r="F1155"/>
      <c r="H1155" s="2">
        <v>4200</v>
      </c>
      <c r="I1155" s="2">
        <f t="shared" si="78"/>
        <v>6208.7900000000009</v>
      </c>
      <c r="N1155" s="2">
        <f t="shared" si="80"/>
        <v>16.8</v>
      </c>
    </row>
    <row r="1156" spans="1:14" x14ac:dyDescent="0.25">
      <c r="A1156" s="3">
        <v>45055</v>
      </c>
      <c r="B1156" s="11" t="s">
        <v>2360</v>
      </c>
      <c r="C1156" s="48" t="s">
        <v>2480</v>
      </c>
      <c r="F1156"/>
      <c r="H1156" s="2">
        <v>3600</v>
      </c>
      <c r="I1156" s="2">
        <f t="shared" si="78"/>
        <v>2608.7900000000009</v>
      </c>
      <c r="N1156" s="2">
        <f t="shared" si="80"/>
        <v>14.4</v>
      </c>
    </row>
    <row r="1157" spans="1:14" x14ac:dyDescent="0.25">
      <c r="A1157" s="3">
        <v>45055</v>
      </c>
      <c r="C1157" s="48" t="s">
        <v>2664</v>
      </c>
      <c r="F1157"/>
      <c r="G1157" s="2">
        <v>5500</v>
      </c>
      <c r="I1157" s="2">
        <f t="shared" si="78"/>
        <v>8108.7900000000009</v>
      </c>
      <c r="N1157" s="2">
        <f t="shared" si="80"/>
        <v>20</v>
      </c>
    </row>
    <row r="1158" spans="1:14" x14ac:dyDescent="0.25">
      <c r="A1158" s="3">
        <v>45055</v>
      </c>
      <c r="B1158" s="11" t="s">
        <v>3082</v>
      </c>
      <c r="C1158" s="48" t="s">
        <v>3604</v>
      </c>
      <c r="D1158" s="58">
        <v>8873083639</v>
      </c>
      <c r="F1158"/>
      <c r="G1158" s="2">
        <v>1000</v>
      </c>
      <c r="I1158" s="2">
        <f t="shared" si="78"/>
        <v>9108.7900000000009</v>
      </c>
      <c r="N1158" s="2">
        <f t="shared" si="80"/>
        <v>4</v>
      </c>
    </row>
    <row r="1159" spans="1:14" x14ac:dyDescent="0.25">
      <c r="A1159" s="3">
        <v>45056</v>
      </c>
      <c r="B1159" s="11" t="s">
        <v>1253</v>
      </c>
      <c r="C1159" s="48" t="s">
        <v>3608</v>
      </c>
      <c r="F1159"/>
      <c r="G1159" s="2">
        <v>2000</v>
      </c>
      <c r="I1159" s="2">
        <f t="shared" si="78"/>
        <v>11108.79</v>
      </c>
      <c r="N1159" s="2">
        <f t="shared" si="80"/>
        <v>8</v>
      </c>
    </row>
    <row r="1160" spans="1:14" x14ac:dyDescent="0.25">
      <c r="A1160" s="3">
        <v>45056</v>
      </c>
      <c r="B1160" s="11" t="s">
        <v>3610</v>
      </c>
      <c r="C1160" s="48"/>
      <c r="E1160" s="115" t="s">
        <v>16</v>
      </c>
      <c r="F1160"/>
      <c r="H1160" s="2">
        <v>500</v>
      </c>
      <c r="I1160" s="2">
        <f t="shared" si="78"/>
        <v>10608.79</v>
      </c>
      <c r="N1160" s="2">
        <f t="shared" si="80"/>
        <v>27</v>
      </c>
    </row>
    <row r="1161" spans="1:14" x14ac:dyDescent="0.25">
      <c r="A1161" s="3">
        <v>45056</v>
      </c>
      <c r="B1161" s="11" t="s">
        <v>3609</v>
      </c>
      <c r="C1161" s="48" t="s">
        <v>3611</v>
      </c>
      <c r="E1161" s="115" t="s">
        <v>16</v>
      </c>
      <c r="F1161"/>
      <c r="H1161" s="2">
        <v>200</v>
      </c>
      <c r="I1161" s="2">
        <f t="shared" si="78"/>
        <v>10408.790000000001</v>
      </c>
      <c r="N1161" s="2">
        <f t="shared" si="80"/>
        <v>25.8</v>
      </c>
    </row>
    <row r="1162" spans="1:14" x14ac:dyDescent="0.25">
      <c r="A1162" s="3">
        <v>45056</v>
      </c>
      <c r="B1162" s="11" t="s">
        <v>2985</v>
      </c>
      <c r="C1162" s="48" t="s">
        <v>3430</v>
      </c>
      <c r="F1162"/>
      <c r="G1162" s="2">
        <v>2000</v>
      </c>
      <c r="I1162" s="2">
        <f t="shared" si="78"/>
        <v>12408.79</v>
      </c>
      <c r="N1162" s="2">
        <f t="shared" si="80"/>
        <v>8</v>
      </c>
    </row>
    <row r="1163" spans="1:14" x14ac:dyDescent="0.25">
      <c r="A1163" s="3">
        <v>45056</v>
      </c>
      <c r="B1163" s="11" t="s">
        <v>3617</v>
      </c>
      <c r="C1163" s="48" t="s">
        <v>3588</v>
      </c>
      <c r="F1163"/>
      <c r="G1163" s="2">
        <v>1000</v>
      </c>
      <c r="I1163" s="2">
        <f t="shared" si="78"/>
        <v>13408.79</v>
      </c>
      <c r="N1163" s="2">
        <f t="shared" si="80"/>
        <v>4</v>
      </c>
    </row>
    <row r="1164" spans="1:14" x14ac:dyDescent="0.25">
      <c r="A1164" s="3">
        <v>45056</v>
      </c>
      <c r="B1164" s="11" t="s">
        <v>3623</v>
      </c>
      <c r="C1164" s="48" t="s">
        <v>3624</v>
      </c>
      <c r="E1164" s="115" t="s">
        <v>16</v>
      </c>
      <c r="F1164"/>
      <c r="H1164" s="2">
        <v>100</v>
      </c>
      <c r="I1164" s="2">
        <f t="shared" si="78"/>
        <v>13308.79</v>
      </c>
      <c r="N1164" s="2">
        <f t="shared" si="80"/>
        <v>25.4</v>
      </c>
    </row>
    <row r="1165" spans="1:14" x14ac:dyDescent="0.25">
      <c r="A1165" s="3">
        <v>45057</v>
      </c>
      <c r="B1165" s="11" t="s">
        <v>2620</v>
      </c>
      <c r="C1165" s="48" t="s">
        <v>3415</v>
      </c>
      <c r="F1165"/>
      <c r="G1165" s="2">
        <v>1100</v>
      </c>
      <c r="I1165" s="2">
        <f t="shared" si="78"/>
        <v>14408.79</v>
      </c>
      <c r="N1165" s="2">
        <f t="shared" si="80"/>
        <v>4.4000000000000004</v>
      </c>
    </row>
    <row r="1166" spans="1:14" x14ac:dyDescent="0.25">
      <c r="A1166" s="3">
        <v>45057</v>
      </c>
      <c r="B1166" s="11" t="s">
        <v>2247</v>
      </c>
      <c r="C1166" s="48" t="s">
        <v>3626</v>
      </c>
      <c r="F1166"/>
      <c r="G1166" s="2">
        <v>2800</v>
      </c>
      <c r="I1166" s="2">
        <f t="shared" si="78"/>
        <v>17208.79</v>
      </c>
      <c r="N1166" s="2">
        <f t="shared" si="80"/>
        <v>11.200000000000001</v>
      </c>
    </row>
    <row r="1167" spans="1:14" x14ac:dyDescent="0.25">
      <c r="A1167" s="3">
        <v>45057</v>
      </c>
      <c r="B1167" s="11" t="s">
        <v>3617</v>
      </c>
      <c r="C1167" s="48" t="s">
        <v>3588</v>
      </c>
      <c r="F1167"/>
      <c r="G1167" s="2">
        <v>400</v>
      </c>
      <c r="I1167" s="2">
        <f t="shared" si="78"/>
        <v>17608.79</v>
      </c>
      <c r="N1167" s="2">
        <f t="shared" si="80"/>
        <v>1.6</v>
      </c>
    </row>
    <row r="1168" spans="1:14" x14ac:dyDescent="0.25">
      <c r="A1168" s="3">
        <v>45057</v>
      </c>
      <c r="B1168" s="11" t="s">
        <v>2247</v>
      </c>
      <c r="C1168" s="48" t="s">
        <v>3627</v>
      </c>
      <c r="F1168"/>
      <c r="G1168" s="2">
        <v>1000</v>
      </c>
      <c r="I1168" s="2">
        <f t="shared" si="78"/>
        <v>18608.79</v>
      </c>
      <c r="N1168" s="2">
        <f t="shared" si="80"/>
        <v>4</v>
      </c>
    </row>
    <row r="1169" spans="1:14" x14ac:dyDescent="0.25">
      <c r="A1169" s="3">
        <v>45058</v>
      </c>
      <c r="B1169" s="11" t="s">
        <v>2663</v>
      </c>
      <c r="C1169" s="48" t="s">
        <v>2664</v>
      </c>
      <c r="F1169"/>
      <c r="G1169" s="2">
        <v>500</v>
      </c>
      <c r="I1169" s="2">
        <f t="shared" si="78"/>
        <v>19108.79</v>
      </c>
      <c r="N1169" s="2">
        <f t="shared" si="80"/>
        <v>2</v>
      </c>
    </row>
    <row r="1170" spans="1:14" x14ac:dyDescent="0.25">
      <c r="A1170" s="3">
        <v>45058</v>
      </c>
      <c r="B1170" s="11" t="s">
        <v>3539</v>
      </c>
      <c r="C1170" s="48" t="s">
        <v>3628</v>
      </c>
      <c r="F1170"/>
      <c r="H1170" s="2">
        <v>500</v>
      </c>
      <c r="I1170" s="2">
        <f t="shared" si="78"/>
        <v>18608.79</v>
      </c>
      <c r="N1170" s="2">
        <f t="shared" si="80"/>
        <v>2</v>
      </c>
    </row>
    <row r="1171" spans="1:14" x14ac:dyDescent="0.25">
      <c r="A1171" s="3">
        <v>45059</v>
      </c>
      <c r="B1171" s="11" t="s">
        <v>2663</v>
      </c>
      <c r="C1171" s="48" t="s">
        <v>2664</v>
      </c>
      <c r="F1171"/>
      <c r="G1171" s="2">
        <v>1000</v>
      </c>
      <c r="I1171" s="2">
        <f t="shared" si="78"/>
        <v>19608.79</v>
      </c>
      <c r="N1171" s="2">
        <f t="shared" si="80"/>
        <v>4</v>
      </c>
    </row>
    <row r="1172" spans="1:14" x14ac:dyDescent="0.25">
      <c r="A1172" s="3">
        <v>45059</v>
      </c>
      <c r="B1172" s="11" t="s">
        <v>2472</v>
      </c>
      <c r="C1172" s="48" t="s">
        <v>2295</v>
      </c>
      <c r="F1172"/>
      <c r="H1172" s="2">
        <v>7000</v>
      </c>
      <c r="I1172" s="2">
        <f t="shared" si="78"/>
        <v>12608.79</v>
      </c>
      <c r="N1172" s="2">
        <f t="shared" si="80"/>
        <v>20</v>
      </c>
    </row>
    <row r="1173" spans="1:14" x14ac:dyDescent="0.25">
      <c r="A1173" s="3">
        <v>45059</v>
      </c>
      <c r="B1173" s="11" t="s">
        <v>1253</v>
      </c>
      <c r="C1173" s="48" t="s">
        <v>2304</v>
      </c>
      <c r="F1173"/>
      <c r="G1173" s="2">
        <v>10000</v>
      </c>
      <c r="I1173" s="2">
        <f t="shared" si="78"/>
        <v>22608.79</v>
      </c>
      <c r="N1173" s="2">
        <f t="shared" si="80"/>
        <v>20</v>
      </c>
    </row>
    <row r="1174" spans="1:14" x14ac:dyDescent="0.25">
      <c r="A1174" s="3">
        <v>45061</v>
      </c>
      <c r="B1174" s="11">
        <v>5133</v>
      </c>
      <c r="C1174" s="48" t="s">
        <v>3631</v>
      </c>
      <c r="E1174" s="115" t="s">
        <v>16</v>
      </c>
      <c r="F1174"/>
      <c r="H1174" s="2">
        <v>1000</v>
      </c>
      <c r="I1174" s="2">
        <f t="shared" si="78"/>
        <v>21608.79</v>
      </c>
      <c r="J1174">
        <v>23108.79</v>
      </c>
      <c r="N1174" s="2">
        <f t="shared" si="80"/>
        <v>29</v>
      </c>
    </row>
    <row r="1175" spans="1:14" x14ac:dyDescent="0.25">
      <c r="A1175" s="3">
        <v>45061</v>
      </c>
      <c r="B1175" s="11" t="s">
        <v>2985</v>
      </c>
      <c r="C1175" s="48" t="s">
        <v>3633</v>
      </c>
      <c r="F1175"/>
      <c r="G1175" s="2">
        <v>2000</v>
      </c>
      <c r="I1175" s="2">
        <f t="shared" si="78"/>
        <v>23608.79</v>
      </c>
      <c r="N1175" s="2">
        <f t="shared" si="80"/>
        <v>8</v>
      </c>
    </row>
    <row r="1176" spans="1:14" x14ac:dyDescent="0.25">
      <c r="A1176" s="3">
        <v>45061</v>
      </c>
      <c r="B1176" s="11" t="s">
        <v>1253</v>
      </c>
      <c r="C1176" s="48" t="s">
        <v>2256</v>
      </c>
      <c r="F1176"/>
      <c r="G1176" s="2">
        <v>3000</v>
      </c>
      <c r="I1176" s="2">
        <f t="shared" si="78"/>
        <v>26608.79</v>
      </c>
      <c r="N1176" s="2">
        <f t="shared" si="80"/>
        <v>12</v>
      </c>
    </row>
    <row r="1177" spans="1:14" x14ac:dyDescent="0.25">
      <c r="A1177" s="3">
        <v>45062</v>
      </c>
      <c r="B1177" s="11">
        <v>5134</v>
      </c>
      <c r="C1177" s="48" t="s">
        <v>3642</v>
      </c>
      <c r="E1177" s="115" t="s">
        <v>16</v>
      </c>
      <c r="F1177"/>
      <c r="H1177" s="2">
        <v>400</v>
      </c>
      <c r="I1177" s="2">
        <f t="shared" si="78"/>
        <v>26208.79</v>
      </c>
      <c r="N1177" s="2">
        <f t="shared" si="80"/>
        <v>26.6</v>
      </c>
    </row>
    <row r="1178" spans="1:14" x14ac:dyDescent="0.25">
      <c r="A1178" s="3">
        <v>45062</v>
      </c>
      <c r="B1178" s="11">
        <v>5135</v>
      </c>
      <c r="C1178" s="48" t="s">
        <v>3637</v>
      </c>
      <c r="E1178" s="115" t="s">
        <v>16</v>
      </c>
      <c r="F1178"/>
      <c r="H1178" s="2">
        <v>400</v>
      </c>
      <c r="I1178" s="2">
        <f t="shared" si="78"/>
        <v>25808.79</v>
      </c>
      <c r="N1178" s="2">
        <f t="shared" si="80"/>
        <v>26.6</v>
      </c>
    </row>
    <row r="1179" spans="1:14" x14ac:dyDescent="0.25">
      <c r="A1179" s="3">
        <v>45062</v>
      </c>
      <c r="B1179" s="11">
        <v>4924</v>
      </c>
      <c r="C1179" s="48" t="s">
        <v>2664</v>
      </c>
      <c r="F1179"/>
      <c r="G1179" s="2">
        <v>500</v>
      </c>
      <c r="I1179" s="2">
        <f t="shared" si="78"/>
        <v>26308.79</v>
      </c>
      <c r="N1179" s="2">
        <f t="shared" si="80"/>
        <v>2</v>
      </c>
    </row>
    <row r="1180" spans="1:14" x14ac:dyDescent="0.25">
      <c r="A1180" s="3">
        <v>45062</v>
      </c>
      <c r="C1180" s="48" t="s">
        <v>2682</v>
      </c>
      <c r="F1180"/>
      <c r="G1180" s="2">
        <v>811.41</v>
      </c>
      <c r="I1180" s="2">
        <f t="shared" si="78"/>
        <v>27120.2</v>
      </c>
      <c r="N1180" s="2">
        <f t="shared" si="80"/>
        <v>3.2456399999999999</v>
      </c>
    </row>
    <row r="1181" spans="1:14" x14ac:dyDescent="0.25">
      <c r="A1181" s="3">
        <v>45062</v>
      </c>
      <c r="B1181" s="11" t="s">
        <v>1253</v>
      </c>
      <c r="C1181" s="48" t="s">
        <v>3643</v>
      </c>
      <c r="F1181"/>
      <c r="G1181" s="2">
        <v>1000</v>
      </c>
      <c r="I1181" s="2">
        <f t="shared" si="78"/>
        <v>28120.2</v>
      </c>
      <c r="N1181" s="2">
        <f t="shared" si="80"/>
        <v>4</v>
      </c>
    </row>
    <row r="1182" spans="1:14" x14ac:dyDescent="0.25">
      <c r="A1182" s="3">
        <v>45062</v>
      </c>
      <c r="B1182" s="11">
        <v>503</v>
      </c>
      <c r="C1182" s="48" t="s">
        <v>2681</v>
      </c>
      <c r="F1182"/>
      <c r="H1182" s="2">
        <v>1000</v>
      </c>
      <c r="I1182" s="2">
        <f t="shared" si="78"/>
        <v>27120.2</v>
      </c>
      <c r="N1182" s="2">
        <f t="shared" si="80"/>
        <v>4</v>
      </c>
    </row>
    <row r="1183" spans="1:14" x14ac:dyDescent="0.25">
      <c r="A1183" s="3">
        <v>45062</v>
      </c>
      <c r="B1183" s="11" t="s">
        <v>1253</v>
      </c>
      <c r="C1183" s="48" t="s">
        <v>2256</v>
      </c>
      <c r="F1183"/>
      <c r="G1183" s="2">
        <v>2020</v>
      </c>
      <c r="I1183" s="2">
        <f t="shared" si="78"/>
        <v>29140.2</v>
      </c>
      <c r="N1183" s="2">
        <f t="shared" ref="N1183:N1207" si="81">IF((G1183+H1183)&lt;=5000,(H1183+G1183)*0.004,20)+IF(E1183="Y",25,0)</f>
        <v>8.08</v>
      </c>
    </row>
    <row r="1184" spans="1:14" x14ac:dyDescent="0.25">
      <c r="A1184" s="3">
        <v>45062</v>
      </c>
      <c r="B1184" s="11">
        <v>2189</v>
      </c>
      <c r="C1184" s="48" t="s">
        <v>2654</v>
      </c>
      <c r="F1184"/>
      <c r="G1184" s="2">
        <v>1000</v>
      </c>
      <c r="I1184" s="2">
        <f t="shared" si="78"/>
        <v>30140.2</v>
      </c>
      <c r="N1184" s="2">
        <f t="shared" si="81"/>
        <v>4</v>
      </c>
    </row>
    <row r="1185" spans="1:14" x14ac:dyDescent="0.25">
      <c r="A1185" s="3">
        <v>45062</v>
      </c>
      <c r="B1185" s="11">
        <v>5136</v>
      </c>
      <c r="C1185" s="48" t="s">
        <v>3644</v>
      </c>
      <c r="E1185" s="115" t="s">
        <v>16</v>
      </c>
      <c r="F1185"/>
      <c r="H1185" s="2">
        <v>500</v>
      </c>
      <c r="I1185" s="2">
        <f t="shared" si="78"/>
        <v>29640.2</v>
      </c>
      <c r="N1185" s="2">
        <f t="shared" si="81"/>
        <v>27</v>
      </c>
    </row>
    <row r="1186" spans="1:14" x14ac:dyDescent="0.25">
      <c r="A1186" s="3">
        <v>45062</v>
      </c>
      <c r="B1186" s="11">
        <v>5137</v>
      </c>
      <c r="C1186" s="48" t="s">
        <v>3645</v>
      </c>
      <c r="E1186" s="115" t="s">
        <v>16</v>
      </c>
      <c r="F1186"/>
      <c r="H1186" s="2">
        <v>500</v>
      </c>
      <c r="I1186" s="2">
        <f t="shared" ref="I1186:I1233" si="82">I1185+G1186-H1186</f>
        <v>29140.2</v>
      </c>
      <c r="N1186" s="2">
        <f t="shared" si="81"/>
        <v>27</v>
      </c>
    </row>
    <row r="1187" spans="1:14" x14ac:dyDescent="0.25">
      <c r="A1187" s="3">
        <v>45066</v>
      </c>
      <c r="B1187" s="11" t="s">
        <v>2247</v>
      </c>
      <c r="C1187" s="48" t="s">
        <v>3648</v>
      </c>
      <c r="D1187" s="58">
        <v>9608441714</v>
      </c>
      <c r="F1187"/>
      <c r="G1187" s="2">
        <v>5000</v>
      </c>
      <c r="I1187" s="2">
        <f t="shared" si="82"/>
        <v>34140.199999999997</v>
      </c>
      <c r="N1187" s="2">
        <f t="shared" si="81"/>
        <v>20</v>
      </c>
    </row>
    <row r="1188" spans="1:14" x14ac:dyDescent="0.25">
      <c r="A1188" s="3">
        <v>45066</v>
      </c>
      <c r="B1188" s="11">
        <v>504</v>
      </c>
      <c r="C1188" s="48" t="s">
        <v>1391</v>
      </c>
      <c r="F1188"/>
      <c r="H1188" s="2">
        <v>10000</v>
      </c>
      <c r="I1188" s="2">
        <f t="shared" si="82"/>
        <v>24140.199999999997</v>
      </c>
      <c r="N1188" s="2">
        <f t="shared" si="81"/>
        <v>20</v>
      </c>
    </row>
    <row r="1189" spans="1:14" x14ac:dyDescent="0.25">
      <c r="A1189" s="3">
        <v>45066</v>
      </c>
      <c r="B1189" s="11" t="s">
        <v>3569</v>
      </c>
      <c r="C1189" s="48" t="s">
        <v>3649</v>
      </c>
      <c r="F1189"/>
      <c r="G1189" s="2">
        <v>2000</v>
      </c>
      <c r="I1189" s="2">
        <f t="shared" si="82"/>
        <v>26140.199999999997</v>
      </c>
      <c r="N1189" s="2">
        <f t="shared" si="81"/>
        <v>8</v>
      </c>
    </row>
    <row r="1190" spans="1:14" x14ac:dyDescent="0.25">
      <c r="A1190" s="3">
        <v>45066</v>
      </c>
      <c r="B1190" s="11" t="s">
        <v>1253</v>
      </c>
      <c r="C1190" s="48" t="s">
        <v>2290</v>
      </c>
      <c r="F1190"/>
      <c r="G1190" s="2">
        <v>5000</v>
      </c>
      <c r="I1190" s="2">
        <f t="shared" si="82"/>
        <v>31140.199999999997</v>
      </c>
      <c r="N1190" s="2">
        <f t="shared" si="81"/>
        <v>20</v>
      </c>
    </row>
    <row r="1191" spans="1:14" x14ac:dyDescent="0.25">
      <c r="A1191" s="3">
        <v>45066</v>
      </c>
      <c r="B1191" s="11" t="s">
        <v>1253</v>
      </c>
      <c r="C1191" s="48" t="s">
        <v>3650</v>
      </c>
      <c r="D1191" s="58">
        <v>7209110883</v>
      </c>
      <c r="F1191"/>
      <c r="G1191" s="2">
        <v>8500</v>
      </c>
      <c r="I1191" s="2">
        <f t="shared" si="82"/>
        <v>39640.199999999997</v>
      </c>
      <c r="N1191" s="2">
        <f t="shared" si="81"/>
        <v>20</v>
      </c>
    </row>
    <row r="1192" spans="1:14" x14ac:dyDescent="0.25">
      <c r="A1192" s="3">
        <v>45066</v>
      </c>
      <c r="B1192" s="11">
        <v>4164</v>
      </c>
      <c r="C1192" s="48" t="s">
        <v>3651</v>
      </c>
      <c r="F1192"/>
      <c r="H1192" s="2">
        <v>6000</v>
      </c>
      <c r="I1192" s="2">
        <f t="shared" si="82"/>
        <v>33640.199999999997</v>
      </c>
      <c r="N1192" s="2">
        <f t="shared" si="81"/>
        <v>20</v>
      </c>
    </row>
    <row r="1193" spans="1:14" x14ac:dyDescent="0.25">
      <c r="A1193" s="3">
        <v>45066</v>
      </c>
      <c r="B1193" s="11" t="s">
        <v>2247</v>
      </c>
      <c r="C1193" s="48" t="s">
        <v>3652</v>
      </c>
      <c r="F1193"/>
      <c r="G1193" s="2">
        <v>550</v>
      </c>
      <c r="I1193" s="2">
        <f t="shared" si="82"/>
        <v>34190.199999999997</v>
      </c>
      <c r="N1193" s="2">
        <f t="shared" si="81"/>
        <v>2.2000000000000002</v>
      </c>
    </row>
    <row r="1194" spans="1:14" x14ac:dyDescent="0.25">
      <c r="A1194" s="3">
        <v>45067</v>
      </c>
      <c r="B1194" s="11" t="s">
        <v>3481</v>
      </c>
      <c r="C1194" s="48" t="s">
        <v>3654</v>
      </c>
      <c r="F1194"/>
      <c r="H1194" s="2">
        <v>4000</v>
      </c>
      <c r="I1194" s="2">
        <f t="shared" si="82"/>
        <v>30190.199999999997</v>
      </c>
      <c r="N1194" s="2">
        <f t="shared" si="81"/>
        <v>16</v>
      </c>
    </row>
    <row r="1195" spans="1:14" x14ac:dyDescent="0.25">
      <c r="A1195" s="3">
        <v>45067</v>
      </c>
      <c r="C1195" s="48"/>
      <c r="F1195"/>
      <c r="G1195" s="2">
        <v>400</v>
      </c>
      <c r="I1195" s="2">
        <f t="shared" si="82"/>
        <v>30590.199999999997</v>
      </c>
      <c r="N1195" s="2">
        <f t="shared" si="81"/>
        <v>1.6</v>
      </c>
    </row>
    <row r="1196" spans="1:14" x14ac:dyDescent="0.25">
      <c r="A1196" s="3">
        <v>45068</v>
      </c>
      <c r="B1196" s="11" t="s">
        <v>2205</v>
      </c>
      <c r="C1196" s="48" t="s">
        <v>2196</v>
      </c>
      <c r="F1196"/>
      <c r="G1196" s="2">
        <v>5000</v>
      </c>
      <c r="I1196" s="2">
        <f t="shared" si="82"/>
        <v>35590.199999999997</v>
      </c>
      <c r="N1196" s="2">
        <f t="shared" si="81"/>
        <v>20</v>
      </c>
    </row>
    <row r="1197" spans="1:14" x14ac:dyDescent="0.25">
      <c r="A1197" s="3">
        <v>45068</v>
      </c>
      <c r="B1197" s="11" t="s">
        <v>3656</v>
      </c>
      <c r="C1197" s="48" t="s">
        <v>3657</v>
      </c>
      <c r="E1197" s="115" t="s">
        <v>16</v>
      </c>
      <c r="F1197"/>
      <c r="H1197" s="2">
        <v>100</v>
      </c>
      <c r="I1197" s="2">
        <f t="shared" si="82"/>
        <v>35490.199999999997</v>
      </c>
      <c r="N1197" s="2">
        <f t="shared" si="81"/>
        <v>25.4</v>
      </c>
    </row>
    <row r="1198" spans="1:14" x14ac:dyDescent="0.25">
      <c r="A1198" s="3">
        <v>45068</v>
      </c>
      <c r="B1198" s="11" t="s">
        <v>3045</v>
      </c>
      <c r="C1198" s="48" t="s">
        <v>3661</v>
      </c>
      <c r="F1198"/>
      <c r="H1198" s="2">
        <v>10000</v>
      </c>
      <c r="I1198" s="2">
        <f t="shared" si="82"/>
        <v>25490.199999999997</v>
      </c>
      <c r="N1198" s="2">
        <f t="shared" si="81"/>
        <v>20</v>
      </c>
    </row>
    <row r="1199" spans="1:14" x14ac:dyDescent="0.25">
      <c r="A1199" s="3">
        <v>45068</v>
      </c>
      <c r="B1199" s="11" t="s">
        <v>2707</v>
      </c>
      <c r="C1199" s="48" t="s">
        <v>3132</v>
      </c>
      <c r="F1199"/>
      <c r="H1199" s="2">
        <v>8200</v>
      </c>
      <c r="I1199" s="2">
        <f t="shared" si="82"/>
        <v>17290.199999999997</v>
      </c>
      <c r="N1199" s="2">
        <f t="shared" si="81"/>
        <v>20</v>
      </c>
    </row>
    <row r="1200" spans="1:14" x14ac:dyDescent="0.25">
      <c r="A1200" s="3">
        <v>45068</v>
      </c>
      <c r="B1200" s="11" t="s">
        <v>1253</v>
      </c>
      <c r="F1200"/>
      <c r="G1200" s="2">
        <v>1000</v>
      </c>
      <c r="I1200" s="2">
        <f t="shared" si="82"/>
        <v>18290.199999999997</v>
      </c>
      <c r="N1200" s="2">
        <f t="shared" si="81"/>
        <v>4</v>
      </c>
    </row>
    <row r="1201" spans="1:14" x14ac:dyDescent="0.25">
      <c r="A1201" s="3">
        <v>45069</v>
      </c>
      <c r="B1201" s="11" t="s">
        <v>3082</v>
      </c>
      <c r="F1201"/>
      <c r="G1201" s="2">
        <v>1000</v>
      </c>
      <c r="I1201" s="2">
        <f t="shared" si="82"/>
        <v>19290.199999999997</v>
      </c>
      <c r="N1201" s="2">
        <f t="shared" si="81"/>
        <v>4</v>
      </c>
    </row>
    <row r="1202" spans="1:14" x14ac:dyDescent="0.25">
      <c r="A1202" s="3">
        <v>45069</v>
      </c>
      <c r="B1202" s="11" t="s">
        <v>1253</v>
      </c>
      <c r="F1202"/>
      <c r="G1202" s="2">
        <v>500</v>
      </c>
      <c r="I1202" s="2">
        <f t="shared" si="82"/>
        <v>19790.199999999997</v>
      </c>
      <c r="N1202" s="2">
        <f t="shared" si="81"/>
        <v>2</v>
      </c>
    </row>
    <row r="1203" spans="1:14" x14ac:dyDescent="0.25">
      <c r="A1203" s="3">
        <v>45070</v>
      </c>
      <c r="F1203"/>
      <c r="G1203" s="2">
        <v>1000</v>
      </c>
      <c r="I1203" s="2">
        <f t="shared" si="82"/>
        <v>20790.199999999997</v>
      </c>
      <c r="N1203" s="2">
        <f t="shared" si="81"/>
        <v>4</v>
      </c>
    </row>
    <row r="1204" spans="1:14" x14ac:dyDescent="0.25">
      <c r="A1204" s="3">
        <v>45070</v>
      </c>
      <c r="B1204" s="11" t="s">
        <v>2748</v>
      </c>
      <c r="C1204" t="s">
        <v>1282</v>
      </c>
      <c r="F1204"/>
      <c r="H1204" s="2">
        <v>10000</v>
      </c>
      <c r="I1204" s="2">
        <f t="shared" si="82"/>
        <v>10790.199999999997</v>
      </c>
      <c r="N1204" s="2">
        <f t="shared" si="81"/>
        <v>20</v>
      </c>
    </row>
    <row r="1205" spans="1:14" x14ac:dyDescent="0.25">
      <c r="A1205" s="3">
        <v>45071</v>
      </c>
      <c r="B1205" s="11">
        <v>2189</v>
      </c>
      <c r="C1205" t="s">
        <v>2654</v>
      </c>
      <c r="F1205"/>
      <c r="G1205" s="2">
        <v>500</v>
      </c>
      <c r="I1205" s="2">
        <f t="shared" si="82"/>
        <v>11290.199999999997</v>
      </c>
      <c r="N1205" s="2">
        <f t="shared" si="81"/>
        <v>2</v>
      </c>
    </row>
    <row r="1206" spans="1:14" x14ac:dyDescent="0.25">
      <c r="A1206" s="3">
        <v>45071</v>
      </c>
      <c r="B1206" s="11" t="s">
        <v>1163</v>
      </c>
      <c r="F1206"/>
      <c r="G1206" s="2">
        <v>950</v>
      </c>
      <c r="I1206" s="2">
        <f t="shared" si="82"/>
        <v>12240.199999999997</v>
      </c>
      <c r="N1206" s="2">
        <f t="shared" si="81"/>
        <v>3.8000000000000003</v>
      </c>
    </row>
    <row r="1207" spans="1:14" x14ac:dyDescent="0.25">
      <c r="A1207" s="3">
        <v>45071</v>
      </c>
      <c r="B1207" s="11" t="s">
        <v>2365</v>
      </c>
      <c r="C1207" t="s">
        <v>3662</v>
      </c>
      <c r="F1207"/>
      <c r="G1207" s="2">
        <v>1500</v>
      </c>
      <c r="I1207" s="2">
        <f t="shared" si="82"/>
        <v>13740.199999999997</v>
      </c>
      <c r="N1207" s="2">
        <f t="shared" si="81"/>
        <v>6</v>
      </c>
    </row>
    <row r="1208" spans="1:14" x14ac:dyDescent="0.25">
      <c r="A1208" s="3">
        <v>45071</v>
      </c>
      <c r="C1208" t="s">
        <v>2927</v>
      </c>
      <c r="F1208"/>
      <c r="G1208" s="2">
        <v>2000</v>
      </c>
      <c r="I1208" s="2">
        <f t="shared" si="82"/>
        <v>15740.199999999997</v>
      </c>
    </row>
    <row r="1209" spans="1:14" x14ac:dyDescent="0.25">
      <c r="A1209" s="3">
        <v>45071</v>
      </c>
      <c r="B1209" s="11" t="s">
        <v>2365</v>
      </c>
      <c r="C1209" t="s">
        <v>3662</v>
      </c>
      <c r="F1209"/>
      <c r="G1209" s="2">
        <v>1200</v>
      </c>
      <c r="I1209" s="2">
        <f t="shared" si="82"/>
        <v>16940.199999999997</v>
      </c>
      <c r="N1209" s="2">
        <f t="shared" ref="N1209:N1233" si="83">IF((G1209+H1209)&lt;=5000,(H1209+G1209)*0.004,20)+IF(E1209="Y",25,0)</f>
        <v>4.8</v>
      </c>
    </row>
    <row r="1210" spans="1:14" x14ac:dyDescent="0.25">
      <c r="A1210" s="3">
        <v>45071</v>
      </c>
      <c r="B1210" s="11">
        <v>576</v>
      </c>
      <c r="C1210" t="s">
        <v>2467</v>
      </c>
      <c r="F1210"/>
      <c r="G1210" s="2">
        <v>400</v>
      </c>
      <c r="I1210" s="2">
        <f t="shared" si="82"/>
        <v>17340.199999999997</v>
      </c>
      <c r="N1210" s="2">
        <f t="shared" si="83"/>
        <v>1.6</v>
      </c>
    </row>
    <row r="1211" spans="1:14" x14ac:dyDescent="0.25">
      <c r="A1211" s="3">
        <v>45072</v>
      </c>
      <c r="B1211" s="11" t="s">
        <v>2365</v>
      </c>
      <c r="C1211" t="s">
        <v>3662</v>
      </c>
      <c r="F1211"/>
      <c r="G1211" s="2">
        <v>500</v>
      </c>
      <c r="I1211" s="2">
        <f t="shared" si="82"/>
        <v>17840.199999999997</v>
      </c>
      <c r="N1211" s="2">
        <f t="shared" si="83"/>
        <v>2</v>
      </c>
    </row>
    <row r="1212" spans="1:14" x14ac:dyDescent="0.25">
      <c r="A1212" s="3">
        <v>45072</v>
      </c>
      <c r="B1212" s="11" t="s">
        <v>2620</v>
      </c>
      <c r="C1212" t="s">
        <v>3663</v>
      </c>
      <c r="F1212"/>
      <c r="G1212" s="2">
        <v>1500</v>
      </c>
      <c r="I1212" s="2">
        <f t="shared" si="82"/>
        <v>19340.199999999997</v>
      </c>
      <c r="N1212" s="2">
        <f t="shared" si="83"/>
        <v>6</v>
      </c>
    </row>
    <row r="1213" spans="1:14" x14ac:dyDescent="0.25">
      <c r="A1213" s="3">
        <v>45072</v>
      </c>
      <c r="B1213" s="11">
        <v>3001</v>
      </c>
      <c r="C1213" t="s">
        <v>3664</v>
      </c>
      <c r="F1213"/>
      <c r="H1213" s="2">
        <v>700</v>
      </c>
      <c r="I1213" s="2">
        <f t="shared" si="82"/>
        <v>18640.199999999997</v>
      </c>
      <c r="N1213" s="2">
        <f t="shared" si="83"/>
        <v>2.8000000000000003</v>
      </c>
    </row>
    <row r="1214" spans="1:14" x14ac:dyDescent="0.25">
      <c r="A1214" s="3">
        <v>45073</v>
      </c>
      <c r="B1214" s="11">
        <v>4477</v>
      </c>
      <c r="C1214" t="s">
        <v>3299</v>
      </c>
      <c r="F1214"/>
      <c r="G1214" s="2">
        <v>1000</v>
      </c>
      <c r="I1214" s="2">
        <f t="shared" si="82"/>
        <v>19640.199999999997</v>
      </c>
      <c r="N1214" s="2">
        <f t="shared" si="83"/>
        <v>4</v>
      </c>
    </row>
    <row r="1215" spans="1:14" x14ac:dyDescent="0.25">
      <c r="A1215" s="3">
        <v>45073</v>
      </c>
      <c r="B1215" s="11" t="s">
        <v>2247</v>
      </c>
      <c r="C1215" t="s">
        <v>3669</v>
      </c>
      <c r="F1215"/>
      <c r="G1215" s="2">
        <v>500</v>
      </c>
      <c r="I1215" s="2">
        <f t="shared" si="82"/>
        <v>20140.199999999997</v>
      </c>
      <c r="N1215" s="2">
        <f t="shared" si="83"/>
        <v>2</v>
      </c>
    </row>
    <row r="1216" spans="1:14" x14ac:dyDescent="0.25">
      <c r="A1216" s="3">
        <v>45073</v>
      </c>
      <c r="B1216" s="11" t="s">
        <v>3675</v>
      </c>
      <c r="C1216" t="s">
        <v>3667</v>
      </c>
      <c r="E1216" s="115" t="s">
        <v>16</v>
      </c>
      <c r="F1216"/>
      <c r="G1216" s="2">
        <v>100</v>
      </c>
      <c r="I1216" s="2">
        <f t="shared" si="82"/>
        <v>20240.199999999997</v>
      </c>
      <c r="N1216" s="2">
        <f t="shared" si="83"/>
        <v>25.4</v>
      </c>
    </row>
    <row r="1217" spans="1:14" x14ac:dyDescent="0.25">
      <c r="A1217" s="3">
        <v>45074</v>
      </c>
      <c r="B1217" s="11">
        <v>4906</v>
      </c>
      <c r="C1217" t="s">
        <v>3670</v>
      </c>
      <c r="F1217"/>
      <c r="G1217" s="2">
        <v>1000</v>
      </c>
      <c r="I1217" s="2">
        <f t="shared" si="82"/>
        <v>21240.199999999997</v>
      </c>
      <c r="N1217" s="2">
        <f t="shared" si="83"/>
        <v>4</v>
      </c>
    </row>
    <row r="1218" spans="1:14" x14ac:dyDescent="0.25">
      <c r="A1218" s="3">
        <v>45075</v>
      </c>
      <c r="B1218" s="11" t="s">
        <v>1253</v>
      </c>
      <c r="C1218" t="s">
        <v>3671</v>
      </c>
      <c r="F1218"/>
      <c r="G1218" s="2">
        <v>400</v>
      </c>
      <c r="I1218" s="2">
        <f t="shared" si="82"/>
        <v>21640.199999999997</v>
      </c>
      <c r="N1218" s="2">
        <f t="shared" si="83"/>
        <v>1.6</v>
      </c>
    </row>
    <row r="1219" spans="1:14" x14ac:dyDescent="0.25">
      <c r="A1219" s="3">
        <v>45075</v>
      </c>
      <c r="B1219" s="11" t="s">
        <v>3573</v>
      </c>
      <c r="C1219" t="s">
        <v>3574</v>
      </c>
      <c r="F1219"/>
      <c r="H1219" s="2">
        <v>10000</v>
      </c>
      <c r="I1219" s="2">
        <f t="shared" si="82"/>
        <v>11640.199999999997</v>
      </c>
      <c r="N1219" s="2">
        <f t="shared" si="83"/>
        <v>20</v>
      </c>
    </row>
    <row r="1220" spans="1:14" x14ac:dyDescent="0.25">
      <c r="A1220" s="3">
        <v>45075</v>
      </c>
      <c r="B1220" s="11">
        <v>675</v>
      </c>
      <c r="C1220" t="s">
        <v>3672</v>
      </c>
      <c r="F1220"/>
      <c r="G1220" s="2">
        <v>1500</v>
      </c>
      <c r="I1220" s="2">
        <f t="shared" si="82"/>
        <v>13140.199999999997</v>
      </c>
      <c r="N1220" s="2">
        <f t="shared" si="83"/>
        <v>6</v>
      </c>
    </row>
    <row r="1221" spans="1:14" x14ac:dyDescent="0.25">
      <c r="A1221" s="3">
        <v>45075</v>
      </c>
      <c r="B1221" s="11" t="s">
        <v>1253</v>
      </c>
      <c r="C1221" t="s">
        <v>3438</v>
      </c>
      <c r="F1221"/>
      <c r="G1221" s="2">
        <v>400</v>
      </c>
      <c r="I1221" s="2">
        <f t="shared" si="82"/>
        <v>13540.199999999997</v>
      </c>
      <c r="N1221" s="2">
        <f t="shared" si="83"/>
        <v>1.6</v>
      </c>
    </row>
    <row r="1222" spans="1:14" x14ac:dyDescent="0.25">
      <c r="A1222" s="3">
        <v>45075</v>
      </c>
      <c r="B1222" s="11" t="s">
        <v>1253</v>
      </c>
      <c r="C1222" t="s">
        <v>2256</v>
      </c>
      <c r="F1222"/>
      <c r="G1222" s="2">
        <v>300</v>
      </c>
      <c r="I1222" s="2">
        <f t="shared" si="82"/>
        <v>13840.199999999997</v>
      </c>
      <c r="N1222" s="2">
        <f t="shared" si="83"/>
        <v>1.2</v>
      </c>
    </row>
    <row r="1223" spans="1:14" x14ac:dyDescent="0.25">
      <c r="A1223" s="3">
        <v>45075</v>
      </c>
      <c r="B1223" s="11" t="s">
        <v>3674</v>
      </c>
      <c r="C1223" t="s">
        <v>3673</v>
      </c>
      <c r="E1223" s="115" t="s">
        <v>16</v>
      </c>
      <c r="F1223"/>
      <c r="H1223" s="2">
        <v>500</v>
      </c>
      <c r="I1223" s="2">
        <f t="shared" si="82"/>
        <v>13340.199999999997</v>
      </c>
      <c r="N1223" s="2">
        <f t="shared" si="83"/>
        <v>27</v>
      </c>
    </row>
    <row r="1224" spans="1:14" x14ac:dyDescent="0.25">
      <c r="A1224" s="3">
        <v>45075</v>
      </c>
      <c r="B1224" s="11" t="s">
        <v>3677</v>
      </c>
      <c r="C1224" t="s">
        <v>3678</v>
      </c>
      <c r="F1224"/>
      <c r="H1224" s="2">
        <v>5000</v>
      </c>
      <c r="I1224" s="2">
        <f t="shared" si="82"/>
        <v>8340.1999999999971</v>
      </c>
      <c r="N1224" s="2">
        <f t="shared" si="83"/>
        <v>20</v>
      </c>
    </row>
    <row r="1225" spans="1:14" x14ac:dyDescent="0.25">
      <c r="A1225" s="3">
        <v>45076</v>
      </c>
      <c r="B1225" s="11" t="s">
        <v>3276</v>
      </c>
      <c r="C1225" t="s">
        <v>2436</v>
      </c>
      <c r="F1225"/>
      <c r="G1225" s="2">
        <v>2000</v>
      </c>
      <c r="I1225" s="2">
        <f t="shared" si="82"/>
        <v>10340.199999999997</v>
      </c>
      <c r="N1225" s="2">
        <f t="shared" si="83"/>
        <v>8</v>
      </c>
    </row>
    <row r="1226" spans="1:14" x14ac:dyDescent="0.25">
      <c r="A1226" s="3">
        <v>45076</v>
      </c>
      <c r="B1226" s="11" t="s">
        <v>3573</v>
      </c>
      <c r="C1226" t="s">
        <v>3574</v>
      </c>
      <c r="F1226"/>
      <c r="H1226" s="2">
        <v>3000</v>
      </c>
      <c r="I1226" s="2">
        <f t="shared" si="82"/>
        <v>7340.1999999999971</v>
      </c>
      <c r="N1226" s="2">
        <f t="shared" si="83"/>
        <v>12</v>
      </c>
    </row>
    <row r="1227" spans="1:14" x14ac:dyDescent="0.25">
      <c r="A1227" s="3">
        <v>45076</v>
      </c>
      <c r="B1227" s="11" t="s">
        <v>3186</v>
      </c>
      <c r="C1227" t="s">
        <v>3312</v>
      </c>
      <c r="F1227"/>
      <c r="G1227" s="2">
        <v>1500</v>
      </c>
      <c r="I1227" s="2">
        <f t="shared" si="82"/>
        <v>8840.1999999999971</v>
      </c>
      <c r="N1227" s="2">
        <f t="shared" si="83"/>
        <v>6</v>
      </c>
    </row>
    <row r="1228" spans="1:14" x14ac:dyDescent="0.25">
      <c r="A1228" s="3">
        <v>45076</v>
      </c>
      <c r="B1228" s="11" t="s">
        <v>2748</v>
      </c>
      <c r="C1228" t="s">
        <v>1282</v>
      </c>
      <c r="F1228"/>
      <c r="H1228" s="2">
        <v>8000</v>
      </c>
      <c r="I1228" s="2">
        <f t="shared" si="82"/>
        <v>840.19999999999709</v>
      </c>
      <c r="N1228" s="2">
        <f t="shared" si="83"/>
        <v>20</v>
      </c>
    </row>
    <row r="1229" spans="1:14" x14ac:dyDescent="0.25">
      <c r="A1229" s="3">
        <v>45077</v>
      </c>
      <c r="B1229" s="11" t="s">
        <v>3681</v>
      </c>
      <c r="C1229" t="s">
        <v>1449</v>
      </c>
      <c r="E1229" s="115" t="s">
        <v>16</v>
      </c>
      <c r="F1229"/>
      <c r="H1229" s="2">
        <v>100</v>
      </c>
      <c r="I1229" s="2">
        <f t="shared" si="82"/>
        <v>740.19999999999709</v>
      </c>
      <c r="N1229" s="2">
        <f t="shared" si="83"/>
        <v>25.4</v>
      </c>
    </row>
    <row r="1230" spans="1:14" x14ac:dyDescent="0.25">
      <c r="A1230" s="3">
        <v>45077</v>
      </c>
      <c r="B1230" s="11" t="s">
        <v>1253</v>
      </c>
      <c r="C1230" t="s">
        <v>2256</v>
      </c>
      <c r="F1230"/>
      <c r="G1230" s="2">
        <v>1000</v>
      </c>
      <c r="I1230" s="2">
        <f t="shared" si="82"/>
        <v>1740.1999999999971</v>
      </c>
      <c r="N1230" s="2">
        <f t="shared" si="83"/>
        <v>4</v>
      </c>
    </row>
    <row r="1231" spans="1:14" x14ac:dyDescent="0.25">
      <c r="A1231" s="3">
        <v>45077</v>
      </c>
      <c r="B1231" s="11" t="s">
        <v>3685</v>
      </c>
      <c r="C1231" t="s">
        <v>3686</v>
      </c>
      <c r="F1231"/>
      <c r="G1231" s="2">
        <v>3000</v>
      </c>
      <c r="I1231" s="2">
        <f t="shared" si="82"/>
        <v>4740.1999999999971</v>
      </c>
      <c r="N1231" s="2">
        <f t="shared" si="83"/>
        <v>12</v>
      </c>
    </row>
    <row r="1232" spans="1:14" x14ac:dyDescent="0.25">
      <c r="A1232" s="3">
        <v>45077</v>
      </c>
      <c r="B1232" s="11" t="s">
        <v>1163</v>
      </c>
      <c r="C1232" t="s">
        <v>3687</v>
      </c>
      <c r="F1232"/>
      <c r="G1232" s="2">
        <v>4000</v>
      </c>
      <c r="I1232" s="2">
        <f t="shared" si="82"/>
        <v>8740.1999999999971</v>
      </c>
      <c r="N1232" s="2">
        <f t="shared" si="83"/>
        <v>16</v>
      </c>
    </row>
    <row r="1233" spans="1:16" x14ac:dyDescent="0.25">
      <c r="A1233" s="3">
        <v>45077</v>
      </c>
      <c r="B1233" s="11" t="s">
        <v>1260</v>
      </c>
      <c r="C1233" s="48" t="s">
        <v>2295</v>
      </c>
      <c r="F1233"/>
      <c r="H1233" s="2">
        <v>7000</v>
      </c>
      <c r="I1233" s="2">
        <f t="shared" si="82"/>
        <v>1740.1999999999971</v>
      </c>
      <c r="N1233" s="2">
        <f t="shared" si="83"/>
        <v>20</v>
      </c>
    </row>
    <row r="1234" spans="1:16" x14ac:dyDescent="0.25">
      <c r="A1234" s="97"/>
      <c r="B1234" s="102"/>
      <c r="C1234" s="27"/>
      <c r="D1234" s="139"/>
      <c r="E1234" s="117">
        <f>COUNTIF(E1119:E1233,"Y")</f>
        <v>16</v>
      </c>
      <c r="F1234" s="97">
        <f>G1234+H1234</f>
        <v>333940.2</v>
      </c>
      <c r="G1234" s="107">
        <f>SUM(G1118:G1233)</f>
        <v>167840.2</v>
      </c>
      <c r="H1234" s="107">
        <f>SUM(H1118:H1233)</f>
        <v>166100</v>
      </c>
      <c r="I1234" s="103"/>
      <c r="J1234" s="97"/>
      <c r="K1234" s="97"/>
      <c r="L1234" s="97"/>
      <c r="M1234" s="97"/>
      <c r="N1234" s="103">
        <f>SUM(N1118:N1233)</f>
        <v>1390.9256399999999</v>
      </c>
      <c r="O1234" s="97"/>
      <c r="P1234" s="97"/>
    </row>
    <row r="1235" spans="1:16" x14ac:dyDescent="0.25">
      <c r="C1235" s="48"/>
      <c r="D1235" s="59"/>
      <c r="F1235" s="11"/>
    </row>
    <row r="1236" spans="1:16" x14ac:dyDescent="0.25">
      <c r="A1236" s="3">
        <v>45078</v>
      </c>
      <c r="B1236" s="11" t="s">
        <v>3688</v>
      </c>
      <c r="C1236" t="s">
        <v>3689</v>
      </c>
      <c r="F1236"/>
      <c r="G1236" s="2">
        <v>2040.2</v>
      </c>
      <c r="I1236" s="2">
        <f t="shared" ref="I1236:I1241" si="84">I1235+G1236-H1236</f>
        <v>2040.2</v>
      </c>
    </row>
    <row r="1237" spans="1:16" x14ac:dyDescent="0.25">
      <c r="A1237" s="3">
        <v>45078</v>
      </c>
      <c r="B1237" s="11">
        <v>4296</v>
      </c>
      <c r="C1237" t="s">
        <v>3654</v>
      </c>
      <c r="F1237"/>
      <c r="H1237" s="2">
        <v>1000</v>
      </c>
      <c r="I1237" s="2">
        <f t="shared" si="84"/>
        <v>1040.2</v>
      </c>
      <c r="N1237" s="2">
        <f t="shared" ref="N1237:N1268" si="85">IF((G1237+H1237)&lt;=5000,(H1237+G1237)*0.004,20)+IF(E1237="Y",25,0)</f>
        <v>4</v>
      </c>
    </row>
    <row r="1238" spans="1:16" x14ac:dyDescent="0.25">
      <c r="A1238" s="3">
        <v>45078</v>
      </c>
      <c r="B1238" s="11" t="s">
        <v>1253</v>
      </c>
      <c r="F1238"/>
      <c r="G1238" s="2">
        <v>500</v>
      </c>
      <c r="I1238" s="2">
        <f t="shared" si="84"/>
        <v>1540.2</v>
      </c>
      <c r="N1238" s="2">
        <f t="shared" si="85"/>
        <v>2</v>
      </c>
    </row>
    <row r="1239" spans="1:16" x14ac:dyDescent="0.25">
      <c r="A1239" s="3">
        <v>45078</v>
      </c>
      <c r="B1239" s="11" t="s">
        <v>1163</v>
      </c>
      <c r="C1239" t="s">
        <v>3691</v>
      </c>
      <c r="F1239"/>
      <c r="G1239" s="2">
        <v>6400</v>
      </c>
      <c r="I1239" s="2">
        <f t="shared" si="84"/>
        <v>7940.2</v>
      </c>
      <c r="N1239" s="2">
        <f t="shared" si="85"/>
        <v>20</v>
      </c>
    </row>
    <row r="1240" spans="1:16" x14ac:dyDescent="0.25">
      <c r="A1240" s="3">
        <v>45078</v>
      </c>
      <c r="B1240" s="11">
        <v>774316</v>
      </c>
      <c r="C1240" t="s">
        <v>3692</v>
      </c>
      <c r="F1240"/>
      <c r="H1240" s="2">
        <v>1500</v>
      </c>
      <c r="I1240" s="2">
        <f t="shared" si="84"/>
        <v>6440.2</v>
      </c>
      <c r="N1240" s="2">
        <f t="shared" si="85"/>
        <v>6</v>
      </c>
    </row>
    <row r="1241" spans="1:16" x14ac:dyDescent="0.25">
      <c r="A1241" s="3">
        <v>45079</v>
      </c>
      <c r="B1241" s="11" t="s">
        <v>2767</v>
      </c>
      <c r="F1241"/>
      <c r="H1241" s="2">
        <v>6000</v>
      </c>
      <c r="I1241" s="2">
        <f t="shared" si="84"/>
        <v>440.19999999999982</v>
      </c>
      <c r="N1241" s="2">
        <f t="shared" si="85"/>
        <v>20</v>
      </c>
    </row>
    <row r="1242" spans="1:16" x14ac:dyDescent="0.25">
      <c r="A1242" s="3">
        <v>45079</v>
      </c>
      <c r="B1242" s="11" t="s">
        <v>3276</v>
      </c>
      <c r="C1242" t="s">
        <v>3693</v>
      </c>
      <c r="F1242"/>
      <c r="G1242" s="2">
        <v>2000</v>
      </c>
      <c r="I1242" s="2">
        <f t="shared" ref="I1242:I1342" si="86">I1241+G1242-H1242</f>
        <v>2440.1999999999998</v>
      </c>
      <c r="N1242" s="2">
        <f t="shared" si="85"/>
        <v>8</v>
      </c>
    </row>
    <row r="1243" spans="1:16" x14ac:dyDescent="0.25">
      <c r="A1243" s="3">
        <v>45079</v>
      </c>
      <c r="B1243" s="11">
        <v>1640</v>
      </c>
      <c r="C1243" t="s">
        <v>3694</v>
      </c>
      <c r="F1243"/>
      <c r="H1243" s="2">
        <v>1000</v>
      </c>
      <c r="I1243" s="2">
        <f t="shared" si="86"/>
        <v>1440.1999999999998</v>
      </c>
      <c r="N1243" s="2">
        <f t="shared" si="85"/>
        <v>4</v>
      </c>
    </row>
    <row r="1244" spans="1:16" x14ac:dyDescent="0.25">
      <c r="A1244" s="3">
        <v>45080</v>
      </c>
      <c r="B1244" s="11" t="s">
        <v>3695</v>
      </c>
      <c r="C1244" t="s">
        <v>3694</v>
      </c>
      <c r="F1244"/>
      <c r="G1244" s="2">
        <v>1500</v>
      </c>
      <c r="I1244" s="2">
        <f t="shared" si="86"/>
        <v>2940.2</v>
      </c>
      <c r="N1244" s="2">
        <f t="shared" si="85"/>
        <v>6</v>
      </c>
    </row>
    <row r="1245" spans="1:16" x14ac:dyDescent="0.25">
      <c r="A1245" s="3">
        <v>45080</v>
      </c>
      <c r="B1245" s="11">
        <v>1640</v>
      </c>
      <c r="C1245" t="s">
        <v>3694</v>
      </c>
      <c r="F1245"/>
      <c r="H1245" s="2">
        <v>1500</v>
      </c>
      <c r="I1245" s="2">
        <f t="shared" si="86"/>
        <v>1440.1999999999998</v>
      </c>
      <c r="N1245" s="2">
        <f t="shared" si="85"/>
        <v>6</v>
      </c>
    </row>
    <row r="1246" spans="1:16" x14ac:dyDescent="0.25">
      <c r="A1246" s="3">
        <v>45080</v>
      </c>
      <c r="B1246" s="11" t="s">
        <v>1163</v>
      </c>
      <c r="C1246" t="s">
        <v>3407</v>
      </c>
      <c r="F1246"/>
      <c r="G1246" s="2">
        <v>1000</v>
      </c>
      <c r="I1246" s="2">
        <f t="shared" si="86"/>
        <v>2440.1999999999998</v>
      </c>
      <c r="N1246" s="2">
        <f t="shared" si="85"/>
        <v>4</v>
      </c>
    </row>
    <row r="1247" spans="1:16" x14ac:dyDescent="0.25">
      <c r="A1247" s="3">
        <v>45082</v>
      </c>
      <c r="B1247" s="11" t="s">
        <v>1253</v>
      </c>
      <c r="C1247" t="s">
        <v>3696</v>
      </c>
      <c r="F1247"/>
      <c r="G1247" s="2">
        <v>4000</v>
      </c>
      <c r="I1247" s="2">
        <f t="shared" si="86"/>
        <v>6440.2</v>
      </c>
      <c r="N1247" s="2">
        <f t="shared" si="85"/>
        <v>16</v>
      </c>
    </row>
    <row r="1248" spans="1:16" x14ac:dyDescent="0.25">
      <c r="A1248" s="3">
        <v>45083</v>
      </c>
      <c r="B1248" s="11" t="s">
        <v>1253</v>
      </c>
      <c r="C1248" t="s">
        <v>3696</v>
      </c>
      <c r="F1248"/>
      <c r="G1248" s="2">
        <v>9800</v>
      </c>
      <c r="I1248" s="2">
        <f t="shared" si="86"/>
        <v>16240.2</v>
      </c>
      <c r="N1248" s="2">
        <f t="shared" si="85"/>
        <v>20</v>
      </c>
    </row>
    <row r="1249" spans="1:14" x14ac:dyDescent="0.25">
      <c r="A1249" s="3">
        <v>45083</v>
      </c>
      <c r="B1249" s="11" t="s">
        <v>2407</v>
      </c>
      <c r="C1249" t="s">
        <v>2417</v>
      </c>
      <c r="F1249"/>
      <c r="G1249" s="2">
        <v>700</v>
      </c>
      <c r="I1249" s="2">
        <f t="shared" si="86"/>
        <v>16940.2</v>
      </c>
      <c r="N1249" s="2">
        <f t="shared" si="85"/>
        <v>2.8000000000000003</v>
      </c>
    </row>
    <row r="1250" spans="1:14" x14ac:dyDescent="0.25">
      <c r="A1250" s="3">
        <v>45083</v>
      </c>
      <c r="B1250" s="11" t="s">
        <v>1253</v>
      </c>
      <c r="C1250" t="s">
        <v>3697</v>
      </c>
      <c r="F1250"/>
      <c r="G1250" s="2">
        <v>3000</v>
      </c>
      <c r="I1250" s="2">
        <f t="shared" si="86"/>
        <v>19940.2</v>
      </c>
      <c r="N1250" s="2">
        <f t="shared" si="85"/>
        <v>12</v>
      </c>
    </row>
    <row r="1251" spans="1:14" x14ac:dyDescent="0.25">
      <c r="A1251" s="3">
        <v>45084</v>
      </c>
      <c r="B1251" s="11" t="s">
        <v>1253</v>
      </c>
      <c r="C1251" t="s">
        <v>3034</v>
      </c>
      <c r="F1251"/>
      <c r="G1251" s="2">
        <v>1000</v>
      </c>
      <c r="I1251" s="2">
        <f t="shared" si="86"/>
        <v>20940.2</v>
      </c>
      <c r="N1251" s="2">
        <f t="shared" si="85"/>
        <v>4</v>
      </c>
    </row>
    <row r="1252" spans="1:14" x14ac:dyDescent="0.25">
      <c r="A1252" s="3">
        <v>45084</v>
      </c>
      <c r="B1252" s="11" t="s">
        <v>1253</v>
      </c>
      <c r="C1252" t="s">
        <v>3701</v>
      </c>
      <c r="F1252"/>
      <c r="G1252" s="2">
        <v>2000</v>
      </c>
      <c r="I1252" s="2">
        <f t="shared" si="86"/>
        <v>22940.2</v>
      </c>
      <c r="N1252" s="2">
        <f t="shared" si="85"/>
        <v>8</v>
      </c>
    </row>
    <row r="1253" spans="1:14" x14ac:dyDescent="0.25">
      <c r="A1253" s="3">
        <v>45085</v>
      </c>
      <c r="B1253" s="11" t="s">
        <v>3702</v>
      </c>
      <c r="C1253" t="s">
        <v>3703</v>
      </c>
      <c r="F1253"/>
      <c r="H1253" s="2">
        <v>8500</v>
      </c>
      <c r="I1253" s="2">
        <f t="shared" si="86"/>
        <v>14440.2</v>
      </c>
      <c r="N1253" s="2">
        <f t="shared" si="85"/>
        <v>20</v>
      </c>
    </row>
    <row r="1254" spans="1:14" x14ac:dyDescent="0.25">
      <c r="A1254" s="3">
        <v>45085</v>
      </c>
      <c r="B1254" s="11">
        <v>2100</v>
      </c>
      <c r="C1254" t="s">
        <v>579</v>
      </c>
      <c r="F1254"/>
      <c r="H1254" s="2">
        <v>4200</v>
      </c>
      <c r="I1254" s="2">
        <f t="shared" si="86"/>
        <v>10240.200000000001</v>
      </c>
      <c r="N1254" s="2">
        <f t="shared" si="85"/>
        <v>16.8</v>
      </c>
    </row>
    <row r="1255" spans="1:14" x14ac:dyDescent="0.25">
      <c r="A1255" s="3">
        <v>45085</v>
      </c>
      <c r="B1255" s="11">
        <v>1818</v>
      </c>
      <c r="C1255" t="s">
        <v>3704</v>
      </c>
      <c r="F1255"/>
      <c r="H1255" s="2">
        <v>3600</v>
      </c>
      <c r="I1255" s="2">
        <f t="shared" si="86"/>
        <v>6640.2000000000007</v>
      </c>
      <c r="N1255" s="2">
        <f t="shared" si="85"/>
        <v>14.4</v>
      </c>
    </row>
    <row r="1256" spans="1:14" x14ac:dyDescent="0.25">
      <c r="A1256" s="3">
        <v>45085</v>
      </c>
      <c r="B1256" s="11" t="s">
        <v>3706</v>
      </c>
      <c r="C1256" t="s">
        <v>3705</v>
      </c>
      <c r="F1256"/>
      <c r="G1256" s="2">
        <v>4000</v>
      </c>
      <c r="I1256" s="2">
        <f t="shared" si="86"/>
        <v>10640.2</v>
      </c>
      <c r="N1256" s="2">
        <f t="shared" si="85"/>
        <v>16</v>
      </c>
    </row>
    <row r="1257" spans="1:14" x14ac:dyDescent="0.25">
      <c r="A1257" s="3">
        <v>45086</v>
      </c>
      <c r="B1257" s="11" t="s">
        <v>2707</v>
      </c>
      <c r="C1257" t="s">
        <v>2708</v>
      </c>
      <c r="F1257"/>
      <c r="H1257" s="2">
        <v>4000</v>
      </c>
      <c r="I1257" s="2">
        <f t="shared" si="86"/>
        <v>6640.2000000000007</v>
      </c>
      <c r="N1257" s="2">
        <f t="shared" si="85"/>
        <v>16</v>
      </c>
    </row>
    <row r="1258" spans="1:14" x14ac:dyDescent="0.25">
      <c r="A1258" s="3">
        <v>45086</v>
      </c>
      <c r="B1258" s="11" t="s">
        <v>3708</v>
      </c>
      <c r="C1258" t="s">
        <v>3707</v>
      </c>
      <c r="F1258"/>
      <c r="G1258" s="2">
        <v>5100</v>
      </c>
      <c r="I1258" s="2">
        <f t="shared" si="86"/>
        <v>11740.2</v>
      </c>
      <c r="N1258" s="2">
        <f t="shared" si="85"/>
        <v>20</v>
      </c>
    </row>
    <row r="1259" spans="1:14" x14ac:dyDescent="0.25">
      <c r="A1259" s="3">
        <v>45086</v>
      </c>
      <c r="B1259" s="11">
        <v>4902</v>
      </c>
      <c r="C1259" t="s">
        <v>3709</v>
      </c>
      <c r="F1259"/>
      <c r="G1259" s="2">
        <v>500</v>
      </c>
      <c r="I1259" s="2">
        <f t="shared" si="86"/>
        <v>12240.2</v>
      </c>
      <c r="N1259" s="2">
        <f t="shared" si="85"/>
        <v>2</v>
      </c>
    </row>
    <row r="1260" spans="1:14" x14ac:dyDescent="0.25">
      <c r="A1260" s="3">
        <v>45086</v>
      </c>
      <c r="B1260" s="11" t="s">
        <v>1253</v>
      </c>
      <c r="C1260" t="s">
        <v>3710</v>
      </c>
      <c r="F1260"/>
      <c r="G1260" s="2">
        <v>500</v>
      </c>
      <c r="I1260" s="2">
        <f t="shared" si="86"/>
        <v>12740.2</v>
      </c>
      <c r="N1260" s="2">
        <f t="shared" si="85"/>
        <v>2</v>
      </c>
    </row>
    <row r="1261" spans="1:14" x14ac:dyDescent="0.25">
      <c r="A1261" s="3">
        <v>45086</v>
      </c>
      <c r="B1261" s="11">
        <v>5145</v>
      </c>
      <c r="C1261" t="s">
        <v>3711</v>
      </c>
      <c r="E1261" s="115" t="s">
        <v>16</v>
      </c>
      <c r="F1261"/>
      <c r="H1261" s="2">
        <v>100</v>
      </c>
      <c r="I1261" s="2">
        <f t="shared" si="86"/>
        <v>12640.2</v>
      </c>
      <c r="N1261" s="2">
        <f t="shared" si="85"/>
        <v>25.4</v>
      </c>
    </row>
    <row r="1262" spans="1:14" x14ac:dyDescent="0.25">
      <c r="A1262" s="3">
        <v>45087</v>
      </c>
      <c r="B1262" s="11" t="s">
        <v>2365</v>
      </c>
      <c r="C1262" t="s">
        <v>3290</v>
      </c>
      <c r="F1262"/>
      <c r="G1262" s="2">
        <v>5000</v>
      </c>
      <c r="I1262" s="2">
        <f t="shared" si="86"/>
        <v>17640.2</v>
      </c>
      <c r="N1262" s="2">
        <f t="shared" si="85"/>
        <v>20</v>
      </c>
    </row>
    <row r="1263" spans="1:14" x14ac:dyDescent="0.25">
      <c r="A1263" s="3">
        <v>45088</v>
      </c>
      <c r="B1263" s="11" t="s">
        <v>2365</v>
      </c>
      <c r="C1263" t="s">
        <v>3712</v>
      </c>
      <c r="F1263"/>
      <c r="G1263" s="2">
        <v>2000</v>
      </c>
      <c r="I1263" s="2">
        <f t="shared" si="86"/>
        <v>19640.2</v>
      </c>
      <c r="N1263" s="2">
        <f t="shared" si="85"/>
        <v>8</v>
      </c>
    </row>
    <row r="1264" spans="1:14" x14ac:dyDescent="0.25">
      <c r="A1264" s="3">
        <v>45088</v>
      </c>
      <c r="B1264" s="11" t="s">
        <v>2365</v>
      </c>
      <c r="F1264"/>
      <c r="G1264" s="2">
        <v>1000</v>
      </c>
      <c r="I1264" s="2">
        <f t="shared" si="86"/>
        <v>20640.2</v>
      </c>
      <c r="N1264" s="2">
        <f t="shared" si="85"/>
        <v>4</v>
      </c>
    </row>
    <row r="1265" spans="1:14" x14ac:dyDescent="0.25">
      <c r="A1265" s="3">
        <v>45088</v>
      </c>
      <c r="B1265" s="11">
        <v>4164</v>
      </c>
      <c r="C1265" t="s">
        <v>2280</v>
      </c>
      <c r="F1265"/>
      <c r="H1265" s="2">
        <v>6000</v>
      </c>
      <c r="I1265" s="2">
        <f t="shared" si="86"/>
        <v>14640.2</v>
      </c>
      <c r="N1265" s="2">
        <f t="shared" si="85"/>
        <v>20</v>
      </c>
    </row>
    <row r="1266" spans="1:14" x14ac:dyDescent="0.25">
      <c r="A1266" s="3">
        <v>45088</v>
      </c>
      <c r="B1266" s="11" t="s">
        <v>3714</v>
      </c>
      <c r="C1266" t="s">
        <v>3713</v>
      </c>
      <c r="F1266"/>
      <c r="H1266" s="2">
        <v>3500</v>
      </c>
      <c r="I1266" s="2">
        <f t="shared" si="86"/>
        <v>11140.2</v>
      </c>
      <c r="N1266" s="2">
        <f t="shared" si="85"/>
        <v>14</v>
      </c>
    </row>
    <row r="1267" spans="1:14" x14ac:dyDescent="0.25">
      <c r="A1267" s="3">
        <v>45088</v>
      </c>
      <c r="B1267" s="11" t="s">
        <v>3082</v>
      </c>
      <c r="C1267" t="s">
        <v>3715</v>
      </c>
      <c r="F1267"/>
      <c r="G1267" s="2">
        <v>2000</v>
      </c>
      <c r="I1267" s="2">
        <f t="shared" si="86"/>
        <v>13140.2</v>
      </c>
      <c r="N1267" s="2">
        <f t="shared" si="85"/>
        <v>8</v>
      </c>
    </row>
    <row r="1268" spans="1:14" x14ac:dyDescent="0.25">
      <c r="A1268" s="3">
        <v>45088</v>
      </c>
      <c r="B1268" s="11" t="s">
        <v>2247</v>
      </c>
      <c r="F1268"/>
      <c r="G1268" s="2">
        <v>1550</v>
      </c>
      <c r="I1268" s="2">
        <f t="shared" si="86"/>
        <v>14690.2</v>
      </c>
      <c r="N1268" s="2">
        <f t="shared" si="85"/>
        <v>6.2</v>
      </c>
    </row>
    <row r="1269" spans="1:14" x14ac:dyDescent="0.25">
      <c r="A1269" s="3">
        <v>45088</v>
      </c>
      <c r="B1269" s="11" t="s">
        <v>3716</v>
      </c>
      <c r="F1269"/>
      <c r="G1269" s="2">
        <v>1350</v>
      </c>
      <c r="I1269" s="2">
        <f t="shared" si="86"/>
        <v>16040.2</v>
      </c>
      <c r="N1269" s="2">
        <f t="shared" ref="N1269:N1304" si="87">IF((G1269+H1269)&lt;=5000,(H1269+G1269)*0.004,20)+IF(E1269="Y",25,0)</f>
        <v>5.4</v>
      </c>
    </row>
    <row r="1270" spans="1:14" x14ac:dyDescent="0.25">
      <c r="A1270" s="3">
        <v>45088</v>
      </c>
      <c r="B1270" s="11">
        <v>4906</v>
      </c>
      <c r="F1270"/>
      <c r="G1270" s="2">
        <v>1000</v>
      </c>
      <c r="I1270" s="2">
        <f t="shared" si="86"/>
        <v>17040.2</v>
      </c>
      <c r="N1270" s="2">
        <f t="shared" si="87"/>
        <v>4</v>
      </c>
    </row>
    <row r="1271" spans="1:14" x14ac:dyDescent="0.25">
      <c r="A1271" s="3">
        <v>45090</v>
      </c>
      <c r="B1271" s="11" t="s">
        <v>1253</v>
      </c>
      <c r="C1271" t="s">
        <v>2290</v>
      </c>
      <c r="F1271"/>
      <c r="G1271" s="2">
        <v>5000</v>
      </c>
      <c r="I1271" s="2">
        <f t="shared" si="86"/>
        <v>22040.2</v>
      </c>
      <c r="N1271" s="2">
        <f t="shared" si="87"/>
        <v>20</v>
      </c>
    </row>
    <row r="1272" spans="1:14" x14ac:dyDescent="0.25">
      <c r="A1272" s="3">
        <v>45090</v>
      </c>
      <c r="B1272" s="11">
        <v>4906</v>
      </c>
      <c r="F1272"/>
      <c r="G1272" s="2">
        <v>2000</v>
      </c>
      <c r="I1272" s="2">
        <f t="shared" si="86"/>
        <v>24040.2</v>
      </c>
      <c r="N1272" s="2">
        <f t="shared" si="87"/>
        <v>8</v>
      </c>
    </row>
    <row r="1273" spans="1:14" x14ac:dyDescent="0.25">
      <c r="A1273" s="3">
        <v>45090</v>
      </c>
      <c r="B1273" s="11" t="s">
        <v>1253</v>
      </c>
      <c r="C1273" t="s">
        <v>3717</v>
      </c>
      <c r="F1273"/>
      <c r="G1273" s="2">
        <v>10000</v>
      </c>
      <c r="I1273" s="2">
        <f t="shared" si="86"/>
        <v>34040.199999999997</v>
      </c>
      <c r="N1273" s="2">
        <f t="shared" si="87"/>
        <v>20</v>
      </c>
    </row>
    <row r="1274" spans="1:14" x14ac:dyDescent="0.25">
      <c r="A1274" s="3">
        <v>45090</v>
      </c>
      <c r="B1274" s="11">
        <v>4164</v>
      </c>
      <c r="C1274" t="s">
        <v>2280</v>
      </c>
      <c r="F1274"/>
      <c r="H1274" s="2">
        <v>5000</v>
      </c>
      <c r="I1274" s="2">
        <f t="shared" si="86"/>
        <v>29040.199999999997</v>
      </c>
      <c r="N1274" s="2">
        <f t="shared" si="87"/>
        <v>20</v>
      </c>
    </row>
    <row r="1275" spans="1:14" x14ac:dyDescent="0.25">
      <c r="A1275" s="3">
        <v>45091</v>
      </c>
      <c r="B1275" s="11">
        <v>5147</v>
      </c>
      <c r="C1275" t="s">
        <v>3535</v>
      </c>
      <c r="E1275" s="115" t="s">
        <v>16</v>
      </c>
      <c r="F1275"/>
      <c r="H1275" s="2">
        <v>100</v>
      </c>
      <c r="I1275" s="2">
        <f t="shared" si="86"/>
        <v>28940.199999999997</v>
      </c>
      <c r="N1275" s="2">
        <f t="shared" si="87"/>
        <v>25.4</v>
      </c>
    </row>
    <row r="1276" spans="1:14" x14ac:dyDescent="0.25">
      <c r="A1276" s="3">
        <v>45091</v>
      </c>
      <c r="B1276" s="11">
        <v>2028</v>
      </c>
      <c r="C1276" t="s">
        <v>3720</v>
      </c>
      <c r="F1276"/>
      <c r="G1276" s="2">
        <v>1400</v>
      </c>
      <c r="I1276" s="2">
        <f t="shared" si="86"/>
        <v>30340.199999999997</v>
      </c>
      <c r="N1276" s="2">
        <f t="shared" si="87"/>
        <v>5.6000000000000005</v>
      </c>
    </row>
    <row r="1277" spans="1:14" x14ac:dyDescent="0.25">
      <c r="A1277" s="3">
        <v>45091</v>
      </c>
      <c r="B1277" s="11" t="s">
        <v>3729</v>
      </c>
      <c r="C1277" t="s">
        <v>3724</v>
      </c>
      <c r="E1277" s="115" t="s">
        <v>16</v>
      </c>
      <c r="F1277"/>
      <c r="H1277" s="2">
        <v>10000</v>
      </c>
      <c r="I1277" s="2">
        <f t="shared" si="86"/>
        <v>20340.199999999997</v>
      </c>
      <c r="N1277" s="2">
        <f t="shared" si="87"/>
        <v>45</v>
      </c>
    </row>
    <row r="1278" spans="1:14" x14ac:dyDescent="0.25">
      <c r="A1278" s="3">
        <v>45092</v>
      </c>
      <c r="B1278" s="11" t="s">
        <v>3725</v>
      </c>
      <c r="C1278" s="7" t="s">
        <v>3727</v>
      </c>
      <c r="E1278" s="115" t="s">
        <v>16</v>
      </c>
      <c r="F1278"/>
      <c r="H1278" s="2">
        <v>1000</v>
      </c>
      <c r="I1278" s="2">
        <f t="shared" si="86"/>
        <v>19340.199999999997</v>
      </c>
      <c r="N1278" s="2">
        <f t="shared" si="87"/>
        <v>29</v>
      </c>
    </row>
    <row r="1279" spans="1:14" x14ac:dyDescent="0.25">
      <c r="A1279" s="3">
        <v>45092</v>
      </c>
      <c r="B1279" s="11">
        <v>5149</v>
      </c>
      <c r="C1279" t="s">
        <v>3731</v>
      </c>
      <c r="E1279" s="115" t="s">
        <v>16</v>
      </c>
      <c r="F1279"/>
      <c r="H1279" s="2">
        <v>500</v>
      </c>
      <c r="I1279" s="2">
        <f t="shared" si="86"/>
        <v>18840.199999999997</v>
      </c>
      <c r="N1279" s="2">
        <f t="shared" si="87"/>
        <v>27</v>
      </c>
    </row>
    <row r="1280" spans="1:14" x14ac:dyDescent="0.25">
      <c r="A1280" s="3">
        <v>45092</v>
      </c>
      <c r="B1280" s="11" t="s">
        <v>1253</v>
      </c>
      <c r="C1280" t="s">
        <v>3735</v>
      </c>
      <c r="F1280"/>
      <c r="G1280" s="2">
        <v>4000</v>
      </c>
      <c r="I1280" s="2">
        <f t="shared" si="86"/>
        <v>22840.199999999997</v>
      </c>
      <c r="N1280" s="2">
        <f t="shared" si="87"/>
        <v>16</v>
      </c>
    </row>
    <row r="1281" spans="1:14" x14ac:dyDescent="0.25">
      <c r="A1281" s="3">
        <v>45092</v>
      </c>
      <c r="B1281" s="11">
        <v>4296</v>
      </c>
      <c r="C1281" t="s">
        <v>3654</v>
      </c>
      <c r="F1281"/>
      <c r="H1281" s="2">
        <v>3500</v>
      </c>
      <c r="I1281" s="2">
        <f t="shared" si="86"/>
        <v>19340.199999999997</v>
      </c>
      <c r="N1281" s="2">
        <f t="shared" si="87"/>
        <v>14</v>
      </c>
    </row>
    <row r="1282" spans="1:14" x14ac:dyDescent="0.25">
      <c r="A1282" s="3">
        <v>45092</v>
      </c>
      <c r="B1282" s="11" t="s">
        <v>1253</v>
      </c>
      <c r="C1282" t="s">
        <v>3717</v>
      </c>
      <c r="F1282"/>
      <c r="G1282" s="2">
        <v>5000</v>
      </c>
      <c r="I1282" s="2">
        <f t="shared" si="86"/>
        <v>24340.199999999997</v>
      </c>
      <c r="N1282" s="2">
        <f t="shared" si="87"/>
        <v>20</v>
      </c>
    </row>
    <row r="1283" spans="1:14" x14ac:dyDescent="0.25">
      <c r="A1283" s="3">
        <v>45094</v>
      </c>
      <c r="B1283" s="11">
        <v>5134</v>
      </c>
      <c r="F1283"/>
      <c r="G1283" s="2">
        <v>300</v>
      </c>
      <c r="I1283" s="2">
        <f t="shared" si="86"/>
        <v>24640.199999999997</v>
      </c>
      <c r="N1283" s="2">
        <f t="shared" si="87"/>
        <v>1.2</v>
      </c>
    </row>
    <row r="1284" spans="1:14" x14ac:dyDescent="0.25">
      <c r="A1284" s="3">
        <v>45094</v>
      </c>
      <c r="B1284" s="11">
        <v>166</v>
      </c>
      <c r="C1284" t="s">
        <v>3736</v>
      </c>
      <c r="F1284"/>
      <c r="G1284" s="2">
        <v>1000</v>
      </c>
      <c r="I1284" s="2">
        <f t="shared" si="86"/>
        <v>25640.199999999997</v>
      </c>
      <c r="N1284" s="2">
        <f t="shared" si="87"/>
        <v>4</v>
      </c>
    </row>
    <row r="1285" spans="1:14" x14ac:dyDescent="0.25">
      <c r="A1285" s="3">
        <v>45094</v>
      </c>
      <c r="B1285" s="11" t="s">
        <v>2748</v>
      </c>
      <c r="C1285" t="s">
        <v>1282</v>
      </c>
      <c r="F1285"/>
      <c r="H1285" s="2">
        <v>10000</v>
      </c>
      <c r="I1285" s="2">
        <f t="shared" si="86"/>
        <v>15640.199999999997</v>
      </c>
      <c r="N1285" s="2">
        <f t="shared" si="87"/>
        <v>20</v>
      </c>
    </row>
    <row r="1286" spans="1:14" x14ac:dyDescent="0.25">
      <c r="A1286" s="3">
        <v>45094</v>
      </c>
      <c r="B1286" s="11" t="s">
        <v>1253</v>
      </c>
      <c r="C1286" t="s">
        <v>3737</v>
      </c>
      <c r="F1286"/>
      <c r="G1286" s="2">
        <v>500</v>
      </c>
      <c r="I1286" s="2">
        <f t="shared" si="86"/>
        <v>16140.199999999997</v>
      </c>
      <c r="N1286" s="2">
        <f t="shared" si="87"/>
        <v>2</v>
      </c>
    </row>
    <row r="1287" spans="1:14" x14ac:dyDescent="0.25">
      <c r="A1287" s="3">
        <v>45094</v>
      </c>
      <c r="B1287" s="11">
        <v>2333</v>
      </c>
      <c r="C1287" t="s">
        <v>3738</v>
      </c>
      <c r="F1287"/>
      <c r="G1287" s="2">
        <v>3000</v>
      </c>
      <c r="I1287" s="2">
        <f t="shared" si="86"/>
        <v>19140.199999999997</v>
      </c>
      <c r="N1287" s="2">
        <f t="shared" si="87"/>
        <v>12</v>
      </c>
    </row>
    <row r="1288" spans="1:14" x14ac:dyDescent="0.25">
      <c r="A1288" s="3">
        <v>45094</v>
      </c>
      <c r="B1288" s="11" t="s">
        <v>1163</v>
      </c>
      <c r="C1288" t="s">
        <v>3739</v>
      </c>
      <c r="F1288"/>
      <c r="G1288" s="2">
        <v>500</v>
      </c>
      <c r="I1288" s="2">
        <f t="shared" si="86"/>
        <v>19640.199999999997</v>
      </c>
      <c r="N1288" s="2">
        <f t="shared" si="87"/>
        <v>2</v>
      </c>
    </row>
    <row r="1289" spans="1:14" x14ac:dyDescent="0.25">
      <c r="A1289" s="3">
        <v>45094</v>
      </c>
      <c r="B1289" s="11" t="s">
        <v>2247</v>
      </c>
      <c r="F1289"/>
      <c r="G1289" s="2">
        <v>3000</v>
      </c>
      <c r="I1289" s="2">
        <f t="shared" si="86"/>
        <v>22640.199999999997</v>
      </c>
      <c r="N1289" s="2">
        <f t="shared" si="87"/>
        <v>12</v>
      </c>
    </row>
    <row r="1290" spans="1:14" x14ac:dyDescent="0.25">
      <c r="A1290" s="3">
        <v>45094</v>
      </c>
      <c r="B1290" s="11" t="s">
        <v>1163</v>
      </c>
      <c r="C1290" t="s">
        <v>3742</v>
      </c>
      <c r="F1290"/>
      <c r="G1290" s="2">
        <v>1000</v>
      </c>
      <c r="I1290" s="2">
        <f t="shared" si="86"/>
        <v>23640.199999999997</v>
      </c>
      <c r="N1290" s="2">
        <f t="shared" si="87"/>
        <v>4</v>
      </c>
    </row>
    <row r="1291" spans="1:14" x14ac:dyDescent="0.25">
      <c r="A1291" s="3">
        <v>45095</v>
      </c>
      <c r="B1291" s="11">
        <v>1141</v>
      </c>
      <c r="C1291" t="s">
        <v>3183</v>
      </c>
      <c r="F1291"/>
      <c r="G1291" s="2">
        <v>900</v>
      </c>
      <c r="I1291" s="2">
        <f t="shared" si="86"/>
        <v>24540.199999999997</v>
      </c>
      <c r="N1291" s="2">
        <f t="shared" si="87"/>
        <v>3.6</v>
      </c>
    </row>
    <row r="1292" spans="1:14" x14ac:dyDescent="0.25">
      <c r="A1292" s="3">
        <v>45095</v>
      </c>
      <c r="B1292" s="11" t="s">
        <v>3744</v>
      </c>
      <c r="C1292" t="s">
        <v>1282</v>
      </c>
      <c r="F1292"/>
      <c r="H1292" s="2">
        <v>10000</v>
      </c>
      <c r="I1292" s="2">
        <f t="shared" si="86"/>
        <v>14540.199999999997</v>
      </c>
      <c r="N1292" s="2">
        <f t="shared" si="87"/>
        <v>20</v>
      </c>
    </row>
    <row r="1293" spans="1:14" x14ac:dyDescent="0.25">
      <c r="A1293" s="3">
        <v>45095</v>
      </c>
      <c r="B1293" s="11" t="s">
        <v>1253</v>
      </c>
      <c r="F1293"/>
      <c r="G1293" s="2">
        <v>1000</v>
      </c>
      <c r="I1293" s="2">
        <f t="shared" si="86"/>
        <v>15540.199999999997</v>
      </c>
      <c r="N1293" s="2">
        <f t="shared" si="87"/>
        <v>4</v>
      </c>
    </row>
    <row r="1294" spans="1:14" x14ac:dyDescent="0.25">
      <c r="A1294" s="3">
        <v>45095</v>
      </c>
      <c r="B1294" s="11">
        <v>576</v>
      </c>
      <c r="C1294" t="s">
        <v>2467</v>
      </c>
      <c r="F1294"/>
      <c r="G1294" s="2">
        <v>1100</v>
      </c>
      <c r="I1294" s="2">
        <f t="shared" si="86"/>
        <v>16640.199999999997</v>
      </c>
      <c r="N1294" s="2">
        <f t="shared" si="87"/>
        <v>4.4000000000000004</v>
      </c>
    </row>
    <row r="1295" spans="1:14" x14ac:dyDescent="0.25">
      <c r="A1295" s="3">
        <v>45096</v>
      </c>
      <c r="B1295" s="11">
        <v>4906</v>
      </c>
      <c r="F1295"/>
      <c r="G1295" s="2">
        <v>800</v>
      </c>
      <c r="I1295" s="2">
        <f t="shared" si="86"/>
        <v>17440.199999999997</v>
      </c>
      <c r="N1295" s="2">
        <f t="shared" si="87"/>
        <v>3.2</v>
      </c>
    </row>
    <row r="1296" spans="1:14" x14ac:dyDescent="0.25">
      <c r="A1296" s="3">
        <v>45096</v>
      </c>
      <c r="B1296" s="11">
        <v>961</v>
      </c>
      <c r="C1296" t="s">
        <v>3745</v>
      </c>
      <c r="F1296"/>
      <c r="G1296" s="2">
        <v>600</v>
      </c>
      <c r="I1296" s="2">
        <f t="shared" si="86"/>
        <v>18040.199999999997</v>
      </c>
      <c r="N1296" s="2">
        <f t="shared" si="87"/>
        <v>2.4</v>
      </c>
    </row>
    <row r="1297" spans="1:14" x14ac:dyDescent="0.25">
      <c r="A1297" s="3">
        <v>45096</v>
      </c>
      <c r="C1297" t="s">
        <v>2896</v>
      </c>
      <c r="F1297"/>
      <c r="H1297" s="2">
        <v>10000</v>
      </c>
      <c r="I1297" s="2">
        <f t="shared" si="86"/>
        <v>8040.1999999999971</v>
      </c>
      <c r="N1297" s="2">
        <f t="shared" si="87"/>
        <v>20</v>
      </c>
    </row>
    <row r="1298" spans="1:14" x14ac:dyDescent="0.25">
      <c r="A1298" s="3">
        <v>45096</v>
      </c>
      <c r="B1298" s="11" t="s">
        <v>3746</v>
      </c>
      <c r="C1298" t="s">
        <v>3747</v>
      </c>
      <c r="F1298"/>
      <c r="H1298" s="2">
        <v>8000</v>
      </c>
      <c r="I1298" s="2">
        <f t="shared" si="86"/>
        <v>40.19999999999709</v>
      </c>
      <c r="N1298" s="2">
        <f t="shared" si="87"/>
        <v>20</v>
      </c>
    </row>
    <row r="1299" spans="1:14" x14ac:dyDescent="0.25">
      <c r="A1299" s="3">
        <v>45096</v>
      </c>
      <c r="B1299" s="11">
        <v>4477</v>
      </c>
      <c r="C1299" t="s">
        <v>3299</v>
      </c>
      <c r="F1299"/>
      <c r="G1299" s="2">
        <v>2000</v>
      </c>
      <c r="I1299" s="2">
        <f t="shared" si="86"/>
        <v>2040.1999999999971</v>
      </c>
      <c r="N1299" s="2">
        <f t="shared" si="87"/>
        <v>8</v>
      </c>
    </row>
    <row r="1300" spans="1:14" x14ac:dyDescent="0.25">
      <c r="A1300" s="3">
        <v>45096</v>
      </c>
      <c r="B1300" s="11" t="s">
        <v>1475</v>
      </c>
      <c r="C1300" t="s">
        <v>2512</v>
      </c>
      <c r="F1300"/>
      <c r="G1300" s="2">
        <v>5000</v>
      </c>
      <c r="I1300" s="2">
        <f t="shared" si="86"/>
        <v>7040.1999999999971</v>
      </c>
      <c r="N1300" s="2">
        <f t="shared" si="87"/>
        <v>20</v>
      </c>
    </row>
    <row r="1301" spans="1:14" x14ac:dyDescent="0.25">
      <c r="A1301" s="3">
        <v>45096</v>
      </c>
      <c r="B1301" s="11" t="s">
        <v>3248</v>
      </c>
      <c r="C1301" t="s">
        <v>2343</v>
      </c>
      <c r="F1301"/>
      <c r="G1301" s="2">
        <v>4000</v>
      </c>
      <c r="I1301" s="2">
        <f t="shared" si="86"/>
        <v>11040.199999999997</v>
      </c>
      <c r="N1301" s="2">
        <f t="shared" si="87"/>
        <v>16</v>
      </c>
    </row>
    <row r="1302" spans="1:14" x14ac:dyDescent="0.25">
      <c r="A1302" s="3">
        <v>45096</v>
      </c>
      <c r="B1302" s="11">
        <v>1640</v>
      </c>
      <c r="C1302" t="s">
        <v>2577</v>
      </c>
      <c r="F1302"/>
      <c r="H1302" s="2">
        <v>4000</v>
      </c>
      <c r="I1302" s="2">
        <f t="shared" si="86"/>
        <v>7040.1999999999971</v>
      </c>
      <c r="N1302" s="2">
        <f t="shared" si="87"/>
        <v>16</v>
      </c>
    </row>
    <row r="1303" spans="1:14" x14ac:dyDescent="0.25">
      <c r="A1303" s="3">
        <v>45096</v>
      </c>
      <c r="B1303" s="11" t="s">
        <v>1163</v>
      </c>
      <c r="C1303" t="s">
        <v>3748</v>
      </c>
      <c r="F1303"/>
      <c r="G1303" s="2">
        <v>2000</v>
      </c>
      <c r="I1303" s="2">
        <f t="shared" si="86"/>
        <v>9040.1999999999971</v>
      </c>
      <c r="N1303" s="2">
        <f t="shared" si="87"/>
        <v>8</v>
      </c>
    </row>
    <row r="1304" spans="1:14" x14ac:dyDescent="0.25">
      <c r="A1304" s="3">
        <v>45096</v>
      </c>
      <c r="B1304" s="11">
        <v>4164</v>
      </c>
      <c r="C1304" t="s">
        <v>2280</v>
      </c>
      <c r="F1304"/>
      <c r="H1304" s="2">
        <v>5000</v>
      </c>
      <c r="I1304" s="2">
        <f t="shared" si="86"/>
        <v>4040.1999999999971</v>
      </c>
      <c r="N1304" s="2">
        <f t="shared" si="87"/>
        <v>20</v>
      </c>
    </row>
    <row r="1305" spans="1:14" x14ac:dyDescent="0.25">
      <c r="A1305" s="3">
        <v>45096</v>
      </c>
      <c r="B1305" s="11" t="s">
        <v>1253</v>
      </c>
      <c r="C1305" t="s">
        <v>2256</v>
      </c>
      <c r="F1305"/>
      <c r="G1305" s="2">
        <v>1100</v>
      </c>
      <c r="I1305" s="2">
        <f t="shared" si="86"/>
        <v>5140.1999999999971</v>
      </c>
    </row>
    <row r="1306" spans="1:14" x14ac:dyDescent="0.25">
      <c r="A1306" s="3">
        <v>45096</v>
      </c>
      <c r="C1306" s="57" t="s">
        <v>2682</v>
      </c>
      <c r="D1306" s="142"/>
      <c r="E1306" s="124"/>
      <c r="F1306" s="57"/>
      <c r="G1306" s="96">
        <v>1144.1600000000001</v>
      </c>
      <c r="I1306" s="2">
        <f t="shared" si="86"/>
        <v>6284.3599999999969</v>
      </c>
      <c r="N1306" s="2">
        <f t="shared" ref="N1306:N1340" si="88">IF((G1306+H1306)&lt;=5000,(H1306+G1306)*0.004,20)+IF(E1306="Y",25,0)</f>
        <v>4.5766400000000003</v>
      </c>
    </row>
    <row r="1307" spans="1:14" x14ac:dyDescent="0.25">
      <c r="A1307" s="3">
        <v>45097</v>
      </c>
      <c r="B1307" s="11">
        <v>5150</v>
      </c>
      <c r="C1307" t="s">
        <v>3751</v>
      </c>
      <c r="E1307" s="115" t="s">
        <v>16</v>
      </c>
      <c r="F1307"/>
      <c r="H1307" s="2">
        <v>100</v>
      </c>
      <c r="I1307" s="2">
        <f t="shared" si="86"/>
        <v>6184.3599999999969</v>
      </c>
      <c r="N1307" s="2">
        <f t="shared" si="88"/>
        <v>25.4</v>
      </c>
    </row>
    <row r="1308" spans="1:14" x14ac:dyDescent="0.25">
      <c r="A1308" s="3">
        <v>45097</v>
      </c>
      <c r="B1308" s="11" t="s">
        <v>3753</v>
      </c>
      <c r="C1308" t="s">
        <v>3754</v>
      </c>
      <c r="F1308"/>
      <c r="G1308" s="2">
        <v>300</v>
      </c>
      <c r="I1308" s="2">
        <f t="shared" si="86"/>
        <v>6484.3599999999969</v>
      </c>
      <c r="N1308" s="2">
        <f t="shared" si="88"/>
        <v>1.2</v>
      </c>
    </row>
    <row r="1309" spans="1:14" x14ac:dyDescent="0.25">
      <c r="A1309" s="3">
        <v>45098</v>
      </c>
      <c r="F1309"/>
      <c r="H1309" s="2">
        <v>5000</v>
      </c>
      <c r="I1309" s="2">
        <f t="shared" si="86"/>
        <v>1484.3599999999969</v>
      </c>
      <c r="N1309" s="2">
        <f t="shared" si="88"/>
        <v>20</v>
      </c>
    </row>
    <row r="1310" spans="1:14" x14ac:dyDescent="0.25">
      <c r="A1310" s="3">
        <v>45098</v>
      </c>
      <c r="B1310" s="11" t="s">
        <v>1253</v>
      </c>
      <c r="C1310" t="s">
        <v>2362</v>
      </c>
      <c r="F1310"/>
      <c r="G1310" s="2">
        <v>5000</v>
      </c>
      <c r="I1310" s="2">
        <f t="shared" si="86"/>
        <v>6484.3599999999969</v>
      </c>
      <c r="N1310" s="2">
        <f t="shared" si="88"/>
        <v>20</v>
      </c>
    </row>
    <row r="1311" spans="1:14" x14ac:dyDescent="0.25">
      <c r="A1311" s="3">
        <v>45098</v>
      </c>
      <c r="B1311" s="11">
        <v>2028</v>
      </c>
      <c r="C1311" t="s">
        <v>3720</v>
      </c>
      <c r="F1311"/>
      <c r="G1311" s="2">
        <v>700</v>
      </c>
      <c r="I1311" s="2">
        <f t="shared" si="86"/>
        <v>7184.3599999999969</v>
      </c>
      <c r="N1311" s="2">
        <f t="shared" si="88"/>
        <v>2.8000000000000003</v>
      </c>
    </row>
    <row r="1312" spans="1:14" x14ac:dyDescent="0.25">
      <c r="A1312" s="3">
        <v>45099</v>
      </c>
      <c r="B1312" s="11" t="s">
        <v>3716</v>
      </c>
      <c r="C1312" t="s">
        <v>2383</v>
      </c>
      <c r="F1312"/>
      <c r="G1312" s="2">
        <v>500</v>
      </c>
      <c r="I1312" s="2">
        <f t="shared" si="86"/>
        <v>7684.3599999999969</v>
      </c>
      <c r="N1312" s="2">
        <f t="shared" si="88"/>
        <v>2</v>
      </c>
    </row>
    <row r="1313" spans="1:14" x14ac:dyDescent="0.25">
      <c r="A1313" s="3">
        <v>45100</v>
      </c>
      <c r="B1313" s="11" t="s">
        <v>1253</v>
      </c>
      <c r="C1313" t="s">
        <v>3759</v>
      </c>
      <c r="F1313"/>
      <c r="G1313" s="2">
        <v>1200</v>
      </c>
      <c r="I1313" s="2">
        <f t="shared" si="86"/>
        <v>8884.3599999999969</v>
      </c>
      <c r="N1313" s="2">
        <f t="shared" si="88"/>
        <v>4.8</v>
      </c>
    </row>
    <row r="1314" spans="1:14" x14ac:dyDescent="0.25">
      <c r="A1314" s="3">
        <v>45100</v>
      </c>
      <c r="B1314" s="11">
        <v>5151</v>
      </c>
      <c r="C1314" t="s">
        <v>3765</v>
      </c>
      <c r="E1314" s="115" t="s">
        <v>16</v>
      </c>
      <c r="F1314"/>
      <c r="H1314" s="2">
        <v>300</v>
      </c>
      <c r="I1314" s="2">
        <f t="shared" si="86"/>
        <v>8584.3599999999969</v>
      </c>
      <c r="N1314" s="2">
        <f t="shared" si="88"/>
        <v>26.2</v>
      </c>
    </row>
    <row r="1315" spans="1:14" x14ac:dyDescent="0.25">
      <c r="A1315" s="3">
        <v>45100</v>
      </c>
      <c r="B1315" s="11">
        <v>5152</v>
      </c>
      <c r="C1315" t="s">
        <v>3762</v>
      </c>
      <c r="E1315" s="115" t="s">
        <v>16</v>
      </c>
      <c r="F1315"/>
      <c r="H1315" s="2">
        <v>500</v>
      </c>
      <c r="I1315" s="2">
        <f t="shared" si="86"/>
        <v>8084.3599999999969</v>
      </c>
      <c r="N1315" s="2">
        <f t="shared" si="88"/>
        <v>27</v>
      </c>
    </row>
    <row r="1316" spans="1:14" x14ac:dyDescent="0.25">
      <c r="A1316" s="3">
        <v>45100</v>
      </c>
      <c r="B1316" s="11">
        <v>675</v>
      </c>
      <c r="C1316" t="s">
        <v>3767</v>
      </c>
      <c r="F1316"/>
      <c r="G1316" s="2">
        <v>1500</v>
      </c>
      <c r="I1316" s="2">
        <f t="shared" si="86"/>
        <v>9584.3599999999969</v>
      </c>
      <c r="N1316" s="2">
        <f t="shared" si="88"/>
        <v>6</v>
      </c>
    </row>
    <row r="1317" spans="1:14" x14ac:dyDescent="0.25">
      <c r="A1317" s="3">
        <v>45100</v>
      </c>
      <c r="B1317" s="11">
        <v>4902</v>
      </c>
      <c r="C1317" t="s">
        <v>3768</v>
      </c>
      <c r="F1317"/>
      <c r="G1317" s="2">
        <v>400</v>
      </c>
      <c r="I1317" s="2">
        <f t="shared" si="86"/>
        <v>9984.3599999999969</v>
      </c>
      <c r="N1317" s="2">
        <f t="shared" si="88"/>
        <v>1.6</v>
      </c>
    </row>
    <row r="1318" spans="1:14" x14ac:dyDescent="0.25">
      <c r="A1318" s="3">
        <v>45100</v>
      </c>
      <c r="B1318" s="11" t="s">
        <v>3045</v>
      </c>
      <c r="C1318" t="s">
        <v>2816</v>
      </c>
      <c r="F1318"/>
      <c r="H1318" s="2">
        <v>8000</v>
      </c>
      <c r="I1318" s="2">
        <f t="shared" si="86"/>
        <v>1984.3599999999969</v>
      </c>
      <c r="N1318" s="2">
        <f t="shared" si="88"/>
        <v>20</v>
      </c>
    </row>
    <row r="1319" spans="1:14" x14ac:dyDescent="0.25">
      <c r="A1319" s="3">
        <v>45100</v>
      </c>
      <c r="B1319" s="11">
        <v>295</v>
      </c>
      <c r="C1319" t="s">
        <v>3769</v>
      </c>
      <c r="F1319"/>
      <c r="G1319" s="2">
        <v>10000</v>
      </c>
      <c r="I1319" s="2">
        <f t="shared" si="86"/>
        <v>11984.359999999997</v>
      </c>
      <c r="N1319" s="2">
        <f t="shared" si="88"/>
        <v>20</v>
      </c>
    </row>
    <row r="1320" spans="1:14" x14ac:dyDescent="0.25">
      <c r="A1320" s="3">
        <v>45101</v>
      </c>
      <c r="B1320" s="11">
        <v>295</v>
      </c>
      <c r="C1320" t="s">
        <v>3769</v>
      </c>
      <c r="F1320"/>
      <c r="G1320" s="2">
        <v>4000</v>
      </c>
      <c r="I1320" s="2">
        <f t="shared" si="86"/>
        <v>15984.359999999997</v>
      </c>
      <c r="N1320" s="2">
        <f t="shared" si="88"/>
        <v>16</v>
      </c>
    </row>
    <row r="1321" spans="1:14" x14ac:dyDescent="0.25">
      <c r="A1321" s="3">
        <v>45101</v>
      </c>
      <c r="B1321" s="11" t="s">
        <v>1260</v>
      </c>
      <c r="C1321" t="s">
        <v>2280</v>
      </c>
      <c r="F1321"/>
      <c r="H1321" s="2">
        <v>6500</v>
      </c>
      <c r="I1321" s="2">
        <f t="shared" si="86"/>
        <v>9484.3599999999969</v>
      </c>
      <c r="N1321" s="2">
        <f t="shared" si="88"/>
        <v>20</v>
      </c>
    </row>
    <row r="1322" spans="1:14" x14ac:dyDescent="0.25">
      <c r="A1322" s="3">
        <v>45102</v>
      </c>
      <c r="B1322" s="11" t="s">
        <v>3772</v>
      </c>
      <c r="C1322" t="s">
        <v>3773</v>
      </c>
      <c r="F1322"/>
      <c r="G1322" s="2">
        <v>5500</v>
      </c>
      <c r="I1322" s="2">
        <f t="shared" si="86"/>
        <v>14984.359999999997</v>
      </c>
      <c r="N1322" s="2">
        <f t="shared" si="88"/>
        <v>20</v>
      </c>
    </row>
    <row r="1323" spans="1:14" x14ac:dyDescent="0.25">
      <c r="A1323" s="3">
        <v>45072</v>
      </c>
      <c r="B1323" s="11">
        <v>4924</v>
      </c>
      <c r="C1323" t="s">
        <v>3295</v>
      </c>
      <c r="F1323"/>
      <c r="G1323" s="2">
        <v>10000</v>
      </c>
      <c r="I1323" s="2">
        <f t="shared" si="86"/>
        <v>24984.359999999997</v>
      </c>
      <c r="N1323" s="2">
        <f t="shared" si="88"/>
        <v>20</v>
      </c>
    </row>
    <row r="1324" spans="1:14" x14ac:dyDescent="0.25">
      <c r="A1324" s="3">
        <v>45072</v>
      </c>
      <c r="B1324" s="11" t="s">
        <v>1253</v>
      </c>
      <c r="C1324" t="s">
        <v>3774</v>
      </c>
      <c r="F1324"/>
      <c r="H1324" s="2">
        <v>4500</v>
      </c>
      <c r="I1324" s="2">
        <f t="shared" si="86"/>
        <v>20484.359999999997</v>
      </c>
      <c r="N1324" s="2">
        <f t="shared" si="88"/>
        <v>18</v>
      </c>
    </row>
    <row r="1325" spans="1:14" x14ac:dyDescent="0.25">
      <c r="A1325" s="3">
        <v>45072</v>
      </c>
      <c r="B1325" s="11" t="s">
        <v>1163</v>
      </c>
      <c r="C1325" t="s">
        <v>3775</v>
      </c>
      <c r="F1325"/>
      <c r="G1325" s="2">
        <v>3000</v>
      </c>
      <c r="I1325" s="2">
        <f t="shared" si="86"/>
        <v>23484.359999999997</v>
      </c>
      <c r="N1325" s="2">
        <f t="shared" si="88"/>
        <v>12</v>
      </c>
    </row>
    <row r="1326" spans="1:14" x14ac:dyDescent="0.25">
      <c r="A1326" s="3">
        <v>45072</v>
      </c>
      <c r="B1326" s="11" t="s">
        <v>2748</v>
      </c>
      <c r="C1326" t="s">
        <v>3776</v>
      </c>
      <c r="F1326"/>
      <c r="H1326" s="2">
        <v>10000</v>
      </c>
      <c r="I1326" s="2">
        <f t="shared" si="86"/>
        <v>13484.359999999997</v>
      </c>
      <c r="N1326" s="2">
        <f t="shared" si="88"/>
        <v>20</v>
      </c>
    </row>
    <row r="1327" spans="1:14" x14ac:dyDescent="0.25">
      <c r="A1327" s="3">
        <v>45072</v>
      </c>
      <c r="B1327" s="11" t="s">
        <v>3777</v>
      </c>
      <c r="C1327" t="s">
        <v>164</v>
      </c>
      <c r="F1327"/>
      <c r="H1327" s="2">
        <v>5000</v>
      </c>
      <c r="I1327" s="2">
        <f t="shared" si="86"/>
        <v>8484.3599999999969</v>
      </c>
      <c r="N1327" s="2">
        <f t="shared" si="88"/>
        <v>20</v>
      </c>
    </row>
    <row r="1328" spans="1:14" x14ac:dyDescent="0.25">
      <c r="A1328" s="3">
        <v>45072</v>
      </c>
      <c r="B1328" s="11" t="s">
        <v>3778</v>
      </c>
      <c r="C1328" t="s">
        <v>3779</v>
      </c>
      <c r="F1328"/>
      <c r="H1328" s="2">
        <v>700</v>
      </c>
      <c r="I1328" s="2">
        <f t="shared" si="86"/>
        <v>7784.3599999999969</v>
      </c>
      <c r="N1328" s="2">
        <f t="shared" si="88"/>
        <v>2.8000000000000003</v>
      </c>
    </row>
    <row r="1329" spans="1:18" x14ac:dyDescent="0.25">
      <c r="A1329" s="3">
        <v>45072</v>
      </c>
      <c r="B1329" s="11" t="s">
        <v>1253</v>
      </c>
      <c r="C1329" t="s">
        <v>2930</v>
      </c>
      <c r="F1329"/>
      <c r="G1329" s="2">
        <v>200</v>
      </c>
      <c r="I1329" s="2">
        <f t="shared" si="86"/>
        <v>7984.3599999999969</v>
      </c>
      <c r="N1329" s="2">
        <f t="shared" si="88"/>
        <v>0.8</v>
      </c>
    </row>
    <row r="1330" spans="1:18" x14ac:dyDescent="0.25">
      <c r="A1330" s="3">
        <v>45072</v>
      </c>
      <c r="B1330" s="11" t="s">
        <v>1253</v>
      </c>
      <c r="C1330" t="s">
        <v>3782</v>
      </c>
      <c r="F1330"/>
      <c r="G1330" s="2">
        <v>3000</v>
      </c>
      <c r="I1330" s="2">
        <f t="shared" si="86"/>
        <v>10984.359999999997</v>
      </c>
      <c r="N1330" s="2">
        <f t="shared" si="88"/>
        <v>12</v>
      </c>
      <c r="R1330">
        <f>5990-1100-100-50</f>
        <v>4740</v>
      </c>
    </row>
    <row r="1331" spans="1:18" x14ac:dyDescent="0.25">
      <c r="A1331" s="3">
        <v>45072</v>
      </c>
      <c r="B1331" s="11">
        <v>815153</v>
      </c>
      <c r="C1331" t="s">
        <v>3781</v>
      </c>
      <c r="E1331" s="115" t="s">
        <v>16</v>
      </c>
      <c r="F1331"/>
      <c r="H1331" s="2">
        <v>1000</v>
      </c>
      <c r="I1331" s="2">
        <f t="shared" si="86"/>
        <v>9984.3599999999969</v>
      </c>
      <c r="N1331" s="2">
        <f t="shared" si="88"/>
        <v>29</v>
      </c>
    </row>
    <row r="1332" spans="1:18" x14ac:dyDescent="0.25">
      <c r="A1332" s="3">
        <v>45072</v>
      </c>
      <c r="B1332" s="11" t="s">
        <v>1253</v>
      </c>
      <c r="C1332" t="s">
        <v>2466</v>
      </c>
      <c r="F1332"/>
      <c r="G1332" s="2">
        <v>600</v>
      </c>
      <c r="I1332" s="2">
        <f t="shared" si="86"/>
        <v>10584.359999999997</v>
      </c>
      <c r="N1332" s="2">
        <f t="shared" si="88"/>
        <v>2.4</v>
      </c>
    </row>
    <row r="1333" spans="1:18" x14ac:dyDescent="0.25">
      <c r="A1333" s="3">
        <v>45104</v>
      </c>
      <c r="B1333" s="11" t="s">
        <v>2620</v>
      </c>
      <c r="F1333"/>
      <c r="G1333" s="2">
        <v>1150</v>
      </c>
      <c r="I1333" s="2">
        <f t="shared" si="86"/>
        <v>11734.359999999997</v>
      </c>
      <c r="N1333" s="2">
        <f t="shared" si="88"/>
        <v>4.6000000000000005</v>
      </c>
    </row>
    <row r="1334" spans="1:18" x14ac:dyDescent="0.25">
      <c r="A1334" s="3">
        <v>45104</v>
      </c>
      <c r="B1334" s="11" t="s">
        <v>1253</v>
      </c>
      <c r="C1334" t="s">
        <v>3295</v>
      </c>
      <c r="F1334"/>
      <c r="G1334" s="2">
        <v>5000</v>
      </c>
      <c r="I1334" s="2">
        <f t="shared" si="86"/>
        <v>16734.359999999997</v>
      </c>
      <c r="N1334" s="2">
        <f t="shared" si="88"/>
        <v>20</v>
      </c>
    </row>
    <row r="1335" spans="1:18" x14ac:dyDescent="0.25">
      <c r="A1335" s="3">
        <v>45104</v>
      </c>
      <c r="B1335" s="11" t="s">
        <v>1253</v>
      </c>
      <c r="C1335" t="s">
        <v>2256</v>
      </c>
      <c r="F1335"/>
      <c r="G1335" s="2">
        <v>5990</v>
      </c>
      <c r="I1335" s="2">
        <f t="shared" si="86"/>
        <v>22724.359999999997</v>
      </c>
      <c r="N1335" s="2">
        <f t="shared" si="88"/>
        <v>20</v>
      </c>
    </row>
    <row r="1336" spans="1:18" x14ac:dyDescent="0.25">
      <c r="A1336" s="3">
        <v>45104</v>
      </c>
      <c r="B1336" s="11">
        <v>2100</v>
      </c>
      <c r="C1336" t="s">
        <v>579</v>
      </c>
      <c r="F1336"/>
      <c r="H1336" s="2">
        <v>1050</v>
      </c>
      <c r="I1336" s="2">
        <f t="shared" si="86"/>
        <v>21674.359999999997</v>
      </c>
      <c r="N1336" s="2">
        <f t="shared" si="88"/>
        <v>4.2</v>
      </c>
    </row>
    <row r="1337" spans="1:18" x14ac:dyDescent="0.25">
      <c r="A1337" s="3">
        <v>45104</v>
      </c>
      <c r="B1337" s="11" t="s">
        <v>2247</v>
      </c>
      <c r="C1337" t="s">
        <v>3273</v>
      </c>
      <c r="F1337"/>
      <c r="G1337" s="2">
        <v>1000</v>
      </c>
      <c r="I1337" s="2">
        <f t="shared" si="86"/>
        <v>22674.359999999997</v>
      </c>
      <c r="N1337" s="2">
        <f t="shared" si="88"/>
        <v>4</v>
      </c>
    </row>
    <row r="1338" spans="1:18" x14ac:dyDescent="0.25">
      <c r="A1338" s="3">
        <v>45105</v>
      </c>
      <c r="B1338" s="11" t="s">
        <v>1253</v>
      </c>
      <c r="C1338" t="s">
        <v>3737</v>
      </c>
      <c r="F1338"/>
      <c r="G1338" s="2">
        <v>200</v>
      </c>
      <c r="I1338" s="2">
        <f t="shared" si="86"/>
        <v>22874.359999999997</v>
      </c>
      <c r="N1338" s="2">
        <f t="shared" si="88"/>
        <v>0.8</v>
      </c>
    </row>
    <row r="1339" spans="1:18" x14ac:dyDescent="0.25">
      <c r="A1339" s="3">
        <v>45105</v>
      </c>
      <c r="B1339" s="11">
        <v>1640</v>
      </c>
      <c r="C1339" t="s">
        <v>2482</v>
      </c>
      <c r="F1339"/>
      <c r="H1339" s="2">
        <v>2000</v>
      </c>
      <c r="I1339" s="2">
        <f t="shared" si="86"/>
        <v>20874.359999999997</v>
      </c>
      <c r="N1339" s="2">
        <f t="shared" si="88"/>
        <v>8</v>
      </c>
    </row>
    <row r="1340" spans="1:18" x14ac:dyDescent="0.25">
      <c r="A1340" s="3">
        <v>45105</v>
      </c>
      <c r="B1340" s="11">
        <v>5154</v>
      </c>
      <c r="F1340"/>
      <c r="H1340" s="2">
        <v>200</v>
      </c>
      <c r="I1340" s="2">
        <f t="shared" si="86"/>
        <v>20674.359999999997</v>
      </c>
      <c r="N1340" s="2">
        <f t="shared" si="88"/>
        <v>0.8</v>
      </c>
    </row>
    <row r="1341" spans="1:18" x14ac:dyDescent="0.25">
      <c r="A1341" s="3"/>
      <c r="F1341"/>
      <c r="G1341" s="2">
        <v>1000</v>
      </c>
      <c r="I1341" s="2">
        <f t="shared" si="86"/>
        <v>21674.359999999997</v>
      </c>
    </row>
    <row r="1342" spans="1:18" x14ac:dyDescent="0.25">
      <c r="A1342" s="3">
        <v>45105</v>
      </c>
      <c r="B1342" s="11" t="s">
        <v>1163</v>
      </c>
      <c r="C1342" t="s">
        <v>3785</v>
      </c>
      <c r="D1342" s="58">
        <v>8235429892</v>
      </c>
      <c r="F1342"/>
      <c r="G1342" s="2">
        <v>2000</v>
      </c>
      <c r="I1342" s="2">
        <f t="shared" si="86"/>
        <v>23674.359999999997</v>
      </c>
      <c r="N1342" s="2">
        <f>IF((G1342+H1342)&lt;=5000,(H1342+G1342)*0.004,20)+IF(E1342="Y",25,0)</f>
        <v>8</v>
      </c>
    </row>
    <row r="1343" spans="1:18" x14ac:dyDescent="0.25">
      <c r="A1343" s="97"/>
      <c r="B1343" s="102"/>
      <c r="C1343" s="27"/>
      <c r="D1343" s="139"/>
      <c r="E1343" s="117">
        <f>COUNTIF(E1236:E1342,"Y")</f>
        <v>9</v>
      </c>
      <c r="F1343" s="97">
        <f>G1343+H1343</f>
        <v>327334.16000000003</v>
      </c>
      <c r="G1343" s="107">
        <f>SUM(G1237:G1342)</f>
        <v>174484.16</v>
      </c>
      <c r="H1343" s="107">
        <f>SUM(H1237:H1342)</f>
        <v>152850</v>
      </c>
      <c r="I1343" s="107"/>
      <c r="J1343" s="102">
        <f>SUM(J1237:J1342)</f>
        <v>0</v>
      </c>
      <c r="K1343" s="102">
        <f>SUM(K1237:K1342)</f>
        <v>0</v>
      </c>
      <c r="L1343" s="102">
        <f>SUM(L1237:L1342)</f>
        <v>0</v>
      </c>
      <c r="M1343" s="102">
        <f>SUM(M1237:M1342)</f>
        <v>0</v>
      </c>
      <c r="N1343" s="107">
        <f>SUM(N1237:N1342)</f>
        <v>1282.7766399999998</v>
      </c>
      <c r="O1343" s="97">
        <v>971.55</v>
      </c>
      <c r="P1343" s="97"/>
    </row>
    <row r="1344" spans="1:18" x14ac:dyDescent="0.25">
      <c r="C1344" s="48"/>
      <c r="D1344" s="59"/>
      <c r="F1344" s="11"/>
    </row>
    <row r="1345" spans="1:17" x14ac:dyDescent="0.25">
      <c r="A1345" s="3">
        <v>45108</v>
      </c>
      <c r="C1345" t="s">
        <v>3786</v>
      </c>
      <c r="F1345"/>
      <c r="G1345" s="2">
        <f>I1342</f>
        <v>23674.359999999997</v>
      </c>
      <c r="I1345" s="2">
        <f t="shared" ref="I1345:I1377" si="89">I1344+G1345-H1345</f>
        <v>23674.359999999997</v>
      </c>
      <c r="Q1345">
        <v>26714.12</v>
      </c>
    </row>
    <row r="1346" spans="1:17" x14ac:dyDescent="0.25">
      <c r="A1346" s="3">
        <v>45114</v>
      </c>
      <c r="B1346" s="11" t="s">
        <v>1253</v>
      </c>
      <c r="C1346" t="s">
        <v>3312</v>
      </c>
      <c r="F1346"/>
      <c r="G1346" s="2">
        <v>3000</v>
      </c>
      <c r="I1346" s="2">
        <f t="shared" si="89"/>
        <v>26674.359999999997</v>
      </c>
      <c r="N1346" s="2">
        <f t="shared" ref="N1346:N1377" si="90">IF((G1346+H1346)&lt;=5000,(H1346+G1346)*0.004,20)+IF(E1346="Y",25,0)</f>
        <v>12</v>
      </c>
    </row>
    <row r="1347" spans="1:17" x14ac:dyDescent="0.25">
      <c r="A1347" s="3">
        <v>45114</v>
      </c>
      <c r="B1347" s="11" t="s">
        <v>1253</v>
      </c>
      <c r="C1347" t="s">
        <v>2290</v>
      </c>
      <c r="F1347"/>
      <c r="G1347" s="2">
        <v>5000</v>
      </c>
      <c r="I1347" s="2">
        <f t="shared" si="89"/>
        <v>31674.359999999997</v>
      </c>
      <c r="N1347" s="2">
        <f t="shared" si="90"/>
        <v>20</v>
      </c>
    </row>
    <row r="1348" spans="1:17" x14ac:dyDescent="0.25">
      <c r="A1348" s="3">
        <v>45114</v>
      </c>
      <c r="B1348" s="11">
        <v>4164</v>
      </c>
      <c r="C1348" t="s">
        <v>2295</v>
      </c>
      <c r="F1348"/>
      <c r="H1348" s="2">
        <v>6000</v>
      </c>
      <c r="I1348" s="2">
        <f t="shared" si="89"/>
        <v>25674.359999999997</v>
      </c>
      <c r="N1348" s="2">
        <f t="shared" si="90"/>
        <v>20</v>
      </c>
    </row>
    <row r="1349" spans="1:17" x14ac:dyDescent="0.25">
      <c r="A1349" s="3">
        <v>45114</v>
      </c>
      <c r="B1349" s="11">
        <v>5099</v>
      </c>
      <c r="C1349" t="s">
        <v>3355</v>
      </c>
      <c r="F1349"/>
      <c r="G1349" s="2">
        <v>1000</v>
      </c>
      <c r="I1349" s="2">
        <f t="shared" si="89"/>
        <v>26674.359999999997</v>
      </c>
      <c r="N1349" s="2">
        <f t="shared" si="90"/>
        <v>4</v>
      </c>
    </row>
    <row r="1350" spans="1:17" x14ac:dyDescent="0.25">
      <c r="A1350" s="3">
        <v>45114</v>
      </c>
      <c r="B1350" s="11" t="s">
        <v>1253</v>
      </c>
      <c r="C1350" t="s">
        <v>2924</v>
      </c>
      <c r="F1350"/>
      <c r="G1350" s="2">
        <v>400</v>
      </c>
      <c r="I1350" s="2">
        <f t="shared" si="89"/>
        <v>27074.359999999997</v>
      </c>
      <c r="N1350" s="2">
        <f t="shared" si="90"/>
        <v>1.6</v>
      </c>
    </row>
    <row r="1351" spans="1:17" x14ac:dyDescent="0.25">
      <c r="A1351" s="3">
        <v>45114</v>
      </c>
      <c r="B1351" s="11" t="s">
        <v>1253</v>
      </c>
      <c r="C1351" t="s">
        <v>3787</v>
      </c>
      <c r="F1351"/>
      <c r="G1351" s="2">
        <v>800</v>
      </c>
      <c r="I1351" s="2">
        <f t="shared" si="89"/>
        <v>27874.359999999997</v>
      </c>
      <c r="N1351" s="2">
        <f t="shared" si="90"/>
        <v>3.2</v>
      </c>
    </row>
    <row r="1352" spans="1:17" x14ac:dyDescent="0.25">
      <c r="A1352" s="3">
        <v>45114</v>
      </c>
      <c r="B1352" s="11">
        <v>5156</v>
      </c>
      <c r="C1352" t="s">
        <v>3788</v>
      </c>
      <c r="E1352" s="115" t="s">
        <v>16</v>
      </c>
      <c r="F1352"/>
      <c r="H1352" s="2">
        <v>100</v>
      </c>
      <c r="I1352" s="2">
        <f t="shared" si="89"/>
        <v>27774.359999999997</v>
      </c>
      <c r="N1352" s="2">
        <f t="shared" si="90"/>
        <v>25.4</v>
      </c>
    </row>
    <row r="1353" spans="1:17" x14ac:dyDescent="0.25">
      <c r="A1353" s="3">
        <v>45115</v>
      </c>
      <c r="B1353" s="11" t="s">
        <v>1253</v>
      </c>
      <c r="C1353" t="s">
        <v>3791</v>
      </c>
      <c r="F1353"/>
      <c r="G1353" s="2">
        <v>500</v>
      </c>
      <c r="I1353" s="2">
        <f t="shared" si="89"/>
        <v>28274.359999999997</v>
      </c>
      <c r="N1353" s="2">
        <f t="shared" si="90"/>
        <v>2</v>
      </c>
    </row>
    <row r="1354" spans="1:17" x14ac:dyDescent="0.25">
      <c r="A1354" s="3">
        <v>45115</v>
      </c>
      <c r="B1354" s="11" t="s">
        <v>3795</v>
      </c>
      <c r="E1354" s="115" t="s">
        <v>16</v>
      </c>
      <c r="F1354"/>
      <c r="H1354" s="2">
        <v>100</v>
      </c>
      <c r="I1354" s="2">
        <f t="shared" si="89"/>
        <v>28174.359999999997</v>
      </c>
      <c r="N1354" s="2">
        <f t="shared" si="90"/>
        <v>25.4</v>
      </c>
    </row>
    <row r="1355" spans="1:17" x14ac:dyDescent="0.25">
      <c r="A1355" s="3">
        <v>45116</v>
      </c>
      <c r="B1355" s="11" t="s">
        <v>1253</v>
      </c>
      <c r="C1355" t="s">
        <v>3796</v>
      </c>
      <c r="F1355"/>
      <c r="G1355" s="2">
        <v>2000</v>
      </c>
      <c r="I1355" s="2">
        <f t="shared" si="89"/>
        <v>30174.359999999997</v>
      </c>
      <c r="N1355" s="2">
        <f t="shared" si="90"/>
        <v>8</v>
      </c>
    </row>
    <row r="1356" spans="1:17" x14ac:dyDescent="0.25">
      <c r="A1356" s="3">
        <v>45116</v>
      </c>
      <c r="B1356" s="11" t="s">
        <v>1163</v>
      </c>
      <c r="F1356"/>
      <c r="G1356" s="2">
        <v>2000</v>
      </c>
      <c r="I1356" s="2">
        <f t="shared" si="89"/>
        <v>32174.359999999997</v>
      </c>
      <c r="N1356" s="2">
        <f t="shared" si="90"/>
        <v>8</v>
      </c>
    </row>
    <row r="1357" spans="1:17" x14ac:dyDescent="0.25">
      <c r="A1357" s="3">
        <v>45116</v>
      </c>
      <c r="B1357" s="11" t="s">
        <v>1253</v>
      </c>
      <c r="C1357" t="s">
        <v>1282</v>
      </c>
      <c r="F1357"/>
      <c r="H1357" s="2">
        <v>10000</v>
      </c>
      <c r="I1357" s="2">
        <f t="shared" si="89"/>
        <v>22174.359999999997</v>
      </c>
      <c r="N1357" s="2">
        <f t="shared" si="90"/>
        <v>20</v>
      </c>
    </row>
    <row r="1358" spans="1:17" x14ac:dyDescent="0.25">
      <c r="A1358" s="3">
        <v>45116</v>
      </c>
      <c r="B1358" s="11">
        <v>2100</v>
      </c>
      <c r="C1358" t="s">
        <v>2291</v>
      </c>
      <c r="F1358"/>
      <c r="H1358" s="2">
        <v>4200</v>
      </c>
      <c r="I1358" s="2">
        <f t="shared" si="89"/>
        <v>17974.359999999997</v>
      </c>
      <c r="N1358" s="2">
        <f t="shared" si="90"/>
        <v>16.8</v>
      </c>
    </row>
    <row r="1359" spans="1:17" x14ac:dyDescent="0.25">
      <c r="A1359" s="3">
        <v>45116</v>
      </c>
      <c r="B1359" s="11">
        <v>1818</v>
      </c>
      <c r="C1359" t="s">
        <v>2361</v>
      </c>
      <c r="F1359"/>
      <c r="H1359" s="2">
        <v>4200</v>
      </c>
      <c r="I1359" s="2">
        <f t="shared" si="89"/>
        <v>13774.359999999997</v>
      </c>
      <c r="N1359" s="2">
        <f t="shared" si="90"/>
        <v>16.8</v>
      </c>
    </row>
    <row r="1360" spans="1:17" x14ac:dyDescent="0.25">
      <c r="A1360" s="3">
        <v>45116</v>
      </c>
      <c r="B1360" s="11" t="s">
        <v>1253</v>
      </c>
      <c r="C1360" t="s">
        <v>3295</v>
      </c>
      <c r="F1360"/>
      <c r="G1360" s="2">
        <v>2200</v>
      </c>
      <c r="I1360" s="2">
        <f t="shared" si="89"/>
        <v>15974.359999999997</v>
      </c>
      <c r="N1360" s="2">
        <f t="shared" si="90"/>
        <v>8.8000000000000007</v>
      </c>
    </row>
    <row r="1361" spans="1:14" x14ac:dyDescent="0.25">
      <c r="A1361" s="3">
        <v>45116</v>
      </c>
      <c r="B1361" s="11" t="s">
        <v>1253</v>
      </c>
      <c r="C1361" t="s">
        <v>3797</v>
      </c>
      <c r="F1361"/>
      <c r="G1361" s="2">
        <v>2000</v>
      </c>
      <c r="I1361" s="2">
        <f t="shared" si="89"/>
        <v>17974.359999999997</v>
      </c>
      <c r="N1361" s="2">
        <f t="shared" si="90"/>
        <v>8</v>
      </c>
    </row>
    <row r="1362" spans="1:14" x14ac:dyDescent="0.25">
      <c r="A1362" s="3">
        <v>45116</v>
      </c>
      <c r="B1362" s="11">
        <v>4296</v>
      </c>
      <c r="C1362" t="s">
        <v>3798</v>
      </c>
      <c r="F1362"/>
      <c r="H1362" s="2">
        <v>5000</v>
      </c>
      <c r="I1362" s="2">
        <f t="shared" si="89"/>
        <v>12974.359999999997</v>
      </c>
      <c r="N1362" s="2">
        <f t="shared" si="90"/>
        <v>20</v>
      </c>
    </row>
    <row r="1363" spans="1:14" x14ac:dyDescent="0.25">
      <c r="A1363" s="3">
        <v>45116</v>
      </c>
      <c r="B1363" s="11" t="s">
        <v>1253</v>
      </c>
      <c r="F1363"/>
      <c r="G1363" s="2">
        <v>1000</v>
      </c>
      <c r="I1363" s="2">
        <f t="shared" si="89"/>
        <v>13974.359999999997</v>
      </c>
      <c r="N1363" s="2">
        <f t="shared" si="90"/>
        <v>4</v>
      </c>
    </row>
    <row r="1364" spans="1:14" x14ac:dyDescent="0.25">
      <c r="A1364" s="3">
        <v>45117</v>
      </c>
      <c r="B1364" s="11" t="s">
        <v>2205</v>
      </c>
      <c r="C1364" t="s">
        <v>2290</v>
      </c>
      <c r="F1364"/>
      <c r="G1364" s="2">
        <v>5000</v>
      </c>
      <c r="I1364" s="2">
        <f t="shared" si="89"/>
        <v>18974.359999999997</v>
      </c>
      <c r="N1364" s="2">
        <f t="shared" si="90"/>
        <v>20</v>
      </c>
    </row>
    <row r="1365" spans="1:14" x14ac:dyDescent="0.25">
      <c r="A1365" s="3">
        <v>45117</v>
      </c>
      <c r="B1365" s="11" t="s">
        <v>3799</v>
      </c>
      <c r="C1365" t="s">
        <v>3800</v>
      </c>
      <c r="E1365" s="115" t="s">
        <v>16</v>
      </c>
      <c r="F1365"/>
      <c r="H1365" s="2">
        <v>1000</v>
      </c>
      <c r="I1365" s="2">
        <f t="shared" si="89"/>
        <v>17974.359999999997</v>
      </c>
      <c r="N1365" s="2">
        <f t="shared" si="90"/>
        <v>29</v>
      </c>
    </row>
    <row r="1366" spans="1:14" x14ac:dyDescent="0.25">
      <c r="A1366" s="3">
        <v>45117</v>
      </c>
      <c r="B1366" s="11" t="s">
        <v>2748</v>
      </c>
      <c r="C1366" t="s">
        <v>1282</v>
      </c>
      <c r="F1366"/>
      <c r="H1366" s="2">
        <v>10000</v>
      </c>
      <c r="I1366" s="2">
        <f t="shared" si="89"/>
        <v>7974.3599999999969</v>
      </c>
      <c r="N1366" s="2">
        <f t="shared" si="90"/>
        <v>20</v>
      </c>
    </row>
    <row r="1367" spans="1:14" x14ac:dyDescent="0.25">
      <c r="A1367" s="3">
        <v>45117</v>
      </c>
      <c r="B1367" s="11" t="s">
        <v>2903</v>
      </c>
      <c r="C1367" t="s">
        <v>2362</v>
      </c>
      <c r="F1367"/>
      <c r="G1367" s="2">
        <v>5000</v>
      </c>
      <c r="I1367" s="2">
        <f t="shared" si="89"/>
        <v>12974.359999999997</v>
      </c>
      <c r="N1367" s="2">
        <f t="shared" si="90"/>
        <v>20</v>
      </c>
    </row>
    <row r="1368" spans="1:14" x14ac:dyDescent="0.25">
      <c r="A1368" s="3">
        <v>45117</v>
      </c>
      <c r="B1368" s="11" t="s">
        <v>2407</v>
      </c>
      <c r="C1368" t="s">
        <v>2417</v>
      </c>
      <c r="F1368"/>
      <c r="G1368" s="2">
        <v>2000</v>
      </c>
      <c r="I1368" s="2">
        <f t="shared" si="89"/>
        <v>14974.359999999997</v>
      </c>
      <c r="N1368" s="2">
        <f t="shared" si="90"/>
        <v>8</v>
      </c>
    </row>
    <row r="1369" spans="1:14" x14ac:dyDescent="0.25">
      <c r="A1369" s="3">
        <v>45117</v>
      </c>
      <c r="B1369" s="11" t="s">
        <v>1163</v>
      </c>
      <c r="C1369" t="s">
        <v>3803</v>
      </c>
      <c r="F1369"/>
      <c r="G1369" s="2">
        <v>1000</v>
      </c>
      <c r="I1369" s="2">
        <f t="shared" si="89"/>
        <v>15974.359999999997</v>
      </c>
      <c r="N1369" s="2">
        <f t="shared" si="90"/>
        <v>4</v>
      </c>
    </row>
    <row r="1370" spans="1:14" x14ac:dyDescent="0.25">
      <c r="A1370" s="3">
        <v>45118</v>
      </c>
      <c r="B1370" s="11" t="s">
        <v>2748</v>
      </c>
      <c r="F1370"/>
      <c r="H1370" s="2">
        <v>10000</v>
      </c>
      <c r="I1370" s="2">
        <f t="shared" si="89"/>
        <v>5974.3599999999969</v>
      </c>
      <c r="N1370" s="2">
        <f t="shared" si="90"/>
        <v>20</v>
      </c>
    </row>
    <row r="1371" spans="1:14" x14ac:dyDescent="0.25">
      <c r="A1371" s="3">
        <v>45118</v>
      </c>
      <c r="B1371" s="11">
        <v>4902</v>
      </c>
      <c r="C1371" t="s">
        <v>3804</v>
      </c>
      <c r="F1371"/>
      <c r="G1371" s="2">
        <v>4500</v>
      </c>
      <c r="I1371" s="2">
        <f t="shared" si="89"/>
        <v>10474.359999999997</v>
      </c>
      <c r="N1371" s="2">
        <f t="shared" si="90"/>
        <v>18</v>
      </c>
    </row>
    <row r="1372" spans="1:14" x14ac:dyDescent="0.25">
      <c r="A1372" s="3">
        <v>45119</v>
      </c>
      <c r="B1372" s="11" t="s">
        <v>2347</v>
      </c>
      <c r="C1372" t="s">
        <v>3717</v>
      </c>
      <c r="F1372"/>
      <c r="G1372" s="2">
        <v>5000</v>
      </c>
      <c r="I1372" s="2">
        <f t="shared" si="89"/>
        <v>15474.359999999997</v>
      </c>
      <c r="N1372" s="2">
        <f t="shared" si="90"/>
        <v>20</v>
      </c>
    </row>
    <row r="1373" spans="1:14" x14ac:dyDescent="0.25">
      <c r="A1373" s="3">
        <v>45119</v>
      </c>
      <c r="B1373" s="11" t="s">
        <v>3012</v>
      </c>
      <c r="C1373" t="s">
        <v>3805</v>
      </c>
      <c r="F1373"/>
      <c r="H1373" s="2">
        <v>1000</v>
      </c>
      <c r="I1373" s="2">
        <f t="shared" si="89"/>
        <v>14474.359999999997</v>
      </c>
      <c r="N1373" s="2">
        <f t="shared" si="90"/>
        <v>4</v>
      </c>
    </row>
    <row r="1374" spans="1:14" x14ac:dyDescent="0.25">
      <c r="A1374" s="3">
        <v>45119</v>
      </c>
      <c r="B1374" s="11" t="s">
        <v>3806</v>
      </c>
      <c r="C1374" t="s">
        <v>3807</v>
      </c>
      <c r="F1374"/>
      <c r="H1374" s="2">
        <v>3000</v>
      </c>
      <c r="I1374" s="2">
        <f t="shared" si="89"/>
        <v>11474.359999999997</v>
      </c>
      <c r="N1374" s="2">
        <f t="shared" si="90"/>
        <v>12</v>
      </c>
    </row>
    <row r="1375" spans="1:14" x14ac:dyDescent="0.25">
      <c r="A1375" s="3">
        <v>45120</v>
      </c>
      <c r="B1375" s="11" t="s">
        <v>3809</v>
      </c>
      <c r="C1375" t="s">
        <v>3808</v>
      </c>
      <c r="E1375" s="115" t="s">
        <v>14</v>
      </c>
      <c r="F1375"/>
      <c r="H1375" s="2">
        <v>2000</v>
      </c>
      <c r="I1375" s="2">
        <f t="shared" si="89"/>
        <v>9474.3599999999969</v>
      </c>
      <c r="N1375" s="2">
        <f t="shared" si="90"/>
        <v>33</v>
      </c>
    </row>
    <row r="1376" spans="1:14" s="35" customFormat="1" x14ac:dyDescent="0.25">
      <c r="A1376" s="3">
        <v>45120</v>
      </c>
      <c r="B1376" s="11" t="s">
        <v>3809</v>
      </c>
      <c r="C1376" t="s">
        <v>3808</v>
      </c>
      <c r="D1376" s="131"/>
      <c r="E1376" s="119"/>
      <c r="G1376" s="95"/>
      <c r="H1376" s="2">
        <v>300</v>
      </c>
      <c r="I1376" s="2">
        <f t="shared" si="89"/>
        <v>9174.3599999999969</v>
      </c>
      <c r="N1376" s="2">
        <f t="shared" si="90"/>
        <v>1.2</v>
      </c>
    </row>
    <row r="1377" spans="1:14" s="35" customFormat="1" x14ac:dyDescent="0.25">
      <c r="A1377" s="3">
        <v>45120</v>
      </c>
      <c r="B1377" s="11"/>
      <c r="C1377" s="1" t="s">
        <v>3815</v>
      </c>
      <c r="D1377" s="131"/>
      <c r="E1377" s="119"/>
      <c r="F1377"/>
      <c r="G1377" s="82">
        <v>971.55</v>
      </c>
      <c r="H1377" s="95"/>
      <c r="I1377" s="2">
        <f t="shared" si="89"/>
        <v>10145.909999999996</v>
      </c>
      <c r="N1377" s="2">
        <f t="shared" si="90"/>
        <v>3.8862000000000001</v>
      </c>
    </row>
    <row r="1378" spans="1:14" s="35" customFormat="1" x14ac:dyDescent="0.25">
      <c r="A1378" s="3">
        <v>45121</v>
      </c>
      <c r="B1378" s="11" t="s">
        <v>3595</v>
      </c>
      <c r="C1378" t="s">
        <v>3596</v>
      </c>
      <c r="D1378" s="131"/>
      <c r="E1378" s="119"/>
      <c r="F1378"/>
      <c r="G1378" s="2">
        <v>300</v>
      </c>
      <c r="H1378" s="95"/>
      <c r="I1378" s="2">
        <f t="shared" ref="I1378:I1428" si="91">I1377+G1378-H1378</f>
        <v>10445.909999999996</v>
      </c>
      <c r="N1378" s="2">
        <f t="shared" ref="N1378:N1409" si="92">IF((G1378+H1378)&lt;=5000,(H1378+G1378)*0.004,20)+IF(E1378="Y",25,0)</f>
        <v>1.2</v>
      </c>
    </row>
    <row r="1379" spans="1:14" s="35" customFormat="1" x14ac:dyDescent="0.25">
      <c r="A1379" s="3">
        <v>45121</v>
      </c>
      <c r="B1379" s="11" t="s">
        <v>3287</v>
      </c>
      <c r="C1379" t="s">
        <v>2511</v>
      </c>
      <c r="D1379" s="131"/>
      <c r="E1379" s="119"/>
      <c r="G1379" s="2"/>
      <c r="H1379" s="2">
        <v>1000</v>
      </c>
      <c r="I1379" s="2">
        <f t="shared" si="91"/>
        <v>9445.9099999999962</v>
      </c>
      <c r="N1379" s="2">
        <f t="shared" si="92"/>
        <v>4</v>
      </c>
    </row>
    <row r="1380" spans="1:14" s="35" customFormat="1" x14ac:dyDescent="0.25">
      <c r="A1380" s="3">
        <v>45121</v>
      </c>
      <c r="B1380" s="11" t="s">
        <v>2481</v>
      </c>
      <c r="C1380" t="s">
        <v>2482</v>
      </c>
      <c r="D1380" s="131"/>
      <c r="E1380" s="119"/>
      <c r="G1380" s="2"/>
      <c r="H1380" s="2">
        <v>5000</v>
      </c>
      <c r="I1380" s="2">
        <f t="shared" si="91"/>
        <v>4445.9099999999962</v>
      </c>
      <c r="N1380" s="2">
        <f t="shared" si="92"/>
        <v>20</v>
      </c>
    </row>
    <row r="1381" spans="1:14" s="35" customFormat="1" x14ac:dyDescent="0.25">
      <c r="A1381" s="3">
        <v>45122</v>
      </c>
      <c r="B1381" s="11" t="s">
        <v>3816</v>
      </c>
      <c r="C1381"/>
      <c r="D1381" s="131"/>
      <c r="E1381" s="119"/>
      <c r="G1381" s="2"/>
      <c r="H1381" s="2">
        <v>500</v>
      </c>
      <c r="I1381" s="2">
        <f t="shared" si="91"/>
        <v>3945.9099999999962</v>
      </c>
      <c r="N1381" s="95">
        <f t="shared" si="92"/>
        <v>2</v>
      </c>
    </row>
    <row r="1382" spans="1:14" s="35" customFormat="1" x14ac:dyDescent="0.25">
      <c r="A1382" s="3">
        <v>45122</v>
      </c>
      <c r="B1382" s="11" t="s">
        <v>3817</v>
      </c>
      <c r="C1382" t="s">
        <v>3818</v>
      </c>
      <c r="D1382" s="131"/>
      <c r="E1382" s="115" t="s">
        <v>16</v>
      </c>
      <c r="G1382" s="2"/>
      <c r="H1382" s="2">
        <v>200</v>
      </c>
      <c r="I1382" s="2">
        <f t="shared" si="91"/>
        <v>3745.9099999999962</v>
      </c>
      <c r="N1382" s="95">
        <f t="shared" si="92"/>
        <v>25.8</v>
      </c>
    </row>
    <row r="1383" spans="1:14" s="35" customFormat="1" x14ac:dyDescent="0.25">
      <c r="A1383" s="3">
        <v>45122</v>
      </c>
      <c r="B1383" s="11" t="s">
        <v>3825</v>
      </c>
      <c r="C1383" t="s">
        <v>3822</v>
      </c>
      <c r="D1383" s="131"/>
      <c r="E1383" s="115" t="s">
        <v>16</v>
      </c>
      <c r="G1383" s="2"/>
      <c r="H1383" s="2">
        <v>500</v>
      </c>
      <c r="I1383" s="2">
        <f t="shared" si="91"/>
        <v>3245.9099999999962</v>
      </c>
      <c r="N1383" s="95">
        <f t="shared" si="92"/>
        <v>27</v>
      </c>
    </row>
    <row r="1384" spans="1:14" s="35" customFormat="1" x14ac:dyDescent="0.25">
      <c r="A1384" s="3">
        <v>45062</v>
      </c>
      <c r="B1384" s="11" t="s">
        <v>1163</v>
      </c>
      <c r="C1384"/>
      <c r="D1384" s="131"/>
      <c r="E1384" s="119"/>
      <c r="G1384" s="2">
        <v>1000</v>
      </c>
      <c r="H1384" s="2"/>
      <c r="I1384" s="2">
        <f t="shared" si="91"/>
        <v>4245.9099999999962</v>
      </c>
      <c r="N1384" s="95">
        <f t="shared" si="92"/>
        <v>4</v>
      </c>
    </row>
    <row r="1385" spans="1:14" s="35" customFormat="1" x14ac:dyDescent="0.25">
      <c r="A1385" s="3">
        <v>45062</v>
      </c>
      <c r="B1385" s="11"/>
      <c r="C1385" t="s">
        <v>2361</v>
      </c>
      <c r="D1385" s="131"/>
      <c r="E1385" s="119"/>
      <c r="G1385" s="2">
        <v>3000</v>
      </c>
      <c r="H1385" s="2"/>
      <c r="I1385" s="2">
        <f t="shared" si="91"/>
        <v>7245.9099999999962</v>
      </c>
      <c r="N1385" s="95">
        <f t="shared" si="92"/>
        <v>12</v>
      </c>
    </row>
    <row r="1386" spans="1:14" s="35" customFormat="1" x14ac:dyDescent="0.25">
      <c r="A1386" s="3">
        <v>45062</v>
      </c>
      <c r="B1386" s="11" t="s">
        <v>1260</v>
      </c>
      <c r="C1386" t="s">
        <v>2295</v>
      </c>
      <c r="D1386" s="131"/>
      <c r="E1386" s="119"/>
      <c r="G1386" s="2"/>
      <c r="H1386" s="2">
        <v>6000</v>
      </c>
      <c r="I1386" s="2">
        <f t="shared" si="91"/>
        <v>1245.9099999999962</v>
      </c>
      <c r="N1386" s="95">
        <f t="shared" si="92"/>
        <v>20</v>
      </c>
    </row>
    <row r="1387" spans="1:14" s="35" customFormat="1" x14ac:dyDescent="0.25">
      <c r="A1387" s="3">
        <v>45063</v>
      </c>
      <c r="B1387" s="147" t="s">
        <v>2700</v>
      </c>
      <c r="C1387" s="100" t="s">
        <v>3296</v>
      </c>
      <c r="D1387" s="131"/>
      <c r="E1387" s="119"/>
      <c r="G1387" s="2">
        <v>10000</v>
      </c>
      <c r="H1387" s="2"/>
      <c r="I1387" s="2">
        <f t="shared" si="91"/>
        <v>11245.909999999996</v>
      </c>
      <c r="N1387" s="95">
        <f t="shared" si="92"/>
        <v>20</v>
      </c>
    </row>
    <row r="1388" spans="1:14" s="35" customFormat="1" x14ac:dyDescent="0.25">
      <c r="A1388" s="3">
        <v>45063</v>
      </c>
      <c r="B1388" s="11" t="s">
        <v>1260</v>
      </c>
      <c r="C1388" t="s">
        <v>2295</v>
      </c>
      <c r="D1388" s="131"/>
      <c r="E1388" s="119"/>
      <c r="G1388" s="2"/>
      <c r="H1388" s="2">
        <v>6000</v>
      </c>
      <c r="I1388" s="2">
        <f t="shared" si="91"/>
        <v>5245.9099999999962</v>
      </c>
      <c r="N1388" s="95">
        <f t="shared" si="92"/>
        <v>20</v>
      </c>
    </row>
    <row r="1389" spans="1:14" s="35" customFormat="1" x14ac:dyDescent="0.25">
      <c r="A1389" s="3">
        <v>45063</v>
      </c>
      <c r="B1389" s="11" t="s">
        <v>2360</v>
      </c>
      <c r="C1389" t="s">
        <v>2361</v>
      </c>
      <c r="D1389" s="131"/>
      <c r="E1389" s="119"/>
      <c r="G1389" s="2"/>
      <c r="H1389" s="2">
        <v>2500</v>
      </c>
      <c r="I1389" s="2">
        <f t="shared" si="91"/>
        <v>2745.9099999999962</v>
      </c>
      <c r="N1389" s="95">
        <f t="shared" si="92"/>
        <v>10</v>
      </c>
    </row>
    <row r="1390" spans="1:14" s="35" customFormat="1" x14ac:dyDescent="0.25">
      <c r="A1390" s="3">
        <v>45063</v>
      </c>
      <c r="B1390" s="11" t="s">
        <v>2190</v>
      </c>
      <c r="C1390" t="s">
        <v>2291</v>
      </c>
      <c r="D1390" s="131"/>
      <c r="E1390" s="119"/>
      <c r="G1390" s="2"/>
      <c r="H1390" s="2">
        <v>500</v>
      </c>
      <c r="I1390" s="2">
        <f t="shared" si="91"/>
        <v>2245.9099999999962</v>
      </c>
      <c r="N1390" s="95">
        <f t="shared" si="92"/>
        <v>2</v>
      </c>
    </row>
    <row r="1391" spans="1:14" s="35" customFormat="1" x14ac:dyDescent="0.25">
      <c r="A1391" s="3">
        <v>45125</v>
      </c>
      <c r="B1391" s="11" t="s">
        <v>3833</v>
      </c>
      <c r="C1391" t="s">
        <v>3830</v>
      </c>
      <c r="D1391" s="131"/>
      <c r="E1391" s="119" t="s">
        <v>16</v>
      </c>
      <c r="G1391" s="2"/>
      <c r="H1391" s="2">
        <v>100</v>
      </c>
      <c r="I1391" s="2">
        <f t="shared" si="91"/>
        <v>2145.9099999999962</v>
      </c>
      <c r="N1391" s="95">
        <f t="shared" si="92"/>
        <v>25.4</v>
      </c>
    </row>
    <row r="1392" spans="1:14" s="35" customFormat="1" x14ac:dyDescent="0.25">
      <c r="A1392" s="3">
        <v>45125</v>
      </c>
      <c r="B1392" s="11" t="s">
        <v>3840</v>
      </c>
      <c r="C1392" t="s">
        <v>3834</v>
      </c>
      <c r="D1392" s="131"/>
      <c r="E1392" s="119" t="s">
        <v>16</v>
      </c>
      <c r="G1392" s="2"/>
      <c r="H1392" s="2">
        <v>2000</v>
      </c>
      <c r="I1392" s="2">
        <f t="shared" si="91"/>
        <v>145.90999999999622</v>
      </c>
      <c r="N1392" s="95">
        <f t="shared" si="92"/>
        <v>33</v>
      </c>
    </row>
    <row r="1393" spans="1:14" s="35" customFormat="1" x14ac:dyDescent="0.25">
      <c r="A1393" s="3">
        <v>45126</v>
      </c>
      <c r="B1393" s="11" t="s">
        <v>3841</v>
      </c>
      <c r="C1393" t="s">
        <v>3848</v>
      </c>
      <c r="D1393" s="131"/>
      <c r="E1393" s="119" t="s">
        <v>16</v>
      </c>
      <c r="G1393" s="2"/>
      <c r="H1393" s="2"/>
      <c r="I1393" s="2">
        <f t="shared" si="91"/>
        <v>145.90999999999622</v>
      </c>
      <c r="N1393" s="95">
        <f t="shared" si="92"/>
        <v>25</v>
      </c>
    </row>
    <row r="1394" spans="1:14" s="35" customFormat="1" x14ac:dyDescent="0.25">
      <c r="A1394" s="3">
        <v>45126</v>
      </c>
      <c r="B1394" s="11" t="s">
        <v>3842</v>
      </c>
      <c r="C1394" t="s">
        <v>3849</v>
      </c>
      <c r="D1394" s="131"/>
      <c r="E1394" s="119" t="s">
        <v>16</v>
      </c>
      <c r="G1394" s="2"/>
      <c r="H1394" s="2"/>
      <c r="I1394" s="2">
        <f t="shared" si="91"/>
        <v>145.90999999999622</v>
      </c>
      <c r="N1394" s="95">
        <f t="shared" si="92"/>
        <v>25</v>
      </c>
    </row>
    <row r="1395" spans="1:14" s="35" customFormat="1" x14ac:dyDescent="0.25">
      <c r="A1395" s="3">
        <v>45126</v>
      </c>
      <c r="B1395" s="11" t="s">
        <v>1163</v>
      </c>
      <c r="C1395" t="s">
        <v>3850</v>
      </c>
      <c r="D1395" s="131"/>
      <c r="E1395" s="119"/>
      <c r="G1395" s="2">
        <v>3000</v>
      </c>
      <c r="H1395" s="2"/>
      <c r="I1395" s="2">
        <f t="shared" si="91"/>
        <v>3145.9099999999962</v>
      </c>
      <c r="N1395" s="95">
        <f t="shared" si="92"/>
        <v>12</v>
      </c>
    </row>
    <row r="1396" spans="1:14" s="35" customFormat="1" x14ac:dyDescent="0.25">
      <c r="A1396" s="3">
        <v>45126</v>
      </c>
      <c r="B1396" s="11" t="s">
        <v>1253</v>
      </c>
      <c r="C1396" t="s">
        <v>3797</v>
      </c>
      <c r="D1396" s="131"/>
      <c r="E1396" s="119"/>
      <c r="G1396" s="2">
        <v>1000</v>
      </c>
      <c r="H1396" s="2"/>
      <c r="I1396" s="2">
        <f t="shared" si="91"/>
        <v>4145.9099999999962</v>
      </c>
      <c r="N1396" s="95">
        <f t="shared" si="92"/>
        <v>4</v>
      </c>
    </row>
    <row r="1397" spans="1:14" s="35" customFormat="1" x14ac:dyDescent="0.25">
      <c r="A1397" s="3">
        <v>45127</v>
      </c>
      <c r="B1397" s="11" t="s">
        <v>3857</v>
      </c>
      <c r="C1397" t="s">
        <v>3858</v>
      </c>
      <c r="D1397" s="131"/>
      <c r="E1397" s="119" t="s">
        <v>16</v>
      </c>
      <c r="G1397" s="2"/>
      <c r="H1397" s="2">
        <v>200</v>
      </c>
      <c r="I1397" s="2">
        <f t="shared" si="91"/>
        <v>3945.9099999999962</v>
      </c>
      <c r="N1397" s="95">
        <f t="shared" si="92"/>
        <v>25.8</v>
      </c>
    </row>
    <row r="1398" spans="1:14" s="35" customFormat="1" x14ac:dyDescent="0.25">
      <c r="A1398" s="3">
        <v>45128</v>
      </c>
      <c r="B1398" s="11" t="s">
        <v>3859</v>
      </c>
      <c r="C1398" t="s">
        <v>3860</v>
      </c>
      <c r="D1398" s="131">
        <v>8853597016</v>
      </c>
      <c r="E1398" s="119"/>
      <c r="G1398" s="2">
        <v>7500</v>
      </c>
      <c r="H1398" s="2"/>
      <c r="I1398" s="2">
        <f t="shared" si="91"/>
        <v>11445.909999999996</v>
      </c>
      <c r="N1398" s="95">
        <f t="shared" si="92"/>
        <v>20</v>
      </c>
    </row>
    <row r="1399" spans="1:14" s="35" customFormat="1" x14ac:dyDescent="0.25">
      <c r="A1399" s="3">
        <v>45128</v>
      </c>
      <c r="B1399" s="11" t="s">
        <v>3859</v>
      </c>
      <c r="C1399" t="s">
        <v>3861</v>
      </c>
      <c r="D1399" s="131">
        <v>8853597016</v>
      </c>
      <c r="E1399" s="119"/>
      <c r="G1399" s="2">
        <v>1000</v>
      </c>
      <c r="H1399" s="2"/>
      <c r="I1399" s="2">
        <f t="shared" si="91"/>
        <v>12445.909999999996</v>
      </c>
      <c r="N1399" s="95">
        <f t="shared" si="92"/>
        <v>4</v>
      </c>
    </row>
    <row r="1400" spans="1:14" s="35" customFormat="1" x14ac:dyDescent="0.25">
      <c r="A1400" s="3">
        <v>45128</v>
      </c>
      <c r="B1400" s="11" t="s">
        <v>3862</v>
      </c>
      <c r="C1400" t="s">
        <v>3863</v>
      </c>
      <c r="D1400" s="131"/>
      <c r="E1400" s="119"/>
      <c r="G1400" s="2">
        <v>5000</v>
      </c>
      <c r="H1400" s="2"/>
      <c r="I1400" s="2">
        <f t="shared" si="91"/>
        <v>17445.909999999996</v>
      </c>
      <c r="N1400" s="95">
        <f t="shared" si="92"/>
        <v>20</v>
      </c>
    </row>
    <row r="1401" spans="1:14" s="35" customFormat="1" x14ac:dyDescent="0.25">
      <c r="A1401" s="3">
        <v>45128</v>
      </c>
      <c r="B1401" s="11" t="s">
        <v>3571</v>
      </c>
      <c r="C1401" t="s">
        <v>1967</v>
      </c>
      <c r="D1401" s="131"/>
      <c r="E1401" s="119"/>
      <c r="G1401" s="2"/>
      <c r="H1401" s="2">
        <v>5000</v>
      </c>
      <c r="I1401" s="2">
        <f t="shared" si="91"/>
        <v>12445.909999999996</v>
      </c>
      <c r="N1401" s="95">
        <f t="shared" si="92"/>
        <v>20</v>
      </c>
    </row>
    <row r="1402" spans="1:14" s="35" customFormat="1" x14ac:dyDescent="0.25">
      <c r="A1402" s="3">
        <v>45128</v>
      </c>
      <c r="B1402" s="147" t="s">
        <v>3864</v>
      </c>
      <c r="C1402" s="35" t="s">
        <v>311</v>
      </c>
      <c r="D1402" s="131"/>
      <c r="E1402" s="119"/>
      <c r="G1402" s="95">
        <v>3000</v>
      </c>
      <c r="H1402" s="95"/>
      <c r="I1402" s="2">
        <f t="shared" si="91"/>
        <v>15445.909999999996</v>
      </c>
      <c r="N1402" s="95">
        <f t="shared" si="92"/>
        <v>12</v>
      </c>
    </row>
    <row r="1403" spans="1:14" s="35" customFormat="1" x14ac:dyDescent="0.25">
      <c r="A1403" s="3">
        <v>45129</v>
      </c>
      <c r="B1403" s="11" t="s">
        <v>1475</v>
      </c>
      <c r="C1403" t="s">
        <v>2512</v>
      </c>
      <c r="D1403" s="131"/>
      <c r="E1403" s="119"/>
      <c r="G1403" s="2">
        <v>5000</v>
      </c>
      <c r="H1403" s="2"/>
      <c r="I1403" s="2">
        <f t="shared" si="91"/>
        <v>20445.909999999996</v>
      </c>
      <c r="N1403" s="95">
        <f t="shared" si="92"/>
        <v>20</v>
      </c>
    </row>
    <row r="1404" spans="1:14" s="35" customFormat="1" x14ac:dyDescent="0.25">
      <c r="A1404" s="3">
        <v>45129</v>
      </c>
      <c r="B1404" s="11" t="s">
        <v>3571</v>
      </c>
      <c r="C1404" t="s">
        <v>1967</v>
      </c>
      <c r="D1404" s="131"/>
      <c r="E1404" s="119"/>
      <c r="G1404" s="2"/>
      <c r="H1404" s="2">
        <v>500</v>
      </c>
      <c r="I1404" s="2">
        <f t="shared" si="91"/>
        <v>19945.909999999996</v>
      </c>
      <c r="N1404" s="95">
        <f t="shared" si="92"/>
        <v>2</v>
      </c>
    </row>
    <row r="1405" spans="1:14" s="35" customFormat="1" x14ac:dyDescent="0.25">
      <c r="A1405" s="3">
        <v>45129</v>
      </c>
      <c r="B1405" s="11" t="s">
        <v>1260</v>
      </c>
      <c r="C1405" t="s">
        <v>2295</v>
      </c>
      <c r="D1405" s="131"/>
      <c r="E1405" s="119"/>
      <c r="G1405" s="2"/>
      <c r="H1405" s="2">
        <v>8000</v>
      </c>
      <c r="I1405" s="2">
        <f t="shared" si="91"/>
        <v>11945.909999999996</v>
      </c>
      <c r="N1405" s="95">
        <f t="shared" si="92"/>
        <v>20</v>
      </c>
    </row>
    <row r="1406" spans="1:14" s="35" customFormat="1" x14ac:dyDescent="0.25">
      <c r="A1406" s="3">
        <v>45129</v>
      </c>
      <c r="B1406" s="11" t="s">
        <v>2647</v>
      </c>
      <c r="C1406" t="s">
        <v>3299</v>
      </c>
      <c r="D1406" s="131"/>
      <c r="E1406" s="119"/>
      <c r="G1406" s="2">
        <v>1000</v>
      </c>
      <c r="H1406" s="2"/>
      <c r="I1406" s="2">
        <f t="shared" si="91"/>
        <v>12945.909999999996</v>
      </c>
      <c r="N1406" s="95">
        <f t="shared" si="92"/>
        <v>4</v>
      </c>
    </row>
    <row r="1407" spans="1:14" s="35" customFormat="1" x14ac:dyDescent="0.25">
      <c r="A1407" s="3">
        <v>45130</v>
      </c>
      <c r="B1407" s="11" t="s">
        <v>2407</v>
      </c>
      <c r="C1407" t="s">
        <v>2408</v>
      </c>
      <c r="D1407" s="131"/>
      <c r="E1407" s="119"/>
      <c r="G1407" s="2">
        <v>2900</v>
      </c>
      <c r="H1407" s="2"/>
      <c r="I1407" s="2">
        <f t="shared" si="91"/>
        <v>15845.909999999996</v>
      </c>
      <c r="N1407" s="95">
        <f t="shared" si="92"/>
        <v>11.6</v>
      </c>
    </row>
    <row r="1408" spans="1:14" s="35" customFormat="1" x14ac:dyDescent="0.25">
      <c r="A1408" s="3">
        <v>45131</v>
      </c>
      <c r="B1408" s="11" t="s">
        <v>1163</v>
      </c>
      <c r="C1408" t="s">
        <v>3866</v>
      </c>
      <c r="D1408" s="131"/>
      <c r="E1408" s="119"/>
      <c r="G1408" s="2">
        <v>1300</v>
      </c>
      <c r="H1408" s="2"/>
      <c r="I1408" s="2">
        <f t="shared" si="91"/>
        <v>17145.909999999996</v>
      </c>
      <c r="N1408" s="95">
        <f t="shared" si="92"/>
        <v>5.2</v>
      </c>
    </row>
    <row r="1409" spans="1:14" s="35" customFormat="1" x14ac:dyDescent="0.25">
      <c r="A1409" s="3">
        <v>45131</v>
      </c>
      <c r="B1409" s="11" t="s">
        <v>3867</v>
      </c>
      <c r="C1409" t="s">
        <v>3872</v>
      </c>
      <c r="D1409" s="131"/>
      <c r="E1409" s="119" t="s">
        <v>16</v>
      </c>
      <c r="G1409" s="2"/>
      <c r="H1409" s="2">
        <v>100</v>
      </c>
      <c r="I1409" s="2">
        <f t="shared" si="91"/>
        <v>17045.909999999996</v>
      </c>
      <c r="N1409" s="95">
        <f t="shared" si="92"/>
        <v>25.4</v>
      </c>
    </row>
    <row r="1410" spans="1:14" s="110" customFormat="1" x14ac:dyDescent="0.25">
      <c r="A1410" s="3">
        <v>45131</v>
      </c>
      <c r="B1410" s="11" t="s">
        <v>2721</v>
      </c>
      <c r="C1410" t="s">
        <v>1282</v>
      </c>
      <c r="D1410" s="128"/>
      <c r="E1410" s="125"/>
      <c r="F1410" s="109"/>
      <c r="G1410" s="2"/>
      <c r="H1410" s="2">
        <v>5000</v>
      </c>
      <c r="I1410" s="2">
        <f t="shared" si="91"/>
        <v>12045.909999999996</v>
      </c>
      <c r="N1410" s="95">
        <f t="shared" ref="N1410:N1429" si="93">IF((G1410+H1410)&lt;=5000,(H1410+G1410)*0.004,20)+IF(E1410="Y",25,0)</f>
        <v>20</v>
      </c>
    </row>
    <row r="1411" spans="1:14" s="110" customFormat="1" x14ac:dyDescent="0.25">
      <c r="A1411" s="3">
        <v>45132</v>
      </c>
      <c r="B1411" s="11" t="s">
        <v>1253</v>
      </c>
      <c r="C1411" t="s">
        <v>3295</v>
      </c>
      <c r="D1411" s="128"/>
      <c r="E1411" s="125"/>
      <c r="F1411" s="109"/>
      <c r="G1411" s="2">
        <v>3000</v>
      </c>
      <c r="H1411" s="2"/>
      <c r="I1411" s="2">
        <f t="shared" si="91"/>
        <v>15045.909999999996</v>
      </c>
      <c r="N1411" s="95">
        <f t="shared" si="93"/>
        <v>12</v>
      </c>
    </row>
    <row r="1412" spans="1:14" s="110" customFormat="1" x14ac:dyDescent="0.25">
      <c r="A1412" s="3">
        <v>45132</v>
      </c>
      <c r="B1412" s="11" t="s">
        <v>1253</v>
      </c>
      <c r="C1412" t="s">
        <v>2256</v>
      </c>
      <c r="D1412" s="128"/>
      <c r="E1412" s="125"/>
      <c r="F1412" s="109"/>
      <c r="G1412" s="2">
        <v>1000</v>
      </c>
      <c r="H1412" s="2"/>
      <c r="I1412" s="2">
        <f t="shared" si="91"/>
        <v>16045.909999999996</v>
      </c>
      <c r="N1412" s="95">
        <f t="shared" si="93"/>
        <v>4</v>
      </c>
    </row>
    <row r="1413" spans="1:14" s="110" customFormat="1" x14ac:dyDescent="0.25">
      <c r="A1413" s="3">
        <v>45132</v>
      </c>
      <c r="B1413" s="11"/>
      <c r="C1413" s="111" t="s">
        <v>3873</v>
      </c>
      <c r="D1413" s="128"/>
      <c r="E1413" s="125"/>
      <c r="F1413" s="109"/>
      <c r="G1413" s="2"/>
      <c r="H1413" s="2">
        <v>10000</v>
      </c>
      <c r="I1413" s="2">
        <f t="shared" si="91"/>
        <v>6045.9099999999962</v>
      </c>
      <c r="N1413" s="95">
        <f t="shared" si="93"/>
        <v>20</v>
      </c>
    </row>
    <row r="1414" spans="1:14" s="110" customFormat="1" x14ac:dyDescent="0.25">
      <c r="A1414" s="3">
        <v>45132</v>
      </c>
      <c r="B1414" s="11"/>
      <c r="C1414" s="111" t="s">
        <v>3874</v>
      </c>
      <c r="D1414" s="128"/>
      <c r="E1414" s="125"/>
      <c r="F1414" s="109"/>
      <c r="G1414" s="2"/>
      <c r="H1414" s="2">
        <v>2500</v>
      </c>
      <c r="I1414" s="2">
        <f t="shared" si="91"/>
        <v>3545.9099999999962</v>
      </c>
      <c r="N1414" s="95">
        <f t="shared" si="93"/>
        <v>10</v>
      </c>
    </row>
    <row r="1415" spans="1:14" s="110" customFormat="1" x14ac:dyDescent="0.25">
      <c r="A1415" s="3">
        <v>45132</v>
      </c>
      <c r="B1415" s="11" t="s">
        <v>1163</v>
      </c>
      <c r="C1415" t="s">
        <v>1163</v>
      </c>
      <c r="D1415" s="128"/>
      <c r="E1415" s="125"/>
      <c r="F1415" s="109"/>
      <c r="G1415" s="2">
        <v>2000</v>
      </c>
      <c r="H1415" s="2"/>
      <c r="I1415" s="2">
        <f t="shared" si="91"/>
        <v>5545.9099999999962</v>
      </c>
      <c r="N1415" s="95">
        <f t="shared" si="93"/>
        <v>8</v>
      </c>
    </row>
    <row r="1416" spans="1:14" s="110" customFormat="1" x14ac:dyDescent="0.25">
      <c r="A1416" s="3">
        <v>45132</v>
      </c>
      <c r="B1416" s="11" t="s">
        <v>2247</v>
      </c>
      <c r="C1416"/>
      <c r="D1416" s="128"/>
      <c r="E1416" s="125"/>
      <c r="F1416" s="109"/>
      <c r="G1416" s="2">
        <v>1000</v>
      </c>
      <c r="H1416" s="2"/>
      <c r="I1416" s="2">
        <f t="shared" si="91"/>
        <v>6545.9099999999962</v>
      </c>
      <c r="N1416" s="95">
        <f t="shared" si="93"/>
        <v>4</v>
      </c>
    </row>
    <row r="1417" spans="1:14" s="110" customFormat="1" x14ac:dyDescent="0.25">
      <c r="A1417" s="3">
        <v>45132</v>
      </c>
      <c r="B1417" s="11" t="s">
        <v>3617</v>
      </c>
      <c r="C1417" s="100" t="s">
        <v>541</v>
      </c>
      <c r="D1417" s="128"/>
      <c r="E1417" s="125"/>
      <c r="F1417" s="109"/>
      <c r="G1417" s="2">
        <v>2300</v>
      </c>
      <c r="H1417" s="2"/>
      <c r="I1417" s="2">
        <f t="shared" si="91"/>
        <v>8845.9099999999962</v>
      </c>
      <c r="N1417" s="95">
        <f t="shared" si="93"/>
        <v>9.2000000000000011</v>
      </c>
    </row>
    <row r="1418" spans="1:14" s="110" customFormat="1" x14ac:dyDescent="0.25">
      <c r="A1418" s="3">
        <v>45133</v>
      </c>
      <c r="B1418" s="11" t="s">
        <v>3346</v>
      </c>
      <c r="C1418" s="100" t="s">
        <v>3355</v>
      </c>
      <c r="D1418" s="128"/>
      <c r="E1418" s="125"/>
      <c r="F1418" s="109"/>
      <c r="G1418" s="2">
        <v>1000</v>
      </c>
      <c r="H1418" s="2"/>
      <c r="I1418" s="2">
        <f t="shared" si="91"/>
        <v>9845.9099999999962</v>
      </c>
      <c r="N1418" s="95">
        <f t="shared" si="93"/>
        <v>4</v>
      </c>
    </row>
    <row r="1419" spans="1:14" s="110" customFormat="1" x14ac:dyDescent="0.25">
      <c r="A1419" s="3">
        <v>45133</v>
      </c>
      <c r="B1419" s="11" t="s">
        <v>1253</v>
      </c>
      <c r="C1419" s="100" t="s">
        <v>2196</v>
      </c>
      <c r="D1419" s="128"/>
      <c r="E1419" s="125"/>
      <c r="F1419" s="109"/>
      <c r="G1419" s="2">
        <v>5000</v>
      </c>
      <c r="H1419" s="2"/>
      <c r="I1419" s="2">
        <f t="shared" si="91"/>
        <v>14845.909999999996</v>
      </c>
      <c r="N1419" s="95">
        <f t="shared" si="93"/>
        <v>20</v>
      </c>
    </row>
    <row r="1420" spans="1:14" s="110" customFormat="1" x14ac:dyDescent="0.25">
      <c r="A1420" s="3">
        <v>45134</v>
      </c>
      <c r="B1420" s="11" t="s">
        <v>3267</v>
      </c>
      <c r="C1420" s="100" t="s">
        <v>3773</v>
      </c>
      <c r="D1420" s="128"/>
      <c r="E1420" s="125"/>
      <c r="F1420" s="109"/>
      <c r="G1420" s="2">
        <v>5000</v>
      </c>
      <c r="H1420" s="2"/>
      <c r="I1420" s="2">
        <f t="shared" si="91"/>
        <v>19845.909999999996</v>
      </c>
      <c r="N1420" s="95">
        <f t="shared" si="93"/>
        <v>20</v>
      </c>
    </row>
    <row r="1421" spans="1:14" s="110" customFormat="1" x14ac:dyDescent="0.25">
      <c r="A1421" s="3">
        <v>45134</v>
      </c>
      <c r="B1421" s="11" t="s">
        <v>2307</v>
      </c>
      <c r="C1421" s="100" t="s">
        <v>3875</v>
      </c>
      <c r="D1421" s="128"/>
      <c r="E1421" s="125"/>
      <c r="F1421" s="109"/>
      <c r="G1421" s="2">
        <v>3000</v>
      </c>
      <c r="H1421" s="2"/>
      <c r="I1421" s="2">
        <f t="shared" si="91"/>
        <v>22845.909999999996</v>
      </c>
      <c r="N1421" s="95">
        <f t="shared" si="93"/>
        <v>12</v>
      </c>
    </row>
    <row r="1422" spans="1:14" s="110" customFormat="1" x14ac:dyDescent="0.25">
      <c r="A1422" s="3">
        <v>45134</v>
      </c>
      <c r="B1422" s="11" t="s">
        <v>1163</v>
      </c>
      <c r="C1422" s="100" t="s">
        <v>3876</v>
      </c>
      <c r="D1422" s="128"/>
      <c r="E1422" s="125"/>
      <c r="F1422" s="109"/>
      <c r="G1422" s="2">
        <v>1500</v>
      </c>
      <c r="H1422" s="2"/>
      <c r="I1422" s="2">
        <f t="shared" si="91"/>
        <v>24345.909999999996</v>
      </c>
      <c r="N1422" s="95">
        <f t="shared" si="93"/>
        <v>6</v>
      </c>
    </row>
    <row r="1423" spans="1:14" s="110" customFormat="1" x14ac:dyDescent="0.25">
      <c r="A1423" s="3">
        <v>45135</v>
      </c>
      <c r="B1423" s="11" t="s">
        <v>3276</v>
      </c>
      <c r="C1423" s="100" t="s">
        <v>2436</v>
      </c>
      <c r="D1423" s="128"/>
      <c r="E1423" s="125"/>
      <c r="F1423" s="109"/>
      <c r="G1423" s="2">
        <v>1000</v>
      </c>
      <c r="H1423" s="2"/>
      <c r="I1423" s="2">
        <f t="shared" si="91"/>
        <v>25345.909999999996</v>
      </c>
      <c r="N1423" s="95">
        <f t="shared" si="93"/>
        <v>4</v>
      </c>
    </row>
    <row r="1424" spans="1:14" s="110" customFormat="1" x14ac:dyDescent="0.25">
      <c r="A1424" s="3">
        <v>45135</v>
      </c>
      <c r="B1424" s="11" t="s">
        <v>1253</v>
      </c>
      <c r="C1424" s="100"/>
      <c r="D1424" s="128"/>
      <c r="E1424" s="125"/>
      <c r="F1424" s="109"/>
      <c r="G1424" s="2">
        <v>2000</v>
      </c>
      <c r="H1424" s="2"/>
      <c r="I1424" s="2">
        <f t="shared" si="91"/>
        <v>27345.909999999996</v>
      </c>
      <c r="N1424" s="95">
        <f t="shared" si="93"/>
        <v>8</v>
      </c>
    </row>
    <row r="1425" spans="1:21" s="110" customFormat="1" x14ac:dyDescent="0.25">
      <c r="A1425" s="3">
        <v>45137</v>
      </c>
      <c r="B1425" s="11" t="s">
        <v>1253</v>
      </c>
      <c r="C1425" s="100" t="s">
        <v>2251</v>
      </c>
      <c r="D1425" s="128"/>
      <c r="E1425" s="125"/>
      <c r="F1425" s="109"/>
      <c r="G1425" s="2">
        <v>2000</v>
      </c>
      <c r="H1425" s="2"/>
      <c r="I1425" s="2">
        <f t="shared" si="91"/>
        <v>29345.909999999996</v>
      </c>
      <c r="N1425" s="112">
        <f t="shared" si="93"/>
        <v>8</v>
      </c>
    </row>
    <row r="1426" spans="1:21" s="110" customFormat="1" x14ac:dyDescent="0.25">
      <c r="A1426" s="3">
        <v>45137</v>
      </c>
      <c r="B1426" s="11" t="s">
        <v>2748</v>
      </c>
      <c r="C1426" s="100" t="s">
        <v>1282</v>
      </c>
      <c r="D1426" s="128"/>
      <c r="E1426" s="125"/>
      <c r="F1426" s="109"/>
      <c r="G1426" s="2"/>
      <c r="H1426" s="2">
        <v>10000</v>
      </c>
      <c r="I1426" s="2">
        <f t="shared" si="91"/>
        <v>19345.909999999996</v>
      </c>
      <c r="N1426" s="112">
        <f t="shared" si="93"/>
        <v>20</v>
      </c>
    </row>
    <row r="1427" spans="1:21" s="110" customFormat="1" x14ac:dyDescent="0.25">
      <c r="A1427" s="3">
        <v>45138</v>
      </c>
      <c r="B1427" s="11" t="s">
        <v>1163</v>
      </c>
      <c r="C1427" s="100" t="s">
        <v>3877</v>
      </c>
      <c r="D1427" s="128"/>
      <c r="E1427" s="125"/>
      <c r="F1427" s="109"/>
      <c r="G1427" s="2">
        <v>4000</v>
      </c>
      <c r="H1427" s="2"/>
      <c r="I1427" s="2">
        <f t="shared" si="91"/>
        <v>23345.909999999996</v>
      </c>
      <c r="N1427" s="112">
        <f t="shared" si="93"/>
        <v>16</v>
      </c>
    </row>
    <row r="1428" spans="1:21" s="110" customFormat="1" x14ac:dyDescent="0.25">
      <c r="A1428" s="3">
        <v>45138</v>
      </c>
      <c r="B1428" s="11" t="s">
        <v>3879</v>
      </c>
      <c r="C1428" s="100" t="s">
        <v>3880</v>
      </c>
      <c r="D1428" s="128"/>
      <c r="E1428" s="125" t="s">
        <v>16</v>
      </c>
      <c r="F1428" s="109"/>
      <c r="G1428" s="2"/>
      <c r="H1428" s="2">
        <v>200</v>
      </c>
      <c r="I1428" s="2">
        <f t="shared" si="91"/>
        <v>23145.909999999996</v>
      </c>
      <c r="N1428" s="112">
        <f t="shared" si="93"/>
        <v>25.8</v>
      </c>
    </row>
    <row r="1429" spans="1:21" x14ac:dyDescent="0.25">
      <c r="A1429" s="3"/>
      <c r="F1429"/>
      <c r="N1429" s="2">
        <f t="shared" si="93"/>
        <v>0</v>
      </c>
    </row>
    <row r="1430" spans="1:21" x14ac:dyDescent="0.25">
      <c r="A1430" s="97">
        <f>COUNTIF(A1346:A1429,"")</f>
        <v>1</v>
      </c>
      <c r="B1430" s="102"/>
      <c r="C1430" s="27"/>
      <c r="D1430" s="139"/>
      <c r="E1430" s="117">
        <f>COUNTIF(E1346:E1429,"Y")</f>
        <v>13</v>
      </c>
      <c r="F1430" s="97">
        <f>G1430+H1430</f>
        <v>244871.55</v>
      </c>
      <c r="G1430" s="107">
        <f>SUM(G1346:G1429)</f>
        <v>122171.55</v>
      </c>
      <c r="H1430" s="107">
        <f>SUM(H1346:H1429)</f>
        <v>122700</v>
      </c>
      <c r="I1430" s="107"/>
      <c r="J1430" s="102">
        <f>SUM(J1346:J1429)</f>
        <v>0</v>
      </c>
      <c r="K1430" s="102">
        <f>SUM(K1346:K1429)</f>
        <v>0</v>
      </c>
      <c r="L1430" s="102">
        <f>SUM(L1346:L1429)</f>
        <v>0</v>
      </c>
      <c r="M1430" s="102">
        <f>SUM(M1346:M1429)</f>
        <v>0</v>
      </c>
      <c r="N1430" s="107">
        <f>SUM(N1346:N1429)</f>
        <v>1150.4862000000001</v>
      </c>
      <c r="O1430" s="97"/>
      <c r="P1430" s="97"/>
    </row>
    <row r="1431" spans="1:21" x14ac:dyDescent="0.25">
      <c r="C1431" s="48"/>
      <c r="D1431" s="59"/>
      <c r="F1431" s="11"/>
    </row>
    <row r="1432" spans="1:21" x14ac:dyDescent="0.25">
      <c r="C1432" s="48"/>
      <c r="D1432" s="59"/>
      <c r="F1432" s="11"/>
    </row>
    <row r="1433" spans="1:21" x14ac:dyDescent="0.25">
      <c r="A1433" s="3">
        <v>45139</v>
      </c>
      <c r="C1433" s="48" t="s">
        <v>3027</v>
      </c>
      <c r="D1433" s="59"/>
      <c r="F1433" s="11"/>
      <c r="G1433" s="2">
        <f>I1427</f>
        <v>23345.909999999996</v>
      </c>
      <c r="H1433" s="82">
        <v>300.48</v>
      </c>
      <c r="I1433" s="2">
        <f>I1432+G1433-H1433</f>
        <v>23045.429999999997</v>
      </c>
      <c r="N1433" s="62"/>
    </row>
    <row r="1434" spans="1:21" x14ac:dyDescent="0.25">
      <c r="A1434" s="3">
        <v>45139</v>
      </c>
      <c r="B1434" s="11" t="s">
        <v>2780</v>
      </c>
      <c r="C1434" s="48" t="s">
        <v>3878</v>
      </c>
      <c r="D1434" s="59"/>
      <c r="F1434" s="11"/>
      <c r="G1434" s="2">
        <v>1500</v>
      </c>
      <c r="I1434" s="2">
        <f>I1433+G1434-H1434</f>
        <v>24545.429999999997</v>
      </c>
      <c r="N1434" s="62">
        <f t="shared" ref="N1434:N1465" si="94">IF((G1434+H1434)&lt;=5000,(H1434+G1434)*0.004,20)+IF(E1434="Y",25,0)</f>
        <v>6</v>
      </c>
    </row>
    <row r="1435" spans="1:21" x14ac:dyDescent="0.25">
      <c r="A1435" s="3">
        <v>45139</v>
      </c>
      <c r="B1435" s="11" t="s">
        <v>2238</v>
      </c>
      <c r="C1435" s="48" t="s">
        <v>3295</v>
      </c>
      <c r="D1435" s="59"/>
      <c r="F1435" s="11"/>
      <c r="G1435" s="2">
        <v>1000</v>
      </c>
      <c r="I1435" s="2">
        <f t="shared" ref="I1435:I1487" si="95">I1434+G1435-H1435</f>
        <v>25545.429999999997</v>
      </c>
      <c r="N1435" s="62">
        <f t="shared" si="94"/>
        <v>4</v>
      </c>
      <c r="P1435">
        <v>25545.43</v>
      </c>
      <c r="U1435">
        <f>P1435-I1435</f>
        <v>0</v>
      </c>
    </row>
    <row r="1436" spans="1:21" x14ac:dyDescent="0.25">
      <c r="A1436" s="3">
        <v>45139</v>
      </c>
      <c r="B1436" s="11" t="s">
        <v>1253</v>
      </c>
      <c r="C1436" s="48"/>
      <c r="D1436" s="59"/>
      <c r="F1436" s="11"/>
      <c r="H1436" s="2">
        <v>2000</v>
      </c>
      <c r="I1436" s="2">
        <f t="shared" si="95"/>
        <v>23545.429999999997</v>
      </c>
      <c r="N1436" s="62">
        <f t="shared" si="94"/>
        <v>8</v>
      </c>
    </row>
    <row r="1437" spans="1:21" x14ac:dyDescent="0.25">
      <c r="A1437" s="3">
        <v>45139</v>
      </c>
      <c r="B1437" s="11" t="s">
        <v>3481</v>
      </c>
      <c r="C1437" s="48" t="s">
        <v>3883</v>
      </c>
      <c r="D1437" s="59"/>
      <c r="F1437" s="11"/>
      <c r="H1437" s="2">
        <v>8000</v>
      </c>
      <c r="I1437" s="2">
        <f t="shared" si="95"/>
        <v>15545.429999999997</v>
      </c>
      <c r="N1437" s="62">
        <f t="shared" si="94"/>
        <v>20</v>
      </c>
    </row>
    <row r="1438" spans="1:21" x14ac:dyDescent="0.25">
      <c r="A1438" s="3">
        <v>45139</v>
      </c>
      <c r="B1438" s="11" t="s">
        <v>1163</v>
      </c>
      <c r="C1438" s="48" t="s">
        <v>3886</v>
      </c>
      <c r="D1438" s="59"/>
      <c r="F1438" s="11"/>
      <c r="G1438" s="2">
        <v>1200</v>
      </c>
      <c r="I1438" s="2">
        <f t="shared" si="95"/>
        <v>16745.429999999997</v>
      </c>
      <c r="N1438" s="62">
        <f t="shared" si="94"/>
        <v>4.8</v>
      </c>
    </row>
    <row r="1439" spans="1:21" x14ac:dyDescent="0.25">
      <c r="A1439" s="3">
        <v>45139</v>
      </c>
      <c r="B1439" s="11" t="s">
        <v>1253</v>
      </c>
      <c r="C1439" s="48"/>
      <c r="D1439" s="59"/>
      <c r="F1439" s="11"/>
      <c r="G1439" s="2">
        <v>500</v>
      </c>
      <c r="I1439" s="2">
        <f t="shared" si="95"/>
        <v>17245.429999999997</v>
      </c>
      <c r="N1439" s="62">
        <f t="shared" si="94"/>
        <v>2</v>
      </c>
    </row>
    <row r="1440" spans="1:21" x14ac:dyDescent="0.25">
      <c r="A1440" s="3">
        <v>45139</v>
      </c>
      <c r="B1440" s="11" t="s">
        <v>2395</v>
      </c>
      <c r="C1440" s="48" t="s">
        <v>3887</v>
      </c>
      <c r="D1440" s="59"/>
      <c r="F1440" s="11"/>
      <c r="G1440" s="2">
        <v>5000</v>
      </c>
      <c r="I1440" s="2">
        <f t="shared" si="95"/>
        <v>22245.429999999997</v>
      </c>
      <c r="N1440" s="62">
        <f t="shared" si="94"/>
        <v>20</v>
      </c>
    </row>
    <row r="1441" spans="1:14" x14ac:dyDescent="0.25">
      <c r="A1441" s="3">
        <v>45139</v>
      </c>
      <c r="B1441" s="11" t="s">
        <v>1163</v>
      </c>
      <c r="C1441" s="48" t="s">
        <v>3888</v>
      </c>
      <c r="D1441" s="59"/>
      <c r="F1441" s="11"/>
      <c r="H1441" s="2">
        <v>1240</v>
      </c>
      <c r="I1441" s="2">
        <f t="shared" si="95"/>
        <v>21005.429999999997</v>
      </c>
      <c r="N1441" s="2">
        <f t="shared" si="94"/>
        <v>4.96</v>
      </c>
    </row>
    <row r="1442" spans="1:14" x14ac:dyDescent="0.25">
      <c r="A1442" s="3">
        <v>45139</v>
      </c>
      <c r="B1442" s="11" t="s">
        <v>1163</v>
      </c>
      <c r="C1442" s="48" t="s">
        <v>3888</v>
      </c>
      <c r="D1442" s="59"/>
      <c r="F1442" s="11"/>
      <c r="G1442" s="2">
        <v>2000</v>
      </c>
      <c r="I1442" s="2">
        <f t="shared" si="95"/>
        <v>23005.429999999997</v>
      </c>
      <c r="N1442" s="2">
        <f t="shared" si="94"/>
        <v>8</v>
      </c>
    </row>
    <row r="1443" spans="1:14" x14ac:dyDescent="0.25">
      <c r="A1443" s="3">
        <v>45140</v>
      </c>
      <c r="B1443" s="11" t="s">
        <v>1163</v>
      </c>
      <c r="C1443" s="48" t="s">
        <v>3748</v>
      </c>
      <c r="D1443" s="59"/>
      <c r="F1443" s="11"/>
      <c r="G1443" s="2">
        <v>1000</v>
      </c>
      <c r="I1443" s="2">
        <f t="shared" si="95"/>
        <v>24005.429999999997</v>
      </c>
      <c r="N1443" s="2">
        <f t="shared" si="94"/>
        <v>4</v>
      </c>
    </row>
    <row r="1444" spans="1:14" x14ac:dyDescent="0.25">
      <c r="A1444" s="3">
        <v>45140</v>
      </c>
      <c r="B1444" s="11" t="s">
        <v>1163</v>
      </c>
      <c r="C1444" s="48" t="s">
        <v>3890</v>
      </c>
      <c r="D1444" s="59"/>
      <c r="F1444" s="11"/>
      <c r="G1444" s="2">
        <v>1000</v>
      </c>
      <c r="I1444" s="2">
        <f t="shared" si="95"/>
        <v>25005.429999999997</v>
      </c>
      <c r="N1444" s="2">
        <f t="shared" si="94"/>
        <v>4</v>
      </c>
    </row>
    <row r="1445" spans="1:14" x14ac:dyDescent="0.25">
      <c r="A1445" s="3">
        <v>45140</v>
      </c>
      <c r="B1445" s="11" t="s">
        <v>3617</v>
      </c>
      <c r="C1445" s="48" t="s">
        <v>3720</v>
      </c>
      <c r="D1445" s="59"/>
      <c r="F1445" s="11"/>
      <c r="G1445" s="2">
        <v>300</v>
      </c>
      <c r="I1445" s="2">
        <f t="shared" si="95"/>
        <v>25305.429999999997</v>
      </c>
      <c r="N1445" s="2">
        <f t="shared" si="94"/>
        <v>1.2</v>
      </c>
    </row>
    <row r="1446" spans="1:14" x14ac:dyDescent="0.25">
      <c r="A1446" s="3">
        <v>45140</v>
      </c>
      <c r="C1446" s="48"/>
      <c r="D1446" s="59"/>
      <c r="F1446" s="11"/>
      <c r="H1446" s="2">
        <v>2000</v>
      </c>
      <c r="I1446" s="2">
        <f t="shared" si="95"/>
        <v>23305.429999999997</v>
      </c>
      <c r="N1446" s="2">
        <f t="shared" si="94"/>
        <v>8</v>
      </c>
    </row>
    <row r="1447" spans="1:14" x14ac:dyDescent="0.25">
      <c r="A1447" s="3">
        <v>45140</v>
      </c>
      <c r="B1447" s="11" t="s">
        <v>1475</v>
      </c>
      <c r="C1447" s="48" t="s">
        <v>3891</v>
      </c>
      <c r="D1447" s="59"/>
      <c r="F1447" s="11"/>
      <c r="G1447" s="2">
        <v>500</v>
      </c>
      <c r="I1447" s="2">
        <f t="shared" si="95"/>
        <v>23805.429999999997</v>
      </c>
      <c r="N1447" s="2">
        <f t="shared" si="94"/>
        <v>2</v>
      </c>
    </row>
    <row r="1448" spans="1:14" x14ac:dyDescent="0.25">
      <c r="A1448" s="3">
        <v>45140</v>
      </c>
      <c r="B1448" s="11" t="s">
        <v>3896</v>
      </c>
      <c r="C1448" s="48" t="s">
        <v>2482</v>
      </c>
      <c r="D1448" s="59"/>
      <c r="F1448" s="11"/>
      <c r="H1448" s="2">
        <v>5000</v>
      </c>
      <c r="I1448" s="2">
        <f t="shared" si="95"/>
        <v>18805.429999999997</v>
      </c>
      <c r="N1448" s="2">
        <f t="shared" si="94"/>
        <v>20</v>
      </c>
    </row>
    <row r="1449" spans="1:14" x14ac:dyDescent="0.25">
      <c r="A1449" s="3">
        <v>45140</v>
      </c>
      <c r="B1449" s="11" t="s">
        <v>3892</v>
      </c>
      <c r="C1449" s="48" t="s">
        <v>1335</v>
      </c>
      <c r="D1449" s="59"/>
      <c r="F1449" s="11"/>
      <c r="H1449" s="2">
        <v>900</v>
      </c>
      <c r="I1449" s="2">
        <f t="shared" si="95"/>
        <v>17905.429999999997</v>
      </c>
      <c r="N1449" s="2">
        <f t="shared" si="94"/>
        <v>3.6</v>
      </c>
    </row>
    <row r="1450" spans="1:14" x14ac:dyDescent="0.25">
      <c r="A1450" s="3">
        <v>45141</v>
      </c>
      <c r="B1450" s="11" t="s">
        <v>1253</v>
      </c>
      <c r="C1450" s="48"/>
      <c r="D1450" s="59"/>
      <c r="F1450" s="11"/>
      <c r="H1450" s="2">
        <v>3000</v>
      </c>
      <c r="I1450" s="2">
        <f t="shared" si="95"/>
        <v>14905.429999999997</v>
      </c>
      <c r="N1450" s="2">
        <f t="shared" si="94"/>
        <v>12</v>
      </c>
    </row>
    <row r="1451" spans="1:14" x14ac:dyDescent="0.25">
      <c r="A1451" s="3">
        <v>45141</v>
      </c>
      <c r="B1451" s="11" t="s">
        <v>3893</v>
      </c>
      <c r="C1451" s="48" t="s">
        <v>3894</v>
      </c>
      <c r="D1451" s="59"/>
      <c r="F1451" s="11"/>
      <c r="G1451" s="2">
        <v>2500</v>
      </c>
      <c r="I1451" s="2">
        <f t="shared" si="95"/>
        <v>17405.429999999997</v>
      </c>
      <c r="N1451" s="2">
        <f t="shared" si="94"/>
        <v>10</v>
      </c>
    </row>
    <row r="1452" spans="1:14" x14ac:dyDescent="0.25">
      <c r="A1452" s="3">
        <v>45141</v>
      </c>
      <c r="B1452" s="11" t="s">
        <v>1163</v>
      </c>
      <c r="C1452" s="48" t="s">
        <v>3895</v>
      </c>
      <c r="D1452" s="59"/>
      <c r="F1452" s="11"/>
      <c r="G1452" s="2">
        <v>4000</v>
      </c>
      <c r="I1452" s="2">
        <f t="shared" si="95"/>
        <v>21405.429999999997</v>
      </c>
      <c r="N1452" s="2">
        <f t="shared" si="94"/>
        <v>16</v>
      </c>
    </row>
    <row r="1453" spans="1:14" x14ac:dyDescent="0.25">
      <c r="A1453" s="3">
        <v>45141</v>
      </c>
      <c r="B1453" s="11" t="s">
        <v>3897</v>
      </c>
      <c r="C1453" s="48" t="s">
        <v>3898</v>
      </c>
      <c r="D1453" s="59"/>
      <c r="F1453" s="11"/>
      <c r="H1453" s="2">
        <v>500</v>
      </c>
      <c r="I1453" s="2">
        <f t="shared" si="95"/>
        <v>20905.429999999997</v>
      </c>
      <c r="N1453" s="2">
        <f t="shared" si="94"/>
        <v>2</v>
      </c>
    </row>
    <row r="1454" spans="1:14" x14ac:dyDescent="0.25">
      <c r="A1454" s="3">
        <v>45141</v>
      </c>
      <c r="B1454" s="11" t="s">
        <v>3899</v>
      </c>
      <c r="C1454" s="48" t="s">
        <v>1282</v>
      </c>
      <c r="D1454" s="59"/>
      <c r="F1454" s="11"/>
      <c r="H1454" s="2">
        <v>10000</v>
      </c>
      <c r="I1454" s="2">
        <f t="shared" si="95"/>
        <v>10905.429999999997</v>
      </c>
      <c r="N1454" s="2">
        <f t="shared" si="94"/>
        <v>20</v>
      </c>
    </row>
    <row r="1455" spans="1:14" x14ac:dyDescent="0.25">
      <c r="A1455" s="3">
        <v>45142</v>
      </c>
      <c r="B1455" s="11" t="s">
        <v>2663</v>
      </c>
      <c r="C1455" s="48" t="s">
        <v>3295</v>
      </c>
      <c r="D1455" s="59"/>
      <c r="F1455" s="11"/>
      <c r="G1455" s="2">
        <v>10000</v>
      </c>
      <c r="I1455" s="2">
        <f t="shared" si="95"/>
        <v>20905.429999999997</v>
      </c>
      <c r="N1455" s="2">
        <f t="shared" si="94"/>
        <v>20</v>
      </c>
    </row>
    <row r="1456" spans="1:14" x14ac:dyDescent="0.25">
      <c r="A1456" s="3">
        <v>45142</v>
      </c>
      <c r="C1456" s="48" t="s">
        <v>2196</v>
      </c>
      <c r="D1456" s="59"/>
      <c r="F1456" s="11"/>
      <c r="G1456" s="2">
        <v>5000</v>
      </c>
      <c r="I1456" s="2">
        <f t="shared" si="95"/>
        <v>25905.429999999997</v>
      </c>
      <c r="N1456" s="2">
        <f t="shared" si="94"/>
        <v>20</v>
      </c>
    </row>
    <row r="1457" spans="1:14" x14ac:dyDescent="0.25">
      <c r="A1457" s="3">
        <v>45142</v>
      </c>
      <c r="B1457" s="11" t="s">
        <v>3900</v>
      </c>
      <c r="C1457" s="48" t="s">
        <v>3901</v>
      </c>
      <c r="D1457" s="59"/>
      <c r="F1457" s="11"/>
      <c r="H1457" s="2">
        <v>10000</v>
      </c>
      <c r="I1457" s="2">
        <f t="shared" si="95"/>
        <v>15905.429999999997</v>
      </c>
      <c r="N1457" s="2">
        <f t="shared" si="94"/>
        <v>20</v>
      </c>
    </row>
    <row r="1458" spans="1:14" x14ac:dyDescent="0.25">
      <c r="A1458" s="3">
        <v>45148</v>
      </c>
      <c r="B1458" s="11" t="s">
        <v>1475</v>
      </c>
      <c r="C1458" s="48" t="s">
        <v>3902</v>
      </c>
      <c r="D1458" s="59"/>
      <c r="F1458" s="11"/>
      <c r="G1458" s="2">
        <v>500</v>
      </c>
      <c r="I1458" s="2">
        <f t="shared" si="95"/>
        <v>16405.429999999997</v>
      </c>
      <c r="N1458" s="2">
        <f t="shared" si="94"/>
        <v>2</v>
      </c>
    </row>
    <row r="1459" spans="1:14" x14ac:dyDescent="0.25">
      <c r="A1459" s="3">
        <v>45148</v>
      </c>
      <c r="B1459" s="11" t="s">
        <v>2780</v>
      </c>
      <c r="C1459" s="48" t="s">
        <v>3903</v>
      </c>
      <c r="D1459" s="59"/>
      <c r="F1459" s="11"/>
      <c r="G1459" s="2">
        <v>1000</v>
      </c>
      <c r="I1459" s="2">
        <f t="shared" si="95"/>
        <v>17405.429999999997</v>
      </c>
      <c r="N1459" s="2">
        <f t="shared" si="94"/>
        <v>4</v>
      </c>
    </row>
    <row r="1460" spans="1:14" x14ac:dyDescent="0.25">
      <c r="A1460" s="3">
        <v>45148</v>
      </c>
      <c r="C1460" s="48" t="s">
        <v>3295</v>
      </c>
      <c r="D1460" s="59"/>
      <c r="F1460" s="11"/>
      <c r="G1460" s="2">
        <v>400</v>
      </c>
      <c r="I1460" s="2">
        <f t="shared" si="95"/>
        <v>17805.429999999997</v>
      </c>
      <c r="N1460" s="2">
        <f t="shared" si="94"/>
        <v>1.6</v>
      </c>
    </row>
    <row r="1461" spans="1:14" x14ac:dyDescent="0.25">
      <c r="A1461" s="3">
        <v>45148</v>
      </c>
      <c r="B1461" s="11" t="s">
        <v>2647</v>
      </c>
      <c r="C1461" s="48" t="s">
        <v>3299</v>
      </c>
      <c r="D1461" s="59"/>
      <c r="F1461" s="11"/>
      <c r="G1461" s="2">
        <v>1000</v>
      </c>
      <c r="I1461" s="2">
        <f t="shared" si="95"/>
        <v>18805.429999999997</v>
      </c>
      <c r="N1461" s="2">
        <f t="shared" si="94"/>
        <v>4</v>
      </c>
    </row>
    <row r="1462" spans="1:14" x14ac:dyDescent="0.25">
      <c r="A1462" s="3">
        <v>45148</v>
      </c>
      <c r="B1462" s="11" t="s">
        <v>2149</v>
      </c>
      <c r="C1462" s="48" t="s">
        <v>2150</v>
      </c>
      <c r="D1462" s="59"/>
      <c r="F1462" s="11"/>
      <c r="G1462" s="2">
        <v>200</v>
      </c>
      <c r="I1462" s="2">
        <f t="shared" si="95"/>
        <v>19005.429999999997</v>
      </c>
      <c r="N1462" s="2">
        <f t="shared" si="94"/>
        <v>0.8</v>
      </c>
    </row>
    <row r="1463" spans="1:14" x14ac:dyDescent="0.25">
      <c r="A1463" s="3">
        <v>45148</v>
      </c>
      <c r="B1463" s="11" t="s">
        <v>3904</v>
      </c>
      <c r="C1463" s="48" t="s">
        <v>3905</v>
      </c>
      <c r="D1463" s="59"/>
      <c r="E1463" s="115" t="s">
        <v>16</v>
      </c>
      <c r="F1463" s="11"/>
      <c r="H1463" s="2">
        <v>100</v>
      </c>
      <c r="I1463" s="2">
        <f t="shared" si="95"/>
        <v>18905.429999999997</v>
      </c>
      <c r="N1463" s="2">
        <f t="shared" si="94"/>
        <v>25.4</v>
      </c>
    </row>
    <row r="1464" spans="1:14" x14ac:dyDescent="0.25">
      <c r="A1464" s="3">
        <v>45148</v>
      </c>
      <c r="B1464" s="11" t="s">
        <v>3906</v>
      </c>
      <c r="C1464" s="48" t="s">
        <v>3907</v>
      </c>
      <c r="D1464" s="59"/>
      <c r="E1464" s="115" t="s">
        <v>16</v>
      </c>
      <c r="F1464" s="11"/>
      <c r="H1464" s="2">
        <v>100</v>
      </c>
      <c r="I1464" s="2">
        <f t="shared" si="95"/>
        <v>18805.429999999997</v>
      </c>
      <c r="N1464" s="2">
        <f t="shared" si="94"/>
        <v>25.4</v>
      </c>
    </row>
    <row r="1465" spans="1:14" x14ac:dyDescent="0.25">
      <c r="A1465" s="3">
        <v>45148</v>
      </c>
      <c r="B1465" s="11" t="s">
        <v>1253</v>
      </c>
      <c r="C1465" s="48" t="s">
        <v>1696</v>
      </c>
      <c r="D1465" s="59"/>
      <c r="F1465" s="11"/>
      <c r="G1465" s="2">
        <v>3050</v>
      </c>
      <c r="I1465" s="2">
        <f t="shared" si="95"/>
        <v>21855.429999999997</v>
      </c>
      <c r="N1465" s="2">
        <f t="shared" si="94"/>
        <v>12.200000000000001</v>
      </c>
    </row>
    <row r="1466" spans="1:14" x14ac:dyDescent="0.25">
      <c r="A1466" s="3">
        <v>45149</v>
      </c>
      <c r="B1466" s="11" t="s">
        <v>2651</v>
      </c>
      <c r="C1466" s="48" t="s">
        <v>1924</v>
      </c>
      <c r="D1466" s="59"/>
      <c r="F1466" s="11"/>
      <c r="G1466" s="2">
        <v>1000</v>
      </c>
      <c r="I1466" s="2">
        <f t="shared" si="95"/>
        <v>22855.429999999997</v>
      </c>
      <c r="N1466" s="2">
        <f t="shared" ref="N1466:N1486" si="96">IF((G1466+H1466)&lt;=5000,(H1466+G1466)*0.004,20)+IF(E1466="Y",25,0)</f>
        <v>4</v>
      </c>
    </row>
    <row r="1467" spans="1:14" x14ac:dyDescent="0.25">
      <c r="A1467" s="3">
        <v>45150</v>
      </c>
      <c r="B1467" s="11" t="s">
        <v>3912</v>
      </c>
      <c r="C1467" s="48" t="s">
        <v>2002</v>
      </c>
      <c r="D1467" s="59"/>
      <c r="F1467" s="11"/>
      <c r="G1467" s="2">
        <v>3000</v>
      </c>
      <c r="I1467" s="2">
        <f t="shared" si="95"/>
        <v>25855.429999999997</v>
      </c>
      <c r="N1467" s="2">
        <f t="shared" si="96"/>
        <v>12</v>
      </c>
    </row>
    <row r="1468" spans="1:14" x14ac:dyDescent="0.25">
      <c r="A1468" s="3">
        <v>45150</v>
      </c>
      <c r="B1468" s="11" t="s">
        <v>3835</v>
      </c>
      <c r="C1468" s="48" t="s">
        <v>3915</v>
      </c>
      <c r="D1468" s="59"/>
      <c r="F1468" s="11"/>
      <c r="H1468" s="2">
        <v>2500</v>
      </c>
      <c r="I1468" s="2">
        <f t="shared" si="95"/>
        <v>23355.429999999997</v>
      </c>
      <c r="N1468" s="2">
        <f t="shared" si="96"/>
        <v>10</v>
      </c>
    </row>
    <row r="1469" spans="1:14" x14ac:dyDescent="0.25">
      <c r="A1469" s="3">
        <v>45151</v>
      </c>
      <c r="B1469" s="11" t="s">
        <v>1163</v>
      </c>
      <c r="C1469" s="48" t="s">
        <v>3916</v>
      </c>
      <c r="D1469" s="59"/>
      <c r="F1469" s="11"/>
      <c r="G1469" s="2">
        <v>5000</v>
      </c>
      <c r="I1469" s="2">
        <f t="shared" si="95"/>
        <v>28355.429999999997</v>
      </c>
      <c r="N1469" s="2">
        <f t="shared" si="96"/>
        <v>20</v>
      </c>
    </row>
    <row r="1470" spans="1:14" x14ac:dyDescent="0.25">
      <c r="A1470" s="3">
        <v>45151</v>
      </c>
      <c r="B1470" s="11" t="s">
        <v>3917</v>
      </c>
      <c r="C1470" s="48" t="s">
        <v>579</v>
      </c>
      <c r="D1470" s="59"/>
      <c r="F1470" s="11"/>
      <c r="H1470" s="2">
        <v>4100</v>
      </c>
      <c r="I1470" s="2">
        <f t="shared" si="95"/>
        <v>24255.429999999997</v>
      </c>
      <c r="N1470" s="2">
        <f t="shared" si="96"/>
        <v>16.399999999999999</v>
      </c>
    </row>
    <row r="1471" spans="1:14" x14ac:dyDescent="0.25">
      <c r="A1471" s="3">
        <v>45151</v>
      </c>
      <c r="B1471" s="11" t="s">
        <v>3918</v>
      </c>
      <c r="C1471" s="48" t="s">
        <v>2910</v>
      </c>
      <c r="D1471" s="59"/>
      <c r="F1471" s="11"/>
      <c r="H1471" s="2">
        <v>4100</v>
      </c>
      <c r="I1471" s="2">
        <f t="shared" si="95"/>
        <v>20155.429999999997</v>
      </c>
      <c r="N1471" s="2">
        <f t="shared" si="96"/>
        <v>16.399999999999999</v>
      </c>
    </row>
    <row r="1472" spans="1:14" x14ac:dyDescent="0.25">
      <c r="A1472" s="3">
        <v>45151</v>
      </c>
      <c r="B1472" s="11" t="s">
        <v>1253</v>
      </c>
      <c r="C1472" s="48" t="s">
        <v>2256</v>
      </c>
      <c r="D1472" s="59"/>
      <c r="F1472" s="11"/>
      <c r="G1472" s="2">
        <v>3050</v>
      </c>
      <c r="I1472" s="2">
        <f t="shared" si="95"/>
        <v>23205.429999999997</v>
      </c>
      <c r="N1472" s="2">
        <f t="shared" si="96"/>
        <v>12.200000000000001</v>
      </c>
    </row>
    <row r="1473" spans="1:16" x14ac:dyDescent="0.25">
      <c r="A1473" s="3">
        <v>45151</v>
      </c>
      <c r="B1473" s="11" t="s">
        <v>3806</v>
      </c>
      <c r="C1473" s="48" t="s">
        <v>3919</v>
      </c>
      <c r="D1473" s="59"/>
      <c r="F1473" s="11"/>
      <c r="H1473" s="2">
        <v>2500</v>
      </c>
      <c r="I1473" s="2">
        <f t="shared" si="95"/>
        <v>20705.429999999997</v>
      </c>
      <c r="N1473" s="2">
        <f t="shared" si="96"/>
        <v>10</v>
      </c>
    </row>
    <row r="1474" spans="1:16" x14ac:dyDescent="0.25">
      <c r="A1474" s="3">
        <v>45152</v>
      </c>
      <c r="B1474" s="11" t="s">
        <v>1475</v>
      </c>
      <c r="C1474" s="48" t="s">
        <v>3920</v>
      </c>
      <c r="D1474" s="59"/>
      <c r="F1474" s="11"/>
      <c r="G1474" s="2">
        <v>2000</v>
      </c>
      <c r="I1474" s="2">
        <f t="shared" si="95"/>
        <v>22705.429999999997</v>
      </c>
      <c r="N1474" s="2">
        <f t="shared" si="96"/>
        <v>8</v>
      </c>
    </row>
    <row r="1475" spans="1:16" x14ac:dyDescent="0.25">
      <c r="A1475" s="3">
        <v>45152</v>
      </c>
      <c r="B1475" s="11" t="s">
        <v>2903</v>
      </c>
      <c r="C1475" s="48" t="s">
        <v>128</v>
      </c>
      <c r="D1475" s="59"/>
      <c r="F1475" s="11"/>
      <c r="G1475" s="2">
        <v>2000</v>
      </c>
      <c r="I1475" s="2">
        <f t="shared" si="95"/>
        <v>24705.429999999997</v>
      </c>
      <c r="N1475" s="2">
        <f t="shared" si="96"/>
        <v>8</v>
      </c>
    </row>
    <row r="1476" spans="1:16" x14ac:dyDescent="0.25">
      <c r="A1476" s="3">
        <v>45154</v>
      </c>
      <c r="B1476" s="11" t="s">
        <v>1253</v>
      </c>
      <c r="C1476" s="48" t="s">
        <v>3295</v>
      </c>
      <c r="D1476" s="59"/>
      <c r="F1476" s="11"/>
      <c r="G1476" s="2">
        <v>1500</v>
      </c>
      <c r="I1476" s="2">
        <f t="shared" si="95"/>
        <v>26205.429999999997</v>
      </c>
      <c r="N1476" s="2">
        <f t="shared" si="96"/>
        <v>6</v>
      </c>
    </row>
    <row r="1477" spans="1:16" x14ac:dyDescent="0.25">
      <c r="A1477" s="3">
        <v>45154</v>
      </c>
      <c r="B1477" s="11" t="s">
        <v>3045</v>
      </c>
      <c r="C1477" s="48" t="s">
        <v>1282</v>
      </c>
      <c r="D1477" s="59"/>
      <c r="F1477" s="11"/>
      <c r="H1477" s="2">
        <v>10000</v>
      </c>
      <c r="I1477" s="2">
        <f t="shared" si="95"/>
        <v>16205.429999999997</v>
      </c>
      <c r="N1477" s="2">
        <f t="shared" si="96"/>
        <v>20</v>
      </c>
    </row>
    <row r="1478" spans="1:16" x14ac:dyDescent="0.25">
      <c r="A1478" s="3">
        <v>45154</v>
      </c>
      <c r="B1478" s="11" t="s">
        <v>3835</v>
      </c>
      <c r="C1478" s="48" t="s">
        <v>3921</v>
      </c>
      <c r="D1478" s="59"/>
      <c r="F1478" s="11"/>
      <c r="G1478" s="2">
        <v>2000</v>
      </c>
      <c r="I1478" s="2">
        <f t="shared" si="95"/>
        <v>18205.429999999997</v>
      </c>
      <c r="N1478" s="2">
        <f t="shared" si="96"/>
        <v>8</v>
      </c>
    </row>
    <row r="1479" spans="1:16" x14ac:dyDescent="0.25">
      <c r="A1479" s="3">
        <v>45154</v>
      </c>
      <c r="B1479" s="11" t="s">
        <v>2472</v>
      </c>
      <c r="C1479" s="48" t="s">
        <v>2295</v>
      </c>
      <c r="D1479" s="59"/>
      <c r="F1479" s="11"/>
      <c r="H1479" s="2">
        <v>2500</v>
      </c>
      <c r="I1479" s="2">
        <f t="shared" si="95"/>
        <v>15705.429999999997</v>
      </c>
      <c r="N1479" s="2">
        <f t="shared" si="96"/>
        <v>10</v>
      </c>
    </row>
    <row r="1480" spans="1:16" x14ac:dyDescent="0.25">
      <c r="A1480" s="3">
        <v>45154</v>
      </c>
      <c r="B1480" s="11" t="s">
        <v>1253</v>
      </c>
      <c r="C1480" s="48" t="s">
        <v>2256</v>
      </c>
      <c r="D1480" s="59"/>
      <c r="F1480" s="11"/>
      <c r="G1480" s="2">
        <v>3000</v>
      </c>
      <c r="I1480" s="2">
        <f t="shared" si="95"/>
        <v>18705.429999999997</v>
      </c>
      <c r="N1480" s="2">
        <f t="shared" si="96"/>
        <v>12</v>
      </c>
    </row>
    <row r="1481" spans="1:16" x14ac:dyDescent="0.25">
      <c r="A1481" s="3">
        <v>45154</v>
      </c>
      <c r="B1481" s="11" t="s">
        <v>3922</v>
      </c>
      <c r="C1481" s="48" t="s">
        <v>3923</v>
      </c>
      <c r="D1481" s="59"/>
      <c r="F1481" s="11"/>
      <c r="G1481" s="2">
        <v>1000</v>
      </c>
      <c r="I1481" s="2">
        <f t="shared" si="95"/>
        <v>19705.429999999997</v>
      </c>
      <c r="N1481" s="2">
        <f t="shared" si="96"/>
        <v>4</v>
      </c>
    </row>
    <row r="1482" spans="1:16" x14ac:dyDescent="0.25">
      <c r="A1482" s="3">
        <v>45156</v>
      </c>
      <c r="B1482" s="11" t="s">
        <v>1253</v>
      </c>
      <c r="C1482" s="48" t="s">
        <v>2256</v>
      </c>
      <c r="D1482" s="59"/>
      <c r="F1482" s="11"/>
      <c r="G1482" s="2">
        <v>700</v>
      </c>
      <c r="I1482" s="2">
        <f t="shared" si="95"/>
        <v>20405.429999999997</v>
      </c>
      <c r="N1482" s="2">
        <f t="shared" si="96"/>
        <v>2.8000000000000003</v>
      </c>
    </row>
    <row r="1483" spans="1:16" x14ac:dyDescent="0.25">
      <c r="A1483" s="3">
        <v>45156</v>
      </c>
      <c r="B1483" s="11" t="s">
        <v>3502</v>
      </c>
      <c r="C1483" s="48" t="s">
        <v>3927</v>
      </c>
      <c r="D1483" s="59"/>
      <c r="F1483" s="11"/>
      <c r="G1483" s="2">
        <v>1000</v>
      </c>
      <c r="I1483" s="2">
        <f t="shared" si="95"/>
        <v>21405.429999999997</v>
      </c>
      <c r="N1483" s="2">
        <f t="shared" si="96"/>
        <v>4</v>
      </c>
    </row>
    <row r="1484" spans="1:16" x14ac:dyDescent="0.25">
      <c r="A1484" s="3">
        <v>45157</v>
      </c>
      <c r="B1484" s="11" t="s">
        <v>2247</v>
      </c>
      <c r="C1484" s="48"/>
      <c r="D1484" s="59"/>
      <c r="F1484" s="11"/>
      <c r="G1484" s="2">
        <v>1500</v>
      </c>
      <c r="I1484" s="2">
        <f t="shared" si="95"/>
        <v>22905.429999999997</v>
      </c>
      <c r="N1484" s="2">
        <f t="shared" si="96"/>
        <v>6</v>
      </c>
    </row>
    <row r="1485" spans="1:16" x14ac:dyDescent="0.25">
      <c r="A1485" s="3">
        <v>45157</v>
      </c>
      <c r="B1485" s="11" t="s">
        <v>3045</v>
      </c>
      <c r="C1485" s="48" t="s">
        <v>1282</v>
      </c>
      <c r="D1485" s="59"/>
      <c r="F1485" s="11"/>
      <c r="H1485" s="2">
        <v>10000</v>
      </c>
      <c r="I1485" s="2">
        <f t="shared" si="95"/>
        <v>12905.429999999997</v>
      </c>
      <c r="N1485" s="2">
        <f t="shared" si="96"/>
        <v>20</v>
      </c>
    </row>
    <row r="1486" spans="1:16" x14ac:dyDescent="0.25">
      <c r="A1486" s="3">
        <v>45157</v>
      </c>
      <c r="B1486" s="11" t="s">
        <v>3928</v>
      </c>
      <c r="C1486" s="48" t="s">
        <v>3929</v>
      </c>
      <c r="D1486" s="59"/>
      <c r="E1486" s="115" t="s">
        <v>16</v>
      </c>
      <c r="F1486" s="11"/>
      <c r="H1486" s="2">
        <v>100</v>
      </c>
      <c r="I1486" s="2">
        <f t="shared" si="95"/>
        <v>12805.429999999997</v>
      </c>
      <c r="N1486" s="2">
        <f t="shared" si="96"/>
        <v>25.4</v>
      </c>
    </row>
    <row r="1487" spans="1:16" x14ac:dyDescent="0.25">
      <c r="A1487" s="3">
        <v>45160</v>
      </c>
      <c r="C1487" s="61" t="s">
        <v>3934</v>
      </c>
      <c r="D1487" s="132"/>
      <c r="E1487" s="122"/>
      <c r="F1487" s="43"/>
      <c r="G1487" s="82">
        <v>839.65</v>
      </c>
      <c r="H1487" s="2">
        <v>0.24</v>
      </c>
      <c r="I1487" s="2">
        <f t="shared" si="95"/>
        <v>13644.839999999997</v>
      </c>
    </row>
    <row r="1488" spans="1:16" x14ac:dyDescent="0.25">
      <c r="A1488" s="97">
        <f>COUNTIF(A1361:A1487,"")</f>
        <v>3</v>
      </c>
      <c r="B1488" s="102"/>
      <c r="C1488" s="27"/>
      <c r="D1488" s="139"/>
      <c r="E1488" s="117">
        <f>COUNTIF(E1434:E1487,"Y")</f>
        <v>3</v>
      </c>
      <c r="F1488" s="97">
        <f>G1488+H1488</f>
        <v>148180.37</v>
      </c>
      <c r="G1488" s="107">
        <f>SUM(G1434:G1487)</f>
        <v>69239.649999999994</v>
      </c>
      <c r="H1488" s="107">
        <f>SUM(H1433:H1487)</f>
        <v>78940.72</v>
      </c>
      <c r="I1488" s="107"/>
      <c r="J1488" s="102">
        <f>SUM(J1361:J1487)</f>
        <v>0</v>
      </c>
      <c r="K1488" s="102">
        <f>SUM(K1361:K1487)</f>
        <v>0</v>
      </c>
      <c r="L1488" s="102">
        <f>SUM(L1361:L1487)</f>
        <v>0</v>
      </c>
      <c r="M1488" s="102">
        <f>SUM(M1361:M1487)</f>
        <v>0</v>
      </c>
      <c r="N1488" s="107">
        <f>SUM(N1434:N1487)</f>
        <v>551.16</v>
      </c>
      <c r="O1488" s="97"/>
      <c r="P1488" s="97"/>
    </row>
    <row r="1489" spans="1:14" x14ac:dyDescent="0.25">
      <c r="C1489" s="48"/>
      <c r="D1489" s="59"/>
      <c r="F1489" s="11"/>
    </row>
    <row r="1490" spans="1:14" x14ac:dyDescent="0.25">
      <c r="A1490" s="3">
        <v>45170</v>
      </c>
      <c r="C1490" s="48" t="s">
        <v>2870</v>
      </c>
      <c r="D1490" s="59"/>
      <c r="F1490" s="11"/>
      <c r="G1490" s="2">
        <v>13644.84</v>
      </c>
      <c r="I1490" s="2">
        <f t="shared" ref="I1490:I1543" si="97">I1489+G1490-H1490</f>
        <v>13644.84</v>
      </c>
    </row>
    <row r="1491" spans="1:14" x14ac:dyDescent="0.25">
      <c r="A1491" s="3">
        <v>45174</v>
      </c>
      <c r="B1491" s="11" t="s">
        <v>1253</v>
      </c>
      <c r="C1491" s="48" t="s">
        <v>3717</v>
      </c>
      <c r="D1491" s="59"/>
      <c r="F1491" s="11"/>
      <c r="G1491" s="2">
        <v>3000</v>
      </c>
      <c r="I1491" s="2">
        <f t="shared" si="97"/>
        <v>16644.84</v>
      </c>
      <c r="N1491" s="2">
        <f t="shared" ref="N1491:N1537" si="98">IF((G1491+H1491)&lt;=5000,(H1491+G1491)*0.004,20)+IF(E1491="Y",25,0)</f>
        <v>12</v>
      </c>
    </row>
    <row r="1492" spans="1:14" x14ac:dyDescent="0.25">
      <c r="A1492" s="3">
        <v>45175</v>
      </c>
      <c r="B1492" s="11" t="s">
        <v>3935</v>
      </c>
      <c r="C1492" s="48" t="s">
        <v>3940</v>
      </c>
      <c r="D1492" s="59"/>
      <c r="E1492" s="115" t="s">
        <v>16</v>
      </c>
      <c r="F1492" s="11"/>
      <c r="H1492" s="2">
        <v>150</v>
      </c>
      <c r="I1492" s="2">
        <f t="shared" si="97"/>
        <v>16494.84</v>
      </c>
      <c r="N1492" s="2">
        <f t="shared" si="98"/>
        <v>25.6</v>
      </c>
    </row>
    <row r="1493" spans="1:14" x14ac:dyDescent="0.25">
      <c r="A1493" s="3">
        <v>45175</v>
      </c>
      <c r="B1493" s="11" t="s">
        <v>3935</v>
      </c>
      <c r="C1493" s="48" t="s">
        <v>3936</v>
      </c>
      <c r="D1493" s="59"/>
      <c r="E1493" s="115" t="s">
        <v>16</v>
      </c>
      <c r="F1493" s="11"/>
      <c r="H1493" s="2">
        <v>100</v>
      </c>
      <c r="I1493" s="2">
        <f t="shared" si="97"/>
        <v>16394.84</v>
      </c>
      <c r="N1493" s="2">
        <f t="shared" si="98"/>
        <v>25.4</v>
      </c>
    </row>
    <row r="1494" spans="1:14" x14ac:dyDescent="0.25">
      <c r="A1494" s="3">
        <v>45176</v>
      </c>
      <c r="B1494" s="11" t="s">
        <v>3550</v>
      </c>
      <c r="C1494" s="48" t="s">
        <v>3941</v>
      </c>
      <c r="D1494" s="59"/>
      <c r="F1494" s="11"/>
      <c r="H1494" s="2">
        <v>1000</v>
      </c>
      <c r="I1494" s="2">
        <f t="shared" si="97"/>
        <v>15394.84</v>
      </c>
      <c r="N1494" s="2">
        <f t="shared" si="98"/>
        <v>4</v>
      </c>
    </row>
    <row r="1495" spans="1:14" x14ac:dyDescent="0.25">
      <c r="A1495" s="3">
        <v>45176</v>
      </c>
      <c r="B1495" s="11" t="s">
        <v>3917</v>
      </c>
      <c r="C1495" s="48" t="s">
        <v>2291</v>
      </c>
      <c r="D1495" s="59"/>
      <c r="F1495" s="11"/>
      <c r="H1495" s="2">
        <v>4000</v>
      </c>
      <c r="I1495" s="2">
        <f t="shared" si="97"/>
        <v>11394.84</v>
      </c>
      <c r="N1495" s="2">
        <f t="shared" si="98"/>
        <v>16</v>
      </c>
    </row>
    <row r="1496" spans="1:14" x14ac:dyDescent="0.25">
      <c r="A1496" s="3">
        <v>45176</v>
      </c>
      <c r="B1496" s="11" t="s">
        <v>3918</v>
      </c>
      <c r="C1496" s="48" t="s">
        <v>2361</v>
      </c>
      <c r="D1496" s="59"/>
      <c r="F1496" s="11"/>
      <c r="H1496" s="2">
        <v>4000</v>
      </c>
      <c r="I1496" s="2">
        <f t="shared" si="97"/>
        <v>7394.84</v>
      </c>
      <c r="N1496" s="2">
        <f t="shared" si="98"/>
        <v>16</v>
      </c>
    </row>
    <row r="1497" spans="1:14" x14ac:dyDescent="0.25">
      <c r="A1497" s="3">
        <v>45176</v>
      </c>
      <c r="B1497" s="11" t="s">
        <v>1253</v>
      </c>
      <c r="C1497" s="48" t="s">
        <v>3942</v>
      </c>
      <c r="D1497" s="59"/>
      <c r="F1497" s="11"/>
      <c r="G1497" s="2">
        <v>1000</v>
      </c>
      <c r="I1497" s="2">
        <f t="shared" si="97"/>
        <v>8394.84</v>
      </c>
      <c r="N1497" s="2">
        <f t="shared" si="98"/>
        <v>4</v>
      </c>
    </row>
    <row r="1498" spans="1:14" x14ac:dyDescent="0.25">
      <c r="A1498" s="3">
        <v>45176</v>
      </c>
      <c r="B1498" s="11" t="s">
        <v>1253</v>
      </c>
      <c r="C1498" s="48" t="s">
        <v>3943</v>
      </c>
      <c r="D1498" s="59"/>
      <c r="F1498" s="11"/>
      <c r="H1498" s="2">
        <v>1000</v>
      </c>
      <c r="I1498" s="2">
        <f t="shared" si="97"/>
        <v>7394.84</v>
      </c>
      <c r="N1498" s="2">
        <f t="shared" si="98"/>
        <v>4</v>
      </c>
    </row>
    <row r="1499" spans="1:14" x14ac:dyDescent="0.25">
      <c r="A1499" s="3">
        <v>45177</v>
      </c>
      <c r="B1499" s="11" t="s">
        <v>3944</v>
      </c>
      <c r="C1499" s="48" t="s">
        <v>2923</v>
      </c>
      <c r="D1499" s="59"/>
      <c r="F1499" s="11"/>
      <c r="G1499" s="2">
        <v>800</v>
      </c>
      <c r="I1499" s="2">
        <f t="shared" si="97"/>
        <v>8194.84</v>
      </c>
      <c r="N1499" s="2">
        <f t="shared" si="98"/>
        <v>3.2</v>
      </c>
    </row>
    <row r="1500" spans="1:14" x14ac:dyDescent="0.25">
      <c r="A1500" s="3">
        <v>45177</v>
      </c>
      <c r="B1500" s="11" t="s">
        <v>3945</v>
      </c>
      <c r="C1500" s="48" t="s">
        <v>3671</v>
      </c>
      <c r="D1500" s="59"/>
      <c r="F1500" s="11"/>
      <c r="G1500" s="2">
        <v>800</v>
      </c>
      <c r="I1500" s="2">
        <f t="shared" si="97"/>
        <v>8994.84</v>
      </c>
      <c r="N1500" s="2">
        <f t="shared" si="98"/>
        <v>3.2</v>
      </c>
    </row>
    <row r="1501" spans="1:14" x14ac:dyDescent="0.25">
      <c r="A1501" s="3">
        <v>45177</v>
      </c>
      <c r="B1501" s="11" t="s">
        <v>3276</v>
      </c>
      <c r="C1501" s="48" t="s">
        <v>2436</v>
      </c>
      <c r="D1501" s="59"/>
      <c r="F1501" s="11"/>
      <c r="G1501" s="2">
        <v>2500</v>
      </c>
      <c r="I1501" s="2">
        <f t="shared" si="97"/>
        <v>11494.84</v>
      </c>
      <c r="N1501" s="2">
        <f t="shared" si="98"/>
        <v>10</v>
      </c>
    </row>
    <row r="1502" spans="1:14" x14ac:dyDescent="0.25">
      <c r="A1502" s="3">
        <v>45177</v>
      </c>
      <c r="B1502" s="11" t="s">
        <v>3946</v>
      </c>
      <c r="C1502" s="48" t="s">
        <v>3950</v>
      </c>
      <c r="D1502" s="59"/>
      <c r="E1502" s="115" t="s">
        <v>16</v>
      </c>
      <c r="F1502" s="11"/>
      <c r="H1502" s="2">
        <v>150</v>
      </c>
      <c r="I1502" s="2">
        <f t="shared" si="97"/>
        <v>11344.84</v>
      </c>
      <c r="N1502" s="2">
        <f t="shared" si="98"/>
        <v>25.6</v>
      </c>
    </row>
    <row r="1503" spans="1:14" x14ac:dyDescent="0.25">
      <c r="A1503" s="3">
        <v>45177</v>
      </c>
      <c r="B1503" s="11" t="s">
        <v>3896</v>
      </c>
      <c r="C1503" s="48" t="s">
        <v>2482</v>
      </c>
      <c r="D1503" s="59"/>
      <c r="F1503" s="11"/>
      <c r="H1503" s="2">
        <v>2500</v>
      </c>
      <c r="I1503" s="2">
        <f t="shared" si="97"/>
        <v>8844.84</v>
      </c>
      <c r="N1503" s="2">
        <f t="shared" si="98"/>
        <v>10</v>
      </c>
    </row>
    <row r="1504" spans="1:14" x14ac:dyDescent="0.25">
      <c r="A1504" s="3">
        <v>45177</v>
      </c>
      <c r="B1504" s="11" t="s">
        <v>3951</v>
      </c>
      <c r="C1504" s="48"/>
      <c r="D1504" s="59"/>
      <c r="E1504" s="115" t="s">
        <v>16</v>
      </c>
      <c r="F1504" s="11"/>
      <c r="H1504" s="2">
        <v>200</v>
      </c>
      <c r="I1504" s="2">
        <f t="shared" si="97"/>
        <v>8644.84</v>
      </c>
      <c r="N1504" s="2">
        <f t="shared" si="98"/>
        <v>25.8</v>
      </c>
    </row>
    <row r="1505" spans="1:14" x14ac:dyDescent="0.25">
      <c r="A1505" s="3">
        <v>45177</v>
      </c>
      <c r="B1505" s="11" t="s">
        <v>3954</v>
      </c>
      <c r="C1505" s="48"/>
      <c r="D1505" s="59"/>
      <c r="E1505" s="115" t="s">
        <v>16</v>
      </c>
      <c r="F1505" s="11"/>
      <c r="H1505" s="2">
        <v>100</v>
      </c>
      <c r="I1505" s="2">
        <f t="shared" si="97"/>
        <v>8544.84</v>
      </c>
      <c r="N1505" s="2">
        <f t="shared" si="98"/>
        <v>25.4</v>
      </c>
    </row>
    <row r="1506" spans="1:14" x14ac:dyDescent="0.25">
      <c r="A1506" s="3">
        <v>45177</v>
      </c>
      <c r="B1506" s="11" t="s">
        <v>1253</v>
      </c>
      <c r="C1506" s="48"/>
      <c r="D1506" s="59"/>
      <c r="F1506" s="11"/>
      <c r="G1506" s="2">
        <v>2000</v>
      </c>
      <c r="I1506" s="2">
        <f t="shared" si="97"/>
        <v>10544.84</v>
      </c>
      <c r="N1506" s="2">
        <f t="shared" si="98"/>
        <v>8</v>
      </c>
    </row>
    <row r="1507" spans="1:14" x14ac:dyDescent="0.25">
      <c r="A1507" s="3">
        <v>45177</v>
      </c>
      <c r="B1507" s="11" t="s">
        <v>3958</v>
      </c>
      <c r="C1507" s="48"/>
      <c r="D1507" s="59"/>
      <c r="F1507" s="11"/>
      <c r="H1507" s="2">
        <v>1500</v>
      </c>
      <c r="I1507" s="2">
        <f t="shared" si="97"/>
        <v>9044.84</v>
      </c>
      <c r="N1507" s="2">
        <f t="shared" si="98"/>
        <v>6</v>
      </c>
    </row>
    <row r="1508" spans="1:14" x14ac:dyDescent="0.25">
      <c r="A1508" s="3">
        <v>45177</v>
      </c>
      <c r="B1508" s="11" t="s">
        <v>1253</v>
      </c>
      <c r="C1508" s="48"/>
      <c r="D1508" s="59"/>
      <c r="F1508" s="11"/>
      <c r="G1508" s="2">
        <v>800</v>
      </c>
      <c r="I1508" s="2">
        <f t="shared" si="97"/>
        <v>9844.84</v>
      </c>
      <c r="N1508" s="2">
        <f t="shared" si="98"/>
        <v>3.2</v>
      </c>
    </row>
    <row r="1509" spans="1:14" x14ac:dyDescent="0.25">
      <c r="A1509" s="3">
        <v>45178</v>
      </c>
      <c r="B1509" s="11" t="s">
        <v>1163</v>
      </c>
      <c r="C1509" s="48" t="s">
        <v>3559</v>
      </c>
      <c r="D1509" s="59"/>
      <c r="F1509" s="11"/>
      <c r="G1509" s="2">
        <v>3000</v>
      </c>
      <c r="I1509" s="2">
        <f t="shared" si="97"/>
        <v>12844.84</v>
      </c>
      <c r="N1509" s="2">
        <f t="shared" si="98"/>
        <v>12</v>
      </c>
    </row>
    <row r="1510" spans="1:14" x14ac:dyDescent="0.25">
      <c r="A1510" s="3">
        <v>45178</v>
      </c>
      <c r="B1510" s="11" t="s">
        <v>3333</v>
      </c>
      <c r="C1510" s="48" t="s">
        <v>3959</v>
      </c>
      <c r="D1510" s="59"/>
      <c r="F1510" s="11"/>
      <c r="H1510" s="2">
        <v>1500</v>
      </c>
      <c r="I1510" s="2">
        <f t="shared" si="97"/>
        <v>11344.84</v>
      </c>
      <c r="N1510" s="2">
        <f t="shared" si="98"/>
        <v>6</v>
      </c>
    </row>
    <row r="1511" spans="1:14" x14ac:dyDescent="0.25">
      <c r="A1511" s="3">
        <v>45178</v>
      </c>
      <c r="B1511" s="11" t="s">
        <v>3960</v>
      </c>
      <c r="C1511" s="48" t="s">
        <v>3961</v>
      </c>
      <c r="D1511" s="59"/>
      <c r="F1511" s="11"/>
      <c r="H1511" s="2">
        <v>4500</v>
      </c>
      <c r="I1511" s="2">
        <f t="shared" si="97"/>
        <v>6844.84</v>
      </c>
      <c r="N1511" s="2">
        <f t="shared" si="98"/>
        <v>18</v>
      </c>
    </row>
    <row r="1512" spans="1:14" x14ac:dyDescent="0.25">
      <c r="A1512" s="3">
        <v>45178</v>
      </c>
      <c r="B1512" s="11" t="s">
        <v>3962</v>
      </c>
      <c r="C1512" s="48" t="s">
        <v>3963</v>
      </c>
      <c r="D1512" s="59"/>
      <c r="F1512" s="11"/>
      <c r="G1512" s="2">
        <v>2200</v>
      </c>
      <c r="I1512" s="2">
        <f t="shared" si="97"/>
        <v>9044.84</v>
      </c>
      <c r="N1512" s="2">
        <f t="shared" si="98"/>
        <v>8.8000000000000007</v>
      </c>
    </row>
    <row r="1513" spans="1:14" x14ac:dyDescent="0.25">
      <c r="A1513" s="3">
        <v>45178</v>
      </c>
      <c r="B1513" s="11" t="s">
        <v>1163</v>
      </c>
      <c r="C1513" s="48" t="s">
        <v>3964</v>
      </c>
      <c r="D1513" s="59"/>
      <c r="F1513" s="11"/>
      <c r="G1513" s="2">
        <v>1000</v>
      </c>
      <c r="I1513" s="2">
        <f t="shared" si="97"/>
        <v>10044.84</v>
      </c>
      <c r="N1513" s="2">
        <f t="shared" si="98"/>
        <v>4</v>
      </c>
    </row>
    <row r="1514" spans="1:14" x14ac:dyDescent="0.25">
      <c r="A1514" s="3">
        <v>45178</v>
      </c>
      <c r="B1514" s="11" t="s">
        <v>3965</v>
      </c>
      <c r="C1514" s="48" t="s">
        <v>3769</v>
      </c>
      <c r="D1514" s="59"/>
      <c r="F1514" s="11"/>
      <c r="G1514" s="2">
        <v>500</v>
      </c>
      <c r="I1514" s="2">
        <f t="shared" si="97"/>
        <v>10544.84</v>
      </c>
      <c r="N1514" s="2">
        <f t="shared" si="98"/>
        <v>2</v>
      </c>
    </row>
    <row r="1515" spans="1:14" x14ac:dyDescent="0.25">
      <c r="A1515" s="3">
        <v>45178</v>
      </c>
      <c r="B1515" s="11" t="s">
        <v>1253</v>
      </c>
      <c r="C1515" s="48"/>
      <c r="D1515" s="59"/>
      <c r="F1515" s="11"/>
      <c r="H1515" s="2">
        <v>2000</v>
      </c>
      <c r="I1515" s="2">
        <f t="shared" si="97"/>
        <v>8544.84</v>
      </c>
      <c r="N1515" s="2">
        <f t="shared" si="98"/>
        <v>8</v>
      </c>
    </row>
    <row r="1516" spans="1:14" x14ac:dyDescent="0.25">
      <c r="A1516" s="3">
        <v>45178</v>
      </c>
      <c r="B1516" s="11" t="s">
        <v>2472</v>
      </c>
      <c r="C1516" s="48" t="s">
        <v>1256</v>
      </c>
      <c r="D1516" s="59"/>
      <c r="F1516" s="11"/>
      <c r="H1516" s="2">
        <v>4500</v>
      </c>
      <c r="I1516" s="2">
        <f t="shared" si="97"/>
        <v>4044.84</v>
      </c>
      <c r="N1516" s="2">
        <f t="shared" si="98"/>
        <v>18</v>
      </c>
    </row>
    <row r="1517" spans="1:14" x14ac:dyDescent="0.25">
      <c r="A1517" s="3">
        <v>45178</v>
      </c>
      <c r="B1517" s="11" t="s">
        <v>2101</v>
      </c>
      <c r="C1517" s="48"/>
      <c r="D1517" s="59"/>
      <c r="F1517" s="11"/>
      <c r="G1517" s="2">
        <v>4000</v>
      </c>
      <c r="I1517" s="2">
        <f t="shared" si="97"/>
        <v>8044.84</v>
      </c>
      <c r="N1517" s="2">
        <f t="shared" si="98"/>
        <v>16</v>
      </c>
    </row>
    <row r="1518" spans="1:14" x14ac:dyDescent="0.25">
      <c r="A1518" s="3">
        <v>45178</v>
      </c>
      <c r="B1518" s="11" t="s">
        <v>3966</v>
      </c>
      <c r="C1518" s="48" t="s">
        <v>3967</v>
      </c>
      <c r="D1518" s="59"/>
      <c r="F1518" s="11"/>
      <c r="G1518" s="2">
        <v>8000</v>
      </c>
      <c r="I1518" s="2">
        <f t="shared" si="97"/>
        <v>16044.84</v>
      </c>
      <c r="N1518" s="2">
        <f t="shared" si="98"/>
        <v>20</v>
      </c>
    </row>
    <row r="1519" spans="1:14" x14ac:dyDescent="0.25">
      <c r="A1519" s="3">
        <v>45178</v>
      </c>
      <c r="B1519" s="11" t="s">
        <v>1253</v>
      </c>
      <c r="C1519" s="48"/>
      <c r="D1519" s="59"/>
      <c r="F1519" s="11"/>
      <c r="G1519" s="2">
        <v>800</v>
      </c>
      <c r="I1519" s="2">
        <f t="shared" si="97"/>
        <v>16844.84</v>
      </c>
      <c r="N1519" s="2">
        <f t="shared" si="98"/>
        <v>3.2</v>
      </c>
    </row>
    <row r="1520" spans="1:14" x14ac:dyDescent="0.25">
      <c r="A1520" s="3">
        <v>45180</v>
      </c>
      <c r="B1520" s="11" t="s">
        <v>1253</v>
      </c>
      <c r="C1520" s="48" t="s">
        <v>3968</v>
      </c>
      <c r="D1520" s="59"/>
      <c r="F1520" s="11"/>
      <c r="G1520" s="2">
        <v>3000</v>
      </c>
      <c r="I1520" s="2">
        <f t="shared" si="97"/>
        <v>19844.84</v>
      </c>
      <c r="N1520" s="2">
        <f t="shared" si="98"/>
        <v>12</v>
      </c>
    </row>
    <row r="1521" spans="1:14" x14ac:dyDescent="0.25">
      <c r="A1521" s="3">
        <v>45180</v>
      </c>
      <c r="B1521" s="11" t="s">
        <v>1475</v>
      </c>
      <c r="C1521" s="48"/>
      <c r="D1521" s="59"/>
      <c r="F1521" s="11"/>
      <c r="G1521" s="2">
        <v>2000</v>
      </c>
      <c r="I1521" s="2">
        <f t="shared" si="97"/>
        <v>21844.84</v>
      </c>
      <c r="N1521" s="2">
        <f t="shared" si="98"/>
        <v>8</v>
      </c>
    </row>
    <row r="1522" spans="1:14" x14ac:dyDescent="0.25">
      <c r="A1522" s="3">
        <v>45180</v>
      </c>
      <c r="B1522" s="11" t="s">
        <v>3969</v>
      </c>
      <c r="C1522" s="48" t="s">
        <v>3973</v>
      </c>
      <c r="D1522" s="59"/>
      <c r="E1522" s="115" t="s">
        <v>16</v>
      </c>
      <c r="F1522" s="11"/>
      <c r="H1522" s="2">
        <v>100</v>
      </c>
      <c r="I1522" s="2">
        <f t="shared" si="97"/>
        <v>21744.84</v>
      </c>
      <c r="N1522" s="2">
        <f t="shared" si="98"/>
        <v>25.4</v>
      </c>
    </row>
    <row r="1523" spans="1:14" x14ac:dyDescent="0.25">
      <c r="A1523" s="3">
        <v>45180</v>
      </c>
      <c r="B1523" s="11" t="s">
        <v>3974</v>
      </c>
      <c r="C1523" s="48" t="s">
        <v>3975</v>
      </c>
      <c r="D1523" s="59"/>
      <c r="E1523" s="115" t="s">
        <v>16</v>
      </c>
      <c r="F1523" s="11"/>
      <c r="H1523" s="2">
        <v>100</v>
      </c>
      <c r="I1523" s="2">
        <f t="shared" si="97"/>
        <v>21644.84</v>
      </c>
      <c r="N1523" s="2">
        <f t="shared" si="98"/>
        <v>25.4</v>
      </c>
    </row>
    <row r="1524" spans="1:14" x14ac:dyDescent="0.25">
      <c r="A1524" s="3">
        <v>45181</v>
      </c>
      <c r="B1524" s="11" t="s">
        <v>3613</v>
      </c>
      <c r="C1524" s="48" t="s">
        <v>3611</v>
      </c>
      <c r="D1524" s="59"/>
      <c r="F1524" s="11"/>
      <c r="H1524" s="2">
        <v>500</v>
      </c>
      <c r="I1524" s="2">
        <f t="shared" si="97"/>
        <v>21144.84</v>
      </c>
      <c r="N1524" s="2">
        <f t="shared" si="98"/>
        <v>2</v>
      </c>
    </row>
    <row r="1525" spans="1:14" x14ac:dyDescent="0.25">
      <c r="A1525" s="3">
        <v>45181</v>
      </c>
      <c r="B1525" s="11" t="s">
        <v>3978</v>
      </c>
      <c r="C1525" s="48" t="s">
        <v>3979</v>
      </c>
      <c r="D1525" s="59"/>
      <c r="E1525" s="115" t="s">
        <v>14</v>
      </c>
      <c r="F1525" s="11"/>
      <c r="H1525" s="2">
        <v>150</v>
      </c>
      <c r="I1525" s="2">
        <f t="shared" si="97"/>
        <v>20994.84</v>
      </c>
      <c r="N1525" s="2">
        <f t="shared" si="98"/>
        <v>25.6</v>
      </c>
    </row>
    <row r="1526" spans="1:14" x14ac:dyDescent="0.25">
      <c r="A1526" s="3">
        <v>45181</v>
      </c>
      <c r="B1526" s="11" t="s">
        <v>3192</v>
      </c>
      <c r="C1526" s="48" t="s">
        <v>3901</v>
      </c>
      <c r="D1526" s="59"/>
      <c r="F1526" s="11"/>
      <c r="H1526" s="2">
        <v>10000</v>
      </c>
      <c r="I1526" s="2">
        <f t="shared" si="97"/>
        <v>10994.84</v>
      </c>
      <c r="N1526" s="2">
        <f t="shared" si="98"/>
        <v>20</v>
      </c>
    </row>
    <row r="1527" spans="1:14" x14ac:dyDescent="0.25">
      <c r="A1527" s="3">
        <v>45181</v>
      </c>
      <c r="B1527" s="11" t="s">
        <v>3192</v>
      </c>
      <c r="C1527" s="48" t="s">
        <v>3981</v>
      </c>
      <c r="D1527" s="59"/>
      <c r="F1527" s="11"/>
      <c r="G1527" s="2">
        <v>100</v>
      </c>
      <c r="I1527" s="2">
        <f t="shared" si="97"/>
        <v>11094.84</v>
      </c>
      <c r="N1527" s="2">
        <f t="shared" si="98"/>
        <v>0.4</v>
      </c>
    </row>
    <row r="1528" spans="1:14" x14ac:dyDescent="0.25">
      <c r="A1528" s="3">
        <v>45182</v>
      </c>
      <c r="B1528" s="11" t="s">
        <v>3813</v>
      </c>
      <c r="C1528" s="48" t="s">
        <v>3808</v>
      </c>
      <c r="D1528" s="59"/>
      <c r="F1528" s="11"/>
      <c r="H1528" s="2">
        <v>5000</v>
      </c>
      <c r="I1528" s="2">
        <f t="shared" si="97"/>
        <v>6094.84</v>
      </c>
      <c r="N1528" s="2">
        <f t="shared" si="98"/>
        <v>20</v>
      </c>
    </row>
    <row r="1529" spans="1:14" x14ac:dyDescent="0.25">
      <c r="A1529" s="3">
        <v>45182</v>
      </c>
      <c r="B1529" s="11" t="s">
        <v>1475</v>
      </c>
      <c r="C1529" s="48" t="s">
        <v>3560</v>
      </c>
      <c r="D1529" s="59"/>
      <c r="F1529" s="11"/>
      <c r="G1529" s="2">
        <v>4400</v>
      </c>
      <c r="I1529" s="2">
        <f t="shared" si="97"/>
        <v>10494.84</v>
      </c>
      <c r="N1529" s="2">
        <f t="shared" si="98"/>
        <v>17.600000000000001</v>
      </c>
    </row>
    <row r="1530" spans="1:14" x14ac:dyDescent="0.25">
      <c r="A1530" s="3">
        <v>45182</v>
      </c>
      <c r="B1530" s="11" t="s">
        <v>3829</v>
      </c>
      <c r="C1530" s="48" t="s">
        <v>3830</v>
      </c>
      <c r="D1530" s="59"/>
      <c r="F1530" s="11"/>
      <c r="H1530" s="2">
        <v>2500</v>
      </c>
      <c r="I1530" s="2">
        <f t="shared" si="97"/>
        <v>7994.84</v>
      </c>
      <c r="N1530" s="2">
        <f t="shared" si="98"/>
        <v>10</v>
      </c>
    </row>
    <row r="1531" spans="1:14" x14ac:dyDescent="0.25">
      <c r="A1531" s="3">
        <v>45182</v>
      </c>
      <c r="B1531" s="11" t="s">
        <v>3502</v>
      </c>
      <c r="C1531" s="48"/>
      <c r="D1531" s="59"/>
      <c r="F1531" s="11"/>
      <c r="G1531" s="2">
        <v>1000</v>
      </c>
      <c r="I1531" s="2">
        <f t="shared" si="97"/>
        <v>8994.84</v>
      </c>
      <c r="N1531" s="2">
        <f t="shared" si="98"/>
        <v>4</v>
      </c>
    </row>
    <row r="1532" spans="1:14" x14ac:dyDescent="0.25">
      <c r="A1532" s="3">
        <v>45182</v>
      </c>
      <c r="B1532" s="11" t="s">
        <v>3587</v>
      </c>
      <c r="C1532" s="48" t="s">
        <v>3720</v>
      </c>
      <c r="D1532" s="59"/>
      <c r="F1532" s="11"/>
      <c r="G1532" s="2">
        <v>700</v>
      </c>
      <c r="I1532" s="2">
        <f t="shared" si="97"/>
        <v>9694.84</v>
      </c>
      <c r="N1532" s="2">
        <f t="shared" si="98"/>
        <v>2.8000000000000003</v>
      </c>
    </row>
    <row r="1533" spans="1:14" x14ac:dyDescent="0.25">
      <c r="A1533" s="3">
        <v>45183</v>
      </c>
      <c r="B1533" s="11" t="s">
        <v>3982</v>
      </c>
      <c r="C1533" s="48" t="s">
        <v>3983</v>
      </c>
      <c r="D1533" s="59"/>
      <c r="F1533" s="11"/>
      <c r="G1533" s="2">
        <v>5000</v>
      </c>
      <c r="I1533" s="2">
        <f t="shared" si="97"/>
        <v>14694.84</v>
      </c>
      <c r="N1533" s="2">
        <f t="shared" si="98"/>
        <v>20</v>
      </c>
    </row>
    <row r="1534" spans="1:14" x14ac:dyDescent="0.25">
      <c r="A1534" s="3">
        <v>45183</v>
      </c>
      <c r="B1534" s="11" t="s">
        <v>3984</v>
      </c>
      <c r="C1534" s="48" t="s">
        <v>3985</v>
      </c>
      <c r="D1534" s="59"/>
      <c r="E1534" s="115" t="s">
        <v>16</v>
      </c>
      <c r="F1534" s="11"/>
      <c r="H1534" s="2">
        <v>500</v>
      </c>
      <c r="I1534" s="2">
        <f t="shared" si="97"/>
        <v>14194.84</v>
      </c>
      <c r="N1534" s="2">
        <f t="shared" si="98"/>
        <v>27</v>
      </c>
    </row>
    <row r="1535" spans="1:14" x14ac:dyDescent="0.25">
      <c r="A1535" s="3">
        <v>45183</v>
      </c>
      <c r="B1535" s="11" t="s">
        <v>1163</v>
      </c>
      <c r="C1535" s="48" t="s">
        <v>3988</v>
      </c>
      <c r="D1535" s="59"/>
      <c r="F1535" s="11"/>
      <c r="G1535" s="2">
        <v>2500</v>
      </c>
      <c r="I1535" s="2">
        <f t="shared" si="97"/>
        <v>16694.84</v>
      </c>
      <c r="N1535" s="2">
        <f t="shared" si="98"/>
        <v>10</v>
      </c>
    </row>
    <row r="1536" spans="1:14" x14ac:dyDescent="0.25">
      <c r="A1536" s="3">
        <v>45184</v>
      </c>
      <c r="B1536" s="11" t="s">
        <v>3992</v>
      </c>
      <c r="C1536" s="48" t="s">
        <v>3995</v>
      </c>
      <c r="D1536" s="59"/>
      <c r="E1536" s="115" t="s">
        <v>16</v>
      </c>
      <c r="F1536" s="11"/>
      <c r="H1536" s="2">
        <v>200</v>
      </c>
      <c r="I1536" s="2">
        <f t="shared" si="97"/>
        <v>16494.84</v>
      </c>
      <c r="N1536" s="2">
        <f t="shared" si="98"/>
        <v>25.8</v>
      </c>
    </row>
    <row r="1537" spans="1:14" x14ac:dyDescent="0.25">
      <c r="A1537" s="3">
        <v>45185</v>
      </c>
      <c r="B1537" s="11" t="s">
        <v>3960</v>
      </c>
      <c r="C1537" s="48" t="s">
        <v>3994</v>
      </c>
      <c r="D1537" s="59"/>
      <c r="F1537" s="11"/>
      <c r="H1537" s="2">
        <v>4000</v>
      </c>
      <c r="I1537" s="2">
        <f t="shared" si="97"/>
        <v>12494.84</v>
      </c>
      <c r="N1537" s="2">
        <f t="shared" si="98"/>
        <v>16</v>
      </c>
    </row>
    <row r="1538" spans="1:14" x14ac:dyDescent="0.25">
      <c r="A1538" s="3">
        <v>45185</v>
      </c>
      <c r="C1538" s="48" t="s">
        <v>4001</v>
      </c>
      <c r="D1538" s="59"/>
      <c r="F1538" s="11"/>
      <c r="G1538" s="2">
        <v>472.08</v>
      </c>
      <c r="I1538" s="2">
        <f t="shared" si="97"/>
        <v>12966.92</v>
      </c>
    </row>
    <row r="1539" spans="1:14" x14ac:dyDescent="0.25">
      <c r="A1539" s="3">
        <v>46282</v>
      </c>
      <c r="B1539" s="11" t="s">
        <v>3333</v>
      </c>
      <c r="C1539" s="48" t="s">
        <v>3959</v>
      </c>
      <c r="D1539" s="59"/>
      <c r="F1539" s="11"/>
      <c r="G1539" s="2">
        <v>1000</v>
      </c>
      <c r="I1539" s="2">
        <f t="shared" si="97"/>
        <v>13966.92</v>
      </c>
      <c r="N1539" s="2">
        <f t="shared" ref="N1539:N1570" si="99">IF((G1539+H1539)&lt;=5000,(H1539+G1539)*0.004,20)+IF(E1539="Y",25,0)</f>
        <v>4</v>
      </c>
    </row>
    <row r="1540" spans="1:14" x14ac:dyDescent="0.25">
      <c r="A1540" s="3">
        <v>46282</v>
      </c>
      <c r="B1540" s="11" t="s">
        <v>2748</v>
      </c>
      <c r="C1540" s="48" t="s">
        <v>1282</v>
      </c>
      <c r="D1540" s="59"/>
      <c r="F1540" s="11"/>
      <c r="H1540" s="2">
        <v>5000</v>
      </c>
      <c r="I1540" s="2">
        <f t="shared" si="97"/>
        <v>8966.92</v>
      </c>
      <c r="N1540" s="2">
        <f t="shared" si="99"/>
        <v>20</v>
      </c>
    </row>
    <row r="1541" spans="1:14" x14ac:dyDescent="0.25">
      <c r="A1541" s="3">
        <v>45187</v>
      </c>
      <c r="B1541" s="11" t="s">
        <v>3998</v>
      </c>
      <c r="C1541" s="48" t="s">
        <v>3999</v>
      </c>
      <c r="D1541" s="59"/>
      <c r="F1541" s="11"/>
      <c r="G1541" s="2">
        <v>2000</v>
      </c>
      <c r="I1541" s="2">
        <f t="shared" si="97"/>
        <v>10966.92</v>
      </c>
      <c r="N1541" s="2">
        <f t="shared" si="99"/>
        <v>8</v>
      </c>
    </row>
    <row r="1542" spans="1:14" x14ac:dyDescent="0.25">
      <c r="A1542" s="3">
        <v>45187</v>
      </c>
      <c r="B1542" s="11" t="s">
        <v>4000</v>
      </c>
      <c r="C1542" s="48" t="s">
        <v>3943</v>
      </c>
      <c r="D1542" s="59"/>
      <c r="F1542" s="11"/>
      <c r="H1542" s="2">
        <v>1500</v>
      </c>
      <c r="I1542" s="2">
        <f t="shared" si="97"/>
        <v>9466.92</v>
      </c>
      <c r="N1542" s="2">
        <f t="shared" si="99"/>
        <v>6</v>
      </c>
    </row>
    <row r="1543" spans="1:14" x14ac:dyDescent="0.25">
      <c r="A1543" s="3">
        <v>45187</v>
      </c>
      <c r="B1543" s="11" t="s">
        <v>4002</v>
      </c>
      <c r="C1543" s="48" t="s">
        <v>4003</v>
      </c>
      <c r="D1543" s="59"/>
      <c r="E1543" s="115" t="s">
        <v>16</v>
      </c>
      <c r="F1543" s="11"/>
      <c r="H1543" s="2">
        <v>400</v>
      </c>
      <c r="I1543" s="2">
        <f t="shared" si="97"/>
        <v>9066.92</v>
      </c>
      <c r="N1543" s="2">
        <f t="shared" si="99"/>
        <v>26.6</v>
      </c>
    </row>
    <row r="1544" spans="1:14" x14ac:dyDescent="0.25">
      <c r="A1544" s="3">
        <v>45188</v>
      </c>
      <c r="B1544" s="11" t="s">
        <v>2620</v>
      </c>
      <c r="C1544" s="48" t="s">
        <v>1596</v>
      </c>
      <c r="D1544" s="59"/>
      <c r="F1544" s="11"/>
      <c r="G1544" s="2">
        <v>1000</v>
      </c>
      <c r="I1544" s="2">
        <f t="shared" ref="I1544:I1578" si="100">I1543+G1544-H1544</f>
        <v>10066.92</v>
      </c>
      <c r="N1544" s="2">
        <f t="shared" si="99"/>
        <v>4</v>
      </c>
    </row>
    <row r="1545" spans="1:14" x14ac:dyDescent="0.25">
      <c r="A1545" s="3">
        <v>45188</v>
      </c>
      <c r="B1545" s="11" t="s">
        <v>3414</v>
      </c>
      <c r="C1545" s="48" t="s">
        <v>1596</v>
      </c>
      <c r="D1545" s="59"/>
      <c r="F1545" s="11"/>
      <c r="G1545" s="2">
        <v>2500</v>
      </c>
      <c r="I1545" s="2">
        <f t="shared" si="100"/>
        <v>12566.92</v>
      </c>
      <c r="N1545" s="2">
        <f t="shared" si="99"/>
        <v>10</v>
      </c>
    </row>
    <row r="1546" spans="1:14" x14ac:dyDescent="0.25">
      <c r="A1546" s="3">
        <v>45188</v>
      </c>
      <c r="B1546" s="11" t="s">
        <v>1253</v>
      </c>
      <c r="C1546" s="48" t="s">
        <v>4004</v>
      </c>
      <c r="D1546" s="59"/>
      <c r="F1546" s="11"/>
      <c r="H1546" s="2">
        <v>10000</v>
      </c>
      <c r="I1546" s="2">
        <f t="shared" si="100"/>
        <v>2566.92</v>
      </c>
      <c r="N1546" s="2">
        <f t="shared" si="99"/>
        <v>20</v>
      </c>
    </row>
    <row r="1547" spans="1:14" x14ac:dyDescent="0.25">
      <c r="A1547" s="3">
        <v>45188</v>
      </c>
      <c r="B1547" s="11" t="s">
        <v>4005</v>
      </c>
      <c r="C1547" s="48" t="s">
        <v>181</v>
      </c>
      <c r="D1547" s="59"/>
      <c r="F1547" s="11"/>
      <c r="H1547" s="2">
        <v>200</v>
      </c>
      <c r="I1547" s="2">
        <f t="shared" si="100"/>
        <v>2366.92</v>
      </c>
      <c r="N1547" s="2">
        <f t="shared" si="99"/>
        <v>0.8</v>
      </c>
    </row>
    <row r="1548" spans="1:14" x14ac:dyDescent="0.25">
      <c r="A1548" s="3">
        <v>45188</v>
      </c>
      <c r="B1548" s="11" t="s">
        <v>4006</v>
      </c>
      <c r="C1548" s="48" t="s">
        <v>4007</v>
      </c>
      <c r="D1548" s="59"/>
      <c r="F1548" s="11"/>
      <c r="G1548" s="2">
        <v>5000</v>
      </c>
      <c r="I1548" s="2">
        <f t="shared" si="100"/>
        <v>7366.92</v>
      </c>
      <c r="N1548" s="2">
        <f t="shared" si="99"/>
        <v>20</v>
      </c>
    </row>
    <row r="1549" spans="1:14" x14ac:dyDescent="0.25">
      <c r="A1549" s="3">
        <v>45189</v>
      </c>
      <c r="B1549" s="11" t="s">
        <v>4010</v>
      </c>
      <c r="C1549" s="48" t="s">
        <v>4011</v>
      </c>
      <c r="D1549" s="59"/>
      <c r="E1549" s="115" t="s">
        <v>16</v>
      </c>
      <c r="F1549" s="11"/>
      <c r="H1549" s="2">
        <v>100</v>
      </c>
      <c r="I1549" s="2">
        <f t="shared" si="100"/>
        <v>7266.92</v>
      </c>
      <c r="N1549" s="2">
        <f t="shared" si="99"/>
        <v>25.4</v>
      </c>
    </row>
    <row r="1550" spans="1:14" x14ac:dyDescent="0.25">
      <c r="A1550" s="3">
        <v>45189</v>
      </c>
      <c r="B1550" s="11" t="s">
        <v>2472</v>
      </c>
      <c r="C1550" s="48" t="s">
        <v>1256</v>
      </c>
      <c r="D1550" s="59"/>
      <c r="F1550" s="11"/>
      <c r="H1550" s="2">
        <v>6000</v>
      </c>
      <c r="I1550" s="2">
        <f t="shared" si="100"/>
        <v>1266.92</v>
      </c>
      <c r="N1550" s="2">
        <f t="shared" si="99"/>
        <v>20</v>
      </c>
    </row>
    <row r="1551" spans="1:14" x14ac:dyDescent="0.25">
      <c r="A1551" s="3">
        <v>45189</v>
      </c>
      <c r="B1551" s="11" t="s">
        <v>3590</v>
      </c>
      <c r="C1551" s="48" t="s">
        <v>3312</v>
      </c>
      <c r="D1551" s="59"/>
      <c r="F1551" s="11"/>
      <c r="G1551" s="2">
        <v>2000</v>
      </c>
      <c r="I1551" s="2">
        <f t="shared" si="100"/>
        <v>3266.92</v>
      </c>
      <c r="N1551" s="2">
        <f t="shared" si="99"/>
        <v>8</v>
      </c>
    </row>
    <row r="1552" spans="1:14" x14ac:dyDescent="0.25">
      <c r="A1552" s="3">
        <v>45189</v>
      </c>
      <c r="B1552" s="11" t="s">
        <v>3276</v>
      </c>
      <c r="C1552" s="48" t="s">
        <v>3663</v>
      </c>
      <c r="D1552" s="59"/>
      <c r="F1552" s="11"/>
      <c r="G1552" s="2">
        <v>1000</v>
      </c>
      <c r="I1552" s="2">
        <f t="shared" si="100"/>
        <v>4266.92</v>
      </c>
      <c r="N1552" s="2">
        <f t="shared" si="99"/>
        <v>4</v>
      </c>
    </row>
    <row r="1553" spans="1:21" x14ac:dyDescent="0.25">
      <c r="A1553" s="3">
        <v>45189</v>
      </c>
      <c r="B1553" s="11" t="s">
        <v>1163</v>
      </c>
      <c r="C1553" s="48" t="s">
        <v>4020</v>
      </c>
      <c r="D1553" s="59"/>
      <c r="F1553" s="11"/>
      <c r="G1553" s="2">
        <v>2000</v>
      </c>
      <c r="I1553" s="2">
        <f t="shared" si="100"/>
        <v>6266.92</v>
      </c>
      <c r="N1553" s="2">
        <f t="shared" si="99"/>
        <v>8</v>
      </c>
      <c r="U1553">
        <f>2500+4800+1300</f>
        <v>8600</v>
      </c>
    </row>
    <row r="1554" spans="1:21" x14ac:dyDescent="0.25">
      <c r="A1554" s="3">
        <v>45189</v>
      </c>
      <c r="B1554" s="11" t="s">
        <v>4014</v>
      </c>
      <c r="C1554" s="48" t="s">
        <v>4015</v>
      </c>
      <c r="D1554" s="59"/>
      <c r="E1554" s="115" t="s">
        <v>16</v>
      </c>
      <c r="F1554" s="11"/>
      <c r="H1554" s="2">
        <v>100</v>
      </c>
      <c r="I1554" s="2">
        <f t="shared" si="100"/>
        <v>6166.92</v>
      </c>
      <c r="N1554" s="2">
        <f t="shared" si="99"/>
        <v>25.4</v>
      </c>
    </row>
    <row r="1555" spans="1:21" x14ac:dyDescent="0.25">
      <c r="A1555" s="3">
        <v>45189</v>
      </c>
      <c r="B1555" s="11" t="s">
        <v>4016</v>
      </c>
      <c r="C1555" s="48" t="s">
        <v>1850</v>
      </c>
      <c r="D1555" s="59"/>
      <c r="E1555" s="115" t="s">
        <v>16</v>
      </c>
      <c r="F1555" s="11"/>
      <c r="H1555" s="2">
        <v>100</v>
      </c>
      <c r="I1555" s="2">
        <f t="shared" si="100"/>
        <v>6066.92</v>
      </c>
      <c r="N1555" s="2">
        <f t="shared" si="99"/>
        <v>25.4</v>
      </c>
    </row>
    <row r="1556" spans="1:21" x14ac:dyDescent="0.25">
      <c r="A1556" s="3">
        <v>45189</v>
      </c>
      <c r="B1556" s="11" t="s">
        <v>3695</v>
      </c>
      <c r="C1556" t="s">
        <v>4021</v>
      </c>
      <c r="D1556" s="59"/>
      <c r="F1556" s="11"/>
      <c r="G1556" s="2">
        <v>1200</v>
      </c>
      <c r="I1556" s="2">
        <f t="shared" si="100"/>
        <v>7266.92</v>
      </c>
      <c r="N1556" s="2">
        <f t="shared" si="99"/>
        <v>4.8</v>
      </c>
    </row>
    <row r="1557" spans="1:21" x14ac:dyDescent="0.25">
      <c r="A1557" s="3">
        <v>45189</v>
      </c>
      <c r="B1557" s="11" t="s">
        <v>3896</v>
      </c>
      <c r="C1557" t="s">
        <v>4021</v>
      </c>
      <c r="D1557" s="59"/>
      <c r="F1557" s="11"/>
      <c r="H1557" s="2">
        <v>5000</v>
      </c>
      <c r="I1557" s="2">
        <f t="shared" si="100"/>
        <v>2266.92</v>
      </c>
      <c r="N1557" s="2">
        <f t="shared" si="99"/>
        <v>20</v>
      </c>
    </row>
    <row r="1558" spans="1:21" x14ac:dyDescent="0.25">
      <c r="A1558" s="3">
        <v>45190</v>
      </c>
      <c r="B1558" s="11" t="s">
        <v>2247</v>
      </c>
      <c r="C1558" s="48" t="s">
        <v>4022</v>
      </c>
      <c r="D1558" s="59"/>
      <c r="F1558" s="11"/>
      <c r="G1558" s="2">
        <v>4000</v>
      </c>
      <c r="I1558" s="2">
        <f t="shared" si="100"/>
        <v>6266.92</v>
      </c>
      <c r="N1558" s="2">
        <f t="shared" si="99"/>
        <v>16</v>
      </c>
    </row>
    <row r="1559" spans="1:21" x14ac:dyDescent="0.25">
      <c r="A1559" s="3">
        <v>45190</v>
      </c>
      <c r="B1559" s="11" t="s">
        <v>2472</v>
      </c>
      <c r="C1559" s="48" t="s">
        <v>4023</v>
      </c>
      <c r="D1559" s="59"/>
      <c r="F1559" s="11"/>
      <c r="H1559" s="2">
        <v>6000</v>
      </c>
      <c r="I1559" s="2">
        <f t="shared" si="100"/>
        <v>266.92000000000007</v>
      </c>
      <c r="N1559" s="2">
        <f t="shared" si="99"/>
        <v>20</v>
      </c>
    </row>
    <row r="1560" spans="1:21" x14ac:dyDescent="0.25">
      <c r="A1560" s="3">
        <v>45190</v>
      </c>
      <c r="B1560" s="11" t="s">
        <v>1163</v>
      </c>
      <c r="C1560" s="48" t="s">
        <v>4024</v>
      </c>
      <c r="D1560" s="59"/>
      <c r="F1560" s="11"/>
      <c r="G1560" s="2">
        <v>2000</v>
      </c>
      <c r="I1560" s="2">
        <f t="shared" si="100"/>
        <v>2266.92</v>
      </c>
      <c r="N1560" s="2">
        <f t="shared" si="99"/>
        <v>8</v>
      </c>
    </row>
    <row r="1561" spans="1:21" x14ac:dyDescent="0.25">
      <c r="A1561" s="3">
        <v>45191</v>
      </c>
      <c r="B1561" s="11" t="s">
        <v>3192</v>
      </c>
      <c r="C1561" s="48" t="s">
        <v>2196</v>
      </c>
      <c r="D1561" s="59" t="s">
        <v>2638</v>
      </c>
      <c r="F1561" s="11"/>
      <c r="G1561" s="2">
        <v>4000</v>
      </c>
      <c r="I1561" s="2">
        <f t="shared" si="100"/>
        <v>6266.92</v>
      </c>
      <c r="N1561" s="2">
        <f t="shared" si="99"/>
        <v>16</v>
      </c>
    </row>
    <row r="1562" spans="1:21" x14ac:dyDescent="0.25">
      <c r="A1562" s="3">
        <v>45191</v>
      </c>
      <c r="B1562" s="11" t="s">
        <v>3829</v>
      </c>
      <c r="C1562" s="48" t="s">
        <v>3830</v>
      </c>
      <c r="D1562" s="59"/>
      <c r="F1562" s="11"/>
      <c r="G1562" s="2">
        <v>1500</v>
      </c>
      <c r="I1562" s="2">
        <f t="shared" si="100"/>
        <v>7766.92</v>
      </c>
      <c r="N1562" s="2">
        <f t="shared" si="99"/>
        <v>6</v>
      </c>
    </row>
    <row r="1563" spans="1:21" x14ac:dyDescent="0.25">
      <c r="A1563" s="3">
        <v>45191</v>
      </c>
      <c r="C1563" s="48" t="s">
        <v>3717</v>
      </c>
      <c r="D1563" s="59"/>
      <c r="F1563" s="11"/>
      <c r="G1563" s="2">
        <v>10000</v>
      </c>
      <c r="I1563" s="2">
        <f t="shared" si="100"/>
        <v>17766.919999999998</v>
      </c>
      <c r="N1563" s="2">
        <f t="shared" si="99"/>
        <v>20</v>
      </c>
      <c r="R1563">
        <v>5</v>
      </c>
    </row>
    <row r="1564" spans="1:21" x14ac:dyDescent="0.25">
      <c r="A1564" s="3">
        <v>45191</v>
      </c>
      <c r="B1564" s="11" t="s">
        <v>2748</v>
      </c>
      <c r="C1564" s="48" t="s">
        <v>1282</v>
      </c>
      <c r="D1564" s="59"/>
      <c r="F1564" s="11"/>
      <c r="H1564" s="2">
        <v>10000</v>
      </c>
      <c r="I1564" s="2">
        <f t="shared" si="100"/>
        <v>7766.9199999999983</v>
      </c>
      <c r="N1564" s="2">
        <f t="shared" si="99"/>
        <v>20</v>
      </c>
    </row>
    <row r="1565" spans="1:21" x14ac:dyDescent="0.25">
      <c r="A1565" s="3">
        <v>45192</v>
      </c>
      <c r="B1565" s="11" t="s">
        <v>1475</v>
      </c>
      <c r="C1565" s="48" t="s">
        <v>2512</v>
      </c>
      <c r="D1565" s="59"/>
      <c r="F1565" s="11"/>
      <c r="G1565" s="2">
        <v>4000</v>
      </c>
      <c r="I1565" s="2">
        <f t="shared" si="100"/>
        <v>11766.919999999998</v>
      </c>
      <c r="N1565" s="2">
        <f t="shared" si="99"/>
        <v>16</v>
      </c>
    </row>
    <row r="1566" spans="1:21" x14ac:dyDescent="0.25">
      <c r="A1566" s="3">
        <v>45192</v>
      </c>
      <c r="B1566" s="11" t="s">
        <v>3960</v>
      </c>
      <c r="C1566" s="48" t="s">
        <v>4033</v>
      </c>
      <c r="D1566" s="59"/>
      <c r="F1566" s="11"/>
      <c r="H1566" s="2">
        <v>2000</v>
      </c>
      <c r="I1566" s="2">
        <f t="shared" si="100"/>
        <v>9766.9199999999983</v>
      </c>
      <c r="N1566" s="2">
        <f t="shared" si="99"/>
        <v>8</v>
      </c>
    </row>
    <row r="1567" spans="1:21" x14ac:dyDescent="0.25">
      <c r="A1567" s="3">
        <v>45192</v>
      </c>
      <c r="B1567" s="11" t="s">
        <v>4028</v>
      </c>
      <c r="C1567" s="48"/>
      <c r="D1567" s="59"/>
      <c r="E1567" s="115" t="s">
        <v>16</v>
      </c>
      <c r="F1567" s="11"/>
      <c r="H1567" s="2">
        <v>100</v>
      </c>
      <c r="I1567" s="2">
        <f t="shared" si="100"/>
        <v>9666.9199999999983</v>
      </c>
      <c r="N1567" s="2">
        <f t="shared" si="99"/>
        <v>25.4</v>
      </c>
    </row>
    <row r="1568" spans="1:21" x14ac:dyDescent="0.25">
      <c r="A1568" s="3">
        <v>45192</v>
      </c>
      <c r="B1568" s="11" t="s">
        <v>4034</v>
      </c>
      <c r="C1568" s="48" t="s">
        <v>4035</v>
      </c>
      <c r="D1568" s="59"/>
      <c r="F1568" s="11"/>
      <c r="G1568" s="2">
        <v>2000</v>
      </c>
      <c r="I1568" s="2">
        <f t="shared" si="100"/>
        <v>11666.919999999998</v>
      </c>
      <c r="N1568" s="2">
        <f t="shared" si="99"/>
        <v>8</v>
      </c>
      <c r="Q1568" t="e">
        <f>count</f>
        <v>#NAME?</v>
      </c>
    </row>
    <row r="1569" spans="1:14" x14ac:dyDescent="0.25">
      <c r="A1569" s="3">
        <v>45194</v>
      </c>
      <c r="B1569" s="11" t="s">
        <v>4036</v>
      </c>
      <c r="C1569" s="48" t="s">
        <v>4037</v>
      </c>
      <c r="D1569" s="59"/>
      <c r="F1569" s="11"/>
      <c r="H1569" s="2">
        <v>3500</v>
      </c>
      <c r="I1569" s="2">
        <f t="shared" si="100"/>
        <v>8166.9199999999983</v>
      </c>
      <c r="N1569" s="2">
        <f t="shared" si="99"/>
        <v>14</v>
      </c>
    </row>
    <row r="1570" spans="1:14" x14ac:dyDescent="0.25">
      <c r="A1570" s="3">
        <v>45194</v>
      </c>
      <c r="B1570" s="11" t="s">
        <v>3334</v>
      </c>
      <c r="C1570" s="48" t="s">
        <v>1637</v>
      </c>
      <c r="D1570" s="59"/>
      <c r="F1570" s="11"/>
      <c r="G1570" s="2">
        <v>1000</v>
      </c>
      <c r="I1570" s="2">
        <f t="shared" si="100"/>
        <v>9166.9199999999983</v>
      </c>
      <c r="N1570" s="2">
        <f t="shared" si="99"/>
        <v>4</v>
      </c>
    </row>
    <row r="1571" spans="1:14" x14ac:dyDescent="0.25">
      <c r="A1571" s="3">
        <v>45194</v>
      </c>
      <c r="B1571" s="11" t="s">
        <v>2247</v>
      </c>
      <c r="C1571" s="48" t="s">
        <v>4038</v>
      </c>
      <c r="D1571" s="59"/>
      <c r="F1571" s="11"/>
      <c r="G1571" s="2">
        <v>500</v>
      </c>
      <c r="I1571" s="2">
        <f t="shared" si="100"/>
        <v>9666.9199999999983</v>
      </c>
      <c r="N1571" s="2">
        <f t="shared" ref="N1571:N1591" si="101">IF((G1571+H1571)&lt;=5000,(H1571+G1571)*0.004,20)+IF(E1571="Y",25,0)</f>
        <v>2</v>
      </c>
    </row>
    <row r="1572" spans="1:14" x14ac:dyDescent="0.25">
      <c r="A1572" s="3">
        <v>45194</v>
      </c>
      <c r="B1572" s="11" t="s">
        <v>3835</v>
      </c>
      <c r="C1572" s="48" t="s">
        <v>4039</v>
      </c>
      <c r="D1572" s="59"/>
      <c r="F1572" s="11"/>
      <c r="H1572" s="2">
        <v>6000</v>
      </c>
      <c r="I1572" s="2">
        <f t="shared" si="100"/>
        <v>3666.9199999999983</v>
      </c>
      <c r="N1572" s="2">
        <f t="shared" si="101"/>
        <v>20</v>
      </c>
    </row>
    <row r="1573" spans="1:14" x14ac:dyDescent="0.25">
      <c r="A1573" s="3">
        <v>45195</v>
      </c>
      <c r="B1573" s="11" t="s">
        <v>1163</v>
      </c>
      <c r="C1573" s="48"/>
      <c r="D1573" s="59"/>
      <c r="F1573" s="11"/>
      <c r="G1573" s="2">
        <v>1000</v>
      </c>
      <c r="I1573" s="2">
        <f t="shared" si="100"/>
        <v>4666.9199999999983</v>
      </c>
      <c r="N1573" s="2">
        <f t="shared" si="101"/>
        <v>4</v>
      </c>
    </row>
    <row r="1574" spans="1:14" x14ac:dyDescent="0.25">
      <c r="A1574" s="3">
        <v>45195</v>
      </c>
      <c r="B1574" s="11" t="s">
        <v>4040</v>
      </c>
      <c r="C1574" s="48" t="s">
        <v>193</v>
      </c>
      <c r="D1574" s="59"/>
      <c r="E1574" s="115" t="s">
        <v>16</v>
      </c>
      <c r="F1574" s="11"/>
      <c r="H1574" s="2">
        <v>100</v>
      </c>
      <c r="I1574" s="2">
        <f t="shared" si="100"/>
        <v>4566.9199999999983</v>
      </c>
      <c r="N1574" s="2">
        <f t="shared" si="101"/>
        <v>25.4</v>
      </c>
    </row>
    <row r="1575" spans="1:14" x14ac:dyDescent="0.25">
      <c r="A1575" s="3">
        <v>45195</v>
      </c>
      <c r="B1575" s="11" t="s">
        <v>4043</v>
      </c>
      <c r="C1575" s="48" t="s">
        <v>4044</v>
      </c>
      <c r="D1575" s="59"/>
      <c r="E1575" s="115" t="s">
        <v>16</v>
      </c>
      <c r="F1575" s="11"/>
      <c r="H1575" s="2">
        <v>200</v>
      </c>
      <c r="I1575" s="2">
        <f t="shared" si="100"/>
        <v>4366.9199999999983</v>
      </c>
      <c r="N1575" s="2">
        <f t="shared" si="101"/>
        <v>25.8</v>
      </c>
    </row>
    <row r="1576" spans="1:14" x14ac:dyDescent="0.25">
      <c r="A1576" s="3">
        <v>45195</v>
      </c>
      <c r="B1576" s="11" t="s">
        <v>4047</v>
      </c>
      <c r="C1576" s="48" t="s">
        <v>179</v>
      </c>
      <c r="D1576" s="59"/>
      <c r="F1576" s="11"/>
      <c r="G1576" s="2">
        <v>4000</v>
      </c>
      <c r="I1576" s="2">
        <f t="shared" si="100"/>
        <v>8366.9199999999983</v>
      </c>
      <c r="N1576" s="2">
        <f t="shared" si="101"/>
        <v>16</v>
      </c>
    </row>
    <row r="1577" spans="1:14" x14ac:dyDescent="0.25">
      <c r="A1577" s="3">
        <v>45195</v>
      </c>
      <c r="B1577" s="11" t="s">
        <v>4048</v>
      </c>
      <c r="C1577" s="48" t="s">
        <v>4049</v>
      </c>
      <c r="D1577" s="59"/>
      <c r="E1577" s="115" t="s">
        <v>16</v>
      </c>
      <c r="F1577" s="11"/>
      <c r="H1577" s="2">
        <v>500</v>
      </c>
      <c r="I1577" s="2">
        <f t="shared" si="100"/>
        <v>7866.9199999999983</v>
      </c>
      <c r="N1577" s="2">
        <f t="shared" si="101"/>
        <v>27</v>
      </c>
    </row>
    <row r="1578" spans="1:14" x14ac:dyDescent="0.25">
      <c r="A1578" s="3">
        <v>45195</v>
      </c>
      <c r="B1578" s="11" t="s">
        <v>3917</v>
      </c>
      <c r="C1578" s="48" t="s">
        <v>2291</v>
      </c>
      <c r="D1578" s="59"/>
      <c r="F1578" s="11"/>
      <c r="H1578" s="2">
        <v>1300</v>
      </c>
      <c r="I1578" s="2">
        <f t="shared" si="100"/>
        <v>6566.9199999999983</v>
      </c>
      <c r="N1578" s="2">
        <f t="shared" si="101"/>
        <v>5.2</v>
      </c>
    </row>
    <row r="1579" spans="1:14" x14ac:dyDescent="0.25">
      <c r="A1579" s="3">
        <v>45195</v>
      </c>
      <c r="B1579" s="11" t="s">
        <v>2262</v>
      </c>
      <c r="C1579" s="48" t="s">
        <v>2254</v>
      </c>
      <c r="D1579" s="59"/>
      <c r="F1579" s="11"/>
      <c r="G1579" s="2">
        <v>1000</v>
      </c>
      <c r="I1579" s="2">
        <f>I1578+G1579-H1579</f>
        <v>7566.9199999999983</v>
      </c>
      <c r="N1579" s="2">
        <f t="shared" si="101"/>
        <v>4</v>
      </c>
    </row>
    <row r="1580" spans="1:14" x14ac:dyDescent="0.25">
      <c r="A1580" s="3">
        <v>45196</v>
      </c>
      <c r="B1580" s="11" t="s">
        <v>4052</v>
      </c>
      <c r="C1580" s="48" t="s">
        <v>4053</v>
      </c>
      <c r="D1580" s="59"/>
      <c r="E1580" s="115" t="s">
        <v>16</v>
      </c>
      <c r="F1580" s="11"/>
      <c r="H1580" s="2">
        <v>200</v>
      </c>
      <c r="I1580" s="2">
        <f>I1579+G1580-H1580</f>
        <v>7366.9199999999983</v>
      </c>
      <c r="N1580" s="2">
        <f t="shared" si="101"/>
        <v>25.8</v>
      </c>
    </row>
    <row r="1581" spans="1:14" x14ac:dyDescent="0.25">
      <c r="A1581" s="3">
        <v>45196</v>
      </c>
      <c r="B1581" s="11" t="s">
        <v>4055</v>
      </c>
      <c r="C1581" s="48" t="s">
        <v>4058</v>
      </c>
      <c r="D1581" s="59"/>
      <c r="E1581" s="115" t="s">
        <v>16</v>
      </c>
      <c r="F1581" s="11"/>
      <c r="H1581" s="2">
        <v>2000</v>
      </c>
      <c r="I1581" s="2">
        <f>I1580+G1581-H1581</f>
        <v>5366.9199999999983</v>
      </c>
      <c r="N1581" s="2">
        <f t="shared" si="101"/>
        <v>33</v>
      </c>
    </row>
    <row r="1582" spans="1:14" x14ac:dyDescent="0.25">
      <c r="A1582" s="3">
        <v>45196</v>
      </c>
      <c r="B1582" s="11" t="s">
        <v>4056</v>
      </c>
      <c r="C1582" s="48" t="s">
        <v>4057</v>
      </c>
      <c r="D1582" s="59"/>
      <c r="F1582" s="11"/>
      <c r="H1582" s="2">
        <v>1500</v>
      </c>
      <c r="I1582" s="2">
        <f>I1581+G1582-H1582</f>
        <v>3866.9199999999983</v>
      </c>
      <c r="N1582" s="2">
        <f t="shared" si="101"/>
        <v>6</v>
      </c>
    </row>
    <row r="1583" spans="1:14" x14ac:dyDescent="0.25">
      <c r="A1583" s="3">
        <v>45196</v>
      </c>
      <c r="B1583" s="11" t="s">
        <v>4059</v>
      </c>
      <c r="C1583" s="48" t="s">
        <v>3211</v>
      </c>
      <c r="D1583" s="59"/>
      <c r="F1583" s="11"/>
      <c r="G1583" s="2">
        <v>4200</v>
      </c>
      <c r="I1583" s="2">
        <f>I1582+G1583-H1583</f>
        <v>8066.9199999999983</v>
      </c>
      <c r="N1583" s="2">
        <f t="shared" si="101"/>
        <v>16.8</v>
      </c>
    </row>
    <row r="1584" spans="1:14" x14ac:dyDescent="0.25">
      <c r="A1584" s="3">
        <v>45196</v>
      </c>
      <c r="B1584" s="11" t="s">
        <v>4061</v>
      </c>
      <c r="C1584" s="48" t="s">
        <v>4062</v>
      </c>
      <c r="D1584" s="59"/>
      <c r="E1584" s="115" t="s">
        <v>16</v>
      </c>
      <c r="F1584" s="11"/>
      <c r="H1584" s="2">
        <v>500</v>
      </c>
      <c r="I1584" s="2">
        <f t="shared" ref="I1584:I1591" si="102">I1583+G1584-H1584</f>
        <v>7566.9199999999983</v>
      </c>
      <c r="N1584" s="2">
        <f t="shared" si="101"/>
        <v>27</v>
      </c>
    </row>
    <row r="1585" spans="1:16" x14ac:dyDescent="0.25">
      <c r="A1585" s="3">
        <v>45196</v>
      </c>
      <c r="B1585" s="11" t="s">
        <v>3917</v>
      </c>
      <c r="C1585" s="48" t="s">
        <v>2291</v>
      </c>
      <c r="D1585" s="59"/>
      <c r="F1585" s="11"/>
      <c r="H1585" s="2">
        <v>990</v>
      </c>
      <c r="I1585" s="2">
        <f t="shared" si="102"/>
        <v>6576.9199999999983</v>
      </c>
      <c r="N1585" s="2">
        <f t="shared" si="101"/>
        <v>3.96</v>
      </c>
    </row>
    <row r="1586" spans="1:16" x14ac:dyDescent="0.25">
      <c r="A1586" s="3">
        <v>45197</v>
      </c>
      <c r="B1586" s="11" t="s">
        <v>2262</v>
      </c>
      <c r="C1586" s="48" t="s">
        <v>2254</v>
      </c>
      <c r="D1586" s="59"/>
      <c r="F1586" s="11"/>
      <c r="G1586" s="2">
        <v>5000</v>
      </c>
      <c r="I1586" s="2">
        <f t="shared" si="102"/>
        <v>11576.919999999998</v>
      </c>
      <c r="N1586" s="2">
        <f t="shared" si="101"/>
        <v>20</v>
      </c>
    </row>
    <row r="1587" spans="1:16" x14ac:dyDescent="0.25">
      <c r="A1587" s="3">
        <v>45197</v>
      </c>
      <c r="B1587" s="11" t="s">
        <v>2472</v>
      </c>
      <c r="C1587" s="48" t="s">
        <v>2280</v>
      </c>
      <c r="D1587" s="59"/>
      <c r="F1587" s="11"/>
      <c r="H1587" s="2">
        <v>7000</v>
      </c>
      <c r="I1587" s="2">
        <f t="shared" si="102"/>
        <v>4576.9199999999983</v>
      </c>
      <c r="N1587" s="2">
        <f t="shared" si="101"/>
        <v>20</v>
      </c>
    </row>
    <row r="1588" spans="1:16" x14ac:dyDescent="0.25">
      <c r="A1588" s="3">
        <v>45197</v>
      </c>
      <c r="B1588" s="11" t="s">
        <v>3918</v>
      </c>
      <c r="C1588" s="48" t="s">
        <v>2361</v>
      </c>
      <c r="D1588" s="59"/>
      <c r="F1588" s="11"/>
      <c r="H1588" s="2">
        <v>100</v>
      </c>
      <c r="I1588" s="2">
        <f t="shared" si="102"/>
        <v>4476.9199999999983</v>
      </c>
      <c r="N1588" s="2">
        <f t="shared" si="101"/>
        <v>0.4</v>
      </c>
    </row>
    <row r="1589" spans="1:16" x14ac:dyDescent="0.25">
      <c r="A1589" s="3">
        <v>45197</v>
      </c>
      <c r="B1589" s="11" t="s">
        <v>1163</v>
      </c>
      <c r="C1589" s="48" t="s">
        <v>4065</v>
      </c>
      <c r="D1589" s="59"/>
      <c r="F1589" s="11"/>
      <c r="G1589" s="2">
        <v>5000</v>
      </c>
      <c r="I1589" s="2">
        <f t="shared" si="102"/>
        <v>9476.9199999999983</v>
      </c>
      <c r="N1589" s="2">
        <f t="shared" si="101"/>
        <v>20</v>
      </c>
    </row>
    <row r="1590" spans="1:16" x14ac:dyDescent="0.25">
      <c r="A1590" s="3">
        <v>45199</v>
      </c>
      <c r="B1590" s="11" t="s">
        <v>3813</v>
      </c>
      <c r="C1590" s="48" t="s">
        <v>3808</v>
      </c>
      <c r="D1590" s="59"/>
      <c r="F1590" s="11"/>
      <c r="H1590" s="2">
        <v>1800</v>
      </c>
      <c r="I1590" s="2">
        <f t="shared" si="102"/>
        <v>7676.9199999999983</v>
      </c>
      <c r="N1590" s="2">
        <f t="shared" si="101"/>
        <v>7.2</v>
      </c>
    </row>
    <row r="1591" spans="1:16" x14ac:dyDescent="0.25">
      <c r="A1591" s="3">
        <v>45199</v>
      </c>
      <c r="B1591" s="11" t="s">
        <v>1253</v>
      </c>
      <c r="C1591" s="48" t="s">
        <v>4067</v>
      </c>
      <c r="D1591" s="59"/>
      <c r="F1591" s="11"/>
      <c r="G1591" s="2">
        <v>1000</v>
      </c>
      <c r="I1591" s="2">
        <f t="shared" si="102"/>
        <v>8676.9199999999983</v>
      </c>
      <c r="N1591" s="2">
        <f t="shared" si="101"/>
        <v>4</v>
      </c>
    </row>
    <row r="1592" spans="1:16" x14ac:dyDescent="0.25">
      <c r="A1592" s="97">
        <f>COUNT(A1370:A1591)</f>
        <v>218</v>
      </c>
      <c r="B1592" s="102"/>
      <c r="C1592" s="27"/>
      <c r="D1592" s="139">
        <f>COUNT(A1490:A1591)</f>
        <v>102</v>
      </c>
      <c r="E1592" s="117">
        <f>COUNTIF(E1491:E1591,"Y")</f>
        <v>21</v>
      </c>
      <c r="F1592" s="97">
        <f>G1592+H1592</f>
        <v>239912.08000000002</v>
      </c>
      <c r="G1592" s="107">
        <f>SUM(G1491:G1591)</f>
        <v>117472.08</v>
      </c>
      <c r="H1592" s="107">
        <f>SUM(H1491:H1591)</f>
        <v>122440</v>
      </c>
      <c r="I1592" s="107"/>
      <c r="J1592" s="102">
        <f>SUM(J1370:J1591)</f>
        <v>0</v>
      </c>
      <c r="K1592" s="102">
        <f>SUM(K1370:K1591)</f>
        <v>0</v>
      </c>
      <c r="L1592" s="102">
        <f>SUM(L1370:L1591)</f>
        <v>0</v>
      </c>
      <c r="M1592" s="102">
        <f>SUM(M1370:M1591)</f>
        <v>0</v>
      </c>
      <c r="N1592" s="107">
        <f>SUM(N1491:N1591)</f>
        <v>1370.76</v>
      </c>
      <c r="O1592" s="97"/>
      <c r="P1592" s="97"/>
    </row>
    <row r="1593" spans="1:16" x14ac:dyDescent="0.25">
      <c r="C1593" s="48"/>
      <c r="D1593" s="59"/>
      <c r="F1593" s="11"/>
    </row>
    <row r="1594" spans="1:16" x14ac:dyDescent="0.25">
      <c r="A1594" s="3">
        <v>47392</v>
      </c>
      <c r="C1594" s="48" t="s">
        <v>2870</v>
      </c>
      <c r="D1594" s="59"/>
      <c r="F1594" s="11"/>
      <c r="G1594" s="2">
        <f>I1591</f>
        <v>8676.9199999999983</v>
      </c>
      <c r="I1594" s="2">
        <f>I1593+G1594-H1594</f>
        <v>8676.9199999999983</v>
      </c>
    </row>
    <row r="1595" spans="1:16" x14ac:dyDescent="0.25">
      <c r="A1595" s="3">
        <v>47392</v>
      </c>
      <c r="B1595" s="11" t="s">
        <v>4068</v>
      </c>
      <c r="C1595" s="48" t="s">
        <v>4069</v>
      </c>
      <c r="D1595" s="59"/>
      <c r="E1595" s="115" t="s">
        <v>16</v>
      </c>
      <c r="F1595" s="11"/>
      <c r="H1595" s="2">
        <v>100</v>
      </c>
      <c r="I1595" s="2">
        <f>I1594+G1595-H1595</f>
        <v>8576.9199999999983</v>
      </c>
      <c r="N1595" s="2">
        <f t="shared" ref="N1595:N1626" si="103">IF((G1595+H1595)&lt;=5000,(H1595+G1595)*0.004,20)+IF(E1595="Y",25,0)</f>
        <v>25.4</v>
      </c>
    </row>
    <row r="1596" spans="1:16" x14ac:dyDescent="0.25">
      <c r="A1596" s="3">
        <v>45201</v>
      </c>
      <c r="B1596" s="11" t="s">
        <v>4074</v>
      </c>
      <c r="C1596" s="48" t="s">
        <v>4075</v>
      </c>
      <c r="D1596" s="59"/>
      <c r="F1596" s="11"/>
      <c r="H1596" s="2">
        <v>1750</v>
      </c>
      <c r="I1596" s="2">
        <f>I1595+G1596-H1596</f>
        <v>6826.9199999999983</v>
      </c>
      <c r="N1596" s="2">
        <f t="shared" si="103"/>
        <v>7</v>
      </c>
    </row>
    <row r="1597" spans="1:16" x14ac:dyDescent="0.25">
      <c r="A1597" s="3">
        <v>45201</v>
      </c>
      <c r="B1597" s="11" t="s">
        <v>1163</v>
      </c>
      <c r="C1597" s="48" t="s">
        <v>4076</v>
      </c>
      <c r="D1597" s="59"/>
      <c r="F1597" s="11"/>
      <c r="G1597" s="2">
        <v>3000</v>
      </c>
      <c r="I1597" s="2">
        <f t="shared" ref="I1597:I1619" si="104">I1596+G1597-H1597</f>
        <v>9826.9199999999983</v>
      </c>
      <c r="N1597" s="2">
        <f t="shared" si="103"/>
        <v>12</v>
      </c>
    </row>
    <row r="1598" spans="1:16" x14ac:dyDescent="0.25">
      <c r="A1598" s="3">
        <v>45201</v>
      </c>
      <c r="B1598" s="11" t="s">
        <v>4077</v>
      </c>
      <c r="C1598" s="48" t="s">
        <v>3779</v>
      </c>
      <c r="D1598" s="59"/>
      <c r="F1598" s="11"/>
      <c r="H1598" s="2">
        <v>300</v>
      </c>
      <c r="I1598" s="2">
        <f t="shared" si="104"/>
        <v>9526.9199999999983</v>
      </c>
      <c r="N1598" s="2">
        <f t="shared" si="103"/>
        <v>1.2</v>
      </c>
    </row>
    <row r="1599" spans="1:16" x14ac:dyDescent="0.25">
      <c r="A1599" s="3">
        <v>45201</v>
      </c>
      <c r="B1599" s="11" t="s">
        <v>3333</v>
      </c>
      <c r="C1599" s="48" t="s">
        <v>2766</v>
      </c>
      <c r="D1599" s="59"/>
      <c r="F1599" s="11"/>
      <c r="G1599" s="2">
        <v>500</v>
      </c>
      <c r="I1599" s="2">
        <f t="shared" si="104"/>
        <v>10026.919999999998</v>
      </c>
      <c r="N1599" s="2">
        <f t="shared" si="103"/>
        <v>2</v>
      </c>
    </row>
    <row r="1600" spans="1:16" x14ac:dyDescent="0.25">
      <c r="A1600" s="3">
        <v>45201</v>
      </c>
      <c r="B1600" s="11" t="s">
        <v>4078</v>
      </c>
      <c r="C1600" s="48" t="s">
        <v>4079</v>
      </c>
      <c r="D1600" s="59"/>
      <c r="F1600" s="11"/>
      <c r="H1600" s="2">
        <v>1300</v>
      </c>
      <c r="I1600" s="2">
        <f t="shared" si="104"/>
        <v>8726.9199999999983</v>
      </c>
      <c r="N1600" s="2">
        <f t="shared" si="103"/>
        <v>5.2</v>
      </c>
    </row>
    <row r="1601" spans="1:14" x14ac:dyDescent="0.25">
      <c r="A1601" s="3">
        <v>45202</v>
      </c>
      <c r="B1601" s="11" t="s">
        <v>1475</v>
      </c>
      <c r="C1601" s="48" t="s">
        <v>2512</v>
      </c>
      <c r="D1601" s="59"/>
      <c r="F1601" s="11"/>
      <c r="G1601" s="2">
        <v>5000</v>
      </c>
      <c r="I1601" s="2">
        <f t="shared" si="104"/>
        <v>13726.919999999998</v>
      </c>
      <c r="N1601" s="2">
        <f t="shared" si="103"/>
        <v>20</v>
      </c>
    </row>
    <row r="1602" spans="1:14" x14ac:dyDescent="0.25">
      <c r="A1602" s="3">
        <v>45202</v>
      </c>
      <c r="B1602" s="11" t="s">
        <v>1475</v>
      </c>
      <c r="C1602" s="48" t="s">
        <v>4080</v>
      </c>
      <c r="D1602" s="59"/>
      <c r="F1602" s="11"/>
      <c r="G1602" s="2">
        <v>1000</v>
      </c>
      <c r="I1602" s="2">
        <f t="shared" si="104"/>
        <v>14726.919999999998</v>
      </c>
      <c r="N1602" s="2">
        <f t="shared" si="103"/>
        <v>4</v>
      </c>
    </row>
    <row r="1603" spans="1:14" x14ac:dyDescent="0.25">
      <c r="A1603" s="3">
        <v>45203</v>
      </c>
      <c r="B1603" s="11" t="s">
        <v>2721</v>
      </c>
      <c r="C1603" s="48" t="s">
        <v>1282</v>
      </c>
      <c r="D1603" s="59"/>
      <c r="F1603" s="11"/>
      <c r="H1603" s="2">
        <v>5000</v>
      </c>
      <c r="I1603" s="2">
        <f t="shared" si="104"/>
        <v>9726.9199999999983</v>
      </c>
      <c r="N1603" s="2">
        <f t="shared" si="103"/>
        <v>20</v>
      </c>
    </row>
    <row r="1604" spans="1:14" x14ac:dyDescent="0.25">
      <c r="A1604" s="3">
        <v>45203</v>
      </c>
      <c r="B1604" s="11" t="s">
        <v>4077</v>
      </c>
      <c r="C1604" s="48" t="s">
        <v>3779</v>
      </c>
      <c r="D1604" s="59"/>
      <c r="F1604" s="11"/>
      <c r="H1604" s="2">
        <v>1300</v>
      </c>
      <c r="I1604" s="2">
        <f t="shared" si="104"/>
        <v>8426.9199999999983</v>
      </c>
      <c r="N1604" s="2">
        <f t="shared" si="103"/>
        <v>5.2</v>
      </c>
    </row>
    <row r="1605" spans="1:14" x14ac:dyDescent="0.25">
      <c r="A1605" s="3">
        <v>45203</v>
      </c>
      <c r="B1605" s="11" t="s">
        <v>2680</v>
      </c>
      <c r="C1605" s="48" t="s">
        <v>2511</v>
      </c>
      <c r="D1605" s="59"/>
      <c r="F1605" s="11"/>
      <c r="H1605" s="2">
        <v>1000</v>
      </c>
      <c r="I1605" s="2">
        <f t="shared" si="104"/>
        <v>7426.9199999999983</v>
      </c>
      <c r="N1605" s="2">
        <f t="shared" si="103"/>
        <v>4</v>
      </c>
    </row>
    <row r="1606" spans="1:14" x14ac:dyDescent="0.25">
      <c r="A1606" s="3">
        <v>45203</v>
      </c>
      <c r="B1606" s="11" t="s">
        <v>3917</v>
      </c>
      <c r="C1606" s="48"/>
      <c r="D1606" s="59"/>
      <c r="F1606" s="11"/>
      <c r="H1606" s="2">
        <v>1100</v>
      </c>
      <c r="I1606" s="2">
        <f t="shared" si="104"/>
        <v>6326.9199999999983</v>
      </c>
      <c r="N1606" s="2">
        <f t="shared" si="103"/>
        <v>4.4000000000000004</v>
      </c>
    </row>
    <row r="1607" spans="1:14" x14ac:dyDescent="0.25">
      <c r="A1607" s="3">
        <v>45204</v>
      </c>
      <c r="B1607" s="11" t="s">
        <v>3333</v>
      </c>
      <c r="C1607" s="48" t="s">
        <v>2766</v>
      </c>
      <c r="D1607" s="59"/>
      <c r="F1607" s="11"/>
      <c r="H1607" s="2">
        <v>2500</v>
      </c>
      <c r="I1607" s="2">
        <f t="shared" si="104"/>
        <v>3826.9199999999983</v>
      </c>
      <c r="N1607" s="2">
        <f t="shared" si="103"/>
        <v>10</v>
      </c>
    </row>
    <row r="1608" spans="1:14" x14ac:dyDescent="0.25">
      <c r="A1608" s="3">
        <v>45204</v>
      </c>
      <c r="B1608" s="11" t="s">
        <v>1163</v>
      </c>
      <c r="C1608" s="48" t="s">
        <v>3407</v>
      </c>
      <c r="D1608" s="59"/>
      <c r="F1608" s="11"/>
      <c r="G1608" s="2">
        <v>1000</v>
      </c>
      <c r="I1608" s="2">
        <f t="shared" si="104"/>
        <v>4826.9199999999983</v>
      </c>
      <c r="N1608" s="2">
        <f t="shared" si="103"/>
        <v>4</v>
      </c>
    </row>
    <row r="1609" spans="1:14" x14ac:dyDescent="0.25">
      <c r="A1609" s="3">
        <v>45204</v>
      </c>
      <c r="B1609" s="11" t="s">
        <v>1163</v>
      </c>
      <c r="C1609" s="48" t="s">
        <v>4081</v>
      </c>
      <c r="D1609" s="59"/>
      <c r="F1609" s="11"/>
      <c r="G1609" s="2">
        <v>1000</v>
      </c>
      <c r="I1609" s="2">
        <f t="shared" si="104"/>
        <v>5826.9199999999983</v>
      </c>
      <c r="N1609" s="2">
        <f t="shared" si="103"/>
        <v>4</v>
      </c>
    </row>
    <row r="1610" spans="1:14" x14ac:dyDescent="0.25">
      <c r="A1610" s="3">
        <v>45204</v>
      </c>
      <c r="B1610" s="11" t="s">
        <v>2472</v>
      </c>
      <c r="C1610" s="48" t="s">
        <v>4082</v>
      </c>
      <c r="D1610" s="59"/>
      <c r="F1610" s="11"/>
      <c r="H1610" s="2">
        <v>5000</v>
      </c>
      <c r="I1610" s="2">
        <f t="shared" si="104"/>
        <v>826.91999999999825</v>
      </c>
      <c r="N1610" s="2">
        <f t="shared" si="103"/>
        <v>20</v>
      </c>
    </row>
    <row r="1611" spans="1:14" x14ac:dyDescent="0.25">
      <c r="A1611" s="3">
        <v>45204</v>
      </c>
      <c r="B1611" s="11" t="s">
        <v>1475</v>
      </c>
      <c r="C1611" s="48" t="s">
        <v>2512</v>
      </c>
      <c r="D1611" s="59"/>
      <c r="F1611" s="11"/>
      <c r="G1611" s="2">
        <v>5000</v>
      </c>
      <c r="I1611" s="2">
        <f t="shared" si="104"/>
        <v>5826.9199999999983</v>
      </c>
      <c r="N1611" s="2">
        <f t="shared" si="103"/>
        <v>20</v>
      </c>
    </row>
    <row r="1612" spans="1:14" x14ac:dyDescent="0.25">
      <c r="A1612" s="3">
        <v>45204</v>
      </c>
      <c r="B1612" s="11" t="s">
        <v>4047</v>
      </c>
      <c r="C1612" s="48" t="s">
        <v>4083</v>
      </c>
      <c r="D1612" s="59"/>
      <c r="F1612" s="11"/>
      <c r="G1612" s="2">
        <v>2000</v>
      </c>
      <c r="I1612" s="2">
        <f t="shared" si="104"/>
        <v>7826.9199999999983</v>
      </c>
      <c r="N1612" s="2">
        <f t="shared" si="103"/>
        <v>8</v>
      </c>
    </row>
    <row r="1613" spans="1:14" x14ac:dyDescent="0.25">
      <c r="A1613" s="3">
        <v>45205</v>
      </c>
      <c r="B1613" s="11" t="s">
        <v>1163</v>
      </c>
      <c r="C1613" s="48" t="s">
        <v>4085</v>
      </c>
      <c r="D1613" s="59"/>
      <c r="F1613" s="11"/>
      <c r="G1613" s="2">
        <v>2000</v>
      </c>
      <c r="I1613" s="2">
        <f t="shared" si="104"/>
        <v>9826.9199999999983</v>
      </c>
      <c r="N1613" s="2">
        <f t="shared" si="103"/>
        <v>8</v>
      </c>
    </row>
    <row r="1614" spans="1:14" x14ac:dyDescent="0.25">
      <c r="A1614" s="3">
        <v>45206</v>
      </c>
      <c r="B1614" s="11" t="s">
        <v>4086</v>
      </c>
      <c r="C1614" s="48" t="s">
        <v>1235</v>
      </c>
      <c r="D1614" s="59"/>
      <c r="F1614" s="11"/>
      <c r="H1614" s="2">
        <v>2000</v>
      </c>
      <c r="I1614" s="2">
        <f t="shared" si="104"/>
        <v>7826.9199999999983</v>
      </c>
      <c r="N1614" s="2">
        <f t="shared" si="103"/>
        <v>8</v>
      </c>
    </row>
    <row r="1615" spans="1:14" x14ac:dyDescent="0.25">
      <c r="A1615" s="3">
        <v>45208</v>
      </c>
      <c r="B1615" s="11" t="s">
        <v>1253</v>
      </c>
      <c r="C1615" s="48" t="s">
        <v>4087</v>
      </c>
      <c r="D1615" s="59"/>
      <c r="F1615" s="11"/>
      <c r="G1615" s="2">
        <v>700</v>
      </c>
      <c r="I1615" s="2">
        <f t="shared" si="104"/>
        <v>8526.9199999999983</v>
      </c>
      <c r="N1615" s="2">
        <f t="shared" si="103"/>
        <v>2.8000000000000003</v>
      </c>
    </row>
    <row r="1616" spans="1:14" x14ac:dyDescent="0.25">
      <c r="A1616" s="3">
        <v>45208</v>
      </c>
      <c r="B1616" s="11" t="s">
        <v>1475</v>
      </c>
      <c r="C1616" s="48" t="s">
        <v>4088</v>
      </c>
      <c r="D1616" s="59"/>
      <c r="F1616" s="11"/>
      <c r="G1616" s="2">
        <v>3000</v>
      </c>
      <c r="I1616" s="2">
        <f t="shared" si="104"/>
        <v>11526.919999999998</v>
      </c>
      <c r="N1616" s="2">
        <f t="shared" si="103"/>
        <v>12</v>
      </c>
    </row>
    <row r="1617" spans="1:14" x14ac:dyDescent="0.25">
      <c r="A1617" s="3">
        <v>45208</v>
      </c>
      <c r="B1617" s="11" t="s">
        <v>4089</v>
      </c>
      <c r="C1617" s="48" t="s">
        <v>4090</v>
      </c>
      <c r="D1617" s="59"/>
      <c r="F1617" s="11"/>
      <c r="H1617" s="2">
        <v>500</v>
      </c>
      <c r="I1617" s="2">
        <f t="shared" si="104"/>
        <v>11026.919999999998</v>
      </c>
      <c r="N1617" s="2">
        <f t="shared" si="103"/>
        <v>2</v>
      </c>
    </row>
    <row r="1618" spans="1:14" x14ac:dyDescent="0.25">
      <c r="A1618" s="3">
        <v>45208</v>
      </c>
      <c r="B1618" s="11" t="s">
        <v>3918</v>
      </c>
      <c r="C1618" s="48" t="s">
        <v>2361</v>
      </c>
      <c r="D1618" s="59"/>
      <c r="F1618" s="11"/>
      <c r="H1618" s="2">
        <v>4200</v>
      </c>
      <c r="I1618" s="2">
        <f t="shared" si="104"/>
        <v>6826.9199999999983</v>
      </c>
      <c r="N1618" s="2">
        <f t="shared" si="103"/>
        <v>16.8</v>
      </c>
    </row>
    <row r="1619" spans="1:14" x14ac:dyDescent="0.25">
      <c r="A1619" s="3">
        <v>45208</v>
      </c>
      <c r="B1619" s="11" t="s">
        <v>3917</v>
      </c>
      <c r="C1619" s="48" t="s">
        <v>2192</v>
      </c>
      <c r="D1619" s="59"/>
      <c r="F1619" s="11"/>
      <c r="H1619" s="2">
        <v>4200</v>
      </c>
      <c r="I1619" s="2">
        <f t="shared" si="104"/>
        <v>2626.9199999999983</v>
      </c>
      <c r="N1619" s="2">
        <f t="shared" si="103"/>
        <v>16.8</v>
      </c>
    </row>
    <row r="1620" spans="1:14" x14ac:dyDescent="0.25">
      <c r="A1620" s="3">
        <v>45208</v>
      </c>
      <c r="B1620" s="11" t="s">
        <v>4086</v>
      </c>
      <c r="C1620" s="48" t="s">
        <v>1235</v>
      </c>
      <c r="D1620" s="59"/>
      <c r="F1620" s="11"/>
      <c r="H1620" s="2">
        <v>2000</v>
      </c>
      <c r="I1620" s="2">
        <f t="shared" ref="I1620:I1656" si="105">I1619+G1620-H1620</f>
        <v>626.91999999999825</v>
      </c>
      <c r="N1620" s="2">
        <f t="shared" si="103"/>
        <v>8</v>
      </c>
    </row>
    <row r="1621" spans="1:14" x14ac:dyDescent="0.25">
      <c r="A1621" s="3">
        <v>45208</v>
      </c>
      <c r="B1621" s="11" t="s">
        <v>2247</v>
      </c>
      <c r="C1621" s="48" t="s">
        <v>4091</v>
      </c>
      <c r="D1621" s="59"/>
      <c r="F1621" s="11"/>
      <c r="G1621" s="2">
        <v>500</v>
      </c>
      <c r="I1621" s="2">
        <f t="shared" si="105"/>
        <v>1126.9199999999983</v>
      </c>
      <c r="N1621" s="2">
        <f t="shared" si="103"/>
        <v>2</v>
      </c>
    </row>
    <row r="1622" spans="1:14" x14ac:dyDescent="0.25">
      <c r="A1622" s="3">
        <v>45209</v>
      </c>
      <c r="B1622" s="11" t="s">
        <v>3276</v>
      </c>
      <c r="C1622" s="48" t="s">
        <v>2436</v>
      </c>
      <c r="D1622" s="59"/>
      <c r="F1622" s="11"/>
      <c r="G1622" s="2">
        <v>1200</v>
      </c>
      <c r="I1622" s="2">
        <f t="shared" si="105"/>
        <v>2326.9199999999983</v>
      </c>
      <c r="N1622" s="2">
        <f t="shared" si="103"/>
        <v>4.8</v>
      </c>
    </row>
    <row r="1623" spans="1:14" x14ac:dyDescent="0.25">
      <c r="A1623" s="3">
        <v>45209</v>
      </c>
      <c r="B1623" s="11" t="s">
        <v>4093</v>
      </c>
      <c r="C1623" s="48" t="s">
        <v>4094</v>
      </c>
      <c r="D1623" s="59"/>
      <c r="E1623" s="115" t="s">
        <v>14</v>
      </c>
      <c r="F1623" s="11"/>
      <c r="H1623" s="2">
        <v>200</v>
      </c>
      <c r="I1623" s="2">
        <f t="shared" si="105"/>
        <v>2126.9199999999983</v>
      </c>
      <c r="N1623" s="2">
        <f t="shared" si="103"/>
        <v>25.8</v>
      </c>
    </row>
    <row r="1624" spans="1:14" x14ac:dyDescent="0.25">
      <c r="A1624" s="3">
        <v>45209</v>
      </c>
      <c r="B1624" s="11" t="s">
        <v>4095</v>
      </c>
      <c r="C1624" s="48" t="s">
        <v>4096</v>
      </c>
      <c r="D1624" s="59"/>
      <c r="E1624" s="115" t="s">
        <v>14</v>
      </c>
      <c r="F1624" s="11"/>
      <c r="H1624" s="2">
        <v>200</v>
      </c>
      <c r="I1624" s="2">
        <f t="shared" si="105"/>
        <v>1926.9199999999983</v>
      </c>
      <c r="N1624" s="2">
        <f t="shared" si="103"/>
        <v>25.8</v>
      </c>
    </row>
    <row r="1625" spans="1:14" x14ac:dyDescent="0.25">
      <c r="A1625" s="3">
        <v>45210</v>
      </c>
      <c r="B1625" s="11" t="s">
        <v>4102</v>
      </c>
      <c r="C1625" t="s">
        <v>4104</v>
      </c>
      <c r="E1625" s="115" t="s">
        <v>14</v>
      </c>
      <c r="F1625" s="11"/>
      <c r="H1625" s="2">
        <v>200</v>
      </c>
      <c r="I1625" s="2">
        <f t="shared" si="105"/>
        <v>1726.9199999999983</v>
      </c>
      <c r="N1625" s="2">
        <f t="shared" si="103"/>
        <v>25.8</v>
      </c>
    </row>
    <row r="1626" spans="1:14" x14ac:dyDescent="0.25">
      <c r="A1626" s="3">
        <v>45210</v>
      </c>
      <c r="B1626" s="11" t="s">
        <v>1253</v>
      </c>
      <c r="C1626" s="48" t="s">
        <v>4106</v>
      </c>
      <c r="D1626" s="83"/>
      <c r="F1626" s="11"/>
      <c r="G1626" s="2">
        <v>500</v>
      </c>
      <c r="I1626" s="2">
        <f t="shared" si="105"/>
        <v>2226.9199999999983</v>
      </c>
      <c r="N1626" s="2">
        <f t="shared" si="103"/>
        <v>2</v>
      </c>
    </row>
    <row r="1627" spans="1:14" x14ac:dyDescent="0.25">
      <c r="A1627" s="3">
        <v>45210</v>
      </c>
      <c r="B1627" s="11" t="s">
        <v>3587</v>
      </c>
      <c r="C1627" s="48" t="s">
        <v>4107</v>
      </c>
      <c r="D1627" s="83"/>
      <c r="F1627" s="11"/>
      <c r="G1627" s="2">
        <v>1800</v>
      </c>
      <c r="I1627" s="2">
        <f t="shared" si="105"/>
        <v>4026.9199999999983</v>
      </c>
      <c r="N1627" s="2">
        <f t="shared" ref="N1627:N1654" si="106">IF((G1627+H1627)&lt;=5000,(H1627+G1627)*0.004,20)+IF(E1627="Y",25,0)</f>
        <v>7.2</v>
      </c>
    </row>
    <row r="1628" spans="1:14" x14ac:dyDescent="0.25">
      <c r="A1628" s="3">
        <v>45210</v>
      </c>
      <c r="B1628" s="11" t="s">
        <v>4108</v>
      </c>
      <c r="C1628" s="48" t="s">
        <v>2408</v>
      </c>
      <c r="D1628" s="83"/>
      <c r="F1628" s="11"/>
      <c r="G1628" s="2">
        <v>2500</v>
      </c>
      <c r="I1628" s="2">
        <f t="shared" si="105"/>
        <v>6526.9199999999983</v>
      </c>
      <c r="N1628" s="2">
        <f t="shared" si="106"/>
        <v>10</v>
      </c>
    </row>
    <row r="1629" spans="1:14" x14ac:dyDescent="0.25">
      <c r="A1629" s="3">
        <v>45210</v>
      </c>
      <c r="B1629" s="11" t="s">
        <v>1163</v>
      </c>
      <c r="C1629" s="48" t="s">
        <v>3060</v>
      </c>
      <c r="D1629" s="83"/>
      <c r="F1629" s="11"/>
      <c r="G1629" s="2">
        <v>4050</v>
      </c>
      <c r="I1629" s="2">
        <f t="shared" si="105"/>
        <v>10576.919999999998</v>
      </c>
      <c r="N1629" s="2">
        <f t="shared" si="106"/>
        <v>16.2</v>
      </c>
    </row>
    <row r="1630" spans="1:14" x14ac:dyDescent="0.25">
      <c r="A1630" s="3">
        <v>45210</v>
      </c>
      <c r="B1630" s="11" t="s">
        <v>3917</v>
      </c>
      <c r="C1630" s="48" t="s">
        <v>2192</v>
      </c>
      <c r="D1630" s="83"/>
      <c r="F1630" s="11"/>
      <c r="H1630" s="2">
        <v>1000</v>
      </c>
      <c r="I1630" s="2">
        <f t="shared" si="105"/>
        <v>9576.9199999999983</v>
      </c>
      <c r="N1630" s="2">
        <f t="shared" si="106"/>
        <v>4</v>
      </c>
    </row>
    <row r="1631" spans="1:14" x14ac:dyDescent="0.25">
      <c r="A1631" s="3">
        <v>45210</v>
      </c>
      <c r="B1631" s="11" t="s">
        <v>3918</v>
      </c>
      <c r="C1631" s="48" t="s">
        <v>2361</v>
      </c>
      <c r="D1631" s="83"/>
      <c r="F1631" s="11"/>
      <c r="H1631" s="2">
        <v>1000</v>
      </c>
      <c r="I1631" s="2">
        <f t="shared" si="105"/>
        <v>8576.9199999999983</v>
      </c>
      <c r="N1631" s="2">
        <f t="shared" si="106"/>
        <v>4</v>
      </c>
    </row>
    <row r="1632" spans="1:14" x14ac:dyDescent="0.25">
      <c r="A1632" s="3">
        <v>45211</v>
      </c>
      <c r="B1632" s="11" t="s">
        <v>2472</v>
      </c>
      <c r="C1632" s="48" t="s">
        <v>2280</v>
      </c>
      <c r="D1632" s="83"/>
      <c r="F1632" s="11"/>
      <c r="H1632" s="2">
        <v>8000</v>
      </c>
      <c r="I1632" s="2">
        <f t="shared" si="105"/>
        <v>576.91999999999825</v>
      </c>
      <c r="N1632" s="2">
        <f t="shared" si="106"/>
        <v>20</v>
      </c>
    </row>
    <row r="1633" spans="1:14" x14ac:dyDescent="0.25">
      <c r="A1633" s="3">
        <v>45211</v>
      </c>
      <c r="B1633" s="11" t="s">
        <v>3753</v>
      </c>
      <c r="C1633" s="48" t="s">
        <v>3983</v>
      </c>
      <c r="D1633" s="83">
        <v>9064726847</v>
      </c>
      <c r="F1633" s="11"/>
      <c r="G1633" s="2">
        <v>4050</v>
      </c>
      <c r="I1633" s="2">
        <f t="shared" si="105"/>
        <v>4626.9199999999983</v>
      </c>
      <c r="N1633" s="2">
        <f t="shared" si="106"/>
        <v>16.2</v>
      </c>
    </row>
    <row r="1634" spans="1:14" x14ac:dyDescent="0.25">
      <c r="A1634" s="3">
        <v>45211</v>
      </c>
      <c r="B1634" s="11" t="s">
        <v>1253</v>
      </c>
      <c r="C1634" t="s">
        <v>4111</v>
      </c>
      <c r="D1634" s="59" t="s">
        <v>4110</v>
      </c>
      <c r="F1634" s="11"/>
      <c r="G1634" s="2">
        <v>10000</v>
      </c>
      <c r="I1634" s="2">
        <f t="shared" si="105"/>
        <v>14626.919999999998</v>
      </c>
      <c r="N1634" s="2">
        <f t="shared" si="106"/>
        <v>20</v>
      </c>
    </row>
    <row r="1635" spans="1:14" x14ac:dyDescent="0.25">
      <c r="A1635" s="3">
        <v>45211</v>
      </c>
      <c r="B1635" s="11" t="s">
        <v>2721</v>
      </c>
      <c r="C1635" s="48" t="s">
        <v>1282</v>
      </c>
      <c r="D1635" s="83"/>
      <c r="F1635" s="11"/>
      <c r="H1635" s="2">
        <v>10000</v>
      </c>
      <c r="I1635" s="2">
        <f t="shared" si="105"/>
        <v>4626.9199999999983</v>
      </c>
      <c r="N1635" s="2">
        <f t="shared" si="106"/>
        <v>20</v>
      </c>
    </row>
    <row r="1636" spans="1:14" x14ac:dyDescent="0.25">
      <c r="A1636" s="3">
        <v>45211</v>
      </c>
      <c r="B1636" s="11" t="s">
        <v>4112</v>
      </c>
      <c r="C1636" s="48" t="s">
        <v>4113</v>
      </c>
      <c r="D1636" s="83">
        <v>7061609236</v>
      </c>
      <c r="F1636" s="11"/>
      <c r="G1636" s="2">
        <v>3000</v>
      </c>
      <c r="I1636" s="2">
        <f t="shared" si="105"/>
        <v>7626.9199999999983</v>
      </c>
      <c r="N1636" s="2">
        <f t="shared" si="106"/>
        <v>12</v>
      </c>
    </row>
    <row r="1637" spans="1:14" x14ac:dyDescent="0.25">
      <c r="A1637" s="3">
        <v>45211</v>
      </c>
      <c r="B1637" s="11" t="s">
        <v>1163</v>
      </c>
      <c r="C1637" s="48" t="s">
        <v>4114</v>
      </c>
      <c r="D1637" s="83">
        <v>9031184509</v>
      </c>
      <c r="F1637" s="11"/>
      <c r="G1637" s="2">
        <v>2000</v>
      </c>
      <c r="I1637" s="2">
        <f t="shared" si="105"/>
        <v>9626.9199999999983</v>
      </c>
      <c r="N1637" s="2">
        <f t="shared" si="106"/>
        <v>8</v>
      </c>
    </row>
    <row r="1638" spans="1:14" x14ac:dyDescent="0.25">
      <c r="A1638" s="3">
        <v>45212</v>
      </c>
      <c r="B1638" s="11" t="s">
        <v>1253</v>
      </c>
      <c r="C1638" t="s">
        <v>4111</v>
      </c>
      <c r="D1638" s="59" t="s">
        <v>4110</v>
      </c>
      <c r="F1638" s="11"/>
      <c r="G1638" s="2">
        <v>10000</v>
      </c>
      <c r="I1638" s="2">
        <f t="shared" si="105"/>
        <v>19626.919999999998</v>
      </c>
      <c r="N1638" s="2">
        <f t="shared" si="106"/>
        <v>20</v>
      </c>
    </row>
    <row r="1639" spans="1:14" x14ac:dyDescent="0.25">
      <c r="A1639" s="3">
        <v>45212</v>
      </c>
      <c r="B1639" s="11" t="s">
        <v>2721</v>
      </c>
      <c r="C1639" s="48" t="s">
        <v>1282</v>
      </c>
      <c r="D1639" s="83"/>
      <c r="F1639" s="11"/>
      <c r="H1639" s="2">
        <v>10000</v>
      </c>
      <c r="I1639" s="2">
        <f t="shared" si="105"/>
        <v>9626.9199999999983</v>
      </c>
      <c r="N1639" s="2">
        <f t="shared" si="106"/>
        <v>20</v>
      </c>
    </row>
    <row r="1640" spans="1:14" x14ac:dyDescent="0.25">
      <c r="A1640" s="3">
        <v>45212</v>
      </c>
      <c r="B1640" s="11" t="s">
        <v>2472</v>
      </c>
      <c r="C1640" s="48" t="s">
        <v>4115</v>
      </c>
      <c r="D1640" s="83"/>
      <c r="F1640" s="11"/>
      <c r="H1640" s="2">
        <v>7000</v>
      </c>
      <c r="I1640" s="2">
        <f t="shared" si="105"/>
        <v>2626.9199999999983</v>
      </c>
      <c r="N1640" s="2">
        <f t="shared" si="106"/>
        <v>20</v>
      </c>
    </row>
    <row r="1641" spans="1:14" x14ac:dyDescent="0.25">
      <c r="A1641" s="3">
        <v>45212</v>
      </c>
      <c r="B1641" s="11" t="s">
        <v>2247</v>
      </c>
      <c r="C1641" s="48" t="s">
        <v>2655</v>
      </c>
      <c r="D1641" s="83"/>
      <c r="F1641" s="11"/>
      <c r="G1641" s="2">
        <v>5000</v>
      </c>
      <c r="I1641" s="2">
        <f t="shared" si="105"/>
        <v>7626.9199999999983</v>
      </c>
      <c r="N1641" s="2">
        <f t="shared" si="106"/>
        <v>20</v>
      </c>
    </row>
    <row r="1642" spans="1:14" x14ac:dyDescent="0.25">
      <c r="A1642" s="3">
        <v>45212</v>
      </c>
      <c r="B1642" s="11" t="s">
        <v>3917</v>
      </c>
      <c r="C1642" s="48" t="s">
        <v>2192</v>
      </c>
      <c r="D1642" s="83"/>
      <c r="F1642" s="11"/>
      <c r="H1642" s="2">
        <v>6450</v>
      </c>
      <c r="I1642" s="2">
        <f t="shared" si="105"/>
        <v>1176.9199999999983</v>
      </c>
      <c r="N1642" s="2">
        <f t="shared" si="106"/>
        <v>20</v>
      </c>
    </row>
    <row r="1643" spans="1:14" x14ac:dyDescent="0.25">
      <c r="A1643" s="3">
        <v>45212</v>
      </c>
      <c r="B1643" s="11" t="s">
        <v>1253</v>
      </c>
      <c r="C1643" s="48" t="s">
        <v>2362</v>
      </c>
      <c r="D1643" s="83"/>
      <c r="F1643" s="11"/>
      <c r="G1643" s="2">
        <v>7000</v>
      </c>
      <c r="I1643" s="2">
        <f t="shared" si="105"/>
        <v>8176.9199999999983</v>
      </c>
      <c r="N1643" s="2">
        <f t="shared" si="106"/>
        <v>20</v>
      </c>
    </row>
    <row r="1644" spans="1:14" x14ac:dyDescent="0.25">
      <c r="A1644" s="3">
        <v>45212</v>
      </c>
      <c r="B1644" s="11" t="s">
        <v>1253</v>
      </c>
      <c r="C1644" s="48" t="s">
        <v>2361</v>
      </c>
      <c r="D1644" s="83"/>
      <c r="F1644" s="11"/>
      <c r="H1644" s="2">
        <v>6400</v>
      </c>
      <c r="I1644" s="2">
        <f t="shared" si="105"/>
        <v>1776.9199999999983</v>
      </c>
      <c r="N1644" s="2">
        <f t="shared" si="106"/>
        <v>20</v>
      </c>
    </row>
    <row r="1645" spans="1:14" x14ac:dyDescent="0.25">
      <c r="A1645" s="3">
        <v>45212</v>
      </c>
      <c r="B1645" s="11" t="s">
        <v>1253</v>
      </c>
      <c r="C1645" s="48"/>
      <c r="D1645" s="83"/>
      <c r="F1645" s="11"/>
      <c r="G1645" s="2">
        <v>1500</v>
      </c>
      <c r="I1645" s="2">
        <f t="shared" si="105"/>
        <v>3276.9199999999983</v>
      </c>
      <c r="N1645" s="2">
        <f t="shared" si="106"/>
        <v>6</v>
      </c>
    </row>
    <row r="1646" spans="1:14" x14ac:dyDescent="0.25">
      <c r="A1646" s="3">
        <v>45213</v>
      </c>
      <c r="B1646" s="11" t="s">
        <v>2247</v>
      </c>
      <c r="C1646" s="48" t="s">
        <v>3565</v>
      </c>
      <c r="D1646" s="83"/>
      <c r="F1646" s="11"/>
      <c r="G1646" s="2">
        <v>3000</v>
      </c>
      <c r="I1646" s="2">
        <f t="shared" si="105"/>
        <v>6276.9199999999983</v>
      </c>
      <c r="N1646" s="2">
        <f t="shared" si="106"/>
        <v>12</v>
      </c>
    </row>
    <row r="1647" spans="1:14" x14ac:dyDescent="0.25">
      <c r="A1647" s="3">
        <v>45214</v>
      </c>
      <c r="B1647" s="11" t="s">
        <v>3917</v>
      </c>
      <c r="C1647" s="48" t="s">
        <v>2192</v>
      </c>
      <c r="D1647" s="83"/>
      <c r="F1647" s="11"/>
      <c r="G1647" s="2">
        <v>600</v>
      </c>
      <c r="I1647" s="2">
        <f t="shared" si="105"/>
        <v>6876.9199999999983</v>
      </c>
      <c r="N1647" s="2">
        <f t="shared" si="106"/>
        <v>2.4</v>
      </c>
    </row>
    <row r="1648" spans="1:14" x14ac:dyDescent="0.25">
      <c r="A1648" s="3">
        <v>45214</v>
      </c>
      <c r="B1648" s="11" t="s">
        <v>2472</v>
      </c>
      <c r="C1648" s="48" t="s">
        <v>2280</v>
      </c>
      <c r="D1648" s="83"/>
      <c r="F1648" s="11"/>
      <c r="H1648" s="2">
        <v>5000</v>
      </c>
      <c r="I1648" s="2">
        <f t="shared" si="105"/>
        <v>1876.9199999999983</v>
      </c>
      <c r="N1648" s="2">
        <f t="shared" si="106"/>
        <v>20</v>
      </c>
    </row>
    <row r="1649" spans="1:14" x14ac:dyDescent="0.25">
      <c r="A1649" s="3">
        <v>45215</v>
      </c>
      <c r="B1649" s="11" t="s">
        <v>1163</v>
      </c>
      <c r="C1649" s="48" t="s">
        <v>4117</v>
      </c>
      <c r="D1649" s="83">
        <v>8102837070</v>
      </c>
      <c r="F1649" s="11"/>
      <c r="G1649" s="2">
        <v>4000</v>
      </c>
      <c r="I1649" s="2">
        <f t="shared" si="105"/>
        <v>5876.9199999999983</v>
      </c>
      <c r="N1649" s="2">
        <f t="shared" si="106"/>
        <v>16</v>
      </c>
    </row>
    <row r="1650" spans="1:14" x14ac:dyDescent="0.25">
      <c r="A1650" s="3">
        <v>45215</v>
      </c>
      <c r="B1650" s="11" t="s">
        <v>1475</v>
      </c>
      <c r="C1650" s="48" t="s">
        <v>4118</v>
      </c>
      <c r="D1650" s="83"/>
      <c r="F1650" s="11"/>
      <c r="G1650" s="2">
        <v>1000</v>
      </c>
      <c r="I1650" s="2">
        <f t="shared" si="105"/>
        <v>6876.9199999999983</v>
      </c>
      <c r="N1650" s="2">
        <f t="shared" si="106"/>
        <v>4</v>
      </c>
    </row>
    <row r="1651" spans="1:14" x14ac:dyDescent="0.25">
      <c r="A1651" s="3">
        <v>45215</v>
      </c>
      <c r="B1651" s="11" t="s">
        <v>3590</v>
      </c>
      <c r="C1651" s="48" t="s">
        <v>1696</v>
      </c>
      <c r="D1651" s="83"/>
      <c r="F1651" s="11"/>
      <c r="G1651" s="2">
        <v>5000</v>
      </c>
      <c r="I1651" s="2">
        <f t="shared" si="105"/>
        <v>11876.919999999998</v>
      </c>
      <c r="N1651" s="2">
        <f t="shared" si="106"/>
        <v>20</v>
      </c>
    </row>
    <row r="1652" spans="1:14" x14ac:dyDescent="0.25">
      <c r="A1652" s="3">
        <v>45216</v>
      </c>
      <c r="B1652" s="11" t="s">
        <v>4119</v>
      </c>
      <c r="C1652" s="48" t="s">
        <v>3415</v>
      </c>
      <c r="D1652" s="83"/>
      <c r="F1652" s="11"/>
      <c r="H1652" s="2">
        <v>1500</v>
      </c>
      <c r="I1652" s="2">
        <f t="shared" si="105"/>
        <v>10376.919999999998</v>
      </c>
      <c r="N1652" s="2">
        <f t="shared" si="106"/>
        <v>6</v>
      </c>
    </row>
    <row r="1653" spans="1:14" x14ac:dyDescent="0.25">
      <c r="A1653" s="3">
        <v>45216</v>
      </c>
      <c r="B1653" s="11" t="s">
        <v>4119</v>
      </c>
      <c r="C1653" s="48" t="s">
        <v>3415</v>
      </c>
      <c r="D1653" s="83"/>
      <c r="F1653" s="11"/>
      <c r="H1653" s="2">
        <v>1000</v>
      </c>
      <c r="I1653" s="2">
        <f t="shared" si="105"/>
        <v>9376.9199999999983</v>
      </c>
      <c r="N1653" s="2">
        <f t="shared" si="106"/>
        <v>4</v>
      </c>
    </row>
    <row r="1654" spans="1:14" x14ac:dyDescent="0.25">
      <c r="A1654" s="3">
        <v>45216</v>
      </c>
      <c r="B1654" s="11" t="s">
        <v>2472</v>
      </c>
      <c r="C1654" s="48" t="s">
        <v>2280</v>
      </c>
      <c r="D1654" s="83"/>
      <c r="F1654" s="11"/>
      <c r="H1654" s="2">
        <v>5000</v>
      </c>
      <c r="I1654" s="2">
        <f t="shared" si="105"/>
        <v>4376.9199999999983</v>
      </c>
      <c r="N1654" s="2">
        <f t="shared" si="106"/>
        <v>20</v>
      </c>
    </row>
    <row r="1655" spans="1:14" x14ac:dyDescent="0.25">
      <c r="A1655" s="3">
        <v>45216</v>
      </c>
      <c r="B1655" s="60"/>
      <c r="C1655" s="72" t="s">
        <v>4121</v>
      </c>
      <c r="D1655" s="88"/>
      <c r="E1655" s="121"/>
      <c r="F1655" s="60"/>
      <c r="G1655" s="64">
        <v>811.35</v>
      </c>
      <c r="I1655" s="2">
        <f t="shared" si="105"/>
        <v>5188.2699999999986</v>
      </c>
      <c r="N1655" s="2">
        <v>0</v>
      </c>
    </row>
    <row r="1656" spans="1:14" x14ac:dyDescent="0.25">
      <c r="A1656" s="3">
        <v>45217</v>
      </c>
      <c r="B1656" s="11" t="s">
        <v>1253</v>
      </c>
      <c r="C1656" s="48" t="s">
        <v>4120</v>
      </c>
      <c r="D1656" s="83"/>
      <c r="F1656" s="11"/>
      <c r="G1656" s="2">
        <v>10000</v>
      </c>
      <c r="I1656" s="2">
        <f t="shared" si="105"/>
        <v>15188.269999999999</v>
      </c>
      <c r="N1656" s="2">
        <f t="shared" ref="N1656:N1695" si="107">IF((G1656+H1656)&lt;=5000,(H1656+G1656)*0.004,20)+IF(E1656="Y",25,0)</f>
        <v>20</v>
      </c>
    </row>
    <row r="1657" spans="1:14" x14ac:dyDescent="0.25">
      <c r="A1657" s="3">
        <v>45217</v>
      </c>
      <c r="B1657" s="11" t="s">
        <v>3550</v>
      </c>
      <c r="C1657" s="48" t="s">
        <v>4122</v>
      </c>
      <c r="D1657" s="83"/>
      <c r="F1657" s="11"/>
      <c r="H1657" s="2">
        <v>1000</v>
      </c>
      <c r="I1657" s="2">
        <f t="shared" ref="I1657:I1669" si="108">I1656+G1657-H1657</f>
        <v>14188.269999999999</v>
      </c>
      <c r="N1657" s="2">
        <f t="shared" si="107"/>
        <v>4</v>
      </c>
    </row>
    <row r="1658" spans="1:14" x14ac:dyDescent="0.25">
      <c r="A1658" s="3">
        <v>45217</v>
      </c>
      <c r="B1658" s="11" t="s">
        <v>2748</v>
      </c>
      <c r="C1658" s="48" t="s">
        <v>1282</v>
      </c>
      <c r="D1658" s="83"/>
      <c r="F1658" s="11"/>
      <c r="H1658" s="2">
        <v>10000</v>
      </c>
      <c r="I1658" s="2">
        <f t="shared" si="108"/>
        <v>4188.2699999999986</v>
      </c>
      <c r="N1658" s="2">
        <f t="shared" si="107"/>
        <v>20</v>
      </c>
    </row>
    <row r="1659" spans="1:14" x14ac:dyDescent="0.25">
      <c r="A1659" s="3">
        <v>45217</v>
      </c>
      <c r="B1659" s="11" t="s">
        <v>3192</v>
      </c>
      <c r="C1659" s="48" t="s">
        <v>4123</v>
      </c>
      <c r="D1659" s="83"/>
      <c r="F1659" s="11"/>
      <c r="G1659" s="2">
        <v>10000</v>
      </c>
      <c r="I1659" s="2">
        <f t="shared" si="108"/>
        <v>14188.269999999999</v>
      </c>
      <c r="N1659" s="2">
        <f t="shared" si="107"/>
        <v>20</v>
      </c>
    </row>
    <row r="1660" spans="1:14" x14ac:dyDescent="0.25">
      <c r="A1660" s="3">
        <v>45217</v>
      </c>
      <c r="B1660" s="11" t="s">
        <v>4124</v>
      </c>
      <c r="C1660" s="48" t="s">
        <v>4125</v>
      </c>
      <c r="D1660" s="83"/>
      <c r="E1660" s="115" t="s">
        <v>16</v>
      </c>
      <c r="F1660" s="11"/>
      <c r="H1660" s="2">
        <v>400</v>
      </c>
      <c r="I1660" s="2">
        <f t="shared" si="108"/>
        <v>13788.269999999999</v>
      </c>
      <c r="N1660" s="2">
        <f t="shared" si="107"/>
        <v>26.6</v>
      </c>
    </row>
    <row r="1661" spans="1:14" x14ac:dyDescent="0.25">
      <c r="A1661" s="3">
        <v>45217</v>
      </c>
      <c r="B1661" s="11" t="s">
        <v>3612</v>
      </c>
      <c r="C1661" s="48" t="s">
        <v>4126</v>
      </c>
      <c r="D1661" s="83"/>
      <c r="F1661" s="11"/>
      <c r="G1661" s="2">
        <v>1000</v>
      </c>
      <c r="I1661" s="2">
        <f t="shared" si="108"/>
        <v>14788.269999999999</v>
      </c>
      <c r="N1661" s="2">
        <f t="shared" si="107"/>
        <v>4</v>
      </c>
    </row>
    <row r="1662" spans="1:14" x14ac:dyDescent="0.25">
      <c r="A1662" s="3">
        <v>45217</v>
      </c>
      <c r="B1662" s="11" t="s">
        <v>3918</v>
      </c>
      <c r="C1662" s="48" t="s">
        <v>2361</v>
      </c>
      <c r="D1662" s="83"/>
      <c r="F1662" s="11"/>
      <c r="H1662" s="2">
        <v>10000</v>
      </c>
      <c r="I1662" s="2">
        <f t="shared" si="108"/>
        <v>4788.2699999999986</v>
      </c>
      <c r="N1662" s="2">
        <f t="shared" si="107"/>
        <v>20</v>
      </c>
    </row>
    <row r="1663" spans="1:14" x14ac:dyDescent="0.25">
      <c r="A1663" s="3">
        <v>45218</v>
      </c>
      <c r="B1663" s="11" t="s">
        <v>3276</v>
      </c>
      <c r="C1663" s="48" t="s">
        <v>4130</v>
      </c>
      <c r="D1663" s="83">
        <v>9471591646</v>
      </c>
      <c r="F1663" s="11"/>
      <c r="G1663" s="2">
        <v>2000</v>
      </c>
      <c r="I1663" s="2">
        <f t="shared" si="108"/>
        <v>6788.2699999999986</v>
      </c>
      <c r="N1663" s="2">
        <f t="shared" si="107"/>
        <v>8</v>
      </c>
    </row>
    <row r="1664" spans="1:14" x14ac:dyDescent="0.25">
      <c r="A1664" s="3">
        <v>45218</v>
      </c>
      <c r="B1664" s="11" t="s">
        <v>4128</v>
      </c>
      <c r="C1664" s="48" t="s">
        <v>4129</v>
      </c>
      <c r="D1664" s="83">
        <v>8797471898</v>
      </c>
      <c r="F1664" s="11"/>
      <c r="H1664" s="2">
        <v>5000</v>
      </c>
      <c r="I1664" s="2">
        <f t="shared" si="108"/>
        <v>1788.2699999999986</v>
      </c>
      <c r="N1664" s="2">
        <f t="shared" si="107"/>
        <v>20</v>
      </c>
    </row>
    <row r="1665" spans="1:14" x14ac:dyDescent="0.25">
      <c r="A1665" s="3">
        <v>45218</v>
      </c>
      <c r="B1665" s="11" t="s">
        <v>3962</v>
      </c>
      <c r="C1665" s="48" t="s">
        <v>4132</v>
      </c>
      <c r="D1665" s="83">
        <v>7045918708</v>
      </c>
      <c r="F1665" s="11"/>
      <c r="G1665" s="2">
        <v>8000</v>
      </c>
      <c r="I1665" s="2">
        <f t="shared" si="108"/>
        <v>9788.2699999999986</v>
      </c>
      <c r="N1665" s="2">
        <f t="shared" si="107"/>
        <v>20</v>
      </c>
    </row>
    <row r="1666" spans="1:14" x14ac:dyDescent="0.25">
      <c r="A1666" s="3">
        <v>45219</v>
      </c>
      <c r="B1666" s="11" t="s">
        <v>4128</v>
      </c>
      <c r="C1666" s="48" t="s">
        <v>4131</v>
      </c>
      <c r="D1666" s="83"/>
      <c r="F1666" s="11"/>
      <c r="H1666" s="2">
        <v>3500</v>
      </c>
      <c r="I1666" s="2">
        <f t="shared" si="108"/>
        <v>6288.2699999999986</v>
      </c>
      <c r="N1666" s="2">
        <f t="shared" si="107"/>
        <v>14</v>
      </c>
    </row>
    <row r="1667" spans="1:14" x14ac:dyDescent="0.25">
      <c r="A1667" s="3">
        <v>45219</v>
      </c>
      <c r="B1667" s="11" t="s">
        <v>2748</v>
      </c>
      <c r="C1667" s="48" t="s">
        <v>1282</v>
      </c>
      <c r="D1667" s="83"/>
      <c r="F1667" s="11"/>
      <c r="H1667" s="2">
        <v>3000</v>
      </c>
      <c r="I1667" s="2">
        <f t="shared" si="108"/>
        <v>3288.2699999999986</v>
      </c>
      <c r="N1667" s="2">
        <f t="shared" si="107"/>
        <v>12</v>
      </c>
    </row>
    <row r="1668" spans="1:14" x14ac:dyDescent="0.25">
      <c r="A1668" s="3">
        <v>45219</v>
      </c>
      <c r="B1668" s="11" t="s">
        <v>1253</v>
      </c>
      <c r="C1668" s="48" t="s">
        <v>4133</v>
      </c>
      <c r="D1668" s="83"/>
      <c r="F1668" s="11"/>
      <c r="G1668" s="2">
        <v>1000</v>
      </c>
      <c r="I1668" s="2">
        <f t="shared" si="108"/>
        <v>4288.2699999999986</v>
      </c>
      <c r="N1668" s="2">
        <f t="shared" si="107"/>
        <v>4</v>
      </c>
    </row>
    <row r="1669" spans="1:14" x14ac:dyDescent="0.25">
      <c r="A1669" s="3">
        <v>45219</v>
      </c>
      <c r="B1669" s="11" t="s">
        <v>2438</v>
      </c>
      <c r="C1669" t="s">
        <v>2439</v>
      </c>
      <c r="D1669" s="83">
        <v>7209530774</v>
      </c>
      <c r="F1669" s="11"/>
      <c r="G1669" s="2">
        <v>1000</v>
      </c>
      <c r="I1669" s="2">
        <f t="shared" si="108"/>
        <v>5288.2699999999986</v>
      </c>
      <c r="N1669" s="2">
        <f t="shared" si="107"/>
        <v>4</v>
      </c>
    </row>
    <row r="1670" spans="1:14" x14ac:dyDescent="0.25">
      <c r="A1670" s="3">
        <v>45220</v>
      </c>
      <c r="B1670" s="11" t="s">
        <v>2247</v>
      </c>
      <c r="C1670" t="s">
        <v>2655</v>
      </c>
      <c r="D1670" s="83">
        <v>6294902878</v>
      </c>
      <c r="F1670" s="11"/>
      <c r="G1670" s="2">
        <v>5000</v>
      </c>
      <c r="I1670" s="2">
        <f t="shared" ref="I1670:I1676" si="109">I1669+G1670-H1670</f>
        <v>10288.269999999999</v>
      </c>
      <c r="N1670" s="2">
        <f t="shared" si="107"/>
        <v>20</v>
      </c>
    </row>
    <row r="1671" spans="1:14" x14ac:dyDescent="0.25">
      <c r="A1671" s="3">
        <v>45220</v>
      </c>
      <c r="B1671" s="11" t="s">
        <v>4134</v>
      </c>
      <c r="C1671" t="s">
        <v>4135</v>
      </c>
      <c r="D1671" s="83"/>
      <c r="F1671" s="11"/>
      <c r="H1671" s="2">
        <v>6000</v>
      </c>
      <c r="I1671" s="2">
        <f t="shared" si="109"/>
        <v>4288.2699999999986</v>
      </c>
      <c r="N1671" s="2">
        <f t="shared" si="107"/>
        <v>20</v>
      </c>
    </row>
    <row r="1672" spans="1:14" x14ac:dyDescent="0.25">
      <c r="A1672" s="3">
        <v>45220</v>
      </c>
      <c r="B1672" s="11" t="s">
        <v>3918</v>
      </c>
      <c r="C1672" t="s">
        <v>2361</v>
      </c>
      <c r="D1672" s="83"/>
      <c r="F1672" s="11"/>
      <c r="H1672" s="2">
        <v>1200</v>
      </c>
      <c r="I1672" s="2">
        <f t="shared" si="109"/>
        <v>3088.2699999999986</v>
      </c>
      <c r="N1672" s="2">
        <f t="shared" si="107"/>
        <v>4.8</v>
      </c>
    </row>
    <row r="1673" spans="1:14" x14ac:dyDescent="0.25">
      <c r="A1673" s="3">
        <v>45220</v>
      </c>
      <c r="B1673" s="11" t="s">
        <v>3917</v>
      </c>
      <c r="C1673" t="s">
        <v>2192</v>
      </c>
      <c r="D1673" s="83"/>
      <c r="F1673" s="11"/>
      <c r="H1673" s="2">
        <v>900</v>
      </c>
      <c r="I1673" s="2">
        <f t="shared" si="109"/>
        <v>2188.2699999999986</v>
      </c>
      <c r="N1673" s="2">
        <f t="shared" si="107"/>
        <v>3.6</v>
      </c>
    </row>
    <row r="1674" spans="1:14" x14ac:dyDescent="0.25">
      <c r="A1674" s="3">
        <v>45222</v>
      </c>
      <c r="B1674" s="11" t="s">
        <v>1163</v>
      </c>
      <c r="C1674" t="s">
        <v>4137</v>
      </c>
      <c r="D1674" s="83"/>
      <c r="F1674" s="11"/>
      <c r="G1674" s="2">
        <v>300</v>
      </c>
      <c r="I1674" s="2">
        <f t="shared" si="109"/>
        <v>2488.2699999999986</v>
      </c>
      <c r="N1674" s="2">
        <f t="shared" si="107"/>
        <v>1.2</v>
      </c>
    </row>
    <row r="1675" spans="1:14" x14ac:dyDescent="0.25">
      <c r="A1675" s="3">
        <v>45222</v>
      </c>
      <c r="B1675" s="11" t="s">
        <v>4138</v>
      </c>
      <c r="C1675" t="s">
        <v>4139</v>
      </c>
      <c r="D1675" s="83"/>
      <c r="F1675" s="11"/>
      <c r="G1675" s="2">
        <v>5000</v>
      </c>
      <c r="I1675" s="2">
        <f t="shared" si="109"/>
        <v>7488.2699999999986</v>
      </c>
      <c r="N1675" s="2">
        <f t="shared" si="107"/>
        <v>20</v>
      </c>
    </row>
    <row r="1676" spans="1:14" x14ac:dyDescent="0.25">
      <c r="A1676" s="3">
        <v>45223</v>
      </c>
      <c r="B1676" s="11" t="s">
        <v>1253</v>
      </c>
      <c r="C1676" t="s">
        <v>2766</v>
      </c>
      <c r="D1676" s="83"/>
      <c r="F1676" s="11"/>
      <c r="G1676" s="2">
        <v>500</v>
      </c>
      <c r="I1676" s="2">
        <f t="shared" si="109"/>
        <v>7988.2699999999986</v>
      </c>
      <c r="N1676" s="2">
        <f t="shared" si="107"/>
        <v>2</v>
      </c>
    </row>
    <row r="1677" spans="1:14" x14ac:dyDescent="0.25">
      <c r="A1677" s="3">
        <v>45224</v>
      </c>
      <c r="B1677" s="11" t="s">
        <v>2748</v>
      </c>
      <c r="C1677" t="s">
        <v>2816</v>
      </c>
      <c r="D1677" s="83"/>
      <c r="F1677" s="11"/>
      <c r="H1677" s="2">
        <v>5000</v>
      </c>
      <c r="I1677" s="2">
        <f t="shared" ref="I1677:I1686" si="110">I1676+G1677-H1677</f>
        <v>2988.2699999999986</v>
      </c>
      <c r="N1677" s="2">
        <f t="shared" si="107"/>
        <v>20</v>
      </c>
    </row>
    <row r="1678" spans="1:14" x14ac:dyDescent="0.25">
      <c r="A1678" s="3">
        <v>45224</v>
      </c>
      <c r="B1678" s="11" t="s">
        <v>4140</v>
      </c>
      <c r="C1678" t="s">
        <v>4141</v>
      </c>
      <c r="D1678" s="83"/>
      <c r="E1678" s="115" t="s">
        <v>16</v>
      </c>
      <c r="F1678" s="11"/>
      <c r="H1678" s="2">
        <v>100</v>
      </c>
      <c r="I1678" s="2">
        <f t="shared" si="110"/>
        <v>2888.2699999999986</v>
      </c>
      <c r="N1678" s="2">
        <f t="shared" si="107"/>
        <v>25.4</v>
      </c>
    </row>
    <row r="1679" spans="1:14" x14ac:dyDescent="0.25">
      <c r="A1679" s="3">
        <v>45225</v>
      </c>
      <c r="B1679" s="11" t="s">
        <v>3334</v>
      </c>
      <c r="D1679" s="83"/>
      <c r="F1679" s="11"/>
      <c r="G1679" s="2">
        <v>1000</v>
      </c>
      <c r="I1679" s="2">
        <f t="shared" si="110"/>
        <v>3888.2699999999986</v>
      </c>
      <c r="N1679" s="2">
        <f t="shared" si="107"/>
        <v>4</v>
      </c>
    </row>
    <row r="1680" spans="1:14" x14ac:dyDescent="0.25">
      <c r="A1680" s="3">
        <v>45226</v>
      </c>
      <c r="B1680" s="11" t="s">
        <v>2554</v>
      </c>
      <c r="C1680" t="s">
        <v>2560</v>
      </c>
      <c r="D1680" s="83"/>
      <c r="F1680" s="11"/>
      <c r="G1680" s="2">
        <v>5000</v>
      </c>
      <c r="I1680" s="2">
        <f t="shared" si="110"/>
        <v>8888.2699999999986</v>
      </c>
      <c r="N1680" s="2">
        <f t="shared" si="107"/>
        <v>20</v>
      </c>
    </row>
    <row r="1681" spans="1:14" x14ac:dyDescent="0.25">
      <c r="A1681" s="3">
        <v>45226</v>
      </c>
      <c r="B1681" s="11" t="s">
        <v>4146</v>
      </c>
      <c r="C1681" t="s">
        <v>4147</v>
      </c>
      <c r="D1681" s="83"/>
      <c r="E1681" s="115" t="s">
        <v>16</v>
      </c>
      <c r="F1681" s="11"/>
      <c r="H1681" s="2">
        <v>100</v>
      </c>
      <c r="I1681" s="2">
        <f t="shared" si="110"/>
        <v>8788.2699999999986</v>
      </c>
      <c r="N1681" s="2">
        <f t="shared" si="107"/>
        <v>25.4</v>
      </c>
    </row>
    <row r="1682" spans="1:14" x14ac:dyDescent="0.25">
      <c r="A1682" s="3">
        <v>45226</v>
      </c>
      <c r="B1682" s="11" t="s">
        <v>2472</v>
      </c>
      <c r="C1682" t="s">
        <v>2280</v>
      </c>
      <c r="D1682" s="83"/>
      <c r="F1682" s="11"/>
      <c r="H1682" s="2">
        <v>7000</v>
      </c>
      <c r="I1682" s="2">
        <f t="shared" si="110"/>
        <v>1788.2699999999986</v>
      </c>
      <c r="N1682" s="2">
        <f t="shared" si="107"/>
        <v>20</v>
      </c>
    </row>
    <row r="1683" spans="1:14" x14ac:dyDescent="0.25">
      <c r="A1683" s="3">
        <v>45226</v>
      </c>
      <c r="B1683" s="11" t="s">
        <v>4149</v>
      </c>
      <c r="C1683" t="s">
        <v>4150</v>
      </c>
      <c r="D1683" s="83"/>
      <c r="E1683" s="115" t="s">
        <v>16</v>
      </c>
      <c r="F1683" s="11"/>
      <c r="H1683" s="2">
        <v>500</v>
      </c>
      <c r="I1683" s="2">
        <f t="shared" si="110"/>
        <v>1288.2699999999986</v>
      </c>
      <c r="N1683" s="2">
        <f t="shared" si="107"/>
        <v>27</v>
      </c>
    </row>
    <row r="1684" spans="1:14" x14ac:dyDescent="0.25">
      <c r="A1684" s="3">
        <v>45226</v>
      </c>
      <c r="B1684" s="4">
        <v>576</v>
      </c>
      <c r="C1684" t="s">
        <v>2408</v>
      </c>
      <c r="D1684" s="83"/>
      <c r="F1684" s="11"/>
      <c r="G1684" s="2">
        <v>1100</v>
      </c>
      <c r="I1684" s="2">
        <f t="shared" si="110"/>
        <v>2388.2699999999986</v>
      </c>
      <c r="N1684" s="2">
        <f t="shared" si="107"/>
        <v>4.4000000000000004</v>
      </c>
    </row>
    <row r="1685" spans="1:14" x14ac:dyDescent="0.25">
      <c r="A1685" s="3">
        <v>45229</v>
      </c>
      <c r="B1685" s="11" t="s">
        <v>2247</v>
      </c>
      <c r="C1685" t="s">
        <v>4153</v>
      </c>
      <c r="D1685" s="83">
        <v>9263944408</v>
      </c>
      <c r="F1685" s="11"/>
      <c r="G1685" s="2">
        <v>1000</v>
      </c>
      <c r="I1685" s="2">
        <f t="shared" si="110"/>
        <v>3388.2699999999986</v>
      </c>
      <c r="N1685" s="2">
        <f t="shared" si="107"/>
        <v>4</v>
      </c>
    </row>
    <row r="1686" spans="1:14" x14ac:dyDescent="0.25">
      <c r="A1686" s="3">
        <v>45229</v>
      </c>
      <c r="B1686" s="11" t="s">
        <v>4154</v>
      </c>
      <c r="C1686" t="s">
        <v>2408</v>
      </c>
      <c r="D1686" s="83"/>
      <c r="F1686" s="11"/>
      <c r="G1686" s="2">
        <v>1800</v>
      </c>
      <c r="I1686" s="2">
        <f t="shared" si="110"/>
        <v>5188.2699999999986</v>
      </c>
      <c r="N1686" s="2">
        <f t="shared" si="107"/>
        <v>7.2</v>
      </c>
    </row>
    <row r="1687" spans="1:14" x14ac:dyDescent="0.25">
      <c r="A1687" s="3">
        <v>45229</v>
      </c>
      <c r="B1687" s="11" t="s">
        <v>3917</v>
      </c>
      <c r="C1687" t="s">
        <v>2192</v>
      </c>
      <c r="D1687" s="83"/>
      <c r="F1687" s="11"/>
      <c r="G1687" s="2">
        <v>3000</v>
      </c>
      <c r="I1687" s="2">
        <f t="shared" ref="I1687:I1696" si="111">I1686+G1687-H1687</f>
        <v>8188.2699999999986</v>
      </c>
      <c r="N1687" s="2">
        <f t="shared" si="107"/>
        <v>12</v>
      </c>
    </row>
    <row r="1688" spans="1:14" x14ac:dyDescent="0.25">
      <c r="A1688" s="3">
        <v>45229</v>
      </c>
      <c r="B1688" s="11" t="s">
        <v>2472</v>
      </c>
      <c r="C1688" t="s">
        <v>4155</v>
      </c>
      <c r="D1688" s="83"/>
      <c r="F1688" s="11"/>
      <c r="H1688" s="2">
        <v>8000</v>
      </c>
      <c r="I1688" s="2">
        <f t="shared" si="111"/>
        <v>188.26999999999862</v>
      </c>
      <c r="N1688" s="2">
        <f t="shared" si="107"/>
        <v>20</v>
      </c>
    </row>
    <row r="1689" spans="1:14" x14ac:dyDescent="0.25">
      <c r="A1689" s="3">
        <v>45229</v>
      </c>
      <c r="B1689" s="11" t="s">
        <v>4156</v>
      </c>
      <c r="C1689" t="s">
        <v>4157</v>
      </c>
      <c r="D1689" s="83"/>
      <c r="E1689" s="115" t="s">
        <v>16</v>
      </c>
      <c r="F1689" s="11"/>
      <c r="H1689" s="2">
        <v>100</v>
      </c>
      <c r="I1689" s="2">
        <f t="shared" si="111"/>
        <v>88.269999999998618</v>
      </c>
      <c r="N1689" s="2">
        <f t="shared" si="107"/>
        <v>25.4</v>
      </c>
    </row>
    <row r="1690" spans="1:14" x14ac:dyDescent="0.25">
      <c r="A1690" s="3">
        <v>45230</v>
      </c>
      <c r="B1690" s="11" t="s">
        <v>1253</v>
      </c>
      <c r="D1690" s="83"/>
      <c r="F1690" s="11"/>
      <c r="G1690" s="2">
        <v>400</v>
      </c>
      <c r="I1690" s="2">
        <f t="shared" si="111"/>
        <v>488.26999999999862</v>
      </c>
      <c r="N1690" s="2">
        <f t="shared" si="107"/>
        <v>1.6</v>
      </c>
    </row>
    <row r="1691" spans="1:14" x14ac:dyDescent="0.25">
      <c r="A1691" s="3">
        <v>45230</v>
      </c>
      <c r="B1691" s="11" t="s">
        <v>4138</v>
      </c>
      <c r="C1691" t="s">
        <v>4139</v>
      </c>
      <c r="D1691" s="83"/>
      <c r="F1691" s="11"/>
      <c r="G1691" s="2">
        <v>3000</v>
      </c>
      <c r="I1691" s="2">
        <f t="shared" si="111"/>
        <v>3488.2699999999986</v>
      </c>
      <c r="N1691" s="2">
        <f t="shared" si="107"/>
        <v>12</v>
      </c>
    </row>
    <row r="1692" spans="1:14" x14ac:dyDescent="0.25">
      <c r="A1692" s="3">
        <v>45230</v>
      </c>
      <c r="B1692" s="11" t="s">
        <v>4154</v>
      </c>
      <c r="C1692" t="s">
        <v>2408</v>
      </c>
      <c r="D1692" s="83"/>
      <c r="F1692" s="11"/>
      <c r="G1692" s="2">
        <v>900</v>
      </c>
      <c r="I1692" s="2">
        <f t="shared" si="111"/>
        <v>4388.2699999999986</v>
      </c>
      <c r="N1692" s="2">
        <f t="shared" si="107"/>
        <v>3.6</v>
      </c>
    </row>
    <row r="1693" spans="1:14" x14ac:dyDescent="0.25">
      <c r="A1693" s="3">
        <v>45230</v>
      </c>
      <c r="B1693" s="11" t="s">
        <v>3918</v>
      </c>
      <c r="C1693" t="s">
        <v>2361</v>
      </c>
      <c r="D1693" s="83"/>
      <c r="F1693" s="11"/>
      <c r="G1693" s="2">
        <v>1000</v>
      </c>
      <c r="I1693" s="2">
        <f t="shared" si="111"/>
        <v>5388.2699999999986</v>
      </c>
      <c r="N1693" s="2">
        <f t="shared" si="107"/>
        <v>4</v>
      </c>
    </row>
    <row r="1694" spans="1:14" x14ac:dyDescent="0.25">
      <c r="A1694" s="3">
        <v>45230</v>
      </c>
      <c r="B1694" s="11" t="s">
        <v>2472</v>
      </c>
      <c r="C1694" t="s">
        <v>4115</v>
      </c>
      <c r="D1694" s="83"/>
      <c r="F1694" s="11"/>
      <c r="H1694" s="2">
        <v>5000</v>
      </c>
      <c r="I1694" s="2">
        <f t="shared" si="111"/>
        <v>388.26999999999862</v>
      </c>
      <c r="N1694" s="2">
        <f t="shared" si="107"/>
        <v>20</v>
      </c>
    </row>
    <row r="1695" spans="1:14" x14ac:dyDescent="0.25">
      <c r="A1695" s="3">
        <v>45230</v>
      </c>
      <c r="B1695" s="11" t="s">
        <v>3082</v>
      </c>
      <c r="C1695" t="s">
        <v>3715</v>
      </c>
      <c r="D1695" s="83"/>
      <c r="F1695" s="11"/>
      <c r="G1695" s="2">
        <v>4000</v>
      </c>
      <c r="I1695" s="2">
        <f t="shared" si="111"/>
        <v>4388.2699999999986</v>
      </c>
      <c r="N1695" s="2">
        <f t="shared" si="107"/>
        <v>16</v>
      </c>
    </row>
    <row r="1696" spans="1:14" x14ac:dyDescent="0.25">
      <c r="A1696" s="3">
        <v>45230</v>
      </c>
      <c r="B1696" s="11" t="s">
        <v>3917</v>
      </c>
      <c r="C1696" t="s">
        <v>2192</v>
      </c>
      <c r="D1696" s="83"/>
      <c r="F1696" s="11"/>
      <c r="H1696" s="2">
        <v>2100</v>
      </c>
      <c r="I1696" s="2">
        <f t="shared" si="111"/>
        <v>2288.2699999999986</v>
      </c>
    </row>
    <row r="1697" spans="1:16" x14ac:dyDescent="0.25">
      <c r="A1697" s="3"/>
      <c r="C1697" s="48"/>
      <c r="D1697" s="59"/>
      <c r="F1697" s="11"/>
      <c r="N1697" s="2">
        <f>IF((G1697+H1697)&lt;=5000,(H1697+G1697)*0.004,20)+IF(E1697="Y",25,0)</f>
        <v>0</v>
      </c>
    </row>
    <row r="1698" spans="1:16" x14ac:dyDescent="0.25">
      <c r="A1698" s="97">
        <f>COUNT(A1595:A1697)</f>
        <v>102</v>
      </c>
      <c r="B1698" s="102"/>
      <c r="C1698" s="27"/>
      <c r="D1698" s="139"/>
      <c r="E1698" s="117">
        <f>COUNTIF(E1595:E1697,"Y")</f>
        <v>9</v>
      </c>
      <c r="F1698" s="97">
        <f>G1698+H1698</f>
        <v>321811.34999999998</v>
      </c>
      <c r="G1698" s="107">
        <f>SUM(G1595:G1697)</f>
        <v>157711.35</v>
      </c>
      <c r="H1698" s="107">
        <f>SUM(H1595:H1697)</f>
        <v>164100</v>
      </c>
      <c r="I1698" s="107"/>
      <c r="J1698" s="102"/>
      <c r="K1698" s="102"/>
      <c r="L1698" s="102"/>
      <c r="M1698" s="102"/>
      <c r="N1698" s="107">
        <f>SUM(N1595:N1697)</f>
        <v>1265.2000000000003</v>
      </c>
      <c r="O1698" s="102"/>
      <c r="P1698" s="97"/>
    </row>
    <row r="1699" spans="1:16" x14ac:dyDescent="0.25">
      <c r="C1699" s="48"/>
      <c r="D1699" s="59"/>
      <c r="F1699" s="11"/>
    </row>
    <row r="1700" spans="1:16" x14ac:dyDescent="0.25">
      <c r="A1700" s="3">
        <v>45231</v>
      </c>
      <c r="C1700" s="48" t="s">
        <v>4159</v>
      </c>
      <c r="D1700" s="59"/>
      <c r="F1700" s="11"/>
      <c r="I1700" s="2">
        <f>I1696</f>
        <v>2288.2699999999986</v>
      </c>
    </row>
    <row r="1701" spans="1:16" x14ac:dyDescent="0.25">
      <c r="A1701" s="3">
        <v>45231</v>
      </c>
      <c r="B1701" s="11" t="s">
        <v>2365</v>
      </c>
      <c r="C1701" t="s">
        <v>4160</v>
      </c>
      <c r="D1701" s="83"/>
      <c r="F1701" s="11"/>
      <c r="G1701" s="2">
        <v>3000</v>
      </c>
      <c r="I1701" s="2">
        <f t="shared" ref="I1701:I1708" si="112">I1700+G1701-H1701</f>
        <v>5288.2699999999986</v>
      </c>
      <c r="N1701" s="2">
        <f t="shared" ref="N1701:N1708" si="113">IF((G1701+H1701)&lt;=5000,(H1701+G1701)*0.004,20)+IF(E1701="Y",25,0)</f>
        <v>12</v>
      </c>
    </row>
    <row r="1702" spans="1:16" x14ac:dyDescent="0.25">
      <c r="A1702" s="3">
        <v>45231</v>
      </c>
      <c r="B1702" s="11" t="s">
        <v>3918</v>
      </c>
      <c r="C1702" t="s">
        <v>2361</v>
      </c>
      <c r="D1702" s="83"/>
      <c r="F1702" s="11"/>
      <c r="H1702" s="2">
        <v>1000</v>
      </c>
      <c r="I1702" s="2">
        <f t="shared" si="112"/>
        <v>4288.2699999999986</v>
      </c>
      <c r="N1702" s="2">
        <f t="shared" si="113"/>
        <v>4</v>
      </c>
    </row>
    <row r="1703" spans="1:16" x14ac:dyDescent="0.25">
      <c r="A1703" s="3">
        <v>45231</v>
      </c>
      <c r="B1703" s="11" t="s">
        <v>3082</v>
      </c>
      <c r="C1703" t="s">
        <v>3715</v>
      </c>
      <c r="D1703" s="83"/>
      <c r="F1703" s="11"/>
      <c r="G1703" s="2">
        <v>3000</v>
      </c>
      <c r="I1703" s="2">
        <f t="shared" si="112"/>
        <v>7288.2699999999986</v>
      </c>
      <c r="N1703" s="2">
        <f t="shared" si="113"/>
        <v>12</v>
      </c>
    </row>
    <row r="1704" spans="1:16" x14ac:dyDescent="0.25">
      <c r="A1704" s="3">
        <v>45232</v>
      </c>
      <c r="B1704" s="11" t="s">
        <v>4154</v>
      </c>
      <c r="C1704" t="s">
        <v>2408</v>
      </c>
      <c r="D1704" s="83"/>
      <c r="F1704" s="11"/>
      <c r="G1704" s="2">
        <v>500</v>
      </c>
      <c r="I1704" s="2">
        <f t="shared" si="112"/>
        <v>7788.2699999999986</v>
      </c>
      <c r="N1704" s="2">
        <f t="shared" si="113"/>
        <v>2</v>
      </c>
    </row>
    <row r="1705" spans="1:16" x14ac:dyDescent="0.25">
      <c r="A1705" s="3">
        <v>45232</v>
      </c>
      <c r="B1705" s="11" t="s">
        <v>3587</v>
      </c>
      <c r="C1705" t="s">
        <v>3720</v>
      </c>
      <c r="D1705" s="83"/>
      <c r="F1705" s="11"/>
      <c r="G1705" s="2">
        <v>1000</v>
      </c>
      <c r="I1705" s="2">
        <f t="shared" si="112"/>
        <v>8788.2699999999986</v>
      </c>
      <c r="N1705" s="2">
        <f t="shared" si="113"/>
        <v>4</v>
      </c>
    </row>
    <row r="1706" spans="1:16" x14ac:dyDescent="0.25">
      <c r="A1706" s="3">
        <v>45233</v>
      </c>
      <c r="B1706" s="11" t="s">
        <v>2365</v>
      </c>
      <c r="C1706">
        <v>875223275416</v>
      </c>
      <c r="D1706" s="83"/>
      <c r="F1706" s="11"/>
      <c r="G1706" s="2">
        <v>1000</v>
      </c>
      <c r="I1706" s="2">
        <f t="shared" si="112"/>
        <v>9788.2699999999986</v>
      </c>
      <c r="N1706" s="2">
        <f t="shared" si="113"/>
        <v>4</v>
      </c>
    </row>
    <row r="1707" spans="1:16" x14ac:dyDescent="0.25">
      <c r="A1707" s="3">
        <v>45233</v>
      </c>
      <c r="B1707" s="11" t="s">
        <v>2198</v>
      </c>
      <c r="C1707" t="s">
        <v>2290</v>
      </c>
      <c r="D1707" s="83"/>
      <c r="F1707" s="11"/>
      <c r="G1707" s="2">
        <v>500</v>
      </c>
      <c r="I1707" s="2">
        <f t="shared" si="112"/>
        <v>10288.269999999999</v>
      </c>
      <c r="N1707" s="2">
        <f t="shared" si="113"/>
        <v>2</v>
      </c>
    </row>
    <row r="1708" spans="1:16" x14ac:dyDescent="0.25">
      <c r="A1708" s="3">
        <v>45233</v>
      </c>
      <c r="B1708" s="11" t="s">
        <v>4161</v>
      </c>
      <c r="C1708" t="s">
        <v>4162</v>
      </c>
      <c r="D1708" s="83"/>
      <c r="E1708" s="115" t="s">
        <v>16</v>
      </c>
      <c r="F1708" s="11"/>
      <c r="G1708" s="2">
        <v>100</v>
      </c>
      <c r="I1708" s="2">
        <f t="shared" si="112"/>
        <v>10388.269999999999</v>
      </c>
      <c r="N1708" s="2">
        <f t="shared" si="113"/>
        <v>25.4</v>
      </c>
    </row>
    <row r="1709" spans="1:16" x14ac:dyDescent="0.25">
      <c r="A1709" s="3">
        <v>45233</v>
      </c>
      <c r="B1709" s="11" t="s">
        <v>2748</v>
      </c>
      <c r="C1709" t="s">
        <v>1282</v>
      </c>
      <c r="D1709" s="83"/>
      <c r="F1709" s="11"/>
      <c r="H1709" s="2">
        <v>5000</v>
      </c>
      <c r="I1709" s="2">
        <f t="shared" ref="I1709:I1721" si="114">I1708+G1709-H1709</f>
        <v>5388.2699999999986</v>
      </c>
      <c r="N1709" s="2">
        <f t="shared" ref="N1709:N1721" si="115">IF((G1709+H1709)&lt;=5000,(H1709+G1709)*0.004,20)+IF(E1709="Y",25,0)</f>
        <v>20</v>
      </c>
    </row>
    <row r="1710" spans="1:16" x14ac:dyDescent="0.25">
      <c r="A1710" s="3">
        <v>45234</v>
      </c>
      <c r="B1710" s="11" t="s">
        <v>2904</v>
      </c>
      <c r="C1710" t="s">
        <v>4166</v>
      </c>
      <c r="D1710" s="83"/>
      <c r="F1710" s="11"/>
      <c r="G1710" s="2">
        <v>1000</v>
      </c>
      <c r="I1710" s="2">
        <f t="shared" si="114"/>
        <v>6388.2699999999986</v>
      </c>
      <c r="N1710" s="2">
        <f t="shared" si="115"/>
        <v>4</v>
      </c>
    </row>
    <row r="1711" spans="1:16" x14ac:dyDescent="0.25">
      <c r="A1711" s="3">
        <v>45236</v>
      </c>
      <c r="B1711" s="11" t="s">
        <v>4167</v>
      </c>
      <c r="D1711" s="83"/>
      <c r="E1711" s="115" t="s">
        <v>16</v>
      </c>
      <c r="F1711" s="11"/>
      <c r="H1711" s="2">
        <v>100</v>
      </c>
      <c r="I1711" s="2">
        <f t="shared" si="114"/>
        <v>6288.2699999999986</v>
      </c>
      <c r="N1711" s="2">
        <f t="shared" si="115"/>
        <v>25.4</v>
      </c>
    </row>
    <row r="1712" spans="1:16" x14ac:dyDescent="0.25">
      <c r="A1712" s="3">
        <v>45236</v>
      </c>
      <c r="B1712" s="11" t="s">
        <v>4168</v>
      </c>
      <c r="C1712" t="s">
        <v>4169</v>
      </c>
      <c r="D1712" s="83"/>
      <c r="E1712" s="115" t="s">
        <v>16</v>
      </c>
      <c r="F1712" s="11"/>
      <c r="H1712" s="2">
        <v>500</v>
      </c>
      <c r="I1712" s="2">
        <f t="shared" si="114"/>
        <v>5788.2699999999986</v>
      </c>
      <c r="N1712" s="2">
        <f t="shared" si="115"/>
        <v>27</v>
      </c>
    </row>
    <row r="1713" spans="1:14" x14ac:dyDescent="0.25">
      <c r="A1713" s="3">
        <v>45238</v>
      </c>
      <c r="B1713" s="11" t="s">
        <v>4138</v>
      </c>
      <c r="C1713" t="s">
        <v>4139</v>
      </c>
      <c r="D1713" s="83"/>
      <c r="F1713" s="11"/>
      <c r="G1713" s="2">
        <v>6000</v>
      </c>
      <c r="I1713" s="2">
        <f t="shared" si="114"/>
        <v>11788.269999999999</v>
      </c>
      <c r="N1713" s="2">
        <f t="shared" si="115"/>
        <v>20</v>
      </c>
    </row>
    <row r="1714" spans="1:14" x14ac:dyDescent="0.25">
      <c r="A1714" s="3">
        <v>45238</v>
      </c>
      <c r="B1714" s="11" t="s">
        <v>4174</v>
      </c>
      <c r="C1714" t="s">
        <v>4175</v>
      </c>
      <c r="D1714" s="83">
        <v>9064726847</v>
      </c>
      <c r="F1714" s="11"/>
      <c r="G1714" s="2">
        <v>2000</v>
      </c>
      <c r="I1714" s="2">
        <f t="shared" si="114"/>
        <v>13788.269999999999</v>
      </c>
      <c r="N1714" s="2">
        <f t="shared" si="115"/>
        <v>8</v>
      </c>
    </row>
    <row r="1715" spans="1:14" x14ac:dyDescent="0.25">
      <c r="A1715" s="3">
        <v>45238</v>
      </c>
      <c r="B1715" s="11" t="s">
        <v>3918</v>
      </c>
      <c r="C1715" t="s">
        <v>4176</v>
      </c>
      <c r="D1715" s="83"/>
      <c r="F1715" s="11"/>
      <c r="H1715" s="2">
        <v>4200</v>
      </c>
      <c r="I1715" s="2">
        <f t="shared" si="114"/>
        <v>9588.2699999999986</v>
      </c>
      <c r="N1715" s="2">
        <f t="shared" si="115"/>
        <v>16.8</v>
      </c>
    </row>
    <row r="1716" spans="1:14" x14ac:dyDescent="0.25">
      <c r="A1716" s="3">
        <v>45238</v>
      </c>
      <c r="B1716" s="11" t="s">
        <v>3917</v>
      </c>
      <c r="C1716" t="s">
        <v>4177</v>
      </c>
      <c r="D1716" s="83"/>
      <c r="F1716" s="11"/>
      <c r="H1716" s="2">
        <v>4200</v>
      </c>
      <c r="I1716" s="2">
        <f t="shared" si="114"/>
        <v>5388.2699999999986</v>
      </c>
      <c r="N1716" s="2">
        <f t="shared" si="115"/>
        <v>16.8</v>
      </c>
    </row>
    <row r="1717" spans="1:14" x14ac:dyDescent="0.25">
      <c r="A1717" s="3">
        <v>45239</v>
      </c>
      <c r="B1717" s="11" t="s">
        <v>1253</v>
      </c>
      <c r="D1717" s="83"/>
      <c r="F1717" s="11"/>
      <c r="G1717" s="2">
        <v>200</v>
      </c>
      <c r="I1717" s="2">
        <f t="shared" si="114"/>
        <v>5588.2699999999986</v>
      </c>
      <c r="N1717" s="2">
        <f t="shared" si="115"/>
        <v>0.8</v>
      </c>
    </row>
    <row r="1718" spans="1:14" x14ac:dyDescent="0.25">
      <c r="A1718" s="3">
        <v>45239</v>
      </c>
      <c r="B1718" s="11" t="s">
        <v>1253</v>
      </c>
      <c r="C1718" t="s">
        <v>2654</v>
      </c>
      <c r="D1718" s="83"/>
      <c r="F1718" s="11"/>
      <c r="G1718" s="2">
        <v>5000</v>
      </c>
      <c r="I1718" s="2">
        <f t="shared" si="114"/>
        <v>10588.269999999999</v>
      </c>
      <c r="N1718" s="2">
        <f t="shared" si="115"/>
        <v>20</v>
      </c>
    </row>
    <row r="1719" spans="1:14" x14ac:dyDescent="0.25">
      <c r="A1719" s="3">
        <v>45239</v>
      </c>
      <c r="B1719" s="11" t="s">
        <v>2312</v>
      </c>
      <c r="C1719" t="s">
        <v>4180</v>
      </c>
      <c r="D1719" s="83"/>
      <c r="F1719" s="11"/>
      <c r="H1719" s="2">
        <v>1000</v>
      </c>
      <c r="I1719" s="2">
        <f t="shared" si="114"/>
        <v>9588.2699999999986</v>
      </c>
      <c r="N1719" s="2">
        <f t="shared" si="115"/>
        <v>4</v>
      </c>
    </row>
    <row r="1720" spans="1:14" x14ac:dyDescent="0.25">
      <c r="A1720" s="3">
        <v>45239</v>
      </c>
      <c r="B1720" s="11" t="s">
        <v>4181</v>
      </c>
      <c r="C1720" t="s">
        <v>4182</v>
      </c>
      <c r="D1720" s="83"/>
      <c r="F1720" s="11"/>
      <c r="G1720" s="2">
        <v>993.85</v>
      </c>
      <c r="I1720" s="2">
        <f t="shared" si="114"/>
        <v>10582.119999999999</v>
      </c>
      <c r="N1720" s="2">
        <f t="shared" si="115"/>
        <v>3.9754</v>
      </c>
    </row>
    <row r="1721" spans="1:14" x14ac:dyDescent="0.25">
      <c r="A1721" s="3">
        <v>45240</v>
      </c>
      <c r="B1721" s="11" t="s">
        <v>2748</v>
      </c>
      <c r="C1721" t="s">
        <v>1282</v>
      </c>
      <c r="D1721" s="83"/>
      <c r="F1721" s="11"/>
      <c r="H1721" s="2">
        <v>5000</v>
      </c>
      <c r="I1721" s="2">
        <f t="shared" si="114"/>
        <v>5582.119999999999</v>
      </c>
      <c r="N1721" s="2">
        <f t="shared" si="115"/>
        <v>20</v>
      </c>
    </row>
    <row r="1722" spans="1:14" x14ac:dyDescent="0.25">
      <c r="A1722" s="3">
        <v>45241</v>
      </c>
      <c r="B1722" s="11" t="s">
        <v>3192</v>
      </c>
      <c r="C1722" t="s">
        <v>3192</v>
      </c>
      <c r="D1722" s="83">
        <v>6206344407</v>
      </c>
      <c r="F1722" s="11"/>
      <c r="G1722" s="2">
        <v>10000</v>
      </c>
      <c r="I1722" s="2">
        <f t="shared" ref="I1722:I1785" si="116">I1721+G1722-H1722</f>
        <v>15582.119999999999</v>
      </c>
      <c r="N1722" s="2">
        <f t="shared" ref="N1722:N1789" si="117">IF((G1722+H1722)&lt;=5000,(H1722+G1722)*0.004,20)+IF(E1722="Y",25,0)</f>
        <v>20</v>
      </c>
    </row>
    <row r="1723" spans="1:14" x14ac:dyDescent="0.25">
      <c r="A1723" s="3">
        <v>45241</v>
      </c>
      <c r="B1723" s="11" t="s">
        <v>3806</v>
      </c>
      <c r="C1723" t="s">
        <v>4188</v>
      </c>
      <c r="D1723" s="83"/>
      <c r="F1723" s="11"/>
      <c r="H1723" s="2">
        <v>2500</v>
      </c>
      <c r="I1723" s="2">
        <f t="shared" si="116"/>
        <v>13082.119999999999</v>
      </c>
      <c r="N1723" s="2">
        <f t="shared" si="117"/>
        <v>10</v>
      </c>
    </row>
    <row r="1724" spans="1:14" x14ac:dyDescent="0.25">
      <c r="A1724" s="3">
        <v>45241</v>
      </c>
      <c r="B1724" s="11" t="s">
        <v>4189</v>
      </c>
      <c r="C1724" t="s">
        <v>2464</v>
      </c>
      <c r="D1724" s="83"/>
      <c r="F1724" s="11"/>
      <c r="G1724" s="2">
        <v>2000</v>
      </c>
      <c r="I1724" s="2">
        <f t="shared" si="116"/>
        <v>15082.119999999999</v>
      </c>
      <c r="N1724" s="2">
        <f t="shared" si="117"/>
        <v>8</v>
      </c>
    </row>
    <row r="1725" spans="1:14" x14ac:dyDescent="0.25">
      <c r="A1725" s="3">
        <v>45241</v>
      </c>
      <c r="B1725" s="11" t="s">
        <v>3045</v>
      </c>
      <c r="D1725" s="83"/>
      <c r="F1725" s="11"/>
      <c r="H1725" s="2">
        <v>10000</v>
      </c>
      <c r="I1725" s="2">
        <f t="shared" si="116"/>
        <v>5082.119999999999</v>
      </c>
      <c r="N1725" s="2">
        <f t="shared" si="117"/>
        <v>20</v>
      </c>
    </row>
    <row r="1726" spans="1:14" x14ac:dyDescent="0.25">
      <c r="A1726" s="3">
        <v>45241</v>
      </c>
      <c r="B1726" s="11" t="s">
        <v>1163</v>
      </c>
      <c r="C1726" t="s">
        <v>4190</v>
      </c>
      <c r="D1726" s="83"/>
      <c r="F1726" s="11"/>
      <c r="G1726" s="2">
        <v>5000</v>
      </c>
      <c r="I1726" s="2">
        <f t="shared" si="116"/>
        <v>10082.119999999999</v>
      </c>
      <c r="N1726" s="2">
        <f t="shared" si="117"/>
        <v>20</v>
      </c>
    </row>
    <row r="1727" spans="1:14" x14ac:dyDescent="0.25">
      <c r="A1727" s="3">
        <v>45241</v>
      </c>
      <c r="B1727" s="11" t="s">
        <v>1163</v>
      </c>
      <c r="C1727" t="s">
        <v>4191</v>
      </c>
      <c r="D1727" s="83"/>
      <c r="F1727" s="11"/>
      <c r="G1727" s="2">
        <v>1000</v>
      </c>
      <c r="I1727" s="2">
        <f t="shared" si="116"/>
        <v>11082.119999999999</v>
      </c>
      <c r="N1727" s="2">
        <f t="shared" si="117"/>
        <v>4</v>
      </c>
    </row>
    <row r="1728" spans="1:14" x14ac:dyDescent="0.25">
      <c r="A1728" s="3">
        <v>45242</v>
      </c>
      <c r="B1728" s="11" t="s">
        <v>1253</v>
      </c>
      <c r="C1728" t="s">
        <v>2408</v>
      </c>
      <c r="D1728" s="83"/>
      <c r="F1728" s="11"/>
      <c r="G1728" s="2">
        <v>600</v>
      </c>
      <c r="I1728" s="2">
        <f t="shared" si="116"/>
        <v>11682.119999999999</v>
      </c>
      <c r="N1728" s="2">
        <f t="shared" si="117"/>
        <v>2.4</v>
      </c>
    </row>
    <row r="1729" spans="1:14" x14ac:dyDescent="0.25">
      <c r="A1729" s="3">
        <v>45242</v>
      </c>
      <c r="B1729" s="11" t="s">
        <v>2767</v>
      </c>
      <c r="C1729" t="s">
        <v>1282</v>
      </c>
      <c r="D1729" s="83"/>
      <c r="F1729" s="11"/>
      <c r="H1729" s="2">
        <v>5000</v>
      </c>
      <c r="I1729" s="2">
        <f t="shared" si="116"/>
        <v>6682.119999999999</v>
      </c>
      <c r="N1729" s="2">
        <f t="shared" si="117"/>
        <v>20</v>
      </c>
    </row>
    <row r="1730" spans="1:14" x14ac:dyDescent="0.25">
      <c r="A1730" s="3">
        <v>45243</v>
      </c>
      <c r="B1730" s="11" t="s">
        <v>4192</v>
      </c>
      <c r="C1730" t="s">
        <v>4193</v>
      </c>
      <c r="D1730" s="83"/>
      <c r="E1730" s="115" t="s">
        <v>16</v>
      </c>
      <c r="F1730" s="11"/>
      <c r="H1730" s="2">
        <v>150</v>
      </c>
      <c r="I1730" s="2">
        <f t="shared" si="116"/>
        <v>6532.119999999999</v>
      </c>
      <c r="N1730" s="2">
        <f t="shared" si="117"/>
        <v>25.6</v>
      </c>
    </row>
    <row r="1731" spans="1:14" x14ac:dyDescent="0.25">
      <c r="A1731" s="3">
        <v>45243</v>
      </c>
      <c r="B1731" s="11" t="s">
        <v>3276</v>
      </c>
      <c r="C1731" t="s">
        <v>4196</v>
      </c>
      <c r="D1731" s="83"/>
      <c r="F1731" s="11"/>
      <c r="G1731" s="2">
        <v>1400</v>
      </c>
      <c r="I1731" s="2">
        <f t="shared" si="116"/>
        <v>7932.119999999999</v>
      </c>
      <c r="N1731" s="2">
        <f t="shared" si="117"/>
        <v>5.6000000000000005</v>
      </c>
    </row>
    <row r="1732" spans="1:14" x14ac:dyDescent="0.25">
      <c r="A1732" s="3">
        <v>45243</v>
      </c>
      <c r="B1732" s="11" t="s">
        <v>2748</v>
      </c>
      <c r="C1732" t="s">
        <v>1282</v>
      </c>
      <c r="D1732" s="83"/>
      <c r="F1732" s="11"/>
      <c r="H1732" s="2">
        <v>5000</v>
      </c>
      <c r="I1732" s="2">
        <f t="shared" si="116"/>
        <v>2932.119999999999</v>
      </c>
      <c r="N1732" s="2">
        <f t="shared" si="117"/>
        <v>20</v>
      </c>
    </row>
    <row r="1733" spans="1:14" x14ac:dyDescent="0.25">
      <c r="A1733" s="3">
        <v>45243</v>
      </c>
      <c r="B1733" s="11" t="s">
        <v>1475</v>
      </c>
      <c r="C1733" t="s">
        <v>4118</v>
      </c>
      <c r="D1733" s="83"/>
      <c r="F1733" s="11"/>
      <c r="G1733" s="2">
        <v>1500</v>
      </c>
      <c r="I1733" s="2">
        <f t="shared" si="116"/>
        <v>4432.119999999999</v>
      </c>
      <c r="N1733" s="2">
        <f t="shared" si="117"/>
        <v>6</v>
      </c>
    </row>
    <row r="1734" spans="1:14" x14ac:dyDescent="0.25">
      <c r="A1734" s="3">
        <v>45243</v>
      </c>
      <c r="B1734" s="11" t="s">
        <v>4034</v>
      </c>
      <c r="C1734" t="s">
        <v>4162</v>
      </c>
      <c r="D1734" s="83"/>
      <c r="F1734" s="11"/>
      <c r="G1734" s="2">
        <v>5000</v>
      </c>
      <c r="I1734" s="2">
        <f t="shared" si="116"/>
        <v>9432.119999999999</v>
      </c>
      <c r="N1734" s="2">
        <f t="shared" si="117"/>
        <v>20</v>
      </c>
    </row>
    <row r="1735" spans="1:14" x14ac:dyDescent="0.25">
      <c r="A1735" s="3">
        <v>45244</v>
      </c>
      <c r="B1735" s="11" t="s">
        <v>4197</v>
      </c>
      <c r="C1735" t="s">
        <v>612</v>
      </c>
      <c r="D1735" s="83">
        <v>7209411109</v>
      </c>
      <c r="F1735" s="11"/>
      <c r="H1735" s="2">
        <v>3000</v>
      </c>
      <c r="I1735" s="2">
        <f t="shared" si="116"/>
        <v>6432.119999999999</v>
      </c>
      <c r="N1735" s="2">
        <f t="shared" si="117"/>
        <v>12</v>
      </c>
    </row>
    <row r="1736" spans="1:14" x14ac:dyDescent="0.25">
      <c r="A1736" s="3">
        <v>45244</v>
      </c>
      <c r="B1736" s="11" t="s">
        <v>3859</v>
      </c>
      <c r="D1736" s="83"/>
      <c r="F1736" s="11"/>
      <c r="G1736" s="2">
        <v>1000</v>
      </c>
      <c r="I1736" s="2">
        <f t="shared" si="116"/>
        <v>7432.119999999999</v>
      </c>
      <c r="N1736" s="2">
        <f t="shared" si="117"/>
        <v>4</v>
      </c>
    </row>
    <row r="1737" spans="1:14" x14ac:dyDescent="0.25">
      <c r="A1737" s="3">
        <v>45244</v>
      </c>
      <c r="B1737" s="11" t="s">
        <v>3859</v>
      </c>
      <c r="D1737" s="83"/>
      <c r="F1737" s="11"/>
      <c r="G1737" s="2">
        <v>400</v>
      </c>
      <c r="I1737" s="2">
        <f t="shared" si="116"/>
        <v>7832.119999999999</v>
      </c>
      <c r="N1737" s="2">
        <f t="shared" si="117"/>
        <v>1.6</v>
      </c>
    </row>
    <row r="1738" spans="1:14" x14ac:dyDescent="0.25">
      <c r="A1738" s="3">
        <v>45244</v>
      </c>
      <c r="B1738" s="11" t="s">
        <v>4198</v>
      </c>
      <c r="C1738" t="s">
        <v>4199</v>
      </c>
      <c r="D1738" s="83"/>
      <c r="E1738" s="115" t="s">
        <v>16</v>
      </c>
      <c r="F1738" s="11"/>
      <c r="H1738" s="2">
        <v>500</v>
      </c>
      <c r="I1738" s="2">
        <f t="shared" si="116"/>
        <v>7332.119999999999</v>
      </c>
      <c r="N1738" s="2">
        <f t="shared" si="117"/>
        <v>27</v>
      </c>
    </row>
    <row r="1739" spans="1:14" x14ac:dyDescent="0.25">
      <c r="A1739" s="3">
        <v>45244</v>
      </c>
      <c r="B1739" s="11" t="s">
        <v>1163</v>
      </c>
      <c r="D1739" s="83"/>
      <c r="F1739" s="11"/>
      <c r="G1739" s="2">
        <v>500</v>
      </c>
      <c r="I1739" s="2">
        <f t="shared" si="116"/>
        <v>7832.119999999999</v>
      </c>
      <c r="N1739" s="2">
        <f t="shared" si="117"/>
        <v>2</v>
      </c>
    </row>
    <row r="1740" spans="1:14" x14ac:dyDescent="0.25">
      <c r="A1740" s="3">
        <v>45245</v>
      </c>
      <c r="B1740" s="11" t="s">
        <v>4204</v>
      </c>
      <c r="C1740" t="s">
        <v>4209</v>
      </c>
      <c r="D1740" s="83"/>
      <c r="F1740" s="11"/>
      <c r="H1740" s="2">
        <v>5100</v>
      </c>
      <c r="I1740" s="2">
        <f t="shared" si="116"/>
        <v>2732.119999999999</v>
      </c>
      <c r="N1740" s="2">
        <f t="shared" si="117"/>
        <v>20</v>
      </c>
    </row>
    <row r="1741" spans="1:14" x14ac:dyDescent="0.25">
      <c r="A1741" s="3">
        <v>45245</v>
      </c>
      <c r="B1741" s="11" t="s">
        <v>1253</v>
      </c>
      <c r="C1741" t="s">
        <v>2408</v>
      </c>
      <c r="D1741" s="83"/>
      <c r="F1741" s="11"/>
      <c r="G1741" s="2">
        <v>900</v>
      </c>
      <c r="I1741" s="2">
        <f t="shared" si="116"/>
        <v>3632.119999999999</v>
      </c>
      <c r="N1741" s="2">
        <f t="shared" si="117"/>
        <v>3.6</v>
      </c>
    </row>
    <row r="1742" spans="1:14" x14ac:dyDescent="0.25">
      <c r="A1742" s="3">
        <v>45245</v>
      </c>
      <c r="B1742" s="11" t="s">
        <v>1253</v>
      </c>
      <c r="C1742" t="s">
        <v>4207</v>
      </c>
      <c r="D1742" s="83"/>
      <c r="F1742" s="11"/>
      <c r="G1742" s="2">
        <v>1000</v>
      </c>
      <c r="I1742" s="2">
        <f t="shared" si="116"/>
        <v>4632.119999999999</v>
      </c>
      <c r="N1742" s="2">
        <f t="shared" si="117"/>
        <v>4</v>
      </c>
    </row>
    <row r="1743" spans="1:14" x14ac:dyDescent="0.25">
      <c r="A1743" s="3">
        <v>45245</v>
      </c>
      <c r="B1743" s="11" t="s">
        <v>4208</v>
      </c>
      <c r="C1743" t="s">
        <v>3943</v>
      </c>
      <c r="D1743" s="83"/>
      <c r="F1743" s="11"/>
      <c r="H1743" s="2">
        <v>500</v>
      </c>
      <c r="I1743" s="2">
        <f t="shared" si="116"/>
        <v>4132.119999999999</v>
      </c>
      <c r="N1743" s="2">
        <f t="shared" si="117"/>
        <v>2</v>
      </c>
    </row>
    <row r="1744" spans="1:14" x14ac:dyDescent="0.25">
      <c r="A1744" s="3">
        <v>45245</v>
      </c>
      <c r="C1744" t="s">
        <v>2654</v>
      </c>
      <c r="D1744" s="83"/>
      <c r="F1744" s="11"/>
      <c r="G1744" s="2">
        <v>5000</v>
      </c>
      <c r="I1744" s="2">
        <f t="shared" si="116"/>
        <v>9132.119999999999</v>
      </c>
      <c r="N1744" s="2">
        <f t="shared" si="117"/>
        <v>20</v>
      </c>
    </row>
    <row r="1745" spans="1:14" x14ac:dyDescent="0.25">
      <c r="A1745" s="3">
        <v>45246</v>
      </c>
      <c r="B1745" s="11" t="s">
        <v>4204</v>
      </c>
      <c r="C1745" t="s">
        <v>4209</v>
      </c>
      <c r="D1745" s="83"/>
      <c r="F1745" s="11"/>
      <c r="H1745" s="2">
        <v>5000</v>
      </c>
      <c r="I1745" s="2">
        <f t="shared" si="116"/>
        <v>4132.119999999999</v>
      </c>
      <c r="N1745" s="2">
        <f t="shared" si="117"/>
        <v>20</v>
      </c>
    </row>
    <row r="1746" spans="1:14" x14ac:dyDescent="0.25">
      <c r="A1746" s="3">
        <v>45246</v>
      </c>
      <c r="B1746" s="11" t="s">
        <v>2198</v>
      </c>
      <c r="C1746" t="s">
        <v>2290</v>
      </c>
      <c r="D1746" s="83"/>
      <c r="F1746" s="11"/>
      <c r="G1746" s="2">
        <v>5000</v>
      </c>
      <c r="I1746" s="2">
        <f t="shared" si="116"/>
        <v>9132.119999999999</v>
      </c>
      <c r="N1746" s="2">
        <f t="shared" si="117"/>
        <v>20</v>
      </c>
    </row>
    <row r="1747" spans="1:14" x14ac:dyDescent="0.25">
      <c r="A1747" s="3">
        <v>45246</v>
      </c>
      <c r="B1747" s="11" t="s">
        <v>1163</v>
      </c>
      <c r="C1747" t="s">
        <v>4211</v>
      </c>
      <c r="D1747" s="83">
        <v>8084335415</v>
      </c>
      <c r="F1747" s="11"/>
      <c r="G1747" s="2">
        <v>2000</v>
      </c>
      <c r="I1747" s="2">
        <f t="shared" si="116"/>
        <v>11132.119999999999</v>
      </c>
      <c r="N1747" s="2">
        <f t="shared" si="117"/>
        <v>8</v>
      </c>
    </row>
    <row r="1748" spans="1:14" x14ac:dyDescent="0.25">
      <c r="A1748" s="3">
        <v>45246</v>
      </c>
      <c r="B1748" s="11" t="s">
        <v>3960</v>
      </c>
      <c r="C1748" t="s">
        <v>4212</v>
      </c>
      <c r="D1748" s="83"/>
      <c r="F1748" s="11"/>
      <c r="H1748" s="2">
        <v>6000</v>
      </c>
      <c r="I1748" s="2">
        <f t="shared" si="116"/>
        <v>5132.119999999999</v>
      </c>
      <c r="N1748" s="2">
        <f t="shared" si="117"/>
        <v>20</v>
      </c>
    </row>
    <row r="1749" spans="1:14" x14ac:dyDescent="0.25">
      <c r="A1749" s="3">
        <v>45246</v>
      </c>
      <c r="B1749" s="11" t="s">
        <v>4213</v>
      </c>
      <c r="C1749" t="s">
        <v>4220</v>
      </c>
      <c r="D1749" s="83"/>
      <c r="E1749" s="115" t="s">
        <v>14</v>
      </c>
      <c r="F1749" s="11"/>
      <c r="H1749" s="2">
        <v>200</v>
      </c>
      <c r="I1749" s="2">
        <f t="shared" si="116"/>
        <v>4932.119999999999</v>
      </c>
      <c r="N1749" s="2">
        <f t="shared" si="117"/>
        <v>25.8</v>
      </c>
    </row>
    <row r="1750" spans="1:14" x14ac:dyDescent="0.25">
      <c r="A1750" s="3">
        <v>45246</v>
      </c>
      <c r="B1750" s="11" t="s">
        <v>1253</v>
      </c>
      <c r="C1750" t="s">
        <v>4217</v>
      </c>
      <c r="D1750" s="83"/>
      <c r="F1750" s="11"/>
      <c r="G1750" s="2">
        <v>5000</v>
      </c>
      <c r="I1750" s="2">
        <f t="shared" si="116"/>
        <v>9932.119999999999</v>
      </c>
      <c r="N1750" s="2">
        <f t="shared" si="117"/>
        <v>20</v>
      </c>
    </row>
    <row r="1751" spans="1:14" x14ac:dyDescent="0.25">
      <c r="A1751" s="3">
        <v>45246</v>
      </c>
      <c r="B1751" s="11" t="s">
        <v>2767</v>
      </c>
      <c r="C1751" t="s">
        <v>1282</v>
      </c>
      <c r="D1751" s="83"/>
      <c r="F1751" s="11"/>
      <c r="H1751" s="2">
        <v>5000</v>
      </c>
      <c r="I1751" s="2">
        <f t="shared" si="116"/>
        <v>4932.119999999999</v>
      </c>
      <c r="N1751" s="2">
        <f t="shared" si="117"/>
        <v>20</v>
      </c>
    </row>
    <row r="1752" spans="1:14" x14ac:dyDescent="0.25">
      <c r="A1752" s="3">
        <v>45247</v>
      </c>
      <c r="B1752" s="11" t="s">
        <v>4218</v>
      </c>
      <c r="C1752" t="s">
        <v>4219</v>
      </c>
      <c r="D1752" s="83"/>
      <c r="E1752" s="115" t="s">
        <v>16</v>
      </c>
      <c r="F1752" s="11"/>
      <c r="H1752" s="2">
        <v>100</v>
      </c>
      <c r="I1752" s="2">
        <f t="shared" si="116"/>
        <v>4832.119999999999</v>
      </c>
      <c r="N1752" s="2">
        <f t="shared" si="117"/>
        <v>25.4</v>
      </c>
    </row>
    <row r="1753" spans="1:14" x14ac:dyDescent="0.25">
      <c r="A1753" s="3">
        <v>45247</v>
      </c>
      <c r="B1753" s="11" t="s">
        <v>1253</v>
      </c>
      <c r="D1753" s="83"/>
      <c r="F1753" s="11"/>
      <c r="H1753" s="2">
        <v>4500</v>
      </c>
      <c r="I1753" s="2">
        <f t="shared" si="116"/>
        <v>332.11999999999898</v>
      </c>
      <c r="N1753" s="2">
        <f t="shared" si="117"/>
        <v>18</v>
      </c>
    </row>
    <row r="1754" spans="1:14" x14ac:dyDescent="0.25">
      <c r="A1754" s="3">
        <v>45248</v>
      </c>
      <c r="C1754" t="s">
        <v>4224</v>
      </c>
      <c r="D1754" s="83"/>
      <c r="F1754" s="11"/>
      <c r="G1754" s="2">
        <v>500</v>
      </c>
      <c r="I1754" s="2">
        <f t="shared" si="116"/>
        <v>832.11999999999898</v>
      </c>
      <c r="N1754" s="2">
        <f t="shared" si="117"/>
        <v>2</v>
      </c>
    </row>
    <row r="1755" spans="1:14" x14ac:dyDescent="0.25">
      <c r="A1755" s="3">
        <v>45248</v>
      </c>
      <c r="B1755" s="11" t="s">
        <v>1163</v>
      </c>
      <c r="C1755" t="s">
        <v>3691</v>
      </c>
      <c r="D1755" s="83"/>
      <c r="F1755" s="11"/>
      <c r="G1755" s="2">
        <v>10000</v>
      </c>
      <c r="I1755" s="2">
        <f t="shared" si="116"/>
        <v>10832.119999999999</v>
      </c>
      <c r="N1755" s="2">
        <f t="shared" si="117"/>
        <v>20</v>
      </c>
    </row>
    <row r="1756" spans="1:14" x14ac:dyDescent="0.25">
      <c r="A1756" s="3">
        <v>45248</v>
      </c>
      <c r="B1756" s="11" t="s">
        <v>2472</v>
      </c>
      <c r="C1756" t="s">
        <v>2295</v>
      </c>
      <c r="D1756" s="83"/>
      <c r="F1756" s="11"/>
      <c r="H1756" s="2">
        <v>5000</v>
      </c>
      <c r="I1756" s="2">
        <f t="shared" si="116"/>
        <v>5832.119999999999</v>
      </c>
      <c r="N1756" s="2">
        <f t="shared" si="117"/>
        <v>20</v>
      </c>
    </row>
    <row r="1757" spans="1:14" x14ac:dyDescent="0.25">
      <c r="A1757" s="3">
        <v>45249</v>
      </c>
      <c r="C1757" t="s">
        <v>3078</v>
      </c>
      <c r="D1757" s="83"/>
      <c r="F1757" s="11"/>
      <c r="H1757" s="2">
        <v>5000</v>
      </c>
      <c r="I1757" s="2">
        <f t="shared" si="116"/>
        <v>832.11999999999898</v>
      </c>
      <c r="N1757" s="2">
        <f t="shared" si="117"/>
        <v>20</v>
      </c>
    </row>
    <row r="1758" spans="1:14" x14ac:dyDescent="0.25">
      <c r="A1758" s="3">
        <v>45249</v>
      </c>
      <c r="B1758" s="11" t="s">
        <v>2365</v>
      </c>
      <c r="C1758" t="s">
        <v>4225</v>
      </c>
      <c r="D1758" s="83">
        <v>7070948598</v>
      </c>
      <c r="F1758" s="11"/>
      <c r="G1758" s="2">
        <v>6000</v>
      </c>
      <c r="I1758" s="2">
        <f t="shared" si="116"/>
        <v>6832.119999999999</v>
      </c>
      <c r="N1758" s="2">
        <f t="shared" si="117"/>
        <v>20</v>
      </c>
    </row>
    <row r="1759" spans="1:14" x14ac:dyDescent="0.25">
      <c r="A1759" s="3">
        <v>45249</v>
      </c>
      <c r="B1759" s="11" t="s">
        <v>2748</v>
      </c>
      <c r="D1759" s="83"/>
      <c r="F1759" s="11"/>
      <c r="H1759" s="2">
        <v>3000</v>
      </c>
      <c r="I1759" s="2">
        <f t="shared" si="116"/>
        <v>3832.119999999999</v>
      </c>
      <c r="N1759" s="2">
        <f t="shared" si="117"/>
        <v>12</v>
      </c>
    </row>
    <row r="1760" spans="1:14" x14ac:dyDescent="0.25">
      <c r="A1760" s="3">
        <v>45250</v>
      </c>
      <c r="B1760" s="11" t="s">
        <v>4226</v>
      </c>
      <c r="C1760" t="s">
        <v>3797</v>
      </c>
      <c r="D1760" s="83"/>
      <c r="F1760" s="11"/>
      <c r="G1760" s="2">
        <v>500</v>
      </c>
      <c r="I1760" s="2">
        <f t="shared" si="116"/>
        <v>4332.119999999999</v>
      </c>
      <c r="N1760" s="2">
        <f t="shared" si="117"/>
        <v>2</v>
      </c>
    </row>
    <row r="1761" spans="1:15" x14ac:dyDescent="0.25">
      <c r="A1761" s="3">
        <v>45250</v>
      </c>
      <c r="B1761" s="11" t="s">
        <v>4108</v>
      </c>
      <c r="C1761" t="s">
        <v>2408</v>
      </c>
      <c r="D1761" s="83"/>
      <c r="F1761" s="11"/>
      <c r="G1761" s="2">
        <v>500</v>
      </c>
      <c r="I1761" s="2">
        <f t="shared" si="116"/>
        <v>4832.119999999999</v>
      </c>
      <c r="N1761" s="2">
        <f t="shared" si="117"/>
        <v>2</v>
      </c>
      <c r="O1761" t="s">
        <v>4227</v>
      </c>
    </row>
    <row r="1762" spans="1:15" x14ac:dyDescent="0.25">
      <c r="A1762" s="3">
        <v>45250</v>
      </c>
      <c r="B1762" s="11" t="s">
        <v>2365</v>
      </c>
      <c r="D1762" s="83"/>
      <c r="F1762" s="11"/>
      <c r="G1762" s="2">
        <v>800</v>
      </c>
      <c r="I1762" s="2">
        <f t="shared" si="116"/>
        <v>5632.119999999999</v>
      </c>
      <c r="N1762" s="2">
        <f t="shared" si="117"/>
        <v>3.2</v>
      </c>
    </row>
    <row r="1763" spans="1:15" x14ac:dyDescent="0.25">
      <c r="A1763" s="3">
        <v>45251</v>
      </c>
      <c r="B1763" s="11" t="s">
        <v>1253</v>
      </c>
      <c r="C1763" t="s">
        <v>2654</v>
      </c>
      <c r="D1763" s="83"/>
      <c r="F1763" s="11"/>
      <c r="G1763" s="2">
        <v>3000</v>
      </c>
      <c r="I1763" s="2">
        <f t="shared" si="116"/>
        <v>8632.119999999999</v>
      </c>
      <c r="N1763" s="2">
        <f t="shared" si="117"/>
        <v>12</v>
      </c>
    </row>
    <row r="1764" spans="1:15" x14ac:dyDescent="0.25">
      <c r="A1764" s="3">
        <v>45251</v>
      </c>
      <c r="B1764" s="11" t="s">
        <v>4233</v>
      </c>
      <c r="C1764" t="s">
        <v>4236</v>
      </c>
      <c r="D1764" s="83"/>
      <c r="E1764" s="115" t="s">
        <v>16</v>
      </c>
      <c r="F1764" s="11"/>
      <c r="H1764" s="2">
        <v>200</v>
      </c>
      <c r="I1764" s="2">
        <f t="shared" si="116"/>
        <v>8432.119999999999</v>
      </c>
      <c r="N1764" s="2">
        <f t="shared" si="117"/>
        <v>25.8</v>
      </c>
    </row>
    <row r="1765" spans="1:15" x14ac:dyDescent="0.25">
      <c r="A1765" s="3">
        <v>45252</v>
      </c>
      <c r="B1765" s="11" t="s">
        <v>4229</v>
      </c>
      <c r="C1765" t="s">
        <v>4230</v>
      </c>
      <c r="D1765" s="83"/>
      <c r="F1765" s="11"/>
      <c r="H1765" s="2">
        <v>1500</v>
      </c>
      <c r="I1765" s="2">
        <f t="shared" si="116"/>
        <v>6932.119999999999</v>
      </c>
      <c r="N1765" s="2">
        <f t="shared" si="117"/>
        <v>6</v>
      </c>
    </row>
    <row r="1766" spans="1:15" x14ac:dyDescent="0.25">
      <c r="A1766" s="3">
        <v>45252</v>
      </c>
      <c r="B1766" s="11" t="s">
        <v>1253</v>
      </c>
      <c r="D1766" s="83"/>
      <c r="F1766" s="11"/>
      <c r="G1766" s="2">
        <v>700</v>
      </c>
      <c r="I1766" s="2">
        <f t="shared" si="116"/>
        <v>7632.119999999999</v>
      </c>
      <c r="N1766" s="2">
        <f t="shared" si="117"/>
        <v>2.8000000000000003</v>
      </c>
    </row>
    <row r="1767" spans="1:15" x14ac:dyDescent="0.25">
      <c r="A1767" s="3">
        <v>45252</v>
      </c>
      <c r="B1767" s="11" t="s">
        <v>4231</v>
      </c>
      <c r="C1767" t="s">
        <v>2580</v>
      </c>
      <c r="D1767" s="83"/>
      <c r="F1767" s="11"/>
      <c r="H1767" s="2">
        <v>1200</v>
      </c>
      <c r="I1767" s="2">
        <f t="shared" si="116"/>
        <v>6432.119999999999</v>
      </c>
      <c r="N1767" s="2">
        <f t="shared" si="117"/>
        <v>4.8</v>
      </c>
    </row>
    <row r="1768" spans="1:15" x14ac:dyDescent="0.25">
      <c r="A1768" s="3">
        <v>45252</v>
      </c>
      <c r="B1768" s="11" t="s">
        <v>1253</v>
      </c>
      <c r="C1768" t="s">
        <v>4232</v>
      </c>
      <c r="D1768" s="83">
        <v>7209817918</v>
      </c>
      <c r="F1768" s="11"/>
      <c r="G1768" s="2">
        <v>1000</v>
      </c>
      <c r="I1768" s="2">
        <f t="shared" si="116"/>
        <v>7432.119999999999</v>
      </c>
      <c r="N1768" s="2">
        <f t="shared" si="117"/>
        <v>4</v>
      </c>
    </row>
    <row r="1769" spans="1:15" x14ac:dyDescent="0.25">
      <c r="A1769" s="3">
        <v>45252</v>
      </c>
      <c r="B1769" s="11" t="s">
        <v>1475</v>
      </c>
      <c r="C1769" t="s">
        <v>2512</v>
      </c>
      <c r="D1769" s="83"/>
      <c r="F1769" s="11"/>
      <c r="G1769" s="2">
        <v>2000</v>
      </c>
      <c r="I1769" s="2">
        <f t="shared" si="116"/>
        <v>9432.119999999999</v>
      </c>
      <c r="N1769" s="2">
        <f t="shared" si="117"/>
        <v>8</v>
      </c>
    </row>
    <row r="1770" spans="1:15" x14ac:dyDescent="0.25">
      <c r="A1770" s="3">
        <v>45253</v>
      </c>
      <c r="B1770" s="11" t="s">
        <v>3334</v>
      </c>
      <c r="C1770" t="s">
        <v>1637</v>
      </c>
      <c r="D1770" s="83"/>
      <c r="F1770" s="11"/>
      <c r="G1770" s="2">
        <v>1000</v>
      </c>
      <c r="I1770" s="2">
        <f t="shared" si="116"/>
        <v>10432.119999999999</v>
      </c>
      <c r="N1770" s="2">
        <f t="shared" si="117"/>
        <v>4</v>
      </c>
    </row>
    <row r="1771" spans="1:15" x14ac:dyDescent="0.25">
      <c r="A1771" s="3">
        <v>45253</v>
      </c>
      <c r="B1771" s="11" t="s">
        <v>4238</v>
      </c>
      <c r="C1771" t="s">
        <v>4057</v>
      </c>
      <c r="D1771" s="83"/>
      <c r="F1771" s="11"/>
      <c r="H1771" s="2">
        <v>3000</v>
      </c>
      <c r="I1771" s="2">
        <f t="shared" si="116"/>
        <v>7432.119999999999</v>
      </c>
      <c r="N1771" s="2">
        <f t="shared" si="117"/>
        <v>12</v>
      </c>
    </row>
    <row r="1772" spans="1:15" x14ac:dyDescent="0.25">
      <c r="A1772" s="3">
        <v>45253</v>
      </c>
      <c r="B1772" s="11" t="s">
        <v>2472</v>
      </c>
      <c r="C1772" t="s">
        <v>2295</v>
      </c>
      <c r="D1772" s="83"/>
      <c r="F1772" s="11"/>
      <c r="H1772" s="2">
        <v>6000</v>
      </c>
      <c r="I1772" s="2">
        <f t="shared" si="116"/>
        <v>1432.119999999999</v>
      </c>
      <c r="N1772" s="2">
        <f t="shared" si="117"/>
        <v>20</v>
      </c>
    </row>
    <row r="1773" spans="1:15" x14ac:dyDescent="0.25">
      <c r="A1773" s="3">
        <v>45253</v>
      </c>
      <c r="B1773" s="11" t="s">
        <v>4034</v>
      </c>
      <c r="C1773" t="s">
        <v>3183</v>
      </c>
      <c r="D1773" s="83"/>
      <c r="F1773" s="11"/>
      <c r="G1773" s="2">
        <v>3000</v>
      </c>
      <c r="I1773" s="2">
        <f t="shared" si="116"/>
        <v>4432.119999999999</v>
      </c>
      <c r="N1773" s="2">
        <f t="shared" si="117"/>
        <v>12</v>
      </c>
    </row>
    <row r="1774" spans="1:15" x14ac:dyDescent="0.25">
      <c r="A1774" s="3">
        <v>45253</v>
      </c>
      <c r="B1774" s="11" t="s">
        <v>3502</v>
      </c>
      <c r="D1774" s="83"/>
      <c r="F1774" s="11"/>
      <c r="G1774" s="2">
        <v>2000</v>
      </c>
      <c r="I1774" s="2">
        <f t="shared" si="116"/>
        <v>6432.119999999999</v>
      </c>
      <c r="N1774" s="2">
        <f t="shared" si="117"/>
        <v>8</v>
      </c>
    </row>
    <row r="1775" spans="1:15" x14ac:dyDescent="0.25">
      <c r="A1775" s="3">
        <v>45254</v>
      </c>
      <c r="B1775" s="11" t="s">
        <v>2247</v>
      </c>
      <c r="C1775" t="s">
        <v>4239</v>
      </c>
      <c r="D1775" s="83"/>
      <c r="F1775" s="11"/>
      <c r="G1775" s="2">
        <v>1050</v>
      </c>
      <c r="I1775" s="2">
        <f t="shared" si="116"/>
        <v>7482.119999999999</v>
      </c>
      <c r="N1775" s="2">
        <f t="shared" si="117"/>
        <v>4.2</v>
      </c>
    </row>
    <row r="1776" spans="1:15" x14ac:dyDescent="0.25">
      <c r="A1776" s="3">
        <v>45254</v>
      </c>
      <c r="B1776" s="11" t="s">
        <v>1253</v>
      </c>
      <c r="C1776" t="s">
        <v>2408</v>
      </c>
      <c r="D1776" s="83"/>
      <c r="F1776" s="11"/>
      <c r="G1776" s="2">
        <v>750</v>
      </c>
      <c r="I1776" s="2">
        <f t="shared" si="116"/>
        <v>8232.119999999999</v>
      </c>
      <c r="N1776" s="2">
        <f t="shared" si="117"/>
        <v>3</v>
      </c>
    </row>
    <row r="1777" spans="1:16" x14ac:dyDescent="0.25">
      <c r="A1777" s="3">
        <v>45258</v>
      </c>
      <c r="B1777" s="11" t="s">
        <v>2170</v>
      </c>
      <c r="C1777" t="s">
        <v>2914</v>
      </c>
      <c r="D1777" s="83"/>
      <c r="F1777" s="11"/>
      <c r="H1777" s="2">
        <v>500</v>
      </c>
      <c r="I1777" s="2">
        <f t="shared" si="116"/>
        <v>7732.119999999999</v>
      </c>
      <c r="N1777" s="2">
        <f t="shared" si="117"/>
        <v>2</v>
      </c>
    </row>
    <row r="1778" spans="1:16" x14ac:dyDescent="0.25">
      <c r="A1778" s="3">
        <v>45258</v>
      </c>
      <c r="B1778" s="11" t="s">
        <v>4241</v>
      </c>
      <c r="D1778" s="83"/>
      <c r="E1778" s="115" t="s">
        <v>16</v>
      </c>
      <c r="F1778" s="11"/>
      <c r="H1778" s="2">
        <v>200</v>
      </c>
      <c r="I1778" s="2">
        <f t="shared" si="116"/>
        <v>7532.119999999999</v>
      </c>
      <c r="N1778" s="2">
        <f t="shared" si="117"/>
        <v>25.8</v>
      </c>
    </row>
    <row r="1779" spans="1:16" x14ac:dyDescent="0.25">
      <c r="A1779" s="3">
        <v>45258</v>
      </c>
      <c r="B1779" s="11" t="s">
        <v>4242</v>
      </c>
      <c r="D1779" s="83"/>
      <c r="E1779" s="115" t="s">
        <v>16</v>
      </c>
      <c r="F1779" s="11"/>
      <c r="H1779" s="2">
        <v>100</v>
      </c>
      <c r="I1779" s="2">
        <f t="shared" si="116"/>
        <v>7432.119999999999</v>
      </c>
      <c r="N1779" s="2">
        <f t="shared" si="117"/>
        <v>25.4</v>
      </c>
    </row>
    <row r="1780" spans="1:16" x14ac:dyDescent="0.25">
      <c r="A1780" s="3">
        <v>45259</v>
      </c>
      <c r="B1780" s="11" t="s">
        <v>4119</v>
      </c>
      <c r="C1780" t="s">
        <v>3415</v>
      </c>
      <c r="D1780" s="83"/>
      <c r="F1780" s="11"/>
      <c r="H1780" s="2">
        <v>1200</v>
      </c>
      <c r="I1780" s="2">
        <f t="shared" si="116"/>
        <v>6232.119999999999</v>
      </c>
      <c r="N1780" s="2">
        <f t="shared" si="117"/>
        <v>4.8</v>
      </c>
    </row>
    <row r="1781" spans="1:16" x14ac:dyDescent="0.25">
      <c r="A1781" s="3">
        <v>45259</v>
      </c>
      <c r="B1781" s="11" t="s">
        <v>2365</v>
      </c>
      <c r="C1781" t="s">
        <v>4252</v>
      </c>
      <c r="D1781" s="83">
        <v>9798255647</v>
      </c>
      <c r="F1781" s="11"/>
      <c r="G1781" s="2">
        <v>2000</v>
      </c>
      <c r="I1781" s="2">
        <f t="shared" si="116"/>
        <v>8232.119999999999</v>
      </c>
      <c r="N1781" s="2">
        <f t="shared" si="117"/>
        <v>8</v>
      </c>
    </row>
    <row r="1782" spans="1:16" x14ac:dyDescent="0.25">
      <c r="A1782" s="3">
        <v>45259</v>
      </c>
      <c r="B1782" s="11" t="s">
        <v>1253</v>
      </c>
      <c r="C1782" t="s">
        <v>4253</v>
      </c>
      <c r="D1782" s="83"/>
      <c r="F1782" s="11"/>
      <c r="G1782" s="2">
        <v>1500</v>
      </c>
      <c r="I1782" s="2">
        <f t="shared" si="116"/>
        <v>9732.119999999999</v>
      </c>
      <c r="N1782" s="2">
        <f t="shared" si="117"/>
        <v>6</v>
      </c>
    </row>
    <row r="1783" spans="1:16" x14ac:dyDescent="0.25">
      <c r="A1783" s="3">
        <v>45259</v>
      </c>
      <c r="B1783" s="11" t="s">
        <v>3589</v>
      </c>
      <c r="C1783" t="s">
        <v>2654</v>
      </c>
      <c r="D1783" s="83"/>
      <c r="F1783" s="11"/>
      <c r="G1783" s="2">
        <v>1500</v>
      </c>
      <c r="I1783" s="2">
        <f t="shared" si="116"/>
        <v>11232.119999999999</v>
      </c>
      <c r="N1783" s="2">
        <f t="shared" si="117"/>
        <v>6</v>
      </c>
    </row>
    <row r="1784" spans="1:16" x14ac:dyDescent="0.25">
      <c r="A1784" s="3">
        <v>45260</v>
      </c>
      <c r="B1784" s="11" t="s">
        <v>2554</v>
      </c>
      <c r="C1784" t="s">
        <v>4254</v>
      </c>
      <c r="D1784" s="83"/>
      <c r="F1784" s="11"/>
      <c r="G1784" s="2">
        <v>2000</v>
      </c>
      <c r="I1784" s="2">
        <f t="shared" si="116"/>
        <v>13232.119999999999</v>
      </c>
      <c r="N1784" s="2">
        <f t="shared" si="117"/>
        <v>8</v>
      </c>
    </row>
    <row r="1785" spans="1:16" x14ac:dyDescent="0.25">
      <c r="A1785" s="3">
        <v>45260</v>
      </c>
      <c r="B1785" s="11" t="s">
        <v>4255</v>
      </c>
      <c r="C1785" t="s">
        <v>2708</v>
      </c>
      <c r="D1785" s="83"/>
      <c r="F1785" s="11"/>
      <c r="H1785" s="2">
        <v>4000</v>
      </c>
      <c r="I1785" s="2">
        <f t="shared" si="116"/>
        <v>9232.119999999999</v>
      </c>
      <c r="N1785" s="2">
        <f t="shared" si="117"/>
        <v>16</v>
      </c>
    </row>
    <row r="1786" spans="1:16" x14ac:dyDescent="0.25">
      <c r="A1786" s="3">
        <v>45260</v>
      </c>
      <c r="B1786" s="11" t="s">
        <v>4128</v>
      </c>
      <c r="C1786" t="s">
        <v>1967</v>
      </c>
      <c r="D1786" s="83"/>
      <c r="F1786" s="11"/>
      <c r="H1786" s="2">
        <v>3500</v>
      </c>
      <c r="I1786" s="2">
        <f>I1785+G1786-H1786</f>
        <v>5732.119999999999</v>
      </c>
      <c r="N1786" s="2">
        <f t="shared" si="117"/>
        <v>14</v>
      </c>
    </row>
    <row r="1787" spans="1:16" x14ac:dyDescent="0.25">
      <c r="A1787" s="3">
        <v>45260</v>
      </c>
      <c r="B1787" s="11" t="s">
        <v>4257</v>
      </c>
      <c r="C1787" t="s">
        <v>4256</v>
      </c>
      <c r="D1787" s="83"/>
      <c r="E1787" s="115" t="s">
        <v>16</v>
      </c>
      <c r="F1787" s="11"/>
      <c r="H1787" s="2">
        <v>100</v>
      </c>
      <c r="I1787" s="2">
        <f>I1786+G1787-H1787</f>
        <v>5632.119999999999</v>
      </c>
      <c r="N1787" s="2">
        <f t="shared" si="117"/>
        <v>25.4</v>
      </c>
    </row>
    <row r="1788" spans="1:16" x14ac:dyDescent="0.25">
      <c r="A1788" s="3">
        <v>45260</v>
      </c>
      <c r="B1788" s="11" t="s">
        <v>3896</v>
      </c>
      <c r="C1788" t="s">
        <v>2577</v>
      </c>
      <c r="D1788" s="83"/>
      <c r="F1788" s="11"/>
      <c r="H1788" s="2">
        <v>4400</v>
      </c>
      <c r="I1788" s="2">
        <f>I1787+G1788-H1788</f>
        <v>1232.119999999999</v>
      </c>
      <c r="N1788" s="2">
        <f t="shared" si="117"/>
        <v>17.600000000000001</v>
      </c>
    </row>
    <row r="1789" spans="1:16" x14ac:dyDescent="0.25">
      <c r="A1789" s="3"/>
      <c r="C1789" t="s">
        <v>4262</v>
      </c>
      <c r="D1789" s="83"/>
      <c r="F1789" s="11"/>
      <c r="H1789" s="2">
        <v>100</v>
      </c>
      <c r="I1789" s="2">
        <f>I1788+G1789-H1789</f>
        <v>1132.119999999999</v>
      </c>
      <c r="N1789" s="2">
        <f t="shared" si="117"/>
        <v>0.4</v>
      </c>
    </row>
    <row r="1790" spans="1:16" x14ac:dyDescent="0.25">
      <c r="A1790" s="97">
        <f>COUNT(A1701:A1788)</f>
        <v>88</v>
      </c>
      <c r="B1790" s="102"/>
      <c r="C1790" s="27"/>
      <c r="D1790" s="139"/>
      <c r="E1790" s="117">
        <f>COUNTIF(E1701:E1788,"Y")</f>
        <v>11</v>
      </c>
      <c r="F1790" s="97">
        <f>G1790+H1790</f>
        <v>223943.85</v>
      </c>
      <c r="G1790" s="107">
        <f>SUM(G1701:G1788)</f>
        <v>111393.85</v>
      </c>
      <c r="H1790" s="107">
        <f>SUM(H1701:H1789)</f>
        <v>112550</v>
      </c>
      <c r="I1790" s="107"/>
      <c r="J1790" s="102"/>
      <c r="K1790" s="102"/>
      <c r="L1790" s="102"/>
      <c r="M1790" s="102"/>
      <c r="N1790" s="107">
        <f>SUM(N1701:N1789)</f>
        <v>1094.3753999999999</v>
      </c>
      <c r="O1790" s="97"/>
      <c r="P1790" s="97"/>
    </row>
    <row r="1791" spans="1:16" x14ac:dyDescent="0.25">
      <c r="C1791" s="48"/>
      <c r="D1791" s="59"/>
      <c r="F1791" s="11"/>
    </row>
    <row r="1792" spans="1:16" x14ac:dyDescent="0.25">
      <c r="A1792" s="3">
        <v>45261</v>
      </c>
      <c r="D1792" s="83"/>
      <c r="F1792" s="11"/>
      <c r="G1792" s="2">
        <f>I1789</f>
        <v>1132.119999999999</v>
      </c>
      <c r="I1792" s="2">
        <f t="shared" ref="I1792:I1808" si="118">I1791+G1792-H1792</f>
        <v>1132.119999999999</v>
      </c>
    </row>
    <row r="1793" spans="1:14" x14ac:dyDescent="0.25">
      <c r="A1793" s="3">
        <v>45261</v>
      </c>
      <c r="C1793" t="s">
        <v>3717</v>
      </c>
      <c r="D1793" s="83"/>
      <c r="F1793" s="11"/>
      <c r="G1793" s="2">
        <v>6000</v>
      </c>
      <c r="I1793" s="2">
        <f t="shared" si="118"/>
        <v>7132.119999999999</v>
      </c>
      <c r="N1793" s="2">
        <f t="shared" ref="N1793:N1808" si="119">IF((G1793+H1793)&lt;=5000,(H1793+G1793)*0.004,20)+IF(E1793="Y",25,0)</f>
        <v>20</v>
      </c>
    </row>
    <row r="1794" spans="1:14" x14ac:dyDescent="0.25">
      <c r="A1794" s="3">
        <v>45262</v>
      </c>
      <c r="B1794" s="11" t="s">
        <v>3045</v>
      </c>
      <c r="D1794" s="83"/>
      <c r="F1794" s="11"/>
      <c r="H1794" s="2">
        <v>5000</v>
      </c>
      <c r="I1794" s="2">
        <f t="shared" si="118"/>
        <v>2132.119999999999</v>
      </c>
      <c r="N1794" s="2">
        <f t="shared" si="119"/>
        <v>20</v>
      </c>
    </row>
    <row r="1795" spans="1:14" x14ac:dyDescent="0.25">
      <c r="A1795" s="3">
        <v>45262</v>
      </c>
      <c r="B1795" s="11" t="s">
        <v>1475</v>
      </c>
      <c r="C1795" t="s">
        <v>2512</v>
      </c>
      <c r="D1795" s="83"/>
      <c r="F1795" s="11"/>
      <c r="G1795" s="2">
        <v>10000</v>
      </c>
      <c r="I1795" s="2">
        <f t="shared" si="118"/>
        <v>12132.119999999999</v>
      </c>
      <c r="N1795" s="2">
        <f t="shared" si="119"/>
        <v>20</v>
      </c>
    </row>
    <row r="1796" spans="1:14" x14ac:dyDescent="0.25">
      <c r="A1796" s="3">
        <v>45262</v>
      </c>
      <c r="B1796" s="11" t="s">
        <v>3896</v>
      </c>
      <c r="C1796" t="s">
        <v>4265</v>
      </c>
      <c r="D1796" s="83"/>
      <c r="F1796" s="11"/>
      <c r="H1796" s="2">
        <v>3100</v>
      </c>
      <c r="I1796" s="2">
        <f t="shared" si="118"/>
        <v>9032.119999999999</v>
      </c>
      <c r="N1796" s="2">
        <f t="shared" si="119"/>
        <v>12.4</v>
      </c>
    </row>
    <row r="1797" spans="1:14" x14ac:dyDescent="0.25">
      <c r="A1797" s="3">
        <v>45262</v>
      </c>
      <c r="B1797" s="11" t="s">
        <v>1475</v>
      </c>
      <c r="C1797" t="s">
        <v>4266</v>
      </c>
      <c r="D1797" s="83"/>
      <c r="F1797" s="11"/>
      <c r="G1797" s="2">
        <v>2000</v>
      </c>
      <c r="I1797" s="2">
        <f t="shared" si="118"/>
        <v>11032.119999999999</v>
      </c>
      <c r="N1797" s="2">
        <f t="shared" si="119"/>
        <v>8</v>
      </c>
    </row>
    <row r="1798" spans="1:14" x14ac:dyDescent="0.25">
      <c r="A1798" s="3">
        <v>45264</v>
      </c>
      <c r="B1798" s="11" t="s">
        <v>2472</v>
      </c>
      <c r="C1798" t="s">
        <v>2280</v>
      </c>
      <c r="D1798" s="83"/>
      <c r="F1798" s="11"/>
      <c r="H1798" s="2">
        <v>10000</v>
      </c>
      <c r="I1798" s="2">
        <f t="shared" si="118"/>
        <v>1032.119999999999</v>
      </c>
      <c r="N1798" s="2">
        <f t="shared" si="119"/>
        <v>20</v>
      </c>
    </row>
    <row r="1799" spans="1:14" x14ac:dyDescent="0.25">
      <c r="A1799" s="3">
        <v>45264</v>
      </c>
      <c r="B1799" s="11" t="s">
        <v>4267</v>
      </c>
      <c r="C1799" t="s">
        <v>2362</v>
      </c>
      <c r="D1799" s="83"/>
      <c r="F1799" s="11"/>
      <c r="G1799" s="2">
        <v>5000</v>
      </c>
      <c r="I1799" s="2">
        <f t="shared" si="118"/>
        <v>6032.119999999999</v>
      </c>
      <c r="N1799" s="2">
        <f t="shared" si="119"/>
        <v>20</v>
      </c>
    </row>
    <row r="1800" spans="1:14" x14ac:dyDescent="0.25">
      <c r="A1800" s="3">
        <v>45264</v>
      </c>
      <c r="B1800" s="11" t="s">
        <v>1163</v>
      </c>
      <c r="C1800" t="s">
        <v>4268</v>
      </c>
      <c r="D1800" s="83"/>
      <c r="F1800" s="11"/>
      <c r="G1800" s="2">
        <v>500</v>
      </c>
      <c r="I1800" s="2">
        <f t="shared" si="118"/>
        <v>6532.119999999999</v>
      </c>
      <c r="N1800" s="2">
        <f t="shared" si="119"/>
        <v>2</v>
      </c>
    </row>
    <row r="1801" spans="1:14" x14ac:dyDescent="0.25">
      <c r="A1801" s="3">
        <v>45264</v>
      </c>
      <c r="B1801" s="11" t="s">
        <v>3242</v>
      </c>
      <c r="C1801" t="s">
        <v>4269</v>
      </c>
      <c r="D1801" s="83"/>
      <c r="F1801" s="11"/>
      <c r="H1801" s="2">
        <v>500</v>
      </c>
      <c r="I1801" s="2">
        <f t="shared" si="118"/>
        <v>6032.119999999999</v>
      </c>
      <c r="N1801" s="2">
        <f t="shared" si="119"/>
        <v>2</v>
      </c>
    </row>
    <row r="1802" spans="1:14" x14ac:dyDescent="0.25">
      <c r="A1802" s="3">
        <v>45264</v>
      </c>
      <c r="B1802" s="11" t="s">
        <v>2780</v>
      </c>
      <c r="C1802" t="s">
        <v>4270</v>
      </c>
      <c r="D1802" s="83"/>
      <c r="F1802" s="11"/>
      <c r="G1802" s="2">
        <v>1000</v>
      </c>
      <c r="I1802" s="2">
        <f t="shared" si="118"/>
        <v>7032.119999999999</v>
      </c>
      <c r="N1802" s="2">
        <f t="shared" si="119"/>
        <v>4</v>
      </c>
    </row>
    <row r="1803" spans="1:14" x14ac:dyDescent="0.25">
      <c r="A1803" s="3">
        <v>45264</v>
      </c>
      <c r="B1803" s="11" t="s">
        <v>1253</v>
      </c>
      <c r="C1803" t="s">
        <v>2654</v>
      </c>
      <c r="D1803" s="83"/>
      <c r="F1803" s="11"/>
      <c r="G1803" s="2">
        <v>8000</v>
      </c>
      <c r="I1803" s="2">
        <f t="shared" si="118"/>
        <v>15032.119999999999</v>
      </c>
      <c r="N1803" s="2">
        <f t="shared" si="119"/>
        <v>20</v>
      </c>
    </row>
    <row r="1804" spans="1:14" x14ac:dyDescent="0.25">
      <c r="A1804" s="3">
        <v>45264</v>
      </c>
      <c r="B1804" s="11" t="s">
        <v>4128</v>
      </c>
      <c r="C1804" t="s">
        <v>4271</v>
      </c>
      <c r="D1804" s="83"/>
      <c r="F1804" s="11"/>
      <c r="H1804" s="2">
        <v>1000</v>
      </c>
      <c r="I1804" s="2">
        <f t="shared" si="118"/>
        <v>14032.119999999999</v>
      </c>
      <c r="N1804" s="2">
        <f t="shared" si="119"/>
        <v>4</v>
      </c>
    </row>
    <row r="1805" spans="1:14" x14ac:dyDescent="0.25">
      <c r="A1805" s="3">
        <v>45264</v>
      </c>
      <c r="B1805" s="11" t="s">
        <v>2349</v>
      </c>
      <c r="C1805" t="s">
        <v>1359</v>
      </c>
      <c r="D1805" s="83"/>
      <c r="F1805" s="11"/>
      <c r="H1805" s="2">
        <v>5000</v>
      </c>
      <c r="I1805" s="2">
        <f t="shared" si="118"/>
        <v>9032.119999999999</v>
      </c>
      <c r="N1805" s="2">
        <f t="shared" si="119"/>
        <v>20</v>
      </c>
    </row>
    <row r="1806" spans="1:14" x14ac:dyDescent="0.25">
      <c r="A1806" s="3">
        <v>45264</v>
      </c>
      <c r="B1806" s="11" t="s">
        <v>4273</v>
      </c>
      <c r="C1806" t="s">
        <v>4274</v>
      </c>
      <c r="D1806" s="83"/>
      <c r="E1806" s="115" t="s">
        <v>14</v>
      </c>
      <c r="F1806" s="11"/>
      <c r="H1806" s="2">
        <v>200</v>
      </c>
      <c r="I1806" s="2">
        <f t="shared" si="118"/>
        <v>8832.119999999999</v>
      </c>
      <c r="N1806" s="2">
        <f t="shared" si="119"/>
        <v>25.8</v>
      </c>
    </row>
    <row r="1807" spans="1:14" x14ac:dyDescent="0.25">
      <c r="A1807" s="3">
        <v>45265</v>
      </c>
      <c r="B1807" s="11" t="s">
        <v>4277</v>
      </c>
      <c r="C1807" t="s">
        <v>4278</v>
      </c>
      <c r="D1807" s="83"/>
      <c r="F1807" s="11"/>
      <c r="H1807" s="2">
        <v>5000</v>
      </c>
      <c r="I1807" s="2">
        <f t="shared" si="118"/>
        <v>3832.119999999999</v>
      </c>
      <c r="N1807" s="2">
        <f t="shared" si="119"/>
        <v>20</v>
      </c>
    </row>
    <row r="1808" spans="1:14" x14ac:dyDescent="0.25">
      <c r="A1808" s="3">
        <v>45265</v>
      </c>
      <c r="B1808" s="11" t="s">
        <v>4281</v>
      </c>
      <c r="C1808" t="s">
        <v>3275</v>
      </c>
      <c r="D1808" s="83"/>
      <c r="F1808" s="11"/>
      <c r="G1808" s="2">
        <v>400</v>
      </c>
      <c r="I1808" s="2">
        <f t="shared" si="118"/>
        <v>4232.119999999999</v>
      </c>
      <c r="N1808" s="2">
        <f t="shared" si="119"/>
        <v>1.6</v>
      </c>
    </row>
    <row r="1809" spans="1:14" x14ac:dyDescent="0.25">
      <c r="A1809" s="3">
        <v>45265</v>
      </c>
      <c r="B1809" s="11" t="s">
        <v>3896</v>
      </c>
      <c r="C1809" t="s">
        <v>4282</v>
      </c>
      <c r="D1809" s="83"/>
      <c r="F1809" s="11"/>
      <c r="H1809" s="2">
        <v>4000</v>
      </c>
      <c r="I1809" s="2">
        <f t="shared" ref="I1809:I1836" si="120">I1808+G1809-H1809</f>
        <v>232.11999999999898</v>
      </c>
      <c r="N1809" s="2">
        <f t="shared" ref="N1809:N1836" si="121">IF((G1809+H1809)&lt;=5000,(H1809+G1809)*0.004,20)+IF(E1809="Y",25,0)</f>
        <v>16</v>
      </c>
    </row>
    <row r="1810" spans="1:14" x14ac:dyDescent="0.25">
      <c r="A1810" s="3">
        <v>45266</v>
      </c>
      <c r="B1810" s="11" t="s">
        <v>1253</v>
      </c>
      <c r="C1810" t="s">
        <v>2654</v>
      </c>
      <c r="D1810" s="83"/>
      <c r="F1810" s="11"/>
      <c r="G1810" s="2">
        <v>3000</v>
      </c>
      <c r="I1810" s="2">
        <f t="shared" si="120"/>
        <v>3232.119999999999</v>
      </c>
      <c r="N1810" s="2">
        <f t="shared" si="121"/>
        <v>12</v>
      </c>
    </row>
    <row r="1811" spans="1:14" x14ac:dyDescent="0.25">
      <c r="A1811" s="3">
        <v>45267</v>
      </c>
      <c r="B1811" s="11" t="s">
        <v>4284</v>
      </c>
      <c r="D1811" s="83"/>
      <c r="F1811" s="11"/>
      <c r="G1811" s="2">
        <v>3000</v>
      </c>
      <c r="I1811" s="2">
        <f t="shared" si="120"/>
        <v>6232.119999999999</v>
      </c>
      <c r="N1811" s="2">
        <f t="shared" si="121"/>
        <v>12</v>
      </c>
    </row>
    <row r="1812" spans="1:14" x14ac:dyDescent="0.25">
      <c r="A1812" s="3">
        <v>45268</v>
      </c>
      <c r="B1812" s="11" t="s">
        <v>2247</v>
      </c>
      <c r="C1812" t="s">
        <v>2655</v>
      </c>
      <c r="D1812" s="83"/>
      <c r="F1812" s="11"/>
      <c r="G1812" s="2">
        <v>1500</v>
      </c>
      <c r="I1812" s="2">
        <f t="shared" si="120"/>
        <v>7732.119999999999</v>
      </c>
      <c r="N1812" s="2">
        <f t="shared" si="121"/>
        <v>6</v>
      </c>
    </row>
    <row r="1813" spans="1:14" x14ac:dyDescent="0.25">
      <c r="A1813" s="3">
        <v>45268</v>
      </c>
      <c r="B1813" s="11" t="s">
        <v>4285</v>
      </c>
      <c r="C1813" t="s">
        <v>4298</v>
      </c>
      <c r="D1813" s="83"/>
      <c r="E1813" s="115" t="s">
        <v>16</v>
      </c>
      <c r="F1813" s="11"/>
      <c r="H1813" s="2">
        <v>1000</v>
      </c>
      <c r="I1813" s="2">
        <f t="shared" si="120"/>
        <v>6732.119999999999</v>
      </c>
      <c r="N1813" s="2">
        <f t="shared" si="121"/>
        <v>29</v>
      </c>
    </row>
    <row r="1814" spans="1:14" x14ac:dyDescent="0.25">
      <c r="A1814" s="3">
        <v>45268</v>
      </c>
      <c r="B1814" s="11" t="s">
        <v>1475</v>
      </c>
      <c r="D1814" s="83"/>
      <c r="F1814" s="11"/>
      <c r="G1814" s="2">
        <v>3000</v>
      </c>
      <c r="I1814" s="2">
        <f t="shared" si="120"/>
        <v>9732.119999999999</v>
      </c>
      <c r="N1814" s="2">
        <f t="shared" si="121"/>
        <v>12</v>
      </c>
    </row>
    <row r="1815" spans="1:14" x14ac:dyDescent="0.25">
      <c r="A1815" s="3">
        <v>45268</v>
      </c>
      <c r="B1815" s="11" t="s">
        <v>3917</v>
      </c>
      <c r="C1815" t="s">
        <v>2192</v>
      </c>
      <c r="D1815" s="83"/>
      <c r="F1815" s="11"/>
      <c r="H1815" s="2">
        <v>3800</v>
      </c>
      <c r="I1815" s="2">
        <f t="shared" si="120"/>
        <v>5932.119999999999</v>
      </c>
      <c r="N1815" s="2">
        <f t="shared" si="121"/>
        <v>15.200000000000001</v>
      </c>
    </row>
    <row r="1816" spans="1:14" x14ac:dyDescent="0.25">
      <c r="A1816" s="3">
        <v>45268</v>
      </c>
      <c r="B1816" s="11" t="s">
        <v>1163</v>
      </c>
      <c r="C1816" t="s">
        <v>4289</v>
      </c>
      <c r="D1816" s="83">
        <v>8294945001</v>
      </c>
      <c r="F1816" s="11"/>
      <c r="G1816" s="2">
        <v>1000</v>
      </c>
      <c r="I1816" s="2">
        <f t="shared" si="120"/>
        <v>6932.119999999999</v>
      </c>
      <c r="N1816" s="2">
        <f t="shared" si="121"/>
        <v>4</v>
      </c>
    </row>
    <row r="1817" spans="1:14" x14ac:dyDescent="0.25">
      <c r="A1817" s="3">
        <v>45268</v>
      </c>
      <c r="B1817" s="11" t="s">
        <v>2748</v>
      </c>
      <c r="C1817" t="s">
        <v>1282</v>
      </c>
      <c r="D1817" s="83"/>
      <c r="F1817" s="11"/>
      <c r="H1817" s="2">
        <v>5000</v>
      </c>
      <c r="I1817" s="2">
        <f t="shared" si="120"/>
        <v>1932.119999999999</v>
      </c>
      <c r="N1817" s="2">
        <f t="shared" si="121"/>
        <v>20</v>
      </c>
    </row>
    <row r="1818" spans="1:14" x14ac:dyDescent="0.25">
      <c r="A1818" s="3">
        <v>45239</v>
      </c>
      <c r="B1818" s="11" t="s">
        <v>3276</v>
      </c>
      <c r="C1818" t="s">
        <v>4296</v>
      </c>
      <c r="D1818" s="83"/>
      <c r="F1818" s="11"/>
      <c r="G1818" s="2">
        <v>1000</v>
      </c>
      <c r="I1818" s="2">
        <f t="shared" si="120"/>
        <v>2932.119999999999</v>
      </c>
      <c r="N1818" s="2">
        <f t="shared" si="121"/>
        <v>4</v>
      </c>
    </row>
    <row r="1819" spans="1:14" x14ac:dyDescent="0.25">
      <c r="A1819" s="3">
        <v>45239</v>
      </c>
      <c r="B1819" s="11" t="s">
        <v>4291</v>
      </c>
      <c r="C1819" t="s">
        <v>4297</v>
      </c>
      <c r="D1819" s="83"/>
      <c r="E1819" s="115" t="s">
        <v>16</v>
      </c>
      <c r="F1819" s="11"/>
      <c r="H1819" s="2">
        <v>2000</v>
      </c>
      <c r="I1819" s="2">
        <f t="shared" si="120"/>
        <v>932.11999999999898</v>
      </c>
      <c r="N1819" s="2">
        <f t="shared" si="121"/>
        <v>33</v>
      </c>
    </row>
    <row r="1820" spans="1:14" x14ac:dyDescent="0.25">
      <c r="A1820" s="3">
        <v>45239</v>
      </c>
      <c r="B1820" s="11" t="s">
        <v>4300</v>
      </c>
      <c r="C1820" t="s">
        <v>107</v>
      </c>
      <c r="D1820" s="83"/>
      <c r="E1820" s="115" t="s">
        <v>16</v>
      </c>
      <c r="F1820" s="11"/>
      <c r="H1820" s="2">
        <v>200</v>
      </c>
      <c r="I1820" s="2">
        <f t="shared" si="120"/>
        <v>732.11999999999898</v>
      </c>
      <c r="N1820" s="2">
        <f t="shared" si="121"/>
        <v>25.8</v>
      </c>
    </row>
    <row r="1821" spans="1:14" x14ac:dyDescent="0.25">
      <c r="A1821" s="3">
        <v>45239</v>
      </c>
      <c r="B1821" s="11" t="s">
        <v>3753</v>
      </c>
      <c r="C1821" t="s">
        <v>4302</v>
      </c>
      <c r="D1821" s="83">
        <v>9064726847</v>
      </c>
      <c r="F1821" s="11"/>
      <c r="G1821" s="2">
        <v>3000</v>
      </c>
      <c r="I1821" s="2">
        <f t="shared" si="120"/>
        <v>3732.119999999999</v>
      </c>
      <c r="N1821" s="2">
        <f t="shared" si="121"/>
        <v>12</v>
      </c>
    </row>
    <row r="1822" spans="1:14" x14ac:dyDescent="0.25">
      <c r="A1822" s="3">
        <v>45271</v>
      </c>
      <c r="B1822" s="11" t="s">
        <v>1475</v>
      </c>
      <c r="C1822" t="s">
        <v>4303</v>
      </c>
      <c r="D1822" s="83">
        <v>7488423659</v>
      </c>
      <c r="F1822" s="11"/>
      <c r="G1822" s="2">
        <v>5000</v>
      </c>
      <c r="I1822" s="2">
        <f t="shared" si="120"/>
        <v>8732.119999999999</v>
      </c>
      <c r="N1822" s="2">
        <f t="shared" si="121"/>
        <v>20</v>
      </c>
    </row>
    <row r="1823" spans="1:14" x14ac:dyDescent="0.25">
      <c r="A1823" s="3">
        <v>45271</v>
      </c>
      <c r="B1823" s="11" t="s">
        <v>1253</v>
      </c>
      <c r="C1823" t="s">
        <v>2280</v>
      </c>
      <c r="D1823" s="83"/>
      <c r="F1823" s="11"/>
      <c r="H1823" s="2">
        <v>6000</v>
      </c>
      <c r="I1823" s="2">
        <f t="shared" si="120"/>
        <v>2732.119999999999</v>
      </c>
      <c r="N1823" s="2">
        <f t="shared" si="121"/>
        <v>20</v>
      </c>
    </row>
    <row r="1824" spans="1:14" x14ac:dyDescent="0.25">
      <c r="A1824" s="3">
        <v>45271</v>
      </c>
      <c r="B1824" s="11" t="s">
        <v>1163</v>
      </c>
      <c r="C1824" t="s">
        <v>3217</v>
      </c>
      <c r="D1824" s="83"/>
      <c r="F1824" s="11"/>
      <c r="G1824" s="2">
        <v>3000</v>
      </c>
      <c r="I1824" s="2">
        <f t="shared" si="120"/>
        <v>5732.119999999999</v>
      </c>
      <c r="N1824" s="2">
        <f t="shared" si="121"/>
        <v>12</v>
      </c>
    </row>
    <row r="1825" spans="1:14" x14ac:dyDescent="0.25">
      <c r="A1825" s="3">
        <v>45271</v>
      </c>
      <c r="B1825" s="11" t="s">
        <v>3334</v>
      </c>
      <c r="D1825" s="83"/>
      <c r="F1825" s="11"/>
      <c r="G1825" s="2">
        <v>1000</v>
      </c>
      <c r="I1825" s="2">
        <f t="shared" si="120"/>
        <v>6732.119999999999</v>
      </c>
      <c r="N1825" s="2">
        <f t="shared" si="121"/>
        <v>4</v>
      </c>
    </row>
    <row r="1826" spans="1:14" x14ac:dyDescent="0.25">
      <c r="A1826" s="3">
        <v>45271</v>
      </c>
      <c r="B1826" s="11" t="s">
        <v>3918</v>
      </c>
      <c r="C1826" t="s">
        <v>2910</v>
      </c>
      <c r="D1826" s="83"/>
      <c r="F1826" s="11"/>
      <c r="H1826" s="2">
        <v>5200</v>
      </c>
      <c r="I1826" s="2">
        <f t="shared" si="120"/>
        <v>1532.119999999999</v>
      </c>
      <c r="N1826" s="2">
        <f t="shared" si="121"/>
        <v>20</v>
      </c>
    </row>
    <row r="1827" spans="1:14" x14ac:dyDescent="0.25">
      <c r="A1827" s="3">
        <v>45271</v>
      </c>
      <c r="B1827" s="11" t="s">
        <v>4304</v>
      </c>
      <c r="D1827" s="83"/>
      <c r="F1827" s="11"/>
      <c r="H1827" s="2">
        <v>650</v>
      </c>
      <c r="I1827" s="2">
        <f t="shared" si="120"/>
        <v>882.11999999999898</v>
      </c>
      <c r="N1827" s="2">
        <f t="shared" si="121"/>
        <v>2.6</v>
      </c>
    </row>
    <row r="1828" spans="1:14" x14ac:dyDescent="0.25">
      <c r="A1828" s="3">
        <v>45272</v>
      </c>
      <c r="B1828" s="11" t="s">
        <v>1253</v>
      </c>
      <c r="D1828" s="83"/>
      <c r="F1828" s="11"/>
      <c r="G1828" s="2">
        <v>100</v>
      </c>
      <c r="I1828" s="2">
        <f t="shared" si="120"/>
        <v>982.11999999999898</v>
      </c>
      <c r="N1828" s="2">
        <f t="shared" si="121"/>
        <v>0.4</v>
      </c>
    </row>
    <row r="1829" spans="1:14" x14ac:dyDescent="0.25">
      <c r="A1829" s="3">
        <v>45272</v>
      </c>
      <c r="B1829" s="11" t="s">
        <v>2365</v>
      </c>
      <c r="C1829" t="s">
        <v>4160</v>
      </c>
      <c r="D1829" s="83"/>
      <c r="F1829" s="11"/>
      <c r="G1829" s="2">
        <v>2500</v>
      </c>
      <c r="I1829" s="2">
        <f t="shared" si="120"/>
        <v>3482.119999999999</v>
      </c>
      <c r="N1829" s="2">
        <f t="shared" si="121"/>
        <v>10</v>
      </c>
    </row>
    <row r="1830" spans="1:14" x14ac:dyDescent="0.25">
      <c r="A1830" s="3">
        <v>45272</v>
      </c>
      <c r="B1830" s="11" t="s">
        <v>1253</v>
      </c>
      <c r="C1830" t="s">
        <v>2467</v>
      </c>
      <c r="F1830" s="11"/>
      <c r="G1830" s="2">
        <v>1000</v>
      </c>
      <c r="I1830" s="2">
        <f t="shared" si="120"/>
        <v>4482.119999999999</v>
      </c>
      <c r="N1830" s="2">
        <f t="shared" si="121"/>
        <v>4</v>
      </c>
    </row>
    <row r="1831" spans="1:14" x14ac:dyDescent="0.25">
      <c r="A1831" s="3">
        <v>45272</v>
      </c>
      <c r="B1831" s="11" t="s">
        <v>3753</v>
      </c>
      <c r="C1831" t="s">
        <v>4302</v>
      </c>
      <c r="D1831" s="83">
        <v>9064726847</v>
      </c>
      <c r="F1831" s="11"/>
      <c r="G1831" s="2">
        <v>3000</v>
      </c>
      <c r="I1831" s="2">
        <f t="shared" si="120"/>
        <v>7482.119999999999</v>
      </c>
      <c r="N1831" s="2">
        <f t="shared" si="121"/>
        <v>12</v>
      </c>
    </row>
    <row r="1832" spans="1:14" x14ac:dyDescent="0.25">
      <c r="A1832" s="3">
        <v>45272</v>
      </c>
      <c r="B1832" s="11" t="s">
        <v>2767</v>
      </c>
      <c r="C1832" t="s">
        <v>1282</v>
      </c>
      <c r="D1832" s="83"/>
      <c r="F1832" s="11"/>
      <c r="H1832" s="2">
        <v>5000</v>
      </c>
      <c r="I1832" s="2">
        <f t="shared" si="120"/>
        <v>2482.119999999999</v>
      </c>
      <c r="N1832" s="2">
        <f t="shared" si="121"/>
        <v>20</v>
      </c>
    </row>
    <row r="1833" spans="1:14" x14ac:dyDescent="0.25">
      <c r="A1833" s="3">
        <v>45273</v>
      </c>
      <c r="B1833" s="11" t="s">
        <v>4311</v>
      </c>
      <c r="C1833" t="s">
        <v>4314</v>
      </c>
      <c r="D1833" s="83"/>
      <c r="E1833" s="115" t="s">
        <v>16</v>
      </c>
      <c r="F1833" s="11"/>
      <c r="H1833" s="2">
        <v>500</v>
      </c>
      <c r="I1833" s="2">
        <f t="shared" si="120"/>
        <v>1982.119999999999</v>
      </c>
      <c r="N1833" s="2">
        <f t="shared" si="121"/>
        <v>27</v>
      </c>
    </row>
    <row r="1834" spans="1:14" x14ac:dyDescent="0.25">
      <c r="A1834" s="3">
        <v>45273</v>
      </c>
      <c r="B1834" s="11" t="s">
        <v>3695</v>
      </c>
      <c r="C1834" t="s">
        <v>4316</v>
      </c>
      <c r="D1834" s="83">
        <v>9162911291</v>
      </c>
      <c r="F1834" s="11"/>
      <c r="G1834" s="2">
        <v>6000</v>
      </c>
      <c r="I1834" s="2">
        <f t="shared" si="120"/>
        <v>7982.119999999999</v>
      </c>
      <c r="N1834" s="2">
        <f t="shared" si="121"/>
        <v>20</v>
      </c>
    </row>
    <row r="1835" spans="1:14" x14ac:dyDescent="0.25">
      <c r="A1835" s="3">
        <v>45273</v>
      </c>
      <c r="B1835" s="11" t="s">
        <v>4204</v>
      </c>
      <c r="C1835" t="s">
        <v>1254</v>
      </c>
      <c r="D1835" s="83"/>
      <c r="F1835" s="11"/>
      <c r="H1835" s="2">
        <v>7000</v>
      </c>
      <c r="I1835" s="2">
        <f t="shared" si="120"/>
        <v>982.11999999999898</v>
      </c>
      <c r="N1835" s="2">
        <f t="shared" si="121"/>
        <v>20</v>
      </c>
    </row>
    <row r="1836" spans="1:14" x14ac:dyDescent="0.25">
      <c r="A1836" s="3">
        <v>45273</v>
      </c>
      <c r="B1836" s="11" t="s">
        <v>1163</v>
      </c>
      <c r="C1836" t="s">
        <v>4317</v>
      </c>
      <c r="D1836" s="83"/>
      <c r="F1836" s="11"/>
      <c r="G1836" s="2">
        <v>900</v>
      </c>
      <c r="I1836" s="2">
        <f t="shared" si="120"/>
        <v>1882.119999999999</v>
      </c>
      <c r="N1836" s="2">
        <f t="shared" si="121"/>
        <v>3.6</v>
      </c>
    </row>
    <row r="1837" spans="1:14" x14ac:dyDescent="0.25">
      <c r="A1837" s="3">
        <v>45273</v>
      </c>
      <c r="B1837" s="11" t="s">
        <v>3587</v>
      </c>
      <c r="C1837" t="s">
        <v>3588</v>
      </c>
      <c r="D1837" s="83"/>
      <c r="F1837" s="11"/>
      <c r="G1837" s="2">
        <v>2500</v>
      </c>
      <c r="I1837" s="2">
        <f t="shared" ref="I1837:I1861" si="122">I1836+G1837-H1837</f>
        <v>4382.119999999999</v>
      </c>
      <c r="N1837" s="2">
        <f t="shared" ref="N1837:N1861" si="123">IF((G1837+H1837)&lt;=5000,(H1837+G1837)*0.004,20)+IF(E1837="Y",25,0)</f>
        <v>10</v>
      </c>
    </row>
    <row r="1838" spans="1:14" x14ac:dyDescent="0.25">
      <c r="A1838" s="3">
        <v>45273</v>
      </c>
      <c r="B1838" s="11" t="s">
        <v>1163</v>
      </c>
      <c r="C1838" t="s">
        <v>4318</v>
      </c>
      <c r="D1838" s="83">
        <v>6205644928</v>
      </c>
      <c r="F1838" s="11"/>
      <c r="G1838" s="2">
        <v>3000</v>
      </c>
      <c r="I1838" s="2">
        <f t="shared" si="122"/>
        <v>7382.119999999999</v>
      </c>
      <c r="N1838" s="2">
        <f t="shared" si="123"/>
        <v>12</v>
      </c>
    </row>
    <row r="1839" spans="1:14" x14ac:dyDescent="0.25">
      <c r="A1839" s="3">
        <v>45273</v>
      </c>
      <c r="B1839" s="11" t="s">
        <v>2767</v>
      </c>
      <c r="C1839" t="s">
        <v>1282</v>
      </c>
      <c r="D1839" s="83"/>
      <c r="F1839" s="11"/>
      <c r="H1839" s="2">
        <v>5000</v>
      </c>
      <c r="I1839" s="2">
        <f t="shared" si="122"/>
        <v>2382.119999999999</v>
      </c>
      <c r="N1839" s="2">
        <f t="shared" si="123"/>
        <v>20</v>
      </c>
    </row>
    <row r="1840" spans="1:14" x14ac:dyDescent="0.25">
      <c r="A1840" s="3">
        <v>45274</v>
      </c>
      <c r="B1840" s="11" t="s">
        <v>3917</v>
      </c>
      <c r="C1840" t="s">
        <v>2291</v>
      </c>
      <c r="D1840" s="83"/>
      <c r="F1840" s="11"/>
      <c r="G1840" s="2">
        <v>1000</v>
      </c>
      <c r="I1840" s="2">
        <f t="shared" si="122"/>
        <v>3382.119999999999</v>
      </c>
      <c r="N1840" s="2">
        <f t="shared" si="123"/>
        <v>4</v>
      </c>
    </row>
    <row r="1841" spans="1:14" x14ac:dyDescent="0.25">
      <c r="A1841" s="3">
        <v>45274</v>
      </c>
      <c r="B1841" s="11" t="s">
        <v>4204</v>
      </c>
      <c r="C1841" t="s">
        <v>1254</v>
      </c>
      <c r="D1841" s="83"/>
      <c r="F1841" s="11"/>
      <c r="H1841" s="2">
        <v>3000</v>
      </c>
      <c r="I1841" s="2">
        <f t="shared" si="122"/>
        <v>382.11999999999898</v>
      </c>
      <c r="N1841" s="2">
        <f t="shared" si="123"/>
        <v>12</v>
      </c>
    </row>
    <row r="1842" spans="1:14" x14ac:dyDescent="0.25">
      <c r="A1842" s="3">
        <v>45275</v>
      </c>
      <c r="B1842" s="11" t="s">
        <v>4321</v>
      </c>
      <c r="C1842" t="s">
        <v>4322</v>
      </c>
      <c r="D1842" s="83"/>
      <c r="E1842" s="115" t="s">
        <v>14</v>
      </c>
      <c r="F1842" s="11"/>
      <c r="H1842" s="2">
        <v>200</v>
      </c>
      <c r="I1842" s="2">
        <f t="shared" si="122"/>
        <v>182.11999999999898</v>
      </c>
      <c r="N1842" s="2">
        <f t="shared" si="123"/>
        <v>25.8</v>
      </c>
    </row>
    <row r="1843" spans="1:14" x14ac:dyDescent="0.25">
      <c r="A1843" s="3">
        <v>45276</v>
      </c>
      <c r="B1843" s="11" t="s">
        <v>4326</v>
      </c>
      <c r="D1843" s="83"/>
      <c r="E1843" s="115" t="s">
        <v>16</v>
      </c>
      <c r="F1843" s="11"/>
      <c r="H1843" s="2">
        <v>150</v>
      </c>
      <c r="I1843" s="2">
        <f t="shared" si="122"/>
        <v>32.119999999998981</v>
      </c>
      <c r="N1843" s="2">
        <f t="shared" si="123"/>
        <v>25.6</v>
      </c>
    </row>
    <row r="1844" spans="1:14" x14ac:dyDescent="0.25">
      <c r="A1844" s="3">
        <v>45276</v>
      </c>
      <c r="C1844" t="s">
        <v>4327</v>
      </c>
      <c r="D1844" s="83"/>
      <c r="F1844" s="11"/>
      <c r="G1844" s="2">
        <v>1000</v>
      </c>
      <c r="I1844" s="2">
        <f t="shared" si="122"/>
        <v>1032.119999999999</v>
      </c>
      <c r="N1844" s="2">
        <f t="shared" si="123"/>
        <v>4</v>
      </c>
    </row>
    <row r="1845" spans="1:14" x14ac:dyDescent="0.25">
      <c r="A1845" s="3">
        <v>45276</v>
      </c>
      <c r="C1845" t="s">
        <v>2927</v>
      </c>
      <c r="D1845" s="83"/>
      <c r="F1845" s="11"/>
      <c r="G1845" s="2">
        <v>7000</v>
      </c>
      <c r="I1845" s="2">
        <f t="shared" si="122"/>
        <v>8032.119999999999</v>
      </c>
    </row>
    <row r="1846" spans="1:14" x14ac:dyDescent="0.25">
      <c r="A1846" s="3">
        <v>45276</v>
      </c>
      <c r="D1846" s="83"/>
      <c r="F1846" s="11"/>
      <c r="H1846" s="2">
        <v>7000</v>
      </c>
      <c r="I1846" s="2">
        <f t="shared" si="122"/>
        <v>1032.119999999999</v>
      </c>
      <c r="N1846" s="2">
        <f t="shared" si="123"/>
        <v>20</v>
      </c>
    </row>
    <row r="1847" spans="1:14" x14ac:dyDescent="0.25">
      <c r="A1847" s="3">
        <v>45286</v>
      </c>
      <c r="C1847" t="s">
        <v>2654</v>
      </c>
      <c r="D1847" s="83"/>
      <c r="F1847" s="11"/>
      <c r="G1847" s="2">
        <v>2200</v>
      </c>
      <c r="I1847" s="2">
        <f t="shared" si="122"/>
        <v>3232.119999999999</v>
      </c>
      <c r="N1847" s="2">
        <f t="shared" si="123"/>
        <v>8.8000000000000007</v>
      </c>
    </row>
    <row r="1848" spans="1:14" x14ac:dyDescent="0.25">
      <c r="A1848" s="3">
        <v>45286</v>
      </c>
      <c r="B1848" s="11" t="s">
        <v>2365</v>
      </c>
      <c r="C1848" t="s">
        <v>4328</v>
      </c>
      <c r="D1848" s="83"/>
      <c r="F1848" s="11"/>
      <c r="G1848" s="2">
        <v>300</v>
      </c>
      <c r="I1848" s="2">
        <f t="shared" si="122"/>
        <v>3532.119999999999</v>
      </c>
      <c r="N1848" s="2">
        <f t="shared" si="123"/>
        <v>1.2</v>
      </c>
    </row>
    <row r="1849" spans="1:14" x14ac:dyDescent="0.25">
      <c r="A1849" s="3">
        <v>45286</v>
      </c>
      <c r="B1849" s="11" t="s">
        <v>4329</v>
      </c>
      <c r="C1849" t="s">
        <v>4330</v>
      </c>
      <c r="D1849" s="83"/>
      <c r="E1849" s="115" t="s">
        <v>16</v>
      </c>
      <c r="F1849" s="11"/>
      <c r="H1849" s="2">
        <v>100</v>
      </c>
      <c r="I1849" s="2">
        <f t="shared" si="122"/>
        <v>3432.119999999999</v>
      </c>
      <c r="K1849">
        <v>4076</v>
      </c>
      <c r="N1849" s="2">
        <f t="shared" si="123"/>
        <v>25.4</v>
      </c>
    </row>
    <row r="1850" spans="1:14" x14ac:dyDescent="0.25">
      <c r="A1850" s="3">
        <v>45286</v>
      </c>
      <c r="B1850" s="11" t="s">
        <v>4332</v>
      </c>
      <c r="C1850" t="s">
        <v>4331</v>
      </c>
      <c r="D1850" s="83"/>
      <c r="F1850" s="11"/>
      <c r="G1850" s="2">
        <v>3000</v>
      </c>
      <c r="I1850" s="2">
        <f t="shared" si="122"/>
        <v>6432.119999999999</v>
      </c>
      <c r="N1850" s="2">
        <f t="shared" si="123"/>
        <v>12</v>
      </c>
    </row>
    <row r="1851" spans="1:14" x14ac:dyDescent="0.25">
      <c r="A1851" s="3">
        <v>45286</v>
      </c>
      <c r="B1851" s="11" t="s">
        <v>4074</v>
      </c>
      <c r="C1851" t="s">
        <v>4314</v>
      </c>
      <c r="D1851" s="83"/>
      <c r="F1851" s="11"/>
      <c r="H1851" s="2">
        <v>6000</v>
      </c>
      <c r="I1851" s="2">
        <f t="shared" si="122"/>
        <v>432.11999999999898</v>
      </c>
      <c r="N1851" s="2">
        <f t="shared" si="123"/>
        <v>20</v>
      </c>
    </row>
    <row r="1852" spans="1:14" x14ac:dyDescent="0.25">
      <c r="A1852" s="3"/>
      <c r="C1852" s="1" t="s">
        <v>4262</v>
      </c>
      <c r="D1852" s="88"/>
      <c r="E1852" s="122"/>
      <c r="F1852" s="43"/>
      <c r="G1852" s="82">
        <v>644.4300000000012</v>
      </c>
      <c r="H1852" s="82"/>
      <c r="I1852" s="82">
        <f t="shared" si="122"/>
        <v>1076.5500000000002</v>
      </c>
    </row>
    <row r="1853" spans="1:14" x14ac:dyDescent="0.25">
      <c r="A1853" s="3">
        <v>45287</v>
      </c>
      <c r="B1853" s="11" t="s">
        <v>4334</v>
      </c>
      <c r="C1853" t="s">
        <v>4335</v>
      </c>
      <c r="D1853" s="83"/>
      <c r="F1853" s="11"/>
      <c r="G1853" s="2">
        <v>1500</v>
      </c>
      <c r="I1853" s="2">
        <f t="shared" si="122"/>
        <v>2576.5500000000002</v>
      </c>
      <c r="N1853" s="2">
        <f t="shared" si="123"/>
        <v>6</v>
      </c>
    </row>
    <row r="1854" spans="1:14" x14ac:dyDescent="0.25">
      <c r="A1854" s="3">
        <v>45288</v>
      </c>
      <c r="B1854" s="11" t="s">
        <v>1163</v>
      </c>
      <c r="C1854" t="s">
        <v>4336</v>
      </c>
      <c r="D1854" s="83"/>
      <c r="F1854" s="11"/>
      <c r="G1854" s="2">
        <v>400</v>
      </c>
      <c r="I1854" s="2">
        <f t="shared" si="122"/>
        <v>2976.55</v>
      </c>
      <c r="N1854" s="2">
        <f t="shared" si="123"/>
        <v>1.6</v>
      </c>
    </row>
    <row r="1855" spans="1:14" x14ac:dyDescent="0.25">
      <c r="A1855" s="3">
        <v>45288</v>
      </c>
      <c r="B1855" s="11" t="s">
        <v>4337</v>
      </c>
      <c r="C1855" t="s">
        <v>4338</v>
      </c>
      <c r="D1855" s="83"/>
      <c r="F1855" s="11"/>
      <c r="G1855" s="2">
        <v>1000</v>
      </c>
      <c r="I1855" s="2">
        <f t="shared" si="122"/>
        <v>3976.55</v>
      </c>
      <c r="N1855" s="2">
        <f t="shared" si="123"/>
        <v>4</v>
      </c>
    </row>
    <row r="1856" spans="1:14" x14ac:dyDescent="0.25">
      <c r="A1856" s="3">
        <v>45288</v>
      </c>
      <c r="B1856" s="11" t="s">
        <v>4119</v>
      </c>
      <c r="C1856" t="s">
        <v>1596</v>
      </c>
      <c r="D1856" s="83"/>
      <c r="F1856" s="11"/>
      <c r="H1856" s="2">
        <v>1000</v>
      </c>
      <c r="I1856" s="2">
        <f t="shared" si="122"/>
        <v>2976.55</v>
      </c>
      <c r="N1856" s="2">
        <f t="shared" si="123"/>
        <v>4</v>
      </c>
    </row>
    <row r="1857" spans="1:16" x14ac:dyDescent="0.25">
      <c r="A1857" s="3">
        <v>45288</v>
      </c>
      <c r="B1857" s="11" t="s">
        <v>1475</v>
      </c>
      <c r="C1857" t="s">
        <v>2512</v>
      </c>
      <c r="G1857" s="2">
        <v>10000</v>
      </c>
      <c r="I1857" s="2">
        <f t="shared" si="122"/>
        <v>12976.55</v>
      </c>
      <c r="N1857" s="2">
        <f t="shared" si="123"/>
        <v>20</v>
      </c>
    </row>
    <row r="1858" spans="1:16" x14ac:dyDescent="0.25">
      <c r="A1858" s="3">
        <v>45288</v>
      </c>
      <c r="B1858" s="11" t="s">
        <v>2472</v>
      </c>
      <c r="C1858" t="s">
        <v>2280</v>
      </c>
      <c r="D1858" s="83"/>
      <c r="F1858" s="11"/>
      <c r="H1858" s="2">
        <v>8000</v>
      </c>
      <c r="I1858" s="2">
        <f t="shared" si="122"/>
        <v>4976.5499999999993</v>
      </c>
      <c r="N1858" s="2">
        <f t="shared" si="123"/>
        <v>20</v>
      </c>
    </row>
    <row r="1859" spans="1:16" x14ac:dyDescent="0.25">
      <c r="A1859" s="3">
        <v>45289</v>
      </c>
      <c r="B1859" s="11" t="s">
        <v>3962</v>
      </c>
      <c r="C1859" t="s">
        <v>4132</v>
      </c>
      <c r="D1859" s="83"/>
      <c r="F1859" s="11"/>
      <c r="G1859" s="2">
        <v>5100</v>
      </c>
      <c r="I1859" s="2">
        <f t="shared" si="122"/>
        <v>10076.549999999999</v>
      </c>
      <c r="N1859" s="2">
        <f t="shared" si="123"/>
        <v>20</v>
      </c>
    </row>
    <row r="1860" spans="1:16" x14ac:dyDescent="0.25">
      <c r="A1860" s="3">
        <v>45290</v>
      </c>
      <c r="B1860" s="11" t="s">
        <v>3917</v>
      </c>
      <c r="C1860" t="s">
        <v>2192</v>
      </c>
      <c r="D1860" s="83"/>
      <c r="F1860" s="11"/>
      <c r="H1860" s="2">
        <v>1580</v>
      </c>
      <c r="I1860" s="2">
        <f t="shared" si="122"/>
        <v>8496.5499999999993</v>
      </c>
      <c r="N1860" s="2">
        <f t="shared" si="123"/>
        <v>6.32</v>
      </c>
    </row>
    <row r="1861" spans="1:16" x14ac:dyDescent="0.25">
      <c r="A1861" s="3">
        <v>45290</v>
      </c>
      <c r="B1861" s="11" t="s">
        <v>2748</v>
      </c>
      <c r="C1861" t="s">
        <v>1359</v>
      </c>
      <c r="D1861" s="83"/>
      <c r="F1861" s="11"/>
      <c r="H1861" s="2">
        <v>7000</v>
      </c>
      <c r="I1861" s="2">
        <f t="shared" si="122"/>
        <v>1496.5499999999993</v>
      </c>
      <c r="N1861" s="2">
        <f t="shared" si="123"/>
        <v>20</v>
      </c>
    </row>
    <row r="1862" spans="1:16" x14ac:dyDescent="0.25">
      <c r="A1862" s="97">
        <f>COUNT(A1793:A1851)</f>
        <v>59</v>
      </c>
      <c r="B1862" s="102"/>
      <c r="C1862" s="27"/>
      <c r="D1862" s="139"/>
      <c r="E1862" s="117">
        <f>COUNTIF(E1793:E1851,"Y")</f>
        <v>8</v>
      </c>
      <c r="F1862" s="97">
        <f>G1862+H1862</f>
        <v>185776.55</v>
      </c>
      <c r="G1862" s="107">
        <f>SUM(G1792:G1853)</f>
        <v>94176.55</v>
      </c>
      <c r="H1862" s="107">
        <f>SUM(H1792:H1851)</f>
        <v>91600</v>
      </c>
      <c r="I1862" s="107"/>
      <c r="J1862" s="102"/>
      <c r="K1862" s="102"/>
      <c r="L1862" s="102"/>
      <c r="M1862" s="102"/>
      <c r="N1862" s="102">
        <f>SUM(N1792:N1861)</f>
        <v>919.12</v>
      </c>
      <c r="O1862" s="97"/>
      <c r="P1862" s="97"/>
    </row>
    <row r="1863" spans="1:16" x14ac:dyDescent="0.25">
      <c r="C1863" s="48"/>
      <c r="D1863" s="59"/>
      <c r="F1863" s="11"/>
    </row>
    <row r="1864" spans="1:16" x14ac:dyDescent="0.25">
      <c r="A1864" s="3">
        <v>45292</v>
      </c>
      <c r="C1864" t="s">
        <v>2870</v>
      </c>
      <c r="D1864" s="83"/>
      <c r="F1864" s="11"/>
      <c r="G1864" s="2">
        <f>I1861</f>
        <v>1496.5499999999993</v>
      </c>
      <c r="I1864" s="2">
        <f>I1863+G1864-H1864</f>
        <v>1496.5499999999993</v>
      </c>
    </row>
    <row r="1865" spans="1:16" x14ac:dyDescent="0.25">
      <c r="A1865" s="3">
        <v>45292</v>
      </c>
      <c r="B1865" s="11" t="s">
        <v>3589</v>
      </c>
      <c r="C1865" t="s">
        <v>2654</v>
      </c>
      <c r="D1865" s="83"/>
      <c r="F1865" s="11"/>
      <c r="G1865" s="2">
        <v>10000</v>
      </c>
      <c r="I1865" s="2">
        <f t="shared" ref="I1865:I1895" si="124">I1864+G1865-H1865</f>
        <v>11496.55</v>
      </c>
      <c r="N1865" s="2">
        <f>IF((G1865+H1865)&lt;=5000,(H1865+G1865)*0.004,20)+IF(E1865="Y",25,0)</f>
        <v>20</v>
      </c>
    </row>
    <row r="1866" spans="1:16" x14ac:dyDescent="0.25">
      <c r="A1866" s="3">
        <v>45293</v>
      </c>
      <c r="B1866" s="11" t="s">
        <v>4204</v>
      </c>
      <c r="C1866" t="s">
        <v>1254</v>
      </c>
      <c r="D1866" s="83"/>
      <c r="F1866" s="11"/>
      <c r="H1866" s="2">
        <v>4000</v>
      </c>
      <c r="I1866" s="2">
        <f t="shared" si="124"/>
        <v>7496.5499999999993</v>
      </c>
      <c r="N1866" s="2">
        <f>IF((G1866+H1866)&lt;=5000,(H1866+G1866)*0.004,20)+IF(E1866="Y",25,0)</f>
        <v>16</v>
      </c>
    </row>
    <row r="1867" spans="1:16" x14ac:dyDescent="0.25">
      <c r="A1867" s="3">
        <v>45293</v>
      </c>
      <c r="B1867" s="11" t="s">
        <v>4345</v>
      </c>
      <c r="C1867" t="s">
        <v>1282</v>
      </c>
      <c r="D1867" s="83"/>
      <c r="F1867" s="11"/>
      <c r="H1867" s="2">
        <v>5000</v>
      </c>
      <c r="I1867" s="2">
        <f t="shared" si="124"/>
        <v>2496.5499999999993</v>
      </c>
      <c r="N1867" s="2">
        <f t="shared" ref="N1867:N1957" si="125">IF((G1867+H1867)&lt;=5000,(H1867+G1867)*0.004,20)+IF(E1867="Y",25,0)</f>
        <v>20</v>
      </c>
    </row>
    <row r="1868" spans="1:16" x14ac:dyDescent="0.25">
      <c r="A1868" s="3">
        <v>45293</v>
      </c>
      <c r="B1868" s="11" t="s">
        <v>4108</v>
      </c>
      <c r="C1868" t="s">
        <v>2408</v>
      </c>
      <c r="D1868" s="83"/>
      <c r="F1868" s="11"/>
      <c r="G1868" s="2">
        <v>1000</v>
      </c>
      <c r="I1868" s="2">
        <f t="shared" si="124"/>
        <v>3496.5499999999993</v>
      </c>
      <c r="N1868" s="2">
        <f t="shared" si="125"/>
        <v>4</v>
      </c>
    </row>
    <row r="1869" spans="1:16" x14ac:dyDescent="0.25">
      <c r="A1869" s="3">
        <v>45293</v>
      </c>
      <c r="B1869" s="11" t="s">
        <v>1163</v>
      </c>
      <c r="C1869" t="s">
        <v>4346</v>
      </c>
      <c r="D1869" s="83">
        <v>9162882191</v>
      </c>
      <c r="F1869" s="11"/>
      <c r="G1869" s="2">
        <v>5100</v>
      </c>
      <c r="I1869" s="2">
        <f t="shared" si="124"/>
        <v>8596.5499999999993</v>
      </c>
      <c r="N1869" s="2">
        <f t="shared" si="125"/>
        <v>20</v>
      </c>
    </row>
    <row r="1870" spans="1:16" x14ac:dyDescent="0.25">
      <c r="A1870" s="3">
        <v>45293</v>
      </c>
      <c r="B1870" s="11" t="s">
        <v>2472</v>
      </c>
      <c r="C1870" t="s">
        <v>2280</v>
      </c>
      <c r="D1870" s="83"/>
      <c r="F1870" s="11"/>
      <c r="H1870" s="2">
        <v>5000</v>
      </c>
      <c r="I1870" s="2">
        <f t="shared" si="124"/>
        <v>3596.5499999999993</v>
      </c>
      <c r="N1870" s="2">
        <f t="shared" si="125"/>
        <v>20</v>
      </c>
    </row>
    <row r="1871" spans="1:16" x14ac:dyDescent="0.25">
      <c r="A1871" s="3">
        <v>45294</v>
      </c>
      <c r="B1871" s="11" t="s">
        <v>3589</v>
      </c>
      <c r="C1871" t="s">
        <v>2654</v>
      </c>
      <c r="D1871" s="83"/>
      <c r="F1871" s="11"/>
      <c r="G1871" s="2">
        <v>3500</v>
      </c>
      <c r="I1871" s="2">
        <f t="shared" si="124"/>
        <v>7096.5499999999993</v>
      </c>
      <c r="N1871" s="2">
        <f t="shared" si="125"/>
        <v>14</v>
      </c>
    </row>
    <row r="1872" spans="1:16" x14ac:dyDescent="0.25">
      <c r="A1872" s="3">
        <v>45294</v>
      </c>
      <c r="B1872" s="11" t="s">
        <v>3896</v>
      </c>
      <c r="C1872" t="s">
        <v>4265</v>
      </c>
      <c r="D1872" s="83"/>
      <c r="F1872" s="11"/>
      <c r="H1872" s="2">
        <v>3600</v>
      </c>
      <c r="I1872" s="2">
        <f t="shared" si="124"/>
        <v>3496.5499999999993</v>
      </c>
      <c r="N1872" s="2">
        <f t="shared" si="125"/>
        <v>14.4</v>
      </c>
    </row>
    <row r="1873" spans="1:14" x14ac:dyDescent="0.25">
      <c r="A1873" s="3">
        <v>45294</v>
      </c>
      <c r="B1873" s="11" t="s">
        <v>3917</v>
      </c>
      <c r="C1873" t="s">
        <v>2291</v>
      </c>
      <c r="D1873" s="83"/>
      <c r="F1873" s="11"/>
      <c r="H1873" s="2">
        <v>1000</v>
      </c>
      <c r="I1873" s="2">
        <f t="shared" si="124"/>
        <v>2496.5499999999993</v>
      </c>
      <c r="N1873" s="2">
        <f t="shared" si="125"/>
        <v>4</v>
      </c>
    </row>
    <row r="1874" spans="1:14" x14ac:dyDescent="0.25">
      <c r="A1874" s="3">
        <v>45294</v>
      </c>
      <c r="B1874" s="11" t="s">
        <v>4353</v>
      </c>
      <c r="D1874" s="83"/>
      <c r="E1874" s="115" t="s">
        <v>16</v>
      </c>
      <c r="F1874" s="11"/>
      <c r="H1874" s="2">
        <v>200</v>
      </c>
      <c r="I1874" s="2">
        <f t="shared" si="124"/>
        <v>2296.5499999999993</v>
      </c>
      <c r="N1874" s="2">
        <f t="shared" si="125"/>
        <v>25.8</v>
      </c>
    </row>
    <row r="1875" spans="1:14" x14ac:dyDescent="0.25">
      <c r="A1875" s="3">
        <v>45294</v>
      </c>
      <c r="B1875" s="11" t="s">
        <v>3780</v>
      </c>
      <c r="E1875" s="115" t="s">
        <v>16</v>
      </c>
      <c r="F1875" s="11"/>
      <c r="H1875" s="2">
        <v>200</v>
      </c>
      <c r="I1875" s="2">
        <f t="shared" si="124"/>
        <v>2096.5499999999993</v>
      </c>
      <c r="N1875" s="2">
        <f t="shared" si="125"/>
        <v>25.8</v>
      </c>
    </row>
    <row r="1876" spans="1:14" x14ac:dyDescent="0.25">
      <c r="A1876" s="3">
        <v>45294</v>
      </c>
      <c r="B1876" s="11" t="s">
        <v>1163</v>
      </c>
      <c r="C1876" t="s">
        <v>1526</v>
      </c>
      <c r="D1876" s="83"/>
      <c r="F1876" s="11"/>
      <c r="G1876" s="2">
        <v>1000</v>
      </c>
      <c r="I1876" s="2">
        <f t="shared" si="124"/>
        <v>3096.5499999999993</v>
      </c>
      <c r="N1876" s="2">
        <f t="shared" si="125"/>
        <v>4</v>
      </c>
    </row>
    <row r="1877" spans="1:14" x14ac:dyDescent="0.25">
      <c r="A1877" s="3">
        <v>45295</v>
      </c>
      <c r="B1877" s="11" t="s">
        <v>4354</v>
      </c>
      <c r="C1877" t="s">
        <v>4355</v>
      </c>
      <c r="D1877" s="83"/>
      <c r="F1877" s="11"/>
      <c r="G1877" s="2">
        <v>1000</v>
      </c>
      <c r="I1877" s="2">
        <f t="shared" si="124"/>
        <v>4096.5499999999993</v>
      </c>
      <c r="N1877" s="2">
        <f t="shared" si="125"/>
        <v>4</v>
      </c>
    </row>
    <row r="1878" spans="1:14" x14ac:dyDescent="0.25">
      <c r="A1878" s="3">
        <v>45295</v>
      </c>
      <c r="B1878" s="11" t="s">
        <v>4356</v>
      </c>
      <c r="C1878" t="s">
        <v>4357</v>
      </c>
      <c r="D1878" s="83"/>
      <c r="E1878" s="115" t="s">
        <v>14</v>
      </c>
      <c r="F1878" s="11"/>
      <c r="H1878" s="2">
        <v>2000</v>
      </c>
      <c r="I1878" s="2">
        <f t="shared" si="124"/>
        <v>2096.5499999999993</v>
      </c>
      <c r="N1878" s="2">
        <f t="shared" si="125"/>
        <v>33</v>
      </c>
    </row>
    <row r="1879" spans="1:14" x14ac:dyDescent="0.25">
      <c r="A1879" s="3">
        <v>45295</v>
      </c>
      <c r="B1879" s="11" t="s">
        <v>2247</v>
      </c>
      <c r="C1879" t="s">
        <v>4358</v>
      </c>
      <c r="D1879" s="83"/>
      <c r="F1879" s="11"/>
      <c r="G1879" s="2">
        <v>800</v>
      </c>
      <c r="I1879" s="2">
        <f t="shared" si="124"/>
        <v>2896.5499999999993</v>
      </c>
      <c r="N1879" s="2">
        <f t="shared" si="125"/>
        <v>3.2</v>
      </c>
    </row>
    <row r="1880" spans="1:14" x14ac:dyDescent="0.25">
      <c r="A1880" s="3">
        <v>45295</v>
      </c>
      <c r="B1880" s="11" t="s">
        <v>4359</v>
      </c>
      <c r="C1880" t="s">
        <v>3017</v>
      </c>
      <c r="D1880" s="83"/>
      <c r="F1880" s="11"/>
      <c r="G1880" s="2">
        <v>8000</v>
      </c>
      <c r="I1880" s="2">
        <f t="shared" si="124"/>
        <v>10896.55</v>
      </c>
      <c r="N1880" s="2">
        <f t="shared" si="125"/>
        <v>20</v>
      </c>
    </row>
    <row r="1881" spans="1:14" x14ac:dyDescent="0.25">
      <c r="A1881" s="3">
        <v>45295</v>
      </c>
      <c r="B1881" s="11" t="s">
        <v>4354</v>
      </c>
      <c r="C1881" t="s">
        <v>4360</v>
      </c>
      <c r="D1881" s="83">
        <v>9142796141</v>
      </c>
      <c r="F1881" s="11"/>
      <c r="G1881" s="2">
        <v>2500</v>
      </c>
      <c r="I1881" s="2">
        <f t="shared" si="124"/>
        <v>13396.55</v>
      </c>
      <c r="N1881" s="2">
        <f t="shared" si="125"/>
        <v>10</v>
      </c>
    </row>
    <row r="1882" spans="1:14" x14ac:dyDescent="0.25">
      <c r="A1882" s="3">
        <v>45295</v>
      </c>
      <c r="B1882" s="11" t="s">
        <v>4108</v>
      </c>
      <c r="C1882" t="s">
        <v>2408</v>
      </c>
      <c r="D1882" s="83"/>
      <c r="F1882" s="11"/>
      <c r="G1882" s="2">
        <v>2150</v>
      </c>
      <c r="I1882" s="2">
        <f t="shared" si="124"/>
        <v>15546.55</v>
      </c>
      <c r="N1882" s="2">
        <f t="shared" si="125"/>
        <v>8.6</v>
      </c>
    </row>
    <row r="1883" spans="1:14" x14ac:dyDescent="0.25">
      <c r="A1883" s="3">
        <v>45296</v>
      </c>
      <c r="B1883" s="11" t="s">
        <v>4367</v>
      </c>
      <c r="C1883" t="s">
        <v>4369</v>
      </c>
      <c r="D1883" s="83"/>
      <c r="E1883" s="115" t="s">
        <v>16</v>
      </c>
      <c r="F1883" s="11"/>
      <c r="H1883" s="2">
        <v>150</v>
      </c>
      <c r="I1883" s="2">
        <f t="shared" si="124"/>
        <v>15396.55</v>
      </c>
      <c r="N1883" s="2">
        <f t="shared" si="125"/>
        <v>25.6</v>
      </c>
    </row>
    <row r="1884" spans="1:14" x14ac:dyDescent="0.25">
      <c r="A1884" s="3">
        <v>45296</v>
      </c>
      <c r="B1884" s="11" t="s">
        <v>3045</v>
      </c>
      <c r="C1884" t="s">
        <v>1282</v>
      </c>
      <c r="D1884" s="83"/>
      <c r="F1884" s="11"/>
      <c r="H1884" s="2">
        <v>10000</v>
      </c>
      <c r="I1884" s="2">
        <f t="shared" si="124"/>
        <v>5396.5499999999993</v>
      </c>
      <c r="N1884" s="2">
        <f t="shared" si="125"/>
        <v>20</v>
      </c>
    </row>
    <row r="1885" spans="1:14" x14ac:dyDescent="0.25">
      <c r="A1885" s="3">
        <v>45297</v>
      </c>
      <c r="B1885" s="11" t="s">
        <v>3192</v>
      </c>
      <c r="C1885" t="s">
        <v>2654</v>
      </c>
      <c r="D1885" s="83"/>
      <c r="F1885" s="11"/>
      <c r="G1885" s="2">
        <v>1500</v>
      </c>
      <c r="I1885" s="2">
        <f t="shared" si="124"/>
        <v>6896.5499999999993</v>
      </c>
      <c r="N1885" s="2">
        <f t="shared" si="125"/>
        <v>6</v>
      </c>
    </row>
    <row r="1886" spans="1:14" x14ac:dyDescent="0.25">
      <c r="A1886" s="3">
        <v>45297</v>
      </c>
      <c r="B1886" s="11" t="s">
        <v>4375</v>
      </c>
      <c r="C1886" t="s">
        <v>4379</v>
      </c>
      <c r="D1886" s="83"/>
      <c r="E1886" s="115" t="s">
        <v>14</v>
      </c>
      <c r="F1886" s="11"/>
      <c r="H1886" s="2">
        <v>1000</v>
      </c>
      <c r="I1886" s="2">
        <f t="shared" si="124"/>
        <v>5896.5499999999993</v>
      </c>
      <c r="N1886" s="2">
        <f t="shared" si="125"/>
        <v>29</v>
      </c>
    </row>
    <row r="1887" spans="1:14" x14ac:dyDescent="0.25">
      <c r="A1887" s="3">
        <v>45297</v>
      </c>
      <c r="B1887" s="11" t="s">
        <v>1163</v>
      </c>
      <c r="C1887" t="s">
        <v>4380</v>
      </c>
      <c r="D1887" s="83"/>
      <c r="F1887" s="11"/>
      <c r="G1887" s="2">
        <v>3000</v>
      </c>
      <c r="I1887" s="2">
        <f t="shared" si="124"/>
        <v>8896.5499999999993</v>
      </c>
      <c r="N1887" s="2">
        <f t="shared" si="125"/>
        <v>12</v>
      </c>
    </row>
    <row r="1888" spans="1:14" x14ac:dyDescent="0.25">
      <c r="A1888" s="3">
        <v>45297</v>
      </c>
      <c r="B1888" s="11" t="s">
        <v>2721</v>
      </c>
      <c r="C1888" t="s">
        <v>1282</v>
      </c>
      <c r="D1888" s="83"/>
      <c r="F1888" s="11"/>
      <c r="H1888" s="2">
        <v>6000</v>
      </c>
      <c r="I1888" s="2">
        <f t="shared" si="124"/>
        <v>2896.5499999999993</v>
      </c>
      <c r="N1888" s="2">
        <f t="shared" si="125"/>
        <v>20</v>
      </c>
    </row>
    <row r="1889" spans="1:14" x14ac:dyDescent="0.25">
      <c r="A1889" s="3">
        <v>45297</v>
      </c>
      <c r="B1889" s="11" t="s">
        <v>2247</v>
      </c>
      <c r="C1889" t="s">
        <v>3627</v>
      </c>
      <c r="D1889" s="83"/>
      <c r="F1889" s="11"/>
      <c r="G1889" s="2">
        <v>250</v>
      </c>
      <c r="I1889" s="2">
        <f t="shared" si="124"/>
        <v>3146.5499999999993</v>
      </c>
      <c r="N1889" s="2">
        <f t="shared" si="125"/>
        <v>1</v>
      </c>
    </row>
    <row r="1890" spans="1:14" x14ac:dyDescent="0.25">
      <c r="A1890" s="3">
        <v>45297</v>
      </c>
      <c r="B1890" s="11" t="s">
        <v>4383</v>
      </c>
      <c r="C1890" t="s">
        <v>4384</v>
      </c>
      <c r="D1890" s="83"/>
      <c r="F1890" s="11"/>
      <c r="G1890" s="2">
        <v>500</v>
      </c>
      <c r="I1890" s="2">
        <f t="shared" si="124"/>
        <v>3646.5499999999993</v>
      </c>
      <c r="N1890" s="2">
        <f t="shared" si="125"/>
        <v>2</v>
      </c>
    </row>
    <row r="1891" spans="1:14" x14ac:dyDescent="0.25">
      <c r="A1891" s="3">
        <v>45297</v>
      </c>
      <c r="B1891" s="11" t="s">
        <v>1163</v>
      </c>
      <c r="C1891" t="s">
        <v>4385</v>
      </c>
      <c r="D1891" s="83"/>
      <c r="F1891" s="11"/>
      <c r="G1891" s="2">
        <v>6000</v>
      </c>
      <c r="I1891" s="2">
        <f t="shared" si="124"/>
        <v>9646.5499999999993</v>
      </c>
      <c r="N1891" s="2">
        <f t="shared" si="125"/>
        <v>20</v>
      </c>
    </row>
    <row r="1892" spans="1:14" x14ac:dyDescent="0.25">
      <c r="A1892" s="3">
        <v>45298</v>
      </c>
      <c r="B1892" s="11" t="s">
        <v>1253</v>
      </c>
      <c r="C1892" t="s">
        <v>2408</v>
      </c>
      <c r="D1892" s="83"/>
      <c r="F1892" s="11"/>
      <c r="G1892" s="2">
        <v>1000</v>
      </c>
      <c r="I1892" s="2">
        <f t="shared" si="124"/>
        <v>10646.55</v>
      </c>
      <c r="N1892" s="2">
        <f t="shared" si="125"/>
        <v>4</v>
      </c>
    </row>
    <row r="1893" spans="1:14" x14ac:dyDescent="0.25">
      <c r="A1893" s="3">
        <v>45299</v>
      </c>
      <c r="B1893" s="11" t="s">
        <v>4028</v>
      </c>
      <c r="C1893" t="s">
        <v>4029</v>
      </c>
      <c r="D1893" s="83"/>
      <c r="F1893" s="11"/>
      <c r="H1893" s="2">
        <v>1000</v>
      </c>
      <c r="I1893" s="2">
        <f t="shared" si="124"/>
        <v>9646.5499999999993</v>
      </c>
      <c r="N1893" s="2">
        <f t="shared" si="125"/>
        <v>4</v>
      </c>
    </row>
    <row r="1894" spans="1:14" x14ac:dyDescent="0.25">
      <c r="A1894" s="3">
        <v>45299</v>
      </c>
      <c r="C1894" t="s">
        <v>4387</v>
      </c>
      <c r="D1894" s="83"/>
      <c r="F1894" s="11"/>
      <c r="H1894" s="2">
        <v>3500</v>
      </c>
      <c r="I1894" s="2">
        <f t="shared" si="124"/>
        <v>6146.5499999999993</v>
      </c>
      <c r="N1894" s="2">
        <f t="shared" si="125"/>
        <v>14</v>
      </c>
    </row>
    <row r="1895" spans="1:14" x14ac:dyDescent="0.25">
      <c r="A1895" s="3">
        <v>45299</v>
      </c>
      <c r="B1895" s="11" t="s">
        <v>2721</v>
      </c>
      <c r="C1895" t="s">
        <v>1282</v>
      </c>
      <c r="D1895" s="83"/>
      <c r="F1895" s="11"/>
      <c r="H1895" s="2">
        <v>6000</v>
      </c>
      <c r="I1895" s="2">
        <f t="shared" si="124"/>
        <v>146.54999999999927</v>
      </c>
      <c r="N1895" s="2">
        <f t="shared" si="125"/>
        <v>20</v>
      </c>
    </row>
    <row r="1896" spans="1:14" x14ac:dyDescent="0.25">
      <c r="A1896" s="3">
        <v>45299</v>
      </c>
      <c r="B1896" s="11" t="s">
        <v>4388</v>
      </c>
      <c r="C1896" t="s">
        <v>4389</v>
      </c>
      <c r="D1896" s="83">
        <v>9939013247</v>
      </c>
      <c r="F1896" s="11"/>
      <c r="G1896" s="2">
        <v>5000</v>
      </c>
      <c r="I1896" s="2">
        <f t="shared" ref="I1896:I1930" si="126">I1895+G1896-H1896</f>
        <v>5146.5499999999993</v>
      </c>
      <c r="N1896" s="2">
        <f t="shared" si="125"/>
        <v>20</v>
      </c>
    </row>
    <row r="1897" spans="1:14" x14ac:dyDescent="0.25">
      <c r="A1897" s="3">
        <v>45299</v>
      </c>
      <c r="B1897" s="11" t="s">
        <v>3590</v>
      </c>
      <c r="C1897" t="s">
        <v>4390</v>
      </c>
      <c r="D1897" s="83"/>
      <c r="F1897" s="11"/>
      <c r="G1897" s="2">
        <v>3000</v>
      </c>
      <c r="I1897" s="2">
        <f t="shared" si="126"/>
        <v>8146.5499999999993</v>
      </c>
      <c r="N1897" s="2">
        <f t="shared" si="125"/>
        <v>12</v>
      </c>
    </row>
    <row r="1898" spans="1:14" x14ac:dyDescent="0.25">
      <c r="A1898" s="3">
        <v>45299</v>
      </c>
      <c r="B1898" s="11" t="s">
        <v>1253</v>
      </c>
      <c r="C1898" t="s">
        <v>3999</v>
      </c>
      <c r="D1898" s="83"/>
      <c r="F1898" s="11"/>
      <c r="G1898" s="2">
        <v>3000</v>
      </c>
      <c r="I1898" s="2">
        <f t="shared" si="126"/>
        <v>11146.55</v>
      </c>
      <c r="N1898" s="2">
        <f t="shared" si="125"/>
        <v>12</v>
      </c>
    </row>
    <row r="1899" spans="1:14" x14ac:dyDescent="0.25">
      <c r="A1899" s="3">
        <v>45299</v>
      </c>
      <c r="B1899" s="11" t="s">
        <v>2247</v>
      </c>
      <c r="C1899" t="s">
        <v>2655</v>
      </c>
      <c r="D1899" s="83"/>
      <c r="F1899" s="11"/>
      <c r="G1899" s="2">
        <v>5000</v>
      </c>
      <c r="I1899" s="2">
        <f t="shared" si="126"/>
        <v>16146.55</v>
      </c>
      <c r="N1899" s="2">
        <f t="shared" si="125"/>
        <v>20</v>
      </c>
    </row>
    <row r="1900" spans="1:14" x14ac:dyDescent="0.25">
      <c r="A1900" s="3">
        <v>45299</v>
      </c>
      <c r="B1900" s="11" t="s">
        <v>4391</v>
      </c>
      <c r="C1900" t="s">
        <v>3943</v>
      </c>
      <c r="D1900" s="83"/>
      <c r="F1900" s="11"/>
      <c r="H1900" s="2">
        <v>3000</v>
      </c>
      <c r="I1900" s="2">
        <f t="shared" si="126"/>
        <v>13146.55</v>
      </c>
      <c r="N1900" s="2">
        <f t="shared" si="125"/>
        <v>12</v>
      </c>
    </row>
    <row r="1901" spans="1:14" x14ac:dyDescent="0.25">
      <c r="A1901" s="3">
        <v>45299</v>
      </c>
      <c r="B1901" s="11" t="s">
        <v>1163</v>
      </c>
      <c r="C1901" t="s">
        <v>4392</v>
      </c>
      <c r="D1901" s="83"/>
      <c r="F1901" s="11"/>
      <c r="G1901" s="2">
        <v>2000</v>
      </c>
      <c r="I1901" s="2">
        <f t="shared" si="126"/>
        <v>15146.55</v>
      </c>
      <c r="N1901" s="2">
        <f t="shared" si="125"/>
        <v>8</v>
      </c>
    </row>
    <row r="1902" spans="1:14" x14ac:dyDescent="0.25">
      <c r="A1902" s="3">
        <v>45300</v>
      </c>
      <c r="B1902" s="11" t="s">
        <v>1253</v>
      </c>
      <c r="C1902" t="s">
        <v>2408</v>
      </c>
      <c r="D1902" s="83"/>
      <c r="F1902" s="11"/>
      <c r="G1902" s="2">
        <v>4000</v>
      </c>
      <c r="I1902" s="2">
        <f t="shared" si="126"/>
        <v>19146.55</v>
      </c>
      <c r="N1902" s="2">
        <f t="shared" si="125"/>
        <v>16</v>
      </c>
    </row>
    <row r="1903" spans="1:14" x14ac:dyDescent="0.25">
      <c r="A1903" s="3">
        <v>45300</v>
      </c>
      <c r="B1903" s="11" t="s">
        <v>2748</v>
      </c>
      <c r="D1903" s="83"/>
      <c r="F1903" s="11"/>
      <c r="H1903" s="2">
        <v>5000</v>
      </c>
      <c r="I1903" s="2">
        <f t="shared" si="126"/>
        <v>14146.55</v>
      </c>
      <c r="N1903" s="2">
        <f t="shared" si="125"/>
        <v>20</v>
      </c>
    </row>
    <row r="1904" spans="1:14" x14ac:dyDescent="0.25">
      <c r="A1904" s="3">
        <v>45300</v>
      </c>
      <c r="B1904" s="11" t="s">
        <v>3917</v>
      </c>
      <c r="C1904" t="s">
        <v>2291</v>
      </c>
      <c r="D1904" s="83"/>
      <c r="F1904" s="11"/>
      <c r="H1904" s="2">
        <v>4200</v>
      </c>
      <c r="I1904" s="2">
        <f t="shared" si="126"/>
        <v>9946.5499999999993</v>
      </c>
      <c r="N1904" s="2">
        <f t="shared" si="125"/>
        <v>16.8</v>
      </c>
    </row>
    <row r="1905" spans="1:19" x14ac:dyDescent="0.25">
      <c r="A1905" s="3">
        <v>45300</v>
      </c>
      <c r="B1905" s="11" t="s">
        <v>3918</v>
      </c>
      <c r="C1905" t="s">
        <v>2910</v>
      </c>
      <c r="D1905" s="83"/>
      <c r="F1905" s="11"/>
      <c r="H1905" s="2">
        <v>4200</v>
      </c>
      <c r="I1905" s="2">
        <f t="shared" si="126"/>
        <v>5746.5499999999993</v>
      </c>
      <c r="N1905" s="2">
        <f t="shared" si="125"/>
        <v>16.8</v>
      </c>
    </row>
    <row r="1906" spans="1:19" x14ac:dyDescent="0.25">
      <c r="A1906" s="3">
        <v>45301</v>
      </c>
      <c r="B1906" s="11" t="s">
        <v>4400</v>
      </c>
      <c r="C1906" t="s">
        <v>4408</v>
      </c>
      <c r="D1906" s="83"/>
      <c r="E1906" s="115" t="s">
        <v>16</v>
      </c>
      <c r="F1906" s="11"/>
      <c r="H1906" s="2">
        <v>100</v>
      </c>
      <c r="I1906" s="2">
        <f t="shared" si="126"/>
        <v>5646.5499999999993</v>
      </c>
      <c r="N1906" s="2">
        <f t="shared" si="125"/>
        <v>25.4</v>
      </c>
    </row>
    <row r="1907" spans="1:19" x14ac:dyDescent="0.25">
      <c r="A1907" s="3">
        <v>45301</v>
      </c>
      <c r="B1907" s="11" t="s">
        <v>4404</v>
      </c>
      <c r="C1907" t="s">
        <v>4405</v>
      </c>
      <c r="D1907" s="83"/>
      <c r="E1907" s="115" t="s">
        <v>16</v>
      </c>
      <c r="F1907" s="11"/>
      <c r="H1907" s="2">
        <v>100</v>
      </c>
      <c r="I1907" s="2">
        <f t="shared" si="126"/>
        <v>5546.5499999999993</v>
      </c>
      <c r="N1907" s="2">
        <f t="shared" si="125"/>
        <v>25.4</v>
      </c>
    </row>
    <row r="1908" spans="1:19" x14ac:dyDescent="0.25">
      <c r="A1908" s="3">
        <v>45302</v>
      </c>
      <c r="B1908" s="11" t="s">
        <v>3334</v>
      </c>
      <c r="C1908" t="s">
        <v>3446</v>
      </c>
      <c r="D1908" s="83"/>
      <c r="F1908" s="11"/>
      <c r="G1908" s="2">
        <v>1000</v>
      </c>
      <c r="I1908" s="2">
        <f t="shared" si="126"/>
        <v>6546.5499999999993</v>
      </c>
      <c r="N1908" s="2">
        <f t="shared" si="125"/>
        <v>4</v>
      </c>
    </row>
    <row r="1909" spans="1:19" x14ac:dyDescent="0.25">
      <c r="A1909" s="3">
        <v>45303</v>
      </c>
      <c r="B1909" s="11" t="s">
        <v>3434</v>
      </c>
      <c r="C1909" t="s">
        <v>1841</v>
      </c>
      <c r="D1909" s="83"/>
      <c r="F1909" s="11"/>
      <c r="H1909" s="2">
        <v>6000</v>
      </c>
      <c r="I1909" s="2">
        <f t="shared" si="126"/>
        <v>546.54999999999927</v>
      </c>
      <c r="N1909" s="2">
        <f t="shared" si="125"/>
        <v>20</v>
      </c>
    </row>
    <row r="1910" spans="1:19" x14ac:dyDescent="0.25">
      <c r="A1910" s="3">
        <v>45303</v>
      </c>
      <c r="B1910" s="11" t="s">
        <v>3962</v>
      </c>
      <c r="C1910" t="s">
        <v>4132</v>
      </c>
      <c r="D1910" s="83"/>
      <c r="F1910" s="11"/>
      <c r="G1910" s="2">
        <v>6000</v>
      </c>
      <c r="I1910" s="2">
        <f t="shared" si="126"/>
        <v>6546.5499999999993</v>
      </c>
      <c r="N1910" s="2">
        <f t="shared" si="125"/>
        <v>20</v>
      </c>
    </row>
    <row r="1911" spans="1:19" x14ac:dyDescent="0.25">
      <c r="A1911" s="3">
        <v>45303</v>
      </c>
      <c r="B1911" s="11" t="s">
        <v>4412</v>
      </c>
      <c r="C1911" t="s">
        <v>2577</v>
      </c>
      <c r="D1911" s="83"/>
      <c r="F1911" s="11"/>
      <c r="H1911" s="2">
        <v>3000</v>
      </c>
      <c r="I1911" s="2">
        <f t="shared" si="126"/>
        <v>3546.5499999999993</v>
      </c>
      <c r="N1911" s="2">
        <f t="shared" si="125"/>
        <v>12</v>
      </c>
      <c r="R1911" s="2"/>
      <c r="S1911" s="2"/>
    </row>
    <row r="1912" spans="1:19" x14ac:dyDescent="0.25">
      <c r="A1912" s="3">
        <v>45303</v>
      </c>
      <c r="B1912" s="11" t="s">
        <v>1163</v>
      </c>
      <c r="D1912" s="83"/>
      <c r="F1912" s="11"/>
      <c r="G1912" s="2">
        <v>5000</v>
      </c>
      <c r="I1912" s="2">
        <f t="shared" si="126"/>
        <v>8546.5499999999993</v>
      </c>
      <c r="N1912" s="2">
        <f t="shared" si="125"/>
        <v>20</v>
      </c>
    </row>
    <row r="1913" spans="1:19" x14ac:dyDescent="0.25">
      <c r="A1913" s="3">
        <v>45303</v>
      </c>
      <c r="B1913" s="11" t="s">
        <v>1163</v>
      </c>
      <c r="C1913" t="s">
        <v>3691</v>
      </c>
      <c r="D1913" s="83"/>
      <c r="F1913" s="11"/>
      <c r="G1913" s="2">
        <v>1000</v>
      </c>
      <c r="I1913" s="2">
        <f t="shared" si="126"/>
        <v>9546.5499999999993</v>
      </c>
      <c r="N1913" s="2">
        <f t="shared" si="125"/>
        <v>4</v>
      </c>
    </row>
    <row r="1914" spans="1:19" x14ac:dyDescent="0.25">
      <c r="A1914" s="3">
        <v>45303</v>
      </c>
      <c r="B1914" s="11" t="s">
        <v>3918</v>
      </c>
      <c r="C1914" t="s">
        <v>4414</v>
      </c>
      <c r="D1914" s="83"/>
      <c r="F1914" s="11"/>
      <c r="H1914" s="2">
        <v>9000</v>
      </c>
      <c r="I1914" s="2">
        <f t="shared" si="126"/>
        <v>546.54999999999927</v>
      </c>
      <c r="N1914" s="2">
        <f t="shared" si="125"/>
        <v>20</v>
      </c>
    </row>
    <row r="1915" spans="1:19" x14ac:dyDescent="0.25">
      <c r="A1915" s="3">
        <v>45304</v>
      </c>
      <c r="B1915" s="11" t="s">
        <v>1253</v>
      </c>
      <c r="C1915" t="s">
        <v>4415</v>
      </c>
      <c r="D1915" s="83"/>
      <c r="F1915" s="11"/>
      <c r="G1915" s="2">
        <v>1000</v>
      </c>
      <c r="I1915" s="2">
        <f t="shared" si="126"/>
        <v>1546.5499999999993</v>
      </c>
      <c r="N1915" s="2">
        <f t="shared" si="125"/>
        <v>4</v>
      </c>
    </row>
    <row r="1916" spans="1:19" x14ac:dyDescent="0.25">
      <c r="A1916" s="3">
        <v>45304</v>
      </c>
      <c r="B1916" s="11" t="s">
        <v>4354</v>
      </c>
      <c r="C1916" t="s">
        <v>4416</v>
      </c>
      <c r="D1916" s="83"/>
      <c r="F1916" s="11"/>
      <c r="G1916" s="2">
        <v>2000</v>
      </c>
      <c r="I1916" s="2">
        <f t="shared" si="126"/>
        <v>3546.5499999999993</v>
      </c>
      <c r="N1916" s="2">
        <f t="shared" si="125"/>
        <v>8</v>
      </c>
    </row>
    <row r="1917" spans="1:19" x14ac:dyDescent="0.25">
      <c r="A1917" s="3">
        <v>45305</v>
      </c>
      <c r="B1917" s="11" t="s">
        <v>2472</v>
      </c>
      <c r="C1917" t="s">
        <v>2280</v>
      </c>
      <c r="D1917" s="83"/>
      <c r="F1917" s="11"/>
      <c r="H1917" s="2">
        <v>3500</v>
      </c>
      <c r="I1917" s="2">
        <f t="shared" si="126"/>
        <v>46.549999999999272</v>
      </c>
      <c r="N1917" s="2">
        <f t="shared" si="125"/>
        <v>14</v>
      </c>
    </row>
    <row r="1918" spans="1:19" x14ac:dyDescent="0.25">
      <c r="A1918" s="3">
        <v>45305</v>
      </c>
      <c r="B1918" s="11" t="s">
        <v>3962</v>
      </c>
      <c r="C1918" t="s">
        <v>4132</v>
      </c>
      <c r="D1918" s="83"/>
      <c r="F1918" s="11"/>
      <c r="G1918" s="2">
        <v>2000</v>
      </c>
      <c r="I1918" s="2">
        <f t="shared" si="126"/>
        <v>2046.5499999999993</v>
      </c>
      <c r="N1918" s="2">
        <f t="shared" si="125"/>
        <v>8</v>
      </c>
    </row>
    <row r="1919" spans="1:19" x14ac:dyDescent="0.25">
      <c r="A1919" s="3">
        <v>45306</v>
      </c>
      <c r="B1919" s="11" t="s">
        <v>1253</v>
      </c>
      <c r="C1919" t="s">
        <v>4254</v>
      </c>
      <c r="D1919" s="83"/>
      <c r="F1919" s="11"/>
      <c r="G1919" s="2">
        <v>3000</v>
      </c>
      <c r="I1919" s="2">
        <f t="shared" si="126"/>
        <v>5046.5499999999993</v>
      </c>
      <c r="N1919" s="2">
        <f t="shared" si="125"/>
        <v>12</v>
      </c>
    </row>
    <row r="1920" spans="1:19" x14ac:dyDescent="0.25">
      <c r="A1920" s="3">
        <v>45306</v>
      </c>
      <c r="B1920" s="11" t="s">
        <v>2472</v>
      </c>
      <c r="C1920" t="s">
        <v>2280</v>
      </c>
      <c r="D1920" s="83"/>
      <c r="F1920" s="11"/>
      <c r="H1920" s="2">
        <v>4500</v>
      </c>
      <c r="I1920" s="2">
        <f t="shared" si="126"/>
        <v>546.54999999999927</v>
      </c>
      <c r="N1920" s="2">
        <f t="shared" si="125"/>
        <v>18</v>
      </c>
    </row>
    <row r="1921" spans="1:17" x14ac:dyDescent="0.25">
      <c r="A1921" s="3">
        <v>45306</v>
      </c>
      <c r="B1921" s="11" t="s">
        <v>1253</v>
      </c>
      <c r="C1921" t="s">
        <v>2766</v>
      </c>
      <c r="D1921" s="83"/>
      <c r="F1921" s="11"/>
      <c r="G1921" s="2">
        <v>500</v>
      </c>
      <c r="I1921" s="2">
        <f t="shared" si="126"/>
        <v>1046.5499999999993</v>
      </c>
      <c r="N1921" s="2">
        <f t="shared" si="125"/>
        <v>2</v>
      </c>
    </row>
    <row r="1922" spans="1:17" x14ac:dyDescent="0.25">
      <c r="A1922" s="3">
        <v>45306</v>
      </c>
      <c r="B1922" s="11" t="s">
        <v>1163</v>
      </c>
      <c r="C1922" t="s">
        <v>4417</v>
      </c>
      <c r="D1922" s="83"/>
      <c r="F1922" s="11"/>
      <c r="G1922" s="2">
        <v>2000</v>
      </c>
      <c r="I1922" s="2">
        <f t="shared" si="126"/>
        <v>3046.5499999999993</v>
      </c>
      <c r="N1922" s="2">
        <f t="shared" si="125"/>
        <v>8</v>
      </c>
      <c r="Q1922">
        <v>-20</v>
      </c>
    </row>
    <row r="1923" spans="1:17" x14ac:dyDescent="0.25">
      <c r="A1923" s="3">
        <v>45306</v>
      </c>
      <c r="B1923" s="11" t="s">
        <v>1253</v>
      </c>
      <c r="C1923" t="s">
        <v>2654</v>
      </c>
      <c r="D1923" s="83"/>
      <c r="F1923" s="11"/>
      <c r="G1923" s="2">
        <v>1500</v>
      </c>
      <c r="I1923" s="2">
        <f t="shared" si="126"/>
        <v>4546.5499999999993</v>
      </c>
      <c r="N1923" s="2">
        <f t="shared" si="125"/>
        <v>6</v>
      </c>
    </row>
    <row r="1924" spans="1:17" x14ac:dyDescent="0.25">
      <c r="A1924" s="3">
        <v>45306</v>
      </c>
      <c r="B1924" s="11" t="s">
        <v>1163</v>
      </c>
      <c r="C1924" t="s">
        <v>4419</v>
      </c>
      <c r="D1924" s="83"/>
      <c r="F1924" s="11"/>
      <c r="G1924" s="2">
        <v>1200</v>
      </c>
      <c r="I1924" s="2">
        <f t="shared" si="126"/>
        <v>5746.5499999999993</v>
      </c>
      <c r="N1924" s="2">
        <f t="shared" si="125"/>
        <v>4.8</v>
      </c>
    </row>
    <row r="1925" spans="1:17" x14ac:dyDescent="0.25">
      <c r="A1925" s="3">
        <v>45307</v>
      </c>
      <c r="B1925" s="11" t="s">
        <v>2748</v>
      </c>
      <c r="C1925" t="s">
        <v>1282</v>
      </c>
      <c r="D1925" s="83"/>
      <c r="F1925" s="11"/>
      <c r="H1925" s="2">
        <v>5000</v>
      </c>
      <c r="I1925" s="2">
        <f t="shared" si="126"/>
        <v>746.54999999999927</v>
      </c>
      <c r="N1925" s="2">
        <f t="shared" si="125"/>
        <v>20</v>
      </c>
    </row>
    <row r="1926" spans="1:17" x14ac:dyDescent="0.25">
      <c r="A1926" s="3">
        <v>45308</v>
      </c>
      <c r="B1926" s="11" t="s">
        <v>1475</v>
      </c>
      <c r="D1926" s="83"/>
      <c r="F1926" s="11"/>
      <c r="G1926" s="2">
        <v>1000</v>
      </c>
      <c r="I1926" s="2">
        <f t="shared" si="126"/>
        <v>1746.5499999999993</v>
      </c>
      <c r="N1926" s="2">
        <f t="shared" si="125"/>
        <v>4</v>
      </c>
    </row>
    <row r="1927" spans="1:17" x14ac:dyDescent="0.25">
      <c r="A1927" s="3">
        <v>45310</v>
      </c>
      <c r="B1927" s="11" t="s">
        <v>2682</v>
      </c>
      <c r="D1927" s="83"/>
      <c r="F1927" s="11"/>
      <c r="G1927" s="2">
        <v>780</v>
      </c>
      <c r="I1927" s="2">
        <f t="shared" si="126"/>
        <v>2526.5499999999993</v>
      </c>
      <c r="N1927" s="2">
        <f t="shared" si="125"/>
        <v>3.12</v>
      </c>
    </row>
    <row r="1928" spans="1:17" x14ac:dyDescent="0.25">
      <c r="A1928" s="3">
        <v>45310</v>
      </c>
      <c r="B1928" s="11" t="s">
        <v>1253</v>
      </c>
      <c r="D1928" s="83"/>
      <c r="F1928" s="11"/>
      <c r="H1928" s="2">
        <v>1500</v>
      </c>
      <c r="I1928" s="2">
        <f t="shared" si="126"/>
        <v>1026.5499999999993</v>
      </c>
      <c r="N1928" s="2">
        <f t="shared" si="125"/>
        <v>6</v>
      </c>
    </row>
    <row r="1929" spans="1:17" x14ac:dyDescent="0.25">
      <c r="A1929" s="3">
        <v>45311</v>
      </c>
      <c r="B1929" s="11" t="s">
        <v>1163</v>
      </c>
      <c r="D1929" s="83"/>
      <c r="F1929" s="11"/>
      <c r="G1929" s="2">
        <v>1000</v>
      </c>
      <c r="I1929" s="2">
        <f t="shared" si="126"/>
        <v>2026.5499999999993</v>
      </c>
      <c r="N1929" s="2">
        <f t="shared" si="125"/>
        <v>4</v>
      </c>
    </row>
    <row r="1930" spans="1:17" x14ac:dyDescent="0.25">
      <c r="A1930" s="3">
        <v>45313</v>
      </c>
      <c r="B1930" s="11" t="s">
        <v>1253</v>
      </c>
      <c r="D1930" s="83"/>
      <c r="F1930" s="11"/>
      <c r="G1930" s="2">
        <v>4000</v>
      </c>
      <c r="I1930" s="2">
        <f t="shared" si="126"/>
        <v>6026.5499999999993</v>
      </c>
      <c r="N1930" s="2">
        <f t="shared" si="125"/>
        <v>16</v>
      </c>
    </row>
    <row r="1931" spans="1:17" x14ac:dyDescent="0.25">
      <c r="A1931" s="3">
        <v>45313</v>
      </c>
      <c r="B1931" s="11" t="s">
        <v>1253</v>
      </c>
      <c r="C1931" t="s">
        <v>1253</v>
      </c>
      <c r="D1931" s="83"/>
      <c r="F1931" s="11"/>
      <c r="H1931" s="2">
        <v>5000</v>
      </c>
      <c r="I1931" s="2">
        <f t="shared" ref="I1931:I1958" si="127">I1930+G1931-H1931</f>
        <v>1026.5499999999993</v>
      </c>
      <c r="N1931" s="2">
        <f t="shared" si="125"/>
        <v>20</v>
      </c>
    </row>
    <row r="1932" spans="1:17" x14ac:dyDescent="0.25">
      <c r="A1932" s="3">
        <v>45313</v>
      </c>
      <c r="B1932" s="11" t="s">
        <v>1253</v>
      </c>
      <c r="C1932" t="s">
        <v>2766</v>
      </c>
      <c r="D1932" s="83"/>
      <c r="F1932" s="11"/>
      <c r="G1932" s="2">
        <v>500</v>
      </c>
      <c r="I1932" s="2">
        <f t="shared" si="127"/>
        <v>1526.5499999999993</v>
      </c>
      <c r="N1932" s="2">
        <f t="shared" si="125"/>
        <v>2</v>
      </c>
    </row>
    <row r="1933" spans="1:17" x14ac:dyDescent="0.25">
      <c r="A1933" s="3">
        <v>45313</v>
      </c>
      <c r="B1933" s="11" t="s">
        <v>1253</v>
      </c>
      <c r="D1933" s="83"/>
      <c r="F1933" s="11"/>
      <c r="G1933" s="2">
        <v>600</v>
      </c>
      <c r="I1933" s="2">
        <f t="shared" si="127"/>
        <v>2126.5499999999993</v>
      </c>
      <c r="N1933" s="2">
        <f t="shared" si="125"/>
        <v>2.4</v>
      </c>
    </row>
    <row r="1934" spans="1:17" x14ac:dyDescent="0.25">
      <c r="A1934" s="3">
        <v>45313</v>
      </c>
      <c r="B1934" s="11" t="s">
        <v>3045</v>
      </c>
      <c r="C1934" t="s">
        <v>1282</v>
      </c>
      <c r="D1934" s="83"/>
      <c r="F1934" s="11"/>
      <c r="H1934" s="2">
        <v>2000</v>
      </c>
      <c r="I1934" s="2">
        <f t="shared" si="127"/>
        <v>126.54999999999927</v>
      </c>
      <c r="N1934" s="2">
        <f t="shared" si="125"/>
        <v>8</v>
      </c>
    </row>
    <row r="1935" spans="1:17" x14ac:dyDescent="0.25">
      <c r="A1935" s="3">
        <v>45314</v>
      </c>
      <c r="B1935" s="11" t="s">
        <v>4420</v>
      </c>
      <c r="C1935" t="s">
        <v>4421</v>
      </c>
      <c r="D1935" s="83"/>
      <c r="F1935" s="11"/>
      <c r="G1935" s="2">
        <v>2000</v>
      </c>
      <c r="I1935" s="2">
        <f t="shared" si="127"/>
        <v>2126.5499999999993</v>
      </c>
      <c r="N1935" s="2">
        <f t="shared" si="125"/>
        <v>8</v>
      </c>
    </row>
    <row r="1936" spans="1:17" x14ac:dyDescent="0.25">
      <c r="A1936" s="3">
        <v>45314</v>
      </c>
      <c r="B1936" s="11" t="s">
        <v>4086</v>
      </c>
      <c r="C1936" t="s">
        <v>1235</v>
      </c>
      <c r="D1936" s="83"/>
      <c r="F1936" s="11"/>
      <c r="H1936" s="2">
        <v>2000</v>
      </c>
      <c r="I1936" s="2">
        <f t="shared" si="127"/>
        <v>126.54999999999927</v>
      </c>
      <c r="N1936" s="2">
        <f t="shared" si="125"/>
        <v>8</v>
      </c>
    </row>
    <row r="1937" spans="1:14" x14ac:dyDescent="0.25">
      <c r="A1937" s="3">
        <v>45314</v>
      </c>
      <c r="B1937" s="11" t="s">
        <v>1253</v>
      </c>
      <c r="C1937" t="s">
        <v>2408</v>
      </c>
      <c r="D1937" s="83"/>
      <c r="F1937" s="11"/>
      <c r="G1937" s="2">
        <v>100</v>
      </c>
      <c r="I1937" s="2">
        <f t="shared" si="127"/>
        <v>226.54999999999927</v>
      </c>
      <c r="N1937" s="2">
        <f t="shared" si="125"/>
        <v>0.4</v>
      </c>
    </row>
    <row r="1938" spans="1:14" x14ac:dyDescent="0.25">
      <c r="A1938" s="3">
        <v>45315</v>
      </c>
      <c r="B1938" s="11" t="s">
        <v>3325</v>
      </c>
      <c r="C1938" s="7" t="s">
        <v>3326</v>
      </c>
      <c r="D1938" s="83"/>
      <c r="F1938" s="11"/>
      <c r="G1938" s="2">
        <v>500</v>
      </c>
      <c r="I1938" s="2">
        <f t="shared" si="127"/>
        <v>726.54999999999927</v>
      </c>
      <c r="N1938" s="2">
        <f t="shared" si="125"/>
        <v>2</v>
      </c>
    </row>
    <row r="1939" spans="1:14" x14ac:dyDescent="0.25">
      <c r="A1939" s="3">
        <v>45316</v>
      </c>
      <c r="B1939" s="11" t="s">
        <v>4422</v>
      </c>
      <c r="C1939" t="s">
        <v>2823</v>
      </c>
      <c r="D1939" s="83"/>
      <c r="F1939" s="11"/>
      <c r="G1939" s="2">
        <v>2000</v>
      </c>
      <c r="I1939" s="2">
        <f t="shared" si="127"/>
        <v>2726.5499999999993</v>
      </c>
      <c r="N1939" s="2">
        <f t="shared" si="125"/>
        <v>8</v>
      </c>
    </row>
    <row r="1940" spans="1:14" x14ac:dyDescent="0.25">
      <c r="A1940" s="3">
        <v>45316</v>
      </c>
      <c r="B1940" s="11" t="s">
        <v>2472</v>
      </c>
      <c r="C1940" t="s">
        <v>2280</v>
      </c>
      <c r="D1940" s="83"/>
      <c r="F1940" s="11"/>
      <c r="H1940" s="2">
        <v>2500</v>
      </c>
      <c r="I1940" s="2">
        <f t="shared" si="127"/>
        <v>226.54999999999927</v>
      </c>
      <c r="N1940" s="2">
        <f t="shared" si="125"/>
        <v>10</v>
      </c>
    </row>
    <row r="1941" spans="1:14" x14ac:dyDescent="0.25">
      <c r="A1941" s="3">
        <v>45317</v>
      </c>
      <c r="B1941" s="11" t="s">
        <v>2365</v>
      </c>
      <c r="C1941" t="s">
        <v>4423</v>
      </c>
      <c r="D1941" s="83"/>
      <c r="F1941" s="11"/>
      <c r="G1941" s="2">
        <v>400</v>
      </c>
      <c r="I1941" s="2">
        <f t="shared" si="127"/>
        <v>626.54999999999927</v>
      </c>
      <c r="N1941" s="2">
        <f t="shared" si="125"/>
        <v>1.6</v>
      </c>
    </row>
    <row r="1942" spans="1:14" x14ac:dyDescent="0.25">
      <c r="A1942" s="3">
        <v>45317</v>
      </c>
      <c r="B1942" s="11" t="s">
        <v>4383</v>
      </c>
      <c r="C1942" t="s">
        <v>4384</v>
      </c>
      <c r="D1942" s="83"/>
      <c r="F1942" s="11"/>
      <c r="G1942" s="2">
        <v>1000</v>
      </c>
      <c r="I1942" s="2">
        <f t="shared" si="127"/>
        <v>1626.5499999999993</v>
      </c>
      <c r="N1942" s="2">
        <f t="shared" si="125"/>
        <v>4</v>
      </c>
    </row>
    <row r="1943" spans="1:14" x14ac:dyDescent="0.25">
      <c r="A1943" s="3">
        <v>45317</v>
      </c>
      <c r="B1943" s="11" t="s">
        <v>4332</v>
      </c>
      <c r="C1943" t="s">
        <v>4424</v>
      </c>
      <c r="D1943" s="83"/>
      <c r="F1943" s="11"/>
      <c r="G1943" s="2">
        <v>800</v>
      </c>
      <c r="I1943" s="2">
        <f t="shared" si="127"/>
        <v>2426.5499999999993</v>
      </c>
      <c r="N1943" s="2">
        <f t="shared" si="125"/>
        <v>3.2</v>
      </c>
    </row>
    <row r="1944" spans="1:14" x14ac:dyDescent="0.25">
      <c r="A1944" s="3">
        <v>45317</v>
      </c>
      <c r="B1944" s="11" t="s">
        <v>3835</v>
      </c>
      <c r="C1944" t="s">
        <v>4384</v>
      </c>
      <c r="D1944" s="83"/>
      <c r="F1944" s="11"/>
      <c r="H1944" s="2">
        <v>2000</v>
      </c>
      <c r="I1944" s="2">
        <f t="shared" si="127"/>
        <v>426.54999999999927</v>
      </c>
      <c r="N1944" s="2">
        <f t="shared" si="125"/>
        <v>8</v>
      </c>
    </row>
    <row r="1945" spans="1:14" x14ac:dyDescent="0.25">
      <c r="A1945" s="3">
        <v>45317</v>
      </c>
      <c r="B1945" s="11" t="s">
        <v>3962</v>
      </c>
      <c r="C1945" t="s">
        <v>4132</v>
      </c>
      <c r="D1945" s="83"/>
      <c r="F1945" s="11"/>
      <c r="G1945" s="2">
        <v>10000</v>
      </c>
      <c r="I1945" s="2">
        <f t="shared" si="127"/>
        <v>10426.549999999999</v>
      </c>
      <c r="N1945" s="2">
        <f t="shared" si="125"/>
        <v>20</v>
      </c>
    </row>
    <row r="1946" spans="1:14" x14ac:dyDescent="0.25">
      <c r="A1946" s="3">
        <v>45317</v>
      </c>
      <c r="B1946" s="11" t="s">
        <v>2472</v>
      </c>
      <c r="C1946" t="s">
        <v>4155</v>
      </c>
      <c r="D1946" s="83"/>
      <c r="F1946" s="11"/>
      <c r="H1946" s="2">
        <v>7500</v>
      </c>
      <c r="I1946" s="2">
        <f t="shared" si="127"/>
        <v>2926.5499999999993</v>
      </c>
      <c r="N1946" s="2">
        <f t="shared" si="125"/>
        <v>20</v>
      </c>
    </row>
    <row r="1947" spans="1:14" x14ac:dyDescent="0.25">
      <c r="A1947" s="3">
        <v>45318</v>
      </c>
      <c r="B1947" s="11" t="s">
        <v>1475</v>
      </c>
      <c r="C1947" t="s">
        <v>3017</v>
      </c>
      <c r="D1947" s="83"/>
      <c r="F1947" s="11"/>
      <c r="G1947" s="2">
        <v>5000</v>
      </c>
      <c r="I1947" s="2">
        <f t="shared" si="127"/>
        <v>7926.5499999999993</v>
      </c>
      <c r="N1947" s="2">
        <f t="shared" si="125"/>
        <v>20</v>
      </c>
    </row>
    <row r="1948" spans="1:14" x14ac:dyDescent="0.25">
      <c r="A1948" s="3">
        <v>45318</v>
      </c>
      <c r="C1948" t="s">
        <v>2766</v>
      </c>
      <c r="D1948" s="83"/>
      <c r="F1948" s="11"/>
      <c r="G1948" s="2">
        <v>700</v>
      </c>
      <c r="I1948" s="2">
        <f t="shared" si="127"/>
        <v>8626.5499999999993</v>
      </c>
      <c r="N1948" s="2">
        <f t="shared" si="125"/>
        <v>2.8000000000000003</v>
      </c>
    </row>
    <row r="1949" spans="1:14" x14ac:dyDescent="0.25">
      <c r="A1949" s="3">
        <v>45318</v>
      </c>
      <c r="B1949" s="11" t="s">
        <v>3918</v>
      </c>
      <c r="C1949" t="s">
        <v>4414</v>
      </c>
      <c r="D1949" s="83"/>
      <c r="F1949" s="11"/>
      <c r="H1949" s="2">
        <v>5000</v>
      </c>
      <c r="I1949" s="2">
        <f t="shared" si="127"/>
        <v>3626.5499999999993</v>
      </c>
      <c r="N1949" s="2">
        <f t="shared" si="125"/>
        <v>20</v>
      </c>
    </row>
    <row r="1950" spans="1:14" x14ac:dyDescent="0.25">
      <c r="A1950" s="3">
        <v>45318</v>
      </c>
      <c r="B1950" s="11" t="s">
        <v>1253</v>
      </c>
      <c r="C1950" t="s">
        <v>2408</v>
      </c>
      <c r="D1950" s="83"/>
      <c r="F1950" s="11"/>
      <c r="G1950" s="2">
        <v>1000</v>
      </c>
      <c r="I1950" s="2">
        <f t="shared" si="127"/>
        <v>4626.5499999999993</v>
      </c>
      <c r="N1950" s="2">
        <f t="shared" si="125"/>
        <v>4</v>
      </c>
    </row>
    <row r="1951" spans="1:14" x14ac:dyDescent="0.25">
      <c r="A1951" s="3">
        <v>45320</v>
      </c>
      <c r="B1951" s="11" t="s">
        <v>4119</v>
      </c>
      <c r="C1951" t="s">
        <v>3415</v>
      </c>
      <c r="D1951" s="83"/>
      <c r="F1951" s="11"/>
      <c r="H1951" s="2">
        <v>1200</v>
      </c>
      <c r="I1951" s="2">
        <f t="shared" si="127"/>
        <v>3426.5499999999993</v>
      </c>
      <c r="N1951" s="2">
        <f t="shared" si="125"/>
        <v>4.8</v>
      </c>
    </row>
    <row r="1952" spans="1:14" x14ac:dyDescent="0.25">
      <c r="A1952" s="3">
        <v>45320</v>
      </c>
      <c r="B1952" s="11" t="s">
        <v>4426</v>
      </c>
      <c r="C1952" t="s">
        <v>4427</v>
      </c>
      <c r="D1952" s="83"/>
      <c r="F1952" s="11"/>
      <c r="G1952" s="2">
        <v>3000</v>
      </c>
      <c r="I1952" s="2">
        <f t="shared" si="127"/>
        <v>6426.5499999999993</v>
      </c>
      <c r="N1952" s="2">
        <f t="shared" si="125"/>
        <v>12</v>
      </c>
    </row>
    <row r="1953" spans="1:16" x14ac:dyDescent="0.25">
      <c r="A1953" s="3">
        <v>45320</v>
      </c>
      <c r="B1953" s="11" t="s">
        <v>4431</v>
      </c>
      <c r="C1953" t="s">
        <v>4430</v>
      </c>
      <c r="D1953" s="83"/>
      <c r="E1953" s="115" t="s">
        <v>16</v>
      </c>
      <c r="F1953" s="11"/>
      <c r="H1953" s="2">
        <v>200</v>
      </c>
      <c r="I1953" s="2">
        <f t="shared" si="127"/>
        <v>6226.5499999999993</v>
      </c>
      <c r="N1953" s="2">
        <f t="shared" si="125"/>
        <v>25.8</v>
      </c>
    </row>
    <row r="1954" spans="1:16" x14ac:dyDescent="0.25">
      <c r="A1954" s="3">
        <v>45320</v>
      </c>
      <c r="B1954" s="11" t="s">
        <v>2247</v>
      </c>
      <c r="C1954" t="s">
        <v>4358</v>
      </c>
      <c r="D1954" s="83"/>
      <c r="F1954" s="11"/>
      <c r="G1954" s="2">
        <v>500</v>
      </c>
      <c r="I1954" s="2">
        <f t="shared" si="127"/>
        <v>6726.5499999999993</v>
      </c>
      <c r="N1954" s="2">
        <f t="shared" si="125"/>
        <v>2</v>
      </c>
      <c r="P1954">
        <v>-10</v>
      </c>
    </row>
    <row r="1955" spans="1:16" x14ac:dyDescent="0.25">
      <c r="A1955" s="3">
        <v>45321</v>
      </c>
      <c r="B1955" s="11" t="s">
        <v>3962</v>
      </c>
      <c r="D1955" s="83"/>
      <c r="F1955" s="11"/>
      <c r="G1955" s="2">
        <v>5050</v>
      </c>
      <c r="I1955" s="2">
        <f t="shared" si="127"/>
        <v>11776.55</v>
      </c>
      <c r="N1955" s="2">
        <f t="shared" si="125"/>
        <v>20</v>
      </c>
    </row>
    <row r="1956" spans="1:16" x14ac:dyDescent="0.25">
      <c r="A1956" s="3">
        <v>45321</v>
      </c>
      <c r="B1956" s="11" t="s">
        <v>3460</v>
      </c>
      <c r="C1956" t="s">
        <v>4432</v>
      </c>
      <c r="D1956" s="83"/>
      <c r="F1956" s="11"/>
      <c r="H1956" s="2">
        <v>10000</v>
      </c>
      <c r="I1956" s="2">
        <f t="shared" si="127"/>
        <v>1776.5499999999993</v>
      </c>
      <c r="N1956" s="2">
        <f t="shared" si="125"/>
        <v>20</v>
      </c>
    </row>
    <row r="1957" spans="1:16" s="33" customFormat="1" x14ac:dyDescent="0.25">
      <c r="A1957" s="127">
        <v>45322</v>
      </c>
      <c r="B1957" s="149">
        <v>8463</v>
      </c>
      <c r="C1957" s="34" t="s">
        <v>4433</v>
      </c>
      <c r="D1957" s="129">
        <v>9142476221</v>
      </c>
      <c r="E1957" s="118"/>
      <c r="F1957" s="34"/>
      <c r="G1957" s="54">
        <v>1000</v>
      </c>
      <c r="H1957" s="53"/>
      <c r="I1957" s="2">
        <f t="shared" si="127"/>
        <v>2776.5499999999993</v>
      </c>
      <c r="N1957" s="2">
        <f t="shared" si="125"/>
        <v>4</v>
      </c>
    </row>
    <row r="1958" spans="1:16" s="33" customFormat="1" x14ac:dyDescent="0.25">
      <c r="A1958" s="127">
        <v>45322</v>
      </c>
      <c r="B1958" s="36">
        <v>5273</v>
      </c>
      <c r="C1958" s="33" t="s">
        <v>1744</v>
      </c>
      <c r="D1958" s="130"/>
      <c r="E1958" s="120" t="s">
        <v>16</v>
      </c>
      <c r="G1958" s="53"/>
      <c r="H1958" s="53">
        <v>100</v>
      </c>
      <c r="I1958" s="2">
        <f t="shared" si="127"/>
        <v>2676.5499999999993</v>
      </c>
    </row>
    <row r="1959" spans="1:16" x14ac:dyDescent="0.25">
      <c r="A1959" s="97">
        <f>COUNT(A1855:A1958)</f>
        <v>103</v>
      </c>
      <c r="B1959" s="102"/>
      <c r="C1959" s="27"/>
      <c r="D1959" s="139"/>
      <c r="E1959" s="117">
        <f>COUNTIF(E1864:E1958,"Y")</f>
        <v>9</v>
      </c>
      <c r="F1959" s="97">
        <f>G1959+H1959</f>
        <v>273176.55</v>
      </c>
      <c r="G1959" s="107">
        <f>SUM(G1864:G1958)</f>
        <v>137926.54999999999</v>
      </c>
      <c r="H1959" s="107">
        <f>SUM(H1864:H1958)</f>
        <v>135250</v>
      </c>
      <c r="I1959" s="107"/>
      <c r="J1959" s="102"/>
      <c r="K1959" s="102"/>
      <c r="L1959" s="102"/>
      <c r="M1959" s="102"/>
      <c r="N1959" s="102">
        <f>SUM(N1864:N1958)</f>
        <v>1147.7199999999998</v>
      </c>
      <c r="O1959" s="97"/>
      <c r="P1959" s="97"/>
    </row>
    <row r="1961" spans="1:16" x14ac:dyDescent="0.25">
      <c r="A1961" s="3">
        <v>45323</v>
      </c>
      <c r="C1961" s="48" t="s">
        <v>3027</v>
      </c>
      <c r="D1961" s="59"/>
      <c r="F1961" s="11"/>
      <c r="G1961" s="2">
        <f>I1958</f>
        <v>2676.5499999999993</v>
      </c>
      <c r="I1961" s="2">
        <f t="shared" ref="I1961:I1981" si="128">I1960+G1961-H1961</f>
        <v>2676.5499999999993</v>
      </c>
    </row>
    <row r="1962" spans="1:16" x14ac:dyDescent="0.25">
      <c r="A1962" s="3">
        <v>45323</v>
      </c>
      <c r="B1962" s="11" t="s">
        <v>1163</v>
      </c>
      <c r="C1962" s="48" t="s">
        <v>3513</v>
      </c>
      <c r="D1962" s="59"/>
      <c r="F1962" s="11"/>
      <c r="G1962" s="2">
        <v>4000</v>
      </c>
      <c r="I1962" s="2">
        <f t="shared" si="128"/>
        <v>6676.5499999999993</v>
      </c>
      <c r="N1962" s="2">
        <f t="shared" ref="N1962:N1981" si="129">IF((G1962+H1962)&lt;=5000,(H1962+G1962)*0.004,20)+IF(E1962="Y",25,0)</f>
        <v>16</v>
      </c>
    </row>
    <row r="1963" spans="1:16" x14ac:dyDescent="0.25">
      <c r="A1963" s="3">
        <v>45323</v>
      </c>
      <c r="B1963" s="11" t="s">
        <v>4204</v>
      </c>
      <c r="C1963" s="48" t="s">
        <v>4441</v>
      </c>
      <c r="D1963" s="59"/>
      <c r="F1963" s="11"/>
      <c r="H1963" s="2">
        <v>5000</v>
      </c>
      <c r="I1963" s="2">
        <f t="shared" si="128"/>
        <v>1676.5499999999993</v>
      </c>
      <c r="N1963" s="2">
        <f t="shared" si="129"/>
        <v>20</v>
      </c>
    </row>
    <row r="1964" spans="1:16" x14ac:dyDescent="0.25">
      <c r="A1964" s="3">
        <v>45330</v>
      </c>
      <c r="B1964" s="11" t="s">
        <v>4446</v>
      </c>
      <c r="C1964" t="s">
        <v>4443</v>
      </c>
      <c r="E1964" s="115" t="s">
        <v>16</v>
      </c>
      <c r="H1964" s="2">
        <v>100</v>
      </c>
      <c r="I1964" s="2">
        <f t="shared" si="128"/>
        <v>1576.5499999999993</v>
      </c>
      <c r="N1964" s="2">
        <f t="shared" si="129"/>
        <v>25.4</v>
      </c>
    </row>
    <row r="1965" spans="1:16" x14ac:dyDescent="0.25">
      <c r="A1965" s="3">
        <v>45331</v>
      </c>
      <c r="B1965" s="11" t="s">
        <v>1163</v>
      </c>
      <c r="C1965" t="s">
        <v>4081</v>
      </c>
      <c r="D1965" s="59"/>
      <c r="G1965" s="2">
        <v>3000</v>
      </c>
      <c r="I1965" s="2">
        <f t="shared" si="128"/>
        <v>4576.5499999999993</v>
      </c>
      <c r="N1965" s="2">
        <f t="shared" si="129"/>
        <v>12</v>
      </c>
    </row>
    <row r="1966" spans="1:16" x14ac:dyDescent="0.25">
      <c r="A1966" s="3">
        <v>45331</v>
      </c>
      <c r="B1966" s="11" t="s">
        <v>3590</v>
      </c>
      <c r="C1966" t="s">
        <v>4390</v>
      </c>
      <c r="G1966" s="2">
        <v>2000</v>
      </c>
      <c r="I1966" s="2">
        <f t="shared" si="128"/>
        <v>6576.5499999999993</v>
      </c>
      <c r="N1966" s="2">
        <f t="shared" si="129"/>
        <v>8</v>
      </c>
    </row>
    <row r="1967" spans="1:16" x14ac:dyDescent="0.25">
      <c r="A1967" s="3">
        <v>45331</v>
      </c>
      <c r="B1967" s="11" t="s">
        <v>4448</v>
      </c>
      <c r="C1967" t="s">
        <v>4449</v>
      </c>
      <c r="E1967" s="115" t="s">
        <v>16</v>
      </c>
      <c r="H1967" s="2">
        <v>150</v>
      </c>
      <c r="I1967" s="2">
        <f t="shared" si="128"/>
        <v>6426.5499999999993</v>
      </c>
      <c r="N1967" s="2">
        <f t="shared" si="129"/>
        <v>25.6</v>
      </c>
    </row>
    <row r="1968" spans="1:16" x14ac:dyDescent="0.25">
      <c r="A1968" s="3">
        <v>45331</v>
      </c>
      <c r="B1968" s="11" t="s">
        <v>2472</v>
      </c>
      <c r="C1968" t="s">
        <v>2295</v>
      </c>
      <c r="H1968" s="2">
        <v>5000</v>
      </c>
      <c r="I1968" s="2">
        <f t="shared" si="128"/>
        <v>1426.5499999999993</v>
      </c>
      <c r="N1968" s="2">
        <f t="shared" si="129"/>
        <v>20</v>
      </c>
    </row>
    <row r="1969" spans="1:14" x14ac:dyDescent="0.25">
      <c r="A1969" s="3">
        <v>45332</v>
      </c>
      <c r="B1969" s="11" t="s">
        <v>1163</v>
      </c>
      <c r="C1969" t="s">
        <v>4451</v>
      </c>
      <c r="G1969" s="2">
        <v>1000</v>
      </c>
      <c r="I1969" s="2">
        <f t="shared" si="128"/>
        <v>2426.5499999999993</v>
      </c>
      <c r="N1969" s="2">
        <f t="shared" si="129"/>
        <v>4</v>
      </c>
    </row>
    <row r="1970" spans="1:14" x14ac:dyDescent="0.25">
      <c r="A1970" s="3">
        <v>45332</v>
      </c>
      <c r="B1970" s="11" t="s">
        <v>2472</v>
      </c>
      <c r="C1970" t="s">
        <v>2295</v>
      </c>
      <c r="H1970" s="2">
        <v>2000</v>
      </c>
      <c r="I1970" s="2">
        <f t="shared" si="128"/>
        <v>426.54999999999927</v>
      </c>
      <c r="N1970" s="2">
        <f t="shared" si="129"/>
        <v>8</v>
      </c>
    </row>
    <row r="1971" spans="1:14" x14ac:dyDescent="0.25">
      <c r="A1971" s="3">
        <v>45332</v>
      </c>
      <c r="B1971" s="11" t="s">
        <v>4453</v>
      </c>
      <c r="E1971" s="115" t="s">
        <v>16</v>
      </c>
      <c r="H1971" s="2">
        <v>400</v>
      </c>
      <c r="I1971" s="2">
        <f t="shared" si="128"/>
        <v>26.549999999999272</v>
      </c>
      <c r="N1971" s="2">
        <f t="shared" si="129"/>
        <v>26.6</v>
      </c>
    </row>
    <row r="1972" spans="1:14" x14ac:dyDescent="0.25">
      <c r="A1972" s="3">
        <v>45334</v>
      </c>
      <c r="B1972" s="11" t="s">
        <v>1253</v>
      </c>
      <c r="C1972" t="s">
        <v>2654</v>
      </c>
      <c r="G1972" s="2">
        <v>7000</v>
      </c>
      <c r="I1972" s="2">
        <f t="shared" si="128"/>
        <v>7026.5499999999993</v>
      </c>
      <c r="N1972" s="2">
        <f t="shared" si="129"/>
        <v>20</v>
      </c>
    </row>
    <row r="1973" spans="1:14" x14ac:dyDescent="0.25">
      <c r="A1973" s="3">
        <v>45334</v>
      </c>
      <c r="B1973" s="11" t="s">
        <v>2472</v>
      </c>
      <c r="C1973" t="s">
        <v>2295</v>
      </c>
      <c r="H1973" s="2">
        <v>5000</v>
      </c>
      <c r="I1973" s="2">
        <f t="shared" si="128"/>
        <v>2026.5499999999993</v>
      </c>
      <c r="N1973" s="2">
        <f t="shared" si="129"/>
        <v>20</v>
      </c>
    </row>
    <row r="1974" spans="1:14" x14ac:dyDescent="0.25">
      <c r="A1974" s="3">
        <v>45334</v>
      </c>
      <c r="B1974" s="11" t="s">
        <v>4456</v>
      </c>
      <c r="E1974" s="115" t="s">
        <v>16</v>
      </c>
      <c r="H1974" s="2">
        <v>200</v>
      </c>
      <c r="I1974" s="2">
        <f t="shared" si="128"/>
        <v>1826.5499999999993</v>
      </c>
      <c r="N1974" s="2">
        <f t="shared" si="129"/>
        <v>25.8</v>
      </c>
    </row>
    <row r="1975" spans="1:14" x14ac:dyDescent="0.25">
      <c r="A1975" s="3">
        <v>45335</v>
      </c>
      <c r="B1975" s="11" t="s">
        <v>1475</v>
      </c>
      <c r="C1975" t="s">
        <v>4457</v>
      </c>
      <c r="G1975" s="2">
        <v>2000</v>
      </c>
      <c r="I1975" s="2">
        <f t="shared" si="128"/>
        <v>3826.5499999999993</v>
      </c>
      <c r="N1975" s="2">
        <f t="shared" si="129"/>
        <v>8</v>
      </c>
    </row>
    <row r="1976" spans="1:14" x14ac:dyDescent="0.25">
      <c r="A1976" s="3">
        <v>45335</v>
      </c>
      <c r="B1976" s="11" t="s">
        <v>3918</v>
      </c>
      <c r="C1976" t="s">
        <v>4459</v>
      </c>
      <c r="H1976" s="2">
        <v>1000</v>
      </c>
      <c r="I1976" s="2">
        <f t="shared" si="128"/>
        <v>2826.5499999999993</v>
      </c>
      <c r="N1976" s="2">
        <f t="shared" si="129"/>
        <v>4</v>
      </c>
    </row>
    <row r="1977" spans="1:14" x14ac:dyDescent="0.25">
      <c r="A1977" s="3">
        <v>45335</v>
      </c>
      <c r="B1977" s="11" t="s">
        <v>1163</v>
      </c>
      <c r="G1977" s="2">
        <v>1000</v>
      </c>
      <c r="I1977" s="2">
        <f t="shared" si="128"/>
        <v>3826.5499999999993</v>
      </c>
      <c r="N1977" s="2">
        <f t="shared" si="129"/>
        <v>4</v>
      </c>
    </row>
    <row r="1978" spans="1:14" x14ac:dyDescent="0.25">
      <c r="A1978" s="3">
        <v>45336</v>
      </c>
      <c r="B1978" s="11" t="s">
        <v>1253</v>
      </c>
      <c r="C1978" t="s">
        <v>3461</v>
      </c>
      <c r="G1978" s="2">
        <v>2000</v>
      </c>
      <c r="I1978" s="2">
        <f t="shared" si="128"/>
        <v>5826.5499999999993</v>
      </c>
      <c r="N1978" s="2">
        <f t="shared" si="129"/>
        <v>8</v>
      </c>
    </row>
    <row r="1979" spans="1:14" x14ac:dyDescent="0.25">
      <c r="A1979" s="3">
        <v>45339</v>
      </c>
      <c r="B1979" s="11" t="s">
        <v>4461</v>
      </c>
      <c r="C1979" t="s">
        <v>4460</v>
      </c>
      <c r="H1979" s="2">
        <v>5000</v>
      </c>
      <c r="I1979" s="2">
        <f t="shared" si="128"/>
        <v>826.54999999999927</v>
      </c>
      <c r="N1979" s="2">
        <f t="shared" si="129"/>
        <v>20</v>
      </c>
    </row>
    <row r="1980" spans="1:14" x14ac:dyDescent="0.25">
      <c r="A1980" s="3">
        <v>45339</v>
      </c>
      <c r="B1980" s="11" t="s">
        <v>3589</v>
      </c>
      <c r="C1980" t="s">
        <v>2654</v>
      </c>
      <c r="G1980" s="2">
        <v>4000</v>
      </c>
      <c r="I1980" s="2">
        <f t="shared" si="128"/>
        <v>4826.5499999999993</v>
      </c>
      <c r="N1980" s="2">
        <f t="shared" si="129"/>
        <v>16</v>
      </c>
    </row>
    <row r="1981" spans="1:14" x14ac:dyDescent="0.25">
      <c r="A1981" s="3">
        <v>45339</v>
      </c>
      <c r="B1981" s="11" t="s">
        <v>3334</v>
      </c>
      <c r="C1981" t="s">
        <v>3446</v>
      </c>
      <c r="G1981" s="2">
        <v>1000</v>
      </c>
      <c r="I1981" s="2">
        <f t="shared" si="128"/>
        <v>5826.5499999999993</v>
      </c>
      <c r="N1981" s="2">
        <f t="shared" si="129"/>
        <v>4</v>
      </c>
    </row>
    <row r="1982" spans="1:14" x14ac:dyDescent="0.25">
      <c r="A1982" s="3">
        <v>44976</v>
      </c>
      <c r="B1982" s="11" t="s">
        <v>4463</v>
      </c>
      <c r="C1982" s="7" t="s">
        <v>4464</v>
      </c>
      <c r="E1982" s="115" t="s">
        <v>16</v>
      </c>
      <c r="H1982" s="2">
        <v>100</v>
      </c>
      <c r="I1982" s="2">
        <f t="shared" ref="I1982:I2028" si="130">I1981+G1982-H1982</f>
        <v>5726.5499999999993</v>
      </c>
      <c r="N1982" s="2">
        <f t="shared" ref="N1982:N2029" si="131">IF((G1982+H1982)&lt;=5000,(H1982+G1982)*0.004,20)+IF(E1982="Y",25,0)</f>
        <v>25.4</v>
      </c>
    </row>
    <row r="1983" spans="1:14" x14ac:dyDescent="0.25">
      <c r="A1983" s="3">
        <v>44976</v>
      </c>
      <c r="B1983" s="11" t="s">
        <v>4466</v>
      </c>
      <c r="C1983" s="7" t="s">
        <v>4467</v>
      </c>
      <c r="E1983" s="115" t="s">
        <v>16</v>
      </c>
      <c r="H1983" s="2">
        <v>100</v>
      </c>
      <c r="I1983" s="2">
        <f t="shared" si="130"/>
        <v>5626.5499999999993</v>
      </c>
      <c r="N1983" s="2">
        <f t="shared" si="131"/>
        <v>25.4</v>
      </c>
    </row>
    <row r="1984" spans="1:14" x14ac:dyDescent="0.25">
      <c r="A1984" s="3">
        <v>44976</v>
      </c>
      <c r="C1984" t="s">
        <v>4390</v>
      </c>
      <c r="G1984" s="2">
        <v>2000</v>
      </c>
      <c r="I1984" s="2">
        <f t="shared" si="130"/>
        <v>7626.5499999999993</v>
      </c>
      <c r="N1984" s="2">
        <f t="shared" si="131"/>
        <v>8</v>
      </c>
    </row>
    <row r="1985" spans="1:14" x14ac:dyDescent="0.25">
      <c r="A1985" s="3">
        <v>44976</v>
      </c>
      <c r="B1985" s="11" t="s">
        <v>4472</v>
      </c>
      <c r="C1985" t="s">
        <v>4473</v>
      </c>
      <c r="G1985" s="2">
        <v>5000</v>
      </c>
      <c r="I1985" s="2">
        <f t="shared" si="130"/>
        <v>12626.55</v>
      </c>
      <c r="N1985" s="2">
        <f t="shared" si="131"/>
        <v>20</v>
      </c>
    </row>
    <row r="1986" spans="1:14" x14ac:dyDescent="0.25">
      <c r="A1986" s="3">
        <v>45342</v>
      </c>
      <c r="B1986" s="11" t="s">
        <v>4476</v>
      </c>
      <c r="C1986" t="s">
        <v>2387</v>
      </c>
      <c r="E1986" s="115" t="s">
        <v>16</v>
      </c>
      <c r="G1986" s="2">
        <v>100</v>
      </c>
      <c r="I1986" s="2">
        <f t="shared" si="130"/>
        <v>12726.55</v>
      </c>
      <c r="N1986" s="2">
        <f t="shared" si="131"/>
        <v>25.4</v>
      </c>
    </row>
    <row r="1987" spans="1:14" x14ac:dyDescent="0.25">
      <c r="A1987" s="3">
        <v>45342</v>
      </c>
      <c r="B1987" s="11" t="s">
        <v>4477</v>
      </c>
      <c r="C1987" t="s">
        <v>4479</v>
      </c>
      <c r="E1987" s="115" t="s">
        <v>16</v>
      </c>
      <c r="G1987" s="2">
        <v>100</v>
      </c>
      <c r="I1987" s="2">
        <f t="shared" si="130"/>
        <v>12826.55</v>
      </c>
      <c r="N1987" s="2">
        <f t="shared" si="131"/>
        <v>25.4</v>
      </c>
    </row>
    <row r="1988" spans="1:14" x14ac:dyDescent="0.25">
      <c r="A1988" s="3">
        <v>45342</v>
      </c>
      <c r="B1988" s="11" t="s">
        <v>3019</v>
      </c>
      <c r="C1988" t="s">
        <v>1282</v>
      </c>
      <c r="H1988" s="2">
        <v>10000</v>
      </c>
      <c r="I1988" s="2">
        <f t="shared" si="130"/>
        <v>2826.5499999999993</v>
      </c>
      <c r="N1988" s="2">
        <f t="shared" si="131"/>
        <v>20</v>
      </c>
    </row>
    <row r="1989" spans="1:14" x14ac:dyDescent="0.25">
      <c r="A1989" s="3">
        <v>44977</v>
      </c>
      <c r="B1989" s="11" t="s">
        <v>4487</v>
      </c>
      <c r="C1989" s="7" t="s">
        <v>4486</v>
      </c>
      <c r="E1989" s="115" t="s">
        <v>16</v>
      </c>
      <c r="H1989" s="2">
        <v>200</v>
      </c>
      <c r="I1989" s="2">
        <f t="shared" si="130"/>
        <v>2626.5499999999993</v>
      </c>
      <c r="N1989" s="2">
        <f t="shared" si="131"/>
        <v>25.8</v>
      </c>
    </row>
    <row r="1990" spans="1:14" x14ac:dyDescent="0.25">
      <c r="A1990" s="3">
        <v>44977</v>
      </c>
      <c r="C1990" t="s">
        <v>4489</v>
      </c>
      <c r="G1990" s="2">
        <v>2000</v>
      </c>
      <c r="I1990" s="2">
        <f t="shared" si="130"/>
        <v>4626.5499999999993</v>
      </c>
      <c r="N1990" s="2">
        <f t="shared" si="131"/>
        <v>8</v>
      </c>
    </row>
    <row r="1991" spans="1:14" x14ac:dyDescent="0.25">
      <c r="A1991" s="3">
        <v>45343</v>
      </c>
      <c r="B1991" s="11" t="s">
        <v>4493</v>
      </c>
      <c r="C1991" s="7" t="s">
        <v>4531</v>
      </c>
      <c r="E1991" s="126" t="s">
        <v>16</v>
      </c>
      <c r="H1991" s="2">
        <v>500</v>
      </c>
      <c r="I1991" s="2">
        <f t="shared" si="130"/>
        <v>4126.5499999999993</v>
      </c>
      <c r="N1991" s="2">
        <f t="shared" si="131"/>
        <v>27</v>
      </c>
    </row>
    <row r="1992" spans="1:14" x14ac:dyDescent="0.25">
      <c r="A1992" s="3">
        <v>45343</v>
      </c>
      <c r="B1992" s="11" t="s">
        <v>4499</v>
      </c>
      <c r="C1992" t="s">
        <v>4497</v>
      </c>
      <c r="E1992" s="126" t="s">
        <v>16</v>
      </c>
      <c r="H1992" s="2">
        <v>500</v>
      </c>
      <c r="I1992" s="2">
        <f t="shared" si="130"/>
        <v>3626.5499999999993</v>
      </c>
      <c r="N1992" s="2">
        <f t="shared" si="131"/>
        <v>27</v>
      </c>
    </row>
    <row r="1993" spans="1:14" x14ac:dyDescent="0.25">
      <c r="A1993" s="3">
        <v>45343</v>
      </c>
      <c r="C1993" t="s">
        <v>2196</v>
      </c>
      <c r="G1993" s="2">
        <v>2000</v>
      </c>
      <c r="I1993" s="2">
        <f t="shared" si="130"/>
        <v>5626.5499999999993</v>
      </c>
      <c r="N1993" s="2">
        <f t="shared" si="131"/>
        <v>8</v>
      </c>
    </row>
    <row r="1994" spans="1:14" x14ac:dyDescent="0.25">
      <c r="A1994" s="3">
        <v>45343</v>
      </c>
      <c r="B1994" s="11" t="s">
        <v>4504</v>
      </c>
      <c r="C1994" s="7" t="s">
        <v>1058</v>
      </c>
      <c r="E1994" s="115" t="s">
        <v>16</v>
      </c>
      <c r="H1994" s="2">
        <v>100</v>
      </c>
      <c r="I1994" s="2">
        <f t="shared" si="130"/>
        <v>5526.5499999999993</v>
      </c>
      <c r="N1994" s="2">
        <f t="shared" si="131"/>
        <v>25.4</v>
      </c>
    </row>
    <row r="1995" spans="1:14" x14ac:dyDescent="0.25">
      <c r="A1995" s="3">
        <v>45343</v>
      </c>
      <c r="B1995" s="11" t="s">
        <v>1253</v>
      </c>
      <c r="C1995" t="s">
        <v>4507</v>
      </c>
      <c r="G1995" s="2">
        <v>8000</v>
      </c>
      <c r="I1995" s="2">
        <f t="shared" si="130"/>
        <v>13526.55</v>
      </c>
      <c r="N1995" s="2">
        <f t="shared" si="131"/>
        <v>20</v>
      </c>
    </row>
    <row r="1996" spans="1:14" x14ac:dyDescent="0.25">
      <c r="A1996" s="3">
        <v>45343</v>
      </c>
      <c r="B1996" s="11" t="s">
        <v>2472</v>
      </c>
      <c r="C1996" t="s">
        <v>2295</v>
      </c>
      <c r="H1996" s="2">
        <v>6000</v>
      </c>
      <c r="I1996" s="2">
        <f t="shared" si="130"/>
        <v>7526.5499999999993</v>
      </c>
      <c r="N1996" s="2">
        <f t="shared" si="131"/>
        <v>20</v>
      </c>
    </row>
    <row r="1997" spans="1:14" x14ac:dyDescent="0.25">
      <c r="A1997" s="3">
        <v>45343</v>
      </c>
      <c r="B1997" s="11" t="s">
        <v>4509</v>
      </c>
      <c r="C1997" s="7" t="s">
        <v>4510</v>
      </c>
      <c r="E1997" s="115" t="s">
        <v>14</v>
      </c>
      <c r="H1997" s="2">
        <v>100</v>
      </c>
      <c r="I1997" s="2">
        <f t="shared" si="130"/>
        <v>7426.5499999999993</v>
      </c>
      <c r="N1997" s="2">
        <f t="shared" si="131"/>
        <v>25.4</v>
      </c>
    </row>
    <row r="1998" spans="1:14" x14ac:dyDescent="0.25">
      <c r="A1998" s="3">
        <v>45344</v>
      </c>
      <c r="B1998" s="11" t="s">
        <v>1253</v>
      </c>
      <c r="C1998" t="s">
        <v>2654</v>
      </c>
      <c r="G1998" s="2">
        <v>10000</v>
      </c>
      <c r="I1998" s="2">
        <f t="shared" si="130"/>
        <v>17426.55</v>
      </c>
      <c r="N1998" s="2">
        <f t="shared" si="131"/>
        <v>20</v>
      </c>
    </row>
    <row r="1999" spans="1:14" x14ac:dyDescent="0.25">
      <c r="A1999" s="3">
        <v>45344</v>
      </c>
      <c r="B1999" s="11" t="s">
        <v>1253</v>
      </c>
      <c r="C1999" t="s">
        <v>3585</v>
      </c>
      <c r="D1999" s="58">
        <v>9234859890</v>
      </c>
      <c r="G1999" s="2">
        <v>3000</v>
      </c>
      <c r="I1999" s="2">
        <f t="shared" si="130"/>
        <v>20426.55</v>
      </c>
      <c r="N1999" s="2">
        <f t="shared" si="131"/>
        <v>12</v>
      </c>
    </row>
    <row r="2000" spans="1:14" x14ac:dyDescent="0.25">
      <c r="A2000" s="3">
        <v>45344</v>
      </c>
      <c r="B2000" s="11" t="s">
        <v>4517</v>
      </c>
      <c r="C2000" t="s">
        <v>4515</v>
      </c>
      <c r="E2000" s="115" t="s">
        <v>16</v>
      </c>
      <c r="H2000" s="2">
        <v>500</v>
      </c>
      <c r="I2000" s="2">
        <f t="shared" si="130"/>
        <v>19926.55</v>
      </c>
      <c r="N2000" s="2">
        <f t="shared" si="131"/>
        <v>27</v>
      </c>
    </row>
    <row r="2001" spans="1:16" x14ac:dyDescent="0.25">
      <c r="A2001" s="3">
        <v>45344</v>
      </c>
      <c r="B2001" s="11" t="s">
        <v>4525</v>
      </c>
      <c r="C2001" t="s">
        <v>4524</v>
      </c>
      <c r="E2001" s="115" t="s">
        <v>16</v>
      </c>
      <c r="H2001" s="2">
        <v>100</v>
      </c>
      <c r="I2001" s="2">
        <f t="shared" si="130"/>
        <v>19826.55</v>
      </c>
      <c r="N2001" s="2">
        <f t="shared" si="131"/>
        <v>25.4</v>
      </c>
    </row>
    <row r="2002" spans="1:16" x14ac:dyDescent="0.25">
      <c r="A2002" s="3">
        <v>45344</v>
      </c>
      <c r="B2002" s="11" t="s">
        <v>4526</v>
      </c>
      <c r="C2002" t="s">
        <v>4521</v>
      </c>
      <c r="E2002" s="115" t="s">
        <v>16</v>
      </c>
      <c r="H2002" s="2">
        <v>100</v>
      </c>
      <c r="I2002" s="2">
        <f t="shared" si="130"/>
        <v>19726.55</v>
      </c>
      <c r="N2002" s="2">
        <f t="shared" si="131"/>
        <v>25.4</v>
      </c>
    </row>
    <row r="2003" spans="1:16" x14ac:dyDescent="0.25">
      <c r="A2003" s="3">
        <v>45344</v>
      </c>
      <c r="B2003" s="11" t="s">
        <v>4529</v>
      </c>
      <c r="C2003" t="s">
        <v>4530</v>
      </c>
      <c r="E2003" s="115" t="s">
        <v>14</v>
      </c>
      <c r="H2003" s="2">
        <v>100</v>
      </c>
      <c r="I2003" s="2">
        <f t="shared" si="130"/>
        <v>19626.55</v>
      </c>
      <c r="N2003" s="2">
        <f t="shared" si="131"/>
        <v>25.4</v>
      </c>
    </row>
    <row r="2004" spans="1:16" x14ac:dyDescent="0.25">
      <c r="A2004" s="3">
        <v>45344</v>
      </c>
      <c r="B2004" s="11" t="s">
        <v>4535</v>
      </c>
      <c r="C2004" t="s">
        <v>4536</v>
      </c>
      <c r="E2004" s="115" t="s">
        <v>14</v>
      </c>
      <c r="H2004" s="2">
        <v>2000</v>
      </c>
      <c r="I2004" s="2">
        <f t="shared" si="130"/>
        <v>17626.55</v>
      </c>
      <c r="N2004" s="2">
        <f t="shared" si="131"/>
        <v>33</v>
      </c>
    </row>
    <row r="2005" spans="1:16" x14ac:dyDescent="0.25">
      <c r="A2005" s="3">
        <v>45345</v>
      </c>
      <c r="B2005" s="11" t="s">
        <v>1253</v>
      </c>
      <c r="C2005" s="48"/>
      <c r="D2005" s="83"/>
      <c r="E2005" s="115" t="s">
        <v>14</v>
      </c>
      <c r="H2005" s="2">
        <v>8000</v>
      </c>
      <c r="I2005" s="2">
        <f t="shared" si="130"/>
        <v>9626.5499999999993</v>
      </c>
      <c r="N2005" s="2">
        <f t="shared" si="131"/>
        <v>45</v>
      </c>
    </row>
    <row r="2006" spans="1:16" x14ac:dyDescent="0.25">
      <c r="A2006" s="3">
        <v>45345</v>
      </c>
      <c r="B2006" s="11" t="s">
        <v>3962</v>
      </c>
      <c r="C2006" s="48"/>
      <c r="D2006" s="83"/>
      <c r="G2006" s="2">
        <v>250</v>
      </c>
      <c r="I2006" s="2">
        <f t="shared" si="130"/>
        <v>9876.5499999999993</v>
      </c>
      <c r="N2006" s="2">
        <f t="shared" si="131"/>
        <v>1</v>
      </c>
    </row>
    <row r="2007" spans="1:16" x14ac:dyDescent="0.25">
      <c r="A2007" s="3">
        <v>45345</v>
      </c>
      <c r="B2007" s="11" t="s">
        <v>4540</v>
      </c>
      <c r="C2007" s="7" t="s">
        <v>4541</v>
      </c>
      <c r="E2007" s="115" t="s">
        <v>14</v>
      </c>
      <c r="H2007" s="2">
        <v>500</v>
      </c>
      <c r="I2007" s="2">
        <f t="shared" si="130"/>
        <v>9376.5499999999993</v>
      </c>
      <c r="N2007" s="2">
        <f t="shared" si="131"/>
        <v>27</v>
      </c>
    </row>
    <row r="2008" spans="1:16" x14ac:dyDescent="0.25">
      <c r="A2008" s="3">
        <v>45345</v>
      </c>
      <c r="B2008" s="11" t="s">
        <v>4547</v>
      </c>
      <c r="C2008" s="7" t="s">
        <v>4548</v>
      </c>
      <c r="E2008" s="115" t="s">
        <v>16</v>
      </c>
      <c r="H2008" s="2">
        <v>100</v>
      </c>
      <c r="I2008" s="2">
        <f t="shared" si="130"/>
        <v>9276.5499999999993</v>
      </c>
      <c r="N2008" s="2">
        <f t="shared" si="131"/>
        <v>25.4</v>
      </c>
    </row>
    <row r="2009" spans="1:16" x14ac:dyDescent="0.25">
      <c r="A2009" s="3">
        <v>45346</v>
      </c>
      <c r="C2009" s="48" t="s">
        <v>4551</v>
      </c>
      <c r="D2009" s="83"/>
      <c r="G2009" s="2">
        <v>10000</v>
      </c>
      <c r="I2009" s="2">
        <f t="shared" si="130"/>
        <v>19276.55</v>
      </c>
      <c r="N2009" s="2">
        <f t="shared" si="131"/>
        <v>20</v>
      </c>
    </row>
    <row r="2010" spans="1:16" x14ac:dyDescent="0.25">
      <c r="A2010" s="3">
        <v>45346</v>
      </c>
      <c r="B2010" s="11" t="s">
        <v>4552</v>
      </c>
      <c r="C2010" s="48" t="s">
        <v>4553</v>
      </c>
      <c r="D2010" s="83"/>
      <c r="H2010" s="2">
        <v>10000</v>
      </c>
      <c r="I2010" s="2">
        <f t="shared" si="130"/>
        <v>9276.5499999999993</v>
      </c>
      <c r="N2010" s="2">
        <f t="shared" si="131"/>
        <v>20</v>
      </c>
    </row>
    <row r="2011" spans="1:16" x14ac:dyDescent="0.25">
      <c r="A2011" s="3">
        <v>45346</v>
      </c>
      <c r="C2011" s="48" t="s">
        <v>2654</v>
      </c>
      <c r="D2011" s="83"/>
      <c r="G2011" s="2">
        <v>5000</v>
      </c>
      <c r="I2011" s="2">
        <f t="shared" si="130"/>
        <v>14276.55</v>
      </c>
      <c r="N2011" s="2">
        <f t="shared" si="131"/>
        <v>20</v>
      </c>
      <c r="P2011" t="s">
        <v>4513</v>
      </c>
    </row>
    <row r="2012" spans="1:16" x14ac:dyDescent="0.25">
      <c r="A2012" s="3">
        <v>45346</v>
      </c>
      <c r="B2012" s="11" t="s">
        <v>4557</v>
      </c>
      <c r="C2012" s="48" t="s">
        <v>3645</v>
      </c>
      <c r="D2012" s="83"/>
      <c r="H2012" s="2">
        <v>300</v>
      </c>
      <c r="I2012" s="2">
        <f t="shared" si="130"/>
        <v>13976.55</v>
      </c>
      <c r="N2012" s="2">
        <f t="shared" si="131"/>
        <v>1.2</v>
      </c>
    </row>
    <row r="2013" spans="1:16" x14ac:dyDescent="0.25">
      <c r="A2013" s="3">
        <v>45346</v>
      </c>
      <c r="B2013" s="11" t="s">
        <v>4558</v>
      </c>
      <c r="C2013" s="48" t="s">
        <v>3644</v>
      </c>
      <c r="D2013" s="83"/>
      <c r="H2013" s="2">
        <v>300</v>
      </c>
      <c r="I2013" s="2">
        <f t="shared" si="130"/>
        <v>13676.55</v>
      </c>
      <c r="N2013" s="2">
        <f t="shared" si="131"/>
        <v>1.2</v>
      </c>
    </row>
    <row r="2014" spans="1:16" x14ac:dyDescent="0.25">
      <c r="A2014" s="3">
        <v>45346</v>
      </c>
      <c r="B2014" s="11" t="s">
        <v>2472</v>
      </c>
      <c r="C2014" s="48" t="s">
        <v>2280</v>
      </c>
      <c r="D2014" s="83"/>
      <c r="H2014" s="2">
        <v>5000</v>
      </c>
      <c r="I2014" s="2">
        <f t="shared" si="130"/>
        <v>8676.5499999999993</v>
      </c>
      <c r="N2014" s="2">
        <f t="shared" si="131"/>
        <v>20</v>
      </c>
    </row>
    <row r="2015" spans="1:16" x14ac:dyDescent="0.25">
      <c r="A2015" s="3">
        <v>45347</v>
      </c>
      <c r="B2015" s="11" t="s">
        <v>1253</v>
      </c>
      <c r="C2015" s="48" t="s">
        <v>2924</v>
      </c>
      <c r="D2015" s="83"/>
      <c r="G2015" s="2">
        <v>400</v>
      </c>
      <c r="I2015" s="2">
        <f t="shared" si="130"/>
        <v>9076.5499999999993</v>
      </c>
      <c r="N2015" s="2">
        <f t="shared" si="131"/>
        <v>1.6</v>
      </c>
    </row>
    <row r="2016" spans="1:16" x14ac:dyDescent="0.25">
      <c r="A2016" s="3">
        <v>45347</v>
      </c>
      <c r="B2016" s="11" t="s">
        <v>2472</v>
      </c>
      <c r="C2016" s="48" t="s">
        <v>2295</v>
      </c>
      <c r="D2016" s="83"/>
      <c r="H2016" s="2">
        <v>1000</v>
      </c>
      <c r="I2016" s="2">
        <f t="shared" si="130"/>
        <v>8076.5499999999993</v>
      </c>
      <c r="N2016" s="2">
        <f t="shared" si="131"/>
        <v>4</v>
      </c>
    </row>
    <row r="2017" spans="1:16" x14ac:dyDescent="0.25">
      <c r="A2017" s="3">
        <v>45348</v>
      </c>
      <c r="B2017" s="11" t="s">
        <v>4561</v>
      </c>
      <c r="C2017" s="7" t="s">
        <v>4562</v>
      </c>
      <c r="E2017" s="115" t="s">
        <v>14</v>
      </c>
      <c r="H2017" s="2">
        <v>400</v>
      </c>
      <c r="I2017" s="2">
        <f t="shared" si="130"/>
        <v>7676.5499999999993</v>
      </c>
      <c r="N2017" s="2">
        <f t="shared" si="131"/>
        <v>26.6</v>
      </c>
    </row>
    <row r="2018" spans="1:16" x14ac:dyDescent="0.25">
      <c r="A2018" s="3">
        <v>45348</v>
      </c>
      <c r="B2018" s="11" t="s">
        <v>4561</v>
      </c>
      <c r="C2018" s="7" t="s">
        <v>4564</v>
      </c>
      <c r="E2018" s="115" t="s">
        <v>14</v>
      </c>
      <c r="H2018" s="2">
        <v>100</v>
      </c>
      <c r="I2018" s="2">
        <f>I2017+G2018-H2018</f>
        <v>7576.5499999999993</v>
      </c>
      <c r="N2018" s="2">
        <f t="shared" si="131"/>
        <v>25.4</v>
      </c>
    </row>
    <row r="2019" spans="1:16" x14ac:dyDescent="0.25">
      <c r="A2019" s="3">
        <v>45348</v>
      </c>
      <c r="B2019" s="11" t="s">
        <v>4567</v>
      </c>
      <c r="C2019" s="7" t="s">
        <v>4568</v>
      </c>
      <c r="E2019" s="115" t="s">
        <v>14</v>
      </c>
      <c r="H2019" s="2">
        <v>100</v>
      </c>
      <c r="I2019" s="2">
        <f t="shared" si="130"/>
        <v>7476.5499999999993</v>
      </c>
      <c r="N2019" s="2">
        <f t="shared" si="131"/>
        <v>25.4</v>
      </c>
    </row>
    <row r="2020" spans="1:16" x14ac:dyDescent="0.25">
      <c r="A2020" s="3">
        <v>45349</v>
      </c>
      <c r="B2020" s="11" t="s">
        <v>3192</v>
      </c>
      <c r="C2020" s="48" t="s">
        <v>4254</v>
      </c>
      <c r="D2020" s="83"/>
      <c r="G2020" s="2">
        <v>3000</v>
      </c>
      <c r="I2020" s="2">
        <f t="shared" si="130"/>
        <v>10476.549999999999</v>
      </c>
      <c r="N2020" s="2">
        <f t="shared" si="131"/>
        <v>12</v>
      </c>
    </row>
    <row r="2021" spans="1:16" x14ac:dyDescent="0.25">
      <c r="A2021" s="3">
        <v>45349</v>
      </c>
      <c r="B2021" s="11" t="s">
        <v>4572</v>
      </c>
      <c r="C2021" s="48" t="s">
        <v>4570</v>
      </c>
      <c r="D2021" s="83"/>
      <c r="E2021" s="115" t="s">
        <v>16</v>
      </c>
      <c r="H2021" s="2">
        <v>100</v>
      </c>
      <c r="I2021" s="2">
        <f t="shared" si="130"/>
        <v>10376.549999999999</v>
      </c>
      <c r="N2021" s="2">
        <f t="shared" si="131"/>
        <v>25.4</v>
      </c>
    </row>
    <row r="2022" spans="1:16" x14ac:dyDescent="0.25">
      <c r="A2022" s="3">
        <v>45349</v>
      </c>
      <c r="B2022" s="11" t="s">
        <v>4086</v>
      </c>
      <c r="C2022" s="48" t="s">
        <v>1235</v>
      </c>
      <c r="D2022" s="83"/>
      <c r="H2022" s="2">
        <v>5000</v>
      </c>
      <c r="I2022" s="2">
        <f t="shared" si="130"/>
        <v>5376.5499999999993</v>
      </c>
      <c r="N2022" s="2">
        <f t="shared" si="131"/>
        <v>20</v>
      </c>
    </row>
    <row r="2023" spans="1:16" x14ac:dyDescent="0.25">
      <c r="A2023" s="3">
        <v>45349</v>
      </c>
      <c r="B2023" s="11" t="s">
        <v>4575</v>
      </c>
      <c r="C2023" s="48" t="s">
        <v>4577</v>
      </c>
      <c r="D2023" s="83"/>
      <c r="E2023" s="115" t="s">
        <v>16</v>
      </c>
      <c r="H2023" s="2">
        <v>100</v>
      </c>
      <c r="I2023" s="2">
        <f t="shared" si="130"/>
        <v>5276.5499999999993</v>
      </c>
      <c r="N2023" s="2">
        <f t="shared" si="131"/>
        <v>25.4</v>
      </c>
    </row>
    <row r="2024" spans="1:16" x14ac:dyDescent="0.25">
      <c r="A2024" s="3">
        <v>45349</v>
      </c>
      <c r="B2024" s="11" t="s">
        <v>4086</v>
      </c>
      <c r="C2024" s="48" t="s">
        <v>1235</v>
      </c>
      <c r="D2024" s="83"/>
      <c r="H2024" s="2">
        <v>2000</v>
      </c>
      <c r="I2024" s="2">
        <f t="shared" si="130"/>
        <v>3276.5499999999993</v>
      </c>
      <c r="N2024" s="2">
        <f t="shared" si="131"/>
        <v>8</v>
      </c>
    </row>
    <row r="2025" spans="1:16" x14ac:dyDescent="0.25">
      <c r="A2025" s="3">
        <v>45349</v>
      </c>
      <c r="B2025" s="11" t="s">
        <v>4579</v>
      </c>
      <c r="C2025" s="48" t="s">
        <v>4580</v>
      </c>
      <c r="D2025" s="83"/>
      <c r="E2025" s="115" t="s">
        <v>16</v>
      </c>
      <c r="H2025" s="2">
        <v>100</v>
      </c>
      <c r="I2025" s="2">
        <f t="shared" si="130"/>
        <v>3176.5499999999993</v>
      </c>
      <c r="N2025" s="2">
        <f t="shared" si="131"/>
        <v>25.4</v>
      </c>
    </row>
    <row r="2026" spans="1:16" x14ac:dyDescent="0.25">
      <c r="A2026" s="3">
        <v>45350</v>
      </c>
      <c r="B2026" s="11" t="s">
        <v>3276</v>
      </c>
      <c r="C2026" s="48" t="s">
        <v>2436</v>
      </c>
      <c r="D2026" s="83"/>
      <c r="G2026" s="2">
        <v>1200</v>
      </c>
      <c r="I2026" s="2">
        <f t="shared" si="130"/>
        <v>4376.5499999999993</v>
      </c>
      <c r="N2026" s="2">
        <f t="shared" si="131"/>
        <v>4.8</v>
      </c>
    </row>
    <row r="2027" spans="1:16" x14ac:dyDescent="0.25">
      <c r="A2027" s="3">
        <v>45351</v>
      </c>
      <c r="B2027" s="11" t="s">
        <v>1163</v>
      </c>
      <c r="C2027" s="48" t="s">
        <v>4584</v>
      </c>
      <c r="D2027" s="83"/>
      <c r="G2027" s="2">
        <v>10000</v>
      </c>
      <c r="I2027" s="2">
        <f t="shared" si="130"/>
        <v>14376.55</v>
      </c>
      <c r="N2027" s="2">
        <f t="shared" si="131"/>
        <v>20</v>
      </c>
    </row>
    <row r="2028" spans="1:16" x14ac:dyDescent="0.25">
      <c r="A2028" s="3">
        <v>45351</v>
      </c>
      <c r="B2028" s="11" t="s">
        <v>4086</v>
      </c>
      <c r="C2028" s="48" t="s">
        <v>1235</v>
      </c>
      <c r="D2028" s="83"/>
      <c r="H2028" s="2">
        <v>6000</v>
      </c>
      <c r="I2028" s="2">
        <f t="shared" si="130"/>
        <v>8376.5499999999993</v>
      </c>
      <c r="N2028" s="2">
        <f t="shared" si="131"/>
        <v>20</v>
      </c>
    </row>
    <row r="2029" spans="1:16" x14ac:dyDescent="0.25">
      <c r="N2029" s="2">
        <f t="shared" si="131"/>
        <v>0</v>
      </c>
    </row>
    <row r="2030" spans="1:16" x14ac:dyDescent="0.25">
      <c r="A2030" s="97">
        <f>COUNT(A1962:A2029)</f>
        <v>67</v>
      </c>
      <c r="B2030" s="102"/>
      <c r="C2030" s="27"/>
      <c r="D2030" s="139"/>
      <c r="E2030" s="117">
        <f>COUNTIF(E1962:E2029,"Y")</f>
        <v>27</v>
      </c>
      <c r="F2030" s="97">
        <f>G2030+H2030</f>
        <v>172400</v>
      </c>
      <c r="G2030" s="107">
        <f>SUM(G1962:G2029)</f>
        <v>89050</v>
      </c>
      <c r="H2030" s="107">
        <f>SUM(H1962:H2029)</f>
        <v>83350</v>
      </c>
      <c r="I2030" s="107"/>
      <c r="J2030" s="102"/>
      <c r="K2030" s="102"/>
      <c r="L2030" s="102"/>
      <c r="M2030" s="102"/>
      <c r="N2030" s="102">
        <f>SUM(N1962:N2029)</f>
        <v>1224.6000000000004</v>
      </c>
      <c r="O2030" s="97"/>
      <c r="P2030" s="97"/>
    </row>
    <row r="2032" spans="1:16" x14ac:dyDescent="0.25">
      <c r="A2032" s="3">
        <v>45352</v>
      </c>
      <c r="C2032" s="4" t="s">
        <v>4585</v>
      </c>
      <c r="G2032" s="2">
        <f>I2028</f>
        <v>8376.5499999999993</v>
      </c>
      <c r="I2032" s="2">
        <f>I2031+G2032-H2032</f>
        <v>8376.5499999999993</v>
      </c>
    </row>
    <row r="2033" spans="1:14" x14ac:dyDescent="0.25">
      <c r="A2033" s="3">
        <v>45352</v>
      </c>
      <c r="B2033" s="11" t="s">
        <v>4586</v>
      </c>
      <c r="C2033" t="s">
        <v>556</v>
      </c>
      <c r="G2033" s="2">
        <v>10000</v>
      </c>
      <c r="I2033" s="2">
        <f t="shared" ref="I2033:I2068" si="132">I2032+G2033-H2033</f>
        <v>18376.55</v>
      </c>
      <c r="N2033" s="2">
        <f t="shared" ref="N2033:N2068" si="133">IF((G2033+H2033)&lt;=5000,(H2033+G2033)*0.004,20)+IF(E2033="Y",25,0)</f>
        <v>20</v>
      </c>
    </row>
    <row r="2034" spans="1:14" x14ac:dyDescent="0.25">
      <c r="A2034" s="3">
        <v>45352</v>
      </c>
      <c r="B2034" s="11" t="s">
        <v>4587</v>
      </c>
      <c r="C2034" t="s">
        <v>4589</v>
      </c>
      <c r="H2034" s="2">
        <v>10000</v>
      </c>
      <c r="I2034" s="2">
        <f t="shared" si="132"/>
        <v>8376.5499999999993</v>
      </c>
      <c r="N2034" s="2">
        <f t="shared" si="133"/>
        <v>20</v>
      </c>
    </row>
    <row r="2035" spans="1:14" x14ac:dyDescent="0.25">
      <c r="A2035" s="3">
        <v>45352</v>
      </c>
      <c r="C2035" t="s">
        <v>4588</v>
      </c>
      <c r="G2035" s="2">
        <v>10000</v>
      </c>
      <c r="I2035" s="2">
        <f t="shared" si="132"/>
        <v>18376.55</v>
      </c>
      <c r="N2035" s="2">
        <f t="shared" si="133"/>
        <v>20</v>
      </c>
    </row>
    <row r="2036" spans="1:14" x14ac:dyDescent="0.25">
      <c r="A2036" s="3">
        <v>45352</v>
      </c>
      <c r="B2036" s="11" t="s">
        <v>3570</v>
      </c>
      <c r="C2036" t="s">
        <v>4590</v>
      </c>
      <c r="H2036" s="2">
        <v>10000</v>
      </c>
      <c r="I2036" s="2">
        <f t="shared" si="132"/>
        <v>8376.5499999999993</v>
      </c>
      <c r="N2036" s="2">
        <f t="shared" si="133"/>
        <v>20</v>
      </c>
    </row>
    <row r="2037" spans="1:14" x14ac:dyDescent="0.25">
      <c r="A2037" s="3">
        <v>45352</v>
      </c>
      <c r="B2037" s="11" t="s">
        <v>3918</v>
      </c>
      <c r="C2037" t="s">
        <v>2361</v>
      </c>
      <c r="H2037" s="2">
        <v>5000</v>
      </c>
      <c r="I2037" s="2">
        <f t="shared" si="132"/>
        <v>3376.5499999999993</v>
      </c>
      <c r="N2037" s="2">
        <f t="shared" si="133"/>
        <v>20</v>
      </c>
    </row>
    <row r="2038" spans="1:14" x14ac:dyDescent="0.25">
      <c r="A2038" s="3">
        <v>45352</v>
      </c>
      <c r="B2038" s="11" t="s">
        <v>4119</v>
      </c>
      <c r="C2038" t="s">
        <v>1596</v>
      </c>
      <c r="H2038" s="2">
        <v>1000</v>
      </c>
      <c r="I2038" s="2">
        <f t="shared" si="132"/>
        <v>2376.5499999999993</v>
      </c>
      <c r="N2038" s="2">
        <f t="shared" si="133"/>
        <v>4</v>
      </c>
    </row>
    <row r="2039" spans="1:14" x14ac:dyDescent="0.25">
      <c r="A2039" s="3">
        <v>45352</v>
      </c>
      <c r="C2039" t="s">
        <v>4594</v>
      </c>
      <c r="G2039" s="2">
        <v>400</v>
      </c>
      <c r="I2039" s="2">
        <f t="shared" si="132"/>
        <v>2776.5499999999993</v>
      </c>
      <c r="N2039" s="2">
        <f t="shared" si="133"/>
        <v>1.6</v>
      </c>
    </row>
    <row r="2040" spans="1:14" x14ac:dyDescent="0.25">
      <c r="A2040" s="3">
        <v>45353</v>
      </c>
      <c r="B2040" s="11" t="s">
        <v>4204</v>
      </c>
      <c r="C2040" t="s">
        <v>1254</v>
      </c>
      <c r="H2040" s="2">
        <v>2000</v>
      </c>
      <c r="I2040" s="2">
        <f t="shared" si="132"/>
        <v>776.54999999999927</v>
      </c>
      <c r="N2040" s="2">
        <f t="shared" si="133"/>
        <v>8</v>
      </c>
    </row>
    <row r="2041" spans="1:14" x14ac:dyDescent="0.25">
      <c r="A2041" s="3">
        <v>45353</v>
      </c>
      <c r="B2041" s="11" t="s">
        <v>4597</v>
      </c>
      <c r="C2041" t="s">
        <v>4596</v>
      </c>
      <c r="E2041" s="115" t="s">
        <v>16</v>
      </c>
      <c r="H2041" s="2">
        <v>500</v>
      </c>
      <c r="I2041" s="2">
        <f t="shared" si="132"/>
        <v>276.54999999999927</v>
      </c>
      <c r="N2041" s="2">
        <f t="shared" si="133"/>
        <v>27</v>
      </c>
    </row>
    <row r="2042" spans="1:14" x14ac:dyDescent="0.25">
      <c r="A2042" s="3">
        <v>45353</v>
      </c>
      <c r="C2042" t="s">
        <v>4603</v>
      </c>
      <c r="G2042" s="2">
        <v>3000</v>
      </c>
      <c r="I2042" s="2">
        <f t="shared" si="132"/>
        <v>3276.5499999999993</v>
      </c>
      <c r="N2042" s="2">
        <f t="shared" si="133"/>
        <v>12</v>
      </c>
    </row>
    <row r="2043" spans="1:14" x14ac:dyDescent="0.25">
      <c r="A2043" s="3">
        <v>45353</v>
      </c>
      <c r="B2043" s="11" t="s">
        <v>4600</v>
      </c>
      <c r="C2043" t="s">
        <v>4604</v>
      </c>
      <c r="H2043" s="2">
        <v>1000</v>
      </c>
      <c r="I2043" s="2">
        <f t="shared" si="132"/>
        <v>2276.5499999999993</v>
      </c>
      <c r="N2043" s="2">
        <f t="shared" si="133"/>
        <v>4</v>
      </c>
    </row>
    <row r="2044" spans="1:14" x14ac:dyDescent="0.25">
      <c r="A2044" s="3">
        <v>45353</v>
      </c>
      <c r="B2044" s="11" t="s">
        <v>1253</v>
      </c>
      <c r="C2044" t="s">
        <v>4087</v>
      </c>
      <c r="G2044" s="2">
        <v>600</v>
      </c>
      <c r="I2044" s="2">
        <f t="shared" si="132"/>
        <v>2876.5499999999993</v>
      </c>
      <c r="N2044" s="2">
        <f t="shared" si="133"/>
        <v>2.4</v>
      </c>
    </row>
    <row r="2045" spans="1:14" x14ac:dyDescent="0.25">
      <c r="A2045" s="4" t="s">
        <v>4607</v>
      </c>
      <c r="B2045" s="11" t="s">
        <v>3918</v>
      </c>
      <c r="C2045" t="s">
        <v>2361</v>
      </c>
      <c r="H2045" s="2">
        <v>2600</v>
      </c>
      <c r="I2045" s="2">
        <f t="shared" si="132"/>
        <v>276.54999999999927</v>
      </c>
      <c r="N2045" s="2">
        <f t="shared" si="133"/>
        <v>10.4</v>
      </c>
    </row>
    <row r="2046" spans="1:14" x14ac:dyDescent="0.25">
      <c r="A2046" s="3">
        <v>45370</v>
      </c>
      <c r="B2046" s="11" t="s">
        <v>2247</v>
      </c>
      <c r="G2046" s="2">
        <v>2000</v>
      </c>
      <c r="I2046" s="2">
        <f t="shared" si="132"/>
        <v>2276.5499999999993</v>
      </c>
      <c r="N2046" s="2">
        <f t="shared" si="133"/>
        <v>8</v>
      </c>
    </row>
    <row r="2047" spans="1:14" x14ac:dyDescent="0.25">
      <c r="A2047" s="3">
        <v>45370</v>
      </c>
      <c r="B2047" s="11" t="s">
        <v>3918</v>
      </c>
      <c r="C2047" t="s">
        <v>2361</v>
      </c>
      <c r="H2047" s="2">
        <v>1700</v>
      </c>
      <c r="I2047" s="2">
        <f t="shared" si="132"/>
        <v>576.54999999999927</v>
      </c>
      <c r="N2047" s="2">
        <f t="shared" si="133"/>
        <v>6.8</v>
      </c>
    </row>
    <row r="2048" spans="1:14" x14ac:dyDescent="0.25">
      <c r="A2048" s="3">
        <v>45372</v>
      </c>
      <c r="B2048" s="11" t="s">
        <v>3859</v>
      </c>
      <c r="C2048" t="s">
        <v>4612</v>
      </c>
      <c r="G2048" s="2">
        <v>400</v>
      </c>
      <c r="I2048" s="2">
        <f t="shared" si="132"/>
        <v>976.54999999999927</v>
      </c>
      <c r="N2048" s="2">
        <f t="shared" si="133"/>
        <v>1.6</v>
      </c>
    </row>
    <row r="2049" spans="1:14" x14ac:dyDescent="0.25">
      <c r="A2049" s="3">
        <v>45372</v>
      </c>
      <c r="B2049" s="11" t="s">
        <v>3859</v>
      </c>
      <c r="C2049" t="s">
        <v>2923</v>
      </c>
      <c r="G2049" s="2">
        <v>1200</v>
      </c>
      <c r="I2049" s="2">
        <f t="shared" si="132"/>
        <v>2176.5499999999993</v>
      </c>
      <c r="N2049" s="2">
        <f t="shared" si="133"/>
        <v>4.8</v>
      </c>
    </row>
    <row r="2050" spans="1:14" x14ac:dyDescent="0.25">
      <c r="A2050" s="3">
        <v>45372</v>
      </c>
      <c r="B2050" s="11" t="s">
        <v>4613</v>
      </c>
      <c r="H2050" s="2">
        <v>100</v>
      </c>
      <c r="I2050" s="2">
        <f t="shared" si="132"/>
        <v>2076.5499999999993</v>
      </c>
      <c r="N2050" s="2">
        <f t="shared" si="133"/>
        <v>0.4</v>
      </c>
    </row>
    <row r="2051" spans="1:14" x14ac:dyDescent="0.25">
      <c r="A2051" s="3">
        <v>45372</v>
      </c>
      <c r="B2051" s="11" t="s">
        <v>3918</v>
      </c>
      <c r="C2051" t="s">
        <v>2361</v>
      </c>
      <c r="H2051" s="2">
        <v>1800</v>
      </c>
      <c r="I2051" s="2">
        <f t="shared" si="132"/>
        <v>276.54999999999927</v>
      </c>
      <c r="N2051" s="2">
        <f t="shared" si="133"/>
        <v>7.2</v>
      </c>
    </row>
    <row r="2052" spans="1:14" x14ac:dyDescent="0.25">
      <c r="A2052" s="3">
        <v>45372</v>
      </c>
      <c r="B2052" s="11" t="s">
        <v>4613</v>
      </c>
      <c r="C2052" t="s">
        <v>4614</v>
      </c>
      <c r="E2052" s="115" t="s">
        <v>16</v>
      </c>
      <c r="H2052" s="2">
        <v>100</v>
      </c>
      <c r="I2052" s="2">
        <f t="shared" si="132"/>
        <v>176.54999999999927</v>
      </c>
      <c r="N2052" s="2">
        <f t="shared" si="133"/>
        <v>25.4</v>
      </c>
    </row>
    <row r="2053" spans="1:14" x14ac:dyDescent="0.25">
      <c r="A2053" s="3">
        <v>45373</v>
      </c>
      <c r="B2053" s="11" t="s">
        <v>4616</v>
      </c>
      <c r="C2053" t="s">
        <v>4617</v>
      </c>
      <c r="G2053" s="2">
        <v>1300</v>
      </c>
      <c r="I2053" s="2">
        <f t="shared" si="132"/>
        <v>1476.5499999999993</v>
      </c>
      <c r="N2053" s="2">
        <f t="shared" si="133"/>
        <v>5.2</v>
      </c>
    </row>
    <row r="2054" spans="1:14" x14ac:dyDescent="0.25">
      <c r="A2054" s="3">
        <v>45373</v>
      </c>
      <c r="B2054" s="11" t="s">
        <v>1253</v>
      </c>
      <c r="G2054" s="2">
        <v>400</v>
      </c>
      <c r="I2054" s="2">
        <f t="shared" si="132"/>
        <v>1876.5499999999993</v>
      </c>
      <c r="N2054" s="2">
        <f t="shared" si="133"/>
        <v>1.6</v>
      </c>
    </row>
    <row r="2055" spans="1:14" x14ac:dyDescent="0.25">
      <c r="A2055" s="3">
        <v>45373</v>
      </c>
      <c r="B2055" s="11" t="s">
        <v>4620</v>
      </c>
      <c r="C2055" s="7" t="s">
        <v>4621</v>
      </c>
      <c r="E2055" s="115" t="s">
        <v>16</v>
      </c>
      <c r="H2055" s="2">
        <v>1000</v>
      </c>
      <c r="I2055" s="2">
        <f t="shared" si="132"/>
        <v>876.54999999999927</v>
      </c>
      <c r="N2055" s="2">
        <f t="shared" si="133"/>
        <v>29</v>
      </c>
    </row>
    <row r="2056" spans="1:14" x14ac:dyDescent="0.25">
      <c r="A2056" s="3">
        <v>45373</v>
      </c>
      <c r="B2056" s="11" t="s">
        <v>4624</v>
      </c>
      <c r="C2056" s="7" t="s">
        <v>4625</v>
      </c>
      <c r="E2056" s="115" t="s">
        <v>16</v>
      </c>
      <c r="I2056" s="2">
        <f t="shared" si="132"/>
        <v>876.54999999999927</v>
      </c>
      <c r="N2056" s="2">
        <f t="shared" si="133"/>
        <v>25</v>
      </c>
    </row>
    <row r="2057" spans="1:14" x14ac:dyDescent="0.25">
      <c r="A2057" s="3">
        <v>45374</v>
      </c>
      <c r="B2057" s="11" t="s">
        <v>4631</v>
      </c>
      <c r="C2057" t="s">
        <v>4632</v>
      </c>
      <c r="G2057" s="2">
        <v>300</v>
      </c>
      <c r="I2057" s="2">
        <f t="shared" si="132"/>
        <v>1176.5499999999993</v>
      </c>
      <c r="N2057" s="2">
        <f t="shared" si="133"/>
        <v>1.2</v>
      </c>
    </row>
    <row r="2058" spans="1:14" x14ac:dyDescent="0.25">
      <c r="A2058" s="3">
        <v>45377</v>
      </c>
      <c r="B2058" s="11" t="s">
        <v>4633</v>
      </c>
      <c r="C2058" t="s">
        <v>4634</v>
      </c>
      <c r="E2058" s="115" t="s">
        <v>16</v>
      </c>
      <c r="H2058" s="2">
        <v>100</v>
      </c>
      <c r="I2058" s="2">
        <f t="shared" si="132"/>
        <v>1076.5499999999993</v>
      </c>
      <c r="N2058" s="2">
        <f t="shared" si="133"/>
        <v>25.4</v>
      </c>
    </row>
    <row r="2059" spans="1:14" x14ac:dyDescent="0.25">
      <c r="A2059" s="3">
        <v>45377</v>
      </c>
      <c r="B2059" s="11" t="s">
        <v>4637</v>
      </c>
      <c r="C2059" s="7" t="s">
        <v>4639</v>
      </c>
      <c r="E2059" s="115" t="s">
        <v>16</v>
      </c>
      <c r="H2059" s="2">
        <v>100</v>
      </c>
      <c r="I2059" s="2">
        <f t="shared" si="132"/>
        <v>976.54999999999927</v>
      </c>
      <c r="N2059" s="2">
        <f t="shared" si="133"/>
        <v>25.4</v>
      </c>
    </row>
    <row r="2060" spans="1:14" x14ac:dyDescent="0.25">
      <c r="A2060" s="3">
        <v>45377</v>
      </c>
      <c r="B2060" s="11" t="s">
        <v>4638</v>
      </c>
      <c r="C2060" s="7" t="s">
        <v>3</v>
      </c>
      <c r="E2060" s="115" t="s">
        <v>16</v>
      </c>
      <c r="H2060" s="2">
        <v>100</v>
      </c>
      <c r="I2060" s="2">
        <f t="shared" si="132"/>
        <v>876.54999999999927</v>
      </c>
      <c r="N2060" s="2">
        <f t="shared" si="133"/>
        <v>25.4</v>
      </c>
    </row>
    <row r="2061" spans="1:14" x14ac:dyDescent="0.25">
      <c r="A2061" s="3">
        <v>45378</v>
      </c>
      <c r="B2061" s="11" t="s">
        <v>4646</v>
      </c>
      <c r="C2061" s="7" t="s">
        <v>219</v>
      </c>
      <c r="E2061" s="115" t="s">
        <v>16</v>
      </c>
      <c r="H2061" s="2">
        <v>100</v>
      </c>
      <c r="I2061" s="2">
        <f t="shared" si="132"/>
        <v>776.54999999999927</v>
      </c>
      <c r="N2061" s="2">
        <f t="shared" si="133"/>
        <v>25.4</v>
      </c>
    </row>
    <row r="2062" spans="1:14" x14ac:dyDescent="0.25">
      <c r="A2062" s="3">
        <v>45379</v>
      </c>
      <c r="B2062" s="11" t="s">
        <v>4649</v>
      </c>
      <c r="C2062" s="7" t="s">
        <v>4650</v>
      </c>
      <c r="E2062" s="115" t="s">
        <v>16</v>
      </c>
      <c r="H2062" s="2">
        <v>500</v>
      </c>
      <c r="I2062" s="2">
        <f t="shared" si="132"/>
        <v>276.54999999999927</v>
      </c>
      <c r="N2062" s="2">
        <f t="shared" si="133"/>
        <v>27</v>
      </c>
    </row>
    <row r="2063" spans="1:14" x14ac:dyDescent="0.25">
      <c r="A2063" s="3">
        <v>45379</v>
      </c>
      <c r="B2063" s="11" t="s">
        <v>4654</v>
      </c>
      <c r="C2063" s="7" t="s">
        <v>4656</v>
      </c>
      <c r="E2063" s="115" t="s">
        <v>16</v>
      </c>
      <c r="H2063" s="2">
        <v>100</v>
      </c>
      <c r="I2063" s="2">
        <f t="shared" si="132"/>
        <v>176.54999999999927</v>
      </c>
      <c r="N2063" s="2">
        <f t="shared" si="133"/>
        <v>25.4</v>
      </c>
    </row>
    <row r="2064" spans="1:14" x14ac:dyDescent="0.25">
      <c r="A2064" s="3">
        <v>45381</v>
      </c>
      <c r="C2064" s="7" t="s">
        <v>1596</v>
      </c>
      <c r="G2064" s="2">
        <v>1500</v>
      </c>
      <c r="I2064" s="2">
        <f t="shared" si="132"/>
        <v>1676.5499999999993</v>
      </c>
      <c r="N2064" s="2">
        <f t="shared" si="133"/>
        <v>6</v>
      </c>
    </row>
    <row r="2065" spans="1:17" x14ac:dyDescent="0.25">
      <c r="A2065" s="3">
        <v>45381</v>
      </c>
      <c r="B2065" s="11" t="s">
        <v>4662</v>
      </c>
      <c r="C2065" s="7" t="s">
        <v>4663</v>
      </c>
      <c r="E2065" s="115" t="s">
        <v>16</v>
      </c>
      <c r="H2065" s="2">
        <v>100</v>
      </c>
      <c r="I2065" s="2">
        <f t="shared" si="132"/>
        <v>1576.5499999999993</v>
      </c>
      <c r="N2065" s="2">
        <f t="shared" si="133"/>
        <v>25.4</v>
      </c>
    </row>
    <row r="2066" spans="1:17" x14ac:dyDescent="0.25">
      <c r="A2066" s="3">
        <v>45381</v>
      </c>
      <c r="B2066" s="11" t="s">
        <v>3918</v>
      </c>
      <c r="C2066" s="7" t="s">
        <v>3078</v>
      </c>
      <c r="H2066" s="2">
        <v>400</v>
      </c>
      <c r="I2066" s="2">
        <f t="shared" si="132"/>
        <v>1176.5499999999993</v>
      </c>
      <c r="N2066" s="2">
        <f t="shared" si="133"/>
        <v>1.6</v>
      </c>
    </row>
    <row r="2067" spans="1:17" x14ac:dyDescent="0.25">
      <c r="A2067" s="3">
        <v>45381</v>
      </c>
      <c r="B2067" s="11" t="s">
        <v>4666</v>
      </c>
      <c r="C2067" s="7" t="s">
        <v>4667</v>
      </c>
      <c r="D2067" s="142">
        <v>9631839734</v>
      </c>
      <c r="H2067" s="2">
        <v>1000</v>
      </c>
      <c r="I2067" s="2">
        <f t="shared" si="132"/>
        <v>176.54999999999927</v>
      </c>
      <c r="N2067" s="2">
        <f t="shared" si="133"/>
        <v>4</v>
      </c>
    </row>
    <row r="2068" spans="1:17" x14ac:dyDescent="0.25">
      <c r="A2068" s="3">
        <v>45382</v>
      </c>
      <c r="C2068" s="7" t="s">
        <v>4588</v>
      </c>
      <c r="D2068" s="142"/>
      <c r="G2068" s="2">
        <v>10000</v>
      </c>
      <c r="I2068" s="2">
        <f t="shared" si="132"/>
        <v>10176.549999999999</v>
      </c>
      <c r="N2068" s="2">
        <f t="shared" si="133"/>
        <v>20</v>
      </c>
      <c r="Q2068" t="s">
        <v>4668</v>
      </c>
    </row>
    <row r="2069" spans="1:17" x14ac:dyDescent="0.25">
      <c r="A2069" s="97">
        <f>COUNT(A2033:A2068)</f>
        <v>35</v>
      </c>
      <c r="B2069" s="102"/>
      <c r="C2069" s="27"/>
      <c r="D2069" s="139"/>
      <c r="E2069" s="117">
        <f>COUNTIF(E2033:E2068,"Y")</f>
        <v>11</v>
      </c>
      <c r="F2069" s="97">
        <f>G2069+H2069</f>
        <v>80400</v>
      </c>
      <c r="G2069" s="107">
        <f>SUM(G2033:G2068)</f>
        <v>41100</v>
      </c>
      <c r="H2069" s="107">
        <f>SUM(H2033:H2068)</f>
        <v>39300</v>
      </c>
      <c r="I2069" s="107"/>
      <c r="J2069" s="102"/>
      <c r="K2069" s="102"/>
      <c r="L2069" s="102"/>
      <c r="M2069" s="102"/>
      <c r="N2069" s="102">
        <f>SUM(N2033:N2068)</f>
        <v>496.59999999999985</v>
      </c>
      <c r="O2069" s="97"/>
    </row>
    <row r="2071" spans="1:17" x14ac:dyDescent="0.25">
      <c r="A2071" s="3">
        <v>45383</v>
      </c>
      <c r="C2071" s="7" t="s">
        <v>4669</v>
      </c>
      <c r="G2071" s="113"/>
      <c r="H2071" s="113"/>
      <c r="I2071" s="113">
        <f>I2068-100</f>
        <v>10076.549999999999</v>
      </c>
    </row>
    <row r="2072" spans="1:17" x14ac:dyDescent="0.25">
      <c r="A2072" s="3">
        <v>45384</v>
      </c>
      <c r="B2072" s="11" t="s">
        <v>1253</v>
      </c>
      <c r="C2072" s="7" t="s">
        <v>2924</v>
      </c>
      <c r="G2072" s="113">
        <v>400</v>
      </c>
      <c r="H2072" s="113"/>
      <c r="I2072" s="113">
        <f t="shared" ref="I2072:I2116" si="134">I2071+G2072-H2072</f>
        <v>10476.549999999999</v>
      </c>
      <c r="N2072" s="2">
        <f t="shared" ref="N2072:N2139" si="135">IF((G2072+H2072)&lt;=5000,(H2072+G2072)*0.004,20)+IF(E2072="Y",25,0)</f>
        <v>1.6</v>
      </c>
    </row>
    <row r="2073" spans="1:17" x14ac:dyDescent="0.25">
      <c r="A2073" s="3">
        <v>45384</v>
      </c>
      <c r="B2073" s="11" t="s">
        <v>1253</v>
      </c>
      <c r="C2073" s="7" t="s">
        <v>2923</v>
      </c>
      <c r="G2073" s="113">
        <v>400</v>
      </c>
      <c r="H2073" s="113"/>
      <c r="I2073" s="113">
        <f t="shared" si="134"/>
        <v>10876.55</v>
      </c>
      <c r="N2073" s="2">
        <f t="shared" si="135"/>
        <v>1.6</v>
      </c>
    </row>
    <row r="2074" spans="1:17" x14ac:dyDescent="0.25">
      <c r="A2074" s="3">
        <v>45384</v>
      </c>
      <c r="B2074" s="11" t="s">
        <v>4204</v>
      </c>
      <c r="C2074" s="7" t="s">
        <v>1254</v>
      </c>
      <c r="G2074" s="113"/>
      <c r="H2074" s="113">
        <v>6500</v>
      </c>
      <c r="I2074" s="113">
        <f t="shared" si="134"/>
        <v>4376.5499999999993</v>
      </c>
      <c r="N2074" s="2">
        <f t="shared" si="135"/>
        <v>20</v>
      </c>
    </row>
    <row r="2075" spans="1:17" x14ac:dyDescent="0.25">
      <c r="A2075" s="3">
        <v>45384</v>
      </c>
      <c r="B2075" s="11" t="s">
        <v>4673</v>
      </c>
      <c r="C2075" s="7" t="s">
        <v>4674</v>
      </c>
      <c r="E2075" s="115" t="s">
        <v>16</v>
      </c>
      <c r="G2075" s="113"/>
      <c r="H2075" s="113">
        <v>400</v>
      </c>
      <c r="I2075" s="113">
        <f t="shared" si="134"/>
        <v>3976.5499999999993</v>
      </c>
      <c r="N2075" s="2">
        <f t="shared" si="135"/>
        <v>26.6</v>
      </c>
    </row>
    <row r="2076" spans="1:17" x14ac:dyDescent="0.25">
      <c r="A2076" s="3">
        <v>45384</v>
      </c>
      <c r="B2076" s="11" t="s">
        <v>1253</v>
      </c>
      <c r="C2076" s="7" t="s">
        <v>4433</v>
      </c>
      <c r="G2076" s="113">
        <v>1300</v>
      </c>
      <c r="H2076" s="113"/>
      <c r="I2076" s="113">
        <f t="shared" si="134"/>
        <v>5276.5499999999993</v>
      </c>
      <c r="N2076" s="2">
        <f t="shared" si="135"/>
        <v>5.2</v>
      </c>
    </row>
    <row r="2077" spans="1:17" x14ac:dyDescent="0.25">
      <c r="A2077" s="3">
        <v>45386</v>
      </c>
      <c r="B2077" s="11" t="s">
        <v>4678</v>
      </c>
      <c r="E2077" s="115" t="s">
        <v>16</v>
      </c>
      <c r="G2077" s="113"/>
      <c r="H2077" s="113">
        <v>400</v>
      </c>
      <c r="I2077" s="113">
        <f t="shared" si="134"/>
        <v>4876.5499999999993</v>
      </c>
      <c r="N2077" s="2">
        <f t="shared" si="135"/>
        <v>26.6</v>
      </c>
    </row>
    <row r="2078" spans="1:17" x14ac:dyDescent="0.25">
      <c r="A2078" s="3">
        <v>45386</v>
      </c>
      <c r="B2078" s="11" t="s">
        <v>1253</v>
      </c>
      <c r="C2078" s="7" t="s">
        <v>2748</v>
      </c>
      <c r="G2078" s="113"/>
      <c r="H2078" s="113">
        <v>4000</v>
      </c>
      <c r="I2078" s="113">
        <f t="shared" si="134"/>
        <v>876.54999999999927</v>
      </c>
      <c r="N2078" s="2">
        <f t="shared" si="135"/>
        <v>16</v>
      </c>
    </row>
    <row r="2079" spans="1:17" x14ac:dyDescent="0.25">
      <c r="A2079" s="3">
        <v>45386</v>
      </c>
      <c r="B2079" s="11" t="s">
        <v>1163</v>
      </c>
      <c r="C2079" s="7" t="s">
        <v>4679</v>
      </c>
      <c r="D2079" s="58">
        <v>9798834287</v>
      </c>
      <c r="G2079" s="113">
        <v>1000</v>
      </c>
      <c r="H2079" s="113"/>
      <c r="I2079" s="113">
        <f t="shared" si="134"/>
        <v>1876.5499999999993</v>
      </c>
      <c r="N2079" s="2">
        <f t="shared" si="135"/>
        <v>4</v>
      </c>
    </row>
    <row r="2080" spans="1:17" x14ac:dyDescent="0.25">
      <c r="A2080" s="3">
        <v>45386</v>
      </c>
      <c r="B2080" s="11" t="s">
        <v>4681</v>
      </c>
      <c r="C2080" s="7" t="s">
        <v>941</v>
      </c>
      <c r="E2080" s="115" t="s">
        <v>16</v>
      </c>
      <c r="G2080" s="113"/>
      <c r="H2080" s="113">
        <v>500</v>
      </c>
      <c r="I2080" s="113">
        <f t="shared" si="134"/>
        <v>1376.5499999999993</v>
      </c>
      <c r="N2080" s="2">
        <f t="shared" si="135"/>
        <v>27</v>
      </c>
    </row>
    <row r="2081" spans="1:14" x14ac:dyDescent="0.25">
      <c r="A2081" s="3">
        <v>45386</v>
      </c>
      <c r="B2081" s="11" t="s">
        <v>4684</v>
      </c>
      <c r="C2081" s="7" t="s">
        <v>4685</v>
      </c>
      <c r="E2081" s="115" t="s">
        <v>16</v>
      </c>
      <c r="G2081" s="113"/>
      <c r="H2081" s="113">
        <v>500</v>
      </c>
      <c r="I2081" s="113">
        <f t="shared" si="134"/>
        <v>876.54999999999927</v>
      </c>
      <c r="N2081" s="2">
        <f t="shared" si="135"/>
        <v>27</v>
      </c>
    </row>
    <row r="2082" spans="1:14" x14ac:dyDescent="0.25">
      <c r="A2082" s="3">
        <v>45387</v>
      </c>
      <c r="B2082" s="11" t="s">
        <v>1253</v>
      </c>
      <c r="C2082" t="s">
        <v>27</v>
      </c>
      <c r="G2082" s="113">
        <v>500</v>
      </c>
      <c r="H2082" s="113"/>
      <c r="I2082" s="113">
        <f t="shared" si="134"/>
        <v>1376.5499999999993</v>
      </c>
      <c r="N2082" s="2">
        <f t="shared" si="135"/>
        <v>2</v>
      </c>
    </row>
    <row r="2083" spans="1:14" x14ac:dyDescent="0.25">
      <c r="A2083" s="3">
        <v>45387</v>
      </c>
      <c r="B2083" s="11" t="s">
        <v>4108</v>
      </c>
      <c r="C2083" t="s">
        <v>2408</v>
      </c>
      <c r="G2083" s="113">
        <v>4250</v>
      </c>
      <c r="H2083" s="113"/>
      <c r="I2083" s="113">
        <f t="shared" si="134"/>
        <v>5626.5499999999993</v>
      </c>
      <c r="N2083" s="2">
        <f t="shared" si="135"/>
        <v>17</v>
      </c>
    </row>
    <row r="2084" spans="1:14" x14ac:dyDescent="0.25">
      <c r="A2084" s="3">
        <v>45387</v>
      </c>
      <c r="B2084" s="11" t="s">
        <v>3276</v>
      </c>
      <c r="C2084" t="s">
        <v>4687</v>
      </c>
      <c r="D2084" s="58">
        <v>8354994185</v>
      </c>
      <c r="G2084" s="113">
        <v>2000</v>
      </c>
      <c r="H2084" s="113"/>
      <c r="I2084" s="113">
        <f t="shared" si="134"/>
        <v>7626.5499999999993</v>
      </c>
      <c r="N2084" s="2">
        <f t="shared" si="135"/>
        <v>8</v>
      </c>
    </row>
    <row r="2085" spans="1:14" x14ac:dyDescent="0.25">
      <c r="A2085" s="3">
        <v>45387</v>
      </c>
      <c r="B2085" s="11" t="s">
        <v>3960</v>
      </c>
      <c r="C2085" t="s">
        <v>3654</v>
      </c>
      <c r="G2085" s="113"/>
      <c r="H2085" s="113">
        <v>7000</v>
      </c>
      <c r="I2085" s="113">
        <f t="shared" si="134"/>
        <v>626.54999999999927</v>
      </c>
      <c r="N2085" s="2">
        <f t="shared" si="135"/>
        <v>20</v>
      </c>
    </row>
    <row r="2086" spans="1:14" x14ac:dyDescent="0.25">
      <c r="A2086" s="3">
        <v>45388</v>
      </c>
      <c r="C2086" t="s">
        <v>4588</v>
      </c>
      <c r="G2086" s="113">
        <v>3500</v>
      </c>
      <c r="H2086" s="113"/>
      <c r="I2086" s="113">
        <f t="shared" si="134"/>
        <v>4126.5499999999993</v>
      </c>
      <c r="N2086" s="2">
        <f t="shared" si="135"/>
        <v>14</v>
      </c>
    </row>
    <row r="2087" spans="1:14" x14ac:dyDescent="0.25">
      <c r="A2087" s="3">
        <v>45388</v>
      </c>
      <c r="B2087" s="11" t="s">
        <v>4693</v>
      </c>
      <c r="C2087" s="7" t="s">
        <v>4694</v>
      </c>
      <c r="E2087" s="115" t="s">
        <v>16</v>
      </c>
      <c r="G2087" s="113"/>
      <c r="H2087" s="113">
        <v>2000</v>
      </c>
      <c r="I2087" s="113">
        <f t="shared" si="134"/>
        <v>2126.5499999999993</v>
      </c>
      <c r="N2087" s="2">
        <f t="shared" si="135"/>
        <v>33</v>
      </c>
    </row>
    <row r="2088" spans="1:14" x14ac:dyDescent="0.25">
      <c r="A2088" s="3">
        <v>45388</v>
      </c>
      <c r="C2088" t="s">
        <v>3183</v>
      </c>
      <c r="G2088" s="113">
        <v>6000</v>
      </c>
      <c r="H2088" s="113"/>
      <c r="I2088" s="113">
        <f t="shared" si="134"/>
        <v>8126.5499999999993</v>
      </c>
      <c r="N2088" s="2">
        <f t="shared" si="135"/>
        <v>20</v>
      </c>
    </row>
    <row r="2089" spans="1:14" x14ac:dyDescent="0.25">
      <c r="A2089" s="3">
        <v>45388</v>
      </c>
      <c r="B2089" s="11" t="s">
        <v>3918</v>
      </c>
      <c r="G2089" s="113"/>
      <c r="H2089" s="113">
        <v>4200</v>
      </c>
      <c r="I2089" s="113">
        <f t="shared" si="134"/>
        <v>3926.5499999999993</v>
      </c>
      <c r="N2089" s="2">
        <f t="shared" si="135"/>
        <v>16.8</v>
      </c>
    </row>
    <row r="2090" spans="1:14" x14ac:dyDescent="0.25">
      <c r="A2090" s="3">
        <v>45389</v>
      </c>
      <c r="B2090" s="11" t="s">
        <v>1253</v>
      </c>
      <c r="C2090" t="s">
        <v>3717</v>
      </c>
      <c r="G2090" s="113">
        <v>2500</v>
      </c>
      <c r="H2090" s="113"/>
      <c r="I2090" s="113">
        <f t="shared" si="134"/>
        <v>6426.5499999999993</v>
      </c>
      <c r="N2090" s="2">
        <f t="shared" si="135"/>
        <v>10</v>
      </c>
    </row>
    <row r="2091" spans="1:14" x14ac:dyDescent="0.25">
      <c r="A2091" s="3">
        <v>45389</v>
      </c>
      <c r="B2091" s="11" t="s">
        <v>4086</v>
      </c>
      <c r="C2091" t="s">
        <v>4701</v>
      </c>
      <c r="G2091" s="113"/>
      <c r="H2091" s="113">
        <v>6000</v>
      </c>
      <c r="I2091" s="113">
        <f t="shared" si="134"/>
        <v>426.54999999999927</v>
      </c>
      <c r="N2091" s="2">
        <f t="shared" si="135"/>
        <v>20</v>
      </c>
    </row>
    <row r="2092" spans="1:14" x14ac:dyDescent="0.25">
      <c r="A2092" s="3">
        <v>45389</v>
      </c>
      <c r="B2092" s="11" t="s">
        <v>4108</v>
      </c>
      <c r="C2092" t="s">
        <v>2408</v>
      </c>
      <c r="G2092" s="113">
        <v>1300</v>
      </c>
      <c r="H2092" s="113"/>
      <c r="I2092" s="113">
        <f t="shared" si="134"/>
        <v>1726.5499999999993</v>
      </c>
      <c r="N2092" s="2">
        <f t="shared" si="135"/>
        <v>5.2</v>
      </c>
    </row>
    <row r="2093" spans="1:14" x14ac:dyDescent="0.25">
      <c r="A2093" s="3">
        <v>45390</v>
      </c>
      <c r="B2093" s="11" t="s">
        <v>4703</v>
      </c>
      <c r="C2093" s="7" t="s">
        <v>4704</v>
      </c>
      <c r="E2093" s="115" t="s">
        <v>16</v>
      </c>
      <c r="G2093" s="113"/>
      <c r="H2093" s="113">
        <v>100</v>
      </c>
      <c r="I2093" s="113">
        <f t="shared" si="134"/>
        <v>1626.5499999999993</v>
      </c>
      <c r="N2093" s="2">
        <f t="shared" si="135"/>
        <v>25.4</v>
      </c>
    </row>
    <row r="2094" spans="1:14" x14ac:dyDescent="0.25">
      <c r="A2094" s="3">
        <v>45390</v>
      </c>
      <c r="B2094" s="11" t="s">
        <v>4708</v>
      </c>
      <c r="C2094" t="s">
        <v>4719</v>
      </c>
      <c r="D2094" s="58">
        <v>8050</v>
      </c>
      <c r="E2094" s="115" t="s">
        <v>16</v>
      </c>
      <c r="G2094" s="113"/>
      <c r="H2094" s="113">
        <v>1050</v>
      </c>
      <c r="I2094" s="113">
        <f t="shared" si="134"/>
        <v>576.54999999999927</v>
      </c>
      <c r="N2094" s="2">
        <f t="shared" si="135"/>
        <v>29.2</v>
      </c>
    </row>
    <row r="2095" spans="1:14" x14ac:dyDescent="0.25">
      <c r="A2095" s="3">
        <v>45391</v>
      </c>
      <c r="C2095" t="s">
        <v>3183</v>
      </c>
      <c r="G2095" s="113">
        <v>10000</v>
      </c>
      <c r="H2095" s="113"/>
      <c r="I2095" s="113">
        <f t="shared" si="134"/>
        <v>10576.55</v>
      </c>
      <c r="N2095" s="2">
        <f t="shared" si="135"/>
        <v>20</v>
      </c>
    </row>
    <row r="2096" spans="1:14" x14ac:dyDescent="0.25">
      <c r="A2096" s="3">
        <v>45391</v>
      </c>
      <c r="B2096" s="11" t="s">
        <v>4708</v>
      </c>
      <c r="C2096" t="s">
        <v>4714</v>
      </c>
      <c r="G2096" s="113"/>
      <c r="H2096" s="113">
        <v>7000</v>
      </c>
      <c r="I2096" s="113">
        <f t="shared" si="134"/>
        <v>3576.5499999999993</v>
      </c>
      <c r="N2096" s="2">
        <f t="shared" si="135"/>
        <v>20</v>
      </c>
    </row>
    <row r="2097" spans="1:14" x14ac:dyDescent="0.25">
      <c r="A2097" s="3">
        <v>45391</v>
      </c>
      <c r="B2097" s="11" t="s">
        <v>4715</v>
      </c>
      <c r="C2097" t="s">
        <v>3891</v>
      </c>
      <c r="G2097" s="113">
        <v>4000</v>
      </c>
      <c r="H2097" s="113"/>
      <c r="I2097" s="113">
        <f t="shared" si="134"/>
        <v>7576.5499999999993</v>
      </c>
      <c r="N2097" s="2">
        <f t="shared" si="135"/>
        <v>16</v>
      </c>
    </row>
    <row r="2098" spans="1:14" x14ac:dyDescent="0.25">
      <c r="A2098" s="3">
        <v>45391</v>
      </c>
      <c r="C2098" t="s">
        <v>3943</v>
      </c>
      <c r="G2098" s="113"/>
      <c r="H2098" s="113">
        <v>4000</v>
      </c>
      <c r="I2098" s="113">
        <f t="shared" si="134"/>
        <v>3576.5499999999993</v>
      </c>
      <c r="N2098" s="2">
        <f t="shared" si="135"/>
        <v>16</v>
      </c>
    </row>
    <row r="2099" spans="1:14" x14ac:dyDescent="0.25">
      <c r="A2099" s="3">
        <v>45392</v>
      </c>
      <c r="B2099" s="11" t="s">
        <v>4716</v>
      </c>
      <c r="C2099" t="s">
        <v>4717</v>
      </c>
      <c r="G2099" s="113">
        <v>2000</v>
      </c>
      <c r="H2099" s="113"/>
      <c r="I2099" s="113">
        <f t="shared" si="134"/>
        <v>5576.5499999999993</v>
      </c>
      <c r="N2099" s="2">
        <f t="shared" si="135"/>
        <v>8</v>
      </c>
    </row>
    <row r="2100" spans="1:14" x14ac:dyDescent="0.25">
      <c r="A2100" s="3">
        <v>45392</v>
      </c>
      <c r="B2100" s="11" t="s">
        <v>1163</v>
      </c>
      <c r="C2100" t="s">
        <v>4718</v>
      </c>
      <c r="D2100" s="58">
        <v>7859056775</v>
      </c>
      <c r="G2100" s="113">
        <v>1200</v>
      </c>
      <c r="H2100" s="113"/>
      <c r="I2100" s="113">
        <f t="shared" si="134"/>
        <v>6776.5499999999993</v>
      </c>
      <c r="N2100" s="2">
        <f t="shared" si="135"/>
        <v>4.8</v>
      </c>
    </row>
    <row r="2101" spans="1:14" x14ac:dyDescent="0.25">
      <c r="A2101" s="3">
        <v>45392</v>
      </c>
      <c r="B2101" s="11" t="s">
        <v>4708</v>
      </c>
      <c r="C2101" t="s">
        <v>4714</v>
      </c>
      <c r="G2101" s="113"/>
      <c r="H2101" s="113">
        <v>500</v>
      </c>
      <c r="I2101" s="113">
        <f t="shared" si="134"/>
        <v>6276.5499999999993</v>
      </c>
      <c r="N2101" s="2">
        <f t="shared" si="135"/>
        <v>2</v>
      </c>
    </row>
    <row r="2102" spans="1:14" x14ac:dyDescent="0.25">
      <c r="A2102" s="3">
        <v>45392</v>
      </c>
      <c r="B2102" s="11" t="s">
        <v>2663</v>
      </c>
      <c r="C2102" t="s">
        <v>2664</v>
      </c>
      <c r="G2102" s="113"/>
      <c r="H2102" s="113">
        <v>1000</v>
      </c>
      <c r="I2102" s="113">
        <f t="shared" si="134"/>
        <v>5276.5499999999993</v>
      </c>
      <c r="N2102" s="2">
        <f t="shared" si="135"/>
        <v>4</v>
      </c>
    </row>
    <row r="2103" spans="1:14" x14ac:dyDescent="0.25">
      <c r="A2103" s="3">
        <v>45392</v>
      </c>
      <c r="B2103" s="11" t="s">
        <v>4721</v>
      </c>
      <c r="C2103" s="7" t="s">
        <v>4722</v>
      </c>
      <c r="E2103" s="115" t="s">
        <v>16</v>
      </c>
      <c r="G2103" s="113"/>
      <c r="H2103" s="113">
        <v>2000</v>
      </c>
      <c r="I2103" s="113">
        <f t="shared" si="134"/>
        <v>3276.5499999999993</v>
      </c>
      <c r="N2103" s="2">
        <f t="shared" si="135"/>
        <v>33</v>
      </c>
    </row>
    <row r="2104" spans="1:14" x14ac:dyDescent="0.25">
      <c r="A2104" s="3">
        <v>45392</v>
      </c>
      <c r="B2104" s="11" t="s">
        <v>4726</v>
      </c>
      <c r="C2104" t="s">
        <v>4725</v>
      </c>
      <c r="G2104" s="113">
        <v>3100</v>
      </c>
      <c r="H2104" s="113"/>
      <c r="I2104" s="113">
        <f t="shared" si="134"/>
        <v>6376.5499999999993</v>
      </c>
      <c r="N2104" s="2">
        <f t="shared" si="135"/>
        <v>12.4</v>
      </c>
    </row>
    <row r="2105" spans="1:14" x14ac:dyDescent="0.25">
      <c r="A2105" s="3">
        <v>45397</v>
      </c>
      <c r="C2105" t="s">
        <v>4728</v>
      </c>
      <c r="G2105" s="113">
        <v>400</v>
      </c>
      <c r="H2105" s="113"/>
      <c r="I2105" s="113">
        <f t="shared" si="134"/>
        <v>6776.5499999999993</v>
      </c>
      <c r="N2105" s="2">
        <f t="shared" si="135"/>
        <v>1.6</v>
      </c>
    </row>
    <row r="2106" spans="1:14" x14ac:dyDescent="0.25">
      <c r="A2106" s="3">
        <v>45397</v>
      </c>
      <c r="C2106" t="s">
        <v>4729</v>
      </c>
      <c r="G2106" s="113"/>
      <c r="H2106" s="113">
        <v>100</v>
      </c>
      <c r="I2106" s="113">
        <f t="shared" si="134"/>
        <v>6676.5499999999993</v>
      </c>
      <c r="N2106" s="2">
        <f t="shared" si="135"/>
        <v>0.4</v>
      </c>
    </row>
    <row r="2107" spans="1:14" x14ac:dyDescent="0.25">
      <c r="A2107" s="3">
        <v>45397</v>
      </c>
      <c r="B2107" s="11" t="s">
        <v>4708</v>
      </c>
      <c r="C2107" t="s">
        <v>4719</v>
      </c>
      <c r="G2107" s="113"/>
      <c r="H2107" s="113">
        <v>500</v>
      </c>
      <c r="I2107" s="113">
        <f t="shared" si="134"/>
        <v>6176.5499999999993</v>
      </c>
      <c r="N2107" s="2">
        <f t="shared" si="135"/>
        <v>2</v>
      </c>
    </row>
    <row r="2108" spans="1:14" x14ac:dyDescent="0.25">
      <c r="A2108" s="3">
        <v>45397</v>
      </c>
      <c r="B2108" s="11" t="s">
        <v>1253</v>
      </c>
      <c r="C2108" t="s">
        <v>4732</v>
      </c>
      <c r="G2108" s="113">
        <v>4000</v>
      </c>
      <c r="H2108" s="113"/>
      <c r="I2108" s="113">
        <f t="shared" si="134"/>
        <v>10176.549999999999</v>
      </c>
      <c r="N2108" s="2">
        <f t="shared" si="135"/>
        <v>16</v>
      </c>
    </row>
    <row r="2109" spans="1:14" x14ac:dyDescent="0.25">
      <c r="A2109" s="3">
        <v>45397</v>
      </c>
      <c r="B2109" s="11" t="s">
        <v>4730</v>
      </c>
      <c r="C2109" t="s">
        <v>4731</v>
      </c>
      <c r="G2109" s="113"/>
      <c r="H2109" s="113">
        <v>3500</v>
      </c>
      <c r="I2109" s="113">
        <f t="shared" si="134"/>
        <v>6676.5499999999993</v>
      </c>
      <c r="N2109" s="2">
        <f t="shared" si="135"/>
        <v>14</v>
      </c>
    </row>
    <row r="2110" spans="1:14" x14ac:dyDescent="0.25">
      <c r="A2110" s="3">
        <v>45398</v>
      </c>
      <c r="B2110" s="11" t="s">
        <v>1253</v>
      </c>
      <c r="C2110" t="s">
        <v>2560</v>
      </c>
      <c r="G2110" s="113">
        <v>3000</v>
      </c>
      <c r="H2110" s="113"/>
      <c r="I2110" s="113">
        <f t="shared" si="134"/>
        <v>9676.5499999999993</v>
      </c>
      <c r="N2110" s="2">
        <f t="shared" si="135"/>
        <v>12</v>
      </c>
    </row>
    <row r="2111" spans="1:14" x14ac:dyDescent="0.25">
      <c r="A2111" s="3">
        <v>45398</v>
      </c>
      <c r="C2111" t="s">
        <v>4733</v>
      </c>
      <c r="G2111" s="113"/>
      <c r="H2111" s="113">
        <v>9000</v>
      </c>
      <c r="I2111" s="113">
        <f t="shared" si="134"/>
        <v>676.54999999999927</v>
      </c>
    </row>
    <row r="2112" spans="1:14" x14ac:dyDescent="0.25">
      <c r="A2112" s="3">
        <v>45399</v>
      </c>
      <c r="B2112" s="11" t="s">
        <v>3587</v>
      </c>
      <c r="C2112" t="s">
        <v>3588</v>
      </c>
      <c r="G2112" s="113">
        <v>1800</v>
      </c>
      <c r="H2112" s="113"/>
      <c r="I2112" s="113">
        <f t="shared" si="134"/>
        <v>2476.5499999999993</v>
      </c>
      <c r="N2112" s="2">
        <f t="shared" si="135"/>
        <v>7.2</v>
      </c>
    </row>
    <row r="2113" spans="1:14" x14ac:dyDescent="0.25">
      <c r="A2113" s="3">
        <v>45399</v>
      </c>
      <c r="B2113" s="11" t="s">
        <v>4734</v>
      </c>
      <c r="C2113" t="s">
        <v>587</v>
      </c>
      <c r="G2113" s="113"/>
      <c r="H2113" s="113">
        <v>50</v>
      </c>
      <c r="I2113" s="113">
        <f t="shared" si="134"/>
        <v>2426.5499999999993</v>
      </c>
      <c r="N2113" s="2">
        <f t="shared" si="135"/>
        <v>0.2</v>
      </c>
    </row>
    <row r="2114" spans="1:14" x14ac:dyDescent="0.25">
      <c r="A2114" s="3">
        <v>45400</v>
      </c>
      <c r="B2114" s="11" t="s">
        <v>1253</v>
      </c>
      <c r="C2114" t="s">
        <v>2408</v>
      </c>
      <c r="G2114" s="113">
        <v>500</v>
      </c>
      <c r="H2114" s="113"/>
      <c r="I2114" s="113">
        <f t="shared" si="134"/>
        <v>2926.5499999999993</v>
      </c>
      <c r="N2114" s="2">
        <f t="shared" si="135"/>
        <v>2</v>
      </c>
    </row>
    <row r="2115" spans="1:14" x14ac:dyDescent="0.25">
      <c r="A2115" s="3">
        <v>45401</v>
      </c>
      <c r="B2115" s="11" t="s">
        <v>1475</v>
      </c>
      <c r="C2115" t="s">
        <v>3553</v>
      </c>
      <c r="G2115" s="113">
        <v>1000</v>
      </c>
      <c r="H2115" s="113"/>
      <c r="I2115" s="113">
        <f t="shared" si="134"/>
        <v>3926.5499999999993</v>
      </c>
      <c r="N2115" s="2">
        <f t="shared" si="135"/>
        <v>4</v>
      </c>
    </row>
    <row r="2116" spans="1:14" x14ac:dyDescent="0.25">
      <c r="A2116" s="3">
        <v>45401</v>
      </c>
      <c r="B2116" s="11" t="s">
        <v>4736</v>
      </c>
      <c r="C2116" t="s">
        <v>4737</v>
      </c>
      <c r="E2116" s="115" t="s">
        <v>16</v>
      </c>
      <c r="G2116" s="113"/>
      <c r="H2116" s="113">
        <v>2000</v>
      </c>
      <c r="I2116" s="113">
        <f t="shared" si="134"/>
        <v>1926.5499999999993</v>
      </c>
      <c r="N2116" s="2">
        <f t="shared" si="135"/>
        <v>33</v>
      </c>
    </row>
    <row r="2117" spans="1:14" x14ac:dyDescent="0.25">
      <c r="A2117" s="3">
        <v>45401</v>
      </c>
      <c r="B2117" s="11" t="s">
        <v>1253</v>
      </c>
      <c r="C2117" t="s">
        <v>2408</v>
      </c>
      <c r="G2117" s="113">
        <v>2350</v>
      </c>
      <c r="H2117" s="113"/>
      <c r="I2117" s="113">
        <f>I2116+G2117-H2117</f>
        <v>4276.5499999999993</v>
      </c>
      <c r="N2117" s="2">
        <f t="shared" si="135"/>
        <v>9.4</v>
      </c>
    </row>
    <row r="2118" spans="1:14" x14ac:dyDescent="0.25">
      <c r="A2118" s="3">
        <v>45401</v>
      </c>
      <c r="B2118" s="11" t="s">
        <v>1475</v>
      </c>
      <c r="C2118" t="s">
        <v>4740</v>
      </c>
      <c r="D2118" s="58">
        <v>9135083068</v>
      </c>
      <c r="G2118" s="113">
        <v>1600</v>
      </c>
      <c r="H2118" s="113"/>
      <c r="I2118" s="113">
        <f>I2117+G2118-H2118</f>
        <v>5876.5499999999993</v>
      </c>
      <c r="N2118" s="2">
        <f t="shared" si="135"/>
        <v>6.4</v>
      </c>
    </row>
    <row r="2119" spans="1:14" x14ac:dyDescent="0.25">
      <c r="A2119" s="3">
        <v>45401</v>
      </c>
      <c r="B2119" s="11" t="s">
        <v>1253</v>
      </c>
      <c r="C2119" t="s">
        <v>3927</v>
      </c>
      <c r="G2119" s="113">
        <v>2000</v>
      </c>
      <c r="H2119" s="113"/>
      <c r="I2119" s="113">
        <f>I2118+G2119-H2119</f>
        <v>7876.5499999999993</v>
      </c>
      <c r="N2119" s="2">
        <f t="shared" si="135"/>
        <v>8</v>
      </c>
    </row>
    <row r="2120" spans="1:14" x14ac:dyDescent="0.25">
      <c r="A2120" s="3">
        <v>45401</v>
      </c>
      <c r="B2120" s="11" t="s">
        <v>3276</v>
      </c>
      <c r="C2120" t="s">
        <v>4741</v>
      </c>
      <c r="G2120" s="113">
        <v>700</v>
      </c>
      <c r="H2120" s="113"/>
      <c r="I2120" s="113">
        <f>I2119+G2120-H2120</f>
        <v>8576.5499999999993</v>
      </c>
      <c r="N2120" s="2">
        <f t="shared" si="135"/>
        <v>2.8000000000000003</v>
      </c>
    </row>
    <row r="2121" spans="1:14" x14ac:dyDescent="0.25">
      <c r="A2121" s="3">
        <v>45402</v>
      </c>
      <c r="B2121" s="11" t="s">
        <v>3460</v>
      </c>
      <c r="C2121" t="s">
        <v>164</v>
      </c>
      <c r="G2121" s="113"/>
      <c r="H2121" s="113">
        <v>2000</v>
      </c>
      <c r="I2121" s="113">
        <f t="shared" ref="I2121:I2136" si="136">I2120+G2121-H2121</f>
        <v>6576.5499999999993</v>
      </c>
      <c r="N2121" s="2">
        <f t="shared" si="135"/>
        <v>8</v>
      </c>
    </row>
    <row r="2122" spans="1:14" x14ac:dyDescent="0.25">
      <c r="A2122" s="3">
        <v>45402</v>
      </c>
      <c r="B2122" s="11" t="s">
        <v>4742</v>
      </c>
      <c r="C2122" t="s">
        <v>2579</v>
      </c>
      <c r="G2122" s="113">
        <v>10000</v>
      </c>
      <c r="H2122" s="113"/>
      <c r="I2122" s="113">
        <f t="shared" si="136"/>
        <v>16576.55</v>
      </c>
      <c r="N2122" s="2">
        <f t="shared" si="135"/>
        <v>20</v>
      </c>
    </row>
    <row r="2123" spans="1:14" x14ac:dyDescent="0.25">
      <c r="A2123" s="3">
        <v>45402</v>
      </c>
      <c r="B2123" s="11" t="s">
        <v>3813</v>
      </c>
      <c r="G2123" s="113"/>
      <c r="H2123" s="113">
        <v>800</v>
      </c>
      <c r="I2123" s="113">
        <f t="shared" si="136"/>
        <v>15776.55</v>
      </c>
      <c r="N2123" s="2">
        <f t="shared" si="135"/>
        <v>3.2</v>
      </c>
    </row>
    <row r="2124" spans="1:14" x14ac:dyDescent="0.25">
      <c r="A2124" s="3">
        <v>45403</v>
      </c>
      <c r="B2124" s="11" t="s">
        <v>1253</v>
      </c>
      <c r="C2124" t="s">
        <v>4758</v>
      </c>
      <c r="D2124" s="58">
        <v>893708640079</v>
      </c>
      <c r="G2124" s="113">
        <v>10000</v>
      </c>
      <c r="I2124" s="113">
        <f t="shared" si="136"/>
        <v>25776.55</v>
      </c>
      <c r="N2124" s="2">
        <f t="shared" si="135"/>
        <v>20</v>
      </c>
    </row>
    <row r="2125" spans="1:14" x14ac:dyDescent="0.25">
      <c r="A2125" s="3">
        <v>45403</v>
      </c>
      <c r="B2125" s="11" t="s">
        <v>1253</v>
      </c>
      <c r="C2125" t="s">
        <v>2408</v>
      </c>
      <c r="G2125" s="113">
        <v>900</v>
      </c>
      <c r="I2125" s="113">
        <f t="shared" si="136"/>
        <v>26676.55</v>
      </c>
      <c r="N2125" s="2">
        <f t="shared" si="135"/>
        <v>3.6</v>
      </c>
    </row>
    <row r="2126" spans="1:14" x14ac:dyDescent="0.25">
      <c r="A2126" s="3">
        <v>45405</v>
      </c>
      <c r="B2126" s="11" t="s">
        <v>4804</v>
      </c>
      <c r="C2126" t="s">
        <v>4805</v>
      </c>
      <c r="E2126" s="115" t="s">
        <v>16</v>
      </c>
      <c r="H2126" s="2">
        <v>200</v>
      </c>
      <c r="I2126" s="113">
        <f t="shared" si="136"/>
        <v>26476.55</v>
      </c>
      <c r="N2126" s="2">
        <f t="shared" si="135"/>
        <v>25.8</v>
      </c>
    </row>
    <row r="2127" spans="1:14" x14ac:dyDescent="0.25">
      <c r="A2127" s="3">
        <v>45405</v>
      </c>
      <c r="B2127" s="11" t="s">
        <v>4810</v>
      </c>
      <c r="C2127" t="s">
        <v>4808</v>
      </c>
      <c r="E2127" s="115" t="s">
        <v>16</v>
      </c>
      <c r="H2127" s="2">
        <v>500</v>
      </c>
      <c r="I2127" s="113">
        <f t="shared" si="136"/>
        <v>25976.55</v>
      </c>
      <c r="N2127" s="2">
        <f t="shared" si="135"/>
        <v>27</v>
      </c>
    </row>
    <row r="2128" spans="1:14" x14ac:dyDescent="0.25">
      <c r="A2128" s="3">
        <v>45405</v>
      </c>
      <c r="B2128" s="11" t="s">
        <v>3276</v>
      </c>
      <c r="C2128" t="s">
        <v>2436</v>
      </c>
      <c r="G2128" s="2">
        <v>500</v>
      </c>
      <c r="I2128" s="113">
        <f t="shared" si="136"/>
        <v>26476.55</v>
      </c>
      <c r="N2128" s="2">
        <f t="shared" si="135"/>
        <v>2</v>
      </c>
    </row>
    <row r="2129" spans="1:15" x14ac:dyDescent="0.25">
      <c r="A2129" s="3">
        <v>45405</v>
      </c>
      <c r="B2129" s="11" t="s">
        <v>2748</v>
      </c>
      <c r="C2129" t="s">
        <v>3503</v>
      </c>
      <c r="H2129" s="2">
        <v>10000</v>
      </c>
      <c r="I2129" s="113">
        <f t="shared" si="136"/>
        <v>16476.55</v>
      </c>
      <c r="N2129" s="2">
        <f t="shared" si="135"/>
        <v>20</v>
      </c>
    </row>
    <row r="2130" spans="1:15" x14ac:dyDescent="0.25">
      <c r="A2130" s="3">
        <v>45405</v>
      </c>
      <c r="B2130" s="11" t="s">
        <v>4816</v>
      </c>
      <c r="C2130" t="s">
        <v>4845</v>
      </c>
      <c r="E2130" s="115" t="s">
        <v>16</v>
      </c>
      <c r="H2130" s="2">
        <v>100</v>
      </c>
      <c r="I2130" s="113">
        <f t="shared" si="136"/>
        <v>16376.55</v>
      </c>
      <c r="N2130" s="2">
        <f t="shared" si="135"/>
        <v>25.4</v>
      </c>
    </row>
    <row r="2131" spans="1:15" x14ac:dyDescent="0.25">
      <c r="A2131" s="3">
        <v>45406</v>
      </c>
      <c r="B2131" s="11" t="s">
        <v>3778</v>
      </c>
      <c r="C2131" t="s">
        <v>4818</v>
      </c>
      <c r="H2131" s="2">
        <v>500</v>
      </c>
      <c r="I2131" s="113">
        <f t="shared" si="136"/>
        <v>15876.55</v>
      </c>
      <c r="N2131" s="2">
        <f t="shared" si="135"/>
        <v>2</v>
      </c>
    </row>
    <row r="2132" spans="1:15" x14ac:dyDescent="0.25">
      <c r="A2132" s="3">
        <v>45406</v>
      </c>
      <c r="B2132" s="11" t="s">
        <v>3859</v>
      </c>
      <c r="C2132" t="s">
        <v>4821</v>
      </c>
      <c r="D2132" s="58">
        <v>731871914</v>
      </c>
      <c r="G2132" s="2">
        <v>3000</v>
      </c>
      <c r="I2132" s="113">
        <f t="shared" si="136"/>
        <v>18876.55</v>
      </c>
      <c r="N2132" s="2">
        <f t="shared" si="135"/>
        <v>12</v>
      </c>
    </row>
    <row r="2133" spans="1:15" x14ac:dyDescent="0.25">
      <c r="A2133" s="3">
        <v>45406</v>
      </c>
      <c r="B2133" s="11" t="s">
        <v>2748</v>
      </c>
      <c r="C2133" t="s">
        <v>1282</v>
      </c>
      <c r="H2133" s="2">
        <v>5000</v>
      </c>
      <c r="I2133" s="113">
        <f t="shared" si="136"/>
        <v>13876.55</v>
      </c>
      <c r="N2133" s="2">
        <f t="shared" si="135"/>
        <v>20</v>
      </c>
    </row>
    <row r="2134" spans="1:15" x14ac:dyDescent="0.25">
      <c r="A2134" s="3">
        <v>45407</v>
      </c>
      <c r="B2134" s="11" t="s">
        <v>2472</v>
      </c>
      <c r="C2134" t="s">
        <v>4155</v>
      </c>
      <c r="H2134" s="2">
        <v>6500</v>
      </c>
      <c r="I2134" s="113">
        <f t="shared" si="136"/>
        <v>7376.5499999999993</v>
      </c>
      <c r="N2134" s="2">
        <f t="shared" si="135"/>
        <v>20</v>
      </c>
    </row>
    <row r="2135" spans="1:15" x14ac:dyDescent="0.25">
      <c r="A2135" s="3">
        <v>45407</v>
      </c>
      <c r="B2135" s="11" t="s">
        <v>4826</v>
      </c>
      <c r="C2135" s="7" t="s">
        <v>4827</v>
      </c>
      <c r="E2135" s="115" t="s">
        <v>16</v>
      </c>
      <c r="H2135" s="2">
        <v>500</v>
      </c>
      <c r="I2135" s="113">
        <f t="shared" si="136"/>
        <v>6876.5499999999993</v>
      </c>
      <c r="N2135" s="2">
        <f t="shared" si="135"/>
        <v>27</v>
      </c>
    </row>
    <row r="2136" spans="1:15" x14ac:dyDescent="0.25">
      <c r="A2136" s="3">
        <v>45408</v>
      </c>
      <c r="B2136" s="11" t="s">
        <v>4839</v>
      </c>
      <c r="C2136" s="59" t="s">
        <v>2230</v>
      </c>
      <c r="D2136" s="83"/>
      <c r="E2136" s="115" t="s">
        <v>16</v>
      </c>
      <c r="H2136" s="2">
        <v>100</v>
      </c>
      <c r="I2136" s="113">
        <f t="shared" si="136"/>
        <v>6776.5499999999993</v>
      </c>
      <c r="N2136" s="2">
        <f t="shared" si="135"/>
        <v>25.4</v>
      </c>
    </row>
    <row r="2137" spans="1:15" x14ac:dyDescent="0.25">
      <c r="A2137" s="3">
        <v>45408</v>
      </c>
      <c r="B2137" s="11" t="s">
        <v>4838</v>
      </c>
      <c r="C2137" s="7" t="s">
        <v>4837</v>
      </c>
      <c r="E2137" s="115" t="s">
        <v>16</v>
      </c>
      <c r="H2137" s="2">
        <v>100</v>
      </c>
      <c r="I2137" s="113">
        <f>I2136+G2137-H2137</f>
        <v>6676.5499999999993</v>
      </c>
      <c r="N2137" s="2">
        <f t="shared" si="135"/>
        <v>25.4</v>
      </c>
    </row>
    <row r="2138" spans="1:15" x14ac:dyDescent="0.25">
      <c r="A2138" s="3">
        <v>45409</v>
      </c>
      <c r="B2138" s="11" t="s">
        <v>4841</v>
      </c>
      <c r="C2138" t="s">
        <v>4842</v>
      </c>
      <c r="G2138" s="2">
        <v>3000</v>
      </c>
      <c r="I2138" s="113">
        <f>I2137+G2138-H2138</f>
        <v>9676.5499999999993</v>
      </c>
      <c r="N2138" s="2">
        <f t="shared" si="135"/>
        <v>12</v>
      </c>
    </row>
    <row r="2139" spans="1:15" x14ac:dyDescent="0.25">
      <c r="A2139" s="3">
        <v>45501</v>
      </c>
      <c r="B2139" s="11" t="s">
        <v>1253</v>
      </c>
      <c r="C2139" t="s">
        <v>2664</v>
      </c>
      <c r="G2139" s="2">
        <v>250</v>
      </c>
      <c r="I2139" s="113">
        <f>I2138+G2139-H2139</f>
        <v>9926.5499999999993</v>
      </c>
      <c r="N2139" s="2">
        <f t="shared" si="135"/>
        <v>1</v>
      </c>
    </row>
    <row r="2140" spans="1:15" x14ac:dyDescent="0.25">
      <c r="A2140" s="3">
        <v>45411</v>
      </c>
      <c r="B2140" s="11" t="s">
        <v>1253</v>
      </c>
      <c r="C2140" t="s">
        <v>2664</v>
      </c>
      <c r="H2140" s="2">
        <v>2900</v>
      </c>
      <c r="I2140" s="113">
        <f>I2139+G2140-H2140</f>
        <v>7026.5499999999993</v>
      </c>
      <c r="N2140" s="2">
        <f>IF((G2140+H2140)&lt;=5000,(H2140+G2140)*0.004,20)+IF(E2140="Y",25,0)</f>
        <v>11.6</v>
      </c>
    </row>
    <row r="2141" spans="1:15" x14ac:dyDescent="0.25">
      <c r="A2141" s="3">
        <v>45411</v>
      </c>
      <c r="B2141" s="11" t="s">
        <v>1253</v>
      </c>
      <c r="C2141" t="s">
        <v>2408</v>
      </c>
      <c r="G2141" s="2">
        <v>1000</v>
      </c>
      <c r="I2141" s="113">
        <f>I2140+G2141-H2141</f>
        <v>8026.5499999999993</v>
      </c>
      <c r="N2141" s="2">
        <f>IF((G2141+H2141)&lt;=5000,(H2141+G2141)*0.004,20)+IF(E2141="Y",25,0)</f>
        <v>4</v>
      </c>
    </row>
    <row r="2142" spans="1:15" x14ac:dyDescent="0.25">
      <c r="A2142" s="97">
        <f>COUNT(A2072:A2141)</f>
        <v>70</v>
      </c>
      <c r="B2142" s="102"/>
      <c r="C2142" s="27"/>
      <c r="D2142" s="139"/>
      <c r="E2142" s="117">
        <f>COUNTIF(E2072:E2141,"Y")</f>
        <v>15</v>
      </c>
      <c r="F2142" s="97">
        <f>G2142+H2142</f>
        <v>180950</v>
      </c>
      <c r="G2142" s="107">
        <f>SUM(G2072:G2141)</f>
        <v>89450</v>
      </c>
      <c r="H2142" s="107">
        <f>SUM(H2072:H2141)</f>
        <v>91500</v>
      </c>
      <c r="I2142" s="107"/>
      <c r="J2142" s="102"/>
      <c r="K2142" s="102"/>
      <c r="L2142" s="102"/>
      <c r="M2142" s="102"/>
      <c r="N2142" s="102">
        <f>SUM(N2072:N2141)</f>
        <v>946.8</v>
      </c>
      <c r="O2142" s="97"/>
    </row>
    <row r="2144" spans="1:15" x14ac:dyDescent="0.25">
      <c r="A2144" s="3">
        <v>45413</v>
      </c>
      <c r="C2144" t="s">
        <v>2870</v>
      </c>
      <c r="G2144" s="2">
        <v>8026.55</v>
      </c>
      <c r="I2144" s="113">
        <f t="shared" ref="I2144:I2234" si="137">I2143+G2144-H2144</f>
        <v>8026.55</v>
      </c>
    </row>
    <row r="2145" spans="1:14" x14ac:dyDescent="0.25">
      <c r="A2145" s="3">
        <v>45413</v>
      </c>
      <c r="B2145" s="11" t="s">
        <v>1253</v>
      </c>
      <c r="C2145" t="s">
        <v>2759</v>
      </c>
      <c r="G2145" s="114" t="s">
        <v>4855</v>
      </c>
      <c r="I2145" s="113">
        <f t="shared" si="137"/>
        <v>18026.55</v>
      </c>
      <c r="N2145" s="2">
        <f t="shared" ref="N2145:N2234" si="138">IF((G2145+H2145)&lt;=5000,(H2145+G2145)*0.004,20)+IF(E2145="Y",25,0)</f>
        <v>20</v>
      </c>
    </row>
    <row r="2146" spans="1:14" x14ac:dyDescent="0.25">
      <c r="A2146" s="3">
        <v>45413</v>
      </c>
      <c r="B2146" s="11" t="s">
        <v>2472</v>
      </c>
      <c r="C2146" t="s">
        <v>2295</v>
      </c>
      <c r="G2146" s="114"/>
      <c r="H2146" s="2">
        <v>5000</v>
      </c>
      <c r="I2146" s="113">
        <f t="shared" si="137"/>
        <v>13026.55</v>
      </c>
      <c r="N2146" s="2">
        <f t="shared" si="138"/>
        <v>20</v>
      </c>
    </row>
    <row r="2147" spans="1:14" x14ac:dyDescent="0.25">
      <c r="A2147" s="3">
        <v>45413</v>
      </c>
      <c r="B2147" s="11" t="s">
        <v>4866</v>
      </c>
      <c r="G2147" s="114" t="s">
        <v>4867</v>
      </c>
      <c r="I2147" s="113">
        <f t="shared" si="137"/>
        <v>19626.55</v>
      </c>
      <c r="N2147" s="2">
        <f t="shared" si="138"/>
        <v>20</v>
      </c>
    </row>
    <row r="2148" spans="1:14" x14ac:dyDescent="0.25">
      <c r="A2148" s="3">
        <v>45413</v>
      </c>
      <c r="B2148" s="11" t="s">
        <v>1163</v>
      </c>
      <c r="G2148" s="114" t="s">
        <v>4865</v>
      </c>
      <c r="I2148" s="113">
        <f t="shared" si="137"/>
        <v>23126.55</v>
      </c>
      <c r="N2148" s="2">
        <f t="shared" si="138"/>
        <v>14</v>
      </c>
    </row>
    <row r="2149" spans="1:14" x14ac:dyDescent="0.25">
      <c r="A2149" s="3">
        <v>45384</v>
      </c>
      <c r="B2149" s="11" t="s">
        <v>1253</v>
      </c>
      <c r="G2149" s="114" t="s">
        <v>4868</v>
      </c>
      <c r="I2149" s="113">
        <f t="shared" si="137"/>
        <v>25326.55</v>
      </c>
      <c r="N2149" s="2">
        <f t="shared" si="138"/>
        <v>8.8000000000000007</v>
      </c>
    </row>
    <row r="2150" spans="1:14" x14ac:dyDescent="0.25">
      <c r="A2150" s="3">
        <v>45384</v>
      </c>
      <c r="B2150" s="11" t="s">
        <v>2748</v>
      </c>
      <c r="C2150" t="s">
        <v>1282</v>
      </c>
      <c r="G2150" s="114"/>
      <c r="H2150" s="2">
        <v>5000</v>
      </c>
      <c r="I2150" s="113">
        <f t="shared" si="137"/>
        <v>20326.55</v>
      </c>
      <c r="N2150" s="2">
        <f t="shared" si="138"/>
        <v>20</v>
      </c>
    </row>
    <row r="2151" spans="1:14" x14ac:dyDescent="0.25">
      <c r="A2151" s="3">
        <v>45384</v>
      </c>
      <c r="B2151" s="11" t="s">
        <v>3835</v>
      </c>
      <c r="C2151" t="s">
        <v>3921</v>
      </c>
      <c r="G2151" s="114"/>
      <c r="H2151" s="2">
        <v>1500</v>
      </c>
      <c r="I2151" s="113">
        <f t="shared" si="137"/>
        <v>18826.55</v>
      </c>
      <c r="N2151" s="2">
        <f t="shared" si="138"/>
        <v>6</v>
      </c>
    </row>
    <row r="2152" spans="1:14" x14ac:dyDescent="0.25">
      <c r="A2152" s="3">
        <v>45415</v>
      </c>
      <c r="B2152" s="11" t="s">
        <v>1253</v>
      </c>
      <c r="C2152" t="s">
        <v>4871</v>
      </c>
      <c r="G2152" s="114" t="s">
        <v>4870</v>
      </c>
      <c r="I2152" s="113">
        <f t="shared" si="137"/>
        <v>19826.55</v>
      </c>
      <c r="N2152" s="2">
        <f t="shared" si="138"/>
        <v>4</v>
      </c>
    </row>
    <row r="2153" spans="1:14" x14ac:dyDescent="0.25">
      <c r="A2153" s="3">
        <v>45415</v>
      </c>
      <c r="B2153" s="11" t="s">
        <v>4742</v>
      </c>
      <c r="C2153" t="s">
        <v>2579</v>
      </c>
      <c r="G2153" s="114" t="s">
        <v>4876</v>
      </c>
      <c r="I2153" s="113">
        <f t="shared" si="137"/>
        <v>29826.55</v>
      </c>
      <c r="N2153" s="2">
        <f t="shared" si="138"/>
        <v>20</v>
      </c>
    </row>
    <row r="2154" spans="1:14" x14ac:dyDescent="0.25">
      <c r="A2154" s="3">
        <v>45415</v>
      </c>
      <c r="B2154" s="11" t="s">
        <v>3960</v>
      </c>
      <c r="C2154" t="s">
        <v>4875</v>
      </c>
      <c r="G2154" s="114"/>
      <c r="H2154" s="2">
        <v>2100</v>
      </c>
      <c r="I2154" s="113">
        <f t="shared" si="137"/>
        <v>27726.55</v>
      </c>
      <c r="N2154" s="2">
        <f t="shared" si="138"/>
        <v>8.4</v>
      </c>
    </row>
    <row r="2155" spans="1:14" x14ac:dyDescent="0.25">
      <c r="A2155" s="3">
        <v>45415</v>
      </c>
      <c r="B2155" s="11" t="s">
        <v>1253</v>
      </c>
      <c r="C2155" t="s">
        <v>2467</v>
      </c>
      <c r="G2155" s="114" t="s">
        <v>4874</v>
      </c>
      <c r="I2155" s="113">
        <f t="shared" si="137"/>
        <v>29426.55</v>
      </c>
      <c r="N2155" s="2">
        <f t="shared" si="138"/>
        <v>6.8</v>
      </c>
    </row>
    <row r="2156" spans="1:14" x14ac:dyDescent="0.25">
      <c r="A2156" s="3">
        <v>45415</v>
      </c>
      <c r="B2156" s="11" t="s">
        <v>4877</v>
      </c>
      <c r="C2156" t="s">
        <v>4878</v>
      </c>
      <c r="E2156" s="115" t="s">
        <v>16</v>
      </c>
      <c r="G2156" s="114"/>
      <c r="H2156" s="2">
        <v>200</v>
      </c>
      <c r="I2156" s="113">
        <f t="shared" si="137"/>
        <v>29226.55</v>
      </c>
      <c r="N2156" s="2">
        <f t="shared" si="138"/>
        <v>25.8</v>
      </c>
    </row>
    <row r="2157" spans="1:14" x14ac:dyDescent="0.25">
      <c r="A2157" s="3">
        <v>45416</v>
      </c>
      <c r="B2157" s="11" t="s">
        <v>4204</v>
      </c>
      <c r="C2157" t="s">
        <v>4881</v>
      </c>
      <c r="G2157" s="114"/>
      <c r="H2157" s="2">
        <v>5900</v>
      </c>
      <c r="I2157" s="113">
        <f t="shared" si="137"/>
        <v>23326.55</v>
      </c>
      <c r="N2157" s="2">
        <f t="shared" si="138"/>
        <v>20</v>
      </c>
    </row>
    <row r="2158" spans="1:14" x14ac:dyDescent="0.25">
      <c r="A2158" s="3">
        <v>45416</v>
      </c>
      <c r="B2158" s="11" t="s">
        <v>4154</v>
      </c>
      <c r="C2158" t="s">
        <v>2467</v>
      </c>
      <c r="G2158" s="114" t="s">
        <v>4885</v>
      </c>
      <c r="I2158" s="113">
        <f t="shared" si="137"/>
        <v>25126.55</v>
      </c>
      <c r="N2158" s="2">
        <f t="shared" si="138"/>
        <v>7.2</v>
      </c>
    </row>
    <row r="2159" spans="1:14" x14ac:dyDescent="0.25">
      <c r="A2159" s="3">
        <v>45416</v>
      </c>
      <c r="B2159" s="11" t="s">
        <v>2748</v>
      </c>
      <c r="C2159" t="s">
        <v>4888</v>
      </c>
      <c r="G2159" s="114"/>
      <c r="H2159" s="2">
        <v>5000</v>
      </c>
      <c r="I2159" s="113">
        <f t="shared" si="137"/>
        <v>20126.55</v>
      </c>
      <c r="N2159" s="2">
        <f t="shared" si="138"/>
        <v>20</v>
      </c>
    </row>
    <row r="2160" spans="1:14" x14ac:dyDescent="0.25">
      <c r="A2160" s="3">
        <v>45416</v>
      </c>
      <c r="B2160" s="11" t="s">
        <v>1253</v>
      </c>
      <c r="C2160" t="s">
        <v>2759</v>
      </c>
      <c r="G2160" s="114" t="s">
        <v>4887</v>
      </c>
      <c r="I2160" s="113">
        <f t="shared" si="137"/>
        <v>24126.55</v>
      </c>
      <c r="N2160" s="2">
        <f t="shared" si="138"/>
        <v>16</v>
      </c>
    </row>
    <row r="2161" spans="1:14" x14ac:dyDescent="0.25">
      <c r="A2161" s="3">
        <v>45417</v>
      </c>
      <c r="B2161" s="11" t="s">
        <v>4332</v>
      </c>
      <c r="G2161" s="114" t="s">
        <v>4889</v>
      </c>
      <c r="I2161" s="113">
        <f t="shared" si="137"/>
        <v>29126.55</v>
      </c>
      <c r="N2161" s="2">
        <f t="shared" si="138"/>
        <v>20</v>
      </c>
    </row>
    <row r="2162" spans="1:14" x14ac:dyDescent="0.25">
      <c r="A2162" s="3">
        <v>45417</v>
      </c>
      <c r="C2162" t="s">
        <v>3696</v>
      </c>
      <c r="G2162" s="114"/>
      <c r="H2162" s="2">
        <v>1150</v>
      </c>
      <c r="I2162" s="113">
        <f t="shared" si="137"/>
        <v>27976.55</v>
      </c>
      <c r="N2162" s="2">
        <f t="shared" si="138"/>
        <v>4.6000000000000005</v>
      </c>
    </row>
    <row r="2163" spans="1:14" x14ac:dyDescent="0.25">
      <c r="A2163" s="3">
        <v>45417</v>
      </c>
      <c r="B2163" s="11" t="s">
        <v>4138</v>
      </c>
      <c r="C2163" t="s">
        <v>4139</v>
      </c>
      <c r="G2163" s="114" t="s">
        <v>4890</v>
      </c>
      <c r="I2163" s="113">
        <f t="shared" si="137"/>
        <v>33476.550000000003</v>
      </c>
      <c r="N2163" s="2">
        <f>IF((G2163+H2167)&lt;=5000,(H2167+G2163)*0.004,20)+IF(E2163="Y",25,0)</f>
        <v>20</v>
      </c>
    </row>
    <row r="2164" spans="1:14" x14ac:dyDescent="0.25">
      <c r="A2164" s="3">
        <v>45417</v>
      </c>
      <c r="B2164" s="11" t="s">
        <v>2721</v>
      </c>
      <c r="C2164" t="s">
        <v>4892</v>
      </c>
      <c r="G2164" s="114"/>
      <c r="H2164" s="2">
        <v>10000</v>
      </c>
      <c r="I2164" s="113">
        <f t="shared" si="137"/>
        <v>23476.550000000003</v>
      </c>
      <c r="N2164" s="2">
        <f t="shared" si="138"/>
        <v>20</v>
      </c>
    </row>
    <row r="2165" spans="1:14" x14ac:dyDescent="0.25">
      <c r="A2165" s="3">
        <v>45418</v>
      </c>
      <c r="B2165" s="11" t="s">
        <v>4708</v>
      </c>
      <c r="C2165" t="s">
        <v>4893</v>
      </c>
      <c r="G2165" s="114"/>
      <c r="H2165" s="2">
        <v>500</v>
      </c>
      <c r="I2165" s="113">
        <f t="shared" si="137"/>
        <v>22976.550000000003</v>
      </c>
      <c r="N2165" s="2">
        <f t="shared" si="138"/>
        <v>2</v>
      </c>
    </row>
    <row r="2166" spans="1:14" x14ac:dyDescent="0.25">
      <c r="A2166" s="3">
        <v>45419</v>
      </c>
      <c r="B2166" s="11" t="s">
        <v>4901</v>
      </c>
      <c r="G2166" s="114"/>
      <c r="H2166" s="2">
        <v>2000</v>
      </c>
      <c r="I2166" s="113">
        <f t="shared" si="137"/>
        <v>20976.550000000003</v>
      </c>
      <c r="N2166" s="2">
        <f t="shared" si="138"/>
        <v>8</v>
      </c>
    </row>
    <row r="2167" spans="1:14" x14ac:dyDescent="0.25">
      <c r="A2167" s="3">
        <v>45420</v>
      </c>
      <c r="C2167" t="s">
        <v>2759</v>
      </c>
      <c r="G2167" s="114" t="s">
        <v>4870</v>
      </c>
      <c r="I2167" s="113">
        <f t="shared" si="137"/>
        <v>21976.550000000003</v>
      </c>
      <c r="N2167" s="2">
        <f t="shared" si="138"/>
        <v>4</v>
      </c>
    </row>
    <row r="2168" spans="1:14" x14ac:dyDescent="0.25">
      <c r="A2168" s="3">
        <v>45420</v>
      </c>
      <c r="B2168" s="11" t="s">
        <v>4902</v>
      </c>
      <c r="C2168" t="s">
        <v>1253</v>
      </c>
      <c r="G2168" s="114"/>
      <c r="H2168" s="2">
        <v>5500</v>
      </c>
      <c r="I2168" s="113">
        <f t="shared" si="137"/>
        <v>16476.550000000003</v>
      </c>
      <c r="N2168" s="2">
        <f t="shared" si="138"/>
        <v>20</v>
      </c>
    </row>
    <row r="2169" spans="1:14" x14ac:dyDescent="0.25">
      <c r="A2169" s="3">
        <v>45420</v>
      </c>
      <c r="B2169" s="11" t="s">
        <v>4898</v>
      </c>
      <c r="C2169" t="s">
        <v>4899</v>
      </c>
      <c r="E2169" s="115" t="s">
        <v>16</v>
      </c>
      <c r="G2169" s="114"/>
      <c r="H2169" s="2">
        <v>200</v>
      </c>
      <c r="I2169" s="113">
        <f t="shared" si="137"/>
        <v>16276.550000000003</v>
      </c>
      <c r="N2169" s="2">
        <f t="shared" si="138"/>
        <v>25.8</v>
      </c>
    </row>
    <row r="2170" spans="1:14" x14ac:dyDescent="0.25">
      <c r="A2170" s="3">
        <v>45420</v>
      </c>
      <c r="C2170" t="s">
        <v>3696</v>
      </c>
      <c r="G2170" s="114"/>
      <c r="H2170" s="2">
        <v>12000</v>
      </c>
      <c r="I2170" s="113">
        <f t="shared" si="137"/>
        <v>4276.5500000000029</v>
      </c>
      <c r="N2170" s="2">
        <f t="shared" si="138"/>
        <v>20</v>
      </c>
    </row>
    <row r="2171" spans="1:14" x14ac:dyDescent="0.25">
      <c r="A2171" s="3">
        <v>45421</v>
      </c>
      <c r="B2171" s="11" t="s">
        <v>1163</v>
      </c>
      <c r="G2171" s="114" t="s">
        <v>4903</v>
      </c>
      <c r="I2171" s="113">
        <f t="shared" si="137"/>
        <v>6276.5500000000029</v>
      </c>
      <c r="N2171" s="2">
        <f t="shared" si="138"/>
        <v>8</v>
      </c>
    </row>
    <row r="2172" spans="1:14" x14ac:dyDescent="0.25">
      <c r="A2172" s="3">
        <v>45421</v>
      </c>
      <c r="B2172" s="11" t="s">
        <v>1253</v>
      </c>
      <c r="C2172" t="s">
        <v>3891</v>
      </c>
      <c r="G2172" s="114" t="s">
        <v>4906</v>
      </c>
      <c r="I2172" s="113">
        <f t="shared" si="137"/>
        <v>12276.550000000003</v>
      </c>
      <c r="N2172" s="2">
        <f t="shared" si="138"/>
        <v>20</v>
      </c>
    </row>
    <row r="2173" spans="1:14" x14ac:dyDescent="0.25">
      <c r="A2173" s="3">
        <v>45421</v>
      </c>
      <c r="B2173" s="11" t="s">
        <v>1253</v>
      </c>
      <c r="C2173" t="s">
        <v>4907</v>
      </c>
      <c r="G2173" s="114"/>
      <c r="H2173" s="2">
        <v>6000</v>
      </c>
      <c r="I2173" s="113">
        <f t="shared" si="137"/>
        <v>6276.5500000000029</v>
      </c>
      <c r="N2173" s="2">
        <f t="shared" si="138"/>
        <v>20</v>
      </c>
    </row>
    <row r="2174" spans="1:14" s="35" customFormat="1" x14ac:dyDescent="0.25">
      <c r="A2174" s="3">
        <v>45421</v>
      </c>
      <c r="B2174" s="11">
        <v>1818</v>
      </c>
      <c r="C2174" s="35" t="s">
        <v>2361</v>
      </c>
      <c r="D2174" s="131"/>
      <c r="E2174" s="119"/>
      <c r="G2174" s="114"/>
      <c r="H2174" s="35">
        <v>4800</v>
      </c>
      <c r="I2174" s="113">
        <f t="shared" si="137"/>
        <v>1476.5500000000029</v>
      </c>
      <c r="N2174" s="2">
        <f t="shared" si="138"/>
        <v>19.2</v>
      </c>
    </row>
    <row r="2175" spans="1:14" s="35" customFormat="1" x14ac:dyDescent="0.25">
      <c r="A2175" s="3">
        <v>45421</v>
      </c>
      <c r="B2175" s="37" t="s">
        <v>3276</v>
      </c>
      <c r="C2175" s="35" t="s">
        <v>4909</v>
      </c>
      <c r="D2175" s="131">
        <v>8797023406</v>
      </c>
      <c r="E2175" s="119"/>
      <c r="G2175" s="35">
        <v>10000</v>
      </c>
      <c r="I2175" s="113">
        <f t="shared" si="137"/>
        <v>11476.550000000003</v>
      </c>
      <c r="N2175" s="2">
        <f t="shared" si="138"/>
        <v>20</v>
      </c>
    </row>
    <row r="2176" spans="1:14" s="35" customFormat="1" x14ac:dyDescent="0.25">
      <c r="A2176" s="3">
        <v>45421</v>
      </c>
      <c r="B2176" s="37"/>
      <c r="C2176" s="35" t="s">
        <v>3696</v>
      </c>
      <c r="D2176" s="131"/>
      <c r="E2176" s="119"/>
      <c r="H2176" s="35">
        <v>850</v>
      </c>
      <c r="I2176" s="113">
        <f t="shared" si="137"/>
        <v>10626.550000000003</v>
      </c>
      <c r="N2176" s="2">
        <f t="shared" si="138"/>
        <v>3.4</v>
      </c>
    </row>
    <row r="2177" spans="1:14" s="35" customFormat="1" x14ac:dyDescent="0.25">
      <c r="A2177" s="3">
        <v>45422</v>
      </c>
      <c r="B2177" s="37" t="s">
        <v>4915</v>
      </c>
      <c r="C2177" s="35" t="s">
        <v>4916</v>
      </c>
      <c r="D2177" s="131">
        <v>9576592487</v>
      </c>
      <c r="E2177" s="119"/>
      <c r="G2177" s="35">
        <v>5500</v>
      </c>
      <c r="I2177" s="113">
        <f t="shared" si="137"/>
        <v>16126.550000000003</v>
      </c>
      <c r="N2177" s="2">
        <f t="shared" si="138"/>
        <v>20</v>
      </c>
    </row>
    <row r="2178" spans="1:14" s="35" customFormat="1" x14ac:dyDescent="0.25">
      <c r="A2178" s="3">
        <v>45422</v>
      </c>
      <c r="B2178" s="37">
        <v>4164</v>
      </c>
      <c r="C2178" s="35" t="s">
        <v>2295</v>
      </c>
      <c r="D2178" s="131"/>
      <c r="E2178" s="119"/>
      <c r="H2178" s="35">
        <v>5000</v>
      </c>
      <c r="I2178" s="113">
        <f t="shared" si="137"/>
        <v>11126.550000000003</v>
      </c>
      <c r="N2178" s="2">
        <f t="shared" si="138"/>
        <v>20</v>
      </c>
    </row>
    <row r="2179" spans="1:14" s="35" customFormat="1" x14ac:dyDescent="0.25">
      <c r="A2179" s="3">
        <v>45422</v>
      </c>
      <c r="B2179" s="37">
        <v>1818</v>
      </c>
      <c r="C2179" s="35" t="s">
        <v>2361</v>
      </c>
      <c r="D2179" s="131"/>
      <c r="E2179" s="119"/>
      <c r="H2179" s="35">
        <v>1000</v>
      </c>
      <c r="I2179" s="113">
        <f t="shared" si="137"/>
        <v>10126.550000000003</v>
      </c>
      <c r="N2179" s="2">
        <f t="shared" si="138"/>
        <v>4</v>
      </c>
    </row>
    <row r="2180" spans="1:14" s="35" customFormat="1" x14ac:dyDescent="0.25">
      <c r="A2180" s="3">
        <v>45425</v>
      </c>
      <c r="B2180" s="37" t="s">
        <v>1253</v>
      </c>
      <c r="C2180" s="35" t="s">
        <v>179</v>
      </c>
      <c r="D2180" s="131">
        <v>9905899211</v>
      </c>
      <c r="E2180" s="119"/>
      <c r="G2180" s="35">
        <v>10000</v>
      </c>
      <c r="I2180" s="113">
        <f t="shared" si="137"/>
        <v>20126.550000000003</v>
      </c>
      <c r="N2180" s="2">
        <f t="shared" si="138"/>
        <v>20</v>
      </c>
    </row>
    <row r="2181" spans="1:14" s="35" customFormat="1" x14ac:dyDescent="0.25">
      <c r="A2181" s="3">
        <v>45425</v>
      </c>
      <c r="B2181" s="37">
        <v>5402</v>
      </c>
      <c r="C2181" s="35" t="s">
        <v>4929</v>
      </c>
      <c r="D2181" s="131"/>
      <c r="E2181" s="119" t="s">
        <v>16</v>
      </c>
      <c r="H2181" s="35">
        <v>500</v>
      </c>
      <c r="I2181" s="113">
        <f t="shared" si="137"/>
        <v>19626.550000000003</v>
      </c>
      <c r="N2181" s="2">
        <f t="shared" si="138"/>
        <v>27</v>
      </c>
    </row>
    <row r="2182" spans="1:14" s="35" customFormat="1" x14ac:dyDescent="0.25">
      <c r="A2182" s="3">
        <v>45425</v>
      </c>
      <c r="B2182" s="37">
        <v>5403</v>
      </c>
      <c r="C2182" s="35" t="s">
        <v>3745</v>
      </c>
      <c r="D2182" s="131"/>
      <c r="E2182" s="119" t="s">
        <v>16</v>
      </c>
      <c r="H2182" s="35">
        <v>500</v>
      </c>
      <c r="I2182" s="113">
        <f t="shared" si="137"/>
        <v>19126.550000000003</v>
      </c>
      <c r="N2182" s="2">
        <f t="shared" si="138"/>
        <v>27</v>
      </c>
    </row>
    <row r="2183" spans="1:14" s="35" customFormat="1" x14ac:dyDescent="0.25">
      <c r="A2183" s="3">
        <v>45426</v>
      </c>
      <c r="B2183" s="37">
        <v>5403</v>
      </c>
      <c r="C2183" s="7" t="s">
        <v>4923</v>
      </c>
      <c r="D2183" s="131"/>
      <c r="E2183" s="119" t="s">
        <v>16</v>
      </c>
      <c r="H2183" s="35">
        <v>500</v>
      </c>
      <c r="I2183" s="113">
        <f t="shared" si="137"/>
        <v>18626.550000000003</v>
      </c>
      <c r="N2183" s="2">
        <f t="shared" si="138"/>
        <v>27</v>
      </c>
    </row>
    <row r="2184" spans="1:14" s="35" customFormat="1" x14ac:dyDescent="0.25">
      <c r="A2184" s="3">
        <v>45426</v>
      </c>
      <c r="B2184" s="37">
        <v>5403</v>
      </c>
      <c r="C2184" s="7" t="s">
        <v>4938</v>
      </c>
      <c r="D2184" s="131"/>
      <c r="E2184" s="119" t="s">
        <v>16</v>
      </c>
      <c r="H2184" s="35">
        <v>500</v>
      </c>
      <c r="I2184" s="113">
        <f t="shared" si="137"/>
        <v>18126.550000000003</v>
      </c>
      <c r="N2184" s="2">
        <f t="shared" si="138"/>
        <v>27</v>
      </c>
    </row>
    <row r="2185" spans="1:14" s="35" customFormat="1" x14ac:dyDescent="0.25">
      <c r="A2185" s="49">
        <v>45427</v>
      </c>
      <c r="B2185" s="37">
        <v>4164</v>
      </c>
      <c r="C2185" s="35" t="s">
        <v>4928</v>
      </c>
      <c r="D2185" s="131"/>
      <c r="E2185" s="119"/>
      <c r="H2185" s="35">
        <v>4000</v>
      </c>
      <c r="I2185" s="113">
        <f t="shared" si="137"/>
        <v>14126.550000000003</v>
      </c>
      <c r="N2185" s="2">
        <f t="shared" si="138"/>
        <v>16</v>
      </c>
    </row>
    <row r="2186" spans="1:14" s="35" customFormat="1" x14ac:dyDescent="0.25">
      <c r="A2186" s="49">
        <v>45427</v>
      </c>
      <c r="B2186" s="37">
        <v>5406</v>
      </c>
      <c r="D2186" s="131"/>
      <c r="E2186" s="119" t="s">
        <v>16</v>
      </c>
      <c r="H2186" s="35">
        <v>100</v>
      </c>
      <c r="I2186" s="113">
        <f t="shared" si="137"/>
        <v>14026.550000000003</v>
      </c>
      <c r="N2186" s="2">
        <f t="shared" si="138"/>
        <v>25.4</v>
      </c>
    </row>
    <row r="2187" spans="1:14" s="35" customFormat="1" x14ac:dyDescent="0.25">
      <c r="A2187" s="49">
        <v>45427</v>
      </c>
      <c r="B2187" s="37">
        <v>5376</v>
      </c>
      <c r="C2187" s="35" t="s">
        <v>4893</v>
      </c>
      <c r="D2187" s="131"/>
      <c r="E2187" s="119"/>
      <c r="H2187" s="35">
        <v>1000</v>
      </c>
      <c r="I2187" s="113">
        <f t="shared" si="137"/>
        <v>13026.550000000003</v>
      </c>
      <c r="N2187" s="2">
        <f t="shared" si="138"/>
        <v>4</v>
      </c>
    </row>
    <row r="2188" spans="1:14" s="35" customFormat="1" x14ac:dyDescent="0.25">
      <c r="A2188" s="3">
        <v>45427</v>
      </c>
      <c r="B2188" s="11" t="s">
        <v>4089</v>
      </c>
      <c r="C2188" s="7" t="s">
        <v>52</v>
      </c>
      <c r="D2188" s="131"/>
      <c r="E2188" s="119" t="s">
        <v>16</v>
      </c>
      <c r="H2188" s="35">
        <v>500</v>
      </c>
      <c r="I2188" s="113">
        <f t="shared" si="137"/>
        <v>12526.550000000003</v>
      </c>
      <c r="N2188" s="2">
        <f t="shared" si="138"/>
        <v>27</v>
      </c>
    </row>
    <row r="2189" spans="1:14" s="35" customFormat="1" x14ac:dyDescent="0.25">
      <c r="A2189" s="3">
        <v>45427</v>
      </c>
      <c r="B2189" s="37">
        <v>2528</v>
      </c>
      <c r="C2189" s="35" t="s">
        <v>2603</v>
      </c>
      <c r="D2189" s="131"/>
      <c r="E2189" s="119"/>
      <c r="H2189" s="35">
        <v>2000</v>
      </c>
      <c r="I2189" s="113">
        <f t="shared" si="137"/>
        <v>10526.550000000003</v>
      </c>
      <c r="N2189" s="2">
        <f t="shared" si="138"/>
        <v>8</v>
      </c>
    </row>
    <row r="2190" spans="1:14" s="35" customFormat="1" x14ac:dyDescent="0.25">
      <c r="A2190" s="49">
        <v>45428</v>
      </c>
      <c r="B2190" s="37" t="s">
        <v>1253</v>
      </c>
      <c r="C2190" s="35" t="s">
        <v>4949</v>
      </c>
      <c r="D2190" s="131"/>
      <c r="E2190" s="119"/>
      <c r="G2190" s="35">
        <v>1800</v>
      </c>
      <c r="I2190" s="113">
        <f t="shared" si="137"/>
        <v>12326.550000000003</v>
      </c>
      <c r="N2190" s="2">
        <f t="shared" si="138"/>
        <v>7.2</v>
      </c>
    </row>
    <row r="2191" spans="1:14" s="35" customFormat="1" x14ac:dyDescent="0.25">
      <c r="A2191" s="49">
        <v>45428</v>
      </c>
      <c r="B2191" s="37"/>
      <c r="D2191" s="131"/>
      <c r="E2191" s="119"/>
      <c r="H2191" s="35">
        <v>1000</v>
      </c>
      <c r="I2191" s="113">
        <f t="shared" si="137"/>
        <v>11326.550000000003</v>
      </c>
      <c r="N2191" s="2">
        <f t="shared" si="138"/>
        <v>4</v>
      </c>
    </row>
    <row r="2192" spans="1:14" s="35" customFormat="1" x14ac:dyDescent="0.25">
      <c r="A2192" s="49">
        <v>45428</v>
      </c>
      <c r="B2192" s="37"/>
      <c r="C2192" s="35" t="s">
        <v>3696</v>
      </c>
      <c r="D2192" s="131"/>
      <c r="E2192" s="119"/>
      <c r="H2192" s="35">
        <v>1100</v>
      </c>
      <c r="I2192" s="113">
        <f t="shared" si="137"/>
        <v>10226.550000000003</v>
      </c>
      <c r="N2192" s="2">
        <f t="shared" si="138"/>
        <v>4.4000000000000004</v>
      </c>
    </row>
    <row r="2193" spans="1:14" s="35" customFormat="1" x14ac:dyDescent="0.25">
      <c r="A2193" s="49">
        <v>45428</v>
      </c>
      <c r="B2193" s="37"/>
      <c r="C2193" s="35" t="s">
        <v>4950</v>
      </c>
      <c r="D2193" s="131"/>
      <c r="E2193" s="119"/>
      <c r="H2193" s="35">
        <v>3000</v>
      </c>
      <c r="I2193" s="113">
        <f t="shared" si="137"/>
        <v>7226.5500000000029</v>
      </c>
      <c r="N2193" s="2">
        <f t="shared" si="138"/>
        <v>12</v>
      </c>
    </row>
    <row r="2194" spans="1:14" s="35" customFormat="1" x14ac:dyDescent="0.25">
      <c r="A2194" s="49">
        <v>45428</v>
      </c>
      <c r="B2194" s="37"/>
      <c r="C2194" s="35" t="s">
        <v>2467</v>
      </c>
      <c r="D2194" s="131"/>
      <c r="E2194" s="119"/>
      <c r="G2194" s="35">
        <v>4250</v>
      </c>
      <c r="I2194" s="113">
        <f t="shared" si="137"/>
        <v>11476.550000000003</v>
      </c>
      <c r="N2194" s="2">
        <f t="shared" si="138"/>
        <v>17</v>
      </c>
    </row>
    <row r="2195" spans="1:14" s="35" customFormat="1" x14ac:dyDescent="0.25">
      <c r="A2195" s="49">
        <v>45428</v>
      </c>
      <c r="B2195" s="37">
        <v>5405</v>
      </c>
      <c r="D2195" s="131"/>
      <c r="E2195" s="119"/>
      <c r="H2195" s="35">
        <v>1000</v>
      </c>
      <c r="I2195" s="113">
        <f t="shared" si="137"/>
        <v>10476.550000000003</v>
      </c>
      <c r="N2195" s="2">
        <f t="shared" si="138"/>
        <v>4</v>
      </c>
    </row>
    <row r="2196" spans="1:14" s="35" customFormat="1" x14ac:dyDescent="0.25">
      <c r="A2196" s="49">
        <v>45428</v>
      </c>
      <c r="B2196" s="37">
        <v>4810</v>
      </c>
      <c r="C2196" s="35" t="s">
        <v>3967</v>
      </c>
      <c r="D2196" s="131"/>
      <c r="E2196" s="119"/>
      <c r="G2196" s="35">
        <v>6000</v>
      </c>
      <c r="I2196" s="113">
        <f t="shared" si="137"/>
        <v>16476.550000000003</v>
      </c>
      <c r="N2196" s="2">
        <f t="shared" si="138"/>
        <v>20</v>
      </c>
    </row>
    <row r="2197" spans="1:14" s="35" customFormat="1" x14ac:dyDescent="0.25">
      <c r="A2197" s="49">
        <v>45429</v>
      </c>
      <c r="B2197" s="37"/>
      <c r="D2197" s="131"/>
      <c r="E2197" s="119"/>
      <c r="H2197" s="35">
        <v>5000</v>
      </c>
      <c r="I2197" s="113">
        <f t="shared" si="137"/>
        <v>11476.550000000003</v>
      </c>
      <c r="N2197" s="2">
        <f t="shared" si="138"/>
        <v>20</v>
      </c>
    </row>
    <row r="2198" spans="1:14" s="35" customFormat="1" x14ac:dyDescent="0.25">
      <c r="A2198" s="49">
        <v>45521</v>
      </c>
      <c r="B2198" s="37"/>
      <c r="C2198" s="35" t="s">
        <v>3717</v>
      </c>
      <c r="D2198" s="131"/>
      <c r="E2198" s="119"/>
      <c r="G2198" s="35">
        <v>400</v>
      </c>
      <c r="I2198" s="113">
        <f t="shared" si="137"/>
        <v>11876.550000000003</v>
      </c>
      <c r="N2198" s="2">
        <f t="shared" si="138"/>
        <v>1.6</v>
      </c>
    </row>
    <row r="2199" spans="1:14" s="35" customFormat="1" x14ac:dyDescent="0.25">
      <c r="A2199" s="49">
        <v>45521</v>
      </c>
      <c r="B2199" s="37" t="s">
        <v>2247</v>
      </c>
      <c r="C2199" s="35" t="s">
        <v>4952</v>
      </c>
      <c r="D2199" s="131">
        <v>8434686160</v>
      </c>
      <c r="E2199" s="119"/>
      <c r="G2199" s="35">
        <v>1100</v>
      </c>
      <c r="I2199" s="113">
        <f t="shared" si="137"/>
        <v>12976.550000000003</v>
      </c>
      <c r="N2199" s="2">
        <f t="shared" si="138"/>
        <v>4.4000000000000004</v>
      </c>
    </row>
    <row r="2200" spans="1:14" s="35" customFormat="1" x14ac:dyDescent="0.25">
      <c r="A2200" s="49">
        <v>45432</v>
      </c>
      <c r="B2200" s="37"/>
      <c r="C2200" s="35" t="s">
        <v>3213</v>
      </c>
      <c r="D2200" s="131"/>
      <c r="E2200" s="119"/>
      <c r="H2200" s="35">
        <v>2000</v>
      </c>
      <c r="I2200" s="113">
        <f t="shared" si="137"/>
        <v>10976.550000000003</v>
      </c>
      <c r="N2200" s="2">
        <f t="shared" si="138"/>
        <v>8</v>
      </c>
    </row>
    <row r="2201" spans="1:14" s="35" customFormat="1" x14ac:dyDescent="0.25">
      <c r="A2201" s="49">
        <v>45432</v>
      </c>
      <c r="B2201" s="37"/>
      <c r="C2201" s="35" t="s">
        <v>2721</v>
      </c>
      <c r="D2201" s="131"/>
      <c r="E2201" s="119"/>
      <c r="H2201" s="35">
        <v>5000</v>
      </c>
      <c r="I2201" s="113">
        <f t="shared" si="137"/>
        <v>5976.5500000000029</v>
      </c>
      <c r="N2201" s="2">
        <f t="shared" si="138"/>
        <v>20</v>
      </c>
    </row>
    <row r="2202" spans="1:14" s="35" customFormat="1" x14ac:dyDescent="0.25">
      <c r="A2202" s="49">
        <v>45432</v>
      </c>
      <c r="B2202" s="37">
        <v>5408</v>
      </c>
      <c r="C2202" s="35" t="s">
        <v>4955</v>
      </c>
      <c r="D2202" s="131"/>
      <c r="E2202" s="119" t="s">
        <v>16</v>
      </c>
      <c r="H2202" s="35">
        <v>200</v>
      </c>
      <c r="I2202" s="113">
        <f t="shared" si="137"/>
        <v>5776.5500000000029</v>
      </c>
      <c r="N2202" s="2">
        <f t="shared" si="138"/>
        <v>25.8</v>
      </c>
    </row>
    <row r="2203" spans="1:14" s="35" customFormat="1" x14ac:dyDescent="0.25">
      <c r="A2203" s="49">
        <v>45432</v>
      </c>
      <c r="B2203" s="37">
        <v>5409</v>
      </c>
      <c r="C2203" s="35" t="s">
        <v>4962</v>
      </c>
      <c r="D2203" s="131"/>
      <c r="E2203" s="119" t="s">
        <v>16</v>
      </c>
      <c r="H2203" s="35">
        <v>300</v>
      </c>
      <c r="I2203" s="113">
        <f t="shared" si="137"/>
        <v>5476.5500000000029</v>
      </c>
      <c r="N2203" s="2">
        <f t="shared" si="138"/>
        <v>26.2</v>
      </c>
    </row>
    <row r="2204" spans="1:14" s="35" customFormat="1" x14ac:dyDescent="0.25">
      <c r="A2204" s="49">
        <v>45433</v>
      </c>
      <c r="B2204" s="37">
        <v>5410</v>
      </c>
      <c r="C2204" s="35" t="s">
        <v>4967</v>
      </c>
      <c r="D2204" s="131"/>
      <c r="E2204" s="119" t="s">
        <v>16</v>
      </c>
      <c r="H2204" s="35">
        <v>500</v>
      </c>
      <c r="I2204" s="113">
        <f t="shared" si="137"/>
        <v>4976.5500000000029</v>
      </c>
      <c r="N2204" s="2">
        <f t="shared" si="138"/>
        <v>27</v>
      </c>
    </row>
    <row r="2205" spans="1:14" s="35" customFormat="1" x14ac:dyDescent="0.25">
      <c r="A2205" s="49">
        <v>45433</v>
      </c>
      <c r="B2205" s="109" t="s">
        <v>4968</v>
      </c>
      <c r="C2205" s="35" t="s">
        <v>4969</v>
      </c>
      <c r="D2205" s="131"/>
      <c r="E2205" s="119"/>
      <c r="H2205" s="35">
        <v>2500</v>
      </c>
      <c r="I2205" s="113">
        <f t="shared" si="137"/>
        <v>2476.5500000000029</v>
      </c>
      <c r="N2205" s="2">
        <f t="shared" si="138"/>
        <v>10</v>
      </c>
    </row>
    <row r="2206" spans="1:14" s="35" customFormat="1" x14ac:dyDescent="0.25">
      <c r="A2206" s="49">
        <v>45433</v>
      </c>
      <c r="B2206" s="37"/>
      <c r="C2206" s="35" t="s">
        <v>3505</v>
      </c>
      <c r="D2206" s="131"/>
      <c r="E2206" s="119"/>
      <c r="G2206" s="35">
        <v>500</v>
      </c>
      <c r="I2206" s="113">
        <f t="shared" si="137"/>
        <v>2976.5500000000029</v>
      </c>
      <c r="N2206" s="2">
        <f t="shared" si="138"/>
        <v>2</v>
      </c>
    </row>
    <row r="2207" spans="1:14" s="35" customFormat="1" x14ac:dyDescent="0.25">
      <c r="A2207" s="49">
        <v>45434</v>
      </c>
      <c r="B2207" s="37"/>
      <c r="C2207" s="35" t="s">
        <v>4972</v>
      </c>
      <c r="D2207" s="131"/>
      <c r="E2207" s="119"/>
      <c r="G2207" s="35">
        <v>1400</v>
      </c>
      <c r="I2207" s="113">
        <f t="shared" si="137"/>
        <v>4376.5500000000029</v>
      </c>
      <c r="N2207" s="2">
        <f t="shared" si="138"/>
        <v>5.6000000000000005</v>
      </c>
    </row>
    <row r="2208" spans="1:14" s="35" customFormat="1" x14ac:dyDescent="0.25">
      <c r="A2208" s="49">
        <v>45434</v>
      </c>
      <c r="B2208" s="37" t="s">
        <v>4979</v>
      </c>
      <c r="C2208" s="35" t="s">
        <v>4976</v>
      </c>
      <c r="D2208" s="131"/>
      <c r="E2208" s="119" t="s">
        <v>16</v>
      </c>
      <c r="H2208" s="35">
        <v>600</v>
      </c>
      <c r="I2208" s="113">
        <f t="shared" si="137"/>
        <v>3776.5500000000029</v>
      </c>
      <c r="N2208" s="2">
        <f t="shared" si="138"/>
        <v>27.4</v>
      </c>
    </row>
    <row r="2209" spans="1:14" s="35" customFormat="1" x14ac:dyDescent="0.25">
      <c r="A2209" s="49">
        <v>45434</v>
      </c>
      <c r="B2209" s="37" t="s">
        <v>4985</v>
      </c>
      <c r="C2209" s="35" t="s">
        <v>4983</v>
      </c>
      <c r="D2209" s="131"/>
      <c r="E2209" s="119" t="s">
        <v>16</v>
      </c>
      <c r="H2209" s="35">
        <v>200</v>
      </c>
      <c r="I2209" s="113">
        <f t="shared" si="137"/>
        <v>3576.5500000000029</v>
      </c>
      <c r="N2209" s="2">
        <f t="shared" si="138"/>
        <v>25.8</v>
      </c>
    </row>
    <row r="2210" spans="1:14" s="35" customFormat="1" x14ac:dyDescent="0.25">
      <c r="A2210" s="49">
        <v>45434</v>
      </c>
      <c r="B2210" s="37"/>
      <c r="C2210" s="35" t="s">
        <v>3891</v>
      </c>
      <c r="D2210" s="131"/>
      <c r="E2210" s="119"/>
      <c r="G2210" s="35">
        <v>5000</v>
      </c>
      <c r="I2210" s="113">
        <f t="shared" si="137"/>
        <v>8576.5500000000029</v>
      </c>
      <c r="N2210" s="2">
        <f t="shared" si="138"/>
        <v>20</v>
      </c>
    </row>
    <row r="2211" spans="1:14" s="35" customFormat="1" x14ac:dyDescent="0.25">
      <c r="A2211" s="49">
        <v>45434</v>
      </c>
      <c r="B2211" s="37"/>
      <c r="C2211" s="35" t="s">
        <v>3943</v>
      </c>
      <c r="D2211" s="131"/>
      <c r="E2211" s="119"/>
      <c r="H2211" s="35">
        <v>5000</v>
      </c>
      <c r="I2211" s="113">
        <f t="shared" si="137"/>
        <v>3576.5500000000029</v>
      </c>
      <c r="N2211" s="2">
        <f t="shared" si="138"/>
        <v>20</v>
      </c>
    </row>
    <row r="2212" spans="1:14" s="35" customFormat="1" x14ac:dyDescent="0.25">
      <c r="A2212" s="49">
        <v>45434</v>
      </c>
      <c r="B2212" s="37">
        <v>1580</v>
      </c>
      <c r="C2212" s="35" t="s">
        <v>4989</v>
      </c>
      <c r="D2212" s="131"/>
      <c r="E2212" s="119"/>
      <c r="G2212" s="35">
        <v>1000</v>
      </c>
      <c r="I2212" s="113">
        <f t="shared" si="137"/>
        <v>4576.5500000000029</v>
      </c>
      <c r="N2212" s="2">
        <f t="shared" si="138"/>
        <v>4</v>
      </c>
    </row>
    <row r="2213" spans="1:14" s="35" customFormat="1" x14ac:dyDescent="0.25">
      <c r="A2213" s="49">
        <v>45434</v>
      </c>
      <c r="B2213" s="37" t="s">
        <v>2780</v>
      </c>
      <c r="C2213" s="35" t="s">
        <v>4990</v>
      </c>
      <c r="D2213" s="131"/>
      <c r="E2213" s="119"/>
      <c r="G2213" s="35">
        <v>500</v>
      </c>
      <c r="I2213" s="113">
        <f t="shared" si="137"/>
        <v>5076.5500000000029</v>
      </c>
      <c r="N2213" s="2">
        <f t="shared" si="138"/>
        <v>2</v>
      </c>
    </row>
    <row r="2214" spans="1:14" s="35" customFormat="1" x14ac:dyDescent="0.25">
      <c r="A2214" s="49">
        <v>45435</v>
      </c>
      <c r="B2214" s="37" t="s">
        <v>1253</v>
      </c>
      <c r="C2214" s="35" t="s">
        <v>2467</v>
      </c>
      <c r="D2214" s="131"/>
      <c r="E2214" s="119"/>
      <c r="G2214" s="35">
        <v>1850</v>
      </c>
      <c r="I2214" s="113">
        <f t="shared" si="137"/>
        <v>6926.5500000000029</v>
      </c>
      <c r="N2214" s="2">
        <f t="shared" si="138"/>
        <v>7.4</v>
      </c>
    </row>
    <row r="2215" spans="1:14" s="35" customFormat="1" x14ac:dyDescent="0.25">
      <c r="A2215" s="49">
        <v>45435</v>
      </c>
      <c r="B2215" s="37">
        <v>4164</v>
      </c>
      <c r="C2215" s="35" t="s">
        <v>2280</v>
      </c>
      <c r="D2215" s="131"/>
      <c r="E2215" s="119"/>
      <c r="H2215" s="35">
        <v>6000</v>
      </c>
      <c r="I2215" s="113">
        <f t="shared" si="137"/>
        <v>926.55000000000291</v>
      </c>
      <c r="N2215" s="2">
        <f t="shared" si="138"/>
        <v>20</v>
      </c>
    </row>
    <row r="2216" spans="1:14" s="35" customFormat="1" x14ac:dyDescent="0.25">
      <c r="A2216" s="49">
        <v>45435</v>
      </c>
      <c r="B2216" s="37" t="s">
        <v>5002</v>
      </c>
      <c r="C2216" s="35" t="s">
        <v>5000</v>
      </c>
      <c r="D2216" s="131"/>
      <c r="E2216" s="119" t="s">
        <v>16</v>
      </c>
      <c r="H2216" s="35">
        <v>100</v>
      </c>
      <c r="I2216" s="113">
        <f t="shared" si="137"/>
        <v>826.55000000000291</v>
      </c>
      <c r="N2216" s="2">
        <f t="shared" si="138"/>
        <v>25.4</v>
      </c>
    </row>
    <row r="2217" spans="1:14" s="35" customFormat="1" x14ac:dyDescent="0.25">
      <c r="A2217" s="49">
        <v>45436</v>
      </c>
      <c r="B2217" s="37" t="s">
        <v>5003</v>
      </c>
      <c r="C2217" s="35" t="s">
        <v>4997</v>
      </c>
      <c r="D2217" s="131"/>
      <c r="E2217" s="119" t="s">
        <v>16</v>
      </c>
      <c r="H2217" s="35">
        <v>500</v>
      </c>
      <c r="I2217" s="113">
        <f t="shared" si="137"/>
        <v>326.55000000000291</v>
      </c>
      <c r="N2217" s="2">
        <f t="shared" si="138"/>
        <v>27</v>
      </c>
    </row>
    <row r="2218" spans="1:14" s="35" customFormat="1" x14ac:dyDescent="0.25">
      <c r="A2218" s="49">
        <v>45436</v>
      </c>
      <c r="B2218" s="37"/>
      <c r="C2218" s="35" t="s">
        <v>2927</v>
      </c>
      <c r="D2218" s="131"/>
      <c r="E2218" s="119"/>
      <c r="G2218" s="35">
        <v>4000</v>
      </c>
      <c r="I2218" s="113">
        <f t="shared" si="137"/>
        <v>4326.5500000000029</v>
      </c>
      <c r="N2218" s="2"/>
    </row>
    <row r="2219" spans="1:14" s="35" customFormat="1" x14ac:dyDescent="0.25">
      <c r="A2219" s="49">
        <v>45436</v>
      </c>
      <c r="B2219" s="37" t="s">
        <v>3571</v>
      </c>
      <c r="C2219" s="35" t="s">
        <v>4992</v>
      </c>
      <c r="D2219" s="131"/>
      <c r="E2219" s="119"/>
      <c r="H2219" s="35">
        <v>4000</v>
      </c>
      <c r="I2219" s="113">
        <f t="shared" si="137"/>
        <v>326.55000000000291</v>
      </c>
      <c r="N2219" s="2">
        <f t="shared" si="138"/>
        <v>16</v>
      </c>
    </row>
    <row r="2220" spans="1:14" s="35" customFormat="1" x14ac:dyDescent="0.25">
      <c r="A2220" s="49">
        <v>45436</v>
      </c>
      <c r="B2220" s="37" t="s">
        <v>1253</v>
      </c>
      <c r="C2220" s="35" t="s">
        <v>5004</v>
      </c>
      <c r="D2220" s="131"/>
      <c r="E2220" s="119"/>
      <c r="G2220" s="35">
        <v>1700</v>
      </c>
      <c r="I2220" s="113">
        <f t="shared" si="137"/>
        <v>2026.5500000000029</v>
      </c>
      <c r="N2220" s="2">
        <f t="shared" si="138"/>
        <v>6.8</v>
      </c>
    </row>
    <row r="2221" spans="1:14" s="35" customFormat="1" x14ac:dyDescent="0.25">
      <c r="A2221" s="49">
        <v>45436</v>
      </c>
      <c r="B2221" s="37" t="s">
        <v>5003</v>
      </c>
      <c r="C2221" s="35" t="s">
        <v>4997</v>
      </c>
      <c r="D2221" s="131"/>
      <c r="E2221" s="119"/>
      <c r="H2221" s="35">
        <v>500</v>
      </c>
      <c r="I2221" s="113">
        <f t="shared" si="137"/>
        <v>1526.5500000000029</v>
      </c>
      <c r="N2221" s="2">
        <f t="shared" si="138"/>
        <v>2</v>
      </c>
    </row>
    <row r="2222" spans="1:14" s="35" customFormat="1" x14ac:dyDescent="0.25">
      <c r="A2222" s="49">
        <v>45802</v>
      </c>
      <c r="B2222" s="37" t="s">
        <v>1163</v>
      </c>
      <c r="C2222" s="35" t="s">
        <v>5008</v>
      </c>
      <c r="D2222" s="131"/>
      <c r="E2222" s="119"/>
      <c r="G2222" s="35">
        <v>3000</v>
      </c>
      <c r="I2222" s="113">
        <f t="shared" si="137"/>
        <v>4526.5500000000029</v>
      </c>
      <c r="N2222" s="2">
        <f t="shared" si="138"/>
        <v>12</v>
      </c>
    </row>
    <row r="2223" spans="1:14" s="35" customFormat="1" x14ac:dyDescent="0.25">
      <c r="A2223" s="49">
        <v>45802</v>
      </c>
      <c r="B2223" s="37" t="s">
        <v>2247</v>
      </c>
      <c r="C2223" s="35" t="s">
        <v>5009</v>
      </c>
      <c r="D2223" s="131"/>
      <c r="E2223" s="119"/>
      <c r="G2223" s="35">
        <v>2000</v>
      </c>
      <c r="I2223" s="113">
        <f t="shared" si="137"/>
        <v>6526.5500000000029</v>
      </c>
      <c r="N2223" s="2">
        <f t="shared" si="138"/>
        <v>8</v>
      </c>
    </row>
    <row r="2224" spans="1:14" s="35" customFormat="1" x14ac:dyDescent="0.25">
      <c r="A2224" s="49">
        <v>45802</v>
      </c>
      <c r="B2224" s="37" t="s">
        <v>1253</v>
      </c>
      <c r="C2224" s="35" t="s">
        <v>2767</v>
      </c>
      <c r="D2224" s="131"/>
      <c r="E2224" s="119"/>
      <c r="H2224" s="35">
        <v>5000</v>
      </c>
      <c r="I2224" s="113">
        <f t="shared" si="137"/>
        <v>1526.5500000000029</v>
      </c>
      <c r="N2224" s="2">
        <f t="shared" si="138"/>
        <v>20</v>
      </c>
    </row>
    <row r="2225" spans="1:15" s="35" customFormat="1" x14ac:dyDescent="0.25">
      <c r="A2225" s="49">
        <v>45439</v>
      </c>
      <c r="B2225" s="37" t="s">
        <v>1475</v>
      </c>
      <c r="C2225" s="35" t="s">
        <v>5011</v>
      </c>
      <c r="D2225" s="131"/>
      <c r="E2225" s="119"/>
      <c r="G2225" s="35">
        <v>3000</v>
      </c>
      <c r="I2225" s="113">
        <f t="shared" si="137"/>
        <v>4526.5500000000029</v>
      </c>
      <c r="N2225" s="2">
        <f t="shared" si="138"/>
        <v>12</v>
      </c>
    </row>
    <row r="2226" spans="1:15" s="35" customFormat="1" x14ac:dyDescent="0.25">
      <c r="A2226" s="49">
        <v>45440</v>
      </c>
      <c r="B2226" s="37" t="s">
        <v>2721</v>
      </c>
      <c r="C2226" s="35" t="s">
        <v>1282</v>
      </c>
      <c r="D2226" s="131"/>
      <c r="E2226" s="119"/>
      <c r="H2226" s="35">
        <v>3000</v>
      </c>
      <c r="I2226" s="113">
        <f t="shared" si="137"/>
        <v>1526.5500000000029</v>
      </c>
      <c r="N2226" s="2">
        <f t="shared" si="138"/>
        <v>12</v>
      </c>
    </row>
    <row r="2227" spans="1:15" s="35" customFormat="1" x14ac:dyDescent="0.25">
      <c r="A2227" s="49">
        <v>45441</v>
      </c>
      <c r="B2227" s="37" t="s">
        <v>2721</v>
      </c>
      <c r="C2227" s="35" t="s">
        <v>1282</v>
      </c>
      <c r="D2227" s="131"/>
      <c r="E2227" s="119"/>
      <c r="H2227" s="35">
        <v>1400</v>
      </c>
      <c r="I2227" s="113">
        <f t="shared" si="137"/>
        <v>126.55000000000291</v>
      </c>
      <c r="N2227" s="2">
        <f t="shared" si="138"/>
        <v>5.6000000000000005</v>
      </c>
    </row>
    <row r="2228" spans="1:15" s="35" customFormat="1" x14ac:dyDescent="0.25">
      <c r="A2228" s="49">
        <v>45442</v>
      </c>
      <c r="B2228" s="37" t="s">
        <v>2247</v>
      </c>
      <c r="C2228" s="35" t="s">
        <v>3565</v>
      </c>
      <c r="D2228" s="131"/>
      <c r="E2228" s="119"/>
      <c r="G2228" s="35">
        <v>10000</v>
      </c>
      <c r="I2228" s="113">
        <f t="shared" si="137"/>
        <v>10126.550000000003</v>
      </c>
      <c r="N2228" s="2"/>
    </row>
    <row r="2229" spans="1:15" s="35" customFormat="1" x14ac:dyDescent="0.25">
      <c r="A2229" s="49">
        <v>45442</v>
      </c>
      <c r="B2229" s="37">
        <v>5416</v>
      </c>
      <c r="C2229" s="35" t="s">
        <v>5021</v>
      </c>
      <c r="D2229" s="131"/>
      <c r="E2229" s="119" t="s">
        <v>16</v>
      </c>
      <c r="H2229" s="35">
        <v>500</v>
      </c>
      <c r="I2229" s="113">
        <f t="shared" si="137"/>
        <v>9626.5500000000029</v>
      </c>
      <c r="N2229" s="2">
        <f t="shared" si="138"/>
        <v>27</v>
      </c>
    </row>
    <row r="2230" spans="1:15" s="35" customFormat="1" x14ac:dyDescent="0.25">
      <c r="A2230" s="49">
        <v>45442</v>
      </c>
      <c r="B2230" s="37">
        <v>665</v>
      </c>
      <c r="C2230" s="35" t="s">
        <v>5022</v>
      </c>
      <c r="D2230" s="131"/>
      <c r="E2230" s="119"/>
      <c r="H2230" s="35">
        <v>500</v>
      </c>
      <c r="I2230" s="113">
        <f t="shared" si="137"/>
        <v>9126.5500000000029</v>
      </c>
      <c r="N2230" s="2">
        <f t="shared" si="138"/>
        <v>2</v>
      </c>
    </row>
    <row r="2231" spans="1:15" s="35" customFormat="1" x14ac:dyDescent="0.25">
      <c r="A2231" s="49">
        <v>45442</v>
      </c>
      <c r="B2231" s="37">
        <v>504</v>
      </c>
      <c r="C2231" s="35" t="s">
        <v>3132</v>
      </c>
      <c r="D2231" s="131"/>
      <c r="E2231" s="119"/>
      <c r="H2231" s="35">
        <v>2500</v>
      </c>
      <c r="I2231" s="113">
        <f t="shared" si="137"/>
        <v>6626.5500000000029</v>
      </c>
      <c r="N2231" s="2">
        <f t="shared" si="138"/>
        <v>10</v>
      </c>
    </row>
    <row r="2232" spans="1:15" s="35" customFormat="1" x14ac:dyDescent="0.25">
      <c r="A2232" s="49">
        <v>45443</v>
      </c>
      <c r="B2232" s="37">
        <v>5417</v>
      </c>
      <c r="C2232" s="35" t="s">
        <v>821</v>
      </c>
      <c r="D2232" s="131"/>
      <c r="E2232" s="119" t="s">
        <v>16</v>
      </c>
      <c r="H2232" s="35">
        <v>100</v>
      </c>
      <c r="I2232" s="113">
        <f t="shared" si="137"/>
        <v>6526.5500000000029</v>
      </c>
      <c r="N2232" s="2">
        <f t="shared" si="138"/>
        <v>25.4</v>
      </c>
    </row>
    <row r="2233" spans="1:15" s="35" customFormat="1" x14ac:dyDescent="0.25">
      <c r="A2233" s="49">
        <v>45443</v>
      </c>
      <c r="B2233" s="37">
        <v>5418</v>
      </c>
      <c r="C2233" s="35" t="s">
        <v>5028</v>
      </c>
      <c r="D2233" s="131"/>
      <c r="E2233" s="119" t="s">
        <v>16</v>
      </c>
      <c r="H2233" s="35">
        <v>100</v>
      </c>
      <c r="I2233" s="113">
        <f t="shared" si="137"/>
        <v>6426.5500000000029</v>
      </c>
      <c r="N2233" s="2">
        <f t="shared" si="138"/>
        <v>25.4</v>
      </c>
    </row>
    <row r="2234" spans="1:15" s="35" customFormat="1" x14ac:dyDescent="0.25">
      <c r="A2234" s="49">
        <v>45443</v>
      </c>
      <c r="B2234" s="37">
        <v>5419</v>
      </c>
      <c r="C2234" s="7" t="s">
        <v>5031</v>
      </c>
      <c r="D2234" s="131"/>
      <c r="E2234" s="119" t="s">
        <v>16</v>
      </c>
      <c r="H2234" s="35">
        <v>500</v>
      </c>
      <c r="I2234" s="113">
        <f t="shared" si="137"/>
        <v>5926.5500000000029</v>
      </c>
      <c r="N2234" s="2">
        <f t="shared" si="138"/>
        <v>27</v>
      </c>
    </row>
    <row r="2235" spans="1:15" x14ac:dyDescent="0.25">
      <c r="A2235" s="97">
        <f>COUNT(A2145:A2234)</f>
        <v>90</v>
      </c>
      <c r="B2235" s="102"/>
      <c r="C2235" s="27"/>
      <c r="D2235" s="139"/>
      <c r="E2235" s="117">
        <f>COUNTIF(E2145:E2234,"Y")</f>
        <v>19</v>
      </c>
      <c r="F2235" s="97">
        <f>G2235+H2235</f>
        <v>208400</v>
      </c>
      <c r="G2235" s="102">
        <f t="shared" ref="G2235:N2235" si="139">SUM(G2145:G2234)</f>
        <v>73000</v>
      </c>
      <c r="H2235" s="102">
        <f t="shared" si="139"/>
        <v>135400</v>
      </c>
      <c r="I2235" s="102">
        <f t="shared" si="139"/>
        <v>1108089.500000003</v>
      </c>
      <c r="J2235" s="102">
        <f t="shared" si="139"/>
        <v>0</v>
      </c>
      <c r="K2235" s="102">
        <f t="shared" si="139"/>
        <v>0</v>
      </c>
      <c r="L2235" s="102">
        <f t="shared" si="139"/>
        <v>0</v>
      </c>
      <c r="M2235" s="102">
        <f t="shared" si="139"/>
        <v>0</v>
      </c>
      <c r="N2235" s="102">
        <f t="shared" si="139"/>
        <v>1333.8000000000002</v>
      </c>
      <c r="O2235" s="97"/>
    </row>
    <row r="2237" spans="1:15" x14ac:dyDescent="0.25">
      <c r="A2237" s="49">
        <v>45444</v>
      </c>
      <c r="B2237" s="37"/>
      <c r="C2237" s="35" t="s">
        <v>2870</v>
      </c>
      <c r="D2237" s="131"/>
      <c r="E2237" s="119"/>
      <c r="F2237" s="35"/>
      <c r="G2237" s="35">
        <v>5926.55</v>
      </c>
      <c r="H2237" s="35"/>
      <c r="I2237" s="113">
        <f t="shared" ref="I2237:I2310" si="140">I2236+G2237-H2237</f>
        <v>5926.55</v>
      </c>
      <c r="J2237" s="35"/>
      <c r="K2237" s="35"/>
      <c r="L2237" s="35"/>
      <c r="M2237" s="35"/>
    </row>
    <row r="2238" spans="1:15" x14ac:dyDescent="0.25">
      <c r="A2238" s="49" t="s">
        <v>5034</v>
      </c>
      <c r="B2238" s="37">
        <v>2189</v>
      </c>
      <c r="C2238" s="35" t="s">
        <v>4120</v>
      </c>
      <c r="D2238" s="131"/>
      <c r="E2238" s="119"/>
      <c r="F2238" s="35"/>
      <c r="G2238" s="35">
        <v>10000</v>
      </c>
      <c r="H2238" s="35"/>
      <c r="I2238" s="113">
        <f t="shared" si="140"/>
        <v>15926.55</v>
      </c>
      <c r="J2238" s="35"/>
      <c r="K2238" s="35"/>
      <c r="L2238" s="35"/>
      <c r="M2238" s="35"/>
      <c r="N2238" s="2">
        <f t="shared" ref="N2238:N2310" si="141">IF((G2238+H2238)&lt;=5000,(H2238+G2238)*0.004,20)+IF(E2238="Y",25,0)</f>
        <v>20</v>
      </c>
    </row>
    <row r="2239" spans="1:15" x14ac:dyDescent="0.25">
      <c r="A2239" s="49" t="s">
        <v>5034</v>
      </c>
      <c r="B2239" s="37" t="s">
        <v>5035</v>
      </c>
      <c r="C2239" s="35"/>
      <c r="D2239" s="131"/>
      <c r="E2239" s="119"/>
      <c r="F2239" s="35"/>
      <c r="G2239" s="35"/>
      <c r="H2239" s="35">
        <v>1500</v>
      </c>
      <c r="I2239" s="113">
        <f t="shared" si="140"/>
        <v>14426.55</v>
      </c>
      <c r="J2239" s="35"/>
      <c r="K2239" s="35"/>
      <c r="L2239" s="35"/>
      <c r="M2239" s="35"/>
      <c r="N2239" s="2">
        <f t="shared" si="141"/>
        <v>6</v>
      </c>
    </row>
    <row r="2240" spans="1:15" x14ac:dyDescent="0.25">
      <c r="A2240" s="49">
        <v>45447</v>
      </c>
      <c r="B2240" s="37">
        <v>2189</v>
      </c>
      <c r="C2240" s="35" t="s">
        <v>4603</v>
      </c>
      <c r="D2240" s="131"/>
      <c r="E2240" s="119"/>
      <c r="F2240" s="35"/>
      <c r="G2240" s="35">
        <v>5000</v>
      </c>
      <c r="H2240" s="35"/>
      <c r="I2240" s="113">
        <f t="shared" si="140"/>
        <v>19426.55</v>
      </c>
      <c r="J2240" s="35"/>
      <c r="K2240" s="35"/>
      <c r="L2240" s="35"/>
      <c r="M2240" s="35"/>
      <c r="N2240" s="2">
        <f t="shared" si="141"/>
        <v>20</v>
      </c>
    </row>
    <row r="2241" spans="1:14" x14ac:dyDescent="0.25">
      <c r="A2241" s="49">
        <v>45447</v>
      </c>
      <c r="B2241" s="37" t="s">
        <v>2721</v>
      </c>
      <c r="C2241" s="35" t="s">
        <v>1359</v>
      </c>
      <c r="D2241" s="131"/>
      <c r="E2241" s="119"/>
      <c r="F2241" s="35"/>
      <c r="G2241" s="35"/>
      <c r="H2241" s="35">
        <v>10000</v>
      </c>
      <c r="I2241" s="113">
        <f t="shared" si="140"/>
        <v>9426.5499999999993</v>
      </c>
      <c r="J2241" s="35"/>
      <c r="K2241" s="35"/>
      <c r="L2241" s="35"/>
      <c r="M2241" s="35"/>
      <c r="N2241" s="2">
        <f t="shared" si="141"/>
        <v>20</v>
      </c>
    </row>
    <row r="2242" spans="1:14" x14ac:dyDescent="0.25">
      <c r="A2242" s="49">
        <v>45449</v>
      </c>
      <c r="B2242" s="37">
        <v>4164</v>
      </c>
      <c r="C2242" s="35" t="s">
        <v>2280</v>
      </c>
      <c r="D2242" s="131"/>
      <c r="E2242" s="119"/>
      <c r="F2242" s="35"/>
      <c r="G2242" s="35"/>
      <c r="H2242" s="35">
        <v>6000</v>
      </c>
      <c r="I2242" s="113">
        <f t="shared" si="140"/>
        <v>3426.5499999999993</v>
      </c>
      <c r="J2242" s="35"/>
      <c r="K2242" s="35"/>
      <c r="L2242" s="35"/>
      <c r="M2242" s="35"/>
      <c r="N2242" s="2">
        <f t="shared" si="141"/>
        <v>20</v>
      </c>
    </row>
    <row r="2243" spans="1:14" x14ac:dyDescent="0.25">
      <c r="A2243" s="49">
        <v>45449</v>
      </c>
      <c r="B2243" s="37" t="s">
        <v>2707</v>
      </c>
      <c r="C2243" s="35" t="s">
        <v>3132</v>
      </c>
      <c r="D2243" s="131"/>
      <c r="E2243" s="119"/>
      <c r="F2243" s="35"/>
      <c r="G2243" s="35"/>
      <c r="H2243" s="35">
        <v>100</v>
      </c>
      <c r="I2243" s="113">
        <f t="shared" si="140"/>
        <v>3326.5499999999993</v>
      </c>
      <c r="J2243" s="35"/>
      <c r="K2243" s="35"/>
      <c r="L2243" s="35"/>
      <c r="M2243" s="35"/>
      <c r="N2243" s="2">
        <f t="shared" si="141"/>
        <v>0.4</v>
      </c>
    </row>
    <row r="2244" spans="1:14" x14ac:dyDescent="0.25">
      <c r="A2244" s="49">
        <v>45450</v>
      </c>
      <c r="B2244" s="37"/>
      <c r="C2244" s="35" t="s">
        <v>5039</v>
      </c>
      <c r="D2244" s="131"/>
      <c r="E2244" s="119"/>
      <c r="F2244" s="35"/>
      <c r="G2244" s="35">
        <v>2000</v>
      </c>
      <c r="H2244" s="35"/>
      <c r="I2244" s="113">
        <f t="shared" si="140"/>
        <v>5326.5499999999993</v>
      </c>
      <c r="J2244" s="35"/>
      <c r="K2244" s="35"/>
      <c r="L2244" s="35"/>
      <c r="M2244" s="35"/>
      <c r="N2244" s="2">
        <f t="shared" si="141"/>
        <v>8</v>
      </c>
    </row>
    <row r="2245" spans="1:14" x14ac:dyDescent="0.25">
      <c r="A2245" s="49">
        <v>45450</v>
      </c>
      <c r="B2245" s="37">
        <v>5422</v>
      </c>
      <c r="C2245" s="35" t="s">
        <v>5041</v>
      </c>
      <c r="D2245" s="131"/>
      <c r="E2245" s="119" t="s">
        <v>14</v>
      </c>
      <c r="F2245" s="35"/>
      <c r="G2245" s="35"/>
      <c r="H2245" s="35">
        <v>200</v>
      </c>
      <c r="I2245" s="113">
        <f t="shared" si="140"/>
        <v>5126.5499999999993</v>
      </c>
      <c r="J2245" s="35"/>
      <c r="K2245" s="35"/>
      <c r="L2245" s="35"/>
      <c r="M2245" s="35"/>
      <c r="N2245" s="2">
        <f t="shared" si="141"/>
        <v>25.8</v>
      </c>
    </row>
    <row r="2246" spans="1:14" x14ac:dyDescent="0.25">
      <c r="A2246" s="49">
        <v>45450</v>
      </c>
      <c r="B2246" s="37" t="s">
        <v>3573</v>
      </c>
      <c r="C2246" s="35" t="s">
        <v>5043</v>
      </c>
      <c r="D2246" s="131"/>
      <c r="E2246" s="119"/>
      <c r="F2246" s="35"/>
      <c r="G2246" s="35"/>
      <c r="H2246" s="35">
        <v>5000</v>
      </c>
      <c r="I2246" s="113">
        <f t="shared" si="140"/>
        <v>126.54999999999927</v>
      </c>
      <c r="J2246" s="35"/>
      <c r="K2246" s="35"/>
      <c r="L2246" s="35"/>
      <c r="M2246" s="35"/>
      <c r="N2246" s="2">
        <f t="shared" si="141"/>
        <v>20</v>
      </c>
    </row>
    <row r="2247" spans="1:14" x14ac:dyDescent="0.25">
      <c r="A2247" s="49">
        <v>45450</v>
      </c>
      <c r="B2247" s="37" t="s">
        <v>1163</v>
      </c>
      <c r="C2247" s="35" t="s">
        <v>3559</v>
      </c>
      <c r="D2247" s="131"/>
      <c r="E2247" s="119"/>
      <c r="F2247" s="35"/>
      <c r="G2247" s="35">
        <v>2000</v>
      </c>
      <c r="H2247" s="35"/>
      <c r="I2247" s="113">
        <f t="shared" si="140"/>
        <v>2126.5499999999993</v>
      </c>
      <c r="J2247" s="35"/>
      <c r="K2247" s="35"/>
      <c r="L2247" s="35"/>
      <c r="M2247" s="35"/>
      <c r="N2247" s="2">
        <f t="shared" si="141"/>
        <v>8</v>
      </c>
    </row>
    <row r="2248" spans="1:14" x14ac:dyDescent="0.25">
      <c r="A2248" s="49">
        <v>45450</v>
      </c>
      <c r="B2248" s="37"/>
      <c r="C2248" s="35" t="s">
        <v>2408</v>
      </c>
      <c r="D2248" s="131"/>
      <c r="E2248" s="119"/>
      <c r="F2248" s="35"/>
      <c r="G2248" s="35">
        <v>1850</v>
      </c>
      <c r="H2248" s="35"/>
      <c r="I2248" s="113">
        <f t="shared" si="140"/>
        <v>3976.5499999999993</v>
      </c>
      <c r="J2248" s="35"/>
      <c r="K2248" s="35"/>
      <c r="L2248" s="35"/>
      <c r="M2248" s="35"/>
      <c r="N2248" s="2">
        <f t="shared" si="141"/>
        <v>7.4</v>
      </c>
    </row>
    <row r="2249" spans="1:14" x14ac:dyDescent="0.25">
      <c r="A2249" s="49">
        <v>45451</v>
      </c>
      <c r="B2249" s="37">
        <v>4779</v>
      </c>
      <c r="C2249" s="35" t="s">
        <v>4424</v>
      </c>
      <c r="D2249" s="131"/>
      <c r="E2249" s="119"/>
      <c r="F2249" s="35"/>
      <c r="G2249" s="35">
        <v>1200</v>
      </c>
      <c r="H2249" s="35"/>
      <c r="I2249" s="113">
        <f t="shared" si="140"/>
        <v>5176.5499999999993</v>
      </c>
      <c r="J2249" s="35"/>
      <c r="K2249" s="35"/>
      <c r="L2249" s="35"/>
      <c r="M2249" s="35"/>
      <c r="N2249" s="2">
        <f t="shared" si="141"/>
        <v>4.8</v>
      </c>
    </row>
    <row r="2250" spans="1:14" x14ac:dyDescent="0.25">
      <c r="A2250" s="49">
        <v>45451</v>
      </c>
      <c r="B2250" s="37">
        <v>1818</v>
      </c>
      <c r="C2250" s="35" t="s">
        <v>3078</v>
      </c>
      <c r="D2250" s="131"/>
      <c r="E2250" s="119"/>
      <c r="F2250" s="35"/>
      <c r="G2250" s="35"/>
      <c r="H2250" s="35">
        <v>4800</v>
      </c>
      <c r="I2250" s="113">
        <f t="shared" si="140"/>
        <v>376.54999999999927</v>
      </c>
      <c r="J2250" s="35"/>
      <c r="K2250" s="35"/>
      <c r="L2250" s="35"/>
      <c r="M2250" s="35"/>
      <c r="N2250" s="2">
        <f t="shared" si="141"/>
        <v>19.2</v>
      </c>
    </row>
    <row r="2251" spans="1:14" x14ac:dyDescent="0.25">
      <c r="A2251" s="49">
        <v>45452</v>
      </c>
      <c r="B2251" s="37" t="s">
        <v>4861</v>
      </c>
      <c r="C2251" s="35" t="s">
        <v>5044</v>
      </c>
      <c r="D2251" s="131"/>
      <c r="E2251" s="119"/>
      <c r="F2251" s="35"/>
      <c r="G2251" s="35">
        <v>2000</v>
      </c>
      <c r="H2251" s="35"/>
      <c r="I2251" s="113">
        <f t="shared" si="140"/>
        <v>2376.5499999999993</v>
      </c>
      <c r="J2251" s="35"/>
      <c r="K2251" s="35"/>
      <c r="L2251" s="35"/>
      <c r="M2251" s="35"/>
      <c r="N2251" s="2">
        <f t="shared" si="141"/>
        <v>8</v>
      </c>
    </row>
    <row r="2252" spans="1:14" x14ac:dyDescent="0.25">
      <c r="A2252" s="49">
        <v>45453</v>
      </c>
      <c r="B2252" s="37" t="s">
        <v>2247</v>
      </c>
      <c r="C2252" s="35" t="s">
        <v>4022</v>
      </c>
      <c r="D2252" s="131"/>
      <c r="E2252" s="119"/>
      <c r="F2252" s="35"/>
      <c r="G2252" s="35">
        <v>3000</v>
      </c>
      <c r="H2252" s="35"/>
      <c r="I2252" s="113">
        <f t="shared" si="140"/>
        <v>5376.5499999999993</v>
      </c>
      <c r="J2252" s="35"/>
      <c r="K2252" s="35"/>
      <c r="L2252" s="35"/>
      <c r="M2252" s="35"/>
      <c r="N2252" s="2">
        <f t="shared" si="141"/>
        <v>12</v>
      </c>
    </row>
    <row r="2253" spans="1:14" x14ac:dyDescent="0.25">
      <c r="A2253" s="49">
        <v>45453</v>
      </c>
      <c r="B2253" s="37">
        <v>4388</v>
      </c>
      <c r="C2253" s="35" t="s">
        <v>2821</v>
      </c>
      <c r="D2253" s="131"/>
      <c r="E2253" s="119"/>
      <c r="F2253" s="35"/>
      <c r="G2253" s="35"/>
      <c r="H2253" s="35">
        <v>500</v>
      </c>
      <c r="I2253" s="113">
        <f t="shared" si="140"/>
        <v>4876.5499999999993</v>
      </c>
      <c r="J2253" s="35"/>
      <c r="K2253" s="35"/>
      <c r="L2253" s="35"/>
      <c r="M2253" s="35"/>
      <c r="N2253" s="2">
        <f t="shared" si="141"/>
        <v>2</v>
      </c>
    </row>
    <row r="2254" spans="1:14" x14ac:dyDescent="0.25">
      <c r="A2254" s="49">
        <v>45453</v>
      </c>
      <c r="B2254" s="37" t="s">
        <v>2247</v>
      </c>
      <c r="C2254" s="35" t="s">
        <v>5045</v>
      </c>
      <c r="D2254" s="131"/>
      <c r="E2254" s="119"/>
      <c r="F2254" s="35"/>
      <c r="G2254" s="35">
        <v>4000</v>
      </c>
      <c r="H2254" s="35"/>
      <c r="I2254" s="113">
        <f t="shared" si="140"/>
        <v>8876.5499999999993</v>
      </c>
      <c r="J2254" s="35"/>
      <c r="K2254" s="35"/>
      <c r="L2254" s="35"/>
      <c r="M2254" s="35"/>
      <c r="N2254" s="2">
        <f t="shared" si="141"/>
        <v>16</v>
      </c>
    </row>
    <row r="2255" spans="1:14" x14ac:dyDescent="0.25">
      <c r="A2255" s="49">
        <v>45453</v>
      </c>
      <c r="B2255" s="37">
        <v>4164</v>
      </c>
      <c r="C2255" s="35" t="s">
        <v>2295</v>
      </c>
      <c r="D2255" s="131"/>
      <c r="E2255" s="119"/>
      <c r="F2255" s="35"/>
      <c r="G2255" s="35"/>
      <c r="H2255" s="35">
        <v>8000</v>
      </c>
      <c r="I2255" s="113">
        <f t="shared" si="140"/>
        <v>876.54999999999927</v>
      </c>
      <c r="J2255" s="35"/>
      <c r="K2255" s="35"/>
      <c r="L2255" s="35"/>
      <c r="M2255" s="35"/>
      <c r="N2255" s="2">
        <f t="shared" si="141"/>
        <v>20</v>
      </c>
    </row>
    <row r="2256" spans="1:14" x14ac:dyDescent="0.25">
      <c r="A2256" s="49">
        <v>45453</v>
      </c>
      <c r="B2256" s="37" t="s">
        <v>2247</v>
      </c>
      <c r="C2256" s="35" t="s">
        <v>2655</v>
      </c>
      <c r="D2256" s="131"/>
      <c r="E2256" s="119"/>
      <c r="F2256" s="35"/>
      <c r="G2256" s="35">
        <v>1000</v>
      </c>
      <c r="H2256" s="35"/>
      <c r="I2256" s="113">
        <f t="shared" si="140"/>
        <v>1876.5499999999993</v>
      </c>
      <c r="J2256" s="35"/>
      <c r="K2256" s="35"/>
      <c r="L2256" s="35"/>
      <c r="M2256" s="35"/>
      <c r="N2256" s="2">
        <f t="shared" si="141"/>
        <v>4</v>
      </c>
    </row>
    <row r="2257" spans="1:14" x14ac:dyDescent="0.25">
      <c r="A2257" s="49">
        <v>45454</v>
      </c>
      <c r="B2257" s="37" t="s">
        <v>1253</v>
      </c>
      <c r="C2257" s="35" t="s">
        <v>2408</v>
      </c>
      <c r="D2257" s="131"/>
      <c r="E2257" s="119"/>
      <c r="F2257" s="35"/>
      <c r="G2257" s="35">
        <v>4500</v>
      </c>
      <c r="H2257" s="35"/>
      <c r="I2257" s="113">
        <f t="shared" si="140"/>
        <v>6376.5499999999993</v>
      </c>
      <c r="J2257" s="35"/>
      <c r="K2257" s="35"/>
      <c r="L2257" s="35"/>
      <c r="M2257" s="35"/>
      <c r="N2257" s="2">
        <f t="shared" si="141"/>
        <v>18</v>
      </c>
    </row>
    <row r="2258" spans="1:14" x14ac:dyDescent="0.25">
      <c r="A2258" s="49">
        <v>45454</v>
      </c>
      <c r="B2258" s="37">
        <v>4164</v>
      </c>
      <c r="C2258" s="35" t="s">
        <v>2295</v>
      </c>
      <c r="D2258" s="131"/>
      <c r="E2258" s="119"/>
      <c r="F2258" s="35"/>
      <c r="G2258" s="35"/>
      <c r="H2258" s="35">
        <v>6000</v>
      </c>
      <c r="I2258" s="113">
        <f t="shared" si="140"/>
        <v>376.54999999999927</v>
      </c>
      <c r="J2258" s="35"/>
      <c r="K2258" s="35"/>
      <c r="L2258" s="35"/>
      <c r="M2258" s="35"/>
      <c r="N2258" s="2">
        <f t="shared" si="141"/>
        <v>20</v>
      </c>
    </row>
    <row r="2259" spans="1:14" x14ac:dyDescent="0.25">
      <c r="A2259" s="49">
        <v>45454</v>
      </c>
      <c r="B2259" s="37">
        <v>5426</v>
      </c>
      <c r="C2259" s="7" t="s">
        <v>5049</v>
      </c>
      <c r="D2259" s="131"/>
      <c r="E2259" s="119"/>
      <c r="F2259" s="35"/>
      <c r="G2259" s="35"/>
      <c r="H2259" s="35">
        <v>200</v>
      </c>
      <c r="I2259" s="113">
        <f t="shared" si="140"/>
        <v>176.54999999999927</v>
      </c>
      <c r="J2259" s="35"/>
      <c r="K2259" s="35"/>
      <c r="L2259" s="35"/>
      <c r="M2259" s="35"/>
      <c r="N2259" s="2">
        <f t="shared" si="141"/>
        <v>0.8</v>
      </c>
    </row>
    <row r="2260" spans="1:14" x14ac:dyDescent="0.25">
      <c r="A2260" s="49">
        <v>45455</v>
      </c>
      <c r="B2260" s="37" t="s">
        <v>1253</v>
      </c>
      <c r="C2260" s="35" t="s">
        <v>3121</v>
      </c>
      <c r="D2260" s="131"/>
      <c r="E2260" s="119"/>
      <c r="F2260" s="35"/>
      <c r="G2260" s="35">
        <v>800</v>
      </c>
      <c r="H2260" s="35"/>
      <c r="I2260" s="113">
        <f t="shared" si="140"/>
        <v>976.54999999999927</v>
      </c>
      <c r="J2260" s="35"/>
      <c r="K2260" s="35"/>
      <c r="L2260" s="35"/>
      <c r="M2260" s="35"/>
      <c r="N2260" s="2">
        <f t="shared" si="141"/>
        <v>3.2</v>
      </c>
    </row>
    <row r="2261" spans="1:14" x14ac:dyDescent="0.25">
      <c r="A2261" s="49">
        <v>45455</v>
      </c>
      <c r="B2261" s="37" t="s">
        <v>1253</v>
      </c>
      <c r="C2261" s="35" t="s">
        <v>2923</v>
      </c>
      <c r="D2261" s="131"/>
      <c r="E2261" s="119"/>
      <c r="F2261" s="35"/>
      <c r="G2261" s="35">
        <v>400</v>
      </c>
      <c r="H2261" s="35"/>
      <c r="I2261" s="113">
        <f t="shared" si="140"/>
        <v>1376.5499999999993</v>
      </c>
      <c r="J2261" s="35"/>
      <c r="K2261" s="35"/>
      <c r="L2261" s="35"/>
      <c r="M2261" s="35"/>
      <c r="N2261" s="2">
        <f t="shared" si="141"/>
        <v>1.6</v>
      </c>
    </row>
    <row r="2262" spans="1:14" x14ac:dyDescent="0.25">
      <c r="A2262" s="49">
        <v>45455</v>
      </c>
      <c r="B2262" s="37" t="s">
        <v>1253</v>
      </c>
      <c r="C2262" s="35" t="s">
        <v>2923</v>
      </c>
      <c r="D2262" s="131"/>
      <c r="E2262" s="119"/>
      <c r="F2262" s="35"/>
      <c r="G2262" s="35">
        <v>400</v>
      </c>
      <c r="H2262" s="35"/>
      <c r="I2262" s="113">
        <f t="shared" si="140"/>
        <v>1776.5499999999993</v>
      </c>
      <c r="J2262" s="35"/>
      <c r="K2262" s="35"/>
      <c r="L2262" s="35"/>
      <c r="M2262" s="35"/>
      <c r="N2262" s="2">
        <f t="shared" si="141"/>
        <v>1.6</v>
      </c>
    </row>
    <row r="2263" spans="1:14" x14ac:dyDescent="0.25">
      <c r="A2263" s="49">
        <v>45455</v>
      </c>
      <c r="B2263" s="37" t="s">
        <v>2365</v>
      </c>
      <c r="C2263" s="35" t="s">
        <v>5055</v>
      </c>
      <c r="D2263" s="131">
        <v>7481026838</v>
      </c>
      <c r="E2263" s="119"/>
      <c r="F2263" s="35"/>
      <c r="G2263" s="35">
        <v>5000</v>
      </c>
      <c r="H2263" s="35"/>
      <c r="I2263" s="113">
        <f t="shared" si="140"/>
        <v>6776.5499999999993</v>
      </c>
      <c r="J2263" s="35"/>
      <c r="K2263" s="35"/>
      <c r="L2263" s="35"/>
      <c r="M2263" s="35"/>
      <c r="N2263" s="2">
        <f t="shared" si="141"/>
        <v>20</v>
      </c>
    </row>
    <row r="2264" spans="1:14" x14ac:dyDescent="0.25">
      <c r="A2264" s="49">
        <v>45455</v>
      </c>
      <c r="B2264" s="37">
        <v>4164</v>
      </c>
      <c r="C2264" s="35" t="s">
        <v>2295</v>
      </c>
      <c r="D2264" s="131"/>
      <c r="E2264" s="119"/>
      <c r="F2264" s="35"/>
      <c r="G2264" s="35"/>
      <c r="H2264" s="35">
        <v>4000</v>
      </c>
      <c r="I2264" s="113">
        <f t="shared" si="140"/>
        <v>2776.5499999999993</v>
      </c>
      <c r="J2264" s="35"/>
      <c r="K2264" s="35"/>
      <c r="L2264" s="35"/>
      <c r="M2264" s="35"/>
      <c r="N2264" s="2">
        <f t="shared" si="141"/>
        <v>16</v>
      </c>
    </row>
    <row r="2265" spans="1:14" x14ac:dyDescent="0.25">
      <c r="A2265" s="49">
        <v>45455</v>
      </c>
      <c r="B2265" s="11" t="s">
        <v>2721</v>
      </c>
      <c r="C2265" s="35" t="s">
        <v>1282</v>
      </c>
      <c r="D2265" s="131"/>
      <c r="E2265" s="119"/>
      <c r="F2265" s="35"/>
      <c r="G2265" s="35"/>
      <c r="H2265" s="35">
        <v>2000</v>
      </c>
      <c r="I2265" s="113">
        <f t="shared" si="140"/>
        <v>776.54999999999927</v>
      </c>
      <c r="J2265" s="35"/>
      <c r="K2265" s="35"/>
      <c r="L2265" s="35"/>
      <c r="M2265" s="35"/>
      <c r="N2265" s="2">
        <f t="shared" si="141"/>
        <v>8</v>
      </c>
    </row>
    <row r="2266" spans="1:14" x14ac:dyDescent="0.25">
      <c r="A2266" s="49">
        <v>45455</v>
      </c>
      <c r="B2266" s="37" t="s">
        <v>1253</v>
      </c>
      <c r="C2266" s="35" t="s">
        <v>4718</v>
      </c>
      <c r="D2266" s="131"/>
      <c r="E2266" s="119"/>
      <c r="F2266" s="35"/>
      <c r="G2266" s="35">
        <v>2500</v>
      </c>
      <c r="H2266" s="35"/>
      <c r="I2266" s="113">
        <f t="shared" si="140"/>
        <v>3276.5499999999993</v>
      </c>
      <c r="J2266" s="35"/>
      <c r="K2266" s="35"/>
      <c r="L2266" s="35"/>
      <c r="M2266" s="35"/>
      <c r="N2266" s="2">
        <f t="shared" si="141"/>
        <v>10</v>
      </c>
    </row>
    <row r="2267" spans="1:14" x14ac:dyDescent="0.25">
      <c r="A2267" s="49">
        <v>45456</v>
      </c>
      <c r="B2267" s="150">
        <v>1512472</v>
      </c>
      <c r="C2267" s="7" t="s">
        <v>5058</v>
      </c>
      <c r="D2267" s="131"/>
      <c r="E2267" s="119" t="s">
        <v>16</v>
      </c>
      <c r="F2267" s="35"/>
      <c r="G2267" s="35"/>
      <c r="H2267" s="35">
        <v>2000</v>
      </c>
      <c r="I2267" s="113">
        <f t="shared" si="140"/>
        <v>1276.5499999999993</v>
      </c>
      <c r="J2267" s="35"/>
      <c r="K2267" s="35"/>
      <c r="L2267" s="35"/>
      <c r="M2267" s="35"/>
      <c r="N2267" s="2">
        <f t="shared" si="141"/>
        <v>33</v>
      </c>
    </row>
    <row r="2268" spans="1:14" x14ac:dyDescent="0.25">
      <c r="A2268" s="49">
        <v>45458</v>
      </c>
      <c r="B2268" s="150" t="s">
        <v>2365</v>
      </c>
      <c r="C2268" s="7" t="s">
        <v>5065</v>
      </c>
      <c r="D2268" s="131"/>
      <c r="E2268" s="119"/>
      <c r="F2268" s="35"/>
      <c r="G2268" s="35">
        <v>1000</v>
      </c>
      <c r="H2268" s="35"/>
      <c r="I2268" s="113">
        <f t="shared" si="140"/>
        <v>2276.5499999999993</v>
      </c>
      <c r="J2268" s="35"/>
      <c r="K2268" s="35"/>
      <c r="L2268" s="35"/>
      <c r="M2268" s="35"/>
      <c r="N2268" s="2">
        <f t="shared" si="141"/>
        <v>4</v>
      </c>
    </row>
    <row r="2269" spans="1:14" x14ac:dyDescent="0.25">
      <c r="A2269" s="49">
        <v>45458</v>
      </c>
      <c r="B2269" s="37">
        <v>5376</v>
      </c>
      <c r="C2269" s="35" t="s">
        <v>5066</v>
      </c>
      <c r="D2269" s="131"/>
      <c r="E2269" s="119"/>
      <c r="F2269" s="35"/>
      <c r="G2269" s="35"/>
      <c r="H2269" s="35">
        <v>2000</v>
      </c>
      <c r="I2269" s="113">
        <f t="shared" si="140"/>
        <v>276.54999999999927</v>
      </c>
      <c r="J2269" s="35"/>
      <c r="K2269" s="35"/>
      <c r="L2269" s="35"/>
      <c r="M2269" s="35"/>
      <c r="N2269" s="2">
        <f t="shared" si="141"/>
        <v>8</v>
      </c>
    </row>
    <row r="2270" spans="1:14" x14ac:dyDescent="0.25">
      <c r="A2270" s="49">
        <v>45458</v>
      </c>
      <c r="B2270" s="150" t="s">
        <v>1253</v>
      </c>
      <c r="C2270" s="7" t="s">
        <v>2408</v>
      </c>
      <c r="D2270" s="131"/>
      <c r="E2270" s="119"/>
      <c r="F2270" s="35"/>
      <c r="G2270" s="35">
        <v>1340</v>
      </c>
      <c r="H2270" s="35"/>
      <c r="I2270" s="113">
        <f t="shared" si="140"/>
        <v>1616.5499999999993</v>
      </c>
      <c r="J2270" s="35"/>
      <c r="K2270" s="35"/>
      <c r="L2270" s="35"/>
      <c r="M2270" s="35"/>
      <c r="N2270" s="2">
        <f t="shared" si="141"/>
        <v>5.36</v>
      </c>
    </row>
    <row r="2271" spans="1:14" x14ac:dyDescent="0.25">
      <c r="A2271" s="49">
        <v>45461</v>
      </c>
      <c r="B2271" s="150">
        <v>2028</v>
      </c>
      <c r="C2271" s="7" t="s">
        <v>3588</v>
      </c>
      <c r="D2271" s="131"/>
      <c r="E2271" s="119"/>
      <c r="F2271" s="35"/>
      <c r="G2271" s="35">
        <v>1000</v>
      </c>
      <c r="H2271" s="35"/>
      <c r="I2271" s="113">
        <f t="shared" si="140"/>
        <v>2616.5499999999993</v>
      </c>
      <c r="J2271" s="35"/>
      <c r="K2271" s="35"/>
      <c r="L2271" s="35"/>
      <c r="M2271" s="35"/>
      <c r="N2271" s="2">
        <f t="shared" si="141"/>
        <v>4</v>
      </c>
    </row>
    <row r="2272" spans="1:14" x14ac:dyDescent="0.25">
      <c r="A2272" s="49" t="s">
        <v>5077</v>
      </c>
      <c r="B2272" s="11" t="s">
        <v>5069</v>
      </c>
      <c r="C2272" s="7" t="s">
        <v>5072</v>
      </c>
      <c r="D2272" s="131"/>
      <c r="E2272" s="119" t="s">
        <v>16</v>
      </c>
      <c r="F2272" s="35"/>
      <c r="G2272" s="35"/>
      <c r="H2272" s="35">
        <v>100</v>
      </c>
      <c r="I2272" s="113">
        <f t="shared" si="140"/>
        <v>2516.5499999999993</v>
      </c>
      <c r="J2272" s="35"/>
      <c r="K2272" s="35"/>
      <c r="L2272" s="35"/>
      <c r="M2272" s="35"/>
      <c r="N2272" s="2">
        <f t="shared" si="141"/>
        <v>25.4</v>
      </c>
    </row>
    <row r="2273" spans="1:14" x14ac:dyDescent="0.25">
      <c r="A2273" s="49" t="s">
        <v>5077</v>
      </c>
      <c r="B2273" s="11" t="s">
        <v>5071</v>
      </c>
      <c r="C2273" s="7" t="s">
        <v>5073</v>
      </c>
      <c r="D2273" s="131"/>
      <c r="E2273" s="119" t="s">
        <v>14</v>
      </c>
      <c r="F2273" s="35"/>
      <c r="G2273" s="35"/>
      <c r="H2273" s="35">
        <v>100</v>
      </c>
      <c r="I2273" s="113">
        <f t="shared" si="140"/>
        <v>2416.5499999999993</v>
      </c>
      <c r="J2273" s="35" t="s">
        <v>5078</v>
      </c>
      <c r="K2273" s="35"/>
      <c r="L2273" s="35"/>
      <c r="M2273" s="35"/>
      <c r="N2273" s="2">
        <f t="shared" si="141"/>
        <v>25.4</v>
      </c>
    </row>
    <row r="2274" spans="1:14" x14ac:dyDescent="0.25">
      <c r="A2274" s="49">
        <v>45463</v>
      </c>
      <c r="B2274" s="150" t="s">
        <v>2365</v>
      </c>
      <c r="C2274" s="7" t="s">
        <v>5055</v>
      </c>
      <c r="D2274" s="131"/>
      <c r="E2274" s="119"/>
      <c r="F2274" s="35"/>
      <c r="G2274" s="35">
        <v>2200</v>
      </c>
      <c r="H2274" s="35"/>
      <c r="I2274" s="113">
        <f t="shared" si="140"/>
        <v>4616.5499999999993</v>
      </c>
      <c r="J2274" s="35"/>
      <c r="K2274" s="35"/>
      <c r="L2274" s="35"/>
      <c r="M2274" s="35"/>
      <c r="N2274" s="2">
        <f t="shared" si="141"/>
        <v>8.8000000000000007</v>
      </c>
    </row>
    <row r="2275" spans="1:14" x14ac:dyDescent="0.25">
      <c r="A2275" s="49">
        <v>45464</v>
      </c>
      <c r="B2275" s="11" t="s">
        <v>2247</v>
      </c>
      <c r="C2275" s="7" t="s">
        <v>5079</v>
      </c>
      <c r="D2275" s="131"/>
      <c r="E2275" s="119"/>
      <c r="F2275" s="35"/>
      <c r="G2275" s="35">
        <v>1000</v>
      </c>
      <c r="H2275" s="35"/>
      <c r="I2275" s="113">
        <f t="shared" si="140"/>
        <v>5616.5499999999993</v>
      </c>
      <c r="J2275" s="35"/>
      <c r="K2275" s="35"/>
      <c r="L2275" s="35"/>
      <c r="M2275" s="35"/>
      <c r="N2275" s="2">
        <f t="shared" si="141"/>
        <v>4</v>
      </c>
    </row>
    <row r="2276" spans="1:14" x14ac:dyDescent="0.25">
      <c r="A2276" s="49">
        <v>45464</v>
      </c>
      <c r="B2276" s="11" t="s">
        <v>2472</v>
      </c>
      <c r="C2276" t="s">
        <v>2280</v>
      </c>
      <c r="D2276" s="131"/>
      <c r="E2276" s="119"/>
      <c r="F2276" s="35"/>
      <c r="G2276" s="35"/>
      <c r="H2276" s="35">
        <v>5000</v>
      </c>
      <c r="I2276" s="113">
        <f t="shared" si="140"/>
        <v>616.54999999999927</v>
      </c>
      <c r="J2276" s="35"/>
      <c r="K2276" s="35"/>
      <c r="L2276" s="35"/>
      <c r="M2276" s="35"/>
      <c r="N2276" s="2">
        <f t="shared" si="141"/>
        <v>20</v>
      </c>
    </row>
    <row r="2277" spans="1:14" x14ac:dyDescent="0.25">
      <c r="A2277" s="49">
        <v>45464</v>
      </c>
      <c r="B2277" s="11" t="s">
        <v>4861</v>
      </c>
      <c r="C2277" s="7" t="s">
        <v>5080</v>
      </c>
      <c r="D2277" s="131"/>
      <c r="E2277" s="119"/>
      <c r="F2277" s="35"/>
      <c r="G2277" s="35">
        <v>1500</v>
      </c>
      <c r="H2277" s="35"/>
      <c r="I2277" s="113">
        <f t="shared" si="140"/>
        <v>2116.5499999999993</v>
      </c>
      <c r="J2277" s="35"/>
      <c r="K2277" s="35"/>
      <c r="L2277" s="35"/>
      <c r="M2277" s="35"/>
      <c r="N2277" s="2">
        <f t="shared" si="141"/>
        <v>6</v>
      </c>
    </row>
    <row r="2278" spans="1:14" x14ac:dyDescent="0.25">
      <c r="A2278" s="49">
        <v>45464</v>
      </c>
      <c r="B2278" s="11" t="s">
        <v>1163</v>
      </c>
      <c r="C2278" s="7" t="s">
        <v>4718</v>
      </c>
      <c r="D2278" s="131"/>
      <c r="E2278" s="119"/>
      <c r="F2278" s="35"/>
      <c r="G2278" s="35">
        <v>1500</v>
      </c>
      <c r="H2278" s="35"/>
      <c r="I2278" s="113">
        <f t="shared" si="140"/>
        <v>3616.5499999999993</v>
      </c>
      <c r="J2278" s="35"/>
      <c r="K2278" s="35"/>
      <c r="L2278" s="35"/>
      <c r="M2278" s="35"/>
      <c r="N2278" s="2">
        <f t="shared" si="141"/>
        <v>6</v>
      </c>
    </row>
    <row r="2279" spans="1:14" x14ac:dyDescent="0.25">
      <c r="A2279" s="49">
        <v>45464</v>
      </c>
      <c r="B2279" s="11" t="s">
        <v>1163</v>
      </c>
      <c r="C2279" s="7" t="s">
        <v>5081</v>
      </c>
      <c r="D2279" s="131"/>
      <c r="E2279" s="119"/>
      <c r="F2279" s="35"/>
      <c r="G2279" s="35">
        <v>700</v>
      </c>
      <c r="H2279" s="35"/>
      <c r="I2279" s="113">
        <f t="shared" si="140"/>
        <v>4316.5499999999993</v>
      </c>
      <c r="J2279" s="35"/>
      <c r="K2279" s="35"/>
      <c r="L2279" s="35"/>
      <c r="M2279" s="35"/>
      <c r="N2279" s="2">
        <f t="shared" si="141"/>
        <v>2.8000000000000003</v>
      </c>
    </row>
    <row r="2280" spans="1:14" x14ac:dyDescent="0.25">
      <c r="A2280" s="49">
        <v>45464</v>
      </c>
      <c r="B2280" s="11" t="s">
        <v>1253</v>
      </c>
      <c r="C2280" s="7" t="s">
        <v>2408</v>
      </c>
      <c r="D2280" s="131"/>
      <c r="E2280" s="119"/>
      <c r="F2280" s="35"/>
      <c r="G2280" s="35">
        <v>1500</v>
      </c>
      <c r="H2280" s="35"/>
      <c r="I2280" s="113">
        <f t="shared" si="140"/>
        <v>5816.5499999999993</v>
      </c>
      <c r="J2280" s="35"/>
      <c r="K2280" s="35"/>
      <c r="L2280" s="35"/>
      <c r="M2280" s="35"/>
      <c r="N2280" s="2">
        <f t="shared" si="141"/>
        <v>6</v>
      </c>
    </row>
    <row r="2281" spans="1:14" x14ac:dyDescent="0.25">
      <c r="A2281" s="49">
        <v>45464</v>
      </c>
      <c r="B2281" s="11" t="s">
        <v>2365</v>
      </c>
      <c r="C2281" s="7" t="s">
        <v>2487</v>
      </c>
      <c r="D2281" s="131"/>
      <c r="E2281" s="119"/>
      <c r="F2281" s="35"/>
      <c r="G2281" s="35">
        <v>2050</v>
      </c>
      <c r="H2281" s="35"/>
      <c r="I2281" s="113">
        <f t="shared" si="140"/>
        <v>7866.5499999999993</v>
      </c>
      <c r="J2281" s="35"/>
      <c r="K2281" s="35"/>
      <c r="L2281" s="35"/>
      <c r="M2281" s="35"/>
      <c r="N2281" s="2">
        <f t="shared" si="141"/>
        <v>8.1999999999999993</v>
      </c>
    </row>
    <row r="2282" spans="1:14" x14ac:dyDescent="0.25">
      <c r="A2282" s="49">
        <v>45464</v>
      </c>
      <c r="B2282" s="11" t="s">
        <v>2780</v>
      </c>
      <c r="C2282" s="7"/>
      <c r="D2282" s="131"/>
      <c r="E2282" s="119"/>
      <c r="F2282" s="35"/>
      <c r="G2282" s="35">
        <v>4000</v>
      </c>
      <c r="H2282" s="35"/>
      <c r="I2282" s="113">
        <f t="shared" si="140"/>
        <v>11866.55</v>
      </c>
      <c r="J2282" s="35"/>
      <c r="K2282" s="35"/>
      <c r="L2282" s="35"/>
      <c r="M2282" s="35"/>
      <c r="N2282" s="2">
        <f t="shared" si="141"/>
        <v>16</v>
      </c>
    </row>
    <row r="2283" spans="1:14" x14ac:dyDescent="0.25">
      <c r="A2283" s="49">
        <v>45465</v>
      </c>
      <c r="B2283" s="11" t="s">
        <v>5090</v>
      </c>
      <c r="C2283" s="7" t="s">
        <v>5088</v>
      </c>
      <c r="D2283" s="131"/>
      <c r="E2283" s="119" t="s">
        <v>16</v>
      </c>
      <c r="F2283" s="35"/>
      <c r="G2283" s="35"/>
      <c r="H2283" s="35">
        <v>2000</v>
      </c>
      <c r="I2283" s="113">
        <f t="shared" si="140"/>
        <v>9866.5499999999993</v>
      </c>
      <c r="J2283" s="35"/>
      <c r="K2283" s="35"/>
      <c r="L2283" s="35"/>
      <c r="M2283" s="35"/>
      <c r="N2283" s="2">
        <f t="shared" si="141"/>
        <v>33</v>
      </c>
    </row>
    <row r="2284" spans="1:14" x14ac:dyDescent="0.25">
      <c r="A2284" s="49">
        <v>45465</v>
      </c>
      <c r="B2284" s="11" t="s">
        <v>1253</v>
      </c>
      <c r="C2284" s="7" t="s">
        <v>2408</v>
      </c>
      <c r="D2284" s="131"/>
      <c r="E2284" s="119"/>
      <c r="F2284" s="35"/>
      <c r="G2284" s="35">
        <v>1400</v>
      </c>
      <c r="H2284" s="35"/>
      <c r="I2284" s="113">
        <f t="shared" si="140"/>
        <v>11266.55</v>
      </c>
      <c r="J2284" s="35"/>
      <c r="K2284" s="35"/>
      <c r="L2284" s="35"/>
      <c r="M2284" s="35"/>
      <c r="N2284" s="2">
        <f t="shared" si="141"/>
        <v>5.6000000000000005</v>
      </c>
    </row>
    <row r="2285" spans="1:14" x14ac:dyDescent="0.25">
      <c r="A2285" s="49">
        <v>45466</v>
      </c>
      <c r="B2285" s="11" t="s">
        <v>3276</v>
      </c>
      <c r="C2285" s="7" t="s">
        <v>5083</v>
      </c>
      <c r="D2285" s="131"/>
      <c r="E2285" s="119"/>
      <c r="F2285" s="35"/>
      <c r="G2285" s="35">
        <v>2000</v>
      </c>
      <c r="H2285" s="35"/>
      <c r="I2285" s="113">
        <f t="shared" si="140"/>
        <v>13266.55</v>
      </c>
      <c r="J2285" s="35"/>
      <c r="K2285" s="35"/>
      <c r="L2285" s="35"/>
      <c r="M2285" s="35"/>
      <c r="N2285" s="2">
        <f t="shared" si="141"/>
        <v>8</v>
      </c>
    </row>
    <row r="2286" spans="1:14" x14ac:dyDescent="0.25">
      <c r="A2286" s="49">
        <v>45466</v>
      </c>
      <c r="B2286" s="11" t="s">
        <v>2707</v>
      </c>
      <c r="C2286" s="7" t="s">
        <v>3132</v>
      </c>
      <c r="D2286" s="131"/>
      <c r="E2286" s="119"/>
      <c r="F2286" s="35"/>
      <c r="G2286" s="35"/>
      <c r="H2286" s="35">
        <v>10000</v>
      </c>
      <c r="I2286" s="113">
        <f t="shared" si="140"/>
        <v>3266.5499999999993</v>
      </c>
      <c r="J2286" s="35"/>
      <c r="K2286" s="35"/>
      <c r="L2286" s="35"/>
      <c r="M2286" s="35"/>
      <c r="N2286" s="2">
        <f t="shared" si="141"/>
        <v>20</v>
      </c>
    </row>
    <row r="2287" spans="1:14" x14ac:dyDescent="0.25">
      <c r="A2287" s="49">
        <v>45466</v>
      </c>
      <c r="B2287" s="11" t="s">
        <v>1163</v>
      </c>
      <c r="C2287" s="7"/>
      <c r="D2287" s="131"/>
      <c r="E2287" s="119"/>
      <c r="F2287" s="35"/>
      <c r="G2287" s="35">
        <v>1500</v>
      </c>
      <c r="H2287" s="35"/>
      <c r="I2287" s="113">
        <f t="shared" si="140"/>
        <v>4766.5499999999993</v>
      </c>
      <c r="J2287" s="35"/>
      <c r="K2287" s="35"/>
      <c r="L2287" s="35"/>
      <c r="M2287" s="35"/>
      <c r="N2287" s="2">
        <f t="shared" si="141"/>
        <v>6</v>
      </c>
    </row>
    <row r="2288" spans="1:14" x14ac:dyDescent="0.25">
      <c r="A2288" s="49">
        <v>45467</v>
      </c>
      <c r="B2288" s="11" t="s">
        <v>5089</v>
      </c>
      <c r="C2288" s="7" t="s">
        <v>4621</v>
      </c>
      <c r="D2288" s="131"/>
      <c r="E2288" s="119" t="s">
        <v>16</v>
      </c>
      <c r="F2288" s="35"/>
      <c r="G2288" s="35"/>
      <c r="H2288" s="35">
        <v>2100</v>
      </c>
      <c r="I2288" s="113">
        <f t="shared" si="140"/>
        <v>2666.5499999999993</v>
      </c>
      <c r="J2288" s="35"/>
      <c r="K2288" s="35"/>
      <c r="L2288" s="35"/>
      <c r="M2288" s="35"/>
      <c r="N2288" s="2">
        <f t="shared" si="141"/>
        <v>33.4</v>
      </c>
    </row>
    <row r="2289" spans="1:14" x14ac:dyDescent="0.25">
      <c r="A2289" s="49">
        <v>45467</v>
      </c>
      <c r="B2289" s="11" t="s">
        <v>5091</v>
      </c>
      <c r="C2289" s="7" t="s">
        <v>5092</v>
      </c>
      <c r="D2289" s="131"/>
      <c r="E2289" s="119"/>
      <c r="F2289" s="35"/>
      <c r="G2289" s="35">
        <v>2000</v>
      </c>
      <c r="H2289" s="35"/>
      <c r="I2289" s="113">
        <f t="shared" si="140"/>
        <v>4666.5499999999993</v>
      </c>
      <c r="J2289" s="35"/>
      <c r="K2289" s="35"/>
      <c r="L2289" s="35"/>
      <c r="M2289" s="35"/>
      <c r="N2289" s="2">
        <f t="shared" si="141"/>
        <v>8</v>
      </c>
    </row>
    <row r="2290" spans="1:14" x14ac:dyDescent="0.25">
      <c r="A2290" s="49">
        <v>45467</v>
      </c>
      <c r="B2290" s="11" t="s">
        <v>5094</v>
      </c>
      <c r="C2290" s="7" t="s">
        <v>5098</v>
      </c>
      <c r="D2290" s="131"/>
      <c r="E2290" s="119" t="s">
        <v>16</v>
      </c>
      <c r="F2290" s="35"/>
      <c r="G2290" s="35"/>
      <c r="H2290" s="35">
        <v>100</v>
      </c>
      <c r="I2290" s="113">
        <f t="shared" si="140"/>
        <v>4566.5499999999993</v>
      </c>
      <c r="J2290" s="35"/>
      <c r="K2290" s="35"/>
      <c r="L2290" s="35"/>
      <c r="M2290" s="35"/>
      <c r="N2290" s="2">
        <f t="shared" si="141"/>
        <v>25.4</v>
      </c>
    </row>
    <row r="2291" spans="1:14" x14ac:dyDescent="0.25">
      <c r="A2291" s="49">
        <v>45467</v>
      </c>
      <c r="B2291" s="11" t="s">
        <v>1253</v>
      </c>
      <c r="C2291" s="7" t="s">
        <v>179</v>
      </c>
      <c r="D2291" s="131"/>
      <c r="E2291" s="119"/>
      <c r="F2291" s="35"/>
      <c r="G2291" s="35">
        <v>8000</v>
      </c>
      <c r="H2291" s="35"/>
      <c r="I2291" s="113">
        <f t="shared" si="140"/>
        <v>12566.55</v>
      </c>
      <c r="J2291" s="35"/>
      <c r="K2291" s="35"/>
      <c r="L2291" s="35"/>
      <c r="M2291" s="35"/>
      <c r="N2291" s="2">
        <f t="shared" si="141"/>
        <v>20</v>
      </c>
    </row>
    <row r="2292" spans="1:14" x14ac:dyDescent="0.25">
      <c r="A2292" s="49">
        <v>45467</v>
      </c>
      <c r="B2292" s="11" t="s">
        <v>1253</v>
      </c>
      <c r="C2292" s="7" t="s">
        <v>4139</v>
      </c>
      <c r="D2292" s="131"/>
      <c r="E2292" s="119"/>
      <c r="F2292" s="35"/>
      <c r="G2292" s="35">
        <v>500</v>
      </c>
      <c r="H2292" s="35"/>
      <c r="I2292" s="113">
        <f t="shared" si="140"/>
        <v>13066.55</v>
      </c>
      <c r="J2292" s="35"/>
      <c r="K2292" s="35"/>
      <c r="L2292" s="35"/>
      <c r="M2292" s="35"/>
      <c r="N2292" s="2">
        <f t="shared" si="141"/>
        <v>2</v>
      </c>
    </row>
    <row r="2293" spans="1:14" x14ac:dyDescent="0.25">
      <c r="A2293" s="49">
        <v>45467</v>
      </c>
      <c r="B2293" s="11" t="s">
        <v>5099</v>
      </c>
      <c r="C2293" s="7" t="s">
        <v>4916</v>
      </c>
      <c r="D2293" s="131"/>
      <c r="E2293" s="119"/>
      <c r="F2293" s="35"/>
      <c r="G2293" s="35"/>
      <c r="H2293" s="35">
        <v>10000</v>
      </c>
      <c r="I2293" s="113">
        <f t="shared" si="140"/>
        <v>3066.5499999999993</v>
      </c>
      <c r="J2293" s="35"/>
      <c r="K2293" s="35"/>
      <c r="L2293" s="35"/>
      <c r="M2293" s="35"/>
      <c r="N2293" s="2">
        <f t="shared" si="141"/>
        <v>20</v>
      </c>
    </row>
    <row r="2294" spans="1:14" x14ac:dyDescent="0.25">
      <c r="A2294" s="49">
        <v>45467</v>
      </c>
      <c r="B2294" s="11" t="s">
        <v>1253</v>
      </c>
      <c r="C2294" s="7" t="s">
        <v>1786</v>
      </c>
      <c r="D2294" s="131"/>
      <c r="E2294" s="119"/>
      <c r="F2294" s="35"/>
      <c r="G2294" s="35">
        <v>500</v>
      </c>
      <c r="H2294" s="35"/>
      <c r="I2294" s="113">
        <f t="shared" si="140"/>
        <v>3566.5499999999993</v>
      </c>
      <c r="J2294" s="35"/>
      <c r="K2294" s="35"/>
      <c r="L2294" s="35"/>
      <c r="M2294" s="35"/>
      <c r="N2294" s="2">
        <f t="shared" si="141"/>
        <v>2</v>
      </c>
    </row>
    <row r="2295" spans="1:14" x14ac:dyDescent="0.25">
      <c r="A2295" s="49">
        <v>45468</v>
      </c>
      <c r="B2295" s="11" t="s">
        <v>5103</v>
      </c>
      <c r="C2295" s="7" t="s">
        <v>5101</v>
      </c>
      <c r="D2295" s="131"/>
      <c r="E2295" s="119" t="s">
        <v>16</v>
      </c>
      <c r="F2295" s="35"/>
      <c r="G2295" s="35"/>
      <c r="H2295" s="35">
        <v>100</v>
      </c>
      <c r="I2295" s="113">
        <f t="shared" si="140"/>
        <v>3466.5499999999993</v>
      </c>
      <c r="J2295" s="35"/>
      <c r="K2295" s="35"/>
      <c r="L2295" s="35"/>
      <c r="M2295" s="35"/>
      <c r="N2295" s="2">
        <f t="shared" si="141"/>
        <v>25.4</v>
      </c>
    </row>
    <row r="2296" spans="1:14" x14ac:dyDescent="0.25">
      <c r="A2296" s="49">
        <v>45468</v>
      </c>
      <c r="B2296" s="11" t="s">
        <v>5104</v>
      </c>
      <c r="C2296" s="7" t="s">
        <v>225</v>
      </c>
      <c r="D2296" s="131"/>
      <c r="E2296" s="119"/>
      <c r="F2296" s="35"/>
      <c r="G2296" s="35">
        <v>1500</v>
      </c>
      <c r="H2296" s="35"/>
      <c r="I2296" s="113">
        <f t="shared" si="140"/>
        <v>4966.5499999999993</v>
      </c>
      <c r="J2296" s="35"/>
      <c r="K2296" s="35"/>
      <c r="L2296" s="35"/>
      <c r="M2296" s="35"/>
      <c r="N2296" s="2">
        <f t="shared" si="141"/>
        <v>6</v>
      </c>
    </row>
    <row r="2297" spans="1:14" x14ac:dyDescent="0.25">
      <c r="A2297" s="49">
        <v>45468</v>
      </c>
      <c r="B2297" s="11" t="s">
        <v>5107</v>
      </c>
      <c r="C2297" s="7" t="s">
        <v>5110</v>
      </c>
      <c r="D2297" s="131"/>
      <c r="E2297" s="119" t="s">
        <v>16</v>
      </c>
      <c r="F2297" s="35"/>
      <c r="G2297" s="35"/>
      <c r="H2297" s="35">
        <v>200</v>
      </c>
      <c r="I2297" s="113">
        <f t="shared" si="140"/>
        <v>4766.5499999999993</v>
      </c>
      <c r="J2297" s="35"/>
      <c r="K2297" s="35"/>
      <c r="L2297" s="35"/>
      <c r="M2297" s="35"/>
      <c r="N2297" s="2">
        <f t="shared" si="141"/>
        <v>25.8</v>
      </c>
    </row>
    <row r="2298" spans="1:14" x14ac:dyDescent="0.25">
      <c r="A2298" s="49">
        <v>45468</v>
      </c>
      <c r="B2298" s="11" t="s">
        <v>1163</v>
      </c>
      <c r="C2298" s="7" t="s">
        <v>5111</v>
      </c>
      <c r="D2298" s="131"/>
      <c r="E2298" s="119"/>
      <c r="F2298" s="35"/>
      <c r="G2298" s="35">
        <v>1000</v>
      </c>
      <c r="H2298" s="35"/>
      <c r="I2298" s="113">
        <f t="shared" si="140"/>
        <v>5766.5499999999993</v>
      </c>
      <c r="J2298" s="35"/>
      <c r="K2298" s="35"/>
      <c r="L2298" s="35"/>
      <c r="M2298" s="35"/>
      <c r="N2298" s="2">
        <f t="shared" si="141"/>
        <v>4</v>
      </c>
    </row>
    <row r="2299" spans="1:14" x14ac:dyDescent="0.25">
      <c r="A2299" s="49">
        <v>45469</v>
      </c>
      <c r="B2299" s="11" t="s">
        <v>1253</v>
      </c>
      <c r="C2299" s="7" t="s">
        <v>2408</v>
      </c>
      <c r="D2299" s="131"/>
      <c r="E2299" s="119"/>
      <c r="F2299" s="35"/>
      <c r="G2299" s="35">
        <v>1500</v>
      </c>
      <c r="H2299" s="35"/>
      <c r="I2299" s="113">
        <f t="shared" si="140"/>
        <v>7266.5499999999993</v>
      </c>
      <c r="J2299" s="35"/>
      <c r="K2299" s="35"/>
      <c r="L2299" s="35"/>
      <c r="M2299" s="35"/>
      <c r="N2299" s="2">
        <f t="shared" si="141"/>
        <v>6</v>
      </c>
    </row>
    <row r="2300" spans="1:14" x14ac:dyDescent="0.25">
      <c r="A2300" s="49">
        <v>45470</v>
      </c>
      <c r="B2300" s="11" t="s">
        <v>5116</v>
      </c>
      <c r="D2300" s="131"/>
      <c r="E2300" s="119" t="s">
        <v>16</v>
      </c>
      <c r="F2300" s="35"/>
      <c r="G2300" s="35"/>
      <c r="H2300" s="35">
        <v>2000</v>
      </c>
      <c r="I2300" s="113">
        <f t="shared" si="140"/>
        <v>5266.5499999999993</v>
      </c>
      <c r="J2300" s="35"/>
      <c r="K2300" s="35"/>
      <c r="L2300" s="35"/>
      <c r="M2300" s="35"/>
      <c r="N2300" s="2">
        <f t="shared" si="141"/>
        <v>33</v>
      </c>
    </row>
    <row r="2301" spans="1:14" x14ac:dyDescent="0.25">
      <c r="A2301" s="49">
        <v>45470</v>
      </c>
      <c r="B2301" s="11" t="s">
        <v>2721</v>
      </c>
      <c r="C2301" s="7" t="s">
        <v>1282</v>
      </c>
      <c r="D2301" s="131"/>
      <c r="E2301" s="119"/>
      <c r="F2301" s="35"/>
      <c r="G2301" s="35"/>
      <c r="H2301" s="35">
        <v>4500</v>
      </c>
      <c r="I2301" s="113">
        <f t="shared" si="140"/>
        <v>766.54999999999927</v>
      </c>
      <c r="J2301" s="35"/>
      <c r="K2301" s="35"/>
      <c r="L2301" s="35"/>
      <c r="M2301" s="35"/>
      <c r="N2301" s="2">
        <f t="shared" si="141"/>
        <v>18</v>
      </c>
    </row>
    <row r="2302" spans="1:14" x14ac:dyDescent="0.25">
      <c r="A2302" s="49">
        <v>45471</v>
      </c>
      <c r="B2302" s="11" t="s">
        <v>1253</v>
      </c>
      <c r="C2302" s="7" t="s">
        <v>3717</v>
      </c>
      <c r="D2302" s="131"/>
      <c r="E2302" s="119"/>
      <c r="F2302" s="35"/>
      <c r="G2302" s="35">
        <v>300</v>
      </c>
      <c r="H2302" s="35"/>
      <c r="I2302" s="113">
        <f t="shared" si="140"/>
        <v>1066.5499999999993</v>
      </c>
      <c r="J2302" s="35"/>
      <c r="K2302" s="35"/>
      <c r="L2302" s="35"/>
      <c r="M2302" s="35"/>
      <c r="N2302" s="2">
        <f t="shared" si="141"/>
        <v>1.2</v>
      </c>
    </row>
    <row r="2303" spans="1:14" x14ac:dyDescent="0.25">
      <c r="A2303" s="49">
        <v>45471</v>
      </c>
      <c r="B2303" s="11" t="s">
        <v>5119</v>
      </c>
      <c r="C2303" s="7" t="s">
        <v>313</v>
      </c>
      <c r="D2303" s="131"/>
      <c r="E2303" s="119" t="s">
        <v>16</v>
      </c>
      <c r="F2303" s="35"/>
      <c r="G2303" s="35"/>
      <c r="H2303" s="35">
        <v>100</v>
      </c>
      <c r="I2303" s="113">
        <f t="shared" si="140"/>
        <v>966.54999999999927</v>
      </c>
      <c r="J2303" s="35"/>
      <c r="K2303" s="35"/>
      <c r="L2303" s="35"/>
      <c r="M2303" s="35"/>
      <c r="N2303" s="2">
        <f t="shared" si="141"/>
        <v>25.4</v>
      </c>
    </row>
    <row r="2304" spans="1:14" x14ac:dyDescent="0.25">
      <c r="A2304" s="49">
        <v>45471</v>
      </c>
      <c r="B2304" s="11" t="s">
        <v>1253</v>
      </c>
      <c r="C2304" s="7" t="s">
        <v>2408</v>
      </c>
      <c r="D2304" s="131"/>
      <c r="E2304" s="119"/>
      <c r="F2304" s="35"/>
      <c r="G2304" s="35">
        <v>2450</v>
      </c>
      <c r="H2304" s="35"/>
      <c r="I2304" s="113">
        <f t="shared" si="140"/>
        <v>3416.5499999999993</v>
      </c>
      <c r="J2304" s="35"/>
      <c r="K2304" s="35"/>
      <c r="L2304" s="35"/>
      <c r="M2304" s="35"/>
      <c r="N2304" s="2">
        <f t="shared" si="141"/>
        <v>9.8000000000000007</v>
      </c>
    </row>
    <row r="2305" spans="1:14" x14ac:dyDescent="0.25">
      <c r="A2305" s="49">
        <v>45471</v>
      </c>
      <c r="B2305" s="11" t="s">
        <v>5126</v>
      </c>
      <c r="C2305" s="7" t="s">
        <v>5124</v>
      </c>
      <c r="D2305" s="131"/>
      <c r="E2305" s="119" t="s">
        <v>16</v>
      </c>
      <c r="F2305" s="35"/>
      <c r="G2305" s="35"/>
      <c r="H2305" s="35">
        <v>2000</v>
      </c>
      <c r="I2305" s="113">
        <f t="shared" si="140"/>
        <v>1416.5499999999993</v>
      </c>
      <c r="J2305" s="35"/>
      <c r="K2305" s="35"/>
      <c r="L2305" s="35"/>
      <c r="M2305" s="35"/>
      <c r="N2305" s="2">
        <f t="shared" si="141"/>
        <v>33</v>
      </c>
    </row>
    <row r="2306" spans="1:14" x14ac:dyDescent="0.25">
      <c r="A2306" s="49">
        <v>45471</v>
      </c>
      <c r="B2306" s="11" t="s">
        <v>1163</v>
      </c>
      <c r="C2306" s="7" t="s">
        <v>3415</v>
      </c>
      <c r="D2306" s="131"/>
      <c r="E2306" s="119"/>
      <c r="F2306" s="35"/>
      <c r="G2306" s="35"/>
      <c r="H2306" s="35">
        <v>1000</v>
      </c>
      <c r="I2306" s="113">
        <f t="shared" si="140"/>
        <v>416.54999999999927</v>
      </c>
      <c r="J2306" s="35"/>
      <c r="K2306" s="35"/>
      <c r="L2306" s="35"/>
      <c r="M2306" s="35"/>
      <c r="N2306" s="2">
        <f t="shared" si="141"/>
        <v>4</v>
      </c>
    </row>
    <row r="2307" spans="1:14" x14ac:dyDescent="0.25">
      <c r="A2307" s="49">
        <v>45471</v>
      </c>
      <c r="B2307" s="11" t="s">
        <v>1163</v>
      </c>
      <c r="C2307" s="7" t="s">
        <v>1163</v>
      </c>
      <c r="D2307" s="131"/>
      <c r="E2307" s="119"/>
      <c r="F2307" s="35"/>
      <c r="G2307" s="35">
        <v>1000</v>
      </c>
      <c r="H2307" s="35"/>
      <c r="I2307" s="113">
        <f t="shared" si="140"/>
        <v>1416.5499999999993</v>
      </c>
      <c r="J2307" s="35"/>
      <c r="K2307" s="35"/>
      <c r="L2307" s="35"/>
      <c r="M2307" s="35"/>
      <c r="N2307" s="2">
        <f t="shared" si="141"/>
        <v>4</v>
      </c>
    </row>
    <row r="2308" spans="1:14" x14ac:dyDescent="0.25">
      <c r="A2308" s="49">
        <v>45472</v>
      </c>
      <c r="C2308" s="7" t="s">
        <v>2927</v>
      </c>
      <c r="D2308" s="131"/>
      <c r="E2308" s="119"/>
      <c r="F2308" s="35"/>
      <c r="G2308" s="35">
        <v>8000</v>
      </c>
      <c r="H2308" s="35"/>
      <c r="I2308" s="113">
        <f t="shared" si="140"/>
        <v>9416.5499999999993</v>
      </c>
      <c r="J2308" s="35"/>
      <c r="K2308" s="35"/>
      <c r="L2308" s="35"/>
      <c r="M2308" s="35"/>
      <c r="N2308" s="2">
        <v>0</v>
      </c>
    </row>
    <row r="2309" spans="1:14" x14ac:dyDescent="0.25">
      <c r="A2309" s="49">
        <v>45472</v>
      </c>
      <c r="B2309" s="11" t="s">
        <v>5132</v>
      </c>
      <c r="C2309" t="s">
        <v>5127</v>
      </c>
      <c r="D2309" s="131"/>
      <c r="E2309" s="119"/>
      <c r="F2309" s="35"/>
      <c r="G2309" s="35"/>
      <c r="H2309" s="35">
        <v>6000</v>
      </c>
      <c r="I2309" s="113">
        <f t="shared" si="140"/>
        <v>3416.5499999999993</v>
      </c>
      <c r="J2309" s="35"/>
      <c r="K2309" s="35"/>
      <c r="L2309" s="35"/>
      <c r="M2309" s="35"/>
      <c r="N2309" s="2">
        <f t="shared" si="141"/>
        <v>20</v>
      </c>
    </row>
    <row r="2310" spans="1:14" x14ac:dyDescent="0.25">
      <c r="A2310" s="49">
        <v>45472</v>
      </c>
      <c r="B2310" s="11" t="s">
        <v>1253</v>
      </c>
      <c r="C2310" s="7" t="s">
        <v>3705</v>
      </c>
      <c r="D2310" s="131"/>
      <c r="E2310" s="119"/>
      <c r="F2310" s="35"/>
      <c r="G2310" s="35">
        <v>4000</v>
      </c>
      <c r="H2310" s="35"/>
      <c r="I2310" s="113">
        <f t="shared" si="140"/>
        <v>7416.5499999999993</v>
      </c>
      <c r="J2310" s="35"/>
      <c r="K2310" s="35"/>
      <c r="L2310" s="35"/>
      <c r="M2310" s="35"/>
      <c r="N2310" s="2">
        <f t="shared" si="141"/>
        <v>16</v>
      </c>
    </row>
    <row r="2311" spans="1:14" x14ac:dyDescent="0.25">
      <c r="A2311" s="97">
        <f>COUNT(A2238:A2310)</f>
        <v>69</v>
      </c>
      <c r="B2311" s="102"/>
      <c r="C2311" s="27"/>
      <c r="D2311" s="139"/>
      <c r="E2311" s="117">
        <f>COUNTIF(E2237:E2310,"Y")</f>
        <v>12</v>
      </c>
      <c r="F2311" s="97">
        <f>G2311+H2311</f>
        <v>196690</v>
      </c>
      <c r="G2311" s="102">
        <f>SUM(G2238:G2310)</f>
        <v>99090</v>
      </c>
      <c r="H2311" s="102">
        <f>SUM(H2238:H2310)</f>
        <v>97600</v>
      </c>
      <c r="I2311" s="102"/>
      <c r="J2311" s="102"/>
      <c r="K2311" s="102"/>
      <c r="L2311" s="102"/>
      <c r="M2311" s="102"/>
      <c r="N2311" s="102">
        <f>SUM(N2238:N2310)</f>
        <v>938.75999999999988</v>
      </c>
    </row>
    <row r="2313" spans="1:14" x14ac:dyDescent="0.25">
      <c r="A2313" s="49">
        <v>45474</v>
      </c>
      <c r="C2313" s="7" t="s">
        <v>2870</v>
      </c>
      <c r="D2313" s="131"/>
      <c r="E2313" s="119"/>
      <c r="F2313" s="35"/>
      <c r="G2313" s="35">
        <v>7416.55</v>
      </c>
      <c r="H2313" s="35"/>
      <c r="I2313" s="113">
        <f t="shared" ref="I2313:I2439" si="142">I2312+G2313-H2313</f>
        <v>7416.55</v>
      </c>
      <c r="J2313" s="35"/>
      <c r="K2313" s="35"/>
      <c r="L2313" s="35"/>
      <c r="M2313" s="35"/>
    </row>
    <row r="2314" spans="1:14" x14ac:dyDescent="0.25">
      <c r="A2314" s="49">
        <v>45474</v>
      </c>
      <c r="C2314" s="7" t="s">
        <v>4120</v>
      </c>
      <c r="D2314" s="131"/>
      <c r="E2314" s="119"/>
      <c r="F2314" s="35"/>
      <c r="G2314" s="35">
        <v>10000</v>
      </c>
      <c r="H2314" s="35"/>
      <c r="I2314" s="113">
        <f t="shared" si="142"/>
        <v>17416.55</v>
      </c>
      <c r="J2314" s="35"/>
      <c r="K2314" s="35"/>
      <c r="L2314" s="35"/>
      <c r="M2314" s="35"/>
      <c r="N2314" s="2">
        <f t="shared" ref="N2314:N2441" si="143">IF((G2314+H2314)&lt;=5000,(H2314+G2314)*0.004,20)+IF(E2314="Y",25,0)</f>
        <v>20</v>
      </c>
    </row>
    <row r="2315" spans="1:14" x14ac:dyDescent="0.25">
      <c r="A2315" s="49">
        <v>45474</v>
      </c>
      <c r="C2315" s="7"/>
      <c r="D2315" s="131"/>
      <c r="E2315" s="119"/>
      <c r="F2315" s="35"/>
      <c r="G2315" s="35">
        <v>1000</v>
      </c>
      <c r="H2315" s="35"/>
      <c r="I2315" s="113">
        <f t="shared" si="142"/>
        <v>18416.55</v>
      </c>
      <c r="J2315" s="35"/>
      <c r="K2315" s="35"/>
      <c r="L2315" s="35"/>
      <c r="M2315" s="35"/>
      <c r="N2315" s="2">
        <f t="shared" si="143"/>
        <v>4</v>
      </c>
    </row>
    <row r="2316" spans="1:14" x14ac:dyDescent="0.25">
      <c r="A2316" s="49">
        <v>45474</v>
      </c>
      <c r="B2316" s="11" t="s">
        <v>5141</v>
      </c>
      <c r="C2316" s="7" t="s">
        <v>5140</v>
      </c>
      <c r="D2316" s="131"/>
      <c r="E2316" s="119" t="s">
        <v>16</v>
      </c>
      <c r="F2316" s="35"/>
      <c r="G2316" s="35"/>
      <c r="H2316" s="35">
        <v>200</v>
      </c>
      <c r="I2316" s="113">
        <f t="shared" si="142"/>
        <v>18216.55</v>
      </c>
      <c r="J2316" s="35"/>
      <c r="K2316" s="35"/>
      <c r="L2316" s="35"/>
      <c r="M2316" s="35"/>
      <c r="N2316" s="2">
        <f t="shared" si="143"/>
        <v>25.8</v>
      </c>
    </row>
    <row r="2317" spans="1:14" x14ac:dyDescent="0.25">
      <c r="A2317" s="49">
        <v>45474</v>
      </c>
      <c r="B2317" s="11" t="s">
        <v>5104</v>
      </c>
      <c r="C2317" t="s">
        <v>225</v>
      </c>
      <c r="D2317" s="131"/>
      <c r="E2317" s="119"/>
      <c r="F2317" s="35"/>
      <c r="G2317" s="35">
        <v>2000</v>
      </c>
      <c r="H2317" s="35"/>
      <c r="I2317" s="113">
        <f t="shared" si="142"/>
        <v>20216.55</v>
      </c>
      <c r="J2317" s="35"/>
      <c r="K2317" s="35"/>
      <c r="L2317" s="35"/>
      <c r="M2317" s="35"/>
      <c r="N2317" s="2">
        <f t="shared" si="143"/>
        <v>8</v>
      </c>
    </row>
    <row r="2318" spans="1:14" x14ac:dyDescent="0.25">
      <c r="A2318" s="49">
        <v>45474</v>
      </c>
      <c r="B2318" s="11" t="s">
        <v>5143</v>
      </c>
      <c r="C2318" s="7" t="s">
        <v>5144</v>
      </c>
      <c r="D2318" s="131"/>
      <c r="E2318" s="119" t="s">
        <v>14</v>
      </c>
      <c r="F2318" s="35"/>
      <c r="G2318" s="35"/>
      <c r="H2318" s="35">
        <v>450</v>
      </c>
      <c r="I2318" s="113">
        <f t="shared" si="142"/>
        <v>19766.55</v>
      </c>
      <c r="J2318" s="35"/>
      <c r="K2318" s="35"/>
      <c r="L2318" s="35"/>
      <c r="M2318" s="35"/>
      <c r="N2318" s="2">
        <f t="shared" si="143"/>
        <v>26.8</v>
      </c>
    </row>
    <row r="2319" spans="1:14" x14ac:dyDescent="0.25">
      <c r="A2319" s="49">
        <v>45475</v>
      </c>
      <c r="B2319" s="11" t="s">
        <v>2748</v>
      </c>
      <c r="C2319" s="7" t="s">
        <v>1282</v>
      </c>
      <c r="D2319" s="131"/>
      <c r="E2319" s="119"/>
      <c r="F2319" s="35"/>
      <c r="G2319" s="35"/>
      <c r="H2319" s="35">
        <v>10000</v>
      </c>
      <c r="I2319" s="113">
        <f t="shared" si="142"/>
        <v>9766.5499999999993</v>
      </c>
      <c r="J2319" s="35"/>
      <c r="K2319" s="35"/>
      <c r="L2319" s="35"/>
      <c r="M2319" s="35"/>
      <c r="N2319" s="2">
        <f t="shared" si="143"/>
        <v>20</v>
      </c>
    </row>
    <row r="2320" spans="1:14" x14ac:dyDescent="0.25">
      <c r="A2320" s="49">
        <v>45475</v>
      </c>
      <c r="B2320" s="11" t="s">
        <v>1253</v>
      </c>
      <c r="C2320" s="7" t="s">
        <v>5151</v>
      </c>
      <c r="D2320" s="131"/>
      <c r="E2320" s="119"/>
      <c r="F2320" s="35"/>
      <c r="G2320" s="35">
        <v>4500</v>
      </c>
      <c r="H2320" s="35"/>
      <c r="I2320" s="113">
        <f t="shared" si="142"/>
        <v>14266.55</v>
      </c>
      <c r="J2320" s="35"/>
      <c r="K2320" s="35"/>
      <c r="L2320" s="35"/>
      <c r="M2320" s="35"/>
      <c r="N2320" s="2">
        <f t="shared" si="143"/>
        <v>18</v>
      </c>
    </row>
    <row r="2321" spans="1:14" x14ac:dyDescent="0.25">
      <c r="A2321" s="49">
        <v>45476</v>
      </c>
      <c r="B2321" s="11" t="s">
        <v>2767</v>
      </c>
      <c r="C2321" s="7" t="s">
        <v>2816</v>
      </c>
      <c r="E2321" s="119"/>
      <c r="F2321" s="35"/>
      <c r="G2321" s="35"/>
      <c r="H2321" s="35">
        <v>1500</v>
      </c>
      <c r="I2321" s="113">
        <f t="shared" si="142"/>
        <v>12766.55</v>
      </c>
      <c r="J2321" s="35"/>
      <c r="K2321" s="35"/>
      <c r="L2321" s="35"/>
      <c r="M2321" s="35"/>
      <c r="N2321" s="2">
        <f t="shared" si="143"/>
        <v>6</v>
      </c>
    </row>
    <row r="2322" spans="1:14" x14ac:dyDescent="0.25">
      <c r="A2322" s="3">
        <v>45476</v>
      </c>
      <c r="B2322" s="11" t="s">
        <v>5155</v>
      </c>
      <c r="C2322" s="7" t="s">
        <v>5158</v>
      </c>
      <c r="E2322" s="119" t="s">
        <v>16</v>
      </c>
      <c r="F2322" s="35"/>
      <c r="G2322" s="35"/>
      <c r="H2322" s="35">
        <v>200</v>
      </c>
      <c r="I2322" s="113">
        <f t="shared" si="142"/>
        <v>12566.55</v>
      </c>
      <c r="J2322" s="35"/>
      <c r="K2322" s="35"/>
      <c r="L2322" s="35"/>
      <c r="M2322" s="35"/>
      <c r="N2322" s="2">
        <f t="shared" si="143"/>
        <v>25.8</v>
      </c>
    </row>
    <row r="2323" spans="1:14" x14ac:dyDescent="0.25">
      <c r="A2323" s="3">
        <v>45476</v>
      </c>
      <c r="B2323" s="11" t="s">
        <v>5156</v>
      </c>
      <c r="C2323" s="7" t="s">
        <v>5157</v>
      </c>
      <c r="D2323" s="131"/>
      <c r="E2323" s="119" t="s">
        <v>16</v>
      </c>
      <c r="F2323" s="35"/>
      <c r="G2323" s="35"/>
      <c r="H2323" s="35">
        <v>200</v>
      </c>
      <c r="I2323" s="113">
        <f t="shared" si="142"/>
        <v>12366.55</v>
      </c>
      <c r="J2323" s="35"/>
      <c r="K2323" s="35"/>
      <c r="L2323" s="35"/>
      <c r="M2323" s="35"/>
      <c r="N2323" s="2">
        <f t="shared" si="143"/>
        <v>25.8</v>
      </c>
    </row>
    <row r="2324" spans="1:14" x14ac:dyDescent="0.25">
      <c r="A2324" s="3">
        <v>45476</v>
      </c>
      <c r="B2324" s="11" t="s">
        <v>1253</v>
      </c>
      <c r="C2324" s="7" t="s">
        <v>5160</v>
      </c>
      <c r="D2324" s="131"/>
      <c r="E2324" s="119"/>
      <c r="F2324" s="35"/>
      <c r="G2324" s="35">
        <v>10000</v>
      </c>
      <c r="H2324" s="35"/>
      <c r="I2324" s="113">
        <f t="shared" si="142"/>
        <v>22366.55</v>
      </c>
      <c r="J2324" s="35"/>
      <c r="K2324" s="35"/>
      <c r="L2324" s="35"/>
      <c r="M2324" s="35"/>
      <c r="N2324" s="2">
        <f t="shared" si="143"/>
        <v>20</v>
      </c>
    </row>
    <row r="2325" spans="1:14" x14ac:dyDescent="0.25">
      <c r="A2325" s="3">
        <v>45476</v>
      </c>
      <c r="B2325" s="11" t="s">
        <v>5162</v>
      </c>
      <c r="C2325" s="7" t="s">
        <v>5163</v>
      </c>
      <c r="D2325" s="131"/>
      <c r="E2325" s="119" t="s">
        <v>16</v>
      </c>
      <c r="F2325" s="35"/>
      <c r="G2325" s="35"/>
      <c r="H2325" s="35">
        <v>500</v>
      </c>
      <c r="I2325" s="113">
        <f t="shared" si="142"/>
        <v>21866.55</v>
      </c>
      <c r="J2325" s="35"/>
      <c r="K2325" s="35"/>
      <c r="L2325" s="35"/>
      <c r="M2325" s="35"/>
      <c r="N2325" s="2">
        <f t="shared" si="143"/>
        <v>27</v>
      </c>
    </row>
    <row r="2326" spans="1:14" x14ac:dyDescent="0.25">
      <c r="A2326" s="3">
        <v>45476</v>
      </c>
      <c r="B2326" s="11" t="s">
        <v>1253</v>
      </c>
      <c r="C2326" s="7" t="s">
        <v>2467</v>
      </c>
      <c r="D2326" s="131"/>
      <c r="E2326" s="119"/>
      <c r="F2326" s="35"/>
      <c r="G2326" s="35">
        <v>600</v>
      </c>
      <c r="H2326" s="35"/>
      <c r="I2326" s="113">
        <f t="shared" si="142"/>
        <v>22466.55</v>
      </c>
      <c r="J2326" s="35"/>
      <c r="K2326" s="35"/>
      <c r="L2326" s="35"/>
      <c r="M2326" s="35"/>
      <c r="N2326" s="2">
        <f t="shared" si="143"/>
        <v>2.4</v>
      </c>
    </row>
    <row r="2327" spans="1:14" x14ac:dyDescent="0.25">
      <c r="A2327" s="49">
        <v>45477</v>
      </c>
      <c r="B2327" s="11" t="s">
        <v>5165</v>
      </c>
      <c r="C2327" s="7" t="s">
        <v>3080</v>
      </c>
      <c r="D2327" s="131"/>
      <c r="E2327" s="119"/>
      <c r="F2327" s="35"/>
      <c r="G2327" s="35">
        <v>4000</v>
      </c>
      <c r="H2327" s="35"/>
      <c r="I2327" s="113">
        <f t="shared" si="142"/>
        <v>26466.55</v>
      </c>
      <c r="J2327" s="35"/>
      <c r="K2327" s="35"/>
      <c r="L2327" s="35"/>
      <c r="M2327" s="35"/>
      <c r="N2327" s="2">
        <f t="shared" si="143"/>
        <v>16</v>
      </c>
    </row>
    <row r="2328" spans="1:14" x14ac:dyDescent="0.25">
      <c r="A2328" s="49">
        <v>45477</v>
      </c>
      <c r="B2328" s="11" t="s">
        <v>5170</v>
      </c>
      <c r="C2328" s="7" t="s">
        <v>5171</v>
      </c>
      <c r="D2328" s="131"/>
      <c r="E2328" s="119" t="s">
        <v>16</v>
      </c>
      <c r="F2328" s="35"/>
      <c r="G2328" s="35"/>
      <c r="H2328" s="35">
        <v>1500</v>
      </c>
      <c r="I2328" s="113">
        <f t="shared" si="142"/>
        <v>24966.55</v>
      </c>
      <c r="J2328" s="35"/>
      <c r="K2328" s="35"/>
      <c r="L2328" s="35"/>
      <c r="M2328" s="35"/>
      <c r="N2328" s="2">
        <f t="shared" si="143"/>
        <v>31</v>
      </c>
    </row>
    <row r="2329" spans="1:14" x14ac:dyDescent="0.25">
      <c r="A2329" s="49">
        <v>45477</v>
      </c>
      <c r="B2329" s="11" t="s">
        <v>1163</v>
      </c>
      <c r="C2329" s="7" t="s">
        <v>5169</v>
      </c>
      <c r="D2329" s="131">
        <v>8969184095</v>
      </c>
      <c r="E2329" s="119"/>
      <c r="F2329" s="35"/>
      <c r="G2329" s="35">
        <v>2000</v>
      </c>
      <c r="H2329" s="35"/>
      <c r="I2329" s="113">
        <f t="shared" si="142"/>
        <v>26966.55</v>
      </c>
      <c r="J2329" s="35"/>
      <c r="K2329" s="35"/>
      <c r="L2329" s="35"/>
      <c r="M2329" s="35"/>
      <c r="N2329" s="2">
        <f t="shared" si="143"/>
        <v>8</v>
      </c>
    </row>
    <row r="2330" spans="1:14" x14ac:dyDescent="0.25">
      <c r="A2330" s="49">
        <v>45477</v>
      </c>
      <c r="B2330" s="11" t="s">
        <v>5173</v>
      </c>
      <c r="C2330" s="7" t="s">
        <v>1282</v>
      </c>
      <c r="D2330" s="131"/>
      <c r="E2330" s="119"/>
      <c r="F2330" s="35"/>
      <c r="G2330" s="35"/>
      <c r="H2330" s="35">
        <v>5000</v>
      </c>
      <c r="I2330" s="113">
        <f t="shared" si="142"/>
        <v>21966.55</v>
      </c>
      <c r="J2330" s="35"/>
      <c r="K2330" s="35"/>
      <c r="L2330" s="35"/>
      <c r="M2330" s="35"/>
      <c r="N2330" s="2">
        <f t="shared" si="143"/>
        <v>20</v>
      </c>
    </row>
    <row r="2331" spans="1:14" x14ac:dyDescent="0.25">
      <c r="A2331" s="49">
        <v>45477</v>
      </c>
      <c r="B2331" s="11" t="s">
        <v>1253</v>
      </c>
      <c r="C2331" s="7" t="s">
        <v>4971</v>
      </c>
      <c r="D2331" s="131"/>
      <c r="E2331" s="119"/>
      <c r="F2331" s="35"/>
      <c r="G2331" s="35">
        <v>1000</v>
      </c>
      <c r="H2331" s="35"/>
      <c r="I2331" s="113">
        <f t="shared" si="142"/>
        <v>22966.55</v>
      </c>
      <c r="J2331" s="35"/>
      <c r="K2331" s="35"/>
      <c r="L2331" s="35"/>
      <c r="M2331" s="35"/>
      <c r="N2331" s="2">
        <f t="shared" si="143"/>
        <v>4</v>
      </c>
    </row>
    <row r="2332" spans="1:14" x14ac:dyDescent="0.25">
      <c r="A2332" s="49">
        <v>45477</v>
      </c>
      <c r="B2332" s="11" t="s">
        <v>1253</v>
      </c>
      <c r="C2332" s="7" t="s">
        <v>4120</v>
      </c>
      <c r="D2332" s="131"/>
      <c r="E2332" s="119"/>
      <c r="F2332" s="35"/>
      <c r="G2332" s="35">
        <v>2000</v>
      </c>
      <c r="H2332" s="35"/>
      <c r="I2332" s="113">
        <f t="shared" si="142"/>
        <v>24966.55</v>
      </c>
      <c r="J2332" s="35"/>
      <c r="K2332" s="35"/>
      <c r="L2332" s="35"/>
      <c r="M2332" s="35"/>
      <c r="N2332" s="2">
        <f t="shared" si="143"/>
        <v>8</v>
      </c>
    </row>
    <row r="2333" spans="1:14" x14ac:dyDescent="0.25">
      <c r="A2333" s="49">
        <v>45478</v>
      </c>
      <c r="B2333" s="11" t="s">
        <v>1253</v>
      </c>
      <c r="C2333" s="7" t="s">
        <v>2196</v>
      </c>
      <c r="D2333" s="131"/>
      <c r="E2333" s="119"/>
      <c r="F2333" s="35"/>
      <c r="G2333" s="35">
        <v>1500</v>
      </c>
      <c r="H2333" s="35"/>
      <c r="I2333" s="113">
        <f t="shared" si="142"/>
        <v>26466.55</v>
      </c>
      <c r="J2333" s="35"/>
      <c r="K2333" s="35"/>
      <c r="L2333" s="35"/>
      <c r="M2333" s="35"/>
      <c r="N2333" s="2">
        <f t="shared" si="143"/>
        <v>6</v>
      </c>
    </row>
    <row r="2334" spans="1:14" x14ac:dyDescent="0.25">
      <c r="A2334" s="49">
        <v>45478</v>
      </c>
      <c r="B2334" s="11" t="s">
        <v>1253</v>
      </c>
      <c r="C2334" s="7" t="s">
        <v>2362</v>
      </c>
      <c r="D2334" s="131"/>
      <c r="E2334" s="119"/>
      <c r="F2334" s="35"/>
      <c r="G2334" s="35">
        <v>5000</v>
      </c>
      <c r="H2334" s="35"/>
      <c r="I2334" s="113">
        <f t="shared" si="142"/>
        <v>31466.55</v>
      </c>
      <c r="J2334" s="35"/>
      <c r="K2334" s="35"/>
      <c r="L2334" s="35"/>
      <c r="M2334" s="35"/>
      <c r="N2334" s="2">
        <f t="shared" si="143"/>
        <v>20</v>
      </c>
    </row>
    <row r="2335" spans="1:14" x14ac:dyDescent="0.25">
      <c r="A2335" s="49">
        <v>45478</v>
      </c>
      <c r="B2335" s="11" t="s">
        <v>5182</v>
      </c>
      <c r="C2335" s="7" t="s">
        <v>5177</v>
      </c>
      <c r="D2335" s="131"/>
      <c r="E2335" s="119" t="s">
        <v>16</v>
      </c>
      <c r="F2335" s="35"/>
      <c r="G2335" s="35"/>
      <c r="H2335" s="35">
        <v>300</v>
      </c>
      <c r="I2335" s="113">
        <f t="shared" si="142"/>
        <v>31166.55</v>
      </c>
      <c r="J2335" s="35"/>
      <c r="K2335" s="35"/>
      <c r="L2335" s="35"/>
      <c r="M2335" s="35"/>
      <c r="N2335" s="2">
        <f t="shared" si="143"/>
        <v>26.2</v>
      </c>
    </row>
    <row r="2336" spans="1:14" x14ac:dyDescent="0.25">
      <c r="A2336" s="49">
        <v>45478</v>
      </c>
      <c r="B2336" s="11" t="s">
        <v>1253</v>
      </c>
      <c r="C2336" s="7" t="s">
        <v>2467</v>
      </c>
      <c r="D2336" s="131"/>
      <c r="E2336" s="119"/>
      <c r="F2336" s="35"/>
      <c r="G2336" s="35">
        <v>2400</v>
      </c>
      <c r="H2336" s="35"/>
      <c r="I2336" s="113">
        <f t="shared" si="142"/>
        <v>33566.550000000003</v>
      </c>
      <c r="J2336" s="35"/>
      <c r="K2336" s="35"/>
      <c r="L2336" s="35"/>
      <c r="M2336" s="35"/>
      <c r="N2336" s="2">
        <f t="shared" si="143"/>
        <v>9.6</v>
      </c>
    </row>
    <row r="2337" spans="1:14" x14ac:dyDescent="0.25">
      <c r="A2337" s="49">
        <v>45478</v>
      </c>
      <c r="B2337" s="11" t="s">
        <v>1253</v>
      </c>
      <c r="C2337" s="7" t="s">
        <v>5151</v>
      </c>
      <c r="D2337" s="131"/>
      <c r="E2337" s="119"/>
      <c r="F2337" s="35"/>
      <c r="G2337" s="35">
        <v>500</v>
      </c>
      <c r="H2337" s="35"/>
      <c r="I2337" s="113">
        <f t="shared" si="142"/>
        <v>34066.550000000003</v>
      </c>
      <c r="J2337" s="35"/>
      <c r="K2337" s="35"/>
      <c r="L2337" s="35"/>
      <c r="M2337" s="35"/>
      <c r="N2337" s="2">
        <f t="shared" si="143"/>
        <v>2</v>
      </c>
    </row>
    <row r="2338" spans="1:14" x14ac:dyDescent="0.25">
      <c r="A2338" s="49">
        <v>45479</v>
      </c>
      <c r="B2338" s="11" t="s">
        <v>2721</v>
      </c>
      <c r="C2338" s="7" t="s">
        <v>1282</v>
      </c>
      <c r="D2338" s="131"/>
      <c r="E2338" s="119"/>
      <c r="F2338" s="35"/>
      <c r="G2338" s="35"/>
      <c r="H2338" s="35">
        <v>10000</v>
      </c>
      <c r="I2338" s="113">
        <f t="shared" si="142"/>
        <v>24066.550000000003</v>
      </c>
      <c r="J2338" s="35"/>
      <c r="K2338" s="35"/>
      <c r="L2338" s="35"/>
      <c r="M2338" s="35"/>
      <c r="N2338" s="2">
        <f t="shared" si="143"/>
        <v>20</v>
      </c>
    </row>
    <row r="2339" spans="1:14" x14ac:dyDescent="0.25">
      <c r="A2339" s="49">
        <v>45479</v>
      </c>
      <c r="B2339" s="11" t="s">
        <v>1253</v>
      </c>
      <c r="C2339" s="7" t="s">
        <v>5181</v>
      </c>
      <c r="D2339" s="131"/>
      <c r="E2339" s="119"/>
      <c r="F2339" s="35"/>
      <c r="G2339" s="35">
        <v>1000</v>
      </c>
      <c r="H2339" s="35"/>
      <c r="I2339" s="113">
        <f t="shared" si="142"/>
        <v>25066.550000000003</v>
      </c>
      <c r="J2339" s="35"/>
      <c r="K2339" s="35"/>
      <c r="L2339" s="35"/>
      <c r="M2339" s="35"/>
      <c r="N2339" s="2">
        <f t="shared" si="143"/>
        <v>4</v>
      </c>
    </row>
    <row r="2340" spans="1:14" x14ac:dyDescent="0.25">
      <c r="A2340" s="49">
        <v>45479</v>
      </c>
      <c r="B2340" s="11" t="s">
        <v>1253</v>
      </c>
      <c r="C2340" s="7" t="s">
        <v>2644</v>
      </c>
      <c r="D2340" s="131"/>
      <c r="E2340" s="119"/>
      <c r="F2340" s="35"/>
      <c r="G2340" s="35">
        <v>2300</v>
      </c>
      <c r="H2340" s="35"/>
      <c r="I2340" s="113">
        <f t="shared" si="142"/>
        <v>27366.550000000003</v>
      </c>
      <c r="J2340" s="35"/>
      <c r="K2340" s="35"/>
      <c r="L2340" s="35"/>
      <c r="M2340" s="35"/>
      <c r="N2340" s="2">
        <f t="shared" si="143"/>
        <v>9.2000000000000011</v>
      </c>
    </row>
    <row r="2341" spans="1:14" x14ac:dyDescent="0.25">
      <c r="A2341" s="49">
        <v>45479</v>
      </c>
      <c r="B2341" s="11" t="s">
        <v>1253</v>
      </c>
      <c r="C2341" s="7" t="s">
        <v>4489</v>
      </c>
      <c r="D2341" s="131"/>
      <c r="E2341" s="119"/>
      <c r="F2341" s="35"/>
      <c r="G2341" s="35">
        <v>1000</v>
      </c>
      <c r="H2341" s="35"/>
      <c r="I2341" s="113">
        <f t="shared" si="142"/>
        <v>28366.550000000003</v>
      </c>
      <c r="J2341" s="35"/>
      <c r="K2341" s="35"/>
      <c r="L2341" s="35"/>
      <c r="M2341" s="35"/>
      <c r="N2341" s="2">
        <f t="shared" si="143"/>
        <v>4</v>
      </c>
    </row>
    <row r="2342" spans="1:14" x14ac:dyDescent="0.25">
      <c r="A2342" s="49">
        <v>45480</v>
      </c>
      <c r="B2342" s="11" t="s">
        <v>1253</v>
      </c>
      <c r="C2342" s="7" t="s">
        <v>4120</v>
      </c>
      <c r="D2342" s="131"/>
      <c r="E2342" s="119"/>
      <c r="F2342" s="35"/>
      <c r="G2342" s="35">
        <v>2000</v>
      </c>
      <c r="H2342" s="35"/>
      <c r="I2342" s="113">
        <f t="shared" si="142"/>
        <v>30366.550000000003</v>
      </c>
      <c r="J2342" s="35"/>
      <c r="K2342" s="35"/>
      <c r="L2342" s="35"/>
      <c r="M2342" s="35"/>
      <c r="N2342" s="2">
        <f t="shared" si="143"/>
        <v>8</v>
      </c>
    </row>
    <row r="2343" spans="1:14" x14ac:dyDescent="0.25">
      <c r="A2343" s="49">
        <v>45481</v>
      </c>
      <c r="B2343" s="11" t="s">
        <v>1253</v>
      </c>
      <c r="C2343" s="7" t="s">
        <v>5151</v>
      </c>
      <c r="D2343" s="131"/>
      <c r="E2343" s="119"/>
      <c r="F2343" s="35"/>
      <c r="G2343" s="35">
        <v>3500</v>
      </c>
      <c r="H2343" s="35"/>
      <c r="I2343" s="113">
        <f t="shared" si="142"/>
        <v>33866.550000000003</v>
      </c>
      <c r="J2343" s="35"/>
      <c r="K2343" s="35"/>
      <c r="L2343" s="35"/>
      <c r="M2343" s="35"/>
      <c r="N2343" s="2">
        <f t="shared" si="143"/>
        <v>14</v>
      </c>
    </row>
    <row r="2344" spans="1:14" x14ac:dyDescent="0.25">
      <c r="A2344" s="49">
        <v>45483</v>
      </c>
      <c r="B2344" s="11" t="s">
        <v>4708</v>
      </c>
      <c r="C2344" s="7" t="s">
        <v>5066</v>
      </c>
      <c r="D2344" s="131"/>
      <c r="E2344" s="119"/>
      <c r="F2344" s="35"/>
      <c r="G2344" s="35"/>
      <c r="H2344" s="35">
        <v>2000</v>
      </c>
      <c r="I2344" s="113">
        <f t="shared" si="142"/>
        <v>31866.550000000003</v>
      </c>
      <c r="J2344" s="35"/>
      <c r="K2344" s="35"/>
      <c r="L2344" s="35"/>
      <c r="M2344" s="35"/>
      <c r="N2344" s="2">
        <f t="shared" si="143"/>
        <v>8</v>
      </c>
    </row>
    <row r="2345" spans="1:14" x14ac:dyDescent="0.25">
      <c r="A2345" s="49">
        <v>45483</v>
      </c>
      <c r="B2345" s="11" t="s">
        <v>5199</v>
      </c>
      <c r="C2345" s="7" t="s">
        <v>5197</v>
      </c>
      <c r="D2345" s="131"/>
      <c r="E2345" s="119" t="s">
        <v>16</v>
      </c>
      <c r="F2345" s="35"/>
      <c r="G2345" s="35"/>
      <c r="H2345" s="35">
        <v>450</v>
      </c>
      <c r="I2345" s="113">
        <f t="shared" si="142"/>
        <v>31416.550000000003</v>
      </c>
      <c r="J2345" s="35"/>
      <c r="K2345" s="35"/>
      <c r="L2345" s="35"/>
      <c r="M2345" s="35"/>
      <c r="N2345" s="2">
        <f t="shared" si="143"/>
        <v>26.8</v>
      </c>
    </row>
    <row r="2346" spans="1:14" x14ac:dyDescent="0.25">
      <c r="A2346" s="49">
        <v>45483</v>
      </c>
      <c r="B2346" s="11" t="s">
        <v>5201</v>
      </c>
      <c r="C2346" s="7" t="s">
        <v>5203</v>
      </c>
      <c r="D2346" s="131"/>
      <c r="E2346" s="119" t="s">
        <v>16</v>
      </c>
      <c r="F2346" s="35"/>
      <c r="G2346" s="35"/>
      <c r="H2346" s="35">
        <v>100</v>
      </c>
      <c r="I2346" s="113">
        <f t="shared" si="142"/>
        <v>31316.550000000003</v>
      </c>
      <c r="J2346" s="35"/>
      <c r="K2346" s="35"/>
      <c r="L2346" s="35"/>
      <c r="M2346" s="35"/>
      <c r="N2346" s="2">
        <f t="shared" si="143"/>
        <v>25.4</v>
      </c>
    </row>
    <row r="2347" spans="1:14" x14ac:dyDescent="0.25">
      <c r="A2347" s="49">
        <v>45483</v>
      </c>
      <c r="B2347" s="11" t="s">
        <v>5202</v>
      </c>
      <c r="C2347" s="7" t="s">
        <v>5204</v>
      </c>
      <c r="D2347" s="131"/>
      <c r="E2347" s="119" t="s">
        <v>16</v>
      </c>
      <c r="F2347" s="35"/>
      <c r="G2347" s="35"/>
      <c r="H2347" s="35">
        <v>100</v>
      </c>
      <c r="I2347" s="113">
        <f t="shared" si="142"/>
        <v>31216.550000000003</v>
      </c>
      <c r="J2347" s="35"/>
      <c r="K2347" s="35"/>
      <c r="L2347" s="35"/>
      <c r="M2347" s="35"/>
      <c r="N2347" s="2">
        <f t="shared" si="143"/>
        <v>25.4</v>
      </c>
    </row>
    <row r="2348" spans="1:14" x14ac:dyDescent="0.25">
      <c r="A2348" s="49">
        <v>45483</v>
      </c>
      <c r="B2348" s="11" t="s">
        <v>5206</v>
      </c>
      <c r="C2348" s="7" t="s">
        <v>4740</v>
      </c>
      <c r="D2348" s="131"/>
      <c r="E2348" s="119" t="s">
        <v>16</v>
      </c>
      <c r="F2348" s="35"/>
      <c r="G2348" s="35"/>
      <c r="H2348" s="35">
        <v>100</v>
      </c>
      <c r="I2348" s="113">
        <f t="shared" si="142"/>
        <v>31116.550000000003</v>
      </c>
      <c r="J2348" s="35"/>
      <c r="K2348" s="35"/>
      <c r="L2348" s="35"/>
      <c r="M2348" s="35"/>
      <c r="N2348" s="2">
        <f t="shared" si="143"/>
        <v>25.4</v>
      </c>
    </row>
    <row r="2349" spans="1:14" x14ac:dyDescent="0.25">
      <c r="A2349" s="49">
        <v>45485</v>
      </c>
      <c r="B2349" s="11" t="s">
        <v>4329</v>
      </c>
      <c r="C2349" s="7" t="s">
        <v>4330</v>
      </c>
      <c r="D2349" s="131"/>
      <c r="E2349" s="119"/>
      <c r="F2349" s="35"/>
      <c r="G2349" s="35"/>
      <c r="H2349" s="35">
        <v>100</v>
      </c>
      <c r="I2349" s="113">
        <f t="shared" si="142"/>
        <v>31016.550000000003</v>
      </c>
      <c r="J2349" s="35"/>
      <c r="K2349" s="35"/>
      <c r="L2349" s="35"/>
      <c r="M2349" s="35"/>
      <c r="N2349" s="2">
        <f t="shared" si="143"/>
        <v>0.4</v>
      </c>
    </row>
    <row r="2350" spans="1:14" x14ac:dyDescent="0.25">
      <c r="A2350" s="49">
        <v>45485</v>
      </c>
      <c r="B2350" s="11" t="s">
        <v>3248</v>
      </c>
      <c r="D2350" s="131"/>
      <c r="E2350" s="119"/>
      <c r="F2350" s="35"/>
      <c r="G2350" s="35">
        <v>1000</v>
      </c>
      <c r="H2350" s="35"/>
      <c r="I2350" s="113">
        <f t="shared" si="142"/>
        <v>32016.550000000003</v>
      </c>
      <c r="J2350" s="35"/>
      <c r="K2350" s="35"/>
      <c r="L2350" s="35"/>
      <c r="M2350" s="35"/>
      <c r="N2350" s="2">
        <f t="shared" si="143"/>
        <v>4</v>
      </c>
    </row>
    <row r="2351" spans="1:14" x14ac:dyDescent="0.25">
      <c r="A2351" s="49">
        <v>45485</v>
      </c>
      <c r="B2351" s="11" t="s">
        <v>5210</v>
      </c>
      <c r="C2351" s="7" t="s">
        <v>5209</v>
      </c>
      <c r="D2351" s="131"/>
      <c r="E2351" s="119"/>
      <c r="F2351" s="35"/>
      <c r="G2351" s="35">
        <v>1500</v>
      </c>
      <c r="H2351" s="35"/>
      <c r="I2351" s="113">
        <f t="shared" si="142"/>
        <v>33516.550000000003</v>
      </c>
      <c r="J2351" s="35"/>
      <c r="K2351" s="35"/>
      <c r="L2351" s="35"/>
      <c r="M2351" s="35"/>
      <c r="N2351" s="2">
        <f t="shared" si="143"/>
        <v>6</v>
      </c>
    </row>
    <row r="2352" spans="1:14" x14ac:dyDescent="0.25">
      <c r="A2352" s="49">
        <v>45485</v>
      </c>
      <c r="B2352" s="11" t="s">
        <v>5213</v>
      </c>
      <c r="C2352" s="7" t="s">
        <v>5214</v>
      </c>
      <c r="D2352" s="131"/>
      <c r="E2352" s="119" t="s">
        <v>16</v>
      </c>
      <c r="F2352" s="35"/>
      <c r="G2352" s="35"/>
      <c r="H2352" s="4">
        <v>200</v>
      </c>
      <c r="I2352" s="113">
        <f t="shared" si="142"/>
        <v>33316.550000000003</v>
      </c>
      <c r="J2352" s="35"/>
      <c r="K2352" s="35"/>
      <c r="L2352" s="35"/>
      <c r="M2352" s="35"/>
      <c r="N2352" s="2">
        <f t="shared" si="143"/>
        <v>25.8</v>
      </c>
    </row>
    <row r="2353" spans="1:14" x14ac:dyDescent="0.25">
      <c r="A2353" s="49">
        <v>45485</v>
      </c>
      <c r="B2353" s="11" t="s">
        <v>5221</v>
      </c>
      <c r="C2353" s="7" t="s">
        <v>5222</v>
      </c>
      <c r="D2353" s="131"/>
      <c r="E2353" s="119" t="s">
        <v>16</v>
      </c>
      <c r="F2353" s="35"/>
      <c r="G2353" s="35"/>
      <c r="H2353" s="4">
        <v>2000</v>
      </c>
      <c r="I2353" s="113">
        <f t="shared" si="142"/>
        <v>31316.550000000003</v>
      </c>
      <c r="J2353" s="35"/>
      <c r="K2353" s="35"/>
      <c r="L2353" s="35"/>
      <c r="M2353" s="35"/>
      <c r="N2353" s="2">
        <f t="shared" si="143"/>
        <v>33</v>
      </c>
    </row>
    <row r="2354" spans="1:14" x14ac:dyDescent="0.25">
      <c r="A2354" s="49">
        <v>45485</v>
      </c>
      <c r="B2354" s="11" t="s">
        <v>5218</v>
      </c>
      <c r="C2354" s="7" t="s">
        <v>5219</v>
      </c>
      <c r="D2354" s="131"/>
      <c r="E2354" s="119" t="s">
        <v>16</v>
      </c>
      <c r="F2354" s="35"/>
      <c r="G2354" s="35"/>
      <c r="H2354" s="4">
        <v>500</v>
      </c>
      <c r="I2354" s="113">
        <f t="shared" si="142"/>
        <v>30816.550000000003</v>
      </c>
      <c r="J2354" s="35"/>
      <c r="K2354" s="35"/>
      <c r="L2354" s="35"/>
      <c r="M2354" s="35"/>
      <c r="N2354" s="2">
        <f t="shared" si="143"/>
        <v>27</v>
      </c>
    </row>
    <row r="2355" spans="1:14" x14ac:dyDescent="0.25">
      <c r="A2355" s="49">
        <v>45485</v>
      </c>
      <c r="B2355" s="11" t="s">
        <v>5211</v>
      </c>
      <c r="D2355" s="131"/>
      <c r="E2355" s="119"/>
      <c r="F2355" s="35"/>
      <c r="G2355" s="35"/>
      <c r="H2355" s="4">
        <v>1000</v>
      </c>
      <c r="I2355" s="113">
        <f t="shared" si="142"/>
        <v>29816.550000000003</v>
      </c>
      <c r="J2355" s="35"/>
      <c r="K2355" s="35"/>
      <c r="L2355" s="35"/>
      <c r="M2355" s="35"/>
      <c r="N2355" s="2">
        <f t="shared" si="143"/>
        <v>4</v>
      </c>
    </row>
    <row r="2356" spans="1:14" x14ac:dyDescent="0.25">
      <c r="A2356" s="49">
        <v>45485</v>
      </c>
      <c r="B2356" s="11" t="s">
        <v>5224</v>
      </c>
      <c r="C2356" s="7" t="s">
        <v>5225</v>
      </c>
      <c r="D2356" s="131"/>
      <c r="E2356" s="119" t="s">
        <v>16</v>
      </c>
      <c r="F2356" s="35"/>
      <c r="G2356" s="35"/>
      <c r="H2356" s="4">
        <v>150</v>
      </c>
      <c r="I2356" s="113">
        <f t="shared" si="142"/>
        <v>29666.550000000003</v>
      </c>
      <c r="J2356" s="35"/>
      <c r="K2356" s="35"/>
      <c r="L2356" s="35"/>
      <c r="M2356" s="35"/>
      <c r="N2356" s="2">
        <f t="shared" si="143"/>
        <v>25.6</v>
      </c>
    </row>
    <row r="2357" spans="1:14" x14ac:dyDescent="0.25">
      <c r="A2357" s="49">
        <v>45486</v>
      </c>
      <c r="B2357" s="11" t="s">
        <v>1253</v>
      </c>
      <c r="C2357" s="7" t="s">
        <v>2467</v>
      </c>
      <c r="D2357" s="131"/>
      <c r="E2357" s="119"/>
      <c r="F2357" s="35"/>
      <c r="G2357" s="35">
        <v>2550</v>
      </c>
      <c r="H2357" s="35"/>
      <c r="I2357" s="113">
        <f t="shared" si="142"/>
        <v>32216.550000000003</v>
      </c>
      <c r="J2357" s="35"/>
      <c r="K2357" s="35"/>
      <c r="L2357" s="35"/>
      <c r="M2357" s="35"/>
      <c r="N2357" s="2">
        <f t="shared" si="143"/>
        <v>10.200000000000001</v>
      </c>
    </row>
    <row r="2358" spans="1:14" x14ac:dyDescent="0.25">
      <c r="A2358" s="49">
        <v>45486</v>
      </c>
      <c r="B2358" s="11" t="s">
        <v>1253</v>
      </c>
      <c r="C2358" s="7" t="s">
        <v>5226</v>
      </c>
      <c r="D2358" s="131"/>
      <c r="E2358" s="119"/>
      <c r="F2358" s="35"/>
      <c r="G2358" s="35">
        <v>500</v>
      </c>
      <c r="H2358" s="35"/>
      <c r="I2358" s="113">
        <f t="shared" si="142"/>
        <v>32716.550000000003</v>
      </c>
      <c r="J2358" s="35"/>
      <c r="K2358" s="35"/>
      <c r="L2358" s="35"/>
      <c r="M2358" s="35"/>
      <c r="N2358" s="2">
        <f t="shared" si="143"/>
        <v>2</v>
      </c>
    </row>
    <row r="2359" spans="1:14" x14ac:dyDescent="0.25">
      <c r="A2359" s="49">
        <v>45487</v>
      </c>
      <c r="B2359" s="11" t="s">
        <v>4332</v>
      </c>
      <c r="C2359" s="7" t="s">
        <v>4424</v>
      </c>
      <c r="D2359" s="131"/>
      <c r="E2359" s="119"/>
      <c r="F2359" s="35"/>
      <c r="G2359" s="35">
        <v>10000</v>
      </c>
      <c r="H2359" s="35"/>
      <c r="I2359" s="113">
        <f t="shared" si="142"/>
        <v>42716.55</v>
      </c>
      <c r="J2359" s="35"/>
      <c r="K2359" s="35"/>
      <c r="L2359" s="35"/>
      <c r="M2359" s="35"/>
      <c r="N2359" s="2">
        <f t="shared" si="143"/>
        <v>20</v>
      </c>
    </row>
    <row r="2360" spans="1:14" x14ac:dyDescent="0.25">
      <c r="A2360" s="49">
        <v>45487</v>
      </c>
      <c r="B2360" s="11" t="s">
        <v>3918</v>
      </c>
      <c r="C2360" s="7" t="s">
        <v>2361</v>
      </c>
      <c r="D2360" s="131"/>
      <c r="E2360" s="119"/>
      <c r="F2360" s="35"/>
      <c r="G2360" s="35"/>
      <c r="H2360" s="35">
        <v>4800</v>
      </c>
      <c r="I2360" s="113">
        <f t="shared" si="142"/>
        <v>37916.550000000003</v>
      </c>
      <c r="J2360" s="35"/>
      <c r="K2360" s="35"/>
      <c r="L2360" s="35"/>
      <c r="M2360" s="35"/>
      <c r="N2360" s="2">
        <f t="shared" si="143"/>
        <v>19.2</v>
      </c>
    </row>
    <row r="2361" spans="1:14" x14ac:dyDescent="0.25">
      <c r="A2361" s="49">
        <v>45487</v>
      </c>
      <c r="B2361" s="11" t="s">
        <v>5227</v>
      </c>
      <c r="C2361" s="7" t="s">
        <v>311</v>
      </c>
      <c r="D2361" s="131"/>
      <c r="E2361" s="119"/>
      <c r="F2361" s="35"/>
      <c r="G2361" s="35">
        <v>5000</v>
      </c>
      <c r="H2361" s="35"/>
      <c r="I2361" s="113">
        <f t="shared" si="142"/>
        <v>42916.55</v>
      </c>
      <c r="J2361" s="35"/>
      <c r="K2361" s="35"/>
      <c r="L2361" s="35"/>
      <c r="M2361" s="35"/>
      <c r="N2361" s="2">
        <f t="shared" si="143"/>
        <v>20</v>
      </c>
    </row>
    <row r="2362" spans="1:14" x14ac:dyDescent="0.25">
      <c r="A2362" s="49">
        <v>45487</v>
      </c>
      <c r="B2362" s="11" t="s">
        <v>5229</v>
      </c>
      <c r="C2362" s="7" t="s">
        <v>5228</v>
      </c>
      <c r="E2362" s="4"/>
      <c r="F2362"/>
      <c r="G2362" s="35">
        <v>4300</v>
      </c>
      <c r="H2362"/>
      <c r="I2362" s="113">
        <f t="shared" si="142"/>
        <v>47216.55</v>
      </c>
      <c r="N2362" s="2">
        <f t="shared" si="143"/>
        <v>17.2</v>
      </c>
    </row>
    <row r="2363" spans="1:14" x14ac:dyDescent="0.25">
      <c r="A2363" s="3">
        <v>45488</v>
      </c>
      <c r="B2363" s="109">
        <v>1309762</v>
      </c>
      <c r="C2363" s="7" t="s">
        <v>5230</v>
      </c>
      <c r="E2363" s="4"/>
      <c r="F2363"/>
      <c r="G2363"/>
      <c r="H2363">
        <v>10000</v>
      </c>
      <c r="I2363" s="113">
        <f t="shared" si="142"/>
        <v>37216.550000000003</v>
      </c>
      <c r="N2363" s="2">
        <f t="shared" si="143"/>
        <v>20</v>
      </c>
    </row>
    <row r="2364" spans="1:14" x14ac:dyDescent="0.25">
      <c r="A2364" s="3">
        <v>45488</v>
      </c>
      <c r="B2364" s="109" t="s">
        <v>5237</v>
      </c>
      <c r="C2364" s="7" t="s">
        <v>5232</v>
      </c>
      <c r="E2364" s="4" t="s">
        <v>16</v>
      </c>
      <c r="F2364"/>
      <c r="G2364"/>
      <c r="H2364">
        <v>2000</v>
      </c>
      <c r="I2364" s="113">
        <f t="shared" si="142"/>
        <v>35216.550000000003</v>
      </c>
      <c r="N2364" s="2">
        <f t="shared" si="143"/>
        <v>33</v>
      </c>
    </row>
    <row r="2365" spans="1:14" x14ac:dyDescent="0.25">
      <c r="A2365" s="3">
        <v>45488</v>
      </c>
      <c r="B2365" s="4">
        <v>5458</v>
      </c>
      <c r="C2365" s="7" t="s">
        <v>5236</v>
      </c>
      <c r="E2365" s="4" t="s">
        <v>16</v>
      </c>
      <c r="F2365"/>
      <c r="G2365"/>
      <c r="H2365">
        <v>200</v>
      </c>
      <c r="I2365" s="113">
        <f t="shared" si="142"/>
        <v>35016.550000000003</v>
      </c>
      <c r="N2365" s="2">
        <f t="shared" si="143"/>
        <v>25.8</v>
      </c>
    </row>
    <row r="2366" spans="1:14" x14ac:dyDescent="0.25">
      <c r="A2366" s="3">
        <v>45488</v>
      </c>
      <c r="B2366" s="4">
        <v>5459</v>
      </c>
      <c r="C2366" s="7" t="s">
        <v>4983</v>
      </c>
      <c r="E2366" s="4" t="s">
        <v>16</v>
      </c>
      <c r="F2366"/>
      <c r="G2366"/>
      <c r="H2366">
        <v>500</v>
      </c>
      <c r="I2366" s="113">
        <f t="shared" si="142"/>
        <v>34516.550000000003</v>
      </c>
      <c r="N2366" s="2">
        <f t="shared" si="143"/>
        <v>27</v>
      </c>
    </row>
    <row r="2367" spans="1:14" x14ac:dyDescent="0.25">
      <c r="A2367" s="3">
        <v>45488</v>
      </c>
      <c r="B2367" s="4">
        <v>5460</v>
      </c>
      <c r="C2367" s="7" t="s">
        <v>5240</v>
      </c>
      <c r="E2367" s="4" t="s">
        <v>16</v>
      </c>
      <c r="F2367"/>
      <c r="G2367"/>
      <c r="H2367">
        <v>500</v>
      </c>
      <c r="I2367" s="113">
        <f t="shared" si="142"/>
        <v>34016.550000000003</v>
      </c>
      <c r="N2367" s="2">
        <f t="shared" si="143"/>
        <v>27</v>
      </c>
    </row>
    <row r="2368" spans="1:14" x14ac:dyDescent="0.25">
      <c r="A2368" s="3">
        <v>45488</v>
      </c>
      <c r="B2368" s="4">
        <v>5461</v>
      </c>
      <c r="C2368" s="7" t="s">
        <v>5245</v>
      </c>
      <c r="E2368" s="4" t="s">
        <v>16</v>
      </c>
      <c r="F2368"/>
      <c r="G2368"/>
      <c r="H2368">
        <v>500</v>
      </c>
      <c r="I2368" s="113">
        <f t="shared" si="142"/>
        <v>33516.550000000003</v>
      </c>
      <c r="N2368" s="2">
        <f t="shared" si="143"/>
        <v>27</v>
      </c>
    </row>
    <row r="2369" spans="1:14" x14ac:dyDescent="0.25">
      <c r="A2369" s="3">
        <v>45488</v>
      </c>
      <c r="B2369" s="4">
        <v>4164</v>
      </c>
      <c r="C2369" s="7" t="s">
        <v>2295</v>
      </c>
      <c r="E2369" s="4"/>
      <c r="F2369"/>
      <c r="G2369"/>
      <c r="H2369">
        <v>7000</v>
      </c>
      <c r="I2369" s="113">
        <f t="shared" si="142"/>
        <v>26516.550000000003</v>
      </c>
      <c r="N2369" s="2">
        <f t="shared" si="143"/>
        <v>20</v>
      </c>
    </row>
    <row r="2370" spans="1:14" x14ac:dyDescent="0.25">
      <c r="A2370" s="3">
        <v>45488</v>
      </c>
      <c r="B2370" s="4" t="s">
        <v>1253</v>
      </c>
      <c r="C2370" s="7" t="s">
        <v>2924</v>
      </c>
      <c r="E2370" s="4"/>
      <c r="F2370"/>
      <c r="G2370">
        <v>400</v>
      </c>
      <c r="H2370"/>
      <c r="I2370" s="113">
        <f t="shared" si="142"/>
        <v>26916.550000000003</v>
      </c>
      <c r="N2370" s="2">
        <f t="shared" si="143"/>
        <v>1.6</v>
      </c>
    </row>
    <row r="2371" spans="1:14" x14ac:dyDescent="0.25">
      <c r="A2371" s="3">
        <v>45489</v>
      </c>
      <c r="B2371" s="4" t="s">
        <v>2721</v>
      </c>
      <c r="C2371" s="7" t="s">
        <v>5251</v>
      </c>
      <c r="E2371" s="4"/>
      <c r="F2371"/>
      <c r="G2371"/>
      <c r="H2371">
        <v>6000</v>
      </c>
      <c r="I2371" s="113">
        <f t="shared" si="142"/>
        <v>20916.550000000003</v>
      </c>
      <c r="N2371" s="2">
        <f t="shared" si="143"/>
        <v>20</v>
      </c>
    </row>
    <row r="2372" spans="1:14" x14ac:dyDescent="0.25">
      <c r="A2372" s="3">
        <v>45489</v>
      </c>
      <c r="B2372" s="4">
        <v>5463</v>
      </c>
      <c r="C2372" s="7" t="s">
        <v>685</v>
      </c>
      <c r="E2372" s="4" t="s">
        <v>16</v>
      </c>
      <c r="F2372"/>
      <c r="G2372"/>
      <c r="H2372"/>
      <c r="I2372" s="113">
        <f t="shared" si="142"/>
        <v>20916.550000000003</v>
      </c>
      <c r="N2372" s="2">
        <f t="shared" si="143"/>
        <v>25</v>
      </c>
    </row>
    <row r="2373" spans="1:14" x14ac:dyDescent="0.25">
      <c r="A2373" s="3">
        <v>45489</v>
      </c>
      <c r="B2373" s="4">
        <v>5464</v>
      </c>
      <c r="C2373" s="7" t="s">
        <v>5260</v>
      </c>
      <c r="E2373" s="4" t="s">
        <v>16</v>
      </c>
      <c r="F2373"/>
      <c r="G2373"/>
      <c r="H2373">
        <v>200</v>
      </c>
      <c r="I2373" s="113">
        <f t="shared" si="142"/>
        <v>20716.550000000003</v>
      </c>
      <c r="N2373" s="2">
        <f t="shared" si="143"/>
        <v>25.8</v>
      </c>
    </row>
    <row r="2374" spans="1:14" x14ac:dyDescent="0.25">
      <c r="A2374" s="3">
        <v>45489</v>
      </c>
      <c r="B2374" s="4" t="s">
        <v>1253</v>
      </c>
      <c r="C2374" s="7" t="s">
        <v>5151</v>
      </c>
      <c r="E2374" s="4"/>
      <c r="F2374"/>
      <c r="G2374">
        <v>4000</v>
      </c>
      <c r="H2374"/>
      <c r="I2374" s="113">
        <f t="shared" si="142"/>
        <v>24716.550000000003</v>
      </c>
      <c r="N2374" s="2">
        <f t="shared" si="143"/>
        <v>16</v>
      </c>
    </row>
    <row r="2375" spans="1:14" x14ac:dyDescent="0.25">
      <c r="A2375" s="3">
        <v>45490</v>
      </c>
      <c r="B2375" s="4">
        <v>2028</v>
      </c>
      <c r="C2375" s="7" t="s">
        <v>5262</v>
      </c>
      <c r="E2375" s="4"/>
      <c r="F2375"/>
      <c r="G2375">
        <v>2000</v>
      </c>
      <c r="H2375"/>
      <c r="I2375" s="113">
        <f t="shared" si="142"/>
        <v>26716.550000000003</v>
      </c>
      <c r="N2375" s="2">
        <f t="shared" si="143"/>
        <v>8</v>
      </c>
    </row>
    <row r="2376" spans="1:14" x14ac:dyDescent="0.25">
      <c r="A2376" s="3">
        <v>45490</v>
      </c>
      <c r="B2376" s="4" t="s">
        <v>3276</v>
      </c>
      <c r="C2376" s="7" t="s">
        <v>5263</v>
      </c>
      <c r="E2376" s="4"/>
      <c r="F2376"/>
      <c r="G2376">
        <v>2000</v>
      </c>
      <c r="H2376"/>
      <c r="I2376" s="113">
        <f t="shared" si="142"/>
        <v>28716.550000000003</v>
      </c>
      <c r="N2376" s="2">
        <f t="shared" si="143"/>
        <v>8</v>
      </c>
    </row>
    <row r="2377" spans="1:14" x14ac:dyDescent="0.25">
      <c r="A2377" s="3">
        <v>45490</v>
      </c>
      <c r="B2377" s="4">
        <v>5465</v>
      </c>
      <c r="C2377" s="7" t="s">
        <v>5268</v>
      </c>
      <c r="E2377" s="4" t="s">
        <v>16</v>
      </c>
      <c r="F2377"/>
      <c r="G2377"/>
      <c r="H2377">
        <v>200</v>
      </c>
      <c r="I2377" s="113">
        <f t="shared" si="142"/>
        <v>28516.550000000003</v>
      </c>
      <c r="N2377" s="2">
        <f t="shared" si="143"/>
        <v>25.8</v>
      </c>
    </row>
    <row r="2378" spans="1:14" x14ac:dyDescent="0.25">
      <c r="A2378" s="3">
        <v>45490</v>
      </c>
      <c r="B2378" s="4" t="s">
        <v>1163</v>
      </c>
      <c r="C2378" s="7" t="s">
        <v>3559</v>
      </c>
      <c r="E2378" s="4"/>
      <c r="F2378"/>
      <c r="G2378">
        <v>5050</v>
      </c>
      <c r="H2378"/>
      <c r="I2378" s="113">
        <f t="shared" si="142"/>
        <v>33566.550000000003</v>
      </c>
      <c r="N2378" s="2">
        <f t="shared" si="143"/>
        <v>20</v>
      </c>
    </row>
    <row r="2379" spans="1:14" x14ac:dyDescent="0.25">
      <c r="A2379" s="3">
        <v>45490</v>
      </c>
      <c r="B2379" s="4" t="s">
        <v>1253</v>
      </c>
      <c r="C2379" s="7" t="s">
        <v>3461</v>
      </c>
      <c r="E2379" s="4"/>
      <c r="F2379"/>
      <c r="G2379">
        <v>3000</v>
      </c>
      <c r="H2379"/>
      <c r="I2379" s="113">
        <f t="shared" si="142"/>
        <v>36566.550000000003</v>
      </c>
      <c r="N2379" s="2">
        <f t="shared" si="143"/>
        <v>12</v>
      </c>
    </row>
    <row r="2380" spans="1:14" x14ac:dyDescent="0.25">
      <c r="A2380" s="3">
        <v>45492</v>
      </c>
      <c r="B2380" s="4">
        <v>5467</v>
      </c>
      <c r="C2380" s="7" t="s">
        <v>5277</v>
      </c>
      <c r="D2380" s="58">
        <v>8797627332</v>
      </c>
      <c r="E2380" s="4" t="s">
        <v>16</v>
      </c>
      <c r="F2380"/>
      <c r="G2380"/>
      <c r="H2380">
        <v>200</v>
      </c>
      <c r="I2380" s="113">
        <f t="shared" si="142"/>
        <v>36366.550000000003</v>
      </c>
      <c r="N2380" s="2">
        <f t="shared" si="143"/>
        <v>25.8</v>
      </c>
    </row>
    <row r="2381" spans="1:14" x14ac:dyDescent="0.25">
      <c r="A2381" s="3">
        <v>45492</v>
      </c>
      <c r="B2381" s="4" t="s">
        <v>1163</v>
      </c>
      <c r="C2381" s="7" t="s">
        <v>3697</v>
      </c>
      <c r="E2381" s="4"/>
      <c r="F2381"/>
      <c r="G2381">
        <v>3000</v>
      </c>
      <c r="H2381"/>
      <c r="I2381" s="113">
        <f t="shared" si="142"/>
        <v>39366.550000000003</v>
      </c>
      <c r="N2381" s="2">
        <f t="shared" si="143"/>
        <v>12</v>
      </c>
    </row>
    <row r="2382" spans="1:14" x14ac:dyDescent="0.25">
      <c r="A2382" s="3">
        <v>45492</v>
      </c>
      <c r="B2382" s="4">
        <v>1528</v>
      </c>
      <c r="C2382" s="7" t="s">
        <v>3669</v>
      </c>
      <c r="E2382" s="4"/>
      <c r="F2382"/>
      <c r="G2382"/>
      <c r="H2382">
        <v>13000</v>
      </c>
      <c r="I2382" s="113">
        <f t="shared" si="142"/>
        <v>26366.550000000003</v>
      </c>
      <c r="N2382" s="2">
        <f t="shared" si="143"/>
        <v>20</v>
      </c>
    </row>
    <row r="2383" spans="1:14" x14ac:dyDescent="0.25">
      <c r="A2383" s="3">
        <v>45492</v>
      </c>
      <c r="B2383" s="4">
        <v>5468</v>
      </c>
      <c r="C2383" s="7" t="s">
        <v>5280</v>
      </c>
      <c r="E2383" s="4" t="s">
        <v>16</v>
      </c>
      <c r="F2383"/>
      <c r="G2383"/>
      <c r="H2383">
        <v>500</v>
      </c>
      <c r="I2383" s="113">
        <f t="shared" si="142"/>
        <v>25866.550000000003</v>
      </c>
      <c r="N2383" s="2">
        <f t="shared" si="143"/>
        <v>27</v>
      </c>
    </row>
    <row r="2384" spans="1:14" x14ac:dyDescent="0.25">
      <c r="A2384" s="3">
        <v>45493</v>
      </c>
      <c r="B2384" s="4"/>
      <c r="C2384" s="7" t="s">
        <v>685</v>
      </c>
      <c r="E2384" s="4"/>
      <c r="F2384"/>
      <c r="G2384"/>
      <c r="H2384">
        <v>300</v>
      </c>
      <c r="I2384" s="113">
        <f t="shared" si="142"/>
        <v>25566.550000000003</v>
      </c>
      <c r="N2384" s="2">
        <f t="shared" si="143"/>
        <v>1.2</v>
      </c>
    </row>
    <row r="2385" spans="1:14" x14ac:dyDescent="0.25">
      <c r="A2385" s="3">
        <v>45493</v>
      </c>
      <c r="B2385" s="4" t="s">
        <v>1253</v>
      </c>
      <c r="C2385" s="7" t="s">
        <v>5284</v>
      </c>
      <c r="E2385" s="4"/>
      <c r="F2385"/>
      <c r="G2385">
        <v>400</v>
      </c>
      <c r="H2385"/>
      <c r="I2385" s="113">
        <f t="shared" si="142"/>
        <v>25966.550000000003</v>
      </c>
      <c r="N2385" s="2">
        <f t="shared" si="143"/>
        <v>1.6</v>
      </c>
    </row>
    <row r="2386" spans="1:14" x14ac:dyDescent="0.25">
      <c r="A2386" s="3">
        <v>45493</v>
      </c>
      <c r="B2386" s="4" t="s">
        <v>3520</v>
      </c>
      <c r="C2386" s="7" t="s">
        <v>5285</v>
      </c>
      <c r="E2386" s="4"/>
      <c r="F2386"/>
      <c r="G2386">
        <v>1100</v>
      </c>
      <c r="H2386"/>
      <c r="I2386" s="113">
        <f t="shared" si="142"/>
        <v>27066.550000000003</v>
      </c>
      <c r="N2386" s="2">
        <f t="shared" si="143"/>
        <v>4.4000000000000004</v>
      </c>
    </row>
    <row r="2387" spans="1:14" x14ac:dyDescent="0.25">
      <c r="A2387" s="3">
        <v>45493</v>
      </c>
      <c r="B2387" s="4">
        <v>5389</v>
      </c>
      <c r="C2387" s="7" t="s">
        <v>5287</v>
      </c>
      <c r="E2387" s="4"/>
      <c r="F2387"/>
      <c r="G2387"/>
      <c r="H2387">
        <v>1800</v>
      </c>
      <c r="I2387" s="113">
        <f t="shared" si="142"/>
        <v>25266.550000000003</v>
      </c>
      <c r="N2387" s="2">
        <f t="shared" si="143"/>
        <v>7.2</v>
      </c>
    </row>
    <row r="2388" spans="1:14" x14ac:dyDescent="0.25">
      <c r="A2388" s="3">
        <v>45493</v>
      </c>
      <c r="B2388" s="4">
        <v>5469</v>
      </c>
      <c r="C2388" s="7" t="s">
        <v>5288</v>
      </c>
      <c r="E2388" s="4" t="s">
        <v>16</v>
      </c>
      <c r="F2388"/>
      <c r="G2388"/>
      <c r="H2388">
        <v>150</v>
      </c>
      <c r="I2388" s="113">
        <f t="shared" si="142"/>
        <v>25116.550000000003</v>
      </c>
      <c r="N2388" s="2">
        <f t="shared" si="143"/>
        <v>25.6</v>
      </c>
    </row>
    <row r="2389" spans="1:14" x14ac:dyDescent="0.25">
      <c r="A2389" s="3">
        <v>45493</v>
      </c>
      <c r="B2389" s="4" t="s">
        <v>5292</v>
      </c>
      <c r="C2389" s="7" t="s">
        <v>5293</v>
      </c>
      <c r="E2389" s="4"/>
      <c r="F2389"/>
      <c r="G2389">
        <v>2000</v>
      </c>
      <c r="H2389"/>
      <c r="I2389" s="113">
        <f t="shared" si="142"/>
        <v>27116.550000000003</v>
      </c>
      <c r="N2389" s="2">
        <f t="shared" si="143"/>
        <v>8</v>
      </c>
    </row>
    <row r="2390" spans="1:14" x14ac:dyDescent="0.25">
      <c r="A2390" s="3">
        <v>45493</v>
      </c>
      <c r="B2390" s="4" t="s">
        <v>5294</v>
      </c>
      <c r="C2390" s="7" t="s">
        <v>3808</v>
      </c>
      <c r="E2390" s="4"/>
      <c r="F2390"/>
      <c r="G2390"/>
      <c r="H2390">
        <v>5000</v>
      </c>
      <c r="I2390" s="113">
        <f t="shared" si="142"/>
        <v>22116.550000000003</v>
      </c>
      <c r="N2390" s="2">
        <f t="shared" si="143"/>
        <v>20</v>
      </c>
    </row>
    <row r="2391" spans="1:14" x14ac:dyDescent="0.25">
      <c r="A2391" s="3">
        <v>45493</v>
      </c>
      <c r="B2391" s="4" t="s">
        <v>5099</v>
      </c>
      <c r="C2391" s="7" t="s">
        <v>612</v>
      </c>
      <c r="D2391" s="58">
        <v>7209411109</v>
      </c>
      <c r="E2391" s="4"/>
      <c r="F2391"/>
      <c r="G2391"/>
      <c r="H2391">
        <v>20000</v>
      </c>
      <c r="I2391" s="113">
        <f t="shared" si="142"/>
        <v>2116.5500000000029</v>
      </c>
      <c r="N2391" s="2">
        <f t="shared" si="143"/>
        <v>20</v>
      </c>
    </row>
    <row r="2392" spans="1:14" x14ac:dyDescent="0.25">
      <c r="A2392" s="3">
        <v>45493</v>
      </c>
      <c r="B2392" s="4" t="s">
        <v>1163</v>
      </c>
      <c r="C2392" s="7" t="s">
        <v>5295</v>
      </c>
      <c r="D2392" s="58">
        <v>8252446130</v>
      </c>
      <c r="E2392" s="4"/>
      <c r="F2392"/>
      <c r="G2392">
        <v>400</v>
      </c>
      <c r="H2392"/>
      <c r="I2392" s="113">
        <f t="shared" si="142"/>
        <v>2516.5500000000029</v>
      </c>
      <c r="N2392" s="2">
        <f t="shared" si="143"/>
        <v>1.6</v>
      </c>
    </row>
    <row r="2393" spans="1:14" x14ac:dyDescent="0.25">
      <c r="A2393" s="3">
        <v>45493</v>
      </c>
      <c r="B2393" s="11" t="s">
        <v>5298</v>
      </c>
      <c r="C2393" s="7" t="s">
        <v>5299</v>
      </c>
      <c r="E2393" s="4" t="s">
        <v>14</v>
      </c>
      <c r="F2393"/>
      <c r="G2393"/>
      <c r="H2393">
        <v>100</v>
      </c>
      <c r="I2393" s="113">
        <f t="shared" si="142"/>
        <v>2416.5500000000029</v>
      </c>
      <c r="N2393" s="2">
        <f t="shared" si="143"/>
        <v>25.4</v>
      </c>
    </row>
    <row r="2394" spans="1:14" x14ac:dyDescent="0.25">
      <c r="A2394" s="3">
        <v>45493</v>
      </c>
      <c r="B2394" s="4" t="s">
        <v>2247</v>
      </c>
      <c r="C2394" s="7" t="s">
        <v>5301</v>
      </c>
      <c r="E2394" s="4"/>
      <c r="F2394"/>
      <c r="G2394">
        <v>1050</v>
      </c>
      <c r="H2394"/>
      <c r="I2394" s="113">
        <f t="shared" si="142"/>
        <v>3466.5500000000029</v>
      </c>
      <c r="N2394" s="2">
        <f t="shared" si="143"/>
        <v>4.2</v>
      </c>
    </row>
    <row r="2395" spans="1:14" x14ac:dyDescent="0.25">
      <c r="A2395" s="3">
        <v>45493</v>
      </c>
      <c r="B2395" s="4" t="s">
        <v>2247</v>
      </c>
      <c r="C2395" s="7" t="s">
        <v>5303</v>
      </c>
      <c r="E2395" s="4"/>
      <c r="F2395"/>
      <c r="G2395">
        <v>2500</v>
      </c>
      <c r="H2395"/>
      <c r="I2395" s="113">
        <f t="shared" si="142"/>
        <v>5966.5500000000029</v>
      </c>
      <c r="N2395" s="2">
        <f t="shared" si="143"/>
        <v>10</v>
      </c>
    </row>
    <row r="2396" spans="1:14" x14ac:dyDescent="0.25">
      <c r="A2396" s="3">
        <v>45493</v>
      </c>
      <c r="B2396" s="4" t="s">
        <v>2247</v>
      </c>
      <c r="C2396" s="7" t="s">
        <v>5304</v>
      </c>
      <c r="E2396" s="4"/>
      <c r="F2396"/>
      <c r="G2396">
        <v>1000</v>
      </c>
      <c r="H2396"/>
      <c r="I2396" s="113">
        <f t="shared" si="142"/>
        <v>6966.5500000000029</v>
      </c>
      <c r="N2396" s="2">
        <f t="shared" si="143"/>
        <v>4</v>
      </c>
    </row>
    <row r="2397" spans="1:14" x14ac:dyDescent="0.25">
      <c r="A2397" s="3">
        <v>45494</v>
      </c>
      <c r="B2397" s="4" t="s">
        <v>1253</v>
      </c>
      <c r="C2397" s="7" t="s">
        <v>2467</v>
      </c>
      <c r="E2397" s="4"/>
      <c r="F2397"/>
      <c r="G2397">
        <v>1050</v>
      </c>
      <c r="H2397"/>
      <c r="I2397" s="113">
        <f t="shared" si="142"/>
        <v>8016.5500000000029</v>
      </c>
      <c r="N2397" s="2">
        <f t="shared" si="143"/>
        <v>4.2</v>
      </c>
    </row>
    <row r="2398" spans="1:14" x14ac:dyDescent="0.25">
      <c r="A2398" s="3">
        <v>45495</v>
      </c>
      <c r="B2398" s="4">
        <v>5471</v>
      </c>
      <c r="C2398" s="7" t="s">
        <v>5320</v>
      </c>
      <c r="E2398" s="4" t="s">
        <v>16</v>
      </c>
      <c r="F2398"/>
      <c r="G2398"/>
      <c r="H2398">
        <v>500</v>
      </c>
      <c r="I2398" s="113">
        <f t="shared" si="142"/>
        <v>7516.5500000000029</v>
      </c>
    </row>
    <row r="2399" spans="1:14" x14ac:dyDescent="0.25">
      <c r="A2399" s="3">
        <v>45434</v>
      </c>
      <c r="B2399" s="4" t="s">
        <v>1253</v>
      </c>
      <c r="C2399" s="7" t="s">
        <v>4120</v>
      </c>
      <c r="E2399" s="4"/>
      <c r="F2399"/>
      <c r="G2399">
        <v>2500</v>
      </c>
      <c r="H2399"/>
      <c r="I2399" s="113">
        <f t="shared" si="142"/>
        <v>10016.550000000003</v>
      </c>
      <c r="N2399" s="2">
        <f t="shared" si="143"/>
        <v>10</v>
      </c>
    </row>
    <row r="2400" spans="1:14" x14ac:dyDescent="0.25">
      <c r="A2400" s="3">
        <v>45434</v>
      </c>
      <c r="B2400" s="4" t="s">
        <v>5307</v>
      </c>
      <c r="C2400" s="7" t="s">
        <v>5308</v>
      </c>
      <c r="E2400" s="4"/>
      <c r="F2400"/>
      <c r="G2400">
        <v>3000</v>
      </c>
      <c r="H2400"/>
      <c r="I2400" s="113">
        <f t="shared" si="142"/>
        <v>13016.550000000003</v>
      </c>
      <c r="N2400" s="2">
        <f t="shared" si="143"/>
        <v>12</v>
      </c>
    </row>
    <row r="2401" spans="1:14" x14ac:dyDescent="0.25">
      <c r="A2401" s="3">
        <v>45434</v>
      </c>
      <c r="B2401" s="4" t="s">
        <v>1253</v>
      </c>
      <c r="C2401" s="7" t="s">
        <v>4714</v>
      </c>
      <c r="E2401" s="4"/>
      <c r="F2401"/>
      <c r="G2401">
        <v>6000</v>
      </c>
      <c r="H2401"/>
      <c r="I2401" s="113">
        <f t="shared" si="142"/>
        <v>19016.550000000003</v>
      </c>
      <c r="N2401" s="2">
        <f t="shared" si="143"/>
        <v>20</v>
      </c>
    </row>
    <row r="2402" spans="1:14" x14ac:dyDescent="0.25">
      <c r="A2402" s="3">
        <v>45434</v>
      </c>
      <c r="B2402" s="4" t="s">
        <v>1163</v>
      </c>
      <c r="C2402" s="7" t="s">
        <v>5309</v>
      </c>
      <c r="D2402" s="58">
        <v>7463843058</v>
      </c>
      <c r="E2402" s="4"/>
      <c r="F2402"/>
      <c r="G2402">
        <v>1000</v>
      </c>
      <c r="H2402"/>
      <c r="I2402" s="113">
        <f t="shared" si="142"/>
        <v>20016.550000000003</v>
      </c>
      <c r="N2402" s="2">
        <f t="shared" si="143"/>
        <v>4</v>
      </c>
    </row>
    <row r="2403" spans="1:14" x14ac:dyDescent="0.25">
      <c r="A2403" s="3">
        <v>45496</v>
      </c>
      <c r="B2403" s="4" t="s">
        <v>1253</v>
      </c>
      <c r="C2403" s="7" t="s">
        <v>2467</v>
      </c>
      <c r="E2403" s="4"/>
      <c r="F2403"/>
      <c r="G2403">
        <v>1700</v>
      </c>
      <c r="H2403"/>
      <c r="I2403" s="113">
        <f t="shared" si="142"/>
        <v>21716.550000000003</v>
      </c>
      <c r="N2403" s="2">
        <f t="shared" si="143"/>
        <v>6.8</v>
      </c>
    </row>
    <row r="2404" spans="1:14" x14ac:dyDescent="0.25">
      <c r="A2404" s="3">
        <v>45496</v>
      </c>
      <c r="B2404" s="4" t="s">
        <v>1253</v>
      </c>
      <c r="C2404" s="7" t="s">
        <v>5151</v>
      </c>
      <c r="E2404" s="4"/>
      <c r="F2404"/>
      <c r="G2404">
        <v>2500</v>
      </c>
      <c r="H2404"/>
      <c r="I2404" s="113">
        <f t="shared" si="142"/>
        <v>24216.550000000003</v>
      </c>
      <c r="N2404" s="2">
        <f t="shared" si="143"/>
        <v>10</v>
      </c>
    </row>
    <row r="2405" spans="1:14" x14ac:dyDescent="0.25">
      <c r="A2405" s="3">
        <v>45496</v>
      </c>
      <c r="B2405" s="4" t="s">
        <v>1163</v>
      </c>
      <c r="C2405" s="7" t="s">
        <v>5312</v>
      </c>
      <c r="E2405" s="4"/>
      <c r="F2405"/>
      <c r="G2405">
        <v>200</v>
      </c>
      <c r="H2405"/>
      <c r="I2405" s="113">
        <f t="shared" si="142"/>
        <v>24416.550000000003</v>
      </c>
      <c r="N2405" s="2">
        <f t="shared" si="143"/>
        <v>0.8</v>
      </c>
    </row>
    <row r="2406" spans="1:14" x14ac:dyDescent="0.25">
      <c r="A2406" s="3">
        <v>45496</v>
      </c>
      <c r="B2406" s="4">
        <v>4164</v>
      </c>
      <c r="C2406" s="7" t="s">
        <v>2295</v>
      </c>
      <c r="E2406" s="4"/>
      <c r="F2406"/>
      <c r="G2406"/>
      <c r="H2406">
        <v>7000</v>
      </c>
      <c r="I2406" s="113">
        <f t="shared" si="142"/>
        <v>17416.550000000003</v>
      </c>
      <c r="N2406" s="2">
        <f t="shared" si="143"/>
        <v>20</v>
      </c>
    </row>
    <row r="2407" spans="1:14" x14ac:dyDescent="0.25">
      <c r="A2407" s="3">
        <v>45496</v>
      </c>
      <c r="B2407" s="4">
        <v>4163</v>
      </c>
      <c r="C2407" s="7" t="s">
        <v>5313</v>
      </c>
      <c r="E2407" s="4"/>
      <c r="F2407"/>
      <c r="G2407"/>
      <c r="H2407">
        <v>1500</v>
      </c>
      <c r="I2407" s="113">
        <f t="shared" si="142"/>
        <v>15916.550000000003</v>
      </c>
      <c r="N2407" s="2">
        <f t="shared" si="143"/>
        <v>6</v>
      </c>
    </row>
    <row r="2408" spans="1:14" x14ac:dyDescent="0.25">
      <c r="A2408" s="3">
        <v>45496</v>
      </c>
      <c r="B2408" s="4">
        <v>5472</v>
      </c>
      <c r="C2408" s="7" t="s">
        <v>5319</v>
      </c>
      <c r="E2408" s="4" t="s">
        <v>16</v>
      </c>
      <c r="F2408"/>
      <c r="G2408"/>
      <c r="H2408">
        <v>500</v>
      </c>
      <c r="I2408" s="113">
        <f t="shared" si="142"/>
        <v>15416.550000000003</v>
      </c>
      <c r="N2408" s="2">
        <f t="shared" si="143"/>
        <v>27</v>
      </c>
    </row>
    <row r="2409" spans="1:14" x14ac:dyDescent="0.25">
      <c r="A2409" s="3">
        <v>45497</v>
      </c>
      <c r="B2409" s="4" t="s">
        <v>1253</v>
      </c>
      <c r="C2409" s="7" t="s">
        <v>3887</v>
      </c>
      <c r="E2409" s="4"/>
      <c r="F2409"/>
      <c r="G2409">
        <v>3000</v>
      </c>
      <c r="H2409"/>
      <c r="I2409" s="113">
        <f t="shared" si="142"/>
        <v>18416.550000000003</v>
      </c>
      <c r="N2409" s="2">
        <f t="shared" si="143"/>
        <v>12</v>
      </c>
    </row>
    <row r="2410" spans="1:14" x14ac:dyDescent="0.25">
      <c r="A2410" s="3">
        <v>45497</v>
      </c>
      <c r="B2410" s="4" t="s">
        <v>2748</v>
      </c>
      <c r="C2410" s="7" t="s">
        <v>1282</v>
      </c>
      <c r="E2410" s="4"/>
      <c r="F2410"/>
      <c r="G2410"/>
      <c r="H2410">
        <v>5000</v>
      </c>
      <c r="I2410" s="113">
        <f t="shared" si="142"/>
        <v>13416.550000000003</v>
      </c>
      <c r="N2410" s="2">
        <f t="shared" si="143"/>
        <v>20</v>
      </c>
    </row>
    <row r="2411" spans="1:14" x14ac:dyDescent="0.25">
      <c r="A2411" s="3">
        <v>45497</v>
      </c>
      <c r="B2411" s="4" t="s">
        <v>3617</v>
      </c>
      <c r="C2411" s="7" t="s">
        <v>3588</v>
      </c>
      <c r="E2411" s="4"/>
      <c r="F2411"/>
      <c r="G2411">
        <v>600</v>
      </c>
      <c r="H2411"/>
      <c r="I2411" s="113">
        <f t="shared" si="142"/>
        <v>14016.550000000003</v>
      </c>
      <c r="N2411" s="2">
        <f t="shared" si="143"/>
        <v>2.4</v>
      </c>
    </row>
    <row r="2412" spans="1:14" x14ac:dyDescent="0.25">
      <c r="A2412" s="3">
        <v>45497</v>
      </c>
      <c r="B2412" s="4" t="s">
        <v>2438</v>
      </c>
      <c r="C2412" s="7" t="s">
        <v>5321</v>
      </c>
      <c r="E2412" s="4"/>
      <c r="F2412"/>
      <c r="G2412">
        <v>2000</v>
      </c>
      <c r="H2412"/>
      <c r="I2412" s="113">
        <f t="shared" si="142"/>
        <v>16016.550000000003</v>
      </c>
      <c r="N2412" s="2">
        <f t="shared" si="143"/>
        <v>8</v>
      </c>
    </row>
    <row r="2413" spans="1:14" x14ac:dyDescent="0.25">
      <c r="A2413" s="3">
        <v>45497</v>
      </c>
      <c r="B2413" s="4" t="s">
        <v>2365</v>
      </c>
      <c r="C2413" s="7" t="s">
        <v>3290</v>
      </c>
      <c r="E2413" s="4"/>
      <c r="F2413"/>
      <c r="G2413">
        <v>3400</v>
      </c>
      <c r="H2413"/>
      <c r="I2413" s="113">
        <f t="shared" si="142"/>
        <v>19416.550000000003</v>
      </c>
      <c r="N2413" s="2">
        <f t="shared" si="143"/>
        <v>13.6</v>
      </c>
    </row>
    <row r="2414" spans="1:14" x14ac:dyDescent="0.25">
      <c r="A2414" s="3">
        <v>45497</v>
      </c>
      <c r="B2414" s="4" t="s">
        <v>1253</v>
      </c>
      <c r="C2414" s="7" t="s">
        <v>5226</v>
      </c>
      <c r="E2414" s="4"/>
      <c r="F2414"/>
      <c r="G2414">
        <v>1000</v>
      </c>
      <c r="H2414"/>
      <c r="I2414" s="113">
        <f t="shared" si="142"/>
        <v>20416.550000000003</v>
      </c>
      <c r="N2414" s="2">
        <f t="shared" si="143"/>
        <v>4</v>
      </c>
    </row>
    <row r="2415" spans="1:14" x14ac:dyDescent="0.25">
      <c r="A2415" s="3">
        <v>45497</v>
      </c>
      <c r="B2415" s="4">
        <v>5473</v>
      </c>
      <c r="C2415" s="7" t="s">
        <v>5326</v>
      </c>
      <c r="E2415" s="4" t="s">
        <v>16</v>
      </c>
      <c r="F2415"/>
      <c r="G2415"/>
      <c r="H2415">
        <v>500</v>
      </c>
      <c r="I2415" s="113">
        <f t="shared" si="142"/>
        <v>19916.550000000003</v>
      </c>
      <c r="N2415" s="2">
        <f t="shared" si="143"/>
        <v>27</v>
      </c>
    </row>
    <row r="2416" spans="1:14" x14ac:dyDescent="0.25">
      <c r="A2416" s="3">
        <v>45497</v>
      </c>
      <c r="B2416" s="4">
        <v>5474</v>
      </c>
      <c r="C2416" s="7" t="s">
        <v>5331</v>
      </c>
      <c r="E2416" s="4" t="s">
        <v>16</v>
      </c>
      <c r="F2416"/>
      <c r="G2416"/>
      <c r="H2416">
        <v>500</v>
      </c>
      <c r="I2416" s="113">
        <f t="shared" si="142"/>
        <v>19416.550000000003</v>
      </c>
      <c r="N2416" s="2">
        <f t="shared" si="143"/>
        <v>27</v>
      </c>
    </row>
    <row r="2417" spans="1:14" x14ac:dyDescent="0.25">
      <c r="A2417" s="3">
        <v>45497</v>
      </c>
      <c r="B2417" s="4" t="s">
        <v>5307</v>
      </c>
      <c r="C2417" s="7" t="s">
        <v>5332</v>
      </c>
      <c r="E2417" s="4"/>
      <c r="F2417"/>
      <c r="G2417">
        <v>4000</v>
      </c>
      <c r="H2417"/>
      <c r="I2417" s="113">
        <f t="shared" si="142"/>
        <v>23416.550000000003</v>
      </c>
      <c r="N2417" s="2">
        <f t="shared" si="143"/>
        <v>16</v>
      </c>
    </row>
    <row r="2418" spans="1:14" x14ac:dyDescent="0.25">
      <c r="A2418" s="3">
        <v>45497</v>
      </c>
      <c r="B2418" s="11" t="s">
        <v>5334</v>
      </c>
      <c r="C2418" s="7" t="s">
        <v>5335</v>
      </c>
      <c r="E2418" s="4" t="s">
        <v>16</v>
      </c>
      <c r="F2418"/>
      <c r="G2418"/>
      <c r="H2418">
        <v>150</v>
      </c>
      <c r="I2418" s="113">
        <f t="shared" si="142"/>
        <v>23266.550000000003</v>
      </c>
      <c r="N2418" s="2">
        <f t="shared" si="143"/>
        <v>25.6</v>
      </c>
    </row>
    <row r="2419" spans="1:14" x14ac:dyDescent="0.25">
      <c r="A2419" s="3">
        <v>45498</v>
      </c>
      <c r="B2419" s="4">
        <v>4477</v>
      </c>
      <c r="C2419" s="7" t="s">
        <v>5342</v>
      </c>
      <c r="E2419" s="4"/>
      <c r="F2419"/>
      <c r="G2419">
        <v>2000</v>
      </c>
      <c r="H2419"/>
      <c r="I2419" s="113">
        <f t="shared" si="142"/>
        <v>25266.550000000003</v>
      </c>
      <c r="N2419" s="2">
        <f t="shared" si="143"/>
        <v>8</v>
      </c>
    </row>
    <row r="2420" spans="1:14" x14ac:dyDescent="0.25">
      <c r="A2420" s="3">
        <v>45498</v>
      </c>
      <c r="B2420" s="4" t="s">
        <v>2247</v>
      </c>
      <c r="C2420" s="7" t="s">
        <v>5343</v>
      </c>
      <c r="E2420" s="4"/>
      <c r="F2420"/>
      <c r="G2420">
        <v>2000</v>
      </c>
      <c r="H2420"/>
      <c r="I2420" s="113">
        <f t="shared" si="142"/>
        <v>27266.550000000003</v>
      </c>
      <c r="N2420" s="2">
        <f t="shared" si="143"/>
        <v>8</v>
      </c>
    </row>
    <row r="2421" spans="1:14" x14ac:dyDescent="0.25">
      <c r="A2421" s="3">
        <v>45498</v>
      </c>
      <c r="B2421" s="4">
        <v>4654</v>
      </c>
      <c r="C2421" s="7" t="s">
        <v>252</v>
      </c>
      <c r="E2421" s="4"/>
      <c r="F2421"/>
      <c r="G2421"/>
      <c r="H2421">
        <v>5000</v>
      </c>
      <c r="I2421" s="113">
        <f t="shared" si="142"/>
        <v>22266.550000000003</v>
      </c>
      <c r="N2421" s="2">
        <f t="shared" si="143"/>
        <v>20</v>
      </c>
    </row>
    <row r="2422" spans="1:14" x14ac:dyDescent="0.25">
      <c r="A2422" s="3">
        <v>45498</v>
      </c>
      <c r="B2422" s="4">
        <v>4163</v>
      </c>
      <c r="C2422" s="7" t="s">
        <v>5313</v>
      </c>
      <c r="E2422" s="4"/>
      <c r="F2422"/>
      <c r="G2422"/>
      <c r="H2422">
        <v>4000</v>
      </c>
      <c r="I2422" s="113">
        <f t="shared" si="142"/>
        <v>18266.550000000003</v>
      </c>
      <c r="N2422" s="2">
        <f t="shared" si="143"/>
        <v>16</v>
      </c>
    </row>
    <row r="2423" spans="1:14" x14ac:dyDescent="0.25">
      <c r="A2423" s="3">
        <v>45498</v>
      </c>
      <c r="B2423" s="4" t="s">
        <v>1253</v>
      </c>
      <c r="C2423" s="7" t="s">
        <v>3588</v>
      </c>
      <c r="E2423" s="4"/>
      <c r="F2423"/>
      <c r="G2423">
        <v>1500</v>
      </c>
      <c r="H2423"/>
      <c r="I2423" s="113">
        <f t="shared" si="142"/>
        <v>19766.550000000003</v>
      </c>
      <c r="N2423" s="2">
        <f t="shared" si="143"/>
        <v>6</v>
      </c>
    </row>
    <row r="2424" spans="1:14" x14ac:dyDescent="0.25">
      <c r="A2424" s="3">
        <v>45498</v>
      </c>
      <c r="B2424" s="4">
        <v>5476</v>
      </c>
      <c r="C2424" s="7" t="s">
        <v>5339</v>
      </c>
      <c r="E2424" s="4" t="s">
        <v>16</v>
      </c>
      <c r="F2424"/>
      <c r="G2424"/>
      <c r="H2424">
        <v>500</v>
      </c>
      <c r="I2424" s="113">
        <f t="shared" si="142"/>
        <v>19266.550000000003</v>
      </c>
      <c r="N2424" s="2">
        <f t="shared" si="143"/>
        <v>27</v>
      </c>
    </row>
    <row r="2425" spans="1:14" x14ac:dyDescent="0.25">
      <c r="A2425" s="3">
        <v>45499</v>
      </c>
      <c r="B2425" s="4">
        <v>5477</v>
      </c>
      <c r="C2425" s="7" t="s">
        <v>5348</v>
      </c>
      <c r="E2425" s="4" t="s">
        <v>16</v>
      </c>
      <c r="F2425"/>
      <c r="G2425"/>
      <c r="H2425">
        <v>100</v>
      </c>
      <c r="I2425" s="113">
        <f t="shared" si="142"/>
        <v>19166.550000000003</v>
      </c>
      <c r="N2425" s="2">
        <f t="shared" si="143"/>
        <v>25.4</v>
      </c>
    </row>
    <row r="2426" spans="1:14" x14ac:dyDescent="0.25">
      <c r="A2426" s="3">
        <v>45499</v>
      </c>
      <c r="B2426" s="4">
        <v>2028</v>
      </c>
      <c r="C2426" s="7" t="s">
        <v>3588</v>
      </c>
      <c r="E2426" s="4"/>
      <c r="F2426"/>
      <c r="G2426">
        <v>500</v>
      </c>
      <c r="H2426"/>
      <c r="I2426" s="113">
        <f t="shared" si="142"/>
        <v>19666.550000000003</v>
      </c>
      <c r="N2426" s="2">
        <f t="shared" si="143"/>
        <v>2</v>
      </c>
    </row>
    <row r="2427" spans="1:14" x14ac:dyDescent="0.25">
      <c r="A2427" s="3">
        <v>45500</v>
      </c>
      <c r="B2427" s="109"/>
      <c r="C2427" s="7"/>
      <c r="E2427" s="4"/>
      <c r="F2427"/>
      <c r="G2427"/>
      <c r="H2427">
        <v>2150</v>
      </c>
      <c r="I2427" s="113">
        <f t="shared" si="142"/>
        <v>17516.550000000003</v>
      </c>
      <c r="N2427" s="2">
        <f t="shared" si="143"/>
        <v>8.6</v>
      </c>
    </row>
    <row r="2428" spans="1:14" x14ac:dyDescent="0.25">
      <c r="A2428" s="3">
        <v>45500</v>
      </c>
      <c r="B2428" s="4" t="s">
        <v>5356</v>
      </c>
      <c r="C2428" s="7" t="s">
        <v>5230</v>
      </c>
      <c r="E2428" s="4"/>
      <c r="F2428"/>
      <c r="G2428"/>
      <c r="H2428">
        <v>5000</v>
      </c>
      <c r="I2428" s="113">
        <f t="shared" si="142"/>
        <v>12516.550000000003</v>
      </c>
      <c r="N2428" s="2">
        <f t="shared" si="143"/>
        <v>20</v>
      </c>
    </row>
    <row r="2429" spans="1:14" x14ac:dyDescent="0.25">
      <c r="A2429" s="3">
        <v>45500</v>
      </c>
      <c r="B2429" s="4" t="s">
        <v>1253</v>
      </c>
      <c r="C2429" s="7" t="s">
        <v>2467</v>
      </c>
      <c r="E2429" s="4"/>
      <c r="F2429"/>
      <c r="G2429">
        <v>1350</v>
      </c>
      <c r="H2429"/>
      <c r="I2429" s="113">
        <f t="shared" si="142"/>
        <v>13866.550000000003</v>
      </c>
      <c r="N2429" s="2">
        <f t="shared" si="143"/>
        <v>5.4</v>
      </c>
    </row>
    <row r="2430" spans="1:14" x14ac:dyDescent="0.25">
      <c r="A2430" s="3">
        <v>45502</v>
      </c>
      <c r="B2430" s="4">
        <v>5472</v>
      </c>
      <c r="C2430" s="7"/>
      <c r="E2430" s="4"/>
      <c r="F2430"/>
      <c r="G2430"/>
      <c r="H2430">
        <v>5000</v>
      </c>
      <c r="I2430" s="113">
        <f t="shared" si="142"/>
        <v>8866.5500000000029</v>
      </c>
      <c r="N2430" s="2">
        <f t="shared" si="143"/>
        <v>20</v>
      </c>
    </row>
    <row r="2431" spans="1:14" x14ac:dyDescent="0.25">
      <c r="A2431" s="3">
        <v>45502</v>
      </c>
      <c r="B2431" s="4" t="s">
        <v>1253</v>
      </c>
      <c r="C2431" s="7" t="s">
        <v>3295</v>
      </c>
      <c r="E2431" s="4"/>
      <c r="F2431"/>
      <c r="G2431"/>
      <c r="H2431">
        <v>1900</v>
      </c>
      <c r="I2431" s="113">
        <f t="shared" si="142"/>
        <v>6966.5500000000029</v>
      </c>
      <c r="N2431" s="2">
        <f t="shared" si="143"/>
        <v>7.6000000000000005</v>
      </c>
    </row>
    <row r="2432" spans="1:14" x14ac:dyDescent="0.25">
      <c r="A2432" s="3">
        <v>45502</v>
      </c>
      <c r="B2432" s="4" t="s">
        <v>5357</v>
      </c>
      <c r="C2432" s="7" t="s">
        <v>2467</v>
      </c>
      <c r="E2432" s="4"/>
      <c r="F2432"/>
      <c r="G2432">
        <v>3140</v>
      </c>
      <c r="H2432"/>
      <c r="I2432" s="113">
        <f t="shared" si="142"/>
        <v>10106.550000000003</v>
      </c>
      <c r="N2432" s="2">
        <f t="shared" si="143"/>
        <v>12.56</v>
      </c>
    </row>
    <row r="2433" spans="1:14" x14ac:dyDescent="0.25">
      <c r="A2433" s="3">
        <v>45503</v>
      </c>
      <c r="B2433" s="4">
        <v>4164</v>
      </c>
      <c r="C2433" s="7" t="s">
        <v>2295</v>
      </c>
      <c r="E2433" s="4"/>
      <c r="F2433"/>
      <c r="G2433"/>
      <c r="H2433">
        <v>6000</v>
      </c>
      <c r="I2433" s="113">
        <f t="shared" si="142"/>
        <v>4106.5500000000029</v>
      </c>
      <c r="N2433" s="2">
        <f t="shared" si="143"/>
        <v>20</v>
      </c>
    </row>
    <row r="2434" spans="1:14" x14ac:dyDescent="0.25">
      <c r="A2434" s="3">
        <v>45504</v>
      </c>
      <c r="B2434" s="4">
        <v>5478</v>
      </c>
      <c r="C2434" s="7"/>
      <c r="E2434" s="4" t="s">
        <v>16</v>
      </c>
      <c r="F2434"/>
      <c r="G2434"/>
      <c r="H2434">
        <v>500</v>
      </c>
      <c r="I2434" s="113">
        <f t="shared" si="142"/>
        <v>3606.5500000000029</v>
      </c>
      <c r="N2434" s="2">
        <f t="shared" si="143"/>
        <v>27</v>
      </c>
    </row>
    <row r="2435" spans="1:14" x14ac:dyDescent="0.25">
      <c r="A2435" s="3">
        <v>45504</v>
      </c>
      <c r="B2435" s="4">
        <v>5479</v>
      </c>
      <c r="C2435" s="7" t="s">
        <v>5363</v>
      </c>
      <c r="E2435" s="4" t="s">
        <v>16</v>
      </c>
      <c r="F2435"/>
      <c r="G2435"/>
      <c r="H2435">
        <v>400</v>
      </c>
      <c r="I2435" s="113">
        <f t="shared" si="142"/>
        <v>3206.5500000000029</v>
      </c>
      <c r="N2435" s="2">
        <f t="shared" si="143"/>
        <v>26.6</v>
      </c>
    </row>
    <row r="2436" spans="1:14" x14ac:dyDescent="0.25">
      <c r="A2436" s="3">
        <v>45504</v>
      </c>
      <c r="B2436" s="4" t="s">
        <v>3192</v>
      </c>
      <c r="C2436" s="7" t="s">
        <v>5151</v>
      </c>
      <c r="E2436" s="4"/>
      <c r="F2436"/>
      <c r="G2436">
        <v>6000</v>
      </c>
      <c r="H2436"/>
      <c r="I2436" s="113">
        <f t="shared" si="142"/>
        <v>9206.5500000000029</v>
      </c>
      <c r="N2436" s="2">
        <f t="shared" si="143"/>
        <v>20</v>
      </c>
    </row>
    <row r="2437" spans="1:14" x14ac:dyDescent="0.25">
      <c r="A2437" s="3">
        <v>45504</v>
      </c>
      <c r="B2437" s="4"/>
      <c r="C2437" s="7" t="s">
        <v>2280</v>
      </c>
      <c r="E2437" s="4"/>
      <c r="F2437"/>
      <c r="G2437"/>
      <c r="H2437">
        <v>5000</v>
      </c>
      <c r="I2437" s="113">
        <f t="shared" si="142"/>
        <v>4206.5500000000029</v>
      </c>
      <c r="N2437" s="2">
        <f t="shared" si="143"/>
        <v>20</v>
      </c>
    </row>
    <row r="2438" spans="1:14" ht="45" customHeight="1" x14ac:dyDescent="0.25">
      <c r="A2438" s="3">
        <v>45504</v>
      </c>
      <c r="B2438" s="4" t="s">
        <v>3192</v>
      </c>
      <c r="C2438" s="7" t="s">
        <v>4971</v>
      </c>
      <c r="E2438" s="4"/>
      <c r="F2438"/>
      <c r="G2438">
        <v>2000</v>
      </c>
      <c r="H2438"/>
      <c r="I2438" s="113">
        <f t="shared" si="142"/>
        <v>6206.5500000000029</v>
      </c>
      <c r="N2438" s="2">
        <f t="shared" si="143"/>
        <v>8</v>
      </c>
    </row>
    <row r="2439" spans="1:14" x14ac:dyDescent="0.25">
      <c r="A2439" s="3">
        <v>45504</v>
      </c>
      <c r="B2439" s="11" t="s">
        <v>5360</v>
      </c>
      <c r="C2439" s="11"/>
      <c r="D2439" s="7"/>
      <c r="E2439" s="4" t="s">
        <v>16</v>
      </c>
      <c r="F2439"/>
      <c r="G2439"/>
      <c r="H2439">
        <v>500</v>
      </c>
      <c r="I2439" s="113">
        <f t="shared" si="142"/>
        <v>5706.5500000000029</v>
      </c>
      <c r="N2439" s="2">
        <f t="shared" si="143"/>
        <v>27</v>
      </c>
    </row>
    <row r="2440" spans="1:14" x14ac:dyDescent="0.25">
      <c r="A2440" s="3">
        <v>45504</v>
      </c>
      <c r="B2440" s="11" t="s">
        <v>5361</v>
      </c>
      <c r="C2440" s="11"/>
      <c r="D2440" s="7" t="s">
        <v>5363</v>
      </c>
      <c r="E2440" s="4" t="s">
        <v>16</v>
      </c>
      <c r="F2440"/>
      <c r="G2440"/>
      <c r="H2440" s="4">
        <v>400</v>
      </c>
      <c r="I2440" s="113">
        <f>I2439+G2440-H2440</f>
        <v>5306.5500000000029</v>
      </c>
      <c r="N2440" s="2">
        <f t="shared" si="143"/>
        <v>26.6</v>
      </c>
    </row>
    <row r="2441" spans="1:14" x14ac:dyDescent="0.25">
      <c r="A2441" s="3">
        <v>45504</v>
      </c>
      <c r="B2441" s="11" t="s">
        <v>5365</v>
      </c>
      <c r="C2441" s="11"/>
      <c r="D2441" s="7" t="s">
        <v>5366</v>
      </c>
      <c r="E2441" s="4" t="s">
        <v>16</v>
      </c>
      <c r="F2441"/>
      <c r="G2441"/>
      <c r="H2441" s="4">
        <v>200</v>
      </c>
      <c r="I2441" s="113">
        <f>I2440+G2441-H2441</f>
        <v>5106.5500000000029</v>
      </c>
      <c r="N2441" s="2">
        <f t="shared" si="143"/>
        <v>25.8</v>
      </c>
    </row>
    <row r="2442" spans="1:14" x14ac:dyDescent="0.25">
      <c r="I2442" s="113">
        <f>I2441+G2447-H2447</f>
        <v>5006.5500000000029</v>
      </c>
      <c r="N2442" s="2">
        <f>IF((G2447+H2447)&lt;=5000,(H2447+G2447)*0.004,20)+IF(E2447="Y",25,0)</f>
        <v>25.4</v>
      </c>
    </row>
    <row r="2443" spans="1:14" x14ac:dyDescent="0.25">
      <c r="A2443" s="3"/>
      <c r="B2443" s="4"/>
      <c r="C2443" s="7"/>
      <c r="E2443" s="4"/>
      <c r="F2443"/>
      <c r="G2443"/>
      <c r="H2443"/>
      <c r="I2443" s="113"/>
    </row>
    <row r="2444" spans="1:14" x14ac:dyDescent="0.25">
      <c r="A2444" s="97">
        <f>COUNT(A2314:A2443)</f>
        <v>128</v>
      </c>
      <c r="B2444" s="102"/>
      <c r="C2444" s="27"/>
      <c r="D2444" s="139"/>
      <c r="E2444" s="117">
        <f>COUNTIF(E2314:E2443,"Y")</f>
        <v>39</v>
      </c>
      <c r="F2444" s="97">
        <f>G2444+H2444</f>
        <v>321290</v>
      </c>
      <c r="G2444" s="102">
        <f>SUM(G2314:G2443)</f>
        <v>159490</v>
      </c>
      <c r="H2444" s="102">
        <f>SUM(H2314:H2443)</f>
        <v>161800</v>
      </c>
      <c r="I2444" s="102"/>
      <c r="J2444" s="102"/>
      <c r="K2444" s="102"/>
      <c r="L2444" s="102"/>
      <c r="M2444" s="102"/>
      <c r="N2444" s="102">
        <f>SUM(N2314:N2443)</f>
        <v>2014.3599999999997</v>
      </c>
    </row>
    <row r="2446" spans="1:14" x14ac:dyDescent="0.25">
      <c r="A2446" s="3">
        <v>45505</v>
      </c>
      <c r="C2446" t="s">
        <v>4159</v>
      </c>
      <c r="H2446" s="113">
        <v>5355.12</v>
      </c>
      <c r="I2446" s="113">
        <v>5855.12</v>
      </c>
    </row>
    <row r="2447" spans="1:14" x14ac:dyDescent="0.25">
      <c r="A2447" s="3">
        <v>45505</v>
      </c>
      <c r="B2447" s="11" t="s">
        <v>5368</v>
      </c>
      <c r="C2447" s="7" t="s">
        <v>5369</v>
      </c>
      <c r="E2447" s="4" t="s">
        <v>16</v>
      </c>
      <c r="F2447"/>
      <c r="G2447"/>
      <c r="H2447" s="4">
        <v>100</v>
      </c>
      <c r="I2447" s="113">
        <f>I2446+G2447-H2447</f>
        <v>5755.12</v>
      </c>
      <c r="N2447" s="2">
        <f t="shared" ref="N2447:N2462" si="144">IF((G2447+H2447)&lt;=5000,(H2447+G2447)*0.004,20)+IF(E2447="Y",25,0)</f>
        <v>25.4</v>
      </c>
    </row>
    <row r="2448" spans="1:14" x14ac:dyDescent="0.25">
      <c r="A2448" s="3">
        <v>45505</v>
      </c>
      <c r="B2448" s="11" t="s">
        <v>5372</v>
      </c>
      <c r="C2448" s="7" t="s">
        <v>5373</v>
      </c>
      <c r="E2448" s="4" t="s">
        <v>16</v>
      </c>
      <c r="H2448" s="4">
        <v>100</v>
      </c>
      <c r="I2448" s="113">
        <f t="shared" ref="I2448:I2511" si="145">I2447+G2448-H2448</f>
        <v>5655.12</v>
      </c>
      <c r="J2448" s="71"/>
      <c r="N2448" s="2">
        <f t="shared" si="144"/>
        <v>25.4</v>
      </c>
    </row>
    <row r="2449" spans="1:14" x14ac:dyDescent="0.25">
      <c r="A2449" s="3">
        <v>45505</v>
      </c>
      <c r="B2449" s="11" t="s">
        <v>5376</v>
      </c>
      <c r="C2449" s="7" t="s">
        <v>5377</v>
      </c>
      <c r="E2449" s="4" t="s">
        <v>16</v>
      </c>
      <c r="H2449" s="4">
        <v>100</v>
      </c>
      <c r="I2449" s="113">
        <f t="shared" si="145"/>
        <v>5555.12</v>
      </c>
      <c r="N2449" s="2">
        <f t="shared" si="144"/>
        <v>25.4</v>
      </c>
    </row>
    <row r="2450" spans="1:14" x14ac:dyDescent="0.25">
      <c r="A2450" s="3">
        <v>45505</v>
      </c>
      <c r="B2450" s="11" t="s">
        <v>5380</v>
      </c>
      <c r="C2450" s="7" t="s">
        <v>5381</v>
      </c>
      <c r="E2450" s="4" t="s">
        <v>16</v>
      </c>
      <c r="H2450" s="4">
        <v>100</v>
      </c>
      <c r="I2450" s="113">
        <f t="shared" si="145"/>
        <v>5455.12</v>
      </c>
      <c r="N2450" s="2">
        <f t="shared" si="144"/>
        <v>25.4</v>
      </c>
    </row>
    <row r="2451" spans="1:14" x14ac:dyDescent="0.25">
      <c r="A2451" s="3">
        <v>45505</v>
      </c>
      <c r="B2451" s="11" t="s">
        <v>5383</v>
      </c>
      <c r="C2451" s="7" t="s">
        <v>5384</v>
      </c>
      <c r="E2451" s="4" t="s">
        <v>16</v>
      </c>
      <c r="H2451" s="4">
        <v>100</v>
      </c>
      <c r="I2451" s="113">
        <f t="shared" si="145"/>
        <v>5355.12</v>
      </c>
      <c r="N2451" s="2">
        <f t="shared" si="144"/>
        <v>25.4</v>
      </c>
    </row>
    <row r="2452" spans="1:14" x14ac:dyDescent="0.25">
      <c r="A2452" s="3">
        <v>45505</v>
      </c>
      <c r="B2452" s="11" t="s">
        <v>2247</v>
      </c>
      <c r="C2452" s="7" t="s">
        <v>5387</v>
      </c>
      <c r="G2452" s="2">
        <v>500</v>
      </c>
      <c r="I2452" s="113">
        <f t="shared" si="145"/>
        <v>5855.12</v>
      </c>
      <c r="N2452" s="2">
        <f t="shared" si="144"/>
        <v>2</v>
      </c>
    </row>
    <row r="2453" spans="1:14" x14ac:dyDescent="0.25">
      <c r="A2453" s="3">
        <v>45506</v>
      </c>
      <c r="B2453" s="11" t="s">
        <v>1253</v>
      </c>
      <c r="G2453" s="2">
        <v>1000</v>
      </c>
      <c r="I2453" s="113">
        <f t="shared" si="145"/>
        <v>6855.12</v>
      </c>
      <c r="J2453">
        <v>6855.12</v>
      </c>
      <c r="N2453" s="2">
        <f t="shared" si="144"/>
        <v>4</v>
      </c>
    </row>
    <row r="2454" spans="1:14" x14ac:dyDescent="0.25">
      <c r="A2454" s="3">
        <v>45506</v>
      </c>
      <c r="B2454" s="11" t="s">
        <v>4383</v>
      </c>
      <c r="C2454" s="7" t="s">
        <v>5389</v>
      </c>
      <c r="E2454" s="115" t="s">
        <v>16</v>
      </c>
      <c r="H2454" s="2">
        <v>100</v>
      </c>
      <c r="I2454" s="113">
        <f t="shared" si="145"/>
        <v>6755.12</v>
      </c>
      <c r="N2454" s="2">
        <f t="shared" si="144"/>
        <v>25.4</v>
      </c>
    </row>
    <row r="2455" spans="1:14" x14ac:dyDescent="0.25">
      <c r="A2455" s="3">
        <v>45506</v>
      </c>
      <c r="B2455" s="11" t="s">
        <v>5392</v>
      </c>
      <c r="C2455" s="7" t="s">
        <v>5393</v>
      </c>
      <c r="E2455" s="115" t="s">
        <v>16</v>
      </c>
      <c r="H2455" s="2">
        <v>100</v>
      </c>
      <c r="I2455" s="113">
        <f t="shared" si="145"/>
        <v>6655.12</v>
      </c>
      <c r="N2455" s="2">
        <f t="shared" si="144"/>
        <v>25.4</v>
      </c>
    </row>
    <row r="2456" spans="1:14" x14ac:dyDescent="0.25">
      <c r="A2456" s="3">
        <v>45506</v>
      </c>
      <c r="B2456" s="11" t="s">
        <v>5396</v>
      </c>
      <c r="C2456" s="7" t="s">
        <v>5399</v>
      </c>
      <c r="E2456" s="115" t="s">
        <v>16</v>
      </c>
      <c r="H2456" s="2">
        <v>100</v>
      </c>
      <c r="I2456" s="113">
        <f t="shared" si="145"/>
        <v>6555.12</v>
      </c>
      <c r="N2456" s="2">
        <f t="shared" si="144"/>
        <v>25.4</v>
      </c>
    </row>
    <row r="2457" spans="1:14" x14ac:dyDescent="0.25">
      <c r="A2457" s="3">
        <v>45506</v>
      </c>
      <c r="B2457" s="11" t="s">
        <v>5401</v>
      </c>
      <c r="C2457" s="7" t="s">
        <v>5402</v>
      </c>
      <c r="E2457" s="115" t="s">
        <v>16</v>
      </c>
      <c r="H2457" s="2">
        <v>300</v>
      </c>
      <c r="I2457" s="113">
        <f t="shared" si="145"/>
        <v>6255.12</v>
      </c>
      <c r="N2457" s="2">
        <f t="shared" si="144"/>
        <v>26.2</v>
      </c>
    </row>
    <row r="2458" spans="1:14" x14ac:dyDescent="0.25">
      <c r="A2458" s="3">
        <v>45506</v>
      </c>
      <c r="B2458" s="11" t="s">
        <v>5405</v>
      </c>
      <c r="C2458" s="7" t="s">
        <v>5406</v>
      </c>
      <c r="E2458" s="115" t="s">
        <v>16</v>
      </c>
      <c r="H2458" s="2">
        <v>300</v>
      </c>
      <c r="I2458" s="113">
        <f t="shared" si="145"/>
        <v>5955.12</v>
      </c>
      <c r="J2458" s="71"/>
      <c r="N2458" s="2">
        <f t="shared" si="144"/>
        <v>26.2</v>
      </c>
    </row>
    <row r="2459" spans="1:14" x14ac:dyDescent="0.25">
      <c r="A2459" s="3">
        <v>45506</v>
      </c>
      <c r="B2459" s="11" t="s">
        <v>5409</v>
      </c>
      <c r="C2459" s="7" t="s">
        <v>5410</v>
      </c>
      <c r="E2459" s="115" t="s">
        <v>16</v>
      </c>
      <c r="H2459" s="2">
        <v>200</v>
      </c>
      <c r="I2459" s="113">
        <f t="shared" si="145"/>
        <v>5755.12</v>
      </c>
      <c r="J2459" s="71"/>
      <c r="N2459" s="2">
        <f t="shared" si="144"/>
        <v>25.8</v>
      </c>
    </row>
    <row r="2460" spans="1:14" x14ac:dyDescent="0.25">
      <c r="A2460" s="3">
        <v>45506</v>
      </c>
      <c r="B2460" s="11" t="s">
        <v>1253</v>
      </c>
      <c r="C2460" s="7" t="s">
        <v>5412</v>
      </c>
      <c r="G2460" s="2">
        <v>2000</v>
      </c>
      <c r="I2460" s="113">
        <f t="shared" si="145"/>
        <v>7755.12</v>
      </c>
      <c r="J2460" s="71"/>
      <c r="N2460" s="2">
        <f t="shared" si="144"/>
        <v>8</v>
      </c>
    </row>
    <row r="2461" spans="1:14" x14ac:dyDescent="0.25">
      <c r="A2461" s="3">
        <v>45506</v>
      </c>
      <c r="B2461" s="11" t="s">
        <v>3918</v>
      </c>
      <c r="C2461" s="7" t="s">
        <v>2361</v>
      </c>
      <c r="H2461" s="2">
        <v>1000</v>
      </c>
      <c r="I2461" s="113">
        <f t="shared" si="145"/>
        <v>6755.12</v>
      </c>
      <c r="J2461" s="71"/>
      <c r="N2461" s="2">
        <f t="shared" si="144"/>
        <v>4</v>
      </c>
    </row>
    <row r="2462" spans="1:14" x14ac:dyDescent="0.25">
      <c r="A2462" s="3">
        <v>45506</v>
      </c>
      <c r="C2462" s="7" t="s">
        <v>5418</v>
      </c>
      <c r="E2462" s="115" t="s">
        <v>16</v>
      </c>
      <c r="H2462" s="2">
        <v>100</v>
      </c>
      <c r="I2462" s="113">
        <f t="shared" si="145"/>
        <v>6655.12</v>
      </c>
      <c r="J2462" s="71"/>
      <c r="N2462" s="2">
        <f t="shared" si="144"/>
        <v>25.4</v>
      </c>
    </row>
    <row r="2463" spans="1:14" x14ac:dyDescent="0.25">
      <c r="A2463" s="3">
        <v>45506</v>
      </c>
      <c r="B2463" s="11" t="s">
        <v>4890</v>
      </c>
      <c r="C2463" s="7" t="s">
        <v>5556</v>
      </c>
      <c r="H2463" s="2">
        <v>500</v>
      </c>
      <c r="I2463" s="113">
        <f t="shared" si="145"/>
        <v>6155.12</v>
      </c>
      <c r="J2463" s="71"/>
    </row>
    <row r="2464" spans="1:14" x14ac:dyDescent="0.25">
      <c r="A2464" s="3">
        <v>45507</v>
      </c>
      <c r="B2464" s="11" t="s">
        <v>2663</v>
      </c>
      <c r="C2464" s="7" t="s">
        <v>5430</v>
      </c>
      <c r="H2464" s="2">
        <v>3200</v>
      </c>
      <c r="I2464" s="113">
        <f t="shared" si="145"/>
        <v>2955.12</v>
      </c>
      <c r="J2464" s="71">
        <v>2655.12</v>
      </c>
      <c r="N2464" s="2">
        <f t="shared" ref="N2464:N2477" si="146">IF((G2464+H2464)&lt;=5000,(H2464+G2464)*0.004,20)+IF(E2464="Y",25,0)</f>
        <v>12.8</v>
      </c>
    </row>
    <row r="2465" spans="1:17" x14ac:dyDescent="0.25">
      <c r="A2465" s="3">
        <v>45507</v>
      </c>
      <c r="B2465" s="11" t="s">
        <v>5431</v>
      </c>
      <c r="C2465" s="7" t="s">
        <v>5432</v>
      </c>
      <c r="E2465" s="115" t="s">
        <v>16</v>
      </c>
      <c r="H2465" s="2">
        <v>100</v>
      </c>
      <c r="I2465" s="113">
        <f t="shared" si="145"/>
        <v>2855.12</v>
      </c>
      <c r="J2465" s="71"/>
      <c r="N2465" s="2">
        <f t="shared" si="146"/>
        <v>25.4</v>
      </c>
    </row>
    <row r="2466" spans="1:17" x14ac:dyDescent="0.25">
      <c r="A2466" s="3">
        <v>45507</v>
      </c>
      <c r="B2466" s="11" t="s">
        <v>5436</v>
      </c>
      <c r="C2466" s="7" t="s">
        <v>5437</v>
      </c>
      <c r="E2466" s="115" t="s">
        <v>16</v>
      </c>
      <c r="H2466" s="2">
        <v>100</v>
      </c>
      <c r="I2466" s="113">
        <f t="shared" si="145"/>
        <v>2755.12</v>
      </c>
      <c r="J2466" s="71"/>
      <c r="N2466" s="2">
        <f t="shared" si="146"/>
        <v>25.4</v>
      </c>
    </row>
    <row r="2467" spans="1:17" x14ac:dyDescent="0.25">
      <c r="A2467" s="3">
        <v>45507</v>
      </c>
      <c r="B2467" s="11" t="s">
        <v>5409</v>
      </c>
      <c r="C2467" s="7" t="s">
        <v>5410</v>
      </c>
      <c r="H2467" s="2">
        <v>1000</v>
      </c>
      <c r="I2467" s="113">
        <f t="shared" si="145"/>
        <v>1755.12</v>
      </c>
      <c r="J2467" s="71"/>
      <c r="N2467" s="2">
        <f t="shared" si="146"/>
        <v>4</v>
      </c>
    </row>
    <row r="2468" spans="1:17" x14ac:dyDescent="0.25">
      <c r="A2468" s="3">
        <v>45507</v>
      </c>
      <c r="B2468" s="11" t="s">
        <v>3334</v>
      </c>
      <c r="G2468" s="2">
        <v>2000</v>
      </c>
      <c r="I2468" s="113">
        <f t="shared" si="145"/>
        <v>3755.12</v>
      </c>
      <c r="J2468" s="71"/>
      <c r="N2468" s="2">
        <f t="shared" si="146"/>
        <v>8</v>
      </c>
    </row>
    <row r="2469" spans="1:17" x14ac:dyDescent="0.25">
      <c r="A2469" s="3">
        <v>45507</v>
      </c>
      <c r="B2469" s="11" t="s">
        <v>5442</v>
      </c>
      <c r="C2469" s="7" t="s">
        <v>5446</v>
      </c>
      <c r="E2469" s="115" t="s">
        <v>16</v>
      </c>
      <c r="H2469" s="2">
        <v>400</v>
      </c>
      <c r="I2469" s="113">
        <f t="shared" si="145"/>
        <v>3355.12</v>
      </c>
      <c r="J2469" s="71"/>
      <c r="N2469" s="2">
        <f t="shared" si="146"/>
        <v>26.6</v>
      </c>
    </row>
    <row r="2470" spans="1:17" x14ac:dyDescent="0.25">
      <c r="A2470" s="3">
        <v>45507</v>
      </c>
      <c r="B2470" s="11" t="s">
        <v>5448</v>
      </c>
      <c r="C2470" s="7" t="s">
        <v>5451</v>
      </c>
      <c r="E2470" s="115" t="s">
        <v>16</v>
      </c>
      <c r="H2470" s="2">
        <v>500</v>
      </c>
      <c r="I2470" s="113">
        <f t="shared" si="145"/>
        <v>2855.12</v>
      </c>
      <c r="J2470" s="71"/>
      <c r="N2470" s="2">
        <f t="shared" si="146"/>
        <v>27</v>
      </c>
    </row>
    <row r="2471" spans="1:17" x14ac:dyDescent="0.25">
      <c r="A2471" s="3">
        <v>45507</v>
      </c>
      <c r="B2471" s="11" t="s">
        <v>5454</v>
      </c>
      <c r="C2471" s="7" t="s">
        <v>5455</v>
      </c>
      <c r="E2471" s="115" t="s">
        <v>16</v>
      </c>
      <c r="H2471" s="2">
        <v>500</v>
      </c>
      <c r="I2471" s="113">
        <f t="shared" si="145"/>
        <v>2355.12</v>
      </c>
      <c r="J2471" s="71"/>
      <c r="N2471" s="2">
        <f t="shared" si="146"/>
        <v>27</v>
      </c>
    </row>
    <row r="2472" spans="1:17" x14ac:dyDescent="0.25">
      <c r="A2472" s="3">
        <v>45507</v>
      </c>
      <c r="B2472" s="11" t="s">
        <v>1253</v>
      </c>
      <c r="C2472" s="7" t="s">
        <v>5458</v>
      </c>
      <c r="G2472" s="2">
        <v>400</v>
      </c>
      <c r="I2472" s="113">
        <f t="shared" si="145"/>
        <v>2755.12</v>
      </c>
      <c r="J2472" s="71">
        <v>2455</v>
      </c>
      <c r="N2472" s="2">
        <f t="shared" si="146"/>
        <v>1.6</v>
      </c>
    </row>
    <row r="2473" spans="1:17" x14ac:dyDescent="0.25">
      <c r="A2473" s="3">
        <v>45507</v>
      </c>
      <c r="B2473" s="11" t="s">
        <v>5460</v>
      </c>
      <c r="C2473" s="7" t="s">
        <v>5463</v>
      </c>
      <c r="E2473" s="115" t="s">
        <v>16</v>
      </c>
      <c r="H2473" s="2">
        <v>200</v>
      </c>
      <c r="I2473" s="113">
        <f t="shared" si="145"/>
        <v>2555.12</v>
      </c>
      <c r="J2473" s="71"/>
      <c r="N2473" s="2">
        <f t="shared" si="146"/>
        <v>25.8</v>
      </c>
    </row>
    <row r="2474" spans="1:17" x14ac:dyDescent="0.25">
      <c r="A2474" s="3">
        <v>45507</v>
      </c>
      <c r="B2474" s="11" t="s">
        <v>1253</v>
      </c>
      <c r="C2474" s="7" t="s">
        <v>5412</v>
      </c>
      <c r="G2474" s="2">
        <v>5000</v>
      </c>
      <c r="I2474" s="113">
        <f t="shared" si="145"/>
        <v>7555.12</v>
      </c>
      <c r="J2474" s="71"/>
      <c r="N2474" s="2">
        <f t="shared" si="146"/>
        <v>20</v>
      </c>
    </row>
    <row r="2475" spans="1:17" x14ac:dyDescent="0.25">
      <c r="A2475" s="3">
        <v>45507</v>
      </c>
      <c r="B2475" s="11" t="s">
        <v>5465</v>
      </c>
      <c r="C2475" s="7" t="s">
        <v>5466</v>
      </c>
      <c r="E2475" s="115" t="s">
        <v>16</v>
      </c>
      <c r="H2475" s="2">
        <v>500</v>
      </c>
      <c r="I2475" s="113">
        <f t="shared" si="145"/>
        <v>7055.12</v>
      </c>
      <c r="J2475" s="71"/>
      <c r="N2475" s="2">
        <f t="shared" si="146"/>
        <v>27</v>
      </c>
    </row>
    <row r="2476" spans="1:17" x14ac:dyDescent="0.25">
      <c r="A2476" s="3">
        <v>45507</v>
      </c>
      <c r="B2476" s="11" t="s">
        <v>1253</v>
      </c>
      <c r="C2476" s="7" t="s">
        <v>3717</v>
      </c>
      <c r="G2476" s="2">
        <v>2000</v>
      </c>
      <c r="I2476" s="113">
        <f t="shared" si="145"/>
        <v>9055.119999999999</v>
      </c>
      <c r="J2476" s="71"/>
      <c r="N2476" s="2">
        <f t="shared" si="146"/>
        <v>8</v>
      </c>
      <c r="Q2476" s="71"/>
    </row>
    <row r="2477" spans="1:17" x14ac:dyDescent="0.25">
      <c r="A2477" s="3">
        <v>45509</v>
      </c>
      <c r="B2477" s="11" t="s">
        <v>5357</v>
      </c>
      <c r="C2477" s="7" t="s">
        <v>4380</v>
      </c>
      <c r="G2477" s="2">
        <v>2000</v>
      </c>
      <c r="I2477" s="113">
        <f t="shared" si="145"/>
        <v>11055.119999999999</v>
      </c>
      <c r="J2477" s="71">
        <v>10755.12</v>
      </c>
      <c r="N2477" s="2">
        <f t="shared" si="146"/>
        <v>8</v>
      </c>
    </row>
    <row r="2478" spans="1:17" x14ac:dyDescent="0.25">
      <c r="A2478" s="3">
        <v>45509</v>
      </c>
      <c r="B2478" s="11" t="s">
        <v>5470</v>
      </c>
      <c r="C2478" s="7" t="s">
        <v>5471</v>
      </c>
      <c r="E2478" s="115" t="s">
        <v>16</v>
      </c>
      <c r="H2478" s="2">
        <v>500</v>
      </c>
      <c r="I2478" s="113">
        <f t="shared" si="145"/>
        <v>10555.119999999999</v>
      </c>
      <c r="J2478" s="71"/>
    </row>
    <row r="2479" spans="1:17" x14ac:dyDescent="0.25">
      <c r="A2479" s="3">
        <v>45509</v>
      </c>
      <c r="B2479" s="11" t="s">
        <v>1253</v>
      </c>
      <c r="G2479" s="2">
        <v>4000</v>
      </c>
      <c r="I2479" s="113">
        <f t="shared" si="145"/>
        <v>14555.119999999999</v>
      </c>
      <c r="J2479" s="71"/>
    </row>
    <row r="2480" spans="1:17" x14ac:dyDescent="0.25">
      <c r="A2480" s="3">
        <v>45509</v>
      </c>
      <c r="B2480" s="11" t="s">
        <v>5474</v>
      </c>
      <c r="C2480" s="7" t="s">
        <v>5475</v>
      </c>
      <c r="E2480" s="115" t="s">
        <v>16</v>
      </c>
      <c r="H2480" s="4">
        <v>500</v>
      </c>
      <c r="I2480" s="113">
        <f t="shared" si="145"/>
        <v>14055.119999999999</v>
      </c>
      <c r="J2480" s="71"/>
    </row>
    <row r="2481" spans="1:10" x14ac:dyDescent="0.25">
      <c r="A2481" s="3">
        <v>45509</v>
      </c>
      <c r="B2481" s="11" t="s">
        <v>5478</v>
      </c>
      <c r="C2481" s="7" t="s">
        <v>5157</v>
      </c>
      <c r="E2481" s="115" t="s">
        <v>16</v>
      </c>
      <c r="H2481" s="4">
        <v>100</v>
      </c>
      <c r="I2481" s="113">
        <f t="shared" si="145"/>
        <v>13955.119999999999</v>
      </c>
      <c r="J2481" s="71"/>
    </row>
    <row r="2482" spans="1:10" x14ac:dyDescent="0.25">
      <c r="A2482" s="3">
        <v>45509</v>
      </c>
      <c r="B2482" s="11" t="s">
        <v>5481</v>
      </c>
      <c r="C2482" s="7" t="s">
        <v>2011</v>
      </c>
      <c r="E2482" s="115" t="s">
        <v>16</v>
      </c>
      <c r="H2482" s="4">
        <v>200</v>
      </c>
      <c r="I2482" s="113">
        <f t="shared" si="145"/>
        <v>13755.119999999999</v>
      </c>
      <c r="J2482" s="71"/>
    </row>
    <row r="2483" spans="1:10" x14ac:dyDescent="0.25">
      <c r="A2483" s="3">
        <v>45509</v>
      </c>
      <c r="B2483" s="11" t="s">
        <v>5483</v>
      </c>
      <c r="C2483" s="7"/>
      <c r="E2483" s="115" t="s">
        <v>16</v>
      </c>
      <c r="H2483" s="4">
        <v>500</v>
      </c>
      <c r="I2483" s="113">
        <f t="shared" si="145"/>
        <v>13255.119999999999</v>
      </c>
      <c r="J2483" s="71"/>
    </row>
    <row r="2484" spans="1:10" x14ac:dyDescent="0.25">
      <c r="A2484" s="3">
        <v>45509</v>
      </c>
      <c r="B2484" s="11" t="s">
        <v>5486</v>
      </c>
      <c r="C2484" s="7" t="s">
        <v>5487</v>
      </c>
      <c r="E2484" s="115" t="s">
        <v>16</v>
      </c>
      <c r="H2484" s="4">
        <f>100+100</f>
        <v>200</v>
      </c>
      <c r="I2484" s="113">
        <f t="shared" si="145"/>
        <v>13055.119999999999</v>
      </c>
      <c r="J2484" s="71"/>
    </row>
    <row r="2485" spans="1:10" x14ac:dyDescent="0.25">
      <c r="A2485" s="3">
        <v>45509</v>
      </c>
      <c r="B2485" s="11" t="s">
        <v>1253</v>
      </c>
      <c r="C2485" s="7" t="s">
        <v>4433</v>
      </c>
      <c r="G2485" s="2">
        <v>800</v>
      </c>
      <c r="I2485" s="113">
        <f t="shared" si="145"/>
        <v>13855.119999999999</v>
      </c>
      <c r="J2485" s="71"/>
    </row>
    <row r="2486" spans="1:10" x14ac:dyDescent="0.25">
      <c r="A2486" s="3">
        <v>45509</v>
      </c>
      <c r="B2486" s="11" t="s">
        <v>3276</v>
      </c>
      <c r="C2486" s="7" t="s">
        <v>4130</v>
      </c>
      <c r="G2486" s="2">
        <v>1900</v>
      </c>
      <c r="I2486" s="113">
        <f t="shared" si="145"/>
        <v>15755.119999999999</v>
      </c>
      <c r="J2486" s="71"/>
    </row>
    <row r="2487" spans="1:10" x14ac:dyDescent="0.25">
      <c r="A2487" s="3">
        <v>45509</v>
      </c>
      <c r="B2487" s="11" t="s">
        <v>5490</v>
      </c>
      <c r="C2487" s="7" t="s">
        <v>3782</v>
      </c>
      <c r="H2487" s="2">
        <v>3000</v>
      </c>
      <c r="I2487" s="113">
        <f t="shared" si="145"/>
        <v>12755.119999999999</v>
      </c>
      <c r="J2487" s="71"/>
    </row>
    <row r="2488" spans="1:10" x14ac:dyDescent="0.25">
      <c r="A2488" s="3">
        <v>45509</v>
      </c>
      <c r="B2488" s="11" t="s">
        <v>3192</v>
      </c>
      <c r="C2488" s="7" t="s">
        <v>4603</v>
      </c>
      <c r="G2488" s="2">
        <v>10000</v>
      </c>
      <c r="I2488" s="113">
        <f t="shared" si="145"/>
        <v>22755.119999999999</v>
      </c>
      <c r="J2488" s="71"/>
    </row>
    <row r="2489" spans="1:10" x14ac:dyDescent="0.25">
      <c r="A2489" s="3">
        <v>45509</v>
      </c>
      <c r="B2489" s="11" t="s">
        <v>5492</v>
      </c>
      <c r="C2489" s="7" t="s">
        <v>5493</v>
      </c>
      <c r="E2489" s="115" t="s">
        <v>16</v>
      </c>
      <c r="H2489" s="2">
        <v>100</v>
      </c>
      <c r="I2489" s="113">
        <f t="shared" si="145"/>
        <v>22655.119999999999</v>
      </c>
      <c r="J2489" s="71"/>
    </row>
    <row r="2490" spans="1:10" x14ac:dyDescent="0.25">
      <c r="A2490" s="3">
        <v>45509</v>
      </c>
      <c r="B2490" s="11" t="s">
        <v>5497</v>
      </c>
      <c r="C2490" s="7" t="s">
        <v>5499</v>
      </c>
      <c r="E2490" s="115" t="s">
        <v>16</v>
      </c>
      <c r="H2490" s="2">
        <v>150</v>
      </c>
      <c r="I2490" s="113">
        <f t="shared" si="145"/>
        <v>22505.119999999999</v>
      </c>
      <c r="J2490" s="71"/>
    </row>
    <row r="2491" spans="1:10" x14ac:dyDescent="0.25">
      <c r="A2491" s="3">
        <v>45510</v>
      </c>
      <c r="B2491" s="11" t="s">
        <v>1253</v>
      </c>
      <c r="C2491" s="7" t="s">
        <v>2362</v>
      </c>
      <c r="G2491" s="2">
        <v>5000</v>
      </c>
      <c r="I2491" s="113">
        <f t="shared" si="145"/>
        <v>27505.119999999999</v>
      </c>
      <c r="J2491" s="71"/>
    </row>
    <row r="2492" spans="1:10" x14ac:dyDescent="0.25">
      <c r="A2492" s="3">
        <v>45510</v>
      </c>
      <c r="B2492" s="11" t="s">
        <v>5502</v>
      </c>
      <c r="C2492" s="7" t="s">
        <v>1668</v>
      </c>
      <c r="E2492" s="115" t="s">
        <v>14</v>
      </c>
      <c r="H2492" s="2">
        <v>1000</v>
      </c>
      <c r="I2492" s="113">
        <f t="shared" si="145"/>
        <v>26505.119999999999</v>
      </c>
      <c r="J2492" s="71"/>
    </row>
    <row r="2493" spans="1:10" x14ac:dyDescent="0.25">
      <c r="A2493" s="3">
        <v>45510</v>
      </c>
      <c r="B2493" s="11" t="s">
        <v>5506</v>
      </c>
      <c r="C2493" s="7" t="s">
        <v>5508</v>
      </c>
      <c r="E2493" s="115" t="s">
        <v>14</v>
      </c>
      <c r="H2493" s="2">
        <v>2000</v>
      </c>
      <c r="I2493" s="113">
        <f t="shared" si="145"/>
        <v>24505.119999999999</v>
      </c>
      <c r="J2493" s="71" t="s">
        <v>5507</v>
      </c>
    </row>
    <row r="2494" spans="1:10" x14ac:dyDescent="0.25">
      <c r="A2494" s="3">
        <v>45510</v>
      </c>
      <c r="B2494" s="11" t="s">
        <v>2983</v>
      </c>
      <c r="C2494" s="7" t="s">
        <v>5387</v>
      </c>
      <c r="G2494" s="2">
        <v>300</v>
      </c>
      <c r="I2494" s="113">
        <f t="shared" si="145"/>
        <v>24805.119999999999</v>
      </c>
      <c r="J2494" s="71"/>
    </row>
    <row r="2495" spans="1:10" x14ac:dyDescent="0.25">
      <c r="A2495" s="3">
        <v>45510</v>
      </c>
      <c r="B2495" s="11" t="s">
        <v>5510</v>
      </c>
      <c r="C2495" s="7" t="s">
        <v>1003</v>
      </c>
      <c r="E2495" s="115" t="s">
        <v>16</v>
      </c>
      <c r="H2495" s="2">
        <v>17000</v>
      </c>
      <c r="I2495" s="113">
        <f t="shared" si="145"/>
        <v>7805.119999999999</v>
      </c>
      <c r="J2495" s="71"/>
    </row>
    <row r="2496" spans="1:10" x14ac:dyDescent="0.25">
      <c r="A2496" s="3">
        <v>45511</v>
      </c>
      <c r="B2496" s="11" t="s">
        <v>3962</v>
      </c>
      <c r="C2496" s="7" t="s">
        <v>5512</v>
      </c>
      <c r="G2496" s="2">
        <v>5000</v>
      </c>
      <c r="I2496" s="113">
        <f t="shared" si="145"/>
        <v>12805.119999999999</v>
      </c>
      <c r="J2496" s="71"/>
    </row>
    <row r="2497" spans="1:10" x14ac:dyDescent="0.25">
      <c r="A2497" s="3">
        <v>45511</v>
      </c>
      <c r="B2497" s="11" t="s">
        <v>5372</v>
      </c>
      <c r="C2497" s="7" t="s">
        <v>5373</v>
      </c>
      <c r="H2497" s="94">
        <v>500</v>
      </c>
      <c r="I2497" s="113">
        <f t="shared" si="145"/>
        <v>12305.119999999999</v>
      </c>
      <c r="J2497" s="71"/>
    </row>
    <row r="2498" spans="1:10" x14ac:dyDescent="0.25">
      <c r="A2498" s="3">
        <v>45511</v>
      </c>
      <c r="B2498" s="11" t="s">
        <v>1253</v>
      </c>
      <c r="C2498" s="7" t="s">
        <v>5513</v>
      </c>
      <c r="G2498" s="2">
        <v>200</v>
      </c>
      <c r="I2498" s="113">
        <f t="shared" si="145"/>
        <v>12505.119999999999</v>
      </c>
      <c r="J2498" s="71"/>
    </row>
    <row r="2499" spans="1:10" x14ac:dyDescent="0.25">
      <c r="A2499" s="3">
        <v>45511</v>
      </c>
      <c r="B2499" s="11" t="s">
        <v>5515</v>
      </c>
      <c r="C2499" s="7" t="s">
        <v>5516</v>
      </c>
      <c r="E2499" s="115" t="s">
        <v>16</v>
      </c>
      <c r="H2499" s="2">
        <v>100</v>
      </c>
      <c r="I2499" s="113">
        <f t="shared" si="145"/>
        <v>12405.119999999999</v>
      </c>
      <c r="J2499" s="71"/>
    </row>
    <row r="2500" spans="1:10" x14ac:dyDescent="0.25">
      <c r="A2500" s="3">
        <v>45511</v>
      </c>
      <c r="B2500" s="11" t="s">
        <v>5520</v>
      </c>
      <c r="C2500" s="7" t="s">
        <v>5521</v>
      </c>
      <c r="E2500" s="115" t="s">
        <v>16</v>
      </c>
      <c r="H2500" s="2">
        <v>100</v>
      </c>
      <c r="I2500" s="113">
        <f t="shared" si="145"/>
        <v>12305.119999999999</v>
      </c>
      <c r="J2500" s="71"/>
    </row>
    <row r="2501" spans="1:10" x14ac:dyDescent="0.25">
      <c r="A2501" s="3">
        <v>45511</v>
      </c>
      <c r="B2501" s="11" t="s">
        <v>5525</v>
      </c>
      <c r="C2501" s="7" t="s">
        <v>5526</v>
      </c>
      <c r="E2501" s="115" t="s">
        <v>16</v>
      </c>
      <c r="H2501" s="2">
        <v>100</v>
      </c>
      <c r="I2501" s="113">
        <f t="shared" si="145"/>
        <v>12205.119999999999</v>
      </c>
      <c r="J2501" s="71"/>
    </row>
    <row r="2502" spans="1:10" x14ac:dyDescent="0.25">
      <c r="A2502" s="3">
        <v>45511</v>
      </c>
      <c r="B2502" s="11" t="s">
        <v>5528</v>
      </c>
      <c r="C2502" s="7" t="s">
        <v>5529</v>
      </c>
      <c r="E2502" s="115" t="s">
        <v>16</v>
      </c>
      <c r="H2502" s="2">
        <v>150</v>
      </c>
      <c r="I2502" s="113">
        <f t="shared" si="145"/>
        <v>12055.119999999999</v>
      </c>
      <c r="J2502" s="71"/>
    </row>
    <row r="2503" spans="1:10" x14ac:dyDescent="0.25">
      <c r="A2503" s="3">
        <v>45511</v>
      </c>
      <c r="B2503" s="11" t="s">
        <v>5533</v>
      </c>
      <c r="C2503" s="7" t="s">
        <v>4621</v>
      </c>
      <c r="E2503" s="115" t="s">
        <v>16</v>
      </c>
      <c r="H2503" s="2">
        <v>100</v>
      </c>
      <c r="I2503" s="113">
        <f t="shared" si="145"/>
        <v>11955.119999999999</v>
      </c>
      <c r="J2503" s="71"/>
    </row>
    <row r="2504" spans="1:10" x14ac:dyDescent="0.25">
      <c r="A2504" s="3">
        <v>45511</v>
      </c>
      <c r="B2504" s="11" t="s">
        <v>5536</v>
      </c>
      <c r="C2504" s="7" t="s">
        <v>192</v>
      </c>
      <c r="E2504" s="115" t="s">
        <v>16</v>
      </c>
      <c r="H2504" s="2">
        <v>100</v>
      </c>
      <c r="I2504" s="113">
        <f t="shared" si="145"/>
        <v>11855.119999999999</v>
      </c>
      <c r="J2504" s="71"/>
    </row>
    <row r="2505" spans="1:10" x14ac:dyDescent="0.25">
      <c r="A2505" s="3">
        <v>45511</v>
      </c>
      <c r="B2505" s="11" t="s">
        <v>5541</v>
      </c>
      <c r="C2505" s="7" t="s">
        <v>5542</v>
      </c>
      <c r="E2505" s="115" t="s">
        <v>16</v>
      </c>
      <c r="H2505" s="2">
        <v>100</v>
      </c>
      <c r="I2505" s="113">
        <f t="shared" si="145"/>
        <v>11755.119999999999</v>
      </c>
      <c r="J2505" s="71"/>
    </row>
    <row r="2506" spans="1:10" x14ac:dyDescent="0.25">
      <c r="A2506" s="3">
        <v>45511</v>
      </c>
      <c r="B2506" s="11" t="s">
        <v>5557</v>
      </c>
      <c r="C2506" s="7" t="s">
        <v>5546</v>
      </c>
      <c r="E2506" s="115" t="s">
        <v>16</v>
      </c>
      <c r="H2506" s="2">
        <v>100</v>
      </c>
      <c r="I2506" s="113">
        <f t="shared" si="145"/>
        <v>11655.119999999999</v>
      </c>
      <c r="J2506" s="71"/>
    </row>
    <row r="2507" spans="1:10" x14ac:dyDescent="0.25">
      <c r="A2507" s="3">
        <v>45511</v>
      </c>
      <c r="B2507" s="11" t="s">
        <v>5551</v>
      </c>
      <c r="C2507" s="7" t="s">
        <v>5552</v>
      </c>
      <c r="E2507" s="115" t="s">
        <v>16</v>
      </c>
      <c r="H2507" s="2">
        <v>200</v>
      </c>
      <c r="I2507" s="113">
        <f t="shared" si="145"/>
        <v>11455.119999999999</v>
      </c>
      <c r="J2507" s="71">
        <v>11654</v>
      </c>
    </row>
    <row r="2508" spans="1:10" x14ac:dyDescent="0.25">
      <c r="A2508" s="3">
        <v>45511</v>
      </c>
      <c r="B2508" s="11" t="s">
        <v>2707</v>
      </c>
      <c r="C2508" s="7" t="s">
        <v>2708</v>
      </c>
      <c r="H2508" s="2">
        <v>3000</v>
      </c>
      <c r="I2508" s="113">
        <f t="shared" si="145"/>
        <v>8455.119999999999</v>
      </c>
      <c r="J2508" s="71"/>
    </row>
    <row r="2509" spans="1:10" x14ac:dyDescent="0.25">
      <c r="A2509" s="3">
        <v>45511</v>
      </c>
      <c r="B2509" s="11" t="s">
        <v>1253</v>
      </c>
      <c r="C2509" s="7" t="s">
        <v>3717</v>
      </c>
      <c r="G2509" s="2">
        <v>3000</v>
      </c>
      <c r="I2509" s="113">
        <f t="shared" si="145"/>
        <v>11455.119999999999</v>
      </c>
      <c r="J2509" s="71"/>
    </row>
    <row r="2510" spans="1:10" x14ac:dyDescent="0.25">
      <c r="A2510" s="3">
        <v>45512</v>
      </c>
      <c r="B2510" s="11" t="s">
        <v>5560</v>
      </c>
      <c r="C2510" s="7" t="s">
        <v>405</v>
      </c>
      <c r="E2510" s="115" t="s">
        <v>16</v>
      </c>
      <c r="H2510" s="2">
        <v>100</v>
      </c>
      <c r="I2510" s="113">
        <f t="shared" si="145"/>
        <v>11355.119999999999</v>
      </c>
      <c r="J2510" s="71"/>
    </row>
    <row r="2511" spans="1:10" x14ac:dyDescent="0.25">
      <c r="A2511" s="3">
        <v>45512</v>
      </c>
      <c r="B2511" s="11" t="s">
        <v>5564</v>
      </c>
      <c r="C2511" s="7" t="s">
        <v>5565</v>
      </c>
      <c r="E2511" s="115" t="s">
        <v>16</v>
      </c>
      <c r="H2511" s="2">
        <v>200</v>
      </c>
      <c r="I2511" s="113">
        <f t="shared" si="145"/>
        <v>11155.119999999999</v>
      </c>
      <c r="J2511" s="71"/>
    </row>
    <row r="2512" spans="1:10" x14ac:dyDescent="0.25">
      <c r="A2512" s="3">
        <v>45512</v>
      </c>
      <c r="B2512" s="11" t="s">
        <v>4736</v>
      </c>
      <c r="C2512" s="7" t="s">
        <v>4737</v>
      </c>
      <c r="H2512" s="2">
        <v>7000</v>
      </c>
      <c r="I2512" s="113">
        <f t="shared" ref="I2512:I2556" si="147">I2511+G2512-H2512</f>
        <v>4155.119999999999</v>
      </c>
      <c r="J2512" s="71"/>
    </row>
    <row r="2513" spans="1:10" x14ac:dyDescent="0.25">
      <c r="A2513" s="3">
        <v>45512</v>
      </c>
      <c r="B2513" s="11" t="s">
        <v>5510</v>
      </c>
      <c r="C2513" s="7" t="s">
        <v>1003</v>
      </c>
      <c r="H2513" s="2">
        <v>2000</v>
      </c>
      <c r="I2513" s="113">
        <f t="shared" si="147"/>
        <v>2155.119999999999</v>
      </c>
      <c r="J2513" s="71">
        <v>2354</v>
      </c>
    </row>
    <row r="2514" spans="1:10" x14ac:dyDescent="0.25">
      <c r="A2514" s="3">
        <v>45512</v>
      </c>
      <c r="B2514" s="11" t="s">
        <v>5557</v>
      </c>
      <c r="C2514" s="7" t="s">
        <v>5570</v>
      </c>
      <c r="H2514" s="2">
        <v>200</v>
      </c>
      <c r="I2514" s="113">
        <f t="shared" si="147"/>
        <v>1955.119999999999</v>
      </c>
      <c r="J2514" s="71"/>
    </row>
    <row r="2515" spans="1:10" x14ac:dyDescent="0.25">
      <c r="A2515" s="3">
        <v>45512</v>
      </c>
      <c r="B2515" s="11" t="s">
        <v>5574</v>
      </c>
      <c r="C2515" s="7" t="s">
        <v>5577</v>
      </c>
      <c r="H2515" s="2">
        <v>200</v>
      </c>
      <c r="I2515" s="113">
        <f t="shared" si="147"/>
        <v>1755.119999999999</v>
      </c>
      <c r="J2515" s="71"/>
    </row>
    <row r="2516" spans="1:10" x14ac:dyDescent="0.25">
      <c r="A2516" s="3">
        <v>45512</v>
      </c>
      <c r="B2516" s="11" t="s">
        <v>1253</v>
      </c>
      <c r="C2516" s="7" t="s">
        <v>5151</v>
      </c>
      <c r="G2516" s="2">
        <v>4000</v>
      </c>
      <c r="I2516" s="113">
        <f t="shared" si="147"/>
        <v>5755.119999999999</v>
      </c>
      <c r="J2516" s="71">
        <v>6154</v>
      </c>
    </row>
    <row r="2517" spans="1:10" x14ac:dyDescent="0.25">
      <c r="A2517" s="3">
        <v>45513</v>
      </c>
      <c r="B2517" s="11" t="s">
        <v>5580</v>
      </c>
      <c r="C2517" s="7" t="s">
        <v>5581</v>
      </c>
      <c r="E2517" s="115" t="s">
        <v>16</v>
      </c>
      <c r="H2517" s="2">
        <v>500</v>
      </c>
      <c r="I2517" s="113">
        <f t="shared" si="147"/>
        <v>5255.119999999999</v>
      </c>
      <c r="J2517" s="71"/>
    </row>
    <row r="2518" spans="1:10" x14ac:dyDescent="0.25">
      <c r="A2518" s="3">
        <v>45513</v>
      </c>
      <c r="B2518" s="11" t="s">
        <v>5586</v>
      </c>
      <c r="C2518" s="7" t="s">
        <v>5587</v>
      </c>
      <c r="E2518" s="115" t="s">
        <v>16</v>
      </c>
      <c r="H2518" s="2">
        <v>500</v>
      </c>
      <c r="I2518" s="113">
        <f t="shared" si="147"/>
        <v>4755.119999999999</v>
      </c>
      <c r="J2518" s="71"/>
    </row>
    <row r="2519" spans="1:10" x14ac:dyDescent="0.25">
      <c r="A2519" s="3">
        <v>45513</v>
      </c>
      <c r="B2519" s="11" t="s">
        <v>5590</v>
      </c>
      <c r="C2519" s="7" t="s">
        <v>5591</v>
      </c>
      <c r="E2519" s="115" t="s">
        <v>16</v>
      </c>
      <c r="H2519" s="2">
        <v>200</v>
      </c>
      <c r="I2519" s="113">
        <f t="shared" si="147"/>
        <v>4555.119999999999</v>
      </c>
      <c r="J2519" s="71"/>
    </row>
    <row r="2520" spans="1:10" x14ac:dyDescent="0.25">
      <c r="A2520" s="3">
        <v>45513</v>
      </c>
      <c r="B2520" s="11" t="s">
        <v>4108</v>
      </c>
      <c r="C2520" s="7" t="s">
        <v>5594</v>
      </c>
      <c r="G2520" s="2">
        <v>1000</v>
      </c>
      <c r="I2520" s="113">
        <f t="shared" si="147"/>
        <v>5555.119999999999</v>
      </c>
      <c r="J2520" s="71"/>
    </row>
    <row r="2521" spans="1:10" x14ac:dyDescent="0.25">
      <c r="A2521" s="3">
        <v>45513</v>
      </c>
      <c r="B2521" s="11" t="s">
        <v>3918</v>
      </c>
      <c r="C2521" s="7" t="s">
        <v>2361</v>
      </c>
      <c r="H2521" s="2">
        <v>4800</v>
      </c>
      <c r="I2521" s="113">
        <f t="shared" si="147"/>
        <v>755.11999999999898</v>
      </c>
      <c r="J2521" s="71"/>
    </row>
    <row r="2522" spans="1:10" x14ac:dyDescent="0.25">
      <c r="A2522" s="3">
        <v>45514</v>
      </c>
      <c r="B2522" s="11" t="s">
        <v>1253</v>
      </c>
      <c r="C2522" s="7" t="s">
        <v>2467</v>
      </c>
      <c r="G2522" s="2">
        <v>1630</v>
      </c>
      <c r="I2522" s="113">
        <f t="shared" si="147"/>
        <v>2385.119999999999</v>
      </c>
      <c r="J2522" s="71"/>
    </row>
    <row r="2523" spans="1:10" x14ac:dyDescent="0.25">
      <c r="A2523" s="3">
        <v>45514</v>
      </c>
      <c r="B2523" s="11" t="s">
        <v>4128</v>
      </c>
      <c r="C2523" s="7" t="s">
        <v>5596</v>
      </c>
      <c r="H2523" s="2">
        <v>2000</v>
      </c>
      <c r="I2523" s="113">
        <f t="shared" si="147"/>
        <v>385.11999999999898</v>
      </c>
      <c r="J2523" s="71"/>
    </row>
    <row r="2524" spans="1:10" x14ac:dyDescent="0.25">
      <c r="A2524" s="3">
        <v>45515</v>
      </c>
      <c r="B2524" s="11" t="s">
        <v>1163</v>
      </c>
      <c r="C2524" s="7" t="s">
        <v>5597</v>
      </c>
      <c r="G2524" s="2">
        <v>1200</v>
      </c>
      <c r="I2524" s="113">
        <f t="shared" si="147"/>
        <v>1585.119999999999</v>
      </c>
      <c r="J2524" s="71"/>
    </row>
    <row r="2525" spans="1:10" x14ac:dyDescent="0.25">
      <c r="A2525" s="3">
        <v>45516</v>
      </c>
      <c r="B2525" s="11" t="s">
        <v>1253</v>
      </c>
      <c r="C2525" s="7" t="s">
        <v>4254</v>
      </c>
      <c r="G2525" s="2">
        <v>5000</v>
      </c>
      <c r="I2525" s="113">
        <f t="shared" si="147"/>
        <v>6585.119999999999</v>
      </c>
      <c r="J2525" s="71"/>
    </row>
    <row r="2526" spans="1:10" x14ac:dyDescent="0.25">
      <c r="A2526" s="3">
        <v>45516</v>
      </c>
      <c r="B2526" s="11" t="s">
        <v>5600</v>
      </c>
      <c r="C2526" s="7" t="s">
        <v>5603</v>
      </c>
      <c r="E2526" s="115" t="s">
        <v>16</v>
      </c>
      <c r="H2526" s="4">
        <v>200</v>
      </c>
      <c r="I2526" s="113">
        <f t="shared" si="147"/>
        <v>6385.119999999999</v>
      </c>
      <c r="J2526" s="71"/>
    </row>
    <row r="2527" spans="1:10" x14ac:dyDescent="0.25">
      <c r="A2527" s="3">
        <v>45516</v>
      </c>
      <c r="B2527" s="11" t="s">
        <v>5605</v>
      </c>
      <c r="C2527" s="7" t="s">
        <v>5606</v>
      </c>
      <c r="E2527" s="115" t="s">
        <v>16</v>
      </c>
      <c r="H2527" s="4">
        <v>500</v>
      </c>
      <c r="I2527" s="113">
        <f t="shared" si="147"/>
        <v>5885.119999999999</v>
      </c>
      <c r="J2527" s="71"/>
    </row>
    <row r="2528" spans="1:10" x14ac:dyDescent="0.25">
      <c r="A2528" s="3">
        <v>45516</v>
      </c>
      <c r="B2528" s="11" t="s">
        <v>5609</v>
      </c>
      <c r="C2528" s="7" t="s">
        <v>5610</v>
      </c>
      <c r="E2528" s="115" t="s">
        <v>16</v>
      </c>
      <c r="H2528" s="4">
        <v>500</v>
      </c>
      <c r="I2528" s="113">
        <f t="shared" si="147"/>
        <v>5385.119999999999</v>
      </c>
      <c r="J2528" s="71"/>
    </row>
    <row r="2529" spans="1:10" x14ac:dyDescent="0.25">
      <c r="A2529" s="3">
        <v>45516</v>
      </c>
      <c r="B2529" s="11" t="s">
        <v>5614</v>
      </c>
      <c r="C2529" s="7" t="s">
        <v>5615</v>
      </c>
      <c r="E2529" s="115" t="s">
        <v>16</v>
      </c>
      <c r="H2529" s="4">
        <v>200</v>
      </c>
      <c r="I2529" s="113">
        <f t="shared" si="147"/>
        <v>5185.119999999999</v>
      </c>
      <c r="J2529" s="71"/>
    </row>
    <row r="2530" spans="1:10" x14ac:dyDescent="0.25">
      <c r="A2530" s="3">
        <v>45516</v>
      </c>
      <c r="B2530" s="11" t="s">
        <v>5619</v>
      </c>
      <c r="C2530" s="7" t="s">
        <v>5620</v>
      </c>
      <c r="E2530" s="115" t="s">
        <v>16</v>
      </c>
      <c r="H2530" s="2">
        <v>100</v>
      </c>
      <c r="I2530" s="113">
        <f t="shared" si="147"/>
        <v>5085.119999999999</v>
      </c>
      <c r="J2530" s="71"/>
    </row>
    <row r="2531" spans="1:10" x14ac:dyDescent="0.25">
      <c r="A2531" s="3">
        <v>45516</v>
      </c>
      <c r="B2531" s="11" t="s">
        <v>1253</v>
      </c>
      <c r="C2531" s="7" t="s">
        <v>3717</v>
      </c>
      <c r="G2531" s="2">
        <v>2500</v>
      </c>
      <c r="I2531" s="113">
        <f t="shared" si="147"/>
        <v>7585.119999999999</v>
      </c>
      <c r="J2531" s="71"/>
    </row>
    <row r="2532" spans="1:10" x14ac:dyDescent="0.25">
      <c r="A2532" s="3">
        <v>45516</v>
      </c>
      <c r="B2532" s="11" t="s">
        <v>1253</v>
      </c>
      <c r="C2532" s="7" t="s">
        <v>2467</v>
      </c>
      <c r="G2532" s="2">
        <v>2650</v>
      </c>
      <c r="I2532" s="113">
        <f t="shared" si="147"/>
        <v>10235.119999999999</v>
      </c>
      <c r="J2532" s="71"/>
    </row>
    <row r="2533" spans="1:10" x14ac:dyDescent="0.25">
      <c r="A2533" s="3">
        <v>45517</v>
      </c>
      <c r="B2533" s="11" t="s">
        <v>5624</v>
      </c>
      <c r="C2533" s="7" t="s">
        <v>5625</v>
      </c>
      <c r="E2533" s="115" t="s">
        <v>16</v>
      </c>
      <c r="H2533" s="4">
        <v>200</v>
      </c>
      <c r="I2533" s="113">
        <f t="shared" si="147"/>
        <v>10035.119999999999</v>
      </c>
      <c r="J2533" s="71"/>
    </row>
    <row r="2534" spans="1:10" x14ac:dyDescent="0.25">
      <c r="A2534" s="3">
        <v>45517</v>
      </c>
      <c r="B2534" s="11" t="s">
        <v>5629</v>
      </c>
      <c r="C2534" s="7" t="s">
        <v>5630</v>
      </c>
      <c r="E2534" s="115" t="s">
        <v>16</v>
      </c>
      <c r="H2534" s="4">
        <v>2500</v>
      </c>
      <c r="I2534" s="113">
        <f t="shared" si="147"/>
        <v>7535.119999999999</v>
      </c>
      <c r="J2534" s="71"/>
    </row>
    <row r="2535" spans="1:10" x14ac:dyDescent="0.25">
      <c r="A2535" s="3">
        <v>45517</v>
      </c>
      <c r="B2535" s="11" t="s">
        <v>5634</v>
      </c>
      <c r="C2535" s="7" t="s">
        <v>5635</v>
      </c>
      <c r="E2535" s="115" t="s">
        <v>16</v>
      </c>
      <c r="H2535" s="4">
        <v>100</v>
      </c>
      <c r="I2535" s="113">
        <f t="shared" si="147"/>
        <v>7435.119999999999</v>
      </c>
      <c r="J2535" s="71"/>
    </row>
    <row r="2536" spans="1:10" x14ac:dyDescent="0.25">
      <c r="A2536" s="3">
        <v>45517</v>
      </c>
      <c r="B2536" s="11" t="s">
        <v>5637</v>
      </c>
      <c r="C2536" s="7" t="s">
        <v>5638</v>
      </c>
      <c r="E2536" s="115" t="s">
        <v>16</v>
      </c>
      <c r="H2536" s="4">
        <v>500</v>
      </c>
      <c r="I2536" s="113">
        <f t="shared" si="147"/>
        <v>6935.119999999999</v>
      </c>
      <c r="J2536" s="71">
        <v>6934.88</v>
      </c>
    </row>
    <row r="2537" spans="1:10" x14ac:dyDescent="0.25">
      <c r="A2537" s="3">
        <v>45518</v>
      </c>
      <c r="B2537" s="11" t="s">
        <v>5645</v>
      </c>
      <c r="C2537" s="7" t="s">
        <v>5646</v>
      </c>
      <c r="E2537" s="115" t="s">
        <v>16</v>
      </c>
      <c r="H2537" s="4">
        <v>100</v>
      </c>
      <c r="I2537" s="113">
        <f t="shared" si="147"/>
        <v>6835.119999999999</v>
      </c>
      <c r="J2537" s="71"/>
    </row>
    <row r="2538" spans="1:10" x14ac:dyDescent="0.25">
      <c r="A2538" s="3">
        <v>45518</v>
      </c>
      <c r="B2538" s="11" t="s">
        <v>5650</v>
      </c>
      <c r="C2538" s="7" t="s">
        <v>5526</v>
      </c>
      <c r="E2538" s="115" t="s">
        <v>16</v>
      </c>
      <c r="H2538" s="4">
        <v>500</v>
      </c>
      <c r="I2538" s="113">
        <f t="shared" si="147"/>
        <v>6335.119999999999</v>
      </c>
      <c r="J2538" s="71"/>
    </row>
    <row r="2539" spans="1:10" x14ac:dyDescent="0.25">
      <c r="A2539" s="3">
        <v>45518</v>
      </c>
      <c r="B2539" s="11" t="s">
        <v>5654</v>
      </c>
      <c r="C2539" s="7" t="s">
        <v>5655</v>
      </c>
      <c r="E2539" s="115" t="s">
        <v>16</v>
      </c>
      <c r="H2539" s="4">
        <v>100</v>
      </c>
      <c r="I2539" s="113">
        <f t="shared" si="147"/>
        <v>6235.119999999999</v>
      </c>
      <c r="J2539" s="71">
        <v>6234.68</v>
      </c>
    </row>
    <row r="2540" spans="1:10" x14ac:dyDescent="0.25">
      <c r="A2540" s="3">
        <v>45519</v>
      </c>
      <c r="B2540" s="11" t="s">
        <v>2365</v>
      </c>
      <c r="C2540" s="7" t="s">
        <v>5658</v>
      </c>
      <c r="G2540" s="2">
        <v>5000</v>
      </c>
      <c r="I2540" s="113">
        <f t="shared" si="147"/>
        <v>11235.119999999999</v>
      </c>
      <c r="J2540" s="71"/>
    </row>
    <row r="2541" spans="1:10" x14ac:dyDescent="0.25">
      <c r="A2541" s="3">
        <v>45519</v>
      </c>
      <c r="B2541" s="11" t="s">
        <v>3835</v>
      </c>
      <c r="C2541" s="7" t="s">
        <v>5660</v>
      </c>
      <c r="H2541" s="2">
        <v>2000</v>
      </c>
      <c r="I2541" s="113">
        <f t="shared" si="147"/>
        <v>9235.119999999999</v>
      </c>
      <c r="J2541" s="71"/>
    </row>
    <row r="2542" spans="1:10" x14ac:dyDescent="0.25">
      <c r="A2542" s="3">
        <v>45519</v>
      </c>
      <c r="B2542" s="11" t="s">
        <v>1253</v>
      </c>
      <c r="C2542" s="7" t="s">
        <v>2467</v>
      </c>
      <c r="G2542" s="2">
        <v>1820</v>
      </c>
      <c r="I2542" s="113">
        <f t="shared" si="147"/>
        <v>11055.119999999999</v>
      </c>
      <c r="J2542" s="71"/>
    </row>
    <row r="2543" spans="1:10" x14ac:dyDescent="0.25">
      <c r="A2543" s="3">
        <v>45520</v>
      </c>
      <c r="B2543" s="11" t="s">
        <v>1391</v>
      </c>
      <c r="C2543" s="7" t="s">
        <v>5664</v>
      </c>
      <c r="H2543" s="2">
        <v>5000</v>
      </c>
      <c r="I2543" s="113">
        <f t="shared" si="147"/>
        <v>6055.119999999999</v>
      </c>
      <c r="J2543" s="71"/>
    </row>
    <row r="2544" spans="1:10" x14ac:dyDescent="0.25">
      <c r="A2544" s="3">
        <v>45520</v>
      </c>
      <c r="B2544" s="11" t="s">
        <v>5666</v>
      </c>
      <c r="C2544" s="7" t="s">
        <v>2426</v>
      </c>
      <c r="E2544" s="115" t="s">
        <v>16</v>
      </c>
      <c r="H2544" s="2">
        <v>1000</v>
      </c>
      <c r="I2544" s="113">
        <f t="shared" si="147"/>
        <v>5055.119999999999</v>
      </c>
    </row>
    <row r="2545" spans="1:10" x14ac:dyDescent="0.25">
      <c r="A2545" s="3">
        <v>45520</v>
      </c>
      <c r="B2545" s="11" t="s">
        <v>1475</v>
      </c>
      <c r="C2545" s="7" t="s">
        <v>5671</v>
      </c>
      <c r="D2545" s="58">
        <v>7763956666</v>
      </c>
      <c r="G2545" s="2">
        <v>3000</v>
      </c>
      <c r="I2545" s="113">
        <f t="shared" si="147"/>
        <v>8055.119999999999</v>
      </c>
      <c r="J2545" s="71"/>
    </row>
    <row r="2546" spans="1:10" x14ac:dyDescent="0.25">
      <c r="A2546" s="3">
        <v>45520</v>
      </c>
      <c r="B2546" s="11" t="s">
        <v>1253</v>
      </c>
      <c r="C2546" s="7" t="s">
        <v>5672</v>
      </c>
      <c r="G2546" s="2">
        <v>2000</v>
      </c>
      <c r="I2546" s="113">
        <f t="shared" si="147"/>
        <v>10055.119999999999</v>
      </c>
      <c r="J2546" s="71"/>
    </row>
    <row r="2547" spans="1:10" x14ac:dyDescent="0.25">
      <c r="A2547" s="3">
        <v>45520</v>
      </c>
      <c r="B2547" s="11" t="s">
        <v>5674</v>
      </c>
      <c r="C2547" s="7" t="s">
        <v>5675</v>
      </c>
      <c r="E2547" s="115" t="s">
        <v>16</v>
      </c>
      <c r="H2547" s="2">
        <v>200</v>
      </c>
      <c r="I2547" s="113">
        <f t="shared" si="147"/>
        <v>9855.119999999999</v>
      </c>
      <c r="J2547" s="71"/>
    </row>
    <row r="2548" spans="1:10" x14ac:dyDescent="0.25">
      <c r="A2548" s="3">
        <v>45520</v>
      </c>
      <c r="B2548" s="11" t="s">
        <v>5679</v>
      </c>
      <c r="C2548" s="7" t="s">
        <v>5680</v>
      </c>
      <c r="E2548" s="115" t="s">
        <v>16</v>
      </c>
      <c r="H2548" s="2">
        <v>100</v>
      </c>
      <c r="I2548" s="113">
        <f t="shared" si="147"/>
        <v>9755.119999999999</v>
      </c>
      <c r="J2548" s="71"/>
    </row>
    <row r="2549" spans="1:10" x14ac:dyDescent="0.25">
      <c r="A2549" s="3">
        <v>45520</v>
      </c>
      <c r="B2549" s="11" t="s">
        <v>5683</v>
      </c>
      <c r="C2549" s="7" t="s">
        <v>4821</v>
      </c>
      <c r="G2549" s="2">
        <v>3000</v>
      </c>
      <c r="I2549" s="113">
        <f t="shared" si="147"/>
        <v>12755.119999999999</v>
      </c>
      <c r="J2549" s="71"/>
    </row>
    <row r="2550" spans="1:10" x14ac:dyDescent="0.25">
      <c r="A2550" s="3">
        <v>45521</v>
      </c>
      <c r="B2550" s="11" t="s">
        <v>5684</v>
      </c>
      <c r="C2550" s="7" t="s">
        <v>5685</v>
      </c>
      <c r="G2550" s="2">
        <v>10000</v>
      </c>
      <c r="I2550" s="113">
        <f t="shared" si="147"/>
        <v>22755.119999999999</v>
      </c>
      <c r="J2550" s="71"/>
    </row>
    <row r="2551" spans="1:10" x14ac:dyDescent="0.25">
      <c r="A2551" s="3">
        <v>45521</v>
      </c>
      <c r="B2551" s="11" t="s">
        <v>1253</v>
      </c>
      <c r="C2551" s="7" t="s">
        <v>5664</v>
      </c>
      <c r="H2551" s="2">
        <v>10000</v>
      </c>
      <c r="I2551" s="113">
        <f t="shared" si="147"/>
        <v>12755.119999999999</v>
      </c>
      <c r="J2551" s="71"/>
    </row>
    <row r="2552" spans="1:10" x14ac:dyDescent="0.25">
      <c r="A2552" s="3">
        <v>45521</v>
      </c>
      <c r="B2552" s="11" t="s">
        <v>4359</v>
      </c>
      <c r="C2552" s="7" t="s">
        <v>5687</v>
      </c>
      <c r="G2552" s="2">
        <v>2500</v>
      </c>
      <c r="I2552" s="113">
        <f t="shared" si="147"/>
        <v>15255.119999999999</v>
      </c>
      <c r="J2552" s="71"/>
    </row>
    <row r="2553" spans="1:10" x14ac:dyDescent="0.25">
      <c r="A2553" s="3">
        <v>45521</v>
      </c>
      <c r="B2553" s="11" t="s">
        <v>1253</v>
      </c>
      <c r="C2553" s="7" t="s">
        <v>2467</v>
      </c>
      <c r="G2553" s="2">
        <v>1500</v>
      </c>
      <c r="I2553" s="113">
        <f t="shared" si="147"/>
        <v>16755.12</v>
      </c>
      <c r="J2553" s="71"/>
    </row>
    <row r="2554" spans="1:10" x14ac:dyDescent="0.25">
      <c r="A2554" s="3">
        <v>45522</v>
      </c>
      <c r="B2554" s="11" t="s">
        <v>1253</v>
      </c>
      <c r="C2554" s="7" t="s">
        <v>5664</v>
      </c>
      <c r="H2554" s="2">
        <v>10000</v>
      </c>
      <c r="I2554" s="113">
        <f t="shared" si="147"/>
        <v>6755.119999999999</v>
      </c>
    </row>
    <row r="2555" spans="1:10" x14ac:dyDescent="0.25">
      <c r="A2555" s="3">
        <v>45522</v>
      </c>
      <c r="B2555" s="11" t="s">
        <v>1253</v>
      </c>
      <c r="C2555" s="7"/>
      <c r="G2555" s="2">
        <v>2400</v>
      </c>
      <c r="I2555" s="113">
        <f t="shared" si="147"/>
        <v>9155.119999999999</v>
      </c>
      <c r="J2555" s="71">
        <v>9054.8799999999992</v>
      </c>
    </row>
    <row r="2556" spans="1:10" x14ac:dyDescent="0.25">
      <c r="A2556" s="3">
        <v>45524</v>
      </c>
      <c r="B2556" s="11" t="s">
        <v>1253</v>
      </c>
      <c r="C2556" s="7" t="s">
        <v>5688</v>
      </c>
      <c r="G2556" s="2">
        <v>500</v>
      </c>
      <c r="I2556" s="113">
        <f t="shared" si="147"/>
        <v>9655.119999999999</v>
      </c>
      <c r="J2556" s="71"/>
    </row>
    <row r="2557" spans="1:10" x14ac:dyDescent="0.25">
      <c r="A2557" s="3">
        <v>45524</v>
      </c>
      <c r="B2557" s="11" t="s">
        <v>5690</v>
      </c>
      <c r="C2557" s="7"/>
      <c r="E2557" s="115" t="s">
        <v>16</v>
      </c>
      <c r="H2557" s="2">
        <v>100</v>
      </c>
      <c r="I2557" s="113"/>
      <c r="J2557" s="71"/>
    </row>
    <row r="2558" spans="1:10" x14ac:dyDescent="0.25">
      <c r="A2558" s="3">
        <v>45524</v>
      </c>
      <c r="B2558" s="11" t="s">
        <v>5695</v>
      </c>
      <c r="C2558" s="7"/>
      <c r="E2558" s="115" t="s">
        <v>16</v>
      </c>
      <c r="H2558" s="2">
        <v>100</v>
      </c>
      <c r="I2558" s="113"/>
      <c r="J2558" s="71"/>
    </row>
    <row r="2559" spans="1:10" x14ac:dyDescent="0.25">
      <c r="A2559" s="3"/>
      <c r="C2559" s="7"/>
      <c r="I2559" s="113"/>
      <c r="J2559" s="71"/>
    </row>
    <row r="2560" spans="1:10" x14ac:dyDescent="0.25">
      <c r="A2560" s="3"/>
      <c r="C2560" s="7"/>
      <c r="I2560" s="113"/>
      <c r="J2560" s="71"/>
    </row>
    <row r="2561" spans="1:14" x14ac:dyDescent="0.25">
      <c r="I2561" s="113"/>
      <c r="J2561" s="71"/>
      <c r="N2561" s="2">
        <f>IF((G2561+H2561)&lt;=5000,(H2561+G2561)*0.004,20)+IF(E2561="Y",25,0)</f>
        <v>0</v>
      </c>
    </row>
    <row r="2562" spans="1:14" x14ac:dyDescent="0.25">
      <c r="A2562" s="97">
        <f>COUNT(A2447:A2561)</f>
        <v>112</v>
      </c>
      <c r="B2562" s="102"/>
      <c r="C2562" s="27"/>
      <c r="D2562" s="139"/>
      <c r="E2562" s="117">
        <f>COUNTIF(E2447:E2561,"Y")</f>
        <v>61</v>
      </c>
      <c r="F2562" s="97">
        <f>G2562+H2562</f>
        <v>186000</v>
      </c>
      <c r="G2562" s="102">
        <f>SUM(G2447:G2561)</f>
        <v>94800</v>
      </c>
      <c r="H2562" s="102">
        <f>SUM(H2447:H2561)</f>
        <v>91200</v>
      </c>
      <c r="I2562" s="102">
        <f>SUM(I2447:I2561)</f>
        <v>1001563.1999999996</v>
      </c>
      <c r="J2562" s="102"/>
      <c r="K2562" s="102"/>
      <c r="L2562" s="102"/>
      <c r="M2562" s="102"/>
      <c r="N2562" s="102">
        <f>SUM(N2447:N2561)</f>
        <v>571.40000000000009</v>
      </c>
    </row>
    <row r="2563" spans="1:14" x14ac:dyDescent="0.25">
      <c r="B2563" s="43" t="s">
        <v>3114</v>
      </c>
      <c r="C2563" s="1" t="s">
        <v>3011</v>
      </c>
      <c r="D2563" s="141" t="s">
        <v>3007</v>
      </c>
      <c r="F2563" s="11"/>
      <c r="G2563" s="2" t="s">
        <v>4136</v>
      </c>
    </row>
    <row r="2564" spans="1:14" x14ac:dyDescent="0.25">
      <c r="C2564" s="48" t="s">
        <v>2665</v>
      </c>
      <c r="D2564" s="59" t="s">
        <v>3473</v>
      </c>
      <c r="F2564" s="11"/>
    </row>
    <row r="2565" spans="1:14" x14ac:dyDescent="0.25">
      <c r="C2565" s="48"/>
      <c r="D2565" s="59"/>
      <c r="F2565" s="11"/>
      <c r="L2565">
        <f>7*1.5</f>
        <v>10.5</v>
      </c>
    </row>
  </sheetData>
  <customSheetViews>
    <customSheetView guid="{1459FC0D-58BA-4BEC-951C-298999986759}">
      <selection activeCell="E4" sqref="E4"/>
      <pageMargins left="0.7" right="0.7" top="0.75" bottom="0.75" header="0.3" footer="0.3"/>
    </customSheetView>
    <customSheetView guid="{EB31AAB7-3CD3-47EA-8FB3-E6304DCC89B3}">
      <selection activeCell="E4" sqref="E4"/>
      <pageMargins left="0.7" right="0.7" top="0.75" bottom="0.75" header="0.3" footer="0.3"/>
    </customSheetView>
    <customSheetView guid="{2FF9BCA9-095C-4E73-9C86-2243907C0824}">
      <selection activeCell="E4" sqref="E4"/>
      <pageMargins left="0.7" right="0.7" top="0.75" bottom="0.75" header="0.3" footer="0.3"/>
    </customSheetView>
    <customSheetView guid="{A0CE3161-5061-442F-A27F-2BA55581F316}">
      <selection activeCell="E4" sqref="E4"/>
      <pageMargins left="0.7" right="0.7" top="0.75" bottom="0.75" header="0.3" footer="0.3"/>
    </customSheetView>
  </customSheetViews>
  <mergeCells count="1">
    <mergeCell ref="A2:J2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AC2C-68ED-4B3E-B2CC-6E0DDE5C81E4}">
  <dimension ref="A1:M92"/>
  <sheetViews>
    <sheetView workbookViewId="0">
      <pane ySplit="2" topLeftCell="A12" activePane="bottomLeft" state="frozen"/>
      <selection pane="bottomLeft" activeCell="A3" sqref="A3"/>
    </sheetView>
  </sheetViews>
  <sheetFormatPr defaultRowHeight="15" x14ac:dyDescent="0.25"/>
  <cols>
    <col min="1" max="1" width="14.28515625" customWidth="1"/>
    <col min="2" max="2" width="29.5703125" customWidth="1"/>
    <col min="3" max="4" width="13.140625" customWidth="1"/>
    <col min="5" max="5" width="13.42578125" customWidth="1"/>
    <col min="13" max="13" width="26.42578125" customWidth="1"/>
  </cols>
  <sheetData>
    <row r="1" spans="1:10" x14ac:dyDescent="0.25">
      <c r="C1" t="s">
        <v>2297</v>
      </c>
      <c r="D1" t="s">
        <v>2298</v>
      </c>
      <c r="E1">
        <v>160000</v>
      </c>
      <c r="G1" s="8" t="s">
        <v>2351</v>
      </c>
      <c r="H1" s="8">
        <f>SUM(C3:C254)-SUM(D3:D254)</f>
        <v>88101.209999999963</v>
      </c>
      <c r="J1">
        <f>500000-E58</f>
        <v>379651.80999999994</v>
      </c>
    </row>
    <row r="2" spans="1:10" x14ac:dyDescent="0.25">
      <c r="C2">
        <f>SUM(C3:C504)</f>
        <v>526601.21</v>
      </c>
      <c r="D2">
        <f>SUM(D3:D504)</f>
        <v>438500</v>
      </c>
      <c r="G2" s="8"/>
      <c r="H2" s="8"/>
    </row>
    <row r="3" spans="1:10" x14ac:dyDescent="0.25">
      <c r="A3" s="31">
        <v>44713</v>
      </c>
      <c r="B3" s="32" t="s">
        <v>2463</v>
      </c>
      <c r="C3" s="32">
        <v>10196.040000000066</v>
      </c>
      <c r="D3" s="6"/>
      <c r="E3" s="6">
        <f>E1-C3+D3</f>
        <v>149803.95999999993</v>
      </c>
    </row>
    <row r="4" spans="1:10" x14ac:dyDescent="0.25">
      <c r="A4" s="31">
        <v>44725</v>
      </c>
      <c r="B4" s="6" t="s">
        <v>2296</v>
      </c>
      <c r="C4" s="6">
        <v>30000</v>
      </c>
      <c r="D4" s="6"/>
      <c r="E4" s="6">
        <f t="shared" ref="E4:E71" si="0">E3-C4+D4</f>
        <v>119803.95999999993</v>
      </c>
    </row>
    <row r="5" spans="1:10" x14ac:dyDescent="0.25">
      <c r="A5" s="31">
        <v>44725</v>
      </c>
      <c r="B5" s="6" t="s">
        <v>2299</v>
      </c>
      <c r="C5" s="6"/>
      <c r="D5" s="6">
        <v>10000</v>
      </c>
      <c r="E5" s="6">
        <f t="shared" si="0"/>
        <v>129803.95999999993</v>
      </c>
    </row>
    <row r="6" spans="1:10" x14ac:dyDescent="0.25">
      <c r="A6" s="31">
        <v>44726</v>
      </c>
      <c r="B6" s="6" t="s">
        <v>2299</v>
      </c>
      <c r="C6" s="6"/>
      <c r="D6" s="6">
        <v>10000</v>
      </c>
      <c r="E6" s="6">
        <f t="shared" si="0"/>
        <v>139803.95999999993</v>
      </c>
    </row>
    <row r="7" spans="1:10" x14ac:dyDescent="0.25">
      <c r="A7" s="31">
        <v>44727</v>
      </c>
      <c r="B7" s="6" t="s">
        <v>2299</v>
      </c>
      <c r="C7" s="6"/>
      <c r="D7" s="6">
        <v>10000</v>
      </c>
      <c r="E7" s="6">
        <f t="shared" si="0"/>
        <v>149803.95999999993</v>
      </c>
    </row>
    <row r="8" spans="1:10" x14ac:dyDescent="0.25">
      <c r="A8" s="31">
        <v>44727</v>
      </c>
      <c r="B8" s="6" t="s">
        <v>2341</v>
      </c>
      <c r="C8" s="6">
        <v>2366.8000000000002</v>
      </c>
      <c r="D8" s="6"/>
      <c r="E8" s="6">
        <f t="shared" si="0"/>
        <v>147437.15999999995</v>
      </c>
    </row>
    <row r="9" spans="1:10" x14ac:dyDescent="0.25">
      <c r="A9" s="31">
        <v>44727</v>
      </c>
      <c r="B9" s="6" t="s">
        <v>2341</v>
      </c>
      <c r="C9" s="6">
        <v>2664.8</v>
      </c>
      <c r="D9" s="6"/>
      <c r="E9" s="6">
        <f t="shared" si="0"/>
        <v>144772.35999999996</v>
      </c>
    </row>
    <row r="10" spans="1:10" x14ac:dyDescent="0.25">
      <c r="A10" s="31">
        <v>44727</v>
      </c>
      <c r="B10" s="6" t="s">
        <v>2341</v>
      </c>
      <c r="C10" s="6">
        <v>11191.8</v>
      </c>
      <c r="D10" s="6"/>
      <c r="E10" s="6">
        <f t="shared" si="0"/>
        <v>133580.55999999997</v>
      </c>
    </row>
    <row r="11" spans="1:10" x14ac:dyDescent="0.25">
      <c r="A11" s="31">
        <v>44728</v>
      </c>
      <c r="B11" s="6" t="s">
        <v>2299</v>
      </c>
      <c r="C11" s="6"/>
      <c r="D11" s="6">
        <v>5000</v>
      </c>
      <c r="E11" s="6">
        <f t="shared" si="0"/>
        <v>138580.55999999997</v>
      </c>
    </row>
    <row r="12" spans="1:10" x14ac:dyDescent="0.25">
      <c r="A12" s="31">
        <v>44730</v>
      </c>
      <c r="B12" s="6" t="s">
        <v>2299</v>
      </c>
      <c r="C12" s="6"/>
      <c r="D12" s="6">
        <v>7000</v>
      </c>
      <c r="E12" s="6">
        <f t="shared" si="0"/>
        <v>145580.55999999997</v>
      </c>
    </row>
    <row r="13" spans="1:10" x14ac:dyDescent="0.25">
      <c r="A13" s="31">
        <v>44730</v>
      </c>
      <c r="B13" s="6" t="s">
        <v>2350</v>
      </c>
      <c r="C13" s="6">
        <f>4001.77+29.5+147.5</f>
        <v>4178.7700000000004</v>
      </c>
      <c r="D13" s="6"/>
      <c r="E13" s="6">
        <f t="shared" si="0"/>
        <v>141401.78999999998</v>
      </c>
    </row>
    <row r="14" spans="1:10" x14ac:dyDescent="0.25">
      <c r="A14" s="31">
        <v>44732</v>
      </c>
      <c r="B14" s="6" t="s">
        <v>2299</v>
      </c>
      <c r="C14" s="6"/>
      <c r="D14" s="6">
        <v>5000</v>
      </c>
      <c r="E14" s="6">
        <f t="shared" si="0"/>
        <v>146401.78999999998</v>
      </c>
    </row>
    <row r="15" spans="1:10" x14ac:dyDescent="0.25">
      <c r="A15" s="31">
        <v>44736</v>
      </c>
      <c r="B15" s="6" t="s">
        <v>2348</v>
      </c>
      <c r="C15" s="6">
        <v>10411.799999999999</v>
      </c>
      <c r="D15" s="6"/>
      <c r="E15" s="6">
        <f t="shared" si="0"/>
        <v>135989.99</v>
      </c>
    </row>
    <row r="16" spans="1:10" x14ac:dyDescent="0.25">
      <c r="A16" s="31">
        <v>44736</v>
      </c>
      <c r="B16" s="6" t="s">
        <v>2299</v>
      </c>
      <c r="C16" s="6"/>
      <c r="D16" s="6">
        <v>5000</v>
      </c>
      <c r="E16" s="6">
        <f t="shared" si="0"/>
        <v>140989.99</v>
      </c>
    </row>
    <row r="17" spans="1:5" x14ac:dyDescent="0.25">
      <c r="A17" s="31">
        <v>44740</v>
      </c>
      <c r="B17" s="6" t="s">
        <v>2299</v>
      </c>
      <c r="C17" s="6"/>
      <c r="D17" s="6">
        <v>5000</v>
      </c>
      <c r="E17" s="6">
        <f t="shared" si="0"/>
        <v>145989.99</v>
      </c>
    </row>
    <row r="18" spans="1:5" x14ac:dyDescent="0.25">
      <c r="A18" s="31">
        <v>44740</v>
      </c>
      <c r="B18" s="6" t="s">
        <v>2353</v>
      </c>
      <c r="C18" s="6">
        <v>2400</v>
      </c>
      <c r="D18" s="6"/>
      <c r="E18" s="6">
        <f t="shared" si="0"/>
        <v>143589.99</v>
      </c>
    </row>
    <row r="19" spans="1:5" x14ac:dyDescent="0.25">
      <c r="A19" s="31">
        <v>44740</v>
      </c>
      <c r="B19" s="6" t="s">
        <v>2354</v>
      </c>
      <c r="C19" s="6">
        <v>30631</v>
      </c>
      <c r="D19" s="6"/>
      <c r="E19" s="6">
        <f t="shared" si="0"/>
        <v>112958.98999999999</v>
      </c>
    </row>
    <row r="20" spans="1:5" x14ac:dyDescent="0.25">
      <c r="A20" s="31">
        <v>44742</v>
      </c>
      <c r="B20" s="6" t="s">
        <v>2370</v>
      </c>
      <c r="C20" s="6">
        <v>2116.5500000000002</v>
      </c>
      <c r="D20" s="6"/>
      <c r="E20" s="6">
        <f t="shared" si="0"/>
        <v>110842.43999999999</v>
      </c>
    </row>
    <row r="21" spans="1:5" x14ac:dyDescent="0.25">
      <c r="A21" s="31">
        <v>44742</v>
      </c>
      <c r="B21" s="6" t="s">
        <v>2371</v>
      </c>
      <c r="C21" s="6">
        <v>2664</v>
      </c>
      <c r="D21" s="6"/>
      <c r="E21" s="6">
        <f t="shared" si="0"/>
        <v>108178.43999999999</v>
      </c>
    </row>
    <row r="22" spans="1:5" x14ac:dyDescent="0.25">
      <c r="A22" s="30">
        <v>44746</v>
      </c>
      <c r="B22" s="27" t="s">
        <v>2299</v>
      </c>
      <c r="C22" s="27"/>
      <c r="D22" s="27">
        <v>10000</v>
      </c>
      <c r="E22" s="27">
        <f t="shared" si="0"/>
        <v>118178.43999999999</v>
      </c>
    </row>
    <row r="23" spans="1:5" x14ac:dyDescent="0.25">
      <c r="A23" s="30">
        <v>44746</v>
      </c>
      <c r="B23" s="27" t="s">
        <v>2299</v>
      </c>
      <c r="C23" s="27"/>
      <c r="D23" s="27">
        <v>7000</v>
      </c>
      <c r="E23" s="27">
        <f t="shared" si="0"/>
        <v>125178.43999999999</v>
      </c>
    </row>
    <row r="24" spans="1:5" x14ac:dyDescent="0.25">
      <c r="A24" s="30">
        <v>44749</v>
      </c>
      <c r="B24" s="27" t="s">
        <v>2299</v>
      </c>
      <c r="C24" s="27"/>
      <c r="D24" s="27">
        <v>10000</v>
      </c>
      <c r="E24" s="27">
        <f t="shared" si="0"/>
        <v>135178.44</v>
      </c>
    </row>
    <row r="25" spans="1:5" x14ac:dyDescent="0.25">
      <c r="A25" s="30">
        <v>44749</v>
      </c>
      <c r="B25" s="27" t="s">
        <v>2368</v>
      </c>
      <c r="C25" s="27">
        <v>17000</v>
      </c>
      <c r="D25" s="27"/>
      <c r="E25" s="27">
        <f t="shared" si="0"/>
        <v>118178.44</v>
      </c>
    </row>
    <row r="26" spans="1:5" x14ac:dyDescent="0.25">
      <c r="A26" s="30">
        <v>44749</v>
      </c>
      <c r="B26" s="27" t="s">
        <v>2372</v>
      </c>
      <c r="C26" s="27">
        <v>5.9</v>
      </c>
      <c r="D26" s="27"/>
      <c r="E26" s="27">
        <f t="shared" si="0"/>
        <v>118172.54000000001</v>
      </c>
    </row>
    <row r="27" spans="1:5" x14ac:dyDescent="0.25">
      <c r="A27" s="30">
        <v>44749</v>
      </c>
      <c r="B27" s="27" t="s">
        <v>2369</v>
      </c>
      <c r="C27" s="27">
        <v>1200</v>
      </c>
      <c r="D27" s="27"/>
      <c r="E27" s="27">
        <f t="shared" si="0"/>
        <v>116972.54000000001</v>
      </c>
    </row>
    <row r="28" spans="1:5" x14ac:dyDescent="0.25">
      <c r="A28" s="30">
        <v>44749</v>
      </c>
      <c r="B28" s="27" t="s">
        <v>2372</v>
      </c>
      <c r="C28" s="27">
        <v>5.9</v>
      </c>
      <c r="D28" s="27"/>
      <c r="E28" s="27">
        <f t="shared" si="0"/>
        <v>116966.64000000001</v>
      </c>
    </row>
    <row r="29" spans="1:5" x14ac:dyDescent="0.25">
      <c r="A29" s="30">
        <v>44750</v>
      </c>
      <c r="B29" s="27" t="s">
        <v>2299</v>
      </c>
      <c r="C29" s="27"/>
      <c r="D29" s="27">
        <v>10000</v>
      </c>
      <c r="E29" s="27">
        <f t="shared" si="0"/>
        <v>126966.64000000001</v>
      </c>
    </row>
    <row r="30" spans="1:5" x14ac:dyDescent="0.25">
      <c r="A30" s="30">
        <v>44751</v>
      </c>
      <c r="B30" s="27" t="s">
        <v>2299</v>
      </c>
      <c r="C30" s="27"/>
      <c r="D30" s="27">
        <v>10000</v>
      </c>
      <c r="E30" s="27">
        <f t="shared" si="0"/>
        <v>136966.64000000001</v>
      </c>
    </row>
    <row r="31" spans="1:5" x14ac:dyDescent="0.25">
      <c r="A31" s="30">
        <v>44753</v>
      </c>
      <c r="B31" s="27" t="s">
        <v>2299</v>
      </c>
      <c r="C31" s="27"/>
      <c r="D31" s="27">
        <v>7000</v>
      </c>
      <c r="E31" s="27">
        <f t="shared" si="0"/>
        <v>143966.64000000001</v>
      </c>
    </row>
    <row r="32" spans="1:5" x14ac:dyDescent="0.25">
      <c r="A32" s="30">
        <v>44753</v>
      </c>
      <c r="B32" s="27" t="s">
        <v>2396</v>
      </c>
      <c r="C32" s="27">
        <v>15855.9</v>
      </c>
      <c r="D32" s="27"/>
      <c r="E32" s="27">
        <f t="shared" si="0"/>
        <v>128110.74000000002</v>
      </c>
    </row>
    <row r="33" spans="1:13" x14ac:dyDescent="0.25">
      <c r="A33" s="30">
        <v>44754</v>
      </c>
      <c r="B33" s="27" t="s">
        <v>2382</v>
      </c>
      <c r="C33" s="27">
        <v>7050</v>
      </c>
      <c r="D33" s="27"/>
      <c r="E33" s="27">
        <f t="shared" si="0"/>
        <v>121060.74000000002</v>
      </c>
    </row>
    <row r="34" spans="1:13" x14ac:dyDescent="0.25">
      <c r="A34" s="30">
        <v>44754</v>
      </c>
      <c r="B34" s="27" t="s">
        <v>2299</v>
      </c>
      <c r="C34" s="27"/>
      <c r="D34" s="27">
        <v>6000</v>
      </c>
      <c r="E34" s="27">
        <f t="shared" si="0"/>
        <v>127060.74000000002</v>
      </c>
    </row>
    <row r="35" spans="1:13" x14ac:dyDescent="0.25">
      <c r="A35" s="30">
        <v>44761</v>
      </c>
      <c r="B35" s="27" t="s">
        <v>2423</v>
      </c>
      <c r="C35" s="27">
        <v>6315</v>
      </c>
      <c r="D35" s="27"/>
      <c r="E35" s="27">
        <f t="shared" si="0"/>
        <v>120745.74000000002</v>
      </c>
      <c r="M35">
        <f>160000-147961</f>
        <v>12039</v>
      </c>
    </row>
    <row r="36" spans="1:13" x14ac:dyDescent="0.25">
      <c r="A36" s="30">
        <v>44765</v>
      </c>
      <c r="B36" s="27" t="s">
        <v>2299</v>
      </c>
      <c r="C36" s="27"/>
      <c r="D36" s="27">
        <v>10000</v>
      </c>
      <c r="E36" s="27">
        <f t="shared" si="0"/>
        <v>130745.74000000002</v>
      </c>
    </row>
    <row r="37" spans="1:13" x14ac:dyDescent="0.25">
      <c r="A37" s="30">
        <v>44767</v>
      </c>
      <c r="B37" s="27" t="s">
        <v>2299</v>
      </c>
      <c r="C37" s="27"/>
      <c r="D37" s="27">
        <v>10000</v>
      </c>
      <c r="E37" s="27">
        <f t="shared" si="0"/>
        <v>140745.74000000002</v>
      </c>
    </row>
    <row r="38" spans="1:13" x14ac:dyDescent="0.25">
      <c r="A38" s="30">
        <v>44773</v>
      </c>
      <c r="B38" s="27" t="s">
        <v>2371</v>
      </c>
      <c r="C38" s="27">
        <v>2784</v>
      </c>
      <c r="D38" s="27"/>
      <c r="E38" s="27">
        <f t="shared" si="0"/>
        <v>137961.74000000002</v>
      </c>
    </row>
    <row r="39" spans="1:13" x14ac:dyDescent="0.25">
      <c r="A39" s="30">
        <v>44773</v>
      </c>
      <c r="B39" s="27" t="s">
        <v>2299</v>
      </c>
      <c r="C39" s="27"/>
      <c r="D39" s="27">
        <v>10000</v>
      </c>
      <c r="E39" s="27">
        <f t="shared" si="0"/>
        <v>147961.74000000002</v>
      </c>
    </row>
    <row r="40" spans="1:13" x14ac:dyDescent="0.25">
      <c r="A40" s="40">
        <v>44774</v>
      </c>
      <c r="B40" s="41" t="s">
        <v>2462</v>
      </c>
      <c r="C40" s="41">
        <v>2127.5500000000002</v>
      </c>
      <c r="D40" s="41"/>
      <c r="E40" s="41">
        <f t="shared" si="0"/>
        <v>145834.19000000003</v>
      </c>
    </row>
    <row r="41" spans="1:13" x14ac:dyDescent="0.25">
      <c r="A41" s="40">
        <v>44775</v>
      </c>
      <c r="B41" s="41" t="s">
        <v>2299</v>
      </c>
      <c r="C41" s="41"/>
      <c r="D41" s="41">
        <v>5000</v>
      </c>
      <c r="E41" s="41">
        <f t="shared" si="0"/>
        <v>150834.19000000003</v>
      </c>
    </row>
    <row r="42" spans="1:13" x14ac:dyDescent="0.25">
      <c r="A42" s="40">
        <v>44777</v>
      </c>
      <c r="B42" s="41" t="s">
        <v>2515</v>
      </c>
      <c r="C42" s="41">
        <v>4517</v>
      </c>
      <c r="D42" s="41"/>
      <c r="E42" s="41">
        <f t="shared" si="0"/>
        <v>146317.19000000003</v>
      </c>
    </row>
    <row r="43" spans="1:13" x14ac:dyDescent="0.25">
      <c r="A43" s="40">
        <v>44785</v>
      </c>
      <c r="B43" s="41" t="s">
        <v>2299</v>
      </c>
      <c r="C43" s="41"/>
      <c r="D43" s="41">
        <v>10000</v>
      </c>
      <c r="E43" s="41">
        <f t="shared" si="0"/>
        <v>156317.19000000003</v>
      </c>
    </row>
    <row r="44" spans="1:13" x14ac:dyDescent="0.25">
      <c r="A44" s="40">
        <v>44785</v>
      </c>
      <c r="B44" s="41" t="s">
        <v>2368</v>
      </c>
      <c r="C44" s="41">
        <v>15005.9</v>
      </c>
      <c r="D44" s="41"/>
      <c r="E44" s="41">
        <f t="shared" si="0"/>
        <v>141311.29000000004</v>
      </c>
    </row>
    <row r="45" spans="1:13" x14ac:dyDescent="0.25">
      <c r="A45" s="40">
        <v>44785</v>
      </c>
      <c r="B45" s="41" t="s">
        <v>2368</v>
      </c>
      <c r="C45" s="41">
        <v>10005.9</v>
      </c>
      <c r="D45" s="41"/>
      <c r="E45" s="41">
        <f t="shared" si="0"/>
        <v>131305.39000000004</v>
      </c>
    </row>
    <row r="46" spans="1:13" x14ac:dyDescent="0.25">
      <c r="A46" s="40">
        <v>44785</v>
      </c>
      <c r="B46" s="41" t="s">
        <v>2368</v>
      </c>
      <c r="C46" s="41">
        <v>40008.85</v>
      </c>
      <c r="D46" s="41"/>
      <c r="E46" s="41">
        <f t="shared" si="0"/>
        <v>91296.540000000037</v>
      </c>
    </row>
    <row r="47" spans="1:13" x14ac:dyDescent="0.25">
      <c r="A47" s="40">
        <v>44790</v>
      </c>
      <c r="B47" s="41" t="s">
        <v>2514</v>
      </c>
      <c r="C47" s="41"/>
      <c r="D47" s="41">
        <v>10000</v>
      </c>
      <c r="E47" s="41">
        <f t="shared" si="0"/>
        <v>101296.54000000004</v>
      </c>
    </row>
    <row r="48" spans="1:13" x14ac:dyDescent="0.25">
      <c r="A48" s="40">
        <v>44792</v>
      </c>
      <c r="B48" s="41" t="s">
        <v>2516</v>
      </c>
      <c r="C48" s="41">
        <v>30186</v>
      </c>
      <c r="D48" s="41"/>
      <c r="E48" s="41">
        <f t="shared" si="0"/>
        <v>71110.540000000037</v>
      </c>
    </row>
    <row r="49" spans="1:5" x14ac:dyDescent="0.25">
      <c r="A49" s="40">
        <v>44793</v>
      </c>
      <c r="B49" s="41" t="s">
        <v>2299</v>
      </c>
      <c r="C49" s="41"/>
      <c r="D49" s="41">
        <v>10000</v>
      </c>
      <c r="E49" s="41">
        <f t="shared" si="0"/>
        <v>81110.540000000037</v>
      </c>
    </row>
    <row r="50" spans="1:5" x14ac:dyDescent="0.25">
      <c r="A50" s="40">
        <v>44795</v>
      </c>
      <c r="B50" s="41" t="s">
        <v>2299</v>
      </c>
      <c r="C50" s="41"/>
      <c r="D50" s="41">
        <v>10000</v>
      </c>
      <c r="E50" s="41">
        <f t="shared" si="0"/>
        <v>91110.540000000037</v>
      </c>
    </row>
    <row r="51" spans="1:5" x14ac:dyDescent="0.25">
      <c r="A51" s="40">
        <v>44795</v>
      </c>
      <c r="B51" s="41" t="s">
        <v>2299</v>
      </c>
      <c r="C51" s="41"/>
      <c r="D51" s="41">
        <v>10000</v>
      </c>
      <c r="E51" s="41">
        <f t="shared" si="0"/>
        <v>101110.54000000004</v>
      </c>
    </row>
    <row r="52" spans="1:5" x14ac:dyDescent="0.25">
      <c r="A52" s="40">
        <v>44796</v>
      </c>
      <c r="B52" s="41" t="s">
        <v>2299</v>
      </c>
      <c r="C52" s="41"/>
      <c r="D52" s="41">
        <v>10000</v>
      </c>
      <c r="E52" s="41">
        <f t="shared" si="0"/>
        <v>111110.54000000004</v>
      </c>
    </row>
    <row r="53" spans="1:5" x14ac:dyDescent="0.25">
      <c r="A53" s="40">
        <v>44797</v>
      </c>
      <c r="B53" s="41" t="s">
        <v>2299</v>
      </c>
      <c r="C53" s="41"/>
      <c r="D53" s="41">
        <v>10000</v>
      </c>
      <c r="E53" s="41">
        <f t="shared" si="0"/>
        <v>121110.54000000004</v>
      </c>
    </row>
    <row r="54" spans="1:5" x14ac:dyDescent="0.25">
      <c r="A54" s="40">
        <v>44803</v>
      </c>
      <c r="B54" s="41" t="s">
        <v>2353</v>
      </c>
      <c r="C54" s="41">
        <v>2005.9</v>
      </c>
      <c r="D54" s="41"/>
      <c r="E54" s="41">
        <f t="shared" si="0"/>
        <v>119104.64000000004</v>
      </c>
    </row>
    <row r="55" spans="1:5" x14ac:dyDescent="0.25">
      <c r="A55" s="40">
        <v>44803</v>
      </c>
      <c r="B55" s="41" t="s">
        <v>2369</v>
      </c>
      <c r="C55" s="41">
        <v>2955.9</v>
      </c>
      <c r="D55" s="41"/>
      <c r="E55" s="41">
        <f t="shared" si="0"/>
        <v>116148.74000000005</v>
      </c>
    </row>
    <row r="56" spans="1:5" x14ac:dyDescent="0.25">
      <c r="A56" s="40">
        <v>44804</v>
      </c>
      <c r="B56" s="41" t="s">
        <v>2637</v>
      </c>
      <c r="C56" s="41">
        <v>2119.5500000000002</v>
      </c>
      <c r="D56" s="41"/>
      <c r="E56" s="41">
        <f t="shared" si="0"/>
        <v>114029.19000000005</v>
      </c>
    </row>
    <row r="57" spans="1:5" x14ac:dyDescent="0.25">
      <c r="A57" s="40">
        <v>44804</v>
      </c>
      <c r="B57" s="41" t="s">
        <v>2636</v>
      </c>
      <c r="C57" s="41">
        <v>3681</v>
      </c>
      <c r="D57" s="41"/>
      <c r="E57" s="41">
        <f t="shared" si="0"/>
        <v>110348.19000000005</v>
      </c>
    </row>
    <row r="58" spans="1:5" x14ac:dyDescent="0.25">
      <c r="A58" s="5">
        <v>44805</v>
      </c>
      <c r="B58" t="s">
        <v>2299</v>
      </c>
      <c r="D58">
        <v>10000</v>
      </c>
      <c r="E58">
        <f t="shared" si="0"/>
        <v>120348.19000000005</v>
      </c>
    </row>
    <row r="59" spans="1:5" x14ac:dyDescent="0.25">
      <c r="A59" s="5">
        <v>44807</v>
      </c>
      <c r="B59" t="s">
        <v>2299</v>
      </c>
      <c r="D59">
        <v>10000</v>
      </c>
      <c r="E59">
        <f t="shared" si="0"/>
        <v>130348.19000000005</v>
      </c>
    </row>
    <row r="60" spans="1:5" x14ac:dyDescent="0.25">
      <c r="A60" s="5">
        <v>44807</v>
      </c>
      <c r="B60" t="s">
        <v>2368</v>
      </c>
      <c r="C60">
        <v>40008.25</v>
      </c>
      <c r="E60">
        <f t="shared" si="0"/>
        <v>90339.940000000046</v>
      </c>
    </row>
    <row r="61" spans="1:5" x14ac:dyDescent="0.25">
      <c r="A61" s="5">
        <v>44807</v>
      </c>
      <c r="B61" t="s">
        <v>2368</v>
      </c>
      <c r="C61">
        <v>20005.900000000001</v>
      </c>
      <c r="E61">
        <f t="shared" si="0"/>
        <v>70334.040000000037</v>
      </c>
    </row>
    <row r="62" spans="1:5" x14ac:dyDescent="0.25">
      <c r="A62" s="5">
        <v>44809</v>
      </c>
      <c r="B62" t="s">
        <v>2299</v>
      </c>
      <c r="D62">
        <v>10000</v>
      </c>
      <c r="E62">
        <f t="shared" si="0"/>
        <v>80334.040000000037</v>
      </c>
    </row>
    <row r="63" spans="1:5" x14ac:dyDescent="0.25">
      <c r="A63" s="5">
        <v>44810</v>
      </c>
      <c r="B63" t="s">
        <v>2299</v>
      </c>
      <c r="D63">
        <v>10000</v>
      </c>
      <c r="E63">
        <f t="shared" si="0"/>
        <v>90334.040000000037</v>
      </c>
    </row>
    <row r="64" spans="1:5" x14ac:dyDescent="0.25">
      <c r="A64" s="5">
        <v>44811</v>
      </c>
      <c r="B64" t="s">
        <v>2299</v>
      </c>
      <c r="D64">
        <v>10000</v>
      </c>
      <c r="E64">
        <f t="shared" si="0"/>
        <v>100334.04000000004</v>
      </c>
    </row>
    <row r="65" spans="1:5" x14ac:dyDescent="0.25">
      <c r="A65" s="5">
        <v>44818</v>
      </c>
      <c r="B65" t="s">
        <v>2299</v>
      </c>
      <c r="D65">
        <v>10000</v>
      </c>
      <c r="E65">
        <f t="shared" si="0"/>
        <v>110334.04000000004</v>
      </c>
    </row>
    <row r="66" spans="1:5" x14ac:dyDescent="0.25">
      <c r="A66" s="5">
        <v>44818</v>
      </c>
      <c r="B66" t="s">
        <v>2368</v>
      </c>
      <c r="C66">
        <v>35000</v>
      </c>
      <c r="E66">
        <f t="shared" si="0"/>
        <v>75334.040000000037</v>
      </c>
    </row>
    <row r="67" spans="1:5" x14ac:dyDescent="0.25">
      <c r="A67" s="5">
        <v>44820</v>
      </c>
      <c r="B67" t="s">
        <v>2299</v>
      </c>
      <c r="D67">
        <v>10000</v>
      </c>
      <c r="E67">
        <f t="shared" si="0"/>
        <v>85334.040000000037</v>
      </c>
    </row>
    <row r="68" spans="1:5" x14ac:dyDescent="0.25">
      <c r="A68" s="5">
        <v>44822</v>
      </c>
      <c r="B68" t="s">
        <v>2299</v>
      </c>
      <c r="D68">
        <v>10000</v>
      </c>
      <c r="E68">
        <f t="shared" si="0"/>
        <v>95334.040000000037</v>
      </c>
    </row>
    <row r="69" spans="1:5" x14ac:dyDescent="0.25">
      <c r="A69" s="5">
        <v>44822</v>
      </c>
      <c r="B69" t="s">
        <v>2656</v>
      </c>
      <c r="C69">
        <v>7809</v>
      </c>
      <c r="E69">
        <f t="shared" si="0"/>
        <v>87525.040000000037</v>
      </c>
    </row>
    <row r="70" spans="1:5" x14ac:dyDescent="0.25">
      <c r="A70" s="5">
        <v>44823</v>
      </c>
      <c r="B70" t="s">
        <v>2299</v>
      </c>
      <c r="D70">
        <v>10000</v>
      </c>
      <c r="E70">
        <f t="shared" si="0"/>
        <v>97525.040000000037</v>
      </c>
    </row>
    <row r="71" spans="1:5" x14ac:dyDescent="0.25">
      <c r="A71" s="5">
        <v>44827</v>
      </c>
      <c r="B71" t="s">
        <v>2768</v>
      </c>
      <c r="C71">
        <v>147.5</v>
      </c>
      <c r="E71">
        <f t="shared" si="0"/>
        <v>97377.540000000037</v>
      </c>
    </row>
    <row r="72" spans="1:5" x14ac:dyDescent="0.25">
      <c r="A72" s="5">
        <v>44834</v>
      </c>
      <c r="B72" t="s">
        <v>2769</v>
      </c>
      <c r="C72">
        <v>2107.5500000000002</v>
      </c>
      <c r="E72">
        <f t="shared" ref="E72:E92" si="1">E71-C72+D72</f>
        <v>95269.990000000034</v>
      </c>
    </row>
    <row r="73" spans="1:5" x14ac:dyDescent="0.25">
      <c r="A73" s="5">
        <v>44834</v>
      </c>
      <c r="B73" t="s">
        <v>2770</v>
      </c>
      <c r="C73">
        <v>40008.85</v>
      </c>
      <c r="E73">
        <f t="shared" si="1"/>
        <v>55261.140000000036</v>
      </c>
    </row>
    <row r="74" spans="1:5" x14ac:dyDescent="0.25">
      <c r="A74" s="5">
        <v>44834</v>
      </c>
      <c r="B74" t="s">
        <v>2371</v>
      </c>
      <c r="C74">
        <v>3760</v>
      </c>
      <c r="E74">
        <f t="shared" si="1"/>
        <v>51501.140000000036</v>
      </c>
    </row>
    <row r="75" spans="1:5" x14ac:dyDescent="0.25">
      <c r="A75" s="5">
        <v>44834</v>
      </c>
      <c r="B75" t="s">
        <v>2771</v>
      </c>
      <c r="D75">
        <v>40000</v>
      </c>
      <c r="E75">
        <f t="shared" si="1"/>
        <v>91501.140000000043</v>
      </c>
    </row>
    <row r="76" spans="1:5" x14ac:dyDescent="0.25">
      <c r="A76" s="5">
        <v>44844</v>
      </c>
      <c r="B76" t="s">
        <v>2772</v>
      </c>
      <c r="C76">
        <v>33294.800000000003</v>
      </c>
      <c r="E76">
        <f t="shared" si="1"/>
        <v>58206.34000000004</v>
      </c>
    </row>
    <row r="77" spans="1:5" x14ac:dyDescent="0.25">
      <c r="A77" s="5">
        <v>44846</v>
      </c>
      <c r="B77" t="s">
        <v>2299</v>
      </c>
      <c r="D77">
        <v>4000</v>
      </c>
      <c r="E77">
        <f t="shared" si="1"/>
        <v>62206.34000000004</v>
      </c>
    </row>
    <row r="78" spans="1:5" x14ac:dyDescent="0.25">
      <c r="A78" s="5">
        <v>44849</v>
      </c>
      <c r="B78" t="s">
        <v>2299</v>
      </c>
      <c r="D78">
        <v>9000</v>
      </c>
      <c r="E78">
        <f t="shared" si="1"/>
        <v>71206.34000000004</v>
      </c>
    </row>
    <row r="79" spans="1:5" x14ac:dyDescent="0.25">
      <c r="A79" s="5">
        <v>44855</v>
      </c>
      <c r="B79" t="s">
        <v>2299</v>
      </c>
      <c r="D79">
        <v>10000</v>
      </c>
      <c r="E79">
        <f t="shared" si="1"/>
        <v>81206.34000000004</v>
      </c>
    </row>
    <row r="80" spans="1:5" x14ac:dyDescent="0.25">
      <c r="A80" s="5">
        <v>44858</v>
      </c>
      <c r="B80" t="s">
        <v>2822</v>
      </c>
      <c r="C80">
        <v>14166</v>
      </c>
      <c r="E80">
        <f t="shared" si="1"/>
        <v>67040.34000000004</v>
      </c>
    </row>
    <row r="81" spans="1:5" x14ac:dyDescent="0.25">
      <c r="A81" s="5">
        <v>44858</v>
      </c>
      <c r="B81" t="s">
        <v>2299</v>
      </c>
      <c r="D81">
        <v>8500</v>
      </c>
      <c r="E81">
        <f t="shared" si="1"/>
        <v>75540.34000000004</v>
      </c>
    </row>
    <row r="82" spans="1:5" x14ac:dyDescent="0.25">
      <c r="A82" s="5">
        <v>44860</v>
      </c>
      <c r="B82" t="s">
        <v>2299</v>
      </c>
      <c r="D82">
        <v>5000</v>
      </c>
      <c r="E82">
        <f t="shared" si="1"/>
        <v>80540.34000000004</v>
      </c>
    </row>
    <row r="83" spans="1:5" x14ac:dyDescent="0.25">
      <c r="A83" s="5">
        <v>44863</v>
      </c>
      <c r="B83" t="s">
        <v>2895</v>
      </c>
      <c r="C83">
        <v>2108.5500000000002</v>
      </c>
      <c r="E83">
        <f t="shared" si="1"/>
        <v>78431.790000000037</v>
      </c>
    </row>
    <row r="84" spans="1:5" x14ac:dyDescent="0.25">
      <c r="A84" s="5">
        <v>44863</v>
      </c>
      <c r="B84" t="s">
        <v>2896</v>
      </c>
      <c r="C84">
        <v>40000</v>
      </c>
      <c r="E84">
        <f t="shared" si="1"/>
        <v>38431.790000000037</v>
      </c>
    </row>
    <row r="85" spans="1:5" x14ac:dyDescent="0.25">
      <c r="A85" s="5">
        <v>44865</v>
      </c>
      <c r="B85" t="s">
        <v>2897</v>
      </c>
      <c r="C85">
        <v>4007</v>
      </c>
      <c r="E85">
        <f t="shared" si="1"/>
        <v>34424.790000000037</v>
      </c>
    </row>
    <row r="86" spans="1:5" x14ac:dyDescent="0.25">
      <c r="A86" s="5">
        <v>44868</v>
      </c>
      <c r="B86" t="s">
        <v>2772</v>
      </c>
      <c r="C86">
        <v>4026</v>
      </c>
      <c r="E86">
        <f t="shared" si="1"/>
        <v>30398.790000000037</v>
      </c>
    </row>
    <row r="87" spans="1:5" x14ac:dyDescent="0.25">
      <c r="A87" s="5">
        <v>44869</v>
      </c>
      <c r="B87" t="s">
        <v>2299</v>
      </c>
      <c r="D87">
        <v>10000</v>
      </c>
      <c r="E87">
        <f t="shared" si="1"/>
        <v>40398.790000000037</v>
      </c>
    </row>
    <row r="88" spans="1:5" x14ac:dyDescent="0.25">
      <c r="A88" s="5">
        <v>44872</v>
      </c>
      <c r="B88" t="s">
        <v>2299</v>
      </c>
      <c r="D88">
        <v>10000</v>
      </c>
      <c r="E88">
        <f t="shared" si="1"/>
        <v>50398.790000000037</v>
      </c>
    </row>
    <row r="89" spans="1:5" x14ac:dyDescent="0.25">
      <c r="A89" s="5">
        <v>44873</v>
      </c>
      <c r="B89" t="s">
        <v>2299</v>
      </c>
      <c r="D89">
        <v>10000</v>
      </c>
      <c r="E89">
        <f t="shared" si="1"/>
        <v>60398.790000000037</v>
      </c>
    </row>
    <row r="90" spans="1:5" x14ac:dyDescent="0.25">
      <c r="A90" s="5">
        <v>44874</v>
      </c>
      <c r="B90" t="s">
        <v>2299</v>
      </c>
      <c r="D90">
        <v>10000</v>
      </c>
      <c r="E90">
        <f t="shared" si="1"/>
        <v>70398.790000000037</v>
      </c>
    </row>
    <row r="91" spans="1:5" x14ac:dyDescent="0.25">
      <c r="A91" s="5">
        <v>44874</v>
      </c>
      <c r="B91" t="s">
        <v>2299</v>
      </c>
      <c r="D91">
        <v>10000</v>
      </c>
      <c r="E91">
        <f t="shared" si="1"/>
        <v>80398.790000000037</v>
      </c>
    </row>
    <row r="92" spans="1:5" x14ac:dyDescent="0.25">
      <c r="B92" t="s">
        <v>2982</v>
      </c>
      <c r="C92">
        <v>8500</v>
      </c>
      <c r="E92">
        <f t="shared" si="1"/>
        <v>71898.790000000037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1DE9-02B7-42BE-9F43-C9DA0DF8E8A9}">
  <dimension ref="A3:B32"/>
  <sheetViews>
    <sheetView workbookViewId="0">
      <selection activeCell="E8" sqref="E8"/>
    </sheetView>
  </sheetViews>
  <sheetFormatPr defaultRowHeight="15" x14ac:dyDescent="0.25"/>
  <cols>
    <col min="1" max="1" width="13.28515625" style="58" customWidth="1"/>
    <col min="2" max="2" width="9.140625" style="2"/>
  </cols>
  <sheetData>
    <row r="3" spans="1:2" x14ac:dyDescent="0.25">
      <c r="A3" s="73" t="s">
        <v>4610</v>
      </c>
    </row>
    <row r="6" spans="1:2" x14ac:dyDescent="0.25">
      <c r="A6" s="58" t="s">
        <v>0</v>
      </c>
      <c r="B6" s="2" t="s">
        <v>4609</v>
      </c>
    </row>
    <row r="7" spans="1:2" x14ac:dyDescent="0.25">
      <c r="A7" s="65">
        <v>42826</v>
      </c>
      <c r="B7" s="2">
        <v>500</v>
      </c>
    </row>
    <row r="8" spans="1:2" x14ac:dyDescent="0.25">
      <c r="A8" s="65">
        <v>44477</v>
      </c>
      <c r="B8" s="2">
        <v>1000</v>
      </c>
    </row>
    <row r="9" spans="1:2" x14ac:dyDescent="0.25">
      <c r="A9" s="65">
        <v>44679</v>
      </c>
      <c r="B9" s="2">
        <v>1000</v>
      </c>
    </row>
    <row r="10" spans="1:2" x14ac:dyDescent="0.25">
      <c r="A10" s="65">
        <v>44712</v>
      </c>
      <c r="B10" s="2">
        <v>2000</v>
      </c>
    </row>
    <row r="11" spans="1:2" x14ac:dyDescent="0.25">
      <c r="A11" s="65">
        <v>44748</v>
      </c>
      <c r="B11" s="2">
        <v>3000</v>
      </c>
    </row>
    <row r="12" spans="1:2" x14ac:dyDescent="0.25">
      <c r="A12" s="65">
        <v>44773</v>
      </c>
      <c r="B12" s="2">
        <v>3000</v>
      </c>
    </row>
    <row r="13" spans="1:2" x14ac:dyDescent="0.25">
      <c r="A13" s="65">
        <v>44804</v>
      </c>
      <c r="B13" s="2">
        <v>3000</v>
      </c>
    </row>
    <row r="14" spans="1:2" x14ac:dyDescent="0.25">
      <c r="A14" s="65">
        <v>45364</v>
      </c>
      <c r="B14" s="2">
        <v>1000</v>
      </c>
    </row>
    <row r="32" spans="2:2" x14ac:dyDescent="0.25">
      <c r="B32" s="2">
        <f>SUM(B7:B31)</f>
        <v>14500</v>
      </c>
    </row>
  </sheetData>
  <hyperlinks>
    <hyperlink ref="A3" r:id="rId1" xr:uid="{639C7F0B-755F-4BE1-B71D-FA7B615201A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E101-6BF2-4D42-B61C-61D5442877B3}">
  <dimension ref="A2:L47"/>
  <sheetViews>
    <sheetView topLeftCell="A22" workbookViewId="0">
      <selection activeCell="H44" sqref="H44"/>
    </sheetView>
  </sheetViews>
  <sheetFormatPr defaultRowHeight="15" x14ac:dyDescent="0.25"/>
  <cols>
    <col min="1" max="1" width="34.140625" customWidth="1"/>
    <col min="2" max="2" width="20.85546875" customWidth="1"/>
    <col min="3" max="3" width="11.5703125" style="2" customWidth="1"/>
    <col min="4" max="4" width="10.42578125" style="2" bestFit="1" customWidth="1"/>
    <col min="5" max="5" width="9.140625" style="2"/>
  </cols>
  <sheetData>
    <row r="2" spans="1:12" ht="18.75" x14ac:dyDescent="0.3">
      <c r="A2" s="84" t="s">
        <v>4766</v>
      </c>
      <c r="B2" s="84"/>
      <c r="C2" s="85"/>
    </row>
    <row r="3" spans="1:12" ht="18.75" x14ac:dyDescent="0.3">
      <c r="A3" s="84"/>
      <c r="B3" s="84"/>
      <c r="C3" s="85"/>
    </row>
    <row r="4" spans="1:12" ht="18.75" x14ac:dyDescent="0.3">
      <c r="A4" s="84" t="s">
        <v>4793</v>
      </c>
      <c r="B4" s="84" t="s">
        <v>4794</v>
      </c>
      <c r="C4" s="86">
        <v>59.65</v>
      </c>
      <c r="D4" s="2" t="s">
        <v>4795</v>
      </c>
    </row>
    <row r="5" spans="1:12" ht="18.75" x14ac:dyDescent="0.3">
      <c r="A5" s="84" t="s">
        <v>4767</v>
      </c>
      <c r="B5" s="84"/>
      <c r="C5" s="85">
        <v>209.35</v>
      </c>
      <c r="D5" s="2" t="s">
        <v>4796</v>
      </c>
    </row>
    <row r="6" spans="1:12" ht="18.75" x14ac:dyDescent="0.3">
      <c r="A6" s="84" t="s">
        <v>4768</v>
      </c>
      <c r="B6" s="84"/>
    </row>
    <row r="7" spans="1:12" ht="18.75" x14ac:dyDescent="0.3">
      <c r="A7" s="84" t="s">
        <v>4769</v>
      </c>
      <c r="B7" s="84"/>
      <c r="C7" s="87">
        <v>385.95</v>
      </c>
      <c r="D7" s="2" t="s">
        <v>4796</v>
      </c>
    </row>
    <row r="8" spans="1:12" ht="18.75" x14ac:dyDescent="0.3">
      <c r="A8" s="84" t="s">
        <v>4770</v>
      </c>
      <c r="B8" s="84" t="s">
        <v>4794</v>
      </c>
      <c r="C8" s="85">
        <v>275.25</v>
      </c>
      <c r="D8" s="2" t="s">
        <v>4797</v>
      </c>
    </row>
    <row r="9" spans="1:12" ht="18.75" x14ac:dyDescent="0.3">
      <c r="A9" s="84" t="s">
        <v>4771</v>
      </c>
      <c r="B9" s="84"/>
    </row>
    <row r="10" spans="1:12" ht="18.75" x14ac:dyDescent="0.3">
      <c r="A10" s="84" t="s">
        <v>4772</v>
      </c>
      <c r="B10" s="84"/>
    </row>
    <row r="11" spans="1:12" ht="18.75" x14ac:dyDescent="0.3">
      <c r="A11" s="84" t="s">
        <v>4773</v>
      </c>
      <c r="B11" s="84"/>
      <c r="C11" s="85">
        <v>9.0500000000000007</v>
      </c>
      <c r="D11" s="2" t="s">
        <v>4796</v>
      </c>
    </row>
    <row r="12" spans="1:12" ht="18.75" x14ac:dyDescent="0.3">
      <c r="A12" s="84" t="s">
        <v>4774</v>
      </c>
      <c r="B12" s="84"/>
      <c r="C12" s="85">
        <v>17.510000000000002</v>
      </c>
      <c r="D12" s="135">
        <v>45471</v>
      </c>
    </row>
    <row r="13" spans="1:12" ht="18.75" x14ac:dyDescent="0.3">
      <c r="A13" s="84" t="s">
        <v>4775</v>
      </c>
      <c r="B13" s="84" t="s">
        <v>4778</v>
      </c>
      <c r="C13" s="85">
        <v>63.2</v>
      </c>
      <c r="D13" s="2" t="s">
        <v>4796</v>
      </c>
      <c r="I13" t="s">
        <v>5133</v>
      </c>
      <c r="J13">
        <v>53</v>
      </c>
      <c r="K13">
        <v>300</v>
      </c>
      <c r="L13">
        <f>J13*K13</f>
        <v>15900</v>
      </c>
    </row>
    <row r="14" spans="1:12" ht="18.75" x14ac:dyDescent="0.3">
      <c r="A14" s="84" t="s">
        <v>4776</v>
      </c>
      <c r="B14" s="84"/>
      <c r="C14" s="85"/>
      <c r="I14" t="s">
        <v>5134</v>
      </c>
      <c r="J14">
        <v>18</v>
      </c>
      <c r="K14">
        <v>1000</v>
      </c>
      <c r="L14">
        <f>J14*K14</f>
        <v>18000</v>
      </c>
    </row>
    <row r="15" spans="1:12" ht="18.75" x14ac:dyDescent="0.3">
      <c r="A15" s="84" t="s">
        <v>4777</v>
      </c>
      <c r="B15" s="84"/>
      <c r="C15" s="85"/>
      <c r="I15" t="s">
        <v>5135</v>
      </c>
      <c r="J15">
        <v>29</v>
      </c>
      <c r="K15">
        <v>100</v>
      </c>
      <c r="L15">
        <f>J15*K15</f>
        <v>2900</v>
      </c>
    </row>
    <row r="16" spans="1:12" ht="18.75" x14ac:dyDescent="0.3">
      <c r="A16" s="84" t="s">
        <v>4779</v>
      </c>
      <c r="B16" s="84" t="s">
        <v>4780</v>
      </c>
      <c r="C16" s="85"/>
      <c r="I16" t="s">
        <v>5136</v>
      </c>
      <c r="J16">
        <v>81</v>
      </c>
      <c r="K16">
        <v>100</v>
      </c>
      <c r="L16">
        <f>J16*K16</f>
        <v>8100</v>
      </c>
    </row>
    <row r="17" spans="1:12" ht="18.75" x14ac:dyDescent="0.3">
      <c r="A17" s="84" t="s">
        <v>4781</v>
      </c>
      <c r="B17" s="84" t="s">
        <v>4782</v>
      </c>
      <c r="C17" s="85"/>
      <c r="L17">
        <f>SUM(L13:L16)</f>
        <v>44900</v>
      </c>
    </row>
    <row r="18" spans="1:12" ht="18.75" x14ac:dyDescent="0.3">
      <c r="A18" s="84" t="s">
        <v>4783</v>
      </c>
      <c r="B18" s="84" t="s">
        <v>4784</v>
      </c>
      <c r="C18" s="85"/>
    </row>
    <row r="19" spans="1:12" ht="18.75" x14ac:dyDescent="0.3">
      <c r="A19" s="84" t="s">
        <v>4785</v>
      </c>
      <c r="B19" s="84" t="s">
        <v>4786</v>
      </c>
      <c r="C19" s="85"/>
    </row>
    <row r="20" spans="1:12" ht="18.75" x14ac:dyDescent="0.3">
      <c r="A20" s="84" t="s">
        <v>4787</v>
      </c>
      <c r="B20" s="84"/>
      <c r="C20" s="85"/>
    </row>
    <row r="21" spans="1:12" ht="18.75" x14ac:dyDescent="0.3">
      <c r="A21" s="84" t="s">
        <v>4788</v>
      </c>
      <c r="B21" s="84" t="s">
        <v>4782</v>
      </c>
      <c r="C21" s="85"/>
    </row>
    <row r="22" spans="1:12" ht="18.75" x14ac:dyDescent="0.3">
      <c r="A22" s="84" t="s">
        <v>4789</v>
      </c>
      <c r="B22" s="84" t="s">
        <v>4782</v>
      </c>
      <c r="C22" s="85"/>
    </row>
    <row r="23" spans="1:12" ht="18.75" x14ac:dyDescent="0.3">
      <c r="A23" s="84" t="s">
        <v>4790</v>
      </c>
      <c r="B23" s="84" t="s">
        <v>4791</v>
      </c>
      <c r="C23" s="85">
        <v>13.62</v>
      </c>
    </row>
    <row r="24" spans="1:12" ht="18.75" x14ac:dyDescent="0.3">
      <c r="A24" s="84" t="s">
        <v>4792</v>
      </c>
      <c r="B24" s="84"/>
      <c r="C24" s="85">
        <v>58.8</v>
      </c>
    </row>
    <row r="25" spans="1:12" ht="18.75" x14ac:dyDescent="0.3">
      <c r="A25" s="84"/>
      <c r="B25" s="84"/>
      <c r="C25" s="85"/>
    </row>
    <row r="26" spans="1:12" ht="18.75" x14ac:dyDescent="0.3">
      <c r="A26" s="84" t="s">
        <v>5183</v>
      </c>
      <c r="B26" s="84"/>
      <c r="C26" s="85">
        <v>22.56</v>
      </c>
      <c r="D26" s="2">
        <v>100</v>
      </c>
      <c r="E26" s="2">
        <f t="shared" ref="E26:E39" si="0">C26*D26</f>
        <v>2256</v>
      </c>
    </row>
    <row r="27" spans="1:12" ht="18.75" x14ac:dyDescent="0.3">
      <c r="A27" s="143" t="s">
        <v>5340</v>
      </c>
      <c r="B27" s="143"/>
      <c r="C27" s="144">
        <v>19</v>
      </c>
      <c r="D27" s="91">
        <v>100</v>
      </c>
      <c r="E27" s="91">
        <f t="shared" si="0"/>
        <v>1900</v>
      </c>
    </row>
    <row r="28" spans="1:12" ht="18.75" x14ac:dyDescent="0.3">
      <c r="A28" s="84" t="s">
        <v>5184</v>
      </c>
      <c r="B28" s="84"/>
      <c r="C28" s="85">
        <v>40.700000000000003</v>
      </c>
      <c r="D28" s="2">
        <v>100</v>
      </c>
      <c r="E28" s="2">
        <f t="shared" si="0"/>
        <v>4070.0000000000005</v>
      </c>
    </row>
    <row r="29" spans="1:12" ht="18.75" x14ac:dyDescent="0.3">
      <c r="A29" s="84" t="s">
        <v>5185</v>
      </c>
      <c r="B29" s="84"/>
      <c r="C29" s="85">
        <v>3.82</v>
      </c>
      <c r="D29" s="136">
        <f>500/C29</f>
        <v>130.89005235602096</v>
      </c>
      <c r="E29" s="2">
        <f t="shared" si="0"/>
        <v>500.00000000000006</v>
      </c>
    </row>
    <row r="30" spans="1:12" ht="18.75" x14ac:dyDescent="0.3">
      <c r="A30" s="84" t="s">
        <v>5186</v>
      </c>
      <c r="B30" s="84"/>
      <c r="C30" s="85">
        <v>2.71</v>
      </c>
      <c r="D30" s="136">
        <f>500/C30</f>
        <v>184.50184501845018</v>
      </c>
      <c r="E30" s="2">
        <f t="shared" si="0"/>
        <v>500</v>
      </c>
    </row>
    <row r="31" spans="1:12" ht="18.75" x14ac:dyDescent="0.3">
      <c r="A31" s="84" t="s">
        <v>5187</v>
      </c>
      <c r="C31" s="2">
        <v>0.85</v>
      </c>
      <c r="D31" s="136">
        <f>500/C31</f>
        <v>588.23529411764707</v>
      </c>
      <c r="E31" s="2">
        <f t="shared" si="0"/>
        <v>500</v>
      </c>
    </row>
    <row r="32" spans="1:12" ht="18.75" x14ac:dyDescent="0.3">
      <c r="A32" s="84" t="s">
        <v>5188</v>
      </c>
      <c r="C32" s="2">
        <v>4.97</v>
      </c>
      <c r="D32" s="136">
        <f t="shared" ref="D32:D39" si="1">500/C32</f>
        <v>100.6036217303823</v>
      </c>
      <c r="E32" s="2">
        <f t="shared" si="0"/>
        <v>500</v>
      </c>
    </row>
    <row r="33" spans="1:5" ht="18.75" x14ac:dyDescent="0.3">
      <c r="A33" s="84" t="s">
        <v>5189</v>
      </c>
      <c r="C33" s="2">
        <v>2.21</v>
      </c>
      <c r="D33" s="136">
        <f t="shared" si="1"/>
        <v>226.24434389140271</v>
      </c>
      <c r="E33" s="2">
        <f t="shared" si="0"/>
        <v>500</v>
      </c>
    </row>
    <row r="34" spans="1:5" ht="18.75" x14ac:dyDescent="0.3">
      <c r="A34" s="84" t="s">
        <v>5190</v>
      </c>
      <c r="C34" s="2">
        <v>2.59</v>
      </c>
      <c r="D34" s="136">
        <f t="shared" si="1"/>
        <v>193.05019305019306</v>
      </c>
      <c r="E34" s="2">
        <f t="shared" si="0"/>
        <v>500</v>
      </c>
    </row>
    <row r="35" spans="1:5" ht="18.75" x14ac:dyDescent="0.3">
      <c r="A35" s="84" t="s">
        <v>5191</v>
      </c>
      <c r="C35" s="2">
        <v>4.1500000000000004</v>
      </c>
      <c r="D35" s="136">
        <f t="shared" si="1"/>
        <v>120.48192771084337</v>
      </c>
      <c r="E35" s="2">
        <f t="shared" si="0"/>
        <v>500</v>
      </c>
    </row>
    <row r="36" spans="1:5" ht="18.75" x14ac:dyDescent="0.3">
      <c r="A36" s="84" t="s">
        <v>5192</v>
      </c>
      <c r="C36" s="2">
        <v>23.5</v>
      </c>
      <c r="D36" s="136">
        <f t="shared" si="1"/>
        <v>21.276595744680851</v>
      </c>
      <c r="E36" s="2">
        <f t="shared" si="0"/>
        <v>500</v>
      </c>
    </row>
    <row r="37" spans="1:5" ht="18.75" x14ac:dyDescent="0.3">
      <c r="A37" s="84" t="s">
        <v>5193</v>
      </c>
      <c r="C37" s="2">
        <v>1</v>
      </c>
      <c r="D37" s="136">
        <f t="shared" si="1"/>
        <v>500</v>
      </c>
      <c r="E37" s="2">
        <f t="shared" si="0"/>
        <v>500</v>
      </c>
    </row>
    <row r="38" spans="1:5" ht="18.75" x14ac:dyDescent="0.3">
      <c r="A38" s="84" t="s">
        <v>5194</v>
      </c>
      <c r="C38" s="2">
        <v>14.09</v>
      </c>
      <c r="D38" s="136">
        <f t="shared" si="1"/>
        <v>35.486160397444998</v>
      </c>
      <c r="E38" s="2">
        <f t="shared" si="0"/>
        <v>500</v>
      </c>
    </row>
    <row r="39" spans="1:5" ht="18.75" x14ac:dyDescent="0.3">
      <c r="A39" s="84" t="s">
        <v>5195</v>
      </c>
      <c r="C39" s="2">
        <v>3.83</v>
      </c>
      <c r="D39" s="2">
        <f t="shared" si="1"/>
        <v>130.54830287206266</v>
      </c>
      <c r="E39" s="2">
        <f t="shared" si="0"/>
        <v>500</v>
      </c>
    </row>
    <row r="40" spans="1:5" ht="18.75" x14ac:dyDescent="0.3">
      <c r="A40" s="84" t="s">
        <v>5351</v>
      </c>
    </row>
    <row r="41" spans="1:5" ht="18.75" x14ac:dyDescent="0.3">
      <c r="A41" s="84" t="s">
        <v>5352</v>
      </c>
    </row>
    <row r="42" spans="1:5" ht="18.75" x14ac:dyDescent="0.3">
      <c r="A42" s="84" t="s">
        <v>5353</v>
      </c>
    </row>
    <row r="43" spans="1:5" ht="18.75" x14ac:dyDescent="0.3">
      <c r="A43" s="84" t="s">
        <v>5354</v>
      </c>
    </row>
    <row r="44" spans="1:5" ht="18.75" x14ac:dyDescent="0.3">
      <c r="A44" s="84" t="s">
        <v>5355</v>
      </c>
    </row>
    <row r="47" spans="1:5" x14ac:dyDescent="0.25">
      <c r="E47" s="2">
        <f>SUM(E26:E39)</f>
        <v>13726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8282-1A1D-43DD-A641-1669F240CBD7}">
  <dimension ref="A2:BH52"/>
  <sheetViews>
    <sheetView topLeftCell="A4" zoomScale="115" zoomScaleNormal="115" workbookViewId="0">
      <pane xSplit="1" topLeftCell="AW1" activePane="topRight" state="frozen"/>
      <selection pane="topRight" activeCell="AX14" sqref="AX14"/>
    </sheetView>
  </sheetViews>
  <sheetFormatPr defaultRowHeight="15" x14ac:dyDescent="0.25"/>
  <cols>
    <col min="1" max="1" width="21.28515625" customWidth="1"/>
    <col min="2" max="2" width="9.140625" style="9" hidden="1" customWidth="1"/>
    <col min="3" max="4" width="9.140625" hidden="1" customWidth="1"/>
    <col min="5" max="5" width="7.42578125" hidden="1" customWidth="1"/>
    <col min="6" max="8" width="11.28515625" hidden="1" customWidth="1"/>
    <col min="9" max="9" width="7.7109375" hidden="1" customWidth="1"/>
    <col min="10" max="15" width="11.28515625" hidden="1" customWidth="1"/>
    <col min="16" max="16" width="7.42578125" hidden="1" customWidth="1"/>
    <col min="17" max="17" width="11.28515625" hidden="1" customWidth="1"/>
    <col min="18" max="18" width="7.28515625" hidden="1" customWidth="1"/>
    <col min="19" max="19" width="4.5703125" hidden="1" customWidth="1"/>
    <col min="20" max="20" width="9.140625" hidden="1" customWidth="1"/>
    <col min="21" max="21" width="12.5703125" hidden="1" customWidth="1"/>
    <col min="22" max="23" width="9.140625" hidden="1" customWidth="1"/>
    <col min="24" max="24" width="0" hidden="1" customWidth="1"/>
    <col min="25" max="25" width="13.140625" hidden="1" customWidth="1"/>
    <col min="26" max="28" width="0" hidden="1" customWidth="1"/>
    <col min="29" max="29" width="11.7109375" hidden="1" customWidth="1"/>
    <col min="30" max="32" width="0" hidden="1" customWidth="1"/>
    <col min="33" max="33" width="14" hidden="1" customWidth="1"/>
    <col min="34" max="35" width="0" hidden="1" customWidth="1"/>
    <col min="36" max="36" width="7.28515625" customWidth="1"/>
    <col min="37" max="37" width="11.7109375" customWidth="1"/>
    <col min="41" max="41" width="13" customWidth="1"/>
    <col min="42" max="42" width="11.85546875" customWidth="1"/>
    <col min="44" max="44" width="7.28515625" customWidth="1"/>
    <col min="45" max="45" width="11.140625" customWidth="1"/>
    <col min="46" max="48" width="7.28515625" customWidth="1"/>
    <col min="49" max="49" width="12.85546875" customWidth="1"/>
    <col min="50" max="52" width="7.28515625" customWidth="1"/>
    <col min="53" max="53" width="12" customWidth="1"/>
    <col min="54" max="55" width="7.28515625" customWidth="1"/>
  </cols>
  <sheetData>
    <row r="2" spans="1:60" x14ac:dyDescent="0.25">
      <c r="E2" s="45"/>
      <c r="F2" s="46">
        <v>45078</v>
      </c>
      <c r="G2" s="46"/>
      <c r="H2" s="46">
        <v>45108</v>
      </c>
      <c r="I2" s="46"/>
      <c r="J2" s="46">
        <v>45139</v>
      </c>
      <c r="K2" s="46"/>
      <c r="L2" s="152">
        <v>45170</v>
      </c>
      <c r="M2" s="152"/>
      <c r="N2" s="152">
        <v>45200</v>
      </c>
      <c r="O2" s="152"/>
      <c r="P2" s="152">
        <v>45231</v>
      </c>
      <c r="Q2" s="152"/>
      <c r="R2" s="152"/>
      <c r="T2" s="152">
        <v>45261</v>
      </c>
      <c r="U2" s="152"/>
      <c r="V2" s="152"/>
      <c r="X2" s="152">
        <v>45292</v>
      </c>
      <c r="Y2" s="152"/>
      <c r="Z2" s="152"/>
      <c r="AB2" s="152" t="s">
        <v>4440</v>
      </c>
      <c r="AC2" s="152"/>
      <c r="AD2" s="152"/>
      <c r="AF2" s="153" t="s">
        <v>4611</v>
      </c>
      <c r="AG2" s="153"/>
      <c r="AH2" s="153"/>
      <c r="AJ2" s="152" t="s">
        <v>4665</v>
      </c>
      <c r="AK2" s="152"/>
      <c r="AL2" s="152"/>
      <c r="AN2" s="152" t="s">
        <v>4856</v>
      </c>
      <c r="AO2" s="152"/>
      <c r="AP2" s="152"/>
      <c r="AR2" s="152" t="s">
        <v>5015</v>
      </c>
      <c r="AS2" s="152"/>
      <c r="AT2" s="152"/>
      <c r="AU2" s="134"/>
      <c r="AV2" s="152" t="s">
        <v>5122</v>
      </c>
      <c r="AW2" s="152"/>
      <c r="AX2" s="152"/>
      <c r="AY2" s="134"/>
      <c r="AZ2" s="152" t="s">
        <v>2683</v>
      </c>
      <c r="BA2" s="152"/>
      <c r="BB2" s="152"/>
      <c r="BC2" s="134"/>
    </row>
    <row r="3" spans="1:60" x14ac:dyDescent="0.25">
      <c r="A3" t="s">
        <v>4880</v>
      </c>
      <c r="B3" s="9">
        <v>3600</v>
      </c>
      <c r="E3" s="9">
        <v>3600</v>
      </c>
      <c r="F3" s="5">
        <v>44816</v>
      </c>
      <c r="G3" s="5"/>
      <c r="H3" s="5">
        <v>45116</v>
      </c>
      <c r="I3" s="9">
        <v>3600</v>
      </c>
      <c r="J3" s="5">
        <v>45146</v>
      </c>
      <c r="K3" s="9">
        <v>4320</v>
      </c>
      <c r="L3" s="5">
        <v>44932</v>
      </c>
      <c r="M3" s="9">
        <v>4320</v>
      </c>
      <c r="N3" s="5">
        <v>44932</v>
      </c>
      <c r="O3" s="63">
        <v>4320</v>
      </c>
      <c r="P3" s="63">
        <v>4320</v>
      </c>
      <c r="Q3" s="5">
        <v>45209</v>
      </c>
      <c r="R3" s="64">
        <v>4320</v>
      </c>
      <c r="T3" s="63">
        <v>4320</v>
      </c>
      <c r="U3" s="5">
        <v>45268</v>
      </c>
      <c r="V3" s="1">
        <v>4320</v>
      </c>
      <c r="X3" s="63">
        <v>4320</v>
      </c>
      <c r="Y3" s="5">
        <v>45300</v>
      </c>
      <c r="Z3" s="1">
        <v>4320</v>
      </c>
      <c r="AB3" s="63">
        <v>4320</v>
      </c>
      <c r="AC3" s="5">
        <v>45329</v>
      </c>
      <c r="AD3" s="1">
        <v>4320</v>
      </c>
      <c r="AF3" s="74">
        <v>4320</v>
      </c>
      <c r="AG3" s="75">
        <v>45362</v>
      </c>
      <c r="AH3" s="76">
        <v>4320</v>
      </c>
      <c r="AJ3" s="63">
        <v>4320</v>
      </c>
      <c r="AK3" s="5">
        <v>45390</v>
      </c>
      <c r="AL3" s="1">
        <f>4320-300</f>
        <v>4020</v>
      </c>
      <c r="AN3" s="63">
        <v>4320</v>
      </c>
      <c r="AO3" s="5">
        <v>45427</v>
      </c>
      <c r="AP3" s="1">
        <v>4320</v>
      </c>
      <c r="AR3" s="63">
        <v>4320</v>
      </c>
      <c r="AS3" s="5">
        <v>45460</v>
      </c>
      <c r="AT3" s="1">
        <v>4320</v>
      </c>
      <c r="AU3" s="1"/>
      <c r="AV3" s="63">
        <v>4320</v>
      </c>
      <c r="AW3" s="5">
        <v>45489</v>
      </c>
      <c r="AX3" s="1">
        <v>4320</v>
      </c>
      <c r="AY3" s="1"/>
      <c r="AZ3" s="63">
        <v>4320</v>
      </c>
      <c r="BA3" s="5"/>
      <c r="BB3" s="1">
        <v>4320</v>
      </c>
      <c r="BC3" s="1"/>
    </row>
    <row r="4" spans="1:60" x14ac:dyDescent="0.25">
      <c r="A4" t="s">
        <v>2715</v>
      </c>
      <c r="B4" s="9">
        <v>4200</v>
      </c>
      <c r="E4" s="9">
        <v>4200</v>
      </c>
      <c r="F4" s="5">
        <v>44832</v>
      </c>
      <c r="G4" s="5"/>
      <c r="H4" s="5">
        <v>44862</v>
      </c>
      <c r="I4" s="9">
        <f>(322+303+346+373)</f>
        <v>1344</v>
      </c>
      <c r="J4" s="5"/>
      <c r="K4" s="9">
        <f>(322+303+346+373)</f>
        <v>1344</v>
      </c>
      <c r="M4">
        <v>4100</v>
      </c>
      <c r="N4" s="5">
        <v>45208</v>
      </c>
      <c r="O4">
        <v>4200</v>
      </c>
      <c r="P4">
        <v>4200</v>
      </c>
      <c r="Q4" s="5">
        <v>45237</v>
      </c>
      <c r="R4" s="1">
        <v>4200</v>
      </c>
      <c r="T4">
        <v>4000</v>
      </c>
      <c r="U4" s="5">
        <v>45268</v>
      </c>
      <c r="V4" s="1">
        <v>4000</v>
      </c>
      <c r="X4">
        <v>4200</v>
      </c>
      <c r="Y4" s="5">
        <v>45300</v>
      </c>
      <c r="Z4" s="1">
        <v>4200</v>
      </c>
      <c r="AB4">
        <v>1300</v>
      </c>
      <c r="AC4" s="5"/>
      <c r="AD4" s="1"/>
      <c r="AE4" t="s">
        <v>4606</v>
      </c>
      <c r="AF4" s="77"/>
      <c r="AG4" s="75"/>
      <c r="AH4" s="76"/>
      <c r="AJ4">
        <v>1900</v>
      </c>
      <c r="AK4" s="5">
        <v>45406</v>
      </c>
      <c r="AL4" s="1">
        <v>1900</v>
      </c>
      <c r="AN4">
        <v>0</v>
      </c>
      <c r="AO4" s="5"/>
      <c r="AP4" s="1"/>
      <c r="AR4">
        <v>0</v>
      </c>
      <c r="AS4" s="5"/>
      <c r="AT4" s="1"/>
      <c r="AU4" s="1"/>
      <c r="AV4">
        <v>0</v>
      </c>
      <c r="AW4" s="5"/>
      <c r="AX4" s="1"/>
      <c r="AY4" s="1"/>
      <c r="AZ4">
        <v>0</v>
      </c>
      <c r="BA4" s="5"/>
      <c r="BB4" s="1"/>
      <c r="BC4" s="1"/>
    </row>
    <row r="5" spans="1:60" x14ac:dyDescent="0.25">
      <c r="A5" t="s">
        <v>2716</v>
      </c>
      <c r="B5" s="9">
        <v>3600</v>
      </c>
      <c r="E5" s="9">
        <v>3600</v>
      </c>
      <c r="F5" s="5">
        <v>44823</v>
      </c>
      <c r="G5" s="5"/>
      <c r="H5" s="5">
        <v>44858</v>
      </c>
      <c r="I5" s="9">
        <v>1525</v>
      </c>
      <c r="J5" s="5"/>
      <c r="K5" s="9">
        <v>1525</v>
      </c>
      <c r="M5">
        <v>4100</v>
      </c>
      <c r="N5" s="5">
        <v>45208</v>
      </c>
      <c r="O5">
        <v>4200</v>
      </c>
      <c r="P5">
        <v>4200</v>
      </c>
      <c r="Q5" s="5">
        <v>45237</v>
      </c>
      <c r="R5" s="1">
        <v>4200</v>
      </c>
      <c r="T5">
        <v>4200</v>
      </c>
      <c r="U5" s="5">
        <v>45271</v>
      </c>
      <c r="V5" s="1">
        <v>4000</v>
      </c>
      <c r="X5">
        <v>4200</v>
      </c>
      <c r="Y5" s="5">
        <v>45300</v>
      </c>
      <c r="Z5" s="1">
        <v>4200</v>
      </c>
      <c r="AB5">
        <v>4200</v>
      </c>
      <c r="AC5" s="5">
        <v>45330</v>
      </c>
      <c r="AD5" s="1">
        <v>4200</v>
      </c>
      <c r="AF5" s="77">
        <v>4200</v>
      </c>
      <c r="AG5" s="75">
        <v>45362</v>
      </c>
      <c r="AH5" s="76">
        <f>2500+1700</f>
        <v>4200</v>
      </c>
      <c r="AJ5">
        <v>4200</v>
      </c>
      <c r="AK5" s="5">
        <v>45390</v>
      </c>
      <c r="AL5" s="1">
        <v>4200</v>
      </c>
      <c r="AN5">
        <v>4800</v>
      </c>
      <c r="AO5" s="5">
        <v>45421</v>
      </c>
      <c r="AP5" s="1">
        <v>4800</v>
      </c>
      <c r="AR5">
        <v>4800</v>
      </c>
      <c r="AS5" s="5">
        <v>45451</v>
      </c>
      <c r="AT5" s="1">
        <v>4800</v>
      </c>
      <c r="AU5" s="1"/>
      <c r="AV5">
        <v>4800</v>
      </c>
      <c r="AW5" s="5">
        <v>45485</v>
      </c>
      <c r="AX5" s="1">
        <v>4800</v>
      </c>
      <c r="AY5" s="1"/>
      <c r="AZ5">
        <v>4800</v>
      </c>
      <c r="BA5" s="5">
        <v>45512</v>
      </c>
      <c r="BB5" s="1">
        <v>4800</v>
      </c>
      <c r="BC5" s="1"/>
    </row>
    <row r="6" spans="1:60" x14ac:dyDescent="0.25">
      <c r="A6" t="s">
        <v>2713</v>
      </c>
      <c r="B6" s="9">
        <v>1525</v>
      </c>
      <c r="E6" s="9">
        <v>1525</v>
      </c>
      <c r="F6" s="5">
        <v>44834</v>
      </c>
      <c r="G6" s="5"/>
      <c r="I6" s="9">
        <v>1989</v>
      </c>
      <c r="J6" s="5"/>
      <c r="K6" s="9">
        <v>1989</v>
      </c>
      <c r="M6">
        <v>1700</v>
      </c>
      <c r="O6">
        <v>600</v>
      </c>
      <c r="P6">
        <v>600</v>
      </c>
      <c r="Q6" s="5">
        <v>45240</v>
      </c>
      <c r="R6" s="1">
        <v>589</v>
      </c>
      <c r="T6">
        <v>588</v>
      </c>
      <c r="U6" s="5">
        <v>45265</v>
      </c>
      <c r="V6" s="1">
        <v>588</v>
      </c>
      <c r="X6">
        <v>588</v>
      </c>
      <c r="Y6" s="5">
        <v>45300</v>
      </c>
      <c r="Z6" s="1">
        <v>589</v>
      </c>
      <c r="AB6">
        <v>589</v>
      </c>
      <c r="AC6" s="5">
        <v>45329</v>
      </c>
      <c r="AD6" s="1">
        <v>589</v>
      </c>
      <c r="AF6" s="77">
        <v>589</v>
      </c>
      <c r="AG6" s="75">
        <v>45359</v>
      </c>
      <c r="AH6" s="76">
        <v>589</v>
      </c>
      <c r="AJ6">
        <v>589</v>
      </c>
      <c r="AK6" s="5">
        <v>45395</v>
      </c>
      <c r="AL6" s="1">
        <v>589</v>
      </c>
      <c r="AN6">
        <v>589</v>
      </c>
      <c r="AO6" s="5">
        <v>45427</v>
      </c>
      <c r="AP6" s="1">
        <v>589</v>
      </c>
      <c r="AR6">
        <v>588</v>
      </c>
      <c r="AS6" s="5">
        <v>45451</v>
      </c>
      <c r="AT6" s="1">
        <v>588</v>
      </c>
      <c r="AU6" s="1"/>
      <c r="AV6">
        <v>588</v>
      </c>
      <c r="AW6" s="5">
        <v>45489</v>
      </c>
      <c r="AX6" s="1">
        <v>589</v>
      </c>
      <c r="AY6" s="1"/>
      <c r="AZ6">
        <v>588</v>
      </c>
      <c r="BA6" s="5">
        <v>45521</v>
      </c>
      <c r="BB6" s="1">
        <v>589</v>
      </c>
      <c r="BC6" s="1"/>
    </row>
    <row r="7" spans="1:60" x14ac:dyDescent="0.25">
      <c r="A7" t="s">
        <v>2714</v>
      </c>
      <c r="B7" s="9">
        <v>1300</v>
      </c>
      <c r="E7" s="9">
        <v>1300</v>
      </c>
      <c r="F7" s="5">
        <v>44814</v>
      </c>
      <c r="G7" s="5"/>
      <c r="I7" s="9">
        <v>4200</v>
      </c>
      <c r="J7" s="5"/>
      <c r="K7" s="9">
        <v>4200</v>
      </c>
      <c r="M7">
        <v>1100</v>
      </c>
      <c r="O7">
        <v>1200</v>
      </c>
      <c r="P7">
        <v>1200</v>
      </c>
      <c r="Q7" s="5">
        <v>45240</v>
      </c>
      <c r="R7" s="1">
        <v>1200</v>
      </c>
      <c r="T7">
        <v>1200</v>
      </c>
      <c r="U7" s="5"/>
      <c r="V7" s="1">
        <v>0</v>
      </c>
      <c r="X7">
        <v>2350</v>
      </c>
      <c r="Y7" s="5"/>
      <c r="Z7" s="1"/>
      <c r="AB7">
        <v>812</v>
      </c>
      <c r="AC7" s="5">
        <v>45329</v>
      </c>
      <c r="AD7" s="1">
        <f>2360</f>
        <v>2360</v>
      </c>
      <c r="AF7" s="77">
        <f>812+1005</f>
        <v>1817</v>
      </c>
      <c r="AG7" s="75"/>
      <c r="AH7" s="76">
        <f>812+1005</f>
        <v>1817</v>
      </c>
      <c r="AJ7">
        <v>1119</v>
      </c>
      <c r="AK7" s="5">
        <v>45412</v>
      </c>
      <c r="AL7" s="1">
        <v>1119</v>
      </c>
      <c r="AN7">
        <v>1100</v>
      </c>
      <c r="AO7" s="5">
        <v>45427</v>
      </c>
      <c r="AP7" s="1">
        <v>1100</v>
      </c>
      <c r="AR7">
        <v>1044</v>
      </c>
      <c r="AS7" s="5">
        <v>45451</v>
      </c>
      <c r="AT7" s="1">
        <v>1044</v>
      </c>
      <c r="AU7" s="1"/>
      <c r="AV7">
        <v>1044</v>
      </c>
      <c r="AW7" s="5">
        <v>45476</v>
      </c>
      <c r="AX7" s="1">
        <v>1042</v>
      </c>
      <c r="AY7" s="1"/>
      <c r="AZ7">
        <v>1044</v>
      </c>
      <c r="BA7" s="5"/>
      <c r="BB7" s="1"/>
      <c r="BC7" s="1"/>
    </row>
    <row r="8" spans="1:60" x14ac:dyDescent="0.25">
      <c r="A8" s="57" t="s">
        <v>3679</v>
      </c>
      <c r="B8" s="9">
        <v>10000</v>
      </c>
      <c r="E8" s="9">
        <v>10000</v>
      </c>
      <c r="F8" s="5">
        <v>44814</v>
      </c>
      <c r="G8" s="5"/>
      <c r="I8" s="9">
        <v>3600</v>
      </c>
      <c r="J8" s="5"/>
      <c r="K8" s="9">
        <v>3600</v>
      </c>
      <c r="L8" s="5">
        <v>45185</v>
      </c>
      <c r="M8">
        <v>8500</v>
      </c>
      <c r="N8" s="5">
        <v>45215</v>
      </c>
      <c r="O8">
        <v>8290</v>
      </c>
      <c r="Q8" s="5"/>
      <c r="R8" s="1">
        <v>0</v>
      </c>
      <c r="T8">
        <v>8400</v>
      </c>
      <c r="U8" s="5"/>
      <c r="V8" s="1">
        <v>8400</v>
      </c>
      <c r="X8">
        <v>8500</v>
      </c>
      <c r="Y8" s="5">
        <v>45307</v>
      </c>
      <c r="Z8" s="1">
        <v>8500</v>
      </c>
      <c r="AB8">
        <v>8500</v>
      </c>
      <c r="AC8" s="5">
        <v>45404</v>
      </c>
      <c r="AD8" s="1">
        <v>8436</v>
      </c>
      <c r="AF8" s="77">
        <v>9000</v>
      </c>
      <c r="AG8" s="75">
        <v>45367</v>
      </c>
      <c r="AH8" s="76">
        <v>9000</v>
      </c>
      <c r="AJ8">
        <v>8470</v>
      </c>
      <c r="AK8" s="5">
        <v>45399</v>
      </c>
      <c r="AL8" s="1">
        <v>8470</v>
      </c>
      <c r="AN8">
        <v>8440</v>
      </c>
      <c r="AO8" s="5">
        <v>45429</v>
      </c>
      <c r="AP8" s="1">
        <f>6440+2000</f>
        <v>8440</v>
      </c>
      <c r="AR8">
        <v>16550</v>
      </c>
      <c r="AS8" s="5">
        <v>46555</v>
      </c>
      <c r="AT8" s="1">
        <v>16550</v>
      </c>
      <c r="AU8" s="1"/>
      <c r="AV8">
        <v>17280</v>
      </c>
      <c r="AW8" s="5">
        <v>45489</v>
      </c>
      <c r="AX8" s="1">
        <v>17280</v>
      </c>
      <c r="AY8" s="1"/>
      <c r="AZ8">
        <v>19270</v>
      </c>
      <c r="BA8" s="5">
        <v>45521</v>
      </c>
      <c r="BB8" s="1">
        <v>19270</v>
      </c>
      <c r="BC8" s="1"/>
    </row>
    <row r="9" spans="1:60" x14ac:dyDescent="0.25">
      <c r="A9" s="68" t="s">
        <v>2717</v>
      </c>
      <c r="B9" s="9">
        <v>1000</v>
      </c>
      <c r="E9" s="9">
        <f>500*2</f>
        <v>1000</v>
      </c>
      <c r="F9" s="5">
        <v>44824</v>
      </c>
      <c r="G9" s="5"/>
      <c r="I9" s="9">
        <f>500*2</f>
        <v>1000</v>
      </c>
      <c r="J9" s="5"/>
      <c r="K9" s="9">
        <f>500*2</f>
        <v>1000</v>
      </c>
      <c r="L9" s="5">
        <v>45189</v>
      </c>
      <c r="M9">
        <v>1000</v>
      </c>
      <c r="O9">
        <v>1000</v>
      </c>
      <c r="P9">
        <v>1000</v>
      </c>
      <c r="Q9" s="5">
        <v>45251</v>
      </c>
      <c r="R9" s="1">
        <v>1000</v>
      </c>
      <c r="T9">
        <v>1000</v>
      </c>
      <c r="U9" s="5"/>
      <c r="V9" s="1">
        <v>1000</v>
      </c>
      <c r="X9">
        <v>1000</v>
      </c>
      <c r="Y9" s="5">
        <v>45311</v>
      </c>
      <c r="Z9" s="1">
        <v>1000</v>
      </c>
      <c r="AB9">
        <v>1000</v>
      </c>
      <c r="AC9" s="5">
        <v>45343</v>
      </c>
      <c r="AD9" s="1">
        <v>1000</v>
      </c>
      <c r="AF9" s="77">
        <v>1000</v>
      </c>
      <c r="AG9" s="75">
        <v>45372</v>
      </c>
      <c r="AH9" s="76">
        <v>100</v>
      </c>
      <c r="AJ9">
        <v>1000</v>
      </c>
      <c r="AK9" s="5">
        <v>45404</v>
      </c>
      <c r="AL9" s="1">
        <v>1000</v>
      </c>
      <c r="AN9">
        <v>1000</v>
      </c>
      <c r="AO9" s="5">
        <v>45432</v>
      </c>
      <c r="AP9" s="1">
        <v>1000</v>
      </c>
      <c r="AR9">
        <v>1000</v>
      </c>
      <c r="AS9" s="5">
        <v>45464</v>
      </c>
      <c r="AT9" s="1">
        <v>1000</v>
      </c>
      <c r="AU9" s="1"/>
      <c r="AV9">
        <v>1000</v>
      </c>
      <c r="AW9" s="5">
        <v>45494</v>
      </c>
      <c r="AX9" s="1">
        <v>1000</v>
      </c>
      <c r="AY9" s="1"/>
      <c r="AZ9">
        <v>1000</v>
      </c>
      <c r="BA9" s="5"/>
      <c r="BB9" s="1"/>
      <c r="BC9" s="1"/>
    </row>
    <row r="10" spans="1:60" x14ac:dyDescent="0.25">
      <c r="A10" s="68" t="s">
        <v>2718</v>
      </c>
      <c r="B10" s="9">
        <v>1000</v>
      </c>
      <c r="E10" s="9">
        <v>1000</v>
      </c>
      <c r="F10" s="5">
        <v>44832</v>
      </c>
      <c r="G10" s="5"/>
      <c r="I10" s="9">
        <v>1000</v>
      </c>
      <c r="J10" s="5"/>
      <c r="K10" s="9">
        <v>1000</v>
      </c>
      <c r="L10" s="5">
        <v>45197</v>
      </c>
      <c r="M10">
        <v>1000</v>
      </c>
      <c r="O10">
        <v>1000</v>
      </c>
      <c r="P10">
        <v>1000</v>
      </c>
      <c r="Q10" s="5">
        <v>45258</v>
      </c>
      <c r="R10" s="1">
        <v>1000</v>
      </c>
      <c r="T10">
        <v>1000</v>
      </c>
      <c r="U10" s="5"/>
      <c r="V10" s="1">
        <v>1000</v>
      </c>
      <c r="X10">
        <v>1000</v>
      </c>
      <c r="Y10" s="5">
        <v>45320</v>
      </c>
      <c r="Z10" s="1">
        <v>1000</v>
      </c>
      <c r="AB10">
        <v>1000</v>
      </c>
      <c r="AC10" s="5">
        <v>45350</v>
      </c>
      <c r="AD10" s="1">
        <v>1000</v>
      </c>
      <c r="AF10" s="77">
        <v>1000</v>
      </c>
      <c r="AG10" s="75">
        <v>45379</v>
      </c>
      <c r="AH10" s="76">
        <v>1000</v>
      </c>
      <c r="AJ10">
        <v>1000</v>
      </c>
      <c r="AK10" s="5">
        <v>45410</v>
      </c>
      <c r="AL10" s="1">
        <v>1000</v>
      </c>
      <c r="AN10">
        <v>1000</v>
      </c>
      <c r="AO10" s="5">
        <v>45440</v>
      </c>
      <c r="AP10" s="1">
        <v>1000</v>
      </c>
      <c r="AR10">
        <v>1000</v>
      </c>
      <c r="AS10" s="5">
        <v>45471</v>
      </c>
      <c r="AT10" s="1">
        <v>1000</v>
      </c>
      <c r="AU10" s="1"/>
      <c r="AV10">
        <v>1000</v>
      </c>
      <c r="AW10" s="5">
        <v>45502</v>
      </c>
      <c r="AX10" s="1">
        <v>1000</v>
      </c>
      <c r="AY10" s="1"/>
      <c r="AZ10">
        <v>1000</v>
      </c>
      <c r="BA10" s="5"/>
      <c r="BB10" s="1"/>
      <c r="BC10" s="1"/>
    </row>
    <row r="11" spans="1:60" x14ac:dyDescent="0.25">
      <c r="A11" s="68" t="s">
        <v>2719</v>
      </c>
      <c r="B11" s="9">
        <v>2000</v>
      </c>
      <c r="E11" s="9">
        <f>1000*2</f>
        <v>2000</v>
      </c>
      <c r="F11" s="5">
        <v>44832</v>
      </c>
      <c r="G11" s="5"/>
      <c r="I11" s="9">
        <f>1000*2</f>
        <v>2000</v>
      </c>
      <c r="J11" s="5"/>
      <c r="K11" s="9">
        <f>1000*2</f>
        <v>2000</v>
      </c>
      <c r="L11" s="5">
        <v>45197</v>
      </c>
      <c r="M11">
        <v>2000</v>
      </c>
      <c r="O11">
        <v>2000</v>
      </c>
      <c r="P11">
        <v>2000</v>
      </c>
      <c r="Q11" s="5">
        <v>45258</v>
      </c>
      <c r="R11" s="1">
        <v>2000</v>
      </c>
      <c r="T11">
        <v>2000</v>
      </c>
      <c r="U11" s="5"/>
      <c r="V11" s="1">
        <v>2000</v>
      </c>
      <c r="X11">
        <v>2000</v>
      </c>
      <c r="Y11" s="5">
        <v>45320</v>
      </c>
      <c r="Z11" s="1">
        <v>2000</v>
      </c>
      <c r="AB11">
        <v>2000</v>
      </c>
      <c r="AC11" s="5">
        <v>45350</v>
      </c>
      <c r="AD11" s="1">
        <v>2000</v>
      </c>
      <c r="AF11" s="77">
        <v>2000</v>
      </c>
      <c r="AG11" s="75">
        <v>45379</v>
      </c>
      <c r="AH11" s="76">
        <v>2000</v>
      </c>
      <c r="AJ11">
        <v>2000</v>
      </c>
      <c r="AK11" s="5">
        <v>45410</v>
      </c>
      <c r="AL11" s="1">
        <v>2000</v>
      </c>
      <c r="AN11">
        <v>2000</v>
      </c>
      <c r="AO11" s="5">
        <v>45440</v>
      </c>
      <c r="AP11" s="1">
        <v>2000</v>
      </c>
      <c r="AR11">
        <v>2000</v>
      </c>
      <c r="AS11" s="5">
        <v>45471</v>
      </c>
      <c r="AT11" s="1">
        <v>1000</v>
      </c>
      <c r="AU11" s="1"/>
      <c r="AV11">
        <v>2000</v>
      </c>
      <c r="AW11" s="5">
        <v>2000</v>
      </c>
      <c r="AX11" s="1">
        <v>2000</v>
      </c>
      <c r="AY11" s="1"/>
      <c r="AZ11">
        <v>2000</v>
      </c>
      <c r="BA11" s="5"/>
      <c r="BB11" s="1"/>
      <c r="BC11" s="1"/>
    </row>
    <row r="12" spans="1:60" x14ac:dyDescent="0.25">
      <c r="A12" t="s">
        <v>2712</v>
      </c>
      <c r="B12" s="9">
        <v>1344</v>
      </c>
      <c r="E12" s="9">
        <v>1344</v>
      </c>
      <c r="F12" s="5">
        <v>44820</v>
      </c>
      <c r="G12" s="5"/>
      <c r="I12" s="9">
        <v>14280</v>
      </c>
      <c r="J12" s="5"/>
      <c r="K12" s="9">
        <v>14280</v>
      </c>
      <c r="L12" s="5">
        <v>45197</v>
      </c>
      <c r="M12">
        <v>1344</v>
      </c>
      <c r="O12">
        <v>1344</v>
      </c>
      <c r="P12">
        <v>1344</v>
      </c>
      <c r="Q12" s="5">
        <v>45258</v>
      </c>
      <c r="R12" s="1">
        <f>322+303+346+373</f>
        <v>1344</v>
      </c>
      <c r="T12">
        <v>1344</v>
      </c>
      <c r="U12" s="5"/>
      <c r="V12" s="1">
        <v>1344</v>
      </c>
      <c r="X12">
        <v>1344</v>
      </c>
      <c r="Y12" s="5">
        <v>45319</v>
      </c>
      <c r="Z12" s="1">
        <f>373+346+322+303</f>
        <v>1344</v>
      </c>
      <c r="AB12">
        <v>1344</v>
      </c>
      <c r="AC12" s="5">
        <v>45350</v>
      </c>
      <c r="AD12" s="1">
        <v>1344</v>
      </c>
      <c r="AF12" s="77">
        <v>1344</v>
      </c>
      <c r="AG12" s="75">
        <v>45379</v>
      </c>
      <c r="AH12" s="76">
        <v>1344</v>
      </c>
      <c r="AJ12">
        <v>1344</v>
      </c>
      <c r="AK12" s="5">
        <v>45410</v>
      </c>
      <c r="AL12" s="1">
        <v>1344</v>
      </c>
      <c r="AN12">
        <v>1344</v>
      </c>
      <c r="AO12" s="5">
        <v>45440</v>
      </c>
      <c r="AP12" s="1">
        <v>1344</v>
      </c>
      <c r="AR12">
        <v>1344</v>
      </c>
      <c r="AS12" s="5">
        <v>45471</v>
      </c>
      <c r="AT12" s="1">
        <v>1344</v>
      </c>
      <c r="AU12" s="1"/>
      <c r="AV12">
        <v>1344</v>
      </c>
      <c r="AW12" s="5">
        <v>45501</v>
      </c>
      <c r="AX12" s="1">
        <v>1344</v>
      </c>
      <c r="AY12" s="1"/>
      <c r="AZ12">
        <v>1344</v>
      </c>
      <c r="BA12" s="5"/>
      <c r="BB12" s="1"/>
      <c r="BC12" s="1"/>
    </row>
    <row r="13" spans="1:60" x14ac:dyDescent="0.25">
      <c r="A13" t="s">
        <v>2720</v>
      </c>
      <c r="B13" s="9">
        <v>4500</v>
      </c>
      <c r="E13" s="9">
        <v>4500</v>
      </c>
      <c r="I13" s="9">
        <v>4500</v>
      </c>
      <c r="K13" s="9">
        <v>4500</v>
      </c>
      <c r="M13">
        <v>0</v>
      </c>
      <c r="O13">
        <v>4500</v>
      </c>
      <c r="P13">
        <v>4500</v>
      </c>
      <c r="R13" s="1">
        <v>4500</v>
      </c>
      <c r="T13">
        <v>2533</v>
      </c>
      <c r="U13" s="5"/>
      <c r="V13" s="1">
        <v>0</v>
      </c>
      <c r="X13">
        <v>4500</v>
      </c>
      <c r="Y13" s="5"/>
      <c r="Z13" s="1"/>
      <c r="AB13">
        <v>4500</v>
      </c>
      <c r="AC13" s="5"/>
      <c r="AD13" s="1"/>
      <c r="AF13" s="77">
        <v>9000</v>
      </c>
      <c r="AG13" s="75"/>
      <c r="AH13" s="76"/>
      <c r="AJ13">
        <v>5000</v>
      </c>
      <c r="AK13" s="5"/>
      <c r="AL13" s="1"/>
      <c r="AN13">
        <v>5000</v>
      </c>
      <c r="AO13" s="5"/>
      <c r="AP13" s="1">
        <v>5000</v>
      </c>
      <c r="AR13">
        <v>5000</v>
      </c>
      <c r="AS13" s="5"/>
      <c r="AT13" s="1"/>
      <c r="AU13" s="1"/>
      <c r="AV13">
        <v>5000</v>
      </c>
      <c r="AW13" s="5"/>
      <c r="AX13" s="1"/>
      <c r="AY13" s="1"/>
      <c r="AZ13">
        <v>5000</v>
      </c>
      <c r="BA13" s="5"/>
      <c r="BB13" s="1"/>
      <c r="BC13" s="1"/>
      <c r="BH13" s="7"/>
    </row>
    <row r="14" spans="1:60" x14ac:dyDescent="0.25">
      <c r="A14" s="1" t="s">
        <v>5016</v>
      </c>
      <c r="B14" s="9">
        <v>2000</v>
      </c>
      <c r="E14" s="9">
        <v>2000</v>
      </c>
      <c r="I14" s="9">
        <v>2000</v>
      </c>
      <c r="J14" s="5"/>
      <c r="K14" s="9">
        <v>2000</v>
      </c>
      <c r="O14">
        <v>0</v>
      </c>
      <c r="Q14" s="5">
        <v>45251</v>
      </c>
      <c r="R14" s="1">
        <v>0</v>
      </c>
      <c r="U14" s="5"/>
      <c r="V14" s="1"/>
      <c r="Y14" s="5"/>
      <c r="Z14" s="1"/>
      <c r="AC14" s="5"/>
      <c r="AD14" s="1"/>
      <c r="AF14" s="77"/>
      <c r="AG14" s="75"/>
      <c r="AH14" s="76"/>
      <c r="AK14" s="5"/>
      <c r="AL14" s="1"/>
      <c r="AO14" s="5"/>
      <c r="AP14" s="1"/>
      <c r="AR14">
        <v>2610</v>
      </c>
      <c r="AS14" s="5">
        <v>45451</v>
      </c>
      <c r="AT14" s="1">
        <v>2621</v>
      </c>
      <c r="AU14" s="1"/>
      <c r="AV14">
        <v>2620</v>
      </c>
      <c r="AW14" s="5">
        <v>45476</v>
      </c>
      <c r="AX14" s="1">
        <v>2620</v>
      </c>
      <c r="AY14" s="1"/>
      <c r="AZ14">
        <v>2620</v>
      </c>
      <c r="BA14" s="5"/>
      <c r="BB14" s="1"/>
      <c r="BC14" s="1"/>
      <c r="BG14" s="70"/>
    </row>
    <row r="15" spans="1:60" x14ac:dyDescent="0.25">
      <c r="A15" t="s">
        <v>4183</v>
      </c>
      <c r="I15" s="9"/>
      <c r="K15" s="9"/>
      <c r="P15">
        <v>1000</v>
      </c>
      <c r="Q15" s="5">
        <v>44875</v>
      </c>
      <c r="R15" s="1">
        <v>400</v>
      </c>
      <c r="T15">
        <v>600</v>
      </c>
      <c r="U15" s="5"/>
      <c r="V15" s="1">
        <v>600</v>
      </c>
      <c r="X15">
        <v>500</v>
      </c>
      <c r="Y15" s="5"/>
      <c r="Z15" s="1">
        <f>300+200</f>
        <v>500</v>
      </c>
      <c r="AB15">
        <v>1000</v>
      </c>
      <c r="AC15" s="5"/>
      <c r="AD15" s="1">
        <f>300+300+250+300</f>
        <v>1150</v>
      </c>
      <c r="AF15" s="77">
        <v>1000</v>
      </c>
      <c r="AG15" s="75"/>
      <c r="AH15" s="76">
        <f>300+300+400</f>
        <v>1000</v>
      </c>
      <c r="AJ15">
        <v>960</v>
      </c>
      <c r="AK15" s="5"/>
      <c r="AL15" s="1">
        <f>500+210+250</f>
        <v>960</v>
      </c>
      <c r="AN15">
        <v>1000</v>
      </c>
      <c r="AO15" s="5"/>
      <c r="AP15" s="1">
        <f>300+200+300+400</f>
        <v>1200</v>
      </c>
      <c r="AR15">
        <v>1000</v>
      </c>
      <c r="AS15" s="5"/>
      <c r="AT15" s="1">
        <f>200+100+500</f>
        <v>800</v>
      </c>
      <c r="AU15" s="1"/>
      <c r="AV15">
        <v>1000</v>
      </c>
      <c r="AW15" s="5"/>
      <c r="AX15" s="1">
        <f>400+200+200</f>
        <v>800</v>
      </c>
      <c r="AY15" s="1"/>
      <c r="AZ15">
        <v>1000</v>
      </c>
      <c r="BA15" s="5"/>
      <c r="BB15" s="1">
        <v>400</v>
      </c>
      <c r="BC15" s="1"/>
    </row>
    <row r="16" spans="1:60" x14ac:dyDescent="0.25">
      <c r="A16" t="s">
        <v>4344</v>
      </c>
      <c r="I16" s="9"/>
      <c r="K16" s="9"/>
      <c r="R16" s="1">
        <v>0</v>
      </c>
      <c r="T16">
        <v>3700</v>
      </c>
      <c r="U16" s="5"/>
      <c r="V16" s="1">
        <v>3700</v>
      </c>
      <c r="X16">
        <v>3700</v>
      </c>
      <c r="Y16" s="5"/>
      <c r="Z16" s="1">
        <f>200+500+3000</f>
        <v>3700</v>
      </c>
      <c r="AB16">
        <v>4390</v>
      </c>
      <c r="AC16" s="5"/>
      <c r="AD16" s="1">
        <f>840+3550</f>
        <v>4390</v>
      </c>
      <c r="AF16" s="77">
        <v>4000</v>
      </c>
      <c r="AG16" s="75"/>
      <c r="AH16" s="76">
        <f>2500+500+1000</f>
        <v>4000</v>
      </c>
      <c r="AJ16">
        <v>500</v>
      </c>
      <c r="AK16" s="5"/>
      <c r="AL16" s="1">
        <v>500</v>
      </c>
      <c r="AN16">
        <v>2150</v>
      </c>
      <c r="AO16" s="5"/>
      <c r="AP16" s="1">
        <v>2150</v>
      </c>
      <c r="AR16">
        <f>AT16</f>
        <v>9660</v>
      </c>
      <c r="AS16" s="5"/>
      <c r="AT16" s="1">
        <f>500+200+160+6300+2500</f>
        <v>9660</v>
      </c>
      <c r="AU16" s="1"/>
      <c r="AV16">
        <v>1500</v>
      </c>
      <c r="AW16" s="5"/>
      <c r="AX16" s="1">
        <v>1500</v>
      </c>
      <c r="AY16" s="1"/>
      <c r="AZ16">
        <v>3500</v>
      </c>
      <c r="BA16" s="5"/>
      <c r="BB16" s="1">
        <f>3000</f>
        <v>3000</v>
      </c>
      <c r="BC16" s="1"/>
    </row>
    <row r="17" spans="1:60" x14ac:dyDescent="0.25">
      <c r="A17" t="s">
        <v>4306</v>
      </c>
      <c r="I17" s="9"/>
      <c r="K17" s="9"/>
      <c r="R17" s="1"/>
      <c r="T17">
        <v>2012</v>
      </c>
      <c r="U17" s="5"/>
      <c r="V17" s="1">
        <v>0</v>
      </c>
      <c r="X17">
        <v>0</v>
      </c>
      <c r="Y17" s="5"/>
      <c r="Z17" s="1"/>
      <c r="AB17">
        <v>0</v>
      </c>
      <c r="AC17" s="5"/>
      <c r="AD17" s="1"/>
      <c r="AF17" s="77">
        <v>2012</v>
      </c>
      <c r="AG17" s="75"/>
      <c r="AH17" s="76">
        <v>2012</v>
      </c>
      <c r="AJ17">
        <v>0</v>
      </c>
      <c r="AK17" s="5"/>
      <c r="AL17" s="1"/>
      <c r="AN17">
        <v>0</v>
      </c>
      <c r="AO17" s="5"/>
      <c r="AP17" s="1"/>
      <c r="AR17">
        <v>2012</v>
      </c>
      <c r="AS17" s="5"/>
      <c r="AT17" s="1">
        <v>2012</v>
      </c>
      <c r="AU17" s="1"/>
      <c r="AW17" s="5"/>
      <c r="AX17" s="1"/>
      <c r="AY17" s="1"/>
      <c r="BA17" s="5"/>
      <c r="BB17" s="1"/>
      <c r="BC17" s="1"/>
    </row>
    <row r="18" spans="1:60" x14ac:dyDescent="0.25">
      <c r="A18" t="s">
        <v>5252</v>
      </c>
      <c r="I18" s="9"/>
      <c r="K18" s="9"/>
      <c r="R18" s="1"/>
      <c r="U18" s="5"/>
      <c r="V18" s="1"/>
      <c r="Y18" s="5"/>
      <c r="Z18" s="1"/>
      <c r="AC18" s="5"/>
      <c r="AD18" s="1"/>
      <c r="AF18" s="77"/>
      <c r="AG18" s="75"/>
      <c r="AH18" s="76"/>
      <c r="AK18" s="5"/>
      <c r="AL18" s="1"/>
      <c r="AO18" s="5"/>
      <c r="AP18" s="1"/>
      <c r="AS18" s="5"/>
      <c r="AT18" s="1"/>
      <c r="AU18" s="1"/>
      <c r="AV18">
        <f>AX18</f>
        <v>0</v>
      </c>
      <c r="AW18" s="5"/>
      <c r="AX18" s="1">
        <f>SUMIF(AV42:AV58,A18,AX42:AX58)</f>
        <v>0</v>
      </c>
      <c r="AY18" s="1"/>
      <c r="AZ18">
        <f>BB18</f>
        <v>2500</v>
      </c>
      <c r="BA18" s="5"/>
      <c r="BB18" s="1">
        <v>2500</v>
      </c>
      <c r="BC18" s="1"/>
      <c r="BH18" s="71"/>
    </row>
    <row r="19" spans="1:60" x14ac:dyDescent="0.25">
      <c r="A19" s="7" t="s">
        <v>3680</v>
      </c>
      <c r="B19" s="9">
        <v>6000</v>
      </c>
      <c r="E19" s="9"/>
      <c r="I19" s="9"/>
      <c r="K19" s="9"/>
      <c r="R19" s="1"/>
      <c r="U19" s="5"/>
      <c r="V19" s="1">
        <v>0</v>
      </c>
      <c r="Y19" s="5"/>
      <c r="Z19" s="1"/>
      <c r="AC19" s="5"/>
      <c r="AD19" s="1"/>
      <c r="AF19" s="77"/>
      <c r="AG19" s="75"/>
      <c r="AH19" s="76"/>
      <c r="AK19" s="5"/>
      <c r="AL19" s="1"/>
      <c r="AO19" s="5"/>
      <c r="AP19" s="1"/>
      <c r="AS19" s="5"/>
      <c r="AT19" s="1"/>
      <c r="AU19" s="1"/>
      <c r="AW19" s="5"/>
      <c r="AX19" s="1"/>
      <c r="AY19" s="1"/>
      <c r="BA19" s="5"/>
      <c r="BB19" s="1"/>
      <c r="BC19" s="1"/>
    </row>
    <row r="20" spans="1:60" x14ac:dyDescent="0.25">
      <c r="A20" t="s">
        <v>4858</v>
      </c>
      <c r="B20" s="9">
        <v>5000</v>
      </c>
      <c r="E20" s="9"/>
      <c r="I20" s="9"/>
      <c r="K20" s="9"/>
      <c r="P20">
        <v>3000</v>
      </c>
      <c r="Q20" s="5">
        <v>45241</v>
      </c>
      <c r="R20" s="1">
        <v>2000</v>
      </c>
      <c r="T20">
        <v>4050</v>
      </c>
      <c r="U20" s="5"/>
      <c r="V20" s="1">
        <f>3850+200</f>
        <v>4050</v>
      </c>
      <c r="X20">
        <v>3580</v>
      </c>
      <c r="Y20" s="5"/>
      <c r="Z20" s="1">
        <f>330+100+3150</f>
        <v>3580</v>
      </c>
      <c r="AB20">
        <v>3580</v>
      </c>
      <c r="AC20" s="5"/>
      <c r="AD20" s="1">
        <v>1900</v>
      </c>
      <c r="AF20" s="77">
        <f>4579</f>
        <v>4579</v>
      </c>
      <c r="AG20" s="75"/>
      <c r="AH20" s="76">
        <f>3479+1100</f>
        <v>4579</v>
      </c>
      <c r="AJ20">
        <v>250</v>
      </c>
      <c r="AK20" s="5"/>
      <c r="AL20" s="1">
        <v>250</v>
      </c>
      <c r="AN20">
        <v>4000</v>
      </c>
      <c r="AO20" s="5"/>
      <c r="AP20" s="1">
        <f>SUMIF($AN$45:$AN$69,A20,$AO$45:$AO$78)</f>
        <v>4035</v>
      </c>
      <c r="AR20">
        <v>0</v>
      </c>
      <c r="AS20" s="5"/>
      <c r="AT20" s="1">
        <f>SUMIF($AN$45:$AN$69,E20,$AO$45:$AO$78)</f>
        <v>0</v>
      </c>
      <c r="AU20" s="1"/>
      <c r="AV20">
        <v>4000</v>
      </c>
      <c r="AW20" s="5"/>
      <c r="AX20" s="1">
        <f>SUMIF(AV42:AV80,A20,AX42:AX80)</f>
        <v>3536</v>
      </c>
      <c r="AY20" s="1"/>
      <c r="AZ20">
        <v>4000</v>
      </c>
      <c r="BA20" s="5"/>
      <c r="BB20" s="1">
        <v>2200</v>
      </c>
      <c r="BC20" s="1"/>
    </row>
    <row r="21" spans="1:60" x14ac:dyDescent="0.25">
      <c r="A21" t="s">
        <v>4184</v>
      </c>
      <c r="E21" s="9"/>
      <c r="I21" s="9"/>
      <c r="K21" s="9"/>
      <c r="P21">
        <v>2000</v>
      </c>
      <c r="Q21" s="5">
        <v>45240</v>
      </c>
      <c r="R21" s="1">
        <v>1000</v>
      </c>
      <c r="T21">
        <v>2112</v>
      </c>
      <c r="U21" s="5"/>
      <c r="V21" s="1">
        <v>2112</v>
      </c>
      <c r="X21">
        <v>1000</v>
      </c>
      <c r="Y21" s="5"/>
      <c r="Z21" s="1">
        <v>1000</v>
      </c>
      <c r="AB21">
        <v>1000</v>
      </c>
      <c r="AC21" s="5"/>
      <c r="AD21" s="1">
        <f>120+1000</f>
        <v>1120</v>
      </c>
      <c r="AF21" s="77">
        <v>1560</v>
      </c>
      <c r="AG21" s="75">
        <v>45390</v>
      </c>
      <c r="AH21" s="76">
        <f>1500+60</f>
        <v>1560</v>
      </c>
      <c r="AJ21">
        <v>1000</v>
      </c>
      <c r="AK21" s="5"/>
      <c r="AL21" s="1">
        <v>1000</v>
      </c>
      <c r="AN21">
        <v>1500</v>
      </c>
      <c r="AO21" s="5"/>
      <c r="AP21" s="1">
        <f>1000+400</f>
        <v>1400</v>
      </c>
      <c r="AR21">
        <v>1000</v>
      </c>
      <c r="AS21" s="5"/>
      <c r="AT21" s="1">
        <v>1000</v>
      </c>
      <c r="AU21" s="1"/>
      <c r="AV21">
        <v>2000</v>
      </c>
      <c r="AW21" s="5"/>
      <c r="AX21" s="1">
        <f>1000+87+100</f>
        <v>1187</v>
      </c>
      <c r="AY21" s="1"/>
      <c r="AZ21">
        <v>2000</v>
      </c>
      <c r="BA21" s="5"/>
      <c r="BB21" s="1">
        <v>1000</v>
      </c>
      <c r="BC21" s="1"/>
    </row>
    <row r="22" spans="1:60" x14ac:dyDescent="0.25">
      <c r="A22" t="s">
        <v>4307</v>
      </c>
      <c r="E22" s="9"/>
      <c r="I22" s="9"/>
      <c r="K22" s="9"/>
      <c r="P22">
        <v>1000</v>
      </c>
      <c r="Q22" s="5">
        <v>45240</v>
      </c>
      <c r="R22" s="1">
        <v>400</v>
      </c>
      <c r="T22">
        <f>IF(V22&gt;=1000,V22,1000)</f>
        <v>1000</v>
      </c>
      <c r="U22" s="5"/>
      <c r="V22" s="1">
        <v>1000</v>
      </c>
      <c r="X22">
        <v>0</v>
      </c>
      <c r="Y22" s="5"/>
      <c r="Z22" s="1"/>
      <c r="AB22">
        <v>800</v>
      </c>
      <c r="AC22" s="5"/>
      <c r="AD22" s="1">
        <f>800+500</f>
        <v>1300</v>
      </c>
      <c r="AF22" s="77">
        <v>500</v>
      </c>
      <c r="AG22" s="75"/>
      <c r="AH22" s="76">
        <v>80</v>
      </c>
      <c r="AJ22">
        <f>AL22</f>
        <v>225</v>
      </c>
      <c r="AK22" s="5"/>
      <c r="AL22" s="1">
        <v>225</v>
      </c>
      <c r="AN22">
        <v>500</v>
      </c>
      <c r="AO22" s="5"/>
      <c r="AP22" s="1">
        <v>500</v>
      </c>
      <c r="AR22">
        <v>500</v>
      </c>
      <c r="AS22" s="5"/>
      <c r="AT22" s="1">
        <f>580</f>
        <v>580</v>
      </c>
      <c r="AU22" s="1"/>
      <c r="AV22">
        <v>500</v>
      </c>
      <c r="AW22" s="5"/>
      <c r="AX22">
        <v>600</v>
      </c>
      <c r="AY22" s="1"/>
      <c r="AZ22">
        <v>500</v>
      </c>
      <c r="BA22" s="5"/>
      <c r="BC22" s="1"/>
    </row>
    <row r="23" spans="1:60" x14ac:dyDescent="0.25">
      <c r="A23" t="s">
        <v>4185</v>
      </c>
      <c r="E23" s="9"/>
      <c r="I23" s="9"/>
      <c r="K23" s="9"/>
      <c r="R23" s="1"/>
      <c r="T23">
        <v>1200</v>
      </c>
      <c r="U23" s="5"/>
      <c r="V23" s="1">
        <v>1200</v>
      </c>
      <c r="X23">
        <v>1000</v>
      </c>
      <c r="Y23" s="5"/>
      <c r="Z23" s="1">
        <v>1000</v>
      </c>
      <c r="AB23">
        <v>1500</v>
      </c>
      <c r="AC23" s="5"/>
      <c r="AD23" s="1">
        <f>1000+500</f>
        <v>1500</v>
      </c>
      <c r="AF23" s="77">
        <v>1000</v>
      </c>
      <c r="AG23" s="75"/>
      <c r="AH23" s="76">
        <v>1000</v>
      </c>
      <c r="AJ23">
        <v>800</v>
      </c>
      <c r="AK23" s="5"/>
      <c r="AL23" s="1">
        <v>800</v>
      </c>
      <c r="AN23">
        <v>1000</v>
      </c>
      <c r="AO23" s="5"/>
      <c r="AP23" s="1">
        <v>1000</v>
      </c>
      <c r="AR23">
        <v>1000</v>
      </c>
      <c r="AS23" s="5"/>
      <c r="AT23" s="1">
        <v>1000</v>
      </c>
      <c r="AU23" s="1"/>
      <c r="AV23">
        <v>1000</v>
      </c>
      <c r="AW23" s="5"/>
      <c r="AX23" s="1"/>
      <c r="AY23" s="1"/>
      <c r="AZ23">
        <v>1000</v>
      </c>
      <c r="BA23" s="5"/>
      <c r="BB23" s="1"/>
      <c r="BC23" s="1"/>
    </row>
    <row r="24" spans="1:60" x14ac:dyDescent="0.25">
      <c r="A24" t="s">
        <v>4186</v>
      </c>
      <c r="E24" s="9"/>
      <c r="I24" s="9"/>
      <c r="K24" s="9"/>
      <c r="P24">
        <v>1000</v>
      </c>
      <c r="Q24" s="5">
        <v>45248</v>
      </c>
      <c r="R24" s="1">
        <v>1000</v>
      </c>
      <c r="T24">
        <v>0</v>
      </c>
      <c r="U24" s="5"/>
      <c r="V24" s="1">
        <v>0</v>
      </c>
      <c r="X24">
        <v>1000</v>
      </c>
      <c r="Y24" s="5"/>
      <c r="Z24" s="1">
        <v>1000</v>
      </c>
      <c r="AB24">
        <v>1000</v>
      </c>
      <c r="AC24" s="5">
        <v>45349</v>
      </c>
      <c r="AD24" s="1">
        <v>1000</v>
      </c>
      <c r="AF24" s="77"/>
      <c r="AG24" s="75"/>
      <c r="AH24" s="76"/>
      <c r="AJ24">
        <v>1000</v>
      </c>
      <c r="AK24" s="5"/>
      <c r="AL24" s="1">
        <v>1000</v>
      </c>
      <c r="AN24">
        <v>1000</v>
      </c>
      <c r="AO24" s="5"/>
      <c r="AP24" s="1">
        <v>1000</v>
      </c>
      <c r="AR24">
        <v>1000</v>
      </c>
      <c r="AS24" s="5"/>
      <c r="AT24" s="1">
        <v>1000</v>
      </c>
      <c r="AU24" s="1"/>
      <c r="AV24">
        <v>1000</v>
      </c>
      <c r="AW24" s="5"/>
      <c r="AX24" s="1"/>
      <c r="AY24" s="1"/>
      <c r="AZ24">
        <v>1000</v>
      </c>
      <c r="BA24" s="5"/>
      <c r="BB24" s="1">
        <v>1000</v>
      </c>
      <c r="BC24" s="1"/>
    </row>
    <row r="25" spans="1:60" x14ac:dyDescent="0.25">
      <c r="A25" t="s">
        <v>4187</v>
      </c>
      <c r="E25" s="9"/>
      <c r="I25" s="9"/>
      <c r="K25" s="9"/>
      <c r="P25">
        <v>4200</v>
      </c>
      <c r="Q25" s="5">
        <v>45250</v>
      </c>
      <c r="R25" s="1">
        <v>4200</v>
      </c>
      <c r="T25">
        <v>1450</v>
      </c>
      <c r="U25" s="5"/>
      <c r="V25" s="1">
        <f>1000+450</f>
        <v>1450</v>
      </c>
      <c r="X25">
        <f>IF(Z25&gt;=1000,Z25,1000)</f>
        <v>4200</v>
      </c>
      <c r="Y25" s="5"/>
      <c r="Z25" s="1">
        <f>600+1000+1000+600+1000</f>
        <v>4200</v>
      </c>
      <c r="AB25">
        <f>IF(AD25&gt;=1000,AD25,1000)</f>
        <v>2400</v>
      </c>
      <c r="AC25" s="5"/>
      <c r="AD25" s="1">
        <f>600+600+600+600</f>
        <v>2400</v>
      </c>
      <c r="AF25" s="77">
        <v>6000</v>
      </c>
      <c r="AG25" s="75"/>
      <c r="AH25" s="76">
        <f>3400+1000</f>
        <v>4400</v>
      </c>
      <c r="AJ25">
        <v>3200</v>
      </c>
      <c r="AK25" s="5"/>
      <c r="AL25" s="1">
        <f>200+1000+1000+1000</f>
        <v>3200</v>
      </c>
      <c r="AN25">
        <f>AP25</f>
        <v>1400</v>
      </c>
      <c r="AO25" s="5"/>
      <c r="AP25" s="1">
        <f>400+1000</f>
        <v>1400</v>
      </c>
      <c r="AR25">
        <v>6000</v>
      </c>
      <c r="AS25" s="5"/>
      <c r="AT25" s="1">
        <f>1500+6000</f>
        <v>7500</v>
      </c>
      <c r="AU25" s="1"/>
      <c r="AV25">
        <v>6000</v>
      </c>
      <c r="AW25" s="5"/>
      <c r="AX25" s="1">
        <f>1000+500</f>
        <v>1500</v>
      </c>
      <c r="AY25" s="1"/>
      <c r="AZ25">
        <v>6000</v>
      </c>
      <c r="BA25" s="5"/>
      <c r="BB25" s="1">
        <f>400+1600</f>
        <v>2000</v>
      </c>
      <c r="BC25" s="1"/>
    </row>
    <row r="26" spans="1:60" x14ac:dyDescent="0.25">
      <c r="A26" t="s">
        <v>4243</v>
      </c>
      <c r="E26" s="9"/>
      <c r="I26" s="9"/>
      <c r="K26" s="9"/>
      <c r="R26" s="1"/>
      <c r="T26">
        <v>2000</v>
      </c>
      <c r="U26" s="5">
        <v>45271</v>
      </c>
      <c r="V26" s="1">
        <v>2000</v>
      </c>
      <c r="X26">
        <f>IF(Z26&gt;=1000,Z26,1000)</f>
        <v>1600</v>
      </c>
      <c r="Y26" s="5"/>
      <c r="Z26" s="1">
        <v>1600</v>
      </c>
      <c r="AB26">
        <f>IF(AD26&gt;=1000,AD26,1000)</f>
        <v>1100</v>
      </c>
      <c r="AC26" s="5"/>
      <c r="AD26" s="1">
        <v>1100</v>
      </c>
      <c r="AF26" s="77">
        <f>IF(AH26&gt;=1000,AH26,1000)</f>
        <v>2450</v>
      </c>
      <c r="AG26" s="75">
        <v>45358</v>
      </c>
      <c r="AH26" s="76">
        <f>1250+1200</f>
        <v>2450</v>
      </c>
      <c r="AJ26">
        <v>2500</v>
      </c>
      <c r="AK26" s="5"/>
      <c r="AL26" s="1"/>
      <c r="AN26">
        <v>2500</v>
      </c>
      <c r="AO26" s="5">
        <v>45422</v>
      </c>
      <c r="AP26" s="1">
        <v>2500</v>
      </c>
      <c r="AR26">
        <v>2500</v>
      </c>
      <c r="AS26" s="5">
        <v>45451</v>
      </c>
      <c r="AT26" s="1">
        <v>2400</v>
      </c>
      <c r="AU26" s="1"/>
      <c r="AV26">
        <v>2407</v>
      </c>
      <c r="AW26" s="5">
        <v>45476</v>
      </c>
      <c r="AX26" s="1">
        <v>2407</v>
      </c>
      <c r="AY26" s="1"/>
      <c r="AZ26">
        <v>2407</v>
      </c>
      <c r="BA26" s="5"/>
      <c r="BB26" s="1"/>
      <c r="BC26" s="1"/>
    </row>
    <row r="27" spans="1:60" x14ac:dyDescent="0.25">
      <c r="A27" t="s">
        <v>4244</v>
      </c>
      <c r="E27" s="9"/>
      <c r="I27" s="9"/>
      <c r="K27" s="9"/>
      <c r="R27" s="1"/>
      <c r="T27">
        <v>600</v>
      </c>
      <c r="U27" s="5">
        <v>45264</v>
      </c>
      <c r="V27" s="1">
        <v>600</v>
      </c>
      <c r="X27">
        <v>600</v>
      </c>
      <c r="Y27" s="5"/>
      <c r="Z27" s="1">
        <v>600</v>
      </c>
      <c r="AB27">
        <v>400</v>
      </c>
      <c r="AC27" s="5"/>
      <c r="AD27" s="1">
        <v>400</v>
      </c>
      <c r="AF27" s="77">
        <v>850</v>
      </c>
      <c r="AG27" s="75">
        <v>45355</v>
      </c>
      <c r="AH27" s="76">
        <f>450+400</f>
        <v>850</v>
      </c>
      <c r="AJ27">
        <v>450</v>
      </c>
      <c r="AK27" s="5"/>
      <c r="AL27" s="1"/>
      <c r="AN27">
        <v>500</v>
      </c>
      <c r="AO27" s="5"/>
      <c r="AP27" s="1">
        <v>500</v>
      </c>
      <c r="AR27">
        <v>700</v>
      </c>
      <c r="AS27" s="5"/>
      <c r="AT27" s="1">
        <v>700</v>
      </c>
      <c r="AU27" s="1"/>
      <c r="AV27">
        <v>550</v>
      </c>
      <c r="AX27">
        <v>550</v>
      </c>
      <c r="AY27" s="1"/>
      <c r="AZ27">
        <v>550</v>
      </c>
      <c r="BC27" s="1"/>
    </row>
    <row r="28" spans="1:60" x14ac:dyDescent="0.25">
      <c r="A28" t="s">
        <v>2522</v>
      </c>
      <c r="E28" s="9"/>
      <c r="I28" s="9"/>
      <c r="K28" s="9"/>
      <c r="R28" s="1"/>
      <c r="T28">
        <f>V28</f>
        <v>250</v>
      </c>
      <c r="V28" s="1">
        <v>250</v>
      </c>
      <c r="X28">
        <f>Z28</f>
        <v>1000</v>
      </c>
      <c r="Z28" s="1">
        <v>1000</v>
      </c>
      <c r="AB28">
        <v>1700</v>
      </c>
      <c r="AD28" s="1">
        <v>1700</v>
      </c>
      <c r="AF28" s="77">
        <v>500</v>
      </c>
      <c r="AG28" s="77"/>
      <c r="AH28" s="76">
        <v>500</v>
      </c>
      <c r="AJ28">
        <f>AL28</f>
        <v>3050</v>
      </c>
      <c r="AL28" s="1">
        <f>1250+1800</f>
        <v>3050</v>
      </c>
      <c r="AN28">
        <f>AP28</f>
        <v>1000</v>
      </c>
      <c r="AP28" s="1">
        <f>SUMIF($AN$45:$AN$69,A28,$AO$45:$AO$78)</f>
        <v>1000</v>
      </c>
      <c r="AR28" s="1">
        <f>AT28</f>
        <v>5000</v>
      </c>
      <c r="AT28" s="1">
        <f>2500+1500+1000</f>
        <v>5000</v>
      </c>
      <c r="AU28" s="1"/>
      <c r="AV28" s="1">
        <f>AX28</f>
        <v>0</v>
      </c>
      <c r="AX28" s="1"/>
      <c r="AY28" s="1"/>
      <c r="AZ28" s="1">
        <f>BB28</f>
        <v>0</v>
      </c>
      <c r="BB28" s="1"/>
      <c r="BC28" s="1"/>
    </row>
    <row r="29" spans="1:60" x14ac:dyDescent="0.25">
      <c r="A29" t="s">
        <v>4279</v>
      </c>
      <c r="E29" s="9"/>
      <c r="I29" s="9"/>
      <c r="K29" s="9"/>
      <c r="R29" s="1"/>
      <c r="T29">
        <f>V29</f>
        <v>1825</v>
      </c>
      <c r="V29" s="1">
        <f>1100-1000+1725</f>
        <v>1825</v>
      </c>
      <c r="X29">
        <v>700</v>
      </c>
      <c r="Z29" s="1">
        <v>700</v>
      </c>
      <c r="AB29">
        <f>AD29</f>
        <v>1200</v>
      </c>
      <c r="AD29" s="1">
        <v>1200</v>
      </c>
      <c r="AF29" s="77">
        <f>AH29</f>
        <v>0</v>
      </c>
      <c r="AG29" s="77"/>
      <c r="AH29" s="76"/>
      <c r="AJ29">
        <f>AL29</f>
        <v>500</v>
      </c>
      <c r="AL29" s="1">
        <v>500</v>
      </c>
      <c r="AN29">
        <f>AP29</f>
        <v>1000</v>
      </c>
      <c r="AP29" s="1">
        <v>1000</v>
      </c>
      <c r="AR29">
        <f>AT29</f>
        <v>1500</v>
      </c>
      <c r="AT29" s="1">
        <v>1500</v>
      </c>
      <c r="AU29" s="1"/>
      <c r="AV29">
        <f>AX29</f>
        <v>1600</v>
      </c>
      <c r="AX29" s="1">
        <v>1600</v>
      </c>
      <c r="AY29" s="1"/>
      <c r="AZ29">
        <f>BB29</f>
        <v>0</v>
      </c>
      <c r="BB29" s="1"/>
      <c r="BC29" s="1"/>
    </row>
    <row r="30" spans="1:60" x14ac:dyDescent="0.25">
      <c r="A30" t="s">
        <v>4308</v>
      </c>
      <c r="E30" s="9"/>
      <c r="I30" s="9"/>
      <c r="K30" s="9"/>
      <c r="R30" s="1"/>
      <c r="T30">
        <v>1600</v>
      </c>
      <c r="V30" s="1">
        <v>1860</v>
      </c>
      <c r="X30">
        <v>1650</v>
      </c>
      <c r="Z30" s="1">
        <v>1650</v>
      </c>
      <c r="AB30">
        <v>1650</v>
      </c>
      <c r="AD30" s="1">
        <v>1650</v>
      </c>
      <c r="AF30" s="77">
        <v>1800</v>
      </c>
      <c r="AG30" s="77"/>
      <c r="AH30" s="76">
        <v>1800</v>
      </c>
      <c r="AJ30">
        <v>1774</v>
      </c>
      <c r="AL30" s="1">
        <v>1774</v>
      </c>
      <c r="AN30">
        <v>1774</v>
      </c>
      <c r="AO30" s="5">
        <v>45428</v>
      </c>
      <c r="AP30" s="1">
        <v>1774</v>
      </c>
      <c r="AR30">
        <v>1800</v>
      </c>
      <c r="AS30" s="5"/>
      <c r="AT30" s="1">
        <v>1800</v>
      </c>
      <c r="AU30" s="1"/>
      <c r="AV30">
        <v>1800</v>
      </c>
      <c r="AW30" s="5"/>
      <c r="AX30" s="1">
        <v>1851</v>
      </c>
      <c r="AY30" s="1"/>
      <c r="AZ30">
        <v>1800</v>
      </c>
      <c r="BA30" s="5"/>
      <c r="BB30" s="1">
        <v>1780</v>
      </c>
      <c r="BC30" s="1"/>
    </row>
    <row r="31" spans="1:60" x14ac:dyDescent="0.25">
      <c r="A31" t="s">
        <v>4857</v>
      </c>
      <c r="E31" s="9"/>
      <c r="I31" s="9"/>
      <c r="K31" s="9"/>
      <c r="R31" s="1"/>
      <c r="V31" s="1"/>
      <c r="X31">
        <f>Z31</f>
        <v>832</v>
      </c>
      <c r="Z31" s="1">
        <f>522+30+90+40+150</f>
        <v>832</v>
      </c>
      <c r="AB31">
        <f>AD31</f>
        <v>270</v>
      </c>
      <c r="AD31" s="1">
        <v>270</v>
      </c>
      <c r="AF31" s="77">
        <f>AH31</f>
        <v>0</v>
      </c>
      <c r="AG31" s="77"/>
      <c r="AH31" s="76"/>
      <c r="AJ31">
        <f>AL31</f>
        <v>0</v>
      </c>
      <c r="AL31" s="1"/>
      <c r="AN31">
        <f>AP31</f>
        <v>750</v>
      </c>
      <c r="AP31" s="1">
        <f>SUMIF($AN$45:$AN$69,A31,$AO$45:$AO$78)</f>
        <v>750</v>
      </c>
      <c r="AR31">
        <f>AT31</f>
        <v>500</v>
      </c>
      <c r="AT31" s="1">
        <v>500</v>
      </c>
      <c r="AU31" s="1"/>
      <c r="AV31">
        <v>250</v>
      </c>
      <c r="AX31" s="1">
        <v>100</v>
      </c>
      <c r="AY31" s="1"/>
      <c r="AZ31">
        <v>250</v>
      </c>
      <c r="BB31" s="1">
        <v>500</v>
      </c>
      <c r="BC31" s="1"/>
    </row>
    <row r="32" spans="1:60" x14ac:dyDescent="0.25">
      <c r="A32" t="s">
        <v>4372</v>
      </c>
      <c r="E32" s="9"/>
      <c r="I32" s="9"/>
      <c r="K32" s="9"/>
      <c r="R32" s="1"/>
      <c r="V32" s="1"/>
      <c r="X32">
        <f>Z32</f>
        <v>940</v>
      </c>
      <c r="Z32" s="1">
        <f>100+80+50+30+10+30+40+500+100</f>
        <v>940</v>
      </c>
      <c r="AB32">
        <f>AD32</f>
        <v>350</v>
      </c>
      <c r="AD32" s="1">
        <f>200+150</f>
        <v>350</v>
      </c>
      <c r="AF32" s="77">
        <f>AH32</f>
        <v>0</v>
      </c>
      <c r="AG32" s="77"/>
      <c r="AH32" s="76"/>
      <c r="AJ32">
        <f>AL32</f>
        <v>200</v>
      </c>
      <c r="AL32" s="1">
        <f>100+100</f>
        <v>200</v>
      </c>
      <c r="AN32">
        <f>AP32</f>
        <v>300</v>
      </c>
      <c r="AP32" s="1">
        <f>SUMIF($AN$45:$AN$69,A32,$AO$45:$AO$78)</f>
        <v>300</v>
      </c>
      <c r="AR32">
        <f>AT32</f>
        <v>200</v>
      </c>
      <c r="AT32" s="1">
        <v>200</v>
      </c>
      <c r="AU32" s="1"/>
      <c r="AV32">
        <v>500</v>
      </c>
      <c r="AX32" s="1">
        <v>200</v>
      </c>
      <c r="AY32" s="1"/>
      <c r="AZ32">
        <v>500</v>
      </c>
      <c r="BB32" s="1">
        <v>200</v>
      </c>
      <c r="BC32" s="1"/>
    </row>
    <row r="33" spans="1:55" x14ac:dyDescent="0.25">
      <c r="A33" t="s">
        <v>2511</v>
      </c>
      <c r="E33" s="9"/>
      <c r="I33" s="9"/>
      <c r="K33" s="9"/>
      <c r="R33" s="1"/>
      <c r="V33" s="1"/>
      <c r="Z33" s="1"/>
      <c r="AB33">
        <v>5000</v>
      </c>
      <c r="AD33" s="1">
        <v>1500</v>
      </c>
      <c r="AF33" s="77">
        <v>3500</v>
      </c>
      <c r="AG33" s="77"/>
      <c r="AH33" s="76">
        <v>3500</v>
      </c>
      <c r="AJ33">
        <v>0</v>
      </c>
      <c r="AL33" s="1"/>
      <c r="AN33">
        <f>AP33</f>
        <v>500</v>
      </c>
      <c r="AP33" s="1">
        <f>SUMIF($AN$45:$AN$69,A33,$AO$45:$AO$78)</f>
        <v>500</v>
      </c>
      <c r="AR33">
        <f>AT33</f>
        <v>700</v>
      </c>
      <c r="AT33" s="1">
        <v>700</v>
      </c>
      <c r="AU33" s="1"/>
      <c r="AY33" s="1"/>
      <c r="BC33" s="1"/>
    </row>
    <row r="34" spans="1:55" x14ac:dyDescent="0.25">
      <c r="A34" t="s">
        <v>4608</v>
      </c>
      <c r="E34" s="9"/>
      <c r="I34" s="9"/>
      <c r="K34" s="9"/>
      <c r="R34" s="1"/>
      <c r="V34" s="1"/>
      <c r="Z34" s="1"/>
      <c r="AD34" s="1"/>
      <c r="AF34" s="77">
        <v>1000</v>
      </c>
      <c r="AG34" s="75">
        <v>45364</v>
      </c>
      <c r="AH34" s="76">
        <v>1000</v>
      </c>
      <c r="AJ34">
        <v>0</v>
      </c>
      <c r="AK34" s="5"/>
      <c r="AL34" s="1"/>
      <c r="AN34">
        <v>1000</v>
      </c>
      <c r="AO34" s="5"/>
      <c r="AP34" s="1">
        <f>SUMIF($AN$45:$AN$69,A34,$AO$45:$AO$78)</f>
        <v>0</v>
      </c>
      <c r="AS34" s="5"/>
      <c r="AT34" s="1">
        <f>SUMIF($AN$45:$AN$69,E34,$AO$45:$AO$78)</f>
        <v>0</v>
      </c>
      <c r="AU34" s="1"/>
      <c r="AV34">
        <v>1000</v>
      </c>
      <c r="AW34" s="5"/>
      <c r="AX34" s="1"/>
      <c r="AY34" s="1"/>
      <c r="AZ34">
        <v>1000</v>
      </c>
      <c r="BA34" s="5"/>
      <c r="BB34" s="1"/>
      <c r="BC34" s="1"/>
    </row>
    <row r="35" spans="1:55" x14ac:dyDescent="0.25">
      <c r="A35" t="s">
        <v>5145</v>
      </c>
      <c r="E35" s="9"/>
      <c r="I35" s="9"/>
      <c r="K35" s="9"/>
      <c r="R35" s="1"/>
      <c r="V35" s="1"/>
      <c r="Z35" s="1"/>
      <c r="AD35" s="1"/>
      <c r="AF35" s="77"/>
      <c r="AG35" s="77"/>
      <c r="AH35" s="76"/>
      <c r="AL35" s="1"/>
      <c r="AP35" s="1">
        <f>SUMIF($AN$45:$AN$69,A35,$AO$45:$AO$78)</f>
        <v>0</v>
      </c>
      <c r="AT35" s="1"/>
      <c r="AU35" s="1"/>
      <c r="AV35">
        <f>AX35</f>
        <v>830</v>
      </c>
      <c r="AX35" s="1">
        <f>SUMIF(AV42:AV49,A35,AX42:AX49)</f>
        <v>830</v>
      </c>
      <c r="AY35" s="1"/>
      <c r="AZ35">
        <f>BB35</f>
        <v>0</v>
      </c>
      <c r="BB35" s="1">
        <f>SUMIF(AZ42:AZ49,E35,BB42:BB49)</f>
        <v>0</v>
      </c>
      <c r="BC35" s="1"/>
    </row>
    <row r="36" spans="1:55" x14ac:dyDescent="0.25">
      <c r="E36" s="9"/>
      <c r="I36" s="9"/>
      <c r="K36" s="9"/>
      <c r="R36" s="1"/>
      <c r="V36" s="1"/>
      <c r="Z36" s="1"/>
      <c r="AD36" s="1"/>
      <c r="AF36" s="77"/>
      <c r="AG36" s="77"/>
      <c r="AH36" s="76"/>
      <c r="AL36" s="1"/>
      <c r="AP36" s="1"/>
      <c r="AT36" s="1"/>
      <c r="AU36" s="1"/>
      <c r="AX36" s="1"/>
      <c r="AY36" s="1"/>
      <c r="BB36" s="1"/>
      <c r="BC36" s="1"/>
    </row>
    <row r="37" spans="1:55" x14ac:dyDescent="0.25">
      <c r="E37" s="9"/>
      <c r="I37" s="9"/>
      <c r="K37" s="9"/>
      <c r="R37" s="1"/>
      <c r="V37" s="1"/>
      <c r="Z37" s="1"/>
      <c r="AD37" s="1"/>
      <c r="AF37" s="77"/>
      <c r="AG37" s="77"/>
      <c r="AH37" s="76"/>
      <c r="AL37" s="1"/>
      <c r="AP37" s="1"/>
      <c r="AT37" s="1"/>
      <c r="AU37" s="1"/>
      <c r="AX37" s="1"/>
      <c r="AY37" s="1"/>
      <c r="BB37" s="1"/>
      <c r="BC37" s="1"/>
    </row>
    <row r="38" spans="1:55" x14ac:dyDescent="0.25">
      <c r="E38" s="9"/>
      <c r="I38" s="9"/>
      <c r="K38" s="9"/>
      <c r="R38" s="1"/>
      <c r="V38" s="1"/>
      <c r="Z38" s="1"/>
      <c r="AD38" s="1"/>
      <c r="AF38" s="77"/>
      <c r="AG38" s="77"/>
      <c r="AH38" s="76"/>
      <c r="AL38" s="1"/>
      <c r="AP38" s="1"/>
      <c r="AT38" s="1"/>
      <c r="AU38" s="1"/>
      <c r="AX38" s="1"/>
      <c r="AY38" s="1"/>
      <c r="BB38" s="1"/>
      <c r="BC38" s="1"/>
    </row>
    <row r="39" spans="1:55" x14ac:dyDescent="0.25">
      <c r="E39" s="9"/>
      <c r="I39" s="9"/>
      <c r="K39" s="9"/>
      <c r="M39">
        <f>SUM(M3:M32)</f>
        <v>29164</v>
      </c>
      <c r="O39">
        <f>SUM(O3:O32)</f>
        <v>32654</v>
      </c>
      <c r="P39">
        <f>SUM(P3:P32)</f>
        <v>36564</v>
      </c>
      <c r="Q39" s="1">
        <f>P39-R39</f>
        <v>3211</v>
      </c>
      <c r="R39" s="57">
        <f>SUM(R3:R32)</f>
        <v>33353</v>
      </c>
      <c r="T39" s="7">
        <f>SUM(T3:T32)</f>
        <v>52984</v>
      </c>
      <c r="U39" s="8">
        <f>T39-V39</f>
        <v>5685</v>
      </c>
      <c r="V39" s="68">
        <f>SUM(V3:V32)</f>
        <v>47299</v>
      </c>
      <c r="X39" s="7">
        <f>SUM(X3:X38)</f>
        <v>56304</v>
      </c>
      <c r="Y39" s="8">
        <f>X39-Z39</f>
        <v>6849</v>
      </c>
      <c r="Z39" s="68">
        <f>SUM(Z3:Z38)</f>
        <v>49455</v>
      </c>
      <c r="AB39" s="7">
        <f>SUM(AB3:AB38)</f>
        <v>56905</v>
      </c>
      <c r="AC39" s="8">
        <f>AB39-AD39</f>
        <v>8726</v>
      </c>
      <c r="AD39" s="68">
        <f>SUM(AD3:AD38)</f>
        <v>48179</v>
      </c>
      <c r="AF39" s="78">
        <f>SUM(AF3:AF38)</f>
        <v>65021</v>
      </c>
      <c r="AG39" s="79">
        <f>AF39-AH39</f>
        <v>11920</v>
      </c>
      <c r="AH39" s="80">
        <f>SUM(AH3:AH38)</f>
        <v>53101</v>
      </c>
      <c r="AJ39" s="7">
        <f>SUM(AJ3:AJ38)</f>
        <v>47351</v>
      </c>
      <c r="AK39" s="8">
        <f>AJ39-AL39</f>
        <v>8250</v>
      </c>
      <c r="AL39" s="68">
        <f>SUM(AL3:AL38)</f>
        <v>39101</v>
      </c>
      <c r="AN39" s="7">
        <f>SUM(AN3:AN38)</f>
        <v>51467</v>
      </c>
      <c r="AO39" s="8">
        <f>AN39-AP39</f>
        <v>865</v>
      </c>
      <c r="AP39" s="68">
        <f>SUM(AP3:AP38)</f>
        <v>50602</v>
      </c>
      <c r="AR39" s="7">
        <f>SUM(AR3:AR38)</f>
        <v>75328</v>
      </c>
      <c r="AS39" s="8">
        <f>AR39-AT39</f>
        <v>4709</v>
      </c>
      <c r="AT39" s="68">
        <f>SUM(AT3:AT38)</f>
        <v>70619</v>
      </c>
      <c r="AU39" s="68"/>
      <c r="AV39" s="7">
        <f>SUM(AV3:AV38)</f>
        <v>66933</v>
      </c>
      <c r="AW39" s="8">
        <f>AV39-AX39</f>
        <v>14277</v>
      </c>
      <c r="AX39" s="68">
        <f>SUM(AX3:AX38)</f>
        <v>52656</v>
      </c>
      <c r="AY39" s="68"/>
      <c r="AZ39" s="7">
        <f>SUM(AZ3:AZ38)</f>
        <v>70993</v>
      </c>
      <c r="BA39" s="8">
        <f>AZ39-BB39</f>
        <v>27434</v>
      </c>
      <c r="BB39" s="68">
        <f>SUM(BB3:BB38)</f>
        <v>43559</v>
      </c>
      <c r="BC39" s="68"/>
    </row>
    <row r="40" spans="1:55" x14ac:dyDescent="0.25">
      <c r="E40" s="9"/>
      <c r="I40" s="9"/>
      <c r="K40" s="9"/>
      <c r="AL40">
        <v>1400</v>
      </c>
    </row>
    <row r="41" spans="1:55" x14ac:dyDescent="0.25">
      <c r="A41" t="s">
        <v>4860</v>
      </c>
      <c r="B41" s="9">
        <f>SUM(B3:B40)</f>
        <v>47069</v>
      </c>
      <c r="E41" s="9">
        <f>SUM(E3:E40)</f>
        <v>36069</v>
      </c>
      <c r="I41" s="9">
        <f>SUM(I3:I40)</f>
        <v>41038</v>
      </c>
      <c r="K41" s="9">
        <f>SUM(K3:K40)</f>
        <v>41758</v>
      </c>
    </row>
    <row r="42" spans="1:55" x14ac:dyDescent="0.25">
      <c r="AV42" t="s">
        <v>5145</v>
      </c>
      <c r="AW42" t="s">
        <v>5146</v>
      </c>
      <c r="AX42">
        <v>200</v>
      </c>
      <c r="AZ42" t="s">
        <v>5145</v>
      </c>
    </row>
    <row r="43" spans="1:55" x14ac:dyDescent="0.25">
      <c r="A43" t="s">
        <v>2626</v>
      </c>
      <c r="AV43" t="s">
        <v>5145</v>
      </c>
      <c r="AW43" t="s">
        <v>5147</v>
      </c>
      <c r="AX43">
        <v>130</v>
      </c>
      <c r="AZ43" t="s">
        <v>5145</v>
      </c>
    </row>
    <row r="44" spans="1:55" x14ac:dyDescent="0.25">
      <c r="A44" t="s">
        <v>4373</v>
      </c>
      <c r="X44">
        <v>1000</v>
      </c>
      <c r="AV44" t="s">
        <v>5148</v>
      </c>
      <c r="AW44" t="s">
        <v>5149</v>
      </c>
      <c r="AX44">
        <f>280*2</f>
        <v>560</v>
      </c>
      <c r="AZ44" t="s">
        <v>5148</v>
      </c>
    </row>
    <row r="45" spans="1:55" x14ac:dyDescent="0.25">
      <c r="A45" t="s">
        <v>4393</v>
      </c>
      <c r="AV45" t="s">
        <v>5148</v>
      </c>
      <c r="AW45" t="s">
        <v>5150</v>
      </c>
      <c r="AX45">
        <f>160*3</f>
        <v>480</v>
      </c>
      <c r="AZ45" t="s">
        <v>5148</v>
      </c>
    </row>
    <row r="46" spans="1:55" x14ac:dyDescent="0.25">
      <c r="AN46" t="s">
        <v>4857</v>
      </c>
      <c r="AO46">
        <f>550+200</f>
        <v>750</v>
      </c>
      <c r="AU46">
        <v>5</v>
      </c>
      <c r="AV46" t="s">
        <v>5178</v>
      </c>
      <c r="AX46">
        <v>1816</v>
      </c>
      <c r="AZ46" t="s">
        <v>5178</v>
      </c>
    </row>
    <row r="47" spans="1:55" x14ac:dyDescent="0.25">
      <c r="AN47" t="s">
        <v>4858</v>
      </c>
      <c r="AO47">
        <v>200</v>
      </c>
      <c r="AV47" t="s">
        <v>5178</v>
      </c>
      <c r="AW47" t="s">
        <v>5179</v>
      </c>
      <c r="AX47">
        <v>120</v>
      </c>
      <c r="AZ47" t="s">
        <v>5178</v>
      </c>
    </row>
    <row r="48" spans="1:55" x14ac:dyDescent="0.25">
      <c r="A48" t="s">
        <v>4859</v>
      </c>
      <c r="AN48" t="s">
        <v>4858</v>
      </c>
      <c r="AO48">
        <f>6700-4500</f>
        <v>2200</v>
      </c>
      <c r="AV48" t="s">
        <v>5180</v>
      </c>
      <c r="AW48" t="s">
        <v>4425</v>
      </c>
      <c r="AX48">
        <v>500</v>
      </c>
      <c r="AZ48" t="s">
        <v>5180</v>
      </c>
    </row>
    <row r="49" spans="1:52" x14ac:dyDescent="0.25">
      <c r="AN49" t="s">
        <v>4858</v>
      </c>
      <c r="AO49">
        <f>2900-155-200-160-750</f>
        <v>1635</v>
      </c>
      <c r="AV49" t="s">
        <v>5178</v>
      </c>
      <c r="AX49">
        <v>1600</v>
      </c>
      <c r="AZ49" t="s">
        <v>5178</v>
      </c>
    </row>
    <row r="50" spans="1:52" x14ac:dyDescent="0.25">
      <c r="AN50" t="s">
        <v>2511</v>
      </c>
      <c r="AO50">
        <v>500</v>
      </c>
    </row>
    <row r="51" spans="1:52" x14ac:dyDescent="0.25">
      <c r="AN51" t="s">
        <v>2522</v>
      </c>
      <c r="AO51">
        <v>1000</v>
      </c>
    </row>
    <row r="52" spans="1:52" x14ac:dyDescent="0.25">
      <c r="A52" t="s">
        <v>5014</v>
      </c>
      <c r="AN52" t="s">
        <v>5017</v>
      </c>
      <c r="AO52">
        <v>300</v>
      </c>
    </row>
  </sheetData>
  <mergeCells count="12">
    <mergeCell ref="AF2:AH2"/>
    <mergeCell ref="AB2:AD2"/>
    <mergeCell ref="L2:M2"/>
    <mergeCell ref="N2:O2"/>
    <mergeCell ref="P2:R2"/>
    <mergeCell ref="T2:V2"/>
    <mergeCell ref="X2:Z2"/>
    <mergeCell ref="AZ2:BB2"/>
    <mergeCell ref="AV2:AX2"/>
    <mergeCell ref="AR2:AT2"/>
    <mergeCell ref="AN2:AP2"/>
    <mergeCell ref="AJ2:AL2"/>
  </mergeCells>
  <conditionalFormatting sqref="R3">
    <cfRule type="expression" dxfId="29" priority="40">
      <formula>$Q$3&gt;0</formula>
    </cfRule>
  </conditionalFormatting>
  <conditionalFormatting sqref="U3:V27">
    <cfRule type="expression" dxfId="28" priority="34">
      <formula>$Q3&gt;0</formula>
    </cfRule>
  </conditionalFormatting>
  <conditionalFormatting sqref="V3">
    <cfRule type="expression" dxfId="27" priority="38">
      <formula>$Q$3&gt;0</formula>
    </cfRule>
  </conditionalFormatting>
  <conditionalFormatting sqref="Y3:Z27">
    <cfRule type="expression" dxfId="26" priority="30">
      <formula>$Q3&gt;0</formula>
    </cfRule>
  </conditionalFormatting>
  <conditionalFormatting sqref="Z3">
    <cfRule type="expression" dxfId="25" priority="31">
      <formula>$Q$3&gt;0</formula>
    </cfRule>
  </conditionalFormatting>
  <conditionalFormatting sqref="Z3:Z30">
    <cfRule type="expression" dxfId="24" priority="28">
      <formula>$U$3:$U$28&gt;0</formula>
    </cfRule>
    <cfRule type="expression" dxfId="23" priority="29">
      <formula>$V$3&gt;0</formula>
    </cfRule>
  </conditionalFormatting>
  <conditionalFormatting sqref="AC3:AD27">
    <cfRule type="expression" dxfId="22" priority="26">
      <formula>$Q3&gt;0</formula>
    </cfRule>
  </conditionalFormatting>
  <conditionalFormatting sqref="AD3">
    <cfRule type="expression" dxfId="21" priority="27">
      <formula>$Q$3&gt;0</formula>
    </cfRule>
  </conditionalFormatting>
  <conditionalFormatting sqref="AD3:AD30">
    <cfRule type="expression" dxfId="20" priority="24">
      <formula>$U$3:$U$28&gt;0</formula>
    </cfRule>
    <cfRule type="expression" dxfId="19" priority="25">
      <formula>$V$3&gt;0</formula>
    </cfRule>
  </conditionalFormatting>
  <conditionalFormatting sqref="AG3:AH27">
    <cfRule type="expression" dxfId="18" priority="22">
      <formula>$Q3&gt;0</formula>
    </cfRule>
  </conditionalFormatting>
  <conditionalFormatting sqref="AH3">
    <cfRule type="expression" dxfId="17" priority="23">
      <formula>$Q$3&gt;0</formula>
    </cfRule>
  </conditionalFormatting>
  <conditionalFormatting sqref="AH3:AH30">
    <cfRule type="expression" dxfId="16" priority="20">
      <formula>$U$3:$U$28&gt;0</formula>
    </cfRule>
    <cfRule type="expression" dxfId="15" priority="21">
      <formula>$V$3&gt;0</formula>
    </cfRule>
  </conditionalFormatting>
  <conditionalFormatting sqref="AK3:AL27">
    <cfRule type="expression" dxfId="14" priority="18">
      <formula>$Q3&gt;0</formula>
    </cfRule>
  </conditionalFormatting>
  <conditionalFormatting sqref="AL3">
    <cfRule type="expression" dxfId="13" priority="19">
      <formula>$Q$3&gt;0</formula>
    </cfRule>
  </conditionalFormatting>
  <conditionalFormatting sqref="AL3:AL30">
    <cfRule type="expression" dxfId="12" priority="16">
      <formula>$U$3:$U$28&gt;0</formula>
    </cfRule>
    <cfRule type="expression" dxfId="11" priority="17">
      <formula>$V$3&gt;0</formula>
    </cfRule>
  </conditionalFormatting>
  <conditionalFormatting sqref="AO3:AP27">
    <cfRule type="expression" dxfId="10" priority="14">
      <formula>$Q3&gt;0</formula>
    </cfRule>
  </conditionalFormatting>
  <conditionalFormatting sqref="AP3">
    <cfRule type="expression" dxfId="9" priority="15">
      <formula>$Q$3&gt;0</formula>
    </cfRule>
  </conditionalFormatting>
  <conditionalFormatting sqref="AP3:AP34 AX3:AY19 BB3:BB21 AT3:AU34 BC3:BC34 BB23:BB26 V3:V29 AX20:AX21 AY20:AY22 AX23:AY24 AX25:AX26 AY25:AY27 AX28:AY32 BB28:BB32 AY33 AX34:AY34 BB34">
    <cfRule type="expression" dxfId="8" priority="32">
      <formula>$U$3:$U$28&gt;0</formula>
    </cfRule>
  </conditionalFormatting>
  <conditionalFormatting sqref="AS3:AU27">
    <cfRule type="expression" dxfId="7" priority="5">
      <formula>$Q3&gt;0</formula>
    </cfRule>
  </conditionalFormatting>
  <conditionalFormatting sqref="AT3:AU3 AX3:AY3 BB3:BC3">
    <cfRule type="expression" dxfId="6" priority="9">
      <formula>$Q$3&gt;0</formula>
    </cfRule>
  </conditionalFormatting>
  <conditionalFormatting sqref="AW3:AY19 BA3:BB19 BC3:BC27 AY20:AY22 AW23:AY24 BA23:BB24 AY25:AY27 Q3:R25 AW20:AW22 BA20:BA22">
    <cfRule type="expression" dxfId="5" priority="35">
      <formula>$Q3&gt;0</formula>
    </cfRule>
  </conditionalFormatting>
  <conditionalFormatting sqref="AX20">
    <cfRule type="expression" dxfId="4" priority="42">
      <formula>$Q20&gt;0</formula>
    </cfRule>
  </conditionalFormatting>
  <conditionalFormatting sqref="AX21 AW25:AX26">
    <cfRule type="expression" dxfId="3" priority="44">
      <formula>$Q22&gt;0</formula>
    </cfRule>
  </conditionalFormatting>
  <conditionalFormatting sqref="AX3:AY19 BB3:BB21 V3:V29 AP3:AP34 AT3:AU34 BC3:BC34 AX20:AX21 AY20:AY22 AX23:AY24 BB23:BB26 AX25:AX26 AY25:AY27 AX28:AY32 BB28:BB32 AY33 AX34:AY34 BB34">
    <cfRule type="expression" dxfId="2" priority="33">
      <formula>$V$3&gt;0</formula>
    </cfRule>
  </conditionalFormatting>
  <conditionalFormatting sqref="BB20">
    <cfRule type="expression" dxfId="1" priority="1">
      <formula>$Q20&gt;0</formula>
    </cfRule>
  </conditionalFormatting>
  <conditionalFormatting sqref="BB21 BA25:BB26">
    <cfRule type="expression" dxfId="0" priority="2">
      <formula>$Q22&gt;0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0432-39C2-4BD8-8A91-6D7508C6C386}">
  <dimension ref="A1:AF251"/>
  <sheetViews>
    <sheetView workbookViewId="0">
      <pane ySplit="4" topLeftCell="A254" activePane="bottomLeft" state="frozen"/>
      <selection pane="bottomLeft" activeCell="P251" sqref="P251"/>
    </sheetView>
  </sheetViews>
  <sheetFormatPr defaultRowHeight="15" x14ac:dyDescent="0.25"/>
  <cols>
    <col min="1" max="1" width="10.7109375" style="58" customWidth="1"/>
    <col min="2" max="2" width="15.7109375" style="58" customWidth="1"/>
    <col min="3" max="4" width="7.28515625" style="2" customWidth="1"/>
    <col min="5" max="5" width="7.28515625" style="63" customWidth="1"/>
    <col min="6" max="6" width="2" style="6" customWidth="1"/>
    <col min="7" max="7" width="10.7109375" customWidth="1"/>
    <col min="8" max="8" width="15.7109375" customWidth="1"/>
    <col min="9" max="11" width="7.28515625" customWidth="1"/>
    <col min="12" max="12" width="1.7109375" style="6" customWidth="1"/>
    <col min="13" max="13" width="13.42578125" style="58" customWidth="1"/>
    <col min="14" max="14" width="15.7109375" customWidth="1"/>
    <col min="15" max="17" width="7.28515625" customWidth="1"/>
    <col min="18" max="18" width="1.140625" style="6" customWidth="1"/>
    <col min="19" max="19" width="11.7109375" customWidth="1"/>
    <col min="20" max="20" width="15.7109375" customWidth="1"/>
    <col min="21" max="23" width="7.28515625" customWidth="1"/>
    <col min="24" max="24" width="1.7109375" style="6" customWidth="1"/>
  </cols>
  <sheetData>
    <row r="1" spans="1:32" x14ac:dyDescent="0.25">
      <c r="A1" s="58" t="s">
        <v>4762</v>
      </c>
      <c r="B1" s="83">
        <f ca="1">E1+K1+Q1+W1+Y1</f>
        <v>76303.399999999994</v>
      </c>
      <c r="E1">
        <f ca="1">OFFSET(E1,3+COUNT(E5:E1153),0)</f>
        <v>0</v>
      </c>
      <c r="I1" s="2"/>
      <c r="J1" s="58"/>
      <c r="K1">
        <f ca="1">OFFSET(K1,3+COUNT(K5:K153),0)</f>
        <v>1294</v>
      </c>
      <c r="L1" s="6">
        <f>SUMIF(H5:H27,"bob-50",I5:I27)</f>
        <v>50000</v>
      </c>
      <c r="Q1">
        <f ca="1">OFFSET(Q1,3+COUNT(Q5:Q1153),0)</f>
        <v>24416</v>
      </c>
      <c r="W1">
        <f ca="1">OFFSET(W1,3+COUNT(W5:W152),0)</f>
        <v>1093.4000000000001</v>
      </c>
      <c r="Y1">
        <f>SUM(Y2:Y4)</f>
        <v>49500</v>
      </c>
    </row>
    <row r="2" spans="1:32" x14ac:dyDescent="0.25">
      <c r="A2" s="58" t="s">
        <v>4801</v>
      </c>
      <c r="B2" s="88">
        <f ca="1">B1-91000</f>
        <v>-14696.600000000006</v>
      </c>
      <c r="Y2">
        <v>39500</v>
      </c>
      <c r="Z2" t="s">
        <v>4763</v>
      </c>
      <c r="AE2" t="s">
        <v>4743</v>
      </c>
      <c r="AF2">
        <v>105000</v>
      </c>
    </row>
    <row r="3" spans="1:32" x14ac:dyDescent="0.25">
      <c r="A3" s="154" t="s">
        <v>4751</v>
      </c>
      <c r="B3" s="154"/>
      <c r="C3" s="154"/>
      <c r="D3" s="154"/>
      <c r="E3" s="154"/>
      <c r="G3" s="154" t="s">
        <v>4754</v>
      </c>
      <c r="H3" s="154"/>
      <c r="I3" s="154"/>
      <c r="J3" s="154"/>
      <c r="K3" s="154"/>
      <c r="M3" s="154" t="s">
        <v>4759</v>
      </c>
      <c r="N3" s="154"/>
      <c r="O3" s="154"/>
      <c r="P3" s="154"/>
      <c r="Q3" s="154"/>
      <c r="S3" s="154" t="s">
        <v>4359</v>
      </c>
      <c r="T3" s="154"/>
      <c r="U3" s="154"/>
      <c r="V3" s="154"/>
      <c r="W3" s="154"/>
      <c r="Z3" t="s">
        <v>2514</v>
      </c>
      <c r="AE3" t="s">
        <v>4744</v>
      </c>
      <c r="AF3" s="81">
        <v>-14000</v>
      </c>
    </row>
    <row r="4" spans="1:32" x14ac:dyDescent="0.25">
      <c r="B4" s="83" t="s">
        <v>4749</v>
      </c>
      <c r="C4" s="63" t="s">
        <v>4746</v>
      </c>
      <c r="D4" s="63" t="s">
        <v>4747</v>
      </c>
      <c r="E4" s="63" t="s">
        <v>4748</v>
      </c>
      <c r="G4" s="58" t="s">
        <v>0</v>
      </c>
      <c r="H4" s="7" t="s">
        <v>4749</v>
      </c>
      <c r="I4" s="63" t="s">
        <v>4746</v>
      </c>
      <c r="J4" s="63" t="s">
        <v>4747</v>
      </c>
      <c r="K4" s="63" t="s">
        <v>4748</v>
      </c>
      <c r="M4" s="58" t="s">
        <v>0</v>
      </c>
      <c r="N4" s="7" t="s">
        <v>4749</v>
      </c>
      <c r="O4" s="63" t="s">
        <v>4831</v>
      </c>
      <c r="P4" s="63" t="s">
        <v>4830</v>
      </c>
      <c r="Q4" s="63" t="s">
        <v>4748</v>
      </c>
      <c r="S4" s="58"/>
      <c r="T4" s="7" t="s">
        <v>4749</v>
      </c>
      <c r="U4" s="63" t="s">
        <v>4746</v>
      </c>
      <c r="V4" s="63" t="s">
        <v>4747</v>
      </c>
      <c r="W4" s="63" t="s">
        <v>4748</v>
      </c>
      <c r="Y4">
        <v>10000</v>
      </c>
      <c r="Z4" s="63" t="s">
        <v>4993</v>
      </c>
      <c r="AF4" s="7">
        <f>SUM(AF2:AF3)</f>
        <v>91000</v>
      </c>
    </row>
    <row r="5" spans="1:32" x14ac:dyDescent="0.25">
      <c r="A5" s="65">
        <v>45399</v>
      </c>
      <c r="B5" s="65"/>
      <c r="E5" s="63">
        <v>75000</v>
      </c>
      <c r="G5" s="65">
        <v>45401</v>
      </c>
      <c r="H5" s="5" t="s">
        <v>4754</v>
      </c>
      <c r="I5" s="2">
        <v>50000</v>
      </c>
      <c r="J5" s="2"/>
      <c r="K5" s="63">
        <f>0+I5-J5</f>
        <v>50000</v>
      </c>
      <c r="M5" s="65" t="s">
        <v>4761</v>
      </c>
      <c r="N5" s="137" t="s">
        <v>4760</v>
      </c>
      <c r="O5" s="82">
        <v>5776.55</v>
      </c>
      <c r="P5" s="2"/>
      <c r="Q5" s="63">
        <v>5776</v>
      </c>
      <c r="S5" s="5">
        <v>45403</v>
      </c>
      <c r="T5" t="s">
        <v>1475</v>
      </c>
      <c r="U5">
        <v>7330</v>
      </c>
      <c r="W5" s="63">
        <f>U5</f>
        <v>7330</v>
      </c>
      <c r="AE5" t="s">
        <v>4745</v>
      </c>
      <c r="AF5" s="81">
        <v>-8670</v>
      </c>
    </row>
    <row r="6" spans="1:32" x14ac:dyDescent="0.25">
      <c r="A6" s="65">
        <v>45401</v>
      </c>
      <c r="B6" s="65" t="s">
        <v>4750</v>
      </c>
      <c r="D6" s="2">
        <v>50000</v>
      </c>
      <c r="E6" s="63">
        <f t="shared" ref="E6:E120" si="0">E5+C6-D6</f>
        <v>25000</v>
      </c>
      <c r="G6" s="65">
        <v>45402</v>
      </c>
      <c r="H6" s="5" t="s">
        <v>4752</v>
      </c>
      <c r="I6" s="2"/>
      <c r="J6" s="2">
        <v>20000</v>
      </c>
      <c r="K6" s="63">
        <f>K5+I6-J6</f>
        <v>30000</v>
      </c>
      <c r="M6" s="65">
        <v>45402</v>
      </c>
      <c r="N6" t="s">
        <v>4764</v>
      </c>
      <c r="O6">
        <v>10000</v>
      </c>
      <c r="Q6" s="63">
        <f t="shared" ref="Q6:Q74" si="1">Q5+O6-P6</f>
        <v>15776</v>
      </c>
      <c r="S6" s="5">
        <v>45404</v>
      </c>
      <c r="T6" t="s">
        <v>4800</v>
      </c>
      <c r="V6">
        <v>5000</v>
      </c>
      <c r="W6" s="63">
        <f>W5+U6-V6</f>
        <v>2330</v>
      </c>
      <c r="AF6" s="7">
        <f>SUM(AF4:AF5)</f>
        <v>82330</v>
      </c>
    </row>
    <row r="7" spans="1:32" x14ac:dyDescent="0.25">
      <c r="A7" s="65">
        <v>45403</v>
      </c>
      <c r="B7" s="58" t="s">
        <v>4756</v>
      </c>
      <c r="C7" s="2">
        <v>4500</v>
      </c>
      <c r="E7" s="63">
        <f t="shared" si="0"/>
        <v>29500</v>
      </c>
      <c r="G7" s="65">
        <v>45402</v>
      </c>
      <c r="H7" t="s">
        <v>4755</v>
      </c>
      <c r="J7">
        <v>2025</v>
      </c>
      <c r="K7" s="63">
        <f t="shared" ref="K7:K70" si="2">K6+I7-J7</f>
        <v>27975</v>
      </c>
      <c r="M7" s="65">
        <v>45403</v>
      </c>
      <c r="N7" t="s">
        <v>4764</v>
      </c>
      <c r="O7">
        <v>10000</v>
      </c>
      <c r="Q7" s="63">
        <f t="shared" si="1"/>
        <v>25776</v>
      </c>
      <c r="S7" s="5">
        <v>45404</v>
      </c>
      <c r="T7" t="s">
        <v>4802</v>
      </c>
      <c r="V7">
        <v>117.6</v>
      </c>
      <c r="W7" s="63">
        <f>W6+U7-V7</f>
        <v>2212.4</v>
      </c>
      <c r="AE7" t="s">
        <v>4745</v>
      </c>
      <c r="AF7" s="7">
        <v>9000</v>
      </c>
    </row>
    <row r="8" spans="1:32" x14ac:dyDescent="0.25">
      <c r="A8" s="65">
        <v>45402</v>
      </c>
      <c r="B8" s="58" t="s">
        <v>4757</v>
      </c>
      <c r="D8" s="2">
        <v>10000</v>
      </c>
      <c r="E8" s="63">
        <f t="shared" si="0"/>
        <v>19500</v>
      </c>
      <c r="G8" s="5">
        <v>45403</v>
      </c>
      <c r="H8" t="s">
        <v>4753</v>
      </c>
      <c r="J8">
        <v>4372</v>
      </c>
      <c r="K8" s="63">
        <f t="shared" si="2"/>
        <v>23603</v>
      </c>
      <c r="M8" s="65">
        <v>45403</v>
      </c>
      <c r="N8" t="s">
        <v>4764</v>
      </c>
      <c r="O8">
        <v>900</v>
      </c>
      <c r="Q8" s="63">
        <f t="shared" si="1"/>
        <v>26676</v>
      </c>
      <c r="S8" s="5">
        <v>45411</v>
      </c>
      <c r="T8" t="s">
        <v>4854</v>
      </c>
      <c r="V8">
        <v>1419</v>
      </c>
      <c r="W8" s="63">
        <f>W7+U8-V8</f>
        <v>793.40000000000009</v>
      </c>
      <c r="AE8" t="s">
        <v>2350</v>
      </c>
      <c r="AF8">
        <v>-20000</v>
      </c>
    </row>
    <row r="9" spans="1:32" x14ac:dyDescent="0.25">
      <c r="A9" s="65">
        <v>45403</v>
      </c>
      <c r="D9" s="2">
        <v>6200</v>
      </c>
      <c r="E9" s="63">
        <f t="shared" si="0"/>
        <v>13300</v>
      </c>
      <c r="G9" s="5">
        <v>45404</v>
      </c>
      <c r="H9" t="s">
        <v>4799</v>
      </c>
      <c r="J9">
        <v>7000</v>
      </c>
      <c r="K9" s="63">
        <f t="shared" si="2"/>
        <v>16603</v>
      </c>
      <c r="M9" s="65">
        <v>45404</v>
      </c>
      <c r="Q9" s="63">
        <f t="shared" si="1"/>
        <v>26676</v>
      </c>
      <c r="S9" s="31">
        <v>45413</v>
      </c>
      <c r="T9" s="6" t="s">
        <v>2870</v>
      </c>
      <c r="U9" s="6"/>
      <c r="V9" s="6">
        <v>0</v>
      </c>
      <c r="W9" s="89">
        <f>W8+U9-V9</f>
        <v>793.40000000000009</v>
      </c>
      <c r="AF9" s="7">
        <f>SUM(AF6:AF8)</f>
        <v>71330</v>
      </c>
    </row>
    <row r="10" spans="1:32" x14ac:dyDescent="0.25">
      <c r="A10" s="65">
        <v>45403</v>
      </c>
      <c r="B10" s="58" t="s">
        <v>4764</v>
      </c>
      <c r="D10" s="2">
        <v>900</v>
      </c>
      <c r="E10" s="63">
        <f t="shared" si="0"/>
        <v>12400</v>
      </c>
      <c r="G10" s="5">
        <v>45405</v>
      </c>
      <c r="H10" t="s">
        <v>4807</v>
      </c>
      <c r="J10">
        <v>1500</v>
      </c>
      <c r="K10" s="63">
        <f t="shared" si="2"/>
        <v>15103</v>
      </c>
      <c r="M10" s="65">
        <v>45405</v>
      </c>
      <c r="N10" t="s">
        <v>4764</v>
      </c>
      <c r="P10">
        <v>200</v>
      </c>
      <c r="Q10" s="63">
        <f t="shared" si="1"/>
        <v>26476</v>
      </c>
      <c r="S10" s="5">
        <v>45414</v>
      </c>
      <c r="V10">
        <v>600</v>
      </c>
      <c r="W10" s="63">
        <f>W9+U10-V10</f>
        <v>193.40000000000009</v>
      </c>
      <c r="AE10" t="s">
        <v>4798</v>
      </c>
      <c r="AF10" s="7">
        <v>-12000</v>
      </c>
    </row>
    <row r="11" spans="1:32" x14ac:dyDescent="0.25">
      <c r="A11" s="65">
        <v>45403</v>
      </c>
      <c r="B11" s="58" t="s">
        <v>4765</v>
      </c>
      <c r="C11" s="2">
        <v>600</v>
      </c>
      <c r="E11" s="63">
        <f t="shared" si="0"/>
        <v>13000</v>
      </c>
      <c r="G11" s="5">
        <v>45405</v>
      </c>
      <c r="H11" t="s">
        <v>4812</v>
      </c>
      <c r="I11">
        <v>10000</v>
      </c>
      <c r="K11" s="63">
        <f t="shared" si="2"/>
        <v>25103</v>
      </c>
      <c r="M11" s="65">
        <v>45405</v>
      </c>
      <c r="N11" t="s">
        <v>4764</v>
      </c>
      <c r="P11">
        <v>500</v>
      </c>
      <c r="Q11" s="63">
        <f t="shared" si="1"/>
        <v>25976</v>
      </c>
      <c r="W11" s="63">
        <f t="shared" ref="W11:W74" si="3">W10+U11-V11</f>
        <v>193.40000000000009</v>
      </c>
    </row>
    <row r="12" spans="1:32" x14ac:dyDescent="0.25">
      <c r="A12" s="65">
        <v>45404</v>
      </c>
      <c r="B12" s="58" t="s">
        <v>4764</v>
      </c>
      <c r="D12" s="2">
        <v>2000</v>
      </c>
      <c r="E12" s="63">
        <f t="shared" si="0"/>
        <v>11000</v>
      </c>
      <c r="G12" s="5">
        <v>45405</v>
      </c>
      <c r="H12" t="s">
        <v>4813</v>
      </c>
      <c r="J12">
        <v>20000</v>
      </c>
      <c r="K12" s="63">
        <f t="shared" si="2"/>
        <v>5103</v>
      </c>
      <c r="M12" s="65">
        <v>45405</v>
      </c>
      <c r="N12" t="s">
        <v>4764</v>
      </c>
      <c r="O12">
        <v>500</v>
      </c>
      <c r="Q12" s="63">
        <f t="shared" si="1"/>
        <v>26476</v>
      </c>
      <c r="W12" s="63">
        <f t="shared" si="3"/>
        <v>193.40000000000009</v>
      </c>
    </row>
    <row r="13" spans="1:32" x14ac:dyDescent="0.25">
      <c r="A13" s="65">
        <v>45404</v>
      </c>
      <c r="B13" s="58" t="s">
        <v>4814</v>
      </c>
      <c r="C13" s="2">
        <v>150</v>
      </c>
      <c r="E13" s="63">
        <f t="shared" si="0"/>
        <v>11150</v>
      </c>
      <c r="G13" s="5">
        <v>45405</v>
      </c>
      <c r="J13">
        <v>5000</v>
      </c>
      <c r="K13" s="63">
        <f t="shared" si="2"/>
        <v>103</v>
      </c>
      <c r="M13" s="65">
        <v>45405</v>
      </c>
      <c r="N13" t="s">
        <v>2721</v>
      </c>
      <c r="P13">
        <v>10000</v>
      </c>
      <c r="Q13" s="63">
        <f t="shared" si="1"/>
        <v>16476</v>
      </c>
      <c r="W13" s="63">
        <f t="shared" si="3"/>
        <v>193.40000000000009</v>
      </c>
    </row>
    <row r="14" spans="1:32" x14ac:dyDescent="0.25">
      <c r="A14" s="65">
        <v>45405</v>
      </c>
      <c r="B14" s="58" t="s">
        <v>4814</v>
      </c>
      <c r="C14" s="2">
        <v>1500</v>
      </c>
      <c r="E14" s="63">
        <f t="shared" si="0"/>
        <v>12650</v>
      </c>
      <c r="G14" s="5">
        <v>45406</v>
      </c>
      <c r="H14" t="s">
        <v>4812</v>
      </c>
      <c r="I14">
        <v>5000</v>
      </c>
      <c r="K14" s="63">
        <f t="shared" si="2"/>
        <v>5103</v>
      </c>
      <c r="M14" s="65">
        <v>45405</v>
      </c>
      <c r="N14" t="s">
        <v>4764</v>
      </c>
      <c r="P14">
        <v>100</v>
      </c>
      <c r="Q14" s="63">
        <f t="shared" si="1"/>
        <v>16376</v>
      </c>
      <c r="W14" s="63">
        <f t="shared" si="3"/>
        <v>193.40000000000009</v>
      </c>
    </row>
    <row r="15" spans="1:32" x14ac:dyDescent="0.25">
      <c r="A15" s="65">
        <v>45405</v>
      </c>
      <c r="B15" s="58" t="s">
        <v>4814</v>
      </c>
      <c r="C15" s="2">
        <v>200</v>
      </c>
      <c r="E15" s="63">
        <f t="shared" si="0"/>
        <v>12850</v>
      </c>
      <c r="F15" s="31">
        <v>45410</v>
      </c>
      <c r="G15" s="5">
        <v>45410</v>
      </c>
      <c r="H15" t="s">
        <v>4846</v>
      </c>
      <c r="J15">
        <v>480</v>
      </c>
      <c r="K15" s="63">
        <f t="shared" si="2"/>
        <v>4623</v>
      </c>
      <c r="M15" s="65">
        <v>45406</v>
      </c>
      <c r="N15" t="s">
        <v>4764</v>
      </c>
      <c r="P15">
        <v>500</v>
      </c>
      <c r="Q15" s="63">
        <f t="shared" si="1"/>
        <v>15876</v>
      </c>
      <c r="W15" s="63">
        <f t="shared" si="3"/>
        <v>193.40000000000009</v>
      </c>
    </row>
    <row r="16" spans="1:32" x14ac:dyDescent="0.25">
      <c r="A16" s="65">
        <v>45405</v>
      </c>
      <c r="B16" s="58" t="s">
        <v>4814</v>
      </c>
      <c r="C16" s="2">
        <v>500</v>
      </c>
      <c r="E16" s="63">
        <f t="shared" si="0"/>
        <v>13350</v>
      </c>
      <c r="G16" s="5">
        <v>45410</v>
      </c>
      <c r="H16" t="s">
        <v>1391</v>
      </c>
      <c r="J16">
        <v>500</v>
      </c>
      <c r="K16" s="63">
        <f t="shared" si="2"/>
        <v>4123</v>
      </c>
      <c r="M16" s="65">
        <v>45406</v>
      </c>
      <c r="N16" t="s">
        <v>2721</v>
      </c>
      <c r="P16">
        <v>5000</v>
      </c>
      <c r="Q16" s="63">
        <f t="shared" si="1"/>
        <v>10876</v>
      </c>
      <c r="W16" s="63">
        <f t="shared" si="3"/>
        <v>193.40000000000009</v>
      </c>
    </row>
    <row r="17" spans="1:23" x14ac:dyDescent="0.25">
      <c r="A17" s="65">
        <v>45405</v>
      </c>
      <c r="B17" s="58" t="s">
        <v>4764</v>
      </c>
      <c r="D17" s="2">
        <v>500</v>
      </c>
      <c r="E17" s="63">
        <f t="shared" si="0"/>
        <v>12850</v>
      </c>
      <c r="G17" s="5">
        <v>45410</v>
      </c>
      <c r="H17" t="s">
        <v>4847</v>
      </c>
      <c r="J17">
        <f>640+990</f>
        <v>1630</v>
      </c>
      <c r="K17" s="63">
        <f t="shared" si="2"/>
        <v>2493</v>
      </c>
      <c r="M17" s="65">
        <v>45406</v>
      </c>
      <c r="N17" t="s">
        <v>1253</v>
      </c>
      <c r="O17">
        <v>3000</v>
      </c>
      <c r="Q17" s="63">
        <f t="shared" si="1"/>
        <v>13876</v>
      </c>
      <c r="W17" s="63">
        <f t="shared" si="3"/>
        <v>193.40000000000009</v>
      </c>
    </row>
    <row r="18" spans="1:23" x14ac:dyDescent="0.25">
      <c r="A18" s="65">
        <v>45405</v>
      </c>
      <c r="B18" s="58" t="s">
        <v>4814</v>
      </c>
      <c r="C18" s="2">
        <v>5050</v>
      </c>
      <c r="E18" s="63">
        <f t="shared" si="0"/>
        <v>17900</v>
      </c>
      <c r="G18" s="31">
        <v>45413</v>
      </c>
      <c r="H18" s="6" t="s">
        <v>4853</v>
      </c>
      <c r="I18" s="6"/>
      <c r="J18" s="6">
        <v>946</v>
      </c>
      <c r="K18" s="89">
        <f t="shared" si="2"/>
        <v>1547</v>
      </c>
      <c r="M18" s="65">
        <v>45407</v>
      </c>
      <c r="N18">
        <v>4164</v>
      </c>
      <c r="P18">
        <v>6500</v>
      </c>
      <c r="Q18" s="63">
        <f t="shared" si="1"/>
        <v>7376</v>
      </c>
      <c r="W18" s="63">
        <f t="shared" si="3"/>
        <v>193.40000000000009</v>
      </c>
    </row>
    <row r="19" spans="1:23" x14ac:dyDescent="0.25">
      <c r="A19" s="65">
        <v>45405</v>
      </c>
      <c r="B19" s="58" t="s">
        <v>4814</v>
      </c>
      <c r="C19" s="2">
        <v>100</v>
      </c>
      <c r="E19" s="63">
        <f t="shared" si="0"/>
        <v>18000</v>
      </c>
      <c r="G19" s="5">
        <v>45414</v>
      </c>
      <c r="H19" s="6" t="s">
        <v>4853</v>
      </c>
      <c r="I19">
        <v>5000</v>
      </c>
      <c r="K19" s="63">
        <f t="shared" si="2"/>
        <v>6547</v>
      </c>
      <c r="M19" s="65">
        <v>45407</v>
      </c>
      <c r="N19">
        <v>5385</v>
      </c>
      <c r="P19">
        <v>500</v>
      </c>
      <c r="Q19" s="63">
        <f t="shared" si="1"/>
        <v>6876</v>
      </c>
      <c r="W19" s="63">
        <f t="shared" si="3"/>
        <v>193.40000000000009</v>
      </c>
    </row>
    <row r="20" spans="1:23" x14ac:dyDescent="0.25">
      <c r="A20" s="65">
        <v>45406</v>
      </c>
      <c r="C20" s="2">
        <v>500</v>
      </c>
      <c r="E20" s="63">
        <f t="shared" si="0"/>
        <v>18500</v>
      </c>
      <c r="G20" s="5">
        <v>45414</v>
      </c>
      <c r="H20" t="s">
        <v>4854</v>
      </c>
      <c r="J20">
        <v>4500</v>
      </c>
      <c r="K20" s="63">
        <f t="shared" si="2"/>
        <v>2047</v>
      </c>
      <c r="M20" s="65">
        <v>45408</v>
      </c>
      <c r="P20">
        <v>100</v>
      </c>
      <c r="Q20" s="63">
        <f t="shared" si="1"/>
        <v>6776</v>
      </c>
      <c r="W20" s="63">
        <f t="shared" si="3"/>
        <v>193.40000000000009</v>
      </c>
    </row>
    <row r="21" spans="1:23" x14ac:dyDescent="0.25">
      <c r="A21" s="65">
        <v>45406</v>
      </c>
      <c r="B21" s="58" t="s">
        <v>4764</v>
      </c>
      <c r="D21" s="2">
        <v>3000</v>
      </c>
      <c r="E21" s="63">
        <f t="shared" si="0"/>
        <v>15500</v>
      </c>
      <c r="G21" s="5">
        <v>45416</v>
      </c>
      <c r="H21" t="s">
        <v>4886</v>
      </c>
      <c r="J21">
        <v>1000</v>
      </c>
      <c r="K21" s="63">
        <f t="shared" si="2"/>
        <v>1047</v>
      </c>
      <c r="M21" s="65">
        <v>45408</v>
      </c>
      <c r="P21">
        <v>100</v>
      </c>
      <c r="Q21" s="63">
        <f t="shared" si="1"/>
        <v>6676</v>
      </c>
      <c r="W21" s="63">
        <f t="shared" si="3"/>
        <v>193.40000000000009</v>
      </c>
    </row>
    <row r="22" spans="1:23" x14ac:dyDescent="0.25">
      <c r="A22" s="58" t="s">
        <v>4823</v>
      </c>
      <c r="B22" s="58" t="s">
        <v>4832</v>
      </c>
      <c r="C22" s="2">
        <v>6500</v>
      </c>
      <c r="E22" s="63">
        <f t="shared" si="0"/>
        <v>22000</v>
      </c>
      <c r="G22" s="5">
        <v>45416</v>
      </c>
      <c r="H22" t="s">
        <v>4886</v>
      </c>
      <c r="J22">
        <v>1000</v>
      </c>
      <c r="K22" s="63">
        <f t="shared" si="2"/>
        <v>47</v>
      </c>
      <c r="M22" s="65">
        <v>45409</v>
      </c>
      <c r="N22" t="s">
        <v>4843</v>
      </c>
      <c r="O22">
        <v>3000</v>
      </c>
      <c r="Q22" s="63">
        <f t="shared" si="1"/>
        <v>9676</v>
      </c>
      <c r="W22" s="63">
        <f t="shared" si="3"/>
        <v>193.40000000000009</v>
      </c>
    </row>
    <row r="23" spans="1:23" x14ac:dyDescent="0.25">
      <c r="A23" s="58" t="s">
        <v>4823</v>
      </c>
      <c r="B23" s="58">
        <v>5385</v>
      </c>
      <c r="C23" s="2">
        <v>500</v>
      </c>
      <c r="E23" s="63">
        <f t="shared" si="0"/>
        <v>22500</v>
      </c>
      <c r="G23" s="5">
        <v>45416</v>
      </c>
      <c r="I23">
        <v>5000</v>
      </c>
      <c r="K23" s="63">
        <f t="shared" si="2"/>
        <v>5047</v>
      </c>
      <c r="L23" s="31"/>
      <c r="M23" s="65">
        <v>45410</v>
      </c>
      <c r="N23" t="s">
        <v>3696</v>
      </c>
      <c r="O23">
        <v>250</v>
      </c>
      <c r="Q23" s="63">
        <f t="shared" si="1"/>
        <v>9926</v>
      </c>
      <c r="W23" s="63">
        <f t="shared" si="3"/>
        <v>193.40000000000009</v>
      </c>
    </row>
    <row r="24" spans="1:23" x14ac:dyDescent="0.25">
      <c r="A24" s="65">
        <v>45409</v>
      </c>
      <c r="D24" s="2">
        <v>3000</v>
      </c>
      <c r="E24" s="63">
        <f t="shared" si="0"/>
        <v>19500</v>
      </c>
      <c r="G24" s="5">
        <v>45417</v>
      </c>
      <c r="I24">
        <v>10000</v>
      </c>
      <c r="K24" s="63">
        <f t="shared" si="2"/>
        <v>15047</v>
      </c>
      <c r="M24" s="65">
        <v>45411</v>
      </c>
      <c r="N24" t="s">
        <v>3696</v>
      </c>
      <c r="P24">
        <v>2900</v>
      </c>
      <c r="Q24" s="63">
        <f t="shared" si="1"/>
        <v>7026</v>
      </c>
      <c r="W24" s="63">
        <f t="shared" si="3"/>
        <v>193.40000000000009</v>
      </c>
    </row>
    <row r="25" spans="1:23" x14ac:dyDescent="0.25">
      <c r="A25" s="65">
        <v>45409</v>
      </c>
      <c r="B25" s="58" t="s">
        <v>4844</v>
      </c>
      <c r="C25" s="2">
        <v>1500</v>
      </c>
      <c r="E25" s="63">
        <f t="shared" si="0"/>
        <v>21000</v>
      </c>
      <c r="G25" s="5">
        <v>45417</v>
      </c>
      <c r="H25" t="s">
        <v>4894</v>
      </c>
      <c r="J25">
        <v>6700</v>
      </c>
      <c r="K25" s="63">
        <f t="shared" si="2"/>
        <v>8347</v>
      </c>
      <c r="M25" s="65">
        <v>45411</v>
      </c>
      <c r="N25" t="s">
        <v>4848</v>
      </c>
      <c r="O25">
        <v>1000</v>
      </c>
      <c r="Q25" s="63">
        <f t="shared" si="1"/>
        <v>8026</v>
      </c>
      <c r="W25" s="63">
        <f t="shared" si="3"/>
        <v>193.40000000000009</v>
      </c>
    </row>
    <row r="26" spans="1:23" x14ac:dyDescent="0.25">
      <c r="A26" s="65">
        <v>45410</v>
      </c>
      <c r="B26" s="58" t="s">
        <v>4844</v>
      </c>
      <c r="C26" s="2">
        <v>500</v>
      </c>
      <c r="E26" s="63">
        <f t="shared" si="0"/>
        <v>21500</v>
      </c>
      <c r="G26" s="5">
        <v>45418</v>
      </c>
      <c r="J26">
        <v>4913</v>
      </c>
      <c r="K26" s="63">
        <f t="shared" si="2"/>
        <v>3434</v>
      </c>
      <c r="M26" s="92">
        <v>45413</v>
      </c>
      <c r="N26" s="6" t="s">
        <v>2870</v>
      </c>
      <c r="O26" s="6">
        <v>0</v>
      </c>
      <c r="P26" s="6"/>
      <c r="Q26" s="89">
        <f t="shared" si="1"/>
        <v>8026</v>
      </c>
      <c r="W26" s="63">
        <f t="shared" si="3"/>
        <v>193.40000000000009</v>
      </c>
    </row>
    <row r="27" spans="1:23" x14ac:dyDescent="0.25">
      <c r="A27" s="65">
        <v>45411</v>
      </c>
      <c r="B27" s="58" t="s">
        <v>3696</v>
      </c>
      <c r="C27" s="2">
        <v>3000</v>
      </c>
      <c r="E27" s="63">
        <f t="shared" si="0"/>
        <v>24500</v>
      </c>
      <c r="G27" s="5">
        <v>45418</v>
      </c>
      <c r="H27" t="s">
        <v>4854</v>
      </c>
      <c r="J27">
        <v>840</v>
      </c>
      <c r="K27" s="63">
        <f t="shared" si="2"/>
        <v>2594</v>
      </c>
      <c r="M27" s="65">
        <v>45413</v>
      </c>
      <c r="N27" t="s">
        <v>3717</v>
      </c>
      <c r="O27">
        <v>10000</v>
      </c>
      <c r="Q27" s="63">
        <f t="shared" si="1"/>
        <v>18026</v>
      </c>
      <c r="W27" s="63">
        <f t="shared" si="3"/>
        <v>193.40000000000009</v>
      </c>
    </row>
    <row r="28" spans="1:23" x14ac:dyDescent="0.25">
      <c r="A28" s="65">
        <v>45411</v>
      </c>
      <c r="B28" s="58" t="s">
        <v>2514</v>
      </c>
      <c r="C28" s="2">
        <v>2000</v>
      </c>
      <c r="E28" s="63">
        <f t="shared" si="0"/>
        <v>26500</v>
      </c>
      <c r="G28" s="5">
        <v>45418</v>
      </c>
      <c r="H28" t="s">
        <v>4896</v>
      </c>
      <c r="J28">
        <v>2500</v>
      </c>
      <c r="K28" s="63">
        <f t="shared" si="2"/>
        <v>94</v>
      </c>
      <c r="M28" s="65">
        <v>45413</v>
      </c>
      <c r="N28" t="s">
        <v>2280</v>
      </c>
      <c r="P28">
        <v>5000</v>
      </c>
      <c r="Q28" s="63">
        <f t="shared" si="1"/>
        <v>13026</v>
      </c>
      <c r="W28" s="63">
        <f t="shared" si="3"/>
        <v>193.40000000000009</v>
      </c>
    </row>
    <row r="29" spans="1:23" x14ac:dyDescent="0.25">
      <c r="A29" s="65">
        <v>45411</v>
      </c>
      <c r="D29" s="2">
        <v>1000</v>
      </c>
      <c r="E29" s="63">
        <f t="shared" si="0"/>
        <v>25500</v>
      </c>
      <c r="K29" s="63">
        <f t="shared" si="2"/>
        <v>94</v>
      </c>
      <c r="M29" s="65">
        <v>45413</v>
      </c>
      <c r="N29" t="s">
        <v>4861</v>
      </c>
      <c r="O29">
        <v>6600</v>
      </c>
      <c r="Q29" s="63">
        <f t="shared" si="1"/>
        <v>19626</v>
      </c>
      <c r="W29" s="63">
        <f t="shared" si="3"/>
        <v>193.40000000000009</v>
      </c>
    </row>
    <row r="30" spans="1:23" x14ac:dyDescent="0.25">
      <c r="A30" s="65">
        <v>45411</v>
      </c>
      <c r="B30" s="58" t="s">
        <v>4849</v>
      </c>
      <c r="D30" s="2">
        <v>1500</v>
      </c>
      <c r="E30" s="63">
        <f t="shared" si="0"/>
        <v>24000</v>
      </c>
      <c r="K30" s="63">
        <f t="shared" si="2"/>
        <v>94</v>
      </c>
      <c r="M30" s="65">
        <v>45413</v>
      </c>
      <c r="N30" t="s">
        <v>1163</v>
      </c>
      <c r="O30">
        <v>3500</v>
      </c>
      <c r="Q30" s="63">
        <f t="shared" si="1"/>
        <v>23126</v>
      </c>
      <c r="W30" s="63">
        <f t="shared" si="3"/>
        <v>193.40000000000009</v>
      </c>
    </row>
    <row r="31" spans="1:23" x14ac:dyDescent="0.25">
      <c r="A31" s="65">
        <v>45411</v>
      </c>
      <c r="B31" s="58" t="s">
        <v>4850</v>
      </c>
      <c r="C31" s="2">
        <v>1000</v>
      </c>
      <c r="E31" s="63">
        <f t="shared" si="0"/>
        <v>25000</v>
      </c>
      <c r="K31" s="63">
        <f t="shared" si="2"/>
        <v>94</v>
      </c>
      <c r="M31" s="65">
        <v>45414</v>
      </c>
      <c r="N31" t="s">
        <v>1253</v>
      </c>
      <c r="O31">
        <v>2200</v>
      </c>
      <c r="Q31" s="63">
        <f t="shared" si="1"/>
        <v>25326</v>
      </c>
      <c r="W31" s="63">
        <f t="shared" si="3"/>
        <v>193.40000000000009</v>
      </c>
    </row>
    <row r="32" spans="1:23" x14ac:dyDescent="0.25">
      <c r="A32" s="65">
        <v>45412</v>
      </c>
      <c r="B32" s="58" t="s">
        <v>4852</v>
      </c>
      <c r="C32" s="2">
        <v>300</v>
      </c>
      <c r="E32" s="63">
        <f t="shared" si="0"/>
        <v>25300</v>
      </c>
      <c r="K32" s="63">
        <f t="shared" si="2"/>
        <v>94</v>
      </c>
      <c r="M32" s="65">
        <v>45414</v>
      </c>
      <c r="N32" t="s">
        <v>2748</v>
      </c>
      <c r="P32">
        <v>5000</v>
      </c>
      <c r="Q32" s="63">
        <f t="shared" si="1"/>
        <v>20326</v>
      </c>
      <c r="W32" s="63">
        <f t="shared" si="3"/>
        <v>193.40000000000009</v>
      </c>
    </row>
    <row r="33" spans="1:23" x14ac:dyDescent="0.25">
      <c r="A33" s="65">
        <v>45412</v>
      </c>
      <c r="B33" s="58" t="s">
        <v>4852</v>
      </c>
      <c r="C33" s="2">
        <v>200</v>
      </c>
      <c r="E33" s="63">
        <f t="shared" si="0"/>
        <v>25500</v>
      </c>
      <c r="K33" s="63">
        <f t="shared" si="2"/>
        <v>94</v>
      </c>
      <c r="M33" s="65">
        <v>45414</v>
      </c>
      <c r="P33">
        <v>1500</v>
      </c>
      <c r="Q33" s="63">
        <f t="shared" si="1"/>
        <v>18826</v>
      </c>
      <c r="W33" s="63">
        <f t="shared" si="3"/>
        <v>193.40000000000009</v>
      </c>
    </row>
    <row r="34" spans="1:23" x14ac:dyDescent="0.25">
      <c r="A34" s="92">
        <v>45413</v>
      </c>
      <c r="B34" s="90" t="s">
        <v>2870</v>
      </c>
      <c r="C34" s="91">
        <v>1500</v>
      </c>
      <c r="D34" s="91"/>
      <c r="E34" s="89">
        <f t="shared" si="0"/>
        <v>27000</v>
      </c>
      <c r="K34" s="63">
        <f t="shared" si="2"/>
        <v>94</v>
      </c>
      <c r="M34" s="65">
        <v>45415</v>
      </c>
      <c r="O34">
        <v>1000</v>
      </c>
      <c r="Q34" s="63">
        <f t="shared" si="1"/>
        <v>19826</v>
      </c>
      <c r="W34" s="63">
        <f t="shared" si="3"/>
        <v>193.40000000000009</v>
      </c>
    </row>
    <row r="35" spans="1:23" x14ac:dyDescent="0.25">
      <c r="A35" s="65">
        <v>45413</v>
      </c>
      <c r="B35" s="58" t="s">
        <v>3717</v>
      </c>
      <c r="D35" s="2">
        <v>9900</v>
      </c>
      <c r="E35" s="63">
        <f t="shared" si="0"/>
        <v>17100</v>
      </c>
      <c r="K35" s="63">
        <f t="shared" si="2"/>
        <v>94</v>
      </c>
      <c r="M35" s="65">
        <v>45415</v>
      </c>
      <c r="O35">
        <v>10000</v>
      </c>
      <c r="Q35" s="63">
        <f t="shared" si="1"/>
        <v>29826</v>
      </c>
      <c r="W35" s="63">
        <f>W34+U35-V35</f>
        <v>193.40000000000009</v>
      </c>
    </row>
    <row r="36" spans="1:23" x14ac:dyDescent="0.25">
      <c r="A36" s="65">
        <v>45413</v>
      </c>
      <c r="B36" s="58" t="s">
        <v>2280</v>
      </c>
      <c r="C36" s="2">
        <v>5000</v>
      </c>
      <c r="E36" s="63">
        <f t="shared" si="0"/>
        <v>22100</v>
      </c>
      <c r="K36" s="63">
        <f t="shared" si="2"/>
        <v>94</v>
      </c>
      <c r="M36" s="65">
        <v>45415</v>
      </c>
      <c r="N36">
        <v>4296</v>
      </c>
      <c r="P36">
        <v>2100</v>
      </c>
      <c r="Q36" s="63">
        <f t="shared" si="1"/>
        <v>27726</v>
      </c>
      <c r="W36" s="63">
        <f t="shared" si="3"/>
        <v>193.40000000000009</v>
      </c>
    </row>
    <row r="37" spans="1:23" x14ac:dyDescent="0.25">
      <c r="A37" s="65">
        <v>45413</v>
      </c>
      <c r="B37" s="58" t="s">
        <v>4862</v>
      </c>
      <c r="D37" s="2">
        <v>6500</v>
      </c>
      <c r="E37" s="63">
        <f t="shared" si="0"/>
        <v>15600</v>
      </c>
      <c r="K37" s="63">
        <f t="shared" si="2"/>
        <v>94</v>
      </c>
      <c r="M37" s="65">
        <v>45415</v>
      </c>
      <c r="N37" t="s">
        <v>2467</v>
      </c>
      <c r="O37">
        <v>1700</v>
      </c>
      <c r="Q37" s="63">
        <f t="shared" si="1"/>
        <v>29426</v>
      </c>
      <c r="W37" s="63">
        <f t="shared" si="3"/>
        <v>193.40000000000009</v>
      </c>
    </row>
    <row r="38" spans="1:23" x14ac:dyDescent="0.25">
      <c r="A38" s="65">
        <v>45413</v>
      </c>
      <c r="B38" s="58" t="s">
        <v>1163</v>
      </c>
      <c r="D38" s="2">
        <v>3500</v>
      </c>
      <c r="E38" s="63">
        <f t="shared" si="0"/>
        <v>12100</v>
      </c>
      <c r="K38" s="63">
        <f t="shared" si="2"/>
        <v>94</v>
      </c>
      <c r="M38" s="65">
        <v>45415</v>
      </c>
      <c r="N38">
        <v>5393</v>
      </c>
      <c r="P38">
        <v>200</v>
      </c>
      <c r="Q38" s="63">
        <f t="shared" si="1"/>
        <v>29226</v>
      </c>
      <c r="W38" s="63">
        <f t="shared" si="3"/>
        <v>193.40000000000009</v>
      </c>
    </row>
    <row r="39" spans="1:23" x14ac:dyDescent="0.25">
      <c r="A39" s="65">
        <v>45414</v>
      </c>
      <c r="B39" s="58" t="s">
        <v>2514</v>
      </c>
      <c r="C39" s="2">
        <v>600</v>
      </c>
      <c r="E39" s="63">
        <f t="shared" si="0"/>
        <v>12700</v>
      </c>
      <c r="K39" s="63">
        <f t="shared" si="2"/>
        <v>94</v>
      </c>
      <c r="M39" s="65">
        <v>45416</v>
      </c>
      <c r="N39">
        <v>4163</v>
      </c>
      <c r="P39">
        <v>5900</v>
      </c>
      <c r="Q39" s="63">
        <f t="shared" si="1"/>
        <v>23326</v>
      </c>
      <c r="W39" s="63">
        <f t="shared" si="3"/>
        <v>193.40000000000009</v>
      </c>
    </row>
    <row r="40" spans="1:23" x14ac:dyDescent="0.25">
      <c r="A40" s="65">
        <v>45414</v>
      </c>
      <c r="B40" s="58" t="s">
        <v>1253</v>
      </c>
      <c r="D40" s="2">
        <v>2200</v>
      </c>
      <c r="E40" s="63">
        <f t="shared" si="0"/>
        <v>10500</v>
      </c>
      <c r="K40" s="63">
        <f t="shared" si="2"/>
        <v>94</v>
      </c>
      <c r="M40" s="65">
        <v>45416</v>
      </c>
      <c r="N40" t="s">
        <v>4848</v>
      </c>
      <c r="O40">
        <v>1800</v>
      </c>
      <c r="Q40" s="63">
        <f t="shared" si="1"/>
        <v>25126</v>
      </c>
      <c r="W40" s="63">
        <f t="shared" si="3"/>
        <v>193.40000000000009</v>
      </c>
    </row>
    <row r="41" spans="1:23" x14ac:dyDescent="0.25">
      <c r="A41" s="65">
        <v>45414</v>
      </c>
      <c r="B41" s="58" t="s">
        <v>4764</v>
      </c>
      <c r="C41" s="2">
        <v>1500</v>
      </c>
      <c r="E41" s="63">
        <f t="shared" si="0"/>
        <v>12000</v>
      </c>
      <c r="K41" s="63">
        <f t="shared" si="2"/>
        <v>94</v>
      </c>
      <c r="M41" s="65">
        <v>45416</v>
      </c>
      <c r="N41" t="s">
        <v>2721</v>
      </c>
      <c r="P41">
        <v>5000</v>
      </c>
      <c r="Q41" s="63">
        <f t="shared" si="1"/>
        <v>20126</v>
      </c>
      <c r="W41" s="63">
        <f t="shared" si="3"/>
        <v>193.40000000000009</v>
      </c>
    </row>
    <row r="42" spans="1:23" x14ac:dyDescent="0.25">
      <c r="A42" s="65">
        <v>45415</v>
      </c>
      <c r="B42" s="58" t="s">
        <v>4872</v>
      </c>
      <c r="D42" s="2">
        <v>1000</v>
      </c>
      <c r="E42" s="63">
        <f t="shared" si="0"/>
        <v>11000</v>
      </c>
      <c r="K42" s="63">
        <f t="shared" si="2"/>
        <v>94</v>
      </c>
      <c r="M42" s="65">
        <v>45416</v>
      </c>
      <c r="N42" t="s">
        <v>3717</v>
      </c>
      <c r="O42">
        <v>4000</v>
      </c>
      <c r="Q42" s="63">
        <f t="shared" si="1"/>
        <v>24126</v>
      </c>
      <c r="W42" s="63">
        <f t="shared" si="3"/>
        <v>193.40000000000009</v>
      </c>
    </row>
    <row r="43" spans="1:23" x14ac:dyDescent="0.25">
      <c r="A43" s="65">
        <v>45415</v>
      </c>
      <c r="B43" s="58" t="s">
        <v>4844</v>
      </c>
      <c r="C43" s="2">
        <v>3000</v>
      </c>
      <c r="E43" s="63">
        <f t="shared" si="0"/>
        <v>14000</v>
      </c>
      <c r="K43" s="63">
        <f t="shared" si="2"/>
        <v>94</v>
      </c>
      <c r="M43" s="65">
        <v>45417</v>
      </c>
      <c r="N43" t="s">
        <v>1253</v>
      </c>
      <c r="O43">
        <v>5000</v>
      </c>
      <c r="Q43" s="63">
        <f t="shared" si="1"/>
        <v>29126</v>
      </c>
      <c r="W43" s="63">
        <f t="shared" si="3"/>
        <v>193.40000000000009</v>
      </c>
    </row>
    <row r="44" spans="1:23" x14ac:dyDescent="0.25">
      <c r="A44" s="65">
        <v>45415</v>
      </c>
      <c r="B44" s="58" t="s">
        <v>4873</v>
      </c>
      <c r="D44" s="2">
        <v>10000</v>
      </c>
      <c r="E44" s="63">
        <f t="shared" si="0"/>
        <v>4000</v>
      </c>
      <c r="K44" s="63">
        <f t="shared" si="2"/>
        <v>94</v>
      </c>
      <c r="M44" s="65">
        <v>45417</v>
      </c>
      <c r="N44" t="s">
        <v>3696</v>
      </c>
      <c r="P44">
        <v>1150</v>
      </c>
      <c r="Q44" s="63">
        <f t="shared" si="1"/>
        <v>27976</v>
      </c>
      <c r="W44" s="63">
        <f t="shared" si="3"/>
        <v>193.40000000000009</v>
      </c>
    </row>
    <row r="45" spans="1:23" x14ac:dyDescent="0.25">
      <c r="A45" s="65">
        <v>45415</v>
      </c>
      <c r="B45" s="58" t="s">
        <v>3481</v>
      </c>
      <c r="C45" s="2">
        <v>2100</v>
      </c>
      <c r="E45" s="63">
        <f t="shared" si="0"/>
        <v>6100</v>
      </c>
      <c r="K45" s="63">
        <f t="shared" si="2"/>
        <v>94</v>
      </c>
      <c r="M45" s="65">
        <v>45417</v>
      </c>
      <c r="N45" t="s">
        <v>4891</v>
      </c>
      <c r="O45">
        <v>5500</v>
      </c>
      <c r="Q45" s="63">
        <f t="shared" si="1"/>
        <v>33476</v>
      </c>
      <c r="W45" s="63">
        <f t="shared" si="3"/>
        <v>193.40000000000009</v>
      </c>
    </row>
    <row r="46" spans="1:23" x14ac:dyDescent="0.25">
      <c r="A46" s="65">
        <v>45415</v>
      </c>
      <c r="B46" s="58" t="s">
        <v>2467</v>
      </c>
      <c r="D46" s="2">
        <v>1700</v>
      </c>
      <c r="E46" s="63">
        <f t="shared" si="0"/>
        <v>4400</v>
      </c>
      <c r="K46" s="63">
        <f t="shared" si="2"/>
        <v>94</v>
      </c>
      <c r="M46" s="65">
        <v>45417</v>
      </c>
      <c r="N46" t="s">
        <v>2721</v>
      </c>
      <c r="P46">
        <v>10000</v>
      </c>
      <c r="Q46" s="63">
        <f t="shared" si="1"/>
        <v>23476</v>
      </c>
      <c r="W46" s="63">
        <f t="shared" si="3"/>
        <v>193.40000000000009</v>
      </c>
    </row>
    <row r="47" spans="1:23" x14ac:dyDescent="0.25">
      <c r="A47" s="65">
        <v>45415</v>
      </c>
      <c r="B47" s="58">
        <v>5393</v>
      </c>
      <c r="C47" s="2">
        <v>200</v>
      </c>
      <c r="E47" s="63">
        <f t="shared" si="0"/>
        <v>4600</v>
      </c>
      <c r="K47" s="63">
        <f t="shared" si="2"/>
        <v>94</v>
      </c>
      <c r="M47" s="65">
        <v>45418</v>
      </c>
      <c r="N47">
        <v>5376</v>
      </c>
      <c r="P47">
        <v>500</v>
      </c>
      <c r="Q47" s="63">
        <f t="shared" si="1"/>
        <v>22976</v>
      </c>
      <c r="W47" s="63">
        <f t="shared" si="3"/>
        <v>193.40000000000009</v>
      </c>
    </row>
    <row r="48" spans="1:23" x14ac:dyDescent="0.25">
      <c r="A48" s="65">
        <v>45416</v>
      </c>
      <c r="B48" s="58">
        <v>4163</v>
      </c>
      <c r="C48" s="2">
        <v>5900</v>
      </c>
      <c r="E48" s="63">
        <f t="shared" si="0"/>
        <v>10500</v>
      </c>
      <c r="K48" s="63">
        <f t="shared" si="2"/>
        <v>94</v>
      </c>
      <c r="M48" s="65">
        <v>45419</v>
      </c>
      <c r="N48">
        <v>1005</v>
      </c>
      <c r="P48">
        <v>2000</v>
      </c>
      <c r="Q48" s="63">
        <f t="shared" si="1"/>
        <v>20976</v>
      </c>
      <c r="W48" s="63">
        <f t="shared" si="3"/>
        <v>193.40000000000009</v>
      </c>
    </row>
    <row r="49" spans="1:23" x14ac:dyDescent="0.25">
      <c r="A49" s="65">
        <v>45416</v>
      </c>
      <c r="C49" s="2">
        <v>2000</v>
      </c>
      <c r="E49" s="63">
        <f t="shared" si="0"/>
        <v>12500</v>
      </c>
      <c r="K49" s="63">
        <f t="shared" si="2"/>
        <v>94</v>
      </c>
      <c r="M49" s="65">
        <v>45420</v>
      </c>
      <c r="N49" t="s">
        <v>3717</v>
      </c>
      <c r="O49">
        <v>1000</v>
      </c>
      <c r="Q49" s="63">
        <f t="shared" si="1"/>
        <v>21976</v>
      </c>
      <c r="W49" s="63">
        <f t="shared" si="3"/>
        <v>193.40000000000009</v>
      </c>
    </row>
    <row r="50" spans="1:23" x14ac:dyDescent="0.25">
      <c r="A50" s="65">
        <v>45416</v>
      </c>
      <c r="D50" s="2">
        <v>1700</v>
      </c>
      <c r="E50" s="63">
        <f t="shared" si="0"/>
        <v>10800</v>
      </c>
      <c r="K50" s="63">
        <f t="shared" si="2"/>
        <v>94</v>
      </c>
      <c r="M50" s="65">
        <v>45420</v>
      </c>
      <c r="N50">
        <v>738</v>
      </c>
      <c r="P50">
        <v>5500</v>
      </c>
      <c r="Q50" s="63">
        <f t="shared" si="1"/>
        <v>16476</v>
      </c>
      <c r="W50" s="63">
        <f t="shared" si="3"/>
        <v>193.40000000000009</v>
      </c>
    </row>
    <row r="51" spans="1:23" x14ac:dyDescent="0.25">
      <c r="A51" s="65">
        <v>45416</v>
      </c>
      <c r="B51" s="58" t="s">
        <v>4844</v>
      </c>
      <c r="C51" s="2">
        <v>1000</v>
      </c>
      <c r="E51" s="63">
        <f t="shared" si="0"/>
        <v>11800</v>
      </c>
      <c r="K51" s="63">
        <f t="shared" si="2"/>
        <v>94</v>
      </c>
      <c r="M51" s="65">
        <v>45420</v>
      </c>
      <c r="N51">
        <v>5399</v>
      </c>
      <c r="P51">
        <v>200</v>
      </c>
      <c r="Q51" s="63">
        <f t="shared" si="1"/>
        <v>16276</v>
      </c>
      <c r="W51" s="63">
        <f t="shared" si="3"/>
        <v>193.40000000000009</v>
      </c>
    </row>
    <row r="52" spans="1:23" x14ac:dyDescent="0.25">
      <c r="A52" s="65">
        <v>45416</v>
      </c>
      <c r="D52" s="2">
        <v>4000</v>
      </c>
      <c r="E52" s="63">
        <f t="shared" si="0"/>
        <v>7800</v>
      </c>
      <c r="K52" s="63">
        <f t="shared" si="2"/>
        <v>94</v>
      </c>
      <c r="M52" s="65">
        <v>45420</v>
      </c>
      <c r="N52" t="s">
        <v>3696</v>
      </c>
      <c r="P52">
        <v>12000</v>
      </c>
      <c r="Q52" s="63">
        <f t="shared" si="1"/>
        <v>4276</v>
      </c>
      <c r="W52" s="63">
        <f t="shared" si="3"/>
        <v>193.40000000000009</v>
      </c>
    </row>
    <row r="53" spans="1:23" x14ac:dyDescent="0.25">
      <c r="A53" s="65">
        <v>45417</v>
      </c>
      <c r="D53" s="2">
        <v>5000</v>
      </c>
      <c r="E53" s="63">
        <f t="shared" si="0"/>
        <v>2800</v>
      </c>
      <c r="K53" s="63">
        <f t="shared" si="2"/>
        <v>94</v>
      </c>
      <c r="M53" s="65">
        <v>45421</v>
      </c>
      <c r="N53" t="s">
        <v>1163</v>
      </c>
      <c r="O53">
        <v>2000</v>
      </c>
      <c r="Q53" s="63">
        <f t="shared" si="1"/>
        <v>6276</v>
      </c>
      <c r="W53" s="63">
        <f t="shared" si="3"/>
        <v>193.40000000000009</v>
      </c>
    </row>
    <row r="54" spans="1:23" x14ac:dyDescent="0.25">
      <c r="A54" s="65">
        <v>45417</v>
      </c>
      <c r="B54" s="58" t="s">
        <v>3696</v>
      </c>
      <c r="C54" s="2">
        <v>1150</v>
      </c>
      <c r="E54" s="63">
        <f t="shared" si="0"/>
        <v>3950</v>
      </c>
      <c r="K54" s="63">
        <f t="shared" si="2"/>
        <v>94</v>
      </c>
      <c r="M54" s="65">
        <v>45421</v>
      </c>
      <c r="N54" t="s">
        <v>4904</v>
      </c>
      <c r="O54">
        <v>6000</v>
      </c>
      <c r="Q54" s="63">
        <f t="shared" si="1"/>
        <v>12276</v>
      </c>
      <c r="W54" s="63">
        <f t="shared" si="3"/>
        <v>193.40000000000009</v>
      </c>
    </row>
    <row r="55" spans="1:23" x14ac:dyDescent="0.25">
      <c r="A55" s="65">
        <v>45417</v>
      </c>
      <c r="B55" s="58" t="s">
        <v>2514</v>
      </c>
      <c r="C55" s="2">
        <v>200</v>
      </c>
      <c r="E55" s="63">
        <f t="shared" si="0"/>
        <v>4150</v>
      </c>
      <c r="K55" s="63">
        <f t="shared" si="2"/>
        <v>94</v>
      </c>
      <c r="M55" s="65">
        <v>45421</v>
      </c>
      <c r="N55" t="s">
        <v>4905</v>
      </c>
      <c r="P55">
        <v>6000</v>
      </c>
      <c r="Q55" s="63">
        <f t="shared" si="1"/>
        <v>6276</v>
      </c>
      <c r="W55" s="63">
        <f t="shared" si="3"/>
        <v>193.40000000000009</v>
      </c>
    </row>
    <row r="56" spans="1:23" x14ac:dyDescent="0.25">
      <c r="A56" s="65">
        <v>45417</v>
      </c>
      <c r="B56" s="58" t="s">
        <v>4872</v>
      </c>
      <c r="D56" s="2">
        <v>3500</v>
      </c>
      <c r="E56" s="63">
        <f t="shared" si="0"/>
        <v>650</v>
      </c>
      <c r="K56" s="63">
        <f t="shared" si="2"/>
        <v>94</v>
      </c>
      <c r="M56" s="65">
        <v>45421</v>
      </c>
      <c r="N56" t="s">
        <v>2361</v>
      </c>
      <c r="P56">
        <v>4800</v>
      </c>
      <c r="Q56" s="63">
        <f t="shared" si="1"/>
        <v>1476</v>
      </c>
      <c r="W56" s="63">
        <f t="shared" si="3"/>
        <v>193.40000000000009</v>
      </c>
    </row>
    <row r="57" spans="1:23" x14ac:dyDescent="0.25">
      <c r="A57" s="65">
        <v>45417</v>
      </c>
      <c r="C57" s="2">
        <v>500</v>
      </c>
      <c r="E57" s="63">
        <f t="shared" si="0"/>
        <v>1150</v>
      </c>
      <c r="K57" s="63">
        <f t="shared" si="2"/>
        <v>94</v>
      </c>
      <c r="M57" s="65">
        <v>45421</v>
      </c>
      <c r="N57" t="s">
        <v>4910</v>
      </c>
      <c r="O57">
        <v>10000</v>
      </c>
      <c r="Q57" s="63">
        <f t="shared" si="1"/>
        <v>11476</v>
      </c>
      <c r="W57" s="63">
        <f t="shared" si="3"/>
        <v>193.40000000000009</v>
      </c>
    </row>
    <row r="58" spans="1:23" x14ac:dyDescent="0.25">
      <c r="A58" s="65">
        <v>45418</v>
      </c>
      <c r="B58" s="58" t="s">
        <v>4844</v>
      </c>
      <c r="C58" s="2">
        <v>5000</v>
      </c>
      <c r="E58" s="63">
        <f t="shared" si="0"/>
        <v>6150</v>
      </c>
      <c r="K58" s="63">
        <f t="shared" si="2"/>
        <v>94</v>
      </c>
      <c r="M58" s="65">
        <v>45421</v>
      </c>
      <c r="N58" t="s">
        <v>3696</v>
      </c>
      <c r="P58">
        <v>850</v>
      </c>
      <c r="Q58" s="63">
        <f t="shared" si="1"/>
        <v>10626</v>
      </c>
      <c r="W58" s="63">
        <f t="shared" si="3"/>
        <v>193.40000000000009</v>
      </c>
    </row>
    <row r="59" spans="1:23" x14ac:dyDescent="0.25">
      <c r="A59" s="65">
        <v>45418</v>
      </c>
      <c r="B59" s="58" t="s">
        <v>4895</v>
      </c>
      <c r="C59" s="2">
        <v>5500</v>
      </c>
      <c r="E59" s="63">
        <f t="shared" si="0"/>
        <v>11650</v>
      </c>
      <c r="K59" s="63">
        <f t="shared" si="2"/>
        <v>94</v>
      </c>
      <c r="M59" s="65">
        <v>45422</v>
      </c>
      <c r="N59" t="s">
        <v>4913</v>
      </c>
      <c r="O59">
        <v>5500</v>
      </c>
      <c r="Q59" s="63">
        <f t="shared" si="1"/>
        <v>16126</v>
      </c>
      <c r="W59" s="63">
        <f t="shared" si="3"/>
        <v>193.40000000000009</v>
      </c>
    </row>
    <row r="60" spans="1:23" x14ac:dyDescent="0.25">
      <c r="A60" s="65">
        <v>46514</v>
      </c>
      <c r="B60" s="58">
        <v>1005</v>
      </c>
      <c r="C60" s="2">
        <v>2000</v>
      </c>
      <c r="E60" s="63">
        <f t="shared" si="0"/>
        <v>13650</v>
      </c>
      <c r="K60" s="63">
        <f t="shared" si="2"/>
        <v>94</v>
      </c>
      <c r="M60" s="65">
        <v>45422</v>
      </c>
      <c r="N60" t="s">
        <v>2280</v>
      </c>
      <c r="P60">
        <v>5000</v>
      </c>
      <c r="Q60" s="63">
        <f t="shared" si="1"/>
        <v>11126</v>
      </c>
      <c r="W60" s="63">
        <f t="shared" si="3"/>
        <v>193.40000000000009</v>
      </c>
    </row>
    <row r="61" spans="1:23" x14ac:dyDescent="0.25">
      <c r="A61" s="65">
        <v>46514</v>
      </c>
      <c r="B61" s="58" t="s">
        <v>4844</v>
      </c>
      <c r="C61" s="2">
        <v>2500</v>
      </c>
      <c r="E61" s="63">
        <f t="shared" si="0"/>
        <v>16150</v>
      </c>
      <c r="K61" s="63">
        <f t="shared" si="2"/>
        <v>94</v>
      </c>
      <c r="M61" s="65">
        <v>45422</v>
      </c>
      <c r="N61">
        <v>1818</v>
      </c>
      <c r="P61">
        <v>1000</v>
      </c>
      <c r="Q61" s="63">
        <f t="shared" si="1"/>
        <v>10126</v>
      </c>
      <c r="W61" s="63">
        <f t="shared" si="3"/>
        <v>193.40000000000009</v>
      </c>
    </row>
    <row r="62" spans="1:23" x14ac:dyDescent="0.25">
      <c r="A62" s="65">
        <v>45420</v>
      </c>
      <c r="B62" s="58" t="s">
        <v>3717</v>
      </c>
      <c r="D62" s="2">
        <v>1000</v>
      </c>
      <c r="E62" s="63">
        <f t="shared" si="0"/>
        <v>15150</v>
      </c>
      <c r="K62" s="63">
        <f t="shared" si="2"/>
        <v>94</v>
      </c>
      <c r="M62" s="65">
        <v>45425</v>
      </c>
      <c r="N62" t="s">
        <v>3859</v>
      </c>
      <c r="O62">
        <v>10000</v>
      </c>
      <c r="Q62" s="63">
        <f t="shared" si="1"/>
        <v>20126</v>
      </c>
      <c r="W62" s="63">
        <f t="shared" si="3"/>
        <v>193.40000000000009</v>
      </c>
    </row>
    <row r="63" spans="1:23" x14ac:dyDescent="0.25">
      <c r="A63" s="65">
        <v>45420</v>
      </c>
      <c r="B63" s="58" t="s">
        <v>4844</v>
      </c>
      <c r="C63" s="2">
        <v>300</v>
      </c>
      <c r="E63" s="63">
        <f t="shared" si="0"/>
        <v>15450</v>
      </c>
      <c r="K63" s="63">
        <f t="shared" si="2"/>
        <v>94</v>
      </c>
      <c r="M63" s="65">
        <v>45425</v>
      </c>
      <c r="P63">
        <v>500</v>
      </c>
      <c r="Q63" s="63">
        <f t="shared" si="1"/>
        <v>19626</v>
      </c>
      <c r="W63" s="63">
        <f t="shared" si="3"/>
        <v>193.40000000000009</v>
      </c>
    </row>
    <row r="64" spans="1:23" x14ac:dyDescent="0.25">
      <c r="A64" s="65">
        <v>45420</v>
      </c>
      <c r="B64" s="58">
        <v>738</v>
      </c>
      <c r="C64" s="2">
        <v>5500</v>
      </c>
      <c r="E64" s="63">
        <f t="shared" si="0"/>
        <v>20950</v>
      </c>
      <c r="K64" s="63">
        <f t="shared" si="2"/>
        <v>94</v>
      </c>
      <c r="M64" s="65">
        <v>45425</v>
      </c>
      <c r="P64">
        <v>500</v>
      </c>
      <c r="Q64" s="63">
        <f t="shared" si="1"/>
        <v>19126</v>
      </c>
      <c r="W64" s="63">
        <f t="shared" si="3"/>
        <v>193.40000000000009</v>
      </c>
    </row>
    <row r="65" spans="1:30" x14ac:dyDescent="0.25">
      <c r="A65" s="65">
        <v>45420</v>
      </c>
      <c r="B65" s="58">
        <v>5399</v>
      </c>
      <c r="C65" s="2">
        <v>200</v>
      </c>
      <c r="E65" s="63">
        <f t="shared" si="0"/>
        <v>21150</v>
      </c>
      <c r="K65" s="63">
        <f t="shared" si="2"/>
        <v>94</v>
      </c>
      <c r="M65" s="65">
        <v>45426</v>
      </c>
      <c r="N65" t="s">
        <v>4941</v>
      </c>
      <c r="P65">
        <v>500</v>
      </c>
      <c r="Q65" s="63">
        <f t="shared" si="1"/>
        <v>18626</v>
      </c>
      <c r="W65" s="63">
        <f t="shared" si="3"/>
        <v>193.40000000000009</v>
      </c>
    </row>
    <row r="66" spans="1:30" x14ac:dyDescent="0.25">
      <c r="A66" s="65">
        <v>45420</v>
      </c>
      <c r="B66" s="58" t="s">
        <v>3696</v>
      </c>
      <c r="C66" s="2">
        <v>12000</v>
      </c>
      <c r="E66" s="63">
        <f t="shared" si="0"/>
        <v>33150</v>
      </c>
      <c r="K66" s="63">
        <f t="shared" si="2"/>
        <v>94</v>
      </c>
      <c r="M66" s="65">
        <v>45426</v>
      </c>
      <c r="N66" t="s">
        <v>4942</v>
      </c>
      <c r="P66">
        <v>500</v>
      </c>
      <c r="Q66" s="63">
        <f t="shared" si="1"/>
        <v>18126</v>
      </c>
      <c r="W66" s="63">
        <f t="shared" si="3"/>
        <v>193.40000000000009</v>
      </c>
    </row>
    <row r="67" spans="1:30" x14ac:dyDescent="0.25">
      <c r="A67" s="65">
        <v>45421</v>
      </c>
      <c r="B67" s="58" t="s">
        <v>1163</v>
      </c>
      <c r="D67" s="2">
        <v>2000</v>
      </c>
      <c r="E67" s="63">
        <f t="shared" si="0"/>
        <v>31150</v>
      </c>
      <c r="K67" s="63">
        <f t="shared" si="2"/>
        <v>94</v>
      </c>
      <c r="M67" s="65">
        <v>45427</v>
      </c>
      <c r="N67">
        <v>4164</v>
      </c>
      <c r="P67">
        <v>4000</v>
      </c>
      <c r="Q67" s="63">
        <f t="shared" si="1"/>
        <v>14126</v>
      </c>
      <c r="W67" s="63">
        <f t="shared" si="3"/>
        <v>193.40000000000009</v>
      </c>
    </row>
    <row r="68" spans="1:30" x14ac:dyDescent="0.25">
      <c r="A68" s="65">
        <v>45421</v>
      </c>
      <c r="B68" s="58" t="s">
        <v>4908</v>
      </c>
      <c r="C68" s="2">
        <v>4350</v>
      </c>
      <c r="E68" s="63">
        <f t="shared" si="0"/>
        <v>35500</v>
      </c>
      <c r="K68" s="63">
        <f t="shared" si="2"/>
        <v>94</v>
      </c>
      <c r="M68" s="65">
        <v>45427</v>
      </c>
      <c r="N68">
        <v>5406</v>
      </c>
      <c r="P68">
        <v>100</v>
      </c>
      <c r="Q68" s="63">
        <f t="shared" si="1"/>
        <v>14026</v>
      </c>
      <c r="W68" s="63">
        <f t="shared" si="3"/>
        <v>193.40000000000009</v>
      </c>
      <c r="AD68">
        <f>85*20</f>
        <v>1700</v>
      </c>
    </row>
    <row r="69" spans="1:30" x14ac:dyDescent="0.25">
      <c r="A69" s="65">
        <v>45421</v>
      </c>
      <c r="B69" s="58" t="s">
        <v>4910</v>
      </c>
      <c r="D69" s="2">
        <v>9900</v>
      </c>
      <c r="E69" s="63">
        <f t="shared" si="0"/>
        <v>25600</v>
      </c>
      <c r="K69" s="63">
        <f t="shared" si="2"/>
        <v>94</v>
      </c>
      <c r="M69" s="65">
        <v>45427</v>
      </c>
      <c r="N69">
        <v>5376</v>
      </c>
      <c r="P69">
        <v>1000</v>
      </c>
      <c r="Q69" s="63">
        <f t="shared" si="1"/>
        <v>13026</v>
      </c>
      <c r="W69" s="63">
        <f t="shared" si="3"/>
        <v>193.40000000000009</v>
      </c>
      <c r="AD69">
        <v>10000</v>
      </c>
    </row>
    <row r="70" spans="1:30" x14ac:dyDescent="0.25">
      <c r="A70" s="65">
        <v>45422</v>
      </c>
      <c r="B70" s="58" t="s">
        <v>4911</v>
      </c>
      <c r="D70" s="2">
        <v>2500</v>
      </c>
      <c r="E70" s="63">
        <f t="shared" si="0"/>
        <v>23100</v>
      </c>
      <c r="K70" s="63">
        <f t="shared" si="2"/>
        <v>94</v>
      </c>
      <c r="M70" s="65">
        <v>45427</v>
      </c>
      <c r="N70">
        <v>5407</v>
      </c>
      <c r="P70">
        <v>500</v>
      </c>
      <c r="Q70" s="63">
        <f t="shared" si="1"/>
        <v>12526</v>
      </c>
      <c r="W70" s="63">
        <f t="shared" si="3"/>
        <v>193.40000000000009</v>
      </c>
      <c r="AD70">
        <v>-1000</v>
      </c>
    </row>
    <row r="71" spans="1:30" x14ac:dyDescent="0.25">
      <c r="A71" s="65">
        <v>45422</v>
      </c>
      <c r="B71" s="58" t="s">
        <v>4912</v>
      </c>
      <c r="C71" s="2">
        <v>850</v>
      </c>
      <c r="E71" s="63">
        <f t="shared" si="0"/>
        <v>23950</v>
      </c>
      <c r="K71" s="63">
        <f t="shared" ref="K71:K134" si="4">K70+I71-J71</f>
        <v>94</v>
      </c>
      <c r="M71" s="65">
        <v>45427</v>
      </c>
      <c r="N71">
        <v>2528</v>
      </c>
      <c r="P71">
        <v>2000</v>
      </c>
      <c r="Q71" s="63">
        <f t="shared" si="1"/>
        <v>10526</v>
      </c>
      <c r="W71" s="63">
        <f t="shared" si="3"/>
        <v>193.40000000000009</v>
      </c>
      <c r="AD71">
        <f>SUM(AD68:AD70)</f>
        <v>10700</v>
      </c>
    </row>
    <row r="72" spans="1:30" x14ac:dyDescent="0.25">
      <c r="A72" s="65">
        <v>45422</v>
      </c>
      <c r="B72" s="58" t="s">
        <v>4854</v>
      </c>
      <c r="D72" s="2">
        <v>3000</v>
      </c>
      <c r="E72" s="63">
        <f t="shared" si="0"/>
        <v>20950</v>
      </c>
      <c r="K72" s="63">
        <f t="shared" si="4"/>
        <v>94</v>
      </c>
      <c r="M72" s="65">
        <v>45428</v>
      </c>
      <c r="N72" t="s">
        <v>1253</v>
      </c>
      <c r="O72">
        <v>1800</v>
      </c>
      <c r="Q72" s="63">
        <f t="shared" si="1"/>
        <v>12326</v>
      </c>
      <c r="W72" s="63">
        <f t="shared" si="3"/>
        <v>193.40000000000009</v>
      </c>
    </row>
    <row r="73" spans="1:30" x14ac:dyDescent="0.25">
      <c r="A73" s="65">
        <v>45422</v>
      </c>
      <c r="B73" s="58" t="s">
        <v>4914</v>
      </c>
      <c r="D73" s="2">
        <v>5500</v>
      </c>
      <c r="E73" s="63">
        <f t="shared" si="0"/>
        <v>15450</v>
      </c>
      <c r="K73" s="63">
        <f t="shared" si="4"/>
        <v>94</v>
      </c>
      <c r="M73" s="65">
        <v>45428</v>
      </c>
      <c r="N73" t="s">
        <v>1253</v>
      </c>
      <c r="P73">
        <v>1000</v>
      </c>
      <c r="Q73" s="63">
        <f t="shared" si="1"/>
        <v>11326</v>
      </c>
      <c r="W73" s="63">
        <f t="shared" si="3"/>
        <v>193.40000000000009</v>
      </c>
    </row>
    <row r="74" spans="1:30" x14ac:dyDescent="0.25">
      <c r="A74" s="65">
        <v>45422</v>
      </c>
      <c r="B74" s="58" t="s">
        <v>2280</v>
      </c>
      <c r="C74" s="2">
        <v>5000</v>
      </c>
      <c r="E74" s="63">
        <f t="shared" si="0"/>
        <v>20450</v>
      </c>
      <c r="K74" s="63">
        <f t="shared" si="4"/>
        <v>94</v>
      </c>
      <c r="M74" s="65">
        <v>45428</v>
      </c>
      <c r="N74" t="s">
        <v>3696</v>
      </c>
      <c r="P74">
        <v>1100</v>
      </c>
      <c r="Q74" s="63">
        <f t="shared" si="1"/>
        <v>10226</v>
      </c>
      <c r="W74" s="63">
        <f t="shared" si="3"/>
        <v>193.40000000000009</v>
      </c>
    </row>
    <row r="75" spans="1:30" x14ac:dyDescent="0.25">
      <c r="A75" s="65">
        <v>45425</v>
      </c>
      <c r="D75" s="2">
        <v>10000</v>
      </c>
      <c r="E75" s="63">
        <f t="shared" si="0"/>
        <v>10450</v>
      </c>
      <c r="K75" s="63">
        <f t="shared" si="4"/>
        <v>94</v>
      </c>
      <c r="M75" s="65">
        <v>45428</v>
      </c>
      <c r="N75">
        <v>5389</v>
      </c>
      <c r="P75">
        <v>3000</v>
      </c>
      <c r="Q75" s="63">
        <f t="shared" ref="Q75:Q138" si="5">Q74+O75-P75</f>
        <v>7226</v>
      </c>
      <c r="W75" s="63">
        <f t="shared" ref="W75:W138" si="6">W74+U75-V75</f>
        <v>193.40000000000009</v>
      </c>
    </row>
    <row r="76" spans="1:30" x14ac:dyDescent="0.25">
      <c r="A76" s="65">
        <v>45425</v>
      </c>
      <c r="B76" s="58" t="s">
        <v>4921</v>
      </c>
      <c r="C76" s="2">
        <v>1550</v>
      </c>
      <c r="E76" s="63">
        <f t="shared" si="0"/>
        <v>12000</v>
      </c>
      <c r="K76" s="63">
        <f t="shared" si="4"/>
        <v>94</v>
      </c>
      <c r="M76" s="65">
        <v>45428</v>
      </c>
      <c r="N76" t="s">
        <v>2467</v>
      </c>
      <c r="O76">
        <v>4250</v>
      </c>
      <c r="Q76" s="63">
        <f t="shared" si="5"/>
        <v>11476</v>
      </c>
      <c r="W76" s="63">
        <f t="shared" si="6"/>
        <v>193.40000000000009</v>
      </c>
    </row>
    <row r="77" spans="1:30" x14ac:dyDescent="0.25">
      <c r="A77" s="65">
        <v>45426</v>
      </c>
      <c r="B77" s="58" t="s">
        <v>4925</v>
      </c>
      <c r="D77" s="2">
        <v>10000</v>
      </c>
      <c r="E77" s="63">
        <f t="shared" si="0"/>
        <v>2000</v>
      </c>
      <c r="K77" s="63">
        <f t="shared" si="4"/>
        <v>94</v>
      </c>
      <c r="M77" s="65">
        <v>45428</v>
      </c>
      <c r="N77" t="s">
        <v>1253</v>
      </c>
      <c r="P77">
        <v>1000</v>
      </c>
      <c r="Q77" s="63">
        <f t="shared" si="5"/>
        <v>10476</v>
      </c>
      <c r="W77" s="63">
        <f t="shared" si="6"/>
        <v>193.40000000000009</v>
      </c>
    </row>
    <row r="78" spans="1:30" x14ac:dyDescent="0.25">
      <c r="A78" s="65">
        <v>45426</v>
      </c>
      <c r="B78" s="58" t="s">
        <v>4844</v>
      </c>
      <c r="C78" s="2">
        <v>1600</v>
      </c>
      <c r="E78" s="63">
        <f t="shared" si="0"/>
        <v>3600</v>
      </c>
      <c r="K78" s="63">
        <f t="shared" si="4"/>
        <v>94</v>
      </c>
      <c r="M78" s="65">
        <v>45428</v>
      </c>
      <c r="N78" t="s">
        <v>1253</v>
      </c>
      <c r="O78">
        <v>6000</v>
      </c>
      <c r="Q78" s="63">
        <f t="shared" si="5"/>
        <v>16476</v>
      </c>
      <c r="W78" s="63">
        <f t="shared" si="6"/>
        <v>193.40000000000009</v>
      </c>
    </row>
    <row r="79" spans="1:30" x14ac:dyDescent="0.25">
      <c r="A79" s="65">
        <v>45427</v>
      </c>
      <c r="B79" s="58">
        <v>4164</v>
      </c>
      <c r="C79" s="2">
        <v>4000</v>
      </c>
      <c r="E79" s="63">
        <f t="shared" si="0"/>
        <v>7600</v>
      </c>
      <c r="K79" s="63">
        <f t="shared" si="4"/>
        <v>94</v>
      </c>
      <c r="M79" s="65">
        <v>45429</v>
      </c>
      <c r="N79">
        <v>4152</v>
      </c>
      <c r="P79">
        <v>5000</v>
      </c>
      <c r="Q79" s="63">
        <f t="shared" si="5"/>
        <v>11476</v>
      </c>
      <c r="W79" s="63">
        <f t="shared" si="6"/>
        <v>193.40000000000009</v>
      </c>
    </row>
    <row r="80" spans="1:30" x14ac:dyDescent="0.25">
      <c r="A80" s="65">
        <v>45427</v>
      </c>
      <c r="B80" s="58" t="s">
        <v>4844</v>
      </c>
      <c r="C80" s="2">
        <v>1500</v>
      </c>
      <c r="E80" s="63">
        <f t="shared" si="0"/>
        <v>9100</v>
      </c>
      <c r="K80" s="63">
        <f t="shared" si="4"/>
        <v>94</v>
      </c>
      <c r="M80" s="65">
        <v>45429</v>
      </c>
      <c r="N80" t="s">
        <v>1253</v>
      </c>
      <c r="O80">
        <v>400</v>
      </c>
      <c r="Q80" s="63">
        <f t="shared" si="5"/>
        <v>11876</v>
      </c>
      <c r="W80" s="63">
        <f t="shared" si="6"/>
        <v>193.40000000000009</v>
      </c>
    </row>
    <row r="81" spans="1:23" x14ac:dyDescent="0.25">
      <c r="A81" s="65">
        <v>45427</v>
      </c>
      <c r="C81" s="2">
        <v>500</v>
      </c>
      <c r="E81" s="63">
        <f t="shared" si="0"/>
        <v>9600</v>
      </c>
      <c r="K81" s="63">
        <f t="shared" si="4"/>
        <v>94</v>
      </c>
      <c r="M81" s="65">
        <v>45429</v>
      </c>
      <c r="N81" t="s">
        <v>2247</v>
      </c>
      <c r="O81">
        <v>1100</v>
      </c>
      <c r="Q81" s="63">
        <f t="shared" si="5"/>
        <v>12976</v>
      </c>
      <c r="W81" s="63">
        <f t="shared" si="6"/>
        <v>193.40000000000009</v>
      </c>
    </row>
    <row r="82" spans="1:23" x14ac:dyDescent="0.25">
      <c r="A82" s="65">
        <v>45427</v>
      </c>
      <c r="B82" s="58" t="s">
        <v>4746</v>
      </c>
      <c r="C82" s="2">
        <v>5000</v>
      </c>
      <c r="E82" s="63">
        <f t="shared" si="0"/>
        <v>14600</v>
      </c>
      <c r="K82" s="63">
        <f t="shared" si="4"/>
        <v>94</v>
      </c>
      <c r="M82" s="65">
        <v>45432</v>
      </c>
      <c r="N82" t="s">
        <v>3132</v>
      </c>
      <c r="P82">
        <v>2000</v>
      </c>
      <c r="Q82" s="63">
        <f t="shared" si="5"/>
        <v>10976</v>
      </c>
      <c r="W82" s="63">
        <f t="shared" si="6"/>
        <v>193.40000000000009</v>
      </c>
    </row>
    <row r="83" spans="1:23" x14ac:dyDescent="0.25">
      <c r="A83" s="65">
        <v>45427</v>
      </c>
      <c r="B83" s="58">
        <v>2528</v>
      </c>
      <c r="C83" s="2">
        <v>2000</v>
      </c>
      <c r="E83" s="63">
        <f t="shared" si="0"/>
        <v>16600</v>
      </c>
      <c r="K83" s="63">
        <f t="shared" si="4"/>
        <v>94</v>
      </c>
      <c r="M83" s="65">
        <v>45432</v>
      </c>
      <c r="N83" t="s">
        <v>2721</v>
      </c>
      <c r="P83">
        <v>5000</v>
      </c>
      <c r="Q83" s="63">
        <f t="shared" si="5"/>
        <v>5976</v>
      </c>
      <c r="W83" s="63">
        <f t="shared" si="6"/>
        <v>193.40000000000009</v>
      </c>
    </row>
    <row r="84" spans="1:23" x14ac:dyDescent="0.25">
      <c r="A84" s="65">
        <v>45428</v>
      </c>
      <c r="B84" s="58" t="s">
        <v>3696</v>
      </c>
      <c r="C84" s="2">
        <v>1100</v>
      </c>
      <c r="E84" s="63">
        <f t="shared" si="0"/>
        <v>17700</v>
      </c>
      <c r="K84" s="63">
        <f t="shared" si="4"/>
        <v>94</v>
      </c>
      <c r="M84" s="65">
        <v>45432</v>
      </c>
      <c r="N84">
        <v>5408</v>
      </c>
      <c r="P84">
        <v>200</v>
      </c>
      <c r="Q84" s="63">
        <f t="shared" si="5"/>
        <v>5776</v>
      </c>
      <c r="W84" s="63">
        <f t="shared" si="6"/>
        <v>193.40000000000009</v>
      </c>
    </row>
    <row r="85" spans="1:23" x14ac:dyDescent="0.25">
      <c r="A85" s="65">
        <v>45428</v>
      </c>
      <c r="B85" s="58">
        <v>5389</v>
      </c>
      <c r="C85" s="2">
        <v>3000</v>
      </c>
      <c r="E85" s="63">
        <f t="shared" si="0"/>
        <v>20700</v>
      </c>
      <c r="K85" s="63">
        <f t="shared" si="4"/>
        <v>94</v>
      </c>
      <c r="M85" s="65">
        <v>45432</v>
      </c>
      <c r="N85">
        <v>5409</v>
      </c>
      <c r="P85">
        <v>300</v>
      </c>
      <c r="Q85" s="63">
        <f t="shared" si="5"/>
        <v>5476</v>
      </c>
      <c r="W85" s="63">
        <f t="shared" si="6"/>
        <v>193.40000000000009</v>
      </c>
    </row>
    <row r="86" spans="1:23" x14ac:dyDescent="0.25">
      <c r="A86" s="65">
        <v>45428</v>
      </c>
      <c r="B86" s="58" t="s">
        <v>2467</v>
      </c>
      <c r="D86" s="2">
        <v>4200</v>
      </c>
      <c r="E86" s="63">
        <f t="shared" si="0"/>
        <v>16500</v>
      </c>
      <c r="K86" s="63">
        <f t="shared" si="4"/>
        <v>94</v>
      </c>
      <c r="M86" s="65">
        <v>45433</v>
      </c>
      <c r="N86">
        <v>5410</v>
      </c>
      <c r="P86">
        <v>500</v>
      </c>
      <c r="Q86" s="63">
        <f t="shared" si="5"/>
        <v>4976</v>
      </c>
      <c r="W86" s="63">
        <f t="shared" si="6"/>
        <v>193.40000000000009</v>
      </c>
    </row>
    <row r="87" spans="1:23" x14ac:dyDescent="0.25">
      <c r="A87" s="65">
        <v>45428</v>
      </c>
      <c r="B87" s="58" t="s">
        <v>1253</v>
      </c>
      <c r="D87" s="2">
        <v>6000</v>
      </c>
      <c r="E87" s="63">
        <f t="shared" si="0"/>
        <v>10500</v>
      </c>
      <c r="K87" s="63">
        <f t="shared" si="4"/>
        <v>94</v>
      </c>
      <c r="M87" s="65">
        <v>45433</v>
      </c>
      <c r="N87" s="100" t="s">
        <v>4968</v>
      </c>
      <c r="P87">
        <v>2500</v>
      </c>
      <c r="Q87" s="63">
        <f t="shared" si="5"/>
        <v>2476</v>
      </c>
      <c r="W87" s="63">
        <f t="shared" si="6"/>
        <v>193.40000000000009</v>
      </c>
    </row>
    <row r="88" spans="1:23" x14ac:dyDescent="0.25">
      <c r="A88" s="65">
        <v>45368</v>
      </c>
      <c r="B88" s="58">
        <v>4152</v>
      </c>
      <c r="C88" s="2">
        <v>5000</v>
      </c>
      <c r="E88" s="63">
        <f t="shared" si="0"/>
        <v>15500</v>
      </c>
      <c r="K88" s="63">
        <f t="shared" si="4"/>
        <v>94</v>
      </c>
      <c r="M88" s="65">
        <v>45433</v>
      </c>
      <c r="N88" t="s">
        <v>4971</v>
      </c>
      <c r="O88">
        <v>500</v>
      </c>
      <c r="Q88" s="63">
        <f t="shared" si="5"/>
        <v>2976</v>
      </c>
      <c r="W88" s="63">
        <f t="shared" si="6"/>
        <v>193.40000000000009</v>
      </c>
    </row>
    <row r="89" spans="1:23" x14ac:dyDescent="0.25">
      <c r="A89" s="65">
        <v>45368</v>
      </c>
      <c r="B89" s="58" t="s">
        <v>4844</v>
      </c>
      <c r="C89" s="2">
        <v>500</v>
      </c>
      <c r="E89" s="63">
        <f t="shared" si="0"/>
        <v>16000</v>
      </c>
      <c r="K89" s="63">
        <f t="shared" si="4"/>
        <v>94</v>
      </c>
      <c r="M89" s="65">
        <v>45434</v>
      </c>
      <c r="N89" t="s">
        <v>4973</v>
      </c>
      <c r="O89">
        <v>1400</v>
      </c>
      <c r="Q89" s="63">
        <f t="shared" si="5"/>
        <v>4376</v>
      </c>
      <c r="W89" s="63">
        <f t="shared" si="6"/>
        <v>193.40000000000009</v>
      </c>
    </row>
    <row r="90" spans="1:23" x14ac:dyDescent="0.25">
      <c r="A90" s="65">
        <v>45432</v>
      </c>
      <c r="C90" s="2">
        <f>2000+2500</f>
        <v>4500</v>
      </c>
      <c r="E90" s="63">
        <f t="shared" si="0"/>
        <v>20500</v>
      </c>
      <c r="K90" s="63">
        <f t="shared" si="4"/>
        <v>94</v>
      </c>
      <c r="M90" s="65">
        <v>45434</v>
      </c>
      <c r="N90" t="s">
        <v>4980</v>
      </c>
      <c r="P90">
        <v>600</v>
      </c>
      <c r="Q90" s="63">
        <f t="shared" si="5"/>
        <v>3776</v>
      </c>
      <c r="W90" s="63">
        <f t="shared" si="6"/>
        <v>193.40000000000009</v>
      </c>
    </row>
    <row r="91" spans="1:23" x14ac:dyDescent="0.25">
      <c r="A91" s="65">
        <v>45433</v>
      </c>
      <c r="B91" s="58">
        <v>5410</v>
      </c>
      <c r="C91" s="2">
        <v>500</v>
      </c>
      <c r="E91" s="63">
        <f t="shared" si="0"/>
        <v>21000</v>
      </c>
      <c r="K91" s="63">
        <f t="shared" si="4"/>
        <v>94</v>
      </c>
      <c r="M91" s="65">
        <v>45434</v>
      </c>
      <c r="N91" t="s">
        <v>4986</v>
      </c>
      <c r="P91">
        <v>200</v>
      </c>
      <c r="Q91" s="63">
        <f t="shared" si="5"/>
        <v>3576</v>
      </c>
      <c r="W91" s="63">
        <f t="shared" si="6"/>
        <v>193.40000000000009</v>
      </c>
    </row>
    <row r="92" spans="1:23" x14ac:dyDescent="0.25">
      <c r="A92" s="65">
        <v>45433</v>
      </c>
      <c r="B92" s="58" t="s">
        <v>4844</v>
      </c>
      <c r="C92" s="2">
        <v>3000</v>
      </c>
      <c r="E92" s="63">
        <f t="shared" si="0"/>
        <v>24000</v>
      </c>
      <c r="K92" s="63">
        <f t="shared" si="4"/>
        <v>94</v>
      </c>
      <c r="M92" s="65">
        <v>45434</v>
      </c>
      <c r="N92" t="s">
        <v>3999</v>
      </c>
      <c r="O92">
        <v>5000</v>
      </c>
      <c r="Q92" s="63">
        <f t="shared" si="5"/>
        <v>8576</v>
      </c>
      <c r="W92" s="63">
        <f t="shared" si="6"/>
        <v>193.40000000000009</v>
      </c>
    </row>
    <row r="93" spans="1:23" x14ac:dyDescent="0.25">
      <c r="A93" s="65">
        <v>45433</v>
      </c>
      <c r="B93" s="58" t="s">
        <v>4966</v>
      </c>
      <c r="C93" s="2">
        <v>2500</v>
      </c>
      <c r="E93" s="63">
        <f t="shared" si="0"/>
        <v>26500</v>
      </c>
      <c r="G93" s="5">
        <v>45448</v>
      </c>
      <c r="I93">
        <v>1100</v>
      </c>
      <c r="K93" s="63">
        <f t="shared" si="4"/>
        <v>1194</v>
      </c>
      <c r="M93" s="65">
        <v>45434</v>
      </c>
      <c r="N93" t="s">
        <v>3943</v>
      </c>
      <c r="P93">
        <v>5000</v>
      </c>
      <c r="Q93" s="63">
        <f t="shared" si="5"/>
        <v>3576</v>
      </c>
      <c r="W93" s="63">
        <f t="shared" si="6"/>
        <v>193.40000000000009</v>
      </c>
    </row>
    <row r="94" spans="1:23" x14ac:dyDescent="0.25">
      <c r="A94" s="65">
        <v>45434</v>
      </c>
      <c r="B94" s="58">
        <v>5411</v>
      </c>
      <c r="C94" s="2">
        <v>800</v>
      </c>
      <c r="E94" s="63">
        <f t="shared" si="0"/>
        <v>27300</v>
      </c>
      <c r="G94" s="5">
        <v>45452</v>
      </c>
      <c r="I94">
        <v>1100</v>
      </c>
      <c r="K94" s="63">
        <f t="shared" si="4"/>
        <v>2294</v>
      </c>
      <c r="M94" s="65">
        <v>45434</v>
      </c>
      <c r="N94" s="35" t="s">
        <v>4989</v>
      </c>
      <c r="O94">
        <v>1000</v>
      </c>
      <c r="Q94" s="63">
        <f t="shared" si="5"/>
        <v>4576</v>
      </c>
      <c r="W94" s="63">
        <f t="shared" si="6"/>
        <v>193.40000000000009</v>
      </c>
    </row>
    <row r="95" spans="1:23" x14ac:dyDescent="0.25">
      <c r="A95" s="65">
        <v>45435</v>
      </c>
      <c r="B95" s="58" t="s">
        <v>2467</v>
      </c>
      <c r="D95" s="2">
        <v>1800</v>
      </c>
      <c r="E95" s="63">
        <f t="shared" si="0"/>
        <v>25500</v>
      </c>
      <c r="K95" s="63">
        <f t="shared" si="4"/>
        <v>2294</v>
      </c>
      <c r="M95" s="65">
        <v>45434</v>
      </c>
      <c r="N95" t="s">
        <v>2780</v>
      </c>
      <c r="O95">
        <v>500</v>
      </c>
      <c r="Q95" s="63">
        <f t="shared" si="5"/>
        <v>5076</v>
      </c>
      <c r="S95" s="5">
        <v>45452</v>
      </c>
      <c r="U95">
        <v>900</v>
      </c>
      <c r="W95" s="63">
        <f t="shared" si="6"/>
        <v>1093.4000000000001</v>
      </c>
    </row>
    <row r="96" spans="1:23" x14ac:dyDescent="0.25">
      <c r="A96" s="65">
        <v>45435</v>
      </c>
      <c r="C96" s="2">
        <v>6800</v>
      </c>
      <c r="E96" s="63">
        <f t="shared" si="0"/>
        <v>32300</v>
      </c>
      <c r="K96" s="63">
        <f t="shared" si="4"/>
        <v>2294</v>
      </c>
      <c r="M96" s="65">
        <v>45435</v>
      </c>
      <c r="N96" t="s">
        <v>2467</v>
      </c>
      <c r="O96">
        <v>1850</v>
      </c>
      <c r="Q96" s="63">
        <f t="shared" si="5"/>
        <v>6926</v>
      </c>
      <c r="W96" s="63">
        <f t="shared" si="6"/>
        <v>1093.4000000000001</v>
      </c>
    </row>
    <row r="97" spans="1:23" x14ac:dyDescent="0.25">
      <c r="A97" s="65">
        <v>45435</v>
      </c>
      <c r="D97" s="2">
        <v>20000</v>
      </c>
      <c r="E97" s="63">
        <f t="shared" si="0"/>
        <v>12300</v>
      </c>
      <c r="K97" s="63">
        <f t="shared" si="4"/>
        <v>2294</v>
      </c>
      <c r="M97" s="65">
        <v>45435</v>
      </c>
      <c r="N97">
        <v>4164</v>
      </c>
      <c r="P97">
        <v>6000</v>
      </c>
      <c r="Q97" s="63">
        <f t="shared" si="5"/>
        <v>926</v>
      </c>
      <c r="W97" s="63">
        <f t="shared" si="6"/>
        <v>1093.4000000000001</v>
      </c>
    </row>
    <row r="98" spans="1:23" x14ac:dyDescent="0.25">
      <c r="A98" s="65">
        <v>45435</v>
      </c>
      <c r="C98" s="2">
        <v>4000</v>
      </c>
      <c r="E98" s="63">
        <f t="shared" si="0"/>
        <v>16300</v>
      </c>
      <c r="K98" s="63">
        <f t="shared" si="4"/>
        <v>2294</v>
      </c>
      <c r="M98" s="65">
        <v>45435</v>
      </c>
      <c r="N98">
        <v>5413</v>
      </c>
      <c r="P98">
        <v>100</v>
      </c>
      <c r="Q98" s="63">
        <f t="shared" si="5"/>
        <v>826</v>
      </c>
      <c r="W98" s="63">
        <f t="shared" si="6"/>
        <v>1093.4000000000001</v>
      </c>
    </row>
    <row r="99" spans="1:23" x14ac:dyDescent="0.25">
      <c r="A99" s="65">
        <v>45436</v>
      </c>
      <c r="C99" s="2">
        <v>1000</v>
      </c>
      <c r="E99" s="63">
        <f t="shared" si="0"/>
        <v>17300</v>
      </c>
      <c r="K99" s="63">
        <f t="shared" si="4"/>
        <v>2294</v>
      </c>
      <c r="M99" s="65">
        <v>45436</v>
      </c>
      <c r="N99">
        <v>5414</v>
      </c>
      <c r="P99">
        <v>500</v>
      </c>
      <c r="Q99" s="63">
        <f t="shared" si="5"/>
        <v>326</v>
      </c>
      <c r="W99" s="63">
        <f t="shared" si="6"/>
        <v>1093.4000000000001</v>
      </c>
    </row>
    <row r="100" spans="1:23" x14ac:dyDescent="0.25">
      <c r="A100" s="65">
        <v>45436</v>
      </c>
      <c r="D100" s="2">
        <v>1700</v>
      </c>
      <c r="E100" s="63">
        <f t="shared" si="0"/>
        <v>15600</v>
      </c>
      <c r="K100" s="63">
        <f t="shared" si="4"/>
        <v>2294</v>
      </c>
      <c r="M100" s="65">
        <v>45436</v>
      </c>
      <c r="N100" t="s">
        <v>2514</v>
      </c>
      <c r="O100">
        <v>4000</v>
      </c>
      <c r="Q100" s="63">
        <f t="shared" si="5"/>
        <v>4326</v>
      </c>
      <c r="W100" s="63">
        <f t="shared" si="6"/>
        <v>1093.4000000000001</v>
      </c>
    </row>
    <row r="101" spans="1:23" x14ac:dyDescent="0.25">
      <c r="A101" s="65">
        <v>45437</v>
      </c>
      <c r="C101" s="2">
        <v>1900</v>
      </c>
      <c r="E101" s="63">
        <f t="shared" si="0"/>
        <v>17500</v>
      </c>
      <c r="K101" s="63">
        <f t="shared" si="4"/>
        <v>2294</v>
      </c>
      <c r="M101" s="65">
        <v>45436</v>
      </c>
      <c r="N101" t="s">
        <v>1253</v>
      </c>
      <c r="P101">
        <v>4000</v>
      </c>
      <c r="Q101" s="63">
        <f t="shared" si="5"/>
        <v>326</v>
      </c>
      <c r="W101" s="63">
        <f t="shared" si="6"/>
        <v>1093.4000000000001</v>
      </c>
    </row>
    <row r="102" spans="1:23" x14ac:dyDescent="0.25">
      <c r="A102" s="65">
        <v>45437</v>
      </c>
      <c r="B102" s="58" t="s">
        <v>2247</v>
      </c>
      <c r="D102" s="2">
        <v>2000</v>
      </c>
      <c r="E102" s="63">
        <f t="shared" si="0"/>
        <v>15500</v>
      </c>
      <c r="K102" s="63">
        <f t="shared" si="4"/>
        <v>2294</v>
      </c>
      <c r="M102" s="65">
        <v>45436</v>
      </c>
      <c r="N102" t="s">
        <v>1253</v>
      </c>
      <c r="O102">
        <v>1700</v>
      </c>
      <c r="Q102" s="63">
        <f t="shared" si="5"/>
        <v>2026</v>
      </c>
      <c r="W102" s="63">
        <f t="shared" si="6"/>
        <v>1093.4000000000001</v>
      </c>
    </row>
    <row r="103" spans="1:23" x14ac:dyDescent="0.25">
      <c r="A103" s="65">
        <v>45437</v>
      </c>
      <c r="B103" s="58" t="s">
        <v>4844</v>
      </c>
      <c r="C103" s="2">
        <v>200</v>
      </c>
      <c r="E103" s="63">
        <f t="shared" si="0"/>
        <v>15700</v>
      </c>
      <c r="K103" s="63">
        <f t="shared" si="4"/>
        <v>2294</v>
      </c>
      <c r="M103" s="65">
        <v>45436</v>
      </c>
      <c r="N103">
        <v>5414</v>
      </c>
      <c r="P103">
        <v>500</v>
      </c>
      <c r="Q103" s="63">
        <f t="shared" si="5"/>
        <v>1526</v>
      </c>
      <c r="W103" s="63">
        <f t="shared" si="6"/>
        <v>1093.4000000000001</v>
      </c>
    </row>
    <row r="104" spans="1:23" x14ac:dyDescent="0.25">
      <c r="A104" s="65">
        <v>45439</v>
      </c>
      <c r="D104" s="2">
        <v>3000</v>
      </c>
      <c r="E104" s="63">
        <f t="shared" si="0"/>
        <v>12700</v>
      </c>
      <c r="K104" s="63">
        <f t="shared" si="4"/>
        <v>2294</v>
      </c>
      <c r="M104" s="65">
        <v>45437</v>
      </c>
      <c r="O104">
        <v>3000</v>
      </c>
      <c r="Q104" s="63">
        <f t="shared" si="5"/>
        <v>4526</v>
      </c>
      <c r="W104" s="63">
        <f t="shared" si="6"/>
        <v>1093.4000000000001</v>
      </c>
    </row>
    <row r="105" spans="1:23" x14ac:dyDescent="0.25">
      <c r="A105" s="65">
        <v>46535</v>
      </c>
      <c r="C105" s="2">
        <v>1000</v>
      </c>
      <c r="E105" s="63">
        <f t="shared" si="0"/>
        <v>13700</v>
      </c>
      <c r="K105" s="63">
        <f t="shared" si="4"/>
        <v>2294</v>
      </c>
      <c r="M105" s="65">
        <v>45437</v>
      </c>
      <c r="O105">
        <v>2000</v>
      </c>
      <c r="Q105" s="63">
        <f t="shared" si="5"/>
        <v>6526</v>
      </c>
      <c r="W105" s="63">
        <f t="shared" si="6"/>
        <v>1093.4000000000001</v>
      </c>
    </row>
    <row r="106" spans="1:23" x14ac:dyDescent="0.25">
      <c r="A106" s="65">
        <v>46535</v>
      </c>
      <c r="D106" s="2">
        <v>13500</v>
      </c>
      <c r="E106" s="63">
        <f t="shared" si="0"/>
        <v>200</v>
      </c>
      <c r="K106" s="63">
        <f t="shared" si="4"/>
        <v>2294</v>
      </c>
      <c r="M106" s="65">
        <v>45437</v>
      </c>
      <c r="N106" s="100">
        <v>45413</v>
      </c>
      <c r="P106">
        <v>5000</v>
      </c>
      <c r="Q106" s="63">
        <f t="shared" si="5"/>
        <v>1526</v>
      </c>
      <c r="W106" s="63">
        <f t="shared" si="6"/>
        <v>1093.4000000000001</v>
      </c>
    </row>
    <row r="107" spans="1:23" x14ac:dyDescent="0.25">
      <c r="A107" s="65">
        <v>45443</v>
      </c>
      <c r="C107" s="2">
        <v>4000</v>
      </c>
      <c r="E107" s="63">
        <f t="shared" si="0"/>
        <v>4200</v>
      </c>
      <c r="K107" s="63">
        <f t="shared" si="4"/>
        <v>2294</v>
      </c>
      <c r="M107" s="65">
        <v>45439</v>
      </c>
      <c r="N107" t="s">
        <v>5013</v>
      </c>
      <c r="O107">
        <v>3000</v>
      </c>
      <c r="Q107" s="63">
        <f t="shared" si="5"/>
        <v>4526</v>
      </c>
      <c r="W107" s="63">
        <f t="shared" si="6"/>
        <v>1093.4000000000001</v>
      </c>
    </row>
    <row r="108" spans="1:23" x14ac:dyDescent="0.25">
      <c r="A108" s="65">
        <v>45446</v>
      </c>
      <c r="D108" s="2">
        <v>4000</v>
      </c>
      <c r="E108" s="63">
        <f t="shared" si="0"/>
        <v>200</v>
      </c>
      <c r="K108" s="63">
        <f t="shared" si="4"/>
        <v>2294</v>
      </c>
      <c r="M108" s="65">
        <v>45440</v>
      </c>
      <c r="N108" t="s">
        <v>1282</v>
      </c>
      <c r="P108">
        <v>3000</v>
      </c>
      <c r="Q108" s="63">
        <f t="shared" si="5"/>
        <v>1526</v>
      </c>
      <c r="W108" s="63">
        <f t="shared" si="6"/>
        <v>1093.4000000000001</v>
      </c>
    </row>
    <row r="109" spans="1:23" x14ac:dyDescent="0.25">
      <c r="A109" s="65">
        <v>45446</v>
      </c>
      <c r="C109" s="2">
        <v>1500</v>
      </c>
      <c r="E109" s="63">
        <f t="shared" si="0"/>
        <v>1700</v>
      </c>
      <c r="K109" s="63">
        <f t="shared" si="4"/>
        <v>2294</v>
      </c>
      <c r="M109" s="65">
        <v>45441</v>
      </c>
      <c r="N109" t="s">
        <v>1282</v>
      </c>
      <c r="P109">
        <v>1400</v>
      </c>
      <c r="Q109" s="63">
        <f t="shared" si="5"/>
        <v>126</v>
      </c>
      <c r="W109" s="63">
        <f t="shared" si="6"/>
        <v>1093.4000000000001</v>
      </c>
    </row>
    <row r="110" spans="1:23" x14ac:dyDescent="0.25">
      <c r="A110" s="65">
        <v>45448</v>
      </c>
      <c r="C110" s="2">
        <v>7300</v>
      </c>
      <c r="E110" s="63">
        <f t="shared" si="0"/>
        <v>9000</v>
      </c>
      <c r="K110" s="63">
        <f t="shared" si="4"/>
        <v>2294</v>
      </c>
      <c r="M110" s="65">
        <v>45442</v>
      </c>
      <c r="O110">
        <v>10000</v>
      </c>
      <c r="Q110" s="63">
        <f t="shared" si="5"/>
        <v>10126</v>
      </c>
      <c r="W110" s="63">
        <f t="shared" si="6"/>
        <v>1093.4000000000001</v>
      </c>
    </row>
    <row r="111" spans="1:23" x14ac:dyDescent="0.25">
      <c r="A111" s="65">
        <v>45450</v>
      </c>
      <c r="D111" s="2">
        <v>2000</v>
      </c>
      <c r="E111" s="63">
        <f t="shared" si="0"/>
        <v>7000</v>
      </c>
      <c r="K111" s="63">
        <f t="shared" si="4"/>
        <v>2294</v>
      </c>
      <c r="M111" s="65">
        <v>45442</v>
      </c>
      <c r="N111">
        <v>5415</v>
      </c>
      <c r="P111">
        <v>500</v>
      </c>
      <c r="Q111" s="63">
        <f t="shared" si="5"/>
        <v>9626</v>
      </c>
      <c r="W111" s="63">
        <f t="shared" si="6"/>
        <v>1093.4000000000001</v>
      </c>
    </row>
    <row r="112" spans="1:23" x14ac:dyDescent="0.25">
      <c r="A112" s="65">
        <v>45450</v>
      </c>
      <c r="C112" s="2">
        <v>200</v>
      </c>
      <c r="E112" s="63">
        <f t="shared" si="0"/>
        <v>7200</v>
      </c>
      <c r="K112" s="63">
        <f t="shared" si="4"/>
        <v>2294</v>
      </c>
      <c r="M112" s="65">
        <v>45442</v>
      </c>
      <c r="N112">
        <v>5416</v>
      </c>
      <c r="P112">
        <v>500</v>
      </c>
      <c r="Q112" s="63">
        <f t="shared" si="5"/>
        <v>9126</v>
      </c>
      <c r="W112" s="63">
        <f t="shared" si="6"/>
        <v>1093.4000000000001</v>
      </c>
    </row>
    <row r="113" spans="1:23" x14ac:dyDescent="0.25">
      <c r="A113" s="65">
        <v>45450</v>
      </c>
      <c r="C113" s="2">
        <v>5000</v>
      </c>
      <c r="E113" s="63">
        <f t="shared" si="0"/>
        <v>12200</v>
      </c>
      <c r="K113" s="63">
        <f t="shared" si="4"/>
        <v>2294</v>
      </c>
      <c r="M113" s="65">
        <v>45442</v>
      </c>
      <c r="N113">
        <v>504</v>
      </c>
      <c r="P113">
        <v>2500</v>
      </c>
      <c r="Q113" s="63">
        <f t="shared" si="5"/>
        <v>6626</v>
      </c>
      <c r="W113" s="63">
        <f t="shared" si="6"/>
        <v>1093.4000000000001</v>
      </c>
    </row>
    <row r="114" spans="1:23" x14ac:dyDescent="0.25">
      <c r="A114" s="65">
        <v>45450</v>
      </c>
      <c r="D114" s="2">
        <v>2000</v>
      </c>
      <c r="E114" s="63">
        <f t="shared" si="0"/>
        <v>10200</v>
      </c>
      <c r="K114" s="63">
        <f t="shared" si="4"/>
        <v>2294</v>
      </c>
      <c r="M114" s="65">
        <v>45443</v>
      </c>
      <c r="N114">
        <v>5417</v>
      </c>
      <c r="P114">
        <v>100</v>
      </c>
      <c r="Q114" s="63">
        <f t="shared" si="5"/>
        <v>6526</v>
      </c>
      <c r="W114" s="63">
        <f t="shared" si="6"/>
        <v>1093.4000000000001</v>
      </c>
    </row>
    <row r="115" spans="1:23" x14ac:dyDescent="0.25">
      <c r="A115" s="65">
        <v>45450</v>
      </c>
      <c r="B115" s="58" t="s">
        <v>2467</v>
      </c>
      <c r="D115" s="2">
        <v>1800</v>
      </c>
      <c r="E115" s="63">
        <f t="shared" si="0"/>
        <v>8400</v>
      </c>
      <c r="K115" s="63">
        <f t="shared" si="4"/>
        <v>2294</v>
      </c>
      <c r="M115" s="65">
        <v>45443</v>
      </c>
      <c r="N115">
        <v>5418</v>
      </c>
      <c r="P115">
        <v>100</v>
      </c>
      <c r="Q115" s="63">
        <f t="shared" si="5"/>
        <v>6426</v>
      </c>
      <c r="W115" s="63">
        <f t="shared" si="6"/>
        <v>1093.4000000000001</v>
      </c>
    </row>
    <row r="116" spans="1:23" x14ac:dyDescent="0.25">
      <c r="A116" s="65">
        <v>45451</v>
      </c>
      <c r="B116" s="58" t="s">
        <v>4911</v>
      </c>
      <c r="D116" s="2">
        <v>2500</v>
      </c>
      <c r="E116" s="63">
        <f t="shared" si="0"/>
        <v>5900</v>
      </c>
      <c r="K116" s="63">
        <f t="shared" si="4"/>
        <v>2294</v>
      </c>
      <c r="M116" s="65">
        <v>45443</v>
      </c>
      <c r="N116">
        <v>5418</v>
      </c>
      <c r="P116">
        <v>500</v>
      </c>
      <c r="Q116" s="63">
        <f t="shared" si="5"/>
        <v>5926</v>
      </c>
      <c r="W116" s="63">
        <f t="shared" si="6"/>
        <v>1093.4000000000001</v>
      </c>
    </row>
    <row r="117" spans="1:23" x14ac:dyDescent="0.25">
      <c r="A117" s="65">
        <v>45451</v>
      </c>
      <c r="B117" s="58">
        <v>4779</v>
      </c>
      <c r="D117" s="2">
        <v>1200</v>
      </c>
      <c r="E117" s="63">
        <f t="shared" si="0"/>
        <v>4700</v>
      </c>
      <c r="K117" s="63">
        <f t="shared" si="4"/>
        <v>2294</v>
      </c>
      <c r="M117" s="65">
        <v>45415</v>
      </c>
      <c r="N117" t="s">
        <v>3717</v>
      </c>
      <c r="O117">
        <v>10000</v>
      </c>
      <c r="Q117" s="63">
        <f t="shared" si="5"/>
        <v>15926</v>
      </c>
      <c r="W117" s="63">
        <f t="shared" si="6"/>
        <v>1093.4000000000001</v>
      </c>
    </row>
    <row r="118" spans="1:23" x14ac:dyDescent="0.25">
      <c r="A118" s="65">
        <v>45452</v>
      </c>
      <c r="D118" s="2">
        <v>4200</v>
      </c>
      <c r="E118" s="63">
        <f t="shared" si="0"/>
        <v>500</v>
      </c>
      <c r="K118" s="63">
        <f t="shared" si="4"/>
        <v>2294</v>
      </c>
      <c r="M118" s="65">
        <v>45415</v>
      </c>
      <c r="P118">
        <v>1500</v>
      </c>
      <c r="Q118" s="63">
        <f t="shared" si="5"/>
        <v>14426</v>
      </c>
      <c r="W118" s="63">
        <f t="shared" si="6"/>
        <v>1093.4000000000001</v>
      </c>
    </row>
    <row r="119" spans="1:23" x14ac:dyDescent="0.25">
      <c r="A119" s="65"/>
      <c r="E119" s="63">
        <f t="shared" si="0"/>
        <v>500</v>
      </c>
      <c r="K119" s="63">
        <f t="shared" si="4"/>
        <v>2294</v>
      </c>
      <c r="M119" s="65">
        <v>45447</v>
      </c>
      <c r="N119" t="s">
        <v>3717</v>
      </c>
      <c r="O119">
        <v>5000</v>
      </c>
      <c r="Q119" s="63">
        <f t="shared" si="5"/>
        <v>19426</v>
      </c>
      <c r="W119" s="63">
        <f t="shared" si="6"/>
        <v>1093.4000000000001</v>
      </c>
    </row>
    <row r="120" spans="1:23" x14ac:dyDescent="0.25">
      <c r="E120" s="63">
        <f t="shared" si="0"/>
        <v>500</v>
      </c>
      <c r="K120" s="63">
        <f t="shared" si="4"/>
        <v>2294</v>
      </c>
      <c r="M120" s="65">
        <v>45447</v>
      </c>
      <c r="N120" t="s">
        <v>2721</v>
      </c>
      <c r="P120">
        <v>10000</v>
      </c>
      <c r="Q120" s="63">
        <f t="shared" si="5"/>
        <v>9426</v>
      </c>
      <c r="W120" s="63">
        <f t="shared" si="6"/>
        <v>1093.4000000000001</v>
      </c>
    </row>
    <row r="121" spans="1:23" x14ac:dyDescent="0.25">
      <c r="E121" s="63">
        <f t="shared" ref="E121:E179" si="7">E120+C121-D121</f>
        <v>500</v>
      </c>
      <c r="K121" s="63">
        <f t="shared" si="4"/>
        <v>2294</v>
      </c>
      <c r="M121" s="65">
        <v>45449</v>
      </c>
      <c r="N121">
        <v>4164</v>
      </c>
      <c r="P121">
        <v>6000</v>
      </c>
      <c r="Q121" s="63">
        <f t="shared" si="5"/>
        <v>3426</v>
      </c>
      <c r="W121" s="63">
        <f t="shared" si="6"/>
        <v>1093.4000000000001</v>
      </c>
    </row>
    <row r="122" spans="1:23" x14ac:dyDescent="0.25">
      <c r="E122" s="63">
        <f t="shared" si="7"/>
        <v>500</v>
      </c>
      <c r="K122" s="63">
        <f t="shared" si="4"/>
        <v>2294</v>
      </c>
      <c r="M122" s="65">
        <v>45449</v>
      </c>
      <c r="N122" t="s">
        <v>3132</v>
      </c>
      <c r="P122">
        <v>100</v>
      </c>
      <c r="Q122" s="63">
        <f t="shared" si="5"/>
        <v>3326</v>
      </c>
      <c r="W122" s="63">
        <f t="shared" si="6"/>
        <v>1093.4000000000001</v>
      </c>
    </row>
    <row r="123" spans="1:23" x14ac:dyDescent="0.25">
      <c r="E123" s="63">
        <f t="shared" si="7"/>
        <v>500</v>
      </c>
      <c r="K123" s="63">
        <f t="shared" si="4"/>
        <v>2294</v>
      </c>
      <c r="M123" s="65">
        <v>45450</v>
      </c>
      <c r="O123">
        <v>2000</v>
      </c>
      <c r="Q123" s="63">
        <f t="shared" si="5"/>
        <v>5326</v>
      </c>
      <c r="W123" s="63">
        <f t="shared" si="6"/>
        <v>1093.4000000000001</v>
      </c>
    </row>
    <row r="124" spans="1:23" x14ac:dyDescent="0.25">
      <c r="E124" s="63">
        <f t="shared" si="7"/>
        <v>500</v>
      </c>
      <c r="K124" s="63">
        <f t="shared" si="4"/>
        <v>2294</v>
      </c>
      <c r="M124" s="65">
        <v>45450</v>
      </c>
      <c r="P124">
        <v>200</v>
      </c>
      <c r="Q124" s="63">
        <f t="shared" si="5"/>
        <v>5126</v>
      </c>
      <c r="W124" s="63">
        <f t="shared" si="6"/>
        <v>1093.4000000000001</v>
      </c>
    </row>
    <row r="125" spans="1:23" x14ac:dyDescent="0.25">
      <c r="E125" s="63">
        <f t="shared" si="7"/>
        <v>500</v>
      </c>
      <c r="K125" s="63">
        <f t="shared" si="4"/>
        <v>2294</v>
      </c>
      <c r="M125" s="65">
        <v>45450</v>
      </c>
      <c r="P125">
        <v>5000</v>
      </c>
      <c r="Q125" s="63">
        <f t="shared" si="5"/>
        <v>126</v>
      </c>
      <c r="W125" s="63">
        <f t="shared" si="6"/>
        <v>1093.4000000000001</v>
      </c>
    </row>
    <row r="126" spans="1:23" x14ac:dyDescent="0.25">
      <c r="E126" s="63">
        <f t="shared" si="7"/>
        <v>500</v>
      </c>
      <c r="K126" s="63">
        <f t="shared" si="4"/>
        <v>2294</v>
      </c>
      <c r="M126" s="65">
        <v>45450</v>
      </c>
      <c r="O126">
        <v>2000</v>
      </c>
      <c r="Q126" s="63">
        <f t="shared" si="5"/>
        <v>2126</v>
      </c>
      <c r="W126" s="63">
        <f t="shared" si="6"/>
        <v>1093.4000000000001</v>
      </c>
    </row>
    <row r="127" spans="1:23" x14ac:dyDescent="0.25">
      <c r="E127" s="63">
        <f t="shared" si="7"/>
        <v>500</v>
      </c>
      <c r="K127" s="63">
        <f t="shared" si="4"/>
        <v>2294</v>
      </c>
      <c r="M127" s="65">
        <v>45450</v>
      </c>
      <c r="O127">
        <v>1850</v>
      </c>
      <c r="Q127" s="63">
        <f t="shared" si="5"/>
        <v>3976</v>
      </c>
      <c r="W127" s="63">
        <f t="shared" si="6"/>
        <v>1093.4000000000001</v>
      </c>
    </row>
    <row r="128" spans="1:23" x14ac:dyDescent="0.25">
      <c r="E128" s="63">
        <f t="shared" si="7"/>
        <v>500</v>
      </c>
      <c r="K128" s="63">
        <f t="shared" si="4"/>
        <v>2294</v>
      </c>
      <c r="M128" s="65">
        <v>45451</v>
      </c>
      <c r="N128">
        <v>4779</v>
      </c>
      <c r="O128">
        <v>1200</v>
      </c>
      <c r="Q128" s="63">
        <f t="shared" si="5"/>
        <v>5176</v>
      </c>
      <c r="W128" s="63">
        <f t="shared" si="6"/>
        <v>1093.4000000000001</v>
      </c>
    </row>
    <row r="129" spans="1:23" x14ac:dyDescent="0.25">
      <c r="E129" s="63">
        <f t="shared" si="7"/>
        <v>500</v>
      </c>
      <c r="K129" s="63">
        <f t="shared" si="4"/>
        <v>2294</v>
      </c>
      <c r="M129" s="65">
        <v>45451</v>
      </c>
      <c r="N129">
        <v>1818</v>
      </c>
      <c r="P129">
        <v>4800</v>
      </c>
      <c r="Q129" s="63">
        <f t="shared" si="5"/>
        <v>376</v>
      </c>
      <c r="W129" s="63">
        <f t="shared" si="6"/>
        <v>1093.4000000000001</v>
      </c>
    </row>
    <row r="130" spans="1:23" x14ac:dyDescent="0.25">
      <c r="E130" s="63">
        <f t="shared" si="7"/>
        <v>500</v>
      </c>
      <c r="K130" s="63">
        <f t="shared" si="4"/>
        <v>2294</v>
      </c>
      <c r="M130" s="65">
        <v>45452</v>
      </c>
      <c r="N130" t="s">
        <v>4861</v>
      </c>
      <c r="O130">
        <v>2000</v>
      </c>
      <c r="Q130" s="63">
        <f t="shared" si="5"/>
        <v>2376</v>
      </c>
      <c r="W130" s="63">
        <f t="shared" si="6"/>
        <v>1093.4000000000001</v>
      </c>
    </row>
    <row r="131" spans="1:23" x14ac:dyDescent="0.25">
      <c r="E131" s="63">
        <f t="shared" si="7"/>
        <v>500</v>
      </c>
      <c r="K131" s="63">
        <f t="shared" si="4"/>
        <v>2294</v>
      </c>
      <c r="M131" s="49">
        <v>45453</v>
      </c>
      <c r="N131" s="35" t="s">
        <v>2247</v>
      </c>
      <c r="O131" s="35">
        <v>3000</v>
      </c>
      <c r="P131" s="35"/>
      <c r="Q131" s="63">
        <f t="shared" si="5"/>
        <v>5376</v>
      </c>
      <c r="W131" s="63">
        <f t="shared" si="6"/>
        <v>1093.4000000000001</v>
      </c>
    </row>
    <row r="132" spans="1:23" x14ac:dyDescent="0.25">
      <c r="E132" s="63">
        <f t="shared" si="7"/>
        <v>500</v>
      </c>
      <c r="K132" s="63">
        <f t="shared" si="4"/>
        <v>2294</v>
      </c>
      <c r="M132" s="49">
        <v>45453</v>
      </c>
      <c r="N132" s="35">
        <v>4388</v>
      </c>
      <c r="O132" s="35"/>
      <c r="P132" s="35">
        <v>500</v>
      </c>
      <c r="Q132" s="63">
        <f t="shared" si="5"/>
        <v>4876</v>
      </c>
      <c r="W132" s="63">
        <f t="shared" si="6"/>
        <v>1093.4000000000001</v>
      </c>
    </row>
    <row r="133" spans="1:23" x14ac:dyDescent="0.25">
      <c r="E133" s="63">
        <f t="shared" si="7"/>
        <v>500</v>
      </c>
      <c r="K133" s="63">
        <f t="shared" si="4"/>
        <v>2294</v>
      </c>
      <c r="M133" s="49">
        <v>45453</v>
      </c>
      <c r="N133" s="35" t="s">
        <v>2247</v>
      </c>
      <c r="O133" s="35">
        <v>4000</v>
      </c>
      <c r="P133" s="35"/>
      <c r="Q133" s="63">
        <f t="shared" si="5"/>
        <v>8876</v>
      </c>
      <c r="W133" s="63">
        <f t="shared" si="6"/>
        <v>1093.4000000000001</v>
      </c>
    </row>
    <row r="134" spans="1:23" x14ac:dyDescent="0.25">
      <c r="E134" s="63">
        <f t="shared" si="7"/>
        <v>500</v>
      </c>
      <c r="K134" s="63">
        <f t="shared" si="4"/>
        <v>2294</v>
      </c>
      <c r="M134" s="49">
        <v>45453</v>
      </c>
      <c r="N134" s="35">
        <v>4164</v>
      </c>
      <c r="O134" s="35"/>
      <c r="P134" s="35">
        <v>8000</v>
      </c>
      <c r="Q134" s="63">
        <f t="shared" si="5"/>
        <v>876</v>
      </c>
      <c r="W134" s="63">
        <f t="shared" si="6"/>
        <v>1093.4000000000001</v>
      </c>
    </row>
    <row r="135" spans="1:23" x14ac:dyDescent="0.25">
      <c r="E135" s="63">
        <f t="shared" si="7"/>
        <v>500</v>
      </c>
      <c r="K135" s="63">
        <f t="shared" ref="K135:K178" si="8">K134+I135-J135</f>
        <v>2294</v>
      </c>
      <c r="M135" s="49">
        <v>45453</v>
      </c>
      <c r="N135" s="35" t="s">
        <v>2247</v>
      </c>
      <c r="O135" s="35">
        <v>1000</v>
      </c>
      <c r="P135" s="35"/>
      <c r="Q135" s="63">
        <f t="shared" si="5"/>
        <v>1876</v>
      </c>
      <c r="W135" s="63">
        <f t="shared" si="6"/>
        <v>1093.4000000000001</v>
      </c>
    </row>
    <row r="136" spans="1:23" x14ac:dyDescent="0.25">
      <c r="E136" s="63">
        <f t="shared" si="7"/>
        <v>500</v>
      </c>
      <c r="K136" s="63">
        <f t="shared" si="8"/>
        <v>2294</v>
      </c>
      <c r="M136" s="49">
        <v>45454</v>
      </c>
      <c r="N136" s="35" t="s">
        <v>1253</v>
      </c>
      <c r="O136" s="35">
        <v>4500</v>
      </c>
      <c r="P136" s="35"/>
      <c r="Q136" s="63">
        <f t="shared" si="5"/>
        <v>6376</v>
      </c>
      <c r="W136" s="63">
        <f t="shared" si="6"/>
        <v>1093.4000000000001</v>
      </c>
    </row>
    <row r="137" spans="1:23" x14ac:dyDescent="0.25">
      <c r="A137" s="65">
        <v>45454</v>
      </c>
      <c r="C137" s="2">
        <v>6100</v>
      </c>
      <c r="E137" s="63">
        <f t="shared" si="7"/>
        <v>6600</v>
      </c>
      <c r="G137" s="5">
        <v>45454</v>
      </c>
      <c r="K137" s="63">
        <f t="shared" si="8"/>
        <v>2294</v>
      </c>
      <c r="M137" s="49">
        <v>45454</v>
      </c>
      <c r="N137" s="35">
        <v>4164</v>
      </c>
      <c r="O137" s="35"/>
      <c r="P137" s="35">
        <v>6000</v>
      </c>
      <c r="Q137" s="63">
        <f t="shared" si="5"/>
        <v>376</v>
      </c>
      <c r="S137" s="5">
        <v>46549</v>
      </c>
      <c r="W137" s="63">
        <f t="shared" si="6"/>
        <v>1093.4000000000001</v>
      </c>
    </row>
    <row r="138" spans="1:23" x14ac:dyDescent="0.25">
      <c r="A138" s="65">
        <v>45455</v>
      </c>
      <c r="D138" s="2">
        <v>1600</v>
      </c>
      <c r="E138" s="63">
        <f t="shared" si="7"/>
        <v>5000</v>
      </c>
      <c r="G138" s="5">
        <v>45454</v>
      </c>
      <c r="J138">
        <v>1000</v>
      </c>
      <c r="K138" s="63">
        <f t="shared" si="8"/>
        <v>1294</v>
      </c>
      <c r="M138" s="49">
        <v>45454</v>
      </c>
      <c r="N138">
        <v>5426</v>
      </c>
      <c r="O138" s="35"/>
      <c r="P138" s="35">
        <v>200</v>
      </c>
      <c r="Q138" s="63">
        <f t="shared" si="5"/>
        <v>176</v>
      </c>
      <c r="W138" s="63">
        <f t="shared" si="6"/>
        <v>1093.4000000000001</v>
      </c>
    </row>
    <row r="139" spans="1:23" x14ac:dyDescent="0.25">
      <c r="A139" s="65">
        <v>45455</v>
      </c>
      <c r="D139" s="2">
        <v>5000</v>
      </c>
      <c r="E139" s="63">
        <f t="shared" si="7"/>
        <v>0</v>
      </c>
      <c r="K139" s="63">
        <f t="shared" si="8"/>
        <v>1294</v>
      </c>
      <c r="M139" s="65">
        <v>45455</v>
      </c>
      <c r="N139" t="s">
        <v>1253</v>
      </c>
      <c r="O139" s="35">
        <v>800</v>
      </c>
      <c r="P139" s="35"/>
      <c r="Q139" s="63">
        <f t="shared" ref="Q139:Q203" si="9">Q138+O139-P139</f>
        <v>976</v>
      </c>
      <c r="W139" s="63">
        <f t="shared" ref="W139:W178" si="10">W138+U139-V139</f>
        <v>1093.4000000000001</v>
      </c>
    </row>
    <row r="140" spans="1:23" x14ac:dyDescent="0.25">
      <c r="E140" s="63">
        <f t="shared" si="7"/>
        <v>0</v>
      </c>
      <c r="K140" s="63">
        <f t="shared" si="8"/>
        <v>1294</v>
      </c>
      <c r="M140" s="65">
        <v>45455</v>
      </c>
      <c r="N140" t="s">
        <v>1253</v>
      </c>
      <c r="O140" s="35">
        <v>400</v>
      </c>
      <c r="P140" s="35"/>
      <c r="Q140" s="63">
        <f t="shared" si="9"/>
        <v>1376</v>
      </c>
      <c r="W140" s="63">
        <f t="shared" si="10"/>
        <v>1093.4000000000001</v>
      </c>
    </row>
    <row r="141" spans="1:23" x14ac:dyDescent="0.25">
      <c r="E141" s="63">
        <f t="shared" si="7"/>
        <v>0</v>
      </c>
      <c r="K141" s="63">
        <f t="shared" si="8"/>
        <v>1294</v>
      </c>
      <c r="M141" s="65">
        <v>45455</v>
      </c>
      <c r="N141" t="s">
        <v>1253</v>
      </c>
      <c r="O141" s="35">
        <v>400</v>
      </c>
      <c r="P141" s="35"/>
      <c r="Q141" s="63">
        <f t="shared" si="9"/>
        <v>1776</v>
      </c>
      <c r="W141" s="63">
        <f t="shared" si="10"/>
        <v>1093.4000000000001</v>
      </c>
    </row>
    <row r="142" spans="1:23" x14ac:dyDescent="0.25">
      <c r="E142" s="63">
        <f t="shared" si="7"/>
        <v>0</v>
      </c>
      <c r="K142" s="63">
        <f t="shared" si="8"/>
        <v>1294</v>
      </c>
      <c r="M142" s="65">
        <v>45455</v>
      </c>
      <c r="N142" t="s">
        <v>2365</v>
      </c>
      <c r="O142" s="35">
        <v>5000</v>
      </c>
      <c r="P142" s="35"/>
      <c r="Q142" s="63">
        <f t="shared" si="9"/>
        <v>6776</v>
      </c>
      <c r="W142" s="63">
        <f t="shared" si="10"/>
        <v>1093.4000000000001</v>
      </c>
    </row>
    <row r="143" spans="1:23" x14ac:dyDescent="0.25">
      <c r="E143" s="63">
        <f t="shared" si="7"/>
        <v>0</v>
      </c>
      <c r="K143" s="63">
        <f t="shared" si="8"/>
        <v>1294</v>
      </c>
      <c r="M143" s="65">
        <v>45455</v>
      </c>
      <c r="N143">
        <v>4164</v>
      </c>
      <c r="O143" s="35"/>
      <c r="P143" s="35">
        <v>4000</v>
      </c>
      <c r="Q143" s="63">
        <f t="shared" si="9"/>
        <v>2776</v>
      </c>
      <c r="W143" s="63">
        <f t="shared" si="10"/>
        <v>1093.4000000000001</v>
      </c>
    </row>
    <row r="144" spans="1:23" x14ac:dyDescent="0.25">
      <c r="E144" s="63">
        <f t="shared" si="7"/>
        <v>0</v>
      </c>
      <c r="K144" s="63">
        <f t="shared" si="8"/>
        <v>1294</v>
      </c>
      <c r="M144" s="65">
        <v>45455</v>
      </c>
      <c r="N144" t="s">
        <v>2721</v>
      </c>
      <c r="O144" s="35"/>
      <c r="P144" s="35">
        <v>2000</v>
      </c>
      <c r="Q144" s="63">
        <f t="shared" si="9"/>
        <v>776</v>
      </c>
      <c r="W144" s="63">
        <f t="shared" si="10"/>
        <v>1093.4000000000001</v>
      </c>
    </row>
    <row r="145" spans="1:23" x14ac:dyDescent="0.25">
      <c r="E145" s="63">
        <f t="shared" si="7"/>
        <v>0</v>
      </c>
      <c r="K145" s="63">
        <f t="shared" si="8"/>
        <v>1294</v>
      </c>
      <c r="M145" s="65">
        <v>45455</v>
      </c>
      <c r="N145" t="s">
        <v>1253</v>
      </c>
      <c r="O145" s="35">
        <v>2500</v>
      </c>
      <c r="P145" s="35"/>
      <c r="Q145" s="63">
        <f t="shared" si="9"/>
        <v>3276</v>
      </c>
      <c r="W145" s="63">
        <f t="shared" si="10"/>
        <v>1093.4000000000001</v>
      </c>
    </row>
    <row r="146" spans="1:23" x14ac:dyDescent="0.25">
      <c r="E146" s="63">
        <f t="shared" si="7"/>
        <v>0</v>
      </c>
      <c r="K146" s="63">
        <f t="shared" si="8"/>
        <v>1294</v>
      </c>
      <c r="M146" s="65">
        <v>45444</v>
      </c>
      <c r="O146" s="35"/>
      <c r="P146" s="35">
        <v>2000</v>
      </c>
      <c r="Q146" s="63">
        <f t="shared" si="9"/>
        <v>1276</v>
      </c>
      <c r="W146" s="63">
        <f t="shared" si="10"/>
        <v>1093.4000000000001</v>
      </c>
    </row>
    <row r="147" spans="1:23" x14ac:dyDescent="0.25">
      <c r="E147" s="63">
        <f t="shared" si="7"/>
        <v>0</v>
      </c>
      <c r="K147" s="63">
        <f t="shared" si="8"/>
        <v>1294</v>
      </c>
      <c r="M147" s="65">
        <v>45458</v>
      </c>
      <c r="O147" s="35">
        <v>1000</v>
      </c>
      <c r="P147" s="35"/>
      <c r="Q147" s="63">
        <f t="shared" si="9"/>
        <v>2276</v>
      </c>
      <c r="W147" s="63">
        <f t="shared" si="10"/>
        <v>1093.4000000000001</v>
      </c>
    </row>
    <row r="148" spans="1:23" x14ac:dyDescent="0.25">
      <c r="A148" s="65">
        <v>45458</v>
      </c>
      <c r="C148" s="2">
        <v>6500</v>
      </c>
      <c r="E148" s="63">
        <f t="shared" si="7"/>
        <v>6500</v>
      </c>
      <c r="K148" s="63">
        <f t="shared" si="8"/>
        <v>1294</v>
      </c>
      <c r="M148" s="65">
        <v>45458</v>
      </c>
      <c r="O148" s="35"/>
      <c r="P148" s="35">
        <v>2000</v>
      </c>
      <c r="Q148" s="63">
        <f t="shared" si="9"/>
        <v>276</v>
      </c>
      <c r="W148" s="63">
        <f t="shared" si="10"/>
        <v>1093.4000000000001</v>
      </c>
    </row>
    <row r="149" spans="1:23" x14ac:dyDescent="0.25">
      <c r="A149" s="65">
        <v>45458</v>
      </c>
      <c r="B149" s="58" t="s">
        <v>5067</v>
      </c>
      <c r="D149" s="2">
        <v>1500</v>
      </c>
      <c r="E149" s="63">
        <f t="shared" si="7"/>
        <v>5000</v>
      </c>
      <c r="K149" s="63">
        <f t="shared" si="8"/>
        <v>1294</v>
      </c>
      <c r="M149" s="65">
        <v>45458</v>
      </c>
      <c r="N149" t="s">
        <v>2467</v>
      </c>
      <c r="O149">
        <v>1340</v>
      </c>
      <c r="Q149" s="63">
        <f t="shared" si="9"/>
        <v>1616</v>
      </c>
      <c r="W149" s="63">
        <f t="shared" si="10"/>
        <v>1093.4000000000001</v>
      </c>
    </row>
    <row r="150" spans="1:23" x14ac:dyDescent="0.25">
      <c r="E150" s="63">
        <f t="shared" si="7"/>
        <v>5000</v>
      </c>
      <c r="K150" s="63">
        <f t="shared" si="8"/>
        <v>1294</v>
      </c>
      <c r="M150" s="49">
        <v>45461</v>
      </c>
      <c r="O150" s="35">
        <v>1000</v>
      </c>
      <c r="P150" s="35"/>
      <c r="Q150" s="63">
        <f t="shared" si="9"/>
        <v>2616</v>
      </c>
      <c r="W150" s="63">
        <f t="shared" si="10"/>
        <v>1093.4000000000001</v>
      </c>
    </row>
    <row r="151" spans="1:23" x14ac:dyDescent="0.25">
      <c r="E151" s="63">
        <f t="shared" si="7"/>
        <v>5000</v>
      </c>
      <c r="K151" s="63">
        <f t="shared" si="8"/>
        <v>1294</v>
      </c>
      <c r="M151" s="49" t="s">
        <v>5077</v>
      </c>
      <c r="O151" s="35"/>
      <c r="P151" s="35">
        <v>100</v>
      </c>
      <c r="Q151" s="63">
        <f t="shared" si="9"/>
        <v>2516</v>
      </c>
      <c r="W151" s="63">
        <f t="shared" si="10"/>
        <v>1093.4000000000001</v>
      </c>
    </row>
    <row r="152" spans="1:23" x14ac:dyDescent="0.25">
      <c r="E152" s="63">
        <f t="shared" si="7"/>
        <v>5000</v>
      </c>
      <c r="K152" s="63">
        <f t="shared" si="8"/>
        <v>1294</v>
      </c>
      <c r="M152" s="49" t="s">
        <v>5077</v>
      </c>
      <c r="O152" s="35"/>
      <c r="P152" s="35">
        <v>100</v>
      </c>
      <c r="Q152" s="63">
        <f t="shared" si="9"/>
        <v>2416</v>
      </c>
      <c r="W152" s="63">
        <f t="shared" si="10"/>
        <v>1093.4000000000001</v>
      </c>
    </row>
    <row r="153" spans="1:23" x14ac:dyDescent="0.25">
      <c r="A153" s="65">
        <v>45463</v>
      </c>
      <c r="C153" s="2">
        <v>3000</v>
      </c>
      <c r="E153" s="63">
        <f t="shared" si="7"/>
        <v>8000</v>
      </c>
      <c r="K153" s="63">
        <f t="shared" si="8"/>
        <v>1294</v>
      </c>
      <c r="M153" s="49">
        <v>45463</v>
      </c>
      <c r="O153" s="35">
        <v>2200</v>
      </c>
      <c r="P153" s="35"/>
      <c r="Q153" s="63">
        <f t="shared" si="9"/>
        <v>4616</v>
      </c>
      <c r="W153" s="63">
        <f t="shared" si="10"/>
        <v>1093.4000000000001</v>
      </c>
    </row>
    <row r="154" spans="1:23" x14ac:dyDescent="0.25">
      <c r="E154" s="63">
        <f t="shared" si="7"/>
        <v>8000</v>
      </c>
      <c r="K154" s="63">
        <f t="shared" si="8"/>
        <v>1294</v>
      </c>
      <c r="M154" s="49">
        <v>45464</v>
      </c>
      <c r="N154" s="48" t="s">
        <v>2247</v>
      </c>
      <c r="O154" s="35">
        <v>1000</v>
      </c>
      <c r="P154" s="35"/>
      <c r="Q154" s="63">
        <f t="shared" si="9"/>
        <v>5616</v>
      </c>
      <c r="W154" s="63">
        <f t="shared" si="10"/>
        <v>1093.4000000000001</v>
      </c>
    </row>
    <row r="155" spans="1:23" x14ac:dyDescent="0.25">
      <c r="E155" s="63">
        <f t="shared" si="7"/>
        <v>8000</v>
      </c>
      <c r="K155" s="63">
        <f t="shared" si="8"/>
        <v>1294</v>
      </c>
      <c r="M155" s="49">
        <v>45464</v>
      </c>
      <c r="N155" s="48" t="s">
        <v>2472</v>
      </c>
      <c r="O155" s="35"/>
      <c r="P155" s="35">
        <v>5000</v>
      </c>
      <c r="Q155" s="63">
        <f t="shared" si="9"/>
        <v>616</v>
      </c>
      <c r="W155" s="63">
        <f t="shared" si="10"/>
        <v>1093.4000000000001</v>
      </c>
    </row>
    <row r="156" spans="1:23" x14ac:dyDescent="0.25">
      <c r="E156" s="63">
        <f t="shared" si="7"/>
        <v>8000</v>
      </c>
      <c r="K156" s="63">
        <f t="shared" si="8"/>
        <v>1294</v>
      </c>
      <c r="M156" s="49">
        <v>45464</v>
      </c>
      <c r="N156" s="48" t="s">
        <v>4861</v>
      </c>
      <c r="O156" s="35">
        <v>1500</v>
      </c>
      <c r="P156" s="35"/>
      <c r="Q156" s="63">
        <f t="shared" si="9"/>
        <v>2116</v>
      </c>
      <c r="W156" s="63">
        <f t="shared" si="10"/>
        <v>1093.4000000000001</v>
      </c>
    </row>
    <row r="157" spans="1:23" x14ac:dyDescent="0.25">
      <c r="A157" s="65">
        <v>45464</v>
      </c>
      <c r="D157" s="2">
        <v>8000</v>
      </c>
      <c r="E157" s="63">
        <f t="shared" si="7"/>
        <v>0</v>
      </c>
      <c r="K157" s="63">
        <f t="shared" si="8"/>
        <v>1294</v>
      </c>
      <c r="M157" s="49">
        <v>45464</v>
      </c>
      <c r="N157" s="48" t="s">
        <v>1163</v>
      </c>
      <c r="O157" s="35">
        <v>1500</v>
      </c>
      <c r="P157" s="35"/>
      <c r="Q157" s="63">
        <f t="shared" si="9"/>
        <v>3616</v>
      </c>
      <c r="W157" s="63">
        <f t="shared" si="10"/>
        <v>1093.4000000000001</v>
      </c>
    </row>
    <row r="158" spans="1:23" x14ac:dyDescent="0.25">
      <c r="E158" s="63">
        <f t="shared" si="7"/>
        <v>0</v>
      </c>
      <c r="K158" s="63">
        <f t="shared" si="8"/>
        <v>1294</v>
      </c>
      <c r="M158" s="49">
        <v>45464</v>
      </c>
      <c r="N158" s="48" t="s">
        <v>1163</v>
      </c>
      <c r="O158" s="35">
        <v>700</v>
      </c>
      <c r="P158" s="35"/>
      <c r="Q158" s="63">
        <f t="shared" si="9"/>
        <v>4316</v>
      </c>
      <c r="W158" s="63">
        <f t="shared" si="10"/>
        <v>1093.4000000000001</v>
      </c>
    </row>
    <row r="159" spans="1:23" x14ac:dyDescent="0.25">
      <c r="E159" s="63">
        <f t="shared" si="7"/>
        <v>0</v>
      </c>
      <c r="K159" s="63">
        <f t="shared" si="8"/>
        <v>1294</v>
      </c>
      <c r="M159" s="49">
        <v>45464</v>
      </c>
      <c r="N159" s="48" t="s">
        <v>1253</v>
      </c>
      <c r="O159" s="35">
        <v>1500</v>
      </c>
      <c r="P159" s="35"/>
      <c r="Q159" s="63">
        <f t="shared" si="9"/>
        <v>5816</v>
      </c>
      <c r="W159" s="63">
        <f t="shared" si="10"/>
        <v>1093.4000000000001</v>
      </c>
    </row>
    <row r="160" spans="1:23" x14ac:dyDescent="0.25">
      <c r="E160" s="63">
        <f t="shared" si="7"/>
        <v>0</v>
      </c>
      <c r="K160" s="63">
        <f t="shared" si="8"/>
        <v>1294</v>
      </c>
      <c r="M160" s="49">
        <v>45464</v>
      </c>
      <c r="N160" s="48" t="s">
        <v>2365</v>
      </c>
      <c r="O160" s="35">
        <v>2050</v>
      </c>
      <c r="P160" s="35"/>
      <c r="Q160" s="63">
        <f t="shared" si="9"/>
        <v>7866</v>
      </c>
      <c r="W160" s="63">
        <f t="shared" si="10"/>
        <v>1093.4000000000001</v>
      </c>
    </row>
    <row r="161" spans="5:23" x14ac:dyDescent="0.25">
      <c r="E161" s="63">
        <f t="shared" si="7"/>
        <v>0</v>
      </c>
      <c r="K161" s="63">
        <f t="shared" si="8"/>
        <v>1294</v>
      </c>
      <c r="M161" s="49">
        <v>45464</v>
      </c>
      <c r="N161" s="48" t="s">
        <v>2780</v>
      </c>
      <c r="O161" s="35">
        <v>4000</v>
      </c>
      <c r="P161" s="35"/>
      <c r="Q161" s="63">
        <f t="shared" si="9"/>
        <v>11866</v>
      </c>
      <c r="W161" s="63">
        <f t="shared" si="10"/>
        <v>1093.4000000000001</v>
      </c>
    </row>
    <row r="162" spans="5:23" x14ac:dyDescent="0.25">
      <c r="E162" s="63">
        <f t="shared" si="7"/>
        <v>0</v>
      </c>
      <c r="K162" s="63">
        <f t="shared" si="8"/>
        <v>1294</v>
      </c>
      <c r="M162" s="49">
        <v>45465</v>
      </c>
      <c r="N162" s="48"/>
      <c r="O162" s="35"/>
      <c r="P162" s="35">
        <v>2000</v>
      </c>
      <c r="Q162" s="63">
        <f t="shared" si="9"/>
        <v>9866</v>
      </c>
      <c r="W162" s="63">
        <f t="shared" si="10"/>
        <v>1093.4000000000001</v>
      </c>
    </row>
    <row r="163" spans="5:23" x14ac:dyDescent="0.25">
      <c r="E163" s="63">
        <f t="shared" si="7"/>
        <v>0</v>
      </c>
      <c r="K163" s="63">
        <f t="shared" si="8"/>
        <v>1294</v>
      </c>
      <c r="M163" s="49">
        <v>45465</v>
      </c>
      <c r="N163" s="48" t="s">
        <v>1253</v>
      </c>
      <c r="O163" s="35">
        <v>1400</v>
      </c>
      <c r="P163" s="35"/>
      <c r="Q163" s="63">
        <f t="shared" si="9"/>
        <v>11266</v>
      </c>
      <c r="W163" s="63">
        <f t="shared" si="10"/>
        <v>1093.4000000000001</v>
      </c>
    </row>
    <row r="164" spans="5:23" x14ac:dyDescent="0.25">
      <c r="E164" s="63">
        <f t="shared" si="7"/>
        <v>0</v>
      </c>
      <c r="K164" s="63">
        <f t="shared" si="8"/>
        <v>1294</v>
      </c>
      <c r="M164" s="49">
        <v>45466</v>
      </c>
      <c r="N164" s="48" t="s">
        <v>3276</v>
      </c>
      <c r="O164" s="35">
        <v>2000</v>
      </c>
      <c r="P164" s="35"/>
      <c r="Q164" s="63">
        <f t="shared" si="9"/>
        <v>13266</v>
      </c>
      <c r="W164" s="63">
        <f t="shared" si="10"/>
        <v>1093.4000000000001</v>
      </c>
    </row>
    <row r="165" spans="5:23" x14ac:dyDescent="0.25">
      <c r="E165" s="63">
        <f t="shared" si="7"/>
        <v>0</v>
      </c>
      <c r="K165" s="63">
        <f t="shared" si="8"/>
        <v>1294</v>
      </c>
      <c r="M165" s="49">
        <v>45466</v>
      </c>
      <c r="N165" s="48" t="s">
        <v>2707</v>
      </c>
      <c r="O165" s="35"/>
      <c r="P165" s="35">
        <v>10000</v>
      </c>
      <c r="Q165" s="63">
        <f t="shared" si="9"/>
        <v>3266</v>
      </c>
      <c r="W165" s="63">
        <f t="shared" si="10"/>
        <v>1093.4000000000001</v>
      </c>
    </row>
    <row r="166" spans="5:23" x14ac:dyDescent="0.25">
      <c r="E166" s="63">
        <f t="shared" si="7"/>
        <v>0</v>
      </c>
      <c r="K166" s="63">
        <f t="shared" si="8"/>
        <v>1294</v>
      </c>
      <c r="M166" s="49">
        <v>45466</v>
      </c>
      <c r="N166" t="s">
        <v>1163</v>
      </c>
      <c r="O166" s="35">
        <v>1500</v>
      </c>
      <c r="Q166" s="63">
        <f t="shared" si="9"/>
        <v>4766</v>
      </c>
      <c r="W166" s="63">
        <f t="shared" si="10"/>
        <v>1093.4000000000001</v>
      </c>
    </row>
    <row r="167" spans="5:23" x14ac:dyDescent="0.25">
      <c r="E167" s="63">
        <f t="shared" si="7"/>
        <v>0</v>
      </c>
      <c r="K167" s="63">
        <f t="shared" si="8"/>
        <v>1294</v>
      </c>
      <c r="O167" s="35"/>
      <c r="P167" s="35">
        <v>2100</v>
      </c>
      <c r="Q167" s="63">
        <f t="shared" si="9"/>
        <v>2666</v>
      </c>
      <c r="W167" s="63">
        <f t="shared" si="10"/>
        <v>1093.4000000000001</v>
      </c>
    </row>
    <row r="168" spans="5:23" x14ac:dyDescent="0.25">
      <c r="E168" s="63">
        <f t="shared" si="7"/>
        <v>0</v>
      </c>
      <c r="K168" s="63">
        <f t="shared" si="8"/>
        <v>1294</v>
      </c>
      <c r="O168" s="35">
        <v>2000</v>
      </c>
      <c r="P168" s="35"/>
      <c r="Q168" s="63">
        <f t="shared" si="9"/>
        <v>4666</v>
      </c>
      <c r="W168" s="63">
        <f t="shared" si="10"/>
        <v>1093.4000000000001</v>
      </c>
    </row>
    <row r="169" spans="5:23" x14ac:dyDescent="0.25">
      <c r="E169" s="63">
        <f t="shared" si="7"/>
        <v>0</v>
      </c>
      <c r="K169" s="63">
        <f t="shared" si="8"/>
        <v>1294</v>
      </c>
      <c r="O169" s="35"/>
      <c r="P169" s="35">
        <v>100</v>
      </c>
      <c r="Q169" s="63">
        <f t="shared" si="9"/>
        <v>4566</v>
      </c>
      <c r="W169" s="63">
        <f t="shared" si="10"/>
        <v>1093.4000000000001</v>
      </c>
    </row>
    <row r="170" spans="5:23" x14ac:dyDescent="0.25">
      <c r="E170" s="63">
        <f t="shared" si="7"/>
        <v>0</v>
      </c>
      <c r="K170" s="63">
        <f t="shared" si="8"/>
        <v>1294</v>
      </c>
      <c r="M170" s="65">
        <v>45467</v>
      </c>
      <c r="O170">
        <v>8000</v>
      </c>
      <c r="Q170" s="63">
        <f t="shared" si="9"/>
        <v>12566</v>
      </c>
      <c r="W170" s="63">
        <f t="shared" si="10"/>
        <v>1093.4000000000001</v>
      </c>
    </row>
    <row r="171" spans="5:23" x14ac:dyDescent="0.25">
      <c r="E171" s="63">
        <f t="shared" si="7"/>
        <v>0</v>
      </c>
      <c r="K171" s="63">
        <f t="shared" si="8"/>
        <v>1294</v>
      </c>
      <c r="M171" s="49">
        <v>45467</v>
      </c>
      <c r="N171" s="48" t="s">
        <v>1253</v>
      </c>
      <c r="O171" s="35">
        <v>500</v>
      </c>
      <c r="P171" s="35"/>
      <c r="Q171" s="63">
        <f t="shared" si="9"/>
        <v>13066</v>
      </c>
      <c r="W171" s="63">
        <f t="shared" si="10"/>
        <v>1093.4000000000001</v>
      </c>
    </row>
    <row r="172" spans="5:23" x14ac:dyDescent="0.25">
      <c r="E172" s="63">
        <f t="shared" si="7"/>
        <v>0</v>
      </c>
      <c r="K172" s="63">
        <f t="shared" si="8"/>
        <v>1294</v>
      </c>
      <c r="M172" s="49">
        <v>45467</v>
      </c>
      <c r="N172" s="48" t="s">
        <v>5099</v>
      </c>
      <c r="O172" s="35"/>
      <c r="P172" s="35">
        <v>10000</v>
      </c>
      <c r="Q172" s="63">
        <f t="shared" si="9"/>
        <v>3066</v>
      </c>
      <c r="W172" s="63">
        <f t="shared" si="10"/>
        <v>1093.4000000000001</v>
      </c>
    </row>
    <row r="173" spans="5:23" x14ac:dyDescent="0.25">
      <c r="E173" s="63">
        <f t="shared" si="7"/>
        <v>0</v>
      </c>
      <c r="K173" s="63">
        <f t="shared" si="8"/>
        <v>1294</v>
      </c>
      <c r="M173" s="49">
        <v>45467</v>
      </c>
      <c r="N173" s="48" t="s">
        <v>1253</v>
      </c>
      <c r="O173" s="35">
        <v>500</v>
      </c>
      <c r="P173" s="35"/>
      <c r="Q173" s="63">
        <f t="shared" si="9"/>
        <v>3566</v>
      </c>
      <c r="W173" s="63">
        <f t="shared" si="10"/>
        <v>1093.4000000000001</v>
      </c>
    </row>
    <row r="174" spans="5:23" x14ac:dyDescent="0.25">
      <c r="E174" s="63">
        <f t="shared" si="7"/>
        <v>0</v>
      </c>
      <c r="K174" s="63">
        <f t="shared" si="8"/>
        <v>1294</v>
      </c>
      <c r="M174" s="49">
        <v>45468</v>
      </c>
      <c r="N174" s="48" t="s">
        <v>5103</v>
      </c>
      <c r="O174" s="35"/>
      <c r="P174" s="35">
        <v>100</v>
      </c>
      <c r="Q174" s="63">
        <f t="shared" si="9"/>
        <v>3466</v>
      </c>
      <c r="W174" s="63">
        <f t="shared" si="10"/>
        <v>1093.4000000000001</v>
      </c>
    </row>
    <row r="175" spans="5:23" x14ac:dyDescent="0.25">
      <c r="E175" s="63">
        <f t="shared" si="7"/>
        <v>0</v>
      </c>
      <c r="K175" s="63">
        <f t="shared" si="8"/>
        <v>1294</v>
      </c>
      <c r="M175" s="49">
        <v>45468</v>
      </c>
      <c r="N175" s="48" t="s">
        <v>5104</v>
      </c>
      <c r="O175" s="35">
        <v>1500</v>
      </c>
      <c r="P175" s="35"/>
      <c r="Q175" s="63">
        <f t="shared" si="9"/>
        <v>4966</v>
      </c>
      <c r="W175" s="63">
        <f t="shared" si="10"/>
        <v>1093.4000000000001</v>
      </c>
    </row>
    <row r="176" spans="5:23" x14ac:dyDescent="0.25">
      <c r="E176" s="63">
        <f t="shared" si="7"/>
        <v>0</v>
      </c>
      <c r="K176" s="63">
        <f t="shared" si="8"/>
        <v>1294</v>
      </c>
      <c r="M176" s="49">
        <v>45468</v>
      </c>
      <c r="N176" s="48" t="s">
        <v>5107</v>
      </c>
      <c r="O176" s="35"/>
      <c r="P176" s="35">
        <v>200</v>
      </c>
      <c r="Q176" s="63">
        <f t="shared" si="9"/>
        <v>4766</v>
      </c>
      <c r="W176" s="63">
        <f t="shared" si="10"/>
        <v>1093.4000000000001</v>
      </c>
    </row>
    <row r="177" spans="1:23" x14ac:dyDescent="0.25">
      <c r="E177" s="63">
        <f t="shared" si="7"/>
        <v>0</v>
      </c>
      <c r="K177" s="63">
        <f t="shared" si="8"/>
        <v>1294</v>
      </c>
      <c r="M177" s="49">
        <v>45468</v>
      </c>
      <c r="N177" s="48" t="s">
        <v>1163</v>
      </c>
      <c r="O177" s="35">
        <v>1000</v>
      </c>
      <c r="P177" s="35"/>
      <c r="Q177" s="63">
        <f t="shared" si="9"/>
        <v>5766</v>
      </c>
      <c r="S177" s="5">
        <v>45468</v>
      </c>
      <c r="W177" s="63">
        <f t="shared" si="10"/>
        <v>1093.4000000000001</v>
      </c>
    </row>
    <row r="178" spans="1:23" x14ac:dyDescent="0.25">
      <c r="E178" s="63">
        <f t="shared" si="7"/>
        <v>0</v>
      </c>
      <c r="G178" s="5">
        <v>45468</v>
      </c>
      <c r="K178" s="63">
        <f t="shared" si="8"/>
        <v>1294</v>
      </c>
      <c r="M178" s="49">
        <v>45469</v>
      </c>
      <c r="N178" s="48" t="s">
        <v>1253</v>
      </c>
      <c r="O178" s="35">
        <v>1500</v>
      </c>
      <c r="P178" s="35"/>
      <c r="Q178" s="63">
        <f t="shared" si="9"/>
        <v>7266</v>
      </c>
      <c r="W178" s="63">
        <f t="shared" si="10"/>
        <v>1093.4000000000001</v>
      </c>
    </row>
    <row r="179" spans="1:23" x14ac:dyDescent="0.25">
      <c r="A179" s="65">
        <v>45469</v>
      </c>
      <c r="E179" s="63">
        <f t="shared" si="7"/>
        <v>0</v>
      </c>
      <c r="M179" s="49">
        <v>45470</v>
      </c>
      <c r="N179" s="48" t="s">
        <v>5116</v>
      </c>
      <c r="P179">
        <v>2000</v>
      </c>
      <c r="Q179" s="63">
        <f t="shared" si="9"/>
        <v>5266</v>
      </c>
    </row>
    <row r="180" spans="1:23" x14ac:dyDescent="0.25">
      <c r="M180" s="49">
        <v>45470</v>
      </c>
      <c r="N180" s="48" t="s">
        <v>2721</v>
      </c>
      <c r="P180">
        <v>4500</v>
      </c>
      <c r="Q180" s="63">
        <f t="shared" si="9"/>
        <v>766</v>
      </c>
    </row>
    <row r="181" spans="1:23" x14ac:dyDescent="0.25">
      <c r="M181" s="49">
        <v>45471</v>
      </c>
      <c r="N181" s="48" t="s">
        <v>1253</v>
      </c>
      <c r="O181">
        <v>300</v>
      </c>
      <c r="Q181" s="63">
        <f t="shared" si="9"/>
        <v>1066</v>
      </c>
    </row>
    <row r="182" spans="1:23" x14ac:dyDescent="0.25">
      <c r="M182" s="49">
        <v>45471</v>
      </c>
      <c r="N182" s="48" t="s">
        <v>5119</v>
      </c>
      <c r="P182">
        <v>100</v>
      </c>
      <c r="Q182" s="63">
        <f t="shared" si="9"/>
        <v>966</v>
      </c>
    </row>
    <row r="183" spans="1:23" x14ac:dyDescent="0.25">
      <c r="M183" s="49">
        <v>45471</v>
      </c>
      <c r="N183" t="s">
        <v>2467</v>
      </c>
      <c r="O183">
        <v>2450</v>
      </c>
      <c r="Q183" s="63">
        <f t="shared" si="9"/>
        <v>3416</v>
      </c>
    </row>
    <row r="184" spans="1:23" x14ac:dyDescent="0.25">
      <c r="M184" s="49">
        <v>45471</v>
      </c>
      <c r="N184" t="s">
        <v>5128</v>
      </c>
      <c r="O184" s="35"/>
      <c r="P184" s="35">
        <v>2000</v>
      </c>
      <c r="Q184" s="63">
        <f t="shared" si="9"/>
        <v>1416</v>
      </c>
    </row>
    <row r="185" spans="1:23" x14ac:dyDescent="0.25">
      <c r="M185" s="49">
        <v>45471</v>
      </c>
      <c r="N185" t="s">
        <v>3415</v>
      </c>
      <c r="O185" s="35"/>
      <c r="P185" s="35">
        <v>1000</v>
      </c>
      <c r="Q185" s="63">
        <f t="shared" si="9"/>
        <v>416</v>
      </c>
    </row>
    <row r="186" spans="1:23" x14ac:dyDescent="0.25">
      <c r="M186" s="49">
        <v>45471</v>
      </c>
      <c r="N186" t="s">
        <v>1163</v>
      </c>
      <c r="O186" s="35">
        <v>1000</v>
      </c>
      <c r="P186" s="35"/>
      <c r="Q186" s="63">
        <f t="shared" si="9"/>
        <v>1416</v>
      </c>
    </row>
    <row r="187" spans="1:23" x14ac:dyDescent="0.25">
      <c r="M187" s="49">
        <v>45472</v>
      </c>
      <c r="N187" s="48"/>
      <c r="O187" s="35">
        <v>8000</v>
      </c>
      <c r="P187" s="35"/>
      <c r="Q187" s="63">
        <f t="shared" si="9"/>
        <v>9416</v>
      </c>
    </row>
    <row r="188" spans="1:23" x14ac:dyDescent="0.25">
      <c r="M188" s="49">
        <v>45472</v>
      </c>
      <c r="N188" s="48" t="s">
        <v>5132</v>
      </c>
      <c r="O188" s="35"/>
      <c r="P188" s="35">
        <v>6000</v>
      </c>
      <c r="Q188" s="63">
        <f t="shared" si="9"/>
        <v>3416</v>
      </c>
    </row>
    <row r="189" spans="1:23" x14ac:dyDescent="0.25">
      <c r="M189" s="49">
        <v>45472</v>
      </c>
      <c r="N189" s="48" t="s">
        <v>1253</v>
      </c>
      <c r="O189" s="35">
        <v>4000</v>
      </c>
      <c r="P189" s="35"/>
      <c r="Q189" s="63">
        <f t="shared" si="9"/>
        <v>7416</v>
      </c>
    </row>
    <row r="190" spans="1:23" x14ac:dyDescent="0.25">
      <c r="M190" s="49">
        <v>45474</v>
      </c>
      <c r="N190" s="48"/>
      <c r="O190" s="35">
        <v>10000</v>
      </c>
      <c r="P190" s="35"/>
      <c r="Q190" s="63">
        <f t="shared" si="9"/>
        <v>17416</v>
      </c>
    </row>
    <row r="191" spans="1:23" x14ac:dyDescent="0.25">
      <c r="M191" s="49">
        <v>45474</v>
      </c>
      <c r="N191" s="48"/>
      <c r="O191" s="35">
        <v>1000</v>
      </c>
      <c r="P191" s="35"/>
      <c r="Q191" s="63">
        <f t="shared" si="9"/>
        <v>18416</v>
      </c>
    </row>
    <row r="192" spans="1:23" x14ac:dyDescent="0.25">
      <c r="M192" s="49">
        <v>45474</v>
      </c>
      <c r="N192" s="48" t="s">
        <v>5141</v>
      </c>
      <c r="O192" s="35"/>
      <c r="P192" s="35">
        <v>200</v>
      </c>
      <c r="Q192" s="63">
        <f t="shared" si="9"/>
        <v>18216</v>
      </c>
    </row>
    <row r="193" spans="13:20" x14ac:dyDescent="0.25">
      <c r="M193" s="49">
        <v>45474</v>
      </c>
      <c r="N193" s="48" t="s">
        <v>5104</v>
      </c>
      <c r="O193" s="35">
        <v>2000</v>
      </c>
      <c r="P193" s="35"/>
      <c r="Q193" s="63">
        <f t="shared" si="9"/>
        <v>20216</v>
      </c>
    </row>
    <row r="194" spans="13:20" x14ac:dyDescent="0.25">
      <c r="M194" s="49">
        <v>45474</v>
      </c>
      <c r="N194" s="48" t="s">
        <v>5143</v>
      </c>
      <c r="O194" s="35"/>
      <c r="P194" s="35">
        <v>450</v>
      </c>
      <c r="Q194" s="63">
        <f t="shared" si="9"/>
        <v>19766</v>
      </c>
    </row>
    <row r="195" spans="13:20" x14ac:dyDescent="0.25">
      <c r="M195" s="49">
        <v>45475</v>
      </c>
      <c r="N195" s="48" t="s">
        <v>2748</v>
      </c>
      <c r="O195" s="35"/>
      <c r="P195" s="35">
        <v>10000</v>
      </c>
      <c r="Q195" s="63">
        <f t="shared" si="9"/>
        <v>9766</v>
      </c>
    </row>
    <row r="196" spans="13:20" x14ac:dyDescent="0.25">
      <c r="M196" s="49">
        <v>45475</v>
      </c>
      <c r="N196" s="48" t="s">
        <v>1253</v>
      </c>
      <c r="O196" s="35">
        <v>4500</v>
      </c>
      <c r="P196" s="35"/>
      <c r="Q196" s="63">
        <f t="shared" si="9"/>
        <v>14266</v>
      </c>
    </row>
    <row r="197" spans="13:20" x14ac:dyDescent="0.25">
      <c r="M197" s="49">
        <v>45476</v>
      </c>
      <c r="N197" s="48" t="s">
        <v>2767</v>
      </c>
      <c r="O197" s="35"/>
      <c r="P197" s="35">
        <v>1500</v>
      </c>
      <c r="Q197" s="63">
        <f t="shared" si="9"/>
        <v>12766</v>
      </c>
    </row>
    <row r="198" spans="13:20" x14ac:dyDescent="0.25">
      <c r="M198" s="3">
        <v>45476</v>
      </c>
      <c r="N198" s="48" t="s">
        <v>5155</v>
      </c>
      <c r="O198" s="35"/>
      <c r="P198" s="35">
        <v>200</v>
      </c>
      <c r="Q198" s="63">
        <f t="shared" si="9"/>
        <v>12566</v>
      </c>
    </row>
    <row r="199" spans="13:20" x14ac:dyDescent="0.25">
      <c r="M199" s="3">
        <v>45476</v>
      </c>
      <c r="N199" s="48" t="s">
        <v>5156</v>
      </c>
      <c r="O199" s="35"/>
      <c r="P199" s="35">
        <v>200</v>
      </c>
      <c r="Q199" s="63">
        <f t="shared" si="9"/>
        <v>12366</v>
      </c>
    </row>
    <row r="200" spans="13:20" x14ac:dyDescent="0.25">
      <c r="M200" s="3">
        <v>45476</v>
      </c>
      <c r="N200" s="48" t="s">
        <v>1253</v>
      </c>
      <c r="O200" s="35">
        <v>10000</v>
      </c>
      <c r="P200" s="35"/>
      <c r="Q200" s="63">
        <f t="shared" si="9"/>
        <v>22366</v>
      </c>
    </row>
    <row r="201" spans="13:20" x14ac:dyDescent="0.25">
      <c r="M201" s="3">
        <v>45476</v>
      </c>
      <c r="N201" s="48" t="s">
        <v>5162</v>
      </c>
      <c r="O201" s="35"/>
      <c r="P201" s="35">
        <v>500</v>
      </c>
      <c r="Q201" s="63">
        <f t="shared" si="9"/>
        <v>21866</v>
      </c>
    </row>
    <row r="202" spans="13:20" x14ac:dyDescent="0.25">
      <c r="M202" s="3">
        <v>45476</v>
      </c>
      <c r="N202" s="48" t="s">
        <v>1253</v>
      </c>
      <c r="O202" s="35">
        <v>600</v>
      </c>
      <c r="P202" s="35"/>
      <c r="Q202" s="63">
        <f t="shared" si="9"/>
        <v>22466</v>
      </c>
    </row>
    <row r="203" spans="13:20" x14ac:dyDescent="0.25">
      <c r="M203" s="49">
        <v>45477</v>
      </c>
      <c r="N203" s="48" t="s">
        <v>5165</v>
      </c>
      <c r="O203" s="35">
        <v>4000</v>
      </c>
      <c r="P203" s="35"/>
      <c r="Q203" s="63">
        <f t="shared" si="9"/>
        <v>26466</v>
      </c>
      <c r="T203">
        <f>P204+Q204</f>
        <v>26466</v>
      </c>
    </row>
    <row r="204" spans="13:20" x14ac:dyDescent="0.25">
      <c r="M204" s="49">
        <v>45477</v>
      </c>
      <c r="N204" s="48" t="s">
        <v>5170</v>
      </c>
      <c r="O204" s="35"/>
      <c r="P204" s="35">
        <v>1500</v>
      </c>
      <c r="Q204" s="63">
        <f t="shared" ref="Q204:Q251" si="11">Q203+O204-P204</f>
        <v>24966</v>
      </c>
    </row>
    <row r="205" spans="13:20" x14ac:dyDescent="0.25">
      <c r="M205" s="49">
        <v>45477</v>
      </c>
      <c r="N205" s="48" t="s">
        <v>1163</v>
      </c>
      <c r="O205" s="35">
        <v>2000</v>
      </c>
      <c r="P205" s="35"/>
      <c r="Q205" s="63">
        <f t="shared" si="11"/>
        <v>26966</v>
      </c>
    </row>
    <row r="206" spans="13:20" x14ac:dyDescent="0.25">
      <c r="M206" s="49">
        <v>45477</v>
      </c>
      <c r="N206" s="48" t="s">
        <v>5173</v>
      </c>
      <c r="O206" s="35"/>
      <c r="P206" s="35">
        <v>5000</v>
      </c>
      <c r="Q206" s="63">
        <f t="shared" si="11"/>
        <v>21966</v>
      </c>
    </row>
    <row r="207" spans="13:20" x14ac:dyDescent="0.25">
      <c r="M207" s="49">
        <v>45477</v>
      </c>
      <c r="N207" s="48" t="s">
        <v>1253</v>
      </c>
      <c r="O207" s="35">
        <v>1000</v>
      </c>
      <c r="P207" s="35"/>
      <c r="Q207" s="63">
        <f t="shared" si="11"/>
        <v>22966</v>
      </c>
    </row>
    <row r="208" spans="13:20" x14ac:dyDescent="0.25">
      <c r="M208" s="49">
        <v>45477</v>
      </c>
      <c r="N208" s="48" t="s">
        <v>1253</v>
      </c>
      <c r="O208" s="35">
        <v>2000</v>
      </c>
      <c r="P208" s="35"/>
      <c r="Q208" s="63">
        <f t="shared" si="11"/>
        <v>24966</v>
      </c>
    </row>
    <row r="209" spans="13:17" x14ac:dyDescent="0.25">
      <c r="M209" s="49">
        <v>45478</v>
      </c>
      <c r="N209" s="48" t="s">
        <v>1253</v>
      </c>
      <c r="O209" s="35">
        <v>1500</v>
      </c>
      <c r="P209" s="35"/>
      <c r="Q209" s="63">
        <f t="shared" si="11"/>
        <v>26466</v>
      </c>
    </row>
    <row r="210" spans="13:17" x14ac:dyDescent="0.25">
      <c r="M210" s="49">
        <v>45478</v>
      </c>
      <c r="N210" s="48" t="s">
        <v>1253</v>
      </c>
      <c r="O210" s="35">
        <v>5000</v>
      </c>
      <c r="P210" s="35"/>
      <c r="Q210" s="63">
        <f t="shared" si="11"/>
        <v>31466</v>
      </c>
    </row>
    <row r="211" spans="13:17" x14ac:dyDescent="0.25">
      <c r="M211" s="49">
        <v>45478</v>
      </c>
      <c r="N211" s="48" t="s">
        <v>1253</v>
      </c>
      <c r="O211" s="35"/>
      <c r="P211" s="35">
        <v>300</v>
      </c>
      <c r="Q211" s="63">
        <f t="shared" si="11"/>
        <v>31166</v>
      </c>
    </row>
    <row r="212" spans="13:17" x14ac:dyDescent="0.25">
      <c r="M212" s="49">
        <v>45478</v>
      </c>
      <c r="N212" s="48" t="s">
        <v>1253</v>
      </c>
      <c r="O212" s="35">
        <v>2400</v>
      </c>
      <c r="P212" s="35"/>
      <c r="Q212" s="63">
        <f t="shared" si="11"/>
        <v>33566</v>
      </c>
    </row>
    <row r="213" spans="13:17" x14ac:dyDescent="0.25">
      <c r="M213" s="3">
        <v>45479</v>
      </c>
      <c r="N213" s="48" t="s">
        <v>1253</v>
      </c>
      <c r="O213" s="35">
        <v>500</v>
      </c>
      <c r="P213" s="35"/>
      <c r="Q213" s="63">
        <f t="shared" si="11"/>
        <v>34066</v>
      </c>
    </row>
    <row r="214" spans="13:17" x14ac:dyDescent="0.25">
      <c r="M214" s="3">
        <v>45479</v>
      </c>
      <c r="N214" s="48" t="s">
        <v>2721</v>
      </c>
      <c r="O214" s="35"/>
      <c r="P214" s="35">
        <v>10000</v>
      </c>
      <c r="Q214" s="63">
        <f t="shared" si="11"/>
        <v>24066</v>
      </c>
    </row>
    <row r="215" spans="13:17" x14ac:dyDescent="0.25">
      <c r="M215" s="3">
        <v>45479</v>
      </c>
      <c r="N215" s="48" t="s">
        <v>1253</v>
      </c>
      <c r="O215" s="35">
        <v>1000</v>
      </c>
      <c r="P215" s="35"/>
      <c r="Q215" s="63">
        <f t="shared" si="11"/>
        <v>25066</v>
      </c>
    </row>
    <row r="216" spans="13:17" x14ac:dyDescent="0.25">
      <c r="M216" s="3">
        <v>45479</v>
      </c>
      <c r="N216" s="48" t="s">
        <v>1253</v>
      </c>
      <c r="O216" s="35">
        <v>2300</v>
      </c>
      <c r="P216" s="35"/>
      <c r="Q216" s="63">
        <f t="shared" si="11"/>
        <v>27366</v>
      </c>
    </row>
    <row r="217" spans="13:17" x14ac:dyDescent="0.25">
      <c r="M217" s="3">
        <v>45479</v>
      </c>
      <c r="N217" s="48" t="s">
        <v>1253</v>
      </c>
      <c r="O217" s="35">
        <v>1000</v>
      </c>
      <c r="P217" s="35"/>
      <c r="Q217" s="63">
        <f t="shared" si="11"/>
        <v>28366</v>
      </c>
    </row>
    <row r="218" spans="13:17" x14ac:dyDescent="0.25">
      <c r="M218" s="65">
        <v>45480</v>
      </c>
      <c r="N218" s="48" t="s">
        <v>1253</v>
      </c>
      <c r="O218" s="35">
        <v>2000</v>
      </c>
      <c r="Q218" s="63">
        <f t="shared" si="11"/>
        <v>30366</v>
      </c>
    </row>
    <row r="219" spans="13:17" x14ac:dyDescent="0.25">
      <c r="M219" s="49">
        <v>45481</v>
      </c>
      <c r="N219" s="48" t="s">
        <v>1253</v>
      </c>
      <c r="O219" s="35">
        <v>3500</v>
      </c>
      <c r="P219" s="35"/>
      <c r="Q219" s="63">
        <f t="shared" si="11"/>
        <v>33866</v>
      </c>
    </row>
    <row r="220" spans="13:17" x14ac:dyDescent="0.25">
      <c r="M220" s="49">
        <v>45483</v>
      </c>
      <c r="N220" s="48" t="s">
        <v>4708</v>
      </c>
      <c r="O220" s="35"/>
      <c r="P220" s="35">
        <v>2000</v>
      </c>
      <c r="Q220" s="63">
        <f t="shared" si="11"/>
        <v>31866</v>
      </c>
    </row>
    <row r="221" spans="13:17" x14ac:dyDescent="0.25">
      <c r="M221" s="49">
        <v>45483</v>
      </c>
      <c r="N221" s="48" t="s">
        <v>5199</v>
      </c>
      <c r="O221" s="35"/>
      <c r="P221" s="35">
        <v>450</v>
      </c>
      <c r="Q221" s="63">
        <f t="shared" si="11"/>
        <v>31416</v>
      </c>
    </row>
    <row r="222" spans="13:17" x14ac:dyDescent="0.25">
      <c r="M222" s="49">
        <v>45483</v>
      </c>
      <c r="N222" s="48" t="s">
        <v>5201</v>
      </c>
      <c r="O222" s="35"/>
      <c r="P222" s="35">
        <v>100</v>
      </c>
      <c r="Q222" s="63">
        <f t="shared" si="11"/>
        <v>31316</v>
      </c>
    </row>
    <row r="223" spans="13:17" x14ac:dyDescent="0.25">
      <c r="M223" s="49">
        <v>45483</v>
      </c>
      <c r="N223" s="48" t="s">
        <v>5202</v>
      </c>
      <c r="O223" s="35"/>
      <c r="P223" s="35">
        <v>100</v>
      </c>
      <c r="Q223" s="63">
        <f t="shared" si="11"/>
        <v>31216</v>
      </c>
    </row>
    <row r="224" spans="13:17" x14ac:dyDescent="0.25">
      <c r="M224" s="49">
        <v>45483</v>
      </c>
      <c r="N224" s="48" t="s">
        <v>5206</v>
      </c>
      <c r="O224" s="35"/>
      <c r="P224" s="35">
        <v>100</v>
      </c>
      <c r="Q224" s="63">
        <f t="shared" si="11"/>
        <v>31116</v>
      </c>
    </row>
    <row r="225" spans="13:17" x14ac:dyDescent="0.25">
      <c r="M225" s="49">
        <v>45485</v>
      </c>
      <c r="N225" s="48" t="s">
        <v>4329</v>
      </c>
      <c r="O225" s="35"/>
      <c r="P225" s="35">
        <v>100</v>
      </c>
      <c r="Q225" s="63">
        <f t="shared" si="11"/>
        <v>31016</v>
      </c>
    </row>
    <row r="226" spans="13:17" x14ac:dyDescent="0.25">
      <c r="M226" s="49">
        <v>45485</v>
      </c>
      <c r="N226" s="48" t="s">
        <v>3248</v>
      </c>
      <c r="O226" s="35">
        <v>1000</v>
      </c>
      <c r="P226" s="35"/>
      <c r="Q226" s="63">
        <f t="shared" si="11"/>
        <v>32016</v>
      </c>
    </row>
    <row r="227" spans="13:17" x14ac:dyDescent="0.25">
      <c r="M227" s="49">
        <v>45485</v>
      </c>
      <c r="N227" s="48" t="s">
        <v>5210</v>
      </c>
      <c r="O227" s="35">
        <v>1500</v>
      </c>
      <c r="P227" s="35"/>
      <c r="Q227" s="63">
        <f t="shared" si="11"/>
        <v>33516</v>
      </c>
    </row>
    <row r="228" spans="13:17" x14ac:dyDescent="0.25">
      <c r="M228" s="49">
        <v>45485</v>
      </c>
      <c r="N228" s="48" t="s">
        <v>5213</v>
      </c>
      <c r="O228" s="35"/>
      <c r="P228" s="4">
        <v>200</v>
      </c>
      <c r="Q228" s="63">
        <f t="shared" si="11"/>
        <v>33316</v>
      </c>
    </row>
    <row r="229" spans="13:17" x14ac:dyDescent="0.25">
      <c r="M229" s="49">
        <v>45485</v>
      </c>
      <c r="N229" s="48" t="s">
        <v>5221</v>
      </c>
      <c r="O229" s="35"/>
      <c r="P229" s="4">
        <v>2000</v>
      </c>
      <c r="Q229" s="63">
        <f t="shared" si="11"/>
        <v>31316</v>
      </c>
    </row>
    <row r="230" spans="13:17" x14ac:dyDescent="0.25">
      <c r="M230" s="49">
        <v>45485</v>
      </c>
      <c r="N230" s="48" t="s">
        <v>5218</v>
      </c>
      <c r="O230" s="35"/>
      <c r="P230" s="4">
        <v>500</v>
      </c>
      <c r="Q230" s="63">
        <f t="shared" si="11"/>
        <v>30816</v>
      </c>
    </row>
    <row r="231" spans="13:17" x14ac:dyDescent="0.25">
      <c r="M231" s="49">
        <v>45485</v>
      </c>
      <c r="N231" s="48" t="s">
        <v>5211</v>
      </c>
      <c r="O231" s="35"/>
      <c r="P231" s="4">
        <v>1000</v>
      </c>
      <c r="Q231" s="63">
        <f t="shared" si="11"/>
        <v>29816</v>
      </c>
    </row>
    <row r="232" spans="13:17" x14ac:dyDescent="0.25">
      <c r="M232" s="49">
        <v>45485</v>
      </c>
      <c r="N232" s="48" t="s">
        <v>5224</v>
      </c>
      <c r="O232" s="35"/>
      <c r="P232" s="4">
        <v>150</v>
      </c>
      <c r="Q232" s="63">
        <f t="shared" si="11"/>
        <v>29666</v>
      </c>
    </row>
    <row r="233" spans="13:17" x14ac:dyDescent="0.25">
      <c r="M233" s="49">
        <v>45486</v>
      </c>
      <c r="N233" s="48" t="s">
        <v>1253</v>
      </c>
      <c r="O233" s="35">
        <v>2550</v>
      </c>
      <c r="P233" s="35"/>
      <c r="Q233" s="63">
        <f t="shared" si="11"/>
        <v>32216</v>
      </c>
    </row>
    <row r="234" spans="13:17" x14ac:dyDescent="0.25">
      <c r="M234" s="49">
        <v>45486</v>
      </c>
      <c r="N234" s="48" t="s">
        <v>1253</v>
      </c>
      <c r="O234" s="35">
        <v>500</v>
      </c>
      <c r="P234" s="35"/>
      <c r="Q234" s="63">
        <f t="shared" si="11"/>
        <v>32716</v>
      </c>
    </row>
    <row r="235" spans="13:17" x14ac:dyDescent="0.25">
      <c r="M235" s="49">
        <v>45487</v>
      </c>
      <c r="N235" s="48" t="s">
        <v>4332</v>
      </c>
      <c r="O235" s="35">
        <v>10000</v>
      </c>
      <c r="P235" s="35"/>
      <c r="Q235" s="63">
        <f t="shared" si="11"/>
        <v>42716</v>
      </c>
    </row>
    <row r="236" spans="13:17" x14ac:dyDescent="0.25">
      <c r="M236" s="49">
        <v>45487</v>
      </c>
      <c r="N236">
        <v>1818</v>
      </c>
      <c r="P236">
        <v>4800</v>
      </c>
      <c r="Q236" s="63">
        <f t="shared" si="11"/>
        <v>37916</v>
      </c>
    </row>
    <row r="237" spans="13:17" x14ac:dyDescent="0.25">
      <c r="M237" s="49">
        <v>45487</v>
      </c>
      <c r="N237" s="48" t="s">
        <v>5227</v>
      </c>
      <c r="O237">
        <v>5000</v>
      </c>
      <c r="Q237" s="63">
        <f t="shared" si="11"/>
        <v>42916</v>
      </c>
    </row>
    <row r="238" spans="13:17" x14ac:dyDescent="0.25">
      <c r="M238" s="49">
        <v>45487</v>
      </c>
      <c r="N238" t="s">
        <v>1253</v>
      </c>
      <c r="O238">
        <v>4300</v>
      </c>
      <c r="Q238" s="63">
        <f t="shared" si="11"/>
        <v>47216</v>
      </c>
    </row>
    <row r="239" spans="13:17" x14ac:dyDescent="0.25">
      <c r="M239" s="5">
        <v>45488</v>
      </c>
      <c r="N239" s="100">
        <v>1309762</v>
      </c>
      <c r="P239">
        <v>10000</v>
      </c>
      <c r="Q239" s="63">
        <f t="shared" si="11"/>
        <v>37216</v>
      </c>
    </row>
    <row r="240" spans="13:17" x14ac:dyDescent="0.25">
      <c r="M240" s="5">
        <v>45488</v>
      </c>
      <c r="N240" s="100" t="s">
        <v>5237</v>
      </c>
      <c r="P240">
        <v>2000</v>
      </c>
      <c r="Q240" s="63">
        <f t="shared" si="11"/>
        <v>35216</v>
      </c>
    </row>
    <row r="241" spans="13:17" x14ac:dyDescent="0.25">
      <c r="M241" s="5">
        <v>45488</v>
      </c>
      <c r="N241">
        <v>5458</v>
      </c>
      <c r="P241">
        <v>200</v>
      </c>
      <c r="Q241" s="63">
        <f t="shared" si="11"/>
        <v>35016</v>
      </c>
    </row>
    <row r="242" spans="13:17" x14ac:dyDescent="0.25">
      <c r="M242" s="5">
        <v>45488</v>
      </c>
      <c r="N242">
        <v>5459</v>
      </c>
      <c r="P242">
        <v>500</v>
      </c>
      <c r="Q242" s="63">
        <f t="shared" si="11"/>
        <v>34516</v>
      </c>
    </row>
    <row r="243" spans="13:17" x14ac:dyDescent="0.25">
      <c r="M243" s="5">
        <v>45488</v>
      </c>
      <c r="N243">
        <v>5460</v>
      </c>
      <c r="P243">
        <v>500</v>
      </c>
      <c r="Q243" s="63">
        <f t="shared" si="11"/>
        <v>34016</v>
      </c>
    </row>
    <row r="244" spans="13:17" x14ac:dyDescent="0.25">
      <c r="M244" s="5">
        <v>45488</v>
      </c>
      <c r="N244">
        <v>5461</v>
      </c>
      <c r="P244">
        <v>500</v>
      </c>
      <c r="Q244" s="63">
        <f t="shared" si="11"/>
        <v>33516</v>
      </c>
    </row>
    <row r="245" spans="13:17" x14ac:dyDescent="0.25">
      <c r="M245" s="5">
        <v>45488</v>
      </c>
      <c r="N245">
        <v>4164</v>
      </c>
      <c r="P245">
        <v>7000</v>
      </c>
      <c r="Q245" s="63">
        <f t="shared" si="11"/>
        <v>26516</v>
      </c>
    </row>
    <row r="246" spans="13:17" x14ac:dyDescent="0.25">
      <c r="M246" s="5">
        <v>45488</v>
      </c>
      <c r="N246" t="s">
        <v>1253</v>
      </c>
      <c r="O246">
        <v>400</v>
      </c>
      <c r="Q246" s="63">
        <f t="shared" si="11"/>
        <v>26916</v>
      </c>
    </row>
    <row r="247" spans="13:17" x14ac:dyDescent="0.25">
      <c r="M247" s="65">
        <v>45489</v>
      </c>
      <c r="N247" t="s">
        <v>2721</v>
      </c>
      <c r="P247">
        <v>6000</v>
      </c>
      <c r="Q247" s="63">
        <f t="shared" si="11"/>
        <v>20916</v>
      </c>
    </row>
    <row r="248" spans="13:17" x14ac:dyDescent="0.25">
      <c r="M248" s="65">
        <v>45489</v>
      </c>
      <c r="P248">
        <v>300</v>
      </c>
      <c r="Q248" s="63">
        <f t="shared" si="11"/>
        <v>20616</v>
      </c>
    </row>
    <row r="249" spans="13:17" x14ac:dyDescent="0.25">
      <c r="M249" s="65">
        <v>45489</v>
      </c>
      <c r="P249">
        <v>200</v>
      </c>
      <c r="Q249" s="63">
        <f t="shared" si="11"/>
        <v>20416</v>
      </c>
    </row>
    <row r="250" spans="13:17" x14ac:dyDescent="0.25">
      <c r="M250" s="65">
        <v>45489</v>
      </c>
      <c r="O250">
        <v>4000</v>
      </c>
      <c r="Q250" s="63">
        <f t="shared" si="11"/>
        <v>24416</v>
      </c>
    </row>
    <row r="251" spans="13:17" x14ac:dyDescent="0.25">
      <c r="Q251" s="63">
        <f t="shared" si="11"/>
        <v>24416</v>
      </c>
    </row>
  </sheetData>
  <mergeCells count="4">
    <mergeCell ref="S3:W3"/>
    <mergeCell ref="M3:Q3"/>
    <mergeCell ref="G3:K3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CR-DR</vt:lpstr>
      <vt:lpstr>od-24</vt:lpstr>
      <vt:lpstr>nps</vt:lpstr>
      <vt:lpstr>Trading</vt:lpstr>
      <vt:lpstr>Monthly exp</vt:lpstr>
      <vt:lpstr>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BIGBOSE</dc:creator>
  <cp:lastModifiedBy>Sanjay Kumar</cp:lastModifiedBy>
  <cp:lastPrinted>2024-05-29T15:05:24Z</cp:lastPrinted>
  <dcterms:created xsi:type="dcterms:W3CDTF">2016-11-27T12:06:29Z</dcterms:created>
  <dcterms:modified xsi:type="dcterms:W3CDTF">2024-08-20T13:14:36Z</dcterms:modified>
</cp:coreProperties>
</file>