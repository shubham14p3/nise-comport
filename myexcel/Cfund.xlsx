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bf91f1af5a7b6986/MYEXCEL/"/>
    </mc:Choice>
  </mc:AlternateContent>
  <xr:revisionPtr revIDLastSave="1" documentId="13_ncr:1_{7BAA5F94-5BD3-4469-B103-9A44B7B142BA}" xr6:coauthVersionLast="47" xr6:coauthVersionMax="47" xr10:uidLastSave="{51DCADF8-5A02-420C-A520-8B19A296283F}"/>
  <bookViews>
    <workbookView xWindow="-108" yWindow="-108" windowWidth="23256" windowHeight="12576" tabRatio="841" xr2:uid="{00000000-000D-0000-FFFF-FFFF00000000}"/>
  </bookViews>
  <sheets>
    <sheet name="CF" sheetId="16" r:id="rId1"/>
  </sheets>
  <definedNames>
    <definedName name="kharangajhar" localSheetId="0">#REF!</definedName>
    <definedName name="kharangajhar">#REF!</definedName>
    <definedName name="Madarsacolony" localSheetId="0">#REF!</definedName>
    <definedName name="Madarsacolony">#REF!</definedName>
    <definedName name="radhikanagar" localSheetId="0">#REF!</definedName>
    <definedName name="radhikanagar">#REF!</definedName>
  </definedNames>
  <calcPr calcId="181029"/>
</workbook>
</file>

<file path=xl/calcChain.xml><?xml version="1.0" encoding="utf-8"?>
<calcChain xmlns="http://schemas.openxmlformats.org/spreadsheetml/2006/main">
  <c r="W40" i="16" l="1"/>
  <c r="V40" i="16" s="1"/>
  <c r="X40" i="16" s="1"/>
  <c r="X41" i="16" s="1"/>
  <c r="V41" i="16"/>
  <c r="W41" i="16"/>
  <c r="Q40" i="16"/>
  <c r="S40" i="16" s="1"/>
  <c r="S41" i="16" s="1"/>
  <c r="Q41" i="16"/>
  <c r="Z36" i="16"/>
  <c r="Q33" i="16"/>
  <c r="Z33" i="16" s="1"/>
  <c r="V33" i="16"/>
  <c r="W33" i="16"/>
  <c r="W34" i="16"/>
  <c r="Z32" i="16"/>
  <c r="W31" i="16"/>
  <c r="W32" i="16"/>
  <c r="V32" i="16" s="1"/>
  <c r="W35" i="16"/>
  <c r="W36" i="16"/>
  <c r="V36" i="16" s="1"/>
  <c r="W37" i="16"/>
  <c r="W38" i="16"/>
  <c r="W39" i="16"/>
  <c r="V39" i="16" s="1"/>
  <c r="W30" i="16"/>
  <c r="V45" i="16"/>
  <c r="K46" i="16"/>
  <c r="K27" i="16"/>
  <c r="W27" i="16"/>
  <c r="V27" i="16" s="1"/>
  <c r="J26" i="16"/>
  <c r="N26" i="16" s="1"/>
  <c r="Q39" i="16"/>
  <c r="J30" i="16"/>
  <c r="C30" i="16"/>
  <c r="V26" i="16"/>
  <c r="V28" i="16"/>
  <c r="V29" i="16"/>
  <c r="V30" i="16"/>
  <c r="Z30" i="16" s="1"/>
  <c r="V31" i="16"/>
  <c r="V37" i="16"/>
  <c r="V38" i="16"/>
  <c r="V24" i="16"/>
  <c r="Q26" i="16"/>
  <c r="Q27" i="16"/>
  <c r="Q28" i="16"/>
  <c r="Q29" i="16"/>
  <c r="Q30" i="16"/>
  <c r="Q31" i="16"/>
  <c r="Z31" i="16" s="1"/>
  <c r="Q32" i="16"/>
  <c r="Q36" i="16"/>
  <c r="Q37" i="16"/>
  <c r="Q38" i="16"/>
  <c r="Q24" i="16"/>
  <c r="V23" i="16"/>
  <c r="V22" i="16"/>
  <c r="Q23" i="16"/>
  <c r="Q22" i="16"/>
  <c r="G4" i="16"/>
  <c r="K34" i="16"/>
  <c r="X21" i="16"/>
  <c r="S21" i="16"/>
  <c r="C4" i="16"/>
  <c r="C21" i="16"/>
  <c r="Z21" i="16" s="1"/>
  <c r="C22" i="16"/>
  <c r="C23" i="16"/>
  <c r="C24" i="16"/>
  <c r="C26" i="16"/>
  <c r="C27" i="16"/>
  <c r="C28" i="16"/>
  <c r="C29" i="16"/>
  <c r="J22" i="16"/>
  <c r="N22" i="16" s="1"/>
  <c r="J23" i="16"/>
  <c r="N23" i="16" s="1"/>
  <c r="J24" i="16"/>
  <c r="N24" i="16" s="1"/>
  <c r="J27" i="16"/>
  <c r="N27" i="16" s="1"/>
  <c r="J28" i="16"/>
  <c r="J29" i="16"/>
  <c r="J21" i="16"/>
  <c r="J20" i="16"/>
  <c r="N20" i="16" s="1"/>
  <c r="C20" i="16"/>
  <c r="C19" i="16"/>
  <c r="J19" i="16"/>
  <c r="N19" i="16" s="1"/>
  <c r="J17" i="16"/>
  <c r="N17" i="16" s="1"/>
  <c r="J18" i="16"/>
  <c r="N18" i="16" s="1"/>
  <c r="C17" i="16"/>
  <c r="C18" i="16"/>
  <c r="J16" i="16"/>
  <c r="N16" i="16" s="1"/>
  <c r="N15" i="16"/>
  <c r="C16" i="16"/>
  <c r="J14" i="16"/>
  <c r="N14" i="16" s="1"/>
  <c r="C14" i="16"/>
  <c r="J13" i="16"/>
  <c r="C13" i="16"/>
  <c r="N8" i="16"/>
  <c r="J12" i="16"/>
  <c r="N12" i="16" s="1"/>
  <c r="C12" i="16"/>
  <c r="C11" i="16"/>
  <c r="J11" i="16"/>
  <c r="N11" i="16" s="1"/>
  <c r="J10" i="16"/>
  <c r="N10" i="16" s="1"/>
  <c r="C10" i="16"/>
  <c r="J9" i="16"/>
  <c r="N9" i="16" s="1"/>
  <c r="C9" i="16"/>
  <c r="Z29" i="16" l="1"/>
  <c r="Z28" i="16"/>
  <c r="Z27" i="16"/>
  <c r="Z26" i="16"/>
  <c r="Z24" i="16"/>
  <c r="Z22" i="16"/>
  <c r="Z23" i="16"/>
  <c r="X22" i="16"/>
  <c r="X23" i="16" s="1"/>
  <c r="X24" i="16" s="1"/>
  <c r="V18" i="16"/>
  <c r="Y18" i="16" s="1"/>
  <c r="S22" i="16"/>
  <c r="S23" i="16" s="1"/>
  <c r="S24" i="16" s="1"/>
  <c r="Q18" i="16"/>
  <c r="S17" i="16" s="1"/>
  <c r="J3" i="16"/>
  <c r="L4" i="16" s="1"/>
  <c r="C3" i="16"/>
  <c r="N21" i="16"/>
  <c r="N13" i="16"/>
  <c r="L8" i="16"/>
  <c r="L9" i="16" s="1"/>
  <c r="S26" i="16" l="1"/>
  <c r="S27" i="16" s="1"/>
  <c r="S28" i="16" s="1"/>
  <c r="S29" i="16" s="1"/>
  <c r="S30" i="16" s="1"/>
  <c r="S31" i="16" s="1"/>
  <c r="S32" i="16" s="1"/>
  <c r="S33" i="16" s="1"/>
  <c r="S34" i="16" s="1"/>
  <c r="S35" i="16" s="1"/>
  <c r="S36" i="16" s="1"/>
  <c r="S37" i="16" s="1"/>
  <c r="S38" i="16" s="1"/>
  <c r="S39" i="16" s="1"/>
  <c r="X26" i="16"/>
  <c r="X27" i="16" s="1"/>
  <c r="X28" i="16" s="1"/>
  <c r="X29" i="16" s="1"/>
  <c r="X30" i="16" s="1"/>
  <c r="X31" i="16" s="1"/>
  <c r="X32" i="16" s="1"/>
  <c r="X33" i="16" s="1"/>
  <c r="X36" i="16" s="1"/>
  <c r="X37" i="16" s="1"/>
  <c r="X38" i="16" s="1"/>
  <c r="X39" i="16" s="1"/>
  <c r="N2" i="16"/>
  <c r="E4" i="16" l="1"/>
  <c r="E8" i="16" l="1"/>
  <c r="E9" i="16" l="1"/>
  <c r="F8" i="16"/>
  <c r="L10" i="16"/>
  <c r="E10" i="16" l="1"/>
  <c r="F9" i="16"/>
  <c r="L11" i="16"/>
  <c r="E11" i="16" l="1"/>
  <c r="F10" i="16"/>
  <c r="L12" i="16"/>
  <c r="E12" i="16" l="1"/>
  <c r="F11" i="16"/>
  <c r="L13" i="16"/>
  <c r="E13" i="16" l="1"/>
  <c r="F12" i="16"/>
  <c r="L14" i="16"/>
  <c r="E14" i="16" l="1"/>
  <c r="F13" i="16"/>
  <c r="L15" i="16"/>
  <c r="E15" i="16" l="1"/>
  <c r="F14" i="16"/>
  <c r="L16" i="16"/>
  <c r="E16" i="16" l="1"/>
  <c r="F15" i="16"/>
  <c r="L17" i="16"/>
  <c r="L18" i="16" s="1"/>
  <c r="L19" i="16" s="1"/>
  <c r="L20" i="16" s="1"/>
  <c r="L21" i="16" s="1"/>
  <c r="L22" i="16" s="1"/>
  <c r="L23" i="16" s="1"/>
  <c r="L24" i="16" s="1"/>
  <c r="L26" i="16" l="1"/>
  <c r="L27" i="16" s="1"/>
  <c r="L28" i="16" s="1"/>
  <c r="L29" i="16" s="1"/>
  <c r="L30" i="16" s="1"/>
  <c r="E17" i="16"/>
  <c r="F16" i="16"/>
  <c r="E18" i="16" l="1"/>
  <c r="F17" i="16"/>
  <c r="E19" i="16" l="1"/>
  <c r="F18" i="16"/>
  <c r="E20" i="16" l="1"/>
  <c r="F19" i="16"/>
  <c r="E21" i="16" l="1"/>
  <c r="F20" i="16"/>
  <c r="E22" i="16" l="1"/>
  <c r="F21" i="16"/>
  <c r="E23" i="16" l="1"/>
  <c r="F22" i="16"/>
  <c r="F23" i="16" l="1"/>
  <c r="E24" i="16"/>
  <c r="F24" i="16" l="1"/>
  <c r="E26" i="16" l="1"/>
  <c r="F26" i="16" l="1"/>
  <c r="E27" i="16"/>
  <c r="F27" i="16" l="1"/>
  <c r="E28" i="16"/>
  <c r="E29" i="16" l="1"/>
  <c r="F28" i="16"/>
  <c r="F29" i="16" l="1"/>
  <c r="E30" i="16"/>
  <c r="F30" i="16" s="1"/>
</calcChain>
</file>

<file path=xl/sharedStrings.xml><?xml version="1.0" encoding="utf-8"?>
<sst xmlns="http://schemas.openxmlformats.org/spreadsheetml/2006/main" count="103" uniqueCount="29">
  <si>
    <t>Deposite</t>
  </si>
  <si>
    <t>Jan</t>
  </si>
  <si>
    <t>Feb</t>
  </si>
  <si>
    <t>Mar</t>
  </si>
  <si>
    <t>Apr</t>
  </si>
  <si>
    <t>Sep</t>
  </si>
  <si>
    <t>Oct</t>
  </si>
  <si>
    <t>Nov</t>
  </si>
  <si>
    <t>Dec</t>
  </si>
  <si>
    <t>l_pay</t>
  </si>
  <si>
    <t>T_paid</t>
  </si>
  <si>
    <t>rcvd</t>
  </si>
  <si>
    <t>May</t>
  </si>
  <si>
    <t>Jun</t>
  </si>
  <si>
    <t>Jul</t>
  </si>
  <si>
    <t>Aug</t>
  </si>
  <si>
    <t>int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</si>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</sst>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1" fillId="0" borderId="0" xfId="0" applyNumberFormat="1" applyFont="1"/>
    <xf numFmtId="0" fontId="1" fillId="0" borderId="0" xfId="0" applyFont="1"/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1" fontId="0" fillId="2" borderId="0" xfId="0" applyNumberFormat="1" applyFill="1"/>
    <xf numFmtId="8" fontId="0" fillId="0" borderId="0" xfId="0" applyNumberFormat="1"/>
    <xf numFmtId="9" fontId="0" fillId="0" borderId="0" xfId="0" applyNumberFormat="1"/>
    <xf numFmtId="2" fontId="0" fillId="0" borderId="0" xfId="0" applyNumberFormat="1" applyAlignment="1">
      <alignment horizontal="left" indent="1"/>
    </xf>
    <xf numFmtId="2" fontId="0" fillId="0" borderId="0" xfId="0" applyNumberFormat="1"/>
    <xf numFmtId="0" fontId="0" fillId="2" borderId="0" xfId="0" applyFill="1" applyAlignment="1">
      <alignment horizontal="right"/>
    </xf>
    <xf numFmtId="1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6"/>
  <sheetViews>
    <sheetView tabSelected="1" topLeftCell="E23" zoomScaleNormal="100" workbookViewId="0">
      <selection activeCell="X17" sqref="X17"/>
    </sheetView>
  </sheetViews>
  <sheetFormatPr defaultRowHeight="14.4" x14ac:dyDescent="0.3"/>
  <cols>
    <col min="1" max="1" width="5.5546875" customWidth="1"/>
    <col min="2" max="2" width="8.44140625" style="3" customWidth="1"/>
    <col min="3" max="3" width="7.109375" customWidth="1"/>
    <col min="4" max="4" width="8.109375" customWidth="1"/>
    <col min="5" max="5" width="9.44140625" customWidth="1"/>
    <col min="6" max="6" width="10.33203125" customWidth="1"/>
    <col min="7" max="7" width="9" customWidth="1"/>
    <col min="8" max="8" width="4.88671875" customWidth="1"/>
    <col min="9" max="9" width="7.109375" customWidth="1"/>
    <col min="10" max="10" width="7.88671875" customWidth="1"/>
    <col min="11" max="11" width="13.6640625" customWidth="1"/>
    <col min="12" max="12" width="8.6640625" customWidth="1"/>
    <col min="13" max="13" width="3.44140625" customWidth="1"/>
    <col min="14" max="14" width="10.33203125" style="2" customWidth="1"/>
  </cols>
  <sheetData>
    <row r="1" spans="1:26" x14ac:dyDescent="0.3">
      <c r="B1" s="3" t="s">
        <v>9</v>
      </c>
      <c r="C1" s="1"/>
      <c r="D1">
        <v>105000</v>
      </c>
      <c r="E1" s="1"/>
      <c r="F1" s="1"/>
      <c r="G1" s="1"/>
      <c r="H1" s="1"/>
      <c r="I1" s="3" t="s">
        <v>9</v>
      </c>
      <c r="J1" s="1"/>
      <c r="K1" s="1"/>
      <c r="L1" s="1"/>
      <c r="M1" s="1"/>
      <c r="N1" s="6"/>
      <c r="Z1" s="6"/>
    </row>
    <row r="2" spans="1:26" x14ac:dyDescent="0.3">
      <c r="A2" s="2"/>
      <c r="F2" s="1"/>
      <c r="G2" s="1"/>
      <c r="H2" s="1"/>
      <c r="I2" s="3"/>
      <c r="J2" t="s">
        <v>11</v>
      </c>
      <c r="L2" s="1"/>
      <c r="M2" s="1"/>
      <c r="N2" s="6">
        <f>SUM(N8:N28)</f>
        <v>6908.5714285714284</v>
      </c>
      <c r="Z2" s="6"/>
    </row>
    <row r="3" spans="1:26" x14ac:dyDescent="0.3">
      <c r="A3" s="2"/>
      <c r="B3" s="3" t="s">
        <v>10</v>
      </c>
      <c r="C3">
        <f>SUM(C8:C29)</f>
        <v>88709.523809523816</v>
      </c>
      <c r="E3" s="1"/>
      <c r="F3" s="1"/>
      <c r="G3" s="1"/>
      <c r="H3" s="1"/>
      <c r="I3" s="3" t="s">
        <v>10</v>
      </c>
      <c r="J3">
        <f>SUM(J8:J29)</f>
        <v>88709.523809523816</v>
      </c>
      <c r="K3">
        <v>105000</v>
      </c>
      <c r="L3" s="1"/>
      <c r="M3" s="1"/>
      <c r="N3" s="6"/>
      <c r="Z3" s="6"/>
    </row>
    <row r="4" spans="1:26" x14ac:dyDescent="0.3">
      <c r="A4" s="2"/>
      <c r="B4" t="s">
        <v>11</v>
      </c>
      <c r="C4">
        <f>105000-14000</f>
        <v>91000</v>
      </c>
      <c r="E4" s="1">
        <f>C4-C3</f>
        <v>2290.4761904761835</v>
      </c>
      <c r="F4" s="14">
        <v>0.12</v>
      </c>
      <c r="G4" s="1">
        <f>F4*100</f>
        <v>12</v>
      </c>
      <c r="H4" s="1"/>
      <c r="I4" s="3" t="s">
        <v>11</v>
      </c>
      <c r="J4">
        <v>91500</v>
      </c>
      <c r="L4" s="1">
        <f>J4-J3</f>
        <v>2790.4761904761835</v>
      </c>
      <c r="M4" s="1"/>
      <c r="N4" s="6"/>
      <c r="P4" s="3"/>
      <c r="S4" s="1"/>
      <c r="T4" s="1"/>
      <c r="U4" s="3"/>
      <c r="X4" s="1"/>
      <c r="Y4" s="1"/>
      <c r="Z4" s="6"/>
    </row>
    <row r="5" spans="1:26" x14ac:dyDescent="0.3">
      <c r="A5" s="2"/>
      <c r="E5" s="1"/>
      <c r="F5" s="13"/>
      <c r="G5" s="1"/>
      <c r="H5" s="1"/>
      <c r="I5" s="3"/>
      <c r="L5" s="1"/>
      <c r="M5" s="1"/>
      <c r="N5" s="6">
        <v>9</v>
      </c>
      <c r="P5" s="3"/>
      <c r="S5" s="1"/>
      <c r="T5" s="1"/>
      <c r="U5" s="3"/>
      <c r="X5" s="1"/>
      <c r="Y5" s="1"/>
      <c r="Z5" s="6">
        <v>9</v>
      </c>
    </row>
    <row r="6" spans="1:26" x14ac:dyDescent="0.3">
      <c r="A6" s="2"/>
      <c r="E6" s="1"/>
      <c r="F6" s="1"/>
      <c r="G6" s="1"/>
      <c r="H6" s="1"/>
      <c r="I6" s="3"/>
      <c r="L6" s="1"/>
      <c r="M6" s="1"/>
      <c r="N6" s="6"/>
      <c r="P6" s="3"/>
      <c r="S6" s="1"/>
      <c r="T6" s="1"/>
      <c r="U6" s="3"/>
      <c r="X6" s="1"/>
      <c r="Y6" s="1"/>
      <c r="Z6" s="6"/>
    </row>
    <row r="7" spans="1:26" x14ac:dyDescent="0.3">
      <c r="A7" s="7"/>
      <c r="B7" s="8">
        <v>2023</v>
      </c>
      <c r="C7" s="9"/>
      <c r="D7" s="9"/>
      <c r="E7" s="9" t="s">
        <v>0</v>
      </c>
      <c r="I7" s="3">
        <v>2023</v>
      </c>
      <c r="L7" t="s">
        <v>0</v>
      </c>
      <c r="N7" s="2" t="s">
        <v>16</v>
      </c>
      <c r="P7" s="3"/>
      <c r="S7" s="1"/>
      <c r="T7" s="1"/>
      <c r="U7" s="3"/>
      <c r="X7" s="1"/>
      <c r="Y7" s="1"/>
      <c r="Z7" s="6"/>
    </row>
    <row r="8" spans="1:26" x14ac:dyDescent="0.3">
      <c r="A8" s="7">
        <v>1</v>
      </c>
      <c r="B8" s="8" t="s">
        <v>4</v>
      </c>
      <c r="C8" s="9">
        <v>5000</v>
      </c>
      <c r="D8" s="9"/>
      <c r="E8" s="10">
        <f>C8+D8</f>
        <v>5000</v>
      </c>
      <c r="F8" s="1">
        <f>E8+(E8*F$4/12)</f>
        <v>5050</v>
      </c>
      <c r="G8" s="1"/>
      <c r="H8" s="1"/>
      <c r="I8" s="8" t="s">
        <v>4</v>
      </c>
      <c r="J8" s="9">
        <v>5000</v>
      </c>
      <c r="K8" s="9"/>
      <c r="L8" s="10">
        <f>J8+K8</f>
        <v>5000</v>
      </c>
      <c r="M8" s="1"/>
      <c r="N8" s="6">
        <f>J8*(21-A8)*N$5/1200</f>
        <v>750</v>
      </c>
      <c r="P8" s="3"/>
      <c r="S8" s="1"/>
      <c r="T8" s="1"/>
      <c r="U8" s="3"/>
      <c r="X8" s="1"/>
      <c r="Y8" s="1"/>
      <c r="Z8" s="6"/>
    </row>
    <row r="9" spans="1:26" ht="15" customHeight="1" x14ac:dyDescent="0.3">
      <c r="A9" s="7">
        <v>2</v>
      </c>
      <c r="B9" s="8" t="s">
        <v>12</v>
      </c>
      <c r="C9" s="10">
        <f t="shared" ref="C9:C16" si="0">5000-(D9/21)</f>
        <v>4047.6190476190477</v>
      </c>
      <c r="D9" s="9">
        <v>20000</v>
      </c>
      <c r="E9" s="10">
        <f>C9+E8</f>
        <v>9047.6190476190477</v>
      </c>
      <c r="F9" s="1">
        <f t="shared" ref="F9:F29" si="1">E9+(E9*F$4/12)</f>
        <v>9138.0952380952385</v>
      </c>
      <c r="G9" s="1"/>
      <c r="H9" s="1"/>
      <c r="I9" s="8" t="s">
        <v>12</v>
      </c>
      <c r="J9" s="10">
        <f t="shared" ref="J9:J16" si="2">5000-(K9/21)</f>
        <v>4047.6190476190477</v>
      </c>
      <c r="K9" s="9">
        <v>20000</v>
      </c>
      <c r="L9" s="10">
        <f>L8+J9</f>
        <v>9047.6190476190477</v>
      </c>
      <c r="M9" s="1"/>
      <c r="N9" s="6">
        <f t="shared" ref="N9:N14" si="3">J9*(21-A9)*N$5/1200</f>
        <v>576.78571428571433</v>
      </c>
      <c r="P9" s="3"/>
      <c r="S9" s="1"/>
      <c r="T9" s="1"/>
      <c r="U9" s="3"/>
      <c r="X9" s="1"/>
      <c r="Y9" s="1"/>
      <c r="Z9" s="6"/>
    </row>
    <row r="10" spans="1:26" x14ac:dyDescent="0.3">
      <c r="A10" s="7">
        <v>3</v>
      </c>
      <c r="B10" s="8" t="s">
        <v>13</v>
      </c>
      <c r="C10" s="10">
        <f t="shared" si="0"/>
        <v>4142.8571428571431</v>
      </c>
      <c r="D10" s="9">
        <v>18000</v>
      </c>
      <c r="E10" s="10">
        <f t="shared" ref="E10:E29" si="4">C10+E9</f>
        <v>13190.476190476191</v>
      </c>
      <c r="F10" s="1">
        <f t="shared" si="1"/>
        <v>13322.380952380952</v>
      </c>
      <c r="G10" s="1"/>
      <c r="H10" s="1"/>
      <c r="I10" s="8" t="s">
        <v>13</v>
      </c>
      <c r="J10" s="10">
        <f t="shared" si="2"/>
        <v>4142.8571428571431</v>
      </c>
      <c r="K10" s="9">
        <v>18000</v>
      </c>
      <c r="L10" s="10">
        <f t="shared" ref="L10:L11" si="5">L9+J10</f>
        <v>13190.476190476191</v>
      </c>
      <c r="M10" s="1"/>
      <c r="N10" s="6">
        <f t="shared" si="3"/>
        <v>559.28571428571445</v>
      </c>
      <c r="P10" s="3"/>
      <c r="S10" s="1"/>
      <c r="T10" s="1"/>
      <c r="U10" s="3"/>
      <c r="X10" s="1"/>
      <c r="Y10" s="1"/>
      <c r="Z10" s="6"/>
    </row>
    <row r="11" spans="1:26" x14ac:dyDescent="0.3">
      <c r="A11" s="7">
        <v>4</v>
      </c>
      <c r="B11" s="8" t="s">
        <v>14</v>
      </c>
      <c r="C11" s="10">
        <f t="shared" si="0"/>
        <v>4142.8571428571431</v>
      </c>
      <c r="D11" s="9">
        <v>18000</v>
      </c>
      <c r="E11" s="10">
        <f t="shared" si="4"/>
        <v>17333.333333333336</v>
      </c>
      <c r="F11" s="1">
        <f t="shared" si="1"/>
        <v>17506.666666666668</v>
      </c>
      <c r="G11" s="1"/>
      <c r="H11" s="1"/>
      <c r="I11" s="8" t="s">
        <v>14</v>
      </c>
      <c r="J11" s="10">
        <f t="shared" si="2"/>
        <v>4142.8571428571431</v>
      </c>
      <c r="K11" s="9">
        <v>18000</v>
      </c>
      <c r="L11" s="10">
        <f t="shared" si="5"/>
        <v>17333.333333333336</v>
      </c>
      <c r="M11" s="1"/>
      <c r="N11" s="6">
        <f t="shared" si="3"/>
        <v>528.21428571428578</v>
      </c>
      <c r="P11" s="3"/>
      <c r="S11" s="1"/>
      <c r="T11" s="1"/>
      <c r="U11" s="3"/>
      <c r="X11" s="1"/>
      <c r="Y11" s="1"/>
      <c r="Z11" s="6"/>
    </row>
    <row r="12" spans="1:26" x14ac:dyDescent="0.3">
      <c r="A12" s="7">
        <v>5</v>
      </c>
      <c r="B12" s="8" t="s">
        <v>15</v>
      </c>
      <c r="C12" s="10">
        <f t="shared" si="0"/>
        <v>4238.0952380952385</v>
      </c>
      <c r="D12" s="9">
        <v>16000</v>
      </c>
      <c r="E12" s="10">
        <f t="shared" si="4"/>
        <v>21571.428571428572</v>
      </c>
      <c r="F12" s="1">
        <f t="shared" si="1"/>
        <v>21787.142857142859</v>
      </c>
      <c r="G12" s="1"/>
      <c r="H12" s="1"/>
      <c r="I12" s="8" t="s">
        <v>15</v>
      </c>
      <c r="J12" s="10">
        <f t="shared" si="2"/>
        <v>4238.0952380952385</v>
      </c>
      <c r="K12" s="9">
        <v>16000</v>
      </c>
      <c r="L12" s="10">
        <f>L11+J12</f>
        <v>21571.428571428572</v>
      </c>
      <c r="M12" s="1"/>
      <c r="N12" s="6">
        <f t="shared" si="3"/>
        <v>508.57142857142861</v>
      </c>
      <c r="P12" s="3"/>
      <c r="S12" s="1"/>
      <c r="T12" s="1"/>
      <c r="U12" s="3"/>
      <c r="X12" s="1"/>
      <c r="Y12" s="1"/>
      <c r="Z12" s="6"/>
    </row>
    <row r="13" spans="1:26" x14ac:dyDescent="0.3">
      <c r="A13" s="7">
        <v>6</v>
      </c>
      <c r="B13" s="8" t="s">
        <v>5</v>
      </c>
      <c r="C13" s="10">
        <f t="shared" si="0"/>
        <v>4238.0952380952385</v>
      </c>
      <c r="D13" s="9">
        <v>16000</v>
      </c>
      <c r="E13" s="10">
        <f t="shared" si="4"/>
        <v>25809.523809523809</v>
      </c>
      <c r="F13" s="1">
        <f t="shared" si="1"/>
        <v>26067.619047619046</v>
      </c>
      <c r="G13" s="1"/>
      <c r="H13" s="1"/>
      <c r="I13" s="8" t="s">
        <v>5</v>
      </c>
      <c r="J13" s="10">
        <f t="shared" si="2"/>
        <v>4238.0952380952385</v>
      </c>
      <c r="K13" s="9">
        <v>16000</v>
      </c>
      <c r="L13" s="10">
        <f t="shared" ref="L13:L29" si="6">L12+J13</f>
        <v>25809.523809523809</v>
      </c>
      <c r="M13" s="1"/>
      <c r="N13" s="6">
        <f t="shared" si="3"/>
        <v>476.78571428571439</v>
      </c>
      <c r="P13" s="3"/>
      <c r="S13" s="1"/>
      <c r="T13" s="1"/>
      <c r="U13" s="3"/>
      <c r="X13" s="1"/>
      <c r="Y13" s="1"/>
      <c r="Z13" s="6"/>
    </row>
    <row r="14" spans="1:26" x14ac:dyDescent="0.3">
      <c r="A14" s="7">
        <v>7</v>
      </c>
      <c r="B14" s="8" t="s">
        <v>6</v>
      </c>
      <c r="C14" s="10">
        <f t="shared" si="0"/>
        <v>4142.8571428571431</v>
      </c>
      <c r="D14" s="9">
        <v>18000</v>
      </c>
      <c r="E14" s="10">
        <f t="shared" si="4"/>
        <v>29952.380952380954</v>
      </c>
      <c r="F14" s="1">
        <f t="shared" si="1"/>
        <v>30251.904761904763</v>
      </c>
      <c r="G14" s="1"/>
      <c r="H14" s="1"/>
      <c r="I14" s="8" t="s">
        <v>6</v>
      </c>
      <c r="J14" s="10">
        <f t="shared" si="2"/>
        <v>4142.8571428571431</v>
      </c>
      <c r="K14" s="9">
        <v>18000</v>
      </c>
      <c r="L14" s="10">
        <f t="shared" si="6"/>
        <v>29952.380952380954</v>
      </c>
      <c r="M14" s="1"/>
      <c r="N14" s="6">
        <f t="shared" si="3"/>
        <v>435</v>
      </c>
      <c r="P14" s="3"/>
      <c r="S14" s="1"/>
      <c r="T14" s="1"/>
      <c r="U14" s="3"/>
      <c r="X14" s="1"/>
      <c r="Y14" s="1"/>
      <c r="Z14" s="6"/>
    </row>
    <row r="15" spans="1:26" x14ac:dyDescent="0.3">
      <c r="A15" s="7"/>
      <c r="B15" s="8" t="s">
        <v>7</v>
      </c>
      <c r="C15" s="10"/>
      <c r="D15" s="9">
        <v>0</v>
      </c>
      <c r="E15" s="10">
        <f t="shared" si="4"/>
        <v>29952.380952380954</v>
      </c>
      <c r="F15" s="1">
        <f t="shared" si="1"/>
        <v>30251.904761904763</v>
      </c>
      <c r="I15" s="8" t="s">
        <v>7</v>
      </c>
      <c r="J15" s="10"/>
      <c r="K15" s="9">
        <v>0</v>
      </c>
      <c r="L15" s="10">
        <f t="shared" si="6"/>
        <v>29952.380952380954</v>
      </c>
      <c r="N15" s="6">
        <f t="shared" ref="N15:N27" si="7">J15*(21-A16)*N$5/1200</f>
        <v>0</v>
      </c>
      <c r="P15" s="3"/>
      <c r="S15" s="1"/>
      <c r="T15" s="1"/>
      <c r="U15" s="3"/>
      <c r="X15" s="1"/>
      <c r="Y15" s="1"/>
      <c r="Z15" s="6"/>
    </row>
    <row r="16" spans="1:26" x14ac:dyDescent="0.3">
      <c r="A16" s="7">
        <v>8</v>
      </c>
      <c r="B16" s="8" t="s">
        <v>8</v>
      </c>
      <c r="C16" s="10">
        <f t="shared" si="0"/>
        <v>4238.0952380952385</v>
      </c>
      <c r="D16" s="9">
        <v>16000</v>
      </c>
      <c r="E16" s="10">
        <f t="shared" si="4"/>
        <v>34190.476190476191</v>
      </c>
      <c r="F16" s="1">
        <f t="shared" si="1"/>
        <v>34532.380952380954</v>
      </c>
      <c r="I16" s="8" t="s">
        <v>8</v>
      </c>
      <c r="J16" s="10">
        <f t="shared" si="2"/>
        <v>4238.0952380952385</v>
      </c>
      <c r="K16" s="9">
        <v>16000</v>
      </c>
      <c r="L16" s="10">
        <f t="shared" si="6"/>
        <v>34190.476190476191</v>
      </c>
      <c r="N16" s="6">
        <f t="shared" si="7"/>
        <v>381.42857142857144</v>
      </c>
      <c r="P16" s="3" t="s">
        <v>9</v>
      </c>
      <c r="Q16" s="1"/>
      <c r="R16" s="1"/>
      <c r="S16" s="1"/>
      <c r="T16" s="1"/>
      <c r="U16" s="3" t="s">
        <v>9</v>
      </c>
      <c r="V16" s="1"/>
      <c r="W16" s="1"/>
      <c r="X16" s="1"/>
      <c r="Y16" s="1"/>
      <c r="Z16" s="6"/>
    </row>
    <row r="17" spans="1:26" x14ac:dyDescent="0.3">
      <c r="A17" s="7">
        <v>9</v>
      </c>
      <c r="B17" s="8" t="s">
        <v>1</v>
      </c>
      <c r="C17" s="10">
        <f t="shared" ref="C17" si="8">5000-(D17/21)</f>
        <v>4333.333333333333</v>
      </c>
      <c r="D17" s="9">
        <v>14000</v>
      </c>
      <c r="E17" s="10">
        <f t="shared" si="4"/>
        <v>38523.809523809527</v>
      </c>
      <c r="F17" s="1">
        <f t="shared" si="1"/>
        <v>38909.047619047618</v>
      </c>
      <c r="G17" s="1"/>
      <c r="H17" s="1"/>
      <c r="I17" s="8" t="s">
        <v>1</v>
      </c>
      <c r="J17" s="10">
        <f t="shared" ref="J17" si="9">5000-(K17/21)</f>
        <v>4333.333333333333</v>
      </c>
      <c r="K17" s="9">
        <v>14000</v>
      </c>
      <c r="L17" s="10">
        <f t="shared" si="6"/>
        <v>38523.809523809527</v>
      </c>
      <c r="M17" s="1"/>
      <c r="N17" s="6">
        <f t="shared" si="7"/>
        <v>357.5</v>
      </c>
      <c r="P17" s="3"/>
      <c r="Q17" t="s">
        <v>11</v>
      </c>
      <c r="R17">
        <v>80000</v>
      </c>
      <c r="S17" s="1">
        <f>R17-Q18</f>
        <v>-1333.333333333343</v>
      </c>
      <c r="T17" s="1"/>
      <c r="U17" s="3"/>
      <c r="V17" t="s">
        <v>11</v>
      </c>
      <c r="X17" s="1"/>
      <c r="Y17" s="1"/>
      <c r="Z17" s="6"/>
    </row>
    <row r="18" spans="1:26" x14ac:dyDescent="0.3">
      <c r="A18" s="7">
        <v>10</v>
      </c>
      <c r="B18" s="8" t="s">
        <v>2</v>
      </c>
      <c r="C18" s="10">
        <f t="shared" ref="C18:C29" si="10">5000-(D18/21)</f>
        <v>4119.0476190476193</v>
      </c>
      <c r="D18" s="9">
        <v>18500</v>
      </c>
      <c r="E18" s="10">
        <f t="shared" si="4"/>
        <v>42642.857142857145</v>
      </c>
      <c r="F18" s="1">
        <f t="shared" si="1"/>
        <v>43069.285714285717</v>
      </c>
      <c r="G18" s="4"/>
      <c r="H18" s="4"/>
      <c r="I18" s="8" t="s">
        <v>2</v>
      </c>
      <c r="J18" s="10">
        <f t="shared" ref="J18:J29" si="11">5000-(K18/21)</f>
        <v>4119.0476190476193</v>
      </c>
      <c r="K18" s="9">
        <v>18500</v>
      </c>
      <c r="L18" s="10">
        <f t="shared" si="6"/>
        <v>42642.857142857145</v>
      </c>
      <c r="M18" s="4"/>
      <c r="N18" s="6">
        <f t="shared" si="7"/>
        <v>308.92857142857144</v>
      </c>
      <c r="P18" s="3" t="s">
        <v>10</v>
      </c>
      <c r="Q18">
        <f>SUM(Q21:Q42)</f>
        <v>81333.333333333343</v>
      </c>
      <c r="S18" s="1"/>
      <c r="T18" s="1"/>
      <c r="U18" s="3" t="s">
        <v>10</v>
      </c>
      <c r="V18">
        <f>SUM(V21:V42)</f>
        <v>81333.333333333343</v>
      </c>
      <c r="W18">
        <v>90000</v>
      </c>
      <c r="X18" s="1"/>
      <c r="Y18" s="1">
        <f>X17-V18</f>
        <v>-81333.333333333343</v>
      </c>
      <c r="Z18" s="6"/>
    </row>
    <row r="19" spans="1:26" x14ac:dyDescent="0.3">
      <c r="A19" s="7">
        <v>11</v>
      </c>
      <c r="B19" s="8" t="s">
        <v>3</v>
      </c>
      <c r="C19" s="10">
        <f t="shared" si="10"/>
        <v>4500</v>
      </c>
      <c r="D19" s="9">
        <v>10500</v>
      </c>
      <c r="E19" s="10">
        <f t="shared" si="4"/>
        <v>47142.857142857145</v>
      </c>
      <c r="F19" s="1">
        <f t="shared" si="1"/>
        <v>47614.285714285717</v>
      </c>
      <c r="G19" s="4"/>
      <c r="H19" s="4"/>
      <c r="I19" s="8" t="s">
        <v>3</v>
      </c>
      <c r="J19" s="10">
        <f t="shared" si="11"/>
        <v>4500</v>
      </c>
      <c r="K19" s="9">
        <v>10500</v>
      </c>
      <c r="L19" s="10">
        <f t="shared" si="6"/>
        <v>47142.857142857145</v>
      </c>
      <c r="M19" s="4"/>
      <c r="N19" s="6">
        <f t="shared" si="7"/>
        <v>303.75</v>
      </c>
      <c r="P19" s="3"/>
      <c r="S19" s="1"/>
      <c r="T19" s="1"/>
      <c r="U19" s="3"/>
      <c r="X19" s="1"/>
      <c r="Y19" s="1"/>
      <c r="Z19" s="6"/>
    </row>
    <row r="20" spans="1:26" ht="15" customHeight="1" x14ac:dyDescent="0.3">
      <c r="A20" s="7">
        <v>12</v>
      </c>
      <c r="B20" s="8" t="s">
        <v>4</v>
      </c>
      <c r="C20" s="10">
        <f t="shared" si="10"/>
        <v>4333.333333333333</v>
      </c>
      <c r="D20" s="9">
        <v>14000</v>
      </c>
      <c r="E20" s="10">
        <f t="shared" si="4"/>
        <v>51476.190476190481</v>
      </c>
      <c r="F20" s="1">
        <f t="shared" si="1"/>
        <v>51990.952380952389</v>
      </c>
      <c r="G20" s="5"/>
      <c r="H20" s="5"/>
      <c r="I20" s="8" t="s">
        <v>4</v>
      </c>
      <c r="J20" s="10">
        <f t="shared" si="11"/>
        <v>4333.333333333333</v>
      </c>
      <c r="K20" s="9">
        <v>14000</v>
      </c>
      <c r="L20" s="10">
        <f t="shared" si="6"/>
        <v>51476.190476190481</v>
      </c>
      <c r="M20" s="5"/>
      <c r="N20" s="6">
        <f t="shared" si="7"/>
        <v>260</v>
      </c>
      <c r="P20" s="3">
        <v>2024</v>
      </c>
      <c r="S20" t="s">
        <v>0</v>
      </c>
      <c r="U20" s="3">
        <v>2024</v>
      </c>
      <c r="X20" t="s">
        <v>0</v>
      </c>
      <c r="Z20" s="2" t="s">
        <v>28</v>
      </c>
    </row>
    <row r="21" spans="1:26" x14ac:dyDescent="0.3">
      <c r="A21" s="7">
        <v>13</v>
      </c>
      <c r="B21" s="8" t="s">
        <v>12</v>
      </c>
      <c r="C21" s="10">
        <f t="shared" si="10"/>
        <v>4214.2857142857147</v>
      </c>
      <c r="D21" s="9">
        <v>16500</v>
      </c>
      <c r="E21" s="10">
        <f t="shared" si="4"/>
        <v>55690.476190476198</v>
      </c>
      <c r="F21" s="1">
        <f t="shared" si="1"/>
        <v>56247.380952380961</v>
      </c>
      <c r="G21" s="5"/>
      <c r="H21" s="5"/>
      <c r="I21" s="8" t="s">
        <v>12</v>
      </c>
      <c r="J21" s="10">
        <f t="shared" si="11"/>
        <v>4214.2857142857147</v>
      </c>
      <c r="K21" s="9">
        <v>16500</v>
      </c>
      <c r="L21" s="10">
        <f t="shared" si="6"/>
        <v>55690.476190476198</v>
      </c>
      <c r="M21" s="5"/>
      <c r="N21" s="6">
        <f t="shared" si="7"/>
        <v>221.25000000000006</v>
      </c>
      <c r="P21" s="8" t="s">
        <v>12</v>
      </c>
      <c r="Q21" s="15">
        <v>5000</v>
      </c>
      <c r="R21" s="15"/>
      <c r="S21" s="15">
        <f>Q21+R21</f>
        <v>5000</v>
      </c>
      <c r="T21" s="1"/>
      <c r="U21" s="8" t="s">
        <v>12</v>
      </c>
      <c r="V21" s="15">
        <v>5000</v>
      </c>
      <c r="W21" s="15"/>
      <c r="X21" s="15">
        <f>V21+W21</f>
        <v>5000</v>
      </c>
      <c r="Y21" s="1"/>
      <c r="Z21" s="6">
        <f>C21+J21+Q21+V21</f>
        <v>18428.571428571428</v>
      </c>
    </row>
    <row r="22" spans="1:26" x14ac:dyDescent="0.3">
      <c r="A22" s="7">
        <v>14</v>
      </c>
      <c r="B22" s="8" t="s">
        <v>13</v>
      </c>
      <c r="C22" s="10">
        <f t="shared" si="10"/>
        <v>4357.1428571428569</v>
      </c>
      <c r="D22" s="9">
        <v>13500</v>
      </c>
      <c r="E22" s="10">
        <f t="shared" si="4"/>
        <v>60047.619047619053</v>
      </c>
      <c r="F22" s="1">
        <f t="shared" si="1"/>
        <v>60648.095238095244</v>
      </c>
      <c r="G22" s="1"/>
      <c r="H22" s="1"/>
      <c r="I22" s="8" t="s">
        <v>13</v>
      </c>
      <c r="J22" s="10">
        <f t="shared" si="11"/>
        <v>4357.1428571428569</v>
      </c>
      <c r="K22" s="9">
        <v>13500</v>
      </c>
      <c r="L22" s="10">
        <f t="shared" si="6"/>
        <v>60047.619047619053</v>
      </c>
      <c r="M22" s="1"/>
      <c r="N22" s="6">
        <f t="shared" si="7"/>
        <v>196.07142857142856</v>
      </c>
      <c r="P22" s="8" t="s">
        <v>17</v>
      </c>
      <c r="Q22" s="10">
        <f>5000-(R22/18)</f>
        <v>3916.666666666667</v>
      </c>
      <c r="R22" s="9">
        <v>19500</v>
      </c>
      <c r="S22" s="10">
        <f>S21+Q22</f>
        <v>8916.6666666666679</v>
      </c>
      <c r="T22" s="1"/>
      <c r="U22" s="8" t="s">
        <v>17</v>
      </c>
      <c r="V22" s="10">
        <f>5000-(W22/18)</f>
        <v>3916.666666666667</v>
      </c>
      <c r="W22" s="9">
        <v>19500</v>
      </c>
      <c r="X22" s="10">
        <f>X21+V22</f>
        <v>8916.6666666666679</v>
      </c>
      <c r="Y22" s="1"/>
      <c r="Z22" s="6">
        <f>C22+J22+Q22+V22</f>
        <v>16547.61904761905</v>
      </c>
    </row>
    <row r="23" spans="1:26" x14ac:dyDescent="0.3">
      <c r="A23" s="7">
        <v>15</v>
      </c>
      <c r="B23" s="8" t="s">
        <v>14</v>
      </c>
      <c r="C23" s="10">
        <f t="shared" si="10"/>
        <v>4500</v>
      </c>
      <c r="D23" s="9">
        <v>10500</v>
      </c>
      <c r="E23" s="10">
        <f t="shared" si="4"/>
        <v>64547.619047619053</v>
      </c>
      <c r="F23" s="1">
        <f t="shared" si="1"/>
        <v>65193.095238095244</v>
      </c>
      <c r="G23" s="1"/>
      <c r="H23" s="1"/>
      <c r="I23" s="8" t="s">
        <v>14</v>
      </c>
      <c r="J23" s="10">
        <f t="shared" si="11"/>
        <v>4500</v>
      </c>
      <c r="K23" s="9">
        <v>10500</v>
      </c>
      <c r="L23" s="10">
        <f t="shared" si="6"/>
        <v>64547.619047619053</v>
      </c>
      <c r="M23" s="1"/>
      <c r="N23" s="6">
        <f t="shared" si="7"/>
        <v>168.75</v>
      </c>
      <c r="P23" s="8" t="s">
        <v>18</v>
      </c>
      <c r="Q23" s="10">
        <f>5000-(R23/18)</f>
        <v>4166.666666666667</v>
      </c>
      <c r="R23" s="9">
        <v>15000</v>
      </c>
      <c r="S23" s="10">
        <f t="shared" ref="S23:S24" si="12">S22+Q23</f>
        <v>13083.333333333336</v>
      </c>
      <c r="T23" s="1"/>
      <c r="U23" s="8" t="s">
        <v>18</v>
      </c>
      <c r="V23" s="10">
        <f>5000-(W23/18)</f>
        <v>4166.666666666667</v>
      </c>
      <c r="W23" s="9">
        <v>15000</v>
      </c>
      <c r="X23" s="10">
        <f t="shared" ref="X23:X24" si="13">X22+V23</f>
        <v>13083.333333333336</v>
      </c>
      <c r="Y23" s="1"/>
      <c r="Z23" s="6">
        <f>C23+J23+Q23+V23</f>
        <v>17333.333333333336</v>
      </c>
    </row>
    <row r="24" spans="1:26" x14ac:dyDescent="0.3">
      <c r="A24" s="7">
        <v>16</v>
      </c>
      <c r="B24" s="8" t="s">
        <v>15</v>
      </c>
      <c r="C24" s="10">
        <f t="shared" si="10"/>
        <v>4880.9523809523807</v>
      </c>
      <c r="D24" s="9">
        <v>2500</v>
      </c>
      <c r="E24" s="10">
        <f t="shared" si="4"/>
        <v>69428.571428571435</v>
      </c>
      <c r="F24" s="1">
        <f t="shared" si="1"/>
        <v>70122.857142857145</v>
      </c>
      <c r="G24" s="1"/>
      <c r="H24" s="1"/>
      <c r="I24" s="8" t="s">
        <v>15</v>
      </c>
      <c r="J24" s="10">
        <f t="shared" si="11"/>
        <v>4880.9523809523807</v>
      </c>
      <c r="K24" s="9">
        <v>2500</v>
      </c>
      <c r="L24" s="10">
        <f t="shared" si="6"/>
        <v>69428.571428571435</v>
      </c>
      <c r="M24" s="1"/>
      <c r="N24" s="6">
        <f>J24*(21-A25)*N$5/1200</f>
        <v>768.75</v>
      </c>
      <c r="P24" s="8" t="s">
        <v>19</v>
      </c>
      <c r="Q24" s="15">
        <f>5000-(R24/18)</f>
        <v>4750</v>
      </c>
      <c r="R24" s="15">
        <v>4500</v>
      </c>
      <c r="S24" s="15">
        <f t="shared" si="12"/>
        <v>17833.333333333336</v>
      </c>
      <c r="T24" s="8"/>
      <c r="U24" s="8" t="s">
        <v>19</v>
      </c>
      <c r="V24" s="15">
        <f>5000-(W24/18)</f>
        <v>4750</v>
      </c>
      <c r="W24" s="15">
        <v>4500</v>
      </c>
      <c r="X24" s="8">
        <f t="shared" si="13"/>
        <v>17833.333333333336</v>
      </c>
      <c r="Y24" s="1"/>
      <c r="Z24" s="6">
        <f>C24+J24+Q24+V24</f>
        <v>19261.904761904763</v>
      </c>
    </row>
    <row r="25" spans="1:26" x14ac:dyDescent="0.3">
      <c r="A25" s="2"/>
      <c r="C25" s="1"/>
      <c r="E25" s="1"/>
      <c r="F25" s="1"/>
      <c r="G25" s="1"/>
      <c r="H25" s="1"/>
      <c r="I25" s="3"/>
      <c r="J25" s="1"/>
      <c r="L25" s="1"/>
      <c r="M25" s="1"/>
      <c r="N25" s="6"/>
      <c r="P25" s="3"/>
      <c r="Q25" s="1"/>
      <c r="S25" s="1"/>
      <c r="T25" s="1"/>
      <c r="U25" s="3"/>
      <c r="V25" s="1"/>
      <c r="X25" s="1"/>
      <c r="Y25" s="1"/>
      <c r="Z25" s="6"/>
    </row>
    <row r="26" spans="1:26" x14ac:dyDescent="0.3">
      <c r="A26" s="8">
        <v>18</v>
      </c>
      <c r="B26" s="8" t="s">
        <v>6</v>
      </c>
      <c r="C26" s="8">
        <f t="shared" si="10"/>
        <v>4761.9047619047615</v>
      </c>
      <c r="D26" s="8">
        <v>5000</v>
      </c>
      <c r="E26" s="8">
        <f>C26+E25</f>
        <v>4761.9047619047615</v>
      </c>
      <c r="F26" s="1">
        <f t="shared" si="1"/>
        <v>4809.5238095238092</v>
      </c>
      <c r="I26" s="8" t="s">
        <v>6</v>
      </c>
      <c r="J26" s="10">
        <f t="shared" si="11"/>
        <v>4761.9047619047615</v>
      </c>
      <c r="K26" s="9">
        <v>5000</v>
      </c>
      <c r="L26" s="10">
        <f>L25+J26</f>
        <v>4761.9047619047615</v>
      </c>
      <c r="N26" s="6">
        <f t="shared" si="7"/>
        <v>71.428571428571431</v>
      </c>
      <c r="P26" s="8" t="s">
        <v>21</v>
      </c>
      <c r="Q26" s="10">
        <f t="shared" ref="Q26:Q38" si="14">5000-(R26/18)</f>
        <v>4222.2222222222226</v>
      </c>
      <c r="R26" s="9">
        <v>14000</v>
      </c>
      <c r="S26" s="10">
        <f>S25+Q26</f>
        <v>4222.2222222222226</v>
      </c>
      <c r="T26" s="1"/>
      <c r="U26" s="8" t="s">
        <v>21</v>
      </c>
      <c r="V26" s="10">
        <f t="shared" ref="V26:V38" si="15">5000-(W26/18)</f>
        <v>4222.2222222222226</v>
      </c>
      <c r="W26" s="9">
        <v>14000</v>
      </c>
      <c r="X26" s="10">
        <f>X25+V26</f>
        <v>4222.2222222222226</v>
      </c>
      <c r="Y26" s="1"/>
      <c r="Z26" s="6">
        <f t="shared" ref="Z26:Z36" si="16">C26+J26+Q26+V26</f>
        <v>17968.253968253968</v>
      </c>
    </row>
    <row r="27" spans="1:26" x14ac:dyDescent="0.3">
      <c r="A27" s="7">
        <v>19</v>
      </c>
      <c r="B27" s="8" t="s">
        <v>7</v>
      </c>
      <c r="C27" s="10">
        <f t="shared" si="10"/>
        <v>4809.5238095238092</v>
      </c>
      <c r="D27" s="9">
        <v>4000</v>
      </c>
      <c r="E27" s="10">
        <f t="shared" si="4"/>
        <v>9571.4285714285706</v>
      </c>
      <c r="F27" s="1">
        <f t="shared" si="1"/>
        <v>9667.1428571428569</v>
      </c>
      <c r="I27" s="8" t="s">
        <v>7</v>
      </c>
      <c r="J27" s="10">
        <f t="shared" si="11"/>
        <v>4809.5238095238092</v>
      </c>
      <c r="K27" s="9">
        <f>D27</f>
        <v>4000</v>
      </c>
      <c r="L27" s="10">
        <f t="shared" si="6"/>
        <v>9571.4285714285706</v>
      </c>
      <c r="N27" s="6">
        <f t="shared" si="7"/>
        <v>36.071428571428569</v>
      </c>
      <c r="P27" s="8" t="s">
        <v>22</v>
      </c>
      <c r="Q27" s="10">
        <f t="shared" si="14"/>
        <v>4472.2222222222226</v>
      </c>
      <c r="R27" s="9">
        <v>9500</v>
      </c>
      <c r="S27" s="10">
        <f t="shared" ref="S27:S38" si="17">S26+Q27</f>
        <v>8694.4444444444453</v>
      </c>
      <c r="T27" s="1"/>
      <c r="U27" s="8" t="s">
        <v>22</v>
      </c>
      <c r="V27" s="10">
        <f t="shared" si="15"/>
        <v>4472.2222222222226</v>
      </c>
      <c r="W27" s="9">
        <f>R27</f>
        <v>9500</v>
      </c>
      <c r="X27" s="10">
        <f t="shared" ref="X27:X38" si="18">X26+V27</f>
        <v>8694.4444444444453</v>
      </c>
      <c r="Y27" s="1"/>
      <c r="Z27" s="6">
        <f t="shared" si="16"/>
        <v>18563.492063492064</v>
      </c>
    </row>
    <row r="28" spans="1:26" x14ac:dyDescent="0.3">
      <c r="A28" s="7">
        <v>20</v>
      </c>
      <c r="B28" s="8" t="s">
        <v>8</v>
      </c>
      <c r="C28" s="10">
        <f t="shared" si="10"/>
        <v>4809.5238095238092</v>
      </c>
      <c r="D28" s="9">
        <v>4000</v>
      </c>
      <c r="E28" s="10">
        <f t="shared" si="4"/>
        <v>14380.95238095238</v>
      </c>
      <c r="F28" s="1">
        <f t="shared" si="1"/>
        <v>14524.761904761903</v>
      </c>
      <c r="I28" s="8" t="s">
        <v>8</v>
      </c>
      <c r="J28" s="10">
        <f t="shared" si="11"/>
        <v>4809.5238095238092</v>
      </c>
      <c r="K28" s="9">
        <v>4000</v>
      </c>
      <c r="L28" s="10">
        <f t="shared" si="6"/>
        <v>14380.95238095238</v>
      </c>
      <c r="P28" s="8" t="s">
        <v>23</v>
      </c>
      <c r="Q28" s="10">
        <f t="shared" si="14"/>
        <v>4222.2222222222226</v>
      </c>
      <c r="R28" s="9">
        <v>14000</v>
      </c>
      <c r="S28" s="10">
        <f t="shared" si="17"/>
        <v>12916.666666666668</v>
      </c>
      <c r="U28" s="8" t="s">
        <v>23</v>
      </c>
      <c r="V28" s="10">
        <f t="shared" si="15"/>
        <v>4222.2222222222226</v>
      </c>
      <c r="W28" s="9">
        <v>14000</v>
      </c>
      <c r="X28" s="10">
        <f t="shared" si="18"/>
        <v>12916.666666666668</v>
      </c>
      <c r="Z28" s="6">
        <f t="shared" si="16"/>
        <v>18063.492063492064</v>
      </c>
    </row>
    <row r="29" spans="1:26" x14ac:dyDescent="0.3">
      <c r="A29" s="7">
        <v>21</v>
      </c>
      <c r="B29" s="8" t="s">
        <v>1</v>
      </c>
      <c r="C29" s="10">
        <f t="shared" si="10"/>
        <v>4900</v>
      </c>
      <c r="D29" s="9">
        <v>2100</v>
      </c>
      <c r="E29" s="10">
        <f t="shared" si="4"/>
        <v>19280.952380952382</v>
      </c>
      <c r="F29" s="1">
        <f t="shared" si="1"/>
        <v>19473.761904761905</v>
      </c>
      <c r="I29" s="8" t="s">
        <v>1</v>
      </c>
      <c r="J29" s="10">
        <f t="shared" si="11"/>
        <v>4900</v>
      </c>
      <c r="K29" s="9">
        <v>2100</v>
      </c>
      <c r="L29" s="10">
        <f t="shared" si="6"/>
        <v>19280.952380952382</v>
      </c>
      <c r="P29" s="8" t="s">
        <v>24</v>
      </c>
      <c r="Q29" s="10">
        <f t="shared" si="14"/>
        <v>4333.333333333333</v>
      </c>
      <c r="R29" s="9">
        <v>12000</v>
      </c>
      <c r="S29" s="10">
        <f t="shared" si="17"/>
        <v>17250</v>
      </c>
      <c r="T29" s="9"/>
      <c r="U29" s="8" t="s">
        <v>24</v>
      </c>
      <c r="V29" s="10">
        <f t="shared" si="15"/>
        <v>4333.333333333333</v>
      </c>
      <c r="W29" s="9">
        <v>12000</v>
      </c>
      <c r="X29" s="10">
        <f t="shared" si="18"/>
        <v>17250</v>
      </c>
      <c r="Z29" s="6">
        <f t="shared" si="16"/>
        <v>18466.666666666664</v>
      </c>
    </row>
    <row r="30" spans="1:26" x14ac:dyDescent="0.3">
      <c r="A30" s="7">
        <v>22</v>
      </c>
      <c r="B30" s="8" t="s">
        <v>2</v>
      </c>
      <c r="C30" s="10">
        <f t="shared" ref="C30" si="19">5000-(D30/21)</f>
        <v>4899.9523809523807</v>
      </c>
      <c r="D30" s="9">
        <v>2101</v>
      </c>
      <c r="E30" s="10">
        <f t="shared" ref="E30" si="20">C30+E29</f>
        <v>24180.904761904763</v>
      </c>
      <c r="F30" s="1">
        <f t="shared" ref="F30" si="21">E30+(E30*F$4/12)</f>
        <v>24422.713809523812</v>
      </c>
      <c r="I30" s="8" t="s">
        <v>2</v>
      </c>
      <c r="J30" s="10">
        <f t="shared" ref="J30" si="22">5000-(K30/21)</f>
        <v>4899.9523809523807</v>
      </c>
      <c r="K30" s="9">
        <v>2101</v>
      </c>
      <c r="L30" s="10">
        <f t="shared" ref="L30" si="23">L29+J30</f>
        <v>24180.904761904763</v>
      </c>
      <c r="P30" s="8" t="s">
        <v>25</v>
      </c>
      <c r="Q30" s="10">
        <f t="shared" si="14"/>
        <v>4388.8888888888887</v>
      </c>
      <c r="R30" s="9">
        <v>11000</v>
      </c>
      <c r="S30" s="10">
        <f t="shared" si="17"/>
        <v>21638.888888888891</v>
      </c>
      <c r="T30" s="10"/>
      <c r="U30" s="8" t="s">
        <v>25</v>
      </c>
      <c r="V30" s="10">
        <f t="shared" si="15"/>
        <v>4388.8888888888887</v>
      </c>
      <c r="W30" s="9">
        <f>R30</f>
        <v>11000</v>
      </c>
      <c r="X30" s="10">
        <f t="shared" si="18"/>
        <v>21638.888888888891</v>
      </c>
      <c r="Y30" s="1"/>
      <c r="Z30" s="6">
        <f t="shared" si="16"/>
        <v>18577.682539682537</v>
      </c>
    </row>
    <row r="31" spans="1:26" x14ac:dyDescent="0.3">
      <c r="P31" s="8" t="s">
        <v>26</v>
      </c>
      <c r="Q31" s="10">
        <f t="shared" si="14"/>
        <v>4111.1111111111113</v>
      </c>
      <c r="R31" s="9">
        <v>16000</v>
      </c>
      <c r="S31" s="10">
        <f t="shared" si="17"/>
        <v>25750</v>
      </c>
      <c r="T31" s="16"/>
      <c r="U31" s="8" t="s">
        <v>26</v>
      </c>
      <c r="V31" s="10">
        <f t="shared" si="15"/>
        <v>4111.1111111111113</v>
      </c>
      <c r="W31" s="9">
        <f t="shared" ref="W31:W41" si="24">R31</f>
        <v>16000</v>
      </c>
      <c r="X31" s="10">
        <f t="shared" si="18"/>
        <v>25750</v>
      </c>
      <c r="Y31" s="4"/>
      <c r="Z31" s="6">
        <f t="shared" si="16"/>
        <v>8222.2222222222226</v>
      </c>
    </row>
    <row r="32" spans="1:26" x14ac:dyDescent="0.3">
      <c r="K32" s="12">
        <v>0.06</v>
      </c>
      <c r="L32">
        <v>4300</v>
      </c>
      <c r="P32" s="8" t="s">
        <v>27</v>
      </c>
      <c r="Q32" s="10">
        <f t="shared" si="14"/>
        <v>4333.333333333333</v>
      </c>
      <c r="R32" s="9">
        <v>12000</v>
      </c>
      <c r="S32" s="10">
        <f t="shared" si="17"/>
        <v>30083.333333333332</v>
      </c>
      <c r="T32" s="16"/>
      <c r="U32" s="8" t="s">
        <v>27</v>
      </c>
      <c r="V32" s="10">
        <f t="shared" si="15"/>
        <v>4333.333333333333</v>
      </c>
      <c r="W32" s="9">
        <f t="shared" si="24"/>
        <v>12000</v>
      </c>
      <c r="X32" s="10">
        <f t="shared" si="18"/>
        <v>30083.333333333332</v>
      </c>
      <c r="Y32" s="4"/>
      <c r="Z32" s="6">
        <f t="shared" si="16"/>
        <v>8666.6666666666661</v>
      </c>
    </row>
    <row r="33" spans="5:26" x14ac:dyDescent="0.3">
      <c r="E33" s="12"/>
      <c r="P33" s="8" t="s">
        <v>12</v>
      </c>
      <c r="Q33" s="10">
        <f t="shared" si="14"/>
        <v>4500</v>
      </c>
      <c r="R33" s="9">
        <v>9000</v>
      </c>
      <c r="S33" s="10">
        <f t="shared" si="17"/>
        <v>34583.333333333328</v>
      </c>
      <c r="T33" s="17"/>
      <c r="U33" s="8" t="s">
        <v>12</v>
      </c>
      <c r="V33" s="10">
        <f t="shared" si="15"/>
        <v>4500</v>
      </c>
      <c r="W33" s="9">
        <f t="shared" si="24"/>
        <v>9000</v>
      </c>
      <c r="X33" s="10">
        <f t="shared" si="18"/>
        <v>34583.333333333328</v>
      </c>
      <c r="Y33" s="5"/>
      <c r="Z33" s="6">
        <f t="shared" si="16"/>
        <v>9000</v>
      </c>
    </row>
    <row r="34" spans="5:26" x14ac:dyDescent="0.3">
      <c r="K34" s="11">
        <f>FV(K32/12,21,L32)</f>
        <v>-94961.247362488313</v>
      </c>
      <c r="P34" s="3" t="s">
        <v>17</v>
      </c>
      <c r="Q34" s="1">
        <v>0</v>
      </c>
      <c r="R34">
        <v>0</v>
      </c>
      <c r="S34" s="1">
        <f t="shared" si="17"/>
        <v>34583.333333333328</v>
      </c>
      <c r="T34" s="5"/>
      <c r="U34" s="3" t="s">
        <v>17</v>
      </c>
      <c r="V34" s="1">
        <v>0</v>
      </c>
      <c r="W34">
        <f t="shared" si="24"/>
        <v>0</v>
      </c>
      <c r="X34" s="1">
        <v>0</v>
      </c>
      <c r="Y34" s="5"/>
      <c r="Z34" s="6">
        <v>0</v>
      </c>
    </row>
    <row r="35" spans="5:26" x14ac:dyDescent="0.3">
      <c r="P35" s="3" t="s">
        <v>18</v>
      </c>
      <c r="Q35" s="1">
        <v>0</v>
      </c>
      <c r="R35">
        <v>0</v>
      </c>
      <c r="S35" s="1">
        <f t="shared" si="17"/>
        <v>34583.333333333328</v>
      </c>
      <c r="T35" s="1"/>
      <c r="U35" s="3" t="s">
        <v>18</v>
      </c>
      <c r="V35" s="1">
        <v>0</v>
      </c>
      <c r="W35">
        <f t="shared" si="24"/>
        <v>0</v>
      </c>
      <c r="X35" s="1">
        <v>0</v>
      </c>
      <c r="Y35" s="1"/>
      <c r="Z35" s="6">
        <v>0</v>
      </c>
    </row>
    <row r="36" spans="5:26" x14ac:dyDescent="0.3">
      <c r="P36" s="8" t="s">
        <v>19</v>
      </c>
      <c r="Q36" s="10">
        <f t="shared" si="14"/>
        <v>4416.666666666667</v>
      </c>
      <c r="R36" s="9">
        <v>10500</v>
      </c>
      <c r="S36" s="10">
        <f t="shared" si="17"/>
        <v>38999.999999999993</v>
      </c>
      <c r="T36" s="10"/>
      <c r="U36" s="8" t="s">
        <v>19</v>
      </c>
      <c r="V36" s="10">
        <f t="shared" si="15"/>
        <v>4416.666666666667</v>
      </c>
      <c r="W36" s="9">
        <f t="shared" si="24"/>
        <v>10500</v>
      </c>
      <c r="X36" s="10">
        <f t="shared" si="18"/>
        <v>4416.666666666667</v>
      </c>
      <c r="Y36" s="1"/>
      <c r="Z36" s="6">
        <f t="shared" si="16"/>
        <v>8833.3333333333339</v>
      </c>
    </row>
    <row r="37" spans="5:26" x14ac:dyDescent="0.3">
      <c r="P37" s="3" t="s">
        <v>20</v>
      </c>
      <c r="Q37" s="1">
        <f t="shared" si="14"/>
        <v>4900</v>
      </c>
      <c r="R37">
        <v>1800</v>
      </c>
      <c r="S37" s="1">
        <f t="shared" si="17"/>
        <v>43899.999999999993</v>
      </c>
      <c r="T37" s="1"/>
      <c r="U37" s="3" t="s">
        <v>20</v>
      </c>
      <c r="V37" s="1">
        <f t="shared" si="15"/>
        <v>4900</v>
      </c>
      <c r="W37">
        <f t="shared" si="24"/>
        <v>1800</v>
      </c>
      <c r="X37" s="1">
        <f t="shared" si="18"/>
        <v>9316.6666666666679</v>
      </c>
      <c r="Y37" s="1"/>
      <c r="Z37" s="6"/>
    </row>
    <row r="38" spans="5:26" x14ac:dyDescent="0.3">
      <c r="P38" s="3" t="s">
        <v>21</v>
      </c>
      <c r="Q38" s="1">
        <f t="shared" si="14"/>
        <v>4900</v>
      </c>
      <c r="R38">
        <v>1800</v>
      </c>
      <c r="S38" s="1">
        <f t="shared" si="17"/>
        <v>48799.999999999993</v>
      </c>
      <c r="T38" s="1"/>
      <c r="U38" s="3" t="s">
        <v>21</v>
      </c>
      <c r="V38" s="1">
        <f t="shared" si="15"/>
        <v>4900</v>
      </c>
      <c r="W38">
        <f t="shared" si="24"/>
        <v>1800</v>
      </c>
      <c r="X38" s="1">
        <f t="shared" si="18"/>
        <v>14216.666666666668</v>
      </c>
      <c r="Y38" s="1"/>
      <c r="Z38" s="6"/>
    </row>
    <row r="39" spans="5:26" x14ac:dyDescent="0.3">
      <c r="P39" s="3" t="s">
        <v>22</v>
      </c>
      <c r="Q39" s="1">
        <f t="shared" ref="Q39:Q41" si="25">5000-(R39/18)</f>
        <v>4900</v>
      </c>
      <c r="R39">
        <v>1800</v>
      </c>
      <c r="S39" s="1">
        <f t="shared" ref="S39" si="26">S38+Q39</f>
        <v>53699.999999999993</v>
      </c>
      <c r="T39" s="1"/>
      <c r="U39" s="3" t="s">
        <v>22</v>
      </c>
      <c r="V39" s="1">
        <f t="shared" ref="V39:V41" si="27">5000-(W39/18)</f>
        <v>4900</v>
      </c>
      <c r="W39">
        <f t="shared" si="24"/>
        <v>1800</v>
      </c>
      <c r="X39" s="1">
        <f t="shared" ref="X39" si="28">X38+V39</f>
        <v>19116.666666666668</v>
      </c>
      <c r="Z39" s="6"/>
    </row>
    <row r="40" spans="5:26" x14ac:dyDescent="0.3">
      <c r="P40" s="3" t="s">
        <v>23</v>
      </c>
      <c r="Q40" s="1">
        <f t="shared" ref="Q40:Q41" si="29">5000-(R40/18)</f>
        <v>4900</v>
      </c>
      <c r="R40">
        <v>1800</v>
      </c>
      <c r="S40" s="1">
        <f t="shared" ref="S40:S41" si="30">S39+Q40</f>
        <v>58599.999999999993</v>
      </c>
      <c r="U40" s="3" t="s">
        <v>23</v>
      </c>
      <c r="V40" s="1">
        <f t="shared" ref="V40:V41" si="31">5000-(W40/18)</f>
        <v>4900</v>
      </c>
      <c r="W40">
        <f t="shared" ref="W40:W41" si="32">R40</f>
        <v>1800</v>
      </c>
      <c r="X40" s="1">
        <f t="shared" ref="X40:X41" si="33">X39+V40</f>
        <v>24016.666666666668</v>
      </c>
      <c r="Z40" s="6"/>
    </row>
    <row r="41" spans="5:26" x14ac:dyDescent="0.3">
      <c r="P41" s="3" t="s">
        <v>24</v>
      </c>
      <c r="Q41" s="1">
        <f t="shared" si="29"/>
        <v>4900</v>
      </c>
      <c r="R41">
        <v>1800</v>
      </c>
      <c r="S41" s="1">
        <f t="shared" si="30"/>
        <v>63499.999999999993</v>
      </c>
      <c r="U41" s="3" t="s">
        <v>24</v>
      </c>
      <c r="V41" s="1">
        <f t="shared" si="31"/>
        <v>4900</v>
      </c>
      <c r="W41">
        <f t="shared" si="32"/>
        <v>1800</v>
      </c>
      <c r="X41" s="1">
        <f t="shared" si="33"/>
        <v>28916.666666666668</v>
      </c>
      <c r="Z41" s="2"/>
    </row>
    <row r="42" spans="5:26" x14ac:dyDescent="0.3">
      <c r="P42" s="3"/>
      <c r="Q42" s="1"/>
      <c r="S42" s="1"/>
      <c r="U42" s="3"/>
      <c r="V42" s="1"/>
      <c r="X42" s="1"/>
      <c r="Z42" s="2"/>
    </row>
    <row r="45" spans="5:26" x14ac:dyDescent="0.3">
      <c r="V45">
        <f>90000-14000-18070</f>
        <v>57930</v>
      </c>
    </row>
    <row r="46" spans="5:26" x14ac:dyDescent="0.3">
      <c r="K46">
        <f>90000-14000-18244</f>
        <v>57756</v>
      </c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BIGBOSE</dc:creator>
  <cp:lastModifiedBy>Sanjay Kumar</cp:lastModifiedBy>
  <cp:lastPrinted>2017-11-26T11:08:54Z</cp:lastPrinted>
  <dcterms:created xsi:type="dcterms:W3CDTF">2016-11-27T12:06:29Z</dcterms:created>
  <dcterms:modified xsi:type="dcterms:W3CDTF">2025-08-16T08:06:15Z</dcterms:modified>
</cp:coreProperties>
</file>